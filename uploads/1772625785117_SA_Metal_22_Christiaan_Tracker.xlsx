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47" documentId="13_ncr:1_{584C75F5-E5AB-4758-B090-7236C5FD83D9}" xr6:coauthVersionLast="47" xr6:coauthVersionMax="47" xr10:uidLastSave="{08CB0CFA-BE13-4D31-851D-CA88847EE430}"/>
  <bookViews>
    <workbookView xWindow="-27570" yWindow="570" windowWidth="13155" windowHeight="11310" tabRatio="779" firstSheet="7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91" r:id="rId16"/>
    <pivotCache cacheId="19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DK9" i="6"/>
  <c r="DL9" i="6"/>
  <c r="DM9" i="6"/>
  <c r="DN9" i="6"/>
  <c r="DO9" i="6"/>
  <c r="DP9" i="6"/>
  <c r="DQ9" i="6"/>
  <c r="DR9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DK3" i="6"/>
  <c r="DL3" i="6"/>
  <c r="DM3" i="6"/>
  <c r="DN3" i="6"/>
  <c r="DO3" i="6"/>
  <c r="DP3" i="6"/>
  <c r="DQ3" i="6"/>
  <c r="DR3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DG5" i="6"/>
  <c r="DH5" i="6"/>
  <c r="DI5" i="6"/>
  <c r="DJ5" i="6"/>
  <c r="DK5" i="6"/>
  <c r="DL5" i="6"/>
  <c r="DM5" i="6"/>
  <c r="DN5" i="6"/>
  <c r="DO5" i="6"/>
  <c r="DP5" i="6"/>
  <c r="DQ5" i="6"/>
  <c r="DR5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Q9" i="13"/>
  <c r="Q10" i="13"/>
  <c r="Q11" i="13"/>
  <c r="Q12" i="13"/>
  <c r="Q13" i="13"/>
  <c r="Q14" i="13"/>
  <c r="Q15" i="13"/>
  <c r="Q16" i="13"/>
  <c r="Q17" i="13"/>
  <c r="Q18" i="13"/>
  <c r="Q19" i="13"/>
  <c r="Q20" i="13"/>
  <c r="Q8" i="13"/>
  <c r="Q21" i="13" l="1"/>
  <c r="X128" i="4" l="1"/>
  <c r="W80" i="4"/>
  <c r="S34" i="4"/>
  <c r="S56" i="4"/>
  <c r="S94" i="4"/>
  <c r="V68" i="4"/>
  <c r="S35" i="4"/>
  <c r="S95" i="4"/>
  <c r="S57" i="4"/>
  <c r="W94" i="4"/>
  <c r="T35" i="4"/>
  <c r="W69" i="4"/>
  <c r="P16" i="5"/>
  <c r="P15" i="5"/>
  <c r="T42" i="4"/>
  <c r="T70" i="4"/>
  <c r="R69" i="4"/>
  <c r="X68" i="4" s="1"/>
  <c r="J16" i="3" s="1"/>
  <c r="F18" i="5"/>
  <c r="R41" i="4"/>
  <c r="D23" i="13"/>
  <c r="S6" i="5"/>
  <c r="W121" i="4"/>
  <c r="W122" i="4"/>
  <c r="P14" i="5"/>
  <c r="T10" i="4"/>
  <c r="W21" i="4"/>
  <c r="R46" i="4"/>
  <c r="W13" i="4"/>
  <c r="H28" i="4"/>
  <c r="H27" i="4" s="1"/>
  <c r="H80" i="4"/>
  <c r="H53" i="4" s="1"/>
  <c r="H79" i="4"/>
  <c r="H52" i="4" s="1"/>
  <c r="P88" i="4"/>
  <c r="R91" i="4"/>
  <c r="T87" i="4"/>
  <c r="P77" i="4"/>
  <c r="R78" i="4"/>
  <c r="R45" i="4"/>
  <c r="P28" i="4"/>
  <c r="R34" i="4"/>
  <c r="AJ28" i="4"/>
  <c r="AC28" i="4"/>
  <c r="AG28" i="4"/>
  <c r="AI29" i="4"/>
  <c r="AI25" i="4"/>
  <c r="AI36" i="4" s="1"/>
  <c r="AI37" i="4" s="1"/>
  <c r="P50" i="4"/>
  <c r="R50" i="4" s="1"/>
  <c r="R54" i="4"/>
  <c r="W38" i="4"/>
  <c r="W37" i="4"/>
  <c r="AF36" i="4"/>
  <c r="AF37" i="4"/>
  <c r="K86" i="4"/>
  <c r="K77" i="4"/>
  <c r="J107" i="4"/>
  <c r="R18" i="4"/>
  <c r="X18" i="4" s="1"/>
  <c r="J11" i="3" s="1"/>
  <c r="N11" i="3" s="1"/>
  <c r="R7" i="4"/>
  <c r="G27" i="4"/>
  <c r="G6" i="4"/>
  <c r="J6" i="4"/>
  <c r="T128" i="4"/>
  <c r="T127" i="4"/>
  <c r="T126" i="4"/>
  <c r="T118" i="4"/>
  <c r="T117" i="4"/>
  <c r="T116" i="4"/>
  <c r="T110" i="4"/>
  <c r="T109" i="4"/>
  <c r="T106" i="4"/>
  <c r="T104" i="4"/>
  <c r="T103" i="4"/>
  <c r="T100" i="4"/>
  <c r="T99" i="4"/>
  <c r="T98" i="4"/>
  <c r="T97" i="4"/>
  <c r="T96" i="4"/>
  <c r="T85" i="4"/>
  <c r="T76" i="4"/>
  <c r="T49" i="4"/>
  <c r="T67" i="4"/>
  <c r="T66" i="4"/>
  <c r="T65" i="4"/>
  <c r="T64" i="4"/>
  <c r="T63" i="4"/>
  <c r="T62" i="4"/>
  <c r="T61" i="4"/>
  <c r="T60" i="4"/>
  <c r="T59" i="4"/>
  <c r="T58" i="4"/>
  <c r="T44" i="4"/>
  <c r="T43" i="4"/>
  <c r="T36" i="4"/>
  <c r="T25" i="4"/>
  <c r="AB36" i="4"/>
  <c r="AB37" i="4"/>
  <c r="AB15" i="4"/>
  <c r="D13" i="7" s="1"/>
  <c r="AA15" i="4"/>
  <c r="R111" i="4"/>
  <c r="R113" i="4" s="1"/>
  <c r="J111" i="4"/>
  <c r="F21" i="3"/>
  <c r="G50" i="4"/>
  <c r="E29" i="4"/>
  <c r="G29" i="4" s="1"/>
  <c r="J26" i="4" s="1"/>
  <c r="G30" i="4"/>
  <c r="E18" i="4"/>
  <c r="AB10" i="4"/>
  <c r="D8" i="7" s="1"/>
  <c r="D17" i="3"/>
  <c r="G84" i="4"/>
  <c r="G83" i="4"/>
  <c r="G82" i="4"/>
  <c r="G81" i="4"/>
  <c r="G80" i="4"/>
  <c r="G79" i="4"/>
  <c r="G78" i="4"/>
  <c r="G77" i="4"/>
  <c r="B17" i="3"/>
  <c r="R6" i="4"/>
  <c r="X6" i="4"/>
  <c r="J9" i="3" s="1"/>
  <c r="N9" i="3" s="1"/>
  <c r="V6" i="4"/>
  <c r="AB11" i="4"/>
  <c r="G57" i="4"/>
  <c r="G56" i="4"/>
  <c r="G55" i="4"/>
  <c r="G54" i="4"/>
  <c r="G53" i="4"/>
  <c r="G52" i="4"/>
  <c r="G51" i="4"/>
  <c r="J44" i="4" s="1"/>
  <c r="F14" i="3" s="1"/>
  <c r="R39" i="4"/>
  <c r="R37" i="4"/>
  <c r="X37" i="4"/>
  <c r="J13" i="3" s="1"/>
  <c r="N13" i="3" s="1"/>
  <c r="R26" i="4"/>
  <c r="X26" i="4" s="1"/>
  <c r="R13" i="4"/>
  <c r="X13" i="4" s="1"/>
  <c r="G39" i="4"/>
  <c r="G37" i="4"/>
  <c r="G28" i="4"/>
  <c r="AB13" i="4"/>
  <c r="D11" i="7" s="1"/>
  <c r="J11" i="7" s="1"/>
  <c r="AB12" i="4"/>
  <c r="AB8" i="4"/>
  <c r="R31" i="4"/>
  <c r="G13" i="4"/>
  <c r="J13" i="4"/>
  <c r="F10" i="3" s="1"/>
  <c r="F20" i="3"/>
  <c r="D20" i="3"/>
  <c r="B20" i="3"/>
  <c r="X107" i="4"/>
  <c r="J20" i="3" s="1"/>
  <c r="AB14" i="4"/>
  <c r="D12" i="7" s="1"/>
  <c r="O26" i="7" s="1"/>
  <c r="B15" i="3"/>
  <c r="D15" i="3"/>
  <c r="D10" i="3"/>
  <c r="X59" i="4"/>
  <c r="J59" i="4"/>
  <c r="F15" i="3" s="1"/>
  <c r="L15" i="3" s="1"/>
  <c r="J15" i="3"/>
  <c r="N15" i="3"/>
  <c r="G25" i="3"/>
  <c r="K2" i="4"/>
  <c r="V18" i="4"/>
  <c r="U16" i="4"/>
  <c r="D9" i="7"/>
  <c r="D10" i="7"/>
  <c r="J10" i="7" s="1"/>
  <c r="I25" i="3"/>
  <c r="X101" i="4"/>
  <c r="J128" i="4"/>
  <c r="J119" i="4"/>
  <c r="F22" i="3" s="1"/>
  <c r="J101" i="4"/>
  <c r="F19" i="3"/>
  <c r="J68" i="4"/>
  <c r="F16" i="3"/>
  <c r="J37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8" i="4"/>
  <c r="J23" i="3"/>
  <c r="L23" i="3" s="1"/>
  <c r="V59" i="4"/>
  <c r="J86" i="4"/>
  <c r="F18" i="3" s="1"/>
  <c r="G1" i="6"/>
  <c r="J29" i="9"/>
  <c r="J36" i="9"/>
  <c r="D31" i="9"/>
  <c r="D29" i="9" s="1"/>
  <c r="D30" i="9"/>
  <c r="D18" i="9"/>
  <c r="D17" i="9" s="1"/>
  <c r="J23" i="9"/>
  <c r="J17" i="9"/>
  <c r="F17" i="9"/>
  <c r="F23" i="9"/>
  <c r="J9" i="9"/>
  <c r="D11" i="9"/>
  <c r="D10" i="9"/>
  <c r="D9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D21" i="7"/>
  <c r="D20" i="7"/>
  <c r="F36" i="9"/>
  <c r="D37" i="9"/>
  <c r="D36" i="9"/>
  <c r="D43" i="9" s="1"/>
  <c r="B31" i="9"/>
  <c r="B30" i="9"/>
  <c r="H7" i="7"/>
  <c r="H8" i="7"/>
  <c r="H9" i="7"/>
  <c r="M9" i="7"/>
  <c r="M7" i="7"/>
  <c r="M8" i="7"/>
  <c r="X119" i="4"/>
  <c r="G26" i="4"/>
  <c r="D24" i="9"/>
  <c r="D23" i="9"/>
  <c r="V119" i="4"/>
  <c r="J22" i="3"/>
  <c r="N22" i="3"/>
  <c r="O10" i="7"/>
  <c r="O24" i="7"/>
  <c r="D23" i="7"/>
  <c r="H22" i="7"/>
  <c r="M20" i="7"/>
  <c r="H20" i="7"/>
  <c r="M6" i="7"/>
  <c r="H6" i="7"/>
  <c r="L29" i="7"/>
  <c r="D38" i="7"/>
  <c r="G29" i="7"/>
  <c r="D37" i="7"/>
  <c r="E23" i="7"/>
  <c r="J23" i="7"/>
  <c r="D15" i="10" a="1"/>
  <c r="D15" i="10" s="1"/>
  <c r="B1" i="10" s="1"/>
  <c r="L15" i="7"/>
  <c r="D36" i="7" s="1"/>
  <c r="G15" i="7"/>
  <c r="D35" i="7"/>
  <c r="D4" i="5"/>
  <c r="F23" i="3"/>
  <c r="E46" i="5"/>
  <c r="E47" i="5"/>
  <c r="E21" i="5"/>
  <c r="L2" i="1"/>
  <c r="L14" i="1"/>
  <c r="L26" i="1"/>
  <c r="L7" i="1"/>
  <c r="L39" i="1"/>
  <c r="L37" i="1"/>
  <c r="L35" i="1"/>
  <c r="L31" i="1"/>
  <c r="L45" i="1"/>
  <c r="L36" i="1"/>
  <c r="L33" i="1"/>
  <c r="L32" i="1"/>
  <c r="L6" i="1"/>
  <c r="L8" i="1"/>
  <c r="L10" i="1"/>
  <c r="L13" i="1"/>
  <c r="L16" i="1"/>
  <c r="L28" i="1"/>
  <c r="F29" i="9"/>
  <c r="H5" i="3"/>
  <c r="T89" i="4"/>
  <c r="W89" i="4"/>
  <c r="W28" i="4"/>
  <c r="W29" i="4"/>
  <c r="W51" i="4"/>
  <c r="T28" i="4"/>
  <c r="T51" i="4"/>
  <c r="T29" i="4"/>
  <c r="W90" i="4"/>
  <c r="W30" i="4"/>
  <c r="T90" i="4"/>
  <c r="W52" i="4"/>
  <c r="T30" i="4"/>
  <c r="T52" i="4"/>
  <c r="W91" i="4"/>
  <c r="W31" i="4"/>
  <c r="W53" i="4"/>
  <c r="T31" i="4"/>
  <c r="W92" i="4"/>
  <c r="W32" i="4"/>
  <c r="W54" i="4"/>
  <c r="W93" i="4"/>
  <c r="W33" i="4"/>
  <c r="W55" i="4"/>
  <c r="W95" i="4"/>
  <c r="W56" i="4"/>
  <c r="T94" i="4"/>
  <c r="W34" i="4"/>
  <c r="T56" i="4"/>
  <c r="T34" i="4"/>
  <c r="W35" i="4"/>
  <c r="W57" i="4"/>
  <c r="T57" i="4"/>
  <c r="T95" i="4"/>
  <c r="E20" i="7"/>
  <c r="D29" i="7"/>
  <c r="J20" i="7"/>
  <c r="J29" i="7" s="1"/>
  <c r="O25" i="7"/>
  <c r="J12" i="7"/>
  <c r="O12" i="7"/>
  <c r="R32" i="4"/>
  <c r="R28" i="4"/>
  <c r="R30" i="4"/>
  <c r="R35" i="4"/>
  <c r="R33" i="4"/>
  <c r="R29" i="4"/>
  <c r="O11" i="7"/>
  <c r="U42" i="4"/>
  <c r="V37" i="4"/>
  <c r="L23" i="9"/>
  <c r="H23" i="9"/>
  <c r="F12" i="3"/>
  <c r="J8" i="7"/>
  <c r="W15" i="4"/>
  <c r="R4" i="5"/>
  <c r="R5" i="5"/>
  <c r="L12" i="3" l="1"/>
  <c r="R81" i="4"/>
  <c r="R82" i="4"/>
  <c r="R77" i="4"/>
  <c r="R83" i="4"/>
  <c r="R84" i="4"/>
  <c r="U27" i="4"/>
  <c r="V26" i="4" s="1"/>
  <c r="J12" i="3"/>
  <c r="N12" i="3" s="1"/>
  <c r="L19" i="3"/>
  <c r="H9" i="9"/>
  <c r="L9" i="9"/>
  <c r="L43" i="9" s="1"/>
  <c r="L20" i="3"/>
  <c r="N20" i="3"/>
  <c r="F9" i="3"/>
  <c r="R56" i="4"/>
  <c r="R52" i="4"/>
  <c r="X44" i="4" s="1"/>
  <c r="R55" i="4"/>
  <c r="R53" i="4"/>
  <c r="R57" i="4"/>
  <c r="R80" i="4"/>
  <c r="H29" i="9"/>
  <c r="H36" i="9"/>
  <c r="L36" i="9"/>
  <c r="L29" i="9"/>
  <c r="L13" i="3"/>
  <c r="E22" i="7"/>
  <c r="J22" i="7"/>
  <c r="R79" i="4"/>
  <c r="F14" i="5"/>
  <c r="F17" i="5"/>
  <c r="U105" i="4"/>
  <c r="U103" i="4"/>
  <c r="U104" i="4"/>
  <c r="L11" i="3"/>
  <c r="J19" i="3"/>
  <c r="N19" i="3" s="1"/>
  <c r="L16" i="3"/>
  <c r="N16" i="3"/>
  <c r="L17" i="9"/>
  <c r="H17" i="9"/>
  <c r="O23" i="7"/>
  <c r="O9" i="7"/>
  <c r="J9" i="7"/>
  <c r="E9" i="7"/>
  <c r="E8" i="7"/>
  <c r="O8" i="7"/>
  <c r="O22" i="7"/>
  <c r="R95" i="4"/>
  <c r="R94" i="4"/>
  <c r="R93" i="4"/>
  <c r="R88" i="4"/>
  <c r="R90" i="4"/>
  <c r="R92" i="4"/>
  <c r="D6" i="7"/>
  <c r="R89" i="4"/>
  <c r="J21" i="7"/>
  <c r="E21" i="7"/>
  <c r="L44" i="1"/>
  <c r="L4" i="1"/>
  <c r="L42" i="1"/>
  <c r="L19" i="1"/>
  <c r="L5" i="1"/>
  <c r="L38" i="1"/>
  <c r="L22" i="1"/>
  <c r="L9" i="1"/>
  <c r="L27" i="1"/>
  <c r="L11" i="1"/>
  <c r="L25" i="1"/>
  <c r="L24" i="1"/>
  <c r="L43" i="1"/>
  <c r="L23" i="1"/>
  <c r="L29" i="1"/>
  <c r="L20" i="1"/>
  <c r="L3" i="1"/>
  <c r="M2" i="1"/>
  <c r="L22" i="3"/>
  <c r="J77" i="4"/>
  <c r="F17" i="3" s="1"/>
  <c r="AB9" i="4"/>
  <c r="D7" i="7" s="1"/>
  <c r="J10" i="3"/>
  <c r="N10" i="3" s="1"/>
  <c r="U14" i="4"/>
  <c r="V13" i="4" s="1"/>
  <c r="F15" i="5"/>
  <c r="F16" i="5"/>
  <c r="X111" i="4"/>
  <c r="C3" i="6"/>
  <c r="K4" i="4"/>
  <c r="F13" i="5"/>
  <c r="V111" i="4"/>
  <c r="J21" i="3"/>
  <c r="R6" i="5"/>
  <c r="H1" i="6"/>
  <c r="G17" i="6" s="1"/>
  <c r="F20" i="6"/>
  <c r="F9" i="6"/>
  <c r="F11" i="6"/>
  <c r="F17" i="6"/>
  <c r="F18" i="6" s="1"/>
  <c r="N23" i="3"/>
  <c r="H18" i="4"/>
  <c r="H29" i="4" s="1"/>
  <c r="H77" i="4"/>
  <c r="H102" i="4"/>
  <c r="H103" i="4" s="1"/>
  <c r="H15" i="5"/>
  <c r="H81" i="4"/>
  <c r="H78" i="4"/>
  <c r="H51" i="4" s="1"/>
  <c r="U46" i="4" l="1"/>
  <c r="U44" i="4"/>
  <c r="J14" i="3"/>
  <c r="U49" i="4"/>
  <c r="J7" i="7"/>
  <c r="E7" i="7"/>
  <c r="O21" i="7"/>
  <c r="O7" i="7"/>
  <c r="L17" i="3"/>
  <c r="O6" i="7"/>
  <c r="O15" i="7" s="1"/>
  <c r="O20" i="7"/>
  <c r="O29" i="7" s="1"/>
  <c r="E6" i="7"/>
  <c r="D15" i="7"/>
  <c r="D34" i="7" s="1"/>
  <c r="D40" i="7" s="1"/>
  <c r="B40" i="7" s="1"/>
  <c r="J6" i="7"/>
  <c r="AB17" i="4"/>
  <c r="AB18" i="4" s="1"/>
  <c r="AB19" i="4" s="1"/>
  <c r="F21" i="5"/>
  <c r="F47" i="5" s="1"/>
  <c r="M38" i="1"/>
  <c r="M24" i="1"/>
  <c r="N2" i="1"/>
  <c r="M37" i="1"/>
  <c r="M23" i="1"/>
  <c r="M19" i="1"/>
  <c r="M36" i="1"/>
  <c r="M22" i="1"/>
  <c r="M45" i="1"/>
  <c r="M26" i="1"/>
  <c r="M44" i="1"/>
  <c r="M25" i="1"/>
  <c r="M43" i="1"/>
  <c r="M20" i="1"/>
  <c r="M35" i="1"/>
  <c r="M13" i="1"/>
  <c r="M32" i="1"/>
  <c r="M8" i="1"/>
  <c r="M33" i="1"/>
  <c r="M10" i="1"/>
  <c r="M16" i="1"/>
  <c r="M14" i="1"/>
  <c r="M11" i="1"/>
  <c r="M5" i="1"/>
  <c r="M42" i="1"/>
  <c r="M9" i="1"/>
  <c r="M4" i="1"/>
  <c r="M7" i="1"/>
  <c r="M6" i="1"/>
  <c r="M3" i="1"/>
  <c r="M31" i="1"/>
  <c r="M27" i="1"/>
  <c r="M39" i="1"/>
  <c r="M29" i="1"/>
  <c r="M28" i="1"/>
  <c r="X86" i="4"/>
  <c r="X77" i="4"/>
  <c r="J17" i="3" s="1"/>
  <c r="N17" i="3" s="1"/>
  <c r="U93" i="4"/>
  <c r="J2" i="4"/>
  <c r="G11" i="6"/>
  <c r="L10" i="3"/>
  <c r="L9" i="3"/>
  <c r="F5" i="3"/>
  <c r="D5" i="5" s="1"/>
  <c r="V101" i="4"/>
  <c r="H43" i="9"/>
  <c r="F4" i="5"/>
  <c r="N21" i="3"/>
  <c r="L21" i="3"/>
  <c r="G18" i="6"/>
  <c r="F12" i="6"/>
  <c r="G12" i="6" s="1"/>
  <c r="F21" i="6"/>
  <c r="I1" i="6"/>
  <c r="H17" i="6" s="1"/>
  <c r="G20" i="6"/>
  <c r="F10" i="6"/>
  <c r="G9" i="6"/>
  <c r="H26" i="4"/>
  <c r="H30" i="4"/>
  <c r="H13" i="4"/>
  <c r="H37" i="4" s="1"/>
  <c r="H38" i="4" s="1"/>
  <c r="H14" i="5"/>
  <c r="H6" i="4"/>
  <c r="H54" i="4"/>
  <c r="H96" i="4"/>
  <c r="H99" i="4" s="1"/>
  <c r="H16" i="5"/>
  <c r="G10" i="6" l="1"/>
  <c r="C5" i="6"/>
  <c r="D6" i="5"/>
  <c r="D7" i="5" s="1"/>
  <c r="N14" i="3"/>
  <c r="L14" i="3"/>
  <c r="F25" i="3"/>
  <c r="N44" i="1"/>
  <c r="N43" i="1"/>
  <c r="N19" i="1"/>
  <c r="N42" i="1"/>
  <c r="N35" i="1"/>
  <c r="N3" i="1"/>
  <c r="N38" i="1"/>
  <c r="N39" i="1"/>
  <c r="N22" i="1"/>
  <c r="N25" i="1"/>
  <c r="N11" i="1"/>
  <c r="N45" i="1"/>
  <c r="N16" i="1"/>
  <c r="N4" i="1"/>
  <c r="N36" i="1"/>
  <c r="N13" i="1"/>
  <c r="N14" i="1"/>
  <c r="N29" i="1"/>
  <c r="N9" i="1"/>
  <c r="N37" i="1"/>
  <c r="N5" i="1"/>
  <c r="N26" i="1"/>
  <c r="N24" i="1"/>
  <c r="O2" i="1"/>
  <c r="N31" i="1"/>
  <c r="N8" i="1"/>
  <c r="N28" i="1"/>
  <c r="N27" i="1"/>
  <c r="N10" i="1"/>
  <c r="N6" i="1"/>
  <c r="N20" i="1"/>
  <c r="N23" i="1"/>
  <c r="N7" i="1"/>
  <c r="N33" i="1"/>
  <c r="N32" i="1"/>
  <c r="J18" i="3"/>
  <c r="U86" i="4"/>
  <c r="U87" i="4"/>
  <c r="U96" i="4"/>
  <c r="U97" i="4"/>
  <c r="U98" i="4"/>
  <c r="U99" i="4"/>
  <c r="U133" i="4" s="1"/>
  <c r="X2" i="4"/>
  <c r="J15" i="7"/>
  <c r="V44" i="4"/>
  <c r="C9" i="6"/>
  <c r="T4" i="5"/>
  <c r="F44" i="5"/>
  <c r="F45" i="5"/>
  <c r="F41" i="5"/>
  <c r="F42" i="5"/>
  <c r="F43" i="5"/>
  <c r="F14" i="6"/>
  <c r="H9" i="4"/>
  <c r="H9" i="6"/>
  <c r="H18" i="6"/>
  <c r="H11" i="6"/>
  <c r="H12" i="6" s="1"/>
  <c r="H20" i="6"/>
  <c r="J1" i="6"/>
  <c r="I20" i="6" s="1"/>
  <c r="G21" i="6"/>
  <c r="G14" i="6"/>
  <c r="H10" i="6" l="1"/>
  <c r="N18" i="3"/>
  <c r="L18" i="3"/>
  <c r="L5" i="3" s="1"/>
  <c r="J5" i="3"/>
  <c r="O43" i="1"/>
  <c r="O27" i="1"/>
  <c r="O10" i="1"/>
  <c r="O42" i="1"/>
  <c r="O26" i="1"/>
  <c r="O8" i="1"/>
  <c r="O39" i="1"/>
  <c r="O25" i="1"/>
  <c r="O6" i="1"/>
  <c r="O29" i="1"/>
  <c r="O5" i="1"/>
  <c r="O28" i="1"/>
  <c r="O11" i="1"/>
  <c r="O24" i="1"/>
  <c r="O14" i="1"/>
  <c r="O31" i="1"/>
  <c r="O22" i="1"/>
  <c r="O23" i="1"/>
  <c r="O37" i="1"/>
  <c r="P2" i="1"/>
  <c r="O36" i="1"/>
  <c r="O7" i="1"/>
  <c r="O32" i="1"/>
  <c r="O19" i="1"/>
  <c r="O35" i="1"/>
  <c r="O33" i="1"/>
  <c r="O20" i="1"/>
  <c r="O13" i="1"/>
  <c r="O9" i="1"/>
  <c r="O44" i="1"/>
  <c r="O38" i="1"/>
  <c r="O45" i="1"/>
  <c r="O4" i="1"/>
  <c r="O3" i="1"/>
  <c r="O16" i="1"/>
  <c r="V86" i="4"/>
  <c r="N5" i="3"/>
  <c r="F46" i="5"/>
  <c r="K1" i="6"/>
  <c r="J9" i="6"/>
  <c r="J17" i="6"/>
  <c r="J20" i="6"/>
  <c r="J11" i="6"/>
  <c r="I11" i="6"/>
  <c r="I12" i="6" s="1"/>
  <c r="I9" i="6"/>
  <c r="I17" i="6"/>
  <c r="H21" i="6"/>
  <c r="I21" i="6" s="1"/>
  <c r="H14" i="6"/>
  <c r="H82" i="4"/>
  <c r="H55" i="4" s="1"/>
  <c r="H101" i="4"/>
  <c r="P42" i="1" l="1"/>
  <c r="P26" i="1"/>
  <c r="P16" i="1"/>
  <c r="P39" i="1"/>
  <c r="P25" i="1"/>
  <c r="P13" i="1"/>
  <c r="P38" i="1"/>
  <c r="P24" i="1"/>
  <c r="P10" i="1"/>
  <c r="P32" i="1"/>
  <c r="P7" i="1"/>
  <c r="P31" i="1"/>
  <c r="P5" i="1"/>
  <c r="P29" i="1"/>
  <c r="P8" i="1"/>
  <c r="P45" i="1"/>
  <c r="P19" i="1"/>
  <c r="P44" i="1"/>
  <c r="P14" i="1"/>
  <c r="P11" i="1"/>
  <c r="P43" i="1"/>
  <c r="P6" i="1"/>
  <c r="Q2" i="1"/>
  <c r="P35" i="1"/>
  <c r="P28" i="1"/>
  <c r="P37" i="1"/>
  <c r="P4" i="1"/>
  <c r="P36" i="1"/>
  <c r="P3" i="1"/>
  <c r="P33" i="1"/>
  <c r="P23" i="1"/>
  <c r="P22" i="1"/>
  <c r="P20" i="1"/>
  <c r="P27" i="1"/>
  <c r="P9" i="1"/>
  <c r="J25" i="3"/>
  <c r="F5" i="5"/>
  <c r="H25" i="3"/>
  <c r="J12" i="6"/>
  <c r="J21" i="6"/>
  <c r="I10" i="6"/>
  <c r="I14" i="6" s="1"/>
  <c r="I18" i="6"/>
  <c r="L1" i="6"/>
  <c r="K9" i="6"/>
  <c r="K11" i="6"/>
  <c r="K17" i="6"/>
  <c r="K20" i="6"/>
  <c r="H111" i="4"/>
  <c r="H39" i="4"/>
  <c r="H83" i="4"/>
  <c r="Q39" i="1" l="1"/>
  <c r="Q24" i="1"/>
  <c r="Q11" i="1"/>
  <c r="Q38" i="1"/>
  <c r="Q22" i="1"/>
  <c r="Q23" i="1"/>
  <c r="Q37" i="1"/>
  <c r="Q13" i="1"/>
  <c r="Q4" i="1"/>
  <c r="Q35" i="1"/>
  <c r="Q27" i="1"/>
  <c r="Q33" i="1"/>
  <c r="R2" i="1"/>
  <c r="Q32" i="1"/>
  <c r="Q9" i="1"/>
  <c r="Q36" i="1"/>
  <c r="Q3" i="1"/>
  <c r="Q16" i="1"/>
  <c r="Q19" i="1"/>
  <c r="Q20" i="1"/>
  <c r="Q7" i="1"/>
  <c r="Q8" i="1"/>
  <c r="Q6" i="1"/>
  <c r="Q45" i="1"/>
  <c r="Q14" i="1"/>
  <c r="Q5" i="1"/>
  <c r="Q29" i="1"/>
  <c r="Q25" i="1"/>
  <c r="Q44" i="1"/>
  <c r="Q10" i="1"/>
  <c r="Q31" i="1"/>
  <c r="Q26" i="1"/>
  <c r="Q43" i="1"/>
  <c r="Q42" i="1"/>
  <c r="Q28" i="1"/>
  <c r="C11" i="6"/>
  <c r="F6" i="5"/>
  <c r="F7" i="5" s="1"/>
  <c r="T5" i="5"/>
  <c r="T6" i="5" s="1"/>
  <c r="K12" i="6"/>
  <c r="K21" i="6"/>
  <c r="M1" i="6"/>
  <c r="L11" i="6" s="1"/>
  <c r="L12" i="6" s="1"/>
  <c r="L17" i="6"/>
  <c r="L20" i="6"/>
  <c r="L21" i="6" s="1"/>
  <c r="L9" i="6"/>
  <c r="J18" i="6"/>
  <c r="K18" i="6" s="1"/>
  <c r="J10" i="6"/>
  <c r="J14" i="6" s="1"/>
  <c r="H107" i="4"/>
  <c r="H17" i="5"/>
  <c r="H84" i="4"/>
  <c r="H57" i="4" s="1"/>
  <c r="H56" i="4"/>
  <c r="H50" i="4"/>
  <c r="H113" i="4"/>
  <c r="H119" i="4"/>
  <c r="H112" i="4"/>
  <c r="H115" i="4"/>
  <c r="H114" i="4"/>
  <c r="R38" i="1" l="1"/>
  <c r="R10" i="1"/>
  <c r="R25" i="1"/>
  <c r="R37" i="1"/>
  <c r="R9" i="1"/>
  <c r="S2" i="1"/>
  <c r="R36" i="1"/>
  <c r="R8" i="1"/>
  <c r="R4" i="1"/>
  <c r="R42" i="1"/>
  <c r="R6" i="1"/>
  <c r="R39" i="1"/>
  <c r="R5" i="1"/>
  <c r="R35" i="1"/>
  <c r="R31" i="1"/>
  <c r="R14" i="1"/>
  <c r="R11" i="1"/>
  <c r="R13" i="1"/>
  <c r="R19" i="1"/>
  <c r="R16" i="1"/>
  <c r="R26" i="1"/>
  <c r="R7" i="1"/>
  <c r="R28" i="1"/>
  <c r="R24" i="1"/>
  <c r="R45" i="1"/>
  <c r="R43" i="1"/>
  <c r="R33" i="1"/>
  <c r="R32" i="1"/>
  <c r="R22" i="1"/>
  <c r="R27" i="1"/>
  <c r="R3" i="1"/>
  <c r="R20" i="1"/>
  <c r="R44" i="1"/>
  <c r="R29" i="1"/>
  <c r="R23" i="1"/>
  <c r="L18" i="6"/>
  <c r="N1" i="6"/>
  <c r="M9" i="6" s="1"/>
  <c r="K10" i="6"/>
  <c r="L10" i="6" s="1"/>
  <c r="K5" i="6"/>
  <c r="J5" i="6"/>
  <c r="I5" i="6"/>
  <c r="F5" i="6"/>
  <c r="G5" i="6"/>
  <c r="H5" i="6"/>
  <c r="H18" i="5"/>
  <c r="L5" i="6"/>
  <c r="M20" i="6" l="1"/>
  <c r="M21" i="6" s="1"/>
  <c r="M5" i="6"/>
  <c r="S36" i="1"/>
  <c r="S25" i="1"/>
  <c r="S19" i="1"/>
  <c r="S33" i="1"/>
  <c r="S16" i="1"/>
  <c r="S8" i="1"/>
  <c r="S31" i="1"/>
  <c r="T2" i="1"/>
  <c r="S10" i="1"/>
  <c r="S32" i="1"/>
  <c r="S35" i="1"/>
  <c r="S6" i="1"/>
  <c r="S29" i="1"/>
  <c r="S27" i="1"/>
  <c r="S44" i="1"/>
  <c r="S23" i="1"/>
  <c r="S45" i="1"/>
  <c r="S20" i="1"/>
  <c r="S42" i="1"/>
  <c r="S14" i="1"/>
  <c r="S11" i="1"/>
  <c r="S38" i="1"/>
  <c r="S26" i="1"/>
  <c r="S24" i="1"/>
  <c r="S39" i="1"/>
  <c r="S37" i="1"/>
  <c r="S22" i="1"/>
  <c r="S43" i="1"/>
  <c r="S28" i="1"/>
  <c r="S4" i="1"/>
  <c r="S9" i="1"/>
  <c r="S7" i="1"/>
  <c r="S5" i="1"/>
  <c r="S3" i="1"/>
  <c r="S13" i="1"/>
  <c r="M11" i="6"/>
  <c r="M12" i="6" s="1"/>
  <c r="K14" i="6"/>
  <c r="O1" i="6"/>
  <c r="N20" i="6" s="1"/>
  <c r="N11" i="6"/>
  <c r="N12" i="6" s="1"/>
  <c r="M17" i="6"/>
  <c r="M18" i="6" s="1"/>
  <c r="N3" i="6"/>
  <c r="L3" i="6"/>
  <c r="G3" i="6"/>
  <c r="M10" i="6"/>
  <c r="L14" i="6"/>
  <c r="H3" i="6"/>
  <c r="J3" i="6"/>
  <c r="M3" i="6"/>
  <c r="I3" i="6"/>
  <c r="K3" i="6"/>
  <c r="F3" i="6"/>
  <c r="F6" i="6"/>
  <c r="G6" i="6" s="1"/>
  <c r="H6" i="6" s="1"/>
  <c r="I6" i="6" s="1"/>
  <c r="J6" i="6" s="1"/>
  <c r="K6" i="6" s="1"/>
  <c r="L6" i="6" s="1"/>
  <c r="M6" i="6" s="1"/>
  <c r="T43" i="1" l="1"/>
  <c r="T14" i="1"/>
  <c r="T13" i="1"/>
  <c r="T39" i="1"/>
  <c r="T11" i="1"/>
  <c r="T8" i="1"/>
  <c r="T37" i="1"/>
  <c r="T9" i="1"/>
  <c r="T6" i="1"/>
  <c r="T29" i="1"/>
  <c r="T10" i="1"/>
  <c r="T44" i="1"/>
  <c r="T23" i="1"/>
  <c r="U2" i="1"/>
  <c r="T42" i="1"/>
  <c r="T4" i="1"/>
  <c r="T16" i="1"/>
  <c r="T35" i="1"/>
  <c r="T22" i="1"/>
  <c r="T27" i="1"/>
  <c r="T24" i="1"/>
  <c r="T38" i="1"/>
  <c r="T19" i="1"/>
  <c r="T36" i="1"/>
  <c r="T26" i="1"/>
  <c r="T33" i="1"/>
  <c r="T45" i="1"/>
  <c r="T31" i="1"/>
  <c r="T25" i="1"/>
  <c r="T28" i="1"/>
  <c r="T20" i="1"/>
  <c r="T3" i="1"/>
  <c r="T7" i="1"/>
  <c r="T5" i="1"/>
  <c r="T32" i="1"/>
  <c r="N21" i="6"/>
  <c r="F4" i="6"/>
  <c r="F7" i="6" s="1"/>
  <c r="N9" i="6"/>
  <c r="P1" i="6"/>
  <c r="O17" i="6" s="1"/>
  <c r="O9" i="6"/>
  <c r="O20" i="6"/>
  <c r="O11" i="6"/>
  <c r="O12" i="6" s="1"/>
  <c r="O5" i="6"/>
  <c r="N5" i="6"/>
  <c r="N17" i="6"/>
  <c r="N18" i="6" s="1"/>
  <c r="M14" i="6"/>
  <c r="N10" i="6" l="1"/>
  <c r="O21" i="6"/>
  <c r="U35" i="1"/>
  <c r="U20" i="1"/>
  <c r="U16" i="1"/>
  <c r="U33" i="1"/>
  <c r="U13" i="1"/>
  <c r="U3" i="1"/>
  <c r="U32" i="1"/>
  <c r="U10" i="1"/>
  <c r="V2" i="1"/>
  <c r="U29" i="1"/>
  <c r="U9" i="1"/>
  <c r="U28" i="1"/>
  <c r="U7" i="1"/>
  <c r="U27" i="1"/>
  <c r="U5" i="1"/>
  <c r="U24" i="1"/>
  <c r="U22" i="1"/>
  <c r="U45" i="1"/>
  <c r="U23" i="1"/>
  <c r="U44" i="1"/>
  <c r="U6" i="1"/>
  <c r="U14" i="1"/>
  <c r="U39" i="1"/>
  <c r="U4" i="1"/>
  <c r="U38" i="1"/>
  <c r="U43" i="1"/>
  <c r="U11" i="1"/>
  <c r="U42" i="1"/>
  <c r="U19" i="1"/>
  <c r="U37" i="1"/>
  <c r="U31" i="1"/>
  <c r="U26" i="1"/>
  <c r="U25" i="1"/>
  <c r="U36" i="1"/>
  <c r="U8" i="1"/>
  <c r="G4" i="6"/>
  <c r="H4" i="6" s="1"/>
  <c r="O18" i="6"/>
  <c r="N6" i="6"/>
  <c r="O6" i="6" s="1"/>
  <c r="Q1" i="6"/>
  <c r="P9" i="6" s="1"/>
  <c r="P11" i="6"/>
  <c r="P12" i="6" s="1"/>
  <c r="P20" i="6"/>
  <c r="P21" i="6" s="1"/>
  <c r="P5" i="6"/>
  <c r="P3" i="6"/>
  <c r="O3" i="6"/>
  <c r="N14" i="6"/>
  <c r="O10" i="6"/>
  <c r="V37" i="1" l="1"/>
  <c r="V11" i="1"/>
  <c r="V6" i="1"/>
  <c r="V35" i="1"/>
  <c r="V9" i="1"/>
  <c r="V3" i="1"/>
  <c r="V32" i="1"/>
  <c r="V7" i="1"/>
  <c r="V43" i="1"/>
  <c r="V13" i="1"/>
  <c r="V39" i="1"/>
  <c r="V8" i="1"/>
  <c r="V29" i="1"/>
  <c r="V19" i="1"/>
  <c r="V38" i="1"/>
  <c r="V5" i="1"/>
  <c r="V36" i="1"/>
  <c r="V10" i="1"/>
  <c r="V33" i="1"/>
  <c r="V28" i="1"/>
  <c r="V20" i="1"/>
  <c r="V22" i="1"/>
  <c r="V14" i="1"/>
  <c r="V26" i="1"/>
  <c r="V16" i="1"/>
  <c r="W2" i="1"/>
  <c r="V45" i="1"/>
  <c r="V23" i="1"/>
  <c r="V24" i="1"/>
  <c r="V44" i="1"/>
  <c r="V31" i="1"/>
  <c r="V4" i="1"/>
  <c r="V42" i="1"/>
  <c r="V25" i="1"/>
  <c r="V27" i="1"/>
  <c r="G7" i="6"/>
  <c r="P17" i="6"/>
  <c r="P18" i="6" s="1"/>
  <c r="P6" i="6"/>
  <c r="R1" i="6"/>
  <c r="Q17" i="6" s="1"/>
  <c r="Q11" i="6"/>
  <c r="Q12" i="6" s="1"/>
  <c r="Q20" i="6"/>
  <c r="Q21" i="6" s="1"/>
  <c r="Q5" i="6"/>
  <c r="Q3" i="6"/>
  <c r="O14" i="6"/>
  <c r="P10" i="6"/>
  <c r="I4" i="6"/>
  <c r="H7" i="6"/>
  <c r="W32" i="1" l="1"/>
  <c r="W3" i="1"/>
  <c r="W9" i="1"/>
  <c r="W31" i="1"/>
  <c r="W19" i="1"/>
  <c r="W45" i="1"/>
  <c r="W29" i="1"/>
  <c r="W13" i="1"/>
  <c r="W38" i="1"/>
  <c r="W20" i="1"/>
  <c r="W37" i="1"/>
  <c r="W4" i="1"/>
  <c r="W36" i="1"/>
  <c r="W10" i="1"/>
  <c r="W28" i="1"/>
  <c r="W5" i="1"/>
  <c r="W26" i="1"/>
  <c r="W27" i="1"/>
  <c r="W14" i="1"/>
  <c r="X2" i="1"/>
  <c r="W35" i="1"/>
  <c r="W33" i="1"/>
  <c r="W25" i="1"/>
  <c r="W24" i="1"/>
  <c r="W23" i="1"/>
  <c r="W22" i="1"/>
  <c r="W44" i="1"/>
  <c r="W43" i="1"/>
  <c r="W42" i="1"/>
  <c r="W6" i="1"/>
  <c r="W11" i="1"/>
  <c r="W7" i="1"/>
  <c r="W39" i="1"/>
  <c r="W8" i="1"/>
  <c r="W16" i="1"/>
  <c r="Q18" i="6"/>
  <c r="S1" i="6"/>
  <c r="R17" i="6"/>
  <c r="R20" i="6"/>
  <c r="R21" i="6" s="1"/>
  <c r="R9" i="6"/>
  <c r="R11" i="6"/>
  <c r="R12" i="6" s="1"/>
  <c r="R5" i="6"/>
  <c r="R3" i="6"/>
  <c r="Q9" i="6"/>
  <c r="Q6" i="6"/>
  <c r="P14" i="6"/>
  <c r="J4" i="6"/>
  <c r="I7" i="6"/>
  <c r="Q10" i="6" l="1"/>
  <c r="X31" i="1"/>
  <c r="X13" i="1"/>
  <c r="X45" i="1"/>
  <c r="X29" i="1"/>
  <c r="X10" i="1"/>
  <c r="X44" i="1"/>
  <c r="X28" i="1"/>
  <c r="X8" i="1"/>
  <c r="X42" i="1"/>
  <c r="X23" i="1"/>
  <c r="X9" i="1"/>
  <c r="X39" i="1"/>
  <c r="X22" i="1"/>
  <c r="X5" i="1"/>
  <c r="X38" i="1"/>
  <c r="X20" i="1"/>
  <c r="X24" i="1"/>
  <c r="X16" i="1"/>
  <c r="X19" i="1"/>
  <c r="X37" i="1"/>
  <c r="X4" i="1"/>
  <c r="X36" i="1"/>
  <c r="X14" i="1"/>
  <c r="X32" i="1"/>
  <c r="X27" i="1"/>
  <c r="X35" i="1"/>
  <c r="X3" i="1"/>
  <c r="X33" i="1"/>
  <c r="X43" i="1"/>
  <c r="X26" i="1"/>
  <c r="X6" i="1"/>
  <c r="Y2" i="1"/>
  <c r="X11" i="1"/>
  <c r="X25" i="1"/>
  <c r="X7" i="1"/>
  <c r="R18" i="6"/>
  <c r="T1" i="6"/>
  <c r="S3" i="6" s="1"/>
  <c r="S9" i="6"/>
  <c r="S5" i="6"/>
  <c r="R6" i="6"/>
  <c r="Q14" i="6"/>
  <c r="R10" i="6"/>
  <c r="K4" i="6"/>
  <c r="J7" i="6"/>
  <c r="Y45" i="1" l="1"/>
  <c r="Y29" i="1"/>
  <c r="Y28" i="1"/>
  <c r="Y44" i="1"/>
  <c r="Y27" i="1"/>
  <c r="Y13" i="1"/>
  <c r="Y43" i="1"/>
  <c r="Y25" i="1"/>
  <c r="Y10" i="1"/>
  <c r="Y20" i="1"/>
  <c r="Y24" i="1"/>
  <c r="Y19" i="1"/>
  <c r="Y4" i="1"/>
  <c r="Y42" i="1"/>
  <c r="Y16" i="1"/>
  <c r="Y3" i="1"/>
  <c r="Y37" i="1"/>
  <c r="Y8" i="1"/>
  <c r="Y26" i="1"/>
  <c r="Y36" i="1"/>
  <c r="Y6" i="1"/>
  <c r="Y35" i="1"/>
  <c r="Y7" i="1"/>
  <c r="Y5" i="1"/>
  <c r="Z2" i="1"/>
  <c r="Y39" i="1"/>
  <c r="Y22" i="1"/>
  <c r="Y38" i="1"/>
  <c r="Y33" i="1"/>
  <c r="Y9" i="1"/>
  <c r="Y31" i="1"/>
  <c r="Y23" i="1"/>
  <c r="Y32" i="1"/>
  <c r="Y14" i="1"/>
  <c r="Y11" i="1"/>
  <c r="S6" i="6"/>
  <c r="U1" i="6"/>
  <c r="T5" i="6" s="1"/>
  <c r="T17" i="6"/>
  <c r="T3" i="6"/>
  <c r="S11" i="6"/>
  <c r="S12" i="6" s="1"/>
  <c r="S20" i="6"/>
  <c r="S21" i="6" s="1"/>
  <c r="S17" i="6"/>
  <c r="S18" i="6" s="1"/>
  <c r="R14" i="6"/>
  <c r="S10" i="6"/>
  <c r="L4" i="6"/>
  <c r="K7" i="6"/>
  <c r="Z44" i="1" l="1"/>
  <c r="Z27" i="1"/>
  <c r="Z7" i="1"/>
  <c r="Z43" i="1"/>
  <c r="Z25" i="1"/>
  <c r="Z6" i="1"/>
  <c r="Z42" i="1"/>
  <c r="Z32" i="1"/>
  <c r="Z5" i="1"/>
  <c r="Z29" i="1"/>
  <c r="Z28" i="1"/>
  <c r="Z23" i="1"/>
  <c r="Z26" i="1"/>
  <c r="Z31" i="1"/>
  <c r="Z24" i="1"/>
  <c r="Z22" i="1"/>
  <c r="Z20" i="1"/>
  <c r="Z4" i="1"/>
  <c r="Z19" i="1"/>
  <c r="Z14" i="1"/>
  <c r="Z13" i="1"/>
  <c r="Z45" i="1"/>
  <c r="Z39" i="1"/>
  <c r="Z11" i="1"/>
  <c r="Z10" i="1"/>
  <c r="Z9" i="1"/>
  <c r="Z8" i="1"/>
  <c r="Z38" i="1"/>
  <c r="Z36" i="1"/>
  <c r="Z35" i="1"/>
  <c r="Z33" i="1"/>
  <c r="Z3" i="1"/>
  <c r="Z37" i="1"/>
  <c r="Z16" i="1"/>
  <c r="AA2" i="1"/>
  <c r="T18" i="6"/>
  <c r="V1" i="6"/>
  <c r="U5" i="6" s="1"/>
  <c r="T20" i="6"/>
  <c r="T21" i="6" s="1"/>
  <c r="T9" i="6"/>
  <c r="T11" i="6"/>
  <c r="T12" i="6" s="1"/>
  <c r="T6" i="6"/>
  <c r="S14" i="6"/>
  <c r="M4" i="6"/>
  <c r="L7" i="6"/>
  <c r="T10" i="6" l="1"/>
  <c r="AA39" i="1"/>
  <c r="AA20" i="1"/>
  <c r="AA38" i="1"/>
  <c r="AA37" i="1"/>
  <c r="AA13" i="1"/>
  <c r="AA16" i="1"/>
  <c r="AA29" i="1"/>
  <c r="AA9" i="1"/>
  <c r="AA7" i="1"/>
  <c r="AA44" i="1"/>
  <c r="AA33" i="1"/>
  <c r="AA31" i="1"/>
  <c r="AA24" i="1"/>
  <c r="AA10" i="1"/>
  <c r="AA23" i="1"/>
  <c r="AA8" i="1"/>
  <c r="AA6" i="1"/>
  <c r="AA27" i="1"/>
  <c r="AA5" i="1"/>
  <c r="AA36" i="1"/>
  <c r="AA19" i="1"/>
  <c r="AA26" i="1"/>
  <c r="AB2" i="1"/>
  <c r="AA28" i="1"/>
  <c r="AA42" i="1"/>
  <c r="AA32" i="1"/>
  <c r="AA4" i="1"/>
  <c r="AA22" i="1"/>
  <c r="AA14" i="1"/>
  <c r="AA11" i="1"/>
  <c r="AA45" i="1"/>
  <c r="AA43" i="1"/>
  <c r="AA3" i="1"/>
  <c r="AA25" i="1"/>
  <c r="AA35" i="1"/>
  <c r="U3" i="6"/>
  <c r="U11" i="6"/>
  <c r="U12" i="6"/>
  <c r="W1" i="6"/>
  <c r="V20" i="6" s="1"/>
  <c r="V9" i="6"/>
  <c r="V17" i="6"/>
  <c r="V11" i="6"/>
  <c r="V12" i="6" s="1"/>
  <c r="V5" i="6"/>
  <c r="V3" i="6"/>
  <c r="U20" i="6"/>
  <c r="U21" i="6" s="1"/>
  <c r="U17" i="6"/>
  <c r="U18" i="6" s="1"/>
  <c r="U9" i="6"/>
  <c r="U6" i="6"/>
  <c r="T14" i="6"/>
  <c r="N4" i="6"/>
  <c r="M7" i="6"/>
  <c r="U10" i="6" l="1"/>
  <c r="AB37" i="1"/>
  <c r="AB24" i="1"/>
  <c r="AB13" i="1"/>
  <c r="AB35" i="1"/>
  <c r="AB22" i="1"/>
  <c r="AB6" i="1"/>
  <c r="AB28" i="1"/>
  <c r="AB23" i="1"/>
  <c r="AB45" i="1"/>
  <c r="AB26" i="1"/>
  <c r="AB10" i="1"/>
  <c r="AB43" i="1"/>
  <c r="AB25" i="1"/>
  <c r="AB20" i="1"/>
  <c r="AB16" i="1"/>
  <c r="AB11" i="1"/>
  <c r="AB39" i="1"/>
  <c r="AB14" i="1"/>
  <c r="AB32" i="1"/>
  <c r="AB7" i="1"/>
  <c r="AB5" i="1"/>
  <c r="AB42" i="1"/>
  <c r="AB8" i="1"/>
  <c r="AB29" i="1"/>
  <c r="AB27" i="1"/>
  <c r="AB44" i="1"/>
  <c r="AC2" i="1"/>
  <c r="AB19" i="1"/>
  <c r="AB38" i="1"/>
  <c r="AB9" i="1"/>
  <c r="AB36" i="1"/>
  <c r="AB3" i="1"/>
  <c r="AB33" i="1"/>
  <c r="AB31" i="1"/>
  <c r="AB4" i="1"/>
  <c r="V18" i="6"/>
  <c r="V6" i="6"/>
  <c r="V21" i="6"/>
  <c r="X1" i="6"/>
  <c r="W9" i="6" s="1"/>
  <c r="W17" i="6"/>
  <c r="W11" i="6"/>
  <c r="W12" i="6" s="1"/>
  <c r="W20" i="6"/>
  <c r="W5" i="6"/>
  <c r="W3" i="6"/>
  <c r="U14" i="6"/>
  <c r="V10" i="6"/>
  <c r="N7" i="6"/>
  <c r="O4" i="6"/>
  <c r="W21" i="6" l="1"/>
  <c r="W18" i="6"/>
  <c r="AC39" i="1"/>
  <c r="AC25" i="1"/>
  <c r="AC13" i="1"/>
  <c r="AC38" i="1"/>
  <c r="AC24" i="1"/>
  <c r="AC6" i="1"/>
  <c r="AC35" i="1"/>
  <c r="AC16" i="1"/>
  <c r="AC33" i="1"/>
  <c r="AC5" i="1"/>
  <c r="AC32" i="1"/>
  <c r="AC14" i="1"/>
  <c r="AC43" i="1"/>
  <c r="AC19" i="1"/>
  <c r="AC9" i="1"/>
  <c r="AC42" i="1"/>
  <c r="AC11" i="1"/>
  <c r="AC37" i="1"/>
  <c r="AC27" i="1"/>
  <c r="AC26" i="1"/>
  <c r="AC20" i="1"/>
  <c r="AC23" i="1"/>
  <c r="AC22" i="1"/>
  <c r="AC7" i="1"/>
  <c r="AC45" i="1"/>
  <c r="AC36" i="1"/>
  <c r="AC31" i="1"/>
  <c r="AC29" i="1"/>
  <c r="AC3" i="1"/>
  <c r="AC10" i="1"/>
  <c r="AC8" i="1"/>
  <c r="AC44" i="1"/>
  <c r="AC28" i="1"/>
  <c r="AD2" i="1"/>
  <c r="AC4" i="1"/>
  <c r="Y1" i="6"/>
  <c r="X5" i="6" s="1"/>
  <c r="X11" i="6"/>
  <c r="X12" i="6" s="1"/>
  <c r="X9" i="6"/>
  <c r="X17" i="6"/>
  <c r="X18" i="6" s="1"/>
  <c r="X3" i="6"/>
  <c r="W6" i="6"/>
  <c r="V14" i="6"/>
  <c r="W10" i="6"/>
  <c r="P4" i="6"/>
  <c r="O7" i="6"/>
  <c r="AD32" i="1" l="1"/>
  <c r="AD23" i="1"/>
  <c r="AD19" i="1"/>
  <c r="AD29" i="1"/>
  <c r="AD13" i="1"/>
  <c r="AD27" i="1"/>
  <c r="AD43" i="1"/>
  <c r="AD24" i="1"/>
  <c r="AD25" i="1"/>
  <c r="AD39" i="1"/>
  <c r="AD22" i="1"/>
  <c r="AD20" i="1"/>
  <c r="AD37" i="1"/>
  <c r="AD10" i="1"/>
  <c r="AD3" i="1"/>
  <c r="AD42" i="1"/>
  <c r="AD11" i="1"/>
  <c r="AD7" i="1"/>
  <c r="AD38" i="1"/>
  <c r="AD9" i="1"/>
  <c r="AD36" i="1"/>
  <c r="AD35" i="1"/>
  <c r="AD4" i="1"/>
  <c r="AD44" i="1"/>
  <c r="AD26" i="1"/>
  <c r="AD33" i="1"/>
  <c r="AD31" i="1"/>
  <c r="AD28" i="1"/>
  <c r="AD45" i="1"/>
  <c r="AD8" i="1"/>
  <c r="AE2" i="1"/>
  <c r="AD16" i="1"/>
  <c r="AD14" i="1"/>
  <c r="AD5" i="1"/>
  <c r="AD6" i="1"/>
  <c r="X6" i="6"/>
  <c r="Z1" i="6"/>
  <c r="Y11" i="6" s="1"/>
  <c r="Y12" i="6" s="1"/>
  <c r="X20" i="6"/>
  <c r="X21" i="6" s="1"/>
  <c r="W14" i="6"/>
  <c r="X10" i="6"/>
  <c r="Q4" i="6"/>
  <c r="P7" i="6"/>
  <c r="Y17" i="6" l="1"/>
  <c r="Y18" i="6" s="1"/>
  <c r="AE37" i="1"/>
  <c r="AE23" i="1"/>
  <c r="AE13" i="1"/>
  <c r="AE36" i="1"/>
  <c r="AE22" i="1"/>
  <c r="AE6" i="1"/>
  <c r="AE32" i="1"/>
  <c r="AE11" i="1"/>
  <c r="AE31" i="1"/>
  <c r="AE9" i="1"/>
  <c r="AE29" i="1"/>
  <c r="AE7" i="1"/>
  <c r="AE33" i="1"/>
  <c r="AE19" i="1"/>
  <c r="AF2" i="1"/>
  <c r="AE28" i="1"/>
  <c r="AE16" i="1"/>
  <c r="AE27" i="1"/>
  <c r="AE4" i="1"/>
  <c r="AE45" i="1"/>
  <c r="AE3" i="1"/>
  <c r="AE42" i="1"/>
  <c r="AE8" i="1"/>
  <c r="AE44" i="1"/>
  <c r="AE14" i="1"/>
  <c r="AE43" i="1"/>
  <c r="AE5" i="1"/>
  <c r="AE10" i="1"/>
  <c r="AE39" i="1"/>
  <c r="AE20" i="1"/>
  <c r="AE38" i="1"/>
  <c r="AE24" i="1"/>
  <c r="AE35" i="1"/>
  <c r="AE26" i="1"/>
  <c r="AE25" i="1"/>
  <c r="Y3" i="6"/>
  <c r="Y5" i="6"/>
  <c r="AA1" i="6"/>
  <c r="Z20" i="6"/>
  <c r="Z9" i="6"/>
  <c r="Z5" i="6"/>
  <c r="Z3" i="6"/>
  <c r="Y20" i="6"/>
  <c r="Y21" i="6" s="1"/>
  <c r="Y9" i="6"/>
  <c r="Y6" i="6"/>
  <c r="X14" i="6"/>
  <c r="R4" i="6"/>
  <c r="Q7" i="6"/>
  <c r="Y10" i="6" l="1"/>
  <c r="AF36" i="1"/>
  <c r="AF22" i="1"/>
  <c r="AF7" i="1"/>
  <c r="AF35" i="1"/>
  <c r="AF20" i="1"/>
  <c r="AF9" i="1"/>
  <c r="AF42" i="1"/>
  <c r="AF24" i="1"/>
  <c r="AF4" i="1"/>
  <c r="AF39" i="1"/>
  <c r="AF23" i="1"/>
  <c r="AF11" i="1"/>
  <c r="AF38" i="1"/>
  <c r="AF19" i="1"/>
  <c r="AF28" i="1"/>
  <c r="AF5" i="1"/>
  <c r="AF27" i="1"/>
  <c r="AF26" i="1"/>
  <c r="AF31" i="1"/>
  <c r="AF29" i="1"/>
  <c r="AF25" i="1"/>
  <c r="AF16" i="1"/>
  <c r="AF10" i="1"/>
  <c r="AF13" i="1"/>
  <c r="AF43" i="1"/>
  <c r="AF37" i="1"/>
  <c r="AF33" i="1"/>
  <c r="AG2" i="1"/>
  <c r="AF14" i="1"/>
  <c r="AF45" i="1"/>
  <c r="AF44" i="1"/>
  <c r="AF32" i="1"/>
  <c r="AF8" i="1"/>
  <c r="AF6" i="1"/>
  <c r="AF3" i="1"/>
  <c r="Z6" i="6"/>
  <c r="Z21" i="6"/>
  <c r="AB1" i="6"/>
  <c r="AA9" i="6" s="1"/>
  <c r="AA17" i="6"/>
  <c r="AA20" i="6"/>
  <c r="AA21" i="6" s="1"/>
  <c r="AA11" i="6"/>
  <c r="AA5" i="6"/>
  <c r="AA3" i="6"/>
  <c r="Z17" i="6"/>
  <c r="Z18" i="6" s="1"/>
  <c r="Z11" i="6"/>
  <c r="Y14" i="6"/>
  <c r="Z10" i="6"/>
  <c r="S4" i="6"/>
  <c r="R7" i="6"/>
  <c r="AG35" i="1" l="1"/>
  <c r="AG6" i="1"/>
  <c r="AG9" i="1"/>
  <c r="AG33" i="1"/>
  <c r="AH2" i="1"/>
  <c r="AG11" i="1"/>
  <c r="AG31" i="1"/>
  <c r="AG25" i="1"/>
  <c r="AG28" i="1"/>
  <c r="AG4" i="1"/>
  <c r="AG45" i="1"/>
  <c r="AG26" i="1"/>
  <c r="AG3" i="1"/>
  <c r="AG19" i="1"/>
  <c r="AG44" i="1"/>
  <c r="AG16" i="1"/>
  <c r="AG42" i="1"/>
  <c r="AG10" i="1"/>
  <c r="AG39" i="1"/>
  <c r="AG8" i="1"/>
  <c r="AG36" i="1"/>
  <c r="AG32" i="1"/>
  <c r="AG38" i="1"/>
  <c r="AG23" i="1"/>
  <c r="AG37" i="1"/>
  <c r="AG14" i="1"/>
  <c r="AG5" i="1"/>
  <c r="AG7" i="1"/>
  <c r="AG43" i="1"/>
  <c r="AG29" i="1"/>
  <c r="AG22" i="1"/>
  <c r="AG20" i="1"/>
  <c r="AG27" i="1"/>
  <c r="AG24" i="1"/>
  <c r="AG13" i="1"/>
  <c r="AA18" i="6"/>
  <c r="Z12" i="6"/>
  <c r="AA12" i="6" s="1"/>
  <c r="AC1" i="6"/>
  <c r="AB5" i="6" s="1"/>
  <c r="AB9" i="6"/>
  <c r="AB11" i="6"/>
  <c r="AB17" i="6"/>
  <c r="AB18" i="6" s="1"/>
  <c r="AA6" i="6"/>
  <c r="AA10" i="6"/>
  <c r="S7" i="6"/>
  <c r="T4" i="6"/>
  <c r="AH33" i="1" l="1"/>
  <c r="AH6" i="1"/>
  <c r="AH25" i="1"/>
  <c r="AH32" i="1"/>
  <c r="AH5" i="1"/>
  <c r="AH23" i="1"/>
  <c r="AH38" i="1"/>
  <c r="AH8" i="1"/>
  <c r="AH37" i="1"/>
  <c r="AH7" i="1"/>
  <c r="AH36" i="1"/>
  <c r="AH28" i="1"/>
  <c r="AH44" i="1"/>
  <c r="AH9" i="1"/>
  <c r="AH43" i="1"/>
  <c r="AH29" i="1"/>
  <c r="AH16" i="1"/>
  <c r="AH3" i="1"/>
  <c r="AH14" i="1"/>
  <c r="AH26" i="1"/>
  <c r="AH13" i="1"/>
  <c r="AH11" i="1"/>
  <c r="AH10" i="1"/>
  <c r="AH19" i="1"/>
  <c r="AH24" i="1"/>
  <c r="AH27" i="1"/>
  <c r="AH22" i="1"/>
  <c r="AI2" i="1"/>
  <c r="AH45" i="1"/>
  <c r="AH42" i="1"/>
  <c r="AH20" i="1"/>
  <c r="AH4" i="1"/>
  <c r="AH35" i="1"/>
  <c r="AH31" i="1"/>
  <c r="AH39" i="1"/>
  <c r="AB3" i="6"/>
  <c r="Z14" i="6"/>
  <c r="AB6" i="6"/>
  <c r="AD1" i="6"/>
  <c r="AC9" i="6" s="1"/>
  <c r="AC3" i="6"/>
  <c r="AB20" i="6"/>
  <c r="AB21" i="6" s="1"/>
  <c r="AB12" i="6"/>
  <c r="AA14" i="6"/>
  <c r="AB10" i="6"/>
  <c r="U4" i="6"/>
  <c r="T7" i="6"/>
  <c r="AI36" i="1" l="1"/>
  <c r="AI5" i="1"/>
  <c r="AI16" i="1"/>
  <c r="AI33" i="1"/>
  <c r="AI26" i="1"/>
  <c r="AI45" i="1"/>
  <c r="AI25" i="1"/>
  <c r="AI10" i="1"/>
  <c r="AI44" i="1"/>
  <c r="AI23" i="1"/>
  <c r="AI8" i="1"/>
  <c r="AI43" i="1"/>
  <c r="AI20" i="1"/>
  <c r="AI6" i="1"/>
  <c r="AI35" i="1"/>
  <c r="AI24" i="1"/>
  <c r="AI32" i="1"/>
  <c r="AI22" i="1"/>
  <c r="AI7" i="1"/>
  <c r="AI39" i="1"/>
  <c r="AJ2" i="1"/>
  <c r="AI42" i="1"/>
  <c r="AI19" i="1"/>
  <c r="AI37" i="1"/>
  <c r="AI13" i="1"/>
  <c r="AI31" i="1"/>
  <c r="AI4" i="1"/>
  <c r="AI3" i="1"/>
  <c r="AI38" i="1"/>
  <c r="AI9" i="1"/>
  <c r="AI11" i="1"/>
  <c r="AI29" i="1"/>
  <c r="AI27" i="1"/>
  <c r="AI28" i="1"/>
  <c r="AI14" i="1"/>
  <c r="AC20" i="6"/>
  <c r="AC21" i="6" s="1"/>
  <c r="AC5" i="6"/>
  <c r="AC6" i="6" s="1"/>
  <c r="AC17" i="6"/>
  <c r="AC18" i="6" s="1"/>
  <c r="AE1" i="6"/>
  <c r="AD20" i="6" s="1"/>
  <c r="AD5" i="6"/>
  <c r="AD3" i="6"/>
  <c r="AC11" i="6"/>
  <c r="AC10" i="6"/>
  <c r="AB14" i="6"/>
  <c r="V4" i="6"/>
  <c r="U7" i="6"/>
  <c r="AJ20" i="1" l="1"/>
  <c r="AJ19" i="1"/>
  <c r="AJ44" i="1"/>
  <c r="AJ6" i="1"/>
  <c r="AK2" i="1"/>
  <c r="AJ29" i="1"/>
  <c r="AJ4" i="1"/>
  <c r="AJ7" i="1"/>
  <c r="AJ27" i="1"/>
  <c r="AJ3" i="1"/>
  <c r="AJ22" i="1"/>
  <c r="AJ33" i="1"/>
  <c r="AJ32" i="1"/>
  <c r="AJ25" i="1"/>
  <c r="AJ28" i="1"/>
  <c r="AJ26" i="1"/>
  <c r="AJ24" i="1"/>
  <c r="AJ16" i="1"/>
  <c r="AJ5" i="1"/>
  <c r="AJ13" i="1"/>
  <c r="AJ43" i="1"/>
  <c r="AJ35" i="1"/>
  <c r="AJ10" i="1"/>
  <c r="AJ9" i="1"/>
  <c r="AJ38" i="1"/>
  <c r="AJ36" i="1"/>
  <c r="AJ8" i="1"/>
  <c r="AJ39" i="1"/>
  <c r="AJ11" i="1"/>
  <c r="AJ14" i="1"/>
  <c r="AJ45" i="1"/>
  <c r="AJ31" i="1"/>
  <c r="AJ42" i="1"/>
  <c r="AJ23" i="1"/>
  <c r="AJ37" i="1"/>
  <c r="AD21" i="6"/>
  <c r="AD9" i="6"/>
  <c r="AD6" i="6"/>
  <c r="AF1" i="6"/>
  <c r="AE5" i="6" s="1"/>
  <c r="AD11" i="6"/>
  <c r="AD17" i="6"/>
  <c r="AD18" i="6" s="1"/>
  <c r="AC12" i="6"/>
  <c r="AC14" i="6" s="1"/>
  <c r="W4" i="6"/>
  <c r="V7" i="6"/>
  <c r="AD10" i="6" l="1"/>
  <c r="AE3" i="6"/>
  <c r="AK45" i="1"/>
  <c r="AK32" i="1"/>
  <c r="AK16" i="1"/>
  <c r="AK10" i="1"/>
  <c r="AK31" i="1"/>
  <c r="AK14" i="1"/>
  <c r="AK29" i="1"/>
  <c r="AK11" i="1"/>
  <c r="AK37" i="1"/>
  <c r="AK19" i="1"/>
  <c r="AK36" i="1"/>
  <c r="AK9" i="1"/>
  <c r="AK25" i="1"/>
  <c r="AK8" i="1"/>
  <c r="AK24" i="1"/>
  <c r="AK20" i="1"/>
  <c r="AK39" i="1"/>
  <c r="AK44" i="1"/>
  <c r="AK23" i="1"/>
  <c r="AK43" i="1"/>
  <c r="AK22" i="1"/>
  <c r="AK42" i="1"/>
  <c r="AK7" i="1"/>
  <c r="AK6" i="1"/>
  <c r="AK38" i="1"/>
  <c r="AK33" i="1"/>
  <c r="AK28" i="1"/>
  <c r="AK27" i="1"/>
  <c r="AK13" i="1"/>
  <c r="AK35" i="1"/>
  <c r="AK26" i="1"/>
  <c r="AK5" i="1"/>
  <c r="AK3" i="1"/>
  <c r="AL2" i="1"/>
  <c r="AK4" i="1"/>
  <c r="AG1" i="6"/>
  <c r="AF11" i="6" s="1"/>
  <c r="AF5" i="6"/>
  <c r="AE11" i="6"/>
  <c r="AE20" i="6"/>
  <c r="AE21" i="6" s="1"/>
  <c r="AE17" i="6"/>
  <c r="AE18" i="6" s="1"/>
  <c r="AE9" i="6"/>
  <c r="AD12" i="6"/>
  <c r="AD14" i="6" s="1"/>
  <c r="AE6" i="6"/>
  <c r="W7" i="6"/>
  <c r="X4" i="6"/>
  <c r="AE10" i="6" l="1"/>
  <c r="AL20" i="1"/>
  <c r="AL7" i="1"/>
  <c r="AL45" i="1"/>
  <c r="AL43" i="1"/>
  <c r="AL5" i="1"/>
  <c r="AL44" i="1"/>
  <c r="AL39" i="1"/>
  <c r="AL28" i="1"/>
  <c r="AL38" i="1"/>
  <c r="AL19" i="1"/>
  <c r="AL6" i="1"/>
  <c r="AL36" i="1"/>
  <c r="AL14" i="1"/>
  <c r="AM2" i="1"/>
  <c r="AL31" i="1"/>
  <c r="AL11" i="1"/>
  <c r="AL26" i="1"/>
  <c r="AL27" i="1"/>
  <c r="AL42" i="1"/>
  <c r="AL9" i="1"/>
  <c r="AL33" i="1"/>
  <c r="AL16" i="1"/>
  <c r="AL29" i="1"/>
  <c r="AL8" i="1"/>
  <c r="AL37" i="1"/>
  <c r="AL35" i="1"/>
  <c r="AL32" i="1"/>
  <c r="AL10" i="1"/>
  <c r="AL3" i="1"/>
  <c r="AL4" i="1"/>
  <c r="AL22" i="1"/>
  <c r="AL25" i="1"/>
  <c r="AL23" i="1"/>
  <c r="AL24" i="1"/>
  <c r="AL13" i="1"/>
  <c r="AF3" i="6"/>
  <c r="AF6" i="6"/>
  <c r="AH1" i="6"/>
  <c r="AG9" i="6" s="1"/>
  <c r="AG20" i="6"/>
  <c r="AG17" i="6"/>
  <c r="AG11" i="6"/>
  <c r="AG5" i="6"/>
  <c r="AF20" i="6"/>
  <c r="AF21" i="6" s="1"/>
  <c r="AE12" i="6"/>
  <c r="AF12" i="6" s="1"/>
  <c r="AF17" i="6"/>
  <c r="AF18" i="6" s="1"/>
  <c r="AF9" i="6"/>
  <c r="Y4" i="6"/>
  <c r="X7" i="6"/>
  <c r="AF10" i="6" l="1"/>
  <c r="AM45" i="1"/>
  <c r="AM29" i="1"/>
  <c r="AM6" i="1"/>
  <c r="AM44" i="1"/>
  <c r="AM28" i="1"/>
  <c r="AM4" i="1"/>
  <c r="AM43" i="1"/>
  <c r="AM27" i="1"/>
  <c r="AM3" i="1"/>
  <c r="AM24" i="1"/>
  <c r="AM16" i="1"/>
  <c r="AM42" i="1"/>
  <c r="AM23" i="1"/>
  <c r="AN2" i="1"/>
  <c r="AM38" i="1"/>
  <c r="AM10" i="1"/>
  <c r="AM37" i="1"/>
  <c r="AM8" i="1"/>
  <c r="AM9" i="1"/>
  <c r="AM32" i="1"/>
  <c r="AM36" i="1"/>
  <c r="AM14" i="1"/>
  <c r="AM35" i="1"/>
  <c r="AM11" i="1"/>
  <c r="AM33" i="1"/>
  <c r="AM7" i="1"/>
  <c r="AM39" i="1"/>
  <c r="AM31" i="1"/>
  <c r="AM25" i="1"/>
  <c r="AM22" i="1"/>
  <c r="AM20" i="1"/>
  <c r="AM26" i="1"/>
  <c r="AM13" i="1"/>
  <c r="AM5" i="1"/>
  <c r="AM19" i="1"/>
  <c r="AG3" i="6"/>
  <c r="AG18" i="6"/>
  <c r="AG12" i="6"/>
  <c r="AG21" i="6"/>
  <c r="AE14" i="6"/>
  <c r="AI1" i="6"/>
  <c r="AH9" i="6"/>
  <c r="AH11" i="6"/>
  <c r="AH17" i="6"/>
  <c r="AH5" i="6"/>
  <c r="AH3" i="6"/>
  <c r="AG6" i="6"/>
  <c r="AG10" i="6"/>
  <c r="AF14" i="6"/>
  <c r="Y7" i="6"/>
  <c r="Z4" i="6"/>
  <c r="AH18" i="6" l="1"/>
  <c r="AN44" i="1"/>
  <c r="AN28" i="1"/>
  <c r="AN9" i="1"/>
  <c r="AN43" i="1"/>
  <c r="AN27" i="1"/>
  <c r="AN7" i="1"/>
  <c r="AN31" i="1"/>
  <c r="AN5" i="1"/>
  <c r="AN29" i="1"/>
  <c r="AN13" i="1"/>
  <c r="AN37" i="1"/>
  <c r="AN16" i="1"/>
  <c r="AN36" i="1"/>
  <c r="AN14" i="1"/>
  <c r="AO2" i="1"/>
  <c r="AN26" i="1"/>
  <c r="AN35" i="1"/>
  <c r="AN11" i="1"/>
  <c r="AN33" i="1"/>
  <c r="AN8" i="1"/>
  <c r="AN32" i="1"/>
  <c r="AN10" i="1"/>
  <c r="AN38" i="1"/>
  <c r="AN22" i="1"/>
  <c r="AN20" i="1"/>
  <c r="AN19" i="1"/>
  <c r="AN4" i="1"/>
  <c r="AN3" i="1"/>
  <c r="AN6" i="1"/>
  <c r="AN25" i="1"/>
  <c r="AN24" i="1"/>
  <c r="AN23" i="1"/>
  <c r="AN45" i="1"/>
  <c r="AN42" i="1"/>
  <c r="AN39" i="1"/>
  <c r="AJ1" i="6"/>
  <c r="AI17" i="6" s="1"/>
  <c r="AI18" i="6" s="1"/>
  <c r="AI11" i="6"/>
  <c r="AH20" i="6"/>
  <c r="AH21" i="6" s="1"/>
  <c r="AH12" i="6"/>
  <c r="AH6" i="6"/>
  <c r="AG14" i="6"/>
  <c r="AH10" i="6"/>
  <c r="AA4" i="6"/>
  <c r="Z7" i="6"/>
  <c r="AO43" i="1" l="1"/>
  <c r="AO27" i="1"/>
  <c r="AO4" i="1"/>
  <c r="AO42" i="1"/>
  <c r="AO25" i="1"/>
  <c r="AO3" i="1"/>
  <c r="AO37" i="1"/>
  <c r="AO26" i="1"/>
  <c r="AO14" i="1"/>
  <c r="AO36" i="1"/>
  <c r="AO20" i="1"/>
  <c r="AO38" i="1"/>
  <c r="AO10" i="1"/>
  <c r="AO35" i="1"/>
  <c r="AO8" i="1"/>
  <c r="AO5" i="1"/>
  <c r="AO16" i="1"/>
  <c r="AO33" i="1"/>
  <c r="AO6" i="1"/>
  <c r="AO32" i="1"/>
  <c r="AO24" i="1"/>
  <c r="AO29" i="1"/>
  <c r="AO9" i="1"/>
  <c r="AO39" i="1"/>
  <c r="AO22" i="1"/>
  <c r="AO31" i="1"/>
  <c r="AO28" i="1"/>
  <c r="AO23" i="1"/>
  <c r="AO45" i="1"/>
  <c r="AO44" i="1"/>
  <c r="AP2" i="1"/>
  <c r="AO13" i="1"/>
  <c r="AO7" i="1"/>
  <c r="AO19" i="1"/>
  <c r="AO11" i="1"/>
  <c r="AI3" i="6"/>
  <c r="AI5" i="6"/>
  <c r="AI6" i="6" s="1"/>
  <c r="AI9" i="6"/>
  <c r="AI20" i="6"/>
  <c r="AI12" i="6"/>
  <c r="AI21" i="6"/>
  <c r="AK1" i="6"/>
  <c r="AJ9" i="6"/>
  <c r="AJ5" i="6"/>
  <c r="AJ3" i="6"/>
  <c r="AH14" i="6"/>
  <c r="AA7" i="6"/>
  <c r="AB4" i="6"/>
  <c r="AI10" i="6" l="1"/>
  <c r="AP42" i="1"/>
  <c r="AP11" i="1"/>
  <c r="AP22" i="1"/>
  <c r="AP39" i="1"/>
  <c r="AP10" i="1"/>
  <c r="AP19" i="1"/>
  <c r="AP14" i="1"/>
  <c r="AP27" i="1"/>
  <c r="AP45" i="1"/>
  <c r="AP13" i="1"/>
  <c r="AP25" i="1"/>
  <c r="AP37" i="1"/>
  <c r="AP4" i="1"/>
  <c r="AP36" i="1"/>
  <c r="AP31" i="1"/>
  <c r="AP24" i="1"/>
  <c r="AP29" i="1"/>
  <c r="AP35" i="1"/>
  <c r="AP28" i="1"/>
  <c r="AP33" i="1"/>
  <c r="AP26" i="1"/>
  <c r="AP32" i="1"/>
  <c r="AP23" i="1"/>
  <c r="AP38" i="1"/>
  <c r="AP8" i="1"/>
  <c r="AP7" i="1"/>
  <c r="AP6" i="1"/>
  <c r="AQ2" i="1"/>
  <c r="AP20" i="1"/>
  <c r="AP43" i="1"/>
  <c r="AP16" i="1"/>
  <c r="AP9" i="1"/>
  <c r="AP5" i="1"/>
  <c r="AP3" i="1"/>
  <c r="AP44" i="1"/>
  <c r="AJ6" i="6"/>
  <c r="AL1" i="6"/>
  <c r="AK5" i="6" s="1"/>
  <c r="AK17" i="6"/>
  <c r="AK3" i="6"/>
  <c r="AJ17" i="6"/>
  <c r="AJ18" i="6" s="1"/>
  <c r="AJ11" i="6"/>
  <c r="AJ20" i="6"/>
  <c r="AJ21" i="6" s="1"/>
  <c r="AI14" i="6"/>
  <c r="AJ10" i="6"/>
  <c r="AC4" i="6"/>
  <c r="AB7" i="6"/>
  <c r="AQ36" i="1" l="1"/>
  <c r="AQ22" i="1"/>
  <c r="AQ13" i="1"/>
  <c r="AQ33" i="1"/>
  <c r="AQ19" i="1"/>
  <c r="AQ10" i="1"/>
  <c r="AQ39" i="1"/>
  <c r="AQ37" i="1"/>
  <c r="AQ20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" i="1"/>
  <c r="AQ29" i="1"/>
  <c r="AQ8" i="1"/>
  <c r="AQ31" i="1"/>
  <c r="AQ7" i="1"/>
  <c r="AQ43" i="1"/>
  <c r="AQ6" i="1"/>
  <c r="AQ35" i="1"/>
  <c r="AQ4" i="1"/>
  <c r="AQ32" i="1"/>
  <c r="AQ9" i="1"/>
  <c r="AQ42" i="1"/>
  <c r="AQ16" i="1"/>
  <c r="AQ28" i="1"/>
  <c r="AQ5" i="1"/>
  <c r="AQ27" i="1"/>
  <c r="AQ25" i="1"/>
  <c r="AQ23" i="1"/>
  <c r="AQ45" i="1"/>
  <c r="AQ11" i="1"/>
  <c r="AQ26" i="1"/>
  <c r="AQ14" i="1"/>
  <c r="AQ24" i="1"/>
  <c r="AQ44" i="1"/>
  <c r="AK6" i="6"/>
  <c r="AK18" i="6"/>
  <c r="AJ12" i="6"/>
  <c r="AJ14" i="6" s="1"/>
  <c r="AM1" i="6"/>
  <c r="AL17" i="6" s="1"/>
  <c r="AL18" i="6" s="1"/>
  <c r="AL5" i="6"/>
  <c r="AL3" i="6"/>
  <c r="AK11" i="6"/>
  <c r="AK20" i="6"/>
  <c r="AK21" i="6" s="1"/>
  <c r="AK9" i="6"/>
  <c r="AC7" i="6"/>
  <c r="AD4" i="6"/>
  <c r="AK10" i="6" l="1"/>
  <c r="AL6" i="6"/>
  <c r="AN1" i="6"/>
  <c r="AM9" i="6" s="1"/>
  <c r="AM20" i="6"/>
  <c r="AL11" i="6"/>
  <c r="AL20" i="6"/>
  <c r="AL21" i="6" s="1"/>
  <c r="AL9" i="6"/>
  <c r="AK12" i="6"/>
  <c r="AE4" i="6"/>
  <c r="AD7" i="6"/>
  <c r="AL10" i="6" l="1"/>
  <c r="AM3" i="6"/>
  <c r="AM5" i="6"/>
  <c r="AM6" i="6" s="1"/>
  <c r="AM11" i="6"/>
  <c r="AM17" i="6"/>
  <c r="AM18" i="6" s="1"/>
  <c r="AK14" i="6"/>
  <c r="AM21" i="6"/>
  <c r="AO1" i="6"/>
  <c r="AN17" i="6" s="1"/>
  <c r="AN9" i="6"/>
  <c r="AN20" i="6"/>
  <c r="AN5" i="6"/>
  <c r="AN3" i="6"/>
  <c r="AL12" i="6"/>
  <c r="AM10" i="6"/>
  <c r="AE7" i="6"/>
  <c r="AF4" i="6"/>
  <c r="AM12" i="6" l="1"/>
  <c r="AN6" i="6"/>
  <c r="AN21" i="6"/>
  <c r="AN18" i="6"/>
  <c r="AL14" i="6"/>
  <c r="AP1" i="6"/>
  <c r="AO9" i="6"/>
  <c r="AO5" i="6"/>
  <c r="AO6" i="6" s="1"/>
  <c r="AO3" i="6"/>
  <c r="AN11" i="6"/>
  <c r="AM14" i="6"/>
  <c r="AN10" i="6"/>
  <c r="AG4" i="6"/>
  <c r="AF7" i="6"/>
  <c r="AQ1" i="6" l="1"/>
  <c r="AP5" i="6"/>
  <c r="AP6" i="6" s="1"/>
  <c r="AP3" i="6"/>
  <c r="AO20" i="6"/>
  <c r="AO21" i="6" s="1"/>
  <c r="AO11" i="6"/>
  <c r="AO17" i="6"/>
  <c r="AO18" i="6" s="1"/>
  <c r="AN12" i="6"/>
  <c r="AO10" i="6"/>
  <c r="AH4" i="6"/>
  <c r="AG7" i="6"/>
  <c r="AO12" i="6" l="1"/>
  <c r="AO14" i="6" s="1"/>
  <c r="AR1" i="6"/>
  <c r="AQ9" i="6" s="1"/>
  <c r="AQ17" i="6"/>
  <c r="AP9" i="6"/>
  <c r="AP11" i="6"/>
  <c r="AP20" i="6"/>
  <c r="AP21" i="6" s="1"/>
  <c r="AN14" i="6"/>
  <c r="AP17" i="6"/>
  <c r="AP18" i="6" s="1"/>
  <c r="AI4" i="6"/>
  <c r="AH7" i="6"/>
  <c r="AP10" i="6" l="1"/>
  <c r="AQ3" i="6"/>
  <c r="AQ5" i="6"/>
  <c r="AQ6" i="6" s="1"/>
  <c r="AQ18" i="6"/>
  <c r="AQ11" i="6"/>
  <c r="AQ20" i="6"/>
  <c r="AQ21" i="6" s="1"/>
  <c r="AS1" i="6"/>
  <c r="AR20" i="6" s="1"/>
  <c r="AR21" i="6" s="1"/>
  <c r="AR17" i="6"/>
  <c r="AR18" i="6" s="1"/>
  <c r="AR11" i="6"/>
  <c r="AR5" i="6"/>
  <c r="AR3" i="6"/>
  <c r="AP12" i="6"/>
  <c r="AQ10" i="6"/>
  <c r="AI7" i="6"/>
  <c r="AJ4" i="6"/>
  <c r="AR6" i="6" l="1"/>
  <c r="AQ12" i="6"/>
  <c r="AP14" i="6"/>
  <c r="AR12" i="6"/>
  <c r="AT1" i="6"/>
  <c r="AS17" i="6" s="1"/>
  <c r="AS18" i="6" s="1"/>
  <c r="AS9" i="6"/>
  <c r="AS20" i="6"/>
  <c r="AS21" i="6" s="1"/>
  <c r="AS11" i="6"/>
  <c r="AS5" i="6"/>
  <c r="AS6" i="6" s="1"/>
  <c r="AS3" i="6"/>
  <c r="AR9" i="6"/>
  <c r="AQ14" i="6"/>
  <c r="AK4" i="6"/>
  <c r="AJ7" i="6"/>
  <c r="AR10" i="6" l="1"/>
  <c r="AU1" i="6"/>
  <c r="AT9" i="6"/>
  <c r="AT20" i="6"/>
  <c r="AT21" i="6" s="1"/>
  <c r="AT11" i="6"/>
  <c r="AT5" i="6"/>
  <c r="AT6" i="6" s="1"/>
  <c r="AT3" i="6"/>
  <c r="AS12" i="6"/>
  <c r="AS10" i="6"/>
  <c r="AR14" i="6"/>
  <c r="AL4" i="6"/>
  <c r="AK7" i="6"/>
  <c r="AT12" i="6" l="1"/>
  <c r="AV1" i="6"/>
  <c r="AU9" i="6" s="1"/>
  <c r="AT17" i="6"/>
  <c r="AT18" i="6" s="1"/>
  <c r="AS14" i="6"/>
  <c r="AT10" i="6"/>
  <c r="AL7" i="6"/>
  <c r="AM4" i="6"/>
  <c r="AU3" i="6" l="1"/>
  <c r="AU5" i="6"/>
  <c r="AU6" i="6" s="1"/>
  <c r="AU17" i="6"/>
  <c r="AU18" i="6"/>
  <c r="AW1" i="6"/>
  <c r="AV9" i="6"/>
  <c r="AV5" i="6"/>
  <c r="AV6" i="6" s="1"/>
  <c r="AV3" i="6"/>
  <c r="AU11" i="6"/>
  <c r="AU20" i="6"/>
  <c r="AU21" i="6" s="1"/>
  <c r="AT14" i="6"/>
  <c r="AU10" i="6"/>
  <c r="AM7" i="6"/>
  <c r="AN4" i="6"/>
  <c r="AU12" i="6" l="1"/>
  <c r="AU14" i="6" s="1"/>
  <c r="AX1" i="6"/>
  <c r="AW17" i="6" s="1"/>
  <c r="AV11" i="6"/>
  <c r="AV20" i="6"/>
  <c r="AV21" i="6" s="1"/>
  <c r="AV17" i="6"/>
  <c r="AV18" i="6" s="1"/>
  <c r="AV10" i="6"/>
  <c r="AN7" i="6"/>
  <c r="AO4" i="6"/>
  <c r="AW3" i="6" l="1"/>
  <c r="AW5" i="6"/>
  <c r="AW6" i="6" s="1"/>
  <c r="AW11" i="6"/>
  <c r="AW20" i="6"/>
  <c r="AW21" i="6" s="1"/>
  <c r="AW18" i="6"/>
  <c r="AY1" i="6"/>
  <c r="AX20" i="6" s="1"/>
  <c r="AX21" i="6" s="1"/>
  <c r="AW9" i="6"/>
  <c r="AV12" i="6"/>
  <c r="AO7" i="6"/>
  <c r="AP4" i="6"/>
  <c r="AW10" i="6" l="1"/>
  <c r="AX5" i="6"/>
  <c r="AX6" i="6" s="1"/>
  <c r="AX17" i="6"/>
  <c r="AX3" i="6"/>
  <c r="AX11" i="6"/>
  <c r="AW12" i="6"/>
  <c r="AZ1" i="6"/>
  <c r="AY9" i="6" s="1"/>
  <c r="AX9" i="6"/>
  <c r="AV14" i="6"/>
  <c r="AX18" i="6"/>
  <c r="AW14" i="6"/>
  <c r="AQ4" i="6"/>
  <c r="AP7" i="6"/>
  <c r="AX10" i="6" l="1"/>
  <c r="AX12" i="6"/>
  <c r="AY3" i="6"/>
  <c r="AY5" i="6"/>
  <c r="AY6" i="6" s="1"/>
  <c r="AY17" i="6"/>
  <c r="AY18" i="6" s="1"/>
  <c r="AY20" i="6"/>
  <c r="AY21" i="6" s="1"/>
  <c r="BA1" i="6"/>
  <c r="AZ17" i="6"/>
  <c r="AZ9" i="6"/>
  <c r="AZ5" i="6"/>
  <c r="AZ3" i="6"/>
  <c r="AY11" i="6"/>
  <c r="AX14" i="6"/>
  <c r="AY10" i="6"/>
  <c r="AQ7" i="6"/>
  <c r="AR4" i="6"/>
  <c r="AZ6" i="6" l="1"/>
  <c r="AZ18" i="6"/>
  <c r="AY12" i="6"/>
  <c r="BB1" i="6"/>
  <c r="BA5" i="6" s="1"/>
  <c r="BA3" i="6"/>
  <c r="AZ11" i="6"/>
  <c r="AZ20" i="6"/>
  <c r="AZ21" i="6" s="1"/>
  <c r="AZ10" i="6"/>
  <c r="AS4" i="6"/>
  <c r="AR7" i="6"/>
  <c r="BA6" i="6" l="1"/>
  <c r="BC1" i="6"/>
  <c r="BB5" i="6"/>
  <c r="BB3" i="6"/>
  <c r="BA20" i="6"/>
  <c r="BA21" i="6" s="1"/>
  <c r="BA17" i="6"/>
  <c r="BA18" i="6" s="1"/>
  <c r="BA11" i="6"/>
  <c r="BA9" i="6"/>
  <c r="AZ12" i="6"/>
  <c r="AZ14" i="6" s="1"/>
  <c r="AY14" i="6"/>
  <c r="AS7" i="6"/>
  <c r="AT4" i="6"/>
  <c r="BA10" i="6" l="1"/>
  <c r="BB6" i="6"/>
  <c r="BD1" i="6"/>
  <c r="BC11" i="6"/>
  <c r="BC9" i="6"/>
  <c r="BC17" i="6"/>
  <c r="BC20" i="6"/>
  <c r="BC5" i="6"/>
  <c r="BC3" i="6"/>
  <c r="BB17" i="6"/>
  <c r="BB18" i="6" s="1"/>
  <c r="BB11" i="6"/>
  <c r="BB20" i="6"/>
  <c r="BB21" i="6" s="1"/>
  <c r="BB9" i="6"/>
  <c r="BA12" i="6"/>
  <c r="BA14" i="6" s="1"/>
  <c r="AT7" i="6"/>
  <c r="AU4" i="6"/>
  <c r="BB10" i="6" l="1"/>
  <c r="BC6" i="6"/>
  <c r="BC18" i="6"/>
  <c r="BC21" i="6"/>
  <c r="BE1" i="6"/>
  <c r="BD5" i="6" s="1"/>
  <c r="BB12" i="6"/>
  <c r="BC12" i="6" s="1"/>
  <c r="BB14" i="6"/>
  <c r="BC10" i="6"/>
  <c r="AU7" i="6"/>
  <c r="AV4" i="6"/>
  <c r="BD6" i="6" l="1"/>
  <c r="BD3" i="6"/>
  <c r="BD17" i="6"/>
  <c r="BD18" i="6" s="1"/>
  <c r="BD9" i="6"/>
  <c r="BF1" i="6"/>
  <c r="BE11" i="6"/>
  <c r="BE17" i="6"/>
  <c r="BE5" i="6"/>
  <c r="BE3" i="6"/>
  <c r="BD11" i="6"/>
  <c r="BD20" i="6"/>
  <c r="BD21" i="6" s="1"/>
  <c r="BC14" i="6"/>
  <c r="AV7" i="6"/>
  <c r="AW4" i="6"/>
  <c r="BD10" i="6" l="1"/>
  <c r="D17" i="6"/>
  <c r="C17" i="6" s="1"/>
  <c r="BG1" i="6"/>
  <c r="BF9" i="6"/>
  <c r="BF17" i="6"/>
  <c r="BF5" i="6"/>
  <c r="BF3" i="6"/>
  <c r="BE9" i="6"/>
  <c r="BE20" i="6"/>
  <c r="BD12" i="6"/>
  <c r="BE12" i="6" s="1"/>
  <c r="BE18" i="6"/>
  <c r="BE6" i="6"/>
  <c r="AW7" i="6"/>
  <c r="AX4" i="6"/>
  <c r="BE10" i="6" l="1"/>
  <c r="BE21" i="6"/>
  <c r="D20" i="6"/>
  <c r="BH1" i="6"/>
  <c r="BG20" i="6" s="1"/>
  <c r="BG11" i="6"/>
  <c r="BG17" i="6"/>
  <c r="BG5" i="6"/>
  <c r="BG3" i="6"/>
  <c r="BD14" i="6"/>
  <c r="BF11" i="6"/>
  <c r="BF20" i="6"/>
  <c r="BF6" i="6"/>
  <c r="BF18" i="6"/>
  <c r="D18" i="6"/>
  <c r="C18" i="6" s="1"/>
  <c r="BE14" i="6"/>
  <c r="BF10" i="6"/>
  <c r="AY4" i="6"/>
  <c r="AX7" i="6"/>
  <c r="BG9" i="6" l="1"/>
  <c r="BG18" i="6"/>
  <c r="BI1" i="6"/>
  <c r="BH20" i="6" s="1"/>
  <c r="BH5" i="6"/>
  <c r="BH3" i="6"/>
  <c r="BG6" i="6"/>
  <c r="BF21" i="6"/>
  <c r="BG21" i="6" s="1"/>
  <c r="BF12" i="6"/>
  <c r="BG12" i="6" s="1"/>
  <c r="AY7" i="6"/>
  <c r="AZ4" i="6"/>
  <c r="BG10" i="6" l="1"/>
  <c r="BH6" i="6"/>
  <c r="BH21" i="6"/>
  <c r="BJ1" i="6"/>
  <c r="BI11" i="6" s="1"/>
  <c r="BI17" i="6"/>
  <c r="BI5" i="6"/>
  <c r="BI3" i="6"/>
  <c r="BH11" i="6"/>
  <c r="BH9" i="6"/>
  <c r="BH17" i="6"/>
  <c r="BH18" i="6" s="1"/>
  <c r="BF14" i="6"/>
  <c r="BG14" i="6"/>
  <c r="BA4" i="6"/>
  <c r="AZ7" i="6"/>
  <c r="BH10" i="6" l="1"/>
  <c r="BK1" i="6"/>
  <c r="BJ5" i="6" s="1"/>
  <c r="BI9" i="6"/>
  <c r="BI20" i="6"/>
  <c r="BI21" i="6" s="1"/>
  <c r="BI6" i="6"/>
  <c r="BI18" i="6"/>
  <c r="BH12" i="6"/>
  <c r="BI12" i="6" s="1"/>
  <c r="BA7" i="6"/>
  <c r="BB4" i="6"/>
  <c r="BI10" i="6" l="1"/>
  <c r="BJ3" i="6"/>
  <c r="BJ6" i="6"/>
  <c r="BL1" i="6"/>
  <c r="BK9" i="6" s="1"/>
  <c r="BK5" i="6"/>
  <c r="BJ17" i="6"/>
  <c r="BJ18" i="6" s="1"/>
  <c r="BJ9" i="6"/>
  <c r="BH14" i="6"/>
  <c r="BJ11" i="6"/>
  <c r="BJ20" i="6"/>
  <c r="BJ21" i="6" s="1"/>
  <c r="BI14" i="6"/>
  <c r="BB7" i="6"/>
  <c r="BC4" i="6"/>
  <c r="BJ10" i="6" l="1"/>
  <c r="BK6" i="6"/>
  <c r="BK3" i="6"/>
  <c r="BK20" i="6"/>
  <c r="BK21" i="6" s="1"/>
  <c r="BK17" i="6"/>
  <c r="BK18" i="6" s="1"/>
  <c r="BK11" i="6"/>
  <c r="BM1" i="6"/>
  <c r="BL17" i="6"/>
  <c r="BL5" i="6"/>
  <c r="BL3" i="6"/>
  <c r="BJ12" i="6"/>
  <c r="BJ14" i="6" s="1"/>
  <c r="BK10" i="6"/>
  <c r="BD4" i="6"/>
  <c r="BC7" i="6"/>
  <c r="BL6" i="6" l="1"/>
  <c r="BL18" i="6"/>
  <c r="BN1" i="6"/>
  <c r="BM9" i="6" s="1"/>
  <c r="BM17" i="6"/>
  <c r="BM18" i="6" s="1"/>
  <c r="BM20" i="6"/>
  <c r="BM11" i="6"/>
  <c r="BM5" i="6"/>
  <c r="BM3" i="6"/>
  <c r="BL9" i="6"/>
  <c r="BL20" i="6"/>
  <c r="BL21" i="6" s="1"/>
  <c r="BL11" i="6"/>
  <c r="BK12" i="6"/>
  <c r="BK14" i="6" s="1"/>
  <c r="BD7" i="6"/>
  <c r="BE4" i="6"/>
  <c r="BM6" i="6" l="1"/>
  <c r="BL10" i="6"/>
  <c r="BM21" i="6"/>
  <c r="BO1" i="6"/>
  <c r="BN9" i="6"/>
  <c r="BN5" i="6"/>
  <c r="BN6" i="6" s="1"/>
  <c r="BN3" i="6"/>
  <c r="BL12" i="6"/>
  <c r="BM12" i="6" s="1"/>
  <c r="BM10" i="6"/>
  <c r="BF4" i="6"/>
  <c r="BE7" i="6"/>
  <c r="BP1" i="6" l="1"/>
  <c r="BO11" i="6" s="1"/>
  <c r="BN11" i="6"/>
  <c r="BN12" i="6" s="1"/>
  <c r="BN20" i="6"/>
  <c r="BN21" i="6" s="1"/>
  <c r="BN17" i="6"/>
  <c r="BN18" i="6" s="1"/>
  <c r="BL14" i="6"/>
  <c r="BM14" i="6"/>
  <c r="BN10" i="6"/>
  <c r="BF7" i="6"/>
  <c r="BG4" i="6"/>
  <c r="BO12" i="6" l="1"/>
  <c r="BO3" i="6"/>
  <c r="BO5" i="6"/>
  <c r="BO6" i="6" s="1"/>
  <c r="BO9" i="6"/>
  <c r="BO17" i="6"/>
  <c r="BO18" i="6" s="1"/>
  <c r="BQ1" i="6"/>
  <c r="BR1" i="6" s="1"/>
  <c r="BO20" i="6"/>
  <c r="BO21" i="6" s="1"/>
  <c r="BN14" i="6"/>
  <c r="BG7" i="6"/>
  <c r="BH4" i="6"/>
  <c r="BP3" i="6" l="1"/>
  <c r="BP5" i="6"/>
  <c r="BP20" i="6"/>
  <c r="BP9" i="6"/>
  <c r="BO10" i="6"/>
  <c r="BP10" i="6" s="1"/>
  <c r="BP6" i="6"/>
  <c r="BP21" i="6"/>
  <c r="BS1" i="6"/>
  <c r="BR5" i="6"/>
  <c r="BR9" i="6"/>
  <c r="BR17" i="6"/>
  <c r="BR3" i="6"/>
  <c r="BQ5" i="6"/>
  <c r="BQ3" i="6"/>
  <c r="BP17" i="6"/>
  <c r="BP18" i="6" s="1"/>
  <c r="BP11" i="6"/>
  <c r="BP12" i="6" s="1"/>
  <c r="BI4" i="6"/>
  <c r="BH7" i="6"/>
  <c r="BO14" i="6" l="1"/>
  <c r="BQ6" i="6"/>
  <c r="BR6" i="6" s="1"/>
  <c r="BT1" i="6"/>
  <c r="BS20" i="6" s="1"/>
  <c r="BS3" i="6"/>
  <c r="BS17" i="6"/>
  <c r="BS11" i="6"/>
  <c r="BS9" i="6"/>
  <c r="BR20" i="6"/>
  <c r="BR11" i="6"/>
  <c r="BQ11" i="6"/>
  <c r="BQ12" i="6" s="1"/>
  <c r="BQ17" i="6"/>
  <c r="BQ18" i="6" s="1"/>
  <c r="BR18" i="6" s="1"/>
  <c r="BQ20" i="6"/>
  <c r="BQ21" i="6" s="1"/>
  <c r="BQ9" i="6"/>
  <c r="D9" i="6" s="1"/>
  <c r="BP14" i="6"/>
  <c r="BJ4" i="6"/>
  <c r="BI7" i="6"/>
  <c r="BR12" i="6" l="1"/>
  <c r="BS12" i="6" s="1"/>
  <c r="BQ10" i="6"/>
  <c r="BR10" i="6" s="1"/>
  <c r="BS10" i="6" s="1"/>
  <c r="BU1" i="6"/>
  <c r="BT20" i="6" s="1"/>
  <c r="BT11" i="6"/>
  <c r="BT12" i="6" s="1"/>
  <c r="BT3" i="6"/>
  <c r="BT5" i="6"/>
  <c r="BT17" i="6"/>
  <c r="BR21" i="6"/>
  <c r="BS21" i="6" s="1"/>
  <c r="BS5" i="6"/>
  <c r="BS6" i="6" s="1"/>
  <c r="BS18" i="6"/>
  <c r="D11" i="6"/>
  <c r="BK4" i="6"/>
  <c r="BJ7" i="6"/>
  <c r="BT21" i="6" l="1"/>
  <c r="BR14" i="6"/>
  <c r="BQ14" i="6"/>
  <c r="BT6" i="6"/>
  <c r="BV1" i="6"/>
  <c r="BU5" i="6" s="1"/>
  <c r="BU6" i="6" s="1"/>
  <c r="BU11" i="6"/>
  <c r="BU12" i="6" s="1"/>
  <c r="BU17" i="6"/>
  <c r="BU20" i="6"/>
  <c r="BT18" i="6"/>
  <c r="BU21" i="6"/>
  <c r="BS14" i="6"/>
  <c r="BT10" i="6"/>
  <c r="BK7" i="6"/>
  <c r="BL4" i="6"/>
  <c r="BU3" i="6" l="1"/>
  <c r="BU18" i="6"/>
  <c r="BW1" i="6"/>
  <c r="BV3" i="6" s="1"/>
  <c r="BV20" i="6"/>
  <c r="BV21" i="6" s="1"/>
  <c r="BV5" i="6"/>
  <c r="BV6" i="6" s="1"/>
  <c r="BV11" i="6"/>
  <c r="BV12" i="6" s="1"/>
  <c r="BU10" i="6"/>
  <c r="BT14" i="6"/>
  <c r="BL7" i="6"/>
  <c r="BM4" i="6"/>
  <c r="BV17" i="6" l="1"/>
  <c r="BV18" i="6" s="1"/>
  <c r="BX1" i="6"/>
  <c r="BW20" i="6" s="1"/>
  <c r="BW21" i="6" s="1"/>
  <c r="BW5" i="6"/>
  <c r="BW6" i="6" s="1"/>
  <c r="BW17" i="6"/>
  <c r="BW11" i="6"/>
  <c r="BW12" i="6" s="1"/>
  <c r="BW3" i="6"/>
  <c r="BU14" i="6"/>
  <c r="BN4" i="6"/>
  <c r="BM7" i="6"/>
  <c r="BV10" i="6" l="1"/>
  <c r="BW10" i="6" s="1"/>
  <c r="BY1" i="6"/>
  <c r="BX17" i="6"/>
  <c r="BW18" i="6"/>
  <c r="BN7" i="6"/>
  <c r="BO4" i="6"/>
  <c r="BV14" i="6" l="1"/>
  <c r="BX18" i="6"/>
  <c r="BZ1" i="6"/>
  <c r="BY11" i="6"/>
  <c r="BY20" i="6"/>
  <c r="BY5" i="6"/>
  <c r="BY17" i="6"/>
  <c r="BX11" i="6"/>
  <c r="BX12" i="6" s="1"/>
  <c r="BY12" i="6" s="1"/>
  <c r="BX3" i="6"/>
  <c r="BX5" i="6"/>
  <c r="BX6" i="6" s="1"/>
  <c r="BX20" i="6"/>
  <c r="BX21" i="6" s="1"/>
  <c r="BW14" i="6"/>
  <c r="BP4" i="6"/>
  <c r="BO7" i="6"/>
  <c r="BX10" i="6" l="1"/>
  <c r="BX14" i="6" s="1"/>
  <c r="BY6" i="6"/>
  <c r="CA1" i="6"/>
  <c r="BZ5" i="6"/>
  <c r="BZ17" i="6"/>
  <c r="BY3" i="6"/>
  <c r="BY21" i="6"/>
  <c r="BY18" i="6"/>
  <c r="BQ4" i="6"/>
  <c r="BR4" i="6" s="1"/>
  <c r="BP7" i="6"/>
  <c r="BY10" i="6" l="1"/>
  <c r="BY14" i="6" s="1"/>
  <c r="BZ6" i="6"/>
  <c r="BZ18" i="6"/>
  <c r="CB1" i="6"/>
  <c r="CA5" i="6"/>
  <c r="CA20" i="6"/>
  <c r="CA17" i="6"/>
  <c r="CA11" i="6"/>
  <c r="BZ11" i="6"/>
  <c r="BZ12" i="6" s="1"/>
  <c r="BZ20" i="6"/>
  <c r="BZ21" i="6" s="1"/>
  <c r="CA21" i="6" s="1"/>
  <c r="BZ3" i="6"/>
  <c r="BS4" i="6"/>
  <c r="BR7" i="6"/>
  <c r="BQ7" i="6"/>
  <c r="CA3" i="6" l="1"/>
  <c r="CC1" i="6"/>
  <c r="BZ10" i="6"/>
  <c r="CA10" i="6" s="1"/>
  <c r="CA12" i="6"/>
  <c r="CA6" i="6"/>
  <c r="CB17" i="6"/>
  <c r="CB20" i="6"/>
  <c r="CB21" i="6" s="1"/>
  <c r="CB5" i="6"/>
  <c r="CB11" i="6"/>
  <c r="CB12" i="6" s="1"/>
  <c r="CB3" i="6"/>
  <c r="CA18" i="6"/>
  <c r="BS7" i="6"/>
  <c r="BT4" i="6"/>
  <c r="CC20" i="6" l="1"/>
  <c r="CC21" i="6" s="1"/>
  <c r="CC17" i="6"/>
  <c r="CC11" i="6"/>
  <c r="CC12" i="6" s="1"/>
  <c r="CC5" i="6"/>
  <c r="D5" i="6" s="1"/>
  <c r="CC3" i="6"/>
  <c r="BZ14" i="6"/>
  <c r="CB18" i="6"/>
  <c r="CC18" i="6" s="1"/>
  <c r="CB6" i="6"/>
  <c r="BU4" i="6"/>
  <c r="BT7" i="6"/>
  <c r="CA14" i="6"/>
  <c r="CB10" i="6"/>
  <c r="CC6" i="6" l="1"/>
  <c r="CB14" i="6"/>
  <c r="CC10" i="6"/>
  <c r="BU7" i="6"/>
  <c r="BV4" i="6"/>
  <c r="CC14" i="6" l="1"/>
  <c r="CD10" i="6"/>
  <c r="BW4" i="6"/>
  <c r="BV7" i="6"/>
  <c r="CE10" i="6" l="1"/>
  <c r="CD14" i="6"/>
  <c r="BW7" i="6"/>
  <c r="BX4" i="6"/>
  <c r="CF10" i="6" l="1"/>
  <c r="CE14" i="6"/>
  <c r="BX7" i="6"/>
  <c r="BY4" i="6"/>
  <c r="CG10" i="6" l="1"/>
  <c r="CF14" i="6"/>
  <c r="BY7" i="6"/>
  <c r="BZ4" i="6"/>
  <c r="CH10" i="6" l="1"/>
  <c r="CG14" i="6"/>
  <c r="CA4" i="6"/>
  <c r="BZ7" i="6"/>
  <c r="CI10" i="6" l="1"/>
  <c r="CH14" i="6"/>
  <c r="CB4" i="6"/>
  <c r="CA7" i="6"/>
  <c r="CJ10" i="6" l="1"/>
  <c r="CI14" i="6"/>
  <c r="CB7" i="6"/>
  <c r="CC4" i="6"/>
  <c r="CC7" i="6" s="1"/>
  <c r="CK10" i="6" l="1"/>
  <c r="CJ14" i="6"/>
  <c r="CL10" i="6" l="1"/>
  <c r="CK14" i="6"/>
  <c r="CM10" i="6" l="1"/>
  <c r="CL14" i="6"/>
  <c r="CN10" i="6" l="1"/>
  <c r="CM14" i="6"/>
  <c r="CO10" i="6" l="1"/>
  <c r="CN14" i="6"/>
  <c r="CP10" i="6" l="1"/>
  <c r="CO14" i="6"/>
  <c r="CQ10" i="6" l="1"/>
  <c r="CP14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Y10" i="6" l="1"/>
  <c r="CX14" i="6"/>
  <c r="CZ10" i="6" l="1"/>
  <c r="CY14" i="6"/>
  <c r="DA10" i="6" l="1"/>
  <c r="CZ14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J10" i="6" l="1"/>
  <c r="DI14" i="6"/>
  <c r="DK10" i="6" l="1"/>
  <c r="DJ14" i="6"/>
  <c r="DL10" i="6" l="1"/>
  <c r="DK14" i="6"/>
  <c r="DM10" i="6" l="1"/>
  <c r="DL14" i="6"/>
  <c r="DN10" i="6" l="1"/>
  <c r="DM14" i="6"/>
  <c r="DO10" i="6" l="1"/>
  <c r="DN14" i="6"/>
  <c r="DP10" i="6" l="1"/>
  <c r="DO14" i="6"/>
  <c r="DQ10" i="6" l="1"/>
  <c r="DP14" i="6"/>
  <c r="DR10" i="6" l="1"/>
  <c r="DR14" i="6" s="1"/>
  <c r="DQ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tc={2A5DCC7B-F7A1-434A-A72C-E65FA24965DC}</author>
    <author>tc={21B6828D-D6B4-4DF5-9722-DEDCD4C82BF7}</author>
    <author>tc={29559EAB-E9B7-420B-B5C1-29B95BBAAA22}</author>
    <author>tc={387946EA-35E9-4251-A325-57E70D5F426D}</author>
  </authors>
  <commentList>
    <comment ref="W32" authorId="0" shapeId="0" xr:uid="{2A5DCC7B-F7A1-434A-A72C-E65FA24965D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@Thami Cambalele please take a look as this is marked off as paid but the invoice is showing as outstanding on QB
Reply:
    @Tasneema van Harte,this was paid on 14 Nov, however it seems it was paid from Matriach?</t>
      </text>
    </comment>
    <comment ref="W33" authorId="1" shapeId="0" xr:uid="{21B6828D-D6B4-4DF5-9722-DEDCD4C82B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@Mizelda Isaacs and @Thami Cambalele please take a look at my comment for DC complte, same situation
</t>
      </text>
    </comment>
    <comment ref="R129" authorId="2" shapeId="0" xr:uid="{29559EAB-E9B7-420B-B5C1-29B95BBAAA2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@Roedolph Venter they need to provide us with a creditnote please</t>
      </text>
    </comment>
    <comment ref="R130" authorId="3" shapeId="0" xr:uid="{387946EA-35E9-4251-A325-57E70D5F42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 can we please finalize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<sst xmlns="http://schemas.openxmlformats.org/spreadsheetml/2006/main" count="837" uniqueCount="482">
  <si>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</si>
  <si>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</si>
  <si>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</si>
  <si>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</si>
  <si>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</si>
  <si>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</si>
  <si>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</si>
  <si>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</si>
  <si>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</si>
  <si>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</si>
  <si>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</si>
  <si>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</si>
  <si>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</si>
  <si>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</si>
  <si>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</si>
  <si>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</si>
  <si>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</si>
  <si>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</si>
  <si>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</si>
  <si>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</si>
  <si>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</si>
  <si>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</si>
  <si>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</si>
  <si>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</si>
  <si>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</si>
  <si>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</si>
  <si>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</si>
  <si>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</si>
  <si>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</si>
  <si>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</si>
  <si>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</si>
  <si>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</si>
  <si>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</si>
  <si>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</si>
  <si>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</si>
  <si>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</si>
  <si>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</si>
  <si>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</si>
  <si>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</si>
  <si>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</si>
  <si>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</si>
  <si>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</si>
  <si>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</si>
  <si>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</si>
  <si>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</si>
  <si>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</si>
  <si>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</si>
  <si>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</si>
  <si>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</si>
  <si>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</si>
  <si>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</si>
  <si>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</si>
  <si>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</si>
  <si>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</si>
  <si>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</si>
  <si>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</si>
  <si>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</si>
  <si>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</si>
  <si>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</si>
  <si>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</si>
  <si>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</si>
  <si>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</si>
  <si>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</si>
  <si>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</si>
  <si>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</si>
  <si>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</si>
  <si>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</si>
  <si>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</si>
  <si>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</si>
  <si>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</si>
  <si>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</si>
  <si>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</si>
  <si>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</si>
  <si>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</si>
  <si>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</si>
  <si>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</si>
  <si>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</si>
  <si>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</si>
  <si>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</si>
  <si>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</si>
  <si>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</si>
  <si>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</si>
  <si>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</si>
  <si>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</si>
  <si>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</si>
  <si>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</si>
  <si>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</si>
  <si>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</si>
  <si>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</si>
  <si>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</si>
  <si>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</si>
  <si>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</si>
  <si>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</si>
  <si>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</si>
  <si>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</si>
  <si>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</si>
  <si>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</si>
  <si>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</si>
  <si>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</si>
  <si>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</si>
  <si>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</si>
  <si>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</si>
  <si>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</si>
  <si>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004555</t>
  </si>
  <si>
    <t>Delivery of Panels</t>
  </si>
  <si>
    <t>004576</t>
  </si>
  <si>
    <t>Practical Completion</t>
  </si>
  <si>
    <t>004608</t>
  </si>
  <si>
    <t>004693</t>
  </si>
  <si>
    <t>VO - Walkways</t>
  </si>
  <si>
    <t>Credit Note - Walkways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</si>
  <si>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</si>
  <si>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</si>
  <si>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</si>
  <si>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</si>
  <si>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</si>
  <si>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</si>
  <si>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</si>
  <si>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</si>
  <si>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</si>
  <si>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</si>
  <si>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</si>
  <si>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</si>
  <si>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</si>
  <si>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- 22 Christiaan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</si>
  <si>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</si>
  <si>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</si>
  <si>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</si>
  <si>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</si>
  <si>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</si>
  <si>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</si>
  <si>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</si>
  <si>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</si>
  <si>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</si>
  <si>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</si>
  <si>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</si>
  <si>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</si>
  <si>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</si>
  <si>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</si>
  <si>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</si>
  <si>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</si>
  <si>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</si>
  <si>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</si>
  <si>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</si>
  <si>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</si>
  <si>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</si>
  <si>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</si>
  <si>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</si>
  <si>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</si>
  <si>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</si>
  <si>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</si>
  <si>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</si>
  <si>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</si>
  <si>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</si>
  <si>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</si>
  <si>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</si>
  <si>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</si>
  <si>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</si>
  <si>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</si>
  <si>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</si>
  <si>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</si>
  <si>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</si>
  <si>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</si>
  <si>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</si>
  <si>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</si>
  <si>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</si>
  <si>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</si>
  <si>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</si>
  <si>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</si>
  <si>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</si>
  <si>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</si>
  <si>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</si>
  <si>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</si>
  <si>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</si>
  <si>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</si>
  <si>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</si>
  <si>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</si>
  <si>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</si>
  <si>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</si>
  <si>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</si>
  <si>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</si>
  <si>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</si>
  <si>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</si>
  <si>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</si>
  <si>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</si>
  <si>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</si>
  <si>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</si>
  <si>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</si>
  <si>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</si>
  <si>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</si>
  <si>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</si>
  <si>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</si>
  <si>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</si>
  <si>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</si>
  <si>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</si>
  <si>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</si>
  <si>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</si>
  <si>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</si>
  <si>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</si>
  <si>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</si>
  <si>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</si>
  <si>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</si>
  <si>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</si>
  <si>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</si>
  <si>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</si>
  <si>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</si>
  <si>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</si>
  <si>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</si>
  <si>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</si>
  <si>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</si>
  <si>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</si>
  <si>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</si>
  <si>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</si>
  <si>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</si>
  <si>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</si>
  <si>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</si>
  <si>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</si>
  <si>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</si>
  <si>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</si>
  <si>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</si>
  <si>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</si>
  <si>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</si>
  <si>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</si>
  <si>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</si>
  <si>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</si>
  <si>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</si>
  <si>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</si>
  <si>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</si>
  <si>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</si>
  <si>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</si>
  <si>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</si>
  <si>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</si>
  <si>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</si>
  <si>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</si>
  <si>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</si>
  <si>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</si>
  <si>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</si>
  <si>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</si>
  <si>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</si>
  <si>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</si>
  <si>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</si>
  <si>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</si>
  <si>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</si>
  <si>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</si>
  <si>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</si>
  <si>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</si>
  <si>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</si>
  <si>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</si>
  <si>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</si>
  <si>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Storage 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</si>
  <si>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</si>
  <si>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</si>
  <si>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</si>
  <si>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</si>
  <si>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</si>
  <si>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</si>
  <si>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</si>
  <si>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Delivery and storage budget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</si>
  <si>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</si>
  <si>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</si>
  <si>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</si>
  <si>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</si>
  <si>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</si>
  <si>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</si>
  <si>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</si>
  <si>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</si>
  <si>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</si>
  <si>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Other</t>
  </si>
  <si>
    <t>Mounting Structures</t>
  </si>
  <si>
    <t>KlipLok Roof</t>
  </si>
  <si>
    <t>3. Mounting Structures</t>
  </si>
  <si>
    <t>MS</t>
  </si>
  <si>
    <t>Schletter Inv0891</t>
  </si>
  <si>
    <t>PO3364-SAM22-20240918 - RV Approved</t>
  </si>
  <si>
    <t>Less 15%</t>
  </si>
  <si>
    <t>R/Wp</t>
  </si>
  <si>
    <t>Schletter Inv0893</t>
  </si>
  <si>
    <t>Seam Clamps</t>
  </si>
  <si>
    <t>Schletter Inv: INV1051</t>
  </si>
  <si>
    <t>Seam Clamp Returned</t>
  </si>
  <si>
    <t>Schletter Credit: CRN0160</t>
  </si>
  <si>
    <t>DSV Inv: 180099596</t>
  </si>
  <si>
    <t>ACTUAL - Cosmic Sun</t>
  </si>
  <si>
    <t>Installer Price</t>
  </si>
  <si>
    <t>ACTUAL - Thula Moya</t>
  </si>
  <si>
    <t>ACTUAL - CornerStone</t>
  </si>
  <si>
    <t>*Removed 6 Comms Metering R25976,34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</si>
  <si>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</si>
  <si>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</si>
  <si>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</si>
  <si>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</si>
  <si>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</si>
  <si>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</si>
  <si>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</si>
  <si>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</si>
  <si>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Inv04436</t>
  </si>
  <si>
    <t>PO3367-SAM22-20240924 - RV Approved</t>
  </si>
  <si>
    <t>Earth Cable</t>
  </si>
  <si>
    <t>Thula Moya Inv04439</t>
  </si>
  <si>
    <t>Site Logistics</t>
  </si>
  <si>
    <t>Earth clamp</t>
  </si>
  <si>
    <t>AC Installation Complete</t>
  </si>
  <si>
    <t>Thula Moya IN04473</t>
  </si>
  <si>
    <t>Roof Access</t>
  </si>
  <si>
    <t>Sundries</t>
  </si>
  <si>
    <t>DC Installation Complete</t>
  </si>
  <si>
    <t>Thula Moya IN04474</t>
  </si>
  <si>
    <t>Container</t>
  </si>
  <si>
    <t>Accomodation</t>
  </si>
  <si>
    <t>COC</t>
  </si>
  <si>
    <t>Commissioning Complete</t>
  </si>
  <si>
    <t>Thula Moya IN04475</t>
  </si>
  <si>
    <t>Scaffolding</t>
  </si>
  <si>
    <t>Travel</t>
  </si>
  <si>
    <t>Site De-establisment</t>
  </si>
  <si>
    <t>Thula Moya IN04476</t>
  </si>
  <si>
    <t>Handover Document Complete</t>
  </si>
  <si>
    <t>End of Defects Period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</si>
  <si>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</si>
  <si>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</si>
  <si>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</si>
  <si>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</si>
  <si>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</si>
  <si>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</si>
  <si>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</si>
  <si>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</si>
  <si>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</si>
  <si>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</si>
  <si>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</si>
  <si>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</si>
  <si>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</si>
  <si>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</si>
  <si>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</si>
  <si>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</si>
  <si>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</si>
  <si>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</si>
  <si>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</si>
  <si>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</si>
  <si>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</si>
  <si>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Copper Stub Fabrication</t>
  </si>
  <si>
    <t>PO3845-SAM14B-20250430 - RV Approved</t>
  </si>
  <si>
    <t>AC Cable</t>
  </si>
  <si>
    <t>Gerhard Exp Claim</t>
  </si>
  <si>
    <t>Battery Systems</t>
  </si>
  <si>
    <t xml:space="preserve">Product Add On </t>
  </si>
  <si>
    <t xml:space="preserve">8. Product Add On </t>
  </si>
  <si>
    <t>Walkways transport</t>
  </si>
  <si>
    <t>Onvlee Engineering:Inv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</si>
  <si>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</si>
  <si>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</si>
  <si>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</si>
  <si>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</si>
  <si>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</si>
  <si>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Installation of walkways</t>
  </si>
  <si>
    <t>Thula Moya IN04600</t>
  </si>
  <si>
    <t>Manufacture Cages Housing Inverters &amp; DB</t>
  </si>
  <si>
    <t>Thula Moya Inv IN04471</t>
  </si>
  <si>
    <t>Additional walkways</t>
  </si>
  <si>
    <t>Onvlee Engineering ONV1485</t>
  </si>
  <si>
    <t>Supply and install Tie in Breaker - Thula Moya</t>
  </si>
  <si>
    <t>Thula Moya IN04486</t>
  </si>
  <si>
    <t>PO3434-SAM-20241029 - RV Approved</t>
  </si>
  <si>
    <t>Only services to be capture below, products above</t>
  </si>
  <si>
    <t>AC &amp; DC Installation</t>
  </si>
  <si>
    <t>9. AC &amp; DC installation</t>
  </si>
  <si>
    <t>Thula Moya IN04598</t>
  </si>
  <si>
    <t>Thula Moya IN04599</t>
  </si>
  <si>
    <t>10. Site Logistics</t>
  </si>
  <si>
    <t>Security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</si>
  <si>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</si>
  <si>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</si>
  <si>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</si>
  <si>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</si>
  <si>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</si>
  <si>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</si>
  <si>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</si>
  <si>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</si>
  <si>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</si>
  <si>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</si>
  <si>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</si>
  <si>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</si>
  <si>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</si>
  <si>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</si>
  <si>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</si>
  <si>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</si>
  <si>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</si>
  <si>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</si>
  <si>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</si>
  <si>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</si>
  <si>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</si>
  <si>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</si>
  <si>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</si>
  <si>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</si>
  <si>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</si>
  <si>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</si>
  <si>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</si>
  <si>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</si>
  <si>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</si>
  <si>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</si>
  <si>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Defect Correction</t>
  </si>
  <si>
    <t>Cosmic Sun Inv: CS_SAM22_001</t>
  </si>
  <si>
    <t>PO3870-SAM22-202505 - RV Approved</t>
  </si>
  <si>
    <t>We will recover the cost from Thula Moya</t>
  </si>
  <si>
    <t xml:space="preserve">Roof remedial work </t>
  </si>
  <si>
    <t>Thula Moya - IN04750</t>
  </si>
  <si>
    <t>TM to provide CN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</si>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</sst>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8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44" fillId="9" borderId="25" xfId="3" applyFont="1" applyFill="1" applyBorder="1" applyAlignment="1" applyProtection="1">
      <alignment vertical="center"/>
      <protection locked="0"/>
    </xf>
    <xf numFmtId="167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7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6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left" vertical="center"/>
      <protection locked="0"/>
    </xf>
    <xf numFmtId="166" fontId="13" fillId="13" borderId="2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Protection="1"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Protection="1"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8" xfId="0" applyNumberFormat="1" applyFont="1" applyFill="1" applyBorder="1" applyAlignment="1" applyProtection="1">
      <alignment horizontal="center"/>
      <protection locked="0"/>
    </xf>
    <xf numFmtId="14" fontId="53" fillId="11" borderId="93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9" fontId="53" fillId="11" borderId="38" xfId="0" applyNumberFormat="1" applyFont="1" applyFill="1" applyBorder="1" applyProtection="1"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0" fontId="54" fillId="0" borderId="0" xfId="0" applyFont="1" applyProtection="1"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0" fontId="25" fillId="13" borderId="40" xfId="0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Protection="1"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14" fontId="11" fillId="13" borderId="41" xfId="0" applyNumberFormat="1" applyFont="1" applyFill="1" applyBorder="1" applyProtection="1"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3" fillId="11" borderId="96" xfId="3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7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1" borderId="91" xfId="3" applyFont="1" applyFill="1" applyBorder="1" applyAlignment="1" applyProtection="1">
      <alignment horizontal="center"/>
      <protection locked="0"/>
    </xf>
    <xf numFmtId="167" fontId="53" fillId="11" borderId="92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3" fillId="10" borderId="96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7" fontId="13" fillId="13" borderId="96" xfId="3" applyFont="1" applyFill="1" applyBorder="1" applyAlignment="1" applyProtection="1">
      <alignment horizontal="center"/>
      <protection locked="0"/>
    </xf>
    <xf numFmtId="14" fontId="5" fillId="13" borderId="2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4" fontId="13" fillId="7" borderId="0" xfId="0" applyNumberFormat="1" applyFont="1" applyFill="1" applyAlignment="1" applyProtection="1">
      <alignment horizontal="center" vertical="center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0" fontId="54" fillId="7" borderId="0" xfId="0" applyFont="1" applyFill="1" applyProtection="1">
      <protection locked="0"/>
    </xf>
    <xf numFmtId="3" fontId="0" fillId="15" borderId="0" xfId="0" applyNumberFormat="1" applyFill="1" applyAlignment="1">
      <alignment horizontal="right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7" xfId="0" applyFont="1" applyFill="1" applyBorder="1" applyAlignment="1">
      <alignment horizontal="center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- 22 Christiaan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45562</c:v>
                </c:pt>
                <c:pt idx="3">
                  <c:v>45560</c:v>
                </c:pt>
                <c:pt idx="4">
                  <c:v>45576</c:v>
                </c:pt>
                <c:pt idx="5">
                  <c:v>45604</c:v>
                </c:pt>
                <c:pt idx="6">
                  <c:v>45609</c:v>
                </c:pt>
                <c:pt idx="7">
                  <c:v>45634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5D7BC38-7E35-40B6-91B5-9C875EF5182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B35743-D6FD-42B6-AC1C-51A003D0842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5B0991-253F-4BC0-949F-127D8B876A0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B87B55-41B8-4ADB-A1DB-211018764CD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152FD9F-B99F-45C0-956E-D98AA10CF20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D2A960-EB12-4FC7-B5AE-F04EA1AA005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8FB0BC4-8DF1-440E-84F0-853D621E14C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0BAB1D-A480-4617-9CC5-DBAC76F1658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35</c:v>
                </c:pt>
                <c:pt idx="3">
                  <c:v>37</c:v>
                </c:pt>
                <c:pt idx="4">
                  <c:v>33</c:v>
                </c:pt>
                <c:pt idx="5">
                  <c:v>5</c:v>
                </c:pt>
                <c:pt idx="6">
                  <c:v>28</c:v>
                </c:pt>
                <c:pt idx="7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1477355.402032716</c:v>
                </c:pt>
                <c:pt idx="12">
                  <c:v>1477355.402032716</c:v>
                </c:pt>
                <c:pt idx="13">
                  <c:v>2092920.152879681</c:v>
                </c:pt>
                <c:pt idx="14">
                  <c:v>2092920.152879681</c:v>
                </c:pt>
                <c:pt idx="15">
                  <c:v>2092920.152879681</c:v>
                </c:pt>
                <c:pt idx="16">
                  <c:v>2092920.152879681</c:v>
                </c:pt>
                <c:pt idx="17">
                  <c:v>2092920.152879681</c:v>
                </c:pt>
                <c:pt idx="18">
                  <c:v>2339146.0532184672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2514540.1233878601</c:v>
                </c:pt>
                <c:pt idx="23">
                  <c:v>2514540.1233878601</c:v>
                </c:pt>
                <c:pt idx="24">
                  <c:v>2514540.1233878601</c:v>
                </c:pt>
                <c:pt idx="25">
                  <c:v>2514540.1233878601</c:v>
                </c:pt>
                <c:pt idx="26">
                  <c:v>2514540.1233878601</c:v>
                </c:pt>
                <c:pt idx="27">
                  <c:v>2514540.1233878601</c:v>
                </c:pt>
                <c:pt idx="28">
                  <c:v>2514540.1233878601</c:v>
                </c:pt>
                <c:pt idx="29">
                  <c:v>2514540.1233878601</c:v>
                </c:pt>
                <c:pt idx="30">
                  <c:v>2514540.1233878601</c:v>
                </c:pt>
                <c:pt idx="31">
                  <c:v>2514540.1233878601</c:v>
                </c:pt>
                <c:pt idx="32">
                  <c:v>2514540.1233878601</c:v>
                </c:pt>
                <c:pt idx="33">
                  <c:v>2514540.1233878601</c:v>
                </c:pt>
                <c:pt idx="34">
                  <c:v>2514540.1233878601</c:v>
                </c:pt>
                <c:pt idx="35">
                  <c:v>2514540.1233878601</c:v>
                </c:pt>
                <c:pt idx="36">
                  <c:v>2514540.1233878601</c:v>
                </c:pt>
                <c:pt idx="37">
                  <c:v>2514540.1233878601</c:v>
                </c:pt>
                <c:pt idx="38">
                  <c:v>2514540.1233878601</c:v>
                </c:pt>
                <c:pt idx="39">
                  <c:v>2514540.1233878601</c:v>
                </c:pt>
                <c:pt idx="40">
                  <c:v>2514540.1233878601</c:v>
                </c:pt>
                <c:pt idx="41">
                  <c:v>2514540.1233878601</c:v>
                </c:pt>
                <c:pt idx="42">
                  <c:v>2514540.1233878601</c:v>
                </c:pt>
                <c:pt idx="43">
                  <c:v>2514540.1233878601</c:v>
                </c:pt>
                <c:pt idx="44">
                  <c:v>2514540.1233878601</c:v>
                </c:pt>
                <c:pt idx="45">
                  <c:v>2514540.1233878601</c:v>
                </c:pt>
                <c:pt idx="46">
                  <c:v>2514540.1233878601</c:v>
                </c:pt>
                <c:pt idx="47">
                  <c:v>2514540.1233878601</c:v>
                </c:pt>
                <c:pt idx="48">
                  <c:v>2514540.1233878601</c:v>
                </c:pt>
                <c:pt idx="49">
                  <c:v>2514540.1233878601</c:v>
                </c:pt>
                <c:pt idx="50">
                  <c:v>2514540.1233878601</c:v>
                </c:pt>
                <c:pt idx="51">
                  <c:v>2514540.1233878601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20805</c:v>
                </c:pt>
                <c:pt idx="10">
                  <c:v>115676.973</c:v>
                </c:pt>
                <c:pt idx="11">
                  <c:v>115676.973</c:v>
                </c:pt>
                <c:pt idx="12">
                  <c:v>116377.773</c:v>
                </c:pt>
                <c:pt idx="13">
                  <c:v>116377.773</c:v>
                </c:pt>
                <c:pt idx="14">
                  <c:v>648961.27300000004</c:v>
                </c:pt>
                <c:pt idx="15">
                  <c:v>879577.19200000004</c:v>
                </c:pt>
                <c:pt idx="16">
                  <c:v>935017.19200000004</c:v>
                </c:pt>
                <c:pt idx="17">
                  <c:v>1024621.474</c:v>
                </c:pt>
                <c:pt idx="18">
                  <c:v>1050621.4739999999</c:v>
                </c:pt>
                <c:pt idx="19">
                  <c:v>1050621.4739999999</c:v>
                </c:pt>
                <c:pt idx="20">
                  <c:v>1101869.456</c:v>
                </c:pt>
                <c:pt idx="21">
                  <c:v>1911921.602</c:v>
                </c:pt>
                <c:pt idx="22">
                  <c:v>1911921.602</c:v>
                </c:pt>
                <c:pt idx="23">
                  <c:v>2079570.162</c:v>
                </c:pt>
                <c:pt idx="24">
                  <c:v>2079570.162</c:v>
                </c:pt>
                <c:pt idx="25">
                  <c:v>2105194.1529999999</c:v>
                </c:pt>
                <c:pt idx="26">
                  <c:v>2105194.1529999999</c:v>
                </c:pt>
                <c:pt idx="27">
                  <c:v>2105194.1529999999</c:v>
                </c:pt>
                <c:pt idx="28">
                  <c:v>2105194.1529999999</c:v>
                </c:pt>
                <c:pt idx="29">
                  <c:v>2105194.1529999999</c:v>
                </c:pt>
                <c:pt idx="30">
                  <c:v>2105194.1529999999</c:v>
                </c:pt>
                <c:pt idx="31">
                  <c:v>2105194.1529999999</c:v>
                </c:pt>
                <c:pt idx="32">
                  <c:v>2105194.1529999999</c:v>
                </c:pt>
                <c:pt idx="33">
                  <c:v>2105194.1529999999</c:v>
                </c:pt>
                <c:pt idx="34">
                  <c:v>2105194.1529999999</c:v>
                </c:pt>
                <c:pt idx="35">
                  <c:v>2105194.1529999999</c:v>
                </c:pt>
                <c:pt idx="36">
                  <c:v>2105194.1529999999</c:v>
                </c:pt>
                <c:pt idx="37">
                  <c:v>2105194.1529999999</c:v>
                </c:pt>
                <c:pt idx="38">
                  <c:v>2105194.1529999999</c:v>
                </c:pt>
                <c:pt idx="39">
                  <c:v>2105194.1529999999</c:v>
                </c:pt>
                <c:pt idx="40">
                  <c:v>2105194.1529999999</c:v>
                </c:pt>
                <c:pt idx="41">
                  <c:v>2105194.1529999999</c:v>
                </c:pt>
                <c:pt idx="42">
                  <c:v>2105194.1529999999</c:v>
                </c:pt>
                <c:pt idx="43">
                  <c:v>2105194.1529999999</c:v>
                </c:pt>
                <c:pt idx="44">
                  <c:v>2105194.1529999999</c:v>
                </c:pt>
                <c:pt idx="45">
                  <c:v>2105194.1529999999</c:v>
                </c:pt>
                <c:pt idx="46">
                  <c:v>2105194.1529999999</c:v>
                </c:pt>
                <c:pt idx="47">
                  <c:v>2105194.1529999999</c:v>
                </c:pt>
                <c:pt idx="48">
                  <c:v>2105194.1529999999</c:v>
                </c:pt>
                <c:pt idx="49">
                  <c:v>2105194.1529999999</c:v>
                </c:pt>
                <c:pt idx="50">
                  <c:v>2105194.1529999999</c:v>
                </c:pt>
                <c:pt idx="51">
                  <c:v>2105194.1529999999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840985.65118575096</c:v>
                </c:pt>
                <c:pt idx="10">
                  <c:v>746113.67818575096</c:v>
                </c:pt>
                <c:pt idx="11">
                  <c:v>1361678.429032716</c:v>
                </c:pt>
                <c:pt idx="12">
                  <c:v>1360977.6290327159</c:v>
                </c:pt>
                <c:pt idx="13">
                  <c:v>1976542.3798796809</c:v>
                </c:pt>
                <c:pt idx="14">
                  <c:v>1443958.8798796809</c:v>
                </c:pt>
                <c:pt idx="15">
                  <c:v>1213342.9608796809</c:v>
                </c:pt>
                <c:pt idx="16">
                  <c:v>1157902.9608796809</c:v>
                </c:pt>
                <c:pt idx="17">
                  <c:v>1068298.678879681</c:v>
                </c:pt>
                <c:pt idx="18">
                  <c:v>1288524.5792184672</c:v>
                </c:pt>
                <c:pt idx="19">
                  <c:v>1288524.5792184672</c:v>
                </c:pt>
                <c:pt idx="20">
                  <c:v>1237276.5972184672</c:v>
                </c:pt>
                <c:pt idx="21">
                  <c:v>427224.45121846721</c:v>
                </c:pt>
                <c:pt idx="22">
                  <c:v>602618.52138786018</c:v>
                </c:pt>
                <c:pt idx="23">
                  <c:v>434969.96138786012</c:v>
                </c:pt>
                <c:pt idx="24">
                  <c:v>434969.96138786012</c:v>
                </c:pt>
                <c:pt idx="25">
                  <c:v>409345.9703878602</c:v>
                </c:pt>
                <c:pt idx="26">
                  <c:v>409345.9703878602</c:v>
                </c:pt>
                <c:pt idx="27">
                  <c:v>409345.9703878602</c:v>
                </c:pt>
                <c:pt idx="28">
                  <c:v>409345.9703878602</c:v>
                </c:pt>
                <c:pt idx="29">
                  <c:v>409345.9703878602</c:v>
                </c:pt>
                <c:pt idx="30">
                  <c:v>409345.9703878602</c:v>
                </c:pt>
                <c:pt idx="31">
                  <c:v>409345.9703878602</c:v>
                </c:pt>
                <c:pt idx="32">
                  <c:v>409345.9703878602</c:v>
                </c:pt>
                <c:pt idx="33">
                  <c:v>409345.9703878602</c:v>
                </c:pt>
                <c:pt idx="34">
                  <c:v>409345.9703878602</c:v>
                </c:pt>
                <c:pt idx="35">
                  <c:v>409345.9703878602</c:v>
                </c:pt>
                <c:pt idx="36">
                  <c:v>409345.9703878602</c:v>
                </c:pt>
                <c:pt idx="37">
                  <c:v>409345.9703878602</c:v>
                </c:pt>
                <c:pt idx="38">
                  <c:v>409345.9703878602</c:v>
                </c:pt>
                <c:pt idx="39">
                  <c:v>409345.9703878602</c:v>
                </c:pt>
                <c:pt idx="40">
                  <c:v>409345.9703878602</c:v>
                </c:pt>
                <c:pt idx="41">
                  <c:v>409345.9703878602</c:v>
                </c:pt>
                <c:pt idx="42">
                  <c:v>409345.9703878602</c:v>
                </c:pt>
                <c:pt idx="43">
                  <c:v>409345.9703878602</c:v>
                </c:pt>
                <c:pt idx="44">
                  <c:v>409345.9703878602</c:v>
                </c:pt>
                <c:pt idx="45">
                  <c:v>409345.9703878602</c:v>
                </c:pt>
                <c:pt idx="46">
                  <c:v>409345.9703878602</c:v>
                </c:pt>
                <c:pt idx="47">
                  <c:v>409345.9703878602</c:v>
                </c:pt>
                <c:pt idx="48">
                  <c:v>409345.9703878602</c:v>
                </c:pt>
                <c:pt idx="49">
                  <c:v>409345.9703878602</c:v>
                </c:pt>
                <c:pt idx="50">
                  <c:v>409345.9703878602</c:v>
                </c:pt>
                <c:pt idx="51">
                  <c:v>409345.9703878602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Cashflow!$F$10:$BE$10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861790.65118575096</c:v>
                </c:pt>
                <c:pt idx="12">
                  <c:v>1477355.402032716</c:v>
                </c:pt>
                <c:pt idx="13">
                  <c:v>1477355.402032716</c:v>
                </c:pt>
                <c:pt idx="14">
                  <c:v>1477355.402032716</c:v>
                </c:pt>
                <c:pt idx="15">
                  <c:v>1477355.402032716</c:v>
                </c:pt>
                <c:pt idx="16">
                  <c:v>1477355.402032716</c:v>
                </c:pt>
                <c:pt idx="17">
                  <c:v>1477355.402032716</c:v>
                </c:pt>
                <c:pt idx="18">
                  <c:v>1477355.402032716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2339146.0532184672</c:v>
                </c:pt>
                <c:pt idx="23">
                  <c:v>2339146.0532184672</c:v>
                </c:pt>
                <c:pt idx="24">
                  <c:v>2339146.0532184672</c:v>
                </c:pt>
                <c:pt idx="25">
                  <c:v>2339146.0532184672</c:v>
                </c:pt>
                <c:pt idx="26">
                  <c:v>2339146.0532184672</c:v>
                </c:pt>
                <c:pt idx="27">
                  <c:v>2339146.0532184672</c:v>
                </c:pt>
                <c:pt idx="28">
                  <c:v>2339146.0532184672</c:v>
                </c:pt>
                <c:pt idx="29">
                  <c:v>2339146.0532184672</c:v>
                </c:pt>
                <c:pt idx="30">
                  <c:v>2339146.0532184672</c:v>
                </c:pt>
                <c:pt idx="31">
                  <c:v>2339146.0532184672</c:v>
                </c:pt>
                <c:pt idx="32">
                  <c:v>2339146.0532184672</c:v>
                </c:pt>
                <c:pt idx="33">
                  <c:v>2339146.0532184672</c:v>
                </c:pt>
                <c:pt idx="34">
                  <c:v>2339146.0532184672</c:v>
                </c:pt>
                <c:pt idx="35">
                  <c:v>2339146.0532184672</c:v>
                </c:pt>
                <c:pt idx="36">
                  <c:v>2339146.0532184672</c:v>
                </c:pt>
                <c:pt idx="37">
                  <c:v>2339146.0532184672</c:v>
                </c:pt>
                <c:pt idx="38">
                  <c:v>2339146.0532184672</c:v>
                </c:pt>
                <c:pt idx="39">
                  <c:v>2339146.0532184672</c:v>
                </c:pt>
                <c:pt idx="40">
                  <c:v>2339146.0532184672</c:v>
                </c:pt>
                <c:pt idx="41">
                  <c:v>2339146.0532184672</c:v>
                </c:pt>
                <c:pt idx="42">
                  <c:v>2339146.0532184672</c:v>
                </c:pt>
                <c:pt idx="43">
                  <c:v>2339146.0532184672</c:v>
                </c:pt>
                <c:pt idx="44">
                  <c:v>2339146.0532184672</c:v>
                </c:pt>
                <c:pt idx="45">
                  <c:v>2339146.0532184672</c:v>
                </c:pt>
                <c:pt idx="46">
                  <c:v>2339146.0532184672</c:v>
                </c:pt>
                <c:pt idx="47">
                  <c:v>2339146.0532184672</c:v>
                </c:pt>
                <c:pt idx="48">
                  <c:v>2339146.0532184672</c:v>
                </c:pt>
                <c:pt idx="49">
                  <c:v>2339146.0532184672</c:v>
                </c:pt>
                <c:pt idx="50">
                  <c:v>2339146.0532184672</c:v>
                </c:pt>
                <c:pt idx="51">
                  <c:v>2339146.0532184672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Cashflow!$F$12:$BE$12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35564.42</c:v>
                </c:pt>
                <c:pt idx="8">
                  <c:v>35564.42</c:v>
                </c:pt>
                <c:pt idx="9">
                  <c:v>35564.42</c:v>
                </c:pt>
                <c:pt idx="10">
                  <c:v>530751.35000000009</c:v>
                </c:pt>
                <c:pt idx="11">
                  <c:v>554292.82000000007</c:v>
                </c:pt>
                <c:pt idx="12">
                  <c:v>681140.05</c:v>
                </c:pt>
                <c:pt idx="13">
                  <c:v>681140.05</c:v>
                </c:pt>
                <c:pt idx="14">
                  <c:v>681140.05</c:v>
                </c:pt>
                <c:pt idx="15">
                  <c:v>1636439.45</c:v>
                </c:pt>
                <c:pt idx="16">
                  <c:v>1638110.45</c:v>
                </c:pt>
                <c:pt idx="17">
                  <c:v>1694486.73</c:v>
                </c:pt>
                <c:pt idx="18">
                  <c:v>1694486.73</c:v>
                </c:pt>
                <c:pt idx="19">
                  <c:v>1758009.1475423481</c:v>
                </c:pt>
                <c:pt idx="20">
                  <c:v>1814385.4275423482</c:v>
                </c:pt>
                <c:pt idx="21">
                  <c:v>1845907.0975423481</c:v>
                </c:pt>
                <c:pt idx="22">
                  <c:v>1969324.4175423482</c:v>
                </c:pt>
                <c:pt idx="23">
                  <c:v>1969324.4175423482</c:v>
                </c:pt>
                <c:pt idx="24">
                  <c:v>1957054.057542348</c:v>
                </c:pt>
                <c:pt idx="25">
                  <c:v>1957054.057542348</c:v>
                </c:pt>
                <c:pt idx="26">
                  <c:v>1962708.8175423481</c:v>
                </c:pt>
                <c:pt idx="27">
                  <c:v>1962708.8175423481</c:v>
                </c:pt>
                <c:pt idx="28">
                  <c:v>1962708.8175423481</c:v>
                </c:pt>
                <c:pt idx="29">
                  <c:v>1963818.537542348</c:v>
                </c:pt>
                <c:pt idx="30">
                  <c:v>1992006.6775423479</c:v>
                </c:pt>
                <c:pt idx="31">
                  <c:v>1992006.6775423479</c:v>
                </c:pt>
                <c:pt idx="32">
                  <c:v>1992006.6775423479</c:v>
                </c:pt>
                <c:pt idx="33">
                  <c:v>2020618.037542348</c:v>
                </c:pt>
                <c:pt idx="34">
                  <c:v>2020618.037542348</c:v>
                </c:pt>
                <c:pt idx="35">
                  <c:v>2020618.037542348</c:v>
                </c:pt>
                <c:pt idx="36">
                  <c:v>2020618.037542348</c:v>
                </c:pt>
                <c:pt idx="37">
                  <c:v>2020618.037542348</c:v>
                </c:pt>
                <c:pt idx="38">
                  <c:v>2020618.037542348</c:v>
                </c:pt>
                <c:pt idx="39">
                  <c:v>2020618.037542348</c:v>
                </c:pt>
                <c:pt idx="40">
                  <c:v>2020618.037542348</c:v>
                </c:pt>
                <c:pt idx="41">
                  <c:v>2020618.037542348</c:v>
                </c:pt>
                <c:pt idx="42">
                  <c:v>2021706.017542348</c:v>
                </c:pt>
                <c:pt idx="43">
                  <c:v>2053953.507542348</c:v>
                </c:pt>
                <c:pt idx="44">
                  <c:v>2053953.507542348</c:v>
                </c:pt>
                <c:pt idx="45">
                  <c:v>2053953.507542348</c:v>
                </c:pt>
                <c:pt idx="46">
                  <c:v>2053953.507542348</c:v>
                </c:pt>
                <c:pt idx="47">
                  <c:v>2054385.6075423481</c:v>
                </c:pt>
                <c:pt idx="48">
                  <c:v>2054385.6075423481</c:v>
                </c:pt>
                <c:pt idx="49">
                  <c:v>2054385.6075423481</c:v>
                </c:pt>
                <c:pt idx="50">
                  <c:v>2054385.6075423481</c:v>
                </c:pt>
                <c:pt idx="51">
                  <c:v>2054385.6075423481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</c:numRef>
          </c:cat>
          <c:val>
            <c:numRef>
              <c:f>Cashflow!$F$14:$BE$14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826226.23118575092</c:v>
                </c:pt>
                <c:pt idx="8">
                  <c:v>826226.23118575092</c:v>
                </c:pt>
                <c:pt idx="9">
                  <c:v>826226.23118575092</c:v>
                </c:pt>
                <c:pt idx="10">
                  <c:v>331039.30118575087</c:v>
                </c:pt>
                <c:pt idx="11">
                  <c:v>307497.8311857509</c:v>
                </c:pt>
                <c:pt idx="12">
                  <c:v>796215.35203271592</c:v>
                </c:pt>
                <c:pt idx="13">
                  <c:v>796215.35203271592</c:v>
                </c:pt>
                <c:pt idx="14">
                  <c:v>796215.35203271592</c:v>
                </c:pt>
                <c:pt idx="15">
                  <c:v>-159084.04796728399</c:v>
                </c:pt>
                <c:pt idx="16">
                  <c:v>-160755.04796728399</c:v>
                </c:pt>
                <c:pt idx="17">
                  <c:v>-217131.32796728401</c:v>
                </c:pt>
                <c:pt idx="18">
                  <c:v>-217131.32796728401</c:v>
                </c:pt>
                <c:pt idx="19">
                  <c:v>581136.90567611903</c:v>
                </c:pt>
                <c:pt idx="20">
                  <c:v>524760.625676119</c:v>
                </c:pt>
                <c:pt idx="21">
                  <c:v>493238.95567611908</c:v>
                </c:pt>
                <c:pt idx="22">
                  <c:v>369821.63567611901</c:v>
                </c:pt>
                <c:pt idx="23">
                  <c:v>369821.63567611901</c:v>
                </c:pt>
                <c:pt idx="24">
                  <c:v>382091.99567611911</c:v>
                </c:pt>
                <c:pt idx="25">
                  <c:v>382091.99567611911</c:v>
                </c:pt>
                <c:pt idx="26">
                  <c:v>376437.2356761191</c:v>
                </c:pt>
                <c:pt idx="27">
                  <c:v>376437.2356761191</c:v>
                </c:pt>
                <c:pt idx="28">
                  <c:v>376437.2356761191</c:v>
                </c:pt>
                <c:pt idx="29">
                  <c:v>375327.51567611913</c:v>
                </c:pt>
                <c:pt idx="30">
                  <c:v>347139.37567611923</c:v>
                </c:pt>
                <c:pt idx="31">
                  <c:v>347139.37567611923</c:v>
                </c:pt>
                <c:pt idx="32">
                  <c:v>347139.37567611923</c:v>
                </c:pt>
                <c:pt idx="33">
                  <c:v>318528.01567611913</c:v>
                </c:pt>
                <c:pt idx="34">
                  <c:v>318528.01567611913</c:v>
                </c:pt>
                <c:pt idx="35">
                  <c:v>318528.01567611913</c:v>
                </c:pt>
                <c:pt idx="36">
                  <c:v>318528.01567611913</c:v>
                </c:pt>
                <c:pt idx="37">
                  <c:v>318528.01567611913</c:v>
                </c:pt>
                <c:pt idx="38">
                  <c:v>318528.01567611913</c:v>
                </c:pt>
                <c:pt idx="39">
                  <c:v>318528.01567611913</c:v>
                </c:pt>
                <c:pt idx="40">
                  <c:v>318528.01567611913</c:v>
                </c:pt>
                <c:pt idx="41">
                  <c:v>318528.01567611913</c:v>
                </c:pt>
                <c:pt idx="42">
                  <c:v>317440.03567611915</c:v>
                </c:pt>
                <c:pt idx="43">
                  <c:v>285192.54567611916</c:v>
                </c:pt>
                <c:pt idx="44">
                  <c:v>285192.54567611916</c:v>
                </c:pt>
                <c:pt idx="45">
                  <c:v>285192.54567611916</c:v>
                </c:pt>
                <c:pt idx="46">
                  <c:v>285192.54567611916</c:v>
                </c:pt>
                <c:pt idx="47">
                  <c:v>284760.44567611907</c:v>
                </c:pt>
                <c:pt idx="48">
                  <c:v>284760.44567611907</c:v>
                </c:pt>
                <c:pt idx="49">
                  <c:v>284760.44567611907</c:v>
                </c:pt>
                <c:pt idx="50">
                  <c:v>284760.44567611907</c:v>
                </c:pt>
                <c:pt idx="51">
                  <c:v>284760.44567611907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Cashflow!$F$18:$BE$18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792853.43022606324</c:v>
                </c:pt>
                <c:pt idx="3">
                  <c:v>792853.43022606324</c:v>
                </c:pt>
                <c:pt idx="4">
                  <c:v>792853.43022606324</c:v>
                </c:pt>
                <c:pt idx="5">
                  <c:v>792853.43022606324</c:v>
                </c:pt>
                <c:pt idx="6">
                  <c:v>848045.34024531883</c:v>
                </c:pt>
                <c:pt idx="7">
                  <c:v>848045.34024531883</c:v>
                </c:pt>
                <c:pt idx="8">
                  <c:v>848045.34024531883</c:v>
                </c:pt>
                <c:pt idx="9">
                  <c:v>848045.34024531883</c:v>
                </c:pt>
                <c:pt idx="10">
                  <c:v>848045.34024531883</c:v>
                </c:pt>
                <c:pt idx="11">
                  <c:v>1383717.2792765521</c:v>
                </c:pt>
                <c:pt idx="12">
                  <c:v>1383717.2792765521</c:v>
                </c:pt>
                <c:pt idx="13">
                  <c:v>1383717.2792765521</c:v>
                </c:pt>
                <c:pt idx="14">
                  <c:v>1383717.2792765521</c:v>
                </c:pt>
                <c:pt idx="15">
                  <c:v>2063679.7974350192</c:v>
                </c:pt>
                <c:pt idx="16">
                  <c:v>2063679.7974350192</c:v>
                </c:pt>
                <c:pt idx="17">
                  <c:v>2063679.7974350192</c:v>
                </c:pt>
                <c:pt idx="18">
                  <c:v>2063679.7974350192</c:v>
                </c:pt>
                <c:pt idx="19">
                  <c:v>2434037.0889473651</c:v>
                </c:pt>
                <c:pt idx="20">
                  <c:v>2434037.0889473651</c:v>
                </c:pt>
                <c:pt idx="21">
                  <c:v>2434037.0889473651</c:v>
                </c:pt>
                <c:pt idx="22">
                  <c:v>2434037.0889473651</c:v>
                </c:pt>
                <c:pt idx="23">
                  <c:v>2434037.0889473651</c:v>
                </c:pt>
                <c:pt idx="24">
                  <c:v>2434037.0889473651</c:v>
                </c:pt>
                <c:pt idx="25">
                  <c:v>2434037.0889473651</c:v>
                </c:pt>
                <c:pt idx="26">
                  <c:v>2434037.0889473651</c:v>
                </c:pt>
                <c:pt idx="27">
                  <c:v>2434037.0889473651</c:v>
                </c:pt>
                <c:pt idx="28">
                  <c:v>2505345.9364534272</c:v>
                </c:pt>
                <c:pt idx="29">
                  <c:v>2505345.9364534272</c:v>
                </c:pt>
                <c:pt idx="30">
                  <c:v>2505345.9364534272</c:v>
                </c:pt>
                <c:pt idx="31">
                  <c:v>2505345.9364534272</c:v>
                </c:pt>
                <c:pt idx="32">
                  <c:v>2506043.3970451481</c:v>
                </c:pt>
                <c:pt idx="33">
                  <c:v>2506043.3970451481</c:v>
                </c:pt>
                <c:pt idx="34">
                  <c:v>2506043.3970451481</c:v>
                </c:pt>
                <c:pt idx="35">
                  <c:v>2506043.3970451481</c:v>
                </c:pt>
                <c:pt idx="36">
                  <c:v>2506043.3970451481</c:v>
                </c:pt>
                <c:pt idx="37">
                  <c:v>2506043.3970451481</c:v>
                </c:pt>
                <c:pt idx="38">
                  <c:v>2506043.3970451481</c:v>
                </c:pt>
                <c:pt idx="39">
                  <c:v>2506043.3970451481</c:v>
                </c:pt>
                <c:pt idx="40">
                  <c:v>2506043.3970451481</c:v>
                </c:pt>
                <c:pt idx="41">
                  <c:v>2506043.3970451481</c:v>
                </c:pt>
                <c:pt idx="42">
                  <c:v>2506043.3970451481</c:v>
                </c:pt>
                <c:pt idx="43">
                  <c:v>2506043.3970451481</c:v>
                </c:pt>
                <c:pt idx="44">
                  <c:v>2506043.3970451481</c:v>
                </c:pt>
                <c:pt idx="45">
                  <c:v>2506183.2470451482</c:v>
                </c:pt>
                <c:pt idx="46">
                  <c:v>2506183.2470451482</c:v>
                </c:pt>
                <c:pt idx="47">
                  <c:v>2506183.2470451482</c:v>
                </c:pt>
                <c:pt idx="48">
                  <c:v>2506183.2470451482</c:v>
                </c:pt>
                <c:pt idx="49">
                  <c:v>2506183.2470451482</c:v>
                </c:pt>
                <c:pt idx="50">
                  <c:v>2506183.2470451482</c:v>
                </c:pt>
                <c:pt idx="51">
                  <c:v>2506183.2470451482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05D62883-9AA8-49F2-A1E8-649D72BE57D5}">
    <Anchor>
      <Comment id="{2A5DCC7B-F7A1-434A-A72C-E65FA24965DC}"/>
    </Anchor>
    <History>
      <Event time="2025-03-07T09:19:09.80" id="{3B6AF5AF-880E-44F1-BE2F-59BD349A5B51}">
        <Attribution userId="S::tasneema@emergy.co.za::9a0cc615-e4de-4e2f-ae82-9f40753a7d8a" userName="Tasneema van Harte" userProvider="AD"/>
        <Anchor>
          <Comment id="{2A5DCC7B-F7A1-434A-A72C-E65FA24965DC}"/>
        </Anchor>
        <Create/>
      </Event>
      <Event time="2025-03-07T09:19:09.80" id="{842140A4-B0F9-4B5A-9756-B61C156E60F4}">
        <Attribution userId="S::tasneema@emergy.co.za::9a0cc615-e4de-4e2f-ae82-9f40753a7d8a" userName="Tasneema van Harte" userProvider="AD"/>
        <Anchor>
          <Comment id="{2A5DCC7B-F7A1-434A-A72C-E65FA24965DC}"/>
        </Anchor>
        <Assign userId="S::mizelda@emergentenergy.co.za::3a5c2ad2-993e-4fe1-a333-48e19c6adda8" userName="Mizelda Isaacs" userProvider="AD"/>
      </Event>
      <Event time="2025-03-07T09:19:09.80" id="{A688135E-5EB9-4C5A-B553-7D39F735BE4D}">
        <Attribution userId="S::tasneema@emergy.co.za::9a0cc615-e4de-4e2f-ae82-9f40753a7d8a" userName="Tasneema van Harte" userProvider="AD"/>
        <Anchor>
          <Comment id="{2A5DCC7B-F7A1-434A-A72C-E65FA24965DC}"/>
        </Anchor>
        <SetTitle title="@Mizelda Isaacs and @Thami Cambalele please take a look as this is marked off as paid but the invoice is showing as outstanding on QB"/>
      </Event>
      <Event time="2025-03-10T08:09:17.38" id="{3347D0ED-9448-4DEE-AD16-11F6FBD523DA}">
        <Attribution userId="S::mizelda@emergentenergy.co.za::3a5c2ad2-993e-4fe1-a333-48e19c6adda8" userName="Mizelda Isaacs" userProvider="AD"/>
        <Anchor>
          <Comment id="{4EB58B9A-F2BC-4815-86FC-EB6EE7BE492C}"/>
        </Anchor>
        <UnassignAll/>
      </Event>
      <Event time="2025-03-10T08:09:17.38" id="{40D4B036-FA3E-42E9-85B8-ED85E0AD13F7}">
        <Attribution userId="S::mizelda@emergentenergy.co.za::3a5c2ad2-993e-4fe1-a333-48e19c6adda8" userName="Mizelda Isaacs" userProvider="AD"/>
        <Anchor>
          <Comment id="{4EB58B9A-F2BC-4815-86FC-EB6EE7BE492C}"/>
        </Anchor>
        <Assign userId="S::tasneema@emergy.co.za::9a0cc615-e4de-4e2f-ae82-9f40753a7d8a" userName="Tasneema van Harte" userProvider="AD"/>
      </Event>
    </History>
  </Task>
  <Task id="{6925B7C7-02A0-441B-9D1C-5ACCE8BE170E}">
    <Anchor>
      <Comment id="{387946EA-35E9-4251-A325-57E70D5F426D}"/>
    </Anchor>
    <History>
      <Event time="2025-11-08T13:42:47.66" id="{6B4806FE-B3B1-4140-A148-E16EC438D037}">
        <Attribution userId="S::tasneema@emergy.co.za::9a0cc615-e4de-4e2f-ae82-9f40753a7d8a" userName="Tasneema van Harte" userProvider="AD"/>
        <Anchor>
          <Comment id="{387946EA-35E9-4251-A325-57E70D5F426D}"/>
        </Anchor>
        <Create/>
      </Event>
      <Event time="2025-11-08T13:42:47.66" id="{3819A5B3-390A-4CCC-BF56-33CD5C9DA193}">
        <Attribution userId="S::tasneema@emergy.co.za::9a0cc615-e4de-4e2f-ae82-9f40753a7d8a" userName="Tasneema van Harte" userProvider="AD"/>
        <Anchor>
          <Comment id="{387946EA-35E9-4251-A325-57E70D5F426D}"/>
        </Anchor>
        <Assign userId="S::mizelda@emergentenergy.co.za::3a5c2ad2-993e-4fe1-a333-48e19c6adda8" userName="Mizelda Isaacs" userProvider="AD"/>
      </Event>
      <Event time="2025-11-08T13:42:47.66" id="{899B0661-1A83-4919-BC91-8800125DDE5B}">
        <Attribution userId="S::tasneema@emergy.co.za::9a0cc615-e4de-4e2f-ae82-9f40753a7d8a" userName="Tasneema van Harte" userProvider="AD"/>
        <Anchor>
          <Comment id="{387946EA-35E9-4251-A325-57E70D5F426D}"/>
        </Anchor>
        <SetTitle title="@Roedolph Venter and @Mizelda Isaacs can we please finalize what is due to them"/>
      </Event>
    </History>
  </Task>
  <Task id="{A5E568E3-4675-459A-AE04-8A171CA03815}">
    <Anchor>
      <Comment id="{29559EAB-E9B7-420B-B5C1-29B95BBAAA22}"/>
    </Anchor>
    <History>
      <Event time="2025-11-08T13:43:25.09" id="{61941D8E-2608-4932-BB34-457595ED6ED9}">
        <Attribution userId="S::tasneema@emergy.co.za::9a0cc615-e4de-4e2f-ae82-9f40753a7d8a" userName="Tasneema van Harte" userProvider="AD"/>
        <Anchor>
          <Comment id="{29559EAB-E9B7-420B-B5C1-29B95BBAAA22}"/>
        </Anchor>
        <Create/>
      </Event>
      <Event time="2025-11-08T13:43:25.09" id="{AF384382-92F9-4892-B9BC-FDEB4800A24A}">
        <Attribution userId="S::tasneema@emergy.co.za::9a0cc615-e4de-4e2f-ae82-9f40753a7d8a" userName="Tasneema van Harte" userProvider="AD"/>
        <Anchor>
          <Comment id="{29559EAB-E9B7-420B-B5C1-29B95BBAAA22}"/>
        </Anchor>
        <Assign userId="S::mizelda@emergentenergy.co.za::3a5c2ad2-993e-4fe1-a333-48e19c6adda8" userName="Mizelda Isaacs" userProvider="AD"/>
      </Event>
      <Event time="2025-11-08T13:43:25.09" id="{E7333089-353F-49BE-AC84-FB771FE7749A}">
        <Attribution userId="S::tasneema@emergy.co.za::9a0cc615-e4de-4e2f-ae82-9f40753a7d8a" userName="Tasneema van Harte" userProvider="AD"/>
        <Anchor>
          <Comment id="{29559EAB-E9B7-420B-B5C1-29B95BBAAA22}"/>
        </Anchor>
        <SetTitle title="@Mizelda Isaacs and @Roedolph Venter they need to provide us with a creditnote please"/>
      </Event>
      <Event time="2025-11-26T07:31:09.33" id="{08CB40A0-7D97-4AC1-8358-0F1D4AB12909}">
        <Attribution userId="S::johannes@emergentenergy.co.za::ebfc203a-7452-4ef3-9e97-736da20b03b9" userName="Johannes Potgie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697404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761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00630941-69CC-465A-A1E6-803926FF0EF1}" userId="tasneema@emergy.co.za" providerId="PeoplePicker"/>
  <person displayName="Thami Cambalele" id="{46881A2C-E68E-4797-AA43-7AE8B681CBF8}" userId="thami@emergentenergy.co.za" providerId="PeoplePicker"/>
  <person displayName="Mizelda Isaacs" id="{2D4C56FC-DD0B-4567-9C2C-0CBE446DC245}" userId="mizelda@emergentenergy.co.za" providerId="PeoplePicker"/>
  <person displayName="Roedolph Venter" id="{FC92B4AC-615A-4EA3-93C4-DBC61E55C191}" userId="roedolph@emergentenergy.co.za" providerId="PeoplePicker"/>
  <person displayName="Tasneema van Harte" id="{D52D2863-E4BE-448C-8B96-9480C9255E68}" userId="S::tasneema@emergy.co.za::9a0cc615-e4de-4e2f-ae82-9f40753a7d8a" providerId="AD"/>
  <person displayName="Mizelda Isaacs" id="{96CD1247-3684-4933-AFCC-BE8EC6A2662B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6006365742" createdVersion="8" refreshedVersion="8" minRefreshableVersion="3" recordCount="127" xr:uid="{CFE685BB-DDF2-42BA-9528-D7F36DD72BD0}">
  <cacheSource type="worksheet">
    <worksheetSource ref="M4:X131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3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3">
        <m/>
        <n v="396426.71511303162"/>
        <n v="1691.115321933632"/>
        <n v="11122.335386563502"/>
        <n v="1369.8034107662418"/>
        <n v="35614.21"/>
        <n v="190902.34004698609"/>
        <n v="0"/>
        <n v="1531.80625301387"/>
        <n v="117065.68326135754"/>
        <n v="3833.164848361424"/>
        <n v="886.51779028103726"/>
        <n v="128887.93778823529"/>
        <n v="16021.486711176471"/>
        <n v="24032.230066764703"/>
        <n v="32042.973422352941"/>
        <n v="40053.716777941168"/>
        <n v="8010.7433555882353"/>
        <n v="5922.2722911775818"/>
        <n v="10342.138130487052"/>
        <n v="11797.236875105962"/>
        <n v="26465.154301199822"/>
        <n v="5229.2951437038028"/>
        <n v="45928.237537144909"/>
        <n v="68752.509064762577"/>
        <n v="139.85"/>
        <n v="25643.61548820528"/>
        <n v="38464.54940739282"/>
        <n v="51287.230976410559"/>
        <n v="64109.038720513192"/>
        <n v="12821.80774410264"/>
        <n v="43965.120000000003"/>
        <n v="24476.470585999999"/>
        <n v="36714.705878999994"/>
        <n v="48952.941171999999"/>
        <n v="61191.176464999997"/>
        <n v="12238.235293"/>
        <n v="3961.1558593554782"/>
        <n v="5941.7337890332165"/>
        <n v="10403.391764"/>
        <n v="11281.264705"/>
        <n v="4512.5058820000004"/>
        <n v="2256.2529410000002"/>
        <n v="48923.027511620938"/>
        <n v="11462.155675412685"/>
        <n v="44320.700625619058"/>
        <n v="185736.99650000001"/>
        <n v="1000.1896209783999"/>
        <n v="1154.7592974415215"/>
        <n v="1393.1129142396371"/>
        <n v="654.7688386803319"/>
        <n v="697.46059172083278"/>
        <n v="1000.1896209783989" u="1"/>
        <n v="68892.35630571736" u="1"/>
        <n v="66739.442484999599" u="1"/>
        <n v="697.45668303791024" u="1"/>
        <n v="1352.226516574226" u="1"/>
        <n v="41770.487511620937" u="1"/>
        <n v="5973.9457291482759" u="1"/>
        <n v="4394.2966180754138" u="1"/>
        <n v="36073.124643219853" u="1"/>
        <n v="11906.291517833839" u="1"/>
        <n v="2033.9994051576259" u="1"/>
        <n v="5513.5002264452178" u="1"/>
        <n v="7922.3117187109565" u="1"/>
        <n v="9902.8896483886947" u="1"/>
        <n v="1980.5779296777391" u="1"/>
        <n v="56855.930929626418" u="1"/>
        <n v="36387.795794960904" u="1"/>
        <n v="33470.847884523828" u="1"/>
        <n v="20879.697172349097" u="1"/>
        <n v="70990.970385986933" u="1"/>
        <n v="27143.606324053824" u="1"/>
        <n v="33251.874733086333" u="1"/>
        <n v="1094.2692974415215" u="1"/>
        <n v="45928.129436111318" u="1"/>
        <n v="68892.194154166966" u="1"/>
        <n v="25643.55513097217" u="1"/>
        <n v="38465.332696458245" u="1"/>
        <n v="51287.110261944341" u="1"/>
        <n v="64108.887827430422" u="1"/>
        <n v="12821.777565486085" u="1"/>
        <n v="1313.6622833405336" u="1"/>
        <n v="9811.7961894681848" u="1"/>
        <n v="4374.1399096405366" u="1"/>
        <n v="35611.522845741914" u="1"/>
        <n v="117924.09351476554" u="1"/>
        <n v="3861.2723852344666" u="1"/>
        <n v="11104.260545957966" u="1"/>
        <n v="100170.66284574191" u="1"/>
        <n v="49797.463673936727" u="1"/>
        <n v="174940.133" u="1"/>
        <n v="17494.013299999999" u="1"/>
        <n v="105900.31817391304" u="1"/>
        <n v="15885.047726086954" u="1"/>
        <n v="136566.62942234162" u="1"/>
        <n v="27313.325884468326" u="1"/>
        <n v="12522.284959319006" u="1"/>
        <n v="18783.427438978506" u="1"/>
        <n v="25044.569918638012" u="1"/>
        <n v="31305.71239829751" u="1"/>
        <n v="6261.1424796595029" u="1"/>
        <n v="4681.3532650691241" u="1"/>
        <n v="13768.686073732719" u="1"/>
        <n v="8261.2116442396327" u="1"/>
        <n v="33044.846576958531" u="1"/>
        <n v="37125.587489999998" u="1"/>
        <n v="55688.381234999986" u="1"/>
        <n v="74251.174979999996" u="1"/>
        <n v="92813.968724999984" u="1"/>
        <n v="18562.793744999999" u="1"/>
        <n v="45125.058819999998" u="1"/>
        <n v="47593.58290909091" u="1"/>
        <n v="31729.055272727273" u="1"/>
        <n v="25383.244218181819" u="1"/>
        <n v="4941.1764709999998" u="1"/>
        <n v="394749.85509376321" u="1"/>
        <n v="53151.183712473627" u="1"/>
        <n v="258832.55670623601" u="1"/>
        <n v="58777.824087527981" u="1"/>
        <n v="89881.218274111685" u="1"/>
        <n v="48685.659898477155" u="1"/>
        <n v="8988.121827411167" u="1"/>
        <n v="72489.130434782608" u="1"/>
        <n v="10873.36956521739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23444.345837400248" u="1"/>
        <n v="12101.608735855614" u="1"/>
        <n v="41145.469701909089" u="1"/>
        <n v="15732.0913566123" u="1"/>
        <n v="25583.665268222758" u="1"/>
        <n v="2882.352941000000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433886888436973E-3" maxValue="8.1832578143803403E-4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647765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6541898145" createdVersion="8" refreshedVersion="8" minRefreshableVersion="3" recordCount="127" xr:uid="{5501410B-D70C-4B2D-91F7-76BD0FC02E9D}">
  <cacheSource type="worksheet">
    <worksheetSource ref="N4:T131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6-01-31T00:00:00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x v="0"/>
    <m/>
    <m/>
    <m/>
    <m/>
    <m/>
    <x v="0"/>
    <x v="0"/>
    <m/>
    <m/>
    <m/>
  </r>
  <r>
    <n v="1"/>
    <x v="1"/>
    <s v="Canadian Solar 555W - Deposit - Herholdts"/>
    <n v="450"/>
    <n v="1415.25"/>
    <n v="318431.25"/>
    <s v="Herholdts Inv: INV875402"/>
    <x v="1"/>
    <x v="1"/>
    <n v="-4.4532667379826307E-4"/>
    <d v="2024-09-27T00:00:00"/>
    <n v="647765.5"/>
  </r>
  <r>
    <n v="1"/>
    <x v="1"/>
    <m/>
    <m/>
    <m/>
    <n v="318431.25"/>
    <s v="Herholdts Inv: INV875402"/>
    <x v="1"/>
    <x v="1"/>
    <m/>
    <d v="2024-10-31T00:00:00"/>
    <m/>
  </r>
  <r>
    <n v="1"/>
    <x v="1"/>
    <s v="Storage handling Fee"/>
    <m/>
    <m/>
    <n v="1300"/>
    <s v="Supply Chain: Inv SCO04502"/>
    <x v="2"/>
    <x v="2"/>
    <m/>
    <d v="2024-11-29T00:00:00"/>
    <m/>
  </r>
  <r>
    <n v="1"/>
    <x v="1"/>
    <s v="Delivery"/>
    <m/>
    <m/>
    <n v="8550"/>
    <s v="Supply Chain: Inv SCO04533"/>
    <x v="2"/>
    <x v="3"/>
    <m/>
    <d v="2024-11-29T00:00:00"/>
    <m/>
  </r>
  <r>
    <n v="1"/>
    <x v="1"/>
    <s v="Storage"/>
    <m/>
    <m/>
    <n v="1053"/>
    <s v="Supply Chain: Inv SCO04502"/>
    <x v="2"/>
    <x v="4"/>
    <m/>
    <d v="2024-11-29T00:00:00"/>
    <m/>
  </r>
  <r>
    <n v="1"/>
    <x v="1"/>
    <s v="Delivery and storage budget"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2"/>
    <n v="68870"/>
    <n v="137740"/>
    <s v="Kathea Inv518635"/>
    <x v="5"/>
    <x v="6"/>
    <n v="0"/>
    <d v="2024-10-30T00:00:00"/>
    <n v="138845.23000000001"/>
  </r>
  <r>
    <n v="2"/>
    <x v="2"/>
    <m/>
    <m/>
    <m/>
    <m/>
    <m/>
    <x v="4"/>
    <x v="7"/>
    <m/>
    <m/>
    <m/>
  </r>
  <r>
    <n v="2"/>
    <x v="2"/>
    <s v="Delivery"/>
    <m/>
    <m/>
    <n v="1105.23"/>
    <s v="Kathea Inv518635"/>
    <x v="5"/>
    <x v="8"/>
    <m/>
    <d v="2024-10-30T00:00:00"/>
    <m/>
  </r>
  <r>
    <n v="2"/>
    <x v="2"/>
    <m/>
    <m/>
    <m/>
    <m/>
    <m/>
    <x v="4"/>
    <x v="7"/>
    <m/>
    <m/>
    <m/>
  </r>
  <r>
    <m/>
    <x v="0"/>
    <m/>
    <m/>
    <m/>
    <m/>
    <m/>
    <x v="4"/>
    <x v="0"/>
    <m/>
    <m/>
    <m/>
  </r>
  <r>
    <n v="3"/>
    <x v="3"/>
    <s v="MS"/>
    <n v="1"/>
    <n v="56499.4"/>
    <n v="56499.4"/>
    <s v="Schletter Inv0891"/>
    <x v="5"/>
    <x v="9"/>
    <n v="0"/>
    <d v="2024-09-23T00:00:00"/>
    <n v="169924.22"/>
  </r>
  <r>
    <n v="3"/>
    <x v="3"/>
    <m/>
    <m/>
    <m/>
    <n v="-56499.4"/>
    <s v="Schletter Inv0891"/>
    <x v="6"/>
    <x v="7"/>
    <m/>
    <d v="2024-12-31T00:00:00"/>
    <m/>
  </r>
  <r>
    <n v="3"/>
    <x v="3"/>
    <m/>
    <m/>
    <m/>
    <n v="44229.04"/>
    <s v="Schletter Inv0891"/>
    <x v="6"/>
    <x v="0"/>
    <m/>
    <d v="2024-12-31T00:00:00"/>
    <m/>
  </r>
  <r>
    <n v="3"/>
    <x v="3"/>
    <s v="Delivery"/>
    <m/>
    <m/>
    <n v="1850"/>
    <s v="Schletter Inv0893"/>
    <x v="5"/>
    <x v="10"/>
    <m/>
    <d v="2024-09-23T00:00:00"/>
    <m/>
  </r>
  <r>
    <n v="3"/>
    <x v="3"/>
    <s v="Seam Clamps"/>
    <m/>
    <m/>
    <n v="155413"/>
    <s v="Schletter Inv: INV1051"/>
    <x v="3"/>
    <x v="7"/>
    <m/>
    <d v="2024-12-19T00:00:00"/>
    <m/>
  </r>
  <r>
    <n v="3"/>
    <x v="3"/>
    <s v="Seam Clamp Returned"/>
    <m/>
    <m/>
    <n v="-31995.68"/>
    <s v="Schletter Credit: CRN0160"/>
    <x v="3"/>
    <x v="0"/>
    <m/>
    <d v="2024-12-19T00:00:00"/>
    <m/>
  </r>
  <r>
    <n v="3"/>
    <x v="3"/>
    <m/>
    <m/>
    <m/>
    <n v="427.86"/>
    <s v="DSV Inv: 180099596"/>
    <x v="2"/>
    <x v="11"/>
    <m/>
    <d v="2024-11-29T00:00:00"/>
    <m/>
  </r>
  <r>
    <m/>
    <x v="0"/>
    <m/>
    <m/>
    <m/>
    <m/>
    <m/>
    <x v="4"/>
    <x v="0"/>
    <m/>
    <m/>
    <m/>
  </r>
  <r>
    <n v="4"/>
    <x v="4"/>
    <s v="DC Cable "/>
    <n v="8000"/>
    <n v="13.5"/>
    <n v="108000"/>
    <s v="Herholdts Inv: INV922149"/>
    <x v="2"/>
    <x v="12"/>
    <n v="0"/>
    <d v="2024-10-31T00:00:00"/>
    <n v="242250"/>
  </r>
  <r>
    <n v="4"/>
    <x v="4"/>
    <s v="Delivery"/>
    <m/>
    <m/>
    <n v="0"/>
    <m/>
    <x v="0"/>
    <x v="7"/>
    <m/>
    <m/>
    <m/>
  </r>
  <r>
    <n v="4"/>
    <x v="4"/>
    <s v="Project Kick Off"/>
    <n v="134250"/>
    <n v="0.1"/>
    <n v="13425"/>
    <s v="Thula Moya Inv04436"/>
    <x v="5"/>
    <x v="13"/>
    <m/>
    <d v="2024-09-25T00:00:00"/>
    <m/>
  </r>
  <r>
    <n v="4"/>
    <x v="4"/>
    <s v="Site Establishment"/>
    <m/>
    <n v="0.15"/>
    <n v="20137.5"/>
    <s v="Thula Moya Inv04439"/>
    <x v="5"/>
    <x v="14"/>
    <m/>
    <d v="2024-10-10T00:00:00"/>
    <m/>
  </r>
  <r>
    <n v="4"/>
    <x v="4"/>
    <s v="AC Installation Complete"/>
    <m/>
    <n v="0.2"/>
    <n v="26850"/>
    <s v="Thula Moya IN04473"/>
    <x v="2"/>
    <x v="15"/>
    <m/>
    <d v="2024-10-31T00:00:00"/>
    <m/>
  </r>
  <r>
    <n v="4"/>
    <x v="4"/>
    <s v="DC Installation Complete"/>
    <m/>
    <n v="0.25"/>
    <n v="33562.5"/>
    <s v="Thula Moya IN04474"/>
    <x v="2"/>
    <x v="16"/>
    <m/>
    <d v="2024-10-31T00:00:00"/>
    <m/>
  </r>
  <r>
    <n v="4"/>
    <x v="4"/>
    <s v="Commissioning Complete"/>
    <m/>
    <n v="0.1"/>
    <n v="13425"/>
    <s v="Thula Moya IN04475"/>
    <x v="2"/>
    <x v="13"/>
    <m/>
    <d v="2024-11-14T00:00:00"/>
    <m/>
  </r>
  <r>
    <n v="4"/>
    <x v="4"/>
    <s v="Site De-establisment"/>
    <m/>
    <n v="0.1"/>
    <n v="13425"/>
    <s v="Thula Moya IN04476"/>
    <x v="2"/>
    <x v="13"/>
    <m/>
    <d v="2024-12-05T00:00:00"/>
    <m/>
  </r>
  <r>
    <n v="4"/>
    <x v="4"/>
    <s v="Handover Document Complete"/>
    <m/>
    <n v="0.05"/>
    <n v="6712.5"/>
    <s v="Thula Moya IN04598"/>
    <x v="7"/>
    <x v="17"/>
    <m/>
    <d v="2025-02-13T00:00:00"/>
    <m/>
  </r>
  <r>
    <n v="4"/>
    <x v="4"/>
    <s v="End of Defects Period"/>
    <m/>
    <n v="0.05"/>
    <n v="6712.5"/>
    <s v="Thula Moya IN04599"/>
    <x v="7"/>
    <x v="17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18"/>
    <n v="8.1832578143803403E-4"/>
    <d v="2024-09-30T00:00:00"/>
    <n v="71452.009999999995"/>
  </r>
  <r>
    <n v="5"/>
    <x v="5"/>
    <s v="CTs"/>
    <m/>
    <m/>
    <n v="13970.5"/>
    <s v="AccuEnergy ASAI-003743"/>
    <x v="8"/>
    <x v="19"/>
    <m/>
    <d v="2024-09-30T00:00:00"/>
    <m/>
  </r>
  <r>
    <n v="5"/>
    <x v="5"/>
    <s v="Revenue Grade Meter"/>
    <n v="1"/>
    <n v="11169"/>
    <n v="11169"/>
    <s v="MATRIARCH - INV-3278"/>
    <x v="3"/>
    <x v="20"/>
    <m/>
    <d v="2024-11-30T00:00:00"/>
    <m/>
  </r>
  <r>
    <n v="5"/>
    <x v="5"/>
    <s v="SCADA"/>
    <m/>
    <m/>
    <n v="35750"/>
    <s v="Rubicon INVWCRE-0060133"/>
    <x v="8"/>
    <x v="21"/>
    <m/>
    <d v="2024-09-27T00:00:00"/>
    <m/>
  </r>
  <r>
    <n v="5"/>
    <x v="5"/>
    <s v="Frontline Comms Equipment"/>
    <m/>
    <m/>
    <n v="2562.5099999999998"/>
    <s v="Frontline Electrical: INV697940"/>
    <x v="2"/>
    <x v="22"/>
    <m/>
    <d v="2024-10-10T00:00:00"/>
    <m/>
  </r>
  <r>
    <n v="5"/>
    <x v="5"/>
    <m/>
    <m/>
    <m/>
    <m/>
    <m/>
    <x v="4"/>
    <x v="7"/>
    <m/>
    <m/>
    <m/>
  </r>
  <r>
    <m/>
    <x v="0"/>
    <m/>
    <m/>
    <m/>
    <m/>
    <m/>
    <x v="4"/>
    <x v="0"/>
    <m/>
    <m/>
    <m/>
  </r>
  <r>
    <n v="6"/>
    <x v="6"/>
    <m/>
    <m/>
    <m/>
    <m/>
    <m/>
    <x v="4"/>
    <x v="7"/>
    <n v="-2.7590451645664871E-3"/>
    <m/>
    <n v="212863.60000000003"/>
  </r>
  <r>
    <n v="1"/>
    <x v="6"/>
    <s v="AC &amp; Comms Board - Deposit"/>
    <n v="0.4"/>
    <n v="65700"/>
    <n v="26280"/>
    <s v="Cosmic Sun CS_SAMPVDB_001"/>
    <x v="5"/>
    <x v="23"/>
    <m/>
    <d v="2024-09-27T00:00:00"/>
    <m/>
  </r>
  <r>
    <n v="2"/>
    <x v="6"/>
    <s v="AC &amp; Comms Board - Balance"/>
    <n v="0.6"/>
    <m/>
    <n v="39420"/>
    <s v="Cosmic Sun CS_SAMPVDB_002"/>
    <x v="2"/>
    <x v="24"/>
    <m/>
    <d v="2024-10-31T00:00:00"/>
    <m/>
  </r>
  <r>
    <n v="3"/>
    <x v="6"/>
    <s v="Copper Stub Fabrication"/>
    <m/>
    <m/>
    <n v="0"/>
    <m/>
    <x v="0"/>
    <x v="7"/>
    <m/>
    <m/>
    <m/>
  </r>
  <r>
    <n v="4"/>
    <x v="6"/>
    <s v="AC Cable"/>
    <m/>
    <m/>
    <n v="432.1"/>
    <s v="Gerhard Exp Claim"/>
    <x v="9"/>
    <x v="25"/>
    <m/>
    <d v="2025-06-09T00:00:00"/>
    <m/>
  </r>
  <r>
    <n v="5"/>
    <x v="6"/>
    <m/>
    <m/>
    <m/>
    <m/>
    <m/>
    <x v="4"/>
    <x v="7"/>
    <m/>
    <m/>
    <m/>
  </r>
  <r>
    <n v="6"/>
    <x v="6"/>
    <s v="Project Kick Off"/>
    <n v="146732"/>
    <n v="0.1"/>
    <n v="14673.2"/>
    <s v="Thula Moya Inv04436"/>
    <x v="5"/>
    <x v="26"/>
    <m/>
    <d v="2024-09-25T00:00:00"/>
    <m/>
  </r>
  <r>
    <n v="6"/>
    <x v="6"/>
    <s v="Site Establishment"/>
    <m/>
    <n v="0.15"/>
    <n v="22009.3"/>
    <s v="Thula Moya Inv04439"/>
    <x v="5"/>
    <x v="27"/>
    <m/>
    <d v="2024-10-10T00:00:00"/>
    <m/>
  </r>
  <r>
    <n v="6"/>
    <x v="6"/>
    <s v="AC Installation Complete"/>
    <m/>
    <n v="0.2"/>
    <n v="29346.400000000001"/>
    <s v="Thula Moya IN04473"/>
    <x v="2"/>
    <x v="28"/>
    <m/>
    <d v="2024-10-31T00:00:00"/>
    <m/>
  </r>
  <r>
    <n v="6"/>
    <x v="6"/>
    <s v="DC Installation Complete"/>
    <m/>
    <n v="0.25"/>
    <n v="36683"/>
    <s v="Thula Moya IN04474"/>
    <x v="2"/>
    <x v="29"/>
    <m/>
    <d v="2024-10-31T00:00:00"/>
    <m/>
  </r>
  <r>
    <n v="6"/>
    <x v="6"/>
    <s v="Commissioning Complete"/>
    <m/>
    <n v="0.1"/>
    <n v="14673.2"/>
    <s v="Thula Moya IN04475"/>
    <x v="2"/>
    <x v="26"/>
    <m/>
    <d v="2024-11-14T00:00:00"/>
    <m/>
  </r>
  <r>
    <n v="6"/>
    <x v="6"/>
    <s v="Site De-establisment"/>
    <m/>
    <n v="0.1"/>
    <n v="14673.2"/>
    <s v="Thula Moya IN04476"/>
    <x v="2"/>
    <x v="26"/>
    <m/>
    <d v="2024-12-05T00:00:00"/>
    <m/>
  </r>
  <r>
    <n v="6"/>
    <x v="6"/>
    <s v="Handover Document Complete"/>
    <m/>
    <n v="0.05"/>
    <n v="7336.6"/>
    <s v="Thula Moya IN04598"/>
    <x v="7"/>
    <x v="30"/>
    <m/>
    <d v="2025-02-13T00:00:00"/>
    <m/>
  </r>
  <r>
    <n v="6"/>
    <x v="6"/>
    <s v="End of Defects Period"/>
    <m/>
    <n v="0.05"/>
    <n v="7336.6"/>
    <s v="Thula Moya IN04599"/>
    <x v="7"/>
    <x v="30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Inv 01048652"/>
    <x v="2"/>
    <x v="7"/>
    <n v="0"/>
    <d v="2024-10-10T00:00:00"/>
    <n v="158729.51999999999"/>
  </r>
  <r>
    <n v="8"/>
    <x v="8"/>
    <s v="Mounting Structure for Walkways"/>
    <m/>
    <m/>
    <n v="4244.32"/>
    <s v="Schletter INV0951"/>
    <x v="2"/>
    <x v="7"/>
    <m/>
    <d v="2024-11-29T00:00:00"/>
    <m/>
  </r>
  <r>
    <n v="8"/>
    <x v="8"/>
    <s v="Walkways"/>
    <m/>
    <m/>
    <n v="35695.800000000003"/>
    <s v="Onvlee Engineering:Inv 01048652"/>
    <x v="2"/>
    <x v="7"/>
    <m/>
    <d v="2024-10-10T00:00:00"/>
    <m/>
  </r>
  <r>
    <n v="8"/>
    <x v="8"/>
    <m/>
    <m/>
    <m/>
    <m/>
    <m/>
    <x v="3"/>
    <x v="31"/>
    <m/>
    <d v="2024-11-30T00:00:00"/>
    <m/>
  </r>
  <r>
    <n v="8"/>
    <x v="8"/>
    <s v="Installation of walkways"/>
    <m/>
    <m/>
    <n v="8316"/>
    <s v="Thula Moya IN04600"/>
    <x v="7"/>
    <x v="0"/>
    <m/>
    <d v="2025-07-31T00:00:00"/>
    <m/>
  </r>
  <r>
    <n v="8"/>
    <x v="8"/>
    <s v="Manufacture Cages Housing Inverters &amp; DB"/>
    <m/>
    <m/>
    <n v="72608.7"/>
    <s v="Thula Moya Inv IN04471"/>
    <x v="2"/>
    <x v="7"/>
    <m/>
    <d v="2024-10-31T00:00:00"/>
    <m/>
  </r>
  <r>
    <n v="8"/>
    <x v="8"/>
    <s v="Additional walkways"/>
    <m/>
    <m/>
    <n v="9538.74"/>
    <s v="Onvlee Engineering ONV1485"/>
    <x v="10"/>
    <x v="0"/>
    <m/>
    <d v="2025-08-21T00:00:00"/>
    <m/>
  </r>
  <r>
    <n v="8"/>
    <x v="8"/>
    <s v="Supply and install Tie in Breaker - Thula Moya"/>
    <m/>
    <m/>
    <n v="24300.959999999999"/>
    <s v="Thula Moya IN04486"/>
    <x v="2"/>
    <x v="7"/>
    <m/>
    <d v="2024-10-31T00:00:00"/>
    <m/>
  </r>
  <r>
    <m/>
    <x v="0"/>
    <m/>
    <m/>
    <m/>
    <m/>
    <m/>
    <x v="4"/>
    <x v="0"/>
    <m/>
    <m/>
    <m/>
  </r>
  <r>
    <n v="9"/>
    <x v="9"/>
    <s v="Project Kick Off"/>
    <n v="175013.8"/>
    <n v="0.1"/>
    <n v="17501.38"/>
    <s v="Thula Moya Inv04436"/>
    <x v="5"/>
    <x v="32"/>
    <n v="0"/>
    <d v="2024-09-25T00:00:00"/>
    <n v="175013.8"/>
  </r>
  <r>
    <n v="9"/>
    <x v="9"/>
    <s v="Site Establishment"/>
    <m/>
    <n v="0.15"/>
    <n v="26252.069999999996"/>
    <s v="Thula Moya Inv04439"/>
    <x v="5"/>
    <x v="33"/>
    <m/>
    <d v="2024-10-10T00:00:00"/>
    <m/>
  </r>
  <r>
    <n v="9"/>
    <x v="9"/>
    <s v="AC Installation Complete"/>
    <m/>
    <n v="0.2"/>
    <n v="35002.76"/>
    <s v="Thula Moya IN04473"/>
    <x v="2"/>
    <x v="34"/>
    <m/>
    <d v="2024-10-31T00:00:00"/>
    <m/>
  </r>
  <r>
    <n v="9"/>
    <x v="9"/>
    <s v="DC Installation Complete"/>
    <m/>
    <n v="0.25"/>
    <n v="43753.45"/>
    <s v="Thula Moya IN04474"/>
    <x v="2"/>
    <x v="35"/>
    <m/>
    <d v="2024-10-31T00:00:00"/>
    <m/>
  </r>
  <r>
    <n v="9"/>
    <x v="9"/>
    <s v="Commissioning Complete"/>
    <m/>
    <n v="0.1"/>
    <n v="17501.38"/>
    <s v="Thula Moya IN04475"/>
    <x v="2"/>
    <x v="32"/>
    <m/>
    <d v="2024-11-14T00:00:00"/>
    <m/>
  </r>
  <r>
    <n v="9"/>
    <x v="9"/>
    <s v="Site De-establisment"/>
    <m/>
    <n v="0.1"/>
    <n v="17501.38"/>
    <s v="Thula Moya IN04476"/>
    <x v="2"/>
    <x v="32"/>
    <m/>
    <d v="2024-12-05T00:00:00"/>
    <m/>
  </r>
  <r>
    <n v="9"/>
    <x v="9"/>
    <s v="Handover Document Complete"/>
    <m/>
    <n v="0.05"/>
    <n v="8750.69"/>
    <s v="Thula Moya IN04598"/>
    <x v="7"/>
    <x v="36"/>
    <m/>
    <d v="2025-02-13T00:00:00"/>
    <m/>
  </r>
  <r>
    <n v="9"/>
    <x v="9"/>
    <s v="End of Defects Period"/>
    <m/>
    <n v="0.05"/>
    <n v="8750.69"/>
    <s v="Thula Moya IN04599"/>
    <x v="7"/>
    <x v="36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7"/>
    <n v="-4.9433886888436973E-3"/>
    <m/>
    <n v="107767"/>
  </r>
  <r>
    <n v="10"/>
    <x v="10"/>
    <m/>
    <m/>
    <m/>
    <m/>
    <m/>
    <x v="4"/>
    <x v="7"/>
    <m/>
    <m/>
    <m/>
  </r>
  <r>
    <n v="10"/>
    <x v="10"/>
    <s v="Project Kick Off"/>
    <n v="107767"/>
    <n v="0.1"/>
    <n v="10776.7"/>
    <s v="Thula Moya Inv04436"/>
    <x v="5"/>
    <x v="37"/>
    <m/>
    <d v="2024-09-25T00:00:00"/>
    <m/>
  </r>
  <r>
    <n v="10"/>
    <x v="10"/>
    <s v="Site Establishment"/>
    <m/>
    <n v="0.15"/>
    <n v="16165.05"/>
    <s v="Thula Moya Inv04439"/>
    <x v="5"/>
    <x v="38"/>
    <m/>
    <d v="2024-10-10T00:00:00"/>
    <m/>
  </r>
  <r>
    <n v="10"/>
    <x v="10"/>
    <s v="AC Installation Complete"/>
    <m/>
    <n v="0.2"/>
    <n v="21553.4"/>
    <s v="Thula Moya IN04473"/>
    <x v="2"/>
    <x v="39"/>
    <m/>
    <d v="2024-10-31T00:00:00"/>
    <m/>
  </r>
  <r>
    <n v="10"/>
    <x v="10"/>
    <s v="DC Installation Complete"/>
    <m/>
    <n v="0.25"/>
    <n v="26941.75"/>
    <s v="Thula Moya IN04474"/>
    <x v="2"/>
    <x v="40"/>
    <m/>
    <d v="2024-10-31T00:00:00"/>
    <m/>
  </r>
  <r>
    <n v="10"/>
    <x v="10"/>
    <s v="Commissioning Complete"/>
    <m/>
    <n v="0.1"/>
    <n v="10776.7"/>
    <s v="Thula Moya IN04475"/>
    <x v="2"/>
    <x v="41"/>
    <m/>
    <d v="2024-11-14T00:00:00"/>
    <m/>
  </r>
  <r>
    <n v="10"/>
    <x v="10"/>
    <s v="Site De-establisment"/>
    <m/>
    <n v="0.1"/>
    <n v="10776.7"/>
    <s v="Thula Moya IN04476"/>
    <x v="2"/>
    <x v="41"/>
    <m/>
    <d v="2024-12-05T00:00:00"/>
    <m/>
  </r>
  <r>
    <n v="10"/>
    <x v="10"/>
    <s v="Handover Document Complete"/>
    <m/>
    <n v="0.05"/>
    <n v="5388.35"/>
    <s v="Thula Moya IN04598"/>
    <x v="7"/>
    <x v="42"/>
    <m/>
    <d v="2025-02-13T00:00:00"/>
    <m/>
  </r>
  <r>
    <n v="10"/>
    <x v="10"/>
    <s v="End of Defects Period"/>
    <m/>
    <n v="0.05"/>
    <n v="5388.35"/>
    <s v="Thula Moya IN04599"/>
    <x v="7"/>
    <x v="42"/>
    <m/>
    <d v="2025-03-06T00:00:00"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m/>
    <x v="0"/>
    <m/>
    <m/>
    <m/>
    <m/>
    <m/>
    <x v="4"/>
    <x v="0"/>
    <m/>
    <m/>
    <m/>
  </r>
  <r>
    <n v="11"/>
    <x v="11"/>
    <s v="Electrical PrEng sign off"/>
    <m/>
    <m/>
    <n v="5654.76"/>
    <s v="Sun Spot Inv E005"/>
    <x v="3"/>
    <x v="43"/>
    <n v="-1.4126526803011075E-3"/>
    <d v="2025-01-16T00:00:00"/>
    <n v="14174.76"/>
  </r>
  <r>
    <n v="11"/>
    <x v="11"/>
    <s v="Structural sign off"/>
    <m/>
    <m/>
    <n v="2520"/>
    <s v="L&amp;B Consulting Inv1742"/>
    <x v="8"/>
    <x v="44"/>
    <m/>
    <d v="2024-09-02T00:00:00"/>
    <m/>
  </r>
  <r>
    <n v="11"/>
    <x v="11"/>
    <m/>
    <m/>
    <m/>
    <m/>
    <m/>
    <x v="4"/>
    <x v="7"/>
    <m/>
    <m/>
    <m/>
  </r>
  <r>
    <n v="11"/>
    <x v="11"/>
    <m/>
    <m/>
    <m/>
    <m/>
    <m/>
    <x v="4"/>
    <x v="7"/>
    <m/>
    <m/>
    <m/>
  </r>
  <r>
    <n v="11"/>
    <x v="11"/>
    <s v="Red Team Inspection"/>
    <m/>
    <m/>
    <n v="6000"/>
    <s v="MATRIARCH - INV-3413"/>
    <x v="3"/>
    <x v="45"/>
    <m/>
    <d v="2024-11-30T00:00:00"/>
    <m/>
  </r>
  <r>
    <m/>
    <x v="0"/>
    <m/>
    <m/>
    <m/>
    <m/>
    <m/>
    <x v="4"/>
    <x v="0"/>
    <m/>
    <m/>
    <m/>
  </r>
  <r>
    <n v="12"/>
    <x v="12"/>
    <s v="Referral Fee"/>
    <m/>
    <m/>
    <n v="31521.67"/>
    <s v="Green Co Inv: 0000518"/>
    <x v="8"/>
    <x v="0"/>
    <m/>
    <d v="2024-09-02T00:00:00"/>
    <n v="63043.34"/>
  </r>
  <r>
    <n v="12"/>
    <x v="12"/>
    <s v="Referral Fee"/>
    <m/>
    <m/>
    <n v="31521.67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30778.237542348252"/>
    <s v="MATRIARCH - INV-3414"/>
    <x v="3"/>
    <x v="46"/>
    <n v="0"/>
    <d v="2024-11-30T00:00:00"/>
    <n v="62399.999999999993"/>
  </r>
  <r>
    <n v="13"/>
    <x v="13"/>
    <s v="Performance Guarantee"/>
    <m/>
    <m/>
    <n v="62400"/>
    <s v="Matriarch - INV-5021"/>
    <x v="10"/>
    <x v="0"/>
    <m/>
    <d v="2025-08-31T00:00:00"/>
    <m/>
  </r>
  <r>
    <n v="13"/>
    <x v="13"/>
    <s v="Matriarch Defects Period"/>
    <m/>
    <m/>
    <n v="-30778.237542348252"/>
    <s v="Matriarch - CN-5022"/>
    <x v="10"/>
    <x v="0"/>
    <m/>
    <d v="2025-08-31T00:00:00"/>
    <m/>
  </r>
  <r>
    <n v="13"/>
    <x v="13"/>
    <m/>
    <m/>
    <m/>
    <m/>
    <m/>
    <x v="0"/>
    <x v="0"/>
    <m/>
    <m/>
    <m/>
  </r>
  <r>
    <n v="13"/>
    <x v="13"/>
    <m/>
    <m/>
    <m/>
    <m/>
    <m/>
    <x v="0"/>
    <x v="0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522.75"/>
    <s v="Expense Claim"/>
    <x v="8"/>
    <x v="47"/>
    <n v="-4.7920607236306978E-3"/>
    <d v="2024-09-05T00:00:00"/>
    <n v="7385.6400000000012"/>
  </r>
  <r>
    <n v="14"/>
    <x v="14"/>
    <m/>
    <m/>
    <m/>
    <n v="1570.97"/>
    <s v="Expense Claim"/>
    <x v="5"/>
    <x v="48"/>
    <m/>
    <d v="2024-10-04T00:00:00"/>
    <m/>
  </r>
  <r>
    <n v="14"/>
    <x v="14"/>
    <m/>
    <m/>
    <m/>
    <n v="1671"/>
    <s v="Expense Claim"/>
    <x v="2"/>
    <x v="49"/>
    <m/>
    <d v="2024-11-07T00:00:00"/>
    <m/>
  </r>
  <r>
    <n v="14"/>
    <x v="14"/>
    <m/>
    <m/>
    <m/>
    <n v="0"/>
    <s v="Expense Claim"/>
    <x v="3"/>
    <x v="7"/>
    <m/>
    <d v="2024-12-07T00:00:00"/>
    <m/>
  </r>
  <r>
    <n v="14"/>
    <x v="14"/>
    <m/>
    <m/>
    <m/>
    <n v="1109.72"/>
    <s v="Expense Claim"/>
    <x v="7"/>
    <x v="50"/>
    <m/>
    <d v="2025-02-07T00:00:00"/>
    <m/>
  </r>
  <r>
    <n v="14"/>
    <x v="14"/>
    <m/>
    <m/>
    <m/>
    <n v="423.22"/>
    <s v="Expense Claim"/>
    <x v="11"/>
    <x v="51"/>
    <m/>
    <d v="2025-03-06T00:00:00"/>
    <m/>
  </r>
  <r>
    <n v="14"/>
    <x v="14"/>
    <m/>
    <m/>
    <m/>
    <n v="1087.98"/>
    <s v="Expense Claim"/>
    <x v="12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41979.199999999997"/>
  </r>
  <r>
    <n v="15"/>
    <x v="15"/>
    <s v="Defect Correction"/>
    <m/>
    <m/>
    <n v="32247.49"/>
    <s v="Cosmic Sun Inv: CS_SAM22_001"/>
    <x v="9"/>
    <x v="0"/>
    <m/>
    <d v="2025-05-15T00:00:00"/>
    <m/>
  </r>
  <r>
    <n v="15"/>
    <x v="15"/>
    <s v="Roof remedial work "/>
    <m/>
    <m/>
    <n v="9731.7099999999991"/>
    <s v="Thula Moya - IN04750"/>
    <x v="13"/>
    <x v="0"/>
    <m/>
    <d v="2025-12-30T00:00:00"/>
    <m/>
  </r>
  <r>
    <n v="15"/>
    <x v="15"/>
    <m/>
    <m/>
    <m/>
    <m/>
    <m/>
    <x v="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m/>
    <m/>
    <m/>
    <m/>
    <m/>
    <x v="0"/>
  </r>
  <r>
    <x v="1"/>
    <s v="Canadian Solar 555W - Deposit - Herholdts"/>
    <n v="450"/>
    <n v="1415.25"/>
    <n v="318431.25"/>
    <s v="Herholdts Inv: INV875402"/>
    <x v="1"/>
  </r>
  <r>
    <x v="1"/>
    <m/>
    <m/>
    <m/>
    <n v="318431.25"/>
    <s v="Herholdts Inv: INV875402"/>
    <x v="1"/>
  </r>
  <r>
    <x v="1"/>
    <s v="Storage handling Fee"/>
    <m/>
    <m/>
    <n v="1300"/>
    <s v="Supply Chain: Inv SCO04502"/>
    <x v="2"/>
  </r>
  <r>
    <x v="1"/>
    <s v="Delivery"/>
    <m/>
    <m/>
    <n v="8550"/>
    <s v="Supply Chain: Inv SCO04533"/>
    <x v="2"/>
  </r>
  <r>
    <x v="1"/>
    <s v="Storage"/>
    <m/>
    <m/>
    <n v="1053"/>
    <s v="Supply Chain: Inv SCO04502"/>
    <x v="2"/>
  </r>
  <r>
    <x v="1"/>
    <s v="Delivery and storage budget"/>
    <m/>
    <m/>
    <m/>
    <m/>
    <x v="3"/>
  </r>
  <r>
    <x v="0"/>
    <m/>
    <m/>
    <m/>
    <m/>
    <m/>
    <x v="4"/>
  </r>
  <r>
    <x v="2"/>
    <s v="Huawei 100KTL"/>
    <n v="2"/>
    <n v="68870"/>
    <n v="137740"/>
    <s v="Kathea Inv518635"/>
    <x v="5"/>
  </r>
  <r>
    <x v="2"/>
    <m/>
    <m/>
    <m/>
    <m/>
    <m/>
    <x v="4"/>
  </r>
  <r>
    <x v="2"/>
    <s v="Delivery"/>
    <m/>
    <m/>
    <n v="1105.23"/>
    <s v="Kathea Inv518635"/>
    <x v="5"/>
  </r>
  <r>
    <x v="2"/>
    <m/>
    <m/>
    <m/>
    <m/>
    <m/>
    <x v="4"/>
  </r>
  <r>
    <x v="0"/>
    <m/>
    <m/>
    <m/>
    <m/>
    <m/>
    <x v="4"/>
  </r>
  <r>
    <x v="3"/>
    <s v="MS"/>
    <n v="1"/>
    <n v="56499.4"/>
    <n v="56499.4"/>
    <s v="Schletter Inv0891"/>
    <x v="5"/>
  </r>
  <r>
    <x v="3"/>
    <m/>
    <m/>
    <m/>
    <n v="-56499.4"/>
    <s v="Schletter Inv0891"/>
    <x v="6"/>
  </r>
  <r>
    <x v="3"/>
    <m/>
    <m/>
    <m/>
    <n v="44229.04"/>
    <s v="Schletter Inv0891"/>
    <x v="6"/>
  </r>
  <r>
    <x v="3"/>
    <s v="Delivery"/>
    <m/>
    <m/>
    <n v="1850"/>
    <s v="Schletter Inv0893"/>
    <x v="5"/>
  </r>
  <r>
    <x v="3"/>
    <s v="Seam Clamps"/>
    <m/>
    <m/>
    <n v="155413"/>
    <s v="Schletter Inv: INV1051"/>
    <x v="3"/>
  </r>
  <r>
    <x v="3"/>
    <s v="Seam Clamp Returned"/>
    <m/>
    <m/>
    <n v="-31995.68"/>
    <s v="Schletter Credit: CRN0160"/>
    <x v="3"/>
  </r>
  <r>
    <x v="3"/>
    <m/>
    <m/>
    <m/>
    <n v="427.86"/>
    <s v="DSV Inv: 180099596"/>
    <x v="2"/>
  </r>
  <r>
    <x v="0"/>
    <m/>
    <m/>
    <m/>
    <m/>
    <m/>
    <x v="4"/>
  </r>
  <r>
    <x v="4"/>
    <s v="DC Cable "/>
    <n v="8000"/>
    <n v="13.5"/>
    <n v="108000"/>
    <s v="Herholdts Inv: INV922149"/>
    <x v="2"/>
  </r>
  <r>
    <x v="4"/>
    <s v="Delivery"/>
    <m/>
    <m/>
    <n v="0"/>
    <m/>
    <x v="0"/>
  </r>
  <r>
    <x v="4"/>
    <s v="Project Kick Off"/>
    <n v="134250"/>
    <n v="0.1"/>
    <n v="13425"/>
    <s v="Thula Moya Inv04436"/>
    <x v="5"/>
  </r>
  <r>
    <x v="4"/>
    <s v="Site Establishment"/>
    <m/>
    <n v="0.15"/>
    <n v="20137.5"/>
    <s v="Thula Moya Inv04439"/>
    <x v="5"/>
  </r>
  <r>
    <x v="4"/>
    <s v="AC Installation Complete"/>
    <m/>
    <n v="0.2"/>
    <n v="26850"/>
    <s v="Thula Moya IN04473"/>
    <x v="2"/>
  </r>
  <r>
    <x v="4"/>
    <s v="DC Installation Complete"/>
    <m/>
    <n v="0.25"/>
    <n v="33562.5"/>
    <s v="Thula Moya IN04474"/>
    <x v="2"/>
  </r>
  <r>
    <x v="4"/>
    <s v="Commissioning Complete"/>
    <m/>
    <n v="0.1"/>
    <n v="13425"/>
    <s v="Thula Moya IN04475"/>
    <x v="2"/>
  </r>
  <r>
    <x v="4"/>
    <s v="Site De-establisment"/>
    <m/>
    <n v="0.1"/>
    <n v="13425"/>
    <s v="Thula Moya IN04476"/>
    <x v="2"/>
  </r>
  <r>
    <x v="4"/>
    <s v="Handover Document Complete"/>
    <m/>
    <n v="0.05"/>
    <n v="6712.5"/>
    <s v="Thula Moya IN04598"/>
    <x v="7"/>
  </r>
  <r>
    <x v="4"/>
    <s v="End of Defects Period"/>
    <m/>
    <n v="0.05"/>
    <n v="6712.5"/>
    <s v="Thula Moya IN04599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3970.5"/>
    <s v="AccuEnergy ASAI-003743"/>
    <x v="8"/>
  </r>
  <r>
    <x v="5"/>
    <s v="Revenue Grade Meter"/>
    <n v="1"/>
    <n v="11169"/>
    <n v="11169"/>
    <s v="MATRIARCH - INV-3278"/>
    <x v="3"/>
  </r>
  <r>
    <x v="5"/>
    <s v="SCADA"/>
    <m/>
    <m/>
    <n v="35750"/>
    <s v="Rubicon INVWCRE-0060133"/>
    <x v="8"/>
  </r>
  <r>
    <x v="5"/>
    <s v="Frontline Comms Equipment"/>
    <m/>
    <m/>
    <n v="2562.5099999999998"/>
    <s v="Frontline Electrical: INV697940"/>
    <x v="2"/>
  </r>
  <r>
    <x v="5"/>
    <m/>
    <m/>
    <m/>
    <m/>
    <m/>
    <x v="4"/>
  </r>
  <r>
    <x v="0"/>
    <m/>
    <m/>
    <m/>
    <m/>
    <m/>
    <x v="4"/>
  </r>
  <r>
    <x v="6"/>
    <m/>
    <m/>
    <m/>
    <m/>
    <m/>
    <x v="4"/>
  </r>
  <r>
    <x v="6"/>
    <s v="AC &amp; Comms Board - Deposit"/>
    <n v="0.4"/>
    <n v="65700"/>
    <n v="26280"/>
    <s v="Cosmic Sun CS_SAMPVDB_001"/>
    <x v="5"/>
  </r>
  <r>
    <x v="6"/>
    <s v="AC &amp; Comms Board - Balance"/>
    <n v="0.6"/>
    <m/>
    <n v="39420"/>
    <s v="Cosmic Sun CS_SAMPVDB_002"/>
    <x v="2"/>
  </r>
  <r>
    <x v="6"/>
    <s v="Copper Stub Fabrication"/>
    <m/>
    <m/>
    <n v="0"/>
    <m/>
    <x v="0"/>
  </r>
  <r>
    <x v="6"/>
    <s v="AC Cable"/>
    <m/>
    <m/>
    <n v="432.1"/>
    <s v="Gerhard Exp Claim"/>
    <x v="9"/>
  </r>
  <r>
    <x v="6"/>
    <m/>
    <m/>
    <m/>
    <m/>
    <m/>
    <x v="4"/>
  </r>
  <r>
    <x v="6"/>
    <s v="Project Kick Off"/>
    <n v="146732"/>
    <n v="0.1"/>
    <n v="14673.2"/>
    <s v="Thula Moya Inv04436"/>
    <x v="5"/>
  </r>
  <r>
    <x v="6"/>
    <s v="Site Establishment"/>
    <m/>
    <n v="0.15"/>
    <n v="22009.3"/>
    <s v="Thula Moya Inv04439"/>
    <x v="5"/>
  </r>
  <r>
    <x v="6"/>
    <s v="AC Installation Complete"/>
    <m/>
    <n v="0.2"/>
    <n v="29346.400000000001"/>
    <s v="Thula Moya IN04473"/>
    <x v="2"/>
  </r>
  <r>
    <x v="6"/>
    <s v="DC Installation Complete"/>
    <m/>
    <n v="0.25"/>
    <n v="36683"/>
    <s v="Thula Moya IN04474"/>
    <x v="2"/>
  </r>
  <r>
    <x v="6"/>
    <s v="Commissioning Complete"/>
    <m/>
    <n v="0.1"/>
    <n v="14673.2"/>
    <s v="Thula Moya IN04475"/>
    <x v="2"/>
  </r>
  <r>
    <x v="6"/>
    <s v="Site De-establisment"/>
    <m/>
    <n v="0.1"/>
    <n v="14673.2"/>
    <s v="Thula Moya IN04476"/>
    <x v="2"/>
  </r>
  <r>
    <x v="6"/>
    <s v="Handover Document Complete"/>
    <m/>
    <n v="0.05"/>
    <n v="7336.6"/>
    <s v="Thula Moya IN04598"/>
    <x v="7"/>
  </r>
  <r>
    <x v="6"/>
    <s v="End of Defects Period"/>
    <m/>
    <n v="0.05"/>
    <n v="7336.6"/>
    <s v="Thula Moya IN04599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Inv 01048652"/>
    <x v="2"/>
  </r>
  <r>
    <x v="8"/>
    <s v="Mounting Structure for Walkways"/>
    <m/>
    <m/>
    <n v="4244.32"/>
    <s v="Schletter INV0951"/>
    <x v="2"/>
  </r>
  <r>
    <x v="8"/>
    <s v="Walkways"/>
    <m/>
    <m/>
    <n v="35695.800000000003"/>
    <s v="Onvlee Engineering:Inv 01048652"/>
    <x v="2"/>
  </r>
  <r>
    <x v="8"/>
    <m/>
    <m/>
    <m/>
    <m/>
    <m/>
    <x v="3"/>
  </r>
  <r>
    <x v="8"/>
    <s v="Installation of walkways"/>
    <m/>
    <m/>
    <n v="8316"/>
    <s v="Thula Moya IN04600"/>
    <x v="7"/>
  </r>
  <r>
    <x v="8"/>
    <s v="Manufacture Cages Housing Inverters &amp; DB"/>
    <m/>
    <m/>
    <n v="72608.7"/>
    <s v="Thula Moya Inv IN04471"/>
    <x v="2"/>
  </r>
  <r>
    <x v="8"/>
    <s v="Additional walkways"/>
    <m/>
    <m/>
    <n v="9538.74"/>
    <s v="Onvlee Engineering ONV1485"/>
    <x v="10"/>
  </r>
  <r>
    <x v="8"/>
    <s v="Supply and install Tie in Breaker - Thula Moya"/>
    <m/>
    <m/>
    <n v="24300.959999999999"/>
    <s v="Thula Moya IN04486"/>
    <x v="2"/>
  </r>
  <r>
    <x v="0"/>
    <m/>
    <m/>
    <m/>
    <m/>
    <m/>
    <x v="4"/>
  </r>
  <r>
    <x v="9"/>
    <s v="Project Kick Off"/>
    <n v="175013.8"/>
    <n v="0.1"/>
    <n v="17501.38"/>
    <s v="Thula Moya Inv04436"/>
    <x v="5"/>
  </r>
  <r>
    <x v="9"/>
    <s v="Site Establishment"/>
    <m/>
    <n v="0.15"/>
    <n v="26252.069999999996"/>
    <s v="Thula Moya Inv04439"/>
    <x v="5"/>
  </r>
  <r>
    <x v="9"/>
    <s v="AC Installation Complete"/>
    <m/>
    <n v="0.2"/>
    <n v="35002.76"/>
    <s v="Thula Moya IN04473"/>
    <x v="2"/>
  </r>
  <r>
    <x v="9"/>
    <s v="DC Installation Complete"/>
    <m/>
    <n v="0.25"/>
    <n v="43753.45"/>
    <s v="Thula Moya IN04474"/>
    <x v="2"/>
  </r>
  <r>
    <x v="9"/>
    <s v="Commissioning Complete"/>
    <m/>
    <n v="0.1"/>
    <n v="17501.38"/>
    <s v="Thula Moya IN04475"/>
    <x v="2"/>
  </r>
  <r>
    <x v="9"/>
    <s v="Site De-establisment"/>
    <m/>
    <n v="0.1"/>
    <n v="17501.38"/>
    <s v="Thula Moya IN04476"/>
    <x v="2"/>
  </r>
  <r>
    <x v="9"/>
    <s v="Handover Document Complete"/>
    <m/>
    <n v="0.05"/>
    <n v="8750.69"/>
    <s v="Thula Moya IN04598"/>
    <x v="7"/>
  </r>
  <r>
    <x v="9"/>
    <s v="End of Defects Period"/>
    <m/>
    <n v="0.05"/>
    <n v="8750.69"/>
    <s v="Thula Moya IN04599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107767"/>
    <n v="0.1"/>
    <n v="10776.7"/>
    <s v="Thula Moya Inv04436"/>
    <x v="5"/>
  </r>
  <r>
    <x v="10"/>
    <s v="Site Establishment"/>
    <m/>
    <n v="0.15"/>
    <n v="16165.05"/>
    <s v="Thula Moya Inv04439"/>
    <x v="5"/>
  </r>
  <r>
    <x v="10"/>
    <s v="AC Installation Complete"/>
    <m/>
    <n v="0.2"/>
    <n v="21553.4"/>
    <s v="Thula Moya IN04473"/>
    <x v="2"/>
  </r>
  <r>
    <x v="10"/>
    <s v="DC Installation Complete"/>
    <m/>
    <n v="0.25"/>
    <n v="26941.75"/>
    <s v="Thula Moya IN04474"/>
    <x v="2"/>
  </r>
  <r>
    <x v="10"/>
    <s v="Commissioning Complete"/>
    <m/>
    <n v="0.1"/>
    <n v="10776.7"/>
    <s v="Thula Moya IN04475"/>
    <x v="2"/>
  </r>
  <r>
    <x v="10"/>
    <s v="Site De-establisment"/>
    <m/>
    <n v="0.1"/>
    <n v="10776.7"/>
    <s v="Thula Moya IN04476"/>
    <x v="2"/>
  </r>
  <r>
    <x v="10"/>
    <s v="Handover Document Complete"/>
    <m/>
    <n v="0.05"/>
    <n v="5388.35"/>
    <s v="Thula Moya IN04598"/>
    <x v="7"/>
  </r>
  <r>
    <x v="10"/>
    <s v="End of Defects Period"/>
    <m/>
    <n v="0.05"/>
    <n v="5388.35"/>
    <s v="Thula Moya IN04599"/>
    <x v="7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0"/>
    <m/>
    <m/>
    <m/>
    <m/>
    <m/>
    <x v="4"/>
  </r>
  <r>
    <x v="11"/>
    <s v="Electrical PrEng sign off"/>
    <m/>
    <m/>
    <n v="5654.76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31521.67"/>
    <s v="Green Co Inv: 0000518"/>
    <x v="8"/>
  </r>
  <r>
    <x v="12"/>
    <s v="Referral Fee"/>
    <m/>
    <m/>
    <n v="31521.67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30778.237542348252"/>
    <s v="MATRIARCH - INV-3414"/>
    <x v="3"/>
  </r>
  <r>
    <x v="13"/>
    <s v="Performance Guarantee"/>
    <m/>
    <m/>
    <n v="62400"/>
    <s v="Matriarch - INV-5021"/>
    <x v="10"/>
  </r>
  <r>
    <x v="13"/>
    <s v="Matriarch Defects Period"/>
    <m/>
    <m/>
    <n v="-30778.237542348252"/>
    <s v="Matriarch - CN-5022"/>
    <x v="10"/>
  </r>
  <r>
    <x v="13"/>
    <m/>
    <m/>
    <m/>
    <m/>
    <m/>
    <x v="0"/>
  </r>
  <r>
    <x v="13"/>
    <m/>
    <m/>
    <m/>
    <m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522.75"/>
    <s v="Expense Claim"/>
    <x v="8"/>
  </r>
  <r>
    <x v="14"/>
    <m/>
    <m/>
    <m/>
    <n v="1570.97"/>
    <s v="Expense Claim"/>
    <x v="5"/>
  </r>
  <r>
    <x v="14"/>
    <m/>
    <m/>
    <m/>
    <n v="1671"/>
    <s v="Expense Claim"/>
    <x v="2"/>
  </r>
  <r>
    <x v="14"/>
    <m/>
    <m/>
    <m/>
    <n v="0"/>
    <s v="Expense Claim"/>
    <x v="3"/>
  </r>
  <r>
    <x v="14"/>
    <m/>
    <m/>
    <m/>
    <n v="1109.72"/>
    <s v="Expense Claim"/>
    <x v="7"/>
  </r>
  <r>
    <x v="14"/>
    <m/>
    <m/>
    <m/>
    <n v="423.22"/>
    <s v="Expense Claim"/>
    <x v="11"/>
  </r>
  <r>
    <x v="14"/>
    <m/>
    <m/>
    <m/>
    <n v="1087.98"/>
    <s v="Expense Claim"/>
    <x v="12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32247.49"/>
    <s v="Cosmic Sun Inv: CS_SAM22_001"/>
    <x v="9"/>
  </r>
  <r>
    <x v="15"/>
    <s v="Roof remedial work "/>
    <m/>
    <m/>
    <n v="9731.7099999999991"/>
    <s v="Thula Moya - IN04750"/>
    <x v="13"/>
  </r>
  <r>
    <x v="15"/>
    <m/>
    <m/>
    <m/>
    <n v="-9731.7099999999991"/>
    <s v="Thula Moya - IC20010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4">
        <item x="4"/>
        <item m="1" x="32"/>
        <item m="1" x="31"/>
        <item m="1" x="30"/>
        <item m="1" x="29"/>
        <item x="0"/>
        <item x="1"/>
        <item x="8"/>
        <item x="5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2"/>
        <item x="3"/>
        <item x="6"/>
        <item x="7"/>
        <item x="11"/>
        <item x="9"/>
        <item x="12"/>
        <item x="13"/>
        <item x="10"/>
        <item t="default"/>
      </items>
    </pivotField>
    <pivotField axis="axisPage" dataField="1" multipleItemSelectionAllowed="1" showAll="0">
      <items count="574">
        <item x="7"/>
        <item m="1" x="547"/>
        <item m="1" x="552"/>
        <item m="1" x="572"/>
        <item m="1" x="557"/>
        <item m="1" x="561"/>
        <item m="1" x="559"/>
        <item m="1" x="554"/>
        <item m="1" x="549"/>
        <item m="1" x="558"/>
        <item m="1" x="567"/>
        <item m="1" x="556"/>
        <item m="1" x="569"/>
        <item m="1" x="566"/>
        <item m="1" x="560"/>
        <item m="1" x="570"/>
        <item m="1" x="545"/>
        <item m="1" x="564"/>
        <item m="1" x="555"/>
        <item m="1" x="571"/>
        <item m="1" x="565"/>
        <item m="1" x="551"/>
        <item m="1" x="550"/>
        <item m="1" x="563"/>
        <item m="1" x="548"/>
        <item m="1" x="568"/>
        <item m="1" x="546"/>
        <item m="1" x="562"/>
        <item m="1" x="553"/>
        <item m="1" x="544"/>
        <item x="0"/>
        <item m="1" x="473"/>
        <item m="1" x="474"/>
        <item m="1" x="507"/>
        <item m="1" x="514"/>
        <item m="1" x="515"/>
        <item m="1" x="516"/>
        <item m="1" x="517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492"/>
        <item m="1" x="493"/>
        <item m="1" x="494"/>
        <item m="1" x="537"/>
        <item m="1" x="538"/>
        <item m="1" x="539"/>
        <item m="1" x="540"/>
        <item m="1" x="498"/>
        <item m="1" x="499"/>
        <item m="1" x="541"/>
        <item m="1" x="542"/>
        <item m="1" x="543"/>
        <item m="1" x="502"/>
        <item m="1" x="523"/>
        <item m="1" x="524"/>
        <item m="1" x="525"/>
        <item m="1" x="518"/>
        <item m="1" x="519"/>
        <item m="1" x="520"/>
        <item m="1" x="521"/>
        <item m="1" x="522"/>
        <item m="1" x="485"/>
        <item m="1" x="486"/>
        <item m="1" x="487"/>
        <item m="1" x="488"/>
        <item m="1" x="510"/>
        <item m="1" x="511"/>
        <item m="1" x="512"/>
        <item m="1" x="495"/>
        <item m="1" x="496"/>
        <item m="1" x="497"/>
        <item m="1" x="508"/>
        <item m="1" x="503"/>
        <item m="1" x="513"/>
        <item m="1" x="477"/>
        <item m="1" x="478"/>
        <item m="1" x="479"/>
        <item m="1" x="480"/>
        <item m="1" x="481"/>
        <item m="1" x="482"/>
        <item m="1" x="483"/>
        <item m="1" x="484"/>
        <item m="1" x="504"/>
        <item m="1" x="509"/>
        <item m="1" x="489"/>
        <item m="1" x="490"/>
        <item m="1" x="491"/>
        <item m="1" x="475"/>
        <item m="1" x="476"/>
        <item m="1" x="500"/>
        <item m="1" x="501"/>
        <item m="1" x="505"/>
        <item m="1" x="506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33"/>
        <item m="1" x="461"/>
        <item m="1" x="462"/>
        <item m="1" x="463"/>
        <item m="1" x="436"/>
        <item m="1" x="437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49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4"/>
        <item m="1" x="435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13"/>
        <item m="1" x="314"/>
        <item m="1" x="315"/>
        <item m="1" x="340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29"/>
        <item m="1" x="330"/>
        <item m="1" x="353"/>
        <item m="1" x="354"/>
        <item m="1" x="355"/>
        <item m="1" x="356"/>
        <item m="1" x="357"/>
        <item m="1" x="358"/>
        <item m="1" x="359"/>
        <item m="1" x="338"/>
        <item m="1" x="341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31"/>
        <item m="1" x="332"/>
        <item m="1" x="333"/>
        <item m="1" x="334"/>
        <item m="1" x="335"/>
        <item m="1" x="336"/>
        <item m="1" x="337"/>
        <item m="1" x="339"/>
        <item m="1" x="316"/>
        <item m="1" x="317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258"/>
        <item m="1" x="259"/>
        <item m="1" x="289"/>
        <item m="1" x="290"/>
        <item m="1" x="291"/>
        <item m="1" x="292"/>
        <item m="1" x="293"/>
        <item m="1" x="277"/>
        <item m="1" x="278"/>
        <item m="1" x="279"/>
        <item m="1" x="280"/>
        <item m="1" x="281"/>
        <item m="1" x="294"/>
        <item m="1" x="295"/>
        <item m="1" x="296"/>
        <item m="1" x="288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82"/>
        <item m="1" x="283"/>
        <item m="1" x="284"/>
        <item m="1" x="285"/>
        <item m="1" x="286"/>
        <item m="1" x="287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02"/>
        <item m="1" x="103"/>
        <item m="1" x="104"/>
        <item m="1" x="105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12"/>
        <item m="1" x="113"/>
        <item m="1" x="114"/>
        <item m="1" x="214"/>
        <item m="1" x="215"/>
        <item m="1" x="216"/>
        <item m="1" x="217"/>
        <item m="1" x="218"/>
        <item m="1" x="219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16"/>
        <item m="1" x="117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6"/>
        <item m="1" x="107"/>
        <item m="1" x="108"/>
        <item m="1" x="109"/>
        <item m="1" x="110"/>
        <item x="32"/>
        <item x="33"/>
        <item x="34"/>
        <item x="35"/>
        <item x="36"/>
        <item m="1" x="111"/>
        <item m="1" x="69"/>
        <item m="1" x="70"/>
        <item m="1" x="71"/>
        <item m="1" x="72"/>
        <item m="1" x="73"/>
        <item m="1" x="115"/>
        <item x="1"/>
        <item m="1" x="90"/>
        <item m="1" x="83"/>
        <item m="1" x="84"/>
        <item m="1" x="89"/>
        <item x="6"/>
        <item x="8"/>
        <item m="1" x="86"/>
        <item m="1" x="87"/>
        <item x="12"/>
        <item x="13"/>
        <item x="14"/>
        <item x="15"/>
        <item x="16"/>
        <item x="17"/>
        <item x="18"/>
        <item x="19"/>
        <item m="1" x="88"/>
        <item x="21"/>
        <item m="1" x="75"/>
        <item m="1" x="76"/>
        <item m="1" x="77"/>
        <item m="1" x="78"/>
        <item m="1" x="79"/>
        <item m="1" x="80"/>
        <item m="1" x="81"/>
        <item m="1" x="63"/>
        <item x="37"/>
        <item x="38"/>
        <item m="1" x="64"/>
        <item m="1" x="65"/>
        <item m="1" x="66"/>
        <item m="1" x="67"/>
        <item x="44"/>
        <item m="1" x="68"/>
        <item m="1" x="52"/>
        <item m="1" x="82"/>
        <item m="1" x="85"/>
        <item m="1" x="58"/>
        <item m="1" x="59"/>
        <item m="1" x="60"/>
        <item x="9"/>
        <item x="10"/>
        <item x="11"/>
        <item m="1" x="61"/>
        <item m="1" x="62"/>
        <item m="1" x="74"/>
        <item x="49"/>
        <item x="23"/>
        <item m="1" x="53"/>
        <item x="26"/>
        <item x="27"/>
        <item x="28"/>
        <item x="29"/>
        <item x="30"/>
        <item x="48"/>
        <item x="2"/>
        <item x="3"/>
        <item x="4"/>
        <item x="5"/>
        <item x="20"/>
        <item x="22"/>
        <item x="31"/>
        <item x="39"/>
        <item x="40"/>
        <item x="41"/>
        <item x="42"/>
        <item m="1" x="57"/>
        <item x="45"/>
        <item x="46"/>
        <item m="1" x="56"/>
        <item x="43"/>
        <item x="50"/>
        <item m="1" x="55"/>
        <item x="51"/>
        <item m="1" x="54"/>
        <item x="24"/>
        <item x="25"/>
        <item x="47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m="1" x="34"/>
        <item m="1" x="35"/>
        <item m="1" x="33"/>
        <item m="1" x="32"/>
        <item m="1" x="31"/>
        <item m="1" x="30"/>
        <item m="1" x="15"/>
        <item x="4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16"/>
        <item m="1" x="26"/>
        <item m="1" x="27"/>
        <item m="1" x="28"/>
        <item m="1" x="29"/>
        <item x="2"/>
        <item x="3"/>
        <item x="6"/>
        <item x="7"/>
        <item x="11"/>
        <item x="12"/>
        <item x="9"/>
        <item x="13"/>
        <item x="10"/>
        <item x="1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3-07T09:19:09.07" personId="{D52D2863-E4BE-448C-8B96-9480C9255E68}" id="{2A5DCC7B-F7A1-434A-A72C-E65FA24965DC}">
    <text>@Mizelda Isaacs and @Thami Cambalele please take a look as this is marked off as paid but the invoice is showing as outstanding on QB</text>
    <mentions>
      <mention mentionpersonId="{2D4C56FC-DD0B-4567-9C2C-0CBE446DC245}" mentionId="{C18D9E90-CFD1-4AAF-BA8B-36284D13F952}" startIndex="0" length="15"/>
      <mention mentionpersonId="{46881A2C-E68E-4797-AA43-7AE8B681CBF8}" mentionId="{E7288086-665E-4645-A94C-B0BA67CCCDF6}" startIndex="20" length="16"/>
    </mentions>
  </threadedComment>
  <threadedComment ref="W32" dT="2025-03-10T08:09:18.55" personId="{96CD1247-3684-4933-AFCC-BE8EC6A2662B}" id="{4EB58B9A-F2BC-4815-86FC-EB6EE7BE492C}" parentId="{2A5DCC7B-F7A1-434A-A72C-E65FA24965DC}">
    <text>@Tasneema van Harte,this was paid on 14 Nov, however it seems it was paid from Matriach?</text>
    <mentions>
      <mention mentionpersonId="{00630941-69CC-465A-A1E6-803926FF0EF1}" mentionId="{422C7DD9-5E43-4E3C-81C3-66566600B8A2}" startIndex="0" length="19"/>
    </mentions>
  </threadedComment>
  <threadedComment ref="W33" dT="2025-03-07T09:20:16.55" personId="{D52D2863-E4BE-448C-8B96-9480C9255E68}" id="{21B6828D-D6B4-4DF5-9722-DEDCD4C82BF7}">
    <text xml:space="preserve">@Mizelda Isaacs and @Thami Cambalele please take a look at my comment for DC complte, same situation
</text>
    <mentions>
      <mention mentionpersonId="{2D4C56FC-DD0B-4567-9C2C-0CBE446DC245}" mentionId="{B5BF9537-9FCD-44BB-A4EE-B949E272E193}" startIndex="0" length="15"/>
      <mention mentionpersonId="{46881A2C-E68E-4797-AA43-7AE8B681CBF8}" mentionId="{76D31C99-3EAD-4BA8-BC3E-30CDA12AB10D}" startIndex="20" length="16"/>
    </mentions>
  </threadedComment>
  <threadedComment ref="R129" dT="2025-11-08T13:43:24.93" personId="{D52D2863-E4BE-448C-8B96-9480C9255E68}" id="{29559EAB-E9B7-420B-B5C1-29B95BBAAA22}" done="1">
    <text>@Mizelda Isaacs and @Roedolph Venter they need to provide us with a creditnote please</text>
    <mentions>
      <mention mentionpersonId="{2D4C56FC-DD0B-4567-9C2C-0CBE446DC245}" mentionId="{9EFF585E-3344-4A52-850D-1D246B6B4AA9}" startIndex="0" length="15"/>
      <mention mentionpersonId="{FC92B4AC-615A-4EA3-93C4-DBC61E55C191}" mentionId="{161063AD-AD67-402F-B78A-02A78DB9005E}" startIndex="20" length="16"/>
    </mentions>
  </threadedComment>
  <threadedComment ref="R130" dT="2025-11-08T13:42:47.51" personId="{D52D2863-E4BE-448C-8B96-9480C9255E68}" id="{387946EA-35E9-4251-A325-57E70D5F426D}">
    <text>@Roedolph Venter and @Mizelda Isaacs can we please finalize what is due to them</text>
    <mentions>
      <mention mentionpersonId="{FC92B4AC-615A-4EA3-93C4-DBC61E55C191}" mentionId="{AA3FF752-C732-4BFB-A43F-FF0215AB3DDA}" startIndex="0" length="16"/>
      <mention mentionpersonId="{2D4C56FC-DD0B-4567-9C2C-0CBE446DC245}" mentionId="{33E64EED-0F33-4544-8650-5831C69D9DED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1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2" t="s">
        <v>57</v>
      </c>
      <c r="E47" s="872"/>
      <c r="F47" s="873"/>
      <c r="G47" s="67"/>
      <c r="I47" s="68"/>
      <c r="J47" s="68"/>
    </row>
    <row r="48" spans="1:49" ht="14.45" thickBot="1">
      <c r="C48" s="69">
        <v>44014</v>
      </c>
      <c r="D48" s="874"/>
      <c r="E48" s="874"/>
      <c r="F48" s="87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ACCC-6208-4706-AF93-E5E9CF69ABEA}">
  <dimension ref="B1:J28"/>
  <sheetViews>
    <sheetView showGridLines="0" zoomScaleNormal="100" workbookViewId="0">
      <selection activeCell="E11" sqref="E11"/>
    </sheetView>
  </sheetViews>
  <sheetFormatPr defaultColWidth="9.28515625" defaultRowHeight="14.45"/>
  <cols>
    <col min="1" max="1" width="7.28515625" customWidth="1"/>
    <col min="2" max="2" width="37.85546875" customWidth="1"/>
    <col min="3" max="3" width="9.28515625" bestFit="1" customWidth="1"/>
    <col min="4" max="4" width="12" bestFit="1" customWidth="1"/>
    <col min="5" max="5" width="10.28515625" customWidth="1"/>
    <col min="6" max="6" width="33.85546875" customWidth="1"/>
  </cols>
  <sheetData>
    <row r="1" spans="2:10" ht="15" thickBot="1"/>
    <row r="2" spans="2:10" ht="15.6" thickTop="1" thickBot="1">
      <c r="B2" s="876" t="s">
        <v>58</v>
      </c>
      <c r="C2" s="877"/>
      <c r="D2" s="877"/>
      <c r="E2" s="877"/>
      <c r="F2" s="87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76" t="s">
        <v>69</v>
      </c>
      <c r="C16" s="877"/>
      <c r="D16" s="877"/>
      <c r="E16" s="877"/>
      <c r="F16" s="87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abSelected="1" topLeftCell="C1" zoomScale="115" zoomScaleNormal="115" workbookViewId="0">
      <selection activeCell="P19" sqref="P19"/>
    </sheetView>
  </sheetViews>
  <sheetFormatPr defaultColWidth="8.28515625" defaultRowHeight="14.45"/>
  <cols>
    <col min="1" max="1" width="5.5703125" style="93" customWidth="1"/>
    <col min="2" max="2" width="5.5703125" style="133" customWidth="1"/>
    <col min="3" max="4" width="23" style="131" customWidth="1"/>
    <col min="5" max="5" width="6.5703125" style="131" customWidth="1"/>
    <col min="6" max="6" width="19.5703125" style="131" customWidth="1"/>
    <col min="7" max="7" width="4.28515625" style="13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4" customWidth="1"/>
    <col min="12" max="12" width="29.28515625" style="93" customWidth="1"/>
    <col min="13" max="13" width="1.28515625" style="131" customWidth="1"/>
    <col min="14" max="14" width="29.28515625" style="131" customWidth="1"/>
    <col min="15" max="15" width="1.28515625" style="93" customWidth="1"/>
    <col min="16" max="16" width="16.85546875" style="131" customWidth="1"/>
    <col min="17" max="17" width="5.5703125" style="131" customWidth="1"/>
    <col min="18" max="20" width="33.28515625" style="131" customWidth="1"/>
    <col min="21" max="21" width="4.28515625" style="131" customWidth="1"/>
    <col min="22" max="22" width="14" style="131" customWidth="1"/>
    <col min="23" max="23" width="10.28515625" style="93" bestFit="1" customWidth="1"/>
    <col min="24" max="25" width="8.28515625" style="93"/>
    <col min="26" max="26" width="5.5703125" style="93" bestFit="1" customWidth="1"/>
    <col min="27" max="27" width="14" style="93" bestFit="1" customWidth="1"/>
    <col min="28" max="28" width="8.28515625" style="93"/>
    <col min="29" max="29" width="14" style="93" bestFit="1" customWidth="1"/>
    <col min="30" max="30" width="8.28515625" style="131"/>
    <col min="31" max="31" width="12.5703125" style="131" bestFit="1" customWidth="1"/>
    <col min="32" max="16384" width="8.28515625" style="131"/>
  </cols>
  <sheetData>
    <row r="1" spans="1:23" s="93" customFormat="1" ht="14.25" customHeight="1">
      <c r="A1" s="546"/>
      <c r="B1" s="119"/>
      <c r="J1" s="144"/>
      <c r="S1" s="131"/>
      <c r="T1" s="131"/>
      <c r="U1" s="144"/>
    </row>
    <row r="2" spans="1:23" s="93" customFormat="1" ht="14.25" customHeight="1" thickBot="1">
      <c r="A2" s="546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779"/>
      <c r="T2" s="779"/>
      <c r="U2" s="144"/>
    </row>
    <row r="3" spans="1:23" s="93" customFormat="1" ht="12.95">
      <c r="B3" s="119"/>
      <c r="D3" s="127" t="s">
        <v>74</v>
      </c>
      <c r="F3" s="127" t="s">
        <v>75</v>
      </c>
      <c r="J3" s="144"/>
      <c r="L3" s="634" t="s">
        <v>76</v>
      </c>
      <c r="N3" s="634" t="s">
        <v>77</v>
      </c>
      <c r="P3" s="780"/>
      <c r="Q3" s="781"/>
      <c r="R3" s="782" t="s">
        <v>78</v>
      </c>
      <c r="S3" s="783" t="s">
        <v>79</v>
      </c>
      <c r="T3" s="784" t="s">
        <v>80</v>
      </c>
      <c r="U3" s="144"/>
    </row>
    <row r="4" spans="1:23" s="93" customFormat="1" ht="12.95">
      <c r="B4" s="489">
        <v>1</v>
      </c>
      <c r="C4" s="490" t="s">
        <v>81</v>
      </c>
      <c r="D4" s="491">
        <f>'Project Plan'!E6</f>
        <v>2462259.00338786</v>
      </c>
      <c r="E4" s="492"/>
      <c r="F4" s="491">
        <f>F21</f>
        <v>2505210.4733878602</v>
      </c>
      <c r="H4" s="118"/>
      <c r="J4" s="144"/>
      <c r="L4" s="544">
        <v>2462259.00338786</v>
      </c>
      <c r="N4" s="544" t="s">
        <v>82</v>
      </c>
      <c r="P4" s="785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848045.34024531883</v>
      </c>
      <c r="S4" s="786">
        <v>1614213.6631425412</v>
      </c>
      <c r="T4" s="787">
        <f>F4-R4</f>
        <v>1657165.1331425414</v>
      </c>
      <c r="U4" s="144"/>
    </row>
    <row r="5" spans="1:23" s="93" customFormat="1" ht="15" customHeight="1">
      <c r="B5" s="489">
        <v>2</v>
      </c>
      <c r="C5" s="490" t="s">
        <v>84</v>
      </c>
      <c r="D5" s="491">
        <f>+'Expenditure Tracking'!F5</f>
        <v>2105194.1529999999</v>
      </c>
      <c r="E5" s="492"/>
      <c r="F5" s="491">
        <f>+'Expenditure Tracking'!J5</f>
        <v>2103862.1100000003</v>
      </c>
      <c r="J5" s="144"/>
      <c r="L5" s="544">
        <v>2040967.6575423484</v>
      </c>
      <c r="N5" s="635">
        <v>45560</v>
      </c>
      <c r="P5" s="785" t="s">
        <v>85</v>
      </c>
      <c r="R5" s="786">
        <f>GETPIVOTDATA("Actual Total ",'Finance - COS'!$A$3,"INVOICE RAISED DATE",DATE(2024,7,31))+GETPIVOTDATA("Actual Total ",'Finance - COS'!$A$3,"INVOICE RAISED DATE",DATE(2024,8,31))</f>
        <v>730147.42</v>
      </c>
      <c r="S5" s="786">
        <v>1301474.2175423484</v>
      </c>
      <c r="T5" s="787">
        <f>F5-R5</f>
        <v>1373714.6900000004</v>
      </c>
      <c r="U5" s="144"/>
    </row>
    <row r="6" spans="1:23" s="93" customFormat="1" ht="15" customHeight="1" thickBot="1">
      <c r="B6" s="489">
        <v>3</v>
      </c>
      <c r="C6" s="490" t="s">
        <v>86</v>
      </c>
      <c r="D6" s="491">
        <f>+D4-D5</f>
        <v>357064.85038786009</v>
      </c>
      <c r="E6" s="492"/>
      <c r="F6" s="491">
        <f>+F4-F5</f>
        <v>401348.36338785989</v>
      </c>
      <c r="H6" s="118"/>
      <c r="J6" s="144"/>
      <c r="L6" s="544">
        <v>421291.34584551165</v>
      </c>
      <c r="N6" s="544" t="s">
        <v>87</v>
      </c>
      <c r="P6" s="788" t="s">
        <v>88</v>
      </c>
      <c r="Q6" s="789"/>
      <c r="R6" s="790">
        <f>R4-R5</f>
        <v>117897.92024531879</v>
      </c>
      <c r="S6" s="790">
        <f>S4-S5</f>
        <v>312739.44560019276</v>
      </c>
      <c r="T6" s="791">
        <f>T4-T5</f>
        <v>283450.44314254099</v>
      </c>
      <c r="U6" s="144"/>
    </row>
    <row r="7" spans="1:23" s="93" customFormat="1" ht="15" customHeight="1" thickBot="1">
      <c r="B7" s="489">
        <v>4</v>
      </c>
      <c r="C7" s="490" t="s">
        <v>89</v>
      </c>
      <c r="D7" s="493">
        <f>+D6/D4</f>
        <v>0.14501514661803208</v>
      </c>
      <c r="E7" s="492"/>
      <c r="F7" s="493">
        <f>+F6/F4</f>
        <v>0.16020544686814528</v>
      </c>
      <c r="J7" s="144"/>
      <c r="L7" s="545">
        <v>0.17109952497517539</v>
      </c>
      <c r="N7" s="719">
        <v>45600</v>
      </c>
      <c r="P7" s="792"/>
      <c r="Q7" s="793"/>
      <c r="R7" s="793"/>
      <c r="S7" s="793"/>
      <c r="T7" s="794"/>
      <c r="U7" s="144"/>
    </row>
    <row r="8" spans="1:23" s="93" customFormat="1" ht="9" customHeight="1">
      <c r="B8" s="119"/>
      <c r="J8" s="144"/>
      <c r="S8" s="131"/>
      <c r="T8" s="131"/>
      <c r="U8" s="144"/>
    </row>
    <row r="9" spans="1:23" s="93" customFormat="1" ht="9.75" customHeight="1">
      <c r="B9" s="119"/>
      <c r="J9" s="144"/>
      <c r="S9" s="131"/>
      <c r="T9" s="131"/>
      <c r="U9" s="144"/>
    </row>
    <row r="10" spans="1:23" s="93" customFormat="1" ht="12.95">
      <c r="B10" s="130" t="s">
        <v>90</v>
      </c>
      <c r="J10" s="144"/>
      <c r="S10" s="131"/>
      <c r="T10" s="131"/>
      <c r="U10" s="144"/>
      <c r="W10" s="130"/>
    </row>
    <row r="11" spans="1:23" s="93" customFormat="1" ht="14.25" customHeight="1">
      <c r="B11" s="119"/>
      <c r="J11" s="144"/>
      <c r="S11" s="131"/>
      <c r="T11" s="131"/>
      <c r="U11" s="144"/>
    </row>
    <row r="12" spans="1:23" s="93" customFormat="1" ht="26.1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4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61" t="s">
        <v>99</v>
      </c>
      <c r="S12" s="779"/>
      <c r="T12" s="779"/>
      <c r="U12" s="144"/>
    </row>
    <row r="13" spans="1:23" s="93" customFormat="1" ht="12.95">
      <c r="B13" s="489">
        <v>1</v>
      </c>
      <c r="C13" s="879" t="s">
        <v>100</v>
      </c>
      <c r="D13" s="880"/>
      <c r="E13" s="138">
        <v>0.35</v>
      </c>
      <c r="F13" s="139">
        <f>$D$4*E13</f>
        <v>861790.65118575096</v>
      </c>
      <c r="G13" s="140"/>
      <c r="H13" s="141">
        <v>45491</v>
      </c>
      <c r="J13" s="144"/>
      <c r="L13" s="508" t="s">
        <v>101</v>
      </c>
      <c r="M13" s="507"/>
      <c r="N13" s="141">
        <v>45488</v>
      </c>
      <c r="O13" s="131"/>
      <c r="P13" s="141">
        <v>45490</v>
      </c>
      <c r="R13" s="194"/>
      <c r="S13" s="777"/>
      <c r="T13" s="777"/>
      <c r="U13" s="144"/>
    </row>
    <row r="14" spans="1:23" s="93" customFormat="1" ht="12.6">
      <c r="B14" s="157">
        <v>2</v>
      </c>
      <c r="C14" s="881" t="s">
        <v>102</v>
      </c>
      <c r="D14" s="882"/>
      <c r="E14" s="138">
        <v>0.25</v>
      </c>
      <c r="F14" s="139">
        <f t="shared" ref="F14:F17" si="0">$D$4*E14</f>
        <v>615564.75084696501</v>
      </c>
      <c r="G14" s="492"/>
      <c r="H14" s="141">
        <f>'Project Plan'!E22+7</f>
        <v>45567</v>
      </c>
      <c r="J14" s="144"/>
      <c r="L14" s="508" t="s">
        <v>103</v>
      </c>
      <c r="N14" s="141">
        <v>45567</v>
      </c>
      <c r="O14" s="131"/>
      <c r="P14" s="866">
        <f>N14+7</f>
        <v>45574</v>
      </c>
      <c r="R14" s="562"/>
      <c r="S14" s="778"/>
      <c r="T14" s="778"/>
      <c r="U14" s="144"/>
    </row>
    <row r="15" spans="1:23" s="93" customFormat="1" ht="12.6">
      <c r="B15" s="489">
        <v>3</v>
      </c>
      <c r="C15" s="879" t="s">
        <v>104</v>
      </c>
      <c r="D15" s="880"/>
      <c r="E15" s="138">
        <v>0.25</v>
      </c>
      <c r="F15" s="139">
        <f t="shared" si="0"/>
        <v>615564.75084696501</v>
      </c>
      <c r="G15" s="492"/>
      <c r="H15" s="141">
        <f>'Project Plan'!E35+7</f>
        <v>45583</v>
      </c>
      <c r="J15" s="144"/>
      <c r="L15" s="508" t="s">
        <v>105</v>
      </c>
      <c r="N15" s="141">
        <v>45586</v>
      </c>
      <c r="O15" s="131"/>
      <c r="P15" s="866">
        <f>N15+38</f>
        <v>45624</v>
      </c>
      <c r="R15" s="562"/>
      <c r="S15" s="778"/>
      <c r="T15" s="778"/>
      <c r="U15" s="144"/>
    </row>
    <row r="16" spans="1:23" s="93" customFormat="1" ht="12.6">
      <c r="B16" s="489">
        <v>4</v>
      </c>
      <c r="C16" s="879" t="s">
        <v>106</v>
      </c>
      <c r="D16" s="880"/>
      <c r="E16" s="138">
        <v>0.1</v>
      </c>
      <c r="F16" s="139">
        <f t="shared" si="0"/>
        <v>246225.90033878601</v>
      </c>
      <c r="G16" s="492"/>
      <c r="H16" s="141">
        <f>'Project Plan'!E39+7</f>
        <v>45616</v>
      </c>
      <c r="J16" s="144"/>
      <c r="L16" s="823" t="s">
        <v>107</v>
      </c>
      <c r="M16" s="824"/>
      <c r="N16" s="825">
        <v>45610</v>
      </c>
      <c r="O16" s="131"/>
      <c r="P16" s="866">
        <f>N16+14</f>
        <v>45624</v>
      </c>
      <c r="R16" s="562"/>
      <c r="S16" s="778"/>
      <c r="T16" s="778"/>
      <c r="U16" s="144"/>
    </row>
    <row r="17" spans="2:21" s="93" customFormat="1" ht="12.6">
      <c r="B17" s="489">
        <v>5</v>
      </c>
      <c r="C17" s="881" t="s">
        <v>54</v>
      </c>
      <c r="D17" s="882"/>
      <c r="E17" s="138">
        <v>0.05</v>
      </c>
      <c r="F17" s="139">
        <f t="shared" si="0"/>
        <v>123112.95016939301</v>
      </c>
      <c r="G17" s="492"/>
      <c r="H17" s="141">
        <f>'Project Plan'!E50+7</f>
        <v>45642</v>
      </c>
      <c r="J17" s="144"/>
      <c r="L17" s="823" t="s">
        <v>108</v>
      </c>
      <c r="N17" s="825">
        <v>45714</v>
      </c>
      <c r="O17" s="131"/>
      <c r="P17" s="141">
        <v>45946</v>
      </c>
      <c r="R17" s="562"/>
      <c r="S17" s="778"/>
      <c r="T17" s="778"/>
      <c r="U17" s="144"/>
    </row>
    <row r="18" spans="2:21" s="93" customFormat="1" ht="12.6">
      <c r="B18" s="489">
        <v>6</v>
      </c>
      <c r="C18" s="879" t="s">
        <v>109</v>
      </c>
      <c r="D18" s="880"/>
      <c r="E18" s="138">
        <v>0</v>
      </c>
      <c r="F18" s="139">
        <f>'Expenditure Breakdown'!R68+'Expenditure Breakdown'!R69+'Expenditure Breakdown'!R70+'Expenditure Breakdown'!R72</f>
        <v>52281.120000000003</v>
      </c>
      <c r="G18" s="492"/>
      <c r="H18" s="141">
        <f>H17</f>
        <v>45642</v>
      </c>
      <c r="J18" s="144"/>
      <c r="L18" s="823" t="s">
        <v>108</v>
      </c>
      <c r="M18" s="140"/>
      <c r="N18" s="825">
        <v>45714</v>
      </c>
      <c r="O18" s="131"/>
      <c r="P18" s="141">
        <v>45946</v>
      </c>
      <c r="R18" s="562"/>
      <c r="S18" s="778"/>
      <c r="T18" s="778"/>
      <c r="U18" s="144"/>
    </row>
    <row r="19" spans="2:21" s="93" customFormat="1" ht="12.75">
      <c r="B19" s="489">
        <v>7</v>
      </c>
      <c r="C19" s="879" t="s">
        <v>110</v>
      </c>
      <c r="D19" s="880"/>
      <c r="E19" s="138">
        <v>0</v>
      </c>
      <c r="F19" s="139">
        <v>-9329.65</v>
      </c>
      <c r="G19" s="492"/>
      <c r="H19" s="141"/>
      <c r="J19" s="144"/>
      <c r="L19" s="869" t="s">
        <v>111</v>
      </c>
      <c r="M19" s="870"/>
      <c r="N19" s="825">
        <v>46045</v>
      </c>
      <c r="O19" s="131"/>
      <c r="P19" s="142">
        <v>46112</v>
      </c>
      <c r="R19" s="562"/>
      <c r="S19" s="778"/>
      <c r="T19" s="778"/>
      <c r="U19" s="144"/>
    </row>
    <row r="20" spans="2:21" s="93" customFormat="1" ht="9" customHeight="1">
      <c r="B20" s="119"/>
      <c r="E20" s="143"/>
      <c r="F20" s="118"/>
      <c r="H20" s="495"/>
      <c r="J20" s="144"/>
      <c r="S20" s="131"/>
      <c r="T20" s="131"/>
      <c r="U20" s="144"/>
    </row>
    <row r="21" spans="2:21" s="93" customFormat="1" ht="12.95">
      <c r="B21" s="119"/>
      <c r="E21" s="496">
        <f>SUM(E13:E19)</f>
        <v>1</v>
      </c>
      <c r="F21" s="497">
        <f>SUM(F13:F19)</f>
        <v>2505210.4733878602</v>
      </c>
      <c r="J21" s="144"/>
      <c r="S21" s="131"/>
      <c r="T21" s="131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  <c r="S23" s="131"/>
      <c r="T23" s="131"/>
    </row>
    <row r="24" spans="2:21" s="93" customFormat="1" ht="12.6">
      <c r="C24" s="150" t="s">
        <v>114</v>
      </c>
      <c r="D24" s="151"/>
      <c r="F24" s="152"/>
      <c r="S24" s="131"/>
      <c r="T24" s="131"/>
    </row>
    <row r="25" spans="2:21" s="93" customFormat="1" ht="12.6">
      <c r="C25" s="150" t="s">
        <v>115</v>
      </c>
      <c r="D25" s="151"/>
      <c r="S25" s="131"/>
      <c r="T25" s="131"/>
    </row>
    <row r="26" spans="2:21" s="93" customFormat="1" ht="12.6">
      <c r="C26" s="153" t="s">
        <v>116</v>
      </c>
      <c r="D26" s="154"/>
      <c r="S26" s="131"/>
      <c r="T26" s="131"/>
    </row>
    <row r="27" spans="2:21" s="93" customFormat="1" ht="12.6">
      <c r="C27" s="155" t="s">
        <v>117</v>
      </c>
      <c r="D27" s="151"/>
      <c r="S27" s="131"/>
      <c r="T27" s="131"/>
    </row>
    <row r="28" spans="2:21" s="93" customFormat="1" ht="12.6">
      <c r="B28" s="119"/>
      <c r="C28" s="155" t="s">
        <v>118</v>
      </c>
      <c r="D28" s="151"/>
      <c r="S28" s="131"/>
      <c r="T28" s="131"/>
    </row>
    <row r="29" spans="2:21" s="93" customFormat="1" ht="12.6">
      <c r="B29" s="119"/>
      <c r="C29" s="93" t="s">
        <v>119</v>
      </c>
      <c r="S29" s="131"/>
      <c r="T29" s="131"/>
    </row>
    <row r="30" spans="2:21" s="93" customFormat="1" ht="27.75" customHeight="1">
      <c r="B30" s="119"/>
      <c r="C30" s="156" t="s">
        <v>120</v>
      </c>
      <c r="D30" s="156"/>
      <c r="F30" s="152"/>
      <c r="S30" s="131"/>
      <c r="T30" s="131"/>
    </row>
    <row r="31" spans="2:21" s="93" customFormat="1" ht="12.6">
      <c r="B31" s="119"/>
      <c r="F31" s="149"/>
      <c r="S31" s="131"/>
      <c r="T31" s="131"/>
    </row>
    <row r="32" spans="2:21" s="93" customFormat="1" ht="12.6">
      <c r="B32" s="119"/>
      <c r="F32" s="149"/>
      <c r="S32" s="131"/>
      <c r="T32" s="131"/>
    </row>
    <row r="33" spans="2:20" s="93" customFormat="1" ht="12.6">
      <c r="B33" s="119"/>
      <c r="F33" s="149"/>
      <c r="S33" s="131"/>
      <c r="T33" s="131"/>
    </row>
    <row r="34" spans="2:20" s="93" customFormat="1" ht="12.6">
      <c r="B34" s="119"/>
      <c r="F34" s="149"/>
      <c r="S34" s="131"/>
      <c r="T34" s="131"/>
    </row>
    <row r="35" spans="2:20" s="93" customFormat="1" ht="12.6">
      <c r="B35" s="119"/>
      <c r="S35" s="131"/>
      <c r="T35" s="131"/>
    </row>
    <row r="36" spans="2:20" s="93" customFormat="1" ht="12.6">
      <c r="B36" s="119"/>
      <c r="S36" s="131"/>
      <c r="T36" s="131"/>
    </row>
    <row r="37" spans="2:20" s="93" customFormat="1" ht="12.6">
      <c r="B37" s="119"/>
      <c r="S37" s="131"/>
      <c r="T37" s="131"/>
    </row>
    <row r="38" spans="2:20" s="93" customFormat="1" ht="12.75" hidden="1" customHeight="1">
      <c r="B38" s="119"/>
      <c r="S38" s="131"/>
      <c r="T38" s="131"/>
    </row>
    <row r="39" spans="2:20" s="93" customFormat="1" ht="12.75" hidden="1" customHeight="1">
      <c r="B39" s="119"/>
      <c r="S39" s="131"/>
      <c r="T39" s="131"/>
    </row>
    <row r="40" spans="2:20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  <c r="S40" s="131"/>
      <c r="T40" s="131"/>
    </row>
    <row r="41" spans="2:20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876823.66568575101</v>
      </c>
      <c r="S41" s="131"/>
      <c r="T41" s="131"/>
    </row>
    <row r="42" spans="2:20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751563.14201635809</v>
      </c>
      <c r="S42" s="131"/>
      <c r="T42" s="131"/>
    </row>
    <row r="43" spans="2:20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501042.09467757208</v>
      </c>
      <c r="S43" s="131"/>
      <c r="T43" s="131"/>
    </row>
    <row r="44" spans="2:20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250521.04733878604</v>
      </c>
      <c r="S44" s="131"/>
      <c r="T44" s="131"/>
    </row>
    <row r="45" spans="2:20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125260.52366939302</v>
      </c>
      <c r="S45" s="131"/>
      <c r="T45" s="131"/>
    </row>
    <row r="46" spans="2:20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2505210.4733878602</v>
      </c>
      <c r="S46" s="131"/>
      <c r="T46" s="131"/>
    </row>
    <row r="47" spans="2:20" s="93" customFormat="1" ht="12.75" hidden="1" customHeight="1">
      <c r="B47" s="119"/>
      <c r="E47" s="143">
        <f>SUM(E41:E45)</f>
        <v>0.99999999999999989</v>
      </c>
      <c r="F47" s="118">
        <f>F21</f>
        <v>2505210.4733878602</v>
      </c>
      <c r="S47" s="131"/>
      <c r="T47" s="131"/>
    </row>
    <row r="48" spans="2:20" s="93" customFormat="1" ht="12.75" hidden="1" customHeight="1">
      <c r="B48" s="119"/>
      <c r="S48" s="131"/>
      <c r="T48" s="131"/>
    </row>
    <row r="49" spans="2:20" s="93" customFormat="1" ht="12.6">
      <c r="B49" s="119"/>
      <c r="S49" s="131"/>
      <c r="T49" s="131"/>
    </row>
    <row r="50" spans="2:20" s="93" customFormat="1" ht="12.6">
      <c r="B50" s="119"/>
      <c r="S50" s="131"/>
      <c r="T50" s="131"/>
    </row>
    <row r="51" spans="2:20" s="93" customFormat="1" ht="12.6">
      <c r="B51" s="119"/>
      <c r="S51" s="131"/>
      <c r="T51" s="131"/>
    </row>
    <row r="52" spans="2:20" s="93" customFormat="1" ht="12.6">
      <c r="B52" s="119"/>
      <c r="S52" s="131"/>
      <c r="T52" s="131"/>
    </row>
    <row r="53" spans="2:20" s="93" customFormat="1" ht="12.6">
      <c r="B53" s="119"/>
      <c r="S53" s="131"/>
      <c r="T53" s="131"/>
    </row>
    <row r="54" spans="2:20" s="93" customFormat="1" ht="12.6">
      <c r="B54" s="119"/>
      <c r="S54" s="131"/>
      <c r="T54" s="131"/>
    </row>
    <row r="55" spans="2:20" s="93" customFormat="1" ht="12.6">
      <c r="B55" s="119"/>
      <c r="S55" s="131"/>
      <c r="T55" s="131"/>
    </row>
    <row r="56" spans="2:20" s="93" customFormat="1" ht="12.6">
      <c r="B56" s="119"/>
      <c r="S56" s="131"/>
      <c r="T56" s="131"/>
    </row>
    <row r="57" spans="2:20" s="93" customFormat="1" ht="12.6">
      <c r="B57" s="119"/>
      <c r="S57" s="131"/>
      <c r="T57" s="131"/>
    </row>
    <row r="58" spans="2:20" s="93" customFormat="1" ht="12.6">
      <c r="B58" s="119"/>
      <c r="S58" s="131"/>
      <c r="T58" s="131"/>
    </row>
    <row r="59" spans="2:20" s="93" customFormat="1" ht="12.6">
      <c r="B59" s="119"/>
      <c r="S59" s="131"/>
      <c r="T59" s="131"/>
    </row>
    <row r="60" spans="2:20" s="93" customFormat="1" ht="12.6">
      <c r="B60" s="119"/>
      <c r="S60" s="131"/>
      <c r="T60" s="131"/>
    </row>
    <row r="61" spans="2:20" s="93" customFormat="1" ht="12.6">
      <c r="B61" s="119"/>
      <c r="S61" s="131"/>
      <c r="T61" s="131"/>
    </row>
    <row r="62" spans="2:20" s="93" customFormat="1" ht="12.6">
      <c r="B62" s="119"/>
      <c r="S62" s="131"/>
      <c r="T62" s="131"/>
    </row>
    <row r="63" spans="2:20" s="93" customFormat="1" ht="12.6">
      <c r="B63" s="119"/>
      <c r="S63" s="131"/>
      <c r="T63" s="131"/>
    </row>
    <row r="64" spans="2:20" s="93" customFormat="1" ht="12.6">
      <c r="B64" s="119"/>
      <c r="S64" s="131"/>
      <c r="T64" s="131"/>
    </row>
    <row r="65" spans="2:20" s="93" customFormat="1" ht="12.6">
      <c r="B65" s="119"/>
      <c r="S65" s="131"/>
      <c r="T65" s="131"/>
    </row>
    <row r="66" spans="2:20" s="93" customFormat="1" ht="12.6">
      <c r="B66" s="119"/>
      <c r="S66" s="131"/>
      <c r="T66" s="131"/>
    </row>
    <row r="67" spans="2:20" s="93" customFormat="1" ht="12.6">
      <c r="B67" s="119"/>
      <c r="S67" s="131"/>
      <c r="T67" s="131"/>
    </row>
    <row r="68" spans="2:20" s="93" customFormat="1" ht="12.6">
      <c r="B68" s="119"/>
      <c r="S68" s="131"/>
      <c r="T68" s="131"/>
    </row>
    <row r="69" spans="2:20" s="93" customFormat="1" ht="12.6">
      <c r="B69" s="119"/>
      <c r="S69" s="131"/>
      <c r="T69" s="131"/>
    </row>
    <row r="70" spans="2:20" s="93" customFormat="1" ht="12.6">
      <c r="B70" s="119"/>
      <c r="S70" s="131"/>
      <c r="T70" s="131"/>
    </row>
    <row r="71" spans="2:20" s="93" customFormat="1" ht="12.6">
      <c r="B71" s="119"/>
      <c r="S71" s="131"/>
      <c r="T71" s="131"/>
    </row>
    <row r="72" spans="2:20" s="93" customFormat="1" ht="12.6">
      <c r="B72" s="119"/>
      <c r="S72" s="131"/>
      <c r="T72" s="131"/>
    </row>
    <row r="73" spans="2:20" s="93" customFormat="1" ht="12.6">
      <c r="B73" s="119"/>
      <c r="S73" s="131"/>
      <c r="T73" s="131"/>
    </row>
    <row r="74" spans="2:20" s="93" customFormat="1" ht="12.6">
      <c r="B74" s="119"/>
      <c r="S74" s="131"/>
      <c r="T74" s="131"/>
    </row>
    <row r="75" spans="2:20" s="93" customFormat="1" ht="12.6">
      <c r="B75" s="119"/>
      <c r="S75" s="131"/>
      <c r="T75" s="131"/>
    </row>
    <row r="76" spans="2:20" s="93" customFormat="1" ht="12.6">
      <c r="B76" s="119"/>
      <c r="S76" s="131"/>
      <c r="T76" s="131"/>
    </row>
    <row r="77" spans="2:20" s="93" customFormat="1" ht="12.6">
      <c r="B77" s="119"/>
      <c r="S77" s="131"/>
      <c r="T77" s="131"/>
    </row>
    <row r="78" spans="2:20" s="93" customFormat="1" ht="12.6">
      <c r="B78" s="119"/>
      <c r="S78" s="131"/>
      <c r="T78" s="131"/>
    </row>
    <row r="79" spans="2:20" s="93" customFormat="1" ht="12.6">
      <c r="B79" s="119"/>
      <c r="S79" s="131"/>
      <c r="T79" s="131"/>
    </row>
    <row r="80" spans="2:20" s="93" customFormat="1" ht="12.6">
      <c r="B80" s="119"/>
      <c r="S80" s="131"/>
      <c r="T80" s="131"/>
    </row>
    <row r="81" spans="2:20" s="93" customFormat="1" ht="12.6">
      <c r="B81" s="119"/>
      <c r="S81" s="131"/>
      <c r="T81" s="131"/>
    </row>
    <row r="82" spans="2:20" s="93" customFormat="1" ht="12.6">
      <c r="B82" s="119"/>
      <c r="S82" s="131"/>
      <c r="T82" s="131"/>
    </row>
    <row r="83" spans="2:20" s="93" customFormat="1" ht="12.6">
      <c r="B83" s="119"/>
      <c r="S83" s="131"/>
      <c r="T83" s="131"/>
    </row>
    <row r="84" spans="2:20" s="93" customFormat="1" ht="12.6">
      <c r="B84" s="119"/>
      <c r="S84" s="131"/>
      <c r="T84" s="131"/>
    </row>
    <row r="85" spans="2:20" s="93" customFormat="1" ht="12.6">
      <c r="B85" s="119"/>
      <c r="S85" s="131"/>
      <c r="T85" s="131"/>
    </row>
    <row r="86" spans="2:20" s="93" customFormat="1" ht="12.6">
      <c r="B86" s="119"/>
      <c r="S86" s="131"/>
      <c r="T86" s="131"/>
    </row>
    <row r="87" spans="2:20" s="93" customFormat="1" ht="12.6">
      <c r="B87" s="119"/>
      <c r="S87" s="131"/>
      <c r="T87" s="131"/>
    </row>
    <row r="88" spans="2:20" s="93" customFormat="1" ht="12.6">
      <c r="B88" s="119"/>
      <c r="S88" s="131"/>
      <c r="T88" s="131"/>
    </row>
    <row r="89" spans="2:20" s="93" customFormat="1" ht="12.6">
      <c r="B89" s="119"/>
      <c r="S89" s="131"/>
      <c r="T89" s="131"/>
    </row>
    <row r="90" spans="2:20" s="93" customFormat="1" ht="12.6">
      <c r="B90" s="119"/>
      <c r="S90" s="131"/>
      <c r="T90" s="131"/>
    </row>
    <row r="91" spans="2:20" s="93" customFormat="1" ht="12.6">
      <c r="B91" s="119"/>
      <c r="S91" s="131"/>
      <c r="T91" s="131"/>
    </row>
    <row r="92" spans="2:20" s="93" customFormat="1" ht="12.6">
      <c r="B92" s="119"/>
      <c r="S92" s="131"/>
      <c r="T92" s="131"/>
    </row>
    <row r="93" spans="2:20" s="93" customFormat="1" ht="12.6">
      <c r="B93" s="119"/>
      <c r="S93" s="131"/>
      <c r="T93" s="131"/>
    </row>
    <row r="94" spans="2:20" s="93" customFormat="1" ht="12.6">
      <c r="B94" s="119"/>
      <c r="S94" s="131"/>
      <c r="T94" s="131"/>
    </row>
    <row r="95" spans="2:20" s="93" customFormat="1" ht="12.6">
      <c r="B95" s="119"/>
      <c r="S95" s="131"/>
      <c r="T95" s="131"/>
    </row>
    <row r="96" spans="2:20" s="93" customFormat="1" ht="12.6">
      <c r="B96" s="119"/>
      <c r="S96" s="131"/>
      <c r="T96" s="131"/>
    </row>
    <row r="97" spans="2:20" s="93" customFormat="1" ht="12.6">
      <c r="B97" s="119"/>
      <c r="S97" s="131"/>
      <c r="T97" s="131"/>
    </row>
    <row r="98" spans="2:20" s="93" customFormat="1" ht="12.6">
      <c r="B98" s="119"/>
      <c r="S98" s="131"/>
      <c r="T98" s="131"/>
    </row>
    <row r="99" spans="2:20" s="93" customFormat="1" ht="12.6">
      <c r="B99" s="119"/>
      <c r="S99" s="131"/>
      <c r="T99" s="131"/>
    </row>
    <row r="100" spans="2:20" s="93" customFormat="1" ht="12.6">
      <c r="B100" s="119"/>
      <c r="S100" s="131"/>
      <c r="T100" s="131"/>
    </row>
    <row r="101" spans="2:20" s="93" customFormat="1" ht="12.6">
      <c r="B101" s="119"/>
      <c r="S101" s="131"/>
      <c r="T101" s="131"/>
    </row>
    <row r="102" spans="2:20" s="93" customFormat="1" ht="12.6">
      <c r="B102" s="119"/>
      <c r="S102" s="131"/>
      <c r="T102" s="131"/>
    </row>
    <row r="103" spans="2:20" s="93" customFormat="1" ht="12.6">
      <c r="B103" s="119"/>
      <c r="S103" s="131"/>
      <c r="T103" s="131"/>
    </row>
    <row r="104" spans="2:20" s="93" customFormat="1" ht="12.6">
      <c r="B104" s="119"/>
      <c r="S104" s="131"/>
      <c r="T104" s="131"/>
    </row>
    <row r="105" spans="2:20" s="93" customFormat="1" ht="12.6">
      <c r="B105" s="119"/>
      <c r="S105" s="131"/>
      <c r="T105" s="131"/>
    </row>
    <row r="106" spans="2:20" s="93" customFormat="1" ht="12.6">
      <c r="B106" s="119"/>
      <c r="S106" s="131"/>
      <c r="T106" s="131"/>
    </row>
    <row r="107" spans="2:20" s="93" customFormat="1" ht="12.6">
      <c r="B107" s="119"/>
      <c r="S107" s="131"/>
      <c r="T107" s="131"/>
    </row>
    <row r="108" spans="2:20" s="93" customFormat="1" ht="12.6">
      <c r="B108" s="119"/>
      <c r="S108" s="131"/>
      <c r="T108" s="131"/>
    </row>
    <row r="109" spans="2:20" s="93" customFormat="1" ht="12.6">
      <c r="B109" s="119"/>
      <c r="S109" s="131"/>
      <c r="T109" s="131"/>
    </row>
    <row r="110" spans="2:20" s="93" customFormat="1" ht="12.6">
      <c r="B110" s="119"/>
      <c r="S110" s="131"/>
      <c r="T110" s="131"/>
    </row>
    <row r="111" spans="2:20" s="93" customFormat="1" ht="12.6">
      <c r="B111" s="119"/>
      <c r="S111" s="131"/>
      <c r="T111" s="131"/>
    </row>
    <row r="112" spans="2:20" s="93" customFormat="1" ht="12.6">
      <c r="B112" s="119"/>
      <c r="S112" s="131"/>
      <c r="T112" s="131"/>
    </row>
    <row r="113" spans="2:20" s="93" customFormat="1" ht="12.6">
      <c r="B113" s="119"/>
      <c r="S113" s="131"/>
      <c r="T113" s="131"/>
    </row>
    <row r="114" spans="2:20" s="93" customFormat="1" ht="12.6">
      <c r="B114" s="119"/>
      <c r="S114" s="131"/>
      <c r="T114" s="131"/>
    </row>
    <row r="115" spans="2:20" s="93" customFormat="1" ht="12.6">
      <c r="B115" s="119"/>
      <c r="S115" s="131"/>
      <c r="T115" s="131"/>
    </row>
    <row r="116" spans="2:20" s="93" customFormat="1" ht="12.6">
      <c r="B116" s="119"/>
      <c r="S116" s="131"/>
      <c r="T116" s="131"/>
    </row>
    <row r="117" spans="2:20" s="93" customFormat="1" ht="12.6">
      <c r="B117" s="119"/>
      <c r="S117" s="131"/>
      <c r="T117" s="131"/>
    </row>
    <row r="118" spans="2:20" s="93" customFormat="1" ht="12.6">
      <c r="B118" s="119"/>
      <c r="S118" s="131"/>
      <c r="T118" s="131"/>
    </row>
    <row r="119" spans="2:20" s="93" customFormat="1" ht="12.6">
      <c r="B119" s="119"/>
      <c r="S119" s="131"/>
      <c r="T119" s="131"/>
    </row>
    <row r="120" spans="2:20" s="93" customFormat="1" ht="12.6">
      <c r="B120" s="119"/>
      <c r="S120" s="131"/>
      <c r="T120" s="131"/>
    </row>
    <row r="121" spans="2:20" s="93" customFormat="1" ht="12.6">
      <c r="B121" s="119"/>
      <c r="S121" s="131"/>
      <c r="T121" s="131"/>
    </row>
    <row r="122" spans="2:20" s="93" customFormat="1" ht="12.6">
      <c r="B122" s="119"/>
      <c r="S122" s="131"/>
      <c r="T122" s="131"/>
    </row>
    <row r="123" spans="2:20" s="93" customFormat="1" ht="12.6">
      <c r="B123" s="119"/>
      <c r="S123" s="131"/>
      <c r="T123" s="131"/>
    </row>
    <row r="124" spans="2:20" s="93" customFormat="1" ht="12.6">
      <c r="B124" s="119"/>
      <c r="S124" s="131"/>
      <c r="T124" s="131"/>
    </row>
    <row r="125" spans="2:20" s="93" customFormat="1" ht="12.6">
      <c r="B125" s="119"/>
      <c r="S125" s="131"/>
      <c r="T125" s="131"/>
    </row>
    <row r="126" spans="2:20" s="93" customFormat="1" ht="12.6">
      <c r="B126" s="119"/>
      <c r="S126" s="131"/>
      <c r="T126" s="131"/>
    </row>
    <row r="127" spans="2:20" s="93" customFormat="1" ht="12.6">
      <c r="B127" s="119"/>
      <c r="S127" s="131"/>
      <c r="T127" s="131"/>
    </row>
    <row r="128" spans="2:20" s="93" customFormat="1" ht="12.6">
      <c r="B128" s="119"/>
      <c r="S128" s="131"/>
      <c r="T128" s="131"/>
    </row>
    <row r="129" spans="2:20" s="93" customFormat="1" ht="12.6">
      <c r="B129" s="119"/>
      <c r="S129" s="131"/>
      <c r="T129" s="131"/>
    </row>
    <row r="130" spans="2:20" s="93" customFormat="1" ht="12.6">
      <c r="B130" s="119"/>
      <c r="S130" s="131"/>
      <c r="T130" s="131"/>
    </row>
    <row r="131" spans="2:20" s="93" customFormat="1" ht="12.6">
      <c r="B131" s="119"/>
      <c r="S131" s="131"/>
      <c r="T131" s="131"/>
    </row>
    <row r="132" spans="2:20" s="93" customFormat="1" ht="12.6">
      <c r="B132" s="119"/>
      <c r="S132" s="131"/>
      <c r="T132" s="131"/>
    </row>
    <row r="133" spans="2:20" s="93" customFormat="1" ht="12.6">
      <c r="B133" s="119"/>
      <c r="S133" s="131"/>
      <c r="T133" s="131"/>
    </row>
    <row r="134" spans="2:20" s="93" customFormat="1" ht="12.6">
      <c r="B134" s="119"/>
      <c r="S134" s="131"/>
      <c r="T134" s="131"/>
    </row>
    <row r="135" spans="2:20" s="93" customFormat="1" ht="12.6">
      <c r="B135" s="119"/>
      <c r="S135" s="131"/>
      <c r="T135" s="131"/>
    </row>
    <row r="136" spans="2:20" s="93" customFormat="1" ht="12.6">
      <c r="B136" s="119"/>
      <c r="S136" s="131"/>
      <c r="T136" s="131"/>
    </row>
    <row r="137" spans="2:20" s="93" customFormat="1" ht="12.6">
      <c r="B137" s="119"/>
      <c r="S137" s="131"/>
      <c r="T137" s="131"/>
    </row>
    <row r="138" spans="2:20" s="93" customFormat="1" ht="12.6">
      <c r="B138" s="119"/>
      <c r="S138" s="131"/>
      <c r="T138" s="131"/>
    </row>
    <row r="139" spans="2:20" s="93" customFormat="1" ht="12.6">
      <c r="B139" s="119"/>
      <c r="S139" s="131"/>
      <c r="T139" s="131"/>
    </row>
    <row r="140" spans="2:20" s="93" customFormat="1" ht="12.6">
      <c r="B140" s="119"/>
      <c r="S140" s="131"/>
      <c r="T140" s="131"/>
    </row>
    <row r="141" spans="2:20" s="93" customFormat="1" ht="12.6">
      <c r="B141" s="119"/>
      <c r="S141" s="131"/>
      <c r="T141" s="131"/>
    </row>
    <row r="142" spans="2:20" s="93" customFormat="1" ht="12.6">
      <c r="B142" s="119"/>
      <c r="S142" s="131"/>
      <c r="T142" s="131"/>
    </row>
    <row r="143" spans="2:20" s="93" customFormat="1" ht="12.6">
      <c r="B143" s="119"/>
      <c r="S143" s="131"/>
      <c r="T143" s="131"/>
    </row>
    <row r="144" spans="2:20" s="93" customFormat="1" ht="12.6">
      <c r="B144" s="119"/>
      <c r="S144" s="131"/>
      <c r="T144" s="131"/>
    </row>
    <row r="145" spans="2:20" s="93" customFormat="1" ht="12.6">
      <c r="B145" s="119"/>
      <c r="S145" s="131"/>
      <c r="T145" s="131"/>
    </row>
    <row r="146" spans="2:20" s="93" customFormat="1" ht="12.6">
      <c r="B146" s="119"/>
      <c r="S146" s="131"/>
      <c r="T146" s="131"/>
    </row>
    <row r="147" spans="2:20" s="93" customFormat="1" ht="12.6">
      <c r="B147" s="119"/>
      <c r="S147" s="131"/>
      <c r="T147" s="131"/>
    </row>
    <row r="148" spans="2:20" s="93" customFormat="1" ht="12.6">
      <c r="B148" s="119"/>
      <c r="S148" s="131"/>
      <c r="T148" s="131"/>
    </row>
    <row r="149" spans="2:20" s="93" customFormat="1" ht="12.6">
      <c r="B149" s="119"/>
      <c r="S149" s="131"/>
      <c r="T149" s="131"/>
    </row>
    <row r="150" spans="2:20" s="93" customFormat="1" ht="12.6">
      <c r="B150" s="119"/>
      <c r="S150" s="131"/>
      <c r="T150" s="131"/>
    </row>
    <row r="151" spans="2:20" s="93" customFormat="1" ht="12.6">
      <c r="B151" s="119"/>
      <c r="S151" s="131"/>
      <c r="T151" s="131"/>
    </row>
    <row r="152" spans="2:20" s="93" customFormat="1" ht="12.6">
      <c r="B152" s="119"/>
      <c r="S152" s="131"/>
      <c r="T152" s="131"/>
    </row>
    <row r="153" spans="2:20" s="93" customFormat="1" ht="12.6">
      <c r="B153" s="119"/>
      <c r="S153" s="131"/>
      <c r="T153" s="131"/>
    </row>
    <row r="154" spans="2:20" s="93" customFormat="1" ht="12.6">
      <c r="B154" s="119"/>
      <c r="S154" s="131"/>
      <c r="T154" s="131"/>
    </row>
    <row r="155" spans="2:20" s="93" customFormat="1" ht="12.6">
      <c r="B155" s="119"/>
      <c r="S155" s="131"/>
      <c r="T155" s="131"/>
    </row>
    <row r="156" spans="2:20" s="93" customFormat="1" ht="12.6">
      <c r="B156" s="119"/>
      <c r="S156" s="131"/>
      <c r="T156" s="131"/>
    </row>
    <row r="157" spans="2:20" s="93" customFormat="1" ht="12.6">
      <c r="B157" s="119"/>
      <c r="S157" s="131"/>
      <c r="T157" s="131"/>
    </row>
    <row r="158" spans="2:20" s="93" customFormat="1" ht="12.6">
      <c r="B158" s="119"/>
      <c r="S158" s="131"/>
      <c r="T158" s="131"/>
    </row>
    <row r="159" spans="2:20" s="93" customFormat="1" ht="12.6">
      <c r="B159" s="119"/>
      <c r="S159" s="131"/>
      <c r="T159" s="131"/>
    </row>
    <row r="160" spans="2:20" s="93" customFormat="1" ht="12.6">
      <c r="B160" s="119"/>
      <c r="S160" s="131"/>
      <c r="T160" s="131"/>
    </row>
    <row r="161" spans="2:20" s="93" customFormat="1" ht="12.6">
      <c r="B161" s="119"/>
      <c r="S161" s="131"/>
      <c r="T161" s="131"/>
    </row>
    <row r="162" spans="2:20" s="93" customFormat="1" ht="12.6">
      <c r="B162" s="119"/>
      <c r="S162" s="131"/>
      <c r="T162" s="131"/>
    </row>
    <row r="163" spans="2:20" s="93" customFormat="1" ht="12.6">
      <c r="B163" s="119"/>
      <c r="S163" s="131"/>
      <c r="T163" s="131"/>
    </row>
    <row r="164" spans="2:20" s="93" customFormat="1" ht="12.6">
      <c r="B164" s="119"/>
      <c r="S164" s="131"/>
      <c r="T164" s="131"/>
    </row>
    <row r="165" spans="2:20" s="93" customFormat="1" ht="12.6">
      <c r="B165" s="119"/>
      <c r="S165" s="131"/>
      <c r="T165" s="131"/>
    </row>
    <row r="166" spans="2:20" s="93" customFormat="1" ht="12.6">
      <c r="B166" s="119"/>
      <c r="S166" s="131"/>
      <c r="T166" s="131"/>
    </row>
    <row r="167" spans="2:20" s="93" customFormat="1" ht="12.6">
      <c r="B167" s="119"/>
      <c r="S167" s="131"/>
      <c r="T167" s="131"/>
    </row>
    <row r="168" spans="2:20" s="93" customFormat="1" ht="12.6">
      <c r="B168" s="119"/>
      <c r="S168" s="131"/>
      <c r="T168" s="131"/>
    </row>
    <row r="169" spans="2:20" s="93" customFormat="1" ht="12.6">
      <c r="B169" s="119"/>
      <c r="S169" s="131"/>
      <c r="T169" s="131"/>
    </row>
    <row r="170" spans="2:20" s="93" customFormat="1" ht="12.6">
      <c r="B170" s="119"/>
      <c r="S170" s="131"/>
      <c r="T170" s="131"/>
    </row>
    <row r="171" spans="2:20" s="93" customFormat="1" ht="12.6">
      <c r="B171" s="119"/>
      <c r="S171" s="131"/>
      <c r="T171" s="131"/>
    </row>
    <row r="172" spans="2:20" s="93" customFormat="1" ht="12.6">
      <c r="B172" s="119"/>
      <c r="S172" s="131"/>
      <c r="T172" s="131"/>
    </row>
    <row r="173" spans="2:20" s="93" customFormat="1" ht="12.6">
      <c r="B173" s="119"/>
      <c r="S173" s="131"/>
      <c r="T173" s="131"/>
    </row>
    <row r="174" spans="2:20" s="93" customFormat="1" ht="12.6">
      <c r="B174" s="119"/>
      <c r="S174" s="131"/>
      <c r="T174" s="131"/>
    </row>
    <row r="175" spans="2:20" s="93" customFormat="1" ht="12.6">
      <c r="B175" s="119"/>
      <c r="S175" s="131"/>
      <c r="T175" s="131"/>
    </row>
    <row r="176" spans="2:20" s="93" customFormat="1" ht="12.6">
      <c r="B176" s="119"/>
      <c r="S176" s="131"/>
      <c r="T176" s="131"/>
    </row>
    <row r="177" spans="2:20" s="93" customFormat="1" ht="12.6">
      <c r="B177" s="119"/>
      <c r="S177" s="131"/>
      <c r="T177" s="131"/>
    </row>
    <row r="178" spans="2:20" s="93" customFormat="1" ht="12.6">
      <c r="B178" s="119"/>
      <c r="S178" s="131"/>
      <c r="T178" s="131"/>
    </row>
    <row r="179" spans="2:20" s="93" customFormat="1" ht="12.6">
      <c r="B179" s="119"/>
      <c r="S179" s="131"/>
      <c r="T179" s="131"/>
    </row>
    <row r="180" spans="2:20" s="93" customFormat="1" ht="12.6">
      <c r="B180" s="119"/>
      <c r="S180" s="131"/>
      <c r="T180" s="131"/>
    </row>
    <row r="181" spans="2:20" s="93" customFormat="1" ht="12.6">
      <c r="B181" s="119"/>
      <c r="S181" s="131"/>
      <c r="T181" s="131"/>
    </row>
    <row r="182" spans="2:20" s="93" customFormat="1" ht="12.6">
      <c r="B182" s="119"/>
      <c r="S182" s="131"/>
      <c r="T182" s="131"/>
    </row>
    <row r="183" spans="2:20" s="93" customFormat="1" ht="12.6">
      <c r="B183" s="119"/>
      <c r="S183" s="131"/>
      <c r="T183" s="131"/>
    </row>
    <row r="184" spans="2:20" s="93" customFormat="1" ht="12.6">
      <c r="B184" s="119"/>
      <c r="S184" s="131"/>
      <c r="T184" s="131"/>
    </row>
    <row r="185" spans="2:20" s="93" customFormat="1" ht="12.6">
      <c r="B185" s="119"/>
      <c r="S185" s="131"/>
      <c r="T185" s="131"/>
    </row>
    <row r="186" spans="2:20" s="93" customFormat="1" ht="12.6">
      <c r="B186" s="119"/>
      <c r="S186" s="131"/>
      <c r="T186" s="131"/>
    </row>
    <row r="187" spans="2:20" s="93" customFormat="1" ht="12.6">
      <c r="B187" s="119"/>
      <c r="S187" s="131"/>
      <c r="T187" s="131"/>
    </row>
    <row r="188" spans="2:20" s="93" customFormat="1" ht="12.6">
      <c r="B188" s="119"/>
      <c r="S188" s="131"/>
      <c r="T188" s="131"/>
    </row>
    <row r="189" spans="2:20" s="93" customFormat="1" ht="12.6">
      <c r="B189" s="119"/>
      <c r="S189" s="131"/>
      <c r="T189" s="131"/>
    </row>
    <row r="190" spans="2:20" s="93" customFormat="1" ht="12.6">
      <c r="B190" s="119"/>
      <c r="S190" s="131"/>
      <c r="T190" s="131"/>
    </row>
    <row r="191" spans="2:20" s="93" customFormat="1" ht="12.6">
      <c r="B191" s="119"/>
      <c r="S191" s="131"/>
      <c r="T191" s="131"/>
    </row>
    <row r="192" spans="2:20" s="93" customFormat="1" ht="12.6">
      <c r="B192" s="119"/>
      <c r="S192" s="131"/>
      <c r="T192" s="131"/>
    </row>
    <row r="193" spans="2:20" s="93" customFormat="1" ht="12.6">
      <c r="B193" s="119"/>
      <c r="S193" s="131"/>
      <c r="T193" s="131"/>
    </row>
    <row r="194" spans="2:20" s="93" customFormat="1" ht="12.6">
      <c r="B194" s="119"/>
      <c r="S194" s="131"/>
      <c r="T194" s="131"/>
    </row>
    <row r="195" spans="2:20" s="93" customFormat="1" ht="12.6">
      <c r="B195" s="119"/>
      <c r="S195" s="131"/>
      <c r="T195" s="131"/>
    </row>
    <row r="196" spans="2:20" s="93" customFormat="1" ht="12.6">
      <c r="B196" s="119"/>
      <c r="S196" s="131"/>
      <c r="T196" s="131"/>
    </row>
    <row r="197" spans="2:20" s="93" customFormat="1" ht="12.6">
      <c r="B197" s="119"/>
      <c r="S197" s="131"/>
      <c r="T197" s="131"/>
    </row>
    <row r="198" spans="2:20" s="93" customFormat="1" ht="12.6">
      <c r="B198" s="119"/>
      <c r="S198" s="131"/>
      <c r="T198" s="131"/>
    </row>
    <row r="199" spans="2:20" s="93" customFormat="1" ht="12.6">
      <c r="B199" s="119"/>
      <c r="S199" s="131"/>
      <c r="T199" s="131"/>
    </row>
    <row r="200" spans="2:20" s="93" customFormat="1" ht="12.6">
      <c r="B200" s="119"/>
      <c r="S200" s="131"/>
      <c r="T200" s="131"/>
    </row>
    <row r="201" spans="2:20" s="93" customFormat="1" ht="12.6">
      <c r="B201" s="119"/>
      <c r="S201" s="131"/>
      <c r="T201" s="131"/>
    </row>
    <row r="202" spans="2:20" s="93" customFormat="1" ht="12.6">
      <c r="B202" s="119"/>
      <c r="S202" s="131"/>
      <c r="T202" s="131"/>
    </row>
    <row r="203" spans="2:20" s="93" customFormat="1" ht="12.6">
      <c r="B203" s="119"/>
      <c r="S203" s="131"/>
      <c r="T203" s="131"/>
    </row>
    <row r="204" spans="2:20" s="93" customFormat="1" ht="12.6">
      <c r="B204" s="119"/>
      <c r="S204" s="131"/>
      <c r="T204" s="131"/>
    </row>
    <row r="205" spans="2:20" s="93" customFormat="1" ht="12.6">
      <c r="B205" s="119"/>
      <c r="S205" s="131"/>
      <c r="T205" s="131"/>
    </row>
    <row r="206" spans="2:20" s="93" customFormat="1" ht="12.6">
      <c r="B206" s="119"/>
      <c r="S206" s="131"/>
      <c r="T206" s="131"/>
    </row>
    <row r="207" spans="2:20" s="93" customFormat="1" ht="12.6">
      <c r="B207" s="119"/>
      <c r="S207" s="131"/>
      <c r="T207" s="131"/>
    </row>
    <row r="208" spans="2:20" s="93" customFormat="1" ht="12.6">
      <c r="B208" s="119"/>
      <c r="S208" s="131"/>
      <c r="T208" s="131"/>
    </row>
    <row r="209" spans="2:20" s="93" customFormat="1" ht="12.6">
      <c r="B209" s="119"/>
      <c r="S209" s="131"/>
      <c r="T209" s="131"/>
    </row>
    <row r="210" spans="2:20" s="93" customFormat="1" ht="12.6">
      <c r="B210" s="119"/>
      <c r="S210" s="131"/>
      <c r="T210" s="131"/>
    </row>
    <row r="211" spans="2:20" s="93" customFormat="1" ht="12.6">
      <c r="B211" s="119"/>
      <c r="S211" s="131"/>
      <c r="T211" s="131"/>
    </row>
    <row r="212" spans="2:20" s="93" customFormat="1" ht="12.6">
      <c r="B212" s="119"/>
      <c r="S212" s="131"/>
      <c r="T212" s="131"/>
    </row>
    <row r="213" spans="2:20" s="93" customFormat="1" ht="12.6">
      <c r="B213" s="119"/>
      <c r="S213" s="131"/>
      <c r="T213" s="131"/>
    </row>
    <row r="214" spans="2:20" s="93" customFormat="1" ht="12.6">
      <c r="B214" s="119"/>
      <c r="S214" s="131"/>
      <c r="T214" s="131"/>
    </row>
    <row r="215" spans="2:20" s="93" customFormat="1" ht="12.6">
      <c r="B215" s="119"/>
      <c r="S215" s="131"/>
      <c r="T215" s="131"/>
    </row>
    <row r="216" spans="2:20" s="93" customFormat="1" ht="12.6">
      <c r="B216" s="119"/>
      <c r="S216" s="131"/>
      <c r="T216" s="131"/>
    </row>
    <row r="217" spans="2:20" s="93" customFormat="1" ht="12.6">
      <c r="B217" s="119"/>
      <c r="S217" s="131"/>
      <c r="T217" s="131"/>
    </row>
    <row r="218" spans="2:20" s="93" customFormat="1" ht="12.6">
      <c r="B218" s="119"/>
      <c r="S218" s="131"/>
      <c r="T218" s="1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C1" zoomScale="120" zoomScaleNormal="120" workbookViewId="0">
      <selection activeCell="E7" sqref="E7"/>
    </sheetView>
  </sheetViews>
  <sheetFormatPr defaultColWidth="8.28515625" defaultRowHeight="14.1"/>
  <cols>
    <col min="1" max="1" width="1.28515625" style="114" customWidth="1"/>
    <col min="2" max="2" width="6.28515625" style="190" bestFit="1" customWidth="1"/>
    <col min="3" max="3" width="50.5703125" style="24" bestFit="1" customWidth="1"/>
    <col min="4" max="4" width="3.28515625" style="114" customWidth="1"/>
    <col min="5" max="5" width="15" style="24" bestFit="1" customWidth="1"/>
    <col min="6" max="6" width="10.28515625" style="187" customWidth="1"/>
    <col min="7" max="7" width="13.5703125" style="64" customWidth="1"/>
    <col min="8" max="8" width="5" style="114" customWidth="1"/>
    <col min="9" max="9" width="13.28515625" style="114" customWidth="1"/>
    <col min="10" max="10" width="11.28515625" style="115" customWidth="1"/>
    <col min="11" max="11" width="14.5703125" style="114" customWidth="1"/>
    <col min="12" max="12" width="2.28515625" style="114" customWidth="1"/>
    <col min="13" max="13" width="12.5703125" style="114" customWidth="1"/>
    <col min="14" max="14" width="11" style="114" bestFit="1" customWidth="1"/>
    <col min="15" max="15" width="39.28515625" style="114" bestFit="1" customWidth="1"/>
    <col min="16" max="16" width="1.28515625" style="114" customWidth="1"/>
    <col min="17" max="17" width="5.5703125" style="3" customWidth="1"/>
    <col min="18" max="25" width="8.28515625" style="114"/>
    <col min="26" max="16384" width="8.28515625" style="24"/>
  </cols>
  <sheetData>
    <row r="1" spans="2:28" s="114" customFormat="1" ht="4.5" customHeight="1">
      <c r="B1" s="186"/>
      <c r="F1" s="187"/>
      <c r="G1" s="115"/>
      <c r="J1" s="115"/>
      <c r="N1" s="611">
        <v>45943</v>
      </c>
      <c r="O1" s="611">
        <v>45943</v>
      </c>
      <c r="Q1" s="3"/>
    </row>
    <row r="2" spans="2:28">
      <c r="B2" s="225"/>
      <c r="C2" s="226" t="s">
        <v>0</v>
      </c>
      <c r="D2" s="227"/>
      <c r="E2" s="888" t="s">
        <v>124</v>
      </c>
      <c r="F2" s="889"/>
      <c r="G2" s="889"/>
      <c r="H2" s="890"/>
      <c r="N2" s="612">
        <v>0</v>
      </c>
      <c r="O2" s="612">
        <v>1</v>
      </c>
    </row>
    <row r="3" spans="2:28" s="114" customFormat="1">
      <c r="B3" s="228"/>
      <c r="C3" s="229" t="s">
        <v>125</v>
      </c>
      <c r="D3" s="227"/>
      <c r="E3" s="653">
        <v>250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891" t="s">
        <v>127</v>
      </c>
      <c r="F4" s="892"/>
      <c r="G4" s="892"/>
      <c r="H4" s="893"/>
      <c r="J4" s="115"/>
      <c r="Q4" s="3"/>
    </row>
    <row r="5" spans="2:28" s="114" customFormat="1">
      <c r="B5" s="228"/>
      <c r="C5" s="229" t="s">
        <v>128</v>
      </c>
      <c r="D5" s="227"/>
      <c r="E5" s="891" t="s">
        <v>129</v>
      </c>
      <c r="F5" s="892"/>
      <c r="G5" s="892"/>
      <c r="H5" s="893"/>
      <c r="J5" s="115"/>
      <c r="Q5" s="3"/>
    </row>
    <row r="6" spans="2:28">
      <c r="B6" s="233"/>
      <c r="C6" s="234" t="s">
        <v>130</v>
      </c>
      <c r="D6" s="227"/>
      <c r="E6" s="734">
        <v>2462259.00338786</v>
      </c>
      <c r="F6" s="720"/>
      <c r="G6" s="720"/>
      <c r="H6" s="721"/>
    </row>
    <row r="7" spans="2:28" s="114" customFormat="1">
      <c r="B7" s="186"/>
      <c r="C7" s="867" t="s">
        <v>131</v>
      </c>
      <c r="E7" s="621" t="s">
        <v>132</v>
      </c>
      <c r="F7" s="187"/>
      <c r="G7" s="235"/>
      <c r="J7" s="115"/>
      <c r="Q7" s="3"/>
    </row>
    <row r="8" spans="2:28" ht="30" customHeight="1">
      <c r="B8" s="883" t="s">
        <v>91</v>
      </c>
      <c r="C8" s="884" t="s">
        <v>133</v>
      </c>
      <c r="D8" s="264"/>
      <c r="E8" s="886" t="s">
        <v>134</v>
      </c>
      <c r="F8" s="286" t="s">
        <v>135</v>
      </c>
      <c r="G8" s="886" t="s">
        <v>136</v>
      </c>
      <c r="H8" s="287"/>
      <c r="I8" s="886" t="s">
        <v>137</v>
      </c>
      <c r="J8" s="286" t="s">
        <v>135</v>
      </c>
      <c r="K8" s="886" t="s">
        <v>138</v>
      </c>
      <c r="M8" s="652" t="s">
        <v>60</v>
      </c>
      <c r="O8" s="894" t="s">
        <v>139</v>
      </c>
      <c r="Z8" s="114"/>
      <c r="AA8" s="114"/>
      <c r="AB8" s="114"/>
    </row>
    <row r="9" spans="2:28">
      <c r="B9" s="884"/>
      <c r="C9" s="885"/>
      <c r="D9" s="264"/>
      <c r="E9" s="887"/>
      <c r="F9" s="128">
        <v>55</v>
      </c>
      <c r="G9" s="887"/>
      <c r="H9" s="287"/>
      <c r="I9" s="887"/>
      <c r="J9" s="129">
        <v>55</v>
      </c>
      <c r="K9" s="887"/>
      <c r="M9" s="499">
        <v>1</v>
      </c>
      <c r="N9" s="499">
        <v>1</v>
      </c>
      <c r="O9" s="895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8">
        <v>1</v>
      </c>
      <c r="N11" s="498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8">
        <v>1</v>
      </c>
      <c r="N18" s="498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6">
        <v>45560</v>
      </c>
      <c r="F19" s="300">
        <v>1</v>
      </c>
      <c r="G19" s="299">
        <v>45561</v>
      </c>
      <c r="H19" s="287"/>
      <c r="I19" s="656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7.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Q20" s="3"/>
    </row>
    <row r="21" spans="2:28" s="116" customFormat="1">
      <c r="B21" s="293">
        <v>3</v>
      </c>
      <c r="C21" s="294" t="s">
        <v>154</v>
      </c>
      <c r="D21" s="268"/>
      <c r="E21" s="295">
        <v>45562</v>
      </c>
      <c r="F21" s="296">
        <v>35</v>
      </c>
      <c r="G21" s="295">
        <v>45597</v>
      </c>
      <c r="H21" s="301"/>
      <c r="I21" s="295">
        <v>45562</v>
      </c>
      <c r="J21" s="296">
        <v>35</v>
      </c>
      <c r="K21" s="295">
        <v>45597</v>
      </c>
      <c r="M21" s="498">
        <v>1</v>
      </c>
      <c r="N21" s="498">
        <v>1</v>
      </c>
      <c r="O21" s="121"/>
      <c r="P21" s="114"/>
      <c r="Q21" s="125"/>
      <c r="R21" s="120"/>
      <c r="S21" s="731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32">
        <v>14.204545454545453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6">
        <v>45560</v>
      </c>
      <c r="F24" s="300">
        <v>30</v>
      </c>
      <c r="G24" s="299">
        <v>45602</v>
      </c>
      <c r="H24" s="287"/>
      <c r="I24" s="656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7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Q27" s="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37</v>
      </c>
      <c r="G28" s="295">
        <v>45597</v>
      </c>
      <c r="H28" s="301"/>
      <c r="I28" s="295">
        <v>45560</v>
      </c>
      <c r="J28" s="296">
        <v>37</v>
      </c>
      <c r="K28" s="295">
        <v>45597</v>
      </c>
      <c r="M28" s="498">
        <v>1</v>
      </c>
      <c r="N28" s="498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45597</v>
      </c>
      <c r="F32" s="300">
        <v>5</v>
      </c>
      <c r="G32" s="299">
        <v>45604</v>
      </c>
      <c r="H32" s="287"/>
      <c r="I32" s="299">
        <v>45597</v>
      </c>
      <c r="J32" s="300">
        <v>5</v>
      </c>
      <c r="K32" s="299">
        <v>45604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7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Q33" s="3"/>
    </row>
    <row r="34" spans="2:28" s="116" customFormat="1">
      <c r="B34" s="293">
        <v>5</v>
      </c>
      <c r="C34" s="294" t="s">
        <v>173</v>
      </c>
      <c r="D34" s="268"/>
      <c r="E34" s="295">
        <v>45576</v>
      </c>
      <c r="F34" s="296">
        <v>33</v>
      </c>
      <c r="G34" s="295">
        <v>45609</v>
      </c>
      <c r="H34" s="269"/>
      <c r="I34" s="295">
        <v>45576</v>
      </c>
      <c r="J34" s="296">
        <v>33</v>
      </c>
      <c r="K34" s="295">
        <v>45609</v>
      </c>
      <c r="M34" s="498">
        <v>1</v>
      </c>
      <c r="N34" s="498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45576</v>
      </c>
      <c r="F35" s="300">
        <v>1</v>
      </c>
      <c r="G35" s="299">
        <v>45579</v>
      </c>
      <c r="H35" s="287"/>
      <c r="I35" s="299">
        <v>45576</v>
      </c>
      <c r="J35" s="300">
        <v>1</v>
      </c>
      <c r="K35" s="299">
        <v>45579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45576</v>
      </c>
      <c r="F36" s="300">
        <v>15</v>
      </c>
      <c r="G36" s="299">
        <v>45597</v>
      </c>
      <c r="H36" s="287"/>
      <c r="I36" s="299">
        <v>45576</v>
      </c>
      <c r="J36" s="300">
        <v>15</v>
      </c>
      <c r="K36" s="299">
        <v>45597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7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Q37" s="3"/>
    </row>
    <row r="38" spans="2:28" s="116" customFormat="1">
      <c r="B38" s="293">
        <v>6</v>
      </c>
      <c r="C38" s="294" t="s">
        <v>178</v>
      </c>
      <c r="D38" s="268"/>
      <c r="E38" s="295">
        <v>45604</v>
      </c>
      <c r="F38" s="296">
        <v>5</v>
      </c>
      <c r="G38" s="295">
        <v>45609</v>
      </c>
      <c r="H38" s="269"/>
      <c r="I38" s="295">
        <v>45604</v>
      </c>
      <c r="J38" s="296">
        <v>5</v>
      </c>
      <c r="K38" s="295">
        <v>45609</v>
      </c>
      <c r="M38" s="498">
        <v>1</v>
      </c>
      <c r="N38" s="498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2">
        <v>45609</v>
      </c>
      <c r="F39" s="300">
        <v>1</v>
      </c>
      <c r="G39" s="299">
        <v>45610</v>
      </c>
      <c r="H39" s="265"/>
      <c r="I39" s="302">
        <v>45609</v>
      </c>
      <c r="J39" s="300">
        <v>1</v>
      </c>
      <c r="K39" s="299">
        <v>45610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2">
        <v>45609</v>
      </c>
      <c r="F40" s="300">
        <v>4</v>
      </c>
      <c r="G40" s="299">
        <v>45615</v>
      </c>
      <c r="H40" s="287"/>
      <c r="I40" s="302">
        <v>45609</v>
      </c>
      <c r="J40" s="300">
        <v>4</v>
      </c>
      <c r="K40" s="299">
        <v>45615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7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Q41" s="3"/>
    </row>
    <row r="42" spans="2:28" s="116" customFormat="1">
      <c r="B42" s="293">
        <v>7</v>
      </c>
      <c r="C42" s="294" t="s">
        <v>181</v>
      </c>
      <c r="D42" s="268"/>
      <c r="E42" s="295">
        <v>45609</v>
      </c>
      <c r="F42" s="296">
        <v>28</v>
      </c>
      <c r="G42" s="295">
        <v>45637</v>
      </c>
      <c r="H42" s="269"/>
      <c r="I42" s="295">
        <v>45609</v>
      </c>
      <c r="J42" s="296">
        <v>28</v>
      </c>
      <c r="K42" s="295">
        <v>45637</v>
      </c>
      <c r="M42" s="498">
        <v>1</v>
      </c>
      <c r="N42" s="498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2">
        <v>45615</v>
      </c>
      <c r="F43" s="300">
        <v>3</v>
      </c>
      <c r="G43" s="302">
        <v>45618</v>
      </c>
      <c r="H43" s="287"/>
      <c r="I43" s="302">
        <v>45632</v>
      </c>
      <c r="J43" s="300">
        <v>3</v>
      </c>
      <c r="K43" s="302">
        <v>45637</v>
      </c>
      <c r="M43" s="303">
        <v>1</v>
      </c>
      <c r="N43" s="303">
        <v>1</v>
      </c>
      <c r="O43" s="124"/>
      <c r="Y43" s="24"/>
    </row>
    <row r="44" spans="2:28" s="114" customFormat="1" ht="7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Q44" s="3"/>
    </row>
    <row r="45" spans="2:28" s="116" customFormat="1">
      <c r="B45" s="293">
        <v>8</v>
      </c>
      <c r="C45" s="294" t="s">
        <v>183</v>
      </c>
      <c r="D45" s="268"/>
      <c r="E45" s="295">
        <v>45634</v>
      </c>
      <c r="F45" s="296">
        <v>52</v>
      </c>
      <c r="G45" s="295">
        <v>45686</v>
      </c>
      <c r="H45" s="269"/>
      <c r="I45" s="295">
        <v>45634</v>
      </c>
      <c r="J45" s="296">
        <v>52</v>
      </c>
      <c r="K45" s="295">
        <v>45686</v>
      </c>
      <c r="M45" s="498">
        <v>1</v>
      </c>
      <c r="N45" s="498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2">
        <v>45618</v>
      </c>
      <c r="F46" s="300">
        <v>1</v>
      </c>
      <c r="G46" s="302">
        <v>45621</v>
      </c>
      <c r="H46" s="287"/>
      <c r="I46" s="302">
        <v>45637</v>
      </c>
      <c r="J46" s="300">
        <v>1</v>
      </c>
      <c r="K46" s="302">
        <v>45638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2">
        <v>45621</v>
      </c>
      <c r="F47" s="300">
        <v>5</v>
      </c>
      <c r="G47" s="302">
        <v>45628</v>
      </c>
      <c r="H47" s="287"/>
      <c r="I47" s="302">
        <v>45638</v>
      </c>
      <c r="J47" s="300">
        <v>28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2">
        <v>45628</v>
      </c>
      <c r="F48" s="300">
        <v>5</v>
      </c>
      <c r="G48" s="302">
        <v>45635</v>
      </c>
      <c r="H48" s="287"/>
      <c r="I48" s="302">
        <v>45646</v>
      </c>
      <c r="J48" s="300">
        <v>10</v>
      </c>
      <c r="K48" s="302">
        <v>45664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2">
        <v>45628</v>
      </c>
      <c r="F49" s="300">
        <v>5</v>
      </c>
      <c r="G49" s="302">
        <v>45635</v>
      </c>
      <c r="H49" s="287"/>
      <c r="I49" s="302">
        <v>45646</v>
      </c>
      <c r="J49" s="300">
        <v>20</v>
      </c>
      <c r="K49" s="302">
        <v>45678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2">
        <v>45635</v>
      </c>
      <c r="F50" s="300">
        <v>1</v>
      </c>
      <c r="G50" s="302">
        <v>45636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2">
        <v>45617</v>
      </c>
      <c r="F51" s="300">
        <v>1</v>
      </c>
      <c r="G51" s="302">
        <v>45618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7.5" customHeight="1">
      <c r="B52" s="288"/>
      <c r="C52" s="264"/>
      <c r="D52" s="264"/>
      <c r="E52" s="289"/>
      <c r="F52" s="289"/>
      <c r="G52" s="289"/>
      <c r="H52" s="287"/>
      <c r="I52" s="289"/>
      <c r="J52" s="289"/>
      <c r="K52" s="289"/>
      <c r="N52" s="227"/>
      <c r="Q52" s="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6:M52 M19:N20 M12:N17 M22:N27 M29:N33 M35:N37 M39:N41 M43:N44 N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28515625" defaultRowHeight="12.6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45292</v>
      </c>
      <c r="D3" s="73" t="s">
        <v>192</v>
      </c>
      <c r="F3" s="81" t="s">
        <v>193</v>
      </c>
    </row>
    <row r="4" spans="3:8">
      <c r="C4" s="79">
        <v>45372</v>
      </c>
      <c r="D4" s="73" t="s">
        <v>194</v>
      </c>
      <c r="F4" s="81" t="s">
        <v>195</v>
      </c>
    </row>
    <row r="5" spans="3:8">
      <c r="C5" s="79">
        <v>45380</v>
      </c>
      <c r="D5" s="73" t="s">
        <v>196</v>
      </c>
      <c r="F5" s="81" t="s">
        <v>197</v>
      </c>
    </row>
    <row r="6" spans="3:8" ht="12.95" thickBot="1">
      <c r="C6" s="79">
        <v>45383</v>
      </c>
      <c r="D6" s="73" t="s">
        <v>198</v>
      </c>
      <c r="F6" s="82" t="s">
        <v>199</v>
      </c>
    </row>
    <row r="7" spans="3:8">
      <c r="C7" s="79">
        <v>45413</v>
      </c>
      <c r="D7" s="73" t="s">
        <v>200</v>
      </c>
    </row>
    <row r="8" spans="3:8">
      <c r="C8" s="79">
        <v>45460</v>
      </c>
      <c r="D8" s="73" t="s">
        <v>201</v>
      </c>
    </row>
    <row r="9" spans="3:8">
      <c r="C9" s="79">
        <v>45513</v>
      </c>
      <c r="D9" s="73" t="s">
        <v>202</v>
      </c>
    </row>
    <row r="10" spans="3:8">
      <c r="C10" s="79">
        <v>45559</v>
      </c>
      <c r="D10" s="73" t="s">
        <v>203</v>
      </c>
    </row>
    <row r="11" spans="3:8">
      <c r="C11" s="79">
        <v>45642</v>
      </c>
      <c r="D11" s="73" t="s">
        <v>204</v>
      </c>
    </row>
    <row r="12" spans="3:8">
      <c r="C12" s="79">
        <v>45651</v>
      </c>
      <c r="D12" s="73" t="s">
        <v>205</v>
      </c>
    </row>
    <row r="13" spans="3:8">
      <c r="C13" s="79">
        <v>45652</v>
      </c>
      <c r="D13" s="73" t="s">
        <v>206</v>
      </c>
      <c r="F13" s="85"/>
      <c r="H13" s="73" t="s">
        <v>207</v>
      </c>
    </row>
    <row r="14" spans="3:8" ht="12.9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28515625" style="64" customWidth="1"/>
    <col min="4" max="4" width="21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1.5703125" style="24" customWidth="1"/>
    <col min="13" max="13" width="2" style="24" customWidth="1"/>
    <col min="14" max="14" width="24.28515625" style="24" customWidth="1"/>
    <col min="15" max="15" width="2" style="24" customWidth="1"/>
    <col min="16" max="16" width="53" style="24" customWidth="1"/>
    <col min="17" max="16384" width="8.285156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208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896"/>
      <c r="C4" s="896"/>
      <c r="D4" s="896"/>
      <c r="E4" s="654"/>
      <c r="F4" s="269" t="s">
        <v>209</v>
      </c>
      <c r="G4" s="264"/>
      <c r="H4" s="269" t="s">
        <v>74</v>
      </c>
      <c r="I4" s="264"/>
      <c r="J4" s="269" t="s">
        <v>75</v>
      </c>
      <c r="K4" s="264"/>
      <c r="L4" s="270" t="s">
        <v>210</v>
      </c>
      <c r="M4" s="114"/>
      <c r="N4" s="270" t="s">
        <v>211</v>
      </c>
      <c r="O4" s="114"/>
      <c r="P4" s="114"/>
    </row>
    <row r="5" spans="1:16" ht="14.45" thickBot="1">
      <c r="A5" s="264"/>
      <c r="B5" s="897" t="s">
        <v>212</v>
      </c>
      <c r="C5" s="897"/>
      <c r="D5" s="897"/>
      <c r="E5" s="654"/>
      <c r="F5" s="271">
        <f>SUM(F9:F23)</f>
        <v>2105194.1529999999</v>
      </c>
      <c r="G5" s="266"/>
      <c r="H5" s="271">
        <f>SUM(H9:H23)</f>
        <v>2040967.6575423484</v>
      </c>
      <c r="I5" s="266"/>
      <c r="J5" s="271">
        <f>SUM(J9:J23)</f>
        <v>2103862.1100000003</v>
      </c>
      <c r="K5" s="264"/>
      <c r="L5" s="272">
        <f>SUM(L9:L23)</f>
        <v>1332.0429999999978</v>
      </c>
      <c r="M5" s="114"/>
      <c r="N5" s="272">
        <f>SUM(N9:N23)</f>
        <v>-62894.452457651751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91</v>
      </c>
      <c r="C7" s="275"/>
      <c r="D7" s="274" t="s">
        <v>213</v>
      </c>
      <c r="E7" s="275"/>
      <c r="F7" s="276" t="s">
        <v>214</v>
      </c>
      <c r="G7" s="277"/>
      <c r="H7" s="276" t="s">
        <v>215</v>
      </c>
      <c r="I7" s="277"/>
      <c r="J7" s="276" t="s">
        <v>216</v>
      </c>
      <c r="K7" s="277"/>
      <c r="L7" s="276" t="s">
        <v>217</v>
      </c>
      <c r="M7" s="191"/>
      <c r="N7" s="276" t="s">
        <v>217</v>
      </c>
      <c r="O7" s="191"/>
      <c r="P7" s="117" t="s">
        <v>218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690973.73300000001</v>
      </c>
      <c r="G9" s="86"/>
      <c r="H9" s="280">
        <v>736862.5</v>
      </c>
      <c r="I9" s="86"/>
      <c r="J9" s="280">
        <f>'Expenditure Breakdown'!X6</f>
        <v>647765.5</v>
      </c>
      <c r="K9" s="89"/>
      <c r="L9" s="281">
        <f>F9-J9</f>
        <v>43208.233000000007</v>
      </c>
      <c r="M9" s="192"/>
      <c r="N9" s="281">
        <f>H9-J9</f>
        <v>89097</v>
      </c>
      <c r="O9" s="192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157796</v>
      </c>
      <c r="G10" s="86"/>
      <c r="H10" s="280">
        <v>151514</v>
      </c>
      <c r="I10" s="86"/>
      <c r="J10" s="280">
        <f>+'Expenditure Breakdown'!X13</f>
        <v>138845.23000000001</v>
      </c>
      <c r="K10" s="89"/>
      <c r="L10" s="281">
        <f t="shared" ref="L10:L23" si="0">F10-J10</f>
        <v>18950.76999999999</v>
      </c>
      <c r="M10" s="192"/>
      <c r="N10" s="281">
        <f t="shared" ref="N10:N23" si="1">H10-J10</f>
        <v>12668.76999999999</v>
      </c>
      <c r="O10" s="192"/>
      <c r="P10" s="304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99864</v>
      </c>
      <c r="G11" s="86"/>
      <c r="H11" s="280">
        <v>58349.4</v>
      </c>
      <c r="I11" s="86"/>
      <c r="J11" s="280">
        <f>+'Expenditure Breakdown'!X18</f>
        <v>169924.22</v>
      </c>
      <c r="K11" s="89"/>
      <c r="L11" s="281">
        <f t="shared" si="0"/>
        <v>-70060.22</v>
      </c>
      <c r="M11" s="192"/>
      <c r="N11" s="281">
        <f t="shared" si="1"/>
        <v>-111574.82</v>
      </c>
      <c r="O11" s="192"/>
      <c r="P11" s="304"/>
    </row>
    <row r="12" spans="1:16">
      <c r="A12" s="264"/>
      <c r="B12" s="278">
        <f>'Expenditure Breakdown'!B26</f>
        <v>4</v>
      </c>
      <c r="C12" s="267"/>
      <c r="D12" s="279" t="str">
        <f>'Expenditure Breakdown'!C26</f>
        <v>DC Equipment</v>
      </c>
      <c r="E12" s="282"/>
      <c r="F12" s="280">
        <f>+'Expenditure Breakdown'!J26</f>
        <v>237064.3</v>
      </c>
      <c r="G12" s="86"/>
      <c r="H12" s="280">
        <v>242250</v>
      </c>
      <c r="I12" s="86"/>
      <c r="J12" s="280">
        <f>+'Expenditure Breakdown'!X26</f>
        <v>242250</v>
      </c>
      <c r="K12" s="89"/>
      <c r="L12" s="281">
        <f t="shared" si="0"/>
        <v>-5185.7000000000116</v>
      </c>
      <c r="M12" s="192"/>
      <c r="N12" s="281">
        <f t="shared" si="1"/>
        <v>0</v>
      </c>
      <c r="O12" s="192"/>
      <c r="P12" s="304"/>
    </row>
    <row r="13" spans="1:16">
      <c r="A13" s="264"/>
      <c r="B13" s="278">
        <f>'Expenditure Breakdown'!B37</f>
        <v>5</v>
      </c>
      <c r="C13" s="267"/>
      <c r="D13" s="279" t="str">
        <f>'Expenditure Breakdown'!C37</f>
        <v>Monitoring</v>
      </c>
      <c r="E13" s="282"/>
      <c r="F13" s="280">
        <f>+'Expenditure Breakdown'!J37</f>
        <v>49000</v>
      </c>
      <c r="G13" s="86"/>
      <c r="H13" s="280">
        <v>80720.5</v>
      </c>
      <c r="I13" s="86"/>
      <c r="J13" s="280">
        <f>+'Expenditure Breakdown'!X37</f>
        <v>71452.009999999995</v>
      </c>
      <c r="K13" s="89"/>
      <c r="L13" s="281">
        <f t="shared" si="0"/>
        <v>-22452.009999999995</v>
      </c>
      <c r="M13" s="192"/>
      <c r="N13" s="281">
        <f t="shared" si="1"/>
        <v>9268.4900000000052</v>
      </c>
      <c r="O13" s="192"/>
      <c r="P13" s="304"/>
    </row>
    <row r="14" spans="1:16">
      <c r="A14" s="264"/>
      <c r="B14" s="278">
        <f>'Expenditure Breakdown'!B44</f>
        <v>6</v>
      </c>
      <c r="C14" s="267"/>
      <c r="D14" s="279" t="str">
        <f>'Expenditure Breakdown'!C44</f>
        <v>AC Equipment</v>
      </c>
      <c r="E14" s="282"/>
      <c r="F14" s="280">
        <f>+'Expenditure Breakdown'!J44</f>
        <v>304429.82</v>
      </c>
      <c r="G14" s="86"/>
      <c r="H14" s="280">
        <v>212432.00000000003</v>
      </c>
      <c r="I14" s="86"/>
      <c r="J14" s="280">
        <f>+'Expenditure Breakdown'!X44</f>
        <v>212863.60000000003</v>
      </c>
      <c r="K14" s="89"/>
      <c r="L14" s="281">
        <f t="shared" si="0"/>
        <v>91566.219999999972</v>
      </c>
      <c r="M14" s="192"/>
      <c r="N14" s="281">
        <f t="shared" si="1"/>
        <v>-431.60000000000582</v>
      </c>
      <c r="O14" s="192"/>
      <c r="P14" s="304"/>
    </row>
    <row r="15" spans="1:16">
      <c r="A15" s="264"/>
      <c r="B15" s="278">
        <f>'Expenditure Breakdown'!B59</f>
        <v>7</v>
      </c>
      <c r="C15" s="267"/>
      <c r="D15" s="279" t="str">
        <f>'Expenditure Breakdown'!C59</f>
        <v>Battery Systems</v>
      </c>
      <c r="E15" s="282"/>
      <c r="F15" s="280">
        <f>+'Expenditure Breakdown'!J59</f>
        <v>0</v>
      </c>
      <c r="G15" s="86"/>
      <c r="H15" s="280">
        <v>0</v>
      </c>
      <c r="I15" s="86"/>
      <c r="J15" s="280">
        <f>'Expenditure Breakdown'!X59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>
      <c r="A16" s="264"/>
      <c r="B16" s="278">
        <f>'Expenditure Breakdown'!B68</f>
        <v>8</v>
      </c>
      <c r="C16" s="267"/>
      <c r="D16" s="279" t="str">
        <f>'Expenditure Breakdown'!C68</f>
        <v xml:space="preserve">Product Add On </v>
      </c>
      <c r="E16" s="282"/>
      <c r="F16" s="280">
        <f>'Expenditure Breakdown'!J68</f>
        <v>0</v>
      </c>
      <c r="G16" s="86"/>
      <c r="H16" s="280">
        <v>0</v>
      </c>
      <c r="I16" s="86"/>
      <c r="J16" s="280">
        <f>'Expenditure Breakdown'!X68</f>
        <v>158729.51999999999</v>
      </c>
      <c r="K16" s="89"/>
      <c r="L16" s="281">
        <f t="shared" si="0"/>
        <v>-158729.51999999999</v>
      </c>
      <c r="M16" s="192"/>
      <c r="N16" s="281">
        <f t="shared" si="1"/>
        <v>-158729.51999999999</v>
      </c>
      <c r="O16" s="192"/>
      <c r="P16" s="304"/>
    </row>
    <row r="17" spans="1:16">
      <c r="A17" s="264"/>
      <c r="B17" s="278">
        <f>'Expenditure Breakdown'!M77</f>
        <v>9</v>
      </c>
      <c r="C17" s="267"/>
      <c r="D17" s="279" t="str">
        <f>'Expenditure Breakdown'!C77</f>
        <v>AC &amp; DC Installation</v>
      </c>
      <c r="E17" s="282"/>
      <c r="F17" s="280">
        <f>+'Expenditure Breakdown'!J77</f>
        <v>208050</v>
      </c>
      <c r="G17" s="86"/>
      <c r="H17" s="280">
        <v>175013.8</v>
      </c>
      <c r="I17" s="86"/>
      <c r="J17" s="280">
        <f>+'Expenditure Breakdown'!X77</f>
        <v>175013.8</v>
      </c>
      <c r="K17" s="89"/>
      <c r="L17" s="281">
        <f t="shared" si="0"/>
        <v>33036.200000000012</v>
      </c>
      <c r="M17" s="192"/>
      <c r="N17" s="281">
        <f t="shared" si="1"/>
        <v>0</v>
      </c>
      <c r="O17" s="192"/>
      <c r="P17" s="304"/>
    </row>
    <row r="18" spans="1:16">
      <c r="A18" s="264"/>
      <c r="B18" s="278">
        <f>'Expenditure Breakdown'!B86</f>
        <v>10</v>
      </c>
      <c r="C18" s="267"/>
      <c r="D18" s="279" t="str">
        <f>'Expenditure Breakdown'!C86</f>
        <v>Site Logistics</v>
      </c>
      <c r="E18" s="86"/>
      <c r="F18" s="280">
        <f>+'Expenditure Breakdown'!J86</f>
        <v>38356.300000000003</v>
      </c>
      <c r="G18" s="86"/>
      <c r="H18" s="280">
        <v>122767</v>
      </c>
      <c r="I18" s="86"/>
      <c r="J18" s="280">
        <f>+'Expenditure Breakdown'!X86</f>
        <v>107767</v>
      </c>
      <c r="K18" s="89"/>
      <c r="L18" s="281">
        <f t="shared" si="0"/>
        <v>-69410.7</v>
      </c>
      <c r="M18" s="192"/>
      <c r="N18" s="281">
        <f t="shared" si="1"/>
        <v>15000</v>
      </c>
      <c r="O18" s="192"/>
      <c r="P18" s="304"/>
    </row>
    <row r="19" spans="1:16">
      <c r="A19" s="264"/>
      <c r="B19" s="278">
        <f>'Expenditure Breakdown'!B101</f>
        <v>11</v>
      </c>
      <c r="C19" s="267"/>
      <c r="D19" s="279" t="str">
        <f>'Expenditure Breakdown'!C101</f>
        <v>Due Dilligence</v>
      </c>
      <c r="E19" s="86"/>
      <c r="F19" s="280">
        <f>'Expenditure Breakdown'!J101</f>
        <v>89000</v>
      </c>
      <c r="G19" s="86"/>
      <c r="H19" s="280">
        <v>23020</v>
      </c>
      <c r="I19" s="86"/>
      <c r="J19" s="280">
        <f>'Expenditure Breakdown'!X101</f>
        <v>14174.76</v>
      </c>
      <c r="K19" s="89"/>
      <c r="L19" s="281">
        <f t="shared" si="0"/>
        <v>74825.240000000005</v>
      </c>
      <c r="M19" s="192"/>
      <c r="N19" s="281">
        <f t="shared" si="1"/>
        <v>8845.24</v>
      </c>
      <c r="O19" s="192"/>
      <c r="P19" s="304"/>
    </row>
    <row r="20" spans="1:16">
      <c r="A20" s="264"/>
      <c r="B20" s="278">
        <f>'Expenditure Breakdown'!B109</f>
        <v>12</v>
      </c>
      <c r="C20" s="267"/>
      <c r="D20" s="279" t="str">
        <f>'Expenditure Breakdown'!C109</f>
        <v>BDP Commission</v>
      </c>
      <c r="E20" s="86"/>
      <c r="F20" s="280">
        <f>'Expenditure Breakdown'!G107</f>
        <v>63011.44</v>
      </c>
      <c r="G20" s="86"/>
      <c r="H20" s="280">
        <v>63043.34</v>
      </c>
      <c r="I20" s="86"/>
      <c r="J20" s="280">
        <f>'Expenditure Breakdown'!X107</f>
        <v>63043.34</v>
      </c>
      <c r="K20" s="89"/>
      <c r="L20" s="281">
        <f t="shared" si="0"/>
        <v>-31.899999999994179</v>
      </c>
      <c r="M20" s="192"/>
      <c r="N20" s="281">
        <f t="shared" si="1"/>
        <v>0</v>
      </c>
      <c r="O20" s="192"/>
      <c r="P20" s="304"/>
    </row>
    <row r="21" spans="1:16">
      <c r="A21" s="264"/>
      <c r="B21" s="278">
        <f>'Expenditure Breakdown'!B111</f>
        <v>13</v>
      </c>
      <c r="C21" s="267"/>
      <c r="D21" s="279" t="str">
        <f>'Expenditure Breakdown'!C111</f>
        <v>Engineering</v>
      </c>
      <c r="E21" s="86"/>
      <c r="F21" s="280">
        <f>+'Expenditure Breakdown'!J111</f>
        <v>163448.56</v>
      </c>
      <c r="G21" s="86"/>
      <c r="H21" s="280">
        <v>170795.11754234825</v>
      </c>
      <c r="I21" s="86"/>
      <c r="J21" s="280">
        <f>+'Expenditure Breakdown'!X111</f>
        <v>62399.999999999993</v>
      </c>
      <c r="K21" s="89"/>
      <c r="L21" s="281">
        <f t="shared" si="0"/>
        <v>101048.56</v>
      </c>
      <c r="M21" s="192"/>
      <c r="N21" s="281">
        <f t="shared" si="1"/>
        <v>108395.11754234825</v>
      </c>
      <c r="O21" s="192"/>
      <c r="P21" s="304" t="s">
        <v>219</v>
      </c>
    </row>
    <row r="22" spans="1:16">
      <c r="A22" s="264"/>
      <c r="B22" s="278">
        <f>'Expenditure Breakdown'!B119</f>
        <v>14</v>
      </c>
      <c r="C22" s="267"/>
      <c r="D22" s="279" t="str">
        <f>'Expenditure Breakdown'!C119</f>
        <v>General Expenses</v>
      </c>
      <c r="E22" s="86"/>
      <c r="F22" s="280">
        <f>+'Expenditure Breakdown'!J119</f>
        <v>4200</v>
      </c>
      <c r="G22" s="86"/>
      <c r="H22" s="280">
        <v>4200</v>
      </c>
      <c r="I22" s="86"/>
      <c r="J22" s="280">
        <f>+'Expenditure Breakdown'!X119</f>
        <v>7385.6400000000012</v>
      </c>
      <c r="K22" s="89"/>
      <c r="L22" s="281">
        <f t="shared" si="0"/>
        <v>-3185.6400000000012</v>
      </c>
      <c r="M22" s="192"/>
      <c r="N22" s="281">
        <f t="shared" si="1"/>
        <v>-3185.6400000000012</v>
      </c>
      <c r="O22" s="192"/>
      <c r="P22" s="304"/>
    </row>
    <row r="23" spans="1:16">
      <c r="A23" s="264"/>
      <c r="B23" s="278">
        <f>'Expenditure Breakdown'!B128</f>
        <v>15</v>
      </c>
      <c r="C23" s="267"/>
      <c r="D23" s="279" t="str">
        <f>'Expenditure Breakdown'!C128</f>
        <v>Service Add On</v>
      </c>
      <c r="E23" s="86"/>
      <c r="F23" s="280">
        <f>+'Expenditure Breakdown'!J128</f>
        <v>0</v>
      </c>
      <c r="G23" s="86"/>
      <c r="H23" s="280">
        <v>0</v>
      </c>
      <c r="I23" s="86"/>
      <c r="J23" s="280">
        <f>+'Expenditure Breakdown'!X128</f>
        <v>32247.489999999998</v>
      </c>
      <c r="K23" s="89"/>
      <c r="L23" s="281">
        <f t="shared" si="0"/>
        <v>-32247.489999999998</v>
      </c>
      <c r="M23" s="192"/>
      <c r="N23" s="281">
        <f t="shared" si="1"/>
        <v>-32247.489999999998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220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21" t="s">
        <v>221</v>
      </c>
      <c r="B27" s="622"/>
      <c r="C27" s="622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494"/>
  <sheetViews>
    <sheetView topLeftCell="O1" zoomScaleNormal="100" workbookViewId="0">
      <pane ySplit="4" topLeftCell="L125" activePane="bottomLeft" state="frozen"/>
      <selection pane="bottomLeft" activeCell="W130" sqref="W130"/>
      <selection activeCell="Q24" sqref="Q24"/>
    </sheetView>
  </sheetViews>
  <sheetFormatPr defaultColWidth="9" defaultRowHeight="14.1"/>
  <cols>
    <col min="1" max="1" width="2.28515625" style="114" hidden="1" customWidth="1"/>
    <col min="2" max="2" width="6.28515625" style="24" hidden="1" customWidth="1"/>
    <col min="3" max="3" width="20.28515625" style="24" hidden="1" customWidth="1"/>
    <col min="4" max="4" width="29" style="24" hidden="1" customWidth="1"/>
    <col min="5" max="5" width="8.85546875" style="70" hidden="1" customWidth="1"/>
    <col min="6" max="6" width="14" style="64" hidden="1" customWidth="1"/>
    <col min="7" max="7" width="16" style="24" hidden="1" customWidth="1"/>
    <col min="8" max="8" width="14" style="24" hidden="1" customWidth="1"/>
    <col min="9" max="9" width="2.28515625" style="114" hidden="1" customWidth="1"/>
    <col min="10" max="10" width="17.28515625" style="460" hidden="1" customWidth="1"/>
    <col min="11" max="11" width="17.285156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28515625" style="24" customWidth="1"/>
    <col min="16" max="16" width="15.85546875" style="70" customWidth="1"/>
    <col min="17" max="17" width="17.28515625" style="64" customWidth="1"/>
    <col min="18" max="18" width="16.5703125" style="461" customWidth="1"/>
    <col min="19" max="19" width="31.28515625" style="468" customWidth="1"/>
    <col min="20" max="20" width="13" style="65" customWidth="1"/>
    <col min="21" max="22" width="16" style="65" customWidth="1"/>
    <col min="23" max="23" width="13.28515625" style="480" customWidth="1"/>
    <col min="24" max="24" width="16.5703125" style="24" customWidth="1"/>
    <col min="25" max="25" width="39.85546875" style="65" bestFit="1" customWidth="1"/>
    <col min="26" max="26" width="57" style="114" customWidth="1"/>
    <col min="27" max="27" width="29.28515625" style="114" bestFit="1" customWidth="1"/>
    <col min="28" max="28" width="19.5703125" style="114" customWidth="1"/>
    <col min="29" max="29" width="7.85546875" style="114" bestFit="1" customWidth="1"/>
    <col min="30" max="30" width="3.28515625" style="114" customWidth="1"/>
    <col min="31" max="31" width="22" style="114" bestFit="1" customWidth="1"/>
    <col min="32" max="32" width="17.28515625" style="114" customWidth="1"/>
    <col min="33" max="33" width="9" style="114"/>
    <col min="34" max="34" width="23" style="114" bestFit="1" customWidth="1"/>
    <col min="35" max="35" width="17.28515625" style="114" customWidth="1"/>
    <col min="36" max="36" width="13.28515625" style="114" bestFit="1" customWidth="1"/>
    <col min="37" max="43" width="9" style="114"/>
    <col min="44" max="16384" width="9" style="24"/>
  </cols>
  <sheetData>
    <row r="1" spans="1:43" s="114" customFormat="1" ht="4.5" customHeight="1" thickBot="1">
      <c r="E1" s="168"/>
      <c r="F1" s="115"/>
      <c r="J1" s="305"/>
      <c r="K1" s="305"/>
      <c r="P1" s="168"/>
      <c r="Q1" s="115"/>
      <c r="R1" s="500"/>
      <c r="S1" s="463"/>
      <c r="T1" s="169"/>
      <c r="U1" s="169"/>
      <c r="V1" s="169"/>
      <c r="W1" s="469"/>
      <c r="Y1" s="169"/>
    </row>
    <row r="2" spans="1:43" ht="21.75" customHeight="1" thickBot="1">
      <c r="B2" s="974" t="s">
        <v>222</v>
      </c>
      <c r="C2" s="975"/>
      <c r="D2" s="975"/>
      <c r="E2" s="975"/>
      <c r="F2" s="975"/>
      <c r="G2" s="975"/>
      <c r="H2" s="976"/>
      <c r="J2" s="307">
        <f>SUM(J6:J132)</f>
        <v>2105194.1529999999</v>
      </c>
      <c r="K2" s="307">
        <f>SUM(K6:K132)</f>
        <v>2506224.1235110001</v>
      </c>
      <c r="M2" s="977" t="s">
        <v>223</v>
      </c>
      <c r="N2" s="978"/>
      <c r="O2" s="978"/>
      <c r="P2" s="978"/>
      <c r="Q2" s="978"/>
      <c r="R2" s="978"/>
      <c r="S2" s="960" t="s">
        <v>224</v>
      </c>
      <c r="T2" s="961"/>
      <c r="U2" s="961"/>
      <c r="V2" s="961"/>
      <c r="W2" s="962"/>
      <c r="X2" s="481">
        <f>SUM(X6:X132)</f>
        <v>2103862.1100000003</v>
      </c>
      <c r="Y2" s="114"/>
    </row>
    <row r="3" spans="1:43" s="114" customFormat="1" ht="13.5" customHeight="1" thickBot="1">
      <c r="E3" s="168"/>
      <c r="F3" s="115"/>
      <c r="J3" s="305"/>
      <c r="K3" s="511"/>
      <c r="P3" s="168"/>
      <c r="Q3" s="115"/>
      <c r="R3" s="306"/>
      <c r="Y3" s="169"/>
    </row>
    <row r="4" spans="1:43" s="70" customFormat="1" ht="42.6" thickBot="1">
      <c r="A4" s="168"/>
      <c r="B4" s="308" t="s">
        <v>225</v>
      </c>
      <c r="C4" s="309" t="s">
        <v>226</v>
      </c>
      <c r="D4" s="309" t="s">
        <v>227</v>
      </c>
      <c r="E4" s="309" t="s">
        <v>228</v>
      </c>
      <c r="F4" s="309" t="s">
        <v>229</v>
      </c>
      <c r="G4" s="310" t="s">
        <v>230</v>
      </c>
      <c r="H4" s="311" t="s">
        <v>231</v>
      </c>
      <c r="I4" s="312"/>
      <c r="J4" s="313" t="s">
        <v>232</v>
      </c>
      <c r="K4" s="313" t="str">
        <f>IF(K2-'Revenue Tracking'!D4&gt;=0, "Total Revenue", "ERROR on REV" )</f>
        <v>Total Revenue</v>
      </c>
      <c r="L4" s="168"/>
      <c r="M4" s="308" t="s">
        <v>225</v>
      </c>
      <c r="N4" s="309" t="s">
        <v>233</v>
      </c>
      <c r="O4" s="309" t="s">
        <v>227</v>
      </c>
      <c r="P4" s="309" t="s">
        <v>228</v>
      </c>
      <c r="Q4" s="309" t="s">
        <v>229</v>
      </c>
      <c r="R4" s="563" t="s">
        <v>234</v>
      </c>
      <c r="S4" s="113" t="s">
        <v>96</v>
      </c>
      <c r="T4" s="534" t="s">
        <v>97</v>
      </c>
      <c r="U4" s="535" t="s">
        <v>235</v>
      </c>
      <c r="V4" s="536" t="s">
        <v>236</v>
      </c>
      <c r="W4" s="534" t="s">
        <v>237</v>
      </c>
      <c r="X4" s="482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2"/>
      <c r="V5" s="462"/>
      <c r="W5" s="470"/>
      <c r="X5" s="483"/>
      <c r="Y5" s="110"/>
      <c r="Z5" s="110"/>
    </row>
    <row r="6" spans="1:43" ht="14.25" customHeight="1">
      <c r="B6" s="722">
        <v>1</v>
      </c>
      <c r="C6" s="488" t="s">
        <v>240</v>
      </c>
      <c r="D6" s="488" t="s">
        <v>241</v>
      </c>
      <c r="E6" s="723">
        <v>438</v>
      </c>
      <c r="F6" s="733">
        <v>1531.9034999999999</v>
      </c>
      <c r="G6" s="404">
        <f>E6*F6</f>
        <v>670973.73300000001</v>
      </c>
      <c r="H6" s="351">
        <f>'Project Plan'!E35+60</f>
        <v>45636</v>
      </c>
      <c r="I6" s="352"/>
      <c r="J6" s="941">
        <f>SUM(G6:G11)</f>
        <v>690973.73300000001</v>
      </c>
      <c r="K6" s="941">
        <v>842650.89390000002</v>
      </c>
      <c r="L6" s="586"/>
      <c r="M6" s="347">
        <v>1</v>
      </c>
      <c r="N6" s="668" t="s">
        <v>242</v>
      </c>
      <c r="O6" s="488" t="s">
        <v>243</v>
      </c>
      <c r="P6" s="723">
        <v>450</v>
      </c>
      <c r="Q6" s="730">
        <v>1415.25</v>
      </c>
      <c r="R6" s="404">
        <f>P6*Q6*0.5</f>
        <v>318431.25</v>
      </c>
      <c r="S6" s="552" t="s">
        <v>244</v>
      </c>
      <c r="T6" s="737">
        <v>45504</v>
      </c>
      <c r="U6" s="739">
        <v>396426.71511303162</v>
      </c>
      <c r="V6" s="913">
        <f>K6-SUM(U6:U11)</f>
        <v>-4.4532667379826307E-4</v>
      </c>
      <c r="W6" s="737">
        <v>45562</v>
      </c>
      <c r="X6" s="910">
        <f>SUM(R6:R11)</f>
        <v>647765.5</v>
      </c>
      <c r="Y6" s="907" t="s">
        <v>245</v>
      </c>
      <c r="Z6" s="200"/>
      <c r="AA6" s="170">
        <v>19</v>
      </c>
      <c r="AB6" s="170"/>
      <c r="AF6" s="171"/>
    </row>
    <row r="7" spans="1:43" ht="15" customHeight="1">
      <c r="B7" s="724">
        <v>1</v>
      </c>
      <c r="C7" s="669"/>
      <c r="D7" s="588" t="s">
        <v>246</v>
      </c>
      <c r="E7" s="725"/>
      <c r="F7" s="726"/>
      <c r="G7" s="404"/>
      <c r="H7" s="356"/>
      <c r="I7" s="357"/>
      <c r="J7" s="942"/>
      <c r="K7" s="942"/>
      <c r="L7" s="358"/>
      <c r="M7" s="400">
        <v>1</v>
      </c>
      <c r="N7" s="402" t="s">
        <v>242</v>
      </c>
      <c r="O7" s="588"/>
      <c r="P7" s="725"/>
      <c r="Q7" s="726"/>
      <c r="R7" s="404">
        <f>P6*Q6*0.5</f>
        <v>318431.25</v>
      </c>
      <c r="S7" s="548" t="s">
        <v>244</v>
      </c>
      <c r="T7" s="738">
        <v>45504</v>
      </c>
      <c r="U7" s="740">
        <v>396426.71511303162</v>
      </c>
      <c r="V7" s="914"/>
      <c r="W7" s="828">
        <v>45596</v>
      </c>
      <c r="X7" s="911"/>
      <c r="Y7" s="908"/>
      <c r="Z7" s="201"/>
      <c r="AA7" s="172" t="s">
        <v>247</v>
      </c>
      <c r="AB7" s="173" t="s">
        <v>248</v>
      </c>
      <c r="AC7" s="24"/>
    </row>
    <row r="8" spans="1:43" ht="15" customHeight="1">
      <c r="B8" s="724">
        <v>1</v>
      </c>
      <c r="C8" s="588"/>
      <c r="D8" s="588"/>
      <c r="E8" s="725"/>
      <c r="F8" s="726"/>
      <c r="G8" s="589"/>
      <c r="H8" s="356"/>
      <c r="I8" s="357"/>
      <c r="J8" s="942"/>
      <c r="K8" s="942"/>
      <c r="L8" s="358"/>
      <c r="M8" s="400">
        <v>1</v>
      </c>
      <c r="N8" s="402" t="s">
        <v>242</v>
      </c>
      <c r="O8" s="588" t="s">
        <v>249</v>
      </c>
      <c r="P8" s="725"/>
      <c r="Q8" s="726"/>
      <c r="R8" s="589">
        <v>1300</v>
      </c>
      <c r="S8" s="548" t="s">
        <v>250</v>
      </c>
      <c r="T8" s="738">
        <v>45596</v>
      </c>
      <c r="U8" s="740">
        <v>1691.115321933632</v>
      </c>
      <c r="V8" s="914"/>
      <c r="W8" s="753">
        <v>45625</v>
      </c>
      <c r="X8" s="911"/>
      <c r="Y8" s="210"/>
      <c r="Z8" s="201"/>
      <c r="AA8" s="174" t="s">
        <v>251</v>
      </c>
      <c r="AB8" s="175">
        <f>C51</f>
        <v>304429.82</v>
      </c>
      <c r="AD8" s="651"/>
    </row>
    <row r="9" spans="1:43" ht="15" customHeight="1">
      <c r="B9" s="724">
        <v>1</v>
      </c>
      <c r="C9" s="588"/>
      <c r="D9" s="588" t="s">
        <v>252</v>
      </c>
      <c r="E9" s="725"/>
      <c r="F9" s="726"/>
      <c r="G9" s="404">
        <v>20000</v>
      </c>
      <c r="H9" s="356">
        <f>H6</f>
        <v>45636</v>
      </c>
      <c r="I9" s="357"/>
      <c r="J9" s="942"/>
      <c r="K9" s="942"/>
      <c r="L9" s="358"/>
      <c r="M9" s="400">
        <v>1</v>
      </c>
      <c r="N9" s="402" t="s">
        <v>242</v>
      </c>
      <c r="O9" s="588" t="s">
        <v>252</v>
      </c>
      <c r="P9" s="725"/>
      <c r="Q9" s="726"/>
      <c r="R9" s="404">
        <v>8550</v>
      </c>
      <c r="S9" s="548" t="s">
        <v>253</v>
      </c>
      <c r="T9" s="738">
        <v>45596</v>
      </c>
      <c r="U9" s="740">
        <v>11122.335386563502</v>
      </c>
      <c r="V9" s="914"/>
      <c r="W9" s="753">
        <v>45625</v>
      </c>
      <c r="X9" s="911"/>
      <c r="Y9" s="210"/>
      <c r="Z9" s="201"/>
      <c r="AA9" s="174" t="s">
        <v>254</v>
      </c>
      <c r="AB9" s="644">
        <f>SUM(G28:G35)</f>
        <v>116936.3</v>
      </c>
      <c r="AD9" s="651"/>
    </row>
    <row r="10" spans="1:43" ht="15" customHeight="1">
      <c r="B10" s="724">
        <v>1</v>
      </c>
      <c r="C10" s="588"/>
      <c r="D10" s="588"/>
      <c r="E10" s="725"/>
      <c r="F10" s="726"/>
      <c r="G10" s="404"/>
      <c r="H10" s="356"/>
      <c r="I10" s="357"/>
      <c r="J10" s="942"/>
      <c r="K10" s="942"/>
      <c r="L10" s="358"/>
      <c r="M10" s="400">
        <v>1</v>
      </c>
      <c r="N10" s="402" t="s">
        <v>242</v>
      </c>
      <c r="O10" s="588" t="s">
        <v>255</v>
      </c>
      <c r="P10" s="725"/>
      <c r="Q10" s="726"/>
      <c r="R10" s="404">
        <v>1053</v>
      </c>
      <c r="S10" s="548" t="s">
        <v>250</v>
      </c>
      <c r="T10" s="738">
        <f>T9</f>
        <v>45596</v>
      </c>
      <c r="U10" s="740">
        <v>1369.8034107662418</v>
      </c>
      <c r="V10" s="914"/>
      <c r="W10" s="753">
        <v>45625</v>
      </c>
      <c r="X10" s="911"/>
      <c r="Y10" s="210"/>
      <c r="Z10" s="201"/>
      <c r="AA10" s="174" t="s">
        <v>256</v>
      </c>
      <c r="AB10" s="175">
        <f>C79</f>
        <v>145635</v>
      </c>
      <c r="AD10" s="651"/>
    </row>
    <row r="11" spans="1:43" ht="15" customHeight="1" thickBot="1">
      <c r="B11" s="727">
        <v>1</v>
      </c>
      <c r="C11" s="670"/>
      <c r="D11" s="670"/>
      <c r="E11" s="728"/>
      <c r="F11" s="729"/>
      <c r="G11" s="427"/>
      <c r="H11" s="359"/>
      <c r="I11" s="360"/>
      <c r="J11" s="943"/>
      <c r="K11" s="943"/>
      <c r="L11" s="361"/>
      <c r="M11" s="406">
        <v>1</v>
      </c>
      <c r="N11" s="670" t="s">
        <v>242</v>
      </c>
      <c r="O11" s="670" t="s">
        <v>257</v>
      </c>
      <c r="P11" s="728"/>
      <c r="Q11" s="729"/>
      <c r="R11" s="427"/>
      <c r="S11" s="541"/>
      <c r="T11" s="803">
        <v>45626</v>
      </c>
      <c r="U11" s="829">
        <v>35614.21</v>
      </c>
      <c r="V11" s="915"/>
      <c r="W11" s="477"/>
      <c r="X11" s="912"/>
      <c r="Y11" s="216"/>
      <c r="Z11" s="202"/>
      <c r="AA11" s="174" t="s">
        <v>258</v>
      </c>
      <c r="AB11" s="175">
        <f>C78</f>
        <v>62415</v>
      </c>
      <c r="AD11" s="651"/>
    </row>
    <row r="12" spans="1:43" ht="14.4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7"/>
      <c r="O12" s="608"/>
      <c r="P12" s="609"/>
      <c r="Q12" s="610"/>
      <c r="R12" s="610"/>
      <c r="S12" s="547"/>
      <c r="T12" s="538" t="s">
        <v>259</v>
      </c>
      <c r="U12" s="513"/>
      <c r="V12" s="646"/>
      <c r="W12" s="474"/>
      <c r="X12" s="484"/>
      <c r="Y12" s="214"/>
      <c r="Z12" s="199"/>
      <c r="AA12" s="174" t="s">
        <v>260</v>
      </c>
      <c r="AB12" s="175">
        <f>G96</f>
        <v>8500</v>
      </c>
      <c r="AC12" s="24"/>
      <c r="AD12" s="651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67">
        <v>2</v>
      </c>
      <c r="C13" s="410" t="s">
        <v>261</v>
      </c>
      <c r="D13" s="410" t="s">
        <v>262</v>
      </c>
      <c r="E13" s="504">
        <v>2</v>
      </c>
      <c r="F13" s="590">
        <v>78898</v>
      </c>
      <c r="G13" s="371">
        <f>E13*F13</f>
        <v>157796</v>
      </c>
      <c r="H13" s="372">
        <f>'Project Plan'!E22+30</f>
        <v>45590</v>
      </c>
      <c r="I13" s="373"/>
      <c r="J13" s="968">
        <f>SUM(G13:G16)</f>
        <v>157796</v>
      </c>
      <c r="K13" s="968">
        <v>192434.14629999999</v>
      </c>
      <c r="L13" s="374"/>
      <c r="M13" s="367">
        <v>2</v>
      </c>
      <c r="N13" s="671" t="s">
        <v>263</v>
      </c>
      <c r="O13" s="410" t="s">
        <v>262</v>
      </c>
      <c r="P13" s="504">
        <v>2</v>
      </c>
      <c r="Q13" s="590">
        <v>68870</v>
      </c>
      <c r="R13" s="371">
        <f>P13*Q13</f>
        <v>137740</v>
      </c>
      <c r="S13" s="591" t="s">
        <v>264</v>
      </c>
      <c r="T13" s="762">
        <v>45565</v>
      </c>
      <c r="U13" s="806">
        <v>190902.34004698609</v>
      </c>
      <c r="V13" s="963">
        <f>K13-SUM(U13:U16)</f>
        <v>0</v>
      </c>
      <c r="W13" s="818">
        <f>T13+30</f>
        <v>45595</v>
      </c>
      <c r="X13" s="923">
        <f>SUM(R13:R16)</f>
        <v>138845.23000000001</v>
      </c>
      <c r="Y13" s="217"/>
      <c r="Z13" s="203" t="s">
        <v>265</v>
      </c>
      <c r="AA13" s="174" t="s">
        <v>266</v>
      </c>
      <c r="AB13" s="175">
        <f>G86</f>
        <v>0</v>
      </c>
      <c r="AD13" s="651"/>
    </row>
    <row r="14" spans="1:43" ht="15" customHeight="1">
      <c r="B14" s="411">
        <v>2</v>
      </c>
      <c r="C14" s="412"/>
      <c r="D14" s="412"/>
      <c r="E14" s="592"/>
      <c r="F14" s="593"/>
      <c r="G14" s="413"/>
      <c r="H14" s="381"/>
      <c r="I14" s="382"/>
      <c r="J14" s="969"/>
      <c r="K14" s="969"/>
      <c r="L14" s="383"/>
      <c r="M14" s="411">
        <v>2</v>
      </c>
      <c r="N14" s="672" t="s">
        <v>263</v>
      </c>
      <c r="O14" s="412"/>
      <c r="P14" s="592"/>
      <c r="Q14" s="593"/>
      <c r="R14" s="413"/>
      <c r="S14" s="550"/>
      <c r="T14" s="514" t="s">
        <v>259</v>
      </c>
      <c r="U14" s="529">
        <f t="shared" ref="U14:U16" si="0">(R14/$X$13*$K$13)</f>
        <v>0</v>
      </c>
      <c r="V14" s="964"/>
      <c r="W14" s="471"/>
      <c r="X14" s="924"/>
      <c r="Y14" s="211"/>
      <c r="Z14" s="196"/>
      <c r="AA14" s="174" t="s">
        <v>255</v>
      </c>
      <c r="AB14" s="175">
        <f>G97</f>
        <v>0</v>
      </c>
      <c r="AD14" s="651"/>
    </row>
    <row r="15" spans="1:43" ht="15" customHeight="1">
      <c r="B15" s="411">
        <v>2</v>
      </c>
      <c r="C15" s="412"/>
      <c r="D15" s="412"/>
      <c r="E15" s="592"/>
      <c r="F15" s="593"/>
      <c r="G15" s="413"/>
      <c r="H15" s="381"/>
      <c r="I15" s="382"/>
      <c r="J15" s="969"/>
      <c r="K15" s="969"/>
      <c r="L15" s="383"/>
      <c r="M15" s="411">
        <v>2</v>
      </c>
      <c r="N15" s="672" t="s">
        <v>263</v>
      </c>
      <c r="O15" s="412" t="s">
        <v>252</v>
      </c>
      <c r="P15" s="592"/>
      <c r="Q15" s="593"/>
      <c r="R15" s="413">
        <v>1105.23</v>
      </c>
      <c r="S15" s="550" t="s">
        <v>264</v>
      </c>
      <c r="T15" s="765">
        <v>45565</v>
      </c>
      <c r="U15" s="807">
        <v>1531.80625301387</v>
      </c>
      <c r="V15" s="964"/>
      <c r="W15" s="801">
        <f>W13</f>
        <v>45595</v>
      </c>
      <c r="X15" s="924"/>
      <c r="Y15" s="211"/>
      <c r="Z15" s="196"/>
      <c r="AA15" s="174" t="str">
        <f>D99</f>
        <v>Scaffolding</v>
      </c>
      <c r="AB15" s="175">
        <f>G99</f>
        <v>29856.3</v>
      </c>
      <c r="AD15" s="651"/>
    </row>
    <row r="16" spans="1:43" ht="15" customHeight="1" thickBot="1">
      <c r="B16" s="594">
        <v>2</v>
      </c>
      <c r="C16" s="595"/>
      <c r="D16" s="595"/>
      <c r="E16" s="596"/>
      <c r="F16" s="597"/>
      <c r="G16" s="598"/>
      <c r="H16" s="390"/>
      <c r="I16" s="391"/>
      <c r="J16" s="970"/>
      <c r="K16" s="970"/>
      <c r="L16" s="392"/>
      <c r="M16" s="594">
        <v>2</v>
      </c>
      <c r="N16" s="673" t="s">
        <v>263</v>
      </c>
      <c r="O16" s="595"/>
      <c r="P16" s="596"/>
      <c r="Q16" s="597"/>
      <c r="R16" s="598"/>
      <c r="S16" s="549"/>
      <c r="T16" s="520" t="s">
        <v>259</v>
      </c>
      <c r="U16" s="530">
        <f t="shared" si="0"/>
        <v>0</v>
      </c>
      <c r="V16" s="965"/>
      <c r="W16" s="478"/>
      <c r="X16" s="925"/>
      <c r="Y16" s="218"/>
      <c r="Z16" s="204"/>
      <c r="AA16" s="174" t="s">
        <v>267</v>
      </c>
      <c r="AB16" s="176">
        <v>0</v>
      </c>
    </row>
    <row r="17" spans="1:43" ht="14.4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7"/>
      <c r="T17" s="538" t="s">
        <v>259</v>
      </c>
      <c r="U17" s="513"/>
      <c r="V17" s="646"/>
      <c r="W17" s="474"/>
      <c r="X17" s="484"/>
      <c r="Y17" s="214"/>
      <c r="Z17" s="199"/>
      <c r="AA17" s="174" t="s">
        <v>123</v>
      </c>
      <c r="AB17" s="175">
        <f>SUM(AB8:AB16)</f>
        <v>667772.42000000004</v>
      </c>
      <c r="AC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7">
        <v>3</v>
      </c>
      <c r="C18" s="397" t="s">
        <v>268</v>
      </c>
      <c r="D18" s="421" t="s">
        <v>269</v>
      </c>
      <c r="E18" s="349">
        <f>'Project Plan'!E3*1000</f>
        <v>250000</v>
      </c>
      <c r="F18" s="452">
        <v>0.45</v>
      </c>
      <c r="G18" s="350">
        <v>99864</v>
      </c>
      <c r="H18" s="351">
        <f>'Project Plan'!E19+30</f>
        <v>45590</v>
      </c>
      <c r="I18" s="352"/>
      <c r="J18" s="941">
        <f>SUM(G18:G24)</f>
        <v>99864</v>
      </c>
      <c r="K18" s="941">
        <v>121785.3659</v>
      </c>
      <c r="L18" s="353"/>
      <c r="M18" s="347">
        <v>3</v>
      </c>
      <c r="N18" s="674" t="s">
        <v>270</v>
      </c>
      <c r="O18" s="805" t="s">
        <v>271</v>
      </c>
      <c r="P18" s="349">
        <v>1</v>
      </c>
      <c r="Q18" s="691">
        <v>56499.4</v>
      </c>
      <c r="R18" s="350">
        <f>P18*Q18</f>
        <v>56499.4</v>
      </c>
      <c r="S18" s="540" t="s">
        <v>272</v>
      </c>
      <c r="T18" s="752">
        <v>45565</v>
      </c>
      <c r="U18" s="775">
        <v>117065.68326135754</v>
      </c>
      <c r="V18" s="913">
        <f>K18-SUM(U18:U24)</f>
        <v>0</v>
      </c>
      <c r="W18" s="766">
        <v>45558</v>
      </c>
      <c r="X18" s="910">
        <f>SUM(R18:R24)</f>
        <v>169924.22</v>
      </c>
      <c r="Y18" s="215" t="s">
        <v>273</v>
      </c>
      <c r="Z18" s="200"/>
      <c r="AA18" s="174" t="s">
        <v>274</v>
      </c>
      <c r="AB18" s="177">
        <f>+AB17*0.85</f>
        <v>567606.55700000003</v>
      </c>
      <c r="AF18" s="761">
        <v>62178.86</v>
      </c>
    </row>
    <row r="19" spans="1:43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42"/>
      <c r="K19" s="942"/>
      <c r="L19" s="358"/>
      <c r="M19" s="400">
        <v>3</v>
      </c>
      <c r="N19" s="675" t="s">
        <v>270</v>
      </c>
      <c r="O19" s="423"/>
      <c r="P19" s="405"/>
      <c r="Q19" s="424"/>
      <c r="R19" s="404">
        <v>-56499.4</v>
      </c>
      <c r="S19" s="851" t="s">
        <v>272</v>
      </c>
      <c r="T19" s="852">
        <v>45657</v>
      </c>
      <c r="U19" s="526">
        <v>0</v>
      </c>
      <c r="V19" s="914"/>
      <c r="W19" s="828">
        <v>45657</v>
      </c>
      <c r="X19" s="911"/>
      <c r="Y19" s="210"/>
      <c r="Z19" s="201"/>
      <c r="AA19" s="179" t="s">
        <v>275</v>
      </c>
      <c r="AB19" s="176">
        <f>+AB18/'Project Plan'!$E$3/1000</f>
        <v>2.2704262280000003</v>
      </c>
    </row>
    <row r="20" spans="1:43" ht="14.25" customHeight="1">
      <c r="B20" s="400"/>
      <c r="C20" s="401"/>
      <c r="D20" s="423"/>
      <c r="E20" s="405"/>
      <c r="F20" s="424"/>
      <c r="G20" s="404"/>
      <c r="H20" s="356"/>
      <c r="I20" s="357"/>
      <c r="J20" s="942"/>
      <c r="K20" s="942"/>
      <c r="L20" s="358"/>
      <c r="M20" s="400">
        <v>3</v>
      </c>
      <c r="N20" s="675" t="s">
        <v>270</v>
      </c>
      <c r="O20" s="423"/>
      <c r="P20" s="405"/>
      <c r="Q20" s="424"/>
      <c r="R20" s="404">
        <v>44229.04</v>
      </c>
      <c r="S20" s="851" t="s">
        <v>272</v>
      </c>
      <c r="T20" s="852">
        <v>45657</v>
      </c>
      <c r="U20" s="526"/>
      <c r="V20" s="914"/>
      <c r="W20" s="828">
        <v>45657</v>
      </c>
      <c r="X20" s="911"/>
      <c r="Y20" s="210"/>
      <c r="Z20" s="201"/>
      <c r="AA20" s="849"/>
      <c r="AB20" s="850"/>
    </row>
    <row r="21" spans="1:43" ht="14.25" customHeight="1">
      <c r="B21" s="400">
        <v>3</v>
      </c>
      <c r="C21" s="401"/>
      <c r="D21" s="423"/>
      <c r="E21" s="405"/>
      <c r="F21" s="424"/>
      <c r="G21" s="404"/>
      <c r="H21" s="356"/>
      <c r="I21" s="357"/>
      <c r="J21" s="942"/>
      <c r="K21" s="942"/>
      <c r="L21" s="358"/>
      <c r="M21" s="400">
        <v>3</v>
      </c>
      <c r="N21" s="675" t="s">
        <v>270</v>
      </c>
      <c r="O21" s="423" t="s">
        <v>252</v>
      </c>
      <c r="P21" s="405"/>
      <c r="Q21" s="424"/>
      <c r="R21" s="404">
        <v>1850</v>
      </c>
      <c r="S21" s="548" t="s">
        <v>276</v>
      </c>
      <c r="T21" s="738">
        <v>45565</v>
      </c>
      <c r="U21" s="740">
        <v>3833.164848361424</v>
      </c>
      <c r="V21" s="914"/>
      <c r="W21" s="753">
        <f>W18</f>
        <v>45558</v>
      </c>
      <c r="X21" s="911"/>
      <c r="Y21" s="210"/>
      <c r="Z21" s="201"/>
    </row>
    <row r="22" spans="1:43" ht="14.25" customHeight="1">
      <c r="B22" s="574"/>
      <c r="C22" s="575"/>
      <c r="D22" s="576"/>
      <c r="E22" s="577"/>
      <c r="F22" s="578"/>
      <c r="G22" s="579"/>
      <c r="H22" s="580"/>
      <c r="I22" s="357"/>
      <c r="J22" s="942"/>
      <c r="K22" s="942"/>
      <c r="L22" s="358"/>
      <c r="M22" s="400">
        <v>3</v>
      </c>
      <c r="N22" s="675" t="s">
        <v>270</v>
      </c>
      <c r="O22" s="576" t="s">
        <v>277</v>
      </c>
      <c r="P22" s="577"/>
      <c r="Q22" s="578"/>
      <c r="R22" s="579">
        <v>155413</v>
      </c>
      <c r="S22" s="837" t="s">
        <v>278</v>
      </c>
      <c r="T22" s="838">
        <v>45626</v>
      </c>
      <c r="U22" s="843">
        <v>0</v>
      </c>
      <c r="V22" s="914"/>
      <c r="W22" s="848">
        <v>45645</v>
      </c>
      <c r="X22" s="911"/>
      <c r="Y22" s="501"/>
      <c r="Z22" s="502"/>
    </row>
    <row r="23" spans="1:43" ht="14.25" customHeight="1">
      <c r="B23" s="574"/>
      <c r="C23" s="575"/>
      <c r="D23" s="576"/>
      <c r="E23" s="577"/>
      <c r="F23" s="578"/>
      <c r="G23" s="579"/>
      <c r="H23" s="580"/>
      <c r="I23" s="357"/>
      <c r="J23" s="942"/>
      <c r="K23" s="942"/>
      <c r="L23" s="358"/>
      <c r="M23" s="400">
        <v>3</v>
      </c>
      <c r="N23" s="675" t="s">
        <v>270</v>
      </c>
      <c r="O23" s="576" t="s">
        <v>279</v>
      </c>
      <c r="P23" s="577"/>
      <c r="Q23" s="578"/>
      <c r="R23" s="579">
        <v>-31995.68</v>
      </c>
      <c r="S23" s="837" t="s">
        <v>280</v>
      </c>
      <c r="T23" s="838">
        <v>45626</v>
      </c>
      <c r="U23" s="843"/>
      <c r="V23" s="914"/>
      <c r="W23" s="848">
        <v>45645</v>
      </c>
      <c r="X23" s="911"/>
      <c r="Y23" s="501"/>
      <c r="Z23" s="502"/>
    </row>
    <row r="24" spans="1:43" ht="15" customHeight="1" thickBot="1">
      <c r="B24" s="406">
        <v>3</v>
      </c>
      <c r="C24" s="438"/>
      <c r="D24" s="425"/>
      <c r="E24" s="409"/>
      <c r="F24" s="426"/>
      <c r="G24" s="427"/>
      <c r="H24" s="359"/>
      <c r="I24" s="360"/>
      <c r="J24" s="943"/>
      <c r="K24" s="943"/>
      <c r="L24" s="361"/>
      <c r="M24" s="406">
        <v>3</v>
      </c>
      <c r="N24" s="676" t="s">
        <v>270</v>
      </c>
      <c r="O24" s="425"/>
      <c r="P24" s="409"/>
      <c r="Q24" s="426"/>
      <c r="R24" s="427">
        <v>427.86</v>
      </c>
      <c r="S24" s="802" t="s">
        <v>281</v>
      </c>
      <c r="T24" s="803">
        <v>45596</v>
      </c>
      <c r="U24" s="829">
        <v>886.51779028103726</v>
      </c>
      <c r="V24" s="915"/>
      <c r="W24" s="844">
        <v>45625</v>
      </c>
      <c r="X24" s="912"/>
      <c r="Y24" s="216"/>
      <c r="Z24" s="202"/>
      <c r="AA24" s="180" t="s">
        <v>282</v>
      </c>
      <c r="AB24" s="181" t="s">
        <v>283</v>
      </c>
      <c r="AE24" s="180" t="s">
        <v>284</v>
      </c>
      <c r="AF24" s="181" t="s">
        <v>283</v>
      </c>
      <c r="AH24" s="180" t="s">
        <v>285</v>
      </c>
      <c r="AI24" s="181" t="s">
        <v>283</v>
      </c>
      <c r="AP24" s="24"/>
      <c r="AQ24" s="24"/>
    </row>
    <row r="25" spans="1:43" ht="14.45" thickBot="1">
      <c r="A25" s="24"/>
      <c r="B25" s="362"/>
      <c r="C25" s="393"/>
      <c r="D25" s="394"/>
      <c r="E25" s="395"/>
      <c r="F25" s="396"/>
      <c r="G25" s="365"/>
      <c r="H25" s="345"/>
      <c r="I25" s="366"/>
      <c r="J25" s="346"/>
      <c r="K25" s="346"/>
      <c r="L25" s="24"/>
      <c r="M25" s="362"/>
      <c r="N25" s="393"/>
      <c r="O25" s="394"/>
      <c r="P25" s="395"/>
      <c r="Q25" s="396"/>
      <c r="R25" s="365"/>
      <c r="S25" s="547"/>
      <c r="T25" s="538" t="str">
        <f t="shared" ref="T25:T97" si="1">IF(W25&gt;1,EOMONTH(W25,-1),"")</f>
        <v/>
      </c>
      <c r="U25" s="513"/>
      <c r="V25" s="646"/>
      <c r="W25" s="474"/>
      <c r="X25" s="484"/>
      <c r="Y25" s="214"/>
      <c r="Z25" s="199"/>
      <c r="AA25" s="182" t="s">
        <v>251</v>
      </c>
      <c r="AB25" s="183">
        <v>79400</v>
      </c>
      <c r="AD25" s="651"/>
      <c r="AE25" s="182" t="s">
        <v>251</v>
      </c>
      <c r="AF25" s="183">
        <v>146732</v>
      </c>
      <c r="AG25" s="24"/>
      <c r="AH25" s="182" t="s">
        <v>251</v>
      </c>
      <c r="AI25" s="183">
        <f>55724.24+6662.03</f>
        <v>62386.27</v>
      </c>
      <c r="AJ25" s="24" t="s">
        <v>286</v>
      </c>
      <c r="AK25" s="24"/>
      <c r="AL25" s="24"/>
      <c r="AM25" s="24"/>
      <c r="AN25" s="24"/>
      <c r="AO25" s="24"/>
      <c r="AP25" s="24"/>
      <c r="AQ25" s="24"/>
    </row>
    <row r="26" spans="1:43" ht="14.25" customHeight="1" thickTop="1">
      <c r="B26" s="367">
        <v>4</v>
      </c>
      <c r="C26" s="368" t="s">
        <v>254</v>
      </c>
      <c r="D26" s="368" t="s">
        <v>287</v>
      </c>
      <c r="E26" s="504">
        <v>6133</v>
      </c>
      <c r="F26" s="590">
        <v>16</v>
      </c>
      <c r="G26" s="371">
        <f>E26*F26</f>
        <v>98128</v>
      </c>
      <c r="H26" s="372">
        <f>'Project Plan'!E31+30</f>
        <v>45590</v>
      </c>
      <c r="I26" s="373"/>
      <c r="J26" s="968">
        <f>SUM(G26:G35)</f>
        <v>237064.3</v>
      </c>
      <c r="K26" s="968">
        <v>289102.80489999999</v>
      </c>
      <c r="L26" s="374"/>
      <c r="M26" s="367">
        <v>4</v>
      </c>
      <c r="N26" s="677" t="s">
        <v>288</v>
      </c>
      <c r="O26" s="368" t="s">
        <v>287</v>
      </c>
      <c r="P26" s="504">
        <v>8000</v>
      </c>
      <c r="Q26" s="590">
        <v>13.5</v>
      </c>
      <c r="R26" s="371">
        <f>P26*Q26</f>
        <v>108000</v>
      </c>
      <c r="S26" s="550" t="s">
        <v>289</v>
      </c>
      <c r="T26" s="795">
        <v>45596</v>
      </c>
      <c r="U26" s="806">
        <v>128887.93778823529</v>
      </c>
      <c r="V26" s="966">
        <f>K26-SUM(U26:U35)</f>
        <v>0</v>
      </c>
      <c r="W26" s="845">
        <v>45596</v>
      </c>
      <c r="X26" s="923">
        <f>SUM(R26:R35)</f>
        <v>242250</v>
      </c>
      <c r="Y26" s="217" t="s">
        <v>290</v>
      </c>
      <c r="Z26" s="203" t="s">
        <v>291</v>
      </c>
      <c r="AA26" s="182" t="s">
        <v>254</v>
      </c>
      <c r="AB26" s="183">
        <v>84262.399999999994</v>
      </c>
      <c r="AD26" s="651"/>
      <c r="AE26" s="182" t="s">
        <v>254</v>
      </c>
      <c r="AF26" s="183">
        <v>134250</v>
      </c>
      <c r="AH26" s="182" t="s">
        <v>254</v>
      </c>
      <c r="AI26" s="183">
        <v>145954.74</v>
      </c>
      <c r="AP26" s="24"/>
      <c r="AQ26" s="24"/>
    </row>
    <row r="27" spans="1:43" ht="14.25" customHeight="1">
      <c r="B27" s="411">
        <v>4</v>
      </c>
      <c r="C27" s="630"/>
      <c r="D27" s="630" t="s">
        <v>292</v>
      </c>
      <c r="E27" s="592">
        <v>4</v>
      </c>
      <c r="F27" s="593">
        <v>5500</v>
      </c>
      <c r="G27" s="380">
        <f>E27*F27</f>
        <v>22000</v>
      </c>
      <c r="H27" s="381">
        <f>H28</f>
        <v>45606</v>
      </c>
      <c r="I27" s="382"/>
      <c r="J27" s="969"/>
      <c r="K27" s="969"/>
      <c r="L27" s="383"/>
      <c r="M27" s="375">
        <v>4</v>
      </c>
      <c r="N27" s="678" t="s">
        <v>288</v>
      </c>
      <c r="O27" s="630" t="s">
        <v>252</v>
      </c>
      <c r="P27" s="592"/>
      <c r="Q27" s="593"/>
      <c r="R27" s="380">
        <v>0</v>
      </c>
      <c r="S27" s="550"/>
      <c r="T27" s="519"/>
      <c r="U27" s="629">
        <f t="shared" ref="U27" si="2">(R27/$X$26*$K$26)</f>
        <v>0</v>
      </c>
      <c r="V27" s="967"/>
      <c r="W27" s="471"/>
      <c r="X27" s="924"/>
      <c r="Y27" s="631"/>
      <c r="Z27" s="632"/>
      <c r="AA27" s="182" t="s">
        <v>256</v>
      </c>
      <c r="AB27" s="183">
        <v>62500</v>
      </c>
      <c r="AD27" s="651"/>
      <c r="AE27" s="182" t="s">
        <v>256</v>
      </c>
      <c r="AF27" s="183">
        <v>62504</v>
      </c>
      <c r="AH27" s="182" t="s">
        <v>256</v>
      </c>
      <c r="AI27" s="183">
        <v>15154.29</v>
      </c>
      <c r="AP27" s="24"/>
      <c r="AQ27" s="24"/>
    </row>
    <row r="28" spans="1:43" ht="14.25" customHeight="1">
      <c r="B28" s="411">
        <v>4</v>
      </c>
      <c r="C28" s="630"/>
      <c r="D28" s="630" t="s">
        <v>293</v>
      </c>
      <c r="E28" s="592">
        <v>220</v>
      </c>
      <c r="F28" s="593">
        <v>152</v>
      </c>
      <c r="G28" s="380">
        <f>E28*F28</f>
        <v>33440</v>
      </c>
      <c r="H28" s="381">
        <f>'Project Plan'!E34+30</f>
        <v>45606</v>
      </c>
      <c r="I28" s="382"/>
      <c r="J28" s="969"/>
      <c r="K28" s="969"/>
      <c r="L28" s="383"/>
      <c r="M28" s="375">
        <v>4</v>
      </c>
      <c r="N28" s="678" t="s">
        <v>288</v>
      </c>
      <c r="O28" s="630" t="s">
        <v>294</v>
      </c>
      <c r="P28" s="707">
        <f>AF26</f>
        <v>134250</v>
      </c>
      <c r="Q28" s="692">
        <v>0.1</v>
      </c>
      <c r="R28" s="380">
        <f>$P$28*Q28</f>
        <v>13425</v>
      </c>
      <c r="S28" s="550" t="s">
        <v>295</v>
      </c>
      <c r="T28" s="762">
        <f>T77</f>
        <v>45565</v>
      </c>
      <c r="U28" s="808">
        <v>16021.486711176471</v>
      </c>
      <c r="V28" s="967"/>
      <c r="W28" s="801">
        <f>W77</f>
        <v>45560</v>
      </c>
      <c r="X28" s="924"/>
      <c r="Y28" s="898" t="s">
        <v>296</v>
      </c>
      <c r="Z28" s="632"/>
      <c r="AA28" s="182" t="s">
        <v>258</v>
      </c>
      <c r="AB28" s="183">
        <v>149000</v>
      </c>
      <c r="AC28" s="651">
        <f>SUM(AB27:AB28)/250000</f>
        <v>0.84599999999999997</v>
      </c>
      <c r="AD28" s="651"/>
      <c r="AE28" s="182" t="s">
        <v>258</v>
      </c>
      <c r="AF28" s="183">
        <v>112509.8</v>
      </c>
      <c r="AG28" s="651">
        <f>SUM(AF27:AF28)/250000</f>
        <v>0.70005519999999999</v>
      </c>
      <c r="AH28" s="182" t="s">
        <v>258</v>
      </c>
      <c r="AI28" s="183">
        <v>191994.01</v>
      </c>
      <c r="AJ28" s="651">
        <f>SUM(AI27:AI28)/250000</f>
        <v>0.82859320000000003</v>
      </c>
      <c r="AP28" s="24"/>
      <c r="AQ28" s="24"/>
    </row>
    <row r="29" spans="1:43" ht="14.25" customHeight="1">
      <c r="B29" s="411">
        <v>4</v>
      </c>
      <c r="C29" s="630"/>
      <c r="D29" s="657" t="s">
        <v>297</v>
      </c>
      <c r="E29" s="599">
        <f>E26</f>
        <v>6133</v>
      </c>
      <c r="F29" s="658">
        <v>13.5</v>
      </c>
      <c r="G29" s="380">
        <f t="shared" ref="G29" si="3">E29*F29</f>
        <v>82795.5</v>
      </c>
      <c r="H29" s="381">
        <f>H18</f>
        <v>45590</v>
      </c>
      <c r="I29" s="382"/>
      <c r="J29" s="969"/>
      <c r="K29" s="969"/>
      <c r="L29" s="383"/>
      <c r="M29" s="375">
        <v>4</v>
      </c>
      <c r="N29" s="678" t="s">
        <v>288</v>
      </c>
      <c r="O29" s="630" t="s">
        <v>150</v>
      </c>
      <c r="P29" s="659"/>
      <c r="Q29" s="692">
        <v>0.15</v>
      </c>
      <c r="R29" s="380">
        <f t="shared" ref="R29:R35" si="4">$P$28*Q29</f>
        <v>20137.5</v>
      </c>
      <c r="S29" s="768" t="s">
        <v>298</v>
      </c>
      <c r="T29" s="762">
        <f t="shared" ref="T29:T34" si="5">T78</f>
        <v>45565</v>
      </c>
      <c r="U29" s="808">
        <v>24032.230066764703</v>
      </c>
      <c r="V29" s="967"/>
      <c r="W29" s="801">
        <f t="shared" ref="W29:W34" si="6">W78</f>
        <v>45575</v>
      </c>
      <c r="X29" s="924"/>
      <c r="Y29" s="899"/>
      <c r="Z29" s="632"/>
      <c r="AA29" s="182" t="s">
        <v>260</v>
      </c>
      <c r="AB29" s="183">
        <v>8500</v>
      </c>
      <c r="AD29" s="651"/>
      <c r="AE29" s="182" t="s">
        <v>299</v>
      </c>
      <c r="AF29" s="183">
        <v>47669</v>
      </c>
      <c r="AH29" s="182" t="s">
        <v>299</v>
      </c>
      <c r="AI29" s="183">
        <f>76775.4+15381.6</f>
        <v>92157</v>
      </c>
      <c r="AP29" s="24"/>
      <c r="AQ29" s="24"/>
    </row>
    <row r="30" spans="1:43" ht="14.25" customHeight="1">
      <c r="B30" s="411">
        <v>4</v>
      </c>
      <c r="C30" s="630"/>
      <c r="D30" s="414" t="s">
        <v>300</v>
      </c>
      <c r="E30" s="659">
        <v>43.8</v>
      </c>
      <c r="F30" s="593">
        <v>16</v>
      </c>
      <c r="G30" s="380">
        <f>E30*F30</f>
        <v>700.8</v>
      </c>
      <c r="H30" s="381">
        <f>'Project Plan'!E35</f>
        <v>45576</v>
      </c>
      <c r="I30" s="382"/>
      <c r="J30" s="969"/>
      <c r="K30" s="969"/>
      <c r="L30" s="383"/>
      <c r="M30" s="375">
        <v>4</v>
      </c>
      <c r="N30" s="678" t="s">
        <v>288</v>
      </c>
      <c r="O30" s="630" t="s">
        <v>301</v>
      </c>
      <c r="P30" s="659"/>
      <c r="Q30" s="692">
        <v>0.2</v>
      </c>
      <c r="R30" s="380">
        <f t="shared" si="4"/>
        <v>26850</v>
      </c>
      <c r="S30" s="550" t="s">
        <v>302</v>
      </c>
      <c r="T30" s="762">
        <f t="shared" si="5"/>
        <v>45596</v>
      </c>
      <c r="U30" s="808">
        <v>32042.973422352941</v>
      </c>
      <c r="V30" s="967"/>
      <c r="W30" s="801">
        <f t="shared" si="6"/>
        <v>45596</v>
      </c>
      <c r="X30" s="924"/>
      <c r="Y30" s="899"/>
      <c r="Z30" s="632"/>
      <c r="AA30" s="182" t="s">
        <v>303</v>
      </c>
      <c r="AB30" s="183">
        <v>15000</v>
      </c>
      <c r="AD30" s="651"/>
      <c r="AE30" s="182" t="s">
        <v>304</v>
      </c>
      <c r="AF30" s="183">
        <v>14986</v>
      </c>
      <c r="AH30" s="182" t="s">
        <v>58</v>
      </c>
      <c r="AI30" s="183">
        <v>7027.8</v>
      </c>
      <c r="AP30" s="24"/>
      <c r="AQ30" s="24"/>
    </row>
    <row r="31" spans="1:43" ht="14.25" customHeight="1">
      <c r="B31" s="411">
        <v>4</v>
      </c>
      <c r="C31" s="630"/>
      <c r="D31" s="630"/>
      <c r="E31" s="659"/>
      <c r="F31" s="593"/>
      <c r="G31" s="380"/>
      <c r="H31" s="381"/>
      <c r="I31" s="382"/>
      <c r="J31" s="969"/>
      <c r="K31" s="969"/>
      <c r="L31" s="383"/>
      <c r="M31" s="375">
        <v>4</v>
      </c>
      <c r="N31" s="678" t="s">
        <v>288</v>
      </c>
      <c r="O31" s="630" t="s">
        <v>305</v>
      </c>
      <c r="P31" s="659"/>
      <c r="Q31" s="692">
        <v>0.25</v>
      </c>
      <c r="R31" s="380">
        <f t="shared" si="4"/>
        <v>33562.5</v>
      </c>
      <c r="S31" s="550" t="s">
        <v>306</v>
      </c>
      <c r="T31" s="762">
        <f t="shared" si="5"/>
        <v>45596</v>
      </c>
      <c r="U31" s="808">
        <v>40053.716777941168</v>
      </c>
      <c r="V31" s="967"/>
      <c r="W31" s="801">
        <f t="shared" si="6"/>
        <v>45596</v>
      </c>
      <c r="X31" s="924"/>
      <c r="Y31" s="899"/>
      <c r="Z31" s="632"/>
      <c r="AA31" s="182" t="s">
        <v>307</v>
      </c>
      <c r="AB31" s="183">
        <v>8500</v>
      </c>
      <c r="AD31" s="651"/>
      <c r="AE31" s="182" t="s">
        <v>308</v>
      </c>
      <c r="AF31" s="183">
        <v>45112</v>
      </c>
      <c r="AH31" s="182" t="s">
        <v>309</v>
      </c>
      <c r="AI31" s="183">
        <v>3978</v>
      </c>
      <c r="AP31" s="24"/>
      <c r="AQ31" s="24"/>
    </row>
    <row r="32" spans="1:43" ht="14.25" customHeight="1">
      <c r="B32" s="411">
        <v>4</v>
      </c>
      <c r="C32" s="630"/>
      <c r="D32" s="630"/>
      <c r="E32" s="659"/>
      <c r="F32" s="593"/>
      <c r="G32" s="380"/>
      <c r="H32" s="381"/>
      <c r="I32" s="382"/>
      <c r="J32" s="969"/>
      <c r="K32" s="969"/>
      <c r="L32" s="383"/>
      <c r="M32" s="375">
        <v>4</v>
      </c>
      <c r="N32" s="678" t="s">
        <v>288</v>
      </c>
      <c r="O32" s="630" t="s">
        <v>310</v>
      </c>
      <c r="P32" s="659"/>
      <c r="Q32" s="692">
        <v>0.1</v>
      </c>
      <c r="R32" s="380">
        <f t="shared" si="4"/>
        <v>13425</v>
      </c>
      <c r="S32" s="550" t="s">
        <v>311</v>
      </c>
      <c r="T32" s="762">
        <v>45596</v>
      </c>
      <c r="U32" s="808">
        <v>16021.486711176471</v>
      </c>
      <c r="V32" s="967"/>
      <c r="W32" s="801">
        <f t="shared" si="6"/>
        <v>45610</v>
      </c>
      <c r="X32" s="924"/>
      <c r="Y32" s="899"/>
      <c r="Z32" s="632"/>
      <c r="AA32" s="182" t="s">
        <v>58</v>
      </c>
      <c r="AB32" s="183">
        <v>4500</v>
      </c>
      <c r="AD32" s="651"/>
      <c r="AE32" s="182" t="s">
        <v>312</v>
      </c>
      <c r="AF32" s="183">
        <v>0</v>
      </c>
      <c r="AH32" s="182" t="s">
        <v>313</v>
      </c>
      <c r="AI32" s="183">
        <v>17801.55</v>
      </c>
      <c r="AP32" s="24"/>
      <c r="AQ32" s="24"/>
    </row>
    <row r="33" spans="1:43" ht="15" customHeight="1">
      <c r="B33" s="375">
        <v>4</v>
      </c>
      <c r="C33" s="376"/>
      <c r="D33" s="414"/>
      <c r="E33" s="659"/>
      <c r="F33" s="593"/>
      <c r="G33" s="380"/>
      <c r="H33" s="381"/>
      <c r="I33" s="382"/>
      <c r="J33" s="969"/>
      <c r="K33" s="969"/>
      <c r="L33" s="383"/>
      <c r="M33" s="375">
        <v>4</v>
      </c>
      <c r="N33" s="678" t="s">
        <v>288</v>
      </c>
      <c r="O33" s="414" t="s">
        <v>314</v>
      </c>
      <c r="P33" s="659"/>
      <c r="Q33" s="692">
        <v>0.1</v>
      </c>
      <c r="R33" s="380">
        <f t="shared" si="4"/>
        <v>13425</v>
      </c>
      <c r="S33" s="550" t="s">
        <v>315</v>
      </c>
      <c r="T33" s="762">
        <v>45596</v>
      </c>
      <c r="U33" s="808">
        <v>16021.486711176471</v>
      </c>
      <c r="V33" s="951"/>
      <c r="W33" s="801">
        <f t="shared" si="6"/>
        <v>45631</v>
      </c>
      <c r="X33" s="924"/>
      <c r="Y33" s="899"/>
      <c r="Z33" s="196"/>
      <c r="AA33" s="182" t="s">
        <v>267</v>
      </c>
      <c r="AB33" s="183">
        <v>0</v>
      </c>
      <c r="AD33" s="651"/>
      <c r="AE33" s="182" t="s">
        <v>267</v>
      </c>
      <c r="AF33" s="183">
        <v>0</v>
      </c>
      <c r="AH33" s="182" t="s">
        <v>267</v>
      </c>
      <c r="AI33" s="183">
        <v>0</v>
      </c>
      <c r="AP33" s="24"/>
      <c r="AQ33" s="24"/>
    </row>
    <row r="34" spans="1:43" ht="15" customHeight="1">
      <c r="B34" s="375">
        <v>4</v>
      </c>
      <c r="C34" s="414"/>
      <c r="D34" s="657"/>
      <c r="E34" s="599"/>
      <c r="F34" s="658"/>
      <c r="G34" s="380"/>
      <c r="H34" s="381"/>
      <c r="I34" s="383"/>
      <c r="J34" s="969"/>
      <c r="K34" s="969"/>
      <c r="L34" s="383"/>
      <c r="M34" s="375">
        <v>4</v>
      </c>
      <c r="N34" s="678" t="s">
        <v>288</v>
      </c>
      <c r="O34" s="657" t="s">
        <v>316</v>
      </c>
      <c r="P34" s="599"/>
      <c r="Q34" s="693">
        <v>0.05</v>
      </c>
      <c r="R34" s="380">
        <f t="shared" si="4"/>
        <v>6712.5</v>
      </c>
      <c r="S34" s="550" t="str">
        <f>S83</f>
        <v>Thula Moya IN04598</v>
      </c>
      <c r="T34" s="762">
        <f t="shared" si="5"/>
        <v>45688</v>
      </c>
      <c r="U34" s="807">
        <v>8010.7433555882353</v>
      </c>
      <c r="V34" s="951"/>
      <c r="W34" s="801">
        <f t="shared" si="6"/>
        <v>45701</v>
      </c>
      <c r="X34" s="924"/>
      <c r="Y34" s="899"/>
      <c r="Z34" s="196"/>
      <c r="AA34" s="182" t="s">
        <v>267</v>
      </c>
      <c r="AB34" s="183">
        <v>0</v>
      </c>
      <c r="AD34" s="651"/>
      <c r="AE34" s="182" t="s">
        <v>267</v>
      </c>
      <c r="AF34" s="183">
        <v>0</v>
      </c>
      <c r="AH34" s="182" t="s">
        <v>267</v>
      </c>
      <c r="AI34" s="183">
        <v>0</v>
      </c>
      <c r="AP34" s="24"/>
      <c r="AQ34" s="24"/>
    </row>
    <row r="35" spans="1:43" ht="15" customHeight="1" thickBot="1">
      <c r="B35" s="384">
        <v>4</v>
      </c>
      <c r="C35" s="419"/>
      <c r="D35" s="419"/>
      <c r="E35" s="596"/>
      <c r="F35" s="600"/>
      <c r="G35" s="389"/>
      <c r="H35" s="390"/>
      <c r="I35" s="392"/>
      <c r="J35" s="970"/>
      <c r="K35" s="970"/>
      <c r="L35" s="392"/>
      <c r="M35" s="384">
        <v>4</v>
      </c>
      <c r="N35" s="679" t="s">
        <v>288</v>
      </c>
      <c r="O35" s="419" t="s">
        <v>317</v>
      </c>
      <c r="P35" s="596"/>
      <c r="Q35" s="694">
        <v>0.05</v>
      </c>
      <c r="R35" s="600">
        <f t="shared" si="4"/>
        <v>6712.5</v>
      </c>
      <c r="S35" s="638" t="str">
        <f>S84</f>
        <v>Thula Moya IN04599</v>
      </c>
      <c r="T35" s="813">
        <f>T84</f>
        <v>45688</v>
      </c>
      <c r="U35" s="857">
        <v>8010.7433555882353</v>
      </c>
      <c r="V35" s="952"/>
      <c r="W35" s="822">
        <f>W84</f>
        <v>45722</v>
      </c>
      <c r="X35" s="925"/>
      <c r="Y35" s="900"/>
      <c r="Z35" s="204"/>
      <c r="AA35" s="182" t="s">
        <v>267</v>
      </c>
      <c r="AB35" s="184">
        <v>0</v>
      </c>
      <c r="AD35" s="651"/>
      <c r="AE35" s="182" t="s">
        <v>267</v>
      </c>
      <c r="AF35" s="184">
        <v>0</v>
      </c>
      <c r="AH35" s="182" t="s">
        <v>267</v>
      </c>
      <c r="AI35" s="184">
        <v>0</v>
      </c>
      <c r="AP35" s="24"/>
      <c r="AQ35" s="24"/>
    </row>
    <row r="36" spans="1:43" ht="14.45" thickBot="1">
      <c r="A36" s="24"/>
      <c r="B36" s="340"/>
      <c r="C36" s="341"/>
      <c r="D36" s="341"/>
      <c r="E36" s="363"/>
      <c r="F36" s="344"/>
      <c r="G36" s="364"/>
      <c r="H36" s="345"/>
      <c r="I36" s="24"/>
      <c r="J36" s="346"/>
      <c r="K36" s="346"/>
      <c r="L36" s="24"/>
      <c r="M36" s="340"/>
      <c r="N36" s="341"/>
      <c r="O36" s="341"/>
      <c r="P36" s="363"/>
      <c r="Q36" s="344"/>
      <c r="R36" s="364"/>
      <c r="S36" s="547"/>
      <c r="T36" s="538" t="str">
        <f t="shared" si="1"/>
        <v/>
      </c>
      <c r="U36" s="513"/>
      <c r="V36" s="646"/>
      <c r="W36" s="474"/>
      <c r="X36" s="484"/>
      <c r="Y36" s="214"/>
      <c r="Z36" s="199"/>
      <c r="AA36" s="182" t="s">
        <v>123</v>
      </c>
      <c r="AB36" s="183">
        <f>SUM(AB25:AB35)</f>
        <v>411662.4</v>
      </c>
      <c r="AD36" s="651"/>
      <c r="AE36" s="182" t="s">
        <v>123</v>
      </c>
      <c r="AF36" s="183">
        <f>SUM(AF25:AF35)</f>
        <v>563762.80000000005</v>
      </c>
      <c r="AG36" s="24"/>
      <c r="AH36" s="182" t="s">
        <v>123</v>
      </c>
      <c r="AI36" s="183">
        <f>SUM(AI25:AI35)</f>
        <v>536453.66</v>
      </c>
      <c r="AJ36" s="755"/>
      <c r="AK36" s="24"/>
      <c r="AL36" s="24"/>
      <c r="AM36" s="24"/>
      <c r="AN36" s="24"/>
      <c r="AO36" s="24"/>
      <c r="AP36" s="24"/>
      <c r="AQ36" s="24"/>
    </row>
    <row r="37" spans="1:43" ht="14.25" customHeight="1">
      <c r="B37" s="347">
        <v>5</v>
      </c>
      <c r="C37" s="397" t="s">
        <v>318</v>
      </c>
      <c r="D37" s="421" t="s">
        <v>319</v>
      </c>
      <c r="E37" s="349">
        <v>1</v>
      </c>
      <c r="F37" s="691">
        <v>26000</v>
      </c>
      <c r="G37" s="350">
        <f>F37*E37</f>
        <v>26000</v>
      </c>
      <c r="H37" s="351">
        <f t="shared" ref="H37" si="7">H13</f>
        <v>45590</v>
      </c>
      <c r="I37" s="352"/>
      <c r="J37" s="941">
        <f>SUM(G37:G42)</f>
        <v>49000</v>
      </c>
      <c r="K37" s="941">
        <v>59756.097560000002</v>
      </c>
      <c r="L37" s="353"/>
      <c r="M37" s="347">
        <v>5</v>
      </c>
      <c r="N37" s="674" t="s">
        <v>320</v>
      </c>
      <c r="O37" s="348" t="s">
        <v>319</v>
      </c>
      <c r="P37" s="660">
        <v>1</v>
      </c>
      <c r="Q37" s="662">
        <v>8000</v>
      </c>
      <c r="R37" s="350">
        <f>Q37*P37</f>
        <v>8000</v>
      </c>
      <c r="S37" s="540" t="s">
        <v>321</v>
      </c>
      <c r="T37" s="752">
        <v>45535</v>
      </c>
      <c r="U37" s="775">
        <v>5922.2722911775818</v>
      </c>
      <c r="V37" s="913">
        <f>K37-SUM(U37:U42)</f>
        <v>8.1832578143803403E-4</v>
      </c>
      <c r="W37" s="766">
        <f>T37+30</f>
        <v>45565</v>
      </c>
      <c r="X37" s="910">
        <f>SUM(R37:R42)</f>
        <v>71452.009999999995</v>
      </c>
      <c r="Y37" s="215"/>
      <c r="Z37" s="200" t="s">
        <v>265</v>
      </c>
      <c r="AA37" s="628" t="s">
        <v>275</v>
      </c>
      <c r="AB37" s="184">
        <f>+AB36/'Project Plan'!$E$3/1000</f>
        <v>1.6466496000000002</v>
      </c>
      <c r="AC37" s="24"/>
      <c r="AD37" s="651"/>
      <c r="AE37" s="628" t="s">
        <v>275</v>
      </c>
      <c r="AF37" s="184">
        <f>+AF36/'Project Plan'!$E$3/1000</f>
        <v>2.2550512000000005</v>
      </c>
      <c r="AH37" s="628" t="s">
        <v>275</v>
      </c>
      <c r="AI37" s="184">
        <f>+AI36/'Project Plan'!$E$3/1000</f>
        <v>2.1458146400000002</v>
      </c>
      <c r="AP37" s="24"/>
      <c r="AQ37" s="24"/>
    </row>
    <row r="38" spans="1:43" ht="14.25" customHeight="1">
      <c r="B38" s="354">
        <v>5</v>
      </c>
      <c r="C38" s="398"/>
      <c r="D38" s="423" t="s">
        <v>322</v>
      </c>
      <c r="E38" s="405"/>
      <c r="F38" s="667"/>
      <c r="G38" s="404">
        <v>8000</v>
      </c>
      <c r="H38" s="356">
        <f>H37</f>
        <v>45590</v>
      </c>
      <c r="I38" s="357"/>
      <c r="J38" s="942"/>
      <c r="K38" s="942"/>
      <c r="L38" s="358"/>
      <c r="M38" s="354">
        <v>5</v>
      </c>
      <c r="N38" s="680" t="s">
        <v>320</v>
      </c>
      <c r="O38" s="355" t="s">
        <v>323</v>
      </c>
      <c r="P38" s="661"/>
      <c r="Q38" s="663"/>
      <c r="R38" s="404">
        <v>13970.5</v>
      </c>
      <c r="S38" s="540" t="s">
        <v>324</v>
      </c>
      <c r="T38" s="752">
        <v>45535</v>
      </c>
      <c r="U38" s="740">
        <v>10342.138130487052</v>
      </c>
      <c r="V38" s="922"/>
      <c r="W38" s="767">
        <f>T38+30</f>
        <v>45565</v>
      </c>
      <c r="X38" s="911"/>
      <c r="Y38" s="219"/>
      <c r="Z38" s="205"/>
      <c r="AC38" s="24"/>
      <c r="AD38" s="651"/>
      <c r="AE38" s="651"/>
      <c r="AP38" s="24"/>
      <c r="AQ38" s="24"/>
    </row>
    <row r="39" spans="1:43" ht="14.25" customHeight="1">
      <c r="B39" s="354">
        <v>5</v>
      </c>
      <c r="C39" s="398"/>
      <c r="D39" s="355" t="s">
        <v>325</v>
      </c>
      <c r="E39" s="661">
        <v>1</v>
      </c>
      <c r="F39" s="663">
        <v>15000</v>
      </c>
      <c r="G39" s="404">
        <f t="shared" ref="G39" si="8">F39*E39</f>
        <v>15000</v>
      </c>
      <c r="H39" s="399">
        <f>'Project Plan'!G51</f>
        <v>45618</v>
      </c>
      <c r="I39" s="357"/>
      <c r="J39" s="942"/>
      <c r="K39" s="942"/>
      <c r="L39" s="358"/>
      <c r="M39" s="354">
        <v>5</v>
      </c>
      <c r="N39" s="680" t="s">
        <v>320</v>
      </c>
      <c r="O39" s="355" t="s">
        <v>325</v>
      </c>
      <c r="P39" s="661">
        <v>1</v>
      </c>
      <c r="Q39" s="663">
        <v>11169</v>
      </c>
      <c r="R39" s="404">
        <f t="shared" ref="R39" si="9">Q39*P39</f>
        <v>11169</v>
      </c>
      <c r="S39" s="540" t="s">
        <v>326</v>
      </c>
      <c r="T39" s="752">
        <v>45626</v>
      </c>
      <c r="U39" s="740">
        <v>11797.236875105962</v>
      </c>
      <c r="V39" s="914"/>
      <c r="W39" s="828">
        <v>45626</v>
      </c>
      <c r="X39" s="911"/>
      <c r="Y39" s="219"/>
      <c r="Z39" s="205"/>
      <c r="AD39" s="651"/>
      <c r="AE39" s="651"/>
      <c r="AP39" s="24"/>
      <c r="AQ39" s="24"/>
    </row>
    <row r="40" spans="1:43" ht="14.25" customHeight="1">
      <c r="B40" s="400">
        <v>5</v>
      </c>
      <c r="C40" s="401"/>
      <c r="D40" s="402"/>
      <c r="E40" s="582"/>
      <c r="F40" s="453"/>
      <c r="G40" s="404"/>
      <c r="H40" s="356"/>
      <c r="I40" s="357"/>
      <c r="J40" s="942"/>
      <c r="K40" s="942"/>
      <c r="L40" s="358"/>
      <c r="M40" s="400">
        <v>5</v>
      </c>
      <c r="N40" s="680" t="s">
        <v>320</v>
      </c>
      <c r="O40" s="402" t="s">
        <v>327</v>
      </c>
      <c r="P40" s="582"/>
      <c r="Q40" s="453"/>
      <c r="R40" s="404">
        <v>35750</v>
      </c>
      <c r="S40" s="548" t="s">
        <v>328</v>
      </c>
      <c r="T40" s="752">
        <v>45535</v>
      </c>
      <c r="U40" s="740">
        <v>26465.154301199822</v>
      </c>
      <c r="V40" s="914"/>
      <c r="W40" s="753">
        <v>45562</v>
      </c>
      <c r="X40" s="911"/>
      <c r="Y40" s="210"/>
      <c r="Z40" s="201"/>
      <c r="AD40" s="651"/>
      <c r="AE40" s="651"/>
      <c r="AP40" s="24"/>
      <c r="AQ40" s="24"/>
    </row>
    <row r="41" spans="1:43" ht="14.25" customHeight="1">
      <c r="B41" s="400">
        <v>5</v>
      </c>
      <c r="C41" s="401"/>
      <c r="D41" s="402"/>
      <c r="E41" s="582"/>
      <c r="F41" s="453"/>
      <c r="G41" s="404"/>
      <c r="H41" s="356"/>
      <c r="I41" s="357"/>
      <c r="J41" s="942"/>
      <c r="K41" s="942"/>
      <c r="L41" s="358"/>
      <c r="M41" s="400">
        <v>5</v>
      </c>
      <c r="N41" s="680" t="s">
        <v>320</v>
      </c>
      <c r="O41" s="402" t="s">
        <v>329</v>
      </c>
      <c r="P41" s="582"/>
      <c r="Q41" s="453"/>
      <c r="R41" s="404">
        <f>12812.55/5</f>
        <v>2562.5099999999998</v>
      </c>
      <c r="S41" s="548" t="s">
        <v>330</v>
      </c>
      <c r="T41" s="797">
        <v>45596</v>
      </c>
      <c r="U41" s="740">
        <v>5229.2951437038028</v>
      </c>
      <c r="V41" s="914"/>
      <c r="W41" s="753">
        <v>45575</v>
      </c>
      <c r="X41" s="911"/>
      <c r="Y41" s="210" t="s">
        <v>331</v>
      </c>
      <c r="Z41" s="201" t="s">
        <v>332</v>
      </c>
      <c r="AP41" s="24"/>
      <c r="AQ41" s="24"/>
    </row>
    <row r="42" spans="1:43" ht="15" customHeight="1" thickBot="1">
      <c r="B42" s="406">
        <v>5</v>
      </c>
      <c r="C42" s="438"/>
      <c r="D42" s="407"/>
      <c r="E42" s="585"/>
      <c r="F42" s="454"/>
      <c r="G42" s="427"/>
      <c r="H42" s="359"/>
      <c r="I42" s="360"/>
      <c r="J42" s="943"/>
      <c r="K42" s="943"/>
      <c r="L42" s="361"/>
      <c r="M42" s="406">
        <v>5</v>
      </c>
      <c r="N42" s="676" t="s">
        <v>320</v>
      </c>
      <c r="O42" s="407"/>
      <c r="P42" s="585"/>
      <c r="Q42" s="454"/>
      <c r="R42" s="427"/>
      <c r="S42" s="541"/>
      <c r="T42" s="521" t="str">
        <f>IF(W42&gt;1,EOMONTH(W42,-1),"")</f>
        <v/>
      </c>
      <c r="U42" s="527">
        <f t="shared" ref="U42" si="10">(R42/$X$37*$K$37)</f>
        <v>0</v>
      </c>
      <c r="V42" s="915"/>
      <c r="W42" s="477"/>
      <c r="X42" s="912"/>
      <c r="Y42" s="216"/>
      <c r="Z42" s="202"/>
    </row>
    <row r="43" spans="1:43" ht="14.45" thickBot="1">
      <c r="A43" s="24"/>
      <c r="B43" s="362"/>
      <c r="C43" s="393"/>
      <c r="D43" s="342"/>
      <c r="E43" s="343"/>
      <c r="F43" s="344"/>
      <c r="G43" s="365"/>
      <c r="H43" s="345"/>
      <c r="I43" s="366"/>
      <c r="J43" s="420"/>
      <c r="K43" s="420"/>
      <c r="L43" s="24"/>
      <c r="M43" s="362"/>
      <c r="N43" s="393"/>
      <c r="O43" s="342"/>
      <c r="P43" s="343"/>
      <c r="Q43" s="344"/>
      <c r="R43" s="365"/>
      <c r="S43" s="547"/>
      <c r="T43" s="538" t="str">
        <f t="shared" si="1"/>
        <v/>
      </c>
      <c r="U43" s="513"/>
      <c r="V43" s="646"/>
      <c r="W43" s="474"/>
      <c r="X43" s="485"/>
      <c r="Y43" s="214"/>
      <c r="Z43" s="199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4" spans="1:43" ht="14.25" customHeight="1">
      <c r="B44" s="367">
        <v>6</v>
      </c>
      <c r="C44" s="368" t="s">
        <v>251</v>
      </c>
      <c r="D44" s="369"/>
      <c r="E44" s="370"/>
      <c r="F44" s="601"/>
      <c r="G44" s="371"/>
      <c r="H44" s="372"/>
      <c r="I44" s="373"/>
      <c r="J44" s="968">
        <f>SUM(G44:G57)</f>
        <v>304429.82</v>
      </c>
      <c r="K44" s="968">
        <v>371255.8749</v>
      </c>
      <c r="L44" s="374"/>
      <c r="M44" s="367">
        <v>6</v>
      </c>
      <c r="N44" s="683" t="s">
        <v>333</v>
      </c>
      <c r="O44" s="685"/>
      <c r="P44" s="708"/>
      <c r="Q44" s="695"/>
      <c r="R44" s="686"/>
      <c r="S44" s="550"/>
      <c r="T44" s="514" t="str">
        <f t="shared" si="1"/>
        <v/>
      </c>
      <c r="U44" s="528">
        <f>(R44/$X$44*$K$44)</f>
        <v>0</v>
      </c>
      <c r="V44" s="948">
        <f>K44-SUM(U44:U57)</f>
        <v>-2.7590451645664871E-3</v>
      </c>
      <c r="W44" s="655"/>
      <c r="X44" s="923">
        <f>SUM(R44:R57)</f>
        <v>212863.60000000003</v>
      </c>
      <c r="Y44" s="217"/>
      <c r="Z44" s="203"/>
    </row>
    <row r="45" spans="1:43" ht="14.25" customHeight="1">
      <c r="B45" s="411"/>
      <c r="C45" s="630"/>
      <c r="D45" s="710"/>
      <c r="E45" s="711"/>
      <c r="F45" s="712"/>
      <c r="G45" s="413"/>
      <c r="H45" s="713"/>
      <c r="I45" s="382"/>
      <c r="J45" s="969"/>
      <c r="K45" s="969"/>
      <c r="L45" s="383"/>
      <c r="M45" s="375">
        <v>1</v>
      </c>
      <c r="N45" s="681" t="s">
        <v>333</v>
      </c>
      <c r="O45" s="714" t="s">
        <v>334</v>
      </c>
      <c r="P45" s="757">
        <v>0.4</v>
      </c>
      <c r="Q45" s="756">
        <v>65700</v>
      </c>
      <c r="R45" s="756">
        <f>Q45*P45</f>
        <v>26280</v>
      </c>
      <c r="S45" s="550" t="s">
        <v>335</v>
      </c>
      <c r="T45" s="765">
        <v>45565</v>
      </c>
      <c r="U45" s="807">
        <v>45928.237537144909</v>
      </c>
      <c r="V45" s="949"/>
      <c r="W45" s="800">
        <v>45562</v>
      </c>
      <c r="X45" s="924"/>
      <c r="Y45" s="898" t="s">
        <v>336</v>
      </c>
      <c r="Z45" s="632"/>
    </row>
    <row r="46" spans="1:43" ht="14.25" customHeight="1">
      <c r="B46" s="411"/>
      <c r="C46" s="630"/>
      <c r="D46" s="710"/>
      <c r="E46" s="711"/>
      <c r="F46" s="712"/>
      <c r="G46" s="413"/>
      <c r="H46" s="713"/>
      <c r="I46" s="382"/>
      <c r="J46" s="969"/>
      <c r="K46" s="969"/>
      <c r="L46" s="383"/>
      <c r="M46" s="375">
        <v>2</v>
      </c>
      <c r="N46" s="681" t="s">
        <v>333</v>
      </c>
      <c r="O46" s="714" t="s">
        <v>337</v>
      </c>
      <c r="P46" s="757">
        <v>0.6</v>
      </c>
      <c r="Q46" s="716"/>
      <c r="R46" s="756">
        <f>Q45*P46</f>
        <v>39420</v>
      </c>
      <c r="S46" s="550" t="s">
        <v>338</v>
      </c>
      <c r="T46" s="765">
        <v>45596</v>
      </c>
      <c r="U46" s="817">
        <f t="shared" ref="U46:U49" si="11">(R46/$X$44*$K$44)</f>
        <v>68752.509064762577</v>
      </c>
      <c r="V46" s="949"/>
      <c r="W46" s="800">
        <v>45596</v>
      </c>
      <c r="X46" s="924"/>
      <c r="Y46" s="909"/>
      <c r="Z46" s="632"/>
    </row>
    <row r="47" spans="1:43" ht="14.25" customHeight="1">
      <c r="B47" s="411"/>
      <c r="C47" s="630"/>
      <c r="D47" s="710"/>
      <c r="E47" s="711"/>
      <c r="F47" s="712"/>
      <c r="G47" s="413"/>
      <c r="H47" s="713"/>
      <c r="I47" s="382"/>
      <c r="J47" s="969"/>
      <c r="K47" s="969"/>
      <c r="L47" s="383"/>
      <c r="M47" s="375">
        <v>3</v>
      </c>
      <c r="N47" s="681" t="s">
        <v>333</v>
      </c>
      <c r="O47" s="714" t="s">
        <v>339</v>
      </c>
      <c r="P47" s="715"/>
      <c r="Q47" s="716"/>
      <c r="R47" s="756">
        <v>0</v>
      </c>
      <c r="S47" s="550"/>
      <c r="T47" s="514"/>
      <c r="U47" s="529">
        <v>0</v>
      </c>
      <c r="V47" s="949"/>
      <c r="W47" s="717"/>
      <c r="X47" s="924"/>
      <c r="Y47" s="631" t="s">
        <v>340</v>
      </c>
      <c r="Z47" s="632"/>
    </row>
    <row r="48" spans="1:43" ht="14.25" customHeight="1">
      <c r="B48" s="411"/>
      <c r="C48" s="630"/>
      <c r="D48" s="710"/>
      <c r="E48" s="711"/>
      <c r="F48" s="712"/>
      <c r="G48" s="413"/>
      <c r="H48" s="713"/>
      <c r="I48" s="382"/>
      <c r="J48" s="969"/>
      <c r="K48" s="969"/>
      <c r="L48" s="383"/>
      <c r="M48" s="375">
        <v>4</v>
      </c>
      <c r="N48" s="681" t="s">
        <v>333</v>
      </c>
      <c r="O48" s="714" t="s">
        <v>341</v>
      </c>
      <c r="P48" s="715"/>
      <c r="Q48" s="716"/>
      <c r="R48" s="756">
        <v>432.1</v>
      </c>
      <c r="S48" s="550" t="s">
        <v>342</v>
      </c>
      <c r="T48" s="765">
        <v>45808</v>
      </c>
      <c r="U48" s="817">
        <v>139.85</v>
      </c>
      <c r="V48" s="949"/>
      <c r="W48" s="800">
        <v>45817</v>
      </c>
      <c r="X48" s="924"/>
      <c r="Y48" s="631"/>
      <c r="Z48" s="632"/>
    </row>
    <row r="49" spans="1:43" ht="14.25" customHeight="1">
      <c r="B49" s="411"/>
      <c r="C49" s="630"/>
      <c r="D49" s="710"/>
      <c r="E49" s="711"/>
      <c r="F49" s="712"/>
      <c r="G49" s="413"/>
      <c r="H49" s="713"/>
      <c r="I49" s="382"/>
      <c r="J49" s="969"/>
      <c r="K49" s="969"/>
      <c r="L49" s="383"/>
      <c r="M49" s="375">
        <v>5</v>
      </c>
      <c r="N49" s="681" t="s">
        <v>333</v>
      </c>
      <c r="O49" s="714"/>
      <c r="P49" s="715"/>
      <c r="Q49" s="716"/>
      <c r="R49" s="756"/>
      <c r="S49" s="550"/>
      <c r="T49" s="514" t="str">
        <f t="shared" ref="T49" si="12">T76</f>
        <v/>
      </c>
      <c r="U49" s="529">
        <f t="shared" si="11"/>
        <v>0</v>
      </c>
      <c r="V49" s="949"/>
      <c r="W49" s="717"/>
      <c r="X49" s="924"/>
      <c r="Y49" s="631"/>
      <c r="Z49" s="632"/>
    </row>
    <row r="50" spans="1:43" ht="14.25" customHeight="1">
      <c r="B50" s="375">
        <v>6</v>
      </c>
      <c r="C50" s="630"/>
      <c r="D50" s="710" t="s">
        <v>294</v>
      </c>
      <c r="E50" s="711"/>
      <c r="F50" s="712">
        <v>0.1</v>
      </c>
      <c r="G50" s="413">
        <f>$C$51*F50</f>
        <v>30442.982000000004</v>
      </c>
      <c r="H50" s="713">
        <f>H83</f>
        <v>45635</v>
      </c>
      <c r="I50" s="382"/>
      <c r="J50" s="969"/>
      <c r="K50" s="969"/>
      <c r="L50" s="383"/>
      <c r="M50" s="375">
        <v>6</v>
      </c>
      <c r="N50" s="681" t="s">
        <v>333</v>
      </c>
      <c r="O50" s="714" t="s">
        <v>294</v>
      </c>
      <c r="P50" s="715">
        <f>AF25</f>
        <v>146732</v>
      </c>
      <c r="Q50" s="716">
        <v>0.1</v>
      </c>
      <c r="R50" s="380">
        <f>$P$50*Q50</f>
        <v>14673.2</v>
      </c>
      <c r="S50" s="550" t="s">
        <v>295</v>
      </c>
      <c r="T50" s="765">
        <v>45565</v>
      </c>
      <c r="U50" s="807">
        <v>25643.61548820528</v>
      </c>
      <c r="V50" s="949"/>
      <c r="W50" s="769">
        <v>45560</v>
      </c>
      <c r="X50" s="924"/>
      <c r="Y50" s="898" t="s">
        <v>296</v>
      </c>
      <c r="Z50" s="632"/>
    </row>
    <row r="51" spans="1:43" ht="14.25" customHeight="1">
      <c r="B51" s="375">
        <v>6</v>
      </c>
      <c r="C51" s="736">
        <v>304429.82</v>
      </c>
      <c r="D51" s="377" t="s">
        <v>150</v>
      </c>
      <c r="E51" s="378"/>
      <c r="F51" s="379">
        <v>0.15</v>
      </c>
      <c r="G51" s="380">
        <f t="shared" ref="G51:G57" si="13">$C$51*F51</f>
        <v>45664.472999999998</v>
      </c>
      <c r="H51" s="381">
        <f>H78</f>
        <v>45560</v>
      </c>
      <c r="I51" s="382"/>
      <c r="J51" s="969"/>
      <c r="K51" s="969"/>
      <c r="L51" s="383"/>
      <c r="M51" s="375">
        <v>6</v>
      </c>
      <c r="N51" s="681" t="s">
        <v>333</v>
      </c>
      <c r="O51" s="377" t="s">
        <v>150</v>
      </c>
      <c r="P51" s="378"/>
      <c r="Q51" s="379">
        <v>0.15</v>
      </c>
      <c r="R51" s="380">
        <v>22009.3</v>
      </c>
      <c r="S51" s="550" t="s">
        <v>298</v>
      </c>
      <c r="T51" s="765">
        <f t="shared" ref="T51:T56" si="14">T78</f>
        <v>45565</v>
      </c>
      <c r="U51" s="807">
        <v>38464.54940739282</v>
      </c>
      <c r="V51" s="949"/>
      <c r="W51" s="800">
        <f t="shared" ref="W51:W56" si="15">W78</f>
        <v>45575</v>
      </c>
      <c r="X51" s="924"/>
      <c r="Y51" s="899"/>
      <c r="Z51" s="196"/>
    </row>
    <row r="52" spans="1:43" ht="14.25" customHeight="1">
      <c r="B52" s="375">
        <v>6</v>
      </c>
      <c r="C52" s="602"/>
      <c r="D52" s="377" t="s">
        <v>301</v>
      </c>
      <c r="E52" s="378"/>
      <c r="F52" s="379">
        <v>0.2</v>
      </c>
      <c r="G52" s="380">
        <f t="shared" si="13"/>
        <v>60885.964000000007</v>
      </c>
      <c r="H52" s="381">
        <f t="shared" ref="H52:H56" si="16">H79</f>
        <v>45597</v>
      </c>
      <c r="I52" s="382"/>
      <c r="J52" s="969"/>
      <c r="K52" s="969"/>
      <c r="L52" s="383"/>
      <c r="M52" s="375">
        <v>6</v>
      </c>
      <c r="N52" s="682" t="s">
        <v>333</v>
      </c>
      <c r="O52" s="377" t="s">
        <v>301</v>
      </c>
      <c r="P52" s="378"/>
      <c r="Q52" s="379">
        <v>0.2</v>
      </c>
      <c r="R52" s="380">
        <f t="shared" ref="R52:R57" si="17">$P$50*Q52</f>
        <v>29346.400000000001</v>
      </c>
      <c r="S52" s="550" t="s">
        <v>302</v>
      </c>
      <c r="T52" s="765">
        <f t="shared" si="14"/>
        <v>45596</v>
      </c>
      <c r="U52" s="807">
        <v>51287.230976410559</v>
      </c>
      <c r="V52" s="949"/>
      <c r="W52" s="800">
        <f t="shared" si="15"/>
        <v>45596</v>
      </c>
      <c r="X52" s="924"/>
      <c r="Y52" s="899"/>
      <c r="Z52" s="196"/>
    </row>
    <row r="53" spans="1:43" ht="14.25" customHeight="1">
      <c r="B53" s="375">
        <v>6</v>
      </c>
      <c r="C53" s="602"/>
      <c r="D53" s="377" t="s">
        <v>305</v>
      </c>
      <c r="E53" s="378"/>
      <c r="F53" s="379">
        <v>0.25</v>
      </c>
      <c r="G53" s="380">
        <f t="shared" si="13"/>
        <v>76107.455000000002</v>
      </c>
      <c r="H53" s="381">
        <f t="shared" si="16"/>
        <v>45597</v>
      </c>
      <c r="I53" s="382"/>
      <c r="J53" s="969"/>
      <c r="K53" s="969"/>
      <c r="L53" s="383"/>
      <c r="M53" s="375">
        <v>6</v>
      </c>
      <c r="N53" s="681" t="s">
        <v>333</v>
      </c>
      <c r="O53" s="377" t="s">
        <v>305</v>
      </c>
      <c r="P53" s="378"/>
      <c r="Q53" s="379">
        <v>0.25</v>
      </c>
      <c r="R53" s="380">
        <f t="shared" si="17"/>
        <v>36683</v>
      </c>
      <c r="S53" s="550" t="s">
        <v>306</v>
      </c>
      <c r="T53" s="765">
        <v>45596</v>
      </c>
      <c r="U53" s="807">
        <v>64109.038720513192</v>
      </c>
      <c r="V53" s="949"/>
      <c r="W53" s="800">
        <f t="shared" si="15"/>
        <v>45596</v>
      </c>
      <c r="X53" s="924"/>
      <c r="Y53" s="899"/>
      <c r="Z53" s="196"/>
    </row>
    <row r="54" spans="1:43" ht="14.25" customHeight="1">
      <c r="B54" s="375">
        <v>6</v>
      </c>
      <c r="C54" s="602"/>
      <c r="D54" s="377" t="s">
        <v>310</v>
      </c>
      <c r="E54" s="378"/>
      <c r="F54" s="379">
        <v>0.1</v>
      </c>
      <c r="G54" s="380">
        <f t="shared" si="13"/>
        <v>30442.982000000004</v>
      </c>
      <c r="H54" s="381">
        <f t="shared" si="16"/>
        <v>45609</v>
      </c>
      <c r="I54" s="382"/>
      <c r="J54" s="969"/>
      <c r="K54" s="969"/>
      <c r="L54" s="383"/>
      <c r="M54" s="375">
        <v>6</v>
      </c>
      <c r="N54" s="682" t="s">
        <v>333</v>
      </c>
      <c r="O54" s="377" t="s">
        <v>310</v>
      </c>
      <c r="P54" s="378"/>
      <c r="Q54" s="379">
        <v>0.1</v>
      </c>
      <c r="R54" s="380">
        <f t="shared" si="17"/>
        <v>14673.2</v>
      </c>
      <c r="S54" s="550" t="s">
        <v>311</v>
      </c>
      <c r="T54" s="765">
        <v>45596</v>
      </c>
      <c r="U54" s="807">
        <v>25643.61548820528</v>
      </c>
      <c r="V54" s="949"/>
      <c r="W54" s="800">
        <f t="shared" si="15"/>
        <v>45610</v>
      </c>
      <c r="X54" s="924"/>
      <c r="Y54" s="899"/>
      <c r="Z54" s="196"/>
    </row>
    <row r="55" spans="1:43" ht="14.25" customHeight="1">
      <c r="B55" s="375">
        <v>6</v>
      </c>
      <c r="C55" s="602"/>
      <c r="D55" s="377" t="s">
        <v>314</v>
      </c>
      <c r="E55" s="378"/>
      <c r="F55" s="379">
        <v>0.1</v>
      </c>
      <c r="G55" s="380">
        <f t="shared" si="13"/>
        <v>30442.982000000004</v>
      </c>
      <c r="H55" s="381">
        <f t="shared" si="16"/>
        <v>45628</v>
      </c>
      <c r="I55" s="382"/>
      <c r="J55" s="969"/>
      <c r="K55" s="969"/>
      <c r="L55" s="383"/>
      <c r="M55" s="375">
        <v>6</v>
      </c>
      <c r="N55" s="681" t="s">
        <v>333</v>
      </c>
      <c r="O55" s="377" t="s">
        <v>314</v>
      </c>
      <c r="P55" s="378"/>
      <c r="Q55" s="379">
        <v>0.1</v>
      </c>
      <c r="R55" s="380">
        <f t="shared" si="17"/>
        <v>14673.2</v>
      </c>
      <c r="S55" s="550" t="s">
        <v>315</v>
      </c>
      <c r="T55" s="765">
        <v>45596</v>
      </c>
      <c r="U55" s="807">
        <v>25643.61548820528</v>
      </c>
      <c r="V55" s="949"/>
      <c r="W55" s="800">
        <f t="shared" si="15"/>
        <v>45631</v>
      </c>
      <c r="X55" s="924"/>
      <c r="Y55" s="899"/>
      <c r="Z55" s="196"/>
    </row>
    <row r="56" spans="1:43" ht="14.25" customHeight="1">
      <c r="B56" s="375">
        <v>6</v>
      </c>
      <c r="C56" s="376"/>
      <c r="D56" s="377" t="s">
        <v>316</v>
      </c>
      <c r="E56" s="378"/>
      <c r="F56" s="379">
        <v>0.05</v>
      </c>
      <c r="G56" s="380">
        <f t="shared" si="13"/>
        <v>15221.491000000002</v>
      </c>
      <c r="H56" s="381">
        <f t="shared" si="16"/>
        <v>45635</v>
      </c>
      <c r="I56" s="382"/>
      <c r="J56" s="969"/>
      <c r="K56" s="969"/>
      <c r="L56" s="383"/>
      <c r="M56" s="375">
        <v>6</v>
      </c>
      <c r="N56" s="682" t="s">
        <v>333</v>
      </c>
      <c r="O56" s="377" t="s">
        <v>316</v>
      </c>
      <c r="P56" s="378"/>
      <c r="Q56" s="379">
        <v>0.05</v>
      </c>
      <c r="R56" s="380">
        <f t="shared" si="17"/>
        <v>7336.6</v>
      </c>
      <c r="S56" s="550" t="str">
        <f>S83</f>
        <v>Thula Moya IN04598</v>
      </c>
      <c r="T56" s="765">
        <f t="shared" si="14"/>
        <v>45688</v>
      </c>
      <c r="U56" s="807">
        <v>12821.80774410264</v>
      </c>
      <c r="V56" s="949"/>
      <c r="W56" s="800">
        <f t="shared" si="15"/>
        <v>45701</v>
      </c>
      <c r="X56" s="924"/>
      <c r="Y56" s="899"/>
      <c r="Z56" s="196"/>
    </row>
    <row r="57" spans="1:43" ht="15" customHeight="1" thickBot="1">
      <c r="B57" s="384">
        <v>6</v>
      </c>
      <c r="C57" s="603"/>
      <c r="D57" s="386" t="s">
        <v>317</v>
      </c>
      <c r="E57" s="387"/>
      <c r="F57" s="388">
        <v>0.05</v>
      </c>
      <c r="G57" s="389">
        <f t="shared" si="13"/>
        <v>15221.491000000002</v>
      </c>
      <c r="H57" s="390">
        <f>H84</f>
        <v>45665</v>
      </c>
      <c r="I57" s="391"/>
      <c r="J57" s="970"/>
      <c r="K57" s="970"/>
      <c r="L57" s="392"/>
      <c r="M57" s="384">
        <v>6</v>
      </c>
      <c r="N57" s="684" t="s">
        <v>333</v>
      </c>
      <c r="O57" s="386" t="s">
        <v>317</v>
      </c>
      <c r="P57" s="387"/>
      <c r="Q57" s="388">
        <v>0.05</v>
      </c>
      <c r="R57" s="389">
        <f t="shared" si="17"/>
        <v>7336.6</v>
      </c>
      <c r="S57" s="816" t="str">
        <f>S95</f>
        <v>Thula Moya IN04599</v>
      </c>
      <c r="T57" s="815">
        <f>T84</f>
        <v>45688</v>
      </c>
      <c r="U57" s="857">
        <v>12821.80774410264</v>
      </c>
      <c r="V57" s="950"/>
      <c r="W57" s="822">
        <f>W84</f>
        <v>45722</v>
      </c>
      <c r="X57" s="925"/>
      <c r="Y57" s="900"/>
      <c r="Z57" s="204"/>
    </row>
    <row r="58" spans="1:43" ht="14.45" hidden="1" thickBot="1">
      <c r="A58" s="24"/>
      <c r="B58" s="362"/>
      <c r="C58" s="428"/>
      <c r="D58" s="394"/>
      <c r="E58" s="395"/>
      <c r="F58" s="396"/>
      <c r="G58" s="365"/>
      <c r="H58" s="345"/>
      <c r="I58" s="366"/>
      <c r="J58" s="346"/>
      <c r="K58" s="346"/>
      <c r="L58" s="24"/>
      <c r="M58" s="362"/>
      <c r="N58" s="428"/>
      <c r="O58" s="394"/>
      <c r="P58" s="395"/>
      <c r="Q58" s="396"/>
      <c r="R58" s="365"/>
      <c r="S58" s="513"/>
      <c r="T58" s="564" t="str">
        <f t="shared" si="1"/>
        <v/>
      </c>
      <c r="U58" s="513"/>
      <c r="V58" s="647"/>
      <c r="W58" s="474"/>
      <c r="X58" s="484"/>
      <c r="Y58" s="214"/>
      <c r="Z58" s="199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3" ht="14.25" hidden="1" customHeight="1">
      <c r="B59" s="565">
        <v>7</v>
      </c>
      <c r="C59" s="397" t="s">
        <v>343</v>
      </c>
      <c r="D59" s="566"/>
      <c r="E59" s="567"/>
      <c r="F59" s="568"/>
      <c r="G59" s="569"/>
      <c r="H59" s="570"/>
      <c r="I59" s="352"/>
      <c r="J59" s="941">
        <f>SUM(G59:G66)</f>
        <v>0</v>
      </c>
      <c r="K59" s="941">
        <v>0</v>
      </c>
      <c r="L59" s="353"/>
      <c r="M59" s="565">
        <v>7</v>
      </c>
      <c r="N59" s="397" t="s">
        <v>343</v>
      </c>
      <c r="O59" s="566"/>
      <c r="P59" s="567"/>
      <c r="Q59" s="568"/>
      <c r="R59" s="569"/>
      <c r="S59" s="587"/>
      <c r="T59" s="555" t="str">
        <f t="shared" si="1"/>
        <v/>
      </c>
      <c r="U59" s="525"/>
      <c r="V59" s="913">
        <f>K59-SUM(U59:U66)</f>
        <v>0</v>
      </c>
      <c r="W59" s="571"/>
      <c r="X59" s="910">
        <f>SUM(R59:R66)</f>
        <v>0</v>
      </c>
      <c r="Y59" s="572"/>
      <c r="Z59" s="573"/>
    </row>
    <row r="60" spans="1:43" ht="14.25" hidden="1" customHeight="1">
      <c r="B60" s="574">
        <v>7</v>
      </c>
      <c r="C60" s="575"/>
      <c r="D60" s="576"/>
      <c r="E60" s="577"/>
      <c r="F60" s="578"/>
      <c r="G60" s="579"/>
      <c r="H60" s="580"/>
      <c r="I60" s="357"/>
      <c r="J60" s="942"/>
      <c r="K60" s="942"/>
      <c r="L60" s="358"/>
      <c r="M60" s="574">
        <v>7</v>
      </c>
      <c r="N60" s="575"/>
      <c r="O60" s="576"/>
      <c r="P60" s="577"/>
      <c r="Q60" s="578"/>
      <c r="R60" s="579"/>
      <c r="S60" s="541"/>
      <c r="T60" s="521" t="str">
        <f t="shared" si="1"/>
        <v/>
      </c>
      <c r="U60" s="526"/>
      <c r="V60" s="922"/>
      <c r="W60" s="581"/>
      <c r="X60" s="911"/>
      <c r="Y60" s="605"/>
      <c r="Z60" s="606"/>
    </row>
    <row r="61" spans="1:43" ht="14.25" hidden="1" customHeight="1">
      <c r="B61" s="574">
        <v>7</v>
      </c>
      <c r="C61" s="575"/>
      <c r="D61" s="576"/>
      <c r="E61" s="577"/>
      <c r="F61" s="578"/>
      <c r="G61" s="579"/>
      <c r="H61" s="580"/>
      <c r="I61" s="357"/>
      <c r="J61" s="942"/>
      <c r="K61" s="942"/>
      <c r="L61" s="358"/>
      <c r="M61" s="574">
        <v>7</v>
      </c>
      <c r="N61" s="575"/>
      <c r="O61" s="576"/>
      <c r="P61" s="577"/>
      <c r="Q61" s="578"/>
      <c r="R61" s="579"/>
      <c r="S61" s="541"/>
      <c r="T61" s="521" t="str">
        <f t="shared" si="1"/>
        <v/>
      </c>
      <c r="U61" s="526"/>
      <c r="V61" s="922"/>
      <c r="W61" s="581"/>
      <c r="X61" s="911"/>
      <c r="Y61" s="605"/>
      <c r="Z61" s="606"/>
    </row>
    <row r="62" spans="1:43" ht="14.25" hidden="1" customHeight="1">
      <c r="B62" s="574">
        <v>7</v>
      </c>
      <c r="C62" s="575"/>
      <c r="D62" s="576"/>
      <c r="E62" s="577"/>
      <c r="F62" s="578"/>
      <c r="G62" s="579"/>
      <c r="H62" s="580"/>
      <c r="I62" s="357"/>
      <c r="J62" s="942"/>
      <c r="K62" s="942"/>
      <c r="L62" s="358"/>
      <c r="M62" s="574">
        <v>7</v>
      </c>
      <c r="N62" s="575"/>
      <c r="O62" s="576"/>
      <c r="P62" s="577"/>
      <c r="Q62" s="578"/>
      <c r="R62" s="579"/>
      <c r="S62" s="541"/>
      <c r="T62" s="521" t="str">
        <f t="shared" si="1"/>
        <v/>
      </c>
      <c r="U62" s="526"/>
      <c r="V62" s="914"/>
      <c r="W62" s="581"/>
      <c r="X62" s="911"/>
      <c r="Y62" s="501"/>
      <c r="Z62" s="502"/>
    </row>
    <row r="63" spans="1:43" ht="14.25" hidden="1" customHeight="1">
      <c r="B63" s="574">
        <v>7</v>
      </c>
      <c r="C63" s="575"/>
      <c r="D63" s="576"/>
      <c r="E63" s="577"/>
      <c r="F63" s="578"/>
      <c r="G63" s="579"/>
      <c r="H63" s="580"/>
      <c r="I63" s="357"/>
      <c r="J63" s="942"/>
      <c r="K63" s="942"/>
      <c r="L63" s="358"/>
      <c r="M63" s="574">
        <v>7</v>
      </c>
      <c r="N63" s="575"/>
      <c r="O63" s="576"/>
      <c r="P63" s="577"/>
      <c r="Q63" s="578"/>
      <c r="R63" s="579"/>
      <c r="S63" s="541"/>
      <c r="T63" s="521" t="str">
        <f t="shared" si="1"/>
        <v/>
      </c>
      <c r="U63" s="526"/>
      <c r="V63" s="914"/>
      <c r="W63" s="581"/>
      <c r="X63" s="911"/>
      <c r="Y63" s="501"/>
      <c r="Z63" s="502"/>
    </row>
    <row r="64" spans="1:43" ht="14.25" hidden="1" customHeight="1">
      <c r="B64" s="574">
        <v>7</v>
      </c>
      <c r="C64" s="575"/>
      <c r="D64" s="576"/>
      <c r="E64" s="577"/>
      <c r="F64" s="578"/>
      <c r="G64" s="579"/>
      <c r="H64" s="580"/>
      <c r="I64" s="357"/>
      <c r="J64" s="942"/>
      <c r="K64" s="942"/>
      <c r="L64" s="358"/>
      <c r="M64" s="574">
        <v>7</v>
      </c>
      <c r="N64" s="575"/>
      <c r="O64" s="576"/>
      <c r="P64" s="577"/>
      <c r="Q64" s="578"/>
      <c r="R64" s="579"/>
      <c r="S64" s="541"/>
      <c r="T64" s="521" t="str">
        <f t="shared" si="1"/>
        <v/>
      </c>
      <c r="U64" s="526"/>
      <c r="V64" s="914"/>
      <c r="W64" s="581"/>
      <c r="X64" s="911"/>
      <c r="Y64" s="501"/>
      <c r="Z64" s="502"/>
    </row>
    <row r="65" spans="1:43" ht="14.25" hidden="1" customHeight="1">
      <c r="B65" s="574">
        <v>7</v>
      </c>
      <c r="C65" s="575"/>
      <c r="D65" s="576"/>
      <c r="E65" s="577"/>
      <c r="F65" s="578"/>
      <c r="G65" s="579"/>
      <c r="H65" s="580"/>
      <c r="I65" s="357"/>
      <c r="J65" s="942"/>
      <c r="K65" s="942"/>
      <c r="L65" s="358"/>
      <c r="M65" s="574">
        <v>7</v>
      </c>
      <c r="N65" s="575"/>
      <c r="O65" s="576"/>
      <c r="P65" s="577"/>
      <c r="Q65" s="578"/>
      <c r="R65" s="579"/>
      <c r="S65" s="541"/>
      <c r="T65" s="521" t="str">
        <f t="shared" si="1"/>
        <v/>
      </c>
      <c r="U65" s="526"/>
      <c r="V65" s="914"/>
      <c r="W65" s="581"/>
      <c r="X65" s="911"/>
      <c r="Y65" s="501"/>
      <c r="Z65" s="502"/>
    </row>
    <row r="66" spans="1:43" ht="15" hidden="1" customHeight="1" thickBot="1">
      <c r="B66" s="406">
        <v>7</v>
      </c>
      <c r="C66" s="438"/>
      <c r="D66" s="425"/>
      <c r="E66" s="409"/>
      <c r="F66" s="426"/>
      <c r="G66" s="427"/>
      <c r="H66" s="359"/>
      <c r="I66" s="360"/>
      <c r="J66" s="943"/>
      <c r="K66" s="943"/>
      <c r="L66" s="361"/>
      <c r="M66" s="406">
        <v>7</v>
      </c>
      <c r="N66" s="438"/>
      <c r="O66" s="425"/>
      <c r="P66" s="409"/>
      <c r="Q66" s="426"/>
      <c r="R66" s="427"/>
      <c r="S66" s="553"/>
      <c r="T66" s="517" t="str">
        <f t="shared" si="1"/>
        <v/>
      </c>
      <c r="U66" s="527"/>
      <c r="V66" s="915"/>
      <c r="W66" s="477"/>
      <c r="X66" s="912"/>
      <c r="Y66" s="216"/>
      <c r="Z66" s="202"/>
    </row>
    <row r="67" spans="1:43" ht="14.45" thickBot="1">
      <c r="A67" s="24"/>
      <c r="B67" s="362"/>
      <c r="C67" s="428"/>
      <c r="D67" s="394"/>
      <c r="E67" s="395"/>
      <c r="F67" s="396"/>
      <c r="G67" s="365"/>
      <c r="H67" s="345"/>
      <c r="I67" s="366"/>
      <c r="J67" s="346"/>
      <c r="K67" s="346"/>
      <c r="L67" s="24"/>
      <c r="M67" s="362"/>
      <c r="N67" s="428"/>
      <c r="O67" s="394"/>
      <c r="P67" s="395"/>
      <c r="Q67" s="396"/>
      <c r="R67" s="365"/>
      <c r="S67" s="513"/>
      <c r="T67" s="564" t="str">
        <f t="shared" si="1"/>
        <v/>
      </c>
      <c r="U67" s="513"/>
      <c r="V67" s="647"/>
      <c r="W67" s="474"/>
      <c r="X67" s="484"/>
      <c r="Y67" s="214"/>
      <c r="Z67" s="199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</row>
    <row r="68" spans="1:43" ht="14.25" customHeight="1">
      <c r="B68" s="429">
        <v>8</v>
      </c>
      <c r="C68" s="368" t="s">
        <v>344</v>
      </c>
      <c r="D68" s="430"/>
      <c r="E68" s="664"/>
      <c r="F68" s="665"/>
      <c r="G68" s="431"/>
      <c r="H68" s="432"/>
      <c r="I68" s="373"/>
      <c r="J68" s="968">
        <f>SUM(G68:G75)</f>
        <v>0</v>
      </c>
      <c r="K68" s="968">
        <v>43965.120000000003</v>
      </c>
      <c r="L68" s="374"/>
      <c r="M68" s="429">
        <v>8</v>
      </c>
      <c r="N68" s="677" t="s">
        <v>345</v>
      </c>
      <c r="O68" s="430" t="s">
        <v>346</v>
      </c>
      <c r="P68" s="664"/>
      <c r="Q68" s="665"/>
      <c r="R68" s="431">
        <v>4025</v>
      </c>
      <c r="S68" s="641" t="s">
        <v>347</v>
      </c>
      <c r="T68" s="821">
        <v>45596</v>
      </c>
      <c r="U68" s="528">
        <v>0</v>
      </c>
      <c r="V68" s="948">
        <f>K68-SUM(U68:U75)</f>
        <v>0</v>
      </c>
      <c r="W68" s="819">
        <v>45575</v>
      </c>
      <c r="X68" s="923">
        <f>SUM(R68:R75)</f>
        <v>158729.51999999999</v>
      </c>
      <c r="Y68" s="221"/>
      <c r="Z68" s="207"/>
    </row>
    <row r="69" spans="1:43" s="65" customFormat="1" ht="14.25" customHeight="1">
      <c r="A69" s="169"/>
      <c r="B69" s="831">
        <v>8</v>
      </c>
      <c r="C69" s="687"/>
      <c r="D69" s="832"/>
      <c r="E69" s="833"/>
      <c r="F69" s="834"/>
      <c r="G69" s="417"/>
      <c r="H69" s="418"/>
      <c r="I69" s="382"/>
      <c r="J69" s="969"/>
      <c r="K69" s="969"/>
      <c r="L69" s="835"/>
      <c r="M69" s="831">
        <v>8</v>
      </c>
      <c r="N69" s="687" t="s">
        <v>345</v>
      </c>
      <c r="O69" s="832" t="s">
        <v>348</v>
      </c>
      <c r="P69" s="833"/>
      <c r="Q69" s="834"/>
      <c r="R69" s="417">
        <f>21221.6/5</f>
        <v>4244.32</v>
      </c>
      <c r="S69" s="638" t="s">
        <v>349</v>
      </c>
      <c r="T69" s="813">
        <v>45596</v>
      </c>
      <c r="U69" s="817">
        <v>0</v>
      </c>
      <c r="V69" s="951"/>
      <c r="W69" s="820">
        <f>T69+29</f>
        <v>45625</v>
      </c>
      <c r="X69" s="924"/>
      <c r="Y69" s="220" t="s">
        <v>350</v>
      </c>
      <c r="Z69" s="836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</row>
    <row r="70" spans="1:43" ht="14.25" customHeight="1">
      <c r="B70" s="415">
        <v>8</v>
      </c>
      <c r="C70" s="416"/>
      <c r="D70" s="433"/>
      <c r="E70" s="434"/>
      <c r="F70" s="435"/>
      <c r="G70" s="417"/>
      <c r="H70" s="418"/>
      <c r="I70" s="382"/>
      <c r="J70" s="969"/>
      <c r="K70" s="969"/>
      <c r="L70" s="383"/>
      <c r="M70" s="415">
        <v>8</v>
      </c>
      <c r="N70" s="687" t="s">
        <v>345</v>
      </c>
      <c r="O70" s="433" t="s">
        <v>351</v>
      </c>
      <c r="P70" s="434"/>
      <c r="Q70" s="435"/>
      <c r="R70" s="417">
        <v>35695.800000000003</v>
      </c>
      <c r="S70" s="638" t="s">
        <v>347</v>
      </c>
      <c r="T70" s="796">
        <f>T69</f>
        <v>45596</v>
      </c>
      <c r="U70" s="529">
        <v>0</v>
      </c>
      <c r="V70" s="951"/>
      <c r="W70" s="820">
        <v>45575</v>
      </c>
      <c r="X70" s="924"/>
      <c r="Y70" s="220" t="s">
        <v>352</v>
      </c>
      <c r="Z70" s="206"/>
    </row>
    <row r="71" spans="1:43" ht="14.25" customHeight="1">
      <c r="B71" s="415"/>
      <c r="C71" s="416"/>
      <c r="D71" s="433"/>
      <c r="E71" s="434"/>
      <c r="F71" s="435"/>
      <c r="G71" s="417"/>
      <c r="H71" s="418"/>
      <c r="I71" s="382"/>
      <c r="J71" s="969"/>
      <c r="K71" s="969"/>
      <c r="L71" s="383"/>
      <c r="M71" s="415">
        <v>8</v>
      </c>
      <c r="N71" s="687" t="s">
        <v>345</v>
      </c>
      <c r="O71" s="433"/>
      <c r="P71" s="434"/>
      <c r="Q71" s="435"/>
      <c r="R71" s="417"/>
      <c r="S71" s="638"/>
      <c r="T71" s="796">
        <v>45626</v>
      </c>
      <c r="U71" s="807">
        <v>43965.120000000003</v>
      </c>
      <c r="V71" s="951"/>
      <c r="W71" s="796">
        <v>45626</v>
      </c>
      <c r="X71" s="924"/>
      <c r="Y71" s="220"/>
      <c r="Z71" s="206"/>
    </row>
    <row r="72" spans="1:43" ht="14.25" customHeight="1">
      <c r="B72" s="415"/>
      <c r="C72" s="416"/>
      <c r="D72" s="433"/>
      <c r="E72" s="434"/>
      <c r="F72" s="435"/>
      <c r="G72" s="417"/>
      <c r="H72" s="418"/>
      <c r="I72" s="382"/>
      <c r="J72" s="969"/>
      <c r="K72" s="969"/>
      <c r="L72" s="383"/>
      <c r="M72" s="415">
        <v>8</v>
      </c>
      <c r="N72" s="687" t="s">
        <v>345</v>
      </c>
      <c r="O72" s="433" t="s">
        <v>353</v>
      </c>
      <c r="P72" s="434"/>
      <c r="Q72" s="435"/>
      <c r="R72" s="417">
        <v>8316</v>
      </c>
      <c r="S72" s="638" t="s">
        <v>354</v>
      </c>
      <c r="T72" s="796">
        <v>45688</v>
      </c>
      <c r="U72" s="807"/>
      <c r="V72" s="951"/>
      <c r="W72" s="864">
        <v>45869</v>
      </c>
      <c r="X72" s="924"/>
      <c r="Y72" s="220"/>
      <c r="Z72" s="206"/>
    </row>
    <row r="73" spans="1:43" ht="14.25" customHeight="1">
      <c r="B73" s="415">
        <v>8</v>
      </c>
      <c r="C73" s="416"/>
      <c r="D73" s="433"/>
      <c r="E73" s="434"/>
      <c r="F73" s="435"/>
      <c r="G73" s="417"/>
      <c r="H73" s="418"/>
      <c r="I73" s="382"/>
      <c r="J73" s="969"/>
      <c r="K73" s="969"/>
      <c r="L73" s="383"/>
      <c r="M73" s="415">
        <v>8</v>
      </c>
      <c r="N73" s="687" t="s">
        <v>345</v>
      </c>
      <c r="O73" s="433" t="s">
        <v>355</v>
      </c>
      <c r="P73" s="434"/>
      <c r="Q73" s="435"/>
      <c r="R73" s="417">
        <v>72608.7</v>
      </c>
      <c r="S73" s="638" t="s">
        <v>356</v>
      </c>
      <c r="T73" s="813">
        <v>45596</v>
      </c>
      <c r="U73" s="529">
        <v>0</v>
      </c>
      <c r="V73" s="951"/>
      <c r="W73" s="820">
        <v>45596</v>
      </c>
      <c r="X73" s="924"/>
      <c r="Y73" s="220"/>
      <c r="Z73" s="206"/>
    </row>
    <row r="74" spans="1:43" ht="14.25" customHeight="1">
      <c r="B74" s="415"/>
      <c r="C74" s="416"/>
      <c r="D74" s="433"/>
      <c r="E74" s="434"/>
      <c r="F74" s="435"/>
      <c r="G74" s="417"/>
      <c r="H74" s="418"/>
      <c r="I74" s="382"/>
      <c r="J74" s="969"/>
      <c r="K74" s="969"/>
      <c r="L74" s="383"/>
      <c r="M74" s="415">
        <v>8</v>
      </c>
      <c r="N74" s="687" t="s">
        <v>345</v>
      </c>
      <c r="O74" s="433" t="s">
        <v>357</v>
      </c>
      <c r="P74" s="434"/>
      <c r="Q74" s="435"/>
      <c r="R74" s="417">
        <v>9538.74</v>
      </c>
      <c r="S74" s="638" t="s">
        <v>358</v>
      </c>
      <c r="T74" s="813">
        <v>45900</v>
      </c>
      <c r="U74" s="863"/>
      <c r="V74" s="951"/>
      <c r="W74" s="820">
        <v>45890</v>
      </c>
      <c r="X74" s="924"/>
      <c r="Y74" s="220"/>
      <c r="Z74" s="206"/>
    </row>
    <row r="75" spans="1:43" ht="15" customHeight="1" thickBot="1">
      <c r="B75" s="384">
        <v>8</v>
      </c>
      <c r="C75" s="385"/>
      <c r="D75" s="386"/>
      <c r="E75" s="387"/>
      <c r="F75" s="388"/>
      <c r="G75" s="389"/>
      <c r="H75" s="390"/>
      <c r="I75" s="391"/>
      <c r="J75" s="970"/>
      <c r="K75" s="970"/>
      <c r="L75" s="392"/>
      <c r="M75" s="384">
        <v>8</v>
      </c>
      <c r="N75" s="684" t="s">
        <v>345</v>
      </c>
      <c r="O75" s="386" t="s">
        <v>359</v>
      </c>
      <c r="P75" s="387"/>
      <c r="Q75" s="388"/>
      <c r="R75" s="389">
        <v>24300.959999999999</v>
      </c>
      <c r="S75" s="816" t="s">
        <v>360</v>
      </c>
      <c r="T75" s="815">
        <v>45596</v>
      </c>
      <c r="U75" s="530">
        <v>0</v>
      </c>
      <c r="V75" s="952"/>
      <c r="W75" s="822">
        <v>45596</v>
      </c>
      <c r="X75" s="925"/>
      <c r="Y75" s="218" t="s">
        <v>361</v>
      </c>
      <c r="Z75" s="204"/>
    </row>
    <row r="76" spans="1:43" ht="22.5" customHeight="1" thickBot="1">
      <c r="A76" s="24"/>
      <c r="B76" s="436"/>
      <c r="C76" s="167"/>
      <c r="D76" s="167"/>
      <c r="E76" s="167"/>
      <c r="F76" s="167"/>
      <c r="G76" s="167"/>
      <c r="H76" s="167"/>
      <c r="I76" s="167"/>
      <c r="J76" s="699"/>
      <c r="K76" s="700"/>
      <c r="L76" s="167" t="s">
        <v>362</v>
      </c>
      <c r="M76" s="436"/>
      <c r="N76" s="167"/>
      <c r="O76" s="167"/>
      <c r="P76" s="167"/>
      <c r="Q76" s="167"/>
      <c r="R76" s="167"/>
      <c r="S76" s="551"/>
      <c r="T76" s="193" t="str">
        <f t="shared" si="1"/>
        <v/>
      </c>
      <c r="U76" s="522"/>
      <c r="V76" s="704"/>
      <c r="W76" s="487"/>
      <c r="X76" s="705"/>
      <c r="Y76" s="222"/>
      <c r="Z76" s="167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</row>
    <row r="77" spans="1:43" ht="15" customHeight="1">
      <c r="B77" s="400">
        <v>9</v>
      </c>
      <c r="C77" s="706" t="s">
        <v>363</v>
      </c>
      <c r="D77" s="421" t="s">
        <v>294</v>
      </c>
      <c r="E77" s="405"/>
      <c r="F77" s="422">
        <v>0.1</v>
      </c>
      <c r="G77" s="404">
        <f>SUM($C$78:$C$79)*F77</f>
        <v>20805</v>
      </c>
      <c r="H77" s="356">
        <f>'Project Plan'!E19-7</f>
        <v>45553</v>
      </c>
      <c r="I77" s="357"/>
      <c r="J77" s="971">
        <f>SUM(G77:G84)</f>
        <v>208050</v>
      </c>
      <c r="K77" s="941">
        <f>73429.41176+171335.2941</f>
        <v>244764.70585999999</v>
      </c>
      <c r="L77" s="358"/>
      <c r="M77" s="400">
        <v>9</v>
      </c>
      <c r="N77" s="675" t="s">
        <v>364</v>
      </c>
      <c r="O77" s="421" t="s">
        <v>294</v>
      </c>
      <c r="P77" s="709">
        <f>AF27+AF28</f>
        <v>175013.8</v>
      </c>
      <c r="Q77" s="422">
        <v>0.1</v>
      </c>
      <c r="R77" s="350">
        <f>$P$77*Q77</f>
        <v>17501.38</v>
      </c>
      <c r="S77" s="552" t="s">
        <v>295</v>
      </c>
      <c r="T77" s="764">
        <v>45565</v>
      </c>
      <c r="U77" s="809">
        <v>24476.470585999999</v>
      </c>
      <c r="V77" s="953">
        <v>0</v>
      </c>
      <c r="W77" s="770">
        <v>45560</v>
      </c>
      <c r="X77" s="926">
        <f>SUM(R77:R84)</f>
        <v>175013.8</v>
      </c>
      <c r="Y77" s="904" t="s">
        <v>296</v>
      </c>
      <c r="Z77" s="201"/>
    </row>
    <row r="78" spans="1:43" ht="15" customHeight="1">
      <c r="B78" s="400">
        <v>9</v>
      </c>
      <c r="C78" s="735">
        <v>62415</v>
      </c>
      <c r="D78" s="423" t="s">
        <v>150</v>
      </c>
      <c r="E78" s="405"/>
      <c r="F78" s="424">
        <v>0.15</v>
      </c>
      <c r="G78" s="404">
        <f t="shared" ref="G78:G84" si="18">SUM($C$78:$C$79)*F78</f>
        <v>31207.5</v>
      </c>
      <c r="H78" s="356">
        <f>'Project Plan'!I19</f>
        <v>45560</v>
      </c>
      <c r="I78" s="357"/>
      <c r="J78" s="972"/>
      <c r="K78" s="942"/>
      <c r="L78" s="358"/>
      <c r="M78" s="400">
        <v>9</v>
      </c>
      <c r="N78" s="675" t="s">
        <v>364</v>
      </c>
      <c r="O78" s="423" t="s">
        <v>150</v>
      </c>
      <c r="P78" s="405"/>
      <c r="Q78" s="424">
        <v>0.15</v>
      </c>
      <c r="R78" s="404">
        <f t="shared" ref="R78:R84" si="19">$P$77*Q78</f>
        <v>26252.069999999996</v>
      </c>
      <c r="S78" s="540" t="s">
        <v>298</v>
      </c>
      <c r="T78" s="752">
        <v>45565</v>
      </c>
      <c r="U78" s="810">
        <v>36714.705878999994</v>
      </c>
      <c r="V78" s="954"/>
      <c r="W78" s="798">
        <v>45575</v>
      </c>
      <c r="X78" s="927"/>
      <c r="Y78" s="905"/>
      <c r="Z78" s="201"/>
    </row>
    <row r="79" spans="1:43" ht="15" customHeight="1">
      <c r="B79" s="400">
        <v>9</v>
      </c>
      <c r="C79" s="706">
        <v>145635</v>
      </c>
      <c r="D79" s="423" t="s">
        <v>301</v>
      </c>
      <c r="E79" s="405"/>
      <c r="F79" s="424">
        <v>0.2</v>
      </c>
      <c r="G79" s="404">
        <f t="shared" si="18"/>
        <v>41610</v>
      </c>
      <c r="H79" s="356">
        <f>'Project Plan'!G21</f>
        <v>45597</v>
      </c>
      <c r="I79" s="357"/>
      <c r="J79" s="972"/>
      <c r="K79" s="942"/>
      <c r="L79" s="358"/>
      <c r="M79" s="400">
        <v>9</v>
      </c>
      <c r="N79" s="675" t="s">
        <v>364</v>
      </c>
      <c r="O79" s="423" t="s">
        <v>301</v>
      </c>
      <c r="P79" s="405"/>
      <c r="Q79" s="424">
        <v>0.2</v>
      </c>
      <c r="R79" s="404">
        <f t="shared" si="19"/>
        <v>35002.76</v>
      </c>
      <c r="S79" s="540" t="s">
        <v>302</v>
      </c>
      <c r="T79" s="752">
        <v>45596</v>
      </c>
      <c r="U79" s="810">
        <v>48952.941171999999</v>
      </c>
      <c r="V79" s="954"/>
      <c r="W79" s="798">
        <v>45596</v>
      </c>
      <c r="X79" s="927"/>
      <c r="Y79" s="905"/>
      <c r="Z79" s="201"/>
    </row>
    <row r="80" spans="1:43" ht="15" customHeight="1">
      <c r="B80" s="400">
        <v>9</v>
      </c>
      <c r="C80" s="437"/>
      <c r="D80" s="423" t="s">
        <v>305</v>
      </c>
      <c r="E80" s="405"/>
      <c r="F80" s="424">
        <v>0.25</v>
      </c>
      <c r="G80" s="404">
        <f t="shared" si="18"/>
        <v>52012.5</v>
      </c>
      <c r="H80" s="356">
        <f>'Project Plan'!G28</f>
        <v>45597</v>
      </c>
      <c r="I80" s="357"/>
      <c r="J80" s="972"/>
      <c r="K80" s="942"/>
      <c r="L80" s="358"/>
      <c r="M80" s="400">
        <v>9</v>
      </c>
      <c r="N80" s="675" t="s">
        <v>364</v>
      </c>
      <c r="O80" s="423" t="s">
        <v>305</v>
      </c>
      <c r="P80" s="405"/>
      <c r="Q80" s="424">
        <v>0.25</v>
      </c>
      <c r="R80" s="404">
        <f t="shared" si="19"/>
        <v>43753.45</v>
      </c>
      <c r="S80" s="540" t="s">
        <v>306</v>
      </c>
      <c r="T80" s="752">
        <v>45596</v>
      </c>
      <c r="U80" s="810">
        <v>61191.176464999997</v>
      </c>
      <c r="V80" s="954"/>
      <c r="W80" s="798">
        <f>W79</f>
        <v>45596</v>
      </c>
      <c r="X80" s="927"/>
      <c r="Y80" s="905"/>
      <c r="Z80" s="201"/>
    </row>
    <row r="81" spans="1:43" ht="15" customHeight="1">
      <c r="B81" s="400">
        <v>9</v>
      </c>
      <c r="C81" s="437"/>
      <c r="D81" s="423" t="s">
        <v>310</v>
      </c>
      <c r="E81" s="405"/>
      <c r="F81" s="424">
        <v>0.1</v>
      </c>
      <c r="G81" s="404">
        <f t="shared" si="18"/>
        <v>20805</v>
      </c>
      <c r="H81" s="356">
        <f>'Project Plan'!G38</f>
        <v>45609</v>
      </c>
      <c r="I81" s="357"/>
      <c r="J81" s="972"/>
      <c r="K81" s="942"/>
      <c r="L81" s="358"/>
      <c r="M81" s="400">
        <v>9</v>
      </c>
      <c r="N81" s="675" t="s">
        <v>364</v>
      </c>
      <c r="O81" s="423" t="s">
        <v>310</v>
      </c>
      <c r="P81" s="405"/>
      <c r="Q81" s="424">
        <v>0.1</v>
      </c>
      <c r="R81" s="404">
        <f t="shared" si="19"/>
        <v>17501.38</v>
      </c>
      <c r="S81" s="548" t="s">
        <v>311</v>
      </c>
      <c r="T81" s="738">
        <v>45596</v>
      </c>
      <c r="U81" s="846">
        <v>24476.470585999999</v>
      </c>
      <c r="V81" s="954"/>
      <c r="W81" s="827">
        <v>45610</v>
      </c>
      <c r="X81" s="927"/>
      <c r="Y81" s="905"/>
      <c r="Z81" s="201"/>
    </row>
    <row r="82" spans="1:43" ht="15" customHeight="1">
      <c r="B82" s="400">
        <v>9</v>
      </c>
      <c r="C82" s="437"/>
      <c r="D82" s="423" t="s">
        <v>314</v>
      </c>
      <c r="E82" s="405"/>
      <c r="F82" s="424">
        <v>0.1</v>
      </c>
      <c r="G82" s="404">
        <f t="shared" si="18"/>
        <v>20805</v>
      </c>
      <c r="H82" s="356">
        <f>'Project Plan'!G47</f>
        <v>45628</v>
      </c>
      <c r="I82" s="357"/>
      <c r="J82" s="972"/>
      <c r="K82" s="942"/>
      <c r="L82" s="358"/>
      <c r="M82" s="400">
        <v>9</v>
      </c>
      <c r="N82" s="675" t="s">
        <v>364</v>
      </c>
      <c r="O82" s="423" t="s">
        <v>314</v>
      </c>
      <c r="P82" s="405"/>
      <c r="Q82" s="424">
        <v>0.1</v>
      </c>
      <c r="R82" s="404">
        <f t="shared" si="19"/>
        <v>17501.38</v>
      </c>
      <c r="S82" s="548" t="s">
        <v>315</v>
      </c>
      <c r="T82" s="738">
        <v>45596</v>
      </c>
      <c r="U82" s="846">
        <v>24476.470585999999</v>
      </c>
      <c r="V82" s="954"/>
      <c r="W82" s="827">
        <v>45631</v>
      </c>
      <c r="X82" s="927"/>
      <c r="Y82" s="905"/>
      <c r="Z82" s="201"/>
    </row>
    <row r="83" spans="1:43" ht="15" customHeight="1">
      <c r="B83" s="574">
        <v>9</v>
      </c>
      <c r="C83" s="666"/>
      <c r="D83" s="576" t="s">
        <v>316</v>
      </c>
      <c r="E83" s="577"/>
      <c r="F83" s="578">
        <v>0.05</v>
      </c>
      <c r="G83" s="579">
        <f t="shared" si="18"/>
        <v>10402.5</v>
      </c>
      <c r="H83" s="580">
        <f>'Project Plan'!G49</f>
        <v>45635</v>
      </c>
      <c r="I83" s="357"/>
      <c r="J83" s="972"/>
      <c r="K83" s="942"/>
      <c r="L83" s="358"/>
      <c r="M83" s="400">
        <v>9</v>
      </c>
      <c r="N83" s="675" t="s">
        <v>364</v>
      </c>
      <c r="O83" s="576" t="s">
        <v>316</v>
      </c>
      <c r="P83" s="577"/>
      <c r="Q83" s="578">
        <v>0.05</v>
      </c>
      <c r="R83" s="579">
        <f t="shared" si="19"/>
        <v>8750.69</v>
      </c>
      <c r="S83" s="548" t="s">
        <v>365</v>
      </c>
      <c r="T83" s="838">
        <v>45688</v>
      </c>
      <c r="U83" s="858">
        <v>12238.235293</v>
      </c>
      <c r="V83" s="954"/>
      <c r="W83" s="860">
        <v>45701</v>
      </c>
      <c r="X83" s="927"/>
      <c r="Y83" s="905"/>
      <c r="Z83" s="502"/>
    </row>
    <row r="84" spans="1:43" ht="15" customHeight="1" thickBot="1">
      <c r="B84" s="406">
        <v>9</v>
      </c>
      <c r="C84" s="696"/>
      <c r="D84" s="425" t="s">
        <v>317</v>
      </c>
      <c r="E84" s="409"/>
      <c r="F84" s="426">
        <v>0.05</v>
      </c>
      <c r="G84" s="427">
        <f t="shared" si="18"/>
        <v>10402.5</v>
      </c>
      <c r="H84" s="697">
        <f>H83+30</f>
        <v>45665</v>
      </c>
      <c r="I84" s="698"/>
      <c r="J84" s="973"/>
      <c r="K84" s="973"/>
      <c r="L84" s="503"/>
      <c r="M84" s="701">
        <v>9</v>
      </c>
      <c r="N84" s="702" t="s">
        <v>364</v>
      </c>
      <c r="O84" s="425" t="s">
        <v>317</v>
      </c>
      <c r="P84" s="409"/>
      <c r="Q84" s="426">
        <v>0.05</v>
      </c>
      <c r="R84" s="703">
        <f t="shared" si="19"/>
        <v>8750.69</v>
      </c>
      <c r="S84" s="854" t="s">
        <v>366</v>
      </c>
      <c r="T84" s="853">
        <v>45688</v>
      </c>
      <c r="U84" s="859">
        <v>12238.235293</v>
      </c>
      <c r="V84" s="955"/>
      <c r="W84" s="697">
        <v>45722</v>
      </c>
      <c r="X84" s="928"/>
      <c r="Y84" s="906"/>
      <c r="Z84" s="202"/>
    </row>
    <row r="85" spans="1:43" ht="14.45" thickBot="1">
      <c r="A85" s="24"/>
      <c r="B85" s="362"/>
      <c r="C85" s="393"/>
      <c r="D85" s="394"/>
      <c r="E85" s="395"/>
      <c r="F85" s="396"/>
      <c r="G85" s="365"/>
      <c r="H85" s="345"/>
      <c r="I85" s="366"/>
      <c r="J85" s="346"/>
      <c r="K85" s="604"/>
      <c r="L85" s="24"/>
      <c r="M85" s="362"/>
      <c r="N85" s="393"/>
      <c r="O85" s="394"/>
      <c r="P85" s="395"/>
      <c r="Q85" s="396"/>
      <c r="R85" s="365"/>
      <c r="S85" s="645"/>
      <c r="T85" s="556" t="str">
        <f t="shared" si="1"/>
        <v/>
      </c>
      <c r="U85" s="513"/>
      <c r="V85" s="646"/>
      <c r="W85" s="474"/>
      <c r="X85" s="484"/>
      <c r="Y85" s="214"/>
      <c r="Z85" s="199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24">
        <v>10</v>
      </c>
      <c r="C86" s="325" t="s">
        <v>299</v>
      </c>
      <c r="D86" s="325"/>
      <c r="E86" s="326"/>
      <c r="F86" s="439"/>
      <c r="G86" s="440"/>
      <c r="H86" s="328"/>
      <c r="I86" s="329"/>
      <c r="J86" s="935">
        <f>SUM(G86:G99)</f>
        <v>38356.300000000003</v>
      </c>
      <c r="K86" s="935">
        <f>10000+35125.05882</f>
        <v>45125.058819999998</v>
      </c>
      <c r="L86" s="441"/>
      <c r="M86" s="324">
        <v>10</v>
      </c>
      <c r="N86" s="688" t="s">
        <v>367</v>
      </c>
      <c r="O86" s="325" t="s">
        <v>368</v>
      </c>
      <c r="P86" s="326"/>
      <c r="Q86" s="439"/>
      <c r="R86" s="440"/>
      <c r="S86" s="624"/>
      <c r="T86" s="639"/>
      <c r="U86" s="523">
        <f>R86/$X$86*$K$86</f>
        <v>0</v>
      </c>
      <c r="V86" s="919">
        <f>K86-SUM(U86:U99)</f>
        <v>-4.9433886888436973E-3</v>
      </c>
      <c r="W86" s="640"/>
      <c r="X86" s="929">
        <f>SUM(R86:R99)</f>
        <v>107767</v>
      </c>
      <c r="Y86" s="209"/>
      <c r="Z86" s="195"/>
    </row>
    <row r="87" spans="1:43" ht="14.25" customHeight="1">
      <c r="B87" s="442"/>
      <c r="C87" s="443"/>
      <c r="D87" s="443"/>
      <c r="E87" s="444"/>
      <c r="F87" s="445"/>
      <c r="G87" s="446"/>
      <c r="H87" s="758"/>
      <c r="I87" s="332"/>
      <c r="J87" s="936"/>
      <c r="K87" s="936"/>
      <c r="L87" s="333"/>
      <c r="M87" s="442">
        <v>10</v>
      </c>
      <c r="N87" s="689" t="s">
        <v>367</v>
      </c>
      <c r="O87" s="334"/>
      <c r="P87" s="447"/>
      <c r="Q87" s="448"/>
      <c r="R87" s="327"/>
      <c r="S87" s="465"/>
      <c r="T87" s="515" t="str">
        <f t="shared" ref="T87" si="20">IF(W87&gt;1,EOMONTH(W87,-1),"")</f>
        <v/>
      </c>
      <c r="U87" s="557">
        <f t="shared" ref="U87:U93" si="21">R87/$X$86*$K$86</f>
        <v>0</v>
      </c>
      <c r="V87" s="956"/>
      <c r="W87" s="479"/>
      <c r="X87" s="930"/>
      <c r="Y87" s="223"/>
      <c r="Z87" s="208"/>
    </row>
    <row r="88" spans="1:43" ht="14.25" customHeight="1">
      <c r="B88" s="442"/>
      <c r="C88" s="443"/>
      <c r="D88" s="443"/>
      <c r="E88" s="444"/>
      <c r="F88" s="445"/>
      <c r="G88" s="446"/>
      <c r="H88" s="758"/>
      <c r="I88" s="332"/>
      <c r="J88" s="936"/>
      <c r="K88" s="936"/>
      <c r="L88" s="333"/>
      <c r="M88" s="442">
        <v>10</v>
      </c>
      <c r="N88" s="689" t="s">
        <v>367</v>
      </c>
      <c r="O88" s="334" t="s">
        <v>294</v>
      </c>
      <c r="P88" s="760">
        <f>AF29+AF30+AF31</f>
        <v>107767</v>
      </c>
      <c r="Q88" s="759">
        <v>0.1</v>
      </c>
      <c r="R88" s="327">
        <f>$P$88*Q88</f>
        <v>10776.7</v>
      </c>
      <c r="S88" s="771" t="s">
        <v>295</v>
      </c>
      <c r="T88" s="763">
        <v>45565</v>
      </c>
      <c r="U88" s="811">
        <v>3961.1558593554782</v>
      </c>
      <c r="V88" s="956"/>
      <c r="W88" s="772">
        <v>45560</v>
      </c>
      <c r="X88" s="930"/>
      <c r="Y88" s="901" t="s">
        <v>296</v>
      </c>
      <c r="Z88" s="208"/>
    </row>
    <row r="89" spans="1:43" ht="14.25" customHeight="1">
      <c r="B89" s="442"/>
      <c r="C89" s="443"/>
      <c r="D89" s="443"/>
      <c r="E89" s="444"/>
      <c r="F89" s="445"/>
      <c r="G89" s="446"/>
      <c r="H89" s="758"/>
      <c r="I89" s="332"/>
      <c r="J89" s="936"/>
      <c r="K89" s="936"/>
      <c r="L89" s="333"/>
      <c r="M89" s="442">
        <v>10</v>
      </c>
      <c r="N89" s="689" t="s">
        <v>367</v>
      </c>
      <c r="O89" s="334" t="s">
        <v>150</v>
      </c>
      <c r="P89" s="447"/>
      <c r="Q89" s="759">
        <v>0.15</v>
      </c>
      <c r="R89" s="327">
        <f t="shared" ref="R89:R95" si="22">$P$88*Q89</f>
        <v>16165.05</v>
      </c>
      <c r="S89" s="771" t="s">
        <v>298</v>
      </c>
      <c r="T89" s="763">
        <f t="shared" ref="T89:T95" si="23">T78</f>
        <v>45565</v>
      </c>
      <c r="U89" s="811">
        <v>5941.7337890332165</v>
      </c>
      <c r="V89" s="956"/>
      <c r="W89" s="799">
        <f t="shared" ref="W89:W95" si="24">W78</f>
        <v>45575</v>
      </c>
      <c r="X89" s="930"/>
      <c r="Y89" s="902"/>
      <c r="Z89" s="208"/>
    </row>
    <row r="90" spans="1:43" ht="14.25" customHeight="1">
      <c r="B90" s="442"/>
      <c r="C90" s="443"/>
      <c r="D90" s="443"/>
      <c r="E90" s="444"/>
      <c r="F90" s="445"/>
      <c r="G90" s="446"/>
      <c r="H90" s="758"/>
      <c r="I90" s="332"/>
      <c r="J90" s="936"/>
      <c r="K90" s="936"/>
      <c r="L90" s="333"/>
      <c r="M90" s="442">
        <v>10</v>
      </c>
      <c r="N90" s="689" t="s">
        <v>367</v>
      </c>
      <c r="O90" s="334" t="s">
        <v>301</v>
      </c>
      <c r="P90" s="447"/>
      <c r="Q90" s="759">
        <v>0.2</v>
      </c>
      <c r="R90" s="327">
        <f t="shared" si="22"/>
        <v>21553.4</v>
      </c>
      <c r="S90" s="814" t="s">
        <v>302</v>
      </c>
      <c r="T90" s="763">
        <f t="shared" si="23"/>
        <v>45596</v>
      </c>
      <c r="U90" s="811">
        <v>10403.391764</v>
      </c>
      <c r="V90" s="956"/>
      <c r="W90" s="799">
        <f t="shared" si="24"/>
        <v>45596</v>
      </c>
      <c r="X90" s="930"/>
      <c r="Y90" s="902"/>
      <c r="Z90" s="208"/>
    </row>
    <row r="91" spans="1:43" ht="14.25" customHeight="1">
      <c r="B91" s="442"/>
      <c r="C91" s="443"/>
      <c r="D91" s="443"/>
      <c r="E91" s="444"/>
      <c r="F91" s="445"/>
      <c r="G91" s="446"/>
      <c r="H91" s="758"/>
      <c r="I91" s="332"/>
      <c r="J91" s="936"/>
      <c r="K91" s="936"/>
      <c r="L91" s="333"/>
      <c r="M91" s="442">
        <v>10</v>
      </c>
      <c r="N91" s="689" t="s">
        <v>367</v>
      </c>
      <c r="O91" s="334" t="s">
        <v>305</v>
      </c>
      <c r="P91" s="447"/>
      <c r="Q91" s="759">
        <v>0.25</v>
      </c>
      <c r="R91" s="327">
        <f t="shared" si="22"/>
        <v>26941.75</v>
      </c>
      <c r="S91" s="814" t="s">
        <v>306</v>
      </c>
      <c r="T91" s="763">
        <v>45596</v>
      </c>
      <c r="U91" s="811">
        <v>11281.264705</v>
      </c>
      <c r="V91" s="956"/>
      <c r="W91" s="799">
        <f t="shared" si="24"/>
        <v>45596</v>
      </c>
      <c r="X91" s="930"/>
      <c r="Y91" s="902"/>
      <c r="Z91" s="208"/>
    </row>
    <row r="92" spans="1:43" ht="14.25" customHeight="1">
      <c r="B92" s="442"/>
      <c r="C92" s="443"/>
      <c r="D92" s="443"/>
      <c r="E92" s="444"/>
      <c r="F92" s="445"/>
      <c r="G92" s="446"/>
      <c r="H92" s="758"/>
      <c r="I92" s="332"/>
      <c r="J92" s="936"/>
      <c r="K92" s="936"/>
      <c r="L92" s="333"/>
      <c r="M92" s="442">
        <v>10</v>
      </c>
      <c r="N92" s="689" t="s">
        <v>367</v>
      </c>
      <c r="O92" s="334" t="s">
        <v>310</v>
      </c>
      <c r="P92" s="447"/>
      <c r="Q92" s="759">
        <v>0.1</v>
      </c>
      <c r="R92" s="327">
        <f t="shared" si="22"/>
        <v>10776.7</v>
      </c>
      <c r="S92" s="814" t="s">
        <v>311</v>
      </c>
      <c r="T92" s="763">
        <v>45596</v>
      </c>
      <c r="U92" s="811">
        <v>4512.5058820000004</v>
      </c>
      <c r="V92" s="956"/>
      <c r="W92" s="799">
        <f t="shared" si="24"/>
        <v>45610</v>
      </c>
      <c r="X92" s="930"/>
      <c r="Y92" s="902"/>
      <c r="Z92" s="208"/>
    </row>
    <row r="93" spans="1:43" ht="14.25" customHeight="1">
      <c r="B93" s="442"/>
      <c r="C93" s="443"/>
      <c r="D93" s="443"/>
      <c r="E93" s="444"/>
      <c r="F93" s="445"/>
      <c r="G93" s="446"/>
      <c r="H93" s="758"/>
      <c r="I93" s="332"/>
      <c r="J93" s="936"/>
      <c r="K93" s="936"/>
      <c r="L93" s="333"/>
      <c r="M93" s="442">
        <v>10</v>
      </c>
      <c r="N93" s="689" t="s">
        <v>367</v>
      </c>
      <c r="O93" s="334" t="s">
        <v>314</v>
      </c>
      <c r="P93" s="447"/>
      <c r="Q93" s="759">
        <v>0.1</v>
      </c>
      <c r="R93" s="327">
        <f t="shared" si="22"/>
        <v>10776.7</v>
      </c>
      <c r="S93" s="814" t="s">
        <v>315</v>
      </c>
      <c r="T93" s="763">
        <v>45596</v>
      </c>
      <c r="U93" s="842">
        <f t="shared" si="21"/>
        <v>4512.5058820000004</v>
      </c>
      <c r="V93" s="956"/>
      <c r="W93" s="799">
        <f t="shared" si="24"/>
        <v>45631</v>
      </c>
      <c r="X93" s="930"/>
      <c r="Y93" s="902"/>
      <c r="Z93" s="208"/>
    </row>
    <row r="94" spans="1:43" ht="14.25" customHeight="1">
      <c r="B94" s="442"/>
      <c r="C94" s="443"/>
      <c r="D94" s="443"/>
      <c r="E94" s="444"/>
      <c r="F94" s="445"/>
      <c r="G94" s="446"/>
      <c r="H94" s="758"/>
      <c r="I94" s="332"/>
      <c r="J94" s="936"/>
      <c r="K94" s="936"/>
      <c r="L94" s="333"/>
      <c r="M94" s="442">
        <v>10</v>
      </c>
      <c r="N94" s="689" t="s">
        <v>367</v>
      </c>
      <c r="O94" s="334" t="s">
        <v>316</v>
      </c>
      <c r="P94" s="447"/>
      <c r="Q94" s="759">
        <v>0.05</v>
      </c>
      <c r="R94" s="327">
        <f t="shared" si="22"/>
        <v>5388.35</v>
      </c>
      <c r="S94" s="814" t="str">
        <f>S83</f>
        <v>Thula Moya IN04598</v>
      </c>
      <c r="T94" s="763">
        <f t="shared" si="23"/>
        <v>45688</v>
      </c>
      <c r="U94" s="811">
        <v>2256.2529410000002</v>
      </c>
      <c r="V94" s="956"/>
      <c r="W94" s="799">
        <f t="shared" si="24"/>
        <v>45701</v>
      </c>
      <c r="X94" s="930"/>
      <c r="Y94" s="902"/>
      <c r="Z94" s="208"/>
    </row>
    <row r="95" spans="1:43" ht="14.25" customHeight="1">
      <c r="B95" s="442"/>
      <c r="C95" s="443"/>
      <c r="D95" s="443"/>
      <c r="E95" s="444"/>
      <c r="F95" s="445"/>
      <c r="G95" s="446"/>
      <c r="H95" s="758"/>
      <c r="I95" s="332"/>
      <c r="J95" s="936"/>
      <c r="K95" s="936"/>
      <c r="L95" s="333"/>
      <c r="M95" s="442">
        <v>10</v>
      </c>
      <c r="N95" s="689" t="s">
        <v>367</v>
      </c>
      <c r="O95" s="334" t="s">
        <v>317</v>
      </c>
      <c r="P95" s="447"/>
      <c r="Q95" s="759">
        <v>0.05</v>
      </c>
      <c r="R95" s="327">
        <f t="shared" si="22"/>
        <v>5388.35</v>
      </c>
      <c r="S95" s="814" t="str">
        <f>S84</f>
        <v>Thula Moya IN04599</v>
      </c>
      <c r="T95" s="763">
        <f t="shared" si="23"/>
        <v>45688</v>
      </c>
      <c r="U95" s="811">
        <v>2256.2529410000002</v>
      </c>
      <c r="V95" s="956"/>
      <c r="W95" s="799">
        <f t="shared" si="24"/>
        <v>45722</v>
      </c>
      <c r="X95" s="930"/>
      <c r="Y95" s="903"/>
      <c r="Z95" s="208"/>
    </row>
    <row r="96" spans="1:43" ht="14.25" customHeight="1">
      <c r="B96" s="442">
        <v>10</v>
      </c>
      <c r="C96" s="334"/>
      <c r="D96" s="334" t="s">
        <v>260</v>
      </c>
      <c r="E96" s="447"/>
      <c r="F96" s="448"/>
      <c r="G96" s="327">
        <v>8500</v>
      </c>
      <c r="H96" s="331">
        <f>H81</f>
        <v>45609</v>
      </c>
      <c r="I96" s="332"/>
      <c r="J96" s="936"/>
      <c r="K96" s="936"/>
      <c r="L96" s="333"/>
      <c r="M96" s="442">
        <v>10</v>
      </c>
      <c r="N96" s="689" t="s">
        <v>367</v>
      </c>
      <c r="O96" s="334"/>
      <c r="P96" s="447"/>
      <c r="Q96" s="448"/>
      <c r="R96" s="327"/>
      <c r="S96" s="465"/>
      <c r="T96" s="515" t="str">
        <f t="shared" si="1"/>
        <v/>
      </c>
      <c r="U96" s="557">
        <f t="shared" ref="U96:U99" si="25">R96/$X$86*$K$86</f>
        <v>0</v>
      </c>
      <c r="V96" s="920"/>
      <c r="W96" s="479"/>
      <c r="X96" s="930"/>
      <c r="Y96" s="212"/>
      <c r="Z96" s="197"/>
      <c r="AA96" s="24"/>
      <c r="AB96" s="24"/>
    </row>
    <row r="97" spans="1:43" ht="14.25" customHeight="1">
      <c r="B97" s="442">
        <v>10</v>
      </c>
      <c r="C97" s="334"/>
      <c r="D97" s="334"/>
      <c r="E97" s="447"/>
      <c r="F97" s="448"/>
      <c r="G97" s="327"/>
      <c r="H97" s="331"/>
      <c r="I97" s="332"/>
      <c r="J97" s="936"/>
      <c r="K97" s="936"/>
      <c r="L97" s="333"/>
      <c r="M97" s="442">
        <v>10</v>
      </c>
      <c r="N97" s="689" t="s">
        <v>367</v>
      </c>
      <c r="O97" s="334"/>
      <c r="P97" s="447"/>
      <c r="Q97" s="448"/>
      <c r="R97" s="327"/>
      <c r="S97" s="465"/>
      <c r="T97" s="515" t="str">
        <f t="shared" si="1"/>
        <v/>
      </c>
      <c r="U97" s="557">
        <f t="shared" si="25"/>
        <v>0</v>
      </c>
      <c r="V97" s="920"/>
      <c r="W97" s="472"/>
      <c r="X97" s="930"/>
      <c r="Y97" s="212"/>
      <c r="Z97" s="197"/>
    </row>
    <row r="98" spans="1:43" ht="15" customHeight="1">
      <c r="B98" s="442">
        <v>10</v>
      </c>
      <c r="C98" s="443"/>
      <c r="D98" s="443"/>
      <c r="E98" s="444"/>
      <c r="F98" s="445"/>
      <c r="G98" s="446"/>
      <c r="H98" s="331"/>
      <c r="I98" s="332"/>
      <c r="J98" s="936"/>
      <c r="K98" s="936"/>
      <c r="L98" s="333"/>
      <c r="M98" s="442">
        <v>10</v>
      </c>
      <c r="N98" s="689" t="s">
        <v>367</v>
      </c>
      <c r="O98" s="443"/>
      <c r="P98" s="444"/>
      <c r="Q98" s="445"/>
      <c r="R98" s="446"/>
      <c r="S98" s="467"/>
      <c r="T98" s="542" t="str">
        <f t="shared" ref="T98:T128" si="26">IF(W98&gt;1,EOMONTH(W98,-1),"")</f>
        <v/>
      </c>
      <c r="U98" s="557">
        <f t="shared" si="25"/>
        <v>0</v>
      </c>
      <c r="V98" s="920"/>
      <c r="W98" s="479"/>
      <c r="X98" s="930"/>
      <c r="Y98" s="223"/>
      <c r="Z98" s="208"/>
    </row>
    <row r="99" spans="1:43" ht="15" customHeight="1" thickBot="1">
      <c r="B99" s="335">
        <v>10</v>
      </c>
      <c r="C99" s="449"/>
      <c r="D99" s="449" t="s">
        <v>312</v>
      </c>
      <c r="E99" s="450"/>
      <c r="F99" s="451"/>
      <c r="G99" s="336">
        <v>29856.3</v>
      </c>
      <c r="H99" s="337">
        <f>H96</f>
        <v>45609</v>
      </c>
      <c r="I99" s="338"/>
      <c r="J99" s="937"/>
      <c r="K99" s="937"/>
      <c r="L99" s="339"/>
      <c r="M99" s="335">
        <v>10</v>
      </c>
      <c r="N99" s="690" t="s">
        <v>367</v>
      </c>
      <c r="O99" s="449"/>
      <c r="P99" s="450"/>
      <c r="Q99" s="451"/>
      <c r="R99" s="336"/>
      <c r="S99" s="539"/>
      <c r="T99" s="537" t="str">
        <f t="shared" si="26"/>
        <v/>
      </c>
      <c r="U99" s="558">
        <f t="shared" si="25"/>
        <v>0</v>
      </c>
      <c r="V99" s="921"/>
      <c r="W99" s="473"/>
      <c r="X99" s="931"/>
      <c r="Y99" s="213"/>
      <c r="Z99" s="198"/>
    </row>
    <row r="100" spans="1:43" ht="14.45" thickBot="1">
      <c r="A100" s="24"/>
      <c r="B100" s="340"/>
      <c r="C100" s="341"/>
      <c r="D100" s="341"/>
      <c r="E100" s="363"/>
      <c r="F100" s="344"/>
      <c r="G100" s="344"/>
      <c r="H100" s="345"/>
      <c r="I100" s="366"/>
      <c r="J100" s="346"/>
      <c r="K100" s="604"/>
      <c r="L100" s="24"/>
      <c r="M100" s="340"/>
      <c r="N100" s="341"/>
      <c r="O100" s="341"/>
      <c r="P100" s="363"/>
      <c r="Q100" s="344"/>
      <c r="R100" s="344"/>
      <c r="S100" s="547"/>
      <c r="T100" s="538" t="str">
        <f t="shared" si="26"/>
        <v/>
      </c>
      <c r="U100" s="513"/>
      <c r="V100" s="646"/>
      <c r="W100" s="474"/>
      <c r="X100" s="484"/>
      <c r="Y100" s="214"/>
      <c r="Z100" s="199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</row>
    <row r="101" spans="1:43" ht="14.25" customHeight="1">
      <c r="B101" s="347">
        <v>11</v>
      </c>
      <c r="C101" s="348" t="s">
        <v>369</v>
      </c>
      <c r="D101" s="488" t="s">
        <v>370</v>
      </c>
      <c r="E101" s="349"/>
      <c r="F101" s="452"/>
      <c r="G101" s="350">
        <v>11000</v>
      </c>
      <c r="H101" s="351">
        <f>'Project Plan'!E51</f>
        <v>45617</v>
      </c>
      <c r="I101" s="352"/>
      <c r="J101" s="941">
        <f>SUM(G101:G105)</f>
        <v>89000</v>
      </c>
      <c r="K101" s="941">
        <v>104705.8824</v>
      </c>
      <c r="L101" s="353"/>
      <c r="M101" s="347">
        <v>11</v>
      </c>
      <c r="N101" s="488" t="s">
        <v>371</v>
      </c>
      <c r="O101" s="348" t="s">
        <v>370</v>
      </c>
      <c r="P101" s="349"/>
      <c r="Q101" s="452"/>
      <c r="R101" s="350">
        <v>5654.76</v>
      </c>
      <c r="S101" s="540" t="s">
        <v>372</v>
      </c>
      <c r="T101" s="752">
        <v>45626</v>
      </c>
      <c r="U101" s="775">
        <v>48923.027511620938</v>
      </c>
      <c r="V101" s="957">
        <f>K101-SUM(U101:U105)</f>
        <v>-1.4126526803011075E-3</v>
      </c>
      <c r="W101" s="766">
        <v>45673</v>
      </c>
      <c r="X101" s="910">
        <f>SUM(R101:R105)</f>
        <v>14174.76</v>
      </c>
      <c r="Y101" s="215"/>
      <c r="Z101" s="200"/>
      <c r="AA101" s="24"/>
      <c r="AB101" s="24"/>
    </row>
    <row r="102" spans="1:43" ht="15" customHeight="1">
      <c r="B102" s="400">
        <v>11</v>
      </c>
      <c r="C102" s="402"/>
      <c r="D102" s="402" t="s">
        <v>373</v>
      </c>
      <c r="E102" s="403"/>
      <c r="F102" s="453"/>
      <c r="G102" s="404">
        <v>18000</v>
      </c>
      <c r="H102" s="356">
        <f>'Project Plan'!E19</f>
        <v>45560</v>
      </c>
      <c r="I102" s="357"/>
      <c r="J102" s="942"/>
      <c r="K102" s="942"/>
      <c r="L102" s="358"/>
      <c r="M102" s="400">
        <v>11</v>
      </c>
      <c r="N102" s="588" t="s">
        <v>371</v>
      </c>
      <c r="O102" s="402" t="s">
        <v>373</v>
      </c>
      <c r="P102" s="403"/>
      <c r="Q102" s="453"/>
      <c r="R102" s="404">
        <v>2520</v>
      </c>
      <c r="S102" s="548" t="s">
        <v>374</v>
      </c>
      <c r="T102" s="752">
        <v>45535</v>
      </c>
      <c r="U102" s="740">
        <v>11462.155675412685</v>
      </c>
      <c r="V102" s="958"/>
      <c r="W102" s="753">
        <v>45537</v>
      </c>
      <c r="X102" s="911"/>
      <c r="Y102" s="210"/>
      <c r="Z102" s="201"/>
    </row>
    <row r="103" spans="1:43" ht="15" customHeight="1">
      <c r="B103" s="400">
        <v>11</v>
      </c>
      <c r="C103" s="402"/>
      <c r="D103" s="402" t="s">
        <v>375</v>
      </c>
      <c r="E103" s="403"/>
      <c r="F103" s="453"/>
      <c r="G103" s="404">
        <v>60000</v>
      </c>
      <c r="H103" s="356">
        <f>H102+30</f>
        <v>45590</v>
      </c>
      <c r="I103" s="357"/>
      <c r="J103" s="942"/>
      <c r="K103" s="942"/>
      <c r="L103" s="358"/>
      <c r="M103" s="400">
        <v>11</v>
      </c>
      <c r="N103" s="588" t="s">
        <v>371</v>
      </c>
      <c r="O103" s="402"/>
      <c r="P103" s="403"/>
      <c r="Q103" s="453"/>
      <c r="R103" s="404"/>
      <c r="S103" s="466"/>
      <c r="T103" s="518" t="str">
        <f t="shared" si="26"/>
        <v/>
      </c>
      <c r="U103" s="526">
        <f>R103/$X$101*$K$101</f>
        <v>0</v>
      </c>
      <c r="V103" s="958"/>
      <c r="W103" s="476"/>
      <c r="X103" s="911"/>
      <c r="Y103" s="210"/>
      <c r="Z103" s="201"/>
    </row>
    <row r="104" spans="1:43" ht="14.25" customHeight="1">
      <c r="B104" s="400">
        <v>11</v>
      </c>
      <c r="C104" s="402"/>
      <c r="D104" s="402"/>
      <c r="E104" s="403"/>
      <c r="F104" s="453"/>
      <c r="G104" s="404"/>
      <c r="H104" s="356"/>
      <c r="I104" s="357"/>
      <c r="J104" s="942"/>
      <c r="K104" s="942"/>
      <c r="L104" s="358"/>
      <c r="M104" s="400">
        <v>11</v>
      </c>
      <c r="N104" s="588" t="s">
        <v>371</v>
      </c>
      <c r="O104" s="402"/>
      <c r="P104" s="403"/>
      <c r="Q104" s="453"/>
      <c r="R104" s="404"/>
      <c r="S104" s="466"/>
      <c r="T104" s="518" t="str">
        <f t="shared" si="26"/>
        <v/>
      </c>
      <c r="U104" s="526">
        <f>R104/$X$101*$K$101</f>
        <v>0</v>
      </c>
      <c r="V104" s="958"/>
      <c r="W104" s="476"/>
      <c r="X104" s="911"/>
      <c r="Y104" s="210"/>
      <c r="Z104" s="201"/>
      <c r="AA104" s="24"/>
      <c r="AB104" s="24"/>
    </row>
    <row r="105" spans="1:43" ht="15" customHeight="1" thickBot="1">
      <c r="B105" s="406">
        <v>11</v>
      </c>
      <c r="C105" s="407"/>
      <c r="D105" s="407"/>
      <c r="E105" s="408"/>
      <c r="F105" s="454"/>
      <c r="G105" s="427"/>
      <c r="H105" s="359"/>
      <c r="I105" s="360"/>
      <c r="J105" s="943"/>
      <c r="K105" s="943"/>
      <c r="L105" s="361"/>
      <c r="M105" s="406">
        <v>11</v>
      </c>
      <c r="N105" s="670" t="s">
        <v>371</v>
      </c>
      <c r="O105" s="407" t="s">
        <v>376</v>
      </c>
      <c r="P105" s="408"/>
      <c r="Q105" s="454"/>
      <c r="R105" s="427">
        <v>6000</v>
      </c>
      <c r="S105" s="837" t="s">
        <v>377</v>
      </c>
      <c r="T105" s="838">
        <v>45626</v>
      </c>
      <c r="U105" s="839">
        <f>R105/$X$101*$K$101</f>
        <v>44320.700625619058</v>
      </c>
      <c r="V105" s="959"/>
      <c r="W105" s="840">
        <v>45626</v>
      </c>
      <c r="X105" s="912"/>
      <c r="Y105" s="216"/>
      <c r="Z105" s="202"/>
    </row>
    <row r="106" spans="1:43" ht="15" customHeight="1" thickBot="1">
      <c r="A106" s="24"/>
      <c r="B106" s="362"/>
      <c r="C106" s="341"/>
      <c r="D106" s="341"/>
      <c r="E106" s="363"/>
      <c r="F106" s="344"/>
      <c r="G106" s="365"/>
      <c r="H106" s="345"/>
      <c r="I106" s="366"/>
      <c r="J106" s="346"/>
      <c r="K106" s="346"/>
      <c r="L106" s="24"/>
      <c r="M106" s="362"/>
      <c r="N106" s="341"/>
      <c r="O106" s="341"/>
      <c r="P106" s="363"/>
      <c r="Q106" s="344"/>
      <c r="R106" s="365"/>
      <c r="S106" s="547"/>
      <c r="T106" s="538" t="str">
        <f t="shared" si="26"/>
        <v/>
      </c>
      <c r="U106" s="513"/>
      <c r="V106" s="646"/>
      <c r="W106" s="474"/>
      <c r="X106" s="484"/>
      <c r="Y106" s="214"/>
      <c r="Z106" s="199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>
      <c r="B107" s="324">
        <v>12</v>
      </c>
      <c r="C107" s="325" t="s">
        <v>378</v>
      </c>
      <c r="D107" s="325" t="s">
        <v>379</v>
      </c>
      <c r="E107" s="326"/>
      <c r="F107" s="626"/>
      <c r="G107" s="440">
        <v>63011.44</v>
      </c>
      <c r="H107" s="328">
        <f>'Project Plan'!G50</f>
        <v>45636</v>
      </c>
      <c r="I107" s="932"/>
      <c r="J107" s="935">
        <f>SUM(G107:G109)</f>
        <v>63011.44</v>
      </c>
      <c r="K107" s="935">
        <v>0</v>
      </c>
      <c r="L107" s="938"/>
      <c r="M107" s="324">
        <v>12</v>
      </c>
      <c r="N107" s="325" t="s">
        <v>378</v>
      </c>
      <c r="O107" s="325" t="s">
        <v>379</v>
      </c>
      <c r="P107" s="326"/>
      <c r="Q107" s="626"/>
      <c r="R107" s="440">
        <v>31521.67</v>
      </c>
      <c r="S107" s="624" t="s">
        <v>380</v>
      </c>
      <c r="T107" s="751">
        <v>45535</v>
      </c>
      <c r="U107" s="627"/>
      <c r="V107" s="648"/>
      <c r="W107" s="754">
        <v>45537</v>
      </c>
      <c r="X107" s="916">
        <f>SUM(R107:R109)</f>
        <v>63043.34</v>
      </c>
      <c r="Y107" s="209"/>
      <c r="Z107" s="195"/>
    </row>
    <row r="108" spans="1:43">
      <c r="B108" s="742"/>
      <c r="C108" s="743"/>
      <c r="D108" s="743"/>
      <c r="E108" s="744"/>
      <c r="F108" s="745"/>
      <c r="G108" s="746"/>
      <c r="H108" s="747"/>
      <c r="I108" s="933"/>
      <c r="J108" s="936"/>
      <c r="K108" s="936"/>
      <c r="L108" s="939"/>
      <c r="M108" s="742">
        <v>12</v>
      </c>
      <c r="N108" s="743" t="s">
        <v>378</v>
      </c>
      <c r="O108" s="743" t="s">
        <v>379</v>
      </c>
      <c r="P108" s="744"/>
      <c r="Q108" s="745"/>
      <c r="R108" s="746">
        <v>31521.67</v>
      </c>
      <c r="S108" s="510" t="s">
        <v>381</v>
      </c>
      <c r="T108" s="830">
        <v>45626</v>
      </c>
      <c r="U108" s="748"/>
      <c r="V108" s="741"/>
      <c r="W108" s="847">
        <v>45638</v>
      </c>
      <c r="X108" s="917"/>
      <c r="Y108" s="749"/>
      <c r="Z108" s="750"/>
    </row>
    <row r="109" spans="1:43" ht="15" customHeight="1" thickBot="1">
      <c r="B109" s="335">
        <v>12</v>
      </c>
      <c r="C109" s="449" t="s">
        <v>378</v>
      </c>
      <c r="D109" s="449"/>
      <c r="E109" s="450"/>
      <c r="F109" s="633"/>
      <c r="G109" s="336"/>
      <c r="H109" s="337"/>
      <c r="I109" s="934"/>
      <c r="J109" s="937"/>
      <c r="K109" s="937"/>
      <c r="L109" s="940"/>
      <c r="M109" s="335">
        <v>12</v>
      </c>
      <c r="N109" s="449" t="s">
        <v>378</v>
      </c>
      <c r="O109" s="449"/>
      <c r="P109" s="450"/>
      <c r="Q109" s="633"/>
      <c r="R109" s="336"/>
      <c r="S109" s="510"/>
      <c r="T109" s="542" t="str">
        <f t="shared" si="26"/>
        <v/>
      </c>
      <c r="U109" s="642"/>
      <c r="V109" s="649"/>
      <c r="W109" s="473"/>
      <c r="X109" s="918"/>
      <c r="Y109" s="643"/>
      <c r="Z109" s="198"/>
    </row>
    <row r="110" spans="1:43" ht="14.45" thickBot="1">
      <c r="A110" s="24"/>
      <c r="B110" s="362"/>
      <c r="C110" s="341"/>
      <c r="D110" s="341"/>
      <c r="E110" s="363"/>
      <c r="F110" s="396"/>
      <c r="G110" s="365"/>
      <c r="H110" s="345"/>
      <c r="I110" s="366"/>
      <c r="J110" s="420"/>
      <c r="K110" s="420"/>
      <c r="L110" s="24"/>
      <c r="M110" s="362"/>
      <c r="N110" s="341"/>
      <c r="O110" s="341"/>
      <c r="P110" s="363"/>
      <c r="Q110" s="396"/>
      <c r="R110" s="365"/>
      <c r="S110" s="547"/>
      <c r="T110" s="538" t="str">
        <f t="shared" si="26"/>
        <v/>
      </c>
      <c r="U110" s="513"/>
      <c r="V110" s="646"/>
      <c r="W110" s="474"/>
      <c r="X110" s="485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</row>
    <row r="111" spans="1:43" ht="15.75" customHeight="1">
      <c r="B111" s="347">
        <v>13</v>
      </c>
      <c r="C111" s="348" t="s">
        <v>382</v>
      </c>
      <c r="D111" s="488" t="s">
        <v>383</v>
      </c>
      <c r="E111" s="349"/>
      <c r="F111" s="452"/>
      <c r="G111" s="350">
        <v>23431.68</v>
      </c>
      <c r="H111" s="351">
        <f>'Project Plan'!G51+31</f>
        <v>45649</v>
      </c>
      <c r="I111" s="944"/>
      <c r="J111" s="941">
        <f>SUM(G111:G117)</f>
        <v>163448.56</v>
      </c>
      <c r="K111" s="941">
        <v>185736.99650000001</v>
      </c>
      <c r="L111" s="353"/>
      <c r="M111" s="347">
        <v>13</v>
      </c>
      <c r="N111" s="488" t="s">
        <v>384</v>
      </c>
      <c r="O111" s="488" t="s">
        <v>383</v>
      </c>
      <c r="P111" s="349"/>
      <c r="Q111" s="350"/>
      <c r="R111" s="350">
        <f>'Project Plan'!E6*1.25%</f>
        <v>30778.237542348252</v>
      </c>
      <c r="S111" s="540" t="s">
        <v>385</v>
      </c>
      <c r="T111" s="752">
        <v>45626</v>
      </c>
      <c r="U111" s="841">
        <v>185736.99650000001</v>
      </c>
      <c r="V111" s="913">
        <f>K111-SUM(U111:U117)</f>
        <v>0</v>
      </c>
      <c r="W111" s="351">
        <v>45626</v>
      </c>
      <c r="X111" s="910">
        <f>SUM(R111:R117)</f>
        <v>62399.999999999993</v>
      </c>
      <c r="Y111" s="215"/>
      <c r="Z111" s="200"/>
    </row>
    <row r="112" spans="1:43" ht="15.75" customHeight="1" thickBot="1">
      <c r="B112" s="400">
        <v>13</v>
      </c>
      <c r="C112" s="402"/>
      <c r="D112" s="402" t="s">
        <v>386</v>
      </c>
      <c r="E112" s="403"/>
      <c r="F112" s="453"/>
      <c r="G112" s="404">
        <v>19200</v>
      </c>
      <c r="H112" s="356">
        <f>H111</f>
        <v>45649</v>
      </c>
      <c r="I112" s="945"/>
      <c r="J112" s="942"/>
      <c r="K112" s="942"/>
      <c r="L112" s="358"/>
      <c r="M112" s="400">
        <v>13</v>
      </c>
      <c r="N112" s="588" t="s">
        <v>384</v>
      </c>
      <c r="O112" s="402" t="s">
        <v>387</v>
      </c>
      <c r="P112" s="403"/>
      <c r="Q112" s="404"/>
      <c r="R112" s="404">
        <v>62400</v>
      </c>
      <c r="S112" s="548" t="s">
        <v>388</v>
      </c>
      <c r="T112" s="752">
        <v>45900</v>
      </c>
      <c r="U112" s="526"/>
      <c r="V112" s="914"/>
      <c r="W112" s="738">
        <v>45900</v>
      </c>
      <c r="X112" s="911"/>
      <c r="Y112" s="210"/>
      <c r="Z112" s="201"/>
    </row>
    <row r="113" spans="1:43" ht="15.75" customHeight="1">
      <c r="B113" s="400">
        <v>13</v>
      </c>
      <c r="C113" s="402"/>
      <c r="D113" s="402" t="s">
        <v>389</v>
      </c>
      <c r="E113" s="403"/>
      <c r="F113" s="453"/>
      <c r="G113" s="404">
        <v>65280</v>
      </c>
      <c r="H113" s="356">
        <f>H111</f>
        <v>45649</v>
      </c>
      <c r="I113" s="945"/>
      <c r="J113" s="942"/>
      <c r="K113" s="942"/>
      <c r="L113" s="358"/>
      <c r="M113" s="400">
        <v>13</v>
      </c>
      <c r="N113" s="588" t="s">
        <v>384</v>
      </c>
      <c r="O113" s="488" t="s">
        <v>383</v>
      </c>
      <c r="P113" s="403"/>
      <c r="Q113" s="404"/>
      <c r="R113" s="404">
        <f>-R111</f>
        <v>-30778.237542348252</v>
      </c>
      <c r="S113" s="548" t="s">
        <v>390</v>
      </c>
      <c r="T113" s="752">
        <v>45900</v>
      </c>
      <c r="U113" s="526"/>
      <c r="V113" s="914"/>
      <c r="W113" s="738">
        <v>45900</v>
      </c>
      <c r="X113" s="911"/>
      <c r="Y113" s="210"/>
      <c r="Z113" s="201"/>
      <c r="AA113" s="24"/>
      <c r="AB113" s="24"/>
    </row>
    <row r="114" spans="1:43" ht="15.75" customHeight="1">
      <c r="B114" s="400">
        <v>13</v>
      </c>
      <c r="C114" s="402"/>
      <c r="D114" s="402" t="s">
        <v>391</v>
      </c>
      <c r="E114" s="403"/>
      <c r="F114" s="453"/>
      <c r="G114" s="404">
        <v>24960</v>
      </c>
      <c r="H114" s="356">
        <f>H111</f>
        <v>45649</v>
      </c>
      <c r="I114" s="945"/>
      <c r="J114" s="942"/>
      <c r="K114" s="942"/>
      <c r="L114" s="358"/>
      <c r="M114" s="400">
        <v>13</v>
      </c>
      <c r="N114" s="588" t="s">
        <v>384</v>
      </c>
      <c r="O114" s="402"/>
      <c r="P114" s="403"/>
      <c r="Q114" s="404"/>
      <c r="R114" s="404"/>
      <c r="S114" s="541"/>
      <c r="T114" s="518"/>
      <c r="U114" s="526"/>
      <c r="V114" s="914"/>
      <c r="W114" s="516"/>
      <c r="X114" s="911"/>
      <c r="Y114" s="501"/>
      <c r="Z114" s="502"/>
    </row>
    <row r="115" spans="1:43" ht="15.75" customHeight="1">
      <c r="B115" s="400">
        <v>13</v>
      </c>
      <c r="C115" s="402"/>
      <c r="D115" s="402" t="s">
        <v>392</v>
      </c>
      <c r="E115" s="403"/>
      <c r="F115" s="453"/>
      <c r="G115" s="404">
        <v>30576.880000000001</v>
      </c>
      <c r="H115" s="356">
        <f>H111</f>
        <v>45649</v>
      </c>
      <c r="I115" s="945"/>
      <c r="J115" s="942"/>
      <c r="K115" s="942"/>
      <c r="L115" s="358"/>
      <c r="M115" s="400">
        <v>13</v>
      </c>
      <c r="N115" s="588" t="s">
        <v>384</v>
      </c>
      <c r="O115" s="402"/>
      <c r="P115" s="403"/>
      <c r="Q115" s="404"/>
      <c r="R115" s="404"/>
      <c r="S115" s="541"/>
      <c r="T115" s="518"/>
      <c r="U115" s="526"/>
      <c r="V115" s="914"/>
      <c r="W115" s="516"/>
      <c r="X115" s="911"/>
      <c r="Y115" s="501"/>
      <c r="Z115" s="502"/>
    </row>
    <row r="116" spans="1:43" ht="15.75" customHeight="1">
      <c r="B116" s="400">
        <v>13</v>
      </c>
      <c r="C116" s="583"/>
      <c r="D116" s="583"/>
      <c r="E116" s="613"/>
      <c r="F116" s="584"/>
      <c r="G116" s="579"/>
      <c r="H116" s="580"/>
      <c r="I116" s="945"/>
      <c r="J116" s="942"/>
      <c r="K116" s="942"/>
      <c r="L116" s="358"/>
      <c r="M116" s="400">
        <v>13</v>
      </c>
      <c r="N116" s="588" t="s">
        <v>384</v>
      </c>
      <c r="O116" s="583"/>
      <c r="P116" s="613"/>
      <c r="Q116" s="718"/>
      <c r="R116" s="579"/>
      <c r="S116" s="541"/>
      <c r="T116" s="516" t="str">
        <f t="shared" si="26"/>
        <v/>
      </c>
      <c r="U116" s="526"/>
      <c r="V116" s="914"/>
      <c r="W116" s="516"/>
      <c r="X116" s="911"/>
      <c r="Y116" s="501"/>
      <c r="Z116" s="502"/>
    </row>
    <row r="117" spans="1:43" ht="15.75" customHeight="1" thickBot="1">
      <c r="B117" s="406">
        <v>13</v>
      </c>
      <c r="C117" s="407"/>
      <c r="D117" s="407"/>
      <c r="E117" s="408"/>
      <c r="F117" s="454"/>
      <c r="G117" s="427"/>
      <c r="H117" s="359"/>
      <c r="I117" s="946"/>
      <c r="J117" s="943"/>
      <c r="K117" s="943"/>
      <c r="L117" s="503"/>
      <c r="M117" s="406">
        <v>13</v>
      </c>
      <c r="N117" s="670" t="s">
        <v>384</v>
      </c>
      <c r="O117" s="407"/>
      <c r="P117" s="408"/>
      <c r="Q117" s="454"/>
      <c r="R117" s="427"/>
      <c r="S117" s="541"/>
      <c r="T117" s="521" t="str">
        <f t="shared" si="26"/>
        <v/>
      </c>
      <c r="U117" s="527"/>
      <c r="V117" s="915"/>
      <c r="W117" s="477"/>
      <c r="X117" s="947"/>
      <c r="Y117" s="216"/>
      <c r="Z117" s="202"/>
    </row>
    <row r="118" spans="1:43" ht="14.45" thickBot="1">
      <c r="A118" s="24"/>
      <c r="B118" s="362"/>
      <c r="C118" s="341"/>
      <c r="D118" s="341"/>
      <c r="E118" s="363"/>
      <c r="F118" s="344"/>
      <c r="G118" s="365"/>
      <c r="H118" s="345"/>
      <c r="I118" s="366"/>
      <c r="J118" s="346"/>
      <c r="K118" s="346"/>
      <c r="L118" s="24"/>
      <c r="M118" s="362"/>
      <c r="N118" s="341"/>
      <c r="O118" s="341"/>
      <c r="P118" s="363"/>
      <c r="Q118" s="344"/>
      <c r="R118" s="365"/>
      <c r="S118" s="547"/>
      <c r="T118" s="538" t="str">
        <f t="shared" si="26"/>
        <v/>
      </c>
      <c r="U118" s="513"/>
      <c r="V118" s="646"/>
      <c r="W118" s="474"/>
      <c r="X118" s="485"/>
      <c r="Y118" s="214"/>
      <c r="Z118" s="199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4.25" customHeight="1">
      <c r="B119" s="324">
        <v>14</v>
      </c>
      <c r="C119" s="325" t="s">
        <v>393</v>
      </c>
      <c r="D119" s="325" t="s">
        <v>394</v>
      </c>
      <c r="E119" s="326"/>
      <c r="F119" s="439"/>
      <c r="G119" s="440">
        <v>4200</v>
      </c>
      <c r="H119" s="328">
        <f>H111</f>
        <v>45649</v>
      </c>
      <c r="I119" s="329"/>
      <c r="J119" s="935">
        <f>SUM(G119:G126)</f>
        <v>4200</v>
      </c>
      <c r="K119" s="935">
        <v>4941.1764709999998</v>
      </c>
      <c r="L119" s="441"/>
      <c r="M119" s="324">
        <v>14</v>
      </c>
      <c r="N119" s="688" t="s">
        <v>395</v>
      </c>
      <c r="O119" s="325" t="s">
        <v>394</v>
      </c>
      <c r="P119" s="326"/>
      <c r="Q119" s="439"/>
      <c r="R119" s="440">
        <v>1522.75</v>
      </c>
      <c r="S119" s="826" t="s">
        <v>396</v>
      </c>
      <c r="T119" s="774">
        <v>45535</v>
      </c>
      <c r="U119" s="776">
        <v>1000.1896209783999</v>
      </c>
      <c r="V119" s="919">
        <f>K119-SUM(U119:U126)-40.89</f>
        <v>-4.7920607236306978E-3</v>
      </c>
      <c r="W119" s="773">
        <v>45540</v>
      </c>
      <c r="X119" s="929">
        <f>SUM(R119:R126)</f>
        <v>7385.6400000000012</v>
      </c>
      <c r="Y119" s="209"/>
      <c r="Z119" s="195"/>
    </row>
    <row r="120" spans="1:43" ht="15" customHeight="1">
      <c r="B120" s="330">
        <v>14</v>
      </c>
      <c r="C120" s="334"/>
      <c r="D120" s="334"/>
      <c r="E120" s="447"/>
      <c r="F120" s="448"/>
      <c r="G120" s="327"/>
      <c r="H120" s="331"/>
      <c r="I120" s="332"/>
      <c r="J120" s="936"/>
      <c r="K120" s="936"/>
      <c r="L120" s="333"/>
      <c r="M120" s="330">
        <v>14</v>
      </c>
      <c r="N120" s="689" t="s">
        <v>395</v>
      </c>
      <c r="O120" s="334"/>
      <c r="P120" s="447"/>
      <c r="Q120" s="448"/>
      <c r="R120" s="327">
        <v>1570.97</v>
      </c>
      <c r="S120" s="771" t="s">
        <v>396</v>
      </c>
      <c r="T120" s="804">
        <v>45565</v>
      </c>
      <c r="U120" s="812">
        <v>1154.7592974415215</v>
      </c>
      <c r="V120" s="920"/>
      <c r="W120" s="804">
        <v>45569</v>
      </c>
      <c r="X120" s="930"/>
      <c r="Y120" s="212"/>
      <c r="Z120" s="197"/>
      <c r="AA120" s="24"/>
      <c r="AB120" s="24"/>
    </row>
    <row r="121" spans="1:43" ht="15" customHeight="1">
      <c r="B121" s="330">
        <v>14</v>
      </c>
      <c r="C121" s="334"/>
      <c r="D121" s="334"/>
      <c r="E121" s="447"/>
      <c r="F121" s="448"/>
      <c r="G121" s="327"/>
      <c r="H121" s="331"/>
      <c r="I121" s="332"/>
      <c r="J121" s="936"/>
      <c r="K121" s="936"/>
      <c r="L121" s="333"/>
      <c r="M121" s="330">
        <v>14</v>
      </c>
      <c r="N121" s="689" t="s">
        <v>395</v>
      </c>
      <c r="O121" s="334"/>
      <c r="P121" s="447"/>
      <c r="Q121" s="448"/>
      <c r="R121" s="327">
        <v>1671</v>
      </c>
      <c r="S121" s="771" t="s">
        <v>396</v>
      </c>
      <c r="T121" s="804">
        <v>45596</v>
      </c>
      <c r="U121" s="812">
        <v>1393.1129142396371</v>
      </c>
      <c r="V121" s="920"/>
      <c r="W121" s="763">
        <f>T121+7</f>
        <v>45603</v>
      </c>
      <c r="X121" s="930"/>
      <c r="Y121" s="212"/>
      <c r="Z121" s="197"/>
    </row>
    <row r="122" spans="1:43" ht="15" customHeight="1">
      <c r="B122" s="330">
        <v>14</v>
      </c>
      <c r="C122" s="334"/>
      <c r="D122" s="334"/>
      <c r="E122" s="447"/>
      <c r="F122" s="448"/>
      <c r="G122" s="327"/>
      <c r="H122" s="331"/>
      <c r="I122" s="332"/>
      <c r="J122" s="936"/>
      <c r="K122" s="936"/>
      <c r="L122" s="333"/>
      <c r="M122" s="330">
        <v>14</v>
      </c>
      <c r="N122" s="689" t="s">
        <v>395</v>
      </c>
      <c r="O122" s="334"/>
      <c r="P122" s="447"/>
      <c r="Q122" s="448"/>
      <c r="R122" s="327">
        <v>0</v>
      </c>
      <c r="S122" s="771" t="s">
        <v>396</v>
      </c>
      <c r="T122" s="804">
        <v>45626</v>
      </c>
      <c r="U122" s="812">
        <v>0</v>
      </c>
      <c r="V122" s="920"/>
      <c r="W122" s="763">
        <f>T122+7</f>
        <v>45633</v>
      </c>
      <c r="X122" s="930"/>
      <c r="Y122" s="212"/>
      <c r="Z122" s="197"/>
    </row>
    <row r="123" spans="1:43" ht="15" customHeight="1">
      <c r="B123" s="330">
        <v>14</v>
      </c>
      <c r="C123" s="614"/>
      <c r="D123" s="614"/>
      <c r="E123" s="615"/>
      <c r="F123" s="616"/>
      <c r="G123" s="617"/>
      <c r="H123" s="618"/>
      <c r="I123" s="332"/>
      <c r="J123" s="936"/>
      <c r="K123" s="936"/>
      <c r="L123" s="333"/>
      <c r="M123" s="330">
        <v>14</v>
      </c>
      <c r="N123" s="689" t="s">
        <v>395</v>
      </c>
      <c r="O123" s="614"/>
      <c r="P123" s="615"/>
      <c r="Q123" s="616"/>
      <c r="R123" s="327">
        <v>1109.72</v>
      </c>
      <c r="S123" s="771" t="s">
        <v>396</v>
      </c>
      <c r="T123" s="804">
        <v>45688</v>
      </c>
      <c r="U123" s="812">
        <v>654.7688386803319</v>
      </c>
      <c r="V123" s="920"/>
      <c r="W123" s="804">
        <v>45695</v>
      </c>
      <c r="X123" s="930"/>
      <c r="Y123" s="619"/>
      <c r="Z123" s="620"/>
    </row>
    <row r="124" spans="1:43" ht="15" customHeight="1">
      <c r="B124" s="855"/>
      <c r="C124" s="614"/>
      <c r="D124" s="614"/>
      <c r="E124" s="615"/>
      <c r="F124" s="616"/>
      <c r="G124" s="617"/>
      <c r="H124" s="618"/>
      <c r="I124" s="332"/>
      <c r="J124" s="936"/>
      <c r="K124" s="936"/>
      <c r="L124" s="333"/>
      <c r="M124" s="330">
        <v>14</v>
      </c>
      <c r="N124" s="689" t="s">
        <v>395</v>
      </c>
      <c r="O124" s="614"/>
      <c r="P124" s="615"/>
      <c r="Q124" s="616"/>
      <c r="R124" s="617">
        <v>423.22</v>
      </c>
      <c r="S124" s="771" t="s">
        <v>396</v>
      </c>
      <c r="T124" s="856">
        <v>45716</v>
      </c>
      <c r="U124" s="812">
        <v>697.46059172083278</v>
      </c>
      <c r="V124" s="920"/>
      <c r="W124" s="804">
        <v>45722</v>
      </c>
      <c r="X124" s="930"/>
      <c r="Y124" s="619"/>
      <c r="Z124" s="620"/>
    </row>
    <row r="125" spans="1:43" ht="15" customHeight="1">
      <c r="B125" s="855"/>
      <c r="C125" s="614"/>
      <c r="D125" s="614"/>
      <c r="E125" s="615"/>
      <c r="F125" s="616"/>
      <c r="G125" s="617"/>
      <c r="H125" s="618"/>
      <c r="I125" s="332"/>
      <c r="J125" s="936"/>
      <c r="K125" s="936"/>
      <c r="L125" s="333"/>
      <c r="M125" s="330">
        <v>14</v>
      </c>
      <c r="N125" s="689" t="s">
        <v>395</v>
      </c>
      <c r="O125" s="614"/>
      <c r="P125" s="615"/>
      <c r="Q125" s="616"/>
      <c r="R125" s="617">
        <v>1087.98</v>
      </c>
      <c r="S125" s="771" t="s">
        <v>396</v>
      </c>
      <c r="T125" s="856">
        <v>45777</v>
      </c>
      <c r="U125" s="861"/>
      <c r="V125" s="920"/>
      <c r="W125" s="862">
        <v>45785</v>
      </c>
      <c r="X125" s="930"/>
      <c r="Y125" s="619"/>
      <c r="Z125" s="620"/>
    </row>
    <row r="126" spans="1:43" ht="15" customHeight="1" thickBot="1">
      <c r="B126" s="335">
        <v>14</v>
      </c>
      <c r="C126" s="449"/>
      <c r="D126" s="449"/>
      <c r="E126" s="450"/>
      <c r="F126" s="451"/>
      <c r="G126" s="336"/>
      <c r="H126" s="337"/>
      <c r="I126" s="338"/>
      <c r="J126" s="937"/>
      <c r="K126" s="937"/>
      <c r="L126" s="339"/>
      <c r="M126" s="335">
        <v>14</v>
      </c>
      <c r="N126" s="690" t="s">
        <v>395</v>
      </c>
      <c r="O126" s="449"/>
      <c r="P126" s="450"/>
      <c r="Q126" s="451"/>
      <c r="R126" s="336"/>
      <c r="S126" s="539"/>
      <c r="T126" s="537" t="str">
        <f t="shared" si="26"/>
        <v/>
      </c>
      <c r="U126" s="524"/>
      <c r="V126" s="921"/>
      <c r="W126" s="473"/>
      <c r="X126" s="931"/>
      <c r="Y126" s="213"/>
      <c r="Z126" s="198"/>
    </row>
    <row r="127" spans="1:43" ht="14.45" thickBot="1">
      <c r="A127" s="24"/>
      <c r="B127" s="362"/>
      <c r="C127" s="341"/>
      <c r="D127" s="341"/>
      <c r="E127" s="363"/>
      <c r="F127" s="344"/>
      <c r="G127" s="365"/>
      <c r="H127" s="345"/>
      <c r="I127" s="366"/>
      <c r="J127" s="455"/>
      <c r="K127" s="455"/>
      <c r="L127" s="24"/>
      <c r="M127" s="362"/>
      <c r="N127" s="341"/>
      <c r="O127" s="341"/>
      <c r="P127" s="363"/>
      <c r="Q127" s="344"/>
      <c r="R127" s="365"/>
      <c r="S127" s="547"/>
      <c r="T127" s="538" t="str">
        <f t="shared" si="26"/>
        <v/>
      </c>
      <c r="U127" s="513"/>
      <c r="V127" s="646"/>
      <c r="W127" s="474"/>
      <c r="X127" s="486"/>
      <c r="Y127" s="214"/>
      <c r="Z127" s="199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</row>
    <row r="128" spans="1:43">
      <c r="B128" s="347">
        <v>15</v>
      </c>
      <c r="C128" s="348" t="s">
        <v>397</v>
      </c>
      <c r="D128" s="348"/>
      <c r="E128" s="349"/>
      <c r="F128" s="452"/>
      <c r="G128" s="350"/>
      <c r="H128" s="351"/>
      <c r="I128" s="352"/>
      <c r="J128" s="941">
        <f>SUM(G128:G131)</f>
        <v>0</v>
      </c>
      <c r="K128" s="941">
        <v>0</v>
      </c>
      <c r="L128" s="353"/>
      <c r="M128" s="347">
        <v>15</v>
      </c>
      <c r="N128" s="488" t="s">
        <v>398</v>
      </c>
      <c r="O128" s="348"/>
      <c r="P128" s="349"/>
      <c r="Q128" s="452"/>
      <c r="R128" s="350"/>
      <c r="S128" s="554"/>
      <c r="T128" s="518" t="str">
        <f t="shared" si="26"/>
        <v/>
      </c>
      <c r="U128" s="525"/>
      <c r="V128" s="913">
        <f>K128-SUM(U128:U131)</f>
        <v>0</v>
      </c>
      <c r="W128" s="475"/>
      <c r="X128" s="910">
        <f>SUM(R128:R131)</f>
        <v>32247.489999999998</v>
      </c>
      <c r="Y128" s="215"/>
      <c r="Z128" s="200"/>
    </row>
    <row r="129" spans="2:26">
      <c r="B129" s="400">
        <v>15</v>
      </c>
      <c r="C129" s="402"/>
      <c r="D129" s="402"/>
      <c r="E129" s="403"/>
      <c r="F129" s="453"/>
      <c r="G129" s="404"/>
      <c r="H129" s="356"/>
      <c r="I129" s="357"/>
      <c r="J129" s="942"/>
      <c r="K129" s="942"/>
      <c r="L129" s="358"/>
      <c r="M129" s="400">
        <v>15</v>
      </c>
      <c r="N129" s="588" t="s">
        <v>398</v>
      </c>
      <c r="O129" s="402" t="s">
        <v>399</v>
      </c>
      <c r="P129" s="403"/>
      <c r="Q129" s="453"/>
      <c r="R129" s="404">
        <v>32247.49</v>
      </c>
      <c r="S129" s="548" t="s">
        <v>400</v>
      </c>
      <c r="T129" s="738">
        <v>45808</v>
      </c>
      <c r="U129" s="559"/>
      <c r="V129" s="914"/>
      <c r="W129" s="753">
        <v>45792</v>
      </c>
      <c r="X129" s="911"/>
      <c r="Y129" s="210" t="s">
        <v>401</v>
      </c>
      <c r="Z129" s="201" t="s">
        <v>402</v>
      </c>
    </row>
    <row r="130" spans="2:26" ht="15">
      <c r="B130" s="400">
        <v>15</v>
      </c>
      <c r="C130" s="402"/>
      <c r="D130" s="402"/>
      <c r="E130" s="403"/>
      <c r="F130" s="453"/>
      <c r="G130" s="404"/>
      <c r="H130" s="356"/>
      <c r="I130" s="357"/>
      <c r="J130" s="942"/>
      <c r="K130" s="942"/>
      <c r="L130" s="358"/>
      <c r="M130" s="400">
        <v>15</v>
      </c>
      <c r="N130" s="588" t="s">
        <v>398</v>
      </c>
      <c r="O130" s="402" t="s">
        <v>403</v>
      </c>
      <c r="P130" s="403"/>
      <c r="Q130" s="453"/>
      <c r="R130" s="404">
        <v>9731.7099999999991</v>
      </c>
      <c r="S130" s="548" t="s">
        <v>404</v>
      </c>
      <c r="T130" s="738">
        <v>45869</v>
      </c>
      <c r="U130" s="559"/>
      <c r="V130" s="914"/>
      <c r="W130" s="828">
        <v>46053</v>
      </c>
      <c r="X130" s="911"/>
      <c r="Y130" s="210"/>
      <c r="Z130" s="201" t="s">
        <v>405</v>
      </c>
    </row>
    <row r="131" spans="2:26" ht="15">
      <c r="B131" s="406">
        <v>15</v>
      </c>
      <c r="C131" s="407"/>
      <c r="D131" s="407"/>
      <c r="E131" s="408"/>
      <c r="F131" s="454"/>
      <c r="G131" s="427"/>
      <c r="H131" s="359"/>
      <c r="I131" s="360"/>
      <c r="J131" s="943"/>
      <c r="K131" s="943"/>
      <c r="L131" s="361"/>
      <c r="M131" s="406">
        <v>15</v>
      </c>
      <c r="N131" s="670" t="s">
        <v>398</v>
      </c>
      <c r="O131" s="407"/>
      <c r="P131" s="408"/>
      <c r="Q131" s="454"/>
      <c r="R131" s="427">
        <v>-9731.7099999999991</v>
      </c>
      <c r="S131" s="548" t="s">
        <v>406</v>
      </c>
      <c r="T131" s="865">
        <v>46053</v>
      </c>
      <c r="U131" s="560"/>
      <c r="V131" s="915"/>
      <c r="W131" s="840">
        <v>46053</v>
      </c>
      <c r="X131" s="912"/>
      <c r="Y131" s="216"/>
      <c r="Z131" s="202"/>
    </row>
    <row r="132" spans="2:26" s="3" customFormat="1" ht="15">
      <c r="B132" s="109"/>
      <c r="E132" s="4"/>
      <c r="F132" s="109"/>
      <c r="G132" s="5"/>
      <c r="H132" s="5"/>
      <c r="I132" s="456"/>
      <c r="J132" s="457"/>
      <c r="K132" s="457"/>
      <c r="M132" s="109"/>
      <c r="P132" s="4"/>
      <c r="Q132" s="109"/>
      <c r="R132" s="458"/>
      <c r="S132" s="458"/>
      <c r="T132" s="458"/>
      <c r="U132" s="458"/>
      <c r="V132" s="458"/>
      <c r="W132" s="458"/>
      <c r="X132" s="458"/>
      <c r="Y132" s="458"/>
    </row>
    <row r="133" spans="2:26">
      <c r="B133" s="114"/>
      <c r="C133" s="114"/>
      <c r="D133" s="114"/>
      <c r="E133" s="168"/>
      <c r="F133" s="115"/>
      <c r="G133" s="114"/>
      <c r="H133" s="114"/>
      <c r="J133" s="114"/>
      <c r="K133" s="114"/>
      <c r="M133" s="114"/>
      <c r="N133" s="114"/>
      <c r="O133" s="114"/>
      <c r="P133" s="114"/>
      <c r="Q133" s="114"/>
      <c r="R133" s="306"/>
      <c r="S133" s="306"/>
      <c r="T133" s="306"/>
      <c r="U133" s="509">
        <f>SUM(U6:U126)</f>
        <v>2506183.2470451477</v>
      </c>
      <c r="V133" s="306"/>
      <c r="W133" s="306"/>
      <c r="X133" s="306"/>
      <c r="Y133" s="114"/>
    </row>
    <row r="134" spans="2:26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6">
      <c r="B135" s="114"/>
      <c r="C135" s="114"/>
      <c r="D135" s="114"/>
      <c r="E135" s="168"/>
      <c r="F135" s="115"/>
      <c r="G135" s="114"/>
      <c r="H135" s="114"/>
      <c r="J135" s="459"/>
      <c r="K135" s="459"/>
      <c r="M135" s="114"/>
      <c r="N135" s="114"/>
      <c r="O135" s="114"/>
      <c r="P135" s="168"/>
      <c r="Q135" s="115"/>
      <c r="R135" s="868"/>
      <c r="S135" s="306"/>
      <c r="T135" s="306"/>
      <c r="U135" s="306"/>
      <c r="V135" s="306"/>
      <c r="W135" s="306"/>
      <c r="X135" s="306"/>
      <c r="Y135" s="169"/>
    </row>
    <row r="136" spans="2:26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6">
      <c r="B137" s="114"/>
      <c r="C137" s="114"/>
      <c r="D137" s="114"/>
      <c r="E137" s="168"/>
      <c r="F137" s="115"/>
      <c r="G137" s="114"/>
      <c r="H137" s="114"/>
      <c r="J137" s="459"/>
      <c r="K137" s="459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6">
      <c r="B138" s="114"/>
      <c r="C138" s="114"/>
      <c r="D138" s="114"/>
      <c r="E138" s="168"/>
      <c r="F138" s="115"/>
      <c r="G138" s="114"/>
      <c r="H138" s="114"/>
      <c r="J138" s="305"/>
      <c r="K138" s="305"/>
      <c r="M138" s="114"/>
      <c r="N138" s="114"/>
      <c r="O138" s="114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6">
      <c r="B139" s="114"/>
      <c r="C139" s="114"/>
      <c r="D139" s="114"/>
      <c r="E139" s="168"/>
      <c r="F139" s="115"/>
      <c r="G139" s="114"/>
      <c r="H139" s="114"/>
      <c r="J139" s="305"/>
      <c r="K139" s="305"/>
      <c r="M139" s="114"/>
      <c r="N139" s="114"/>
      <c r="O139" s="114"/>
      <c r="P139" s="168"/>
      <c r="Q139" s="115"/>
      <c r="R139" s="509"/>
      <c r="S139" s="306"/>
      <c r="T139" s="306"/>
      <c r="U139" s="306"/>
      <c r="V139" s="306"/>
      <c r="W139" s="306"/>
      <c r="X139" s="306"/>
      <c r="Y139" s="169"/>
    </row>
    <row r="140" spans="2:26">
      <c r="B140" s="114"/>
      <c r="C140" s="114"/>
      <c r="D140" s="114"/>
      <c r="E140" s="168"/>
      <c r="F140" s="115"/>
      <c r="G140" s="114"/>
      <c r="H140" s="114"/>
      <c r="J140" s="305"/>
      <c r="K140" s="305"/>
      <c r="M140" s="114"/>
      <c r="N140" s="114"/>
      <c r="O140" s="114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6">
      <c r="B141" s="114"/>
      <c r="C141" s="114"/>
      <c r="D141" s="114"/>
      <c r="E141" s="168"/>
      <c r="F141" s="115"/>
      <c r="G141" s="114"/>
      <c r="H141" s="114"/>
      <c r="J141" s="305"/>
      <c r="K141" s="305"/>
      <c r="M141" s="114"/>
      <c r="N141" s="114"/>
      <c r="O141" s="114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6">
      <c r="B142" s="114"/>
      <c r="C142" s="114"/>
      <c r="D142" s="114"/>
      <c r="E142" s="168"/>
      <c r="F142" s="115"/>
      <c r="G142" s="114"/>
      <c r="H142" s="114"/>
      <c r="J142" s="305"/>
      <c r="K142" s="305"/>
      <c r="M142" s="114"/>
      <c r="N142" s="114"/>
      <c r="O142" s="114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6">
      <c r="B143" s="114"/>
      <c r="C143" s="114"/>
      <c r="D143" s="114"/>
      <c r="E143" s="168"/>
      <c r="F143" s="115"/>
      <c r="G143" s="114"/>
      <c r="H143" s="114"/>
      <c r="J143" s="305"/>
      <c r="K143" s="305"/>
      <c r="M143" s="114"/>
      <c r="N143" s="114"/>
      <c r="O143" s="114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6">
      <c r="B144" s="114"/>
      <c r="C144" s="114"/>
      <c r="D144" s="114"/>
      <c r="E144" s="168"/>
      <c r="F144" s="115"/>
      <c r="G144" s="114"/>
      <c r="H144" s="114"/>
      <c r="J144" s="305"/>
      <c r="K144" s="305"/>
      <c r="M144" s="114"/>
      <c r="N144" s="114"/>
      <c r="O144" s="114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2:25">
      <c r="B145" s="114"/>
      <c r="C145" s="114"/>
      <c r="D145" s="114"/>
      <c r="E145" s="168"/>
      <c r="F145" s="115"/>
      <c r="G145" s="114"/>
      <c r="H145" s="114"/>
      <c r="J145" s="305"/>
      <c r="K145" s="305"/>
      <c r="M145" s="114"/>
      <c r="N145" s="114"/>
      <c r="O145" s="114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2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2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2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2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2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2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2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2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2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2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2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2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2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2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2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 s="114" customFormat="1">
      <c r="E484" s="168"/>
      <c r="F484" s="115"/>
      <c r="J484" s="305"/>
      <c r="K484" s="305"/>
      <c r="P484" s="168"/>
      <c r="Q484" s="115"/>
      <c r="R484" s="306"/>
      <c r="S484" s="306"/>
      <c r="T484" s="306"/>
      <c r="U484" s="306"/>
      <c r="V484" s="306"/>
      <c r="W484" s="306"/>
      <c r="X484" s="306"/>
      <c r="Y484" s="169"/>
    </row>
    <row r="485" spans="5:25" s="114" customFormat="1">
      <c r="E485" s="168"/>
      <c r="F485" s="115"/>
      <c r="J485" s="305"/>
      <c r="K485" s="305"/>
      <c r="P485" s="168"/>
      <c r="Q485" s="115"/>
      <c r="R485" s="306"/>
      <c r="S485" s="306"/>
      <c r="T485" s="306"/>
      <c r="U485" s="306"/>
      <c r="V485" s="306"/>
      <c r="W485" s="306"/>
      <c r="X485" s="306"/>
      <c r="Y485" s="169"/>
    </row>
    <row r="486" spans="5:25" s="114" customFormat="1">
      <c r="E486" s="168"/>
      <c r="F486" s="115"/>
      <c r="J486" s="305"/>
      <c r="K486" s="305"/>
      <c r="P486" s="168"/>
      <c r="Q486" s="115"/>
      <c r="R486" s="306"/>
      <c r="S486" s="306"/>
      <c r="T486" s="306"/>
      <c r="U486" s="306"/>
      <c r="V486" s="306"/>
      <c r="W486" s="306"/>
      <c r="X486" s="306"/>
      <c r="Y486" s="169"/>
    </row>
    <row r="487" spans="5:25" s="114" customFormat="1">
      <c r="E487" s="168"/>
      <c r="F487" s="115"/>
      <c r="J487" s="305"/>
      <c r="K487" s="305"/>
      <c r="P487" s="168"/>
      <c r="Q487" s="115"/>
      <c r="R487" s="306"/>
      <c r="S487" s="306"/>
      <c r="T487" s="306"/>
      <c r="U487" s="306"/>
      <c r="V487" s="306"/>
      <c r="W487" s="306"/>
      <c r="X487" s="306"/>
      <c r="Y487" s="169"/>
    </row>
    <row r="488" spans="5:25" s="114" customFormat="1">
      <c r="E488" s="168"/>
      <c r="F488" s="115"/>
      <c r="J488" s="305"/>
      <c r="K488" s="305"/>
      <c r="P488" s="168"/>
      <c r="Q488" s="115"/>
      <c r="R488" s="306"/>
      <c r="S488" s="306"/>
      <c r="T488" s="306"/>
      <c r="U488" s="306"/>
      <c r="V488" s="306"/>
      <c r="W488" s="306"/>
      <c r="X488" s="306"/>
      <c r="Y488" s="169"/>
    </row>
    <row r="489" spans="5:25" s="114" customFormat="1">
      <c r="E489" s="168"/>
      <c r="F489" s="115"/>
      <c r="J489" s="305"/>
      <c r="K489" s="305"/>
      <c r="P489" s="168"/>
      <c r="Q489" s="115"/>
      <c r="R489" s="306"/>
      <c r="S489" s="306"/>
      <c r="T489" s="306"/>
      <c r="U489" s="306"/>
      <c r="V489" s="306"/>
      <c r="W489" s="306"/>
      <c r="X489" s="306"/>
      <c r="Y489" s="169"/>
    </row>
    <row r="490" spans="5:25" s="114" customFormat="1">
      <c r="E490" s="168"/>
      <c r="F490" s="115"/>
      <c r="J490" s="305"/>
      <c r="K490" s="305"/>
      <c r="P490" s="168"/>
      <c r="Q490" s="115"/>
      <c r="R490" s="306"/>
      <c r="S490" s="306"/>
      <c r="T490" s="306"/>
      <c r="U490" s="306"/>
      <c r="V490" s="306"/>
      <c r="W490" s="306"/>
      <c r="X490" s="306"/>
      <c r="Y490" s="169"/>
    </row>
    <row r="491" spans="5:25" s="114" customFormat="1">
      <c r="E491" s="168"/>
      <c r="F491" s="115"/>
      <c r="J491" s="305"/>
      <c r="K491" s="305"/>
      <c r="P491" s="168"/>
      <c r="Q491" s="115"/>
      <c r="R491" s="306"/>
      <c r="S491" s="306"/>
      <c r="T491" s="306"/>
      <c r="U491" s="306"/>
      <c r="V491" s="306"/>
      <c r="W491" s="306"/>
      <c r="X491" s="306"/>
      <c r="Y491" s="169"/>
    </row>
    <row r="492" spans="5:25">
      <c r="R492" s="306"/>
      <c r="S492" s="306"/>
      <c r="T492" s="306"/>
      <c r="U492" s="306"/>
      <c r="V492" s="306"/>
      <c r="W492" s="306"/>
      <c r="X492" s="306"/>
    </row>
    <row r="493" spans="5:25">
      <c r="R493" s="306"/>
      <c r="S493" s="306"/>
      <c r="T493" s="306"/>
      <c r="U493" s="306"/>
      <c r="V493" s="306"/>
      <c r="W493" s="306"/>
      <c r="X493" s="306"/>
    </row>
    <row r="494" spans="5:25">
      <c r="W494" s="306"/>
      <c r="X494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K26:K35"/>
    <mergeCell ref="K37:K42"/>
    <mergeCell ref="K44:K57"/>
    <mergeCell ref="K68:K75"/>
    <mergeCell ref="K128:K131"/>
    <mergeCell ref="K77:K84"/>
    <mergeCell ref="K86:K99"/>
    <mergeCell ref="K101:K105"/>
    <mergeCell ref="K111:K117"/>
    <mergeCell ref="K119:K126"/>
    <mergeCell ref="B2:H2"/>
    <mergeCell ref="M2:R2"/>
    <mergeCell ref="J6:J11"/>
    <mergeCell ref="J13:J16"/>
    <mergeCell ref="J18:J24"/>
    <mergeCell ref="K6:K11"/>
    <mergeCell ref="K13:K16"/>
    <mergeCell ref="K18:K24"/>
    <mergeCell ref="J26:J35"/>
    <mergeCell ref="J37:J42"/>
    <mergeCell ref="J44:J57"/>
    <mergeCell ref="J68:J75"/>
    <mergeCell ref="J77:J84"/>
    <mergeCell ref="S2:W2"/>
    <mergeCell ref="V6:V11"/>
    <mergeCell ref="V13:V16"/>
    <mergeCell ref="V18:V24"/>
    <mergeCell ref="V26:V35"/>
    <mergeCell ref="I111:I117"/>
    <mergeCell ref="J111:J117"/>
    <mergeCell ref="X111:X117"/>
    <mergeCell ref="V128:V131"/>
    <mergeCell ref="V44:V57"/>
    <mergeCell ref="V68:V75"/>
    <mergeCell ref="V77:V84"/>
    <mergeCell ref="V86:V99"/>
    <mergeCell ref="V101:V105"/>
    <mergeCell ref="V59:V66"/>
    <mergeCell ref="X128:X131"/>
    <mergeCell ref="J86:J99"/>
    <mergeCell ref="J101:J105"/>
    <mergeCell ref="J119:J126"/>
    <mergeCell ref="J128:J131"/>
    <mergeCell ref="X44:X57"/>
    <mergeCell ref="I107:I109"/>
    <mergeCell ref="J107:J109"/>
    <mergeCell ref="K107:K109"/>
    <mergeCell ref="L107:L109"/>
    <mergeCell ref="J59:J66"/>
    <mergeCell ref="K59:K66"/>
    <mergeCell ref="X6:X11"/>
    <mergeCell ref="X13:X16"/>
    <mergeCell ref="X18:X24"/>
    <mergeCell ref="X26:X35"/>
    <mergeCell ref="X37:X42"/>
    <mergeCell ref="X59:X66"/>
    <mergeCell ref="V111:V117"/>
    <mergeCell ref="X107:X109"/>
    <mergeCell ref="V119:V126"/>
    <mergeCell ref="V37:V42"/>
    <mergeCell ref="X68:X75"/>
    <mergeCell ref="X77:X84"/>
    <mergeCell ref="X86:X99"/>
    <mergeCell ref="X101:X105"/>
    <mergeCell ref="X119:X126"/>
    <mergeCell ref="Y28:Y35"/>
    <mergeCell ref="Y50:Y57"/>
    <mergeCell ref="Y88:Y95"/>
    <mergeCell ref="Y77:Y84"/>
    <mergeCell ref="Y6:Y7"/>
    <mergeCell ref="Y45:Y4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7:V42">
    <cfRule type="cellIs" dxfId="21" priority="1" operator="notEqual">
      <formula>0</formula>
    </cfRule>
  </conditionalFormatting>
  <conditionalFormatting sqref="W7:W28 W30:W33 W35:W36 W39:W40 W42:W50 W52:W55 W57:W70 W73:W77 W79:W82 W84:W88 W90:W93 W95:W101 W103:W110 W117:W118 W126:W131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B22"/>
  <sheetViews>
    <sheetView zoomScaleNormal="100" workbookViewId="0">
      <pane xSplit="5" ySplit="15" topLeftCell="DK24" activePane="bottomRight" state="frozen"/>
      <selection pane="bottomRight" activeCell="D4" sqref="D4"/>
      <selection pane="bottomLeft" activeCell="A22" sqref="A22"/>
      <selection pane="topRight" activeCell="F1" sqref="F1"/>
    </sheetView>
  </sheetViews>
  <sheetFormatPr defaultColWidth="9.28515625" defaultRowHeight="14.45"/>
  <cols>
    <col min="1" max="1" width="9.28515625" customWidth="1"/>
    <col min="2" max="2" width="34.5703125" customWidth="1"/>
    <col min="3" max="3" width="18" customWidth="1"/>
    <col min="4" max="4" width="21" customWidth="1"/>
    <col min="5" max="5" width="4.28515625" customWidth="1"/>
    <col min="6" max="6" width="16" bestFit="1" customWidth="1"/>
    <col min="7" max="7" width="20.28515625" customWidth="1"/>
    <col min="8" max="70" width="15.28515625" bestFit="1" customWidth="1"/>
    <col min="71" max="122" width="15.28515625" customWidth="1"/>
    <col min="123" max="123" width="9.28515625" style="240"/>
  </cols>
  <sheetData>
    <row r="1" spans="1:600" ht="15">
      <c r="D1" s="236" t="s">
        <v>407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:BQ1" si="27">AJ1+7</f>
        <v>45705</v>
      </c>
      <c r="AL1" s="239">
        <f t="shared" si="27"/>
        <v>45712</v>
      </c>
      <c r="AM1" s="239">
        <f t="shared" si="27"/>
        <v>45719</v>
      </c>
      <c r="AN1" s="239">
        <f t="shared" si="27"/>
        <v>45726</v>
      </c>
      <c r="AO1" s="239">
        <f t="shared" si="27"/>
        <v>45733</v>
      </c>
      <c r="AP1" s="239">
        <f t="shared" si="27"/>
        <v>45740</v>
      </c>
      <c r="AQ1" s="239">
        <f t="shared" si="27"/>
        <v>45747</v>
      </c>
      <c r="AR1" s="239">
        <f t="shared" si="27"/>
        <v>45754</v>
      </c>
      <c r="AS1" s="239">
        <f t="shared" si="27"/>
        <v>45761</v>
      </c>
      <c r="AT1" s="239">
        <f t="shared" si="27"/>
        <v>45768</v>
      </c>
      <c r="AU1" s="239">
        <f t="shared" si="27"/>
        <v>45775</v>
      </c>
      <c r="AV1" s="239">
        <f t="shared" si="27"/>
        <v>45782</v>
      </c>
      <c r="AW1" s="239">
        <f t="shared" si="27"/>
        <v>45789</v>
      </c>
      <c r="AX1" s="239">
        <f t="shared" si="27"/>
        <v>45796</v>
      </c>
      <c r="AY1" s="239">
        <f t="shared" si="27"/>
        <v>45803</v>
      </c>
      <c r="AZ1" s="239">
        <f t="shared" si="27"/>
        <v>45810</v>
      </c>
      <c r="BA1" s="239">
        <f t="shared" si="27"/>
        <v>45817</v>
      </c>
      <c r="BB1" s="239">
        <f t="shared" si="27"/>
        <v>45824</v>
      </c>
      <c r="BC1" s="239">
        <f t="shared" si="27"/>
        <v>45831</v>
      </c>
      <c r="BD1" s="239">
        <f t="shared" si="27"/>
        <v>45838</v>
      </c>
      <c r="BE1" s="239">
        <f t="shared" si="27"/>
        <v>45845</v>
      </c>
      <c r="BF1" s="239">
        <f t="shared" si="27"/>
        <v>45852</v>
      </c>
      <c r="BG1" s="239">
        <f t="shared" si="27"/>
        <v>45859</v>
      </c>
      <c r="BH1" s="239">
        <f t="shared" si="27"/>
        <v>45866</v>
      </c>
      <c r="BI1" s="239">
        <f t="shared" si="27"/>
        <v>45873</v>
      </c>
      <c r="BJ1" s="239">
        <f t="shared" si="27"/>
        <v>45880</v>
      </c>
      <c r="BK1" s="239">
        <f t="shared" si="27"/>
        <v>45887</v>
      </c>
      <c r="BL1" s="239">
        <f t="shared" si="27"/>
        <v>45894</v>
      </c>
      <c r="BM1" s="239">
        <f t="shared" si="27"/>
        <v>45901</v>
      </c>
      <c r="BN1" s="239">
        <f t="shared" si="27"/>
        <v>45908</v>
      </c>
      <c r="BO1" s="239">
        <f t="shared" si="27"/>
        <v>45915</v>
      </c>
      <c r="BP1" s="239">
        <f t="shared" si="27"/>
        <v>45922</v>
      </c>
      <c r="BQ1" s="239">
        <f t="shared" si="27"/>
        <v>45929</v>
      </c>
      <c r="BR1" s="239">
        <f t="shared" ref="BR1:CC1" si="28">BQ1+7</f>
        <v>45936</v>
      </c>
      <c r="BS1" s="239">
        <f t="shared" si="28"/>
        <v>45943</v>
      </c>
      <c r="BT1" s="239">
        <f t="shared" si="28"/>
        <v>45950</v>
      </c>
      <c r="BU1" s="239">
        <f t="shared" si="28"/>
        <v>45957</v>
      </c>
      <c r="BV1" s="239">
        <f t="shared" si="28"/>
        <v>45964</v>
      </c>
      <c r="BW1" s="239">
        <f t="shared" si="28"/>
        <v>45971</v>
      </c>
      <c r="BX1" s="239">
        <f t="shared" si="28"/>
        <v>45978</v>
      </c>
      <c r="BY1" s="239">
        <f t="shared" si="28"/>
        <v>45985</v>
      </c>
      <c r="BZ1" s="239">
        <f t="shared" si="28"/>
        <v>45992</v>
      </c>
      <c r="CA1" s="239">
        <f t="shared" si="28"/>
        <v>45999</v>
      </c>
      <c r="CB1" s="239">
        <f t="shared" si="28"/>
        <v>46006</v>
      </c>
      <c r="CC1" s="239">
        <f t="shared" si="28"/>
        <v>46013</v>
      </c>
      <c r="CD1" s="239">
        <f t="shared" ref="CD1" si="29">CC1+7</f>
        <v>46020</v>
      </c>
      <c r="CE1" s="239">
        <f t="shared" ref="CE1" si="30">CD1+7</f>
        <v>46027</v>
      </c>
      <c r="CF1" s="239">
        <f t="shared" ref="CF1" si="31">CE1+7</f>
        <v>46034</v>
      </c>
      <c r="CG1" s="239">
        <f t="shared" ref="CG1" si="32">CF1+7</f>
        <v>46041</v>
      </c>
      <c r="CH1" s="239">
        <f t="shared" ref="CH1" si="33">CG1+7</f>
        <v>46048</v>
      </c>
      <c r="CI1" s="239">
        <f t="shared" ref="CI1" si="34">CH1+7</f>
        <v>46055</v>
      </c>
      <c r="CJ1" s="239">
        <f t="shared" ref="CJ1" si="35">CI1+7</f>
        <v>46062</v>
      </c>
      <c r="CK1" s="239">
        <f t="shared" ref="CK1" si="36">CJ1+7</f>
        <v>46069</v>
      </c>
      <c r="CL1" s="239">
        <f t="shared" ref="CL1" si="37">CK1+7</f>
        <v>46076</v>
      </c>
      <c r="CM1" s="239">
        <f t="shared" ref="CM1" si="38">CL1+7</f>
        <v>46083</v>
      </c>
      <c r="CN1" s="239">
        <f t="shared" ref="CN1" si="39">CM1+7</f>
        <v>46090</v>
      </c>
      <c r="CO1" s="239">
        <f t="shared" ref="CO1" si="40">CN1+7</f>
        <v>46097</v>
      </c>
      <c r="CP1" s="239">
        <f t="shared" ref="CP1" si="41">CO1+7</f>
        <v>46104</v>
      </c>
      <c r="CQ1" s="239">
        <f t="shared" ref="CQ1" si="42">CP1+7</f>
        <v>46111</v>
      </c>
      <c r="CR1" s="239">
        <f t="shared" ref="CR1" si="43">CQ1+7</f>
        <v>46118</v>
      </c>
      <c r="CS1" s="239">
        <f t="shared" ref="CS1" si="44">CR1+7</f>
        <v>46125</v>
      </c>
      <c r="CT1" s="239">
        <f t="shared" ref="CT1" si="45">CS1+7</f>
        <v>46132</v>
      </c>
      <c r="CU1" s="239">
        <f t="shared" ref="CU1" si="46">CT1+7</f>
        <v>46139</v>
      </c>
      <c r="CV1" s="239">
        <f t="shared" ref="CV1" si="47">CU1+7</f>
        <v>46146</v>
      </c>
      <c r="CW1" s="239">
        <f t="shared" ref="CW1" si="48">CV1+7</f>
        <v>46153</v>
      </c>
      <c r="CX1" s="239">
        <f t="shared" ref="CX1" si="49">CW1+7</f>
        <v>46160</v>
      </c>
      <c r="CY1" s="239">
        <f t="shared" ref="CY1" si="50">CX1+7</f>
        <v>46167</v>
      </c>
      <c r="CZ1" s="239">
        <f t="shared" ref="CZ1" si="51">CY1+7</f>
        <v>46174</v>
      </c>
      <c r="DA1" s="239">
        <f t="shared" ref="DA1" si="52">CZ1+7</f>
        <v>46181</v>
      </c>
      <c r="DB1" s="239">
        <f t="shared" ref="DB1" si="53">DA1+7</f>
        <v>46188</v>
      </c>
      <c r="DC1" s="239">
        <f t="shared" ref="DC1" si="54">DB1+7</f>
        <v>46195</v>
      </c>
      <c r="DD1" s="239">
        <f t="shared" ref="DD1" si="55">DC1+7</f>
        <v>46202</v>
      </c>
      <c r="DE1" s="239">
        <f t="shared" ref="DE1" si="56">DD1+7</f>
        <v>46209</v>
      </c>
      <c r="DF1" s="239">
        <f t="shared" ref="DF1" si="57">DE1+7</f>
        <v>46216</v>
      </c>
      <c r="DG1" s="239">
        <f t="shared" ref="DG1" si="58">DF1+7</f>
        <v>46223</v>
      </c>
      <c r="DH1" s="239">
        <f t="shared" ref="DH1" si="59">DG1+7</f>
        <v>46230</v>
      </c>
      <c r="DI1" s="239">
        <f t="shared" ref="DI1" si="60">DH1+7</f>
        <v>46237</v>
      </c>
      <c r="DJ1" s="239">
        <f t="shared" ref="DJ1" si="61">DI1+7</f>
        <v>46244</v>
      </c>
      <c r="DK1" s="239">
        <f t="shared" ref="DK1" si="62">DJ1+7</f>
        <v>46251</v>
      </c>
      <c r="DL1" s="239">
        <f t="shared" ref="DL1" si="63">DK1+7</f>
        <v>46258</v>
      </c>
      <c r="DM1" s="239">
        <f t="shared" ref="DM1" si="64">DL1+7</f>
        <v>46265</v>
      </c>
      <c r="DN1" s="239">
        <f t="shared" ref="DN1" si="65">DM1+7</f>
        <v>46272</v>
      </c>
      <c r="DO1" s="239">
        <f t="shared" ref="DO1" si="66">DN1+7</f>
        <v>46279</v>
      </c>
      <c r="DP1" s="239">
        <f t="shared" ref="DP1" si="67">DO1+7</f>
        <v>46286</v>
      </c>
      <c r="DQ1" s="239">
        <f t="shared" ref="DQ1" si="68">DP1+7</f>
        <v>46293</v>
      </c>
      <c r="DR1" s="239">
        <f t="shared" ref="DR1" si="69">DQ1+7</f>
        <v>46300</v>
      </c>
    </row>
    <row r="2" spans="1:600" s="240" customFormat="1" ht="15">
      <c r="A2" s="979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</row>
    <row r="3" spans="1:600" ht="15">
      <c r="A3" s="980"/>
      <c r="B3" s="244" t="s">
        <v>81</v>
      </c>
      <c r="C3" s="245">
        <f>'Revenue Tracking'!D4</f>
        <v>2462259.00338786</v>
      </c>
      <c r="D3" s="245">
        <f>SUM(F3:DR3)</f>
        <v>2514540.1233878601</v>
      </c>
      <c r="E3" s="246"/>
      <c r="F3" s="247">
        <f>SUMIFS('Revenue Tracking'!$F$13:$F$19, 'Revenue Tracking'!$H$13:$H$19, "&gt;="&amp;F1,'Revenue Tracking'!$H$13:$H$19, "&lt;"&amp;G1)</f>
        <v>861790.65118575096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615564.75084696501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615564.75084696501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246225.90033878601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175394.070169393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"&lt;"&amp;DS1)</f>
        <v>0</v>
      </c>
      <c r="CC3" s="247">
        <f>SUMIFS('Revenue Tracking'!$F$13:$F$19, 'Revenue Tracking'!$H$13:$H$19, "&gt;="&amp;CC1,'Revenue Tracking'!$H$13:$H$19, "&lt;"&amp;DT1)</f>
        <v>0</v>
      </c>
      <c r="CD3" s="247">
        <f>SUMIFS('Revenue Tracking'!$F$13:$F$19, 'Revenue Tracking'!$H$13:$H$19, "&gt;="&amp;CD1,'Revenue Tracking'!$H$13:$H$19, "&lt;"&amp;DU1)</f>
        <v>0</v>
      </c>
      <c r="CE3" s="247">
        <f>SUMIFS('Revenue Tracking'!$F$13:$F$19, 'Revenue Tracking'!$H$13:$H$19, "&gt;="&amp;CE1,'Revenue Tracking'!$H$13:$H$19, "&lt;"&amp;DV1)</f>
        <v>0</v>
      </c>
      <c r="CF3" s="247">
        <f>SUMIFS('Revenue Tracking'!$F$13:$F$19, 'Revenue Tracking'!$H$13:$H$19, "&gt;="&amp;CF1,'Revenue Tracking'!$H$13:$H$19, "&lt;"&amp;DW1)</f>
        <v>0</v>
      </c>
      <c r="CG3" s="247">
        <f>SUMIFS('Revenue Tracking'!$F$13:$F$19, 'Revenue Tracking'!$H$13:$H$19, "&gt;="&amp;CG1,'Revenue Tracking'!$H$13:$H$19, "&lt;"&amp;DX1)</f>
        <v>0</v>
      </c>
      <c r="CH3" s="247">
        <f>SUMIFS('Revenue Tracking'!$F$13:$F$19, 'Revenue Tracking'!$H$13:$H$19, "&gt;="&amp;CH1,'Revenue Tracking'!$H$13:$H$19, "&lt;"&amp;DY1)</f>
        <v>0</v>
      </c>
      <c r="CI3" s="247">
        <f>SUMIFS('Revenue Tracking'!$F$13:$F$19, 'Revenue Tracking'!$H$13:$H$19, "&gt;="&amp;CI1,'Revenue Tracking'!$H$13:$H$19, "&lt;"&amp;DZ1)</f>
        <v>0</v>
      </c>
      <c r="CJ3" s="247">
        <f>SUMIFS('Revenue Tracking'!$F$13:$F$19, 'Revenue Tracking'!$H$13:$H$19, "&gt;="&amp;CJ1,'Revenue Tracking'!$H$13:$H$19, "&lt;"&amp;EA1)</f>
        <v>0</v>
      </c>
      <c r="CK3" s="247">
        <f>SUMIFS('Revenue Tracking'!$F$13:$F$19, 'Revenue Tracking'!$H$13:$H$19, "&gt;="&amp;CK1,'Revenue Tracking'!$H$13:$H$19, "&lt;"&amp;EB1)</f>
        <v>0</v>
      </c>
      <c r="CL3" s="247">
        <f>SUMIFS('Revenue Tracking'!$F$13:$F$19, 'Revenue Tracking'!$H$13:$H$19, "&gt;="&amp;CL1,'Revenue Tracking'!$H$13:$H$19, "&lt;"&amp;EC1)</f>
        <v>0</v>
      </c>
      <c r="CM3" s="247">
        <f>SUMIFS('Revenue Tracking'!$F$13:$F$19, 'Revenue Tracking'!$H$13:$H$19, "&gt;="&amp;CM1,'Revenue Tracking'!$H$13:$H$19, "&lt;"&amp;ED1)</f>
        <v>0</v>
      </c>
      <c r="CN3" s="247">
        <f>SUMIFS('Revenue Tracking'!$F$13:$F$19, 'Revenue Tracking'!$H$13:$H$19, "&gt;="&amp;CN1,'Revenue Tracking'!$H$13:$H$19, "&lt;"&amp;EE1)</f>
        <v>0</v>
      </c>
      <c r="CO3" s="247">
        <f>SUMIFS('Revenue Tracking'!$F$13:$F$19, 'Revenue Tracking'!$H$13:$H$19, "&gt;="&amp;CO1,'Revenue Tracking'!$H$13:$H$19, "&lt;"&amp;EF1)</f>
        <v>0</v>
      </c>
      <c r="CP3" s="247">
        <f>SUMIFS('Revenue Tracking'!$F$13:$F$19, 'Revenue Tracking'!$H$13:$H$19, "&gt;="&amp;CP1,'Revenue Tracking'!$H$13:$H$19, "&lt;"&amp;EG1)</f>
        <v>0</v>
      </c>
      <c r="CQ3" s="247">
        <f>SUMIFS('Revenue Tracking'!$F$13:$F$19, 'Revenue Tracking'!$H$13:$H$19, "&gt;="&amp;CQ1,'Revenue Tracking'!$H$13:$H$19, "&lt;"&amp;EH1)</f>
        <v>0</v>
      </c>
      <c r="CR3" s="247">
        <f>SUMIFS('Revenue Tracking'!$F$13:$F$19, 'Revenue Tracking'!$H$13:$H$19, "&gt;="&amp;CR1,'Revenue Tracking'!$H$13:$H$19, "&lt;"&amp;EI1)</f>
        <v>0</v>
      </c>
      <c r="CS3" s="247">
        <f>SUMIFS('Revenue Tracking'!$F$13:$F$19, 'Revenue Tracking'!$H$13:$H$19, "&gt;="&amp;CS1,'Revenue Tracking'!$H$13:$H$19, "&lt;"&amp;EJ1)</f>
        <v>0</v>
      </c>
      <c r="CT3" s="247">
        <f>SUMIFS('Revenue Tracking'!$F$13:$F$19, 'Revenue Tracking'!$H$13:$H$19, "&gt;="&amp;CT1,'Revenue Tracking'!$H$13:$H$19, "&lt;"&amp;EK1)</f>
        <v>0</v>
      </c>
      <c r="CU3" s="247">
        <f>SUMIFS('Revenue Tracking'!$F$13:$F$19, 'Revenue Tracking'!$H$13:$H$19, "&gt;="&amp;CU1,'Revenue Tracking'!$H$13:$H$19, "&lt;"&amp;EL1)</f>
        <v>0</v>
      </c>
      <c r="CV3" s="247">
        <f>SUMIFS('Revenue Tracking'!$F$13:$F$19, 'Revenue Tracking'!$H$13:$H$19, "&gt;="&amp;CV1,'Revenue Tracking'!$H$13:$H$19, "&lt;"&amp;EM1)</f>
        <v>0</v>
      </c>
      <c r="CW3" s="247">
        <f>SUMIFS('Revenue Tracking'!$F$13:$F$19, 'Revenue Tracking'!$H$13:$H$19, "&gt;="&amp;CW1,'Revenue Tracking'!$H$13:$H$19, "&lt;"&amp;EN1)</f>
        <v>0</v>
      </c>
      <c r="CX3" s="247">
        <f>SUMIFS('Revenue Tracking'!$F$13:$F$19, 'Revenue Tracking'!$H$13:$H$19, "&gt;="&amp;CX1,'Revenue Tracking'!$H$13:$H$19, "&lt;"&amp;EO1)</f>
        <v>0</v>
      </c>
      <c r="CY3" s="247">
        <f>SUMIFS('Revenue Tracking'!$F$13:$F$19, 'Revenue Tracking'!$H$13:$H$19, "&gt;="&amp;CY1,'Revenue Tracking'!$H$13:$H$19, "&lt;"&amp;EP1)</f>
        <v>0</v>
      </c>
      <c r="CZ3" s="247">
        <f>SUMIFS('Revenue Tracking'!$F$13:$F$19, 'Revenue Tracking'!$H$13:$H$19, "&gt;="&amp;CZ1,'Revenue Tracking'!$H$13:$H$19, "&lt;"&amp;EQ1)</f>
        <v>0</v>
      </c>
      <c r="DA3" s="247">
        <f>SUMIFS('Revenue Tracking'!$F$13:$F$19, 'Revenue Tracking'!$H$13:$H$19, "&gt;="&amp;DA1,'Revenue Tracking'!$H$13:$H$19, "&lt;"&amp;ER1)</f>
        <v>0</v>
      </c>
      <c r="DB3" s="247">
        <f>SUMIFS('Revenue Tracking'!$F$13:$F$19, 'Revenue Tracking'!$H$13:$H$19, "&gt;="&amp;DB1,'Revenue Tracking'!$H$13:$H$19, "&lt;"&amp;ES1)</f>
        <v>0</v>
      </c>
      <c r="DC3" s="247">
        <f>SUMIFS('Revenue Tracking'!$F$13:$F$19, 'Revenue Tracking'!$H$13:$H$19, "&gt;="&amp;DC1,'Revenue Tracking'!$H$13:$H$19, "&lt;"&amp;ET1)</f>
        <v>0</v>
      </c>
      <c r="DD3" s="247">
        <f>SUMIFS('Revenue Tracking'!$F$13:$F$19, 'Revenue Tracking'!$H$13:$H$19, "&gt;="&amp;DD1,'Revenue Tracking'!$H$13:$H$19, "&lt;"&amp;EU1)</f>
        <v>0</v>
      </c>
      <c r="DE3" s="247">
        <f>SUMIFS('Revenue Tracking'!$F$13:$F$19, 'Revenue Tracking'!$H$13:$H$19, "&gt;="&amp;DE1,'Revenue Tracking'!$H$13:$H$19, "&lt;"&amp;EV1)</f>
        <v>0</v>
      </c>
      <c r="DF3" s="247">
        <f>SUMIFS('Revenue Tracking'!$F$13:$F$19, 'Revenue Tracking'!$H$13:$H$19, "&gt;="&amp;DF1,'Revenue Tracking'!$H$13:$H$19, "&lt;"&amp;EW1)</f>
        <v>0</v>
      </c>
      <c r="DG3" s="247">
        <f>SUMIFS('Revenue Tracking'!$F$13:$F$19, 'Revenue Tracking'!$H$13:$H$19, "&gt;="&amp;DG1,'Revenue Tracking'!$H$13:$H$19, "&lt;"&amp;EX1)</f>
        <v>0</v>
      </c>
      <c r="DH3" s="247">
        <f>SUMIFS('Revenue Tracking'!$F$13:$F$19, 'Revenue Tracking'!$H$13:$H$19, "&gt;="&amp;DH1,'Revenue Tracking'!$H$13:$H$19, "&lt;"&amp;EY1)</f>
        <v>0</v>
      </c>
      <c r="DI3" s="247">
        <f>SUMIFS('Revenue Tracking'!$F$13:$F$19, 'Revenue Tracking'!$H$13:$H$19, "&gt;="&amp;DI1,'Revenue Tracking'!$H$13:$H$19, "&lt;"&amp;EZ1)</f>
        <v>0</v>
      </c>
      <c r="DJ3" s="247">
        <f>SUMIFS('Revenue Tracking'!$F$13:$F$19, 'Revenue Tracking'!$H$13:$H$19, "&gt;="&amp;DJ1,'Revenue Tracking'!$H$13:$H$19, "&lt;"&amp;FA1)</f>
        <v>0</v>
      </c>
      <c r="DK3" s="247">
        <f>SUMIFS('Revenue Tracking'!$F$13:$F$19, 'Revenue Tracking'!$H$13:$H$19, "&gt;="&amp;DK1,'Revenue Tracking'!$H$13:$H$19, "&lt;"&amp;FB1)</f>
        <v>0</v>
      </c>
      <c r="DL3" s="247">
        <f>SUMIFS('Revenue Tracking'!$F$13:$F$19, 'Revenue Tracking'!$H$13:$H$19, "&gt;="&amp;DL1,'Revenue Tracking'!$H$13:$H$19, "&lt;"&amp;FC1)</f>
        <v>0</v>
      </c>
      <c r="DM3" s="247">
        <f>SUMIFS('Revenue Tracking'!$F$13:$F$19, 'Revenue Tracking'!$H$13:$H$19, "&gt;="&amp;DM1,'Revenue Tracking'!$H$13:$H$19, "&lt;"&amp;FD1)</f>
        <v>0</v>
      </c>
      <c r="DN3" s="247">
        <f>SUMIFS('Revenue Tracking'!$F$13:$F$19, 'Revenue Tracking'!$H$13:$H$19, "&gt;="&amp;DN1,'Revenue Tracking'!$H$13:$H$19, "&lt;"&amp;FE1)</f>
        <v>0</v>
      </c>
      <c r="DO3" s="247">
        <f>SUMIFS('Revenue Tracking'!$F$13:$F$19, 'Revenue Tracking'!$H$13:$H$19, "&gt;="&amp;DO1,'Revenue Tracking'!$H$13:$H$19, "&lt;"&amp;FF1)</f>
        <v>0</v>
      </c>
      <c r="DP3" s="247">
        <f>SUMIFS('Revenue Tracking'!$F$13:$F$19, 'Revenue Tracking'!$H$13:$H$19, "&gt;="&amp;DP1,'Revenue Tracking'!$H$13:$H$19, "&lt;"&amp;FG1)</f>
        <v>0</v>
      </c>
      <c r="DQ3" s="247">
        <f>SUMIFS('Revenue Tracking'!$F$13:$F$19, 'Revenue Tracking'!$H$13:$H$19, "&gt;="&amp;DQ1,'Revenue Tracking'!$H$13:$H$19, "&lt;"&amp;FH1)</f>
        <v>0</v>
      </c>
      <c r="DR3" s="247">
        <f>SUMIFS('Revenue Tracking'!$F$13:$F$19, 'Revenue Tracking'!$H$13:$H$19, "&gt;="&amp;DR1,'Revenue Tracking'!$H$13:$H$19, "&lt;"&amp;FI1)</f>
        <v>0</v>
      </c>
    </row>
    <row r="4" spans="1:600" ht="15">
      <c r="A4" s="980"/>
      <c r="B4" s="244" t="s">
        <v>408</v>
      </c>
      <c r="C4" s="245"/>
      <c r="D4" s="245"/>
      <c r="E4" s="246"/>
      <c r="F4" s="247">
        <f>F3</f>
        <v>861790.65118575096</v>
      </c>
      <c r="G4" s="247">
        <f>F4+G3</f>
        <v>861790.65118575096</v>
      </c>
      <c r="H4" s="247">
        <f>G4+H3</f>
        <v>861790.65118575096</v>
      </c>
      <c r="I4" s="247">
        <f t="shared" ref="I4:J4" si="70">H4+I3</f>
        <v>861790.65118575096</v>
      </c>
      <c r="J4" s="247">
        <f t="shared" si="70"/>
        <v>861790.65118575096</v>
      </c>
      <c r="K4" s="247">
        <f t="shared" ref="K4" si="71">J4+K3</f>
        <v>861790.65118575096</v>
      </c>
      <c r="L4" s="247">
        <f t="shared" ref="L4" si="72">K4+L3</f>
        <v>861790.65118575096</v>
      </c>
      <c r="M4" s="247">
        <f t="shared" ref="M4" si="73">L4+M3</f>
        <v>861790.65118575096</v>
      </c>
      <c r="N4" s="247">
        <f t="shared" ref="N4" si="74">M4+N3</f>
        <v>861790.65118575096</v>
      </c>
      <c r="O4" s="247">
        <f t="shared" ref="O4" si="75">N4+O3</f>
        <v>861790.65118575096</v>
      </c>
      <c r="P4" s="247">
        <f t="shared" ref="P4" si="76">O4+P3</f>
        <v>861790.65118575096</v>
      </c>
      <c r="Q4" s="247">
        <f t="shared" ref="Q4" si="77">P4+Q3</f>
        <v>1477355.402032716</v>
      </c>
      <c r="R4" s="247">
        <f t="shared" ref="R4" si="78">Q4+R3</f>
        <v>1477355.402032716</v>
      </c>
      <c r="S4" s="247">
        <f t="shared" ref="S4" si="79">R4+S3</f>
        <v>2092920.152879681</v>
      </c>
      <c r="T4" s="247">
        <f t="shared" ref="T4" si="80">S4+T3</f>
        <v>2092920.152879681</v>
      </c>
      <c r="U4" s="247">
        <f t="shared" ref="U4" si="81">T4+U3</f>
        <v>2092920.152879681</v>
      </c>
      <c r="V4" s="247">
        <f t="shared" ref="V4" si="82">U4+V3</f>
        <v>2092920.152879681</v>
      </c>
      <c r="W4" s="247">
        <f t="shared" ref="W4" si="83">V4+W3</f>
        <v>2092920.152879681</v>
      </c>
      <c r="X4" s="247">
        <f t="shared" ref="X4" si="84">W4+X3</f>
        <v>2339146.0532184672</v>
      </c>
      <c r="Y4" s="247">
        <f t="shared" ref="Y4" si="85">X4+Y3</f>
        <v>2339146.0532184672</v>
      </c>
      <c r="Z4" s="247">
        <f t="shared" ref="Z4" si="86">Y4+Z3</f>
        <v>2339146.0532184672</v>
      </c>
      <c r="AA4" s="247">
        <f t="shared" ref="AA4" si="87">Z4+AA3</f>
        <v>2339146.0532184672</v>
      </c>
      <c r="AB4" s="247">
        <f t="shared" ref="AB4" si="88">AA4+AB3</f>
        <v>2514540.1233878601</v>
      </c>
      <c r="AC4" s="247">
        <f t="shared" ref="AC4" si="89">AB4+AC3</f>
        <v>2514540.1233878601</v>
      </c>
      <c r="AD4" s="247">
        <f t="shared" ref="AD4" si="90">AC4+AD3</f>
        <v>2514540.1233878601</v>
      </c>
      <c r="AE4" s="247">
        <f t="shared" ref="AE4" si="91">AD4+AE3</f>
        <v>2514540.1233878601</v>
      </c>
      <c r="AF4" s="247">
        <f t="shared" ref="AF4" si="92">AE4+AF3</f>
        <v>2514540.1233878601</v>
      </c>
      <c r="AG4" s="247">
        <f t="shared" ref="AG4" si="93">AF4+AG3</f>
        <v>2514540.1233878601</v>
      </c>
      <c r="AH4" s="247">
        <f t="shared" ref="AH4" si="94">AG4+AH3</f>
        <v>2514540.1233878601</v>
      </c>
      <c r="AI4" s="247">
        <f t="shared" ref="AI4" si="95">AH4+AI3</f>
        <v>2514540.1233878601</v>
      </c>
      <c r="AJ4" s="247">
        <f t="shared" ref="AJ4" si="96">AI4+AJ3</f>
        <v>2514540.1233878601</v>
      </c>
      <c r="AK4" s="247">
        <f t="shared" ref="AK4:BQ4" si="97">AJ4+AK3</f>
        <v>2514540.1233878601</v>
      </c>
      <c r="AL4" s="247">
        <f t="shared" si="97"/>
        <v>2514540.1233878601</v>
      </c>
      <c r="AM4" s="247">
        <f t="shared" si="97"/>
        <v>2514540.1233878601</v>
      </c>
      <c r="AN4" s="247">
        <f t="shared" si="97"/>
        <v>2514540.1233878601</v>
      </c>
      <c r="AO4" s="247">
        <f t="shared" si="97"/>
        <v>2514540.1233878601</v>
      </c>
      <c r="AP4" s="247">
        <f t="shared" si="97"/>
        <v>2514540.1233878601</v>
      </c>
      <c r="AQ4" s="247">
        <f t="shared" si="97"/>
        <v>2514540.1233878601</v>
      </c>
      <c r="AR4" s="247">
        <f t="shared" si="97"/>
        <v>2514540.1233878601</v>
      </c>
      <c r="AS4" s="247">
        <f t="shared" si="97"/>
        <v>2514540.1233878601</v>
      </c>
      <c r="AT4" s="247">
        <f t="shared" si="97"/>
        <v>2514540.1233878601</v>
      </c>
      <c r="AU4" s="247">
        <f t="shared" si="97"/>
        <v>2514540.1233878601</v>
      </c>
      <c r="AV4" s="247">
        <f t="shared" si="97"/>
        <v>2514540.1233878601</v>
      </c>
      <c r="AW4" s="247">
        <f t="shared" si="97"/>
        <v>2514540.1233878601</v>
      </c>
      <c r="AX4" s="247">
        <f t="shared" si="97"/>
        <v>2514540.1233878601</v>
      </c>
      <c r="AY4" s="247">
        <f t="shared" si="97"/>
        <v>2514540.1233878601</v>
      </c>
      <c r="AZ4" s="247">
        <f t="shared" si="97"/>
        <v>2514540.1233878601</v>
      </c>
      <c r="BA4" s="247">
        <f t="shared" si="97"/>
        <v>2514540.1233878601</v>
      </c>
      <c r="BB4" s="247">
        <f t="shared" si="97"/>
        <v>2514540.1233878601</v>
      </c>
      <c r="BC4" s="247">
        <f t="shared" si="97"/>
        <v>2514540.1233878601</v>
      </c>
      <c r="BD4" s="247">
        <f t="shared" si="97"/>
        <v>2514540.1233878601</v>
      </c>
      <c r="BE4" s="247">
        <f t="shared" si="97"/>
        <v>2514540.1233878601</v>
      </c>
      <c r="BF4" s="247">
        <f t="shared" si="97"/>
        <v>2514540.1233878601</v>
      </c>
      <c r="BG4" s="247">
        <f t="shared" si="97"/>
        <v>2514540.1233878601</v>
      </c>
      <c r="BH4" s="247">
        <f t="shared" si="97"/>
        <v>2514540.1233878601</v>
      </c>
      <c r="BI4" s="247">
        <f t="shared" si="97"/>
        <v>2514540.1233878601</v>
      </c>
      <c r="BJ4" s="247">
        <f t="shared" si="97"/>
        <v>2514540.1233878601</v>
      </c>
      <c r="BK4" s="247">
        <f t="shared" si="97"/>
        <v>2514540.1233878601</v>
      </c>
      <c r="BL4" s="247">
        <f t="shared" si="97"/>
        <v>2514540.1233878601</v>
      </c>
      <c r="BM4" s="247">
        <f t="shared" si="97"/>
        <v>2514540.1233878601</v>
      </c>
      <c r="BN4" s="247">
        <f t="shared" si="97"/>
        <v>2514540.1233878601</v>
      </c>
      <c r="BO4" s="247">
        <f t="shared" si="97"/>
        <v>2514540.1233878601</v>
      </c>
      <c r="BP4" s="247">
        <f t="shared" si="97"/>
        <v>2514540.1233878601</v>
      </c>
      <c r="BQ4" s="247">
        <f t="shared" si="97"/>
        <v>2514540.1233878601</v>
      </c>
      <c r="BR4" s="247">
        <f t="shared" ref="BR4:CC4" si="98">BQ4+BR3</f>
        <v>2514540.1233878601</v>
      </c>
      <c r="BS4" s="247">
        <f t="shared" si="98"/>
        <v>2514540.1233878601</v>
      </c>
      <c r="BT4" s="247">
        <f t="shared" si="98"/>
        <v>2514540.1233878601</v>
      </c>
      <c r="BU4" s="247">
        <f t="shared" si="98"/>
        <v>2514540.1233878601</v>
      </c>
      <c r="BV4" s="247">
        <f t="shared" si="98"/>
        <v>2514540.1233878601</v>
      </c>
      <c r="BW4" s="247">
        <f t="shared" si="98"/>
        <v>2514540.1233878601</v>
      </c>
      <c r="BX4" s="247">
        <f t="shared" si="98"/>
        <v>2514540.1233878601</v>
      </c>
      <c r="BY4" s="247">
        <f t="shared" si="98"/>
        <v>2514540.1233878601</v>
      </c>
      <c r="BZ4" s="247">
        <f t="shared" si="98"/>
        <v>2514540.1233878601</v>
      </c>
      <c r="CA4" s="247">
        <f t="shared" si="98"/>
        <v>2514540.1233878601</v>
      </c>
      <c r="CB4" s="247">
        <f t="shared" si="98"/>
        <v>2514540.1233878601</v>
      </c>
      <c r="CC4" s="247">
        <f t="shared" si="98"/>
        <v>2514540.1233878601</v>
      </c>
      <c r="CD4" s="247">
        <f t="shared" ref="CD4" si="99">CC4+CD3</f>
        <v>2514540.1233878601</v>
      </c>
      <c r="CE4" s="247">
        <f t="shared" ref="CE4" si="100">CD4+CE3</f>
        <v>2514540.1233878601</v>
      </c>
      <c r="CF4" s="247">
        <f t="shared" ref="CF4" si="101">CE4+CF3</f>
        <v>2514540.1233878601</v>
      </c>
      <c r="CG4" s="247">
        <f t="shared" ref="CG4" si="102">CF4+CG3</f>
        <v>2514540.1233878601</v>
      </c>
      <c r="CH4" s="247">
        <f t="shared" ref="CH4" si="103">CG4+CH3</f>
        <v>2514540.1233878601</v>
      </c>
      <c r="CI4" s="247">
        <f t="shared" ref="CI4" si="104">CH4+CI3</f>
        <v>2514540.1233878601</v>
      </c>
      <c r="CJ4" s="247">
        <f t="shared" ref="CJ4" si="105">CI4+CJ3</f>
        <v>2514540.1233878601</v>
      </c>
      <c r="CK4" s="247">
        <f t="shared" ref="CK4" si="106">CJ4+CK3</f>
        <v>2514540.1233878601</v>
      </c>
      <c r="CL4" s="247">
        <f t="shared" ref="CL4" si="107">CK4+CL3</f>
        <v>2514540.1233878601</v>
      </c>
      <c r="CM4" s="247">
        <f t="shared" ref="CM4" si="108">CL4+CM3</f>
        <v>2514540.1233878601</v>
      </c>
      <c r="CN4" s="247">
        <f t="shared" ref="CN4" si="109">CM4+CN3</f>
        <v>2514540.1233878601</v>
      </c>
      <c r="CO4" s="247">
        <f t="shared" ref="CO4" si="110">CN4+CO3</f>
        <v>2514540.1233878601</v>
      </c>
      <c r="CP4" s="247">
        <f t="shared" ref="CP4" si="111">CO4+CP3</f>
        <v>2514540.1233878601</v>
      </c>
      <c r="CQ4" s="247">
        <f t="shared" ref="CQ4" si="112">CP4+CQ3</f>
        <v>2514540.1233878601</v>
      </c>
      <c r="CR4" s="247">
        <f t="shared" ref="CR4" si="113">CQ4+CR3</f>
        <v>2514540.1233878601</v>
      </c>
      <c r="CS4" s="247">
        <f t="shared" ref="CS4" si="114">CR4+CS3</f>
        <v>2514540.1233878601</v>
      </c>
      <c r="CT4" s="247">
        <f t="shared" ref="CT4" si="115">CS4+CT3</f>
        <v>2514540.1233878601</v>
      </c>
      <c r="CU4" s="247">
        <f t="shared" ref="CU4" si="116">CT4+CU3</f>
        <v>2514540.1233878601</v>
      </c>
      <c r="CV4" s="247">
        <f t="shared" ref="CV4" si="117">CU4+CV3</f>
        <v>2514540.1233878601</v>
      </c>
      <c r="CW4" s="247">
        <f t="shared" ref="CW4" si="118">CV4+CW3</f>
        <v>2514540.1233878601</v>
      </c>
      <c r="CX4" s="247">
        <f t="shared" ref="CX4" si="119">CW4+CX3</f>
        <v>2514540.1233878601</v>
      </c>
      <c r="CY4" s="247">
        <f t="shared" ref="CY4" si="120">CX4+CY3</f>
        <v>2514540.1233878601</v>
      </c>
      <c r="CZ4" s="247">
        <f t="shared" ref="CZ4" si="121">CY4+CZ3</f>
        <v>2514540.1233878601</v>
      </c>
      <c r="DA4" s="247">
        <f t="shared" ref="DA4" si="122">CZ4+DA3</f>
        <v>2514540.1233878601</v>
      </c>
      <c r="DB4" s="247">
        <f t="shared" ref="DB4" si="123">DA4+DB3</f>
        <v>2514540.1233878601</v>
      </c>
      <c r="DC4" s="247">
        <f t="shared" ref="DC4" si="124">DB4+DC3</f>
        <v>2514540.1233878601</v>
      </c>
      <c r="DD4" s="247">
        <f t="shared" ref="DD4" si="125">DC4+DD3</f>
        <v>2514540.1233878601</v>
      </c>
      <c r="DE4" s="247">
        <f t="shared" ref="DE4" si="126">DD4+DE3</f>
        <v>2514540.1233878601</v>
      </c>
      <c r="DF4" s="247">
        <f t="shared" ref="DF4" si="127">DE4+DF3</f>
        <v>2514540.1233878601</v>
      </c>
      <c r="DG4" s="247">
        <f t="shared" ref="DG4" si="128">DF4+DG3</f>
        <v>2514540.1233878601</v>
      </c>
      <c r="DH4" s="247">
        <f t="shared" ref="DH4" si="129">DG4+DH3</f>
        <v>2514540.1233878601</v>
      </c>
      <c r="DI4" s="247">
        <f t="shared" ref="DI4" si="130">DH4+DI3</f>
        <v>2514540.1233878601</v>
      </c>
      <c r="DJ4" s="247">
        <f t="shared" ref="DJ4" si="131">DI4+DJ3</f>
        <v>2514540.1233878601</v>
      </c>
      <c r="DK4" s="247">
        <f t="shared" ref="DK4" si="132">DJ4+DK3</f>
        <v>2514540.1233878601</v>
      </c>
      <c r="DL4" s="247">
        <f t="shared" ref="DL4" si="133">DK4+DL3</f>
        <v>2514540.1233878601</v>
      </c>
      <c r="DM4" s="247">
        <f t="shared" ref="DM4" si="134">DL4+DM3</f>
        <v>2514540.1233878601</v>
      </c>
      <c r="DN4" s="247">
        <f t="shared" ref="DN4" si="135">DM4+DN3</f>
        <v>2514540.1233878601</v>
      </c>
      <c r="DO4" s="247">
        <f t="shared" ref="DO4" si="136">DN4+DO3</f>
        <v>2514540.1233878601</v>
      </c>
      <c r="DP4" s="247">
        <f t="shared" ref="DP4" si="137">DO4+DP3</f>
        <v>2514540.1233878601</v>
      </c>
      <c r="DQ4" s="247">
        <f t="shared" ref="DQ4" si="138">DP4+DQ3</f>
        <v>2514540.1233878601</v>
      </c>
      <c r="DR4" s="247">
        <f t="shared" ref="DR4" si="139">DQ4+DR3</f>
        <v>2514540.1233878601</v>
      </c>
    </row>
    <row r="5" spans="1:600" s="252" customFormat="1" ht="15">
      <c r="A5" s="980"/>
      <c r="B5" s="248" t="s">
        <v>84</v>
      </c>
      <c r="C5" s="249">
        <f>'Revenue Tracking'!D5</f>
        <v>2105194.1529999999</v>
      </c>
      <c r="D5" s="249">
        <f>SUM(F5:CC5)</f>
        <v>2105194.1529999999</v>
      </c>
      <c r="E5" s="246"/>
      <c r="F5" s="250">
        <f>SUMIFS('Expenditure Breakdown'!$G$6:$G$131, 'Expenditure Breakdown'!$H$6:$H$131, "&gt;="&amp;F1,'Expenditure Breakdown'!$H$6:$H$131, "&lt;"&amp;G1)</f>
        <v>0</v>
      </c>
      <c r="G5" s="250">
        <f>SUMIFS('Expenditure Breakdown'!$G$6:$G$131, 'Expenditure Breakdown'!$H$6:$H$131, "&gt;="&amp;G1,'Expenditure Breakdown'!$H$6:$H$131, "&lt;"&amp;H1)</f>
        <v>0</v>
      </c>
      <c r="H5" s="250">
        <f>SUMIFS('Expenditure Breakdown'!$G$6:$G$131, 'Expenditure Breakdown'!$H$6:$H$131, "&gt;="&amp;H1,'Expenditure Breakdown'!$H$6:$H$131, "&lt;"&amp;I1)</f>
        <v>0</v>
      </c>
      <c r="I5" s="250">
        <f>SUMIFS('Expenditure Breakdown'!$G$6:$G$131, 'Expenditure Breakdown'!$H$6:$H$131, "&gt;="&amp;I1,'Expenditure Breakdown'!$H$6:$H$131, "&lt;"&amp;J1)</f>
        <v>0</v>
      </c>
      <c r="J5" s="250">
        <f>SUMIFS('Expenditure Breakdown'!$G$6:$G$131, 'Expenditure Breakdown'!$H$6:$H$131, "&gt;="&amp;J1,'Expenditure Breakdown'!$H$6:$H$131, "&lt;"&amp;K1)</f>
        <v>0</v>
      </c>
      <c r="K5" s="250">
        <f>SUMIFS('Expenditure Breakdown'!$G$6:$G$131, 'Expenditure Breakdown'!$H$6:$H$131, "&gt;="&amp;K1,'Expenditure Breakdown'!$H$6:$H$131, "&lt;"&amp;L1)</f>
        <v>0</v>
      </c>
      <c r="L5" s="250">
        <f>SUMIFS('Expenditure Breakdown'!$G$6:$G$131, 'Expenditure Breakdown'!$H$6:$H$131, "&gt;="&amp;L1,'Expenditure Breakdown'!$H$6:$H$131, "&lt;"&amp;M1)</f>
        <v>0</v>
      </c>
      <c r="M5" s="250">
        <f>SUMIFS('Expenditure Breakdown'!$G$6:$G$131, 'Expenditure Breakdown'!$H$6:$H$131, "&gt;="&amp;M1,'Expenditure Breakdown'!$H$6:$H$131, "&lt;"&amp;N1)</f>
        <v>0</v>
      </c>
      <c r="N5" s="250">
        <f>SUMIFS('Expenditure Breakdown'!$G$6:$G$131, 'Expenditure Breakdown'!$H$6:$H$131, "&gt;="&amp;N1,'Expenditure Breakdown'!$H$6:$H$131, "&lt;"&amp;O1)</f>
        <v>0</v>
      </c>
      <c r="O5" s="250">
        <f>SUMIFS('Expenditure Breakdown'!$G$6:$G$131, 'Expenditure Breakdown'!$H$6:$H$131, "&gt;="&amp;O1,'Expenditure Breakdown'!$H$6:$H$131, "&lt;"&amp;P1)</f>
        <v>20805</v>
      </c>
      <c r="P5" s="250">
        <f>SUMIFS('Expenditure Breakdown'!$G$6:$G$131, 'Expenditure Breakdown'!$H$6:$H$131, "&gt;="&amp;P1,'Expenditure Breakdown'!$H$6:$H$131, "&lt;"&amp;Q1)</f>
        <v>94871.972999999998</v>
      </c>
      <c r="Q5" s="250">
        <f>SUMIFS('Expenditure Breakdown'!$G$6:$G$131, 'Expenditure Breakdown'!$H$6:$H$131, "&gt;="&amp;Q1,'Expenditure Breakdown'!$H$6:$H$131, "&lt;"&amp;R1)</f>
        <v>0</v>
      </c>
      <c r="R5" s="250">
        <f>SUMIFS('Expenditure Breakdown'!$G$6:$G$131, 'Expenditure Breakdown'!$H$6:$H$131, "&gt;="&amp;R1,'Expenditure Breakdown'!$H$6:$H$131, "&lt;"&amp;S1)</f>
        <v>700.8</v>
      </c>
      <c r="S5" s="250">
        <f>SUMIFS('Expenditure Breakdown'!$G$6:$G$131, 'Expenditure Breakdown'!$H$6:$H$131, "&gt;="&amp;S1,'Expenditure Breakdown'!$H$6:$H$131, "&lt;"&amp;T1)</f>
        <v>0</v>
      </c>
      <c r="T5" s="250">
        <f>SUMIFS('Expenditure Breakdown'!$G$6:$G$131, 'Expenditure Breakdown'!$H$6:$H$131, "&gt;="&amp;T1,'Expenditure Breakdown'!$H$6:$H$131, "&lt;"&amp;U1)</f>
        <v>532583.5</v>
      </c>
      <c r="U5" s="250">
        <f>SUMIFS('Expenditure Breakdown'!$G$6:$G$131, 'Expenditure Breakdown'!$H$6:$H$131, "&gt;="&amp;U1,'Expenditure Breakdown'!$H$6:$H$131, "&lt;"&amp;V1)</f>
        <v>230615.91899999999</v>
      </c>
      <c r="V5" s="250">
        <f>SUMIFS('Expenditure Breakdown'!$G$6:$G$131, 'Expenditure Breakdown'!$H$6:$H$131, "&gt;="&amp;V1,'Expenditure Breakdown'!$H$6:$H$131, "&lt;"&amp;W1)</f>
        <v>55440</v>
      </c>
      <c r="W5" s="250">
        <f>SUMIFS('Expenditure Breakdown'!$G$6:$G$131, 'Expenditure Breakdown'!$H$6:$H$131, "&gt;="&amp;W1,'Expenditure Breakdown'!$H$6:$H$131, "&lt;"&amp;X1)</f>
        <v>89604.282000000007</v>
      </c>
      <c r="X5" s="250">
        <f>SUMIFS('Expenditure Breakdown'!$G$6:$G$131, 'Expenditure Breakdown'!$H$6:$H$131, "&gt;="&amp;X1,'Expenditure Breakdown'!$H$6:$H$131, "&lt;"&amp;Y1)</f>
        <v>26000</v>
      </c>
      <c r="Y5" s="250">
        <f>SUMIFS('Expenditure Breakdown'!$G$6:$G$131, 'Expenditure Breakdown'!$H$6:$H$131, "&gt;="&amp;Y1,'Expenditure Breakdown'!$H$6:$H$131, "&lt;"&amp;Z1)</f>
        <v>0</v>
      </c>
      <c r="Z5" s="250">
        <f>SUMIFS('Expenditure Breakdown'!$G$6:$G$131, 'Expenditure Breakdown'!$H$6:$H$131, "&gt;="&amp;Z1,'Expenditure Breakdown'!$H$6:$H$131, "&lt;"&amp;AA1)</f>
        <v>51247.982000000004</v>
      </c>
      <c r="AA5" s="250">
        <f>SUMIFS('Expenditure Breakdown'!$G$6:$G$131, 'Expenditure Breakdown'!$H$6:$H$131, "&gt;="&amp;AA1,'Expenditure Breakdown'!$H$6:$H$131, "&lt;"&amp;AB1)</f>
        <v>810052.14599999995</v>
      </c>
      <c r="AB5" s="250">
        <f>SUMIFS('Expenditure Breakdown'!$G$6:$G$131, 'Expenditure Breakdown'!$H$6:$H$131, "&gt;="&amp;AB1,'Expenditure Breakdown'!$H$6:$H$131, "&lt;"&amp;AC1)</f>
        <v>0</v>
      </c>
      <c r="AC5" s="250">
        <f>SUMIFS('Expenditure Breakdown'!$G$6:$G$131, 'Expenditure Breakdown'!$H$6:$H$131, "&gt;="&amp;AC1,'Expenditure Breakdown'!$H$6:$H$131, "&lt;"&amp;AD1)</f>
        <v>167648.56</v>
      </c>
      <c r="AD5" s="250">
        <f>SUMIFS('Expenditure Breakdown'!$G$6:$G$131, 'Expenditure Breakdown'!$H$6:$H$131, "&gt;="&amp;AD1,'Expenditure Breakdown'!$H$6:$H$131, "&lt;"&amp;AE1)</f>
        <v>0</v>
      </c>
      <c r="AE5" s="250">
        <f>SUMIFS('Expenditure Breakdown'!$G$6:$G$131, 'Expenditure Breakdown'!$H$6:$H$131, "&gt;="&amp;AE1,'Expenditure Breakdown'!$H$6:$H$131, "&lt;"&amp;AF1)</f>
        <v>25623.991000000002</v>
      </c>
      <c r="AF5" s="250">
        <f>SUMIFS('Expenditure Breakdown'!$G$6:$G$131, 'Expenditure Breakdown'!$H$6:$H$131, "&gt;="&amp;AF1,'Expenditure Breakdown'!$H$6:$H$131, "&lt;"&amp;AG1)</f>
        <v>0</v>
      </c>
      <c r="AG5" s="250">
        <f>SUMIFS('Expenditure Breakdown'!$G$6:$G$131, 'Expenditure Breakdown'!$H$6:$H$131, "&gt;="&amp;AG1,'Expenditure Breakdown'!$H$6:$H$131, "&lt;"&amp;AH1)</f>
        <v>0</v>
      </c>
      <c r="AH5" s="250">
        <f>SUMIFS('Expenditure Breakdown'!$G$6:$G$131, 'Expenditure Breakdown'!$H$6:$H$131, "&gt;="&amp;AH1,'Expenditure Breakdown'!$H$6:$H$131, "&lt;"&amp;AI1)</f>
        <v>0</v>
      </c>
      <c r="AI5" s="250">
        <f>SUMIFS('Expenditure Breakdown'!$G$6:$G$131, 'Expenditure Breakdown'!$H$6:$H$131, "&gt;="&amp;AI1,'Expenditure Breakdown'!$H$6:$H$131, "&lt;"&amp;AJ1)</f>
        <v>0</v>
      </c>
      <c r="AJ5" s="250">
        <f>SUMIFS('Expenditure Breakdown'!$G$6:$G$131, 'Expenditure Breakdown'!$H$6:$H$131, "&gt;="&amp;AJ1,'Expenditure Breakdown'!$H$6:$H$131, "&lt;"&amp;AK1)</f>
        <v>0</v>
      </c>
      <c r="AK5" s="250">
        <f>SUMIFS('Expenditure Breakdown'!$G$6:$G$131, 'Expenditure Breakdown'!$H$6:$H$131, "&gt;="&amp;AK1,'Expenditure Breakdown'!$H$6:$H$131, "&lt;"&amp;AL1)</f>
        <v>0</v>
      </c>
      <c r="AL5" s="250">
        <f>SUMIFS('Expenditure Breakdown'!$G$6:$G$131, 'Expenditure Breakdown'!$H$6:$H$131, "&gt;="&amp;AL1,'Expenditure Breakdown'!$H$6:$H$131, "&lt;"&amp;AM1)</f>
        <v>0</v>
      </c>
      <c r="AM5" s="250">
        <f>SUMIFS('Expenditure Breakdown'!$G$6:$G$131, 'Expenditure Breakdown'!$H$6:$H$131, "&gt;="&amp;AM1,'Expenditure Breakdown'!$H$6:$H$131, "&lt;"&amp;AN1)</f>
        <v>0</v>
      </c>
      <c r="AN5" s="250">
        <f>SUMIFS('Expenditure Breakdown'!$G$6:$G$131, 'Expenditure Breakdown'!$H$6:$H$131, "&gt;="&amp;AN1,'Expenditure Breakdown'!$H$6:$H$131, "&lt;"&amp;AO1)</f>
        <v>0</v>
      </c>
      <c r="AO5" s="250">
        <f>SUMIFS('Expenditure Breakdown'!$G$6:$G$131, 'Expenditure Breakdown'!$H$6:$H$131, "&gt;="&amp;AO1,'Expenditure Breakdown'!$H$6:$H$131, "&lt;"&amp;AP1)</f>
        <v>0</v>
      </c>
      <c r="AP5" s="250">
        <f>SUMIFS('Expenditure Breakdown'!$G$6:$G$131, 'Expenditure Breakdown'!$H$6:$H$131, "&gt;="&amp;AP1,'Expenditure Breakdown'!$H$6:$H$131, "&lt;"&amp;AQ1)</f>
        <v>0</v>
      </c>
      <c r="AQ5" s="250">
        <f>SUMIFS('Expenditure Breakdown'!$G$6:$G$131, 'Expenditure Breakdown'!$H$6:$H$131, "&gt;="&amp;AQ1,'Expenditure Breakdown'!$H$6:$H$131, "&lt;"&amp;AR1)</f>
        <v>0</v>
      </c>
      <c r="AR5" s="250">
        <f>SUMIFS('Expenditure Breakdown'!$G$6:$G$131, 'Expenditure Breakdown'!$H$6:$H$131, "&gt;="&amp;AR1,'Expenditure Breakdown'!$H$6:$H$131, "&lt;"&amp;AS1)</f>
        <v>0</v>
      </c>
      <c r="AS5" s="250">
        <f>SUMIFS('Expenditure Breakdown'!$G$6:$G$131, 'Expenditure Breakdown'!$H$6:$H$131, "&gt;="&amp;AS1,'Expenditure Breakdown'!$H$6:$H$131, "&lt;"&amp;AT1)</f>
        <v>0</v>
      </c>
      <c r="AT5" s="250">
        <f>SUMIFS('Expenditure Breakdown'!$G$6:$G$131, 'Expenditure Breakdown'!$H$6:$H$131, "&gt;="&amp;AT1,'Expenditure Breakdown'!$H$6:$H$131, "&lt;"&amp;AU1)</f>
        <v>0</v>
      </c>
      <c r="AU5" s="250">
        <f>SUMIFS('Expenditure Breakdown'!$G$6:$G$131, 'Expenditure Breakdown'!$H$6:$H$131, "&gt;="&amp;AU1,'Expenditure Breakdown'!$H$6:$H$131, "&lt;"&amp;AV1)</f>
        <v>0</v>
      </c>
      <c r="AV5" s="250">
        <f>SUMIFS('Expenditure Breakdown'!$G$6:$G$131, 'Expenditure Breakdown'!$H$6:$H$131, "&gt;="&amp;AV1,'Expenditure Breakdown'!$H$6:$H$131, "&lt;"&amp;AW1)</f>
        <v>0</v>
      </c>
      <c r="AW5" s="250">
        <f>SUMIFS('Expenditure Breakdown'!$G$6:$G$131, 'Expenditure Breakdown'!$H$6:$H$131, "&gt;="&amp;AW1,'Expenditure Breakdown'!$H$6:$H$131, "&lt;"&amp;AX1)</f>
        <v>0</v>
      </c>
      <c r="AX5" s="250">
        <f>SUMIFS('Expenditure Breakdown'!$G$6:$G$131, 'Expenditure Breakdown'!$H$6:$H$131, "&gt;="&amp;AX1,'Expenditure Breakdown'!$H$6:$H$131, "&lt;"&amp;AY1)</f>
        <v>0</v>
      </c>
      <c r="AY5" s="250">
        <f>SUMIFS('Expenditure Breakdown'!$G$6:$G$131, 'Expenditure Breakdown'!$H$6:$H$131, "&gt;="&amp;AY1,'Expenditure Breakdown'!$H$6:$H$131, "&lt;"&amp;AZ1)</f>
        <v>0</v>
      </c>
      <c r="AZ5" s="250">
        <f>SUMIFS('Expenditure Breakdown'!$G$6:$G$131, 'Expenditure Breakdown'!$H$6:$H$131, "&gt;="&amp;AZ1,'Expenditure Breakdown'!$H$6:$H$131, "&lt;"&amp;BA1)</f>
        <v>0</v>
      </c>
      <c r="BA5" s="250">
        <f>SUMIFS('Expenditure Breakdown'!$G$6:$G$131, 'Expenditure Breakdown'!$H$6:$H$131, "&gt;="&amp;BA1,'Expenditure Breakdown'!$H$6:$H$131, "&lt;"&amp;BB1)</f>
        <v>0</v>
      </c>
      <c r="BB5" s="250">
        <f>SUMIFS('Expenditure Breakdown'!$G$6:$G$131, 'Expenditure Breakdown'!$H$6:$H$131, "&gt;="&amp;BB1,'Expenditure Breakdown'!$H$6:$H$131, "&lt;"&amp;BC1)</f>
        <v>0</v>
      </c>
      <c r="BC5" s="250">
        <f>SUMIFS('Expenditure Breakdown'!$G$6:$G$131, 'Expenditure Breakdown'!$H$6:$H$131, "&gt;="&amp;BC1,'Expenditure Breakdown'!$H$6:$H$131, "&lt;"&amp;BD1)</f>
        <v>0</v>
      </c>
      <c r="BD5" s="250">
        <f>SUMIFS('Expenditure Breakdown'!$G$6:$G$131, 'Expenditure Breakdown'!$H$6:$H$131, "&gt;="&amp;BD1,'Expenditure Breakdown'!$H$6:$H$131, "&lt;"&amp;BE1)</f>
        <v>0</v>
      </c>
      <c r="BE5" s="250">
        <f>SUMIFS('Expenditure Breakdown'!$G$6:$G$131, 'Expenditure Breakdown'!$H$6:$H$131, "&gt;="&amp;BE1,'Expenditure Breakdown'!$H$6:$H$131, "&lt;"&amp;BF1)</f>
        <v>0</v>
      </c>
      <c r="BF5" s="250">
        <f>SUMIFS('Expenditure Breakdown'!$G$6:$G$131, 'Expenditure Breakdown'!$H$6:$H$131, "&gt;="&amp;BF1,'Expenditure Breakdown'!$H$6:$H$131, "&lt;"&amp;BG1)</f>
        <v>0</v>
      </c>
      <c r="BG5" s="250">
        <f>SUMIFS('Expenditure Breakdown'!$G$6:$G$131, 'Expenditure Breakdown'!$H$6:$H$131, "&gt;="&amp;BG1,'Expenditure Breakdown'!$H$6:$H$131, "&lt;"&amp;BH1)</f>
        <v>0</v>
      </c>
      <c r="BH5" s="250">
        <f>SUMIFS('Expenditure Breakdown'!$G$6:$G$131, 'Expenditure Breakdown'!$H$6:$H$131, "&gt;="&amp;BH1,'Expenditure Breakdown'!$H$6:$H$131, "&lt;"&amp;BI1)</f>
        <v>0</v>
      </c>
      <c r="BI5" s="250">
        <f>SUMIFS('Expenditure Breakdown'!$G$6:$G$131, 'Expenditure Breakdown'!$H$6:$H$131, "&gt;="&amp;BI1,'Expenditure Breakdown'!$H$6:$H$131, "&lt;"&amp;BJ1)</f>
        <v>0</v>
      </c>
      <c r="BJ5" s="250">
        <f>SUMIFS('Expenditure Breakdown'!$G$6:$G$131, 'Expenditure Breakdown'!$H$6:$H$131, "&gt;="&amp;BJ1,'Expenditure Breakdown'!$H$6:$H$131, "&lt;"&amp;BK1)</f>
        <v>0</v>
      </c>
      <c r="BK5" s="250">
        <f>SUMIFS('Expenditure Breakdown'!$G$6:$G$131, 'Expenditure Breakdown'!$H$6:$H$131, "&gt;="&amp;BK1,'Expenditure Breakdown'!$H$6:$H$131, "&lt;"&amp;BL1)</f>
        <v>0</v>
      </c>
      <c r="BL5" s="250">
        <f>SUMIFS('Expenditure Breakdown'!$G$6:$G$131, 'Expenditure Breakdown'!$H$6:$H$131, "&gt;="&amp;BL1,'Expenditure Breakdown'!$H$6:$H$131, "&lt;"&amp;BM1)</f>
        <v>0</v>
      </c>
      <c r="BM5" s="250">
        <f>SUMIFS('Expenditure Breakdown'!$G$6:$G$131, 'Expenditure Breakdown'!$H$6:$H$131, "&gt;="&amp;BM1,'Expenditure Breakdown'!$H$6:$H$131, "&lt;"&amp;BN1)</f>
        <v>0</v>
      </c>
      <c r="BN5" s="250">
        <f>SUMIFS('Expenditure Breakdown'!$G$6:$G$131, 'Expenditure Breakdown'!$H$6:$H$131, "&gt;="&amp;BN1,'Expenditure Breakdown'!$H$6:$H$131, "&lt;"&amp;BO1)</f>
        <v>0</v>
      </c>
      <c r="BO5" s="250">
        <f>SUMIFS('Expenditure Breakdown'!$G$6:$G$131, 'Expenditure Breakdown'!$H$6:$H$131, "&gt;="&amp;BO1,'Expenditure Breakdown'!$H$6:$H$131, "&lt;"&amp;BP1)</f>
        <v>0</v>
      </c>
      <c r="BP5" s="250">
        <f>SUMIFS('Expenditure Breakdown'!$G$6:$G$131, 'Expenditure Breakdown'!$H$6:$H$131, "&gt;="&amp;BP1,'Expenditure Breakdown'!$H$6:$H$131, "&lt;"&amp;BQ1)</f>
        <v>0</v>
      </c>
      <c r="BQ5" s="250">
        <f>SUMIFS('Expenditure Breakdown'!$G$6:$G$131, 'Expenditure Breakdown'!$H$6:$H$131, "&gt;="&amp;BQ1,'Expenditure Breakdown'!$H$6:$H$131, "&lt;"&amp;BR1)</f>
        <v>0</v>
      </c>
      <c r="BR5" s="250">
        <f>SUMIFS('Expenditure Breakdown'!$G$6:$G$131, 'Expenditure Breakdown'!$H$6:$H$131, "&gt;="&amp;BR1,'Expenditure Breakdown'!$H$6:$H$131, "&lt;"&amp;BS1)</f>
        <v>0</v>
      </c>
      <c r="BS5" s="250">
        <f>SUMIFS('Expenditure Breakdown'!$G$6:$G$131, 'Expenditure Breakdown'!$H$6:$H$131, "&gt;="&amp;BS1,'Expenditure Breakdown'!$H$6:$H$131, "&lt;"&amp;BT1)</f>
        <v>0</v>
      </c>
      <c r="BT5" s="250">
        <f>SUMIFS('Expenditure Breakdown'!$G$6:$G$131, 'Expenditure Breakdown'!$H$6:$H$131, "&gt;="&amp;BT1,'Expenditure Breakdown'!$H$6:$H$131, "&lt;"&amp;BU1)</f>
        <v>0</v>
      </c>
      <c r="BU5" s="250">
        <f>SUMIFS('Expenditure Breakdown'!$G$6:$G$131, 'Expenditure Breakdown'!$H$6:$H$131, "&gt;="&amp;BU1,'Expenditure Breakdown'!$H$6:$H$131, "&lt;"&amp;BV1)</f>
        <v>0</v>
      </c>
      <c r="BV5" s="250">
        <f>SUMIFS('Expenditure Breakdown'!$G$6:$G$131, 'Expenditure Breakdown'!$H$6:$H$131, "&gt;="&amp;BV1,'Expenditure Breakdown'!$H$6:$H$131, "&lt;"&amp;BW1)</f>
        <v>0</v>
      </c>
      <c r="BW5" s="250">
        <f>SUMIFS('Expenditure Breakdown'!$G$6:$G$131, 'Expenditure Breakdown'!$H$6:$H$131, "&gt;="&amp;BW1,'Expenditure Breakdown'!$H$6:$H$131, "&lt;"&amp;BX1)</f>
        <v>0</v>
      </c>
      <c r="BX5" s="250">
        <f>SUMIFS('Expenditure Breakdown'!$G$6:$G$131, 'Expenditure Breakdown'!$H$6:$H$131, "&gt;="&amp;BX1,'Expenditure Breakdown'!$H$6:$H$131, "&lt;"&amp;BY1)</f>
        <v>0</v>
      </c>
      <c r="BY5" s="250">
        <f>SUMIFS('Expenditure Breakdown'!$G$6:$G$131, 'Expenditure Breakdown'!$H$6:$H$131, "&gt;="&amp;BY1,'Expenditure Breakdown'!$H$6:$H$131, "&lt;"&amp;BZ1)</f>
        <v>0</v>
      </c>
      <c r="BZ5" s="250">
        <f>SUMIFS('Expenditure Breakdown'!$G$6:$G$131, 'Expenditure Breakdown'!$H$6:$H$131, "&gt;="&amp;BZ1,'Expenditure Breakdown'!$H$6:$H$131, "&lt;"&amp;CA1)</f>
        <v>0</v>
      </c>
      <c r="CA5" s="250">
        <f>SUMIFS('Expenditure Breakdown'!$G$6:$G$131, 'Expenditure Breakdown'!$H$6:$H$131, "&gt;="&amp;CA1,'Expenditure Breakdown'!$H$6:$H$131, "&lt;"&amp;CB1)</f>
        <v>0</v>
      </c>
      <c r="CB5" s="250">
        <f>SUMIFS('Expenditure Breakdown'!$G$6:$G$131, 'Expenditure Breakdown'!$H$6:$H$131, "&gt;="&amp;CB1,'Expenditure Breakdown'!$H$6:$H$131, "&lt;"&amp;DS1)</f>
        <v>0</v>
      </c>
      <c r="CC5" s="250">
        <f>SUMIFS('Expenditure Breakdown'!$G$6:$G$131, 'Expenditure Breakdown'!$H$6:$H$131, "&gt;="&amp;CC1,'Expenditure Breakdown'!$H$6:$H$131, "&lt;"&amp;DT1)</f>
        <v>0</v>
      </c>
      <c r="CD5" s="250">
        <f>SUMIFS('Expenditure Breakdown'!$G$6:$G$131, 'Expenditure Breakdown'!$H$6:$H$131, "&gt;="&amp;CD1,'Expenditure Breakdown'!$H$6:$H$131, "&lt;"&amp;DU1)</f>
        <v>0</v>
      </c>
      <c r="CE5" s="250">
        <f>SUMIFS('Expenditure Breakdown'!$G$6:$G$131, 'Expenditure Breakdown'!$H$6:$H$131, "&gt;="&amp;CE1,'Expenditure Breakdown'!$H$6:$H$131, "&lt;"&amp;DV1)</f>
        <v>0</v>
      </c>
      <c r="CF5" s="250">
        <f>SUMIFS('Expenditure Breakdown'!$G$6:$G$131, 'Expenditure Breakdown'!$H$6:$H$131, "&gt;="&amp;CF1,'Expenditure Breakdown'!$H$6:$H$131, "&lt;"&amp;DW1)</f>
        <v>0</v>
      </c>
      <c r="CG5" s="250">
        <f>SUMIFS('Expenditure Breakdown'!$G$6:$G$131, 'Expenditure Breakdown'!$H$6:$H$131, "&gt;="&amp;CG1,'Expenditure Breakdown'!$H$6:$H$131, "&lt;"&amp;DX1)</f>
        <v>0</v>
      </c>
      <c r="CH5" s="250">
        <f>SUMIFS('Expenditure Breakdown'!$G$6:$G$131, 'Expenditure Breakdown'!$H$6:$H$131, "&gt;="&amp;CH1,'Expenditure Breakdown'!$H$6:$H$131, "&lt;"&amp;DY1)</f>
        <v>0</v>
      </c>
      <c r="CI5" s="250">
        <f>SUMIFS('Expenditure Breakdown'!$G$6:$G$131, 'Expenditure Breakdown'!$H$6:$H$131, "&gt;="&amp;CI1,'Expenditure Breakdown'!$H$6:$H$131, "&lt;"&amp;DZ1)</f>
        <v>0</v>
      </c>
      <c r="CJ5" s="250">
        <f>SUMIFS('Expenditure Breakdown'!$G$6:$G$131, 'Expenditure Breakdown'!$H$6:$H$131, "&gt;="&amp;CJ1,'Expenditure Breakdown'!$H$6:$H$131, "&lt;"&amp;EA1)</f>
        <v>0</v>
      </c>
      <c r="CK5" s="250">
        <f>SUMIFS('Expenditure Breakdown'!$G$6:$G$131, 'Expenditure Breakdown'!$H$6:$H$131, "&gt;="&amp;CK1,'Expenditure Breakdown'!$H$6:$H$131, "&lt;"&amp;EB1)</f>
        <v>0</v>
      </c>
      <c r="CL5" s="250">
        <f>SUMIFS('Expenditure Breakdown'!$G$6:$G$131, 'Expenditure Breakdown'!$H$6:$H$131, "&gt;="&amp;CL1,'Expenditure Breakdown'!$H$6:$H$131, "&lt;"&amp;EC1)</f>
        <v>0</v>
      </c>
      <c r="CM5" s="250">
        <f>SUMIFS('Expenditure Breakdown'!$G$6:$G$131, 'Expenditure Breakdown'!$H$6:$H$131, "&gt;="&amp;CM1,'Expenditure Breakdown'!$H$6:$H$131, "&lt;"&amp;ED1)</f>
        <v>0</v>
      </c>
      <c r="CN5" s="250">
        <f>SUMIFS('Expenditure Breakdown'!$G$6:$G$131, 'Expenditure Breakdown'!$H$6:$H$131, "&gt;="&amp;CN1,'Expenditure Breakdown'!$H$6:$H$131, "&lt;"&amp;EE1)</f>
        <v>0</v>
      </c>
      <c r="CO5" s="250">
        <f>SUMIFS('Expenditure Breakdown'!$G$6:$G$131, 'Expenditure Breakdown'!$H$6:$H$131, "&gt;="&amp;CO1,'Expenditure Breakdown'!$H$6:$H$131, "&lt;"&amp;EF1)</f>
        <v>0</v>
      </c>
      <c r="CP5" s="250">
        <f>SUMIFS('Expenditure Breakdown'!$G$6:$G$131, 'Expenditure Breakdown'!$H$6:$H$131, "&gt;="&amp;CP1,'Expenditure Breakdown'!$H$6:$H$131, "&lt;"&amp;EG1)</f>
        <v>0</v>
      </c>
      <c r="CQ5" s="250">
        <f>SUMIFS('Expenditure Breakdown'!$G$6:$G$131, 'Expenditure Breakdown'!$H$6:$H$131, "&gt;="&amp;CQ1,'Expenditure Breakdown'!$H$6:$H$131, "&lt;"&amp;EH1)</f>
        <v>0</v>
      </c>
      <c r="CR5" s="250">
        <f>SUMIFS('Expenditure Breakdown'!$G$6:$G$131, 'Expenditure Breakdown'!$H$6:$H$131, "&gt;="&amp;CR1,'Expenditure Breakdown'!$H$6:$H$131, "&lt;"&amp;EI1)</f>
        <v>0</v>
      </c>
      <c r="CS5" s="250">
        <f>SUMIFS('Expenditure Breakdown'!$G$6:$G$131, 'Expenditure Breakdown'!$H$6:$H$131, "&gt;="&amp;CS1,'Expenditure Breakdown'!$H$6:$H$131, "&lt;"&amp;EJ1)</f>
        <v>0</v>
      </c>
      <c r="CT5" s="250">
        <f>SUMIFS('Expenditure Breakdown'!$G$6:$G$131, 'Expenditure Breakdown'!$H$6:$H$131, "&gt;="&amp;CT1,'Expenditure Breakdown'!$H$6:$H$131, "&lt;"&amp;EK1)</f>
        <v>0</v>
      </c>
      <c r="CU5" s="250">
        <f>SUMIFS('Expenditure Breakdown'!$G$6:$G$131, 'Expenditure Breakdown'!$H$6:$H$131, "&gt;="&amp;CU1,'Expenditure Breakdown'!$H$6:$H$131, "&lt;"&amp;EL1)</f>
        <v>0</v>
      </c>
      <c r="CV5" s="250">
        <f>SUMIFS('Expenditure Breakdown'!$G$6:$G$131, 'Expenditure Breakdown'!$H$6:$H$131, "&gt;="&amp;CV1,'Expenditure Breakdown'!$H$6:$H$131, "&lt;"&amp;EM1)</f>
        <v>0</v>
      </c>
      <c r="CW5" s="250">
        <f>SUMIFS('Expenditure Breakdown'!$G$6:$G$131, 'Expenditure Breakdown'!$H$6:$H$131, "&gt;="&amp;CW1,'Expenditure Breakdown'!$H$6:$H$131, "&lt;"&amp;EN1)</f>
        <v>0</v>
      </c>
      <c r="CX5" s="250">
        <f>SUMIFS('Expenditure Breakdown'!$G$6:$G$131, 'Expenditure Breakdown'!$H$6:$H$131, "&gt;="&amp;CX1,'Expenditure Breakdown'!$H$6:$H$131, "&lt;"&amp;EO1)</f>
        <v>0</v>
      </c>
      <c r="CY5" s="250">
        <f>SUMIFS('Expenditure Breakdown'!$G$6:$G$131, 'Expenditure Breakdown'!$H$6:$H$131, "&gt;="&amp;CY1,'Expenditure Breakdown'!$H$6:$H$131, "&lt;"&amp;EP1)</f>
        <v>0</v>
      </c>
      <c r="CZ5" s="250">
        <f>SUMIFS('Expenditure Breakdown'!$G$6:$G$131, 'Expenditure Breakdown'!$H$6:$H$131, "&gt;="&amp;CZ1,'Expenditure Breakdown'!$H$6:$H$131, "&lt;"&amp;EQ1)</f>
        <v>0</v>
      </c>
      <c r="DA5" s="250">
        <f>SUMIFS('Expenditure Breakdown'!$G$6:$G$131, 'Expenditure Breakdown'!$H$6:$H$131, "&gt;="&amp;DA1,'Expenditure Breakdown'!$H$6:$H$131, "&lt;"&amp;ER1)</f>
        <v>0</v>
      </c>
      <c r="DB5" s="250">
        <f>SUMIFS('Expenditure Breakdown'!$G$6:$G$131, 'Expenditure Breakdown'!$H$6:$H$131, "&gt;="&amp;DB1,'Expenditure Breakdown'!$H$6:$H$131, "&lt;"&amp;ES1)</f>
        <v>0</v>
      </c>
      <c r="DC5" s="250">
        <f>SUMIFS('Expenditure Breakdown'!$G$6:$G$131, 'Expenditure Breakdown'!$H$6:$H$131, "&gt;="&amp;DC1,'Expenditure Breakdown'!$H$6:$H$131, "&lt;"&amp;ET1)</f>
        <v>0</v>
      </c>
      <c r="DD5" s="250">
        <f>SUMIFS('Expenditure Breakdown'!$G$6:$G$131, 'Expenditure Breakdown'!$H$6:$H$131, "&gt;="&amp;DD1,'Expenditure Breakdown'!$H$6:$H$131, "&lt;"&amp;EU1)</f>
        <v>0</v>
      </c>
      <c r="DE5" s="250">
        <f>SUMIFS('Expenditure Breakdown'!$G$6:$G$131, 'Expenditure Breakdown'!$H$6:$H$131, "&gt;="&amp;DE1,'Expenditure Breakdown'!$H$6:$H$131, "&lt;"&amp;EV1)</f>
        <v>0</v>
      </c>
      <c r="DF5" s="250">
        <f>SUMIFS('Expenditure Breakdown'!$G$6:$G$131, 'Expenditure Breakdown'!$H$6:$H$131, "&gt;="&amp;DF1,'Expenditure Breakdown'!$H$6:$H$131, "&lt;"&amp;EW1)</f>
        <v>0</v>
      </c>
      <c r="DG5" s="250">
        <f>SUMIFS('Expenditure Breakdown'!$G$6:$G$131, 'Expenditure Breakdown'!$H$6:$H$131, "&gt;="&amp;DG1,'Expenditure Breakdown'!$H$6:$H$131, "&lt;"&amp;EX1)</f>
        <v>0</v>
      </c>
      <c r="DH5" s="250">
        <f>SUMIFS('Expenditure Breakdown'!$G$6:$G$131, 'Expenditure Breakdown'!$H$6:$H$131, "&gt;="&amp;DH1,'Expenditure Breakdown'!$H$6:$H$131, "&lt;"&amp;EY1)</f>
        <v>0</v>
      </c>
      <c r="DI5" s="250">
        <f>SUMIFS('Expenditure Breakdown'!$G$6:$G$131, 'Expenditure Breakdown'!$H$6:$H$131, "&gt;="&amp;DI1,'Expenditure Breakdown'!$H$6:$H$131, "&lt;"&amp;EZ1)</f>
        <v>0</v>
      </c>
      <c r="DJ5" s="250">
        <f>SUMIFS('Expenditure Breakdown'!$G$6:$G$131, 'Expenditure Breakdown'!$H$6:$H$131, "&gt;="&amp;DJ1,'Expenditure Breakdown'!$H$6:$H$131, "&lt;"&amp;FA1)</f>
        <v>0</v>
      </c>
      <c r="DK5" s="250">
        <f>SUMIFS('Expenditure Breakdown'!$G$6:$G$131, 'Expenditure Breakdown'!$H$6:$H$131, "&gt;="&amp;DK1,'Expenditure Breakdown'!$H$6:$H$131, "&lt;"&amp;FB1)</f>
        <v>0</v>
      </c>
      <c r="DL5" s="250">
        <f>SUMIFS('Expenditure Breakdown'!$G$6:$G$131, 'Expenditure Breakdown'!$H$6:$H$131, "&gt;="&amp;DL1,'Expenditure Breakdown'!$H$6:$H$131, "&lt;"&amp;FC1)</f>
        <v>0</v>
      </c>
      <c r="DM5" s="250">
        <f>SUMIFS('Expenditure Breakdown'!$G$6:$G$131, 'Expenditure Breakdown'!$H$6:$H$131, "&gt;="&amp;DM1,'Expenditure Breakdown'!$H$6:$H$131, "&lt;"&amp;FD1)</f>
        <v>0</v>
      </c>
      <c r="DN5" s="250">
        <f>SUMIFS('Expenditure Breakdown'!$G$6:$G$131, 'Expenditure Breakdown'!$H$6:$H$131, "&gt;="&amp;DN1,'Expenditure Breakdown'!$H$6:$H$131, "&lt;"&amp;FE1)</f>
        <v>0</v>
      </c>
      <c r="DO5" s="250">
        <f>SUMIFS('Expenditure Breakdown'!$G$6:$G$131, 'Expenditure Breakdown'!$H$6:$H$131, "&gt;="&amp;DO1,'Expenditure Breakdown'!$H$6:$H$131, "&lt;"&amp;FF1)</f>
        <v>0</v>
      </c>
      <c r="DP5" s="250">
        <f>SUMIFS('Expenditure Breakdown'!$G$6:$G$131, 'Expenditure Breakdown'!$H$6:$H$131, "&gt;="&amp;DP1,'Expenditure Breakdown'!$H$6:$H$131, "&lt;"&amp;FG1)</f>
        <v>0</v>
      </c>
      <c r="DQ5" s="250">
        <f>SUMIFS('Expenditure Breakdown'!$G$6:$G$131, 'Expenditure Breakdown'!$H$6:$H$131, "&gt;="&amp;DQ1,'Expenditure Breakdown'!$H$6:$H$131, "&lt;"&amp;FH1)</f>
        <v>0</v>
      </c>
      <c r="DR5" s="250">
        <f>SUMIFS('Expenditure Breakdown'!$G$6:$G$131, 'Expenditure Breakdown'!$H$6:$H$131, "&gt;="&amp;DR1,'Expenditure Breakdown'!$H$6:$H$131, "&lt;"&amp;FI1)</f>
        <v>0</v>
      </c>
      <c r="DS5" s="240"/>
      <c r="DT5" s="251"/>
      <c r="DU5" s="251"/>
    </row>
    <row r="6" spans="1:600" s="252" customFormat="1" ht="15">
      <c r="A6" s="980"/>
      <c r="B6" s="248" t="s">
        <v>409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140">H6+I5</f>
        <v>0</v>
      </c>
      <c r="J6" s="250">
        <f t="shared" si="140"/>
        <v>0</v>
      </c>
      <c r="K6" s="250">
        <f t="shared" ref="K6" si="141">J6+K5</f>
        <v>0</v>
      </c>
      <c r="L6" s="250">
        <f t="shared" ref="L6" si="142">K6+L5</f>
        <v>0</v>
      </c>
      <c r="M6" s="250">
        <f t="shared" ref="M6" si="143">L6+M5</f>
        <v>0</v>
      </c>
      <c r="N6" s="250">
        <f t="shared" ref="N6" si="144">M6+N5</f>
        <v>0</v>
      </c>
      <c r="O6" s="250">
        <f t="shared" ref="O6" si="145">N6+O5</f>
        <v>20805</v>
      </c>
      <c r="P6" s="250">
        <f t="shared" ref="P6" si="146">O6+P5</f>
        <v>115676.973</v>
      </c>
      <c r="Q6" s="250">
        <f t="shared" ref="Q6" si="147">P6+Q5</f>
        <v>115676.973</v>
      </c>
      <c r="R6" s="250">
        <f t="shared" ref="R6" si="148">Q6+R5</f>
        <v>116377.773</v>
      </c>
      <c r="S6" s="250">
        <f t="shared" ref="S6" si="149">R6+S5</f>
        <v>116377.773</v>
      </c>
      <c r="T6" s="250">
        <f t="shared" ref="T6" si="150">S6+T5</f>
        <v>648961.27300000004</v>
      </c>
      <c r="U6" s="250">
        <f t="shared" ref="U6" si="151">T6+U5</f>
        <v>879577.19200000004</v>
      </c>
      <c r="V6" s="250">
        <f t="shared" ref="V6" si="152">U6+V5</f>
        <v>935017.19200000004</v>
      </c>
      <c r="W6" s="250">
        <f t="shared" ref="W6" si="153">V6+W5</f>
        <v>1024621.474</v>
      </c>
      <c r="X6" s="250">
        <f t="shared" ref="X6" si="154">W6+X5</f>
        <v>1050621.4739999999</v>
      </c>
      <c r="Y6" s="250">
        <f t="shared" ref="Y6" si="155">X6+Y5</f>
        <v>1050621.4739999999</v>
      </c>
      <c r="Z6" s="250">
        <f t="shared" ref="Z6" si="156">Y6+Z5</f>
        <v>1101869.456</v>
      </c>
      <c r="AA6" s="250">
        <f t="shared" ref="AA6" si="157">Z6+AA5</f>
        <v>1911921.602</v>
      </c>
      <c r="AB6" s="250">
        <f t="shared" ref="AB6" si="158">AA6+AB5</f>
        <v>1911921.602</v>
      </c>
      <c r="AC6" s="250">
        <f t="shared" ref="AC6" si="159">AB6+AC5</f>
        <v>2079570.162</v>
      </c>
      <c r="AD6" s="250">
        <f t="shared" ref="AD6" si="160">AC6+AD5</f>
        <v>2079570.162</v>
      </c>
      <c r="AE6" s="250">
        <f t="shared" ref="AE6" si="161">AD6+AE5</f>
        <v>2105194.1529999999</v>
      </c>
      <c r="AF6" s="250">
        <f t="shared" ref="AF6" si="162">AE6+AF5</f>
        <v>2105194.1529999999</v>
      </c>
      <c r="AG6" s="250">
        <f t="shared" ref="AG6" si="163">AF6+AG5</f>
        <v>2105194.1529999999</v>
      </c>
      <c r="AH6" s="250">
        <f t="shared" ref="AH6" si="164">AG6+AH5</f>
        <v>2105194.1529999999</v>
      </c>
      <c r="AI6" s="250">
        <f t="shared" ref="AI6" si="165">AH6+AI5</f>
        <v>2105194.1529999999</v>
      </c>
      <c r="AJ6" s="250">
        <f t="shared" ref="AJ6" si="166">AI6+AJ5</f>
        <v>2105194.1529999999</v>
      </c>
      <c r="AK6" s="250">
        <f t="shared" ref="AK6:BQ6" si="167">AJ6+AK5</f>
        <v>2105194.1529999999</v>
      </c>
      <c r="AL6" s="250">
        <f t="shared" si="167"/>
        <v>2105194.1529999999</v>
      </c>
      <c r="AM6" s="250">
        <f t="shared" si="167"/>
        <v>2105194.1529999999</v>
      </c>
      <c r="AN6" s="250">
        <f t="shared" si="167"/>
        <v>2105194.1529999999</v>
      </c>
      <c r="AO6" s="250">
        <f t="shared" si="167"/>
        <v>2105194.1529999999</v>
      </c>
      <c r="AP6" s="250">
        <f t="shared" si="167"/>
        <v>2105194.1529999999</v>
      </c>
      <c r="AQ6" s="250">
        <f t="shared" si="167"/>
        <v>2105194.1529999999</v>
      </c>
      <c r="AR6" s="250">
        <f t="shared" si="167"/>
        <v>2105194.1529999999</v>
      </c>
      <c r="AS6" s="250">
        <f t="shared" si="167"/>
        <v>2105194.1529999999</v>
      </c>
      <c r="AT6" s="250">
        <f t="shared" si="167"/>
        <v>2105194.1529999999</v>
      </c>
      <c r="AU6" s="250">
        <f t="shared" si="167"/>
        <v>2105194.1529999999</v>
      </c>
      <c r="AV6" s="250">
        <f t="shared" si="167"/>
        <v>2105194.1529999999</v>
      </c>
      <c r="AW6" s="250">
        <f t="shared" si="167"/>
        <v>2105194.1529999999</v>
      </c>
      <c r="AX6" s="250">
        <f t="shared" si="167"/>
        <v>2105194.1529999999</v>
      </c>
      <c r="AY6" s="250">
        <f t="shared" si="167"/>
        <v>2105194.1529999999</v>
      </c>
      <c r="AZ6" s="250">
        <f t="shared" si="167"/>
        <v>2105194.1529999999</v>
      </c>
      <c r="BA6" s="250">
        <f t="shared" si="167"/>
        <v>2105194.1529999999</v>
      </c>
      <c r="BB6" s="250">
        <f t="shared" si="167"/>
        <v>2105194.1529999999</v>
      </c>
      <c r="BC6" s="250">
        <f t="shared" si="167"/>
        <v>2105194.1529999999</v>
      </c>
      <c r="BD6" s="250">
        <f t="shared" si="167"/>
        <v>2105194.1529999999</v>
      </c>
      <c r="BE6" s="250">
        <f t="shared" si="167"/>
        <v>2105194.1529999999</v>
      </c>
      <c r="BF6" s="250">
        <f t="shared" si="167"/>
        <v>2105194.1529999999</v>
      </c>
      <c r="BG6" s="250">
        <f t="shared" si="167"/>
        <v>2105194.1529999999</v>
      </c>
      <c r="BH6" s="250">
        <f t="shared" si="167"/>
        <v>2105194.1529999999</v>
      </c>
      <c r="BI6" s="250">
        <f t="shared" si="167"/>
        <v>2105194.1529999999</v>
      </c>
      <c r="BJ6" s="250">
        <f t="shared" si="167"/>
        <v>2105194.1529999999</v>
      </c>
      <c r="BK6" s="250">
        <f t="shared" si="167"/>
        <v>2105194.1529999999</v>
      </c>
      <c r="BL6" s="250">
        <f t="shared" si="167"/>
        <v>2105194.1529999999</v>
      </c>
      <c r="BM6" s="250">
        <f t="shared" si="167"/>
        <v>2105194.1529999999</v>
      </c>
      <c r="BN6" s="250">
        <f t="shared" si="167"/>
        <v>2105194.1529999999</v>
      </c>
      <c r="BO6" s="250">
        <f t="shared" si="167"/>
        <v>2105194.1529999999</v>
      </c>
      <c r="BP6" s="250">
        <f t="shared" si="167"/>
        <v>2105194.1529999999</v>
      </c>
      <c r="BQ6" s="250">
        <f t="shared" si="167"/>
        <v>2105194.1529999999</v>
      </c>
      <c r="BR6" s="250">
        <f t="shared" ref="BR6:CC6" si="168">BQ6+BR5</f>
        <v>2105194.1529999999</v>
      </c>
      <c r="BS6" s="250">
        <f t="shared" si="168"/>
        <v>2105194.1529999999</v>
      </c>
      <c r="BT6" s="250">
        <f t="shared" si="168"/>
        <v>2105194.1529999999</v>
      </c>
      <c r="BU6" s="250">
        <f t="shared" si="168"/>
        <v>2105194.1529999999</v>
      </c>
      <c r="BV6" s="250">
        <f t="shared" si="168"/>
        <v>2105194.1529999999</v>
      </c>
      <c r="BW6" s="250">
        <f t="shared" si="168"/>
        <v>2105194.1529999999</v>
      </c>
      <c r="BX6" s="250">
        <f t="shared" si="168"/>
        <v>2105194.1529999999</v>
      </c>
      <c r="BY6" s="250">
        <f t="shared" si="168"/>
        <v>2105194.1529999999</v>
      </c>
      <c r="BZ6" s="250">
        <f t="shared" si="168"/>
        <v>2105194.1529999999</v>
      </c>
      <c r="CA6" s="250">
        <f t="shared" si="168"/>
        <v>2105194.1529999999</v>
      </c>
      <c r="CB6" s="250">
        <f t="shared" si="168"/>
        <v>2105194.1529999999</v>
      </c>
      <c r="CC6" s="250">
        <f t="shared" si="168"/>
        <v>2105194.1529999999</v>
      </c>
      <c r="CD6" s="250">
        <f t="shared" ref="CD6" si="169">CC6+CD5</f>
        <v>2105194.1529999999</v>
      </c>
      <c r="CE6" s="250">
        <f t="shared" ref="CE6" si="170">CD6+CE5</f>
        <v>2105194.1529999999</v>
      </c>
      <c r="CF6" s="250">
        <f t="shared" ref="CF6" si="171">CE6+CF5</f>
        <v>2105194.1529999999</v>
      </c>
      <c r="CG6" s="250">
        <f t="shared" ref="CG6" si="172">CF6+CG5</f>
        <v>2105194.1529999999</v>
      </c>
      <c r="CH6" s="250">
        <f t="shared" ref="CH6" si="173">CG6+CH5</f>
        <v>2105194.1529999999</v>
      </c>
      <c r="CI6" s="250">
        <f t="shared" ref="CI6" si="174">CH6+CI5</f>
        <v>2105194.1529999999</v>
      </c>
      <c r="CJ6" s="250">
        <f t="shared" ref="CJ6" si="175">CI6+CJ5</f>
        <v>2105194.1529999999</v>
      </c>
      <c r="CK6" s="250">
        <f t="shared" ref="CK6" si="176">CJ6+CK5</f>
        <v>2105194.1529999999</v>
      </c>
      <c r="CL6" s="250">
        <f t="shared" ref="CL6" si="177">CK6+CL5</f>
        <v>2105194.1529999999</v>
      </c>
      <c r="CM6" s="250">
        <f t="shared" ref="CM6" si="178">CL6+CM5</f>
        <v>2105194.1529999999</v>
      </c>
      <c r="CN6" s="250">
        <f t="shared" ref="CN6" si="179">CM6+CN5</f>
        <v>2105194.1529999999</v>
      </c>
      <c r="CO6" s="250">
        <f t="shared" ref="CO6" si="180">CN6+CO5</f>
        <v>2105194.1529999999</v>
      </c>
      <c r="CP6" s="250">
        <f t="shared" ref="CP6" si="181">CO6+CP5</f>
        <v>2105194.1529999999</v>
      </c>
      <c r="CQ6" s="250">
        <f t="shared" ref="CQ6" si="182">CP6+CQ5</f>
        <v>2105194.1529999999</v>
      </c>
      <c r="CR6" s="250">
        <f t="shared" ref="CR6" si="183">CQ6+CR5</f>
        <v>2105194.1529999999</v>
      </c>
      <c r="CS6" s="250">
        <f t="shared" ref="CS6" si="184">CR6+CS5</f>
        <v>2105194.1529999999</v>
      </c>
      <c r="CT6" s="250">
        <f t="shared" ref="CT6" si="185">CS6+CT5</f>
        <v>2105194.1529999999</v>
      </c>
      <c r="CU6" s="250">
        <f t="shared" ref="CU6" si="186">CT6+CU5</f>
        <v>2105194.1529999999</v>
      </c>
      <c r="CV6" s="250">
        <f t="shared" ref="CV6" si="187">CU6+CV5</f>
        <v>2105194.1529999999</v>
      </c>
      <c r="CW6" s="250">
        <f t="shared" ref="CW6" si="188">CV6+CW5</f>
        <v>2105194.1529999999</v>
      </c>
      <c r="CX6" s="250">
        <f t="shared" ref="CX6" si="189">CW6+CX5</f>
        <v>2105194.1529999999</v>
      </c>
      <c r="CY6" s="250">
        <f t="shared" ref="CY6" si="190">CX6+CY5</f>
        <v>2105194.1529999999</v>
      </c>
      <c r="CZ6" s="250">
        <f t="shared" ref="CZ6" si="191">CY6+CZ5</f>
        <v>2105194.1529999999</v>
      </c>
      <c r="DA6" s="250">
        <f t="shared" ref="DA6" si="192">CZ6+DA5</f>
        <v>2105194.1529999999</v>
      </c>
      <c r="DB6" s="250">
        <f t="shared" ref="DB6" si="193">DA6+DB5</f>
        <v>2105194.1529999999</v>
      </c>
      <c r="DC6" s="250">
        <f t="shared" ref="DC6" si="194">DB6+DC5</f>
        <v>2105194.1529999999</v>
      </c>
      <c r="DD6" s="250">
        <f t="shared" ref="DD6" si="195">DC6+DD5</f>
        <v>2105194.1529999999</v>
      </c>
      <c r="DE6" s="250">
        <f t="shared" ref="DE6" si="196">DD6+DE5</f>
        <v>2105194.1529999999</v>
      </c>
      <c r="DF6" s="250">
        <f t="shared" ref="DF6" si="197">DE6+DF5</f>
        <v>2105194.1529999999</v>
      </c>
      <c r="DG6" s="250">
        <f t="shared" ref="DG6" si="198">DF6+DG5</f>
        <v>2105194.1529999999</v>
      </c>
      <c r="DH6" s="250">
        <f t="shared" ref="DH6" si="199">DG6+DH5</f>
        <v>2105194.1529999999</v>
      </c>
      <c r="DI6" s="250">
        <f t="shared" ref="DI6" si="200">DH6+DI5</f>
        <v>2105194.1529999999</v>
      </c>
      <c r="DJ6" s="250">
        <f t="shared" ref="DJ6" si="201">DI6+DJ5</f>
        <v>2105194.1529999999</v>
      </c>
      <c r="DK6" s="250">
        <f t="shared" ref="DK6" si="202">DJ6+DK5</f>
        <v>2105194.1529999999</v>
      </c>
      <c r="DL6" s="250">
        <f t="shared" ref="DL6" si="203">DK6+DL5</f>
        <v>2105194.1529999999</v>
      </c>
      <c r="DM6" s="250">
        <f t="shared" ref="DM6" si="204">DL6+DM5</f>
        <v>2105194.1529999999</v>
      </c>
      <c r="DN6" s="250">
        <f t="shared" ref="DN6" si="205">DM6+DN5</f>
        <v>2105194.1529999999</v>
      </c>
      <c r="DO6" s="250">
        <f t="shared" ref="DO6" si="206">DN6+DO5</f>
        <v>2105194.1529999999</v>
      </c>
      <c r="DP6" s="250">
        <f t="shared" ref="DP6" si="207">DO6+DP5</f>
        <v>2105194.1529999999</v>
      </c>
      <c r="DQ6" s="250">
        <f t="shared" ref="DQ6" si="208">DP6+DQ5</f>
        <v>2105194.1529999999</v>
      </c>
      <c r="DR6" s="250">
        <f t="shared" ref="DR6" si="209">DQ6+DR5</f>
        <v>2105194.1529999999</v>
      </c>
      <c r="DS6" s="240"/>
      <c r="DT6" s="251"/>
    </row>
    <row r="7" spans="1:600" ht="15">
      <c r="A7" s="980"/>
      <c r="B7" s="253" t="s">
        <v>410</v>
      </c>
      <c r="C7" s="254"/>
      <c r="D7" s="254"/>
      <c r="E7" s="255"/>
      <c r="F7" s="256">
        <f t="shared" ref="F7:H7" si="210">F4-F6</f>
        <v>861790.65118575096</v>
      </c>
      <c r="G7" s="256">
        <f t="shared" si="210"/>
        <v>861790.65118575096</v>
      </c>
      <c r="H7" s="256">
        <f t="shared" si="210"/>
        <v>861790.65118575096</v>
      </c>
      <c r="I7" s="256">
        <f t="shared" ref="I7:J7" si="211">I4-I6</f>
        <v>861790.65118575096</v>
      </c>
      <c r="J7" s="256">
        <f t="shared" si="211"/>
        <v>861790.65118575096</v>
      </c>
      <c r="K7" s="256">
        <f t="shared" ref="K7:AJ7" si="212">K4-K6</f>
        <v>861790.65118575096</v>
      </c>
      <c r="L7" s="256">
        <f t="shared" si="212"/>
        <v>861790.65118575096</v>
      </c>
      <c r="M7" s="256">
        <f t="shared" si="212"/>
        <v>861790.65118575096</v>
      </c>
      <c r="N7" s="256">
        <f t="shared" si="212"/>
        <v>861790.65118575096</v>
      </c>
      <c r="O7" s="256">
        <f t="shared" si="212"/>
        <v>840985.65118575096</v>
      </c>
      <c r="P7" s="256">
        <f t="shared" si="212"/>
        <v>746113.67818575096</v>
      </c>
      <c r="Q7" s="256">
        <f t="shared" si="212"/>
        <v>1361678.429032716</v>
      </c>
      <c r="R7" s="256">
        <f t="shared" si="212"/>
        <v>1360977.6290327159</v>
      </c>
      <c r="S7" s="256">
        <f t="shared" si="212"/>
        <v>1976542.3798796809</v>
      </c>
      <c r="T7" s="256">
        <f t="shared" si="212"/>
        <v>1443958.8798796809</v>
      </c>
      <c r="U7" s="256">
        <f t="shared" si="212"/>
        <v>1213342.9608796809</v>
      </c>
      <c r="V7" s="256">
        <f t="shared" si="212"/>
        <v>1157902.9608796809</v>
      </c>
      <c r="W7" s="256">
        <f t="shared" si="212"/>
        <v>1068298.678879681</v>
      </c>
      <c r="X7" s="256">
        <f t="shared" si="212"/>
        <v>1288524.5792184672</v>
      </c>
      <c r="Y7" s="256">
        <f t="shared" si="212"/>
        <v>1288524.5792184672</v>
      </c>
      <c r="Z7" s="256">
        <f t="shared" si="212"/>
        <v>1237276.5972184672</v>
      </c>
      <c r="AA7" s="256">
        <f t="shared" si="212"/>
        <v>427224.45121846721</v>
      </c>
      <c r="AB7" s="256">
        <f t="shared" si="212"/>
        <v>602618.52138786018</v>
      </c>
      <c r="AC7" s="256">
        <f t="shared" si="212"/>
        <v>434969.96138786012</v>
      </c>
      <c r="AD7" s="256">
        <f t="shared" si="212"/>
        <v>434969.96138786012</v>
      </c>
      <c r="AE7" s="256">
        <f t="shared" si="212"/>
        <v>409345.9703878602</v>
      </c>
      <c r="AF7" s="256">
        <f t="shared" si="212"/>
        <v>409345.9703878602</v>
      </c>
      <c r="AG7" s="256">
        <f t="shared" si="212"/>
        <v>409345.9703878602</v>
      </c>
      <c r="AH7" s="256">
        <f t="shared" si="212"/>
        <v>409345.9703878602</v>
      </c>
      <c r="AI7" s="256">
        <f t="shared" si="212"/>
        <v>409345.9703878602</v>
      </c>
      <c r="AJ7" s="256">
        <f t="shared" si="212"/>
        <v>409345.9703878602</v>
      </c>
      <c r="AK7" s="256">
        <f t="shared" ref="AK7:BQ7" si="213">AK4-AK6</f>
        <v>409345.9703878602</v>
      </c>
      <c r="AL7" s="256">
        <f t="shared" si="213"/>
        <v>409345.9703878602</v>
      </c>
      <c r="AM7" s="256">
        <f t="shared" si="213"/>
        <v>409345.9703878602</v>
      </c>
      <c r="AN7" s="256">
        <f t="shared" si="213"/>
        <v>409345.9703878602</v>
      </c>
      <c r="AO7" s="256">
        <f t="shared" si="213"/>
        <v>409345.9703878602</v>
      </c>
      <c r="AP7" s="256">
        <f t="shared" si="213"/>
        <v>409345.9703878602</v>
      </c>
      <c r="AQ7" s="256">
        <f t="shared" si="213"/>
        <v>409345.9703878602</v>
      </c>
      <c r="AR7" s="256">
        <f t="shared" si="213"/>
        <v>409345.9703878602</v>
      </c>
      <c r="AS7" s="256">
        <f t="shared" si="213"/>
        <v>409345.9703878602</v>
      </c>
      <c r="AT7" s="256">
        <f t="shared" si="213"/>
        <v>409345.9703878602</v>
      </c>
      <c r="AU7" s="256">
        <f t="shared" si="213"/>
        <v>409345.9703878602</v>
      </c>
      <c r="AV7" s="256">
        <f t="shared" si="213"/>
        <v>409345.9703878602</v>
      </c>
      <c r="AW7" s="256">
        <f t="shared" si="213"/>
        <v>409345.9703878602</v>
      </c>
      <c r="AX7" s="256">
        <f t="shared" si="213"/>
        <v>409345.9703878602</v>
      </c>
      <c r="AY7" s="256">
        <f t="shared" si="213"/>
        <v>409345.9703878602</v>
      </c>
      <c r="AZ7" s="256">
        <f t="shared" si="213"/>
        <v>409345.9703878602</v>
      </c>
      <c r="BA7" s="256">
        <f t="shared" si="213"/>
        <v>409345.9703878602</v>
      </c>
      <c r="BB7" s="256">
        <f t="shared" si="213"/>
        <v>409345.9703878602</v>
      </c>
      <c r="BC7" s="256">
        <f t="shared" si="213"/>
        <v>409345.9703878602</v>
      </c>
      <c r="BD7" s="256">
        <f t="shared" si="213"/>
        <v>409345.9703878602</v>
      </c>
      <c r="BE7" s="256">
        <f t="shared" si="213"/>
        <v>409345.9703878602</v>
      </c>
      <c r="BF7" s="256">
        <f t="shared" si="213"/>
        <v>409345.9703878602</v>
      </c>
      <c r="BG7" s="256">
        <f t="shared" si="213"/>
        <v>409345.9703878602</v>
      </c>
      <c r="BH7" s="256">
        <f t="shared" si="213"/>
        <v>409345.9703878602</v>
      </c>
      <c r="BI7" s="256">
        <f t="shared" si="213"/>
        <v>409345.9703878602</v>
      </c>
      <c r="BJ7" s="256">
        <f t="shared" si="213"/>
        <v>409345.9703878602</v>
      </c>
      <c r="BK7" s="256">
        <f t="shared" si="213"/>
        <v>409345.9703878602</v>
      </c>
      <c r="BL7" s="256">
        <f t="shared" si="213"/>
        <v>409345.9703878602</v>
      </c>
      <c r="BM7" s="256">
        <f t="shared" si="213"/>
        <v>409345.9703878602</v>
      </c>
      <c r="BN7" s="256">
        <f t="shared" si="213"/>
        <v>409345.9703878602</v>
      </c>
      <c r="BO7" s="256">
        <f t="shared" si="213"/>
        <v>409345.9703878602</v>
      </c>
      <c r="BP7" s="256">
        <f t="shared" si="213"/>
        <v>409345.9703878602</v>
      </c>
      <c r="BQ7" s="256">
        <f t="shared" si="213"/>
        <v>409345.9703878602</v>
      </c>
      <c r="BR7" s="256">
        <f t="shared" ref="BR7:CC7" si="214">BR4-BR6</f>
        <v>409345.9703878602</v>
      </c>
      <c r="BS7" s="256">
        <f t="shared" si="214"/>
        <v>409345.9703878602</v>
      </c>
      <c r="BT7" s="256">
        <f t="shared" si="214"/>
        <v>409345.9703878602</v>
      </c>
      <c r="BU7" s="256">
        <f t="shared" si="214"/>
        <v>409345.9703878602</v>
      </c>
      <c r="BV7" s="256">
        <f t="shared" si="214"/>
        <v>409345.9703878602</v>
      </c>
      <c r="BW7" s="256">
        <f t="shared" si="214"/>
        <v>409345.9703878602</v>
      </c>
      <c r="BX7" s="256">
        <f t="shared" si="214"/>
        <v>409345.9703878602</v>
      </c>
      <c r="BY7" s="256">
        <f t="shared" si="214"/>
        <v>409345.9703878602</v>
      </c>
      <c r="BZ7" s="256">
        <f t="shared" si="214"/>
        <v>409345.9703878602</v>
      </c>
      <c r="CA7" s="256">
        <f t="shared" si="214"/>
        <v>409345.9703878602</v>
      </c>
      <c r="CB7" s="256">
        <f t="shared" si="214"/>
        <v>409345.9703878602</v>
      </c>
      <c r="CC7" s="256">
        <f t="shared" si="214"/>
        <v>409345.9703878602</v>
      </c>
      <c r="CD7" s="256">
        <f t="shared" ref="CD7:DR7" si="215">CD4-CD6</f>
        <v>409345.9703878602</v>
      </c>
      <c r="CE7" s="256">
        <f t="shared" si="215"/>
        <v>409345.9703878602</v>
      </c>
      <c r="CF7" s="256">
        <f t="shared" si="215"/>
        <v>409345.9703878602</v>
      </c>
      <c r="CG7" s="256">
        <f t="shared" si="215"/>
        <v>409345.9703878602</v>
      </c>
      <c r="CH7" s="256">
        <f t="shared" si="215"/>
        <v>409345.9703878602</v>
      </c>
      <c r="CI7" s="256">
        <f t="shared" si="215"/>
        <v>409345.9703878602</v>
      </c>
      <c r="CJ7" s="256">
        <f t="shared" si="215"/>
        <v>409345.9703878602</v>
      </c>
      <c r="CK7" s="256">
        <f t="shared" si="215"/>
        <v>409345.9703878602</v>
      </c>
      <c r="CL7" s="256">
        <f t="shared" si="215"/>
        <v>409345.9703878602</v>
      </c>
      <c r="CM7" s="256">
        <f t="shared" si="215"/>
        <v>409345.9703878602</v>
      </c>
      <c r="CN7" s="256">
        <f t="shared" si="215"/>
        <v>409345.9703878602</v>
      </c>
      <c r="CO7" s="256">
        <f t="shared" si="215"/>
        <v>409345.9703878602</v>
      </c>
      <c r="CP7" s="256">
        <f t="shared" si="215"/>
        <v>409345.9703878602</v>
      </c>
      <c r="CQ7" s="256">
        <f t="shared" si="215"/>
        <v>409345.9703878602</v>
      </c>
      <c r="CR7" s="256">
        <f t="shared" si="215"/>
        <v>409345.9703878602</v>
      </c>
      <c r="CS7" s="256">
        <f t="shared" si="215"/>
        <v>409345.9703878602</v>
      </c>
      <c r="CT7" s="256">
        <f t="shared" si="215"/>
        <v>409345.9703878602</v>
      </c>
      <c r="CU7" s="256">
        <f t="shared" si="215"/>
        <v>409345.9703878602</v>
      </c>
      <c r="CV7" s="256">
        <f t="shared" si="215"/>
        <v>409345.9703878602</v>
      </c>
      <c r="CW7" s="256">
        <f t="shared" si="215"/>
        <v>409345.9703878602</v>
      </c>
      <c r="CX7" s="256">
        <f t="shared" si="215"/>
        <v>409345.9703878602</v>
      </c>
      <c r="CY7" s="256">
        <f t="shared" si="215"/>
        <v>409345.9703878602</v>
      </c>
      <c r="CZ7" s="256">
        <f t="shared" si="215"/>
        <v>409345.9703878602</v>
      </c>
      <c r="DA7" s="256">
        <f t="shared" si="215"/>
        <v>409345.9703878602</v>
      </c>
      <c r="DB7" s="256">
        <f t="shared" si="215"/>
        <v>409345.9703878602</v>
      </c>
      <c r="DC7" s="256">
        <f t="shared" si="215"/>
        <v>409345.9703878602</v>
      </c>
      <c r="DD7" s="256">
        <f t="shared" si="215"/>
        <v>409345.9703878602</v>
      </c>
      <c r="DE7" s="256">
        <f t="shared" si="215"/>
        <v>409345.9703878602</v>
      </c>
      <c r="DF7" s="256">
        <f t="shared" si="215"/>
        <v>409345.9703878602</v>
      </c>
      <c r="DG7" s="256">
        <f t="shared" si="215"/>
        <v>409345.9703878602</v>
      </c>
      <c r="DH7" s="256">
        <f t="shared" si="215"/>
        <v>409345.9703878602</v>
      </c>
      <c r="DI7" s="256">
        <f t="shared" si="215"/>
        <v>409345.9703878602</v>
      </c>
      <c r="DJ7" s="256">
        <f t="shared" si="215"/>
        <v>409345.9703878602</v>
      </c>
      <c r="DK7" s="256">
        <f t="shared" si="215"/>
        <v>409345.9703878602</v>
      </c>
      <c r="DL7" s="256">
        <f t="shared" si="215"/>
        <v>409345.9703878602</v>
      </c>
      <c r="DM7" s="256">
        <f t="shared" si="215"/>
        <v>409345.9703878602</v>
      </c>
      <c r="DN7" s="256">
        <f t="shared" si="215"/>
        <v>409345.9703878602</v>
      </c>
      <c r="DO7" s="256">
        <f t="shared" si="215"/>
        <v>409345.9703878602</v>
      </c>
      <c r="DP7" s="256">
        <f t="shared" si="215"/>
        <v>409345.9703878602</v>
      </c>
      <c r="DQ7" s="256">
        <f t="shared" si="215"/>
        <v>409345.9703878602</v>
      </c>
      <c r="DR7" s="256">
        <f t="shared" si="215"/>
        <v>409345.9703878602</v>
      </c>
    </row>
    <row r="8" spans="1:600" s="240" customFormat="1" ht="15">
      <c r="A8" s="979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</row>
    <row r="9" spans="1:600" ht="15">
      <c r="A9" s="980"/>
      <c r="B9" s="258" t="s">
        <v>411</v>
      </c>
      <c r="C9" s="259">
        <f>'Revenue Tracking'!F4</f>
        <v>2505210.4733878602</v>
      </c>
      <c r="D9" s="259">
        <f>SUM(F9:DR9)</f>
        <v>2505210.4733878602</v>
      </c>
      <c r="E9" s="246"/>
      <c r="F9" s="260">
        <f>SUMIFS('Revenue Tracking'!$F$13:$F$19, 'Revenue Tracking'!$P$13:$P$19, "&gt;="&amp;F1,'Revenue Tracking'!$P$13:$P$19, "&lt;"&amp;G1)</f>
        <v>861790.65118575096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615564.75084696501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861790.65118575096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175394.070169393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-9329.65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0</v>
      </c>
      <c r="DR9" s="260">
        <f>SUMIFS('Revenue Tracking'!$F$13:$F$19, 'Revenue Tracking'!$P$13:$P$19, "&gt;="&amp;DR1,'Revenue Tracking'!$P$13:$P$19, "&lt;"&amp;DS1)</f>
        <v>0</v>
      </c>
    </row>
    <row r="10" spans="1:600" ht="15">
      <c r="A10" s="980"/>
      <c r="B10" s="258" t="s">
        <v>412</v>
      </c>
      <c r="C10" s="259"/>
      <c r="D10" s="259"/>
      <c r="E10" s="246"/>
      <c r="F10" s="260">
        <f>F9</f>
        <v>861790.65118575096</v>
      </c>
      <c r="G10" s="260">
        <f>F10+G9</f>
        <v>861790.65118575096</v>
      </c>
      <c r="H10" s="260">
        <f>G10+H9</f>
        <v>861790.65118575096</v>
      </c>
      <c r="I10" s="260">
        <f t="shared" ref="I10:J10" si="216">H10+I9</f>
        <v>861790.65118575096</v>
      </c>
      <c r="J10" s="260">
        <f t="shared" si="216"/>
        <v>861790.65118575096</v>
      </c>
      <c r="K10" s="260">
        <f t="shared" ref="K10" si="217">J10+K9</f>
        <v>861790.65118575096</v>
      </c>
      <c r="L10" s="260">
        <f t="shared" ref="L10" si="218">K10+L9</f>
        <v>861790.65118575096</v>
      </c>
      <c r="M10" s="260">
        <f t="shared" ref="M10" si="219">L10+M9</f>
        <v>861790.65118575096</v>
      </c>
      <c r="N10" s="260">
        <f t="shared" ref="N10" si="220">M10+N9</f>
        <v>861790.65118575096</v>
      </c>
      <c r="O10" s="260">
        <f t="shared" ref="O10" si="221">N10+O9</f>
        <v>861790.65118575096</v>
      </c>
      <c r="P10" s="260">
        <f t="shared" ref="P10" si="222">O10+P9</f>
        <v>861790.65118575096</v>
      </c>
      <c r="Q10" s="260">
        <f t="shared" ref="Q10" si="223">P10+Q9</f>
        <v>861790.65118575096</v>
      </c>
      <c r="R10" s="260">
        <f t="shared" ref="R10" si="224">Q10+R9</f>
        <v>1477355.402032716</v>
      </c>
      <c r="S10" s="260">
        <f t="shared" ref="S10" si="225">R10+S9</f>
        <v>1477355.402032716</v>
      </c>
      <c r="T10" s="260">
        <f t="shared" ref="T10" si="226">S10+T9</f>
        <v>1477355.402032716</v>
      </c>
      <c r="U10" s="260">
        <f t="shared" ref="U10" si="227">T10+U9</f>
        <v>1477355.402032716</v>
      </c>
      <c r="V10" s="260">
        <f t="shared" ref="V10" si="228">U10+V9</f>
        <v>1477355.402032716</v>
      </c>
      <c r="W10" s="260">
        <f t="shared" ref="W10" si="229">V10+W9</f>
        <v>1477355.402032716</v>
      </c>
      <c r="X10" s="260">
        <f t="shared" ref="X10" si="230">W10+X9</f>
        <v>1477355.402032716</v>
      </c>
      <c r="Y10" s="260">
        <f t="shared" ref="Y10" si="231">X10+Y9</f>
        <v>2339146.0532184672</v>
      </c>
      <c r="Z10" s="260">
        <f t="shared" ref="Z10" si="232">Y10+Z9</f>
        <v>2339146.0532184672</v>
      </c>
      <c r="AA10" s="260">
        <f t="shared" ref="AA10" si="233">Z10+AA9</f>
        <v>2339146.0532184672</v>
      </c>
      <c r="AB10" s="260">
        <f t="shared" ref="AB10" si="234">AA10+AB9</f>
        <v>2339146.0532184672</v>
      </c>
      <c r="AC10" s="260">
        <f t="shared" ref="AC10" si="235">AB10+AC9</f>
        <v>2339146.0532184672</v>
      </c>
      <c r="AD10" s="260">
        <f t="shared" ref="AD10" si="236">AC10+AD9</f>
        <v>2339146.0532184672</v>
      </c>
      <c r="AE10" s="260">
        <f t="shared" ref="AE10" si="237">AD10+AE9</f>
        <v>2339146.0532184672</v>
      </c>
      <c r="AF10" s="260">
        <f t="shared" ref="AF10" si="238">AE10+AF9</f>
        <v>2339146.0532184672</v>
      </c>
      <c r="AG10" s="260">
        <f t="shared" ref="AG10" si="239">AF10+AG9</f>
        <v>2339146.0532184672</v>
      </c>
      <c r="AH10" s="260">
        <f t="shared" ref="AH10" si="240">AG10+AH9</f>
        <v>2339146.0532184672</v>
      </c>
      <c r="AI10" s="260">
        <f t="shared" ref="AI10" si="241">AH10+AI9</f>
        <v>2339146.0532184672</v>
      </c>
      <c r="AJ10" s="260">
        <f t="shared" ref="AJ10" si="242">AI10+AJ9</f>
        <v>2339146.0532184672</v>
      </c>
      <c r="AK10" s="260">
        <f t="shared" ref="AK10:BQ10" si="243">AJ10+AK9</f>
        <v>2339146.0532184672</v>
      </c>
      <c r="AL10" s="260">
        <f t="shared" si="243"/>
        <v>2339146.0532184672</v>
      </c>
      <c r="AM10" s="260">
        <f t="shared" si="243"/>
        <v>2339146.0532184672</v>
      </c>
      <c r="AN10" s="260">
        <f t="shared" si="243"/>
        <v>2339146.0532184672</v>
      </c>
      <c r="AO10" s="260">
        <f t="shared" si="243"/>
        <v>2339146.0532184672</v>
      </c>
      <c r="AP10" s="260">
        <f t="shared" si="243"/>
        <v>2339146.0532184672</v>
      </c>
      <c r="AQ10" s="260">
        <f t="shared" si="243"/>
        <v>2339146.0532184672</v>
      </c>
      <c r="AR10" s="260">
        <f t="shared" si="243"/>
        <v>2339146.0532184672</v>
      </c>
      <c r="AS10" s="260">
        <f t="shared" si="243"/>
        <v>2339146.0532184672</v>
      </c>
      <c r="AT10" s="260">
        <f t="shared" si="243"/>
        <v>2339146.0532184672</v>
      </c>
      <c r="AU10" s="260">
        <f t="shared" si="243"/>
        <v>2339146.0532184672</v>
      </c>
      <c r="AV10" s="260">
        <f t="shared" si="243"/>
        <v>2339146.0532184672</v>
      </c>
      <c r="AW10" s="260">
        <f t="shared" si="243"/>
        <v>2339146.0532184672</v>
      </c>
      <c r="AX10" s="260">
        <f t="shared" si="243"/>
        <v>2339146.0532184672</v>
      </c>
      <c r="AY10" s="260">
        <f t="shared" si="243"/>
        <v>2339146.0532184672</v>
      </c>
      <c r="AZ10" s="260">
        <f t="shared" si="243"/>
        <v>2339146.0532184672</v>
      </c>
      <c r="BA10" s="260">
        <f t="shared" si="243"/>
        <v>2339146.0532184672</v>
      </c>
      <c r="BB10" s="260">
        <f t="shared" si="243"/>
        <v>2339146.0532184672</v>
      </c>
      <c r="BC10" s="260">
        <f t="shared" si="243"/>
        <v>2339146.0532184672</v>
      </c>
      <c r="BD10" s="260">
        <f t="shared" si="243"/>
        <v>2339146.0532184672</v>
      </c>
      <c r="BE10" s="260">
        <f t="shared" si="243"/>
        <v>2339146.0532184672</v>
      </c>
      <c r="BF10" s="260">
        <f t="shared" si="243"/>
        <v>2339146.0532184672</v>
      </c>
      <c r="BG10" s="260">
        <f t="shared" si="243"/>
        <v>2339146.0532184672</v>
      </c>
      <c r="BH10" s="260">
        <f t="shared" si="243"/>
        <v>2339146.0532184672</v>
      </c>
      <c r="BI10" s="260">
        <f t="shared" si="243"/>
        <v>2339146.0532184672</v>
      </c>
      <c r="BJ10" s="260">
        <f t="shared" si="243"/>
        <v>2339146.0532184672</v>
      </c>
      <c r="BK10" s="260">
        <f t="shared" si="243"/>
        <v>2339146.0532184672</v>
      </c>
      <c r="BL10" s="260">
        <f t="shared" si="243"/>
        <v>2339146.0532184672</v>
      </c>
      <c r="BM10" s="260">
        <f t="shared" si="243"/>
        <v>2339146.0532184672</v>
      </c>
      <c r="BN10" s="260">
        <f t="shared" si="243"/>
        <v>2339146.0532184672</v>
      </c>
      <c r="BO10" s="260">
        <f t="shared" si="243"/>
        <v>2339146.0532184672</v>
      </c>
      <c r="BP10" s="260">
        <f t="shared" si="243"/>
        <v>2339146.0532184672</v>
      </c>
      <c r="BQ10" s="260">
        <f t="shared" si="243"/>
        <v>2339146.0532184672</v>
      </c>
      <c r="BR10" s="260">
        <f t="shared" ref="BR10:CC10" si="244">BQ10+BR9</f>
        <v>2339146.0532184672</v>
      </c>
      <c r="BS10" s="260">
        <f t="shared" si="244"/>
        <v>2514540.1233878601</v>
      </c>
      <c r="BT10" s="260">
        <f t="shared" si="244"/>
        <v>2514540.1233878601</v>
      </c>
      <c r="BU10" s="260">
        <f t="shared" si="244"/>
        <v>2514540.1233878601</v>
      </c>
      <c r="BV10" s="260">
        <f t="shared" si="244"/>
        <v>2514540.1233878601</v>
      </c>
      <c r="BW10" s="260">
        <f t="shared" si="244"/>
        <v>2514540.1233878601</v>
      </c>
      <c r="BX10" s="260">
        <f t="shared" si="244"/>
        <v>2514540.1233878601</v>
      </c>
      <c r="BY10" s="260">
        <f t="shared" si="244"/>
        <v>2514540.1233878601</v>
      </c>
      <c r="BZ10" s="260">
        <f t="shared" si="244"/>
        <v>2514540.1233878601</v>
      </c>
      <c r="CA10" s="260">
        <f t="shared" si="244"/>
        <v>2514540.1233878601</v>
      </c>
      <c r="CB10" s="260">
        <f t="shared" si="244"/>
        <v>2514540.1233878601</v>
      </c>
      <c r="CC10" s="260">
        <f t="shared" si="244"/>
        <v>2514540.1233878601</v>
      </c>
      <c r="CD10" s="260">
        <f t="shared" ref="CD10" si="245">CC10+CD9</f>
        <v>2514540.1233878601</v>
      </c>
      <c r="CE10" s="260">
        <f t="shared" ref="CE10" si="246">CD10+CE9</f>
        <v>2514540.1233878601</v>
      </c>
      <c r="CF10" s="260">
        <f t="shared" ref="CF10" si="247">CE10+CF9</f>
        <v>2514540.1233878601</v>
      </c>
      <c r="CG10" s="260">
        <f t="shared" ref="CG10" si="248">CF10+CG9</f>
        <v>2514540.1233878601</v>
      </c>
      <c r="CH10" s="260">
        <f t="shared" ref="CH10" si="249">CG10+CH9</f>
        <v>2514540.1233878601</v>
      </c>
      <c r="CI10" s="260">
        <f t="shared" ref="CI10" si="250">CH10+CI9</f>
        <v>2514540.1233878601</v>
      </c>
      <c r="CJ10" s="260">
        <f t="shared" ref="CJ10" si="251">CI10+CJ9</f>
        <v>2514540.1233878601</v>
      </c>
      <c r="CK10" s="260">
        <f t="shared" ref="CK10" si="252">CJ10+CK9</f>
        <v>2514540.1233878601</v>
      </c>
      <c r="CL10" s="260">
        <f t="shared" ref="CL10" si="253">CK10+CL9</f>
        <v>2514540.1233878601</v>
      </c>
      <c r="CM10" s="260">
        <f t="shared" ref="CM10" si="254">CL10+CM9</f>
        <v>2514540.1233878601</v>
      </c>
      <c r="CN10" s="260">
        <f t="shared" ref="CN10" si="255">CM10+CN9</f>
        <v>2514540.1233878601</v>
      </c>
      <c r="CO10" s="260">
        <f t="shared" ref="CO10" si="256">CN10+CO9</f>
        <v>2514540.1233878601</v>
      </c>
      <c r="CP10" s="260">
        <f t="shared" ref="CP10" si="257">CO10+CP9</f>
        <v>2514540.1233878601</v>
      </c>
      <c r="CQ10" s="260">
        <f t="shared" ref="CQ10" si="258">CP10+CQ9</f>
        <v>2505210.4733878602</v>
      </c>
      <c r="CR10" s="260">
        <f t="shared" ref="CR10" si="259">CQ10+CR9</f>
        <v>2505210.4733878602</v>
      </c>
      <c r="CS10" s="260">
        <f t="shared" ref="CS10" si="260">CR10+CS9</f>
        <v>2505210.4733878602</v>
      </c>
      <c r="CT10" s="260">
        <f t="shared" ref="CT10" si="261">CS10+CT9</f>
        <v>2505210.4733878602</v>
      </c>
      <c r="CU10" s="260">
        <f t="shared" ref="CU10" si="262">CT10+CU9</f>
        <v>2505210.4733878602</v>
      </c>
      <c r="CV10" s="260">
        <f t="shared" ref="CV10" si="263">CU10+CV9</f>
        <v>2505210.4733878602</v>
      </c>
      <c r="CW10" s="260">
        <f t="shared" ref="CW10" si="264">CV10+CW9</f>
        <v>2505210.4733878602</v>
      </c>
      <c r="CX10" s="260">
        <f t="shared" ref="CX10" si="265">CW10+CX9</f>
        <v>2505210.4733878602</v>
      </c>
      <c r="CY10" s="260">
        <f t="shared" ref="CY10" si="266">CX10+CY9</f>
        <v>2505210.4733878602</v>
      </c>
      <c r="CZ10" s="260">
        <f t="shared" ref="CZ10" si="267">CY10+CZ9</f>
        <v>2505210.4733878602</v>
      </c>
      <c r="DA10" s="260">
        <f t="shared" ref="DA10" si="268">CZ10+DA9</f>
        <v>2505210.4733878602</v>
      </c>
      <c r="DB10" s="260">
        <f t="shared" ref="DB10" si="269">DA10+DB9</f>
        <v>2505210.4733878602</v>
      </c>
      <c r="DC10" s="260">
        <f t="shared" ref="DC10" si="270">DB10+DC9</f>
        <v>2505210.4733878602</v>
      </c>
      <c r="DD10" s="260">
        <f t="shared" ref="DD10" si="271">DC10+DD9</f>
        <v>2505210.4733878602</v>
      </c>
      <c r="DE10" s="260">
        <f t="shared" ref="DE10" si="272">DD10+DE9</f>
        <v>2505210.4733878602</v>
      </c>
      <c r="DF10" s="260">
        <f t="shared" ref="DF10" si="273">DE10+DF9</f>
        <v>2505210.4733878602</v>
      </c>
      <c r="DG10" s="260">
        <f t="shared" ref="DG10" si="274">DF10+DG9</f>
        <v>2505210.4733878602</v>
      </c>
      <c r="DH10" s="260">
        <f t="shared" ref="DH10" si="275">DG10+DH9</f>
        <v>2505210.4733878602</v>
      </c>
      <c r="DI10" s="260">
        <f t="shared" ref="DI10" si="276">DH10+DI9</f>
        <v>2505210.4733878602</v>
      </c>
      <c r="DJ10" s="260">
        <f t="shared" ref="DJ10" si="277">DI10+DJ9</f>
        <v>2505210.4733878602</v>
      </c>
      <c r="DK10" s="260">
        <f t="shared" ref="DK10" si="278">DJ10+DK9</f>
        <v>2505210.4733878602</v>
      </c>
      <c r="DL10" s="260">
        <f t="shared" ref="DL10" si="279">DK10+DL9</f>
        <v>2505210.4733878602</v>
      </c>
      <c r="DM10" s="260">
        <f t="shared" ref="DM10" si="280">DL10+DM9</f>
        <v>2505210.4733878602</v>
      </c>
      <c r="DN10" s="260">
        <f t="shared" ref="DN10" si="281">DM10+DN9</f>
        <v>2505210.4733878602</v>
      </c>
      <c r="DO10" s="260">
        <f t="shared" ref="DO10" si="282">DN10+DO9</f>
        <v>2505210.4733878602</v>
      </c>
      <c r="DP10" s="260">
        <f t="shared" ref="DP10" si="283">DO10+DP9</f>
        <v>2505210.4733878602</v>
      </c>
      <c r="DQ10" s="260">
        <f t="shared" ref="DQ10" si="284">DP10+DQ9</f>
        <v>2505210.4733878602</v>
      </c>
      <c r="DR10" s="260">
        <f t="shared" ref="DR10" si="285">DQ10+DR9</f>
        <v>2505210.4733878602</v>
      </c>
    </row>
    <row r="11" spans="1:600" s="252" customFormat="1" ht="15">
      <c r="A11" s="980"/>
      <c r="B11" s="261" t="s">
        <v>413</v>
      </c>
      <c r="C11" s="262">
        <f>'Revenue Tracking'!F5</f>
        <v>2103862.1100000003</v>
      </c>
      <c r="D11" s="262">
        <f>SUM(F11:BR11)</f>
        <v>2103862.11</v>
      </c>
      <c r="E11" s="246"/>
      <c r="F11" s="263">
        <f>SUMIFS('Expenditure Breakdown'!$R$6:$R$131, 'Expenditure Breakdown'!$W$6:$W$131, "&gt;="&amp;F1,'Expenditure Breakdown'!$W$6:$W$131, "&lt;"&amp;G1)</f>
        <v>0</v>
      </c>
      <c r="G11" s="263">
        <f>SUMIFS('Expenditure Breakdown'!$R$6:$R$131, 'Expenditure Breakdown'!$W$6:$W$131, "&gt;="&amp;G1,'Expenditure Breakdown'!$W$6:$W$131, "&lt;"&amp;H1)</f>
        <v>0</v>
      </c>
      <c r="H11" s="263">
        <f>SUMIFS('Expenditure Breakdown'!$R$6:$R$131, 'Expenditure Breakdown'!$W$6:$W$131, "&gt;="&amp;H1,'Expenditure Breakdown'!$W$6:$W$131, "&lt;"&amp;I1)</f>
        <v>0</v>
      </c>
      <c r="I11" s="263">
        <f>SUMIFS('Expenditure Breakdown'!$R$6:$R$131, 'Expenditure Breakdown'!$W$6:$W$131, "&gt;="&amp;I1,'Expenditure Breakdown'!$W$6:$W$131, "&lt;"&amp;J1)</f>
        <v>0</v>
      </c>
      <c r="J11" s="263">
        <f>SUMIFS('Expenditure Breakdown'!$R$6:$R$131, 'Expenditure Breakdown'!$W$6:$W$131, "&gt;="&amp;J1,'Expenditure Breakdown'!$W$6:$W$131, "&lt;"&amp;K1)</f>
        <v>0</v>
      </c>
      <c r="K11" s="263">
        <f>SUMIFS('Expenditure Breakdown'!$R$6:$R$131, 'Expenditure Breakdown'!$W$6:$W$131, "&gt;="&amp;K1,'Expenditure Breakdown'!$W$6:$W$131, "&lt;"&amp;L1)</f>
        <v>0</v>
      </c>
      <c r="L11" s="263">
        <f>SUMIFS('Expenditure Breakdown'!$R$6:$R$131, 'Expenditure Breakdown'!$W$6:$W$131, "&gt;="&amp;L1,'Expenditure Breakdown'!$W$6:$W$131, "&lt;"&amp;M1)</f>
        <v>0</v>
      </c>
      <c r="M11" s="263">
        <f>SUMIFS('Expenditure Breakdown'!$R$6:$R$131, 'Expenditure Breakdown'!$W$6:$W$131, "&gt;="&amp;M1,'Expenditure Breakdown'!$W$6:$W$131, "&lt;"&amp;N1)</f>
        <v>35564.42</v>
      </c>
      <c r="N11" s="263">
        <f>SUMIFS('Expenditure Breakdown'!$R$6:$R$131, 'Expenditure Breakdown'!$W$6:$W$131, "&gt;="&amp;N1,'Expenditure Breakdown'!$W$6:$W$131, "&lt;"&amp;O1)</f>
        <v>0</v>
      </c>
      <c r="O11" s="263">
        <f>SUMIFS('Expenditure Breakdown'!$R$6:$R$131, 'Expenditure Breakdown'!$W$6:$W$131, "&gt;="&amp;O1,'Expenditure Breakdown'!$W$6:$W$131, "&lt;"&amp;P1)</f>
        <v>0</v>
      </c>
      <c r="P11" s="263">
        <f>SUMIFS('Expenditure Breakdown'!$R$6:$R$131, 'Expenditure Breakdown'!$W$6:$W$131, "&gt;="&amp;P1,'Expenditure Breakdown'!$W$6:$W$131, "&lt;"&amp;Q1)</f>
        <v>495186.93000000005</v>
      </c>
      <c r="Q11" s="263">
        <f>SUMIFS('Expenditure Breakdown'!$R$6:$R$131, 'Expenditure Breakdown'!$W$6:$W$131, "&gt;="&amp;Q1,'Expenditure Breakdown'!$W$6:$W$131, "&lt;"&amp;R1)</f>
        <v>23541.47</v>
      </c>
      <c r="R11" s="263">
        <f>SUMIFS('Expenditure Breakdown'!$R$6:$R$131, 'Expenditure Breakdown'!$W$6:$W$131, "&gt;="&amp;R1,'Expenditure Breakdown'!$W$6:$W$131, "&lt;"&amp;S1)</f>
        <v>126847.23</v>
      </c>
      <c r="S11" s="263">
        <f>SUMIFS('Expenditure Breakdown'!$R$6:$R$131, 'Expenditure Breakdown'!$W$6:$W$131, "&gt;="&amp;S1,'Expenditure Breakdown'!$W$6:$W$131, "&lt;"&amp;T1)</f>
        <v>0</v>
      </c>
      <c r="T11" s="263">
        <f>SUMIFS('Expenditure Breakdown'!$R$6:$R$131, 'Expenditure Breakdown'!$W$6:$W$131, "&gt;="&amp;T1,'Expenditure Breakdown'!$W$6:$W$131, "&lt;"&amp;U1)</f>
        <v>0</v>
      </c>
      <c r="U11" s="263">
        <f>SUMIFS('Expenditure Breakdown'!$R$6:$R$131, 'Expenditure Breakdown'!$W$6:$W$131, "&gt;="&amp;U1,'Expenditure Breakdown'!$W$6:$W$131, "&lt;"&amp;V1)</f>
        <v>955299.39999999991</v>
      </c>
      <c r="V11" s="263">
        <f>SUMIFS('Expenditure Breakdown'!$R$6:$R$131, 'Expenditure Breakdown'!$W$6:$W$131, "&gt;="&amp;V1,'Expenditure Breakdown'!$W$6:$W$131, "&lt;"&amp;W1)</f>
        <v>1671</v>
      </c>
      <c r="W11" s="263">
        <f>SUMIFS('Expenditure Breakdown'!$R$6:$R$131, 'Expenditure Breakdown'!$W$6:$W$131, "&gt;="&amp;W1,'Expenditure Breakdown'!$W$6:$W$131, "&lt;"&amp;X1)</f>
        <v>56376.28</v>
      </c>
      <c r="X11" s="263">
        <f>SUMIFS('Expenditure Breakdown'!$R$6:$R$131, 'Expenditure Breakdown'!$W$6:$W$131, "&gt;="&amp;X1,'Expenditure Breakdown'!$W$6:$W$131, "&lt;"&amp;Y1)</f>
        <v>0</v>
      </c>
      <c r="Y11" s="263">
        <f>SUMIFS('Expenditure Breakdown'!$R$6:$R$131, 'Expenditure Breakdown'!$W$6:$W$131, "&gt;="&amp;Y1,'Expenditure Breakdown'!$W$6:$W$131, "&lt;"&amp;Z1)</f>
        <v>63522.417542348252</v>
      </c>
      <c r="Z11" s="263">
        <f>SUMIFS('Expenditure Breakdown'!$R$6:$R$131, 'Expenditure Breakdown'!$W$6:$W$131, "&gt;="&amp;Z1,'Expenditure Breakdown'!$W$6:$W$131, "&lt;"&amp;AA1)</f>
        <v>56376.28</v>
      </c>
      <c r="AA11" s="263">
        <f>SUMIFS('Expenditure Breakdown'!$R$6:$R$131, 'Expenditure Breakdown'!$W$6:$W$131, "&gt;="&amp;AA1,'Expenditure Breakdown'!$W$6:$W$131, "&lt;"&amp;AB1)</f>
        <v>31521.67</v>
      </c>
      <c r="AB11" s="263">
        <f>SUMIFS('Expenditure Breakdown'!$R$6:$R$131, 'Expenditure Breakdown'!$W$6:$W$131, "&gt;="&amp;AB1,'Expenditure Breakdown'!$W$6:$W$131, "&lt;"&amp;AC1)</f>
        <v>123417.32</v>
      </c>
      <c r="AC11" s="263">
        <f>SUMIFS('Expenditure Breakdown'!$R$6:$R$131, 'Expenditure Breakdown'!$W$6:$W$131, "&gt;="&amp;AC1,'Expenditure Breakdown'!$W$6:$W$131, "&lt;"&amp;AD1)</f>
        <v>0</v>
      </c>
      <c r="AD11" s="263">
        <f>SUMIFS('Expenditure Breakdown'!$R$6:$R$131, 'Expenditure Breakdown'!$W$6:$W$131, "&gt;="&amp;AD1,'Expenditure Breakdown'!$W$6:$W$131, "&lt;"&amp;AE1)</f>
        <v>-12270.36</v>
      </c>
      <c r="AE11" s="263">
        <f>SUMIFS('Expenditure Breakdown'!$R$6:$R$131, 'Expenditure Breakdown'!$W$6:$W$131, "&gt;="&amp;AE1,'Expenditure Breakdown'!$W$6:$W$131, "&lt;"&amp;AF1)</f>
        <v>0</v>
      </c>
      <c r="AF11" s="263">
        <f>SUMIFS('Expenditure Breakdown'!$R$6:$R$131, 'Expenditure Breakdown'!$W$6:$W$131, "&gt;="&amp;AF1,'Expenditure Breakdown'!$W$6:$W$131, "&lt;"&amp;AG1)</f>
        <v>5654.76</v>
      </c>
      <c r="AG11" s="263">
        <f>SUMIFS('Expenditure Breakdown'!$R$6:$R$131, 'Expenditure Breakdown'!$W$6:$W$131, "&gt;="&amp;AG1,'Expenditure Breakdown'!$W$6:$W$131, "&lt;"&amp;AH1)</f>
        <v>0</v>
      </c>
      <c r="AH11" s="263">
        <f>SUMIFS('Expenditure Breakdown'!$R$6:$R$131, 'Expenditure Breakdown'!$W$6:$W$131, "&gt;="&amp;AH1,'Expenditure Breakdown'!$W$6:$W$131, "&lt;"&amp;AI1)</f>
        <v>0</v>
      </c>
      <c r="AI11" s="263">
        <f>SUMIFS('Expenditure Breakdown'!$R$6:$R$131, 'Expenditure Breakdown'!$W$6:$W$131, "&gt;="&amp;AI1,'Expenditure Breakdown'!$W$6:$W$131, "&lt;"&amp;AJ1)</f>
        <v>1109.72</v>
      </c>
      <c r="AJ11" s="263">
        <f>SUMIFS('Expenditure Breakdown'!$R$6:$R$131, 'Expenditure Breakdown'!$W$6:$W$131, "&gt;="&amp;AJ1,'Expenditure Breakdown'!$W$6:$W$131, "&lt;"&amp;AK1)</f>
        <v>28188.14</v>
      </c>
      <c r="AK11" s="263">
        <f>SUMIFS('Expenditure Breakdown'!$R$6:$R$131, 'Expenditure Breakdown'!$W$6:$W$131, "&gt;="&amp;AK1,'Expenditure Breakdown'!$W$6:$W$131, "&lt;"&amp;AL1)</f>
        <v>0</v>
      </c>
      <c r="AL11" s="263">
        <f>SUMIFS('Expenditure Breakdown'!$R$6:$R$131, 'Expenditure Breakdown'!$W$6:$W$131, "&gt;="&amp;AL1,'Expenditure Breakdown'!$W$6:$W$131, "&lt;"&amp;AM1)</f>
        <v>0</v>
      </c>
      <c r="AM11" s="263">
        <f>SUMIFS('Expenditure Breakdown'!$R$6:$R$131, 'Expenditure Breakdown'!$W$6:$W$131, "&gt;="&amp;AM1,'Expenditure Breakdown'!$W$6:$W$131, "&lt;"&amp;AN1)</f>
        <v>28611.360000000001</v>
      </c>
      <c r="AN11" s="263">
        <f>SUMIFS('Expenditure Breakdown'!$R$6:$R$131, 'Expenditure Breakdown'!$W$6:$W$131, "&gt;="&amp;AN1,'Expenditure Breakdown'!$W$6:$W$131, "&lt;"&amp;AO1)</f>
        <v>0</v>
      </c>
      <c r="AO11" s="263">
        <f>SUMIFS('Expenditure Breakdown'!$R$6:$R$131, 'Expenditure Breakdown'!$W$6:$W$131, "&gt;="&amp;AO1,'Expenditure Breakdown'!$W$6:$W$131, "&lt;"&amp;AP1)</f>
        <v>0</v>
      </c>
      <c r="AP11" s="263">
        <f>SUMIFS('Expenditure Breakdown'!$R$6:$R$131, 'Expenditure Breakdown'!$W$6:$W$131, "&gt;="&amp;AP1,'Expenditure Breakdown'!$W$6:$W$131, "&lt;"&amp;AQ1)</f>
        <v>0</v>
      </c>
      <c r="AQ11" s="263">
        <f>SUMIFS('Expenditure Breakdown'!$R$6:$R$131, 'Expenditure Breakdown'!$W$6:$W$131, "&gt;="&amp;AQ1,'Expenditure Breakdown'!$W$6:$W$131, "&lt;"&amp;AR1)</f>
        <v>0</v>
      </c>
      <c r="AR11" s="263">
        <f>SUMIFS('Expenditure Breakdown'!$R$6:$R$131, 'Expenditure Breakdown'!$W$6:$W$131, "&gt;="&amp;AR1,'Expenditure Breakdown'!$W$6:$W$131, "&lt;"&amp;AS1)</f>
        <v>0</v>
      </c>
      <c r="AS11" s="263">
        <f>SUMIFS('Expenditure Breakdown'!$R$6:$R$131, 'Expenditure Breakdown'!$W$6:$W$131, "&gt;="&amp;AS1,'Expenditure Breakdown'!$W$6:$W$131, "&lt;"&amp;AT1)</f>
        <v>0</v>
      </c>
      <c r="AT11" s="263">
        <f>SUMIFS('Expenditure Breakdown'!$R$6:$R$131, 'Expenditure Breakdown'!$W$6:$W$131, "&gt;="&amp;AT1,'Expenditure Breakdown'!$W$6:$W$131, "&lt;"&amp;AU1)</f>
        <v>0</v>
      </c>
      <c r="AU11" s="263">
        <f>SUMIFS('Expenditure Breakdown'!$R$6:$R$131, 'Expenditure Breakdown'!$W$6:$W$131, "&gt;="&amp;AU1,'Expenditure Breakdown'!$W$6:$W$131, "&lt;"&amp;AV1)</f>
        <v>0</v>
      </c>
      <c r="AV11" s="263">
        <f>SUMIFS('Expenditure Breakdown'!$R$6:$R$131, 'Expenditure Breakdown'!$W$6:$W$131, "&gt;="&amp;AV1,'Expenditure Breakdown'!$W$6:$W$131, "&lt;"&amp;AW1)</f>
        <v>1087.98</v>
      </c>
      <c r="AW11" s="263">
        <f>SUMIFS('Expenditure Breakdown'!$R$6:$R$131, 'Expenditure Breakdown'!$W$6:$W$131, "&gt;="&amp;AW1,'Expenditure Breakdown'!$W$6:$W$131, "&lt;"&amp;AX1)</f>
        <v>32247.49</v>
      </c>
      <c r="AX11" s="263">
        <f>SUMIFS('Expenditure Breakdown'!$R$6:$R$131, 'Expenditure Breakdown'!$W$6:$W$131, "&gt;="&amp;AX1,'Expenditure Breakdown'!$W$6:$W$131, "&lt;"&amp;AY1)</f>
        <v>0</v>
      </c>
      <c r="AY11" s="263">
        <f>SUMIFS('Expenditure Breakdown'!$R$6:$R$131, 'Expenditure Breakdown'!$W$6:$W$131, "&gt;="&amp;AY1,'Expenditure Breakdown'!$W$6:$W$131, "&lt;"&amp;AZ1)</f>
        <v>0</v>
      </c>
      <c r="AZ11" s="263">
        <f>SUMIFS('Expenditure Breakdown'!$R$6:$R$131, 'Expenditure Breakdown'!$W$6:$W$131, "&gt;="&amp;AZ1,'Expenditure Breakdown'!$W$6:$W$131, "&lt;"&amp;BA1)</f>
        <v>0</v>
      </c>
      <c r="BA11" s="263">
        <f>SUMIFS('Expenditure Breakdown'!$R$6:$R$131, 'Expenditure Breakdown'!$W$6:$W$131, "&gt;="&amp;BA1,'Expenditure Breakdown'!$W$6:$W$131, "&lt;"&amp;BB1)</f>
        <v>432.1</v>
      </c>
      <c r="BB11" s="263">
        <f>SUMIFS('Expenditure Breakdown'!$R$6:$R$131, 'Expenditure Breakdown'!$W$6:$W$131, "&gt;="&amp;BB1,'Expenditure Breakdown'!$W$6:$W$131, "&lt;"&amp;BC1)</f>
        <v>0</v>
      </c>
      <c r="BC11" s="263">
        <f>SUMIFS('Expenditure Breakdown'!$R$6:$R$131, 'Expenditure Breakdown'!$W$6:$W$131, "&gt;="&amp;BC1,'Expenditure Breakdown'!$W$6:$W$131, "&lt;"&amp;BD1)</f>
        <v>0</v>
      </c>
      <c r="BD11" s="263">
        <f>SUMIFS('Expenditure Breakdown'!$R$6:$R$131, 'Expenditure Breakdown'!$W$6:$W$131, "&gt;="&amp;BD1,'Expenditure Breakdown'!$W$6:$W$131, "&lt;"&amp;BE1)</f>
        <v>0</v>
      </c>
      <c r="BE11" s="263">
        <f>SUMIFS('Expenditure Breakdown'!$R$6:$R$131, 'Expenditure Breakdown'!$W$6:$W$131, "&gt;="&amp;BE1,'Expenditure Breakdown'!$W$6:$W$131, "&lt;"&amp;BF1)</f>
        <v>0</v>
      </c>
      <c r="BF11" s="263">
        <f>SUMIFS('Expenditure Breakdown'!$R$6:$R$131, 'Expenditure Breakdown'!$W$6:$W$131, "&gt;="&amp;BF1,'Expenditure Breakdown'!$W$6:$W$131, "&lt;"&amp;BG1)</f>
        <v>0</v>
      </c>
      <c r="BG11" s="263">
        <f>SUMIFS('Expenditure Breakdown'!$R$6:$R$131, 'Expenditure Breakdown'!$W$6:$W$131, "&gt;="&amp;BG1,'Expenditure Breakdown'!$W$6:$W$131, "&lt;"&amp;BH1)</f>
        <v>0</v>
      </c>
      <c r="BH11" s="263">
        <f>SUMIFS('Expenditure Breakdown'!$R$6:$R$131, 'Expenditure Breakdown'!$W$6:$W$131, "&gt;="&amp;BH1,'Expenditure Breakdown'!$W$6:$W$131, "&lt;"&amp;BI1)</f>
        <v>8316</v>
      </c>
      <c r="BI11" s="263">
        <f>SUMIFS('Expenditure Breakdown'!$R$6:$R$131, 'Expenditure Breakdown'!$W$6:$W$131, "&gt;="&amp;BI1,'Expenditure Breakdown'!$W$6:$W$131, "&lt;"&amp;BJ1)</f>
        <v>0</v>
      </c>
      <c r="BJ11" s="263">
        <f>SUMIFS('Expenditure Breakdown'!$R$6:$R$131, 'Expenditure Breakdown'!$W$6:$W$131, "&gt;="&amp;BJ1,'Expenditure Breakdown'!$W$6:$W$131, "&lt;"&amp;BK1)</f>
        <v>0</v>
      </c>
      <c r="BK11" s="263">
        <f>SUMIFS('Expenditure Breakdown'!$R$6:$R$131, 'Expenditure Breakdown'!$W$6:$W$131, "&gt;="&amp;BK1,'Expenditure Breakdown'!$W$6:$W$131, "&lt;"&amp;BL1)</f>
        <v>9538.74</v>
      </c>
      <c r="BL11" s="263">
        <f>SUMIFS('Expenditure Breakdown'!$R$6:$R$131, 'Expenditure Breakdown'!$W$6:$W$131, "&gt;="&amp;BL1,'Expenditure Breakdown'!$W$6:$W$131, "&lt;"&amp;BM1)</f>
        <v>31621.762457651748</v>
      </c>
      <c r="BM11" s="263">
        <f>SUMIFS('Expenditure Breakdown'!$R$6:$R$131, 'Expenditure Breakdown'!$W$6:$W$131, "&gt;="&amp;BM1,'Expenditure Breakdown'!$W$6:$W$131, "&lt;"&amp;BN1)</f>
        <v>0</v>
      </c>
      <c r="BN11" s="263">
        <f>SUMIFS('Expenditure Breakdown'!$R$6:$R$131, 'Expenditure Breakdown'!$W$6:$W$131, "&gt;="&amp;BN1,'Expenditure Breakdown'!$W$6:$W$131, "&lt;"&amp;BO1)</f>
        <v>0</v>
      </c>
      <c r="BO11" s="263">
        <f>SUMIFS('Expenditure Breakdown'!$R$6:$R$131, 'Expenditure Breakdown'!$W$6:$W$131, "&gt;="&amp;BO1,'Expenditure Breakdown'!$W$6:$W$131, "&lt;"&amp;BP1)</f>
        <v>0</v>
      </c>
      <c r="BP11" s="263">
        <f>SUMIFS('Expenditure Breakdown'!$R$6:$R$131, 'Expenditure Breakdown'!$W$6:$W$131, "&gt;="&amp;BP1,'Expenditure Breakdown'!$W$6:$W$131, "&lt;"&amp;BQ1)</f>
        <v>0</v>
      </c>
      <c r="BQ11" s="263">
        <f>SUMIFS('Expenditure Breakdown'!$R$6:$R$131, 'Expenditure Breakdown'!$W$6:$W$131, "&gt;="&amp;BQ1,'Expenditure Breakdown'!$W$6:$W$131, "&lt;"&amp;BR1)</f>
        <v>0</v>
      </c>
      <c r="BR11" s="263">
        <f>SUMIFS('Expenditure Breakdown'!$R$6:$R$131, 'Expenditure Breakdown'!$W$6:$W$131, "&gt;="&amp;BR1,'Expenditure Breakdown'!$W$6:$W$131, "&lt;"&amp;BS1)</f>
        <v>0</v>
      </c>
      <c r="BS11" s="263">
        <f>SUMIFS('Expenditure Breakdown'!$R$6:$R$131, 'Expenditure Breakdown'!$W$6:$W$131, "&gt;="&amp;BS1,'Expenditure Breakdown'!$W$6:$W$131, "&lt;"&amp;BT1)</f>
        <v>0</v>
      </c>
      <c r="BT11" s="263">
        <f>SUMIFS('Expenditure Breakdown'!$R$6:$R$131, 'Expenditure Breakdown'!$W$6:$W$131, "&gt;="&amp;BT1,'Expenditure Breakdown'!$W$6:$W$131, "&lt;"&amp;BU1)</f>
        <v>0</v>
      </c>
      <c r="BU11" s="263">
        <f>SUMIFS('Expenditure Breakdown'!$R$6:$R$131, 'Expenditure Breakdown'!$W$6:$W$131, "&gt;="&amp;BU1,'Expenditure Breakdown'!$W$6:$W$131, "&lt;"&amp;BV1)</f>
        <v>0</v>
      </c>
      <c r="BV11" s="263">
        <f>SUMIFS('Expenditure Breakdown'!$R$6:$R$131, 'Expenditure Breakdown'!$W$6:$W$131, "&gt;="&amp;BV1,'Expenditure Breakdown'!$W$6:$W$131, "&lt;"&amp;BW1)</f>
        <v>0</v>
      </c>
      <c r="BW11" s="263">
        <f>SUMIFS('Expenditure Breakdown'!$R$6:$R$131, 'Expenditure Breakdown'!$W$6:$W$131, "&gt;="&amp;BW1,'Expenditure Breakdown'!$W$6:$W$131, "&lt;"&amp;BX1)</f>
        <v>0</v>
      </c>
      <c r="BX11" s="263">
        <f>SUMIFS('Expenditure Breakdown'!$R$6:$R$131, 'Expenditure Breakdown'!$W$6:$W$131, "&gt;="&amp;BX1,'Expenditure Breakdown'!$W$6:$W$131, "&lt;"&amp;BY1)</f>
        <v>0</v>
      </c>
      <c r="BY11" s="263">
        <f>SUMIFS('Expenditure Breakdown'!$R$6:$R$131, 'Expenditure Breakdown'!$W$6:$W$131, "&gt;="&amp;BY1,'Expenditure Breakdown'!$W$6:$W$131, "&lt;"&amp;BZ1)</f>
        <v>0</v>
      </c>
      <c r="BZ11" s="263">
        <f>SUMIFS('Expenditure Breakdown'!$R$6:$R$131, 'Expenditure Breakdown'!$W$6:$W$131, "&gt;="&amp;BZ1,'Expenditure Breakdown'!$W$6:$W$131, "&lt;"&amp;CA1)</f>
        <v>0</v>
      </c>
      <c r="CA11" s="263">
        <f>SUMIFS('Expenditure Breakdown'!$R$6:$R$131, 'Expenditure Breakdown'!$W$6:$W$131, "&gt;="&amp;CA1,'Expenditure Breakdown'!$W$6:$W$131, "&lt;"&amp;CB1)</f>
        <v>0</v>
      </c>
      <c r="CB11" s="263">
        <f>SUMIFS('Expenditure Breakdown'!$R$6:$R$131, 'Expenditure Breakdown'!$W$6:$W$131, "&gt;="&amp;CB1,'Expenditure Breakdown'!$W$6:$W$131, "&lt;"&amp;DS1)</f>
        <v>0</v>
      </c>
      <c r="CC11" s="263">
        <f>SUMIFS('Expenditure Breakdown'!$R$6:$R$131, 'Expenditure Breakdown'!$W$6:$W$131, "&gt;="&amp;CC1,'Expenditure Breakdown'!$W$6:$W$131, "&lt;"&amp;DT1)</f>
        <v>0</v>
      </c>
      <c r="CD11" s="263">
        <f>SUMIFS('Expenditure Breakdown'!$R$6:$R$131, 'Expenditure Breakdown'!$W$6:$W$131, "&gt;="&amp;CD1,'Expenditure Breakdown'!$W$6:$W$131, "&lt;"&amp;DU1)</f>
        <v>0</v>
      </c>
      <c r="CE11" s="263">
        <f>SUMIFS('Expenditure Breakdown'!$R$6:$R$131, 'Expenditure Breakdown'!$W$6:$W$131, "&gt;="&amp;CE1,'Expenditure Breakdown'!$W$6:$W$131, "&lt;"&amp;DV1)</f>
        <v>0</v>
      </c>
      <c r="CF11" s="263">
        <f>SUMIFS('Expenditure Breakdown'!$R$6:$R$131, 'Expenditure Breakdown'!$W$6:$W$131, "&gt;="&amp;CF1,'Expenditure Breakdown'!$W$6:$W$131, "&lt;"&amp;DW1)</f>
        <v>0</v>
      </c>
      <c r="CG11" s="263">
        <f>SUMIFS('Expenditure Breakdown'!$R$6:$R$131, 'Expenditure Breakdown'!$W$6:$W$131, "&gt;="&amp;CG1,'Expenditure Breakdown'!$W$6:$W$131, "&lt;"&amp;DX1)</f>
        <v>0</v>
      </c>
      <c r="CH11" s="263">
        <f>SUMIFS('Expenditure Breakdown'!$R$6:$R$131, 'Expenditure Breakdown'!$W$6:$W$131, "&gt;="&amp;CH1,'Expenditure Breakdown'!$W$6:$W$131, "&lt;"&amp;DY1)</f>
        <v>0</v>
      </c>
      <c r="CI11" s="263">
        <f>SUMIFS('Expenditure Breakdown'!$R$6:$R$131, 'Expenditure Breakdown'!$W$6:$W$131, "&gt;="&amp;CI1,'Expenditure Breakdown'!$W$6:$W$131, "&lt;"&amp;DZ1)</f>
        <v>0</v>
      </c>
      <c r="CJ11" s="263">
        <f>SUMIFS('Expenditure Breakdown'!$R$6:$R$131, 'Expenditure Breakdown'!$W$6:$W$131, "&gt;="&amp;CJ1,'Expenditure Breakdown'!$W$6:$W$131, "&lt;"&amp;EA1)</f>
        <v>0</v>
      </c>
      <c r="CK11" s="263">
        <f>SUMIFS('Expenditure Breakdown'!$R$6:$R$131, 'Expenditure Breakdown'!$W$6:$W$131, "&gt;="&amp;CK1,'Expenditure Breakdown'!$W$6:$W$131, "&lt;"&amp;EB1)</f>
        <v>0</v>
      </c>
      <c r="CL11" s="263">
        <f>SUMIFS('Expenditure Breakdown'!$R$6:$R$131, 'Expenditure Breakdown'!$W$6:$W$131, "&gt;="&amp;CL1,'Expenditure Breakdown'!$W$6:$W$131, "&lt;"&amp;EC1)</f>
        <v>0</v>
      </c>
      <c r="CM11" s="263">
        <f>SUMIFS('Expenditure Breakdown'!$R$6:$R$131, 'Expenditure Breakdown'!$W$6:$W$131, "&gt;="&amp;CM1,'Expenditure Breakdown'!$W$6:$W$131, "&lt;"&amp;ED1)</f>
        <v>0</v>
      </c>
      <c r="CN11" s="263">
        <f>SUMIFS('Expenditure Breakdown'!$R$6:$R$131, 'Expenditure Breakdown'!$W$6:$W$131, "&gt;="&amp;CN1,'Expenditure Breakdown'!$W$6:$W$131, "&lt;"&amp;EE1)</f>
        <v>0</v>
      </c>
      <c r="CO11" s="263">
        <f>SUMIFS('Expenditure Breakdown'!$R$6:$R$131, 'Expenditure Breakdown'!$W$6:$W$131, "&gt;="&amp;CO1,'Expenditure Breakdown'!$W$6:$W$131, "&lt;"&amp;EF1)</f>
        <v>0</v>
      </c>
      <c r="CP11" s="263">
        <f>SUMIFS('Expenditure Breakdown'!$R$6:$R$131, 'Expenditure Breakdown'!$W$6:$W$131, "&gt;="&amp;CP1,'Expenditure Breakdown'!$W$6:$W$131, "&lt;"&amp;EG1)</f>
        <v>0</v>
      </c>
      <c r="CQ11" s="263">
        <f>SUMIFS('Expenditure Breakdown'!$R$6:$R$131, 'Expenditure Breakdown'!$W$6:$W$131, "&gt;="&amp;CQ1,'Expenditure Breakdown'!$W$6:$W$131, "&lt;"&amp;EH1)</f>
        <v>0</v>
      </c>
      <c r="CR11" s="263">
        <f>SUMIFS('Expenditure Breakdown'!$R$6:$R$131, 'Expenditure Breakdown'!$W$6:$W$131, "&gt;="&amp;CR1,'Expenditure Breakdown'!$W$6:$W$131, "&lt;"&amp;EI1)</f>
        <v>0</v>
      </c>
      <c r="CS11" s="263">
        <f>SUMIFS('Expenditure Breakdown'!$R$6:$R$131, 'Expenditure Breakdown'!$W$6:$W$131, "&gt;="&amp;CS1,'Expenditure Breakdown'!$W$6:$W$131, "&lt;"&amp;EJ1)</f>
        <v>0</v>
      </c>
      <c r="CT11" s="263">
        <f>SUMIFS('Expenditure Breakdown'!$R$6:$R$131, 'Expenditure Breakdown'!$W$6:$W$131, "&gt;="&amp;CT1,'Expenditure Breakdown'!$W$6:$W$131, "&lt;"&amp;EK1)</f>
        <v>0</v>
      </c>
      <c r="CU11" s="263">
        <f>SUMIFS('Expenditure Breakdown'!$R$6:$R$131, 'Expenditure Breakdown'!$W$6:$W$131, "&gt;="&amp;CU1,'Expenditure Breakdown'!$W$6:$W$131, "&lt;"&amp;EL1)</f>
        <v>0</v>
      </c>
      <c r="CV11" s="263">
        <f>SUMIFS('Expenditure Breakdown'!$R$6:$R$131, 'Expenditure Breakdown'!$W$6:$W$131, "&gt;="&amp;CV1,'Expenditure Breakdown'!$W$6:$W$131, "&lt;"&amp;EM1)</f>
        <v>0</v>
      </c>
      <c r="CW11" s="263">
        <f>SUMIFS('Expenditure Breakdown'!$R$6:$R$131, 'Expenditure Breakdown'!$W$6:$W$131, "&gt;="&amp;CW1,'Expenditure Breakdown'!$W$6:$W$131, "&lt;"&amp;EN1)</f>
        <v>0</v>
      </c>
      <c r="CX11" s="263">
        <f>SUMIFS('Expenditure Breakdown'!$R$6:$R$131, 'Expenditure Breakdown'!$W$6:$W$131, "&gt;="&amp;CX1,'Expenditure Breakdown'!$W$6:$W$131, "&lt;"&amp;EO1)</f>
        <v>0</v>
      </c>
      <c r="CY11" s="263">
        <f>SUMIFS('Expenditure Breakdown'!$R$6:$R$131, 'Expenditure Breakdown'!$W$6:$W$131, "&gt;="&amp;CY1,'Expenditure Breakdown'!$W$6:$W$131, "&lt;"&amp;EP1)</f>
        <v>0</v>
      </c>
      <c r="CZ11" s="263">
        <f>SUMIFS('Expenditure Breakdown'!$R$6:$R$131, 'Expenditure Breakdown'!$W$6:$W$131, "&gt;="&amp;CZ1,'Expenditure Breakdown'!$W$6:$W$131, "&lt;"&amp;EQ1)</f>
        <v>0</v>
      </c>
      <c r="DA11" s="263">
        <f>SUMIFS('Expenditure Breakdown'!$R$6:$R$131, 'Expenditure Breakdown'!$W$6:$W$131, "&gt;="&amp;DA1,'Expenditure Breakdown'!$W$6:$W$131, "&lt;"&amp;ER1)</f>
        <v>0</v>
      </c>
      <c r="DB11" s="263">
        <f>SUMIFS('Expenditure Breakdown'!$R$6:$R$131, 'Expenditure Breakdown'!$W$6:$W$131, "&gt;="&amp;DB1,'Expenditure Breakdown'!$W$6:$W$131, "&lt;"&amp;ES1)</f>
        <v>0</v>
      </c>
      <c r="DC11" s="263">
        <f>SUMIFS('Expenditure Breakdown'!$R$6:$R$131, 'Expenditure Breakdown'!$W$6:$W$131, "&gt;="&amp;DC1,'Expenditure Breakdown'!$W$6:$W$131, "&lt;"&amp;ET1)</f>
        <v>0</v>
      </c>
      <c r="DD11" s="263">
        <f>SUMIFS('Expenditure Breakdown'!$R$6:$R$131, 'Expenditure Breakdown'!$W$6:$W$131, "&gt;="&amp;DD1,'Expenditure Breakdown'!$W$6:$W$131, "&lt;"&amp;EU1)</f>
        <v>0</v>
      </c>
      <c r="DE11" s="263">
        <f>SUMIFS('Expenditure Breakdown'!$R$6:$R$131, 'Expenditure Breakdown'!$W$6:$W$131, "&gt;="&amp;DE1,'Expenditure Breakdown'!$W$6:$W$131, "&lt;"&amp;EV1)</f>
        <v>0</v>
      </c>
      <c r="DF11" s="263">
        <f>SUMIFS('Expenditure Breakdown'!$R$6:$R$131, 'Expenditure Breakdown'!$W$6:$W$131, "&gt;="&amp;DF1,'Expenditure Breakdown'!$W$6:$W$131, "&lt;"&amp;EW1)</f>
        <v>0</v>
      </c>
      <c r="DG11" s="263">
        <f>SUMIFS('Expenditure Breakdown'!$R$6:$R$131, 'Expenditure Breakdown'!$W$6:$W$131, "&gt;="&amp;DG1,'Expenditure Breakdown'!$W$6:$W$131, "&lt;"&amp;EX1)</f>
        <v>0</v>
      </c>
      <c r="DH11" s="263">
        <f>SUMIFS('Expenditure Breakdown'!$R$6:$R$131, 'Expenditure Breakdown'!$W$6:$W$131, "&gt;="&amp;DH1,'Expenditure Breakdown'!$W$6:$W$131, "&lt;"&amp;EY1)</f>
        <v>0</v>
      </c>
      <c r="DI11" s="263">
        <f>SUMIFS('Expenditure Breakdown'!$R$6:$R$131, 'Expenditure Breakdown'!$W$6:$W$131, "&gt;="&amp;DI1,'Expenditure Breakdown'!$W$6:$W$131, "&lt;"&amp;EZ1)</f>
        <v>0</v>
      </c>
      <c r="DJ11" s="263">
        <f>SUMIFS('Expenditure Breakdown'!$R$6:$R$131, 'Expenditure Breakdown'!$W$6:$W$131, "&gt;="&amp;DJ1,'Expenditure Breakdown'!$W$6:$W$131, "&lt;"&amp;FA1)</f>
        <v>0</v>
      </c>
      <c r="DK11" s="263">
        <f>SUMIFS('Expenditure Breakdown'!$R$6:$R$131, 'Expenditure Breakdown'!$W$6:$W$131, "&gt;="&amp;DK1,'Expenditure Breakdown'!$W$6:$W$131, "&lt;"&amp;FB1)</f>
        <v>0</v>
      </c>
      <c r="DL11" s="263">
        <f>SUMIFS('Expenditure Breakdown'!$R$6:$R$131, 'Expenditure Breakdown'!$W$6:$W$131, "&gt;="&amp;DL1,'Expenditure Breakdown'!$W$6:$W$131, "&lt;"&amp;FC1)</f>
        <v>0</v>
      </c>
      <c r="DM11" s="263">
        <f>SUMIFS('Expenditure Breakdown'!$R$6:$R$131, 'Expenditure Breakdown'!$W$6:$W$131, "&gt;="&amp;DM1,'Expenditure Breakdown'!$W$6:$W$131, "&lt;"&amp;FD1)</f>
        <v>0</v>
      </c>
      <c r="DN11" s="263">
        <f>SUMIFS('Expenditure Breakdown'!$R$6:$R$131, 'Expenditure Breakdown'!$W$6:$W$131, "&gt;="&amp;DN1,'Expenditure Breakdown'!$W$6:$W$131, "&lt;"&amp;FE1)</f>
        <v>0</v>
      </c>
      <c r="DO11" s="263">
        <f>SUMIFS('Expenditure Breakdown'!$R$6:$R$131, 'Expenditure Breakdown'!$W$6:$W$131, "&gt;="&amp;DO1,'Expenditure Breakdown'!$W$6:$W$131, "&lt;"&amp;FF1)</f>
        <v>0</v>
      </c>
      <c r="DP11" s="263">
        <f>SUMIFS('Expenditure Breakdown'!$R$6:$R$131, 'Expenditure Breakdown'!$W$6:$W$131, "&gt;="&amp;DP1,'Expenditure Breakdown'!$W$6:$W$131, "&lt;"&amp;FG1)</f>
        <v>0</v>
      </c>
      <c r="DQ11" s="263">
        <f>SUMIFS('Expenditure Breakdown'!$R$6:$R$131, 'Expenditure Breakdown'!$W$6:$W$131, "&gt;="&amp;DQ1,'Expenditure Breakdown'!$W$6:$W$131, "&lt;"&amp;FH1)</f>
        <v>0</v>
      </c>
      <c r="DR11" s="263">
        <f>SUMIFS('Expenditure Breakdown'!$R$6:$R$131, 'Expenditure Breakdown'!$W$6:$W$131, "&gt;="&amp;DR1,'Expenditure Breakdown'!$W$6:$W$131, "&lt;"&amp;FI1)</f>
        <v>0</v>
      </c>
      <c r="DS11" s="240"/>
      <c r="DT11" s="251"/>
      <c r="DU11" s="251"/>
    </row>
    <row r="12" spans="1:600" s="252" customFormat="1" ht="15">
      <c r="A12" s="980"/>
      <c r="B12" s="261" t="s">
        <v>414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286">H12+I11</f>
        <v>0</v>
      </c>
      <c r="J12" s="263">
        <f t="shared" si="286"/>
        <v>0</v>
      </c>
      <c r="K12" s="263">
        <f t="shared" ref="K12" si="287">J12+K11</f>
        <v>0</v>
      </c>
      <c r="L12" s="263">
        <f t="shared" ref="L12" si="288">K12+L11</f>
        <v>0</v>
      </c>
      <c r="M12" s="263">
        <f t="shared" ref="M12" si="289">L12+M11</f>
        <v>35564.42</v>
      </c>
      <c r="N12" s="263">
        <f t="shared" ref="N12" si="290">M12+N11</f>
        <v>35564.42</v>
      </c>
      <c r="O12" s="263">
        <f t="shared" ref="O12" si="291">N12+O11</f>
        <v>35564.42</v>
      </c>
      <c r="P12" s="263">
        <f t="shared" ref="P12" si="292">O12+P11</f>
        <v>530751.35000000009</v>
      </c>
      <c r="Q12" s="263">
        <f t="shared" ref="Q12" si="293">P12+Q11</f>
        <v>554292.82000000007</v>
      </c>
      <c r="R12" s="263">
        <f t="shared" ref="R12" si="294">Q12+R11</f>
        <v>681140.05</v>
      </c>
      <c r="S12" s="263">
        <f t="shared" ref="S12" si="295">R12+S11</f>
        <v>681140.05</v>
      </c>
      <c r="T12" s="263">
        <f t="shared" ref="T12" si="296">S12+T11</f>
        <v>681140.05</v>
      </c>
      <c r="U12" s="263">
        <f t="shared" ref="U12" si="297">T12+U11</f>
        <v>1636439.45</v>
      </c>
      <c r="V12" s="263">
        <f t="shared" ref="V12" si="298">U12+V11</f>
        <v>1638110.45</v>
      </c>
      <c r="W12" s="263">
        <f t="shared" ref="W12" si="299">V12+W11</f>
        <v>1694486.73</v>
      </c>
      <c r="X12" s="263">
        <f t="shared" ref="X12" si="300">W12+X11</f>
        <v>1694486.73</v>
      </c>
      <c r="Y12" s="263">
        <f t="shared" ref="Y12" si="301">X12+Y11</f>
        <v>1758009.1475423481</v>
      </c>
      <c r="Z12" s="263">
        <f t="shared" ref="Z12" si="302">Y12+Z11</f>
        <v>1814385.4275423482</v>
      </c>
      <c r="AA12" s="263">
        <f t="shared" ref="AA12" si="303">Z12+AA11</f>
        <v>1845907.0975423481</v>
      </c>
      <c r="AB12" s="263">
        <f t="shared" ref="AB12" si="304">AA12+AB11</f>
        <v>1969324.4175423482</v>
      </c>
      <c r="AC12" s="263">
        <f t="shared" ref="AC12" si="305">AB12+AC11</f>
        <v>1969324.4175423482</v>
      </c>
      <c r="AD12" s="263">
        <f t="shared" ref="AD12" si="306">AC12+AD11</f>
        <v>1957054.057542348</v>
      </c>
      <c r="AE12" s="263">
        <f t="shared" ref="AE12" si="307">AD12+AE11</f>
        <v>1957054.057542348</v>
      </c>
      <c r="AF12" s="263">
        <f t="shared" ref="AF12" si="308">AE12+AF11</f>
        <v>1962708.8175423481</v>
      </c>
      <c r="AG12" s="263">
        <f t="shared" ref="AG12" si="309">AF12+AG11</f>
        <v>1962708.8175423481</v>
      </c>
      <c r="AH12" s="263">
        <f t="shared" ref="AH12" si="310">AG12+AH11</f>
        <v>1962708.8175423481</v>
      </c>
      <c r="AI12" s="263">
        <f t="shared" ref="AI12" si="311">AH12+AI11</f>
        <v>1963818.537542348</v>
      </c>
      <c r="AJ12" s="263">
        <f t="shared" ref="AJ12" si="312">AI12+AJ11</f>
        <v>1992006.6775423479</v>
      </c>
      <c r="AK12" s="263">
        <f t="shared" ref="AK12:BQ12" si="313">AJ12+AK11</f>
        <v>1992006.6775423479</v>
      </c>
      <c r="AL12" s="263">
        <f t="shared" si="313"/>
        <v>1992006.6775423479</v>
      </c>
      <c r="AM12" s="263">
        <f t="shared" si="313"/>
        <v>2020618.037542348</v>
      </c>
      <c r="AN12" s="263">
        <f t="shared" si="313"/>
        <v>2020618.037542348</v>
      </c>
      <c r="AO12" s="263">
        <f t="shared" si="313"/>
        <v>2020618.037542348</v>
      </c>
      <c r="AP12" s="263">
        <f t="shared" si="313"/>
        <v>2020618.037542348</v>
      </c>
      <c r="AQ12" s="263">
        <f t="shared" si="313"/>
        <v>2020618.037542348</v>
      </c>
      <c r="AR12" s="263">
        <f t="shared" si="313"/>
        <v>2020618.037542348</v>
      </c>
      <c r="AS12" s="263">
        <f t="shared" si="313"/>
        <v>2020618.037542348</v>
      </c>
      <c r="AT12" s="263">
        <f t="shared" si="313"/>
        <v>2020618.037542348</v>
      </c>
      <c r="AU12" s="263">
        <f t="shared" si="313"/>
        <v>2020618.037542348</v>
      </c>
      <c r="AV12" s="263">
        <f t="shared" si="313"/>
        <v>2021706.017542348</v>
      </c>
      <c r="AW12" s="263">
        <f t="shared" si="313"/>
        <v>2053953.507542348</v>
      </c>
      <c r="AX12" s="263">
        <f t="shared" si="313"/>
        <v>2053953.507542348</v>
      </c>
      <c r="AY12" s="263">
        <f t="shared" si="313"/>
        <v>2053953.507542348</v>
      </c>
      <c r="AZ12" s="263">
        <f t="shared" si="313"/>
        <v>2053953.507542348</v>
      </c>
      <c r="BA12" s="263">
        <f t="shared" si="313"/>
        <v>2054385.6075423481</v>
      </c>
      <c r="BB12" s="263">
        <f t="shared" si="313"/>
        <v>2054385.6075423481</v>
      </c>
      <c r="BC12" s="263">
        <f t="shared" si="313"/>
        <v>2054385.6075423481</v>
      </c>
      <c r="BD12" s="263">
        <f t="shared" si="313"/>
        <v>2054385.6075423481</v>
      </c>
      <c r="BE12" s="263">
        <f t="shared" si="313"/>
        <v>2054385.6075423481</v>
      </c>
      <c r="BF12" s="263">
        <f t="shared" si="313"/>
        <v>2054385.6075423481</v>
      </c>
      <c r="BG12" s="263">
        <f t="shared" si="313"/>
        <v>2054385.6075423481</v>
      </c>
      <c r="BH12" s="263">
        <f t="shared" si="313"/>
        <v>2062701.6075423481</v>
      </c>
      <c r="BI12" s="263">
        <f t="shared" si="313"/>
        <v>2062701.6075423481</v>
      </c>
      <c r="BJ12" s="263">
        <f t="shared" si="313"/>
        <v>2062701.6075423481</v>
      </c>
      <c r="BK12" s="263">
        <f t="shared" si="313"/>
        <v>2072240.3475423481</v>
      </c>
      <c r="BL12" s="263">
        <f t="shared" si="313"/>
        <v>2103862.11</v>
      </c>
      <c r="BM12" s="263">
        <f t="shared" si="313"/>
        <v>2103862.11</v>
      </c>
      <c r="BN12" s="263">
        <f t="shared" si="313"/>
        <v>2103862.11</v>
      </c>
      <c r="BO12" s="263">
        <f t="shared" si="313"/>
        <v>2103862.11</v>
      </c>
      <c r="BP12" s="263">
        <f t="shared" si="313"/>
        <v>2103862.11</v>
      </c>
      <c r="BQ12" s="263">
        <f t="shared" si="313"/>
        <v>2103862.11</v>
      </c>
      <c r="BR12" s="263">
        <f t="shared" ref="BR12:CC12" si="314">BQ12+BR11</f>
        <v>2103862.11</v>
      </c>
      <c r="BS12" s="263">
        <f t="shared" si="314"/>
        <v>2103862.11</v>
      </c>
      <c r="BT12" s="263">
        <f t="shared" si="314"/>
        <v>2103862.11</v>
      </c>
      <c r="BU12" s="263">
        <f t="shared" si="314"/>
        <v>2103862.11</v>
      </c>
      <c r="BV12" s="263">
        <f t="shared" si="314"/>
        <v>2103862.11</v>
      </c>
      <c r="BW12" s="263">
        <f t="shared" si="314"/>
        <v>2103862.11</v>
      </c>
      <c r="BX12" s="263">
        <f t="shared" si="314"/>
        <v>2103862.11</v>
      </c>
      <c r="BY12" s="263">
        <f t="shared" si="314"/>
        <v>2103862.11</v>
      </c>
      <c r="BZ12" s="263">
        <f t="shared" si="314"/>
        <v>2103862.11</v>
      </c>
      <c r="CA12" s="263">
        <f t="shared" si="314"/>
        <v>2103862.11</v>
      </c>
      <c r="CB12" s="263">
        <f t="shared" si="314"/>
        <v>2103862.11</v>
      </c>
      <c r="CC12" s="263">
        <f t="shared" si="314"/>
        <v>2103862.11</v>
      </c>
      <c r="CD12" s="263">
        <f t="shared" ref="CD12" si="315">CC12+CD11</f>
        <v>2103862.11</v>
      </c>
      <c r="CE12" s="263">
        <f t="shared" ref="CE12" si="316">CD12+CE11</f>
        <v>2103862.11</v>
      </c>
      <c r="CF12" s="263">
        <f t="shared" ref="CF12" si="317">CE12+CF11</f>
        <v>2103862.11</v>
      </c>
      <c r="CG12" s="263">
        <f t="shared" ref="CG12" si="318">CF12+CG11</f>
        <v>2103862.11</v>
      </c>
      <c r="CH12" s="263">
        <f t="shared" ref="CH12" si="319">CG12+CH11</f>
        <v>2103862.11</v>
      </c>
      <c r="CI12" s="263">
        <f t="shared" ref="CI12" si="320">CH12+CI11</f>
        <v>2103862.11</v>
      </c>
      <c r="CJ12" s="263">
        <f t="shared" ref="CJ12" si="321">CI12+CJ11</f>
        <v>2103862.11</v>
      </c>
      <c r="CK12" s="263">
        <f t="shared" ref="CK12" si="322">CJ12+CK11</f>
        <v>2103862.11</v>
      </c>
      <c r="CL12" s="263">
        <f t="shared" ref="CL12" si="323">CK12+CL11</f>
        <v>2103862.11</v>
      </c>
      <c r="CM12" s="263">
        <f t="shared" ref="CM12" si="324">CL12+CM11</f>
        <v>2103862.11</v>
      </c>
      <c r="CN12" s="263">
        <f t="shared" ref="CN12" si="325">CM12+CN11</f>
        <v>2103862.11</v>
      </c>
      <c r="CO12" s="263">
        <f t="shared" ref="CO12" si="326">CN12+CO11</f>
        <v>2103862.11</v>
      </c>
      <c r="CP12" s="263">
        <f t="shared" ref="CP12" si="327">CO12+CP11</f>
        <v>2103862.11</v>
      </c>
      <c r="CQ12" s="263">
        <f t="shared" ref="CQ12" si="328">CP12+CQ11</f>
        <v>2103862.11</v>
      </c>
      <c r="CR12" s="263">
        <f t="shared" ref="CR12" si="329">CQ12+CR11</f>
        <v>2103862.11</v>
      </c>
      <c r="CS12" s="263">
        <f t="shared" ref="CS12" si="330">CR12+CS11</f>
        <v>2103862.11</v>
      </c>
      <c r="CT12" s="263">
        <f t="shared" ref="CT12" si="331">CS12+CT11</f>
        <v>2103862.11</v>
      </c>
      <c r="CU12" s="263">
        <f t="shared" ref="CU12" si="332">CT12+CU11</f>
        <v>2103862.11</v>
      </c>
      <c r="CV12" s="263">
        <f t="shared" ref="CV12" si="333">CU12+CV11</f>
        <v>2103862.11</v>
      </c>
      <c r="CW12" s="263">
        <f t="shared" ref="CW12" si="334">CV12+CW11</f>
        <v>2103862.11</v>
      </c>
      <c r="CX12" s="263">
        <f t="shared" ref="CX12" si="335">CW12+CX11</f>
        <v>2103862.11</v>
      </c>
      <c r="CY12" s="263">
        <f t="shared" ref="CY12" si="336">CX12+CY11</f>
        <v>2103862.11</v>
      </c>
      <c r="CZ12" s="263">
        <f t="shared" ref="CZ12" si="337">CY12+CZ11</f>
        <v>2103862.11</v>
      </c>
      <c r="DA12" s="263">
        <f t="shared" ref="DA12" si="338">CZ12+DA11</f>
        <v>2103862.11</v>
      </c>
      <c r="DB12" s="263">
        <f t="shared" ref="DB12" si="339">DA12+DB11</f>
        <v>2103862.11</v>
      </c>
      <c r="DC12" s="263">
        <f t="shared" ref="DC12" si="340">DB12+DC11</f>
        <v>2103862.11</v>
      </c>
      <c r="DD12" s="263">
        <f t="shared" ref="DD12" si="341">DC12+DD11</f>
        <v>2103862.11</v>
      </c>
      <c r="DE12" s="263">
        <f t="shared" ref="DE12" si="342">DD12+DE11</f>
        <v>2103862.11</v>
      </c>
      <c r="DF12" s="263">
        <f t="shared" ref="DF12" si="343">DE12+DF11</f>
        <v>2103862.11</v>
      </c>
      <c r="DG12" s="263">
        <f t="shared" ref="DG12" si="344">DF12+DG11</f>
        <v>2103862.11</v>
      </c>
      <c r="DH12" s="263">
        <f t="shared" ref="DH12" si="345">DG12+DH11</f>
        <v>2103862.11</v>
      </c>
      <c r="DI12" s="263">
        <f t="shared" ref="DI12" si="346">DH12+DI11</f>
        <v>2103862.11</v>
      </c>
      <c r="DJ12" s="263">
        <f t="shared" ref="DJ12" si="347">DI12+DJ11</f>
        <v>2103862.11</v>
      </c>
      <c r="DK12" s="263">
        <f t="shared" ref="DK12" si="348">DJ12+DK11</f>
        <v>2103862.11</v>
      </c>
      <c r="DL12" s="263">
        <f t="shared" ref="DL12" si="349">DK12+DL11</f>
        <v>2103862.11</v>
      </c>
      <c r="DM12" s="263">
        <f t="shared" ref="DM12" si="350">DL12+DM11</f>
        <v>2103862.11</v>
      </c>
      <c r="DN12" s="263">
        <f t="shared" ref="DN12" si="351">DM12+DN11</f>
        <v>2103862.11</v>
      </c>
      <c r="DO12" s="263">
        <f t="shared" ref="DO12" si="352">DN12+DO11</f>
        <v>2103862.11</v>
      </c>
      <c r="DP12" s="263">
        <f t="shared" ref="DP12" si="353">DO12+DP11</f>
        <v>2103862.11</v>
      </c>
      <c r="DQ12" s="263">
        <f t="shared" ref="DQ12" si="354">DP12+DQ11</f>
        <v>2103862.11</v>
      </c>
      <c r="DR12" s="263">
        <f t="shared" ref="DR12" si="355">DQ12+DR11</f>
        <v>2103862.11</v>
      </c>
      <c r="DS12" s="240"/>
      <c r="DT12" s="251"/>
    </row>
    <row r="13" spans="1:600" s="240" customFormat="1" ht="15">
      <c r="A13" s="980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</row>
    <row r="14" spans="1:600" ht="15">
      <c r="A14" s="980"/>
      <c r="B14" s="253" t="s">
        <v>415</v>
      </c>
      <c r="C14" s="254"/>
      <c r="D14" s="254"/>
      <c r="E14" s="255"/>
      <c r="F14" s="256">
        <f t="shared" ref="F14:H14" si="356">F10-F12</f>
        <v>861790.65118575096</v>
      </c>
      <c r="G14" s="256">
        <f t="shared" si="356"/>
        <v>861790.65118575096</v>
      </c>
      <c r="H14" s="256">
        <f t="shared" si="356"/>
        <v>861790.65118575096</v>
      </c>
      <c r="I14" s="256">
        <f t="shared" ref="I14:J14" si="357">I10-I12</f>
        <v>861790.65118575096</v>
      </c>
      <c r="J14" s="256">
        <f t="shared" si="357"/>
        <v>861790.65118575096</v>
      </c>
      <c r="K14" s="256">
        <f t="shared" ref="K14:AJ14" si="358">K10-K12</f>
        <v>861790.65118575096</v>
      </c>
      <c r="L14" s="256">
        <f t="shared" si="358"/>
        <v>861790.65118575096</v>
      </c>
      <c r="M14" s="256">
        <f t="shared" si="358"/>
        <v>826226.23118575092</v>
      </c>
      <c r="N14" s="256">
        <f t="shared" si="358"/>
        <v>826226.23118575092</v>
      </c>
      <c r="O14" s="256">
        <f t="shared" si="358"/>
        <v>826226.23118575092</v>
      </c>
      <c r="P14" s="256">
        <f t="shared" si="358"/>
        <v>331039.30118575087</v>
      </c>
      <c r="Q14" s="256">
        <f t="shared" si="358"/>
        <v>307497.8311857509</v>
      </c>
      <c r="R14" s="256">
        <f t="shared" si="358"/>
        <v>796215.35203271592</v>
      </c>
      <c r="S14" s="256">
        <f t="shared" si="358"/>
        <v>796215.35203271592</v>
      </c>
      <c r="T14" s="256">
        <f t="shared" si="358"/>
        <v>796215.35203271592</v>
      </c>
      <c r="U14" s="256">
        <f t="shared" si="358"/>
        <v>-159084.04796728399</v>
      </c>
      <c r="V14" s="256">
        <f t="shared" si="358"/>
        <v>-160755.04796728399</v>
      </c>
      <c r="W14" s="256">
        <f t="shared" si="358"/>
        <v>-217131.32796728401</v>
      </c>
      <c r="X14" s="256">
        <f t="shared" si="358"/>
        <v>-217131.32796728401</v>
      </c>
      <c r="Y14" s="256">
        <f t="shared" si="358"/>
        <v>581136.90567611903</v>
      </c>
      <c r="Z14" s="256">
        <f t="shared" si="358"/>
        <v>524760.625676119</v>
      </c>
      <c r="AA14" s="256">
        <f t="shared" si="358"/>
        <v>493238.95567611908</v>
      </c>
      <c r="AB14" s="256">
        <f t="shared" si="358"/>
        <v>369821.63567611901</v>
      </c>
      <c r="AC14" s="256">
        <f t="shared" si="358"/>
        <v>369821.63567611901</v>
      </c>
      <c r="AD14" s="256">
        <f t="shared" si="358"/>
        <v>382091.99567611911</v>
      </c>
      <c r="AE14" s="256">
        <f t="shared" si="358"/>
        <v>382091.99567611911</v>
      </c>
      <c r="AF14" s="256">
        <f t="shared" si="358"/>
        <v>376437.2356761191</v>
      </c>
      <c r="AG14" s="256">
        <f t="shared" si="358"/>
        <v>376437.2356761191</v>
      </c>
      <c r="AH14" s="256">
        <f t="shared" si="358"/>
        <v>376437.2356761191</v>
      </c>
      <c r="AI14" s="256">
        <f t="shared" si="358"/>
        <v>375327.51567611913</v>
      </c>
      <c r="AJ14" s="256">
        <f t="shared" si="358"/>
        <v>347139.37567611923</v>
      </c>
      <c r="AK14" s="256">
        <f t="shared" ref="AK14:BQ14" si="359">AK10-AK12</f>
        <v>347139.37567611923</v>
      </c>
      <c r="AL14" s="256">
        <f t="shared" si="359"/>
        <v>347139.37567611923</v>
      </c>
      <c r="AM14" s="256">
        <f t="shared" si="359"/>
        <v>318528.01567611913</v>
      </c>
      <c r="AN14" s="256">
        <f t="shared" si="359"/>
        <v>318528.01567611913</v>
      </c>
      <c r="AO14" s="256">
        <f t="shared" si="359"/>
        <v>318528.01567611913</v>
      </c>
      <c r="AP14" s="256">
        <f t="shared" si="359"/>
        <v>318528.01567611913</v>
      </c>
      <c r="AQ14" s="256">
        <f t="shared" si="359"/>
        <v>318528.01567611913</v>
      </c>
      <c r="AR14" s="256">
        <f t="shared" si="359"/>
        <v>318528.01567611913</v>
      </c>
      <c r="AS14" s="256">
        <f t="shared" si="359"/>
        <v>318528.01567611913</v>
      </c>
      <c r="AT14" s="256">
        <f t="shared" si="359"/>
        <v>318528.01567611913</v>
      </c>
      <c r="AU14" s="256">
        <f t="shared" si="359"/>
        <v>318528.01567611913</v>
      </c>
      <c r="AV14" s="256">
        <f t="shared" si="359"/>
        <v>317440.03567611915</v>
      </c>
      <c r="AW14" s="256">
        <f t="shared" si="359"/>
        <v>285192.54567611916</v>
      </c>
      <c r="AX14" s="256">
        <f t="shared" si="359"/>
        <v>285192.54567611916</v>
      </c>
      <c r="AY14" s="256">
        <f t="shared" si="359"/>
        <v>285192.54567611916</v>
      </c>
      <c r="AZ14" s="256">
        <f t="shared" si="359"/>
        <v>285192.54567611916</v>
      </c>
      <c r="BA14" s="256">
        <f t="shared" si="359"/>
        <v>284760.44567611907</v>
      </c>
      <c r="BB14" s="256">
        <f t="shared" si="359"/>
        <v>284760.44567611907</v>
      </c>
      <c r="BC14" s="256">
        <f t="shared" si="359"/>
        <v>284760.44567611907</v>
      </c>
      <c r="BD14" s="256">
        <f t="shared" si="359"/>
        <v>284760.44567611907</v>
      </c>
      <c r="BE14" s="256">
        <f t="shared" si="359"/>
        <v>284760.44567611907</v>
      </c>
      <c r="BF14" s="256">
        <f t="shared" si="359"/>
        <v>284760.44567611907</v>
      </c>
      <c r="BG14" s="256">
        <f t="shared" si="359"/>
        <v>284760.44567611907</v>
      </c>
      <c r="BH14" s="256">
        <f t="shared" si="359"/>
        <v>276444.44567611907</v>
      </c>
      <c r="BI14" s="256">
        <f t="shared" si="359"/>
        <v>276444.44567611907</v>
      </c>
      <c r="BJ14" s="256">
        <f t="shared" si="359"/>
        <v>276444.44567611907</v>
      </c>
      <c r="BK14" s="256">
        <f t="shared" si="359"/>
        <v>266905.70567611908</v>
      </c>
      <c r="BL14" s="256">
        <f t="shared" si="359"/>
        <v>235283.94321846729</v>
      </c>
      <c r="BM14" s="256">
        <f t="shared" si="359"/>
        <v>235283.94321846729</v>
      </c>
      <c r="BN14" s="256">
        <f t="shared" si="359"/>
        <v>235283.94321846729</v>
      </c>
      <c r="BO14" s="256">
        <f t="shared" si="359"/>
        <v>235283.94321846729</v>
      </c>
      <c r="BP14" s="256">
        <f t="shared" si="359"/>
        <v>235283.94321846729</v>
      </c>
      <c r="BQ14" s="256">
        <f t="shared" si="359"/>
        <v>235283.94321846729</v>
      </c>
      <c r="BR14" s="256">
        <f t="shared" ref="BR14:CC14" si="360">BR10-BR12</f>
        <v>235283.94321846729</v>
      </c>
      <c r="BS14" s="256">
        <f t="shared" si="360"/>
        <v>410678.01338786026</v>
      </c>
      <c r="BT14" s="256">
        <f t="shared" si="360"/>
        <v>410678.01338786026</v>
      </c>
      <c r="BU14" s="256">
        <f t="shared" si="360"/>
        <v>410678.01338786026</v>
      </c>
      <c r="BV14" s="256">
        <f t="shared" si="360"/>
        <v>410678.01338786026</v>
      </c>
      <c r="BW14" s="256">
        <f t="shared" si="360"/>
        <v>410678.01338786026</v>
      </c>
      <c r="BX14" s="256">
        <f t="shared" si="360"/>
        <v>410678.01338786026</v>
      </c>
      <c r="BY14" s="256">
        <f t="shared" si="360"/>
        <v>410678.01338786026</v>
      </c>
      <c r="BZ14" s="256">
        <f t="shared" si="360"/>
        <v>410678.01338786026</v>
      </c>
      <c r="CA14" s="256">
        <f t="shared" si="360"/>
        <v>410678.01338786026</v>
      </c>
      <c r="CB14" s="256">
        <f t="shared" si="360"/>
        <v>410678.01338786026</v>
      </c>
      <c r="CC14" s="256">
        <f t="shared" si="360"/>
        <v>410678.01338786026</v>
      </c>
      <c r="CD14" s="256">
        <f t="shared" ref="CD14:DR14" si="361">CD10-CD12</f>
        <v>410678.01338786026</v>
      </c>
      <c r="CE14" s="256">
        <f t="shared" si="361"/>
        <v>410678.01338786026</v>
      </c>
      <c r="CF14" s="256">
        <f t="shared" si="361"/>
        <v>410678.01338786026</v>
      </c>
      <c r="CG14" s="256">
        <f t="shared" si="361"/>
        <v>410678.01338786026</v>
      </c>
      <c r="CH14" s="256">
        <f t="shared" si="361"/>
        <v>410678.01338786026</v>
      </c>
      <c r="CI14" s="256">
        <f t="shared" si="361"/>
        <v>410678.01338786026</v>
      </c>
      <c r="CJ14" s="256">
        <f t="shared" si="361"/>
        <v>410678.01338786026</v>
      </c>
      <c r="CK14" s="256">
        <f t="shared" si="361"/>
        <v>410678.01338786026</v>
      </c>
      <c r="CL14" s="256">
        <f t="shared" si="361"/>
        <v>410678.01338786026</v>
      </c>
      <c r="CM14" s="256">
        <f t="shared" si="361"/>
        <v>410678.01338786026</v>
      </c>
      <c r="CN14" s="256">
        <f t="shared" si="361"/>
        <v>410678.01338786026</v>
      </c>
      <c r="CO14" s="256">
        <f t="shared" si="361"/>
        <v>410678.01338786026</v>
      </c>
      <c r="CP14" s="256">
        <f t="shared" si="361"/>
        <v>410678.01338786026</v>
      </c>
      <c r="CQ14" s="256">
        <f t="shared" si="361"/>
        <v>401348.36338786036</v>
      </c>
      <c r="CR14" s="256">
        <f t="shared" si="361"/>
        <v>401348.36338786036</v>
      </c>
      <c r="CS14" s="256">
        <f t="shared" si="361"/>
        <v>401348.36338786036</v>
      </c>
      <c r="CT14" s="256">
        <f t="shared" si="361"/>
        <v>401348.36338786036</v>
      </c>
      <c r="CU14" s="256">
        <f t="shared" si="361"/>
        <v>401348.36338786036</v>
      </c>
      <c r="CV14" s="256">
        <f t="shared" si="361"/>
        <v>401348.36338786036</v>
      </c>
      <c r="CW14" s="256">
        <f t="shared" si="361"/>
        <v>401348.36338786036</v>
      </c>
      <c r="CX14" s="256">
        <f t="shared" si="361"/>
        <v>401348.36338786036</v>
      </c>
      <c r="CY14" s="256">
        <f t="shared" si="361"/>
        <v>401348.36338786036</v>
      </c>
      <c r="CZ14" s="256">
        <f t="shared" si="361"/>
        <v>401348.36338786036</v>
      </c>
      <c r="DA14" s="256">
        <f t="shared" si="361"/>
        <v>401348.36338786036</v>
      </c>
      <c r="DB14" s="256">
        <f t="shared" si="361"/>
        <v>401348.36338786036</v>
      </c>
      <c r="DC14" s="256">
        <f t="shared" si="361"/>
        <v>401348.36338786036</v>
      </c>
      <c r="DD14" s="256">
        <f t="shared" si="361"/>
        <v>401348.36338786036</v>
      </c>
      <c r="DE14" s="256">
        <f t="shared" si="361"/>
        <v>401348.36338786036</v>
      </c>
      <c r="DF14" s="256">
        <f t="shared" si="361"/>
        <v>401348.36338786036</v>
      </c>
      <c r="DG14" s="256">
        <f t="shared" si="361"/>
        <v>401348.36338786036</v>
      </c>
      <c r="DH14" s="256">
        <f t="shared" si="361"/>
        <v>401348.36338786036</v>
      </c>
      <c r="DI14" s="256">
        <f t="shared" si="361"/>
        <v>401348.36338786036</v>
      </c>
      <c r="DJ14" s="256">
        <f t="shared" si="361"/>
        <v>401348.36338786036</v>
      </c>
      <c r="DK14" s="256">
        <f t="shared" si="361"/>
        <v>401348.36338786036</v>
      </c>
      <c r="DL14" s="256">
        <f t="shared" si="361"/>
        <v>401348.36338786036</v>
      </c>
      <c r="DM14" s="256">
        <f t="shared" si="361"/>
        <v>401348.36338786036</v>
      </c>
      <c r="DN14" s="256">
        <f t="shared" si="361"/>
        <v>401348.36338786036</v>
      </c>
      <c r="DO14" s="256">
        <f t="shared" si="361"/>
        <v>401348.36338786036</v>
      </c>
      <c r="DP14" s="256">
        <f t="shared" si="361"/>
        <v>401348.36338786036</v>
      </c>
      <c r="DQ14" s="256">
        <f t="shared" si="361"/>
        <v>401348.36338786036</v>
      </c>
      <c r="DR14" s="256">
        <f t="shared" si="361"/>
        <v>401348.36338786036</v>
      </c>
    </row>
    <row r="15" spans="1:600" s="240" customFormat="1" ht="15"/>
    <row r="16" spans="1:600" s="240" customFormat="1" ht="15">
      <c r="C16" s="242" t="s">
        <v>236</v>
      </c>
      <c r="D16" s="242" t="s">
        <v>236</v>
      </c>
    </row>
    <row r="17" spans="1:122" ht="15">
      <c r="A17" s="981"/>
      <c r="B17" s="244" t="s">
        <v>416</v>
      </c>
      <c r="C17" s="543">
        <f>C3-D17</f>
        <v>-43924.243657288142</v>
      </c>
      <c r="D17" s="245">
        <f>SUM(F17:BE17)</f>
        <v>2506183.2470451482</v>
      </c>
      <c r="E17" s="255"/>
      <c r="F17" s="263">
        <f>SUMIFS('Expenditure Breakdown'!$U$6:$U$131, 'Expenditure Breakdown'!$T$6:$T$131, "&gt;="&amp;F1,'Expenditure Breakdown'!$T$6:$T$131, "&lt;"&amp;G1)</f>
        <v>0</v>
      </c>
      <c r="G17" s="263">
        <f>SUMIFS('Expenditure Breakdown'!$U$6:$U$131, 'Expenditure Breakdown'!$T$6:$T$131, "&gt;="&amp;G1,'Expenditure Breakdown'!$T$6:$T$131, "&lt;"&amp;H1)</f>
        <v>0</v>
      </c>
      <c r="H17" s="263">
        <f>SUMIFS('Expenditure Breakdown'!$U$6:$U$131, 'Expenditure Breakdown'!$T$6:$T$131, "&gt;="&amp;H1,'Expenditure Breakdown'!$T$6:$T$131, "&lt;"&amp;I1)</f>
        <v>792853.43022606324</v>
      </c>
      <c r="I17" s="263">
        <f>SUMIFS('Expenditure Breakdown'!$U$6:$U$131, 'Expenditure Breakdown'!$T$6:$T$131, "&gt;="&amp;I1,'Expenditure Breakdown'!$T$6:$T$131, "&lt;"&amp;J1)</f>
        <v>0</v>
      </c>
      <c r="J17" s="263">
        <f>SUMIFS('Expenditure Breakdown'!$U$6:$U$131, 'Expenditure Breakdown'!$T$6:$T$131, "&gt;="&amp;J1,'Expenditure Breakdown'!$T$6:$T$131, "&lt;"&amp;K1)</f>
        <v>0</v>
      </c>
      <c r="K17" s="263">
        <f>SUMIFS('Expenditure Breakdown'!$U$6:$U$131, 'Expenditure Breakdown'!$T$6:$T$131, "&gt;="&amp;K1,'Expenditure Breakdown'!$T$6:$T$131, "&lt;"&amp;L1)</f>
        <v>0</v>
      </c>
      <c r="L17" s="263">
        <f>SUMIFS('Expenditure Breakdown'!$U$6:$U$131, 'Expenditure Breakdown'!$T$6:$T$131, "&gt;="&amp;L1,'Expenditure Breakdown'!$T$6:$T$131, "&lt;"&amp;M1)</f>
        <v>55191.910019255542</v>
      </c>
      <c r="M17" s="263">
        <f>SUMIFS('Expenditure Breakdown'!$U$6:$U$131, 'Expenditure Breakdown'!$T$6:$T$131, "&gt;="&amp;M1,'Expenditure Breakdown'!$T$6:$T$131, "&lt;"&amp;N1)</f>
        <v>0</v>
      </c>
      <c r="N17" s="263">
        <f>SUMIFS('Expenditure Breakdown'!$U$6:$U$131, 'Expenditure Breakdown'!$T$6:$T$131, "&gt;="&amp;N1,'Expenditure Breakdown'!$T$6:$T$131, "&lt;"&amp;O1)</f>
        <v>0</v>
      </c>
      <c r="O17" s="263">
        <f>SUMIFS('Expenditure Breakdown'!$U$6:$U$131, 'Expenditure Breakdown'!$T$6:$T$131, "&gt;="&amp;O1,'Expenditure Breakdown'!$T$6:$T$131, "&lt;"&amp;P1)</f>
        <v>0</v>
      </c>
      <c r="P17" s="263">
        <f>SUMIFS('Expenditure Breakdown'!$U$6:$U$131, 'Expenditure Breakdown'!$T$6:$T$131, "&gt;="&amp;P1,'Expenditure Breakdown'!$T$6:$T$131, "&lt;"&amp;Q1)</f>
        <v>0</v>
      </c>
      <c r="Q17" s="263">
        <f>SUMIFS('Expenditure Breakdown'!$U$6:$U$131, 'Expenditure Breakdown'!$T$6:$T$131, "&gt;="&amp;Q1,'Expenditure Breakdown'!$T$6:$T$131, "&lt;"&amp;R1)</f>
        <v>535671.93903123331</v>
      </c>
      <c r="R17" s="263">
        <f>SUMIFS('Expenditure Breakdown'!$U$6:$U$131, 'Expenditure Breakdown'!$T$6:$T$131, "&gt;="&amp;R1,'Expenditure Breakdown'!$T$6:$T$131, "&lt;"&amp;S1)</f>
        <v>0</v>
      </c>
      <c r="S17" s="263">
        <f>SUMIFS('Expenditure Breakdown'!$U$6:$U$131, 'Expenditure Breakdown'!$T$6:$T$131, "&gt;="&amp;S1,'Expenditure Breakdown'!$T$6:$T$131, "&lt;"&amp;T1)</f>
        <v>0</v>
      </c>
      <c r="T17" s="263">
        <f>SUMIFS('Expenditure Breakdown'!$U$6:$U$131, 'Expenditure Breakdown'!$T$6:$T$131, "&gt;="&amp;T1,'Expenditure Breakdown'!$T$6:$T$131, "&lt;"&amp;U1)</f>
        <v>0</v>
      </c>
      <c r="U17" s="263">
        <f>SUMIFS('Expenditure Breakdown'!$U$6:$U$131, 'Expenditure Breakdown'!$T$6:$T$131, "&gt;="&amp;U1,'Expenditure Breakdown'!$T$6:$T$131, "&lt;"&amp;V1)</f>
        <v>679962.5181584669</v>
      </c>
      <c r="V17" s="263">
        <f>SUMIFS('Expenditure Breakdown'!$U$6:$U$131, 'Expenditure Breakdown'!$T$6:$T$131, "&gt;="&amp;V1,'Expenditure Breakdown'!$T$6:$T$131, "&lt;"&amp;W1)</f>
        <v>0</v>
      </c>
      <c r="W17" s="263">
        <f>SUMIFS('Expenditure Breakdown'!$U$6:$U$131, 'Expenditure Breakdown'!$T$6:$T$131, "&gt;="&amp;W1,'Expenditure Breakdown'!$T$6:$T$131, "&lt;"&amp;X1)</f>
        <v>0</v>
      </c>
      <c r="X17" s="263">
        <f>SUMIFS('Expenditure Breakdown'!$U$6:$U$131, 'Expenditure Breakdown'!$T$6:$T$131, "&gt;="&amp;X1,'Expenditure Breakdown'!$T$6:$T$131, "&lt;"&amp;Y1)</f>
        <v>0</v>
      </c>
      <c r="Y17" s="263">
        <f>SUMIFS('Expenditure Breakdown'!$U$6:$U$131, 'Expenditure Breakdown'!$T$6:$T$131, "&gt;="&amp;Y1,'Expenditure Breakdown'!$T$6:$T$131, "&lt;"&amp;Z1)</f>
        <v>370357.29151234601</v>
      </c>
      <c r="Z17" s="263">
        <f>SUMIFS('Expenditure Breakdown'!$U$6:$U$131, 'Expenditure Breakdown'!$T$6:$T$131, "&gt;="&amp;Z1,'Expenditure Breakdown'!$T$6:$T$131, "&lt;"&amp;AA1)</f>
        <v>0</v>
      </c>
      <c r="AA17" s="263">
        <f>SUMIFS('Expenditure Breakdown'!$U$6:$U$131, 'Expenditure Breakdown'!$T$6:$T$131, "&gt;="&amp;AA1,'Expenditure Breakdown'!$T$6:$T$131, "&lt;"&amp;AB1)</f>
        <v>0</v>
      </c>
      <c r="AB17" s="263">
        <f>SUMIFS('Expenditure Breakdown'!$U$6:$U$131, 'Expenditure Breakdown'!$T$6:$T$131, "&gt;="&amp;AB1,'Expenditure Breakdown'!$T$6:$T$131, "&lt;"&amp;AC1)</f>
        <v>0</v>
      </c>
      <c r="AC17" s="263">
        <f>SUMIFS('Expenditure Breakdown'!$U$6:$U$131, 'Expenditure Breakdown'!$T$6:$T$131, "&gt;="&amp;AC1,'Expenditure Breakdown'!$T$6:$T$131, "&lt;"&amp;AD1)</f>
        <v>0</v>
      </c>
      <c r="AD17" s="263">
        <f>SUMIFS('Expenditure Breakdown'!$U$6:$U$131, 'Expenditure Breakdown'!$T$6:$T$131, "&gt;="&amp;AD1,'Expenditure Breakdown'!$T$6:$T$131, "&lt;"&amp;AE1)</f>
        <v>0</v>
      </c>
      <c r="AE17" s="263">
        <f>SUMIFS('Expenditure Breakdown'!$U$6:$U$131, 'Expenditure Breakdown'!$T$6:$T$131, "&gt;="&amp;AE1,'Expenditure Breakdown'!$T$6:$T$131, "&lt;"&amp;AF1)</f>
        <v>0</v>
      </c>
      <c r="AF17" s="263">
        <f>SUMIFS('Expenditure Breakdown'!$U$6:$U$131, 'Expenditure Breakdown'!$T$6:$T$131, "&gt;="&amp;AF1,'Expenditure Breakdown'!$T$6:$T$131, "&lt;"&amp;AG1)</f>
        <v>0</v>
      </c>
      <c r="AG17" s="263">
        <f>SUMIFS('Expenditure Breakdown'!$U$6:$U$131, 'Expenditure Breakdown'!$T$6:$T$131, "&gt;="&amp;AG1,'Expenditure Breakdown'!$T$6:$T$131, "&lt;"&amp;AH1)</f>
        <v>0</v>
      </c>
      <c r="AH17" s="263">
        <f>SUMIFS('Expenditure Breakdown'!$U$6:$U$131, 'Expenditure Breakdown'!$T$6:$T$131, "&gt;="&amp;AH1,'Expenditure Breakdown'!$T$6:$T$131, "&lt;"&amp;AI1)</f>
        <v>71308.847506062084</v>
      </c>
      <c r="AI17" s="263">
        <f>SUMIFS('Expenditure Breakdown'!$U$6:$U$131, 'Expenditure Breakdown'!$T$6:$T$131, "&gt;="&amp;AI1,'Expenditure Breakdown'!$T$6:$T$131, "&lt;"&amp;AJ1)</f>
        <v>0</v>
      </c>
      <c r="AJ17" s="263">
        <f>SUMIFS('Expenditure Breakdown'!$U$6:$U$131, 'Expenditure Breakdown'!$T$6:$T$131, "&gt;="&amp;AJ1,'Expenditure Breakdown'!$T$6:$T$131, "&lt;"&amp;AK1)</f>
        <v>0</v>
      </c>
      <c r="AK17" s="263">
        <f>SUMIFS('Expenditure Breakdown'!$U$6:$U$131, 'Expenditure Breakdown'!$T$6:$T$131, "&gt;="&amp;AK1,'Expenditure Breakdown'!$T$6:$T$131, "&lt;"&amp;AL1)</f>
        <v>0</v>
      </c>
      <c r="AL17" s="263">
        <f>SUMIFS('Expenditure Breakdown'!$U$6:$U$131, 'Expenditure Breakdown'!$T$6:$T$131, "&gt;="&amp;AL1,'Expenditure Breakdown'!$T$6:$T$131, "&lt;"&amp;AM1)</f>
        <v>697.46059172083278</v>
      </c>
      <c r="AM17" s="263">
        <f>SUMIFS('Expenditure Breakdown'!$U$6:$U$131, 'Expenditure Breakdown'!$T$6:$T$131, "&gt;="&amp;AM1,'Expenditure Breakdown'!$T$6:$T$131, "&lt;"&amp;AN1)</f>
        <v>0</v>
      </c>
      <c r="AN17" s="263">
        <f>SUMIFS('Expenditure Breakdown'!$U$6:$U$131, 'Expenditure Breakdown'!$T$6:$T$131, "&gt;="&amp;AN1,'Expenditure Breakdown'!$T$6:$T$131, "&lt;"&amp;AO1)</f>
        <v>0</v>
      </c>
      <c r="AO17" s="263">
        <f>SUMIFS('Expenditure Breakdown'!$U$6:$U$131, 'Expenditure Breakdown'!$T$6:$T$131, "&gt;="&amp;AO1,'Expenditure Breakdown'!$T$6:$T$131, "&lt;"&amp;AP1)</f>
        <v>0</v>
      </c>
      <c r="AP17" s="263">
        <f>SUMIFS('Expenditure Breakdown'!$U$6:$U$131, 'Expenditure Breakdown'!$T$6:$T$131, "&gt;="&amp;AP1,'Expenditure Breakdown'!$T$6:$T$131, "&lt;"&amp;AQ1)</f>
        <v>0</v>
      </c>
      <c r="AQ17" s="263">
        <f>SUMIFS('Expenditure Breakdown'!$U$6:$U$131, 'Expenditure Breakdown'!$T$6:$T$131, "&gt;="&amp;AQ1,'Expenditure Breakdown'!$T$6:$T$131, "&lt;"&amp;AR1)</f>
        <v>0</v>
      </c>
      <c r="AR17" s="263">
        <f>SUMIFS('Expenditure Breakdown'!$U$6:$U$131, 'Expenditure Breakdown'!$T$6:$T$131, "&gt;="&amp;AR1,'Expenditure Breakdown'!$T$6:$T$131, "&lt;"&amp;AS1)</f>
        <v>0</v>
      </c>
      <c r="AS17" s="263">
        <f>SUMIFS('Expenditure Breakdown'!$U$6:$U$131, 'Expenditure Breakdown'!$T$6:$T$131, "&gt;="&amp;AS1,'Expenditure Breakdown'!$T$6:$T$131, "&lt;"&amp;AT1)</f>
        <v>0</v>
      </c>
      <c r="AT17" s="263">
        <f>SUMIFS('Expenditure Breakdown'!$U$6:$U$131, 'Expenditure Breakdown'!$T$6:$T$131, "&gt;="&amp;AT1,'Expenditure Breakdown'!$T$6:$T$131, "&lt;"&amp;AU1)</f>
        <v>0</v>
      </c>
      <c r="AU17" s="263">
        <f>SUMIFS('Expenditure Breakdown'!$U$6:$U$131, 'Expenditure Breakdown'!$T$6:$T$131, "&gt;="&amp;AU1,'Expenditure Breakdown'!$T$6:$T$131, "&lt;"&amp;AV1)</f>
        <v>0</v>
      </c>
      <c r="AV17" s="263">
        <f>SUMIFS('Expenditure Breakdown'!$U$6:$U$131, 'Expenditure Breakdown'!$T$6:$T$131, "&gt;="&amp;AV1,'Expenditure Breakdown'!$T$6:$T$131, "&lt;"&amp;AW1)</f>
        <v>0</v>
      </c>
      <c r="AW17" s="263">
        <f>SUMIFS('Expenditure Breakdown'!$U$6:$U$131, 'Expenditure Breakdown'!$T$6:$T$131, "&gt;="&amp;AW1,'Expenditure Breakdown'!$T$6:$T$131, "&lt;"&amp;AX1)</f>
        <v>0</v>
      </c>
      <c r="AX17" s="263">
        <f>SUMIFS('Expenditure Breakdown'!$U$6:$U$131, 'Expenditure Breakdown'!$T$6:$T$131, "&gt;="&amp;AX1,'Expenditure Breakdown'!$T$6:$T$131, "&lt;"&amp;AY1)</f>
        <v>0</v>
      </c>
      <c r="AY17" s="263">
        <f>SUMIFS('Expenditure Breakdown'!$U$6:$U$131, 'Expenditure Breakdown'!$T$6:$T$131, "&gt;="&amp;AY1,'Expenditure Breakdown'!$T$6:$T$131, "&lt;"&amp;AZ1)</f>
        <v>139.85</v>
      </c>
      <c r="AZ17" s="263">
        <f>SUMIFS('Expenditure Breakdown'!$U$6:$U$131, 'Expenditure Breakdown'!$T$6:$T$131, "&gt;="&amp;AZ1,'Expenditure Breakdown'!$T$6:$T$131, "&lt;"&amp;BA1)</f>
        <v>0</v>
      </c>
      <c r="BA17" s="263">
        <f>SUMIFS('Expenditure Breakdown'!$U$6:$U$131, 'Expenditure Breakdown'!$T$6:$T$131, "&gt;="&amp;BA1,'Expenditure Breakdown'!$T$6:$T$131, "&lt;"&amp;BB1)</f>
        <v>0</v>
      </c>
      <c r="BB17" s="263">
        <f>SUMIFS('Expenditure Breakdown'!$U$6:$U$131, 'Expenditure Breakdown'!$T$6:$T$131, "&gt;="&amp;BB1,'Expenditure Breakdown'!$T$6:$T$131, "&lt;"&amp;BC1)</f>
        <v>0</v>
      </c>
      <c r="BC17" s="263">
        <f>SUMIFS('Expenditure Breakdown'!$U$6:$U$131, 'Expenditure Breakdown'!$T$6:$T$131, "&gt;="&amp;BC1,'Expenditure Breakdown'!$T$6:$T$131, "&lt;"&amp;BD1)</f>
        <v>0</v>
      </c>
      <c r="BD17" s="263">
        <f>SUMIFS('Expenditure Breakdown'!$U$6:$U$131, 'Expenditure Breakdown'!$T$6:$T$131, "&gt;="&amp;BD1,'Expenditure Breakdown'!$T$6:$T$131, "&lt;"&amp;BE1)</f>
        <v>0</v>
      </c>
      <c r="BE17" s="263">
        <f>SUMIFS('Expenditure Breakdown'!$U$6:$U$131, 'Expenditure Breakdown'!$T$6:$T$131, "&gt;="&amp;BE1,'Expenditure Breakdown'!$T$6:$T$131, "&lt;"&amp;BF1)</f>
        <v>0</v>
      </c>
      <c r="BF17" s="263">
        <f>SUMIFS('Expenditure Breakdown'!$U$6:$U$131, 'Expenditure Breakdown'!$T$6:$T$131, "&gt;="&amp;BF1,'Expenditure Breakdown'!$T$6:$T$131, "&lt;"&amp;BG1)</f>
        <v>0</v>
      </c>
      <c r="BG17" s="263">
        <f>SUMIFS('Expenditure Breakdown'!$U$6:$U$131, 'Expenditure Breakdown'!$T$6:$T$131, "&gt;="&amp;BG1,'Expenditure Breakdown'!$T$6:$T$131, "&lt;"&amp;BH1)</f>
        <v>0</v>
      </c>
      <c r="BH17" s="263">
        <f>SUMIFS('Expenditure Breakdown'!$U$6:$U$131, 'Expenditure Breakdown'!$T$6:$T$131, "&gt;="&amp;BH1,'Expenditure Breakdown'!$T$6:$T$131, "&lt;"&amp;BI1)</f>
        <v>0</v>
      </c>
      <c r="BI17" s="263">
        <f>SUMIFS('Expenditure Breakdown'!$U$6:$U$131, 'Expenditure Breakdown'!$T$6:$T$131, "&gt;="&amp;BI1,'Expenditure Breakdown'!$T$6:$T$131, "&lt;"&amp;BJ1)</f>
        <v>0</v>
      </c>
      <c r="BJ17" s="263">
        <f>SUMIFS('Expenditure Breakdown'!$U$6:$U$131, 'Expenditure Breakdown'!$T$6:$T$131, "&gt;="&amp;BJ1,'Expenditure Breakdown'!$T$6:$T$131, "&lt;"&amp;BK1)</f>
        <v>0</v>
      </c>
      <c r="BK17" s="263">
        <f>SUMIFS('Expenditure Breakdown'!$U$6:$U$131, 'Expenditure Breakdown'!$T$6:$T$131, "&gt;="&amp;BK1,'Expenditure Breakdown'!$T$6:$T$131, "&lt;"&amp;BL1)</f>
        <v>0</v>
      </c>
      <c r="BL17" s="263">
        <f>SUMIFS('Expenditure Breakdown'!$U$6:$U$131, 'Expenditure Breakdown'!$T$6:$T$131, "&gt;="&amp;BL1,'Expenditure Breakdown'!$T$6:$T$131, "&lt;"&amp;BM1)</f>
        <v>0</v>
      </c>
      <c r="BM17" s="263">
        <f>SUMIFS('Expenditure Breakdown'!$U$6:$U$131, 'Expenditure Breakdown'!$T$6:$T$131, "&gt;="&amp;BM1,'Expenditure Breakdown'!$T$6:$T$131, "&lt;"&amp;BN1)</f>
        <v>0</v>
      </c>
      <c r="BN17" s="263">
        <f>SUMIFS('Expenditure Breakdown'!$U$6:$U$131, 'Expenditure Breakdown'!$T$6:$T$131, "&gt;="&amp;BN1,'Expenditure Breakdown'!$T$6:$T$131, "&lt;"&amp;BO1)</f>
        <v>0</v>
      </c>
      <c r="BO17" s="263">
        <f>SUMIFS('Expenditure Breakdown'!$U$6:$U$131, 'Expenditure Breakdown'!$T$6:$T$131, "&gt;="&amp;BO1,'Expenditure Breakdown'!$T$6:$T$131, "&lt;"&amp;BP1)</f>
        <v>0</v>
      </c>
      <c r="BP17" s="263">
        <f>SUMIFS('Expenditure Breakdown'!$U$6:$U$131, 'Expenditure Breakdown'!$T$6:$T$131, "&gt;="&amp;BP1,'Expenditure Breakdown'!$T$6:$T$131, "&lt;"&amp;BQ1)</f>
        <v>0</v>
      </c>
      <c r="BQ17" s="263">
        <f>SUMIFS('Expenditure Breakdown'!$U$6:$U$131, 'Expenditure Breakdown'!$T$6:$T$131, "&gt;="&amp;BQ1,'Expenditure Breakdown'!$T$6:$T$131, "&lt;"&amp;BR1)</f>
        <v>0</v>
      </c>
      <c r="BR17" s="263">
        <f>SUMIFS('Expenditure Breakdown'!$U$6:$U$131, 'Expenditure Breakdown'!$T$6:$T$131, "&gt;="&amp;BR1,'Expenditure Breakdown'!$T$6:$T$131, "&lt;"&amp;BS1)</f>
        <v>0</v>
      </c>
      <c r="BS17" s="263">
        <f>SUMIFS('Expenditure Breakdown'!$U$6:$U$131, 'Expenditure Breakdown'!$T$6:$T$131, "&gt;="&amp;BS1,'Expenditure Breakdown'!$T$6:$T$131, "&lt;"&amp;BT1)</f>
        <v>0</v>
      </c>
      <c r="BT17" s="263">
        <f>SUMIFS('Expenditure Breakdown'!$U$6:$U$131, 'Expenditure Breakdown'!$T$6:$T$131, "&gt;="&amp;BT1,'Expenditure Breakdown'!$T$6:$T$131, "&lt;"&amp;BU1)</f>
        <v>0</v>
      </c>
      <c r="BU17" s="263">
        <f>SUMIFS('Expenditure Breakdown'!$U$6:$U$131, 'Expenditure Breakdown'!$T$6:$T$131, "&gt;="&amp;BU1,'Expenditure Breakdown'!$T$6:$T$131, "&lt;"&amp;BV1)</f>
        <v>0</v>
      </c>
      <c r="BV17" s="263">
        <f>SUMIFS('Expenditure Breakdown'!$U$6:$U$131, 'Expenditure Breakdown'!$T$6:$T$131, "&gt;="&amp;BV1,'Expenditure Breakdown'!$T$6:$T$131, "&lt;"&amp;BW1)</f>
        <v>0</v>
      </c>
      <c r="BW17" s="263">
        <f>SUMIFS('Expenditure Breakdown'!$U$6:$U$131, 'Expenditure Breakdown'!$T$6:$T$131, "&gt;="&amp;BW1,'Expenditure Breakdown'!$T$6:$T$131, "&lt;"&amp;BX1)</f>
        <v>0</v>
      </c>
      <c r="BX17" s="263">
        <f>SUMIFS('Expenditure Breakdown'!$U$6:$U$131, 'Expenditure Breakdown'!$T$6:$T$131, "&gt;="&amp;BX1,'Expenditure Breakdown'!$T$6:$T$131, "&lt;"&amp;BY1)</f>
        <v>0</v>
      </c>
      <c r="BY17" s="263">
        <f>SUMIFS('Expenditure Breakdown'!$U$6:$U$131, 'Expenditure Breakdown'!$T$6:$T$131, "&gt;="&amp;BY1,'Expenditure Breakdown'!$T$6:$T$131, "&lt;"&amp;BZ1)</f>
        <v>0</v>
      </c>
      <c r="BZ17" s="263">
        <f>SUMIFS('Expenditure Breakdown'!$U$6:$U$131, 'Expenditure Breakdown'!$T$6:$T$131, "&gt;="&amp;BZ1,'Expenditure Breakdown'!$T$6:$T$131, "&lt;"&amp;CA1)</f>
        <v>0</v>
      </c>
      <c r="CA17" s="263">
        <f>SUMIFS('Expenditure Breakdown'!$U$6:$U$131, 'Expenditure Breakdown'!$T$6:$T$131, "&gt;="&amp;CA1,'Expenditure Breakdown'!$T$6:$T$131, "&lt;"&amp;CB1)</f>
        <v>0</v>
      </c>
      <c r="CB17" s="263">
        <f>SUMIFS('Expenditure Breakdown'!$U$6:$U$131, 'Expenditure Breakdown'!$T$6:$T$131, "&gt;="&amp;CB1,'Expenditure Breakdown'!$T$6:$T$131, "&lt;"&amp;DS1)</f>
        <v>0</v>
      </c>
      <c r="CC17" s="263">
        <f>SUMIFS('Expenditure Breakdown'!$U$6:$U$131, 'Expenditure Breakdown'!$T$6:$T$131, "&gt;="&amp;CC1,'Expenditure Breakdown'!$T$6:$T$131, "&lt;"&amp;DT1)</f>
        <v>0</v>
      </c>
      <c r="CD17" s="871"/>
      <c r="CE17" s="871"/>
      <c r="CF17" s="871"/>
      <c r="CG17" s="871"/>
      <c r="CH17" s="871"/>
      <c r="CI17" s="871"/>
      <c r="CJ17" s="871"/>
      <c r="CK17" s="871"/>
      <c r="CL17" s="871"/>
      <c r="CM17" s="871"/>
      <c r="CN17" s="871"/>
      <c r="CO17" s="871"/>
      <c r="CP17" s="871"/>
      <c r="CQ17" s="871"/>
      <c r="CR17" s="871"/>
      <c r="CS17" s="871"/>
      <c r="CT17" s="871"/>
      <c r="CU17" s="871"/>
      <c r="CV17" s="871"/>
      <c r="CW17" s="871"/>
      <c r="CX17" s="871"/>
      <c r="CY17" s="871"/>
      <c r="CZ17" s="871"/>
      <c r="DA17" s="871"/>
      <c r="DB17" s="871"/>
      <c r="DC17" s="871"/>
      <c r="DD17" s="871"/>
      <c r="DE17" s="871"/>
      <c r="DF17" s="871"/>
      <c r="DG17" s="871"/>
      <c r="DH17" s="871"/>
      <c r="DI17" s="871"/>
      <c r="DJ17" s="871"/>
      <c r="DK17" s="871"/>
      <c r="DL17" s="871"/>
      <c r="DM17" s="871"/>
      <c r="DN17" s="871"/>
      <c r="DO17" s="871"/>
      <c r="DP17" s="871"/>
      <c r="DQ17" s="871"/>
      <c r="DR17" s="871"/>
    </row>
    <row r="18" spans="1:122" ht="15">
      <c r="A18" s="981"/>
      <c r="B18" s="244" t="s">
        <v>417</v>
      </c>
      <c r="C18" s="543">
        <f>D17-D18</f>
        <v>0</v>
      </c>
      <c r="D18" s="245">
        <f>MAX(F18:BE18)</f>
        <v>2506183.2470451482</v>
      </c>
      <c r="E18" s="255"/>
      <c r="F18" s="263">
        <f>F17</f>
        <v>0</v>
      </c>
      <c r="G18" s="263">
        <f>F18+G17</f>
        <v>0</v>
      </c>
      <c r="H18" s="263">
        <f>G18+H17</f>
        <v>792853.43022606324</v>
      </c>
      <c r="I18" s="263">
        <f t="shared" ref="I18:J18" si="362">H18+I17</f>
        <v>792853.43022606324</v>
      </c>
      <c r="J18" s="263">
        <f t="shared" si="362"/>
        <v>792853.43022606324</v>
      </c>
      <c r="K18" s="263">
        <f t="shared" ref="K18" si="363">J18+K17</f>
        <v>792853.43022606324</v>
      </c>
      <c r="L18" s="263">
        <f t="shared" ref="L18" si="364">K18+L17</f>
        <v>848045.34024531883</v>
      </c>
      <c r="M18" s="263">
        <f t="shared" ref="M18" si="365">L18+M17</f>
        <v>848045.34024531883</v>
      </c>
      <c r="N18" s="263">
        <f t="shared" ref="N18" si="366">M18+N17</f>
        <v>848045.34024531883</v>
      </c>
      <c r="O18" s="263">
        <f t="shared" ref="O18" si="367">N18+O17</f>
        <v>848045.34024531883</v>
      </c>
      <c r="P18" s="263">
        <f t="shared" ref="P18" si="368">O18+P17</f>
        <v>848045.34024531883</v>
      </c>
      <c r="Q18" s="263">
        <f t="shared" ref="Q18" si="369">P18+Q17</f>
        <v>1383717.2792765521</v>
      </c>
      <c r="R18" s="263">
        <f t="shared" ref="R18" si="370">Q18+R17</f>
        <v>1383717.2792765521</v>
      </c>
      <c r="S18" s="263">
        <f t="shared" ref="S18" si="371">R18+S17</f>
        <v>1383717.2792765521</v>
      </c>
      <c r="T18" s="263">
        <f t="shared" ref="T18" si="372">S18+T17</f>
        <v>1383717.2792765521</v>
      </c>
      <c r="U18" s="263">
        <f t="shared" ref="U18" si="373">T18+U17</f>
        <v>2063679.7974350192</v>
      </c>
      <c r="V18" s="263">
        <f t="shared" ref="V18" si="374">U18+V17</f>
        <v>2063679.7974350192</v>
      </c>
      <c r="W18" s="263">
        <f t="shared" ref="W18" si="375">V18+W17</f>
        <v>2063679.7974350192</v>
      </c>
      <c r="X18" s="263">
        <f t="shared" ref="X18" si="376">W18+X17</f>
        <v>2063679.7974350192</v>
      </c>
      <c r="Y18" s="263">
        <f t="shared" ref="Y18" si="377">X18+Y17</f>
        <v>2434037.0889473651</v>
      </c>
      <c r="Z18" s="263">
        <f t="shared" ref="Z18" si="378">Y18+Z17</f>
        <v>2434037.0889473651</v>
      </c>
      <c r="AA18" s="263">
        <f t="shared" ref="AA18" si="379">Z18+AA17</f>
        <v>2434037.0889473651</v>
      </c>
      <c r="AB18" s="263">
        <f t="shared" ref="AB18" si="380">AA18+AB17</f>
        <v>2434037.0889473651</v>
      </c>
      <c r="AC18" s="263">
        <f t="shared" ref="AC18" si="381">AB18+AC17</f>
        <v>2434037.0889473651</v>
      </c>
      <c r="AD18" s="263">
        <f t="shared" ref="AD18" si="382">AC18+AD17</f>
        <v>2434037.0889473651</v>
      </c>
      <c r="AE18" s="263">
        <f t="shared" ref="AE18" si="383">AD18+AE17</f>
        <v>2434037.0889473651</v>
      </c>
      <c r="AF18" s="263">
        <f t="shared" ref="AF18" si="384">AE18+AF17</f>
        <v>2434037.0889473651</v>
      </c>
      <c r="AG18" s="263">
        <f t="shared" ref="AG18" si="385">AF18+AG17</f>
        <v>2434037.0889473651</v>
      </c>
      <c r="AH18" s="263">
        <f t="shared" ref="AH18" si="386">AG18+AH17</f>
        <v>2505345.9364534272</v>
      </c>
      <c r="AI18" s="263">
        <f t="shared" ref="AI18" si="387">AH18+AI17</f>
        <v>2505345.9364534272</v>
      </c>
      <c r="AJ18" s="263">
        <f t="shared" ref="AJ18" si="388">AI18+AJ17</f>
        <v>2505345.9364534272</v>
      </c>
      <c r="AK18" s="263">
        <f t="shared" ref="AK18:BQ18" si="389">AJ18+AK17</f>
        <v>2505345.9364534272</v>
      </c>
      <c r="AL18" s="263">
        <f t="shared" si="389"/>
        <v>2506043.3970451481</v>
      </c>
      <c r="AM18" s="263">
        <f t="shared" si="389"/>
        <v>2506043.3970451481</v>
      </c>
      <c r="AN18" s="263">
        <f t="shared" si="389"/>
        <v>2506043.3970451481</v>
      </c>
      <c r="AO18" s="263">
        <f t="shared" si="389"/>
        <v>2506043.3970451481</v>
      </c>
      <c r="AP18" s="263">
        <f t="shared" si="389"/>
        <v>2506043.3970451481</v>
      </c>
      <c r="AQ18" s="263">
        <f t="shared" si="389"/>
        <v>2506043.3970451481</v>
      </c>
      <c r="AR18" s="263">
        <f t="shared" si="389"/>
        <v>2506043.3970451481</v>
      </c>
      <c r="AS18" s="263">
        <f t="shared" si="389"/>
        <v>2506043.3970451481</v>
      </c>
      <c r="AT18" s="263">
        <f t="shared" si="389"/>
        <v>2506043.3970451481</v>
      </c>
      <c r="AU18" s="263">
        <f t="shared" si="389"/>
        <v>2506043.3970451481</v>
      </c>
      <c r="AV18" s="263">
        <f t="shared" si="389"/>
        <v>2506043.3970451481</v>
      </c>
      <c r="AW18" s="263">
        <f t="shared" si="389"/>
        <v>2506043.3970451481</v>
      </c>
      <c r="AX18" s="263">
        <f t="shared" si="389"/>
        <v>2506043.3970451481</v>
      </c>
      <c r="AY18" s="263">
        <f t="shared" si="389"/>
        <v>2506183.2470451482</v>
      </c>
      <c r="AZ18" s="263">
        <f t="shared" si="389"/>
        <v>2506183.2470451482</v>
      </c>
      <c r="BA18" s="263">
        <f t="shared" si="389"/>
        <v>2506183.2470451482</v>
      </c>
      <c r="BB18" s="263">
        <f t="shared" si="389"/>
        <v>2506183.2470451482</v>
      </c>
      <c r="BC18" s="263">
        <f t="shared" si="389"/>
        <v>2506183.2470451482</v>
      </c>
      <c r="BD18" s="263">
        <f t="shared" si="389"/>
        <v>2506183.2470451482</v>
      </c>
      <c r="BE18" s="263">
        <f t="shared" si="389"/>
        <v>2506183.2470451482</v>
      </c>
      <c r="BF18" s="263">
        <f t="shared" si="389"/>
        <v>2506183.2470451482</v>
      </c>
      <c r="BG18" s="263">
        <f t="shared" si="389"/>
        <v>2506183.2470451482</v>
      </c>
      <c r="BH18" s="263">
        <f t="shared" si="389"/>
        <v>2506183.2470451482</v>
      </c>
      <c r="BI18" s="263">
        <f t="shared" si="389"/>
        <v>2506183.2470451482</v>
      </c>
      <c r="BJ18" s="263">
        <f t="shared" si="389"/>
        <v>2506183.2470451482</v>
      </c>
      <c r="BK18" s="263">
        <f t="shared" si="389"/>
        <v>2506183.2470451482</v>
      </c>
      <c r="BL18" s="263">
        <f t="shared" si="389"/>
        <v>2506183.2470451482</v>
      </c>
      <c r="BM18" s="263">
        <f t="shared" si="389"/>
        <v>2506183.2470451482</v>
      </c>
      <c r="BN18" s="263">
        <f t="shared" si="389"/>
        <v>2506183.2470451482</v>
      </c>
      <c r="BO18" s="263">
        <f t="shared" si="389"/>
        <v>2506183.2470451482</v>
      </c>
      <c r="BP18" s="263">
        <f t="shared" si="389"/>
        <v>2506183.2470451482</v>
      </c>
      <c r="BQ18" s="263">
        <f t="shared" si="389"/>
        <v>2506183.2470451482</v>
      </c>
      <c r="BR18" s="263">
        <f t="shared" ref="BR18:CC18" si="390">BQ18+BR17</f>
        <v>2506183.2470451482</v>
      </c>
      <c r="BS18" s="263">
        <f t="shared" si="390"/>
        <v>2506183.2470451482</v>
      </c>
      <c r="BT18" s="263">
        <f t="shared" si="390"/>
        <v>2506183.2470451482</v>
      </c>
      <c r="BU18" s="263">
        <f t="shared" si="390"/>
        <v>2506183.2470451482</v>
      </c>
      <c r="BV18" s="263">
        <f t="shared" si="390"/>
        <v>2506183.2470451482</v>
      </c>
      <c r="BW18" s="263">
        <f t="shared" si="390"/>
        <v>2506183.2470451482</v>
      </c>
      <c r="BX18" s="263">
        <f t="shared" si="390"/>
        <v>2506183.2470451482</v>
      </c>
      <c r="BY18" s="263">
        <f t="shared" si="390"/>
        <v>2506183.2470451482</v>
      </c>
      <c r="BZ18" s="263">
        <f t="shared" si="390"/>
        <v>2506183.2470451482</v>
      </c>
      <c r="CA18" s="263">
        <f t="shared" si="390"/>
        <v>2506183.2470451482</v>
      </c>
      <c r="CB18" s="263">
        <f t="shared" si="390"/>
        <v>2506183.2470451482</v>
      </c>
      <c r="CC18" s="263">
        <f t="shared" si="390"/>
        <v>2506183.2470451482</v>
      </c>
      <c r="CD18" s="871"/>
      <c r="CE18" s="871"/>
      <c r="CF18" s="871"/>
      <c r="CG18" s="871"/>
      <c r="CH18" s="871"/>
      <c r="CI18" s="871"/>
      <c r="CJ18" s="871"/>
      <c r="CK18" s="871"/>
      <c r="CL18" s="871"/>
      <c r="CM18" s="871"/>
      <c r="CN18" s="871"/>
      <c r="CO18" s="871"/>
      <c r="CP18" s="871"/>
      <c r="CQ18" s="871"/>
      <c r="CR18" s="871"/>
      <c r="CS18" s="871"/>
      <c r="CT18" s="871"/>
      <c r="CU18" s="871"/>
      <c r="CV18" s="871"/>
      <c r="CW18" s="871"/>
      <c r="CX18" s="871"/>
      <c r="CY18" s="871"/>
      <c r="CZ18" s="871"/>
      <c r="DA18" s="871"/>
      <c r="DB18" s="871"/>
      <c r="DC18" s="871"/>
      <c r="DD18" s="871"/>
      <c r="DE18" s="871"/>
      <c r="DF18" s="871"/>
      <c r="DG18" s="871"/>
      <c r="DH18" s="871"/>
      <c r="DI18" s="871"/>
      <c r="DJ18" s="871"/>
      <c r="DK18" s="871"/>
      <c r="DL18" s="871"/>
      <c r="DM18" s="871"/>
      <c r="DN18" s="871"/>
      <c r="DO18" s="871"/>
      <c r="DP18" s="871"/>
      <c r="DQ18" s="871"/>
      <c r="DR18" s="871"/>
    </row>
    <row r="19" spans="1:122" s="240" customFormat="1" ht="15"/>
    <row r="20" spans="1:122" ht="15">
      <c r="B20" t="s">
        <v>418</v>
      </c>
      <c r="D20" s="625">
        <f>SUM(F20:BE20)</f>
        <v>455995.3</v>
      </c>
      <c r="E20" s="240"/>
      <c r="F20" s="650">
        <f>SUMIFS('Expenditure Breakdown'!$R$28:$R$35, 'Expenditure Breakdown'!$W$28:$W$35, "&gt;="&amp;F1,'Expenditure Breakdown'!$W$28:$W$35, "&lt;"&amp;G1)+SUMIFS('Expenditure Breakdown'!$R$50:$R$57, 'Expenditure Breakdown'!$W$50:$W$57, "&gt;="&amp;F1,'Expenditure Breakdown'!$W$50:$W$57, "&lt;"&amp;G1)+SUMIFS('Expenditure Breakdown'!$R$77:$R$84, 'Expenditure Breakdown'!$W$77:$W$84, "&gt;="&amp;F1,'Expenditure Breakdown'!$W$77:$W$84, "&lt;"&amp;G1)</f>
        <v>0</v>
      </c>
      <c r="G20" s="650">
        <f>SUMIFS('Expenditure Breakdown'!$R$28:$R$35, 'Expenditure Breakdown'!$W$28:$W$35, "&gt;="&amp;G1,'Expenditure Breakdown'!$W$28:$W$35, "&lt;"&amp;H1)+SUMIFS('Expenditure Breakdown'!$R$50:$R$57, 'Expenditure Breakdown'!$W$50:$W$57, "&gt;="&amp;G1,'Expenditure Breakdown'!$W$50:$W$57, "&lt;"&amp;H1)+SUMIFS('Expenditure Breakdown'!$R$77:$R$84, 'Expenditure Breakdown'!$W$77:$W$84, "&gt;="&amp;G1,'Expenditure Breakdown'!$W$77:$W$84, "&lt;"&amp;H1)</f>
        <v>0</v>
      </c>
      <c r="H20" s="650">
        <f>SUMIFS('Expenditure Breakdown'!$R$28:$R$35, 'Expenditure Breakdown'!$W$28:$W$35, "&gt;="&amp;H1,'Expenditure Breakdown'!$W$28:$W$35, "&lt;"&amp;I1)+SUMIFS('Expenditure Breakdown'!$R$50:$R$57, 'Expenditure Breakdown'!$W$50:$W$57, "&gt;="&amp;H1,'Expenditure Breakdown'!$W$50:$W$57, "&lt;"&amp;I1)+SUMIFS('Expenditure Breakdown'!$R$77:$R$84, 'Expenditure Breakdown'!$W$77:$W$84, "&gt;="&amp;H1,'Expenditure Breakdown'!$W$77:$W$84, "&lt;"&amp;I1)</f>
        <v>0</v>
      </c>
      <c r="I20" s="650">
        <f>SUMIFS('Expenditure Breakdown'!$R$28:$R$35, 'Expenditure Breakdown'!$W$28:$W$35, "&gt;="&amp;I1,'Expenditure Breakdown'!$W$28:$W$35, "&lt;"&amp;J1)+SUMIFS('Expenditure Breakdown'!$R$50:$R$57, 'Expenditure Breakdown'!$W$50:$W$57, "&gt;="&amp;I1,'Expenditure Breakdown'!$W$50:$W$57, "&lt;"&amp;J1)+SUMIFS('Expenditure Breakdown'!$R$77:$R$84, 'Expenditure Breakdown'!$W$77:$W$84, "&gt;="&amp;I1,'Expenditure Breakdown'!$W$77:$W$84, "&lt;"&amp;J1)</f>
        <v>0</v>
      </c>
      <c r="J20" s="650">
        <f>SUMIFS('Expenditure Breakdown'!$R$28:$R$35, 'Expenditure Breakdown'!$W$28:$W$35, "&gt;="&amp;J1,'Expenditure Breakdown'!$W$28:$W$35, "&lt;"&amp;K1)+SUMIFS('Expenditure Breakdown'!$R$50:$R$57, 'Expenditure Breakdown'!$W$50:$W$57, "&gt;="&amp;J1,'Expenditure Breakdown'!$W$50:$W$57, "&lt;"&amp;K1)+SUMIFS('Expenditure Breakdown'!$R$77:$R$84, 'Expenditure Breakdown'!$W$77:$W$84, "&gt;="&amp;J1,'Expenditure Breakdown'!$W$77:$W$84, "&lt;"&amp;K1)</f>
        <v>0</v>
      </c>
      <c r="K20" s="650">
        <f>SUMIFS('Expenditure Breakdown'!$R$28:$R$35, 'Expenditure Breakdown'!$W$28:$W$35, "&gt;="&amp;K1,'Expenditure Breakdown'!$W$28:$W$35, "&lt;"&amp;L1)+SUMIFS('Expenditure Breakdown'!$R$50:$R$57, 'Expenditure Breakdown'!$W$50:$W$57, "&gt;="&amp;K1,'Expenditure Breakdown'!$W$50:$W$57, "&lt;"&amp;L1)+SUMIFS('Expenditure Breakdown'!$R$77:$R$84, 'Expenditure Breakdown'!$W$77:$W$84, "&gt;="&amp;K1,'Expenditure Breakdown'!$W$77:$W$84, "&lt;"&amp;L1)</f>
        <v>0</v>
      </c>
      <c r="L20" s="650">
        <f>SUMIFS('Expenditure Breakdown'!$R$28:$R$35, 'Expenditure Breakdown'!$W$28:$W$35, "&gt;="&amp;L1,'Expenditure Breakdown'!$W$28:$W$35, "&lt;"&amp;M1)+SUMIFS('Expenditure Breakdown'!$R$50:$R$57, 'Expenditure Breakdown'!$W$50:$W$57, "&gt;="&amp;L1,'Expenditure Breakdown'!$W$50:$W$57, "&lt;"&amp;M1)+SUMIFS('Expenditure Breakdown'!$R$77:$R$84, 'Expenditure Breakdown'!$W$77:$W$84, "&gt;="&amp;L1,'Expenditure Breakdown'!$W$77:$W$84, "&lt;"&amp;M1)</f>
        <v>0</v>
      </c>
      <c r="M20" s="650">
        <f>SUMIFS('Expenditure Breakdown'!$R$28:$R$35, 'Expenditure Breakdown'!$W$28:$W$35, "&gt;="&amp;M1,'Expenditure Breakdown'!$W$28:$W$35, "&lt;"&amp;N1)+SUMIFS('Expenditure Breakdown'!$R$50:$R$57, 'Expenditure Breakdown'!$W$50:$W$57, "&gt;="&amp;M1,'Expenditure Breakdown'!$W$50:$W$57, "&lt;"&amp;N1)+SUMIFS('Expenditure Breakdown'!$R$77:$R$84, 'Expenditure Breakdown'!$W$77:$W$84, "&gt;="&amp;M1,'Expenditure Breakdown'!$W$77:$W$84, "&lt;"&amp;N1)</f>
        <v>0</v>
      </c>
      <c r="N20" s="650">
        <f>SUMIFS('Expenditure Breakdown'!$R$28:$R$35, 'Expenditure Breakdown'!$W$28:$W$35, "&gt;="&amp;N1,'Expenditure Breakdown'!$W$28:$W$35, "&lt;"&amp;O1)+SUMIFS('Expenditure Breakdown'!$R$50:$R$57, 'Expenditure Breakdown'!$W$50:$W$57, "&gt;="&amp;N1,'Expenditure Breakdown'!$W$50:$W$57, "&lt;"&amp;O1)+SUMIFS('Expenditure Breakdown'!$R$77:$R$84, 'Expenditure Breakdown'!$W$77:$W$84, "&gt;="&amp;N1,'Expenditure Breakdown'!$W$77:$W$84, "&lt;"&amp;O1)</f>
        <v>0</v>
      </c>
      <c r="O20" s="650">
        <f>SUMIFS('Expenditure Breakdown'!$R$28:$R$35, 'Expenditure Breakdown'!$W$28:$W$35, "&gt;="&amp;O1,'Expenditure Breakdown'!$W$28:$W$35, "&lt;"&amp;P1)+SUMIFS('Expenditure Breakdown'!$R$50:$R$57, 'Expenditure Breakdown'!$W$50:$W$57, "&gt;="&amp;O1,'Expenditure Breakdown'!$W$50:$W$57, "&lt;"&amp;P1)+SUMIFS('Expenditure Breakdown'!$R$77:$R$84, 'Expenditure Breakdown'!$W$77:$W$84, "&gt;="&amp;O1,'Expenditure Breakdown'!$W$77:$W$84, "&lt;"&amp;P1)</f>
        <v>0</v>
      </c>
      <c r="P20" s="650">
        <f>SUMIFS('Expenditure Breakdown'!$R$28:$R$35, 'Expenditure Breakdown'!$W$28:$W$35, "&gt;="&amp;P1,'Expenditure Breakdown'!$W$28:$W$35, "&lt;"&amp;Q1)+SUMIFS('Expenditure Breakdown'!$R$50:$R$57, 'Expenditure Breakdown'!$W$50:$W$57, "&gt;="&amp;P1,'Expenditure Breakdown'!$W$50:$W$57, "&lt;"&amp;Q1)+SUMIFS('Expenditure Breakdown'!$R$77:$R$84, 'Expenditure Breakdown'!$W$77:$W$84, "&gt;="&amp;P1,'Expenditure Breakdown'!$W$77:$W$84, "&lt;"&amp;Q1)</f>
        <v>45599.58</v>
      </c>
      <c r="Q20" s="650">
        <f>SUMIFS('Expenditure Breakdown'!$R$28:$R$35, 'Expenditure Breakdown'!$W$28:$W$35, "&gt;="&amp;Q1,'Expenditure Breakdown'!$W$28:$W$35, "&lt;"&amp;R1)+SUMIFS('Expenditure Breakdown'!$R$50:$R$57, 'Expenditure Breakdown'!$W$50:$W$57, "&gt;="&amp;Q1,'Expenditure Breakdown'!$W$50:$W$57, "&lt;"&amp;R1)+SUMIFS('Expenditure Breakdown'!$R$77:$R$84, 'Expenditure Breakdown'!$W$77:$W$84, "&gt;="&amp;Q1,'Expenditure Breakdown'!$W$77:$W$84, "&lt;"&amp;R1)</f>
        <v>0</v>
      </c>
      <c r="R20" s="650">
        <f>SUMIFS('Expenditure Breakdown'!$R$28:$R$35, 'Expenditure Breakdown'!$W$28:$W$35, "&gt;="&amp;R1,'Expenditure Breakdown'!$W$28:$W$35, "&lt;"&amp;S1)+SUMIFS('Expenditure Breakdown'!$R$50:$R$57, 'Expenditure Breakdown'!$W$50:$W$57, "&gt;="&amp;R1,'Expenditure Breakdown'!$W$50:$W$57, "&lt;"&amp;S1)+SUMIFS('Expenditure Breakdown'!$R$77:$R$84, 'Expenditure Breakdown'!$W$77:$W$84, "&gt;="&amp;R1,'Expenditure Breakdown'!$W$77:$W$84, "&lt;"&amp;S1)</f>
        <v>68398.87</v>
      </c>
      <c r="S20" s="650">
        <f>SUMIFS('Expenditure Breakdown'!$R$28:$R$35, 'Expenditure Breakdown'!$W$28:$W$35, "&gt;="&amp;S1,'Expenditure Breakdown'!$W$28:$W$35, "&lt;"&amp;T1)+SUMIFS('Expenditure Breakdown'!$R$50:$R$57, 'Expenditure Breakdown'!$W$50:$W$57, "&gt;="&amp;S1,'Expenditure Breakdown'!$W$50:$W$57, "&lt;"&amp;T1)+SUMIFS('Expenditure Breakdown'!$R$77:$R$84, 'Expenditure Breakdown'!$W$77:$W$84, "&gt;="&amp;S1,'Expenditure Breakdown'!$W$77:$W$84, "&lt;"&amp;T1)</f>
        <v>0</v>
      </c>
      <c r="T20" s="650">
        <f>SUMIFS('Expenditure Breakdown'!$R$28:$R$35, 'Expenditure Breakdown'!$W$28:$W$35, "&gt;="&amp;T1,'Expenditure Breakdown'!$W$28:$W$35, "&lt;"&amp;U1)+SUMIFS('Expenditure Breakdown'!$R$50:$R$57, 'Expenditure Breakdown'!$W$50:$W$57, "&gt;="&amp;T1,'Expenditure Breakdown'!$W$50:$W$57, "&lt;"&amp;U1)+SUMIFS('Expenditure Breakdown'!$R$77:$R$84, 'Expenditure Breakdown'!$W$77:$W$84, "&gt;="&amp;T1,'Expenditure Breakdown'!$W$77:$W$84, "&lt;"&amp;U1)</f>
        <v>0</v>
      </c>
      <c r="U20" s="650">
        <f>SUMIFS('Expenditure Breakdown'!$R$28:$R$35, 'Expenditure Breakdown'!$W$28:$W$35, "&gt;="&amp;U1,'Expenditure Breakdown'!$W$28:$W$35, "&lt;"&amp;V1)+SUMIFS('Expenditure Breakdown'!$R$50:$R$57, 'Expenditure Breakdown'!$W$50:$W$57, "&gt;="&amp;U1,'Expenditure Breakdown'!$W$50:$W$57, "&lt;"&amp;V1)+SUMIFS('Expenditure Breakdown'!$R$77:$R$84, 'Expenditure Breakdown'!$W$77:$W$84, "&gt;="&amp;U1,'Expenditure Breakdown'!$W$77:$W$84, "&lt;"&amp;V1)</f>
        <v>205198.11</v>
      </c>
      <c r="V20" s="650">
        <f>SUMIFS('Expenditure Breakdown'!$R$28:$R$35, 'Expenditure Breakdown'!$W$28:$W$35, "&gt;="&amp;V1,'Expenditure Breakdown'!$W$28:$W$35, "&lt;"&amp;W1)+SUMIFS('Expenditure Breakdown'!$R$50:$R$57, 'Expenditure Breakdown'!$W$50:$W$57, "&gt;="&amp;V1,'Expenditure Breakdown'!$W$50:$W$57, "&lt;"&amp;W1)+SUMIFS('Expenditure Breakdown'!$R$77:$R$84, 'Expenditure Breakdown'!$W$77:$W$84, "&gt;="&amp;V1,'Expenditure Breakdown'!$W$77:$W$84, "&lt;"&amp;W1)</f>
        <v>0</v>
      </c>
      <c r="W20" s="650">
        <f>SUMIFS('Expenditure Breakdown'!$R$28:$R$35, 'Expenditure Breakdown'!$W$28:$W$35, "&gt;="&amp;W1,'Expenditure Breakdown'!$W$28:$W$35, "&lt;"&amp;X1)+SUMIFS('Expenditure Breakdown'!$R$50:$R$57, 'Expenditure Breakdown'!$W$50:$W$57, "&gt;="&amp;W1,'Expenditure Breakdown'!$W$50:$W$57, "&lt;"&amp;X1)+SUMIFS('Expenditure Breakdown'!$R$77:$R$84, 'Expenditure Breakdown'!$W$77:$W$84, "&gt;="&amp;W1,'Expenditure Breakdown'!$W$77:$W$84, "&lt;"&amp;X1)</f>
        <v>45599.58</v>
      </c>
      <c r="X20" s="650">
        <f>SUMIFS('Expenditure Breakdown'!$R$28:$R$35, 'Expenditure Breakdown'!$W$28:$W$35, "&gt;="&amp;X1,'Expenditure Breakdown'!$W$28:$W$35, "&lt;"&amp;Y1)+SUMIFS('Expenditure Breakdown'!$R$50:$R$57, 'Expenditure Breakdown'!$W$50:$W$57, "&gt;="&amp;X1,'Expenditure Breakdown'!$W$50:$W$57, "&lt;"&amp;Y1)+SUMIFS('Expenditure Breakdown'!$R$77:$R$84, 'Expenditure Breakdown'!$W$77:$W$84, "&gt;="&amp;X1,'Expenditure Breakdown'!$W$77:$W$84, "&lt;"&amp;Y1)</f>
        <v>0</v>
      </c>
      <c r="Y20" s="650">
        <f>SUMIFS('Expenditure Breakdown'!$R$28:$R$35, 'Expenditure Breakdown'!$W$28:$W$35, "&gt;="&amp;Y1,'Expenditure Breakdown'!$W$28:$W$35, "&lt;"&amp;Z1)+SUMIFS('Expenditure Breakdown'!$R$50:$R$57, 'Expenditure Breakdown'!$W$50:$W$57, "&gt;="&amp;Y1,'Expenditure Breakdown'!$W$50:$W$57, "&lt;"&amp;Z1)+SUMIFS('Expenditure Breakdown'!$R$77:$R$84, 'Expenditure Breakdown'!$W$77:$W$84, "&gt;="&amp;Y1,'Expenditure Breakdown'!$W$77:$W$84, "&lt;"&amp;Z1)</f>
        <v>0</v>
      </c>
      <c r="Z20" s="650">
        <f>SUMIFS('Expenditure Breakdown'!$R$28:$R$35, 'Expenditure Breakdown'!$W$28:$W$35, "&gt;="&amp;Z1,'Expenditure Breakdown'!$W$28:$W$35, "&lt;"&amp;AA1)+SUMIFS('Expenditure Breakdown'!$R$50:$R$57, 'Expenditure Breakdown'!$W$50:$W$57, "&gt;="&amp;Z1,'Expenditure Breakdown'!$W$50:$W$57, "&lt;"&amp;AA1)+SUMIFS('Expenditure Breakdown'!$R$77:$R$84, 'Expenditure Breakdown'!$W$77:$W$84, "&gt;="&amp;Z1,'Expenditure Breakdown'!$W$77:$W$84, "&lt;"&amp;AA1)</f>
        <v>45599.58</v>
      </c>
      <c r="AA20" s="650">
        <f>SUMIFS('Expenditure Breakdown'!$R$28:$R$35, 'Expenditure Breakdown'!$W$28:$W$35, "&gt;="&amp;AA1,'Expenditure Breakdown'!$W$28:$W$35, "&lt;"&amp;AB1)+SUMIFS('Expenditure Breakdown'!$R$50:$R$57, 'Expenditure Breakdown'!$W$50:$W$57, "&gt;="&amp;AA1,'Expenditure Breakdown'!$W$50:$W$57, "&lt;"&amp;AB1)+SUMIFS('Expenditure Breakdown'!$R$77:$R$84, 'Expenditure Breakdown'!$W$77:$W$84, "&gt;="&amp;AA1,'Expenditure Breakdown'!$W$77:$W$84, "&lt;"&amp;AB1)</f>
        <v>0</v>
      </c>
      <c r="AB20" s="650">
        <f>SUMIFS('Expenditure Breakdown'!$R$28:$R$35, 'Expenditure Breakdown'!$W$28:$W$35, "&gt;="&amp;AB1,'Expenditure Breakdown'!$W$28:$W$35, "&lt;"&amp;AC1)+SUMIFS('Expenditure Breakdown'!$R$50:$R$57, 'Expenditure Breakdown'!$W$50:$W$57, "&gt;="&amp;AB1,'Expenditure Breakdown'!$W$50:$W$57, "&lt;"&amp;AC1)+SUMIFS('Expenditure Breakdown'!$R$77:$R$84, 'Expenditure Breakdown'!$W$77:$W$84, "&gt;="&amp;AB1,'Expenditure Breakdown'!$W$77:$W$84, "&lt;"&amp;AC1)</f>
        <v>0</v>
      </c>
      <c r="AC20" s="650">
        <f>SUMIFS('Expenditure Breakdown'!$R$28:$R$35, 'Expenditure Breakdown'!$W$28:$W$35, "&gt;="&amp;AC1,'Expenditure Breakdown'!$W$28:$W$35, "&lt;"&amp;AD1)+SUMIFS('Expenditure Breakdown'!$R$50:$R$57, 'Expenditure Breakdown'!$W$50:$W$57, "&gt;="&amp;AC1,'Expenditure Breakdown'!$W$50:$W$57, "&lt;"&amp;AD1)+SUMIFS('Expenditure Breakdown'!$R$77:$R$84, 'Expenditure Breakdown'!$W$77:$W$84, "&gt;="&amp;AC1,'Expenditure Breakdown'!$W$77:$W$84, "&lt;"&amp;AD1)</f>
        <v>0</v>
      </c>
      <c r="AD20" s="650">
        <f>SUMIFS('Expenditure Breakdown'!$R$28:$R$35, 'Expenditure Breakdown'!$W$28:$W$35, "&gt;="&amp;AD1,'Expenditure Breakdown'!$W$28:$W$35, "&lt;"&amp;AE1)+SUMIFS('Expenditure Breakdown'!$R$50:$R$57, 'Expenditure Breakdown'!$W$50:$W$57, "&gt;="&amp;AD1,'Expenditure Breakdown'!$W$50:$W$57, "&lt;"&amp;AE1)+SUMIFS('Expenditure Breakdown'!$R$77:$R$84, 'Expenditure Breakdown'!$W$77:$W$84, "&gt;="&amp;AD1,'Expenditure Breakdown'!$W$77:$W$84, "&lt;"&amp;AE1)</f>
        <v>0</v>
      </c>
      <c r="AE20" s="650">
        <f>SUMIFS('Expenditure Breakdown'!$R$28:$R$35, 'Expenditure Breakdown'!$W$28:$W$35, "&gt;="&amp;AE1,'Expenditure Breakdown'!$W$28:$W$35, "&lt;"&amp;AF1)+SUMIFS('Expenditure Breakdown'!$R$50:$R$57, 'Expenditure Breakdown'!$W$50:$W$57, "&gt;="&amp;AE1,'Expenditure Breakdown'!$W$50:$W$57, "&lt;"&amp;AF1)+SUMIFS('Expenditure Breakdown'!$R$77:$R$84, 'Expenditure Breakdown'!$W$77:$W$84, "&gt;="&amp;AE1,'Expenditure Breakdown'!$W$77:$W$84, "&lt;"&amp;AF1)</f>
        <v>0</v>
      </c>
      <c r="AF20" s="650">
        <f>SUMIFS('Expenditure Breakdown'!$R$28:$R$35, 'Expenditure Breakdown'!$W$28:$W$35, "&gt;="&amp;AF1,'Expenditure Breakdown'!$W$28:$W$35, "&lt;"&amp;AG1)+SUMIFS('Expenditure Breakdown'!$R$50:$R$57, 'Expenditure Breakdown'!$W$50:$W$57, "&gt;="&amp;AF1,'Expenditure Breakdown'!$W$50:$W$57, "&lt;"&amp;AG1)+SUMIFS('Expenditure Breakdown'!$R$77:$R$84, 'Expenditure Breakdown'!$W$77:$W$84, "&gt;="&amp;AF1,'Expenditure Breakdown'!$W$77:$W$84, "&lt;"&amp;AG1)</f>
        <v>0</v>
      </c>
      <c r="AG20" s="650">
        <f>SUMIFS('Expenditure Breakdown'!$R$28:$R$35, 'Expenditure Breakdown'!$W$28:$W$35, "&gt;="&amp;AG1,'Expenditure Breakdown'!$W$28:$W$35, "&lt;"&amp;AH1)+SUMIFS('Expenditure Breakdown'!$R$50:$R$57, 'Expenditure Breakdown'!$W$50:$W$57, "&gt;="&amp;AG1,'Expenditure Breakdown'!$W$50:$W$57, "&lt;"&amp;AH1)+SUMIFS('Expenditure Breakdown'!$R$77:$R$84, 'Expenditure Breakdown'!$W$77:$W$84, "&gt;="&amp;AG1,'Expenditure Breakdown'!$W$77:$W$84, "&lt;"&amp;AH1)</f>
        <v>0</v>
      </c>
      <c r="AH20" s="650">
        <f>SUMIFS('Expenditure Breakdown'!$R$28:$R$35, 'Expenditure Breakdown'!$W$28:$W$35, "&gt;="&amp;AH1,'Expenditure Breakdown'!$W$28:$W$35, "&lt;"&amp;AI1)+SUMIFS('Expenditure Breakdown'!$R$50:$R$57, 'Expenditure Breakdown'!$W$50:$W$57, "&gt;="&amp;AH1,'Expenditure Breakdown'!$W$50:$W$57, "&lt;"&amp;AI1)+SUMIFS('Expenditure Breakdown'!$R$77:$R$84, 'Expenditure Breakdown'!$W$77:$W$84, "&gt;="&amp;AH1,'Expenditure Breakdown'!$W$77:$W$84, "&lt;"&amp;AI1)</f>
        <v>0</v>
      </c>
      <c r="AI20" s="650">
        <f>SUMIFS('Expenditure Breakdown'!$R$28:$R$35, 'Expenditure Breakdown'!$W$28:$W$35, "&gt;="&amp;AI1,'Expenditure Breakdown'!$W$28:$W$35, "&lt;"&amp;AJ1)+SUMIFS('Expenditure Breakdown'!$R$50:$R$57, 'Expenditure Breakdown'!$W$50:$W$57, "&gt;="&amp;AI1,'Expenditure Breakdown'!$W$50:$W$57, "&lt;"&amp;AJ1)+SUMIFS('Expenditure Breakdown'!$R$77:$R$84, 'Expenditure Breakdown'!$W$77:$W$84, "&gt;="&amp;AI1,'Expenditure Breakdown'!$W$77:$W$84, "&lt;"&amp;AJ1)</f>
        <v>0</v>
      </c>
      <c r="AJ20" s="650">
        <f>SUMIFS('Expenditure Breakdown'!$R$28:$R$35, 'Expenditure Breakdown'!$W$28:$W$35, "&gt;="&amp;AJ1,'Expenditure Breakdown'!$W$28:$W$35, "&lt;"&amp;AK1)+SUMIFS('Expenditure Breakdown'!$R$50:$R$57, 'Expenditure Breakdown'!$W$50:$W$57, "&gt;="&amp;AJ1,'Expenditure Breakdown'!$W$50:$W$57, "&lt;"&amp;AK1)+SUMIFS('Expenditure Breakdown'!$R$77:$R$84, 'Expenditure Breakdown'!$W$77:$W$84, "&gt;="&amp;AJ1,'Expenditure Breakdown'!$W$77:$W$84, "&lt;"&amp;AK1)</f>
        <v>22799.79</v>
      </c>
      <c r="AK20" s="650">
        <f>SUMIFS('Expenditure Breakdown'!$R$28:$R$35, 'Expenditure Breakdown'!$W$28:$W$35, "&gt;="&amp;AK1,'Expenditure Breakdown'!$W$28:$W$35, "&lt;"&amp;AL1)+SUMIFS('Expenditure Breakdown'!$R$50:$R$57, 'Expenditure Breakdown'!$W$50:$W$57, "&gt;="&amp;AK1,'Expenditure Breakdown'!$W$50:$W$57, "&lt;"&amp;AL1)+SUMIFS('Expenditure Breakdown'!$R$77:$R$84, 'Expenditure Breakdown'!$W$77:$W$84, "&gt;="&amp;AK1,'Expenditure Breakdown'!$W$77:$W$84, "&lt;"&amp;AL1)</f>
        <v>0</v>
      </c>
      <c r="AL20" s="650">
        <f>SUMIFS('Expenditure Breakdown'!$R$28:$R$35, 'Expenditure Breakdown'!$W$28:$W$35, "&gt;="&amp;AL1,'Expenditure Breakdown'!$W$28:$W$35, "&lt;"&amp;AM1)+SUMIFS('Expenditure Breakdown'!$R$50:$R$57, 'Expenditure Breakdown'!$W$50:$W$57, "&gt;="&amp;AL1,'Expenditure Breakdown'!$W$50:$W$57, "&lt;"&amp;AM1)+SUMIFS('Expenditure Breakdown'!$R$77:$R$84, 'Expenditure Breakdown'!$W$77:$W$84, "&gt;="&amp;AL1,'Expenditure Breakdown'!$W$77:$W$84, "&lt;"&amp;AM1)</f>
        <v>0</v>
      </c>
      <c r="AM20" s="650">
        <f>SUMIFS('Expenditure Breakdown'!$R$28:$R$35, 'Expenditure Breakdown'!$W$28:$W$35, "&gt;="&amp;AM1,'Expenditure Breakdown'!$W$28:$W$35, "&lt;"&amp;AN1)+SUMIFS('Expenditure Breakdown'!$R$50:$R$57, 'Expenditure Breakdown'!$W$50:$W$57, "&gt;="&amp;AM1,'Expenditure Breakdown'!$W$50:$W$57, "&lt;"&amp;AN1)+SUMIFS('Expenditure Breakdown'!$R$77:$R$84, 'Expenditure Breakdown'!$W$77:$W$84, "&gt;="&amp;AM1,'Expenditure Breakdown'!$W$77:$W$84, "&lt;"&amp;AN1)</f>
        <v>22799.79</v>
      </c>
      <c r="AN20" s="650">
        <f>SUMIFS('Expenditure Breakdown'!$R$28:$R$35, 'Expenditure Breakdown'!$W$28:$W$35, "&gt;="&amp;AN1,'Expenditure Breakdown'!$W$28:$W$35, "&lt;"&amp;AO1)+SUMIFS('Expenditure Breakdown'!$R$50:$R$57, 'Expenditure Breakdown'!$W$50:$W$57, "&gt;="&amp;AN1,'Expenditure Breakdown'!$W$50:$W$57, "&lt;"&amp;AO1)+SUMIFS('Expenditure Breakdown'!$R$77:$R$84, 'Expenditure Breakdown'!$W$77:$W$84, "&gt;="&amp;AN1,'Expenditure Breakdown'!$W$77:$W$84, "&lt;"&amp;AO1)</f>
        <v>0</v>
      </c>
      <c r="AO20" s="650">
        <f>SUMIFS('Expenditure Breakdown'!$R$28:$R$35, 'Expenditure Breakdown'!$W$28:$W$35, "&gt;="&amp;AO1,'Expenditure Breakdown'!$W$28:$W$35, "&lt;"&amp;AP1)+SUMIFS('Expenditure Breakdown'!$R$50:$R$57, 'Expenditure Breakdown'!$W$50:$W$57, "&gt;="&amp;AO1,'Expenditure Breakdown'!$W$50:$W$57, "&lt;"&amp;AP1)+SUMIFS('Expenditure Breakdown'!$R$77:$R$84, 'Expenditure Breakdown'!$W$77:$W$84, "&gt;="&amp;AO1,'Expenditure Breakdown'!$W$77:$W$84, "&lt;"&amp;AP1)</f>
        <v>0</v>
      </c>
      <c r="AP20" s="650">
        <f>SUMIFS('Expenditure Breakdown'!$R$28:$R$35, 'Expenditure Breakdown'!$W$28:$W$35, "&gt;="&amp;AP1,'Expenditure Breakdown'!$W$28:$W$35, "&lt;"&amp;AQ1)+SUMIFS('Expenditure Breakdown'!$R$50:$R$57, 'Expenditure Breakdown'!$W$50:$W$57, "&gt;="&amp;AP1,'Expenditure Breakdown'!$W$50:$W$57, "&lt;"&amp;AQ1)+SUMIFS('Expenditure Breakdown'!$R$77:$R$84, 'Expenditure Breakdown'!$W$77:$W$84, "&gt;="&amp;AP1,'Expenditure Breakdown'!$W$77:$W$84, "&lt;"&amp;AQ1)</f>
        <v>0</v>
      </c>
      <c r="AQ20" s="650">
        <f>SUMIFS('Expenditure Breakdown'!$R$28:$R$35, 'Expenditure Breakdown'!$W$28:$W$35, "&gt;="&amp;AQ1,'Expenditure Breakdown'!$W$28:$W$35, "&lt;"&amp;AR1)+SUMIFS('Expenditure Breakdown'!$R$50:$R$57, 'Expenditure Breakdown'!$W$50:$W$57, "&gt;="&amp;AQ1,'Expenditure Breakdown'!$W$50:$W$57, "&lt;"&amp;AR1)+SUMIFS('Expenditure Breakdown'!$R$77:$R$84, 'Expenditure Breakdown'!$W$77:$W$84, "&gt;="&amp;AQ1,'Expenditure Breakdown'!$W$77:$W$84, "&lt;"&amp;AR1)</f>
        <v>0</v>
      </c>
      <c r="AR20" s="650">
        <f>SUMIFS('Expenditure Breakdown'!$R$28:$R$35, 'Expenditure Breakdown'!$W$28:$W$35, "&gt;="&amp;AR1,'Expenditure Breakdown'!$W$28:$W$35, "&lt;"&amp;AS1)+SUMIFS('Expenditure Breakdown'!$R$50:$R$57, 'Expenditure Breakdown'!$W$50:$W$57, "&gt;="&amp;AR1,'Expenditure Breakdown'!$W$50:$W$57, "&lt;"&amp;AS1)+SUMIFS('Expenditure Breakdown'!$R$77:$R$84, 'Expenditure Breakdown'!$W$77:$W$84, "&gt;="&amp;AR1,'Expenditure Breakdown'!$W$77:$W$84, "&lt;"&amp;AS1)</f>
        <v>0</v>
      </c>
      <c r="AS20" s="650">
        <f>SUMIFS('Expenditure Breakdown'!$R$28:$R$35, 'Expenditure Breakdown'!$W$28:$W$35, "&gt;="&amp;AS1,'Expenditure Breakdown'!$W$28:$W$35, "&lt;"&amp;AT1)+SUMIFS('Expenditure Breakdown'!$R$50:$R$57, 'Expenditure Breakdown'!$W$50:$W$57, "&gt;="&amp;AS1,'Expenditure Breakdown'!$W$50:$W$57, "&lt;"&amp;AT1)+SUMIFS('Expenditure Breakdown'!$R$77:$R$84, 'Expenditure Breakdown'!$W$77:$W$84, "&gt;="&amp;AS1,'Expenditure Breakdown'!$W$77:$W$84, "&lt;"&amp;AT1)</f>
        <v>0</v>
      </c>
      <c r="AT20" s="650">
        <f>SUMIFS('Expenditure Breakdown'!$R$28:$R$35, 'Expenditure Breakdown'!$W$28:$W$35, "&gt;="&amp;AT1,'Expenditure Breakdown'!$W$28:$W$35, "&lt;"&amp;AU1)+SUMIFS('Expenditure Breakdown'!$R$50:$R$57, 'Expenditure Breakdown'!$W$50:$W$57, "&gt;="&amp;AT1,'Expenditure Breakdown'!$W$50:$W$57, "&lt;"&amp;AU1)+SUMIFS('Expenditure Breakdown'!$R$77:$R$84, 'Expenditure Breakdown'!$W$77:$W$84, "&gt;="&amp;AT1,'Expenditure Breakdown'!$W$77:$W$84, "&lt;"&amp;AU1)</f>
        <v>0</v>
      </c>
      <c r="AU20" s="650">
        <f>SUMIFS('Expenditure Breakdown'!$R$28:$R$35, 'Expenditure Breakdown'!$W$28:$W$35, "&gt;="&amp;AU1,'Expenditure Breakdown'!$W$28:$W$35, "&lt;"&amp;AV1)+SUMIFS('Expenditure Breakdown'!$R$50:$R$57, 'Expenditure Breakdown'!$W$50:$W$57, "&gt;="&amp;AU1,'Expenditure Breakdown'!$W$50:$W$57, "&lt;"&amp;AV1)+SUMIFS('Expenditure Breakdown'!$R$77:$R$84, 'Expenditure Breakdown'!$W$77:$W$84, "&gt;="&amp;AU1,'Expenditure Breakdown'!$W$77:$W$84, "&lt;"&amp;AV1)</f>
        <v>0</v>
      </c>
      <c r="AV20" s="650">
        <f>SUMIFS('Expenditure Breakdown'!$R$28:$R$35, 'Expenditure Breakdown'!$W$28:$W$35, "&gt;="&amp;AV1,'Expenditure Breakdown'!$W$28:$W$35, "&lt;"&amp;AW1)+SUMIFS('Expenditure Breakdown'!$R$50:$R$57, 'Expenditure Breakdown'!$W$50:$W$57, "&gt;="&amp;AV1,'Expenditure Breakdown'!$W$50:$W$57, "&lt;"&amp;AW1)+SUMIFS('Expenditure Breakdown'!$R$77:$R$84, 'Expenditure Breakdown'!$W$77:$W$84, "&gt;="&amp;AV1,'Expenditure Breakdown'!$W$77:$W$84, "&lt;"&amp;AW1)</f>
        <v>0</v>
      </c>
      <c r="AW20" s="650">
        <f>SUMIFS('Expenditure Breakdown'!$R$28:$R$35, 'Expenditure Breakdown'!$W$28:$W$35, "&gt;="&amp;AW1,'Expenditure Breakdown'!$W$28:$W$35, "&lt;"&amp;AX1)+SUMIFS('Expenditure Breakdown'!$R$50:$R$57, 'Expenditure Breakdown'!$W$50:$W$57, "&gt;="&amp;AW1,'Expenditure Breakdown'!$W$50:$W$57, "&lt;"&amp;AX1)+SUMIFS('Expenditure Breakdown'!$R$77:$R$84, 'Expenditure Breakdown'!$W$77:$W$84, "&gt;="&amp;AW1,'Expenditure Breakdown'!$W$77:$W$84, "&lt;"&amp;AX1)</f>
        <v>0</v>
      </c>
      <c r="AX20" s="650">
        <f>SUMIFS('Expenditure Breakdown'!$R$28:$R$35, 'Expenditure Breakdown'!$W$28:$W$35, "&gt;="&amp;AX1,'Expenditure Breakdown'!$W$28:$W$35, "&lt;"&amp;AY1)+SUMIFS('Expenditure Breakdown'!$R$50:$R$57, 'Expenditure Breakdown'!$W$50:$W$57, "&gt;="&amp;AX1,'Expenditure Breakdown'!$W$50:$W$57, "&lt;"&amp;AY1)+SUMIFS('Expenditure Breakdown'!$R$77:$R$84, 'Expenditure Breakdown'!$W$77:$W$84, "&gt;="&amp;AX1,'Expenditure Breakdown'!$W$77:$W$84, "&lt;"&amp;AY1)</f>
        <v>0</v>
      </c>
      <c r="AY20" s="650">
        <f>SUMIFS('Expenditure Breakdown'!$R$28:$R$35, 'Expenditure Breakdown'!$W$28:$W$35, "&gt;="&amp;AY1,'Expenditure Breakdown'!$W$28:$W$35, "&lt;"&amp;AZ1)+SUMIFS('Expenditure Breakdown'!$R$50:$R$57, 'Expenditure Breakdown'!$W$50:$W$57, "&gt;="&amp;AY1,'Expenditure Breakdown'!$W$50:$W$57, "&lt;"&amp;AZ1)+SUMIFS('Expenditure Breakdown'!$R$77:$R$84, 'Expenditure Breakdown'!$W$77:$W$84, "&gt;="&amp;AY1,'Expenditure Breakdown'!$W$77:$W$84, "&lt;"&amp;AZ1)</f>
        <v>0</v>
      </c>
      <c r="AZ20" s="650">
        <f>SUMIFS('Expenditure Breakdown'!$R$28:$R$35, 'Expenditure Breakdown'!$W$28:$W$35, "&gt;="&amp;AZ1,'Expenditure Breakdown'!$W$28:$W$35, "&lt;"&amp;BA1)+SUMIFS('Expenditure Breakdown'!$R$50:$R$57, 'Expenditure Breakdown'!$W$50:$W$57, "&gt;="&amp;AZ1,'Expenditure Breakdown'!$W$50:$W$57, "&lt;"&amp;BA1)+SUMIFS('Expenditure Breakdown'!$R$77:$R$84, 'Expenditure Breakdown'!$W$77:$W$84, "&gt;="&amp;AZ1,'Expenditure Breakdown'!$W$77:$W$84, "&lt;"&amp;BA1)</f>
        <v>0</v>
      </c>
      <c r="BA20" s="650">
        <f>SUMIFS('Expenditure Breakdown'!$R$28:$R$35, 'Expenditure Breakdown'!$W$28:$W$35, "&gt;="&amp;BA1,'Expenditure Breakdown'!$W$28:$W$35, "&lt;"&amp;BB1)+SUMIFS('Expenditure Breakdown'!$R$50:$R$57, 'Expenditure Breakdown'!$W$50:$W$57, "&gt;="&amp;BA1,'Expenditure Breakdown'!$W$50:$W$57, "&lt;"&amp;BB1)+SUMIFS('Expenditure Breakdown'!$R$77:$R$84, 'Expenditure Breakdown'!$W$77:$W$84, "&gt;="&amp;BA1,'Expenditure Breakdown'!$W$77:$W$84, "&lt;"&amp;BB1)</f>
        <v>0</v>
      </c>
      <c r="BB20" s="650">
        <f>SUMIFS('Expenditure Breakdown'!$R$28:$R$35, 'Expenditure Breakdown'!$W$28:$W$35, "&gt;="&amp;BB1,'Expenditure Breakdown'!$W$28:$W$35, "&lt;"&amp;BC1)+SUMIFS('Expenditure Breakdown'!$R$50:$R$57, 'Expenditure Breakdown'!$W$50:$W$57, "&gt;="&amp;BB1,'Expenditure Breakdown'!$W$50:$W$57, "&lt;"&amp;BC1)+SUMIFS('Expenditure Breakdown'!$R$77:$R$84, 'Expenditure Breakdown'!$W$77:$W$84, "&gt;="&amp;BB1,'Expenditure Breakdown'!$W$77:$W$84, "&lt;"&amp;BC1)</f>
        <v>0</v>
      </c>
      <c r="BC20" s="650">
        <f>SUMIFS('Expenditure Breakdown'!$R$28:$R$35, 'Expenditure Breakdown'!$W$28:$W$35, "&gt;="&amp;BC1,'Expenditure Breakdown'!$W$28:$W$35, "&lt;"&amp;BD1)+SUMIFS('Expenditure Breakdown'!$R$50:$R$57, 'Expenditure Breakdown'!$W$50:$W$57, "&gt;="&amp;BC1,'Expenditure Breakdown'!$W$50:$W$57, "&lt;"&amp;BD1)+SUMIFS('Expenditure Breakdown'!$R$77:$R$84, 'Expenditure Breakdown'!$W$77:$W$84, "&gt;="&amp;BC1,'Expenditure Breakdown'!$W$77:$W$84, "&lt;"&amp;BD1)</f>
        <v>0</v>
      </c>
      <c r="BD20" s="650">
        <f>SUMIFS('Expenditure Breakdown'!$R$28:$R$35, 'Expenditure Breakdown'!$W$28:$W$35, "&gt;="&amp;BD1,'Expenditure Breakdown'!$W$28:$W$35, "&lt;"&amp;BE1)+SUMIFS('Expenditure Breakdown'!$R$50:$R$57, 'Expenditure Breakdown'!$W$50:$W$57, "&gt;="&amp;BD1,'Expenditure Breakdown'!$W$50:$W$57, "&lt;"&amp;BE1)+SUMIFS('Expenditure Breakdown'!$R$77:$R$84, 'Expenditure Breakdown'!$W$77:$W$84, "&gt;="&amp;BD1,'Expenditure Breakdown'!$W$77:$W$84, "&lt;"&amp;BE1)</f>
        <v>0</v>
      </c>
      <c r="BE20" s="650">
        <f>SUMIFS('Expenditure Breakdown'!$R$28:$R$35, 'Expenditure Breakdown'!$W$28:$W$35, "&gt;="&amp;BE1,'Expenditure Breakdown'!$W$28:$W$35, "&lt;"&amp;BF1)+SUMIFS('Expenditure Breakdown'!$R$50:$R$57, 'Expenditure Breakdown'!$W$50:$W$57, "&gt;="&amp;BE1,'Expenditure Breakdown'!$W$50:$W$57, "&lt;"&amp;BF1)+SUMIFS('Expenditure Breakdown'!$R$77:$R$84, 'Expenditure Breakdown'!$W$77:$W$84, "&gt;="&amp;BE1,'Expenditure Breakdown'!$W$77:$W$84, "&lt;"&amp;BF1)</f>
        <v>0</v>
      </c>
      <c r="BF20" s="650">
        <f>SUMIFS('Expenditure Breakdown'!$R$28:$R$35, 'Expenditure Breakdown'!$W$28:$W$35, "&gt;="&amp;BF1,'Expenditure Breakdown'!$W$28:$W$35, "&lt;"&amp;BG1)+SUMIFS('Expenditure Breakdown'!$R$50:$R$57, 'Expenditure Breakdown'!$W$50:$W$57, "&gt;="&amp;BF1,'Expenditure Breakdown'!$W$50:$W$57, "&lt;"&amp;BG1)+SUMIFS('Expenditure Breakdown'!$R$77:$R$84, 'Expenditure Breakdown'!$W$77:$W$84, "&gt;="&amp;BF1,'Expenditure Breakdown'!$W$77:$W$84, "&lt;"&amp;BG1)</f>
        <v>0</v>
      </c>
      <c r="BG20" s="650">
        <f>SUMIFS('Expenditure Breakdown'!$R$28:$R$35, 'Expenditure Breakdown'!$W$28:$W$35, "&gt;="&amp;BG1,'Expenditure Breakdown'!$W$28:$W$35, "&lt;"&amp;BH1)+SUMIFS('Expenditure Breakdown'!$R$50:$R$57, 'Expenditure Breakdown'!$W$50:$W$57, "&gt;="&amp;BG1,'Expenditure Breakdown'!$W$50:$W$57, "&lt;"&amp;BH1)+SUMIFS('Expenditure Breakdown'!$R$77:$R$84, 'Expenditure Breakdown'!$W$77:$W$84, "&gt;="&amp;BG1,'Expenditure Breakdown'!$W$77:$W$84, "&lt;"&amp;BH1)</f>
        <v>0</v>
      </c>
      <c r="BH20" s="650">
        <f>SUMIFS('Expenditure Breakdown'!$R$28:$R$35, 'Expenditure Breakdown'!$W$28:$W$35, "&gt;="&amp;BH1,'Expenditure Breakdown'!$W$28:$W$35, "&lt;"&amp;BI1)+SUMIFS('Expenditure Breakdown'!$R$50:$R$57, 'Expenditure Breakdown'!$W$50:$W$57, "&gt;="&amp;BH1,'Expenditure Breakdown'!$W$50:$W$57, "&lt;"&amp;BI1)+SUMIFS('Expenditure Breakdown'!$R$77:$R$84, 'Expenditure Breakdown'!$W$77:$W$84, "&gt;="&amp;BH1,'Expenditure Breakdown'!$W$77:$W$84, "&lt;"&amp;BI1)</f>
        <v>0</v>
      </c>
      <c r="BI20" s="650">
        <f>SUMIFS('Expenditure Breakdown'!$R$28:$R$35, 'Expenditure Breakdown'!$W$28:$W$35, "&gt;="&amp;BI1,'Expenditure Breakdown'!$W$28:$W$35, "&lt;"&amp;BJ1)+SUMIFS('Expenditure Breakdown'!$R$50:$R$57, 'Expenditure Breakdown'!$W$50:$W$57, "&gt;="&amp;BI1,'Expenditure Breakdown'!$W$50:$W$57, "&lt;"&amp;BJ1)+SUMIFS('Expenditure Breakdown'!$R$77:$R$84, 'Expenditure Breakdown'!$W$77:$W$84, "&gt;="&amp;BI1,'Expenditure Breakdown'!$W$77:$W$84, "&lt;"&amp;BJ1)</f>
        <v>0</v>
      </c>
      <c r="BJ20" s="650">
        <f>SUMIFS('Expenditure Breakdown'!$R$28:$R$35, 'Expenditure Breakdown'!$W$28:$W$35, "&gt;="&amp;BJ1,'Expenditure Breakdown'!$W$28:$W$35, "&lt;"&amp;BK1)+SUMIFS('Expenditure Breakdown'!$R$50:$R$57, 'Expenditure Breakdown'!$W$50:$W$57, "&gt;="&amp;BJ1,'Expenditure Breakdown'!$W$50:$W$57, "&lt;"&amp;BK1)+SUMIFS('Expenditure Breakdown'!$R$77:$R$84, 'Expenditure Breakdown'!$W$77:$W$84, "&gt;="&amp;BJ1,'Expenditure Breakdown'!$W$77:$W$84, "&lt;"&amp;BK1)</f>
        <v>0</v>
      </c>
      <c r="BK20" s="650">
        <f>SUMIFS('Expenditure Breakdown'!$R$28:$R$35, 'Expenditure Breakdown'!$W$28:$W$35, "&gt;="&amp;BK1,'Expenditure Breakdown'!$W$28:$W$35, "&lt;"&amp;BL1)+SUMIFS('Expenditure Breakdown'!$R$50:$R$57, 'Expenditure Breakdown'!$W$50:$W$57, "&gt;="&amp;BK1,'Expenditure Breakdown'!$W$50:$W$57, "&lt;"&amp;BL1)+SUMIFS('Expenditure Breakdown'!$R$77:$R$84, 'Expenditure Breakdown'!$W$77:$W$84, "&gt;="&amp;BK1,'Expenditure Breakdown'!$W$77:$W$84, "&lt;"&amp;BL1)</f>
        <v>0</v>
      </c>
      <c r="BL20" s="650">
        <f>SUMIFS('Expenditure Breakdown'!$R$28:$R$35, 'Expenditure Breakdown'!$W$28:$W$35, "&gt;="&amp;BL1,'Expenditure Breakdown'!$W$28:$W$35, "&lt;"&amp;BM1)+SUMIFS('Expenditure Breakdown'!$R$50:$R$57, 'Expenditure Breakdown'!$W$50:$W$57, "&gt;="&amp;BL1,'Expenditure Breakdown'!$W$50:$W$57, "&lt;"&amp;BM1)+SUMIFS('Expenditure Breakdown'!$R$77:$R$84, 'Expenditure Breakdown'!$W$77:$W$84, "&gt;="&amp;BL1,'Expenditure Breakdown'!$W$77:$W$84, "&lt;"&amp;BM1)</f>
        <v>0</v>
      </c>
      <c r="BM20" s="650">
        <f>SUMIFS('Expenditure Breakdown'!$R$28:$R$35, 'Expenditure Breakdown'!$W$28:$W$35, "&gt;="&amp;BM1,'Expenditure Breakdown'!$W$28:$W$35, "&lt;"&amp;BN1)+SUMIFS('Expenditure Breakdown'!$R$50:$R$57, 'Expenditure Breakdown'!$W$50:$W$57, "&gt;="&amp;BM1,'Expenditure Breakdown'!$W$50:$W$57, "&lt;"&amp;BN1)+SUMIFS('Expenditure Breakdown'!$R$77:$R$84, 'Expenditure Breakdown'!$W$77:$W$84, "&gt;="&amp;BM1,'Expenditure Breakdown'!$W$77:$W$84, "&lt;"&amp;BN1)</f>
        <v>0</v>
      </c>
      <c r="BN20" s="650">
        <f>SUMIFS('Expenditure Breakdown'!$R$28:$R$35, 'Expenditure Breakdown'!$W$28:$W$35, "&gt;="&amp;BN1,'Expenditure Breakdown'!$W$28:$W$35, "&lt;"&amp;BO1)+SUMIFS('Expenditure Breakdown'!$R$50:$R$57, 'Expenditure Breakdown'!$W$50:$W$57, "&gt;="&amp;BN1,'Expenditure Breakdown'!$W$50:$W$57, "&lt;"&amp;BO1)+SUMIFS('Expenditure Breakdown'!$R$77:$R$84, 'Expenditure Breakdown'!$W$77:$W$84, "&gt;="&amp;BN1,'Expenditure Breakdown'!$W$77:$W$84, "&lt;"&amp;BO1)</f>
        <v>0</v>
      </c>
      <c r="BO20" s="650">
        <f>SUMIFS('Expenditure Breakdown'!$R$28:$R$35, 'Expenditure Breakdown'!$W$28:$W$35, "&gt;="&amp;BO1,'Expenditure Breakdown'!$W$28:$W$35, "&lt;"&amp;BP1)+SUMIFS('Expenditure Breakdown'!$R$50:$R$57, 'Expenditure Breakdown'!$W$50:$W$57, "&gt;="&amp;BO1,'Expenditure Breakdown'!$W$50:$W$57, "&lt;"&amp;BP1)+SUMIFS('Expenditure Breakdown'!$R$77:$R$84, 'Expenditure Breakdown'!$W$77:$W$84, "&gt;="&amp;BO1,'Expenditure Breakdown'!$W$77:$W$84, "&lt;"&amp;BP1)</f>
        <v>0</v>
      </c>
      <c r="BP20" s="650">
        <f>SUMIFS('Expenditure Breakdown'!$R$28:$R$35, 'Expenditure Breakdown'!$W$28:$W$35, "&gt;="&amp;BP1,'Expenditure Breakdown'!$W$28:$W$35, "&lt;"&amp;BQ1)+SUMIFS('Expenditure Breakdown'!$R$50:$R$57, 'Expenditure Breakdown'!$W$50:$W$57, "&gt;="&amp;BP1,'Expenditure Breakdown'!$W$50:$W$57, "&lt;"&amp;BQ1)+SUMIFS('Expenditure Breakdown'!$R$77:$R$84, 'Expenditure Breakdown'!$W$77:$W$84, "&gt;="&amp;BP1,'Expenditure Breakdown'!$W$77:$W$84, "&lt;"&amp;BQ1)</f>
        <v>0</v>
      </c>
      <c r="BQ20" s="650">
        <f>SUMIFS('Expenditure Breakdown'!$R$28:$R$35, 'Expenditure Breakdown'!$W$28:$W$35, "&gt;="&amp;BQ1,'Expenditure Breakdown'!$W$28:$W$35, "&lt;"&amp;BR1)+SUMIFS('Expenditure Breakdown'!$R$50:$R$57, 'Expenditure Breakdown'!$W$50:$W$57, "&gt;="&amp;BQ1,'Expenditure Breakdown'!$W$50:$W$57, "&lt;"&amp;BR1)+SUMIFS('Expenditure Breakdown'!$R$77:$R$84, 'Expenditure Breakdown'!$W$77:$W$84, "&gt;="&amp;BQ1,'Expenditure Breakdown'!$W$77:$W$84, "&lt;"&amp;BR1)</f>
        <v>0</v>
      </c>
      <c r="BR20" s="650">
        <f>SUMIFS('Expenditure Breakdown'!$R$28:$R$35, 'Expenditure Breakdown'!$W$28:$W$35, "&gt;="&amp;BR1,'Expenditure Breakdown'!$W$28:$W$35, "&lt;"&amp;BS1)+SUMIFS('Expenditure Breakdown'!$R$50:$R$57, 'Expenditure Breakdown'!$W$50:$W$57, "&gt;="&amp;BR1,'Expenditure Breakdown'!$W$50:$W$57, "&lt;"&amp;BS1)+SUMIFS('Expenditure Breakdown'!$R$77:$R$84, 'Expenditure Breakdown'!$W$77:$W$84, "&gt;="&amp;BR1,'Expenditure Breakdown'!$W$77:$W$84, "&lt;"&amp;BS1)</f>
        <v>0</v>
      </c>
      <c r="BS20" s="650">
        <f>SUMIFS('Expenditure Breakdown'!$R$28:$R$35, 'Expenditure Breakdown'!$W$28:$W$35, "&gt;="&amp;BS1,'Expenditure Breakdown'!$W$28:$W$35, "&lt;"&amp;BT1)+SUMIFS('Expenditure Breakdown'!$R$50:$R$57, 'Expenditure Breakdown'!$W$50:$W$57, "&gt;="&amp;BS1,'Expenditure Breakdown'!$W$50:$W$57, "&lt;"&amp;BT1)+SUMIFS('Expenditure Breakdown'!$R$77:$R$84, 'Expenditure Breakdown'!$W$77:$W$84, "&gt;="&amp;BS1,'Expenditure Breakdown'!$W$77:$W$84, "&lt;"&amp;BT1)</f>
        <v>0</v>
      </c>
      <c r="BT20" s="650">
        <f>SUMIFS('Expenditure Breakdown'!$R$28:$R$35, 'Expenditure Breakdown'!$W$28:$W$35, "&gt;="&amp;BT1,'Expenditure Breakdown'!$W$28:$W$35, "&lt;"&amp;BU1)+SUMIFS('Expenditure Breakdown'!$R$50:$R$57, 'Expenditure Breakdown'!$W$50:$W$57, "&gt;="&amp;BT1,'Expenditure Breakdown'!$W$50:$W$57, "&lt;"&amp;BU1)+SUMIFS('Expenditure Breakdown'!$R$77:$R$84, 'Expenditure Breakdown'!$W$77:$W$84, "&gt;="&amp;BT1,'Expenditure Breakdown'!$W$77:$W$84, "&lt;"&amp;BU1)</f>
        <v>0</v>
      </c>
      <c r="BU20" s="650">
        <f>SUMIFS('Expenditure Breakdown'!$R$28:$R$35, 'Expenditure Breakdown'!$W$28:$W$35, "&gt;="&amp;BU1,'Expenditure Breakdown'!$W$28:$W$35, "&lt;"&amp;BV1)+SUMIFS('Expenditure Breakdown'!$R$50:$R$57, 'Expenditure Breakdown'!$W$50:$W$57, "&gt;="&amp;BU1,'Expenditure Breakdown'!$W$50:$W$57, "&lt;"&amp;BV1)+SUMIFS('Expenditure Breakdown'!$R$77:$R$84, 'Expenditure Breakdown'!$W$77:$W$84, "&gt;="&amp;BU1,'Expenditure Breakdown'!$W$77:$W$84, "&lt;"&amp;BV1)</f>
        <v>0</v>
      </c>
      <c r="BV20" s="650">
        <f>SUMIFS('Expenditure Breakdown'!$R$28:$R$35, 'Expenditure Breakdown'!$W$28:$W$35, "&gt;="&amp;BV1,'Expenditure Breakdown'!$W$28:$W$35, "&lt;"&amp;BW1)+SUMIFS('Expenditure Breakdown'!$R$50:$R$57, 'Expenditure Breakdown'!$W$50:$W$57, "&gt;="&amp;BV1,'Expenditure Breakdown'!$W$50:$W$57, "&lt;"&amp;BW1)+SUMIFS('Expenditure Breakdown'!$R$77:$R$84, 'Expenditure Breakdown'!$W$77:$W$84, "&gt;="&amp;BV1,'Expenditure Breakdown'!$W$77:$W$84, "&lt;"&amp;BW1)</f>
        <v>0</v>
      </c>
      <c r="BW20" s="650">
        <f>SUMIFS('Expenditure Breakdown'!$R$28:$R$35, 'Expenditure Breakdown'!$W$28:$W$35, "&gt;="&amp;BW1,'Expenditure Breakdown'!$W$28:$W$35, "&lt;"&amp;BX1)+SUMIFS('Expenditure Breakdown'!$R$50:$R$57, 'Expenditure Breakdown'!$W$50:$W$57, "&gt;="&amp;BW1,'Expenditure Breakdown'!$W$50:$W$57, "&lt;"&amp;BX1)+SUMIFS('Expenditure Breakdown'!$R$77:$R$84, 'Expenditure Breakdown'!$W$77:$W$84, "&gt;="&amp;BW1,'Expenditure Breakdown'!$W$77:$W$84, "&lt;"&amp;BX1)</f>
        <v>0</v>
      </c>
      <c r="BX20" s="650">
        <f>SUMIFS('Expenditure Breakdown'!$R$28:$R$35, 'Expenditure Breakdown'!$W$28:$W$35, "&gt;="&amp;BX1,'Expenditure Breakdown'!$W$28:$W$35, "&lt;"&amp;BY1)+SUMIFS('Expenditure Breakdown'!$R$50:$R$57, 'Expenditure Breakdown'!$W$50:$W$57, "&gt;="&amp;BX1,'Expenditure Breakdown'!$W$50:$W$57, "&lt;"&amp;BY1)+SUMIFS('Expenditure Breakdown'!$R$77:$R$84, 'Expenditure Breakdown'!$W$77:$W$84, "&gt;="&amp;BX1,'Expenditure Breakdown'!$W$77:$W$84, "&lt;"&amp;BY1)</f>
        <v>0</v>
      </c>
      <c r="BY20" s="650">
        <f>SUMIFS('Expenditure Breakdown'!$R$28:$R$35, 'Expenditure Breakdown'!$W$28:$W$35, "&gt;="&amp;BY1,'Expenditure Breakdown'!$W$28:$W$35, "&lt;"&amp;BZ1)+SUMIFS('Expenditure Breakdown'!$R$50:$R$57, 'Expenditure Breakdown'!$W$50:$W$57, "&gt;="&amp;BY1,'Expenditure Breakdown'!$W$50:$W$57, "&lt;"&amp;BZ1)+SUMIFS('Expenditure Breakdown'!$R$77:$R$84, 'Expenditure Breakdown'!$W$77:$W$84, "&gt;="&amp;BY1,'Expenditure Breakdown'!$W$77:$W$84, "&lt;"&amp;BZ1)</f>
        <v>0</v>
      </c>
      <c r="BZ20" s="650">
        <f>SUMIFS('Expenditure Breakdown'!$R$28:$R$35, 'Expenditure Breakdown'!$W$28:$W$35, "&gt;="&amp;BZ1,'Expenditure Breakdown'!$W$28:$W$35, "&lt;"&amp;CA1)+SUMIFS('Expenditure Breakdown'!$R$50:$R$57, 'Expenditure Breakdown'!$W$50:$W$57, "&gt;="&amp;BZ1,'Expenditure Breakdown'!$W$50:$W$57, "&lt;"&amp;CA1)+SUMIFS('Expenditure Breakdown'!$R$77:$R$84, 'Expenditure Breakdown'!$W$77:$W$84, "&gt;="&amp;BZ1,'Expenditure Breakdown'!$W$77:$W$84, "&lt;"&amp;CA1)</f>
        <v>0</v>
      </c>
      <c r="CA20" s="650">
        <f>SUMIFS('Expenditure Breakdown'!$R$28:$R$35, 'Expenditure Breakdown'!$W$28:$W$35, "&gt;="&amp;CA1,'Expenditure Breakdown'!$W$28:$W$35, "&lt;"&amp;CB1)+SUMIFS('Expenditure Breakdown'!$R$50:$R$57, 'Expenditure Breakdown'!$W$50:$W$57, "&gt;="&amp;CA1,'Expenditure Breakdown'!$W$50:$W$57, "&lt;"&amp;CB1)+SUMIFS('Expenditure Breakdown'!$R$77:$R$84, 'Expenditure Breakdown'!$W$77:$W$84, "&gt;="&amp;CA1,'Expenditure Breakdown'!$W$77:$W$84, "&lt;"&amp;CB1)</f>
        <v>0</v>
      </c>
      <c r="CB20" s="650">
        <f>SUMIFS('Expenditure Breakdown'!$R$28:$R$35, 'Expenditure Breakdown'!$W$28:$W$35, "&gt;="&amp;CB1,'Expenditure Breakdown'!$W$28:$W$35, "&lt;"&amp;DS1)+SUMIFS('Expenditure Breakdown'!$R$50:$R$57, 'Expenditure Breakdown'!$W$50:$W$57, "&gt;="&amp;CB1,'Expenditure Breakdown'!$W$50:$W$57, "&lt;"&amp;DS1)+SUMIFS('Expenditure Breakdown'!$R$77:$R$84, 'Expenditure Breakdown'!$W$77:$W$84, "&gt;="&amp;CB1,'Expenditure Breakdown'!$W$77:$W$84, "&lt;"&amp;DS1)</f>
        <v>0</v>
      </c>
      <c r="CC20" s="650">
        <f>SUMIFS('Expenditure Breakdown'!$R$28:$R$35, 'Expenditure Breakdown'!$W$28:$W$35, "&gt;="&amp;CC1,'Expenditure Breakdown'!$W$28:$W$35, "&lt;"&amp;DT1)+SUMIFS('Expenditure Breakdown'!$R$50:$R$57, 'Expenditure Breakdown'!$W$50:$W$57, "&gt;="&amp;CC1,'Expenditure Breakdown'!$W$50:$W$57, "&lt;"&amp;DT1)+SUMIFS('Expenditure Breakdown'!$R$77:$R$84, 'Expenditure Breakdown'!$W$77:$W$84, "&gt;="&amp;CC1,'Expenditure Breakdown'!$W$77:$W$84, "&lt;"&amp;DT1)</f>
        <v>0</v>
      </c>
      <c r="CD20" s="650"/>
      <c r="CE20" s="650"/>
      <c r="CF20" s="650"/>
      <c r="CG20" s="650"/>
      <c r="CH20" s="650"/>
      <c r="CI20" s="650"/>
      <c r="CJ20" s="650"/>
      <c r="CK20" s="650"/>
      <c r="CL20" s="650"/>
      <c r="CM20" s="650"/>
      <c r="CN20" s="650"/>
      <c r="CO20" s="650"/>
      <c r="CP20" s="650"/>
      <c r="CQ20" s="650"/>
      <c r="CR20" s="650"/>
      <c r="CS20" s="650"/>
      <c r="CT20" s="650"/>
      <c r="CU20" s="650"/>
      <c r="CV20" s="650"/>
      <c r="CW20" s="650"/>
      <c r="CX20" s="650"/>
      <c r="CY20" s="650"/>
      <c r="CZ20" s="650"/>
      <c r="DA20" s="650"/>
      <c r="DB20" s="650"/>
      <c r="DC20" s="650"/>
      <c r="DD20" s="650"/>
      <c r="DE20" s="650"/>
      <c r="DF20" s="650"/>
      <c r="DG20" s="650"/>
      <c r="DH20" s="650"/>
      <c r="DI20" s="650"/>
      <c r="DJ20" s="650"/>
      <c r="DK20" s="650"/>
      <c r="DL20" s="650"/>
      <c r="DM20" s="650"/>
      <c r="DN20" s="650"/>
      <c r="DO20" s="650"/>
      <c r="DP20" s="650"/>
      <c r="DQ20" s="650"/>
      <c r="DR20" s="650"/>
    </row>
    <row r="21" spans="1:122" ht="15">
      <c r="B21" t="s">
        <v>419</v>
      </c>
      <c r="E21" s="240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:J21" si="391">I20+H21</f>
        <v>0</v>
      </c>
      <c r="J21" s="650">
        <f t="shared" si="391"/>
        <v>0</v>
      </c>
      <c r="K21" s="650">
        <f t="shared" ref="K21" si="392">K20+J21</f>
        <v>0</v>
      </c>
      <c r="L21" s="650">
        <f t="shared" ref="L21" si="393">L20+K21</f>
        <v>0</v>
      </c>
      <c r="M21" s="650">
        <f t="shared" ref="M21" si="394">M20+L21</f>
        <v>0</v>
      </c>
      <c r="N21" s="650">
        <f t="shared" ref="N21" si="395">N20+M21</f>
        <v>0</v>
      </c>
      <c r="O21" s="650">
        <f t="shared" ref="O21" si="396">O20+N21</f>
        <v>0</v>
      </c>
      <c r="P21" s="650">
        <f t="shared" ref="P21" si="397">P20+O21</f>
        <v>45599.58</v>
      </c>
      <c r="Q21" s="650">
        <f t="shared" ref="Q21" si="398">Q20+P21</f>
        <v>45599.58</v>
      </c>
      <c r="R21" s="650">
        <f t="shared" ref="R21" si="399">R20+Q21</f>
        <v>113998.45</v>
      </c>
      <c r="S21" s="650">
        <f t="shared" ref="S21" si="400">S20+R21</f>
        <v>113998.45</v>
      </c>
      <c r="T21" s="650">
        <f t="shared" ref="T21" si="401">T20+S21</f>
        <v>113998.45</v>
      </c>
      <c r="U21" s="650">
        <f t="shared" ref="U21" si="402">U20+T21</f>
        <v>319196.56</v>
      </c>
      <c r="V21" s="650">
        <f t="shared" ref="V21" si="403">V20+U21</f>
        <v>319196.56</v>
      </c>
      <c r="W21" s="650">
        <f t="shared" ref="W21" si="404">W20+V21</f>
        <v>364796.14</v>
      </c>
      <c r="X21" s="650">
        <f t="shared" ref="X21" si="405">X20+W21</f>
        <v>364796.14</v>
      </c>
      <c r="Y21" s="650">
        <f t="shared" ref="Y21" si="406">Y20+X21</f>
        <v>364796.14</v>
      </c>
      <c r="Z21" s="650">
        <f t="shared" ref="Z21" si="407">Z20+Y21</f>
        <v>410395.72000000003</v>
      </c>
      <c r="AA21" s="650">
        <f t="shared" ref="AA21" si="408">AA20+Z21</f>
        <v>410395.72000000003</v>
      </c>
      <c r="AB21" s="650">
        <f t="shared" ref="AB21" si="409">AB20+AA21</f>
        <v>410395.72000000003</v>
      </c>
      <c r="AC21" s="650">
        <f t="shared" ref="AC21" si="410">AC20+AB21</f>
        <v>410395.72000000003</v>
      </c>
      <c r="AD21" s="650">
        <f t="shared" ref="AD21" si="411">AD20+AC21</f>
        <v>410395.72000000003</v>
      </c>
      <c r="AE21" s="650">
        <f t="shared" ref="AE21" si="412">AE20+AD21</f>
        <v>410395.72000000003</v>
      </c>
      <c r="AF21" s="650">
        <f t="shared" ref="AF21" si="413">AF20+AE21</f>
        <v>410395.72000000003</v>
      </c>
      <c r="AG21" s="650">
        <f t="shared" ref="AG21" si="414">AG20+AF21</f>
        <v>410395.72000000003</v>
      </c>
      <c r="AH21" s="650">
        <f t="shared" ref="AH21" si="415">AH20+AG21</f>
        <v>410395.72000000003</v>
      </c>
      <c r="AI21" s="650">
        <f t="shared" ref="AI21" si="416">AI20+AH21</f>
        <v>410395.72000000003</v>
      </c>
      <c r="AJ21" s="650">
        <f t="shared" ref="AJ21" si="417">AJ20+AI21</f>
        <v>433195.51</v>
      </c>
      <c r="AK21" s="650">
        <f t="shared" ref="AK21:BQ21" si="418">AK20+AJ21</f>
        <v>433195.51</v>
      </c>
      <c r="AL21" s="650">
        <f t="shared" si="418"/>
        <v>433195.51</v>
      </c>
      <c r="AM21" s="650">
        <f t="shared" si="418"/>
        <v>455995.3</v>
      </c>
      <c r="AN21" s="650">
        <f t="shared" si="418"/>
        <v>455995.3</v>
      </c>
      <c r="AO21" s="650">
        <f t="shared" si="418"/>
        <v>455995.3</v>
      </c>
      <c r="AP21" s="650">
        <f t="shared" si="418"/>
        <v>455995.3</v>
      </c>
      <c r="AQ21" s="650">
        <f t="shared" si="418"/>
        <v>455995.3</v>
      </c>
      <c r="AR21" s="650">
        <f t="shared" si="418"/>
        <v>455995.3</v>
      </c>
      <c r="AS21" s="650">
        <f t="shared" si="418"/>
        <v>455995.3</v>
      </c>
      <c r="AT21" s="650">
        <f t="shared" si="418"/>
        <v>455995.3</v>
      </c>
      <c r="AU21" s="650">
        <f t="shared" si="418"/>
        <v>455995.3</v>
      </c>
      <c r="AV21" s="650">
        <f t="shared" si="418"/>
        <v>455995.3</v>
      </c>
      <c r="AW21" s="650">
        <f t="shared" si="418"/>
        <v>455995.3</v>
      </c>
      <c r="AX21" s="650">
        <f t="shared" si="418"/>
        <v>455995.3</v>
      </c>
      <c r="AY21" s="650">
        <f t="shared" si="418"/>
        <v>455995.3</v>
      </c>
      <c r="AZ21" s="650">
        <f t="shared" si="418"/>
        <v>455995.3</v>
      </c>
      <c r="BA21" s="650">
        <f t="shared" si="418"/>
        <v>455995.3</v>
      </c>
      <c r="BB21" s="650">
        <f t="shared" si="418"/>
        <v>455995.3</v>
      </c>
      <c r="BC21" s="650">
        <f t="shared" si="418"/>
        <v>455995.3</v>
      </c>
      <c r="BD21" s="650">
        <f t="shared" si="418"/>
        <v>455995.3</v>
      </c>
      <c r="BE21" s="650">
        <f t="shared" si="418"/>
        <v>455995.3</v>
      </c>
      <c r="BF21" s="650">
        <f t="shared" si="418"/>
        <v>455995.3</v>
      </c>
      <c r="BG21" s="650">
        <f t="shared" si="418"/>
        <v>455995.3</v>
      </c>
      <c r="BH21" s="650">
        <f t="shared" si="418"/>
        <v>455995.3</v>
      </c>
      <c r="BI21" s="650">
        <f t="shared" si="418"/>
        <v>455995.3</v>
      </c>
      <c r="BJ21" s="650">
        <f t="shared" si="418"/>
        <v>455995.3</v>
      </c>
      <c r="BK21" s="650">
        <f t="shared" si="418"/>
        <v>455995.3</v>
      </c>
      <c r="BL21" s="650">
        <f t="shared" si="418"/>
        <v>455995.3</v>
      </c>
      <c r="BM21" s="650">
        <f t="shared" si="418"/>
        <v>455995.3</v>
      </c>
      <c r="BN21" s="650">
        <f t="shared" si="418"/>
        <v>455995.3</v>
      </c>
      <c r="BO21" s="650">
        <f t="shared" si="418"/>
        <v>455995.3</v>
      </c>
      <c r="BP21" s="650">
        <f t="shared" si="418"/>
        <v>455995.3</v>
      </c>
      <c r="BQ21" s="650">
        <f t="shared" si="418"/>
        <v>455995.3</v>
      </c>
      <c r="BR21" s="650">
        <f t="shared" ref="BR21:CC21" si="419">BR20+BQ21</f>
        <v>455995.3</v>
      </c>
      <c r="BS21" s="650">
        <f t="shared" si="419"/>
        <v>455995.3</v>
      </c>
      <c r="BT21" s="650">
        <f t="shared" si="419"/>
        <v>455995.3</v>
      </c>
      <c r="BU21" s="650">
        <f t="shared" si="419"/>
        <v>455995.3</v>
      </c>
      <c r="BV21" s="650">
        <f t="shared" si="419"/>
        <v>455995.3</v>
      </c>
      <c r="BW21" s="650">
        <f t="shared" si="419"/>
        <v>455995.3</v>
      </c>
      <c r="BX21" s="650">
        <f t="shared" si="419"/>
        <v>455995.3</v>
      </c>
      <c r="BY21" s="650">
        <f t="shared" si="419"/>
        <v>455995.3</v>
      </c>
      <c r="BZ21" s="650">
        <f t="shared" si="419"/>
        <v>455995.3</v>
      </c>
      <c r="CA21" s="650">
        <f t="shared" si="419"/>
        <v>455995.3</v>
      </c>
      <c r="CB21" s="650">
        <f t="shared" si="419"/>
        <v>455995.3</v>
      </c>
      <c r="CC21" s="650">
        <f t="shared" si="419"/>
        <v>455995.3</v>
      </c>
      <c r="CD21" s="650"/>
      <c r="CE21" s="650"/>
      <c r="CF21" s="650"/>
      <c r="CG21" s="650"/>
      <c r="CH21" s="650"/>
      <c r="CI21" s="650"/>
      <c r="CJ21" s="650"/>
      <c r="CK21" s="650"/>
      <c r="CL21" s="650"/>
      <c r="CM21" s="650"/>
      <c r="CN21" s="650"/>
      <c r="CO21" s="650"/>
      <c r="CP21" s="650"/>
      <c r="CQ21" s="650"/>
      <c r="CR21" s="650"/>
      <c r="CS21" s="650"/>
      <c r="CT21" s="650"/>
      <c r="CU21" s="650"/>
      <c r="CV21" s="650"/>
      <c r="CW21" s="650"/>
      <c r="CX21" s="650"/>
      <c r="CY21" s="650"/>
      <c r="CZ21" s="650"/>
      <c r="DA21" s="650"/>
      <c r="DB21" s="650"/>
      <c r="DC21" s="650"/>
      <c r="DD21" s="650"/>
      <c r="DE21" s="650"/>
      <c r="DF21" s="650"/>
      <c r="DG21" s="650"/>
      <c r="DH21" s="650"/>
      <c r="DI21" s="650"/>
      <c r="DJ21" s="650"/>
      <c r="DK21" s="650"/>
      <c r="DL21" s="650"/>
      <c r="DM21" s="650"/>
      <c r="DN21" s="650"/>
      <c r="DO21" s="650"/>
      <c r="DP21" s="650"/>
      <c r="DQ21" s="650"/>
      <c r="DR21" s="650"/>
    </row>
    <row r="22" spans="1:122" s="240" customFormat="1" ht="15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H7" zoomScale="130" zoomScaleNormal="130" workbookViewId="0">
      <selection activeCell="Q28" sqref="Q28"/>
    </sheetView>
  </sheetViews>
  <sheetFormatPr defaultColWidth="12.5703125" defaultRowHeight="14.45"/>
  <cols>
    <col min="1" max="1" width="39.42578125" style="505" bestFit="1" customWidth="1"/>
    <col min="2" max="2" width="17.28515625" style="506" bestFit="1" customWidth="1"/>
    <col min="3" max="3" width="7.42578125" style="505" bestFit="1" customWidth="1"/>
    <col min="4" max="4" width="13" style="505" bestFit="1" customWidth="1"/>
    <col min="5" max="5" width="12" style="505" bestFit="1" customWidth="1"/>
    <col min="6" max="8" width="13.28515625" style="505" bestFit="1" customWidth="1"/>
    <col min="9" max="9" width="11.7109375" style="505" bestFit="1" customWidth="1"/>
    <col min="10" max="10" width="12" style="505" bestFit="1" customWidth="1"/>
    <col min="11" max="15" width="10.5703125" style="505" bestFit="1" customWidth="1"/>
    <col min="16" max="16" width="14.85546875" style="505" bestFit="1" customWidth="1"/>
    <col min="17" max="17" width="12.5703125" style="505" bestFit="1" customWidth="1"/>
    <col min="18" max="18" width="11" style="505" bestFit="1" customWidth="1"/>
    <col min="19" max="19" width="13.85546875" style="505" bestFit="1" customWidth="1"/>
    <col min="20" max="16384" width="12.5703125" style="505"/>
  </cols>
  <sheetData>
    <row r="1" spans="1:20">
      <c r="A1" s="531" t="s">
        <v>235</v>
      </c>
      <c r="B1" t="s">
        <v>420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421</v>
      </c>
      <c r="B3" s="531" t="s">
        <v>422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423</v>
      </c>
      <c r="B4"/>
      <c r="C4" t="s">
        <v>424</v>
      </c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45808</v>
      </c>
      <c r="M4" s="636">
        <v>45777</v>
      </c>
      <c r="N4" s="636">
        <v>45869</v>
      </c>
      <c r="O4" s="636">
        <v>45900</v>
      </c>
      <c r="P4" t="s">
        <v>425</v>
      </c>
      <c r="Q4"/>
      <c r="R4"/>
      <c r="S4"/>
      <c r="T4"/>
    </row>
    <row r="5" spans="1:20">
      <c r="A5" s="532" t="s">
        <v>424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343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378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242</v>
      </c>
      <c r="B8" s="533"/>
      <c r="C8" s="533"/>
      <c r="D8" s="533">
        <v>792853.43022606324</v>
      </c>
      <c r="E8" s="533"/>
      <c r="F8" s="533"/>
      <c r="G8" s="533">
        <v>14183.254119263376</v>
      </c>
      <c r="H8" s="533">
        <v>35614.21</v>
      </c>
      <c r="I8" s="533"/>
      <c r="J8" s="533"/>
      <c r="K8" s="533"/>
      <c r="L8" s="533"/>
      <c r="M8" s="533"/>
      <c r="N8" s="533"/>
      <c r="O8" s="533"/>
      <c r="P8" s="533">
        <v>842650.89434532658</v>
      </c>
      <c r="Q8" s="533">
        <f t="shared" ref="Q8:Q20" si="0">SUM(F8:O8)</f>
        <v>49797.464119263372</v>
      </c>
      <c r="R8"/>
      <c r="S8"/>
      <c r="T8"/>
    </row>
    <row r="9" spans="1:20">
      <c r="A9" s="532" t="s">
        <v>263</v>
      </c>
      <c r="B9" s="533">
        <v>0</v>
      </c>
      <c r="C9" s="533"/>
      <c r="D9" s="533"/>
      <c r="E9" s="533"/>
      <c r="F9" s="533">
        <v>192434.14629999996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192434.14629999996</v>
      </c>
      <c r="Q9" s="533">
        <f t="shared" si="0"/>
        <v>192434.14629999996</v>
      </c>
      <c r="R9"/>
      <c r="S9"/>
      <c r="T9"/>
    </row>
    <row r="10" spans="1:20">
      <c r="A10" s="532" t="s">
        <v>270</v>
      </c>
      <c r="B10" s="533"/>
      <c r="C10" s="533"/>
      <c r="D10" s="533"/>
      <c r="E10" s="533"/>
      <c r="F10" s="533">
        <v>120898.84810971897</v>
      </c>
      <c r="G10" s="533">
        <v>886.51779028103726</v>
      </c>
      <c r="H10" s="533">
        <v>0</v>
      </c>
      <c r="I10" s="533">
        <v>0</v>
      </c>
      <c r="J10" s="533"/>
      <c r="K10" s="533"/>
      <c r="L10" s="533"/>
      <c r="M10" s="533"/>
      <c r="N10" s="533"/>
      <c r="O10" s="533"/>
      <c r="P10" s="533">
        <v>121785.3659</v>
      </c>
      <c r="Q10" s="533">
        <f t="shared" si="0"/>
        <v>121785.3659</v>
      </c>
      <c r="R10"/>
      <c r="S10"/>
      <c r="T10"/>
    </row>
    <row r="11" spans="1:20">
      <c r="A11" s="532" t="s">
        <v>288</v>
      </c>
      <c r="B11" s="533"/>
      <c r="C11" s="533">
        <v>0</v>
      </c>
      <c r="D11" s="533"/>
      <c r="E11" s="533"/>
      <c r="F11" s="533">
        <v>40053.716777941176</v>
      </c>
      <c r="G11" s="533">
        <v>233027.60141088231</v>
      </c>
      <c r="H11" s="533"/>
      <c r="I11" s="533"/>
      <c r="J11" s="533">
        <v>16021.486711176471</v>
      </c>
      <c r="K11" s="533"/>
      <c r="L11" s="533"/>
      <c r="M11" s="533"/>
      <c r="N11" s="533"/>
      <c r="O11" s="533"/>
      <c r="P11" s="533">
        <v>289102.80489999993</v>
      </c>
      <c r="Q11" s="533">
        <f t="shared" si="0"/>
        <v>289102.80489999993</v>
      </c>
      <c r="R11"/>
      <c r="S11"/>
      <c r="T11"/>
    </row>
    <row r="12" spans="1:20">
      <c r="A12" s="532" t="s">
        <v>320</v>
      </c>
      <c r="B12" s="533">
        <v>0</v>
      </c>
      <c r="C12" s="533"/>
      <c r="D12" s="533"/>
      <c r="E12" s="533">
        <v>42729.564722864452</v>
      </c>
      <c r="F12" s="533"/>
      <c r="G12" s="533">
        <v>5229.2951437038028</v>
      </c>
      <c r="H12" s="533">
        <v>11797.236875105962</v>
      </c>
      <c r="I12" s="533"/>
      <c r="J12" s="533"/>
      <c r="K12" s="533"/>
      <c r="L12" s="533"/>
      <c r="M12" s="533"/>
      <c r="N12" s="533"/>
      <c r="O12" s="533"/>
      <c r="P12" s="533">
        <v>59756.096741674213</v>
      </c>
      <c r="Q12" s="533">
        <f t="shared" si="0"/>
        <v>17026.532018809765</v>
      </c>
      <c r="R12"/>
      <c r="S12"/>
      <c r="T12"/>
    </row>
    <row r="13" spans="1:20">
      <c r="A13" s="532" t="s">
        <v>333</v>
      </c>
      <c r="B13" s="533">
        <v>0</v>
      </c>
      <c r="C13" s="533">
        <v>0</v>
      </c>
      <c r="D13" s="533"/>
      <c r="E13" s="533"/>
      <c r="F13" s="533">
        <v>110036.40243274302</v>
      </c>
      <c r="G13" s="533">
        <v>235436.00973809688</v>
      </c>
      <c r="H13" s="533"/>
      <c r="I13" s="533"/>
      <c r="J13" s="533">
        <v>25643.61548820528</v>
      </c>
      <c r="K13" s="533"/>
      <c r="L13" s="533">
        <v>139.85</v>
      </c>
      <c r="M13" s="533"/>
      <c r="N13" s="533"/>
      <c r="O13" s="533"/>
      <c r="P13" s="533">
        <v>371255.87765904516</v>
      </c>
      <c r="Q13" s="533">
        <f t="shared" si="0"/>
        <v>371255.87765904516</v>
      </c>
      <c r="R13"/>
      <c r="S13"/>
      <c r="T13"/>
    </row>
    <row r="14" spans="1:20">
      <c r="A14" s="532" t="s">
        <v>345</v>
      </c>
      <c r="B14" s="533"/>
      <c r="C14" s="533"/>
      <c r="D14" s="533"/>
      <c r="E14" s="533"/>
      <c r="F14" s="533"/>
      <c r="G14" s="533">
        <v>0</v>
      </c>
      <c r="H14" s="533">
        <v>43965.120000000003</v>
      </c>
      <c r="I14" s="533"/>
      <c r="J14" s="533"/>
      <c r="K14" s="533"/>
      <c r="L14" s="533"/>
      <c r="M14" s="533"/>
      <c r="N14" s="533"/>
      <c r="O14" s="533"/>
      <c r="P14" s="533">
        <v>43965.120000000003</v>
      </c>
      <c r="Q14" s="533">
        <f t="shared" si="0"/>
        <v>43965.120000000003</v>
      </c>
      <c r="R14" s="533"/>
      <c r="S14"/>
      <c r="T14"/>
    </row>
    <row r="15" spans="1:20">
      <c r="A15" s="532" t="s">
        <v>364</v>
      </c>
      <c r="B15" s="533"/>
      <c r="C15" s="533"/>
      <c r="D15" s="533"/>
      <c r="E15" s="533"/>
      <c r="F15" s="533">
        <v>61191.176464999997</v>
      </c>
      <c r="G15" s="533">
        <v>159097.05880900001</v>
      </c>
      <c r="H15" s="533"/>
      <c r="I15" s="533"/>
      <c r="J15" s="533">
        <v>24476.470585999999</v>
      </c>
      <c r="K15" s="533"/>
      <c r="L15" s="533"/>
      <c r="M15" s="533"/>
      <c r="N15" s="533"/>
      <c r="O15" s="533"/>
      <c r="P15" s="533">
        <v>244764.70586000002</v>
      </c>
      <c r="Q15" s="533">
        <f t="shared" si="0"/>
        <v>244764.70586000002</v>
      </c>
      <c r="R15"/>
      <c r="S15"/>
      <c r="T15"/>
    </row>
    <row r="16" spans="1:20">
      <c r="A16" s="532" t="s">
        <v>367</v>
      </c>
      <c r="B16" s="533">
        <v>0</v>
      </c>
      <c r="C16" s="533">
        <v>0</v>
      </c>
      <c r="D16" s="533"/>
      <c r="E16" s="533"/>
      <c r="F16" s="533">
        <v>9902.8896483886947</v>
      </c>
      <c r="G16" s="533">
        <v>30709.668233000004</v>
      </c>
      <c r="H16" s="533"/>
      <c r="I16" s="533"/>
      <c r="J16" s="533">
        <v>4512.5058820000004</v>
      </c>
      <c r="K16" s="533"/>
      <c r="L16" s="533"/>
      <c r="M16" s="533"/>
      <c r="N16" s="533"/>
      <c r="O16" s="533"/>
      <c r="P16" s="533">
        <v>45125.063763388694</v>
      </c>
      <c r="Q16" s="533">
        <f t="shared" si="0"/>
        <v>45125.063763388694</v>
      </c>
      <c r="R16"/>
      <c r="S16"/>
      <c r="T16"/>
    </row>
    <row r="17" spans="1:20">
      <c r="A17" s="532" t="s">
        <v>371</v>
      </c>
      <c r="B17" s="533">
        <v>0</v>
      </c>
      <c r="C17" s="533"/>
      <c r="D17" s="533"/>
      <c r="E17" s="533">
        <v>11462.155675412685</v>
      </c>
      <c r="F17" s="533"/>
      <c r="G17" s="533"/>
      <c r="H17" s="533">
        <v>93243.728137239988</v>
      </c>
      <c r="I17" s="533"/>
      <c r="J17" s="533"/>
      <c r="K17" s="533"/>
      <c r="L17" s="533"/>
      <c r="M17" s="533"/>
      <c r="N17" s="533"/>
      <c r="O17" s="533"/>
      <c r="P17" s="533">
        <v>104705.88381265267</v>
      </c>
      <c r="Q17" s="533">
        <f t="shared" si="0"/>
        <v>93243.728137239988</v>
      </c>
      <c r="R17"/>
      <c r="S17"/>
      <c r="T17"/>
    </row>
    <row r="18" spans="1:20">
      <c r="A18" s="532" t="s">
        <v>384</v>
      </c>
      <c r="B18" s="533"/>
      <c r="C18" s="533"/>
      <c r="D18" s="533"/>
      <c r="E18" s="533"/>
      <c r="F18" s="533"/>
      <c r="G18" s="533"/>
      <c r="H18" s="533">
        <v>185736.99650000001</v>
      </c>
      <c r="I18" s="533"/>
      <c r="J18" s="533"/>
      <c r="K18" s="533"/>
      <c r="L18" s="533"/>
      <c r="M18" s="533"/>
      <c r="N18" s="533"/>
      <c r="O18" s="533"/>
      <c r="P18" s="533">
        <v>185736.99650000001</v>
      </c>
      <c r="Q18" s="533">
        <f t="shared" si="0"/>
        <v>185736.99650000001</v>
      </c>
      <c r="R18"/>
      <c r="S18"/>
      <c r="T18"/>
    </row>
    <row r="19" spans="1:20">
      <c r="A19" s="532" t="s">
        <v>395</v>
      </c>
      <c r="B19" s="533"/>
      <c r="C19" s="533"/>
      <c r="D19" s="533"/>
      <c r="E19" s="533">
        <v>1000.1896209783999</v>
      </c>
      <c r="F19" s="533">
        <v>1154.7592974415215</v>
      </c>
      <c r="G19" s="533">
        <v>1393.1129142396371</v>
      </c>
      <c r="H19" s="533">
        <v>0</v>
      </c>
      <c r="I19" s="533"/>
      <c r="J19" s="533">
        <v>654.7688386803319</v>
      </c>
      <c r="K19" s="533">
        <v>697.46059172083278</v>
      </c>
      <c r="L19" s="533"/>
      <c r="M19" s="533"/>
      <c r="N19" s="533"/>
      <c r="O19" s="533"/>
      <c r="P19" s="533">
        <v>4900.2912630607234</v>
      </c>
      <c r="Q19" s="533">
        <f t="shared" si="0"/>
        <v>3900.1016420823235</v>
      </c>
      <c r="R19"/>
      <c r="S19"/>
      <c r="T19"/>
    </row>
    <row r="20" spans="1:20">
      <c r="A20" s="532" t="s">
        <v>398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>
        <f t="shared" si="0"/>
        <v>0</v>
      </c>
      <c r="R20"/>
      <c r="S20"/>
      <c r="T20"/>
    </row>
    <row r="21" spans="1:20">
      <c r="A21" s="532" t="s">
        <v>425</v>
      </c>
      <c r="B21" s="533">
        <v>0</v>
      </c>
      <c r="C21" s="533">
        <v>0</v>
      </c>
      <c r="D21" s="533">
        <v>792853.43022606324</v>
      </c>
      <c r="E21" s="533">
        <v>55191.910019255542</v>
      </c>
      <c r="F21" s="533">
        <v>535671.93903123343</v>
      </c>
      <c r="G21" s="533">
        <v>679962.51815846714</v>
      </c>
      <c r="H21" s="533">
        <v>370357.29151234595</v>
      </c>
      <c r="I21" s="533">
        <v>0</v>
      </c>
      <c r="J21" s="533">
        <v>71308.847506062084</v>
      </c>
      <c r="K21" s="533">
        <v>697.46059172083278</v>
      </c>
      <c r="L21" s="533">
        <v>139.85</v>
      </c>
      <c r="M21" s="533"/>
      <c r="N21" s="533"/>
      <c r="O21" s="533"/>
      <c r="P21" s="533">
        <v>2506183.2470451477</v>
      </c>
      <c r="Q21" s="533">
        <f>SUM(Q8:Q20)</f>
        <v>1658137.9067998293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f>SUM(D21:E21)</f>
        <v>848045.34024531883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workbookViewId="0">
      <selection activeCell="M7" sqref="M7"/>
    </sheetView>
  </sheetViews>
  <sheetFormatPr defaultColWidth="8.28515625" defaultRowHeight="14.45"/>
  <cols>
    <col min="1" max="1" width="21.7109375" bestFit="1" customWidth="1"/>
    <col min="2" max="2" width="17.28515625" style="623" bestFit="1" customWidth="1"/>
    <col min="3" max="4" width="13" style="623" bestFit="1" customWidth="1"/>
    <col min="5" max="5" width="12" style="623" bestFit="1" customWidth="1"/>
    <col min="6" max="8" width="13.28515625" style="623" bestFit="1" customWidth="1"/>
    <col min="9" max="9" width="12.140625" style="623" bestFit="1" customWidth="1"/>
    <col min="10" max="10" width="12" bestFit="1" customWidth="1"/>
    <col min="11" max="11" width="10.5703125" bestFit="1" customWidth="1"/>
    <col min="12" max="12" width="10.85546875" bestFit="1" customWidth="1"/>
    <col min="13" max="13" width="12" bestFit="1" customWidth="1"/>
    <col min="14" max="14" width="10.85546875" bestFit="1" customWidth="1"/>
    <col min="15" max="15" width="12" bestFit="1" customWidth="1"/>
    <col min="16" max="16" width="11" bestFit="1" customWidth="1"/>
    <col min="17" max="17" width="14.85546875" bestFit="1" customWidth="1"/>
    <col min="18" max="18" width="15" bestFit="1" customWidth="1"/>
    <col min="19" max="19" width="13.28515625" bestFit="1" customWidth="1"/>
  </cols>
  <sheetData>
    <row r="3" spans="1:18">
      <c r="A3" s="531" t="s">
        <v>426</v>
      </c>
      <c r="B3" s="531" t="s">
        <v>422</v>
      </c>
      <c r="C3"/>
      <c r="D3"/>
      <c r="E3"/>
      <c r="F3"/>
      <c r="G3"/>
      <c r="H3"/>
      <c r="I3"/>
    </row>
    <row r="4" spans="1:18">
      <c r="A4" s="531" t="s">
        <v>423</v>
      </c>
      <c r="B4" t="s">
        <v>424</v>
      </c>
      <c r="C4"/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45777</v>
      </c>
      <c r="M4" s="636">
        <v>45808</v>
      </c>
      <c r="N4" s="636">
        <v>45869</v>
      </c>
      <c r="O4" s="636">
        <v>45900</v>
      </c>
      <c r="P4" s="636">
        <v>46053</v>
      </c>
      <c r="Q4" t="s">
        <v>425</v>
      </c>
    </row>
    <row r="5" spans="1:18">
      <c r="A5" s="532" t="s">
        <v>343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  <c r="Q5" s="637"/>
    </row>
    <row r="6" spans="1:18">
      <c r="A6" s="532" t="s">
        <v>378</v>
      </c>
      <c r="B6" s="637"/>
      <c r="C6" s="637"/>
      <c r="D6" s="637"/>
      <c r="E6" s="637">
        <v>31521.67</v>
      </c>
      <c r="F6" s="637"/>
      <c r="G6" s="637"/>
      <c r="H6" s="637">
        <v>31521.67</v>
      </c>
      <c r="I6" s="637"/>
      <c r="J6" s="637"/>
      <c r="K6" s="637"/>
      <c r="L6" s="637"/>
      <c r="M6" s="637"/>
      <c r="N6" s="637"/>
      <c r="O6" s="637"/>
      <c r="P6" s="637"/>
      <c r="Q6" s="637">
        <v>63043.34</v>
      </c>
    </row>
    <row r="7" spans="1:18">
      <c r="A7" s="532" t="s">
        <v>424</v>
      </c>
      <c r="B7" s="637"/>
      <c r="C7" s="637"/>
      <c r="D7" s="637"/>
      <c r="E7" s="637"/>
      <c r="F7" s="637"/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/>
    </row>
    <row r="8" spans="1:18">
      <c r="A8" s="532" t="s">
        <v>242</v>
      </c>
      <c r="B8" s="637"/>
      <c r="C8" s="637"/>
      <c r="D8" s="637">
        <v>636862.5</v>
      </c>
      <c r="E8" s="637"/>
      <c r="F8" s="637"/>
      <c r="G8" s="637">
        <v>10903</v>
      </c>
      <c r="H8" s="637"/>
      <c r="I8" s="637"/>
      <c r="J8" s="637"/>
      <c r="K8" s="637"/>
      <c r="L8" s="637"/>
      <c r="M8" s="637"/>
      <c r="N8" s="637"/>
      <c r="O8" s="637"/>
      <c r="P8" s="637"/>
      <c r="Q8" s="637">
        <v>647765.5</v>
      </c>
    </row>
    <row r="9" spans="1:18">
      <c r="A9" s="532" t="s">
        <v>263</v>
      </c>
      <c r="B9" s="637"/>
      <c r="C9" s="637"/>
      <c r="D9" s="637"/>
      <c r="E9" s="637"/>
      <c r="F9" s="637">
        <v>138845.23000000001</v>
      </c>
      <c r="G9" s="637"/>
      <c r="H9" s="637"/>
      <c r="I9" s="637"/>
      <c r="J9" s="637"/>
      <c r="K9" s="637"/>
      <c r="L9" s="637"/>
      <c r="M9" s="637"/>
      <c r="N9" s="637"/>
      <c r="O9" s="637"/>
      <c r="P9" s="637"/>
      <c r="Q9" s="637">
        <v>138845.23000000001</v>
      </c>
    </row>
    <row r="10" spans="1:18">
      <c r="A10" s="532" t="s">
        <v>270</v>
      </c>
      <c r="B10" s="637"/>
      <c r="C10" s="637"/>
      <c r="D10" s="637"/>
      <c r="E10" s="637"/>
      <c r="F10" s="637">
        <v>58349.4</v>
      </c>
      <c r="G10" s="637">
        <v>427.86</v>
      </c>
      <c r="H10" s="637">
        <v>123417.32</v>
      </c>
      <c r="I10" s="637">
        <v>-12270.36</v>
      </c>
      <c r="J10" s="637"/>
      <c r="K10" s="637"/>
      <c r="L10" s="637"/>
      <c r="M10" s="637"/>
      <c r="N10" s="637"/>
      <c r="O10" s="637"/>
      <c r="P10" s="637"/>
      <c r="Q10" s="637">
        <v>169924.22000000003</v>
      </c>
    </row>
    <row r="11" spans="1:18">
      <c r="A11" s="532" t="s">
        <v>288</v>
      </c>
      <c r="B11" s="637">
        <v>0</v>
      </c>
      <c r="C11" s="637"/>
      <c r="D11" s="637"/>
      <c r="E11" s="637"/>
      <c r="F11" s="637">
        <v>33562.5</v>
      </c>
      <c r="G11" s="637">
        <v>195262.5</v>
      </c>
      <c r="H11" s="637"/>
      <c r="I11" s="637"/>
      <c r="J11" s="637">
        <v>13425</v>
      </c>
      <c r="K11" s="637"/>
      <c r="L11" s="637"/>
      <c r="M11" s="637"/>
      <c r="N11" s="637"/>
      <c r="O11" s="637"/>
      <c r="P11" s="637"/>
      <c r="Q11" s="637">
        <v>242250</v>
      </c>
    </row>
    <row r="12" spans="1:18">
      <c r="A12" s="532" t="s">
        <v>320</v>
      </c>
      <c r="B12" s="637"/>
      <c r="C12" s="637"/>
      <c r="D12" s="637"/>
      <c r="E12" s="637">
        <v>57720.5</v>
      </c>
      <c r="F12" s="637"/>
      <c r="G12" s="637">
        <v>2562.5099999999998</v>
      </c>
      <c r="H12" s="637">
        <v>11169</v>
      </c>
      <c r="I12" s="637"/>
      <c r="J12" s="637"/>
      <c r="K12" s="637"/>
      <c r="L12" s="637"/>
      <c r="M12" s="637"/>
      <c r="N12" s="637"/>
      <c r="O12" s="637"/>
      <c r="P12" s="637"/>
      <c r="Q12" s="637">
        <v>71452.010000000009</v>
      </c>
    </row>
    <row r="13" spans="1:18">
      <c r="A13" s="532" t="s">
        <v>333</v>
      </c>
      <c r="B13" s="637">
        <v>0</v>
      </c>
      <c r="C13" s="637"/>
      <c r="D13" s="637"/>
      <c r="E13" s="637"/>
      <c r="F13" s="637">
        <v>62962.5</v>
      </c>
      <c r="G13" s="637">
        <v>134795.79999999999</v>
      </c>
      <c r="H13" s="637"/>
      <c r="I13" s="637"/>
      <c r="J13" s="637">
        <v>14673.2</v>
      </c>
      <c r="K13" s="637"/>
      <c r="L13" s="637"/>
      <c r="M13" s="637">
        <v>432.1</v>
      </c>
      <c r="N13" s="637"/>
      <c r="O13" s="637"/>
      <c r="P13" s="637"/>
      <c r="Q13" s="637">
        <v>212863.6</v>
      </c>
    </row>
    <row r="14" spans="1:18">
      <c r="A14" s="532" t="s">
        <v>345</v>
      </c>
      <c r="B14" s="637"/>
      <c r="C14" s="637"/>
      <c r="D14" s="637"/>
      <c r="E14" s="637"/>
      <c r="F14" s="637"/>
      <c r="G14" s="637">
        <v>140874.78</v>
      </c>
      <c r="H14" s="637"/>
      <c r="I14" s="637"/>
      <c r="J14" s="637">
        <v>8316</v>
      </c>
      <c r="K14" s="637"/>
      <c r="L14" s="637"/>
      <c r="M14" s="637"/>
      <c r="N14" s="637"/>
      <c r="O14" s="637">
        <v>9538.74</v>
      </c>
      <c r="P14" s="637"/>
      <c r="Q14" s="637">
        <v>158729.51999999999</v>
      </c>
      <c r="R14" s="637"/>
    </row>
    <row r="15" spans="1:18">
      <c r="A15" s="532" t="s">
        <v>364</v>
      </c>
      <c r="B15" s="637"/>
      <c r="C15" s="637"/>
      <c r="D15" s="637"/>
      <c r="E15" s="637"/>
      <c r="F15" s="637">
        <v>43753.45</v>
      </c>
      <c r="G15" s="637">
        <v>113758.97</v>
      </c>
      <c r="H15" s="637"/>
      <c r="I15" s="637"/>
      <c r="J15" s="637">
        <v>17501.38</v>
      </c>
      <c r="K15" s="637"/>
      <c r="L15" s="637"/>
      <c r="M15" s="637"/>
      <c r="N15" s="637"/>
      <c r="O15" s="637"/>
      <c r="P15" s="637"/>
      <c r="Q15" s="637">
        <v>175013.8</v>
      </c>
    </row>
    <row r="16" spans="1:18">
      <c r="A16" s="532" t="s">
        <v>367</v>
      </c>
      <c r="B16" s="637"/>
      <c r="C16" s="637"/>
      <c r="D16" s="637"/>
      <c r="E16" s="637"/>
      <c r="F16" s="637">
        <v>26941.75</v>
      </c>
      <c r="G16" s="637">
        <v>70048.55</v>
      </c>
      <c r="H16" s="637"/>
      <c r="I16" s="637"/>
      <c r="J16" s="637">
        <v>10776.7</v>
      </c>
      <c r="K16" s="637"/>
      <c r="L16" s="637"/>
      <c r="M16" s="637"/>
      <c r="N16" s="637"/>
      <c r="O16" s="637"/>
      <c r="P16" s="637"/>
      <c r="Q16" s="637">
        <v>107767</v>
      </c>
    </row>
    <row r="17" spans="1:17">
      <c r="A17" s="532" t="s">
        <v>371</v>
      </c>
      <c r="B17" s="637"/>
      <c r="C17" s="637"/>
      <c r="D17" s="637"/>
      <c r="E17" s="637">
        <v>2520</v>
      </c>
      <c r="F17" s="637"/>
      <c r="G17" s="637"/>
      <c r="H17" s="637">
        <v>11654.76</v>
      </c>
      <c r="I17" s="637"/>
      <c r="J17" s="637"/>
      <c r="K17" s="637"/>
      <c r="L17" s="637"/>
      <c r="M17" s="637"/>
      <c r="N17" s="637"/>
      <c r="O17" s="637"/>
      <c r="P17" s="637"/>
      <c r="Q17" s="637">
        <v>14174.76</v>
      </c>
    </row>
    <row r="18" spans="1:17">
      <c r="A18" s="532" t="s">
        <v>384</v>
      </c>
      <c r="B18" s="637"/>
      <c r="C18" s="637"/>
      <c r="D18" s="637"/>
      <c r="E18" s="637"/>
      <c r="F18" s="637"/>
      <c r="G18" s="637"/>
      <c r="H18" s="637">
        <v>30778.237542348252</v>
      </c>
      <c r="I18" s="637"/>
      <c r="J18" s="637"/>
      <c r="K18" s="637"/>
      <c r="L18" s="637"/>
      <c r="M18" s="637"/>
      <c r="N18" s="637"/>
      <c r="O18" s="637">
        <v>31621.762457651748</v>
      </c>
      <c r="P18" s="637"/>
      <c r="Q18" s="637">
        <v>62400</v>
      </c>
    </row>
    <row r="19" spans="1:17">
      <c r="A19" s="532" t="s">
        <v>395</v>
      </c>
      <c r="B19" s="637"/>
      <c r="C19" s="637"/>
      <c r="D19" s="637"/>
      <c r="E19" s="637">
        <v>1522.75</v>
      </c>
      <c r="F19" s="637">
        <v>1570.97</v>
      </c>
      <c r="G19" s="637">
        <v>1671</v>
      </c>
      <c r="H19" s="637">
        <v>0</v>
      </c>
      <c r="I19" s="637"/>
      <c r="J19" s="637">
        <v>1109.72</v>
      </c>
      <c r="K19" s="637">
        <v>423.22</v>
      </c>
      <c r="L19" s="637">
        <v>1087.98</v>
      </c>
      <c r="M19" s="637"/>
      <c r="N19" s="637"/>
      <c r="O19" s="637"/>
      <c r="P19" s="637"/>
      <c r="Q19" s="637">
        <v>7385.6400000000012</v>
      </c>
    </row>
    <row r="20" spans="1:17">
      <c r="A20" s="532" t="s">
        <v>398</v>
      </c>
      <c r="B20" s="637"/>
      <c r="C20" s="637"/>
      <c r="D20" s="637"/>
      <c r="E20" s="637"/>
      <c r="F20" s="637"/>
      <c r="G20" s="637"/>
      <c r="H20" s="637"/>
      <c r="I20" s="637"/>
      <c r="J20" s="637"/>
      <c r="K20" s="637"/>
      <c r="L20" s="637"/>
      <c r="M20" s="637">
        <v>32247.49</v>
      </c>
      <c r="N20" s="637">
        <v>9731.7099999999991</v>
      </c>
      <c r="O20" s="637"/>
      <c r="P20" s="637">
        <v>-9731.7099999999991</v>
      </c>
      <c r="Q20" s="637">
        <v>32247.489999999998</v>
      </c>
    </row>
    <row r="21" spans="1:17">
      <c r="A21" s="532" t="s">
        <v>425</v>
      </c>
      <c r="B21" s="637">
        <v>0</v>
      </c>
      <c r="C21" s="637"/>
      <c r="D21" s="637">
        <v>636862.5</v>
      </c>
      <c r="E21" s="637">
        <v>93284.92</v>
      </c>
      <c r="F21" s="637">
        <v>365985.8</v>
      </c>
      <c r="G21" s="637">
        <v>670304.97</v>
      </c>
      <c r="H21" s="637">
        <v>208540.98754234824</v>
      </c>
      <c r="I21" s="637">
        <v>-12270.36</v>
      </c>
      <c r="J21" s="637">
        <v>65802</v>
      </c>
      <c r="K21" s="637">
        <v>423.22</v>
      </c>
      <c r="L21" s="637">
        <v>1087.98</v>
      </c>
      <c r="M21" s="637">
        <v>32679.59</v>
      </c>
      <c r="N21" s="637">
        <v>9731.7099999999991</v>
      </c>
      <c r="O21" s="637">
        <v>41160.502457651746</v>
      </c>
      <c r="P21" s="637">
        <v>-9731.7099999999991</v>
      </c>
      <c r="Q21" s="637">
        <v>2103862.1100000003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1" t="s">
        <v>427</v>
      </c>
    </row>
    <row r="2" spans="1:4">
      <c r="A2" s="983"/>
      <c r="B2" s="983"/>
      <c r="C2" s="983"/>
      <c r="D2" s="71"/>
    </row>
    <row r="3" spans="1:4">
      <c r="A3" s="982" t="s">
        <v>428</v>
      </c>
      <c r="B3" s="982"/>
      <c r="C3" s="982"/>
      <c r="D3" s="112">
        <v>0.32</v>
      </c>
    </row>
    <row r="4" spans="1:4">
      <c r="A4" s="982" t="s">
        <v>429</v>
      </c>
      <c r="B4" s="982"/>
      <c r="C4" s="982"/>
      <c r="D4" s="112">
        <v>0.5</v>
      </c>
    </row>
    <row r="5" spans="1:4">
      <c r="A5" s="982" t="s">
        <v>430</v>
      </c>
      <c r="B5" s="982"/>
      <c r="C5" s="982"/>
      <c r="D5" s="112">
        <v>0.15</v>
      </c>
    </row>
    <row r="6" spans="1:4">
      <c r="A6" s="982" t="s">
        <v>431</v>
      </c>
      <c r="B6" s="982"/>
      <c r="C6" s="98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" style="88" bestFit="1" customWidth="1"/>
    <col min="9" max="9" width="6.28515625" style="88" customWidth="1"/>
    <col min="10" max="10" width="13.5703125" style="88" bestFit="1" customWidth="1"/>
    <col min="11" max="11" width="2.28515625" style="88" customWidth="1"/>
    <col min="12" max="12" width="14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8">
      <c r="B2" s="984" t="s">
        <v>432</v>
      </c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</row>
    <row r="4" spans="2:14" ht="12.95">
      <c r="B4" s="92" t="s">
        <v>433</v>
      </c>
      <c r="C4" s="86"/>
      <c r="D4" s="90" t="s">
        <v>434</v>
      </c>
      <c r="E4" s="95"/>
      <c r="F4" s="90" t="s">
        <v>435</v>
      </c>
      <c r="H4" s="90" t="s">
        <v>436</v>
      </c>
      <c r="I4" s="95"/>
      <c r="J4" s="90" t="s">
        <v>437</v>
      </c>
      <c r="L4" s="90" t="s">
        <v>436</v>
      </c>
      <c r="M4" s="90"/>
      <c r="N4" s="90" t="s">
        <v>438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439</v>
      </c>
      <c r="H7" s="99"/>
      <c r="I7" s="95"/>
      <c r="J7" s="107" t="s">
        <v>439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261</v>
      </c>
      <c r="C9" s="92"/>
      <c r="D9" s="90">
        <f>SUM(D10:D11)</f>
        <v>157796</v>
      </c>
      <c r="E9" s="95"/>
      <c r="F9" s="90">
        <f>SUM(F10:F13)</f>
        <v>0</v>
      </c>
      <c r="H9" s="106">
        <f>$D$9-F9</f>
        <v>157796</v>
      </c>
      <c r="I9" s="95"/>
      <c r="J9" s="90">
        <f>SUM(J10:J13)</f>
        <v>0</v>
      </c>
      <c r="L9" s="106">
        <f>$D$9-J9</f>
        <v>157796</v>
      </c>
      <c r="M9" s="106"/>
    </row>
    <row r="10" spans="2:14" ht="12.95">
      <c r="B10" s="108" t="s">
        <v>261</v>
      </c>
      <c r="C10" s="86"/>
      <c r="D10" s="89">
        <f>'Expenditure Breakdown'!G13</f>
        <v>157796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440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439</v>
      </c>
      <c r="H15" s="99"/>
      <c r="I15" s="95"/>
      <c r="J15" s="107" t="s">
        <v>439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443</v>
      </c>
      <c r="C17" s="92"/>
      <c r="D17" s="90">
        <f>SUM(D18:D19)</f>
        <v>99864</v>
      </c>
      <c r="E17" s="95"/>
      <c r="F17" s="90">
        <f>SUM(F18:F20)</f>
        <v>0</v>
      </c>
      <c r="H17" s="106">
        <f>$D$17- F17</f>
        <v>99864</v>
      </c>
      <c r="I17" s="95"/>
      <c r="J17" s="90">
        <f>SUM(J18:J20)</f>
        <v>0</v>
      </c>
      <c r="L17" s="106">
        <f>$D$17- J17</f>
        <v>99864</v>
      </c>
      <c r="M17" s="106"/>
    </row>
    <row r="18" spans="2:13">
      <c r="B18" s="108" t="s">
        <v>443</v>
      </c>
      <c r="C18" s="86"/>
      <c r="D18" s="89">
        <f>'Expenditure Breakdown'!G18</f>
        <v>99864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439</v>
      </c>
      <c r="H21" s="99"/>
      <c r="I21" s="95"/>
      <c r="J21" s="107" t="s">
        <v>439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444</v>
      </c>
      <c r="C23" s="92"/>
      <c r="D23" s="90">
        <f>SUM(D24:D25)</f>
        <v>98128</v>
      </c>
      <c r="E23" s="95"/>
      <c r="F23" s="90">
        <f>SUM(F24:F25)</f>
        <v>0</v>
      </c>
      <c r="H23" s="106">
        <f>$D$23- F23</f>
        <v>98128</v>
      </c>
      <c r="I23" s="95"/>
      <c r="J23" s="90">
        <f>SUM(J24:J25)</f>
        <v>0</v>
      </c>
      <c r="L23" s="106">
        <f>$D$23- J23</f>
        <v>98128</v>
      </c>
      <c r="M23" s="106"/>
    </row>
    <row r="24" spans="2:13">
      <c r="B24" s="108" t="s">
        <v>444</v>
      </c>
      <c r="C24" s="86"/>
      <c r="D24" s="89">
        <f>'Expenditure Breakdown'!G26</f>
        <v>98128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439</v>
      </c>
      <c r="H27" s="99"/>
      <c r="I27" s="95"/>
      <c r="J27" s="107" t="s">
        <v>439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Breakdown'!D37</f>
        <v>Smartlogger 3000</v>
      </c>
      <c r="C30" s="86"/>
      <c r="D30" s="89">
        <f>'Expenditure Breakdown'!G37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439</v>
      </c>
      <c r="H34" s="99"/>
      <c r="I34" s="95"/>
      <c r="J34" s="107" t="s">
        <v>439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>
        <f>'Expenditure Breakdown'!G68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28515625" style="88" bestFit="1" customWidth="1"/>
    <col min="9" max="9" width="2" style="88" customWidth="1"/>
    <col min="10" max="10" width="14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85546875" style="88" customWidth="1"/>
    <col min="15" max="15" width="14" style="88" bestFit="1" customWidth="1"/>
    <col min="16" max="16384" width="9.28515625" style="88"/>
  </cols>
  <sheetData>
    <row r="2" spans="2:15" s="94" customFormat="1" ht="18">
      <c r="B2" s="984" t="s">
        <v>453</v>
      </c>
      <c r="C2" s="984"/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</row>
    <row r="4" spans="2:15" ht="12.95">
      <c r="B4" s="92" t="s">
        <v>433</v>
      </c>
      <c r="C4" s="86"/>
      <c r="D4" s="90" t="s">
        <v>434</v>
      </c>
      <c r="E4" s="95"/>
      <c r="F4" s="95"/>
      <c r="G4" s="90" t="s">
        <v>454</v>
      </c>
      <c r="H4" s="96"/>
      <c r="J4" s="90" t="s">
        <v>436</v>
      </c>
      <c r="L4" s="90" t="s">
        <v>455</v>
      </c>
      <c r="M4" s="96"/>
      <c r="O4" s="90" t="s">
        <v>436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251</v>
      </c>
      <c r="C6" s="86"/>
      <c r="D6" s="89">
        <f>'Expenditure Breakdown'!AB8</f>
        <v>304429.82</v>
      </c>
      <c r="E6" s="95">
        <f>D6/(1000*'Project Plan'!$E$3)</f>
        <v>1.2177192800000001</v>
      </c>
      <c r="F6" s="95"/>
      <c r="G6" s="89">
        <v>277892.90999999997</v>
      </c>
      <c r="H6" s="96">
        <f>G6/('Project Plan'!$E$3*1000)</f>
        <v>1.11157164</v>
      </c>
      <c r="J6" s="99">
        <f>D6-G6</f>
        <v>26536.910000000033</v>
      </c>
      <c r="L6" s="89"/>
      <c r="M6" s="96">
        <f>L6/('Project Plan'!$E$3*1000)</f>
        <v>0</v>
      </c>
      <c r="O6" s="99">
        <f>D6-L6</f>
        <v>304429.82</v>
      </c>
    </row>
    <row r="7" spans="2:15" ht="12.95">
      <c r="B7" s="86" t="s">
        <v>254</v>
      </c>
      <c r="C7" s="86"/>
      <c r="D7" s="89">
        <f>'Expenditure Breakdown'!AB9</f>
        <v>116936.3</v>
      </c>
      <c r="E7" s="95">
        <f>D7/(1000*'Project Plan'!$E$3)</f>
        <v>0.46774520000000003</v>
      </c>
      <c r="F7" s="95"/>
      <c r="G7" s="89">
        <v>142158.25</v>
      </c>
      <c r="H7" s="96">
        <f>G7/('Project Plan'!$E$3*1000)</f>
        <v>0.56863300000000006</v>
      </c>
      <c r="J7" s="99">
        <f t="shared" ref="J7:J12" si="0">D7-G7</f>
        <v>-25221.949999999997</v>
      </c>
      <c r="L7" s="89"/>
      <c r="M7" s="96">
        <f>L7/('Project Plan'!$E$3*1000)</f>
        <v>0</v>
      </c>
      <c r="O7" s="99">
        <f t="shared" ref="O7:O12" si="1">D7-L7</f>
        <v>116936.3</v>
      </c>
    </row>
    <row r="8" spans="2:15" ht="12.95">
      <c r="B8" s="86" t="s">
        <v>256</v>
      </c>
      <c r="C8" s="86"/>
      <c r="D8" s="89">
        <f>'Expenditure Breakdown'!AB10</f>
        <v>145635</v>
      </c>
      <c r="E8" s="95">
        <f>D8/(1000*'Project Plan'!$E$3)</f>
        <v>0.58253999999999995</v>
      </c>
      <c r="F8" s="95"/>
      <c r="G8" s="89">
        <v>96174</v>
      </c>
      <c r="H8" s="96">
        <f>G8/('Project Plan'!$E$3*1000)</f>
        <v>0.38469599999999998</v>
      </c>
      <c r="J8" s="99">
        <f t="shared" si="0"/>
        <v>49461</v>
      </c>
      <c r="L8" s="89"/>
      <c r="M8" s="96">
        <f>L8/('Project Plan'!$E$3*1000)</f>
        <v>0</v>
      </c>
      <c r="O8" s="99">
        <f t="shared" si="1"/>
        <v>145635</v>
      </c>
    </row>
    <row r="9" spans="2:15" ht="12.95">
      <c r="B9" s="86" t="s">
        <v>258</v>
      </c>
      <c r="C9" s="86"/>
      <c r="D9" s="89">
        <f>'Expenditure Breakdown'!AB11</f>
        <v>62415</v>
      </c>
      <c r="E9" s="95">
        <f>D9/(1000*'Project Plan'!$E$3)</f>
        <v>0.24965999999999999</v>
      </c>
      <c r="F9" s="95"/>
      <c r="G9" s="89">
        <v>230160</v>
      </c>
      <c r="H9" s="96">
        <f>G9/('Project Plan'!$E$3*1000)</f>
        <v>0.92064000000000001</v>
      </c>
      <c r="J9" s="99">
        <f t="shared" si="0"/>
        <v>-167745</v>
      </c>
      <c r="L9" s="89"/>
      <c r="M9" s="96">
        <f>L9/('Project Plan'!$E$3*1000)</f>
        <v>0</v>
      </c>
      <c r="O9" s="99">
        <f t="shared" si="1"/>
        <v>62415</v>
      </c>
    </row>
    <row r="10" spans="2:15">
      <c r="B10" s="86" t="s">
        <v>260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456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266</v>
      </c>
      <c r="C13" s="86"/>
      <c r="D13" s="89">
        <f>'Expenditure Breakdown'!AB15</f>
        <v>29856.3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451</v>
      </c>
      <c r="C15" s="92"/>
      <c r="D15" s="90">
        <f>SUM(D6:D13)</f>
        <v>667772.42000000004</v>
      </c>
      <c r="E15" s="95"/>
      <c r="F15" s="95"/>
      <c r="G15" s="90">
        <f>SUM(G6:G13)</f>
        <v>775642.7699999999</v>
      </c>
      <c r="H15" s="96"/>
      <c r="J15" s="101">
        <f>SUM(J6:J14)</f>
        <v>-137726.64999999997</v>
      </c>
      <c r="L15" s="90">
        <f>SUM(L6:L13)</f>
        <v>0</v>
      </c>
      <c r="M15" s="96"/>
      <c r="O15" s="101">
        <f>SUM(O6:O14)</f>
        <v>637916.12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433</v>
      </c>
      <c r="C18" s="86"/>
      <c r="D18" s="90" t="s">
        <v>434</v>
      </c>
      <c r="E18" s="95"/>
      <c r="F18" s="95"/>
      <c r="G18" s="90" t="s">
        <v>457</v>
      </c>
      <c r="H18" s="96"/>
      <c r="J18" s="90" t="s">
        <v>436</v>
      </c>
      <c r="L18" s="90" t="s">
        <v>458</v>
      </c>
      <c r="M18" s="96"/>
      <c r="O18" s="90" t="s">
        <v>436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459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304429.82</v>
      </c>
    </row>
    <row r="21" spans="2:15" ht="12.95">
      <c r="B21" s="86" t="s">
        <v>460</v>
      </c>
      <c r="C21" s="86"/>
      <c r="D21" s="89">
        <f>'Expenditure Breakdown'!C57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116936.3</v>
      </c>
    </row>
    <row r="22" spans="2:15" ht="12.95">
      <c r="B22" s="86" t="s">
        <v>461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145635</v>
      </c>
    </row>
    <row r="23" spans="2:15" ht="12.95">
      <c r="B23" s="86" t="s">
        <v>462</v>
      </c>
      <c r="C23" s="86"/>
      <c r="D23" s="89">
        <f>SUM('Expenditure Breakdown'!G33:G34)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62415</v>
      </c>
    </row>
    <row r="24" spans="2:15">
      <c r="B24" s="86" t="s">
        <v>255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463</v>
      </c>
      <c r="C25" s="86"/>
      <c r="D25" s="89">
        <f>SUM('Expenditure Breakdown'!G86:G97)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260</v>
      </c>
      <c r="C26" s="86"/>
      <c r="D26" s="89">
        <f>'Expenditure Breakdown'!G99</f>
        <v>29856.3</v>
      </c>
      <c r="E26" s="98"/>
      <c r="F26" s="98"/>
      <c r="G26" s="89"/>
      <c r="H26" s="91"/>
      <c r="J26" s="99">
        <f t="shared" si="2"/>
        <v>29856.3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637916.12</v>
      </c>
    </row>
    <row r="32" spans="2:15" ht="13.5" thickBot="1">
      <c r="B32" s="102" t="s">
        <v>464</v>
      </c>
      <c r="C32" s="103"/>
      <c r="D32" s="103"/>
    </row>
    <row r="33" spans="2:4" ht="12.95" thickTop="1"/>
    <row r="34" spans="2:4">
      <c r="B34" s="88" t="s">
        <v>434</v>
      </c>
      <c r="D34" s="99">
        <f>D15</f>
        <v>667772.42000000004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667772.42000000004</v>
      </c>
    </row>
    <row r="41" spans="2:4" ht="12.95">
      <c r="B41" s="105"/>
      <c r="C41" s="105"/>
      <c r="D41" s="106"/>
    </row>
    <row r="42" spans="2:4">
      <c r="B42" s="86" t="s">
        <v>465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85546875" customWidth="1"/>
    <col min="2" max="2" width="8.28515625" bestFit="1" customWidth="1"/>
    <col min="3" max="3" width="4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986" t="str">
        <f>D15</f>
        <v>SA Metal - 22 Christiaan</v>
      </c>
      <c r="C1" s="986"/>
      <c r="D1" s="986"/>
      <c r="E1" s="985" t="s">
        <v>466</v>
      </c>
      <c r="F1" s="985"/>
      <c r="G1" s="985"/>
      <c r="H1" s="985"/>
      <c r="I1" s="985"/>
      <c r="J1" s="985"/>
      <c r="K1" s="77"/>
      <c r="L1" s="77"/>
      <c r="M1" s="77"/>
      <c r="N1" s="77"/>
    </row>
    <row r="2" spans="2:14" ht="6.75" customHeight="1"/>
    <row r="3" spans="2:14">
      <c r="B3" s="72" t="s">
        <v>467</v>
      </c>
      <c r="C3" s="72" t="s">
        <v>468</v>
      </c>
      <c r="D3" s="72" t="s">
        <v>469</v>
      </c>
      <c r="E3" s="78" t="s">
        <v>470</v>
      </c>
      <c r="F3" s="78" t="s">
        <v>471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- 22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18EE42-1DB5-4CB4-B51E-30B5B7CF60AA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5116E7FF-C021-470C-8F87-274EF20CA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