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9" documentId="13_ncr:1_{E7D990DC-B8E2-4FF0-90FD-F16D977317D3}" xr6:coauthVersionLast="47" xr6:coauthVersionMax="47" xr10:uidLastSave="{10390B53-EC36-420C-90B9-A22EC53BF390}"/>
  <bookViews>
    <workbookView xWindow="-98" yWindow="-98" windowWidth="21795" windowHeight="12975" tabRatio="805" firstSheet="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W45" i="18"/>
  <c r="W44" i="18"/>
  <c r="T46" i="18"/>
  <c r="T45" i="18"/>
  <c r="T44" i="18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I20" i="2"/>
  <c r="I14" i="2"/>
  <c r="K13" i="2"/>
  <c r="I13" i="2"/>
  <c r="H7" i="5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l="1"/>
  <c r="W90" i="18"/>
  <c r="K20" i="2"/>
  <c r="I31" i="2"/>
  <c r="I19" i="2" l="1"/>
  <c r="I37" i="2"/>
  <c r="K37" i="2" s="1"/>
  <c r="W6" i="18" s="1"/>
  <c r="T6" i="18" s="1"/>
  <c r="W91" i="18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T21" i="2"/>
  <c r="N9" i="2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<sst xmlns="http://schemas.openxmlformats.org/spreadsheetml/2006/main" count="753" uniqueCount="422">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</sst>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1014921.1289006645</c:v>
                </c:pt>
                <c:pt idx="21">
                  <c:v>2464808.4559016139</c:v>
                </c:pt>
                <c:pt idx="22">
                  <c:v>2464808.4559016139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929000.02890066453</c:v>
                </c:pt>
                <c:pt idx="21">
                  <c:v>243468.88053929526</c:v>
                </c:pt>
                <c:pt idx="22">
                  <c:v>214468.88053929526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2050729.7791123188</c:v>
                </c:pt>
                <c:pt idx="26">
                  <c:v>2051211.0291123188</c:v>
                </c:pt>
                <c:pt idx="27">
                  <c:v>2051211.0291123188</c:v>
                </c:pt>
                <c:pt idx="28">
                  <c:v>2093816.5495289855</c:v>
                </c:pt>
                <c:pt idx="29">
                  <c:v>2183348.1490373425</c:v>
                </c:pt>
                <c:pt idx="30">
                  <c:v>2244434.9194540093</c:v>
                </c:pt>
                <c:pt idx="31">
                  <c:v>2255434.9194540093</c:v>
                </c:pt>
                <c:pt idx="32">
                  <c:v>2255434.9194540093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414078.67678929516</c:v>
                </c:pt>
                <c:pt idx="26">
                  <c:v>413597.42678929516</c:v>
                </c:pt>
                <c:pt idx="27">
                  <c:v>413597.42678929516</c:v>
                </c:pt>
                <c:pt idx="28">
                  <c:v>370991.90637262841</c:v>
                </c:pt>
                <c:pt idx="29">
                  <c:v>281460.30686427141</c:v>
                </c:pt>
                <c:pt idx="30">
                  <c:v>510351.00184779428</c:v>
                </c:pt>
                <c:pt idx="31">
                  <c:v>499351.00184779428</c:v>
                </c:pt>
                <c:pt idx="32">
                  <c:v>499351.00184779428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190348.64776446112</c:v>
                </c:pt>
                <c:pt idx="76">
                  <c:v>190348.64776446112</c:v>
                </c:pt>
                <c:pt idx="77">
                  <c:v>190348.64776446112</c:v>
                </c:pt>
                <c:pt idx="78">
                  <c:v>190348.64776446112</c:v>
                </c:pt>
                <c:pt idx="79">
                  <c:v>190348.64776446112</c:v>
                </c:pt>
                <c:pt idx="80">
                  <c:v>190348.64776446112</c:v>
                </c:pt>
                <c:pt idx="81">
                  <c:v>190348.64776446112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534.72222222222217</c:v>
                </c:pt>
                <c:pt idx="22">
                  <c:v>534.72222222222217</c:v>
                </c:pt>
                <c:pt idx="23">
                  <c:v>534.72222222222217</c:v>
                </c:pt>
                <c:pt idx="24">
                  <c:v>534.72222222222217</c:v>
                </c:pt>
                <c:pt idx="25">
                  <c:v>2301111.3281448293</c:v>
                </c:pt>
                <c:pt idx="26">
                  <c:v>2301111.3281448293</c:v>
                </c:pt>
                <c:pt idx="27">
                  <c:v>2301111.3281448293</c:v>
                </c:pt>
                <c:pt idx="28">
                  <c:v>2301111.3281448293</c:v>
                </c:pt>
                <c:pt idx="29">
                  <c:v>2447233.7784636361</c:v>
                </c:pt>
                <c:pt idx="30">
                  <c:v>2447233.7784636361</c:v>
                </c:pt>
                <c:pt idx="31">
                  <c:v>2447233.7784636361</c:v>
                </c:pt>
                <c:pt idx="32">
                  <c:v>2447233.7784636361</c:v>
                </c:pt>
                <c:pt idx="33">
                  <c:v>2447233.7784636361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642" t="s">
        <v>0</v>
      </c>
      <c r="C2" s="642"/>
      <c r="D2" s="642"/>
      <c r="E2" s="642"/>
      <c r="H2" s="643" t="s">
        <v>1</v>
      </c>
      <c r="I2" s="644"/>
      <c r="J2" s="644"/>
      <c r="K2" s="644"/>
      <c r="L2" s="644"/>
      <c r="M2" s="644"/>
      <c r="N2" s="644"/>
      <c r="O2" s="645"/>
    </row>
    <row r="3" spans="2:15">
      <c r="B3" s="614"/>
      <c r="H3" s="646"/>
      <c r="I3" s="647"/>
      <c r="J3" s="647"/>
      <c r="K3" s="647"/>
      <c r="L3" s="647"/>
      <c r="M3" s="647"/>
      <c r="N3" s="647"/>
      <c r="O3" s="648"/>
    </row>
    <row r="4" spans="2:15">
      <c r="B4" s="615" t="s">
        <v>2</v>
      </c>
      <c r="C4" s="616" t="str">
        <f>'Project Plan'!E2</f>
        <v>25 Superior Road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5" t="s">
        <v>3</v>
      </c>
      <c r="C5" s="616" t="s">
        <v>4</v>
      </c>
      <c r="H5" s="646"/>
      <c r="I5" s="647"/>
      <c r="J5" s="647"/>
      <c r="K5" s="647"/>
      <c r="L5" s="647"/>
      <c r="M5" s="647"/>
      <c r="N5" s="647"/>
      <c r="O5" s="648"/>
    </row>
    <row r="6" spans="2:15">
      <c r="B6" s="615" t="s">
        <v>5</v>
      </c>
      <c r="C6" s="616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5" t="s">
        <v>7</v>
      </c>
      <c r="C7" s="616" t="s">
        <v>8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4"/>
      <c r="H8" s="646"/>
      <c r="I8" s="647"/>
      <c r="J8" s="647"/>
      <c r="K8" s="647"/>
      <c r="L8" s="647"/>
      <c r="M8" s="647"/>
      <c r="N8" s="647"/>
      <c r="O8" s="648"/>
    </row>
    <row r="9" spans="2:15">
      <c r="B9" s="652" t="s">
        <v>9</v>
      </c>
      <c r="C9" s="652"/>
      <c r="D9" s="652"/>
      <c r="E9" s="652"/>
      <c r="H9" s="646"/>
      <c r="I9" s="647"/>
      <c r="J9" s="647"/>
      <c r="K9" s="647"/>
      <c r="L9" s="647"/>
      <c r="M9" s="647"/>
      <c r="N9" s="647"/>
      <c r="O9" s="648"/>
    </row>
    <row r="10" spans="2:15" ht="14.65" thickBot="1">
      <c r="B10" s="652" t="s">
        <v>10</v>
      </c>
      <c r="C10" s="652"/>
      <c r="D10" s="652"/>
      <c r="E10" s="652"/>
      <c r="H10" s="649"/>
      <c r="I10" s="650"/>
      <c r="J10" s="650"/>
      <c r="K10" s="650"/>
      <c r="L10" s="650"/>
      <c r="M10" s="650"/>
      <c r="N10" s="650"/>
      <c r="O10" s="651"/>
    </row>
    <row r="11" spans="2:15">
      <c r="B11" s="617" t="s">
        <v>11</v>
      </c>
      <c r="C11" s="640"/>
      <c r="D11" s="640"/>
      <c r="E11" s="640"/>
    </row>
    <row r="12" spans="2:15">
      <c r="B12" s="617" t="s">
        <v>12</v>
      </c>
      <c r="C12" s="640"/>
      <c r="D12" s="640"/>
      <c r="E12" s="640"/>
    </row>
    <row r="13" spans="2:15">
      <c r="B13" s="617" t="s">
        <v>13</v>
      </c>
      <c r="C13" s="640"/>
      <c r="D13" s="640"/>
      <c r="E13" s="640"/>
    </row>
    <row r="14" spans="2:15">
      <c r="B14" s="617" t="s">
        <v>14</v>
      </c>
      <c r="C14" s="640"/>
      <c r="D14" s="640"/>
      <c r="E14" s="640"/>
    </row>
    <row r="15" spans="2:15">
      <c r="B15" s="617" t="s">
        <v>15</v>
      </c>
      <c r="C15" s="640"/>
      <c r="D15" s="640"/>
      <c r="E15" s="640"/>
    </row>
    <row r="16" spans="2:15" ht="15" customHeight="1">
      <c r="B16" s="617" t="s">
        <v>16</v>
      </c>
      <c r="C16" s="640"/>
      <c r="D16" s="640"/>
      <c r="E16" s="640"/>
    </row>
    <row r="17" spans="2:5">
      <c r="B17" s="614"/>
    </row>
    <row r="18" spans="2:5">
      <c r="B18" s="641" t="s">
        <v>17</v>
      </c>
      <c r="C18" s="641"/>
      <c r="D18" s="641"/>
      <c r="E18" s="641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642" t="s">
        <v>22</v>
      </c>
      <c r="C2" s="642"/>
      <c r="D2" s="642"/>
      <c r="E2" s="642"/>
      <c r="H2" s="643" t="s">
        <v>23</v>
      </c>
      <c r="I2" s="644"/>
      <c r="J2" s="644"/>
      <c r="K2" s="644"/>
      <c r="L2" s="644"/>
      <c r="M2" s="644"/>
      <c r="N2" s="644"/>
      <c r="O2" s="645"/>
    </row>
    <row r="3" spans="2:15">
      <c r="B3" s="614"/>
      <c r="H3" s="646"/>
      <c r="I3" s="647"/>
      <c r="J3" s="647"/>
      <c r="K3" s="647"/>
      <c r="L3" s="647"/>
      <c r="M3" s="647"/>
      <c r="N3" s="647"/>
      <c r="O3" s="648"/>
    </row>
    <row r="4" spans="2:15">
      <c r="B4" s="615" t="s">
        <v>2</v>
      </c>
      <c r="C4" s="616" t="str">
        <f>'Project Plan'!E2</f>
        <v>25 Superior Road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5" t="s">
        <v>24</v>
      </c>
      <c r="C5" s="616"/>
      <c r="H5" s="646"/>
      <c r="I5" s="647"/>
      <c r="J5" s="647"/>
      <c r="K5" s="647"/>
      <c r="L5" s="647"/>
      <c r="M5" s="647"/>
      <c r="N5" s="647"/>
      <c r="O5" s="648"/>
    </row>
    <row r="6" spans="2:15">
      <c r="B6" s="615" t="s">
        <v>5</v>
      </c>
      <c r="C6" s="616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5" t="s">
        <v>25</v>
      </c>
      <c r="C7" s="616" t="str">
        <f>'Project Plan'!E5</f>
        <v>JT Moorosi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5" t="s">
        <v>26</v>
      </c>
      <c r="C8" s="616"/>
      <c r="H8" s="646"/>
      <c r="I8" s="647"/>
      <c r="J8" s="647"/>
      <c r="K8" s="647"/>
      <c r="L8" s="647"/>
      <c r="M8" s="647"/>
      <c r="N8" s="647"/>
      <c r="O8" s="648"/>
    </row>
    <row r="9" spans="2:15">
      <c r="B9" s="614"/>
      <c r="H9" s="646"/>
      <c r="I9" s="647"/>
      <c r="J9" s="647"/>
      <c r="K9" s="647"/>
      <c r="L9" s="647"/>
      <c r="M9" s="647"/>
      <c r="N9" s="647"/>
      <c r="O9" s="648"/>
    </row>
    <row r="10" spans="2:15">
      <c r="B10" s="652" t="s">
        <v>9</v>
      </c>
      <c r="C10" s="652"/>
      <c r="D10" s="652"/>
      <c r="E10" s="652"/>
      <c r="H10" s="646"/>
      <c r="I10" s="647"/>
      <c r="J10" s="647"/>
      <c r="K10" s="647"/>
      <c r="L10" s="647"/>
      <c r="M10" s="647"/>
      <c r="N10" s="647"/>
      <c r="O10" s="648"/>
    </row>
    <row r="11" spans="2:15" ht="14.65" thickBot="1">
      <c r="B11" s="652" t="s">
        <v>10</v>
      </c>
      <c r="C11" s="652"/>
      <c r="D11" s="652"/>
      <c r="E11" s="652"/>
      <c r="H11" s="649"/>
      <c r="I11" s="650"/>
      <c r="J11" s="650"/>
      <c r="K11" s="650"/>
      <c r="L11" s="650"/>
      <c r="M11" s="650"/>
      <c r="N11" s="650"/>
      <c r="O11" s="651"/>
    </row>
    <row r="12" spans="2:15" ht="25.5">
      <c r="B12" s="617" t="s">
        <v>27</v>
      </c>
      <c r="C12" s="640"/>
      <c r="D12" s="640"/>
      <c r="E12" s="640"/>
    </row>
    <row r="13" spans="2:15">
      <c r="B13" s="617" t="s">
        <v>28</v>
      </c>
      <c r="C13" s="640"/>
      <c r="D13" s="640"/>
      <c r="E13" s="640"/>
    </row>
    <row r="14" spans="2:15">
      <c r="B14" s="617" t="s">
        <v>29</v>
      </c>
      <c r="C14" s="640"/>
      <c r="D14" s="640"/>
      <c r="E14" s="640"/>
    </row>
    <row r="15" spans="2:15">
      <c r="B15" s="617" t="s">
        <v>30</v>
      </c>
      <c r="C15" s="640"/>
      <c r="D15" s="640"/>
      <c r="E15" s="640"/>
    </row>
    <row r="16" spans="2:15" ht="25.5">
      <c r="B16" s="617" t="s">
        <v>31</v>
      </c>
      <c r="C16" s="640"/>
      <c r="D16" s="640"/>
      <c r="E16" s="640"/>
    </row>
    <row r="17" spans="2:5">
      <c r="B17" s="617" t="s">
        <v>32</v>
      </c>
      <c r="C17" s="640"/>
      <c r="D17" s="640"/>
      <c r="E17" s="640"/>
    </row>
    <row r="18" spans="2:5">
      <c r="B18" s="617" t="s">
        <v>33</v>
      </c>
      <c r="C18" s="640"/>
      <c r="D18" s="640"/>
      <c r="E18" s="640"/>
    </row>
    <row r="19" spans="2:5">
      <c r="B19" s="617" t="s">
        <v>34</v>
      </c>
      <c r="C19" s="640"/>
      <c r="D19" s="640"/>
      <c r="E19" s="640"/>
    </row>
    <row r="20" spans="2:5">
      <c r="B20" s="617" t="s">
        <v>35</v>
      </c>
      <c r="C20" s="640"/>
      <c r="D20" s="640"/>
      <c r="E20" s="640"/>
    </row>
    <row r="21" spans="2:5">
      <c r="B21" s="617" t="s">
        <v>36</v>
      </c>
      <c r="C21" s="640"/>
      <c r="D21" s="640"/>
      <c r="E21" s="640"/>
    </row>
    <row r="22" spans="2:5" ht="15" customHeight="1">
      <c r="B22" s="617" t="s">
        <v>16</v>
      </c>
      <c r="C22" s="640"/>
      <c r="D22" s="640"/>
      <c r="E22" s="640"/>
    </row>
    <row r="23" spans="2:5">
      <c r="B23" s="614"/>
    </row>
    <row r="24" spans="2:5">
      <c r="B24" s="641" t="s">
        <v>17</v>
      </c>
      <c r="C24" s="641"/>
      <c r="D24" s="641"/>
      <c r="E24" s="641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6484375" defaultRowHeight="14.25"/>
  <cols>
    <col min="1" max="1" width="0.796875" customWidth="1"/>
    <col min="2" max="2" width="8.46484375" bestFit="1" customWidth="1"/>
    <col min="3" max="3" width="45.199218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19921875" bestFit="1" customWidth="1"/>
    <col min="10" max="10" width="14.19921875" customWidth="1"/>
    <col min="11" max="11" width="77.73046875" customWidth="1"/>
  </cols>
  <sheetData>
    <row r="1" spans="2:15">
      <c r="B1" s="655"/>
      <c r="C1" s="656"/>
      <c r="D1" s="656"/>
      <c r="E1" s="656"/>
      <c r="F1" s="653" t="s">
        <v>37</v>
      </c>
      <c r="G1" s="653"/>
      <c r="H1" s="653"/>
      <c r="I1" s="653"/>
      <c r="J1" s="653"/>
      <c r="K1" s="654"/>
      <c r="L1" s="13"/>
      <c r="M1" s="13"/>
      <c r="N1" s="13"/>
      <c r="O1" s="13"/>
    </row>
    <row r="2" spans="2:15" ht="6.75" customHeight="1"/>
    <row r="3" spans="2:15" s="621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6484375" defaultRowHeight="13.5"/>
  <cols>
    <col min="1" max="1" width="1.46484375" style="4" customWidth="1"/>
    <col min="2" max="2" width="30.53125" style="4" bestFit="1" customWidth="1"/>
    <col min="3" max="3" width="19.53125" style="4" customWidth="1"/>
    <col min="4" max="4" width="32.796875" style="4" customWidth="1"/>
    <col min="5" max="5" width="9.53125" style="4" customWidth="1"/>
    <col min="6" max="6" width="53.46484375" style="4" customWidth="1"/>
    <col min="7" max="16384" width="8.464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6484375" defaultRowHeight="14.25"/>
  <cols>
    <col min="1" max="1" width="7.46484375" customWidth="1"/>
    <col min="2" max="2" width="37.796875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65" thickBot="1"/>
    <row r="2" spans="2:10" ht="15" thickTop="1" thickBot="1">
      <c r="B2" s="657" t="s">
        <v>102</v>
      </c>
      <c r="C2" s="658"/>
      <c r="D2" s="658"/>
      <c r="E2" s="658"/>
      <c r="F2" s="659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57" t="s">
        <v>111</v>
      </c>
      <c r="C16" s="658"/>
      <c r="D16" s="658"/>
      <c r="E16" s="658"/>
      <c r="F16" s="659"/>
    </row>
    <row r="17" spans="2:6" ht="14.6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="90" zoomScaleNormal="90" workbookViewId="0">
      <selection activeCell="N11" sqref="N11"/>
    </sheetView>
  </sheetViews>
  <sheetFormatPr defaultColWidth="8.46484375" defaultRowHeight="13.5"/>
  <cols>
    <col min="1" max="1" width="1.46484375" style="26" customWidth="1"/>
    <col min="2" max="2" width="6.46484375" style="83" bestFit="1" customWidth="1"/>
    <col min="3" max="3" width="44.796875" style="4" customWidth="1"/>
    <col min="4" max="4" width="3.46484375" style="26" customWidth="1"/>
    <col min="5" max="5" width="14.53125" style="4" customWidth="1"/>
    <col min="6" max="6" width="10.46484375" style="80" customWidth="1"/>
    <col min="7" max="7" width="13.53125" style="5" customWidth="1"/>
    <col min="8" max="8" width="5" style="26" customWidth="1"/>
    <col min="9" max="9" width="13.46484375" style="26" customWidth="1"/>
    <col min="10" max="10" width="11.46484375" style="27" customWidth="1"/>
    <col min="11" max="11" width="14.53125" style="26" customWidth="1"/>
    <col min="12" max="12" width="2.46484375" style="26" customWidth="1"/>
    <col min="13" max="13" width="12.19921875" style="26" customWidth="1"/>
    <col min="14" max="14" width="11.19921875" style="26" bestFit="1" customWidth="1"/>
    <col min="15" max="15" width="39.46484375" style="26" bestFit="1" customWidth="1"/>
    <col min="16" max="16" width="1.46484375" style="26" customWidth="1"/>
    <col min="17" max="17" width="5.19921875" style="1" customWidth="1"/>
    <col min="18" max="18" width="8.46484375" style="26"/>
    <col min="19" max="19" width="21.53125" style="26" customWidth="1"/>
    <col min="20" max="22" width="12.19921875" style="26" customWidth="1"/>
    <col min="23" max="23" width="8.46484375" style="26"/>
    <col min="24" max="25" width="10.796875" style="26" bestFit="1" customWidth="1"/>
    <col min="26" max="16384" width="8.464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33" t="s">
        <v>116</v>
      </c>
      <c r="J2" s="634"/>
      <c r="K2" s="587">
        <f>NETWORKDAYS(I19,K40,Data!C3:C60)</f>
        <v>24</v>
      </c>
      <c r="N2" s="306">
        <v>0</v>
      </c>
      <c r="O2" s="306">
        <v>1</v>
      </c>
    </row>
    <row r="3" spans="2:28" s="26" customFormat="1" ht="14.25" thickBot="1">
      <c r="B3" s="91"/>
      <c r="C3" s="92" t="s">
        <v>117</v>
      </c>
      <c r="D3" s="90"/>
      <c r="E3" s="312">
        <v>120</v>
      </c>
      <c r="F3" s="93"/>
      <c r="G3" s="94"/>
      <c r="H3" s="94"/>
      <c r="I3" s="633" t="s">
        <v>118</v>
      </c>
      <c r="J3" s="634"/>
      <c r="K3" s="587">
        <f>K2/5</f>
        <v>4.8</v>
      </c>
      <c r="Q3" s="1"/>
    </row>
    <row r="4" spans="2:28" s="26" customFormat="1" ht="14.2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33" t="s">
        <v>121</v>
      </c>
      <c r="J4" s="634"/>
      <c r="K4" s="588">
        <f>E3/K3</f>
        <v>25</v>
      </c>
      <c r="Q4" s="1"/>
    </row>
    <row r="5" spans="2:28" s="26" customFormat="1" ht="13.9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 ht="13.9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55" customHeight="1">
      <c r="B7" s="79"/>
      <c r="C7" s="630" t="s">
        <v>125</v>
      </c>
      <c r="E7" s="631" t="s">
        <v>126</v>
      </c>
      <c r="F7" s="632"/>
      <c r="G7" s="97"/>
      <c r="J7" s="27"/>
      <c r="Q7" s="1"/>
    </row>
    <row r="8" spans="2:28" ht="30" customHeight="1">
      <c r="B8" s="637" t="s">
        <v>127</v>
      </c>
      <c r="C8" s="638" t="s">
        <v>128</v>
      </c>
      <c r="D8" s="126"/>
      <c r="E8" s="639" t="s">
        <v>129</v>
      </c>
      <c r="F8" s="148" t="s">
        <v>130</v>
      </c>
      <c r="G8" s="639" t="s">
        <v>131</v>
      </c>
      <c r="H8" s="149"/>
      <c r="I8" s="639" t="s">
        <v>132</v>
      </c>
      <c r="J8" s="148" t="s">
        <v>130</v>
      </c>
      <c r="K8" s="639" t="s">
        <v>133</v>
      </c>
      <c r="M8" s="584" t="s">
        <v>44</v>
      </c>
      <c r="N8" s="585" t="s">
        <v>134</v>
      </c>
      <c r="O8" s="635" t="s">
        <v>135</v>
      </c>
      <c r="Z8" s="26"/>
      <c r="AA8" s="26"/>
      <c r="AB8" s="26"/>
    </row>
    <row r="9" spans="2:28" ht="13.9">
      <c r="B9" s="637"/>
      <c r="C9" s="638"/>
      <c r="D9" s="126"/>
      <c r="E9" s="639"/>
      <c r="F9" s="40">
        <f>G40-E20</f>
        <v>35</v>
      </c>
      <c r="G9" s="639"/>
      <c r="H9" s="149"/>
      <c r="I9" s="639"/>
      <c r="J9" s="41">
        <f>K40-I20</f>
        <v>35</v>
      </c>
      <c r="K9" s="639"/>
      <c r="M9" s="265">
        <f>AVERAGE(M11,M19,M22,M29,M36,M40,M49,M45)</f>
        <v>1.953125E-3</v>
      </c>
      <c r="N9" s="265">
        <f ca="1">AVERAGE(N11,N19,N22,N29,N36,N40,N49,N45)</f>
        <v>1.953125E-3</v>
      </c>
      <c r="O9" s="636"/>
      <c r="S9" s="586">
        <f ca="1">TODAY()</f>
        <v>46083</v>
      </c>
      <c r="T9" s="586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89</v>
      </c>
      <c r="K11" s="571">
        <f>MAX(K12:K18)</f>
        <v>46127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 ht="13.9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 ht="13.9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46101</v>
      </c>
      <c r="J14" s="577">
        <v>15</v>
      </c>
      <c r="K14" s="576">
        <f>WORKDAY.INTL(I14,J14,1,Data!$C$3:$C$60)</f>
        <v>46126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89</v>
      </c>
      <c r="V14" s="538">
        <f>K11</f>
        <v>46127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46126</v>
      </c>
      <c r="J15" s="577">
        <v>1</v>
      </c>
      <c r="K15" s="576">
        <f>WORKDAY.INTL(I15,J15,1,Data!$C$3:$C$60)</f>
        <v>46127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46134</v>
      </c>
      <c r="U15" s="539">
        <f>J19</f>
        <v>1</v>
      </c>
      <c r="V15" s="538">
        <f>K19</f>
        <v>46135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46115</v>
      </c>
      <c r="J16" s="577">
        <v>1</v>
      </c>
      <c r="K16" s="576">
        <f>WORKDAY.INTL(I16,J16,1,Data!$C$3:$C$60)</f>
        <v>46119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46112</v>
      </c>
      <c r="U16" s="539">
        <f>J22</f>
        <v>48</v>
      </c>
      <c r="V16" s="538">
        <f>K22</f>
        <v>46160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46111</v>
      </c>
      <c r="J17" s="577">
        <v>1</v>
      </c>
      <c r="K17" s="576">
        <f>WORKDAY.INTL(I17,J17,1,Data!$C$3:$C$60)</f>
        <v>46112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46134</v>
      </c>
      <c r="U17" s="539">
        <f>J29</f>
        <v>22</v>
      </c>
      <c r="V17" s="538">
        <f>K29</f>
        <v>46156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46134</v>
      </c>
      <c r="U18" s="539">
        <f>J36</f>
        <v>21</v>
      </c>
      <c r="V18" s="538">
        <f>K36</f>
        <v>46155</v>
      </c>
    </row>
    <row r="19" spans="2:28" s="28" customFormat="1" ht="13.9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46134</v>
      </c>
      <c r="J19" s="572">
        <f>K19-I19</f>
        <v>1</v>
      </c>
      <c r="K19" s="571">
        <f>MAX(K20:K21)</f>
        <v>46135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46160</v>
      </c>
      <c r="U19" s="539">
        <f>J40</f>
        <v>9</v>
      </c>
      <c r="V19" s="538">
        <f>K40</f>
        <v>46169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46134</v>
      </c>
      <c r="J20" s="577">
        <v>1</v>
      </c>
      <c r="K20" s="576">
        <f>I20+J20</f>
        <v>46135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46162</v>
      </c>
      <c r="U20" s="539">
        <f>J45</f>
        <v>8</v>
      </c>
      <c r="V20" s="538">
        <f>K45</f>
        <v>46170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46167</v>
      </c>
      <c r="U21" s="539">
        <f>J49</f>
        <v>16</v>
      </c>
      <c r="V21" s="538">
        <f>K49</f>
        <v>46183</v>
      </c>
    </row>
    <row r="22" spans="2:28" s="28" customFormat="1" ht="13.9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46112</v>
      </c>
      <c r="J22" s="572">
        <f>K22-I22</f>
        <v>48</v>
      </c>
      <c r="K22" s="571">
        <f>MAX(K23:K28)</f>
        <v>46160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46135</v>
      </c>
      <c r="J23" s="577">
        <v>1</v>
      </c>
      <c r="K23" s="576">
        <f>WORKDAY.INTL(I23,J23,1,Data!$C$3:$C$60)</f>
        <v>46136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46136</v>
      </c>
      <c r="J24" s="577">
        <v>1</v>
      </c>
      <c r="K24" s="576">
        <f>WORKDAY.INTL(I24,J24,1,Data!$C$3:$C$60)</f>
        <v>46140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46112</v>
      </c>
      <c r="J25" s="577">
        <v>25</v>
      </c>
      <c r="K25" s="576">
        <f>WORKDAY.INTL(I25,J25,1,Data!$C$3:$C$60)</f>
        <v>46153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46135</v>
      </c>
      <c r="J26" s="577">
        <v>15</v>
      </c>
      <c r="K26" s="576">
        <f>WORKDAY.INTL(I26,J26,1,Data!$C$3:$C$60)</f>
        <v>46160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 ht="13.9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46134</v>
      </c>
      <c r="J29" s="572">
        <f>K29-I29</f>
        <v>22</v>
      </c>
      <c r="K29" s="571">
        <f>MAX(K31:K35)</f>
        <v>46156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46134</v>
      </c>
      <c r="J31" s="577">
        <v>1</v>
      </c>
      <c r="K31" s="576">
        <f>WORKDAY.INTL(I31,J31,1,Data!$C$3:$C$60)</f>
        <v>46135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46135</v>
      </c>
      <c r="J32" s="577">
        <v>3</v>
      </c>
      <c r="K32" s="576">
        <f>WORKDAY.INTL(I32,J32,1,Data!$C$3:$C$60)</f>
        <v>46141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46134</v>
      </c>
      <c r="J33" s="577">
        <v>1</v>
      </c>
      <c r="K33" s="576">
        <f>WORKDAY.INTL(I33,J33,1,Data!$C$3:$C$60)</f>
        <v>46135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2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46152</v>
      </c>
      <c r="J34" s="577">
        <v>4</v>
      </c>
      <c r="K34" s="582">
        <f>WORKDAY.INTL(I34,J34,1,Data!$C$3:$C$60)</f>
        <v>46156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 ht="13.9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46134</v>
      </c>
      <c r="J36" s="572">
        <f>K36-I36</f>
        <v>21</v>
      </c>
      <c r="K36" s="571">
        <f>MAX(K37:K39)</f>
        <v>46155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46141</v>
      </c>
      <c r="J38" s="577">
        <v>9</v>
      </c>
      <c r="K38" s="576">
        <f>WORKDAY.INTL(I38,J38,1,Data!$C$3:$C$60)</f>
        <v>46155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 ht="13.9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46160</v>
      </c>
      <c r="J40" s="572">
        <f>K40-I40</f>
        <v>9</v>
      </c>
      <c r="K40" s="571">
        <f>MAX(K41:K44)</f>
        <v>46169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46160</v>
      </c>
      <c r="J41" s="577">
        <v>1</v>
      </c>
      <c r="K41" s="582">
        <f>WORKDAY.INTL(I41,J41,1,Data!$C$3:$C$60)</f>
        <v>46161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46161</v>
      </c>
      <c r="J42" s="577">
        <v>1</v>
      </c>
      <c r="K42" s="582">
        <f>WORKDAY.INTL(I42,J42,1,Data!$C$3:$C$60)</f>
        <v>46162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46162</v>
      </c>
      <c r="J43" s="577">
        <v>5</v>
      </c>
      <c r="K43" s="582">
        <f>WORKDAY.INTL(I43,J43,1,Data!$C$3:$C$60)</f>
        <v>46169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 ht="13.9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46162</v>
      </c>
      <c r="J45" s="572">
        <f>K45-I45</f>
        <v>8</v>
      </c>
      <c r="K45" s="571">
        <f>MAX(K46:K48)</f>
        <v>46170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46162</v>
      </c>
      <c r="J46" s="577">
        <v>3</v>
      </c>
      <c r="K46" s="582">
        <f>WORKDAY.INTL(I46,J46,1,Data!$C$3:$C$60)</f>
        <v>46167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46167</v>
      </c>
      <c r="J47" s="577">
        <v>3</v>
      </c>
      <c r="K47" s="582">
        <f>WORKDAY.INTL(I47,J47,1,Data!$C$3:$C$60)</f>
        <v>46170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 ht="13.9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46167</v>
      </c>
      <c r="J49" s="572">
        <f>K49-I49</f>
        <v>16</v>
      </c>
      <c r="K49" s="571">
        <f>MAX(K50:K52)</f>
        <v>46183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46167</v>
      </c>
      <c r="J50" s="577">
        <v>7</v>
      </c>
      <c r="K50" s="582">
        <f>WORKDAY.INTL(I50,J50,1,Data!$C$3:$C$60)</f>
        <v>46176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46176</v>
      </c>
      <c r="J51" s="577">
        <v>1</v>
      </c>
      <c r="K51" s="582">
        <f>WORKDAY.INTL(I51,J51,1,Data!$C$3:$C$60)</f>
        <v>46177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46176</v>
      </c>
      <c r="J52" s="577">
        <v>5</v>
      </c>
      <c r="K52" s="582">
        <f>WORKDAY.INTL(I52,J52,1,Data!$C$3:$C$60)</f>
        <v>46183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I13" sqref="I13"/>
    </sheetView>
  </sheetViews>
  <sheetFormatPr defaultColWidth="8.46484375" defaultRowHeight="14.25"/>
  <cols>
    <col min="1" max="1" width="5.19921875" style="24" customWidth="1"/>
    <col min="2" max="2" width="5.19921875" style="45" customWidth="1"/>
    <col min="3" max="3" width="28.46484375" style="43" customWidth="1"/>
    <col min="4" max="4" width="18.53125" style="43" customWidth="1"/>
    <col min="5" max="5" width="6.53125" style="43" customWidth="1"/>
    <col min="6" max="6" width="16.46484375" style="43" customWidth="1"/>
    <col min="7" max="7" width="3.46484375" style="43" customWidth="1"/>
    <col min="8" max="8" width="19.265625" style="43" bestFit="1" customWidth="1"/>
    <col min="9" max="9" width="1.796875" style="43" customWidth="1"/>
    <col min="10" max="10" width="3.46484375" style="24" customWidth="1"/>
    <col min="11" max="11" width="1.796875" style="87" customWidth="1"/>
    <col min="12" max="12" width="29.46484375" style="24" customWidth="1"/>
    <col min="13" max="13" width="1.796875" style="43" customWidth="1"/>
    <col min="14" max="14" width="29.46484375" style="43" customWidth="1"/>
    <col min="15" max="15" width="1.796875" style="43" customWidth="1"/>
    <col min="16" max="16" width="16.796875" style="43" customWidth="1"/>
    <col min="17" max="17" width="5.19921875" style="43" customWidth="1"/>
    <col min="18" max="18" width="112.19921875" style="43" bestFit="1" customWidth="1"/>
    <col min="19" max="19" width="112.19921875" style="43" customWidth="1"/>
    <col min="20" max="20" width="4.46484375" style="43" customWidth="1"/>
    <col min="21" max="21" width="18.796875" style="43" bestFit="1" customWidth="1"/>
    <col min="22" max="22" width="14.19921875" style="24" bestFit="1" customWidth="1"/>
    <col min="23" max="23" width="8.53125" style="24" bestFit="1" customWidth="1"/>
    <col min="24" max="24" width="14.796875" style="24" bestFit="1" customWidth="1"/>
    <col min="25" max="25" width="5.19921875" style="24" bestFit="1" customWidth="1"/>
    <col min="26" max="26" width="14.46484375" style="24" bestFit="1" customWidth="1"/>
    <col min="27" max="27" width="8.46484375" style="24"/>
    <col min="28" max="28" width="14.46484375" style="24" bestFit="1" customWidth="1"/>
    <col min="29" max="29" width="8.46484375" style="43"/>
    <col min="30" max="30" width="12.19921875" style="43" bestFit="1" customWidth="1"/>
    <col min="31" max="41" width="8.46484375" style="43"/>
    <col min="42" max="42" width="9.46484375" style="43" bestFit="1" customWidth="1"/>
    <col min="43" max="16384" width="8.4648437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.15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.15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.15">
      <c r="B13" s="589">
        <v>1</v>
      </c>
      <c r="C13" s="662" t="s">
        <v>222</v>
      </c>
      <c r="D13" s="663"/>
      <c r="E13" s="590">
        <v>0.5</v>
      </c>
      <c r="F13" s="591">
        <f t="shared" ref="F13:F18" si="0">$D$4*E13</f>
        <v>1449887.3270009493</v>
      </c>
      <c r="G13" s="592"/>
      <c r="H13" s="593">
        <v>46112</v>
      </c>
      <c r="I13" s="594"/>
      <c r="J13" s="595"/>
      <c r="K13" s="594"/>
      <c r="L13" s="596"/>
      <c r="M13" s="594"/>
      <c r="N13" s="593"/>
      <c r="O13" s="597"/>
      <c r="P13" s="598">
        <v>46112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.15">
      <c r="B14" s="599">
        <v>2</v>
      </c>
      <c r="C14" s="662" t="s">
        <v>223</v>
      </c>
      <c r="D14" s="663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46142</v>
      </c>
      <c r="R14" s="280"/>
      <c r="S14" s="628" t="b">
        <v>0</v>
      </c>
      <c r="T14" s="53"/>
    </row>
    <row r="15" spans="1:42" s="24" customFormat="1" ht="13.15">
      <c r="B15" s="589">
        <v>3</v>
      </c>
      <c r="C15" s="662" t="s">
        <v>224</v>
      </c>
      <c r="D15" s="663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46143</v>
      </c>
      <c r="R15" s="280"/>
      <c r="S15" s="628" t="b">
        <v>0</v>
      </c>
      <c r="T15" s="53"/>
    </row>
    <row r="16" spans="1:42" s="24" customFormat="1" ht="13.15">
      <c r="B16" s="589">
        <v>4</v>
      </c>
      <c r="C16" s="660" t="s">
        <v>182</v>
      </c>
      <c r="D16" s="661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46176</v>
      </c>
      <c r="R16" s="280"/>
      <c r="S16" s="628" t="b">
        <v>0</v>
      </c>
      <c r="T16" s="53"/>
    </row>
    <row r="17" spans="2:20" s="24" customFormat="1" ht="13.15">
      <c r="B17" s="589">
        <v>5</v>
      </c>
      <c r="C17" s="660" t="s">
        <v>225</v>
      </c>
      <c r="D17" s="661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46542</v>
      </c>
      <c r="R17" s="280"/>
      <c r="S17" s="628" t="b">
        <v>0</v>
      </c>
      <c r="T17" s="53"/>
    </row>
    <row r="18" spans="2:20" s="24" customFormat="1" ht="13.15">
      <c r="B18" s="589">
        <v>6</v>
      </c>
      <c r="C18" s="660" t="s">
        <v>226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.15">
      <c r="B19" s="589">
        <v>7</v>
      </c>
      <c r="C19" s="662" t="s">
        <v>226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75">
      <c r="C24" s="59" t="s">
        <v>229</v>
      </c>
      <c r="D24" s="60"/>
      <c r="F24" s="61"/>
    </row>
    <row r="25" spans="2:20" s="24" customFormat="1" ht="12.75">
      <c r="C25" s="59" t="s">
        <v>230</v>
      </c>
      <c r="D25" s="60"/>
    </row>
    <row r="26" spans="2:20" s="24" customFormat="1" ht="12.75">
      <c r="C26" s="62" t="s">
        <v>231</v>
      </c>
      <c r="D26" s="63"/>
    </row>
    <row r="27" spans="2:20" s="24" customFormat="1" ht="12.75">
      <c r="C27" s="64" t="s">
        <v>232</v>
      </c>
      <c r="D27" s="60"/>
    </row>
    <row r="28" spans="2:20" s="24" customFormat="1" ht="12.75">
      <c r="B28" s="31"/>
      <c r="C28" s="64" t="s">
        <v>233</v>
      </c>
      <c r="D28" s="60"/>
    </row>
    <row r="29" spans="2:20" s="24" customFormat="1" ht="12.7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75">
      <c r="B31" s="31"/>
      <c r="F31" s="58"/>
      <c r="N31" s="543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6484375" defaultRowHeight="13.5"/>
  <cols>
    <col min="1" max="1" width="1.46484375" style="4" customWidth="1"/>
    <col min="2" max="2" width="8.46484375" style="5"/>
    <col min="3" max="3" width="2.46484375" style="5" customWidth="1"/>
    <col min="4" max="4" width="21.19921875" style="4" customWidth="1"/>
    <col min="5" max="5" width="1.46484375" style="4" customWidth="1"/>
    <col min="6" max="6" width="19.53125" style="4" customWidth="1"/>
    <col min="7" max="7" width="1.46484375" style="4" customWidth="1"/>
    <col min="8" max="8" width="18.46484375" style="4" customWidth="1"/>
    <col min="9" max="9" width="3.46484375" style="4" customWidth="1"/>
    <col min="10" max="10" width="24.46484375" style="4" customWidth="1"/>
    <col min="11" max="11" width="2" style="4" customWidth="1"/>
    <col min="12" max="12" width="53.46484375" style="4" customWidth="1"/>
    <col min="13" max="16384" width="8.464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64"/>
      <c r="C4" s="664"/>
      <c r="D4" s="664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25" thickBot="1">
      <c r="A5" s="126"/>
      <c r="B5" s="665" t="s">
        <v>241</v>
      </c>
      <c r="C5" s="665"/>
      <c r="D5" s="665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 ht="13.9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 ht="13.9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 ht="13.9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 ht="13.9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5" activePane="bottomLeft" state="frozen"/>
      <selection activeCell="X33" sqref="X33"/>
      <selection pane="bottomLeft" activeCell="T21" sqref="T21"/>
    </sheetView>
  </sheetViews>
  <sheetFormatPr defaultColWidth="9.46484375" defaultRowHeight="13.5"/>
  <cols>
    <col min="1" max="1" width="2.46484375" style="26" hidden="1" customWidth="1"/>
    <col min="2" max="2" width="6.46484375" style="4" hidden="1" customWidth="1"/>
    <col min="3" max="3" width="20.46484375" style="4" hidden="1" customWidth="1"/>
    <col min="4" max="4" width="51.53125" style="4" hidden="1" customWidth="1"/>
    <col min="5" max="5" width="13" style="6" hidden="1" customWidth="1"/>
    <col min="6" max="6" width="16.53125" style="372" hidden="1" customWidth="1"/>
    <col min="7" max="8" width="17.46484375" style="4" hidden="1" customWidth="1"/>
    <col min="9" max="9" width="22.46484375" style="254" hidden="1" customWidth="1"/>
    <col min="10" max="10" width="22.46484375" style="254" customWidth="1"/>
    <col min="11" max="12" width="5.19921875" style="26" customWidth="1"/>
    <col min="13" max="13" width="25.53125" style="26" customWidth="1"/>
    <col min="14" max="14" width="48.46484375" style="26" customWidth="1"/>
    <col min="15" max="15" width="15.53125" style="26" customWidth="1"/>
    <col min="16" max="17" width="17.46484375" style="26" customWidth="1"/>
    <col min="18" max="18" width="37.53125" style="26" bestFit="1" customWidth="1"/>
    <col min="19" max="19" width="25.46484375" style="26" customWidth="1"/>
    <col min="20" max="21" width="17.46484375" style="431" customWidth="1"/>
    <col min="22" max="22" width="17.46484375" style="26" customWidth="1"/>
    <col min="23" max="23" width="17.46484375" style="431" customWidth="1"/>
    <col min="24" max="24" width="21.19921875" style="26" customWidth="1"/>
    <col min="25" max="25" width="29.46484375" style="26" bestFit="1" customWidth="1"/>
    <col min="26" max="26" width="24.796875" style="26" bestFit="1" customWidth="1"/>
    <col min="27" max="76" width="17.46484375" style="26" customWidth="1"/>
    <col min="77" max="16384" width="9.464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6" t="s">
        <v>247</v>
      </c>
      <c r="C2" s="667"/>
      <c r="D2" s="667"/>
      <c r="E2" s="667"/>
      <c r="F2" s="667"/>
      <c r="G2" s="667"/>
      <c r="H2" s="395"/>
      <c r="I2" s="162">
        <f>SUM(I6:I159)</f>
        <v>2528912.5701168482</v>
      </c>
      <c r="J2" s="162">
        <f>SUM(J6:J159)</f>
        <v>2899774.6540018991</v>
      </c>
      <c r="L2" s="668" t="s">
        <v>248</v>
      </c>
      <c r="M2" s="669"/>
      <c r="N2" s="669"/>
      <c r="O2" s="669"/>
      <c r="P2" s="669"/>
      <c r="Q2" s="669"/>
      <c r="R2" s="676" t="s">
        <v>249</v>
      </c>
      <c r="S2" s="677"/>
      <c r="T2" s="677"/>
      <c r="U2" s="677"/>
      <c r="V2" s="677"/>
      <c r="W2" s="678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70">
        <f>SUM(G6:G11)</f>
        <v>263738.00499999995</v>
      </c>
      <c r="J6" s="673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85">
        <f>J6-SUM(U6:U11)</f>
        <v>0</v>
      </c>
      <c r="W6" s="453">
        <f>'Project Plan'!K37+60</f>
        <v>46195</v>
      </c>
      <c r="X6" s="670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86"/>
      <c r="W7" s="454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86"/>
      <c r="W8" s="454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86"/>
      <c r="W9" s="455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86"/>
      <c r="W10" s="455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87"/>
      <c r="W11" s="456"/>
      <c r="X11" s="672"/>
      <c r="Y11" s="606" t="s">
        <v>270</v>
      </c>
      <c r="Z11" s="487" t="s">
        <v>271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79">
        <f>SUM(G13:G19)</f>
        <v>0</v>
      </c>
      <c r="J13" s="682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688">
        <f>J13-SUM(U13:U19)</f>
        <v>0</v>
      </c>
      <c r="W13" s="458"/>
      <c r="X13" s="679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0"/>
      <c r="J14" s="683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689"/>
      <c r="W14" s="459"/>
      <c r="X14" s="680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0"/>
      <c r="J15" s="683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689"/>
      <c r="W15" s="459"/>
      <c r="X15" s="680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0"/>
      <c r="J16" s="683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689"/>
      <c r="W16" s="459"/>
      <c r="X16" s="680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0"/>
      <c r="J17" s="683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689"/>
      <c r="W17" s="459"/>
      <c r="X17" s="680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0"/>
      <c r="J18" s="683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689"/>
      <c r="W18" s="459"/>
      <c r="X18" s="680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1"/>
      <c r="J19" s="684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690"/>
      <c r="W19" s="460"/>
      <c r="X19" s="681"/>
      <c r="Y19" s="607" t="s">
        <v>282</v>
      </c>
      <c r="Z19" s="488">
        <v>0</v>
      </c>
      <c r="AA19" s="527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70">
        <f>SUM(G21:G26)</f>
        <v>53802</v>
      </c>
      <c r="J21" s="673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85">
        <f>J21-SUM(U21:U26)</f>
        <v>0</v>
      </c>
      <c r="W21" s="461">
        <v>46142</v>
      </c>
      <c r="X21" s="670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86"/>
      <c r="W22" s="454"/>
      <c r="X22" s="671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86"/>
      <c r="W23" s="454"/>
      <c r="X23" s="671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86"/>
      <c r="W24" s="455"/>
      <c r="X24" s="671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86"/>
      <c r="W25" s="455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87"/>
      <c r="W26" s="456"/>
      <c r="X26" s="672"/>
      <c r="Y26" s="609" t="s">
        <v>203</v>
      </c>
      <c r="Z26" s="492" t="s">
        <v>291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79">
        <f>SUM(G28:G42)</f>
        <v>125191.1</v>
      </c>
      <c r="J28" s="682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688">
        <f>J28-SUM(U28:U42)</f>
        <v>0</v>
      </c>
      <c r="W28" s="458">
        <f>W6</f>
        <v>46195</v>
      </c>
      <c r="X28" s="679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80"/>
      <c r="J29" s="683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689"/>
      <c r="W29" s="459"/>
      <c r="X29" s="680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0"/>
      <c r="J30" s="683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689"/>
      <c r="W30" s="459"/>
      <c r="X30" s="680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0"/>
      <c r="J31" s="683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689"/>
      <c r="W31" s="459"/>
      <c r="X31" s="680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0"/>
      <c r="J32" s="683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94"/>
      <c r="S32" s="506"/>
      <c r="T32" s="416">
        <f>T90</f>
        <v>46142</v>
      </c>
      <c r="U32" s="401">
        <f t="shared" si="3"/>
        <v>9242.1190311850223</v>
      </c>
      <c r="V32" s="689"/>
      <c r="W32" s="459">
        <f>W90</f>
        <v>46134</v>
      </c>
      <c r="X32" s="680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0"/>
      <c r="J33" s="683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95"/>
      <c r="S33" s="506"/>
      <c r="T33" s="416">
        <f t="shared" ref="T33:T39" si="7">T91</f>
        <v>46142</v>
      </c>
      <c r="U33" s="401">
        <f t="shared" si="3"/>
        <v>13863.178546777535</v>
      </c>
      <c r="V33" s="689"/>
      <c r="W33" s="459">
        <f t="shared" ref="W33:W39" si="8">W91</f>
        <v>46134</v>
      </c>
      <c r="X33" s="680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0"/>
      <c r="J34" s="683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95"/>
      <c r="S34" s="506"/>
      <c r="T34" s="416">
        <f t="shared" si="7"/>
        <v>46173</v>
      </c>
      <c r="U34" s="401">
        <f t="shared" si="3"/>
        <v>18484.238062370045</v>
      </c>
      <c r="V34" s="689"/>
      <c r="W34" s="459">
        <f t="shared" si="8"/>
        <v>46167</v>
      </c>
      <c r="X34" s="680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0"/>
      <c r="J35" s="683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95"/>
      <c r="S35" s="506"/>
      <c r="T35" s="416">
        <f t="shared" si="7"/>
        <v>46173</v>
      </c>
      <c r="U35" s="401">
        <f t="shared" si="3"/>
        <v>23105.297577962559</v>
      </c>
      <c r="V35" s="689"/>
      <c r="W35" s="459">
        <f t="shared" si="8"/>
        <v>46163</v>
      </c>
      <c r="X35" s="680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0"/>
      <c r="J36" s="683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95"/>
      <c r="S36" s="506"/>
      <c r="T36" s="416">
        <f t="shared" si="7"/>
        <v>46203</v>
      </c>
      <c r="U36" s="401">
        <f t="shared" si="3"/>
        <v>9242.1190311850223</v>
      </c>
      <c r="V36" s="689"/>
      <c r="W36" s="459">
        <f t="shared" si="8"/>
        <v>46176</v>
      </c>
      <c r="X36" s="680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0"/>
      <c r="J37" s="683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95"/>
      <c r="S37" s="506"/>
      <c r="T37" s="416">
        <f t="shared" si="7"/>
        <v>46203</v>
      </c>
      <c r="U37" s="401">
        <f t="shared" si="3"/>
        <v>9242.1190311850223</v>
      </c>
      <c r="V37" s="689"/>
      <c r="W37" s="459">
        <f t="shared" si="8"/>
        <v>46177</v>
      </c>
      <c r="X37" s="680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0"/>
      <c r="J38" s="683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95"/>
      <c r="S38" s="506"/>
      <c r="T38" s="416">
        <f t="shared" si="7"/>
        <v>46203</v>
      </c>
      <c r="U38" s="401">
        <f t="shared" si="3"/>
        <v>4621.0595155925112</v>
      </c>
      <c r="V38" s="689"/>
      <c r="W38" s="459">
        <f t="shared" si="8"/>
        <v>46177</v>
      </c>
      <c r="X38" s="680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0"/>
      <c r="J39" s="683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96"/>
      <c r="S39" s="506"/>
      <c r="T39" s="416">
        <f t="shared" si="7"/>
        <v>46203</v>
      </c>
      <c r="U39" s="401">
        <f t="shared" si="3"/>
        <v>4621.0595155925112</v>
      </c>
      <c r="V39" s="689"/>
      <c r="W39" s="459">
        <f t="shared" si="8"/>
        <v>46200</v>
      </c>
      <c r="X39" s="680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0"/>
      <c r="J40" s="683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689"/>
      <c r="W40" s="459"/>
      <c r="X40" s="68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0"/>
      <c r="J41" s="683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689"/>
      <c r="W41" s="459"/>
      <c r="X41" s="68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1"/>
      <c r="J42" s="684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90"/>
      <c r="W42" s="460"/>
      <c r="X42" s="681"/>
    </row>
    <row r="43" spans="1:26" ht="13.9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70">
        <f>D165</f>
        <v>0</v>
      </c>
      <c r="J44" s="673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85">
        <f>J44-SUM(U44:U50)</f>
        <v>0</v>
      </c>
      <c r="W44" s="461">
        <f>T44</f>
        <v>46142</v>
      </c>
      <c r="X44" s="670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71"/>
      <c r="J45" s="674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86"/>
      <c r="W45" s="454">
        <f>W44</f>
        <v>46142</v>
      </c>
      <c r="X45" s="671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71"/>
      <c r="J46" s="674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86"/>
      <c r="W46" s="454">
        <f>W45</f>
        <v>46142</v>
      </c>
      <c r="X46" s="67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71"/>
      <c r="J47" s="674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86"/>
      <c r="W47" s="454"/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86"/>
      <c r="W48" s="455"/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86"/>
      <c r="W49" s="455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87"/>
      <c r="W50" s="456"/>
      <c r="X50" s="672"/>
    </row>
    <row r="51" spans="1:24" ht="14.2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79">
        <f>SUM(G52:G68)</f>
        <v>0</v>
      </c>
      <c r="J52" s="682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688">
        <f>J52-SUM(U52:U68)</f>
        <v>0</v>
      </c>
      <c r="W52" s="458"/>
      <c r="X52" s="679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0"/>
      <c r="J53" s="683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689"/>
      <c r="W53" s="459"/>
      <c r="X53" s="68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0"/>
      <c r="J54" s="683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689"/>
      <c r="W54" s="459"/>
      <c r="X54" s="68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0"/>
      <c r="J55" s="683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689"/>
      <c r="W55" s="459"/>
      <c r="X55" s="68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0"/>
      <c r="J56" s="683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689"/>
      <c r="W56" s="459"/>
      <c r="X56" s="68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0"/>
      <c r="J57" s="683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689"/>
      <c r="W57" s="459"/>
      <c r="X57" s="68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0"/>
      <c r="J58" s="683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94"/>
      <c r="S58" s="506"/>
      <c r="T58" s="419">
        <f>T90</f>
        <v>46142</v>
      </c>
      <c r="U58" s="401"/>
      <c r="V58" s="689"/>
      <c r="W58" s="459">
        <f>W90</f>
        <v>46134</v>
      </c>
      <c r="X58" s="68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0"/>
      <c r="J59" s="683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95"/>
      <c r="S59" s="506"/>
      <c r="T59" s="419">
        <f t="shared" si="0"/>
        <v>46142</v>
      </c>
      <c r="U59" s="401"/>
      <c r="V59" s="689"/>
      <c r="W59" s="459">
        <f t="shared" ref="W59:W65" si="11">W91</f>
        <v>46134</v>
      </c>
      <c r="X59" s="68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0"/>
      <c r="J60" s="683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95"/>
      <c r="S60" s="506"/>
      <c r="T60" s="419">
        <f t="shared" si="0"/>
        <v>46173</v>
      </c>
      <c r="U60" s="401"/>
      <c r="V60" s="689"/>
      <c r="W60" s="459">
        <f t="shared" si="11"/>
        <v>46167</v>
      </c>
      <c r="X60" s="68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0"/>
      <c r="J61" s="683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95"/>
      <c r="S61" s="506"/>
      <c r="T61" s="419">
        <f t="shared" si="0"/>
        <v>46173</v>
      </c>
      <c r="U61" s="401"/>
      <c r="V61" s="689"/>
      <c r="W61" s="459">
        <f t="shared" si="11"/>
        <v>46163</v>
      </c>
      <c r="X61" s="68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0"/>
      <c r="J62" s="683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95"/>
      <c r="S62" s="506"/>
      <c r="T62" s="419">
        <f t="shared" si="0"/>
        <v>46203</v>
      </c>
      <c r="U62" s="401"/>
      <c r="V62" s="689"/>
      <c r="W62" s="459">
        <f t="shared" si="11"/>
        <v>46176</v>
      </c>
      <c r="X62" s="68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0"/>
      <c r="J63" s="683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95"/>
      <c r="S63" s="510"/>
      <c r="T63" s="419">
        <f t="shared" si="0"/>
        <v>46203</v>
      </c>
      <c r="U63" s="406"/>
      <c r="V63" s="689"/>
      <c r="W63" s="459">
        <f t="shared" si="11"/>
        <v>46177</v>
      </c>
      <c r="X63" s="68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0"/>
      <c r="J64" s="683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95"/>
      <c r="S64" s="510"/>
      <c r="T64" s="419">
        <f t="shared" si="0"/>
        <v>46203</v>
      </c>
      <c r="U64" s="406"/>
      <c r="V64" s="689"/>
      <c r="W64" s="459">
        <f t="shared" si="11"/>
        <v>46177</v>
      </c>
      <c r="X64" s="68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0"/>
      <c r="J65" s="683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96"/>
      <c r="S65" s="510"/>
      <c r="T65" s="419">
        <f t="shared" si="0"/>
        <v>46203</v>
      </c>
      <c r="U65" s="406"/>
      <c r="V65" s="689"/>
      <c r="W65" s="459">
        <f t="shared" si="11"/>
        <v>46200</v>
      </c>
      <c r="X65" s="68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0"/>
      <c r="J66" s="683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689"/>
      <c r="W66" s="462"/>
      <c r="X66" s="68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0"/>
      <c r="J67" s="683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689"/>
      <c r="W67" s="462"/>
      <c r="X67" s="68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1"/>
      <c r="J68" s="684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690"/>
      <c r="W68" s="460"/>
      <c r="X68" s="681"/>
    </row>
    <row r="69" spans="1:24" ht="13.9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70">
        <f>SUM(G70:G77)</f>
        <v>1211692.6086956521</v>
      </c>
      <c r="J70" s="673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691">
        <f>J70-SUM(U70:U77)</f>
        <v>0</v>
      </c>
      <c r="W70" s="464">
        <v>46142</v>
      </c>
      <c r="X70" s="670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71"/>
      <c r="J71" s="674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692"/>
      <c r="W71" s="455">
        <v>46142</v>
      </c>
      <c r="X71" s="671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71"/>
      <c r="J72" s="674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692"/>
      <c r="W72" s="455">
        <v>46142</v>
      </c>
      <c r="X72" s="671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71"/>
      <c r="J73" s="674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692"/>
      <c r="W73" s="455">
        <v>46142</v>
      </c>
      <c r="X73" s="671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71"/>
      <c r="J74" s="674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692"/>
      <c r="W74" s="455">
        <v>46142</v>
      </c>
      <c r="X74" s="671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71"/>
      <c r="J75" s="674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692"/>
      <c r="W75" s="455">
        <v>46142</v>
      </c>
      <c r="X75" s="67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71"/>
      <c r="J76" s="674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692"/>
      <c r="W76" s="455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693"/>
      <c r="W77" s="456"/>
      <c r="X77" s="672"/>
    </row>
    <row r="78" spans="1:24" ht="13.9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79">
        <f>SUM(G79:G87)</f>
        <v>693148.4</v>
      </c>
      <c r="J79" s="682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709">
        <f>J79-SUM(U79:U87)</f>
        <v>0</v>
      </c>
      <c r="W79" s="458"/>
      <c r="X79" s="679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80"/>
      <c r="J80" s="683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710"/>
      <c r="W80" s="458">
        <v>46142</v>
      </c>
      <c r="X80" s="680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80"/>
      <c r="J81" s="683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710"/>
      <c r="W81" s="458">
        <v>46142</v>
      </c>
      <c r="X81" s="680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80"/>
      <c r="J82" s="683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710"/>
      <c r="W82" s="458">
        <v>46142</v>
      </c>
      <c r="X82" s="68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0"/>
      <c r="J83" s="683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710"/>
      <c r="W83" s="459"/>
      <c r="X83" s="68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0"/>
      <c r="J84" s="683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710"/>
      <c r="W84" s="459"/>
      <c r="X84" s="68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80"/>
      <c r="J85" s="683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710"/>
      <c r="W85" s="459"/>
      <c r="X85" s="68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80"/>
      <c r="J86" s="683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710"/>
      <c r="W86" s="462"/>
      <c r="X86" s="68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81"/>
      <c r="J87" s="684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711"/>
      <c r="W87" s="460"/>
      <c r="X87" s="68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703">
        <f>SUM(G89:G100)</f>
        <v>95060</v>
      </c>
      <c r="J89" s="673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85">
        <f>J89-SUM(U89:U100)</f>
        <v>0</v>
      </c>
      <c r="W89" s="461"/>
      <c r="X89" s="670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704"/>
      <c r="J90" s="674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715"/>
      <c r="S90" s="501"/>
      <c r="T90" s="412">
        <f t="shared" si="12"/>
        <v>46142</v>
      </c>
      <c r="U90" s="397">
        <f t="shared" si="15"/>
        <v>10562.222222222223</v>
      </c>
      <c r="V90" s="686"/>
      <c r="W90" s="454">
        <f>'Project Plan'!I20</f>
        <v>46134</v>
      </c>
      <c r="X90" s="671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4"/>
      <c r="J91" s="674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716"/>
      <c r="S91" s="502"/>
      <c r="T91" s="412">
        <f t="shared" si="12"/>
        <v>46142</v>
      </c>
      <c r="U91" s="397">
        <f t="shared" si="15"/>
        <v>15843.333333333332</v>
      </c>
      <c r="V91" s="686"/>
      <c r="W91" s="455">
        <f>'Project Plan'!I20</f>
        <v>46134</v>
      </c>
      <c r="X91" s="67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4"/>
      <c r="J92" s="674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716"/>
      <c r="S92" s="502"/>
      <c r="T92" s="412">
        <f t="shared" si="12"/>
        <v>46173</v>
      </c>
      <c r="U92" s="397">
        <f t="shared" si="15"/>
        <v>21124.444444444445</v>
      </c>
      <c r="V92" s="686"/>
      <c r="W92" s="455">
        <f>'Project Plan'!K22+7</f>
        <v>46167</v>
      </c>
      <c r="X92" s="67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4"/>
      <c r="J93" s="674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716"/>
      <c r="S93" s="502"/>
      <c r="T93" s="412">
        <f t="shared" si="12"/>
        <v>46173</v>
      </c>
      <c r="U93" s="397">
        <f t="shared" si="15"/>
        <v>26405.555555555555</v>
      </c>
      <c r="V93" s="686"/>
      <c r="W93" s="455">
        <f>'Project Plan'!K29+7</f>
        <v>46163</v>
      </c>
      <c r="X93" s="67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4"/>
      <c r="J94" s="674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716"/>
      <c r="S94" s="502"/>
      <c r="T94" s="412">
        <f t="shared" si="12"/>
        <v>46203</v>
      </c>
      <c r="U94" s="397">
        <f t="shared" si="15"/>
        <v>10562.222222222223</v>
      </c>
      <c r="V94" s="686"/>
      <c r="W94" s="455">
        <f>'Project Plan'!K40+7</f>
        <v>46176</v>
      </c>
      <c r="X94" s="67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4"/>
      <c r="J95" s="674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716"/>
      <c r="S95" s="502"/>
      <c r="T95" s="412">
        <f t="shared" si="12"/>
        <v>46203</v>
      </c>
      <c r="U95" s="397">
        <f t="shared" si="15"/>
        <v>10562.222222222223</v>
      </c>
      <c r="V95" s="686"/>
      <c r="W95" s="455">
        <f>'Project Plan'!K47+7</f>
        <v>46177</v>
      </c>
      <c r="X95" s="67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4"/>
      <c r="J96" s="674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716"/>
      <c r="S96" s="502"/>
      <c r="T96" s="412">
        <f t="shared" si="12"/>
        <v>46203</v>
      </c>
      <c r="U96" s="397">
        <f t="shared" si="15"/>
        <v>5281.1111111111113</v>
      </c>
      <c r="V96" s="686"/>
      <c r="W96" s="455">
        <f>'Project Plan'!K47+7</f>
        <v>46177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4"/>
      <c r="J97" s="674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717"/>
      <c r="S97" s="502"/>
      <c r="T97" s="412">
        <f t="shared" si="12"/>
        <v>46203</v>
      </c>
      <c r="U97" s="397">
        <f t="shared" si="15"/>
        <v>5281.1111111111113</v>
      </c>
      <c r="V97" s="686"/>
      <c r="W97" s="455">
        <f>'Project Plan'!K47+30</f>
        <v>46200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4"/>
      <c r="J98" s="674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86"/>
      <c r="W98" s="455"/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4"/>
      <c r="J99" s="674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86"/>
      <c r="W99" s="455"/>
      <c r="X99" s="671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5"/>
      <c r="J100" s="675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87"/>
      <c r="W100" s="456"/>
      <c r="X100" s="672"/>
    </row>
    <row r="101" spans="1:24" ht="13.9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97">
        <f>SUM(G102:G116)</f>
        <v>32715.466666666667</v>
      </c>
      <c r="J102" s="700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7">(Q102/$X$102*$J$102)</f>
        <v>16107.979117122353</v>
      </c>
      <c r="V102" s="706">
        <f>J102-SUM(U102:U116)</f>
        <v>0</v>
      </c>
      <c r="W102" s="465">
        <f>W108</f>
        <v>46167</v>
      </c>
      <c r="X102" s="697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98"/>
      <c r="J103" s="701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707"/>
      <c r="W103" s="466"/>
      <c r="X103" s="698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98"/>
      <c r="J104" s="701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707"/>
      <c r="W104" s="466"/>
      <c r="X104" s="698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98"/>
      <c r="J105" s="701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707"/>
      <c r="W105" s="466"/>
      <c r="X105" s="698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98"/>
      <c r="J106" s="701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712"/>
      <c r="S106" s="515"/>
      <c r="T106" s="425">
        <f>T90</f>
        <v>46142</v>
      </c>
      <c r="U106" s="409">
        <f t="shared" si="17"/>
        <v>2024.253940139617</v>
      </c>
      <c r="V106" s="707"/>
      <c r="W106" s="467">
        <f>W90</f>
        <v>46134</v>
      </c>
      <c r="X106" s="69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98"/>
      <c r="J107" s="701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713"/>
      <c r="S107" s="520"/>
      <c r="T107" s="425">
        <f t="shared" ref="T107:T113" si="19">T91</f>
        <v>46142</v>
      </c>
      <c r="U107" s="409">
        <f t="shared" si="17"/>
        <v>3036.380910209426</v>
      </c>
      <c r="V107" s="707"/>
      <c r="W107" s="467">
        <f t="shared" ref="W107:W113" si="20">W91</f>
        <v>46134</v>
      </c>
      <c r="X107" s="69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98"/>
      <c r="J108" s="701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713"/>
      <c r="S108" s="515"/>
      <c r="T108" s="425">
        <f t="shared" si="19"/>
        <v>46173</v>
      </c>
      <c r="U108" s="409">
        <f t="shared" si="17"/>
        <v>4048.5078802792341</v>
      </c>
      <c r="V108" s="707"/>
      <c r="W108" s="467">
        <f t="shared" si="20"/>
        <v>46167</v>
      </c>
      <c r="X108" s="69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8"/>
      <c r="J109" s="701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713"/>
      <c r="S109" s="515"/>
      <c r="T109" s="425">
        <f t="shared" si="19"/>
        <v>46173</v>
      </c>
      <c r="U109" s="409">
        <f t="shared" si="17"/>
        <v>5060.6348503490426</v>
      </c>
      <c r="V109" s="707"/>
      <c r="W109" s="467">
        <f t="shared" si="20"/>
        <v>46163</v>
      </c>
      <c r="X109" s="69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8"/>
      <c r="J110" s="701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713"/>
      <c r="S110" s="515"/>
      <c r="T110" s="425">
        <f t="shared" si="19"/>
        <v>46203</v>
      </c>
      <c r="U110" s="409">
        <f t="shared" si="17"/>
        <v>2024.253940139617</v>
      </c>
      <c r="V110" s="707"/>
      <c r="W110" s="467">
        <f t="shared" si="20"/>
        <v>46176</v>
      </c>
      <c r="X110" s="69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8"/>
      <c r="J111" s="701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713"/>
      <c r="S111" s="515"/>
      <c r="T111" s="425">
        <f t="shared" si="19"/>
        <v>46203</v>
      </c>
      <c r="U111" s="409">
        <f t="shared" si="17"/>
        <v>2024.253940139617</v>
      </c>
      <c r="V111" s="707"/>
      <c r="W111" s="467">
        <f t="shared" si="20"/>
        <v>46177</v>
      </c>
      <c r="X111" s="69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8"/>
      <c r="J112" s="701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713"/>
      <c r="S112" s="515"/>
      <c r="T112" s="425">
        <f t="shared" si="19"/>
        <v>46203</v>
      </c>
      <c r="U112" s="409">
        <f t="shared" si="17"/>
        <v>1012.1269700698085</v>
      </c>
      <c r="V112" s="707"/>
      <c r="W112" s="467">
        <f t="shared" si="20"/>
        <v>46177</v>
      </c>
      <c r="X112" s="69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8"/>
      <c r="J113" s="701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714"/>
      <c r="S113" s="515"/>
      <c r="T113" s="425">
        <f t="shared" si="19"/>
        <v>46203</v>
      </c>
      <c r="U113" s="409">
        <f t="shared" si="17"/>
        <v>1012.1269700698085</v>
      </c>
      <c r="V113" s="707"/>
      <c r="W113" s="467">
        <f t="shared" si="20"/>
        <v>46200</v>
      </c>
      <c r="X113" s="69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8"/>
      <c r="J114" s="701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707"/>
      <c r="W114" s="467"/>
      <c r="X114" s="69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8"/>
      <c r="J115" s="701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707"/>
      <c r="W115" s="467"/>
      <c r="X115" s="698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99"/>
      <c r="J116" s="702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708"/>
      <c r="W116" s="468"/>
      <c r="X116" s="699"/>
    </row>
    <row r="117" spans="1:24" ht="13.9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70">
        <f>SUM(G118:G122)</f>
        <v>29000</v>
      </c>
      <c r="J118" s="673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85">
        <f>J118-SUM(U118:U122)</f>
        <v>0</v>
      </c>
      <c r="W118" s="461">
        <f>'Project Plan'!K40+14</f>
        <v>46183</v>
      </c>
      <c r="X118" s="670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71"/>
      <c r="J119" s="674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86"/>
      <c r="W119" s="461">
        <f>'Project Plan'!K41+14</f>
        <v>46175</v>
      </c>
      <c r="X119" s="671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71"/>
      <c r="J120" s="674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86"/>
      <c r="W120" s="454"/>
      <c r="X120" s="671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71"/>
      <c r="J121" s="674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86"/>
      <c r="W121" s="455">
        <f>'Project Plan'!K40</f>
        <v>46169</v>
      </c>
      <c r="X121" s="671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72"/>
      <c r="J122" s="675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87"/>
      <c r="W122" s="456"/>
      <c r="X122" s="672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97">
        <f>SUM(G124:G125)</f>
        <v>0</v>
      </c>
      <c r="J124" s="700">
        <v>0</v>
      </c>
      <c r="K124" s="718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97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99"/>
      <c r="J125" s="702"/>
      <c r="K125" s="719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99"/>
    </row>
    <row r="126" spans="1:24" ht="14.2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70">
        <f>SUM(G127:G131)</f>
        <v>22639.989754528986</v>
      </c>
      <c r="J127" s="673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1">(Q127/$X$127*$J$127)</f>
        <v>25727.261084692029</v>
      </c>
      <c r="V127" s="685">
        <f>J127-SUM(U127:U132)</f>
        <v>0</v>
      </c>
      <c r="W127" s="461">
        <f>'Project Plan'!K40</f>
        <v>46169</v>
      </c>
      <c r="X127" s="670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71"/>
      <c r="J128" s="674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1"/>
        <v>0</v>
      </c>
      <c r="V128" s="686"/>
      <c r="W128" s="454">
        <f>W127</f>
        <v>46169</v>
      </c>
      <c r="X128" s="671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71"/>
      <c r="J129" s="674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1"/>
        <v>0</v>
      </c>
      <c r="V129" s="686"/>
      <c r="W129" s="454">
        <f t="shared" ref="W129:W131" si="22">W128</f>
        <v>46169</v>
      </c>
      <c r="X129" s="67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71"/>
      <c r="J130" s="674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1"/>
        <v>0</v>
      </c>
      <c r="V130" s="686"/>
      <c r="W130" s="454">
        <f t="shared" si="22"/>
        <v>46169</v>
      </c>
      <c r="X130" s="67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71"/>
      <c r="J131" s="674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1"/>
        <v>0</v>
      </c>
      <c r="V131" s="686"/>
      <c r="W131" s="454">
        <f t="shared" si="22"/>
        <v>46169</v>
      </c>
      <c r="X131" s="671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72"/>
      <c r="J132" s="675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87"/>
      <c r="W132" s="456"/>
      <c r="X132" s="672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97">
        <f>SUM(G134:G145)</f>
        <v>1925</v>
      </c>
      <c r="J134" s="700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706">
        <f>J134-SUM(U134:U145)</f>
        <v>0</v>
      </c>
      <c r="W134" s="467">
        <f>T134+7</f>
        <v>46119</v>
      </c>
      <c r="X134" s="697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98"/>
      <c r="J135" s="701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707"/>
      <c r="W135" s="467">
        <f>T135+7</f>
        <v>46149</v>
      </c>
      <c r="X135" s="698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98"/>
      <c r="J136" s="701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707"/>
      <c r="W136" s="467">
        <f>T136+7</f>
        <v>46180</v>
      </c>
      <c r="X136" s="69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98"/>
      <c r="J137" s="701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707"/>
      <c r="W137" s="467">
        <f>T137+7</f>
        <v>46210</v>
      </c>
      <c r="X137" s="69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8"/>
      <c r="J138" s="701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7"/>
      <c r="W138" s="467"/>
      <c r="X138" s="69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8"/>
      <c r="J139" s="701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7"/>
      <c r="W139" s="467"/>
      <c r="X139" s="69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8"/>
      <c r="J140" s="701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7"/>
      <c r="W140" s="467"/>
      <c r="X140" s="69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8"/>
      <c r="J141" s="701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7"/>
      <c r="W141" s="467"/>
      <c r="X141" s="69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8"/>
      <c r="J142" s="701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7"/>
      <c r="W142" s="467"/>
      <c r="X142" s="69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8"/>
      <c r="J143" s="701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7"/>
      <c r="W143" s="467"/>
      <c r="X143" s="69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8"/>
      <c r="J144" s="701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7"/>
      <c r="W144" s="467"/>
      <c r="X144" s="698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99"/>
      <c r="J145" s="702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8"/>
      <c r="W145" s="468"/>
      <c r="X145" s="699"/>
    </row>
    <row r="146" spans="1:24" ht="14.2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70">
        <f>SUM(G147:G158)</f>
        <v>0</v>
      </c>
      <c r="J147" s="673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5">
        <v>0</v>
      </c>
      <c r="W147" s="461"/>
      <c r="X147" s="670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71"/>
      <c r="J148" s="674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6"/>
      <c r="W148" s="454"/>
      <c r="X148" s="671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71"/>
      <c r="J149" s="674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6"/>
      <c r="W149" s="454"/>
      <c r="X149" s="671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71"/>
      <c r="J150" s="674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6"/>
      <c r="W150" s="454"/>
      <c r="X150" s="671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71"/>
      <c r="J151" s="674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6"/>
      <c r="W151" s="454"/>
      <c r="X151" s="67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71"/>
      <c r="J152" s="674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6"/>
      <c r="W152" s="454"/>
      <c r="X152" s="67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71"/>
      <c r="J153" s="674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6"/>
      <c r="W153" s="454"/>
      <c r="X153" s="67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6"/>
      <c r="W154" s="454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6"/>
      <c r="W155" s="454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6"/>
      <c r="W156" s="454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6"/>
      <c r="W157" s="454"/>
      <c r="X157" s="671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72"/>
      <c r="J158" s="675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7"/>
      <c r="W158" s="456"/>
      <c r="X158" s="672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19921875" customWidth="1"/>
    <col min="5" max="5" width="4.46484375" customWidth="1"/>
    <col min="6" max="6" width="16.46484375" bestFit="1" customWidth="1"/>
    <col min="7" max="7" width="20.46484375" customWidth="1"/>
    <col min="8" max="291" width="15.46484375" bestFit="1" customWidth="1"/>
    <col min="292" max="292" width="9.4648437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1449887.3270009493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0</v>
      </c>
      <c r="X4" s="109">
        <f t="shared" si="5"/>
        <v>724943.66350047465</v>
      </c>
      <c r="Y4" s="109">
        <f t="shared" si="5"/>
        <v>1014921.1289006645</v>
      </c>
      <c r="Z4" s="109">
        <f t="shared" si="5"/>
        <v>1014921.1289006645</v>
      </c>
      <c r="AA4" s="109">
        <f t="shared" si="5"/>
        <v>2464808.4559016139</v>
      </c>
      <c r="AB4" s="109">
        <f t="shared" si="5"/>
        <v>2464808.4559016139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21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21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0</v>
      </c>
      <c r="X7" s="118">
        <f t="shared" si="16"/>
        <v>724943.66350047465</v>
      </c>
      <c r="Y7" s="118">
        <f t="shared" si="16"/>
        <v>1014921.1289006645</v>
      </c>
      <c r="Z7" s="118">
        <f t="shared" si="16"/>
        <v>929000.02890066453</v>
      </c>
      <c r="AA7" s="118">
        <f t="shared" si="16"/>
        <v>243468.88053929526</v>
      </c>
      <c r="AB7" s="118">
        <f t="shared" si="16"/>
        <v>214468.88053929526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20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1449887.3270009493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21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2007643.008695652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89531.59950835706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2050729.7791123188</v>
      </c>
      <c r="AF12" s="125">
        <f t="shared" si="26"/>
        <v>2051211.0291123188</v>
      </c>
      <c r="AG12" s="125">
        <f t="shared" si="26"/>
        <v>2051211.0291123188</v>
      </c>
      <c r="AH12" s="125">
        <f t="shared" si="26"/>
        <v>2093816.5495289855</v>
      </c>
      <c r="AI12" s="125">
        <f t="shared" si="26"/>
        <v>2183348.1490373425</v>
      </c>
      <c r="AJ12" s="125">
        <f t="shared" si="26"/>
        <v>2244434.9194540093</v>
      </c>
      <c r="AK12" s="125">
        <f t="shared" si="26"/>
        <v>2255434.9194540093</v>
      </c>
      <c r="AL12" s="125">
        <f t="shared" si="26"/>
        <v>2255434.9194540093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0</v>
      </c>
      <c r="X14" s="118">
        <f t="shared" si="32"/>
        <v>0</v>
      </c>
      <c r="Y14" s="118">
        <f t="shared" si="32"/>
        <v>0</v>
      </c>
      <c r="Z14" s="118">
        <f t="shared" si="32"/>
        <v>0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414078.67678929516</v>
      </c>
      <c r="AF14" s="118">
        <f t="shared" si="32"/>
        <v>413597.42678929516</v>
      </c>
      <c r="AG14" s="118">
        <f t="shared" si="32"/>
        <v>413597.42678929516</v>
      </c>
      <c r="AH14" s="118">
        <f t="shared" si="32"/>
        <v>370991.90637262841</v>
      </c>
      <c r="AI14" s="118">
        <f t="shared" si="32"/>
        <v>281460.30686427141</v>
      </c>
      <c r="AJ14" s="118">
        <f t="shared" si="32"/>
        <v>510351.00184779428</v>
      </c>
      <c r="AK14" s="118">
        <f t="shared" si="32"/>
        <v>499351.00184779428</v>
      </c>
      <c r="AL14" s="118">
        <f t="shared" si="32"/>
        <v>499351.00184779428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190348.64776446112</v>
      </c>
      <c r="CD14" s="118">
        <f t="shared" si="33"/>
        <v>190348.64776446112</v>
      </c>
      <c r="CE14" s="118">
        <f t="shared" si="33"/>
        <v>190348.64776446112</v>
      </c>
      <c r="CF14" s="118">
        <f t="shared" si="33"/>
        <v>190348.64776446112</v>
      </c>
      <c r="CG14" s="118">
        <f t="shared" si="33"/>
        <v>190348.64776446112</v>
      </c>
      <c r="CH14" s="118">
        <f t="shared" si="33"/>
        <v>190348.64776446112</v>
      </c>
      <c r="CI14" s="118">
        <f t="shared" si="33"/>
        <v>190348.64776446112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2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534.72222222222217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2300576.6059226072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146122.45031880701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534.72222222222217</v>
      </c>
      <c r="AB18" s="125">
        <f t="shared" si="37"/>
        <v>534.72222222222217</v>
      </c>
      <c r="AC18" s="125">
        <f t="shared" si="37"/>
        <v>534.72222222222217</v>
      </c>
      <c r="AD18" s="125">
        <f>AC18+AD17</f>
        <v>534.72222222222217</v>
      </c>
      <c r="AE18" s="125">
        <f t="shared" si="37"/>
        <v>2301111.3281448293</v>
      </c>
      <c r="AF18" s="125">
        <f t="shared" si="37"/>
        <v>2301111.3281448293</v>
      </c>
      <c r="AG18" s="125">
        <f t="shared" si="37"/>
        <v>2301111.3281448293</v>
      </c>
      <c r="AH18" s="125">
        <f t="shared" si="37"/>
        <v>2301111.3281448293</v>
      </c>
      <c r="AI18" s="125">
        <f t="shared" si="37"/>
        <v>2447233.7784636361</v>
      </c>
      <c r="AJ18" s="125">
        <f t="shared" si="37"/>
        <v>2447233.7784636361</v>
      </c>
      <c r="AK18" s="125">
        <f t="shared" si="37"/>
        <v>2447233.7784636361</v>
      </c>
      <c r="AL18" s="125">
        <f t="shared" si="37"/>
        <v>2447233.7784636361</v>
      </c>
      <c r="AM18" s="125">
        <f t="shared" si="37"/>
        <v>2447233.7784636361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9921875" defaultRowHeight="14.25"/>
  <cols>
    <col min="1" max="1" width="36.796875" style="269" bestFit="1" customWidth="1"/>
    <col min="2" max="2" width="15.796875" style="270" bestFit="1" customWidth="1"/>
    <col min="3" max="3" width="6.19921875" style="269" bestFit="1" customWidth="1"/>
    <col min="4" max="4" width="11.19921875" style="269" bestFit="1" customWidth="1"/>
    <col min="5" max="5" width="12.796875" style="269" bestFit="1" customWidth="1"/>
    <col min="6" max="6" width="14.53125" style="269" bestFit="1" customWidth="1"/>
    <col min="7" max="8" width="11.796875" style="269" bestFit="1" customWidth="1"/>
    <col min="9" max="10" width="14.53125" style="269" bestFit="1" customWidth="1"/>
    <col min="11" max="11" width="11.19921875" style="269" bestFit="1" customWidth="1"/>
    <col min="12" max="12" width="6.19921875" style="269" bestFit="1" customWidth="1"/>
    <col min="13" max="13" width="14.46484375" style="269" bestFit="1" customWidth="1"/>
    <col min="14" max="14" width="13.53125" style="269" bestFit="1" customWidth="1"/>
    <col min="15" max="18" width="11.46484375" style="269" bestFit="1" customWidth="1"/>
    <col min="19" max="19" width="13.53125" style="269" bestFit="1" customWidth="1"/>
    <col min="20" max="16384" width="12.199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6484375" defaultRowHeight="14.25"/>
  <cols>
    <col min="1" max="1" width="20.19921875" bestFit="1" customWidth="1"/>
    <col min="2" max="2" width="15.796875" style="308" bestFit="1" customWidth="1"/>
    <col min="3" max="3" width="6.19921875" style="308" bestFit="1" customWidth="1"/>
    <col min="4" max="4" width="11.19921875" style="308" bestFit="1" customWidth="1"/>
    <col min="5" max="5" width="12.796875" style="308" bestFit="1" customWidth="1"/>
    <col min="6" max="6" width="14.53125" style="308" bestFit="1" customWidth="1"/>
    <col min="7" max="8" width="11.796875" style="308" bestFit="1" customWidth="1"/>
    <col min="9" max="9" width="14.53125" style="308" bestFit="1" customWidth="1"/>
    <col min="10" max="10" width="12.19921875" bestFit="1" customWidth="1"/>
    <col min="11" max="11" width="10.796875" bestFit="1" customWidth="1"/>
    <col min="12" max="12" width="10.46484375" bestFit="1" customWidth="1"/>
    <col min="13" max="13" width="14" bestFit="1" customWidth="1"/>
    <col min="14" max="14" width="13.53125" bestFit="1" customWidth="1"/>
    <col min="15" max="15" width="11.53125" bestFit="1" customWidth="1"/>
    <col min="16" max="16" width="10.46484375" bestFit="1" customWidth="1"/>
    <col min="17" max="18" width="11.53125" bestFit="1" customWidth="1"/>
    <col min="19" max="19" width="13.4648437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6484375" defaultRowHeight="12.75"/>
  <cols>
    <col min="1" max="2" width="9.46484375" style="9"/>
    <col min="3" max="3" width="13.46484375" style="9" bestFit="1" customWidth="1"/>
    <col min="4" max="5" width="9.46484375" style="9"/>
    <col min="6" max="6" width="12.19921875" style="9" bestFit="1" customWidth="1"/>
    <col min="7" max="7" width="1.46484375" style="9" customWidth="1"/>
    <col min="8" max="8" width="11.46484375" style="9" bestFit="1" customWidth="1"/>
    <col min="9" max="16384" width="9.46484375" style="9"/>
  </cols>
  <sheetData>
    <row r="1" spans="3:8" ht="13.15" thickBot="1"/>
    <row r="2" spans="3:8" ht="13.15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.15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.15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963D3D-7391-4C2D-8D3E-39B3856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2026-03-02T08:24:35Z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