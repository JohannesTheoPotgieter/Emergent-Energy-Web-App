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hartsheets/sheet1.xml" ContentType="application/vnd.openxmlformats-officedocument.spreadsheetml.chart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documenttasks/documenttask1.xml" ContentType="application/vnd.ms-excel.documenttasks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55" documentId="13_ncr:1_{BA1CC1FC-A7FD-4E2B-8D12-3459F4BE8393}" xr6:coauthVersionLast="47" xr6:coauthVersionMax="47" xr10:uidLastSave="{05F7C143-0C05-4348-94E5-FEF27AC32243}"/>
  <bookViews>
    <workbookView xWindow="-110" yWindow="-110" windowWidth="19420" windowHeight="11500" tabRatio="656" firstSheet="3" activeTab="5" xr2:uid="{E6903F24-528D-4F70-BAAE-8243B2418312}"/>
  </bookViews>
  <sheets>
    <sheet name="Sheet1" sheetId="1" state="hidden" r:id="rId1"/>
    <sheet name="Certificate - Financial Close" sheetId="19" r:id="rId2"/>
    <sheet name="Compliance" sheetId="18" r:id="rId3"/>
    <sheet name="Revenue Tracking" sheetId="5" r:id="rId4"/>
    <sheet name="Data" sheetId="8" state="hidden" r:id="rId5"/>
    <sheet name="Project Plan" sheetId="2" r:id="rId6"/>
    <sheet name="Expenditure Tracking" sheetId="3" r:id="rId7"/>
    <sheet name="Expenditure Breakdown" sheetId="4" r:id="rId8"/>
    <sheet name="Cashflow" sheetId="6" r:id="rId9"/>
    <sheet name="Chart1" sheetId="11" r:id="rId10"/>
    <sheet name="Finance - Rev" sheetId="13" r:id="rId11"/>
    <sheet name="Finance - COS" sheetId="16" r:id="rId12"/>
    <sheet name="Project Margins" sheetId="12" state="hidden" r:id="rId13"/>
    <sheet name="Equipment Quotes" sheetId="9" state="hidden" r:id="rId14"/>
    <sheet name="Installer Quotes" sheetId="7" state="hidden" r:id="rId15"/>
    <sheet name="Project Plan-Volvo" sheetId="17" state="hidden" r:id="rId16"/>
    <sheet name="Decision Register" sheetId="10" state="hidden" r:id="rId17"/>
  </sheets>
  <definedNames>
    <definedName name="Inverter_Capacity">#REF!</definedName>
    <definedName name="Inverter_Supplier">#REF!</definedName>
    <definedName name="_xlnm.Print_Area" localSheetId="1">'Certificate - Financial Close'!$A$1:$F$26</definedName>
    <definedName name="_xlnm.Print_Area" localSheetId="5">'Project Plan'!$B$66:$G$71</definedName>
    <definedName name="_xlnm.Print_Area" localSheetId="15">'Project Plan-Volvo'!$B$65:$G$70</definedName>
    <definedName name="Project_Size" localSheetId="1">'Certificate - Financial Close'!Projectsize</definedName>
    <definedName name="Project_Size" localSheetId="2">Compliance!Projectsize</definedName>
    <definedName name="Project_Size" localSheetId="10">'Finance - Rev'!Projectsize</definedName>
    <definedName name="Project_Size">Projectsize</definedName>
    <definedName name="Projectsize" localSheetId="1">#REF!</definedName>
    <definedName name="Projectsize" localSheetId="2">#REF!</definedName>
    <definedName name="Projectsize" localSheetId="10">#REF!</definedName>
    <definedName name="Projectsize">'Project Margins'!$K$5</definedName>
    <definedName name="Security_Serv" localSheetId="10">#REF!</definedName>
    <definedName name="Security_Serv">#REF!</definedName>
    <definedName name="SSS" localSheetId="10">#REF!</definedName>
    <definedName name="SSS">#REF!</definedName>
    <definedName name="USD_ZAR">#REF!</definedName>
  </definedNames>
  <calcPr calcId="191028"/>
  <pivotCaches>
    <pivotCache cacheId="2" r:id="rId18"/>
    <pivotCache cacheId="3" r:id="rId1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3" i="5" l="1"/>
  <c r="C4" i="19"/>
  <c r="C26" i="13" l="1"/>
  <c r="B30" i="13" s="1"/>
  <c r="P16" i="5" l="1"/>
  <c r="W97" i="4"/>
  <c r="R82" i="4" l="1"/>
  <c r="R81" i="4"/>
  <c r="G19" i="17" l="1"/>
  <c r="E20" i="17" s="1"/>
  <c r="E21" i="17"/>
  <c r="G21" i="17"/>
  <c r="E22" i="17" s="1"/>
  <c r="G22" i="17" s="1"/>
  <c r="E23" i="17" s="1"/>
  <c r="G23" i="17" s="1"/>
  <c r="E38" i="17" s="1"/>
  <c r="G38" i="17" s="1"/>
  <c r="E39" i="17" s="1"/>
  <c r="G39" i="17" s="1"/>
  <c r="E40" i="17"/>
  <c r="G40" i="17" s="1"/>
  <c r="E36" i="17"/>
  <c r="E31" i="17"/>
  <c r="G31" i="17" s="1"/>
  <c r="M56" i="17"/>
  <c r="M53" i="17"/>
  <c r="K51" i="17"/>
  <c r="I58" i="17" s="1"/>
  <c r="K58" i="17" s="1"/>
  <c r="I60" i="17" s="1"/>
  <c r="K60" i="17" s="1"/>
  <c r="I61" i="17" s="1"/>
  <c r="K61" i="17" s="1"/>
  <c r="I62" i="17" s="1"/>
  <c r="K62" i="17" s="1"/>
  <c r="M48" i="17"/>
  <c r="K45" i="17"/>
  <c r="I46" i="17" s="1"/>
  <c r="M44" i="17"/>
  <c r="K40" i="17"/>
  <c r="K38" i="17"/>
  <c r="I39" i="17" s="1"/>
  <c r="K39" i="17" s="1"/>
  <c r="K36" i="17"/>
  <c r="I37" i="17" s="1"/>
  <c r="M35" i="17"/>
  <c r="K33" i="17"/>
  <c r="I31" i="17"/>
  <c r="K31" i="17" s="1"/>
  <c r="I30" i="17"/>
  <c r="K30" i="17" s="1"/>
  <c r="I29" i="17"/>
  <c r="E29" i="17"/>
  <c r="G29" i="17" s="1"/>
  <c r="E30" i="17" s="1"/>
  <c r="M28" i="17"/>
  <c r="K26" i="17"/>
  <c r="K25" i="17" s="1"/>
  <c r="G26" i="17"/>
  <c r="G25" i="17" s="1"/>
  <c r="I25" i="17"/>
  <c r="E25" i="17"/>
  <c r="M18" i="17"/>
  <c r="I17" i="17"/>
  <c r="K17" i="17" s="1"/>
  <c r="K16" i="17"/>
  <c r="I15" i="17"/>
  <c r="E15" i="17"/>
  <c r="K14" i="17"/>
  <c r="G14" i="17"/>
  <c r="M13" i="17"/>
  <c r="O1" i="17"/>
  <c r="N1" i="17"/>
  <c r="X6" i="4"/>
  <c r="V55" i="4"/>
  <c r="Q6" i="4"/>
  <c r="Q95" i="4"/>
  <c r="H25" i="13"/>
  <c r="D25" i="13"/>
  <c r="E25" i="13"/>
  <c r="G25" i="13"/>
  <c r="F25" i="13"/>
  <c r="B25" i="13"/>
  <c r="C25" i="13"/>
  <c r="E32" i="17" l="1"/>
  <c r="G32" i="17" s="1"/>
  <c r="E33" i="17"/>
  <c r="G33" i="17" s="1"/>
  <c r="I32" i="17"/>
  <c r="K32" i="17" s="1"/>
  <c r="E18" i="17"/>
  <c r="G20" i="17"/>
  <c r="G18" i="17" s="1"/>
  <c r="F18" i="17" s="1"/>
  <c r="K46" i="17"/>
  <c r="K44" i="17" s="1"/>
  <c r="I44" i="17"/>
  <c r="F25" i="17"/>
  <c r="I54" i="17"/>
  <c r="I53" i="17" s="1"/>
  <c r="I59" i="17"/>
  <c r="K59" i="17" s="1"/>
  <c r="J25" i="17"/>
  <c r="M25" i="17" s="1"/>
  <c r="M11" i="17" s="1"/>
  <c r="G15" i="17"/>
  <c r="E16" i="17" s="1"/>
  <c r="E17" i="17"/>
  <c r="G17" i="17" s="1"/>
  <c r="I13" i="17"/>
  <c r="K15" i="17"/>
  <c r="K13" i="17" s="1"/>
  <c r="J13" i="17" s="1"/>
  <c r="N13" i="17" s="1"/>
  <c r="K37" i="17"/>
  <c r="I41" i="17" s="1"/>
  <c r="K41" i="17" s="1"/>
  <c r="I42" i="17" s="1"/>
  <c r="K42" i="17" s="1"/>
  <c r="I19" i="17"/>
  <c r="K29" i="17"/>
  <c r="K54" i="17"/>
  <c r="K53" i="17" s="1"/>
  <c r="J53" i="17" s="1"/>
  <c r="N53" i="17" s="1"/>
  <c r="P6" i="5"/>
  <c r="E13" i="17" l="1"/>
  <c r="K28" i="17"/>
  <c r="J28" i="17" s="1"/>
  <c r="N28" i="17" s="1"/>
  <c r="I28" i="17"/>
  <c r="G16" i="17"/>
  <c r="G13" i="17" s="1"/>
  <c r="F13" i="17" s="1"/>
  <c r="N25" i="17"/>
  <c r="J44" i="17"/>
  <c r="N44" i="17" s="1"/>
  <c r="I35" i="17"/>
  <c r="K35" i="17"/>
  <c r="J35" i="17" s="1"/>
  <c r="N35" i="17" s="1"/>
  <c r="I21" i="17"/>
  <c r="K21" i="17" s="1"/>
  <c r="I22" i="17" s="1"/>
  <c r="K22" i="17" s="1"/>
  <c r="I23" i="17" s="1"/>
  <c r="K23" i="17" s="1"/>
  <c r="K19" i="17"/>
  <c r="E28" i="17"/>
  <c r="G30" i="17"/>
  <c r="G28" i="17" s="1"/>
  <c r="R13" i="4"/>
  <c r="K34" i="2"/>
  <c r="R18" i="4"/>
  <c r="T41" i="4"/>
  <c r="R26" i="4"/>
  <c r="R25" i="4"/>
  <c r="I49" i="17" l="1"/>
  <c r="R14" i="4"/>
  <c r="K49" i="17"/>
  <c r="I20" i="17"/>
  <c r="F28" i="17"/>
  <c r="J47" i="7"/>
  <c r="H47" i="7"/>
  <c r="G47" i="7"/>
  <c r="R40" i="4"/>
  <c r="R37" i="4"/>
  <c r="K20" i="17" l="1"/>
  <c r="K18" i="17" s="1"/>
  <c r="I18" i="17"/>
  <c r="I50" i="17"/>
  <c r="I32" i="2"/>
  <c r="I30" i="2"/>
  <c r="I57" i="17" l="1"/>
  <c r="K50" i="17"/>
  <c r="I48" i="17"/>
  <c r="J18" i="17"/>
  <c r="N18" i="17" s="1"/>
  <c r="K32" i="2"/>
  <c r="I31" i="2"/>
  <c r="J11" i="17" l="1"/>
  <c r="K48" i="17"/>
  <c r="J48" i="17" s="1"/>
  <c r="N48" i="17" s="1"/>
  <c r="I56" i="17"/>
  <c r="K57" i="17"/>
  <c r="K56" i="17" s="1"/>
  <c r="J56" i="17" s="1"/>
  <c r="N56" i="17" s="1"/>
  <c r="R52" i="4"/>
  <c r="R51" i="4"/>
  <c r="K46" i="2" l="1"/>
  <c r="K41" i="2"/>
  <c r="K39" i="2"/>
  <c r="I40" i="2" s="1"/>
  <c r="K40" i="2" s="1"/>
  <c r="K37" i="2"/>
  <c r="K30" i="2"/>
  <c r="K27" i="2"/>
  <c r="E30" i="2"/>
  <c r="AB24" i="4"/>
  <c r="R69" i="4"/>
  <c r="I38" i="2" l="1"/>
  <c r="I47" i="2"/>
  <c r="Q48" i="4"/>
  <c r="R48" i="4" s="1"/>
  <c r="AG24" i="4"/>
  <c r="I33" i="2"/>
  <c r="K33" i="2" s="1"/>
  <c r="K38" i="2"/>
  <c r="K47" i="2"/>
  <c r="N45" i="2" s="1"/>
  <c r="I45" i="2"/>
  <c r="M19" i="2"/>
  <c r="K26" i="2"/>
  <c r="N26" i="2" s="1"/>
  <c r="I26" i="2"/>
  <c r="I15" i="2"/>
  <c r="I20" i="2" s="1"/>
  <c r="K14" i="2"/>
  <c r="E32" i="2"/>
  <c r="E33" i="2" s="1"/>
  <c r="K45" i="2" l="1"/>
  <c r="J45" i="2" s="1"/>
  <c r="I42" i="2"/>
  <c r="I29" i="2"/>
  <c r="K31" i="2"/>
  <c r="N29" i="2" s="1"/>
  <c r="I22" i="2"/>
  <c r="K22" i="2" s="1"/>
  <c r="I23" i="2" s="1"/>
  <c r="K23" i="2" s="1"/>
  <c r="I24" i="2" s="1"/>
  <c r="K24" i="2" s="1"/>
  <c r="K20" i="2"/>
  <c r="J26" i="2"/>
  <c r="K15" i="2"/>
  <c r="K29" i="2" l="1"/>
  <c r="K42" i="2"/>
  <c r="I21" i="2"/>
  <c r="W31" i="4" l="1"/>
  <c r="J29" i="2"/>
  <c r="I43" i="2"/>
  <c r="K43" i="2" s="1"/>
  <c r="N36" i="2" s="1"/>
  <c r="K21" i="2"/>
  <c r="I19" i="2"/>
  <c r="I17" i="2"/>
  <c r="K17" i="2" s="1"/>
  <c r="K16" i="2"/>
  <c r="K19" i="2" l="1"/>
  <c r="N19" i="2"/>
  <c r="K13" i="2"/>
  <c r="N13" i="2"/>
  <c r="I13" i="2"/>
  <c r="J13" i="2"/>
  <c r="J19" i="2"/>
  <c r="K36" i="2"/>
  <c r="I50" i="2" s="1"/>
  <c r="I36" i="2"/>
  <c r="J36" i="2" l="1"/>
  <c r="X18" i="4"/>
  <c r="Q99" i="4"/>
  <c r="R100" i="4" s="1"/>
  <c r="R95" i="4"/>
  <c r="G32" i="2"/>
  <c r="G27" i="2"/>
  <c r="E26" i="2"/>
  <c r="E15" i="2"/>
  <c r="G14" i="2"/>
  <c r="X135" i="4"/>
  <c r="J23" i="3" s="1"/>
  <c r="Q30" i="4"/>
  <c r="AB38" i="4"/>
  <c r="AB39" i="4" s="1"/>
  <c r="AE24" i="4"/>
  <c r="AE38" i="4" s="1"/>
  <c r="AE39" i="4" s="1"/>
  <c r="AB15" i="4"/>
  <c r="AB14" i="4"/>
  <c r="AA15" i="4"/>
  <c r="AA14" i="4"/>
  <c r="R58" i="4"/>
  <c r="R57" i="4"/>
  <c r="R56" i="4"/>
  <c r="R55" i="4"/>
  <c r="W122" i="4"/>
  <c r="W123" i="4"/>
  <c r="W124" i="4"/>
  <c r="W125" i="4"/>
  <c r="W121" i="4"/>
  <c r="G29" i="4"/>
  <c r="M45" i="2"/>
  <c r="M36" i="2"/>
  <c r="H104" i="4"/>
  <c r="M57" i="2"/>
  <c r="M54" i="2"/>
  <c r="M49" i="2"/>
  <c r="M29" i="2"/>
  <c r="M13" i="2"/>
  <c r="O1" i="2"/>
  <c r="N1" i="2"/>
  <c r="B15" i="3"/>
  <c r="D15" i="3"/>
  <c r="D10" i="3"/>
  <c r="J55" i="4"/>
  <c r="F15" i="3" s="1"/>
  <c r="L15" i="3" s="1"/>
  <c r="G25" i="3"/>
  <c r="K2" i="4"/>
  <c r="G91" i="4"/>
  <c r="G90" i="4"/>
  <c r="G89" i="4"/>
  <c r="G88" i="4"/>
  <c r="G87" i="4"/>
  <c r="G86" i="4"/>
  <c r="G50" i="4"/>
  <c r="G49" i="4"/>
  <c r="G48" i="4"/>
  <c r="J112" i="4"/>
  <c r="F21" i="3" s="1"/>
  <c r="X110" i="4"/>
  <c r="J20" i="3" s="1"/>
  <c r="N20" i="3" s="1"/>
  <c r="G32" i="4"/>
  <c r="G6" i="4"/>
  <c r="J6" i="4" s="1"/>
  <c r="H48" i="4"/>
  <c r="H30" i="4" s="1"/>
  <c r="H37" i="4" s="1"/>
  <c r="H38" i="4" s="1"/>
  <c r="H86" i="4"/>
  <c r="H98" i="4" s="1"/>
  <c r="H100" i="4" s="1"/>
  <c r="AB12" i="4"/>
  <c r="AB11" i="4"/>
  <c r="AB10" i="4"/>
  <c r="I25" i="3"/>
  <c r="X104" i="4"/>
  <c r="U107" i="4" s="1"/>
  <c r="X76" i="4"/>
  <c r="J135" i="4"/>
  <c r="F23" i="3" s="1"/>
  <c r="J121" i="4"/>
  <c r="F22" i="3" s="1"/>
  <c r="L22" i="3" s="1"/>
  <c r="J110" i="4"/>
  <c r="F20" i="3" s="1"/>
  <c r="L20" i="3" s="1"/>
  <c r="J104" i="4"/>
  <c r="F19" i="3" s="1"/>
  <c r="L19" i="3" s="1"/>
  <c r="J76" i="4"/>
  <c r="F16" i="3" s="1"/>
  <c r="J34" i="4"/>
  <c r="F13" i="3" s="1"/>
  <c r="J18" i="4"/>
  <c r="F11" i="3" s="1"/>
  <c r="L11" i="3" s="1"/>
  <c r="D17" i="3"/>
  <c r="D18" i="3"/>
  <c r="D19" i="3"/>
  <c r="D20" i="3"/>
  <c r="D21" i="3"/>
  <c r="D22" i="3"/>
  <c r="D23" i="3"/>
  <c r="B23" i="3"/>
  <c r="B22" i="3"/>
  <c r="B21" i="3"/>
  <c r="B20" i="3"/>
  <c r="B19" i="3"/>
  <c r="B18" i="3"/>
  <c r="B17" i="3"/>
  <c r="D9" i="3"/>
  <c r="D11" i="3"/>
  <c r="D12" i="3"/>
  <c r="D13" i="3"/>
  <c r="D14" i="3"/>
  <c r="D16" i="3"/>
  <c r="B16" i="3"/>
  <c r="B14" i="3"/>
  <c r="B13" i="3"/>
  <c r="B12" i="3"/>
  <c r="B11" i="3"/>
  <c r="B10" i="3"/>
  <c r="B9" i="3"/>
  <c r="G31" i="4"/>
  <c r="J95" i="4"/>
  <c r="F18" i="3" s="1"/>
  <c r="L18" i="3" s="1"/>
  <c r="AB13" i="4"/>
  <c r="G1" i="6"/>
  <c r="J13" i="4"/>
  <c r="F10" i="3" s="1"/>
  <c r="L10" i="3" s="1"/>
  <c r="D6" i="7"/>
  <c r="J6" i="7" s="1"/>
  <c r="J29" i="9"/>
  <c r="J36" i="9"/>
  <c r="D31" i="9"/>
  <c r="D30" i="9"/>
  <c r="D18" i="9"/>
  <c r="D17" i="9" s="1"/>
  <c r="J23" i="9"/>
  <c r="J17" i="9"/>
  <c r="F17" i="9"/>
  <c r="F23" i="9"/>
  <c r="J9" i="9"/>
  <c r="D11" i="9"/>
  <c r="D10" i="9"/>
  <c r="F9" i="9"/>
  <c r="B38" i="7"/>
  <c r="B37" i="7"/>
  <c r="B36" i="7"/>
  <c r="B35" i="7"/>
  <c r="D26" i="7"/>
  <c r="J26" i="7" s="1"/>
  <c r="M21" i="7"/>
  <c r="M22" i="7"/>
  <c r="D25" i="7"/>
  <c r="J25" i="7" s="1"/>
  <c r="D24" i="7"/>
  <c r="J24" i="7" s="1"/>
  <c r="D22" i="7"/>
  <c r="J22" i="7" s="1"/>
  <c r="D21" i="7"/>
  <c r="E21" i="7" s="1"/>
  <c r="D20" i="7"/>
  <c r="J20" i="7" s="1"/>
  <c r="F36" i="9"/>
  <c r="D37" i="9"/>
  <c r="D36" i="9" s="1"/>
  <c r="B31" i="9"/>
  <c r="B30" i="9"/>
  <c r="H7" i="7"/>
  <c r="H8" i="7"/>
  <c r="H9" i="7"/>
  <c r="M9" i="7"/>
  <c r="M7" i="7"/>
  <c r="M8" i="7"/>
  <c r="D12" i="7"/>
  <c r="O12" i="7" s="1"/>
  <c r="D11" i="7"/>
  <c r="J11" i="7" s="1"/>
  <c r="D10" i="7"/>
  <c r="O10" i="7" s="1"/>
  <c r="D8" i="7"/>
  <c r="O22" i="7" s="1"/>
  <c r="D7" i="7"/>
  <c r="J7" i="7" s="1"/>
  <c r="G30" i="4"/>
  <c r="G25" i="4"/>
  <c r="D24" i="9" s="1"/>
  <c r="D23" i="9" s="1"/>
  <c r="H22" i="7"/>
  <c r="M20" i="7"/>
  <c r="H20" i="7"/>
  <c r="M6" i="7"/>
  <c r="H6" i="7"/>
  <c r="L29" i="7"/>
  <c r="D38" i="7"/>
  <c r="G29" i="7"/>
  <c r="D37" i="7"/>
  <c r="D15" i="10" a="1"/>
  <c r="D15" i="10" s="1"/>
  <c r="B1" i="10" s="1"/>
  <c r="L15" i="7"/>
  <c r="D36" i="7"/>
  <c r="G15" i="7"/>
  <c r="D35" i="7" s="1"/>
  <c r="D4" i="5"/>
  <c r="E47" i="5"/>
  <c r="E48" i="5"/>
  <c r="E22" i="5"/>
  <c r="L2" i="1"/>
  <c r="M2" i="1" s="1"/>
  <c r="L43" i="1"/>
  <c r="F29" i="9"/>
  <c r="M6" i="1" l="1"/>
  <c r="M32" i="1"/>
  <c r="M11" i="1"/>
  <c r="M33" i="1"/>
  <c r="M9" i="1"/>
  <c r="M4" i="1"/>
  <c r="M31" i="1"/>
  <c r="M7" i="1"/>
  <c r="M29" i="1"/>
  <c r="M5" i="1"/>
  <c r="M45" i="1"/>
  <c r="M28" i="1"/>
  <c r="M13" i="1"/>
  <c r="M42" i="1"/>
  <c r="M25" i="1"/>
  <c r="N2" i="1"/>
  <c r="M39" i="1"/>
  <c r="M24" i="1"/>
  <c r="M19" i="1"/>
  <c r="M43" i="1"/>
  <c r="M16" i="1"/>
  <c r="M38" i="1"/>
  <c r="M36" i="1"/>
  <c r="M27" i="1"/>
  <c r="M26" i="1"/>
  <c r="M37" i="1"/>
  <c r="M35" i="1"/>
  <c r="M23" i="1"/>
  <c r="M22" i="1"/>
  <c r="M20" i="1"/>
  <c r="M14" i="1"/>
  <c r="M10" i="1"/>
  <c r="M8" i="1"/>
  <c r="M3" i="1"/>
  <c r="M44" i="1"/>
  <c r="L11" i="1"/>
  <c r="L32" i="1"/>
  <c r="L10" i="1"/>
  <c r="L14" i="1"/>
  <c r="L39" i="1"/>
  <c r="L25" i="1"/>
  <c r="L37" i="1"/>
  <c r="L23" i="1"/>
  <c r="L26" i="1"/>
  <c r="L35" i="1"/>
  <c r="L20" i="1"/>
  <c r="L31" i="1"/>
  <c r="L3" i="1"/>
  <c r="L42" i="1"/>
  <c r="L22" i="1"/>
  <c r="L24" i="1"/>
  <c r="L38" i="1"/>
  <c r="L6" i="1"/>
  <c r="L19" i="1"/>
  <c r="L5" i="1"/>
  <c r="L8" i="1"/>
  <c r="L9" i="1"/>
  <c r="L16" i="1"/>
  <c r="L45" i="1"/>
  <c r="L44" i="1"/>
  <c r="L27" i="1"/>
  <c r="L4" i="1"/>
  <c r="L13" i="1"/>
  <c r="L28" i="1"/>
  <c r="L7" i="1"/>
  <c r="L29" i="1"/>
  <c r="L33" i="1"/>
  <c r="L36" i="1"/>
  <c r="G9" i="6"/>
  <c r="C3" i="6"/>
  <c r="F17" i="5"/>
  <c r="J8" i="7"/>
  <c r="E8" i="7"/>
  <c r="X34" i="4"/>
  <c r="O8" i="7"/>
  <c r="O7" i="7"/>
  <c r="E20" i="7"/>
  <c r="R31" i="4"/>
  <c r="J48" i="4"/>
  <c r="AB8" i="4" s="1"/>
  <c r="R97" i="4"/>
  <c r="J86" i="4"/>
  <c r="F17" i="3" s="1"/>
  <c r="L17" i="3" s="1"/>
  <c r="J25" i="4"/>
  <c r="F12" i="3" s="1"/>
  <c r="L12" i="3" s="1"/>
  <c r="X121" i="4"/>
  <c r="J22" i="3" s="1"/>
  <c r="N22" i="3" s="1"/>
  <c r="J21" i="7"/>
  <c r="K50" i="2"/>
  <c r="G15" i="2"/>
  <c r="E16" i="2" s="1"/>
  <c r="E17" i="2" s="1"/>
  <c r="G17" i="2" s="1"/>
  <c r="E20" i="2"/>
  <c r="R112" i="4"/>
  <c r="X112" i="4" s="1"/>
  <c r="K4" i="4"/>
  <c r="F15" i="5"/>
  <c r="F16" i="5"/>
  <c r="F20" i="5"/>
  <c r="F14" i="5"/>
  <c r="L16" i="3"/>
  <c r="D9" i="7"/>
  <c r="E9" i="7" s="1"/>
  <c r="AB9" i="4"/>
  <c r="R49" i="4"/>
  <c r="O6" i="7"/>
  <c r="X13" i="4"/>
  <c r="R101" i="4"/>
  <c r="U106" i="4"/>
  <c r="R59" i="4"/>
  <c r="X55" i="4" s="1"/>
  <c r="R99" i="4"/>
  <c r="D23" i="7"/>
  <c r="U108" i="4"/>
  <c r="J19" i="3"/>
  <c r="N19" i="3" s="1"/>
  <c r="J12" i="7"/>
  <c r="E7" i="7"/>
  <c r="O21" i="7"/>
  <c r="E22" i="7"/>
  <c r="O26" i="7"/>
  <c r="O25" i="7"/>
  <c r="F9" i="3"/>
  <c r="H23" i="9"/>
  <c r="L23" i="9"/>
  <c r="O11" i="7"/>
  <c r="V135" i="4"/>
  <c r="J11" i="3"/>
  <c r="N11" i="3" s="1"/>
  <c r="O24" i="7"/>
  <c r="D9" i="9"/>
  <c r="L9" i="9" s="1"/>
  <c r="D29" i="9"/>
  <c r="L29" i="9" s="1"/>
  <c r="H67" i="4"/>
  <c r="L17" i="9"/>
  <c r="H17" i="9"/>
  <c r="J10" i="7"/>
  <c r="O20" i="7"/>
  <c r="E6" i="7"/>
  <c r="J16" i="3"/>
  <c r="N16" i="3" s="1"/>
  <c r="V76" i="4"/>
  <c r="W52" i="4"/>
  <c r="G26" i="2"/>
  <c r="F26" i="2" s="1"/>
  <c r="G37" i="2"/>
  <c r="H15" i="5"/>
  <c r="H18" i="5" s="1"/>
  <c r="G30" i="2"/>
  <c r="E31" i="2" s="1"/>
  <c r="H49" i="4"/>
  <c r="G33" i="2"/>
  <c r="H87" i="4" s="1"/>
  <c r="H95" i="4"/>
  <c r="H1" i="6"/>
  <c r="F17" i="6"/>
  <c r="F18" i="6" s="1"/>
  <c r="R96" i="4"/>
  <c r="R32" i="4"/>
  <c r="N37" i="1" l="1"/>
  <c r="N10" i="1"/>
  <c r="N11" i="1"/>
  <c r="N45" i="1"/>
  <c r="N43" i="1"/>
  <c r="N3" i="1"/>
  <c r="N44" i="1"/>
  <c r="N35" i="1"/>
  <c r="N22" i="1"/>
  <c r="N42" i="1"/>
  <c r="N39" i="1"/>
  <c r="N9" i="1"/>
  <c r="N38" i="1"/>
  <c r="N27" i="1"/>
  <c r="N5" i="1"/>
  <c r="N32" i="1"/>
  <c r="N13" i="1"/>
  <c r="N4" i="1"/>
  <c r="N29" i="1"/>
  <c r="N8" i="1"/>
  <c r="N14" i="1"/>
  <c r="N16" i="1"/>
  <c r="N6" i="1"/>
  <c r="N23" i="1"/>
  <c r="N36" i="1"/>
  <c r="N24" i="1"/>
  <c r="N33" i="1"/>
  <c r="N7" i="1"/>
  <c r="N26" i="1"/>
  <c r="N20" i="1"/>
  <c r="O2" i="1"/>
  <c r="N31" i="1"/>
  <c r="N25" i="1"/>
  <c r="N28" i="1"/>
  <c r="N19" i="1"/>
  <c r="I51" i="2"/>
  <c r="G17" i="6"/>
  <c r="G18" i="6" s="1"/>
  <c r="W96" i="4"/>
  <c r="O9" i="7"/>
  <c r="O15" i="7" s="1"/>
  <c r="I1" i="6"/>
  <c r="G16" i="2"/>
  <c r="G13" i="2" s="1"/>
  <c r="E13" i="2"/>
  <c r="AB17" i="4"/>
  <c r="AB18" i="4" s="1"/>
  <c r="AB20" i="4" s="1"/>
  <c r="O23" i="7"/>
  <c r="O29" i="7" s="1"/>
  <c r="J9" i="7"/>
  <c r="J15" i="7" s="1"/>
  <c r="F14" i="3"/>
  <c r="F5" i="3" s="1"/>
  <c r="J13" i="3"/>
  <c r="N13" i="3" s="1"/>
  <c r="U117" i="4"/>
  <c r="H9" i="9"/>
  <c r="X95" i="4"/>
  <c r="V104" i="4"/>
  <c r="J2" i="4"/>
  <c r="D43" i="9"/>
  <c r="X86" i="4"/>
  <c r="J15" i="3"/>
  <c r="N15" i="3" s="1"/>
  <c r="J21" i="3"/>
  <c r="N21" i="3" s="1"/>
  <c r="E22" i="2"/>
  <c r="G22" i="2" s="1"/>
  <c r="E23" i="2" s="1"/>
  <c r="G23" i="2" s="1"/>
  <c r="E24" i="2" s="1"/>
  <c r="G24" i="2" s="1"/>
  <c r="G20" i="2"/>
  <c r="L21" i="3"/>
  <c r="F22" i="5"/>
  <c r="U119" i="4"/>
  <c r="L13" i="3"/>
  <c r="L23" i="3"/>
  <c r="N23" i="3"/>
  <c r="J23" i="7"/>
  <c r="J29" i="7" s="1"/>
  <c r="E23" i="7"/>
  <c r="J10" i="3"/>
  <c r="N10" i="3" s="1"/>
  <c r="V13" i="4"/>
  <c r="D15" i="7"/>
  <c r="D34" i="7" s="1"/>
  <c r="D40" i="7" s="1"/>
  <c r="B40" i="7" s="1"/>
  <c r="R50" i="4"/>
  <c r="D29" i="7"/>
  <c r="H36" i="9"/>
  <c r="L36" i="9"/>
  <c r="H29" i="9"/>
  <c r="L43" i="9"/>
  <c r="M26" i="2"/>
  <c r="M11" i="2" s="1"/>
  <c r="H55" i="4"/>
  <c r="H31" i="4"/>
  <c r="H50" i="4"/>
  <c r="H32" i="4" s="1"/>
  <c r="G39" i="2"/>
  <c r="E38" i="2"/>
  <c r="H13" i="4"/>
  <c r="H34" i="4" s="1"/>
  <c r="H25" i="4"/>
  <c r="H29" i="4" s="1"/>
  <c r="G41" i="2"/>
  <c r="H17" i="6"/>
  <c r="V18" i="4"/>
  <c r="X25" i="4"/>
  <c r="O33" i="1" l="1"/>
  <c r="O19" i="1"/>
  <c r="P2" i="1"/>
  <c r="O39" i="1"/>
  <c r="O24" i="1"/>
  <c r="O5" i="1"/>
  <c r="O38" i="1"/>
  <c r="O23" i="1"/>
  <c r="O11" i="1"/>
  <c r="O37" i="1"/>
  <c r="O22" i="1"/>
  <c r="O14" i="1"/>
  <c r="O36" i="1"/>
  <c r="O20" i="1"/>
  <c r="O7" i="1"/>
  <c r="O31" i="1"/>
  <c r="O16" i="1"/>
  <c r="O29" i="1"/>
  <c r="O13" i="1"/>
  <c r="O32" i="1"/>
  <c r="O28" i="1"/>
  <c r="O26" i="1"/>
  <c r="O4" i="1"/>
  <c r="O3" i="1"/>
  <c r="O44" i="1"/>
  <c r="O43" i="1"/>
  <c r="O42" i="1"/>
  <c r="O35" i="1"/>
  <c r="O27" i="1"/>
  <c r="O25" i="1"/>
  <c r="O10" i="1"/>
  <c r="O8" i="1"/>
  <c r="O45" i="1"/>
  <c r="O6" i="1"/>
  <c r="O9" i="1"/>
  <c r="I9" i="6"/>
  <c r="H9" i="6"/>
  <c r="J1" i="6"/>
  <c r="I17" i="6"/>
  <c r="F13" i="2"/>
  <c r="V121" i="4"/>
  <c r="H43" i="9"/>
  <c r="V34" i="4"/>
  <c r="X48" i="4"/>
  <c r="K51" i="2"/>
  <c r="N49" i="2" s="1"/>
  <c r="I58" i="2"/>
  <c r="I49" i="2"/>
  <c r="V112" i="4"/>
  <c r="E21" i="2"/>
  <c r="F4" i="5"/>
  <c r="B29" i="13" s="1"/>
  <c r="B31" i="13" s="1"/>
  <c r="F48" i="5"/>
  <c r="J9" i="3"/>
  <c r="N9" i="3" s="1"/>
  <c r="L9" i="3"/>
  <c r="F25" i="3"/>
  <c r="D5" i="5"/>
  <c r="U98" i="4"/>
  <c r="U102" i="4"/>
  <c r="J18" i="3"/>
  <c r="N18" i="3" s="1"/>
  <c r="H18" i="6"/>
  <c r="G31" i="2"/>
  <c r="H18" i="4"/>
  <c r="G38" i="2"/>
  <c r="E42" i="2" s="1"/>
  <c r="H14" i="5"/>
  <c r="E40" i="2"/>
  <c r="G40" i="2" s="1"/>
  <c r="E34" i="2" s="1"/>
  <c r="G34" i="2" s="1"/>
  <c r="K1" i="6"/>
  <c r="J17" i="3"/>
  <c r="N17" i="3" s="1"/>
  <c r="J12" i="3"/>
  <c r="N12" i="3" s="1"/>
  <c r="P32" i="1" l="1"/>
  <c r="P14" i="1"/>
  <c r="P3" i="1"/>
  <c r="P35" i="1"/>
  <c r="P19" i="1"/>
  <c r="P33" i="1"/>
  <c r="P11" i="1"/>
  <c r="P31" i="1"/>
  <c r="P9" i="1"/>
  <c r="P29" i="1"/>
  <c r="P7" i="1"/>
  <c r="P43" i="1"/>
  <c r="P26" i="1"/>
  <c r="P13" i="1"/>
  <c r="P42" i="1"/>
  <c r="P25" i="1"/>
  <c r="P10" i="1"/>
  <c r="P44" i="1"/>
  <c r="P16" i="1"/>
  <c r="P39" i="1"/>
  <c r="P8" i="1"/>
  <c r="P37" i="1"/>
  <c r="P28" i="1"/>
  <c r="P27" i="1"/>
  <c r="P36" i="1"/>
  <c r="P24" i="1"/>
  <c r="P23" i="1"/>
  <c r="P22" i="1"/>
  <c r="P20" i="1"/>
  <c r="P5" i="1"/>
  <c r="P6" i="1"/>
  <c r="Q2" i="1"/>
  <c r="P45" i="1"/>
  <c r="P38" i="1"/>
  <c r="P4" i="1"/>
  <c r="K9" i="6"/>
  <c r="J9" i="6"/>
  <c r="I18" i="6"/>
  <c r="K52" i="2"/>
  <c r="C9" i="6"/>
  <c r="R4" i="5"/>
  <c r="Q4" i="5"/>
  <c r="V25" i="4"/>
  <c r="J14" i="3"/>
  <c r="J5" i="3" s="1"/>
  <c r="F5" i="5" s="1"/>
  <c r="F6" i="5" s="1"/>
  <c r="X2" i="4"/>
  <c r="U53" i="4"/>
  <c r="K58" i="2"/>
  <c r="K49" i="2"/>
  <c r="J49" i="2" s="1"/>
  <c r="G29" i="2"/>
  <c r="G21" i="2"/>
  <c r="G19" i="2" s="1"/>
  <c r="E19" i="2"/>
  <c r="F45" i="5"/>
  <c r="F44" i="5"/>
  <c r="F42" i="5"/>
  <c r="F43" i="5"/>
  <c r="F46" i="5"/>
  <c r="E29" i="2"/>
  <c r="L14" i="3"/>
  <c r="L5" i="3" s="1"/>
  <c r="V6" i="4"/>
  <c r="D6" i="5"/>
  <c r="D7" i="5" s="1"/>
  <c r="C5" i="6"/>
  <c r="H5" i="3"/>
  <c r="V95" i="4"/>
  <c r="V86" i="4"/>
  <c r="G42" i="2"/>
  <c r="J17" i="6"/>
  <c r="L1" i="6"/>
  <c r="Q19" i="1" l="1"/>
  <c r="Q27" i="1"/>
  <c r="Q45" i="1"/>
  <c r="Q31" i="1"/>
  <c r="Q25" i="1"/>
  <c r="Q44" i="1"/>
  <c r="Q28" i="1"/>
  <c r="Q14" i="1"/>
  <c r="Q43" i="1"/>
  <c r="Q26" i="1"/>
  <c r="Q11" i="1"/>
  <c r="Q42" i="1"/>
  <c r="Q24" i="1"/>
  <c r="Q23" i="1"/>
  <c r="Q37" i="1"/>
  <c r="Q10" i="1"/>
  <c r="Q20" i="1"/>
  <c r="Q36" i="1"/>
  <c r="Q8" i="1"/>
  <c r="Q7" i="1"/>
  <c r="Q13" i="1"/>
  <c r="Q6" i="1"/>
  <c r="Q39" i="1"/>
  <c r="Q4" i="1"/>
  <c r="Q38" i="1"/>
  <c r="Q3" i="1"/>
  <c r="Q16" i="1"/>
  <c r="Q22" i="1"/>
  <c r="Q29" i="1"/>
  <c r="R2" i="1"/>
  <c r="Q9" i="1"/>
  <c r="Q5" i="1"/>
  <c r="Q35" i="1"/>
  <c r="Q33" i="1"/>
  <c r="Q32" i="1"/>
  <c r="F29" i="2"/>
  <c r="J18" i="6"/>
  <c r="I55" i="2"/>
  <c r="I59" i="2"/>
  <c r="Q5" i="5"/>
  <c r="Q6" i="5" s="1"/>
  <c r="R5" i="5"/>
  <c r="R6" i="5" s="1"/>
  <c r="N14" i="3"/>
  <c r="N5" i="3" s="1"/>
  <c r="U140" i="4"/>
  <c r="V48" i="4"/>
  <c r="K55" i="2"/>
  <c r="N54" i="2" s="1"/>
  <c r="I54" i="2"/>
  <c r="F47" i="5"/>
  <c r="F19" i="2"/>
  <c r="E43" i="2"/>
  <c r="G43" i="2" s="1"/>
  <c r="G46" i="2"/>
  <c r="K17" i="6"/>
  <c r="M1" i="6"/>
  <c r="J25" i="3"/>
  <c r="H25" i="3"/>
  <c r="C11" i="6"/>
  <c r="F7" i="5"/>
  <c r="R45" i="1" l="1"/>
  <c r="R19" i="1"/>
  <c r="R28" i="1"/>
  <c r="R39" i="1"/>
  <c r="R10" i="1"/>
  <c r="S2" i="1"/>
  <c r="R38" i="1"/>
  <c r="R9" i="1"/>
  <c r="R4" i="1"/>
  <c r="R37" i="1"/>
  <c r="R8" i="1"/>
  <c r="R23" i="1"/>
  <c r="R36" i="1"/>
  <c r="R7" i="1"/>
  <c r="R3" i="1"/>
  <c r="R32" i="1"/>
  <c r="R31" i="1"/>
  <c r="R29" i="1"/>
  <c r="R26" i="1"/>
  <c r="R33" i="1"/>
  <c r="R16" i="1"/>
  <c r="R6" i="1"/>
  <c r="R5" i="1"/>
  <c r="R11" i="1"/>
  <c r="R24" i="1"/>
  <c r="R22" i="1"/>
  <c r="R27" i="1"/>
  <c r="R25" i="1"/>
  <c r="R20" i="1"/>
  <c r="R44" i="1"/>
  <c r="R43" i="1"/>
  <c r="R42" i="1"/>
  <c r="R14" i="1"/>
  <c r="R35" i="1"/>
  <c r="R13" i="1"/>
  <c r="M9" i="6"/>
  <c r="L9" i="6"/>
  <c r="K18" i="6"/>
  <c r="L17" i="6"/>
  <c r="K54" i="2"/>
  <c r="J54" i="2" s="1"/>
  <c r="E36" i="2"/>
  <c r="H88" i="4"/>
  <c r="G36" i="2"/>
  <c r="H6" i="4"/>
  <c r="E47" i="2"/>
  <c r="N1" i="6"/>
  <c r="N9" i="6" l="1"/>
  <c r="S32" i="1"/>
  <c r="S43" i="1"/>
  <c r="S14" i="1"/>
  <c r="S31" i="1"/>
  <c r="S23" i="1"/>
  <c r="S6" i="1"/>
  <c r="S28" i="1"/>
  <c r="S4" i="1"/>
  <c r="S26" i="1"/>
  <c r="S3" i="1"/>
  <c r="S24" i="1"/>
  <c r="S20" i="1"/>
  <c r="S29" i="1"/>
  <c r="S37" i="1"/>
  <c r="S7" i="1"/>
  <c r="S44" i="1"/>
  <c r="S35" i="1"/>
  <c r="S5" i="1"/>
  <c r="S45" i="1"/>
  <c r="S9" i="1"/>
  <c r="S22" i="1"/>
  <c r="S39" i="1"/>
  <c r="S16" i="1"/>
  <c r="T2" i="1"/>
  <c r="S11" i="1"/>
  <c r="S19" i="1"/>
  <c r="S8" i="1"/>
  <c r="S10" i="1"/>
  <c r="S42" i="1"/>
  <c r="S13" i="1"/>
  <c r="S38" i="1"/>
  <c r="S33" i="1"/>
  <c r="S36" i="1"/>
  <c r="S27" i="1"/>
  <c r="S25" i="1"/>
  <c r="L18" i="6"/>
  <c r="F36" i="2"/>
  <c r="K59" i="2"/>
  <c r="G47" i="2"/>
  <c r="G45" i="2" s="1"/>
  <c r="E50" i="2" s="1"/>
  <c r="E45" i="2"/>
  <c r="O1" i="6"/>
  <c r="M17" i="6"/>
  <c r="T38" i="1" l="1"/>
  <c r="T29" i="1"/>
  <c r="T19" i="1"/>
  <c r="T27" i="1"/>
  <c r="T28" i="1"/>
  <c r="T44" i="1"/>
  <c r="T25" i="1"/>
  <c r="T26" i="1"/>
  <c r="T42" i="1"/>
  <c r="T23" i="1"/>
  <c r="T22" i="1"/>
  <c r="T36" i="1"/>
  <c r="T4" i="1"/>
  <c r="T10" i="1"/>
  <c r="T31" i="1"/>
  <c r="T14" i="1"/>
  <c r="T8" i="1"/>
  <c r="T43" i="1"/>
  <c r="T11" i="1"/>
  <c r="T6" i="1"/>
  <c r="T20" i="1"/>
  <c r="T33" i="1"/>
  <c r="U2" i="1"/>
  <c r="T45" i="1"/>
  <c r="T13" i="1"/>
  <c r="T9" i="1"/>
  <c r="T7" i="1"/>
  <c r="T5" i="1"/>
  <c r="T32" i="1"/>
  <c r="T16" i="1"/>
  <c r="T37" i="1"/>
  <c r="T35" i="1"/>
  <c r="T24" i="1"/>
  <c r="T3" i="1"/>
  <c r="T39" i="1"/>
  <c r="I60" i="2"/>
  <c r="I63" i="2" s="1"/>
  <c r="F45" i="2"/>
  <c r="M18" i="6"/>
  <c r="P1" i="6"/>
  <c r="N17" i="6"/>
  <c r="U42" i="1" l="1"/>
  <c r="U26" i="1"/>
  <c r="U9" i="1"/>
  <c r="U39" i="1"/>
  <c r="U24" i="1"/>
  <c r="U19" i="1"/>
  <c r="U38" i="1"/>
  <c r="U23" i="1"/>
  <c r="U4" i="1"/>
  <c r="U37" i="1"/>
  <c r="U22" i="1"/>
  <c r="U16" i="1"/>
  <c r="U36" i="1"/>
  <c r="U20" i="1"/>
  <c r="U3" i="1"/>
  <c r="U32" i="1"/>
  <c r="U8" i="1"/>
  <c r="U31" i="1"/>
  <c r="U6" i="1"/>
  <c r="U33" i="1"/>
  <c r="U13" i="1"/>
  <c r="U10" i="1"/>
  <c r="U25" i="1"/>
  <c r="U14" i="1"/>
  <c r="U11" i="1"/>
  <c r="U7" i="1"/>
  <c r="U5" i="1"/>
  <c r="U45" i="1"/>
  <c r="V2" i="1"/>
  <c r="U44" i="1"/>
  <c r="U43" i="1"/>
  <c r="U29" i="1"/>
  <c r="U28" i="1"/>
  <c r="U27" i="1"/>
  <c r="U35" i="1"/>
  <c r="P9" i="6"/>
  <c r="O9" i="6"/>
  <c r="O17" i="6"/>
  <c r="K60" i="2"/>
  <c r="G50" i="2"/>
  <c r="Q1" i="6"/>
  <c r="N18" i="6"/>
  <c r="O18" i="6" l="1"/>
  <c r="V36" i="1"/>
  <c r="V20" i="1"/>
  <c r="V10" i="1"/>
  <c r="V39" i="1"/>
  <c r="V11" i="1"/>
  <c r="V3" i="1"/>
  <c r="V37" i="1"/>
  <c r="V9" i="1"/>
  <c r="V35" i="1"/>
  <c r="V7" i="1"/>
  <c r="V32" i="1"/>
  <c r="V5" i="1"/>
  <c r="V44" i="1"/>
  <c r="V25" i="1"/>
  <c r="V19" i="1"/>
  <c r="V42" i="1"/>
  <c r="V23" i="1"/>
  <c r="V28" i="1"/>
  <c r="V45" i="1"/>
  <c r="V8" i="1"/>
  <c r="V29" i="1"/>
  <c r="V27" i="1"/>
  <c r="W2" i="1"/>
  <c r="V14" i="1"/>
  <c r="V13" i="1"/>
  <c r="V26" i="1"/>
  <c r="V24" i="1"/>
  <c r="V4" i="1"/>
  <c r="V38" i="1"/>
  <c r="V6" i="1"/>
  <c r="V22" i="1"/>
  <c r="V16" i="1"/>
  <c r="V33" i="1"/>
  <c r="V31" i="1"/>
  <c r="V43" i="1"/>
  <c r="K61" i="2"/>
  <c r="I62" i="2" s="1"/>
  <c r="K63" i="2" s="1"/>
  <c r="N57" i="2"/>
  <c r="N11" i="2" s="1"/>
  <c r="P17" i="6"/>
  <c r="P18" i="6" s="1"/>
  <c r="H89" i="4"/>
  <c r="H68" i="4" s="1"/>
  <c r="E51" i="2"/>
  <c r="R1" i="6"/>
  <c r="Q9" i="6" s="1"/>
  <c r="K57" i="2" l="1"/>
  <c r="J57" i="2" s="1"/>
  <c r="I57" i="2"/>
  <c r="W38" i="1"/>
  <c r="W24" i="1"/>
  <c r="W11" i="1"/>
  <c r="W29" i="1"/>
  <c r="W10" i="1"/>
  <c r="W45" i="1"/>
  <c r="W28" i="1"/>
  <c r="W8" i="1"/>
  <c r="W44" i="1"/>
  <c r="W43" i="1"/>
  <c r="W26" i="1"/>
  <c r="W16" i="1"/>
  <c r="W37" i="1"/>
  <c r="W22" i="1"/>
  <c r="W14" i="1"/>
  <c r="W36" i="1"/>
  <c r="W20" i="1"/>
  <c r="X2" i="1"/>
  <c r="W25" i="1"/>
  <c r="W42" i="1"/>
  <c r="W13" i="1"/>
  <c r="W39" i="1"/>
  <c r="W6" i="1"/>
  <c r="W23" i="1"/>
  <c r="W4" i="1"/>
  <c r="W3" i="1"/>
  <c r="W19" i="1"/>
  <c r="W7" i="1"/>
  <c r="W5" i="1"/>
  <c r="W9" i="1"/>
  <c r="W35" i="1"/>
  <c r="W33" i="1"/>
  <c r="W31" i="1"/>
  <c r="W32" i="1"/>
  <c r="W27" i="1"/>
  <c r="E58" i="2"/>
  <c r="G51" i="2"/>
  <c r="E49" i="2"/>
  <c r="S1" i="6"/>
  <c r="Q17" i="6"/>
  <c r="Q18" i="6" s="1"/>
  <c r="X37" i="1" l="1"/>
  <c r="X23" i="1"/>
  <c r="X4" i="1"/>
  <c r="X42" i="1"/>
  <c r="X25" i="1"/>
  <c r="X7" i="1"/>
  <c r="X39" i="1"/>
  <c r="X24" i="1"/>
  <c r="X14" i="1"/>
  <c r="X36" i="1"/>
  <c r="X20" i="1"/>
  <c r="X9" i="1"/>
  <c r="X32" i="1"/>
  <c r="X13" i="1"/>
  <c r="X31" i="1"/>
  <c r="X10" i="1"/>
  <c r="X43" i="1"/>
  <c r="X6" i="1"/>
  <c r="X28" i="1"/>
  <c r="X27" i="1"/>
  <c r="X29" i="1"/>
  <c r="X26" i="1"/>
  <c r="X22" i="1"/>
  <c r="X19" i="1"/>
  <c r="X16" i="1"/>
  <c r="X8" i="1"/>
  <c r="Y2" i="1"/>
  <c r="X11" i="1"/>
  <c r="X3" i="1"/>
  <c r="X5" i="1"/>
  <c r="X44" i="1"/>
  <c r="X38" i="1"/>
  <c r="X45" i="1"/>
  <c r="X35" i="1"/>
  <c r="X33" i="1"/>
  <c r="R9" i="6"/>
  <c r="F11" i="2"/>
  <c r="E55" i="2"/>
  <c r="G49" i="2"/>
  <c r="F49" i="2" s="1"/>
  <c r="G58" i="2"/>
  <c r="R17" i="6"/>
  <c r="R18" i="6" s="1"/>
  <c r="T1" i="6"/>
  <c r="Y36" i="1" l="1"/>
  <c r="Y14" i="1"/>
  <c r="Y24" i="1"/>
  <c r="Y35" i="1"/>
  <c r="Y9" i="1"/>
  <c r="Y22" i="1"/>
  <c r="Y33" i="1"/>
  <c r="Y7" i="1"/>
  <c r="Y32" i="1"/>
  <c r="Y28" i="1"/>
  <c r="Y44" i="1"/>
  <c r="Y25" i="1"/>
  <c r="Y8" i="1"/>
  <c r="Y43" i="1"/>
  <c r="Y23" i="1"/>
  <c r="Y6" i="1"/>
  <c r="Y27" i="1"/>
  <c r="Y45" i="1"/>
  <c r="Y5" i="1"/>
  <c r="Y42" i="1"/>
  <c r="Y13" i="1"/>
  <c r="Y37" i="1"/>
  <c r="Y31" i="1"/>
  <c r="Y29" i="1"/>
  <c r="Y20" i="1"/>
  <c r="Y19" i="1"/>
  <c r="Y16" i="1"/>
  <c r="Y11" i="1"/>
  <c r="Y39" i="1"/>
  <c r="Y26" i="1"/>
  <c r="Y4" i="1"/>
  <c r="Y3" i="1"/>
  <c r="Y38" i="1"/>
  <c r="Y10" i="1"/>
  <c r="Z2" i="1"/>
  <c r="T9" i="6"/>
  <c r="S9" i="6"/>
  <c r="J11" i="2"/>
  <c r="E54" i="2"/>
  <c r="G55" i="2"/>
  <c r="U1" i="6"/>
  <c r="S17" i="6"/>
  <c r="S18" i="6" s="1"/>
  <c r="Z35" i="1" l="1"/>
  <c r="Z13" i="1"/>
  <c r="Z24" i="1"/>
  <c r="Z29" i="1"/>
  <c r="Z7" i="1"/>
  <c r="Z45" i="1"/>
  <c r="Z27" i="1"/>
  <c r="Z6" i="1"/>
  <c r="Z43" i="1"/>
  <c r="Z23" i="1"/>
  <c r="Z28" i="1"/>
  <c r="Z38" i="1"/>
  <c r="Z16" i="1"/>
  <c r="Z3" i="1"/>
  <c r="Z37" i="1"/>
  <c r="Z14" i="1"/>
  <c r="Z4" i="1"/>
  <c r="Z44" i="1"/>
  <c r="Z9" i="1"/>
  <c r="Z31" i="1"/>
  <c r="Z22" i="1"/>
  <c r="Z32" i="1"/>
  <c r="Z42" i="1"/>
  <c r="AA2" i="1"/>
  <c r="Z39" i="1"/>
  <c r="Z36" i="1"/>
  <c r="Z33" i="1"/>
  <c r="Z25" i="1"/>
  <c r="Z20" i="1"/>
  <c r="Z19" i="1"/>
  <c r="Z8" i="1"/>
  <c r="Z5" i="1"/>
  <c r="Z26" i="1"/>
  <c r="Z11" i="1"/>
  <c r="Z10" i="1"/>
  <c r="U9" i="6"/>
  <c r="E59" i="2"/>
  <c r="G54" i="2"/>
  <c r="F54" i="2" s="1"/>
  <c r="V1" i="6"/>
  <c r="T17" i="6"/>
  <c r="T18" i="6" s="1"/>
  <c r="AA27" i="1" l="1"/>
  <c r="AA33" i="1"/>
  <c r="AA23" i="1"/>
  <c r="AA37" i="1"/>
  <c r="AA10" i="1"/>
  <c r="AA11" i="1"/>
  <c r="AA35" i="1"/>
  <c r="AA8" i="1"/>
  <c r="AA25" i="1"/>
  <c r="AA29" i="1"/>
  <c r="AB2" i="1"/>
  <c r="AA19" i="1"/>
  <c r="AA36" i="1"/>
  <c r="AA4" i="1"/>
  <c r="AA28" i="1"/>
  <c r="AA3" i="1"/>
  <c r="AA42" i="1"/>
  <c r="AA7" i="1"/>
  <c r="AA9" i="1"/>
  <c r="AA24" i="1"/>
  <c r="AA38" i="1"/>
  <c r="AA16" i="1"/>
  <c r="AA45" i="1"/>
  <c r="AA43" i="1"/>
  <c r="AA14" i="1"/>
  <c r="AA39" i="1"/>
  <c r="AA5" i="1"/>
  <c r="AA32" i="1"/>
  <c r="AA44" i="1"/>
  <c r="AA31" i="1"/>
  <c r="AA26" i="1"/>
  <c r="AA13" i="1"/>
  <c r="AA22" i="1"/>
  <c r="AA20" i="1"/>
  <c r="AA6" i="1"/>
  <c r="V9" i="6"/>
  <c r="G59" i="2"/>
  <c r="U17" i="6"/>
  <c r="U18" i="6" s="1"/>
  <c r="W1" i="6"/>
  <c r="AB36" i="1" l="1"/>
  <c r="AB11" i="1"/>
  <c r="AB8" i="1"/>
  <c r="AB44" i="1"/>
  <c r="AB16" i="1"/>
  <c r="AB19" i="1"/>
  <c r="AB42" i="1"/>
  <c r="AB14" i="1"/>
  <c r="AB33" i="1"/>
  <c r="AB7" i="1"/>
  <c r="AB43" i="1"/>
  <c r="AB26" i="1"/>
  <c r="AB13" i="1"/>
  <c r="AB39" i="1"/>
  <c r="AB24" i="1"/>
  <c r="AB6" i="1"/>
  <c r="AB3" i="1"/>
  <c r="AB29" i="1"/>
  <c r="AB10" i="1"/>
  <c r="AB38" i="1"/>
  <c r="AB20" i="1"/>
  <c r="AB4" i="1"/>
  <c r="AB9" i="1"/>
  <c r="AB5" i="1"/>
  <c r="AB27" i="1"/>
  <c r="AB45" i="1"/>
  <c r="AB23" i="1"/>
  <c r="AB37" i="1"/>
  <c r="AC2" i="1"/>
  <c r="AB35" i="1"/>
  <c r="AB25" i="1"/>
  <c r="AB32" i="1"/>
  <c r="AB31" i="1"/>
  <c r="AB28" i="1"/>
  <c r="AB22" i="1"/>
  <c r="W9" i="6"/>
  <c r="H105" i="4"/>
  <c r="H90" i="4"/>
  <c r="E61" i="2"/>
  <c r="G61" i="2" s="1"/>
  <c r="E62" i="2" s="1"/>
  <c r="E60" i="2"/>
  <c r="X1" i="6"/>
  <c r="V17" i="6"/>
  <c r="V18" i="6" s="1"/>
  <c r="X9" i="6" l="1"/>
  <c r="AC31" i="1"/>
  <c r="AC5" i="1"/>
  <c r="AC29" i="1"/>
  <c r="AC11" i="1"/>
  <c r="AC45" i="1"/>
  <c r="AC28" i="1"/>
  <c r="AC9" i="1"/>
  <c r="AC43" i="1"/>
  <c r="AC26" i="1"/>
  <c r="AC13" i="1"/>
  <c r="AC38" i="1"/>
  <c r="AC23" i="1"/>
  <c r="AC3" i="1"/>
  <c r="AC37" i="1"/>
  <c r="AC22" i="1"/>
  <c r="AC10" i="1"/>
  <c r="AC35" i="1"/>
  <c r="AD2" i="1"/>
  <c r="AC24" i="1"/>
  <c r="AC20" i="1"/>
  <c r="AC27" i="1"/>
  <c r="AC25" i="1"/>
  <c r="AC19" i="1"/>
  <c r="AC16" i="1"/>
  <c r="AC14" i="1"/>
  <c r="AC7" i="1"/>
  <c r="AC44" i="1"/>
  <c r="AC6" i="1"/>
  <c r="AC42" i="1"/>
  <c r="AC39" i="1"/>
  <c r="AC36" i="1"/>
  <c r="AC33" i="1"/>
  <c r="AC8" i="1"/>
  <c r="AC32" i="1"/>
  <c r="AC4" i="1"/>
  <c r="W17" i="6"/>
  <c r="W18" i="6" s="1"/>
  <c r="G60" i="2"/>
  <c r="H16" i="5"/>
  <c r="W3" i="6" s="1"/>
  <c r="G62" i="2"/>
  <c r="E63" i="2" s="1"/>
  <c r="G63" i="2" s="1"/>
  <c r="H113" i="4" s="1"/>
  <c r="H91" i="4"/>
  <c r="Y1" i="6"/>
  <c r="AD45" i="1" l="1"/>
  <c r="AD31" i="1"/>
  <c r="AD14" i="1"/>
  <c r="AD37" i="1"/>
  <c r="AD22" i="1"/>
  <c r="AD19" i="1"/>
  <c r="AD35" i="1"/>
  <c r="AD23" i="1"/>
  <c r="AD29" i="1"/>
  <c r="AD10" i="1"/>
  <c r="AD20" i="1"/>
  <c r="AD38" i="1"/>
  <c r="AE2" i="1"/>
  <c r="AD36" i="1"/>
  <c r="AD16" i="1"/>
  <c r="AD13" i="1"/>
  <c r="AD32" i="1"/>
  <c r="AD7" i="1"/>
  <c r="AD44" i="1"/>
  <c r="AD33" i="1"/>
  <c r="AD4" i="1"/>
  <c r="AD28" i="1"/>
  <c r="AD26" i="1"/>
  <c r="AD24" i="1"/>
  <c r="AD8" i="1"/>
  <c r="AD6" i="1"/>
  <c r="AD11" i="1"/>
  <c r="AD5" i="1"/>
  <c r="AD27" i="1"/>
  <c r="AD25" i="1"/>
  <c r="AD3" i="1"/>
  <c r="AD43" i="1"/>
  <c r="AD42" i="1"/>
  <c r="AD39" i="1"/>
  <c r="AD9" i="1"/>
  <c r="X3" i="6"/>
  <c r="E57" i="2"/>
  <c r="H116" i="4"/>
  <c r="H121" i="4"/>
  <c r="H114" i="4"/>
  <c r="H115" i="4" s="1"/>
  <c r="H112" i="4"/>
  <c r="I3" i="6"/>
  <c r="F3" i="6"/>
  <c r="F4" i="6" s="1"/>
  <c r="G3" i="6"/>
  <c r="K3" i="6"/>
  <c r="J3" i="6"/>
  <c r="H3" i="6"/>
  <c r="L3" i="6"/>
  <c r="M3" i="6"/>
  <c r="N3" i="6"/>
  <c r="O3" i="6"/>
  <c r="P3" i="6"/>
  <c r="Q3" i="6"/>
  <c r="S3" i="6"/>
  <c r="R3" i="6"/>
  <c r="T3" i="6"/>
  <c r="U3" i="6"/>
  <c r="V3" i="6"/>
  <c r="G57" i="2"/>
  <c r="Z1" i="6"/>
  <c r="X17" i="6"/>
  <c r="X18" i="6" s="1"/>
  <c r="AE44" i="1" l="1"/>
  <c r="AE28" i="1"/>
  <c r="AE9" i="1"/>
  <c r="AE36" i="1"/>
  <c r="AE20" i="1"/>
  <c r="AE32" i="1"/>
  <c r="AE14" i="1"/>
  <c r="AE45" i="1"/>
  <c r="AE27" i="1"/>
  <c r="AE5" i="1"/>
  <c r="AE43" i="1"/>
  <c r="AE26" i="1"/>
  <c r="AE10" i="1"/>
  <c r="AE39" i="1"/>
  <c r="AE31" i="1"/>
  <c r="AE6" i="1"/>
  <c r="AE3" i="1"/>
  <c r="AE42" i="1"/>
  <c r="AE11" i="1"/>
  <c r="AE38" i="1"/>
  <c r="AE7" i="1"/>
  <c r="AE37" i="1"/>
  <c r="AE19" i="1"/>
  <c r="AE35" i="1"/>
  <c r="AE13" i="1"/>
  <c r="AE33" i="1"/>
  <c r="AE16" i="1"/>
  <c r="AE29" i="1"/>
  <c r="AF2" i="1"/>
  <c r="AE24" i="1"/>
  <c r="AE4" i="1"/>
  <c r="AE8" i="1"/>
  <c r="AE25" i="1"/>
  <c r="AE23" i="1"/>
  <c r="AE22" i="1"/>
  <c r="Y9" i="6"/>
  <c r="I5" i="6"/>
  <c r="F57" i="2"/>
  <c r="F9" i="6"/>
  <c r="K5" i="6"/>
  <c r="F5" i="6"/>
  <c r="F6" i="6" s="1"/>
  <c r="F7" i="6" s="1"/>
  <c r="R5" i="6"/>
  <c r="P5" i="6"/>
  <c r="S5" i="6"/>
  <c r="G5" i="6"/>
  <c r="L5" i="6"/>
  <c r="M5" i="6"/>
  <c r="J5" i="6"/>
  <c r="O5" i="6"/>
  <c r="T5" i="6"/>
  <c r="U5" i="6"/>
  <c r="H5" i="6"/>
  <c r="N5" i="6"/>
  <c r="X5" i="6"/>
  <c r="V5" i="6"/>
  <c r="Q5" i="6"/>
  <c r="G4" i="6"/>
  <c r="W5" i="6"/>
  <c r="Y3" i="6"/>
  <c r="AA1" i="6"/>
  <c r="Y17" i="6"/>
  <c r="Y18" i="6" s="1"/>
  <c r="Y5" i="6"/>
  <c r="AF43" i="1" l="1"/>
  <c r="AF27" i="1"/>
  <c r="AF6" i="1"/>
  <c r="AF44" i="1"/>
  <c r="AF26" i="1"/>
  <c r="AF14" i="1"/>
  <c r="AF38" i="1"/>
  <c r="AF23" i="1"/>
  <c r="AF7" i="1"/>
  <c r="AF37" i="1"/>
  <c r="AF22" i="1"/>
  <c r="AF9" i="1"/>
  <c r="AF29" i="1"/>
  <c r="AF5" i="1"/>
  <c r="AF35" i="1"/>
  <c r="AF8" i="1"/>
  <c r="AF33" i="1"/>
  <c r="AG2" i="1"/>
  <c r="AF32" i="1"/>
  <c r="AF3" i="1"/>
  <c r="AF31" i="1"/>
  <c r="AF4" i="1"/>
  <c r="AF28" i="1"/>
  <c r="AF11" i="1"/>
  <c r="AF24" i="1"/>
  <c r="AF25" i="1"/>
  <c r="AF39" i="1"/>
  <c r="AF36" i="1"/>
  <c r="AF20" i="1"/>
  <c r="AF19" i="1"/>
  <c r="AF42" i="1"/>
  <c r="AF16" i="1"/>
  <c r="AF13" i="1"/>
  <c r="AF10" i="1"/>
  <c r="AF45" i="1"/>
  <c r="Z9" i="6"/>
  <c r="F10" i="6"/>
  <c r="G10" i="6" s="1"/>
  <c r="Z5" i="6"/>
  <c r="H4" i="6"/>
  <c r="G6" i="6"/>
  <c r="H6" i="6" s="1"/>
  <c r="I6" i="6" s="1"/>
  <c r="J6" i="6" s="1"/>
  <c r="K6" i="6" s="1"/>
  <c r="L6" i="6" s="1"/>
  <c r="M6" i="6" s="1"/>
  <c r="N6" i="6" s="1"/>
  <c r="O6" i="6" s="1"/>
  <c r="P6" i="6" s="1"/>
  <c r="Q6" i="6" s="1"/>
  <c r="R6" i="6" s="1"/>
  <c r="S6" i="6" s="1"/>
  <c r="T6" i="6" s="1"/>
  <c r="U6" i="6" s="1"/>
  <c r="V6" i="6" s="1"/>
  <c r="W6" i="6" s="1"/>
  <c r="X6" i="6" s="1"/>
  <c r="Y6" i="6" s="1"/>
  <c r="AB1" i="6"/>
  <c r="Z3" i="6"/>
  <c r="Z17" i="6"/>
  <c r="Z18" i="6" s="1"/>
  <c r="AG42" i="1" l="1"/>
  <c r="AG24" i="1"/>
  <c r="AG4" i="1"/>
  <c r="AG37" i="1"/>
  <c r="AG20" i="1"/>
  <c r="AG9" i="1"/>
  <c r="AG32" i="1"/>
  <c r="AG13" i="1"/>
  <c r="AG31" i="1"/>
  <c r="AG3" i="1"/>
  <c r="AG33" i="1"/>
  <c r="AG25" i="1"/>
  <c r="AG23" i="1"/>
  <c r="AG29" i="1"/>
  <c r="AG28" i="1"/>
  <c r="AG14" i="1"/>
  <c r="AG26" i="1"/>
  <c r="AG5" i="1"/>
  <c r="AG22" i="1"/>
  <c r="AG11" i="1"/>
  <c r="AG16" i="1"/>
  <c r="AG45" i="1"/>
  <c r="AG19" i="1"/>
  <c r="AG7" i="1"/>
  <c r="AG44" i="1"/>
  <c r="AG6" i="1"/>
  <c r="AH2" i="1"/>
  <c r="AG27" i="1"/>
  <c r="AG10" i="1"/>
  <c r="AG8" i="1"/>
  <c r="AG39" i="1"/>
  <c r="AG38" i="1"/>
  <c r="AG43" i="1"/>
  <c r="AG35" i="1"/>
  <c r="AG36" i="1"/>
  <c r="AA9" i="6"/>
  <c r="Z6" i="6"/>
  <c r="AA17" i="6"/>
  <c r="AA18" i="6" s="1"/>
  <c r="H10" i="6"/>
  <c r="G7" i="6"/>
  <c r="I4" i="6"/>
  <c r="H7" i="6"/>
  <c r="AC1" i="6"/>
  <c r="AA5" i="6"/>
  <c r="AA3" i="6"/>
  <c r="AH39" i="1" l="1"/>
  <c r="AH11" i="1"/>
  <c r="AH27" i="1"/>
  <c r="AH44" i="1"/>
  <c r="AH14" i="1"/>
  <c r="AH20" i="1"/>
  <c r="AH35" i="1"/>
  <c r="AH5" i="1"/>
  <c r="AH33" i="1"/>
  <c r="AH29" i="1"/>
  <c r="AH32" i="1"/>
  <c r="AH26" i="1"/>
  <c r="AH24" i="1"/>
  <c r="AH3" i="1"/>
  <c r="AH31" i="1"/>
  <c r="AH19" i="1"/>
  <c r="AH22" i="1"/>
  <c r="AH16" i="1"/>
  <c r="AI2" i="1"/>
  <c r="AH13" i="1"/>
  <c r="AH4" i="1"/>
  <c r="AH45" i="1"/>
  <c r="AH10" i="1"/>
  <c r="AH7" i="1"/>
  <c r="AH6" i="1"/>
  <c r="AH28" i="1"/>
  <c r="AH25" i="1"/>
  <c r="AH43" i="1"/>
  <c r="AH42" i="1"/>
  <c r="AH38" i="1"/>
  <c r="AH37" i="1"/>
  <c r="AH36" i="1"/>
  <c r="AH23" i="1"/>
  <c r="AH9" i="1"/>
  <c r="AH8" i="1"/>
  <c r="AB9" i="6"/>
  <c r="AA6" i="6"/>
  <c r="AB17" i="6"/>
  <c r="AB18" i="6" s="1"/>
  <c r="I10" i="6"/>
  <c r="I7" i="6"/>
  <c r="J4" i="6"/>
  <c r="AB3" i="6"/>
  <c r="AD1" i="6"/>
  <c r="AB5" i="6"/>
  <c r="AI35" i="1" l="1"/>
  <c r="AI28" i="1"/>
  <c r="AI8" i="1"/>
  <c r="AI32" i="1"/>
  <c r="AI11" i="1"/>
  <c r="AI3" i="1"/>
  <c r="AI44" i="1"/>
  <c r="AI23" i="1"/>
  <c r="AI6" i="1"/>
  <c r="AI37" i="1"/>
  <c r="AI7" i="1"/>
  <c r="AI5" i="1"/>
  <c r="AI31" i="1"/>
  <c r="AI26" i="1"/>
  <c r="AI42" i="1"/>
  <c r="AI29" i="1"/>
  <c r="AI38" i="1"/>
  <c r="AI24" i="1"/>
  <c r="AI36" i="1"/>
  <c r="AI22" i="1"/>
  <c r="AI33" i="1"/>
  <c r="AJ2" i="1"/>
  <c r="AI13" i="1"/>
  <c r="AI9" i="1"/>
  <c r="AI10" i="1"/>
  <c r="AI4" i="1"/>
  <c r="AI19" i="1"/>
  <c r="AI27" i="1"/>
  <c r="AI14" i="1"/>
  <c r="AI16" i="1"/>
  <c r="AI45" i="1"/>
  <c r="AI43" i="1"/>
  <c r="AI39" i="1"/>
  <c r="AI25" i="1"/>
  <c r="AI20" i="1"/>
  <c r="AC9" i="6"/>
  <c r="AB6" i="6"/>
  <c r="J10" i="6"/>
  <c r="J7" i="6"/>
  <c r="K4" i="6"/>
  <c r="AE1" i="6"/>
  <c r="AC5" i="6"/>
  <c r="AC17" i="6"/>
  <c r="AC18" i="6" s="1"/>
  <c r="AC3" i="6"/>
  <c r="AJ44" i="1" l="1"/>
  <c r="AJ8" i="1"/>
  <c r="AJ24" i="1"/>
  <c r="AJ23" i="1"/>
  <c r="AJ19" i="1"/>
  <c r="AJ25" i="1"/>
  <c r="AJ11" i="1"/>
  <c r="AJ31" i="1"/>
  <c r="AJ13" i="1"/>
  <c r="AK2" i="1"/>
  <c r="AJ42" i="1"/>
  <c r="AJ7" i="1"/>
  <c r="AJ10" i="1"/>
  <c r="AJ27" i="1"/>
  <c r="AJ38" i="1"/>
  <c r="AJ6" i="1"/>
  <c r="AJ22" i="1"/>
  <c r="AJ36" i="1"/>
  <c r="AJ4" i="1"/>
  <c r="AJ3" i="1"/>
  <c r="AJ33" i="1"/>
  <c r="AJ29" i="1"/>
  <c r="AJ39" i="1"/>
  <c r="AJ32" i="1"/>
  <c r="AJ14" i="1"/>
  <c r="AJ37" i="1"/>
  <c r="AJ9" i="1"/>
  <c r="AJ5" i="1"/>
  <c r="AJ45" i="1"/>
  <c r="AJ20" i="1"/>
  <c r="AJ16" i="1"/>
  <c r="AJ43" i="1"/>
  <c r="AJ28" i="1"/>
  <c r="AJ26" i="1"/>
  <c r="AJ35" i="1"/>
  <c r="AE9" i="6"/>
  <c r="AD9" i="6"/>
  <c r="AD5" i="6"/>
  <c r="AC6" i="6"/>
  <c r="K10" i="6"/>
  <c r="K7" i="6"/>
  <c r="L4" i="6"/>
  <c r="AF1" i="6"/>
  <c r="AD3" i="6"/>
  <c r="AD17" i="6"/>
  <c r="AD18" i="6" s="1"/>
  <c r="AK36" i="1" l="1"/>
  <c r="AK22" i="1"/>
  <c r="AK13" i="1"/>
  <c r="AK44" i="1"/>
  <c r="AK27" i="1"/>
  <c r="AK5" i="1"/>
  <c r="AK42" i="1"/>
  <c r="AK24" i="1"/>
  <c r="AK6" i="1"/>
  <c r="AK29" i="1"/>
  <c r="AK3" i="1"/>
  <c r="AK28" i="1"/>
  <c r="AL2" i="1"/>
  <c r="AK26" i="1"/>
  <c r="AK4" i="1"/>
  <c r="AK45" i="1"/>
  <c r="AK25" i="1"/>
  <c r="AK8" i="1"/>
  <c r="AK43" i="1"/>
  <c r="AK23" i="1"/>
  <c r="AK10" i="1"/>
  <c r="AK39" i="1"/>
  <c r="AK20" i="1"/>
  <c r="AK38" i="1"/>
  <c r="AK19" i="1"/>
  <c r="AK9" i="1"/>
  <c r="AK7" i="1"/>
  <c r="AK37" i="1"/>
  <c r="AK32" i="1"/>
  <c r="AK31" i="1"/>
  <c r="AK16" i="1"/>
  <c r="AK35" i="1"/>
  <c r="AK33" i="1"/>
  <c r="AK14" i="1"/>
  <c r="AK11" i="1"/>
  <c r="AD6" i="6"/>
  <c r="AE3" i="6"/>
  <c r="AE17" i="6"/>
  <c r="AE18" i="6" s="1"/>
  <c r="L10" i="6"/>
  <c r="M4" i="6"/>
  <c r="L7" i="6"/>
  <c r="AE5" i="6"/>
  <c r="AE6" i="6" s="1"/>
  <c r="AG1" i="6"/>
  <c r="AF9" i="6" l="1"/>
  <c r="AL27" i="1"/>
  <c r="AL14" i="1"/>
  <c r="AL22" i="1"/>
  <c r="AL36" i="1"/>
  <c r="AM2" i="1"/>
  <c r="AL4" i="1"/>
  <c r="AL20" i="1"/>
  <c r="AL28" i="1"/>
  <c r="AL25" i="1"/>
  <c r="AL5" i="1"/>
  <c r="AL16" i="1"/>
  <c r="AL23" i="1"/>
  <c r="AL43" i="1"/>
  <c r="AL13" i="1"/>
  <c r="AL26" i="1"/>
  <c r="AL39" i="1"/>
  <c r="AL8" i="1"/>
  <c r="AL37" i="1"/>
  <c r="AL10" i="1"/>
  <c r="AL32" i="1"/>
  <c r="AL44" i="1"/>
  <c r="AL45" i="1"/>
  <c r="AL35" i="1"/>
  <c r="AL3" i="1"/>
  <c r="AL6" i="1"/>
  <c r="AL31" i="1"/>
  <c r="AL42" i="1"/>
  <c r="AL33" i="1"/>
  <c r="AL29" i="1"/>
  <c r="AL11" i="1"/>
  <c r="AL7" i="1"/>
  <c r="AL38" i="1"/>
  <c r="AL24" i="1"/>
  <c r="AL19" i="1"/>
  <c r="AL9" i="1"/>
  <c r="AF17" i="6"/>
  <c r="AF18" i="6" s="1"/>
  <c r="M10" i="6"/>
  <c r="N4" i="6"/>
  <c r="M7" i="6"/>
  <c r="AH1" i="6"/>
  <c r="AF5" i="6"/>
  <c r="AF6" i="6" s="1"/>
  <c r="AF3" i="6"/>
  <c r="AM33" i="1" l="1"/>
  <c r="AM13" i="1"/>
  <c r="AN2" i="1"/>
  <c r="AM32" i="1"/>
  <c r="AM8" i="1"/>
  <c r="AM39" i="1"/>
  <c r="AM23" i="1"/>
  <c r="AM16" i="1"/>
  <c r="AM38" i="1"/>
  <c r="AM20" i="1"/>
  <c r="AM37" i="1"/>
  <c r="AM36" i="1"/>
  <c r="AM28" i="1"/>
  <c r="AM10" i="1"/>
  <c r="AM6" i="1"/>
  <c r="AM35" i="1"/>
  <c r="AM4" i="1"/>
  <c r="AM31" i="1"/>
  <c r="AM3" i="1"/>
  <c r="AM29" i="1"/>
  <c r="AM14" i="1"/>
  <c r="AM11" i="1"/>
  <c r="AM5" i="1"/>
  <c r="AM26" i="1"/>
  <c r="AM7" i="1"/>
  <c r="AM45" i="1"/>
  <c r="AM19" i="1"/>
  <c r="AM44" i="1"/>
  <c r="AM43" i="1"/>
  <c r="AM24" i="1"/>
  <c r="AM42" i="1"/>
  <c r="AM27" i="1"/>
  <c r="AM25" i="1"/>
  <c r="AM22" i="1"/>
  <c r="AM9" i="1"/>
  <c r="AH9" i="6"/>
  <c r="AG9" i="6"/>
  <c r="N10" i="6"/>
  <c r="O4" i="6"/>
  <c r="N7" i="6"/>
  <c r="AG5" i="6"/>
  <c r="AG6" i="6" s="1"/>
  <c r="AG17" i="6"/>
  <c r="AG18" i="6" s="1"/>
  <c r="AG3" i="6"/>
  <c r="AI1" i="6"/>
  <c r="AH17" i="6"/>
  <c r="AI9" i="6" l="1"/>
  <c r="AN32" i="1"/>
  <c r="AN16" i="1"/>
  <c r="AN44" i="1"/>
  <c r="AN27" i="1"/>
  <c r="AN5" i="1"/>
  <c r="AN29" i="1"/>
  <c r="AN7" i="1"/>
  <c r="AN43" i="1"/>
  <c r="AN24" i="1"/>
  <c r="AN4" i="1"/>
  <c r="AN42" i="1"/>
  <c r="AN23" i="1"/>
  <c r="AN6" i="1"/>
  <c r="AN3" i="1"/>
  <c r="AN39" i="1"/>
  <c r="AN22" i="1"/>
  <c r="AN35" i="1"/>
  <c r="AN38" i="1"/>
  <c r="AN20" i="1"/>
  <c r="AN37" i="1"/>
  <c r="AN19" i="1"/>
  <c r="AN14" i="1"/>
  <c r="AN36" i="1"/>
  <c r="AN11" i="1"/>
  <c r="AN10" i="1"/>
  <c r="AN45" i="1"/>
  <c r="AN33" i="1"/>
  <c r="AN31" i="1"/>
  <c r="AN28" i="1"/>
  <c r="AN9" i="1"/>
  <c r="AN13" i="1"/>
  <c r="AN26" i="1"/>
  <c r="AN25" i="1"/>
  <c r="AN8" i="1"/>
  <c r="AO2" i="1"/>
  <c r="O10" i="6"/>
  <c r="O7" i="6"/>
  <c r="P4" i="6"/>
  <c r="AH18" i="6"/>
  <c r="AJ1" i="6"/>
  <c r="AH3" i="6"/>
  <c r="AH5" i="6"/>
  <c r="AH6" i="6" s="1"/>
  <c r="AO39" i="1" l="1"/>
  <c r="AP2" i="1"/>
  <c r="AO24" i="1"/>
  <c r="AO38" i="1"/>
  <c r="AO28" i="1"/>
  <c r="AO7" i="1"/>
  <c r="AO29" i="1"/>
  <c r="AO6" i="1"/>
  <c r="AO16" i="1"/>
  <c r="AO4" i="1"/>
  <c r="AO22" i="1"/>
  <c r="AO42" i="1"/>
  <c r="AO3" i="1"/>
  <c r="AO45" i="1"/>
  <c r="AO27" i="1"/>
  <c r="AO5" i="1"/>
  <c r="AO44" i="1"/>
  <c r="AO25" i="1"/>
  <c r="AO9" i="1"/>
  <c r="AO19" i="1"/>
  <c r="AO23" i="1"/>
  <c r="AO43" i="1"/>
  <c r="AO31" i="1"/>
  <c r="AO11" i="1"/>
  <c r="AO37" i="1"/>
  <c r="AO36" i="1"/>
  <c r="AO35" i="1"/>
  <c r="AO26" i="1"/>
  <c r="AO20" i="1"/>
  <c r="AO13" i="1"/>
  <c r="AO10" i="1"/>
  <c r="AO8" i="1"/>
  <c r="AO14" i="1"/>
  <c r="AO33" i="1"/>
  <c r="AO32" i="1"/>
  <c r="AJ9" i="6"/>
  <c r="AI3" i="6"/>
  <c r="P10" i="6"/>
  <c r="P7" i="6"/>
  <c r="Q4" i="6"/>
  <c r="AI5" i="6"/>
  <c r="AI6" i="6" s="1"/>
  <c r="AI17" i="6"/>
  <c r="AI18" i="6" s="1"/>
  <c r="D18" i="6" s="1"/>
  <c r="AK1" i="6"/>
  <c r="AP38" i="1" l="1"/>
  <c r="AP9" i="1"/>
  <c r="AP27" i="1"/>
  <c r="AP33" i="1"/>
  <c r="AP4" i="1"/>
  <c r="AP39" i="1"/>
  <c r="AP7" i="1"/>
  <c r="AP20" i="1"/>
  <c r="AP37" i="1"/>
  <c r="AP3" i="1"/>
  <c r="AP36" i="1"/>
  <c r="AP6" i="1"/>
  <c r="AP5" i="1"/>
  <c r="AP35" i="1"/>
  <c r="AP31" i="1"/>
  <c r="AP32" i="1"/>
  <c r="AP28" i="1"/>
  <c r="AP26" i="1"/>
  <c r="AP16" i="1"/>
  <c r="AP29" i="1"/>
  <c r="AP45" i="1"/>
  <c r="AP25" i="1"/>
  <c r="AP44" i="1"/>
  <c r="AP23" i="1"/>
  <c r="AP43" i="1"/>
  <c r="AQ2" i="1"/>
  <c r="AP42" i="1"/>
  <c r="AP13" i="1"/>
  <c r="AP8" i="1"/>
  <c r="AP19" i="1"/>
  <c r="AP14" i="1"/>
  <c r="AP11" i="1"/>
  <c r="AP10" i="1"/>
  <c r="AP24" i="1"/>
  <c r="AP22" i="1"/>
  <c r="AJ3" i="6"/>
  <c r="Q10" i="6"/>
  <c r="Q7" i="6"/>
  <c r="R4" i="6"/>
  <c r="AJ17" i="6"/>
  <c r="AJ18" i="6" s="1"/>
  <c r="AL1" i="6"/>
  <c r="AJ5" i="6"/>
  <c r="AJ6" i="6" s="1"/>
  <c r="AQ29" i="1" l="1"/>
  <c r="AQ45" i="1"/>
  <c r="AQ28" i="1"/>
  <c r="AQ20" i="1"/>
  <c r="AQ5" i="1"/>
  <c r="AQ31" i="1"/>
  <c r="AQ3" i="1"/>
  <c r="AQ24" i="1"/>
  <c r="AQ26" i="1"/>
  <c r="AQ13" i="1"/>
  <c r="AQ44" i="1"/>
  <c r="AQ10" i="1"/>
  <c r="AQ33" i="1"/>
  <c r="AQ25" i="1"/>
  <c r="AQ42" i="1"/>
  <c r="AQ22" i="1"/>
  <c r="AQ8" i="1"/>
  <c r="AQ38" i="1"/>
  <c r="AQ19" i="1"/>
  <c r="AQ6" i="1"/>
  <c r="AQ27" i="1"/>
  <c r="AQ4" i="1"/>
  <c r="AQ36" i="1"/>
  <c r="AQ43" i="1"/>
  <c r="AQ35" i="1"/>
  <c r="AQ23" i="1"/>
  <c r="AQ7" i="1"/>
  <c r="AR2" i="1"/>
  <c r="AS2" i="1" s="1"/>
  <c r="AT2" i="1" s="1"/>
  <c r="AU2" i="1" s="1"/>
  <c r="AV2" i="1" s="1"/>
  <c r="AW2" i="1" s="1"/>
  <c r="AX2" i="1" s="1"/>
  <c r="AY2" i="1" s="1"/>
  <c r="AZ2" i="1" s="1"/>
  <c r="BA2" i="1" s="1"/>
  <c r="BB2" i="1" s="1"/>
  <c r="BC2" i="1" s="1"/>
  <c r="BD2" i="1" s="1"/>
  <c r="BE2" i="1" s="1"/>
  <c r="BF2" i="1" s="1"/>
  <c r="BG2" i="1" s="1"/>
  <c r="AQ39" i="1"/>
  <c r="AQ37" i="1"/>
  <c r="AQ16" i="1"/>
  <c r="AQ32" i="1"/>
  <c r="AQ9" i="1"/>
  <c r="AQ11" i="1"/>
  <c r="AQ14" i="1"/>
  <c r="AK9" i="6"/>
  <c r="R10" i="6"/>
  <c r="R7" i="6"/>
  <c r="S4" i="6"/>
  <c r="AM1" i="6"/>
  <c r="AK17" i="6"/>
  <c r="AK18" i="6" s="1"/>
  <c r="AK3" i="6"/>
  <c r="AK5" i="6"/>
  <c r="AK6" i="6" s="1"/>
  <c r="AL9" i="6" l="1"/>
  <c r="AL17" i="6"/>
  <c r="AL18" i="6" s="1"/>
  <c r="AL5" i="6"/>
  <c r="AL6" i="6" s="1"/>
  <c r="S10" i="6"/>
  <c r="T4" i="6"/>
  <c r="S7" i="6"/>
  <c r="AL3" i="6"/>
  <c r="AN1" i="6"/>
  <c r="AM5" i="6"/>
  <c r="AM3" i="6"/>
  <c r="AM9" i="6" l="1"/>
  <c r="T10" i="6"/>
  <c r="U4" i="6"/>
  <c r="T7" i="6"/>
  <c r="AM6" i="6"/>
  <c r="AM17" i="6"/>
  <c r="AM18" i="6" s="1"/>
  <c r="AO1" i="6"/>
  <c r="AN9" i="6" l="1"/>
  <c r="U10" i="6"/>
  <c r="U7" i="6"/>
  <c r="V4" i="6"/>
  <c r="AN17" i="6"/>
  <c r="AN18" i="6" s="1"/>
  <c r="AP1" i="6"/>
  <c r="AO5" i="6"/>
  <c r="AN5" i="6"/>
  <c r="AN6" i="6" s="1"/>
  <c r="AN3" i="6"/>
  <c r="AO9" i="6" l="1"/>
  <c r="V10" i="6"/>
  <c r="W4" i="6"/>
  <c r="V7" i="6"/>
  <c r="AO6" i="6"/>
  <c r="AO3" i="6"/>
  <c r="AO17" i="6"/>
  <c r="AO18" i="6" s="1"/>
  <c r="AQ1" i="6"/>
  <c r="AP9" i="6" l="1"/>
  <c r="AP3" i="6"/>
  <c r="W10" i="6"/>
  <c r="W7" i="6"/>
  <c r="X4" i="6"/>
  <c r="AR1" i="6"/>
  <c r="AP17" i="6"/>
  <c r="AP18" i="6" s="1"/>
  <c r="AP5" i="6"/>
  <c r="AP6" i="6" s="1"/>
  <c r="AQ9" i="6" l="1"/>
  <c r="AQ17" i="6"/>
  <c r="AQ18" i="6" s="1"/>
  <c r="X10" i="6"/>
  <c r="Y4" i="6"/>
  <c r="X7" i="6"/>
  <c r="AQ3" i="6"/>
  <c r="AQ5" i="6"/>
  <c r="AQ6" i="6" s="1"/>
  <c r="AS1" i="6"/>
  <c r="AR9" i="6" l="1"/>
  <c r="AR5" i="6"/>
  <c r="AR6" i="6" s="1"/>
  <c r="AR3" i="6"/>
  <c r="Y10" i="6"/>
  <c r="Y7" i="6"/>
  <c r="Z4" i="6"/>
  <c r="AT1" i="6"/>
  <c r="AR17" i="6"/>
  <c r="AR18" i="6" s="1"/>
  <c r="AS9" i="6" l="1"/>
  <c r="AU1" i="6"/>
  <c r="Z10" i="6"/>
  <c r="Z7" i="6"/>
  <c r="AA4" i="6"/>
  <c r="AS3" i="6"/>
  <c r="AS5" i="6"/>
  <c r="AS6" i="6" s="1"/>
  <c r="AS17" i="6"/>
  <c r="AS18" i="6" s="1"/>
  <c r="AT9" i="6" l="1"/>
  <c r="AV1" i="6"/>
  <c r="AU3" i="6"/>
  <c r="AU5" i="6"/>
  <c r="AA10" i="6"/>
  <c r="AB4" i="6"/>
  <c r="AA7" i="6"/>
  <c r="AT5" i="6"/>
  <c r="AT6" i="6" s="1"/>
  <c r="AT17" i="6"/>
  <c r="AT18" i="6" s="1"/>
  <c r="AT3" i="6"/>
  <c r="AU9" i="6" l="1"/>
  <c r="AU17" i="6"/>
  <c r="AU18" i="6" s="1"/>
  <c r="AU6" i="6"/>
  <c r="AW1" i="6"/>
  <c r="AV5" i="6"/>
  <c r="AB10" i="6"/>
  <c r="AC4" i="6"/>
  <c r="AB7" i="6"/>
  <c r="AV9" i="6" l="1"/>
  <c r="AX1" i="6"/>
  <c r="AW17" i="6"/>
  <c r="AW3" i="6"/>
  <c r="AW5" i="6"/>
  <c r="AV3" i="6"/>
  <c r="AV17" i="6"/>
  <c r="AV18" i="6" s="1"/>
  <c r="AV6" i="6"/>
  <c r="AC10" i="6"/>
  <c r="AC7" i="6"/>
  <c r="AD4" i="6"/>
  <c r="AW9" i="6" l="1"/>
  <c r="AW18" i="6"/>
  <c r="AY1" i="6"/>
  <c r="AX3" i="6"/>
  <c r="AW6" i="6"/>
  <c r="AD10" i="6"/>
  <c r="AE4" i="6"/>
  <c r="AD7" i="6"/>
  <c r="AX9" i="6" l="1"/>
  <c r="AX17" i="6"/>
  <c r="AX18" i="6" s="1"/>
  <c r="AZ1" i="6"/>
  <c r="AY3" i="6"/>
  <c r="AY5" i="6"/>
  <c r="AX5" i="6"/>
  <c r="AE10" i="6"/>
  <c r="AF4" i="6"/>
  <c r="AE7" i="6"/>
  <c r="AZ9" i="6" l="1"/>
  <c r="AY9" i="6"/>
  <c r="BA1" i="6"/>
  <c r="AZ3" i="6"/>
  <c r="AZ5" i="6"/>
  <c r="AY17" i="6"/>
  <c r="AX6" i="6"/>
  <c r="AY6" i="6" s="1"/>
  <c r="AF10" i="6"/>
  <c r="AF7" i="6"/>
  <c r="AG4" i="6"/>
  <c r="BB1" i="6" l="1"/>
  <c r="BA3" i="6"/>
  <c r="BA5" i="6"/>
  <c r="AZ17" i="6"/>
  <c r="AY18" i="6"/>
  <c r="AZ6" i="6"/>
  <c r="AG10" i="6"/>
  <c r="AH4" i="6"/>
  <c r="AG7" i="6"/>
  <c r="BB9" i="6" l="1"/>
  <c r="BA9" i="6"/>
  <c r="BA17" i="6"/>
  <c r="BC1" i="6"/>
  <c r="BB5" i="6"/>
  <c r="BA6" i="6"/>
  <c r="AZ18" i="6"/>
  <c r="AH10" i="6"/>
  <c r="AI4" i="6"/>
  <c r="AH7" i="6"/>
  <c r="BA18" i="6" l="1"/>
  <c r="BD1" i="6"/>
  <c r="BC17" i="6"/>
  <c r="BC3" i="6"/>
  <c r="BC5" i="6"/>
  <c r="BB6" i="6"/>
  <c r="BB17" i="6"/>
  <c r="BB18" i="6" s="1"/>
  <c r="BB3" i="6"/>
  <c r="AI10" i="6"/>
  <c r="AJ4" i="6"/>
  <c r="AI7" i="6"/>
  <c r="BD9" i="6" l="1"/>
  <c r="BC9" i="6"/>
  <c r="BC18" i="6"/>
  <c r="BC6" i="6"/>
  <c r="BE1" i="6"/>
  <c r="BD17" i="6"/>
  <c r="BD3" i="6"/>
  <c r="BD5" i="6"/>
  <c r="AJ10" i="6"/>
  <c r="AJ7" i="6"/>
  <c r="AK4" i="6"/>
  <c r="BF1" i="6" l="1"/>
  <c r="BD18" i="6"/>
  <c r="BF3" i="6"/>
  <c r="BF5" i="6"/>
  <c r="BG1" i="6"/>
  <c r="BE17" i="6"/>
  <c r="D17" i="6" s="1"/>
  <c r="BE3" i="6"/>
  <c r="D3" i="6" s="1"/>
  <c r="BE5" i="6"/>
  <c r="D5" i="6" s="1"/>
  <c r="BD6" i="6"/>
  <c r="AK10" i="6"/>
  <c r="AK7" i="6"/>
  <c r="AL4" i="6"/>
  <c r="BF9" i="6" l="1"/>
  <c r="BF17" i="6"/>
  <c r="BE9" i="6"/>
  <c r="BG5" i="6"/>
  <c r="BG17" i="6"/>
  <c r="BG3" i="6"/>
  <c r="BH1" i="6"/>
  <c r="BE6" i="6"/>
  <c r="BF6" i="6" s="1"/>
  <c r="C17" i="6"/>
  <c r="C18" i="6"/>
  <c r="BE18" i="6"/>
  <c r="BF18" i="6" s="1"/>
  <c r="AL10" i="6"/>
  <c r="AM4" i="6"/>
  <c r="AL7" i="6"/>
  <c r="BG9" i="6" l="1"/>
  <c r="BG18" i="6"/>
  <c r="BH17" i="6"/>
  <c r="BH5" i="6"/>
  <c r="BI1" i="6"/>
  <c r="BH3" i="6"/>
  <c r="BG6" i="6"/>
  <c r="AM10" i="6"/>
  <c r="AN4" i="6"/>
  <c r="AM7" i="6"/>
  <c r="BI9" i="6" l="1"/>
  <c r="BH9" i="6"/>
  <c r="BH6" i="6"/>
  <c r="BH18" i="6"/>
  <c r="BI3" i="6"/>
  <c r="BJ1" i="6"/>
  <c r="BI5" i="6"/>
  <c r="BI17" i="6"/>
  <c r="BI18" i="6" s="1"/>
  <c r="AN10" i="6"/>
  <c r="AN7" i="6"/>
  <c r="AO4" i="6"/>
  <c r="BJ9" i="6" l="1"/>
  <c r="BI6" i="6"/>
  <c r="BJ17" i="6"/>
  <c r="BJ18" i="6" s="1"/>
  <c r="BK1" i="6"/>
  <c r="BJ5" i="6"/>
  <c r="BJ6" i="6" s="1"/>
  <c r="BJ3" i="6"/>
  <c r="AO10" i="6"/>
  <c r="AP4" i="6"/>
  <c r="AO7" i="6"/>
  <c r="BK5" i="6" l="1"/>
  <c r="BK6" i="6" s="1"/>
  <c r="BK3" i="6"/>
  <c r="BL1" i="6"/>
  <c r="BK17" i="6"/>
  <c r="BK18" i="6" s="1"/>
  <c r="AP10" i="6"/>
  <c r="AP7" i="6"/>
  <c r="AQ4" i="6"/>
  <c r="BK9" i="6" l="1"/>
  <c r="BL5" i="6"/>
  <c r="BL6" i="6" s="1"/>
  <c r="BL17" i="6"/>
  <c r="BL18" i="6" s="1"/>
  <c r="BL3" i="6"/>
  <c r="BM1" i="6"/>
  <c r="AQ10" i="6"/>
  <c r="AQ7" i="6"/>
  <c r="AR4" i="6"/>
  <c r="BL9" i="6" l="1"/>
  <c r="BM17" i="6"/>
  <c r="BM18" i="6" s="1"/>
  <c r="BM5" i="6"/>
  <c r="BM6" i="6" s="1"/>
  <c r="BN1" i="6"/>
  <c r="BM3" i="6"/>
  <c r="AR10" i="6"/>
  <c r="AR7" i="6"/>
  <c r="AS4" i="6"/>
  <c r="BM9" i="6" l="1"/>
  <c r="BN17" i="6"/>
  <c r="BN18" i="6" s="1"/>
  <c r="BO1" i="6"/>
  <c r="BN5" i="6"/>
  <c r="BN6" i="6" s="1"/>
  <c r="BN3" i="6"/>
  <c r="AS10" i="6"/>
  <c r="AS7" i="6"/>
  <c r="AT4" i="6"/>
  <c r="BN9" i="6" l="1"/>
  <c r="BO17" i="6"/>
  <c r="BO18" i="6" s="1"/>
  <c r="BO5" i="6"/>
  <c r="BO6" i="6" s="1"/>
  <c r="BP1" i="6"/>
  <c r="BO3" i="6"/>
  <c r="AT10" i="6"/>
  <c r="AU4" i="6"/>
  <c r="AT7" i="6"/>
  <c r="BO9" i="6" l="1"/>
  <c r="BQ1" i="6"/>
  <c r="BP17" i="6"/>
  <c r="BP18" i="6" s="1"/>
  <c r="BP5" i="6"/>
  <c r="BP6" i="6" s="1"/>
  <c r="BP3" i="6"/>
  <c r="AU10" i="6"/>
  <c r="AU7" i="6"/>
  <c r="AV4" i="6"/>
  <c r="BP9" i="6" l="1"/>
  <c r="BR1" i="6"/>
  <c r="BQ5" i="6"/>
  <c r="BQ6" i="6" s="1"/>
  <c r="BQ17" i="6"/>
  <c r="BQ18" i="6" s="1"/>
  <c r="BQ3" i="6"/>
  <c r="AV10" i="6"/>
  <c r="AW4" i="6"/>
  <c r="AV7" i="6"/>
  <c r="BQ9" i="6" l="1"/>
  <c r="BR3" i="6"/>
  <c r="BR5" i="6"/>
  <c r="BR6" i="6" s="1"/>
  <c r="BR17" i="6"/>
  <c r="BR18" i="6" s="1"/>
  <c r="BS1" i="6"/>
  <c r="AW10" i="6"/>
  <c r="AX4" i="6"/>
  <c r="AW7" i="6"/>
  <c r="BR9" i="6" l="1"/>
  <c r="BT1" i="6"/>
  <c r="BS17" i="6"/>
  <c r="BS18" i="6" s="1"/>
  <c r="BS3" i="6"/>
  <c r="BS5" i="6"/>
  <c r="BS6" i="6" s="1"/>
  <c r="AX10" i="6"/>
  <c r="AY4" i="6"/>
  <c r="AX7" i="6"/>
  <c r="BS9" i="6" l="1"/>
  <c r="BT17" i="6"/>
  <c r="BT18" i="6" s="1"/>
  <c r="BU1" i="6"/>
  <c r="BT3" i="6"/>
  <c r="BT5" i="6"/>
  <c r="BT6" i="6" s="1"/>
  <c r="AY10" i="6"/>
  <c r="AY7" i="6"/>
  <c r="AZ4" i="6"/>
  <c r="BT9" i="6" l="1"/>
  <c r="BU3" i="6"/>
  <c r="BV1" i="6"/>
  <c r="BU5" i="6"/>
  <c r="BU6" i="6" s="1"/>
  <c r="BU17" i="6"/>
  <c r="BU18" i="6" s="1"/>
  <c r="AZ10" i="6"/>
  <c r="AZ7" i="6"/>
  <c r="BA4" i="6"/>
  <c r="BU9" i="6" l="1"/>
  <c r="BV17" i="6"/>
  <c r="BV18" i="6" s="1"/>
  <c r="BV5" i="6"/>
  <c r="BV6" i="6" s="1"/>
  <c r="BW1" i="6"/>
  <c r="BV3" i="6"/>
  <c r="BA10" i="6"/>
  <c r="BA7" i="6"/>
  <c r="BB4" i="6"/>
  <c r="BV9" i="6" l="1"/>
  <c r="BW5" i="6"/>
  <c r="BW6" i="6" s="1"/>
  <c r="BW3" i="6"/>
  <c r="BW17" i="6"/>
  <c r="BW18" i="6" s="1"/>
  <c r="BX1" i="6"/>
  <c r="BB10" i="6"/>
  <c r="BC4" i="6"/>
  <c r="BB7" i="6"/>
  <c r="BW9" i="6" l="1"/>
  <c r="BX17" i="6"/>
  <c r="BX18" i="6" s="1"/>
  <c r="BX3" i="6"/>
  <c r="BY1" i="6"/>
  <c r="BX5" i="6"/>
  <c r="BX6" i="6" s="1"/>
  <c r="BC10" i="6"/>
  <c r="BD4" i="6"/>
  <c r="BC7" i="6"/>
  <c r="BX9" i="6" l="1"/>
  <c r="BY5" i="6"/>
  <c r="BY6" i="6" s="1"/>
  <c r="BY17" i="6"/>
  <c r="BY18" i="6" s="1"/>
  <c r="BY3" i="6"/>
  <c r="BZ1" i="6"/>
  <c r="BD10" i="6"/>
  <c r="BE4" i="6"/>
  <c r="BD7" i="6"/>
  <c r="BY9" i="6" l="1"/>
  <c r="BE7" i="6"/>
  <c r="BF4" i="6"/>
  <c r="BZ17" i="6"/>
  <c r="BZ18" i="6" s="1"/>
  <c r="BZ3" i="6"/>
  <c r="BZ5" i="6"/>
  <c r="BZ6" i="6" s="1"/>
  <c r="CA1" i="6"/>
  <c r="BE10" i="6"/>
  <c r="BZ9" i="6" l="1"/>
  <c r="BF10" i="6"/>
  <c r="CA17" i="6"/>
  <c r="CA18" i="6" s="1"/>
  <c r="CA5" i="6"/>
  <c r="CA6" i="6" s="1"/>
  <c r="CA3" i="6"/>
  <c r="CB1" i="6"/>
  <c r="BF7" i="6"/>
  <c r="BG4" i="6"/>
  <c r="G36" i="17"/>
  <c r="E37" i="17" s="1"/>
  <c r="E41" i="17" s="1"/>
  <c r="CA9" i="6" l="1"/>
  <c r="BG7" i="6"/>
  <c r="BH4" i="6"/>
  <c r="CC1" i="6"/>
  <c r="CB17" i="6"/>
  <c r="CB18" i="6" s="1"/>
  <c r="CB5" i="6"/>
  <c r="CB6" i="6" s="1"/>
  <c r="CB3" i="6"/>
  <c r="BG10" i="6"/>
  <c r="G37" i="17"/>
  <c r="CB9" i="6" l="1"/>
  <c r="BH10" i="6"/>
  <c r="CC5" i="6"/>
  <c r="CC6" i="6" s="1"/>
  <c r="CC3" i="6"/>
  <c r="CC17" i="6"/>
  <c r="CC18" i="6" s="1"/>
  <c r="CD1" i="6"/>
  <c r="BH7" i="6"/>
  <c r="BI4" i="6"/>
  <c r="G41" i="17"/>
  <c r="E45" i="17"/>
  <c r="E42" i="17"/>
  <c r="E35" i="17" s="1"/>
  <c r="CD9" i="6" l="1"/>
  <c r="CC9" i="6"/>
  <c r="BI7" i="6"/>
  <c r="BJ4" i="6"/>
  <c r="CE1" i="6"/>
  <c r="CD3" i="6"/>
  <c r="CD17" i="6"/>
  <c r="CD18" i="6" s="1"/>
  <c r="CD5" i="6"/>
  <c r="CD6" i="6" s="1"/>
  <c r="BI10" i="6"/>
  <c r="G45" i="17"/>
  <c r="E46" i="17" s="1"/>
  <c r="G46" i="17" s="1"/>
  <c r="G44" i="17" s="1"/>
  <c r="G42" i="17"/>
  <c r="G35" i="17" s="1"/>
  <c r="F35" i="17" s="1"/>
  <c r="BJ10" i="6" l="1"/>
  <c r="CE5" i="6"/>
  <c r="CE6" i="6" s="1"/>
  <c r="CF1" i="6"/>
  <c r="CE17" i="6"/>
  <c r="CE18" i="6" s="1"/>
  <c r="CE3" i="6"/>
  <c r="BJ7" i="6"/>
  <c r="BK4" i="6"/>
  <c r="E44" i="17"/>
  <c r="F44" i="17" s="1"/>
  <c r="E49" i="17"/>
  <c r="G49" i="17" s="1"/>
  <c r="CE9" i="6" l="1"/>
  <c r="CF5" i="6"/>
  <c r="CF6" i="6" s="1"/>
  <c r="CG1" i="6"/>
  <c r="CF17" i="6"/>
  <c r="CF18" i="6" s="1"/>
  <c r="CF3" i="6"/>
  <c r="BK7" i="6"/>
  <c r="BL4" i="6"/>
  <c r="BK10" i="6"/>
  <c r="E50" i="17"/>
  <c r="CF9" i="6" l="1"/>
  <c r="BL10" i="6"/>
  <c r="BL7" i="6"/>
  <c r="BM4" i="6"/>
  <c r="CG5" i="6"/>
  <c r="CG6" i="6" s="1"/>
  <c r="CG3" i="6"/>
  <c r="CH1" i="6"/>
  <c r="CG17" i="6"/>
  <c r="CG18" i="6" s="1"/>
  <c r="E57" i="17"/>
  <c r="G50" i="17"/>
  <c r="E51" i="17" s="1"/>
  <c r="G51" i="17" s="1"/>
  <c r="E48" i="17"/>
  <c r="CG9" i="6" l="1"/>
  <c r="CH17" i="6"/>
  <c r="CH18" i="6" s="1"/>
  <c r="CI1" i="6"/>
  <c r="CH5" i="6"/>
  <c r="CH6" i="6" s="1"/>
  <c r="CH3" i="6"/>
  <c r="BM7" i="6"/>
  <c r="BN4" i="6"/>
  <c r="BM10" i="6"/>
  <c r="F11" i="17"/>
  <c r="E54" i="17"/>
  <c r="G48" i="17"/>
  <c r="F48" i="17" s="1"/>
  <c r="G57" i="17"/>
  <c r="CH9" i="6" l="1"/>
  <c r="BN7" i="6"/>
  <c r="BO4" i="6"/>
  <c r="CI5" i="6"/>
  <c r="CI6" i="6" s="1"/>
  <c r="CI3" i="6"/>
  <c r="CI17" i="6"/>
  <c r="CI18" i="6" s="1"/>
  <c r="CJ1" i="6"/>
  <c r="BN10" i="6"/>
  <c r="G54" i="17"/>
  <c r="E53" i="17"/>
  <c r="CI9" i="6" l="1"/>
  <c r="BO10" i="6"/>
  <c r="CJ3" i="6"/>
  <c r="CJ17" i="6"/>
  <c r="CJ18" i="6" s="1"/>
  <c r="CK1" i="6"/>
  <c r="CJ5" i="6"/>
  <c r="CJ6" i="6" s="1"/>
  <c r="BO7" i="6"/>
  <c r="BP4" i="6"/>
  <c r="G53" i="17"/>
  <c r="F53" i="17" s="1"/>
  <c r="E58" i="17"/>
  <c r="CJ9" i="6" l="1"/>
  <c r="CL1" i="6"/>
  <c r="BP7" i="6"/>
  <c r="BQ4" i="6"/>
  <c r="CK5" i="6"/>
  <c r="CK6" i="6" s="1"/>
  <c r="CK3" i="6"/>
  <c r="CK17" i="6"/>
  <c r="CK18" i="6" s="1"/>
  <c r="BP10" i="6"/>
  <c r="G58" i="17"/>
  <c r="E62" i="17" s="1"/>
  <c r="CK9" i="6" l="1"/>
  <c r="CM1" i="6"/>
  <c r="CL17" i="6"/>
  <c r="CL18" i="6" s="1"/>
  <c r="CL11" i="6"/>
  <c r="CL20" i="6"/>
  <c r="CL3" i="6"/>
  <c r="CL5" i="6"/>
  <c r="CL6" i="6" s="1"/>
  <c r="BQ10" i="6"/>
  <c r="BQ7" i="6"/>
  <c r="BR4" i="6"/>
  <c r="E60" i="17"/>
  <c r="G60" i="17" s="1"/>
  <c r="E59" i="17"/>
  <c r="CL9" i="6" l="1"/>
  <c r="CN1" i="6"/>
  <c r="CM17" i="6"/>
  <c r="CM18" i="6" s="1"/>
  <c r="CM20" i="6"/>
  <c r="CM11" i="6"/>
  <c r="CM3" i="6"/>
  <c r="CM5" i="6"/>
  <c r="CM6" i="6" s="1"/>
  <c r="BR7" i="6"/>
  <c r="BS4" i="6"/>
  <c r="BR10" i="6"/>
  <c r="E61" i="17"/>
  <c r="G61" i="17" s="1"/>
  <c r="G62" i="17" s="1"/>
  <c r="G59" i="17"/>
  <c r="E56" i="17" l="1"/>
  <c r="CM9" i="6"/>
  <c r="CO1" i="6"/>
  <c r="CN17" i="6"/>
  <c r="CN18" i="6" s="1"/>
  <c r="CN20" i="6"/>
  <c r="CN11" i="6"/>
  <c r="CN3" i="6"/>
  <c r="CN5" i="6"/>
  <c r="CN6" i="6" s="1"/>
  <c r="BS10" i="6"/>
  <c r="BS7" i="6"/>
  <c r="BT4" i="6"/>
  <c r="G56" i="17"/>
  <c r="F56" i="17" l="1"/>
  <c r="CN9" i="6"/>
  <c r="CP1" i="6"/>
  <c r="CO17" i="6"/>
  <c r="CO18" i="6" s="1"/>
  <c r="CO20" i="6"/>
  <c r="CO11" i="6"/>
  <c r="CO3" i="6"/>
  <c r="CO5" i="6"/>
  <c r="CO6" i="6" s="1"/>
  <c r="BT7" i="6"/>
  <c r="BU4" i="6"/>
  <c r="BT10" i="6"/>
  <c r="CP9" i="6" l="1"/>
  <c r="CO9" i="6"/>
  <c r="CQ1" i="6"/>
  <c r="CP17" i="6"/>
  <c r="CP18" i="6" s="1"/>
  <c r="CP20" i="6"/>
  <c r="CP11" i="6"/>
  <c r="CP3" i="6"/>
  <c r="CP5" i="6"/>
  <c r="CP6" i="6" s="1"/>
  <c r="BU10" i="6"/>
  <c r="BU7" i="6"/>
  <c r="BV4" i="6"/>
  <c r="CQ9" i="6" l="1"/>
  <c r="CR1" i="6"/>
  <c r="CQ17" i="6"/>
  <c r="CQ18" i="6" s="1"/>
  <c r="CQ11" i="6"/>
  <c r="CQ20" i="6"/>
  <c r="CQ3" i="6"/>
  <c r="CQ5" i="6"/>
  <c r="CQ6" i="6" s="1"/>
  <c r="BV7" i="6"/>
  <c r="BW4" i="6"/>
  <c r="BV10" i="6"/>
  <c r="CS1" i="6" l="1"/>
  <c r="CR9" i="6" s="1"/>
  <c r="CR17" i="6"/>
  <c r="CR18" i="6" s="1"/>
  <c r="CR11" i="6"/>
  <c r="CR20" i="6"/>
  <c r="CR3" i="6"/>
  <c r="CR5" i="6"/>
  <c r="CR6" i="6" s="1"/>
  <c r="BW10" i="6"/>
  <c r="BW7" i="6"/>
  <c r="BX4" i="6"/>
  <c r="CT1" i="6" l="1"/>
  <c r="CS17" i="6"/>
  <c r="CS18" i="6" s="1"/>
  <c r="CS20" i="6"/>
  <c r="CS11" i="6"/>
  <c r="CS3" i="6"/>
  <c r="CS5" i="6"/>
  <c r="CS6" i="6" s="1"/>
  <c r="BX7" i="6"/>
  <c r="BY4" i="6"/>
  <c r="BX10" i="6"/>
  <c r="CT9" i="6" l="1"/>
  <c r="CS9" i="6"/>
  <c r="CU1" i="6"/>
  <c r="CT17" i="6"/>
  <c r="CT18" i="6" s="1"/>
  <c r="CT20" i="6"/>
  <c r="CT11" i="6"/>
  <c r="CT3" i="6"/>
  <c r="CT5" i="6"/>
  <c r="CT6" i="6" s="1"/>
  <c r="BY10" i="6"/>
  <c r="BY7" i="6"/>
  <c r="BZ4" i="6"/>
  <c r="CV1" i="6" l="1"/>
  <c r="CU17" i="6"/>
  <c r="CU18" i="6" s="1"/>
  <c r="CU11" i="6"/>
  <c r="CU20" i="6"/>
  <c r="CU3" i="6"/>
  <c r="CU5" i="6"/>
  <c r="CU6" i="6" s="1"/>
  <c r="BZ7" i="6"/>
  <c r="CA4" i="6"/>
  <c r="BZ10" i="6"/>
  <c r="CU9" i="6" l="1"/>
  <c r="CW1" i="6"/>
  <c r="CV17" i="6"/>
  <c r="CV18" i="6" s="1"/>
  <c r="CV20" i="6"/>
  <c r="CV11" i="6"/>
  <c r="CV3" i="6"/>
  <c r="CV5" i="6"/>
  <c r="CV6" i="6" s="1"/>
  <c r="CA10" i="6"/>
  <c r="CA7" i="6"/>
  <c r="CB4" i="6"/>
  <c r="CV9" i="6" l="1"/>
  <c r="CX1" i="6"/>
  <c r="CW17" i="6"/>
  <c r="CW18" i="6" s="1"/>
  <c r="CW11" i="6"/>
  <c r="CW20" i="6"/>
  <c r="CW3" i="6"/>
  <c r="CW5" i="6"/>
  <c r="CW6" i="6" s="1"/>
  <c r="CB7" i="6"/>
  <c r="CC4" i="6"/>
  <c r="CB10" i="6"/>
  <c r="CW9" i="6" l="1"/>
  <c r="CY1" i="6"/>
  <c r="CX17" i="6"/>
  <c r="CX18" i="6" s="1"/>
  <c r="CX20" i="6"/>
  <c r="CX11" i="6"/>
  <c r="CX3" i="6"/>
  <c r="CX5" i="6"/>
  <c r="CX6" i="6" s="1"/>
  <c r="CC10" i="6"/>
  <c r="CC7" i="6"/>
  <c r="CD4" i="6"/>
  <c r="CX9" i="6" l="1"/>
  <c r="CZ1" i="6"/>
  <c r="CY17" i="6"/>
  <c r="CY18" i="6" s="1"/>
  <c r="CY20" i="6"/>
  <c r="CY11" i="6"/>
  <c r="CY3" i="6"/>
  <c r="CY5" i="6"/>
  <c r="CY6" i="6" s="1"/>
  <c r="CD7" i="6"/>
  <c r="CE4" i="6"/>
  <c r="CD10" i="6"/>
  <c r="CY9" i="6" l="1"/>
  <c r="DA1" i="6"/>
  <c r="CZ17" i="6"/>
  <c r="CZ18" i="6" s="1"/>
  <c r="CZ20" i="6"/>
  <c r="CZ11" i="6"/>
  <c r="CZ3" i="6"/>
  <c r="CZ5" i="6"/>
  <c r="CZ6" i="6" s="1"/>
  <c r="CE10" i="6"/>
  <c r="CE7" i="6"/>
  <c r="CF4" i="6"/>
  <c r="CZ9" i="6" l="1"/>
  <c r="DB1" i="6"/>
  <c r="DA17" i="6"/>
  <c r="DA18" i="6" s="1"/>
  <c r="DA11" i="6"/>
  <c r="DA20" i="6"/>
  <c r="DA3" i="6"/>
  <c r="DA5" i="6"/>
  <c r="DA6" i="6" s="1"/>
  <c r="CF7" i="6"/>
  <c r="CG4" i="6"/>
  <c r="CF10" i="6"/>
  <c r="DA9" i="6" l="1"/>
  <c r="DC1" i="6"/>
  <c r="DB17" i="6"/>
  <c r="DB18" i="6" s="1"/>
  <c r="DB20" i="6"/>
  <c r="DB11" i="6"/>
  <c r="DB3" i="6"/>
  <c r="DB5" i="6"/>
  <c r="DB6" i="6" s="1"/>
  <c r="CG10" i="6"/>
  <c r="CG7" i="6"/>
  <c r="CH4" i="6"/>
  <c r="DC9" i="6" l="1"/>
  <c r="DB9" i="6"/>
  <c r="DD1" i="6"/>
  <c r="DC17" i="6"/>
  <c r="DC18" i="6" s="1"/>
  <c r="DC20" i="6"/>
  <c r="DC11" i="6"/>
  <c r="DC3" i="6"/>
  <c r="DC5" i="6"/>
  <c r="DC6" i="6" s="1"/>
  <c r="CH7" i="6"/>
  <c r="CI4" i="6"/>
  <c r="CH10" i="6"/>
  <c r="DE1" i="6" l="1"/>
  <c r="DD17" i="6"/>
  <c r="DD18" i="6" s="1"/>
  <c r="DD11" i="6"/>
  <c r="DD20" i="6"/>
  <c r="DD3" i="6"/>
  <c r="DD5" i="6"/>
  <c r="DD6" i="6" s="1"/>
  <c r="CI10" i="6"/>
  <c r="CI7" i="6"/>
  <c r="CJ4" i="6"/>
  <c r="DD9" i="6" l="1"/>
  <c r="DF1" i="6"/>
  <c r="DE17" i="6"/>
  <c r="DE18" i="6" s="1"/>
  <c r="DE11" i="6"/>
  <c r="DE20" i="6"/>
  <c r="DE3" i="6"/>
  <c r="DE5" i="6"/>
  <c r="DE6" i="6" s="1"/>
  <c r="CJ7" i="6"/>
  <c r="CK4" i="6"/>
  <c r="CJ10" i="6"/>
  <c r="DE9" i="6" l="1"/>
  <c r="DG1" i="6"/>
  <c r="DF9" i="6" s="1"/>
  <c r="DF17" i="6"/>
  <c r="DF18" i="6" s="1"/>
  <c r="DF20" i="6"/>
  <c r="DF11" i="6"/>
  <c r="DF3" i="6"/>
  <c r="DF5" i="6"/>
  <c r="DF6" i="6" s="1"/>
  <c r="CK7" i="6"/>
  <c r="CL4" i="6"/>
  <c r="CK10" i="6"/>
  <c r="CL10" i="6" s="1"/>
  <c r="DH1" i="6" l="1"/>
  <c r="DG17" i="6"/>
  <c r="DG18" i="6" s="1"/>
  <c r="DG20" i="6"/>
  <c r="DG11" i="6"/>
  <c r="DG3" i="6"/>
  <c r="DG5" i="6"/>
  <c r="DG6" i="6" s="1"/>
  <c r="CL7" i="6"/>
  <c r="CM4" i="6"/>
  <c r="CM10" i="6"/>
  <c r="BN20" i="6"/>
  <c r="T20" i="6"/>
  <c r="BZ20" i="6"/>
  <c r="AV11" i="6"/>
  <c r="CE20" i="6"/>
  <c r="CJ20" i="6"/>
  <c r="AC20" i="6"/>
  <c r="R20" i="6"/>
  <c r="BU20" i="6"/>
  <c r="AF20" i="6"/>
  <c r="O11" i="6"/>
  <c r="BL11" i="6"/>
  <c r="CD11" i="6"/>
  <c r="BT11" i="6"/>
  <c r="BN11" i="6"/>
  <c r="N11" i="6"/>
  <c r="AZ20" i="6"/>
  <c r="BD20" i="6"/>
  <c r="J20" i="6"/>
  <c r="AK11" i="6"/>
  <c r="BR20" i="6"/>
  <c r="AR11" i="6"/>
  <c r="AM11" i="6"/>
  <c r="G20" i="6"/>
  <c r="L20" i="6"/>
  <c r="BG20" i="6"/>
  <c r="P20" i="6"/>
  <c r="BK20" i="6"/>
  <c r="AE20" i="6"/>
  <c r="AK20" i="6"/>
  <c r="AX11" i="6"/>
  <c r="BI11" i="6"/>
  <c r="BU11" i="6"/>
  <c r="BO11" i="6"/>
  <c r="CB11" i="6"/>
  <c r="BF20" i="6"/>
  <c r="BM20" i="6"/>
  <c r="O20" i="6"/>
  <c r="BB11" i="6"/>
  <c r="BD11" i="6"/>
  <c r="BH20" i="6"/>
  <c r="AJ11" i="6"/>
  <c r="Z20" i="6"/>
  <c r="AQ20" i="6"/>
  <c r="AA20" i="6"/>
  <c r="N20" i="6"/>
  <c r="CG11" i="6"/>
  <c r="W11" i="6"/>
  <c r="I11" i="6"/>
  <c r="H11" i="6"/>
  <c r="G11" i="6"/>
  <c r="CB20" i="6"/>
  <c r="AY11" i="6"/>
  <c r="AQ11" i="6"/>
  <c r="CI20" i="6"/>
  <c r="BQ20" i="6"/>
  <c r="AI11" i="6"/>
  <c r="AO11" i="6"/>
  <c r="AZ11" i="6"/>
  <c r="BC11" i="6"/>
  <c r="AG20" i="6"/>
  <c r="AF11" i="6"/>
  <c r="BP11" i="6"/>
  <c r="BY11" i="6"/>
  <c r="BZ11" i="6"/>
  <c r="S11" i="6"/>
  <c r="U11" i="6"/>
  <c r="AU11" i="6"/>
  <c r="Q20" i="6"/>
  <c r="AI20" i="6"/>
  <c r="Z11" i="6"/>
  <c r="J11" i="6"/>
  <c r="T11" i="6"/>
  <c r="BK11" i="6"/>
  <c r="Y11" i="6"/>
  <c r="BX20" i="6"/>
  <c r="BV20" i="6"/>
  <c r="BW11" i="6"/>
  <c r="U20" i="6"/>
  <c r="AM20" i="6"/>
  <c r="BY20" i="6"/>
  <c r="AL20" i="6"/>
  <c r="AP11" i="6"/>
  <c r="M20" i="6"/>
  <c r="BW20" i="6"/>
  <c r="BE11" i="6"/>
  <c r="BM11" i="6"/>
  <c r="H20" i="6"/>
  <c r="AR20" i="6"/>
  <c r="AE11" i="6"/>
  <c r="CA20" i="6"/>
  <c r="Y20" i="6"/>
  <c r="AH11" i="6"/>
  <c r="CH20" i="6"/>
  <c r="M11" i="6"/>
  <c r="CE11" i="6"/>
  <c r="CA11" i="6"/>
  <c r="W20" i="6"/>
  <c r="CJ11" i="6"/>
  <c r="AW20" i="6"/>
  <c r="CG20" i="6"/>
  <c r="K11" i="6"/>
  <c r="K20" i="6"/>
  <c r="F11" i="6"/>
  <c r="BJ20" i="6"/>
  <c r="BS20" i="6"/>
  <c r="BC20" i="6"/>
  <c r="AC11" i="6"/>
  <c r="AO20" i="6"/>
  <c r="BA20" i="6"/>
  <c r="AS20" i="6"/>
  <c r="CC11" i="6"/>
  <c r="AT11" i="6"/>
  <c r="AH20" i="6"/>
  <c r="BE20" i="6"/>
  <c r="AJ20" i="6"/>
  <c r="V20" i="6"/>
  <c r="BB20" i="6"/>
  <c r="CK20" i="6"/>
  <c r="CF20" i="6"/>
  <c r="BV11" i="6"/>
  <c r="BI20" i="6"/>
  <c r="CD20" i="6"/>
  <c r="AX20" i="6"/>
  <c r="AV20" i="6"/>
  <c r="AL11" i="6"/>
  <c r="P11" i="6"/>
  <c r="BF11" i="6"/>
  <c r="BH11" i="6"/>
  <c r="AD11" i="6"/>
  <c r="X11" i="6"/>
  <c r="L11" i="6"/>
  <c r="F20" i="6"/>
  <c r="R11" i="6"/>
  <c r="BP20" i="6"/>
  <c r="AB20" i="6"/>
  <c r="BG11" i="6"/>
  <c r="AS11" i="6"/>
  <c r="CC20" i="6"/>
  <c r="AB11" i="6"/>
  <c r="CF11" i="6"/>
  <c r="BX11" i="6"/>
  <c r="I20" i="6"/>
  <c r="AP20" i="6"/>
  <c r="AA11" i="6"/>
  <c r="AN11" i="6"/>
  <c r="S20" i="6"/>
  <c r="CK11" i="6"/>
  <c r="CH11" i="6"/>
  <c r="BS11" i="6"/>
  <c r="BQ11" i="6"/>
  <c r="AY20" i="6"/>
  <c r="BR11" i="6"/>
  <c r="AN20" i="6"/>
  <c r="AG11" i="6"/>
  <c r="BL20" i="6"/>
  <c r="BT20" i="6"/>
  <c r="X20" i="6"/>
  <c r="AT20" i="6"/>
  <c r="BO20" i="6"/>
  <c r="Q11" i="6"/>
  <c r="AW11" i="6"/>
  <c r="BA11" i="6"/>
  <c r="AD20" i="6"/>
  <c r="V11" i="6"/>
  <c r="CI11" i="6"/>
  <c r="AU20" i="6"/>
  <c r="BJ11" i="6"/>
  <c r="DG9" i="6" l="1"/>
  <c r="DI1" i="6"/>
  <c r="DH17" i="6"/>
  <c r="DH18" i="6" s="1"/>
  <c r="DH11" i="6"/>
  <c r="DH20" i="6"/>
  <c r="DH3" i="6"/>
  <c r="DH5" i="6"/>
  <c r="DH6" i="6" s="1"/>
  <c r="CM7" i="6"/>
  <c r="CN4" i="6"/>
  <c r="CN10" i="6"/>
  <c r="D11" i="6"/>
  <c r="D26" i="6" s="1"/>
  <c r="F12" i="6"/>
  <c r="F21" i="6"/>
  <c r="G21" i="6" s="1"/>
  <c r="H21" i="6" s="1"/>
  <c r="I21" i="6" s="1"/>
  <c r="J21" i="6" s="1"/>
  <c r="K21" i="6" s="1"/>
  <c r="L21" i="6" s="1"/>
  <c r="M21" i="6" s="1"/>
  <c r="N21" i="6" s="1"/>
  <c r="O21" i="6" s="1"/>
  <c r="P21" i="6" s="1"/>
  <c r="Q21" i="6" s="1"/>
  <c r="R21" i="6" s="1"/>
  <c r="S21" i="6" s="1"/>
  <c r="T21" i="6" s="1"/>
  <c r="U21" i="6" s="1"/>
  <c r="V21" i="6" s="1"/>
  <c r="W21" i="6" s="1"/>
  <c r="X21" i="6" s="1"/>
  <c r="Y21" i="6" s="1"/>
  <c r="Z21" i="6" s="1"/>
  <c r="AA21" i="6" s="1"/>
  <c r="AB21" i="6" s="1"/>
  <c r="AC21" i="6" s="1"/>
  <c r="AD21" i="6" s="1"/>
  <c r="AE21" i="6" s="1"/>
  <c r="AF21" i="6" s="1"/>
  <c r="AG21" i="6" s="1"/>
  <c r="AH21" i="6" s="1"/>
  <c r="AI21" i="6" s="1"/>
  <c r="AJ21" i="6" s="1"/>
  <c r="AK21" i="6" s="1"/>
  <c r="AL21" i="6" s="1"/>
  <c r="AM21" i="6" s="1"/>
  <c r="AN21" i="6" s="1"/>
  <c r="AO21" i="6" s="1"/>
  <c r="AP21" i="6" s="1"/>
  <c r="AQ21" i="6" s="1"/>
  <c r="AR21" i="6" s="1"/>
  <c r="AS21" i="6" s="1"/>
  <c r="AT21" i="6" s="1"/>
  <c r="AU21" i="6" s="1"/>
  <c r="AV21" i="6" s="1"/>
  <c r="AW21" i="6" s="1"/>
  <c r="AX21" i="6" s="1"/>
  <c r="AY21" i="6" s="1"/>
  <c r="AZ21" i="6" s="1"/>
  <c r="BA21" i="6" s="1"/>
  <c r="BB21" i="6" s="1"/>
  <c r="BC21" i="6" s="1"/>
  <c r="BD21" i="6" s="1"/>
  <c r="BE21" i="6" s="1"/>
  <c r="BF21" i="6" s="1"/>
  <c r="BG21" i="6" s="1"/>
  <c r="BH21" i="6" s="1"/>
  <c r="BI21" i="6" s="1"/>
  <c r="BJ21" i="6" s="1"/>
  <c r="BK21" i="6" s="1"/>
  <c r="BL21" i="6" s="1"/>
  <c r="BM21" i="6" s="1"/>
  <c r="BN21" i="6" s="1"/>
  <c r="BO21" i="6" s="1"/>
  <c r="BP21" i="6" s="1"/>
  <c r="BQ21" i="6" s="1"/>
  <c r="BR21" i="6" s="1"/>
  <c r="BS21" i="6" s="1"/>
  <c r="BT21" i="6" s="1"/>
  <c r="BU21" i="6" s="1"/>
  <c r="BV21" i="6" s="1"/>
  <c r="BW21" i="6" s="1"/>
  <c r="BX21" i="6" s="1"/>
  <c r="BY21" i="6" s="1"/>
  <c r="BZ21" i="6" s="1"/>
  <c r="CA21" i="6" s="1"/>
  <c r="CB21" i="6" s="1"/>
  <c r="CC21" i="6" s="1"/>
  <c r="CD21" i="6" s="1"/>
  <c r="CE21" i="6" s="1"/>
  <c r="CF21" i="6" s="1"/>
  <c r="CG21" i="6" s="1"/>
  <c r="CH21" i="6" s="1"/>
  <c r="CI21" i="6" s="1"/>
  <c r="CJ21" i="6" s="1"/>
  <c r="CK21" i="6" s="1"/>
  <c r="CL21" i="6" s="1"/>
  <c r="CM21" i="6" s="1"/>
  <c r="CN21" i="6" s="1"/>
  <c r="CO21" i="6" s="1"/>
  <c r="CP21" i="6" s="1"/>
  <c r="CQ21" i="6" s="1"/>
  <c r="CR21" i="6" s="1"/>
  <c r="CS21" i="6" s="1"/>
  <c r="CT21" i="6" s="1"/>
  <c r="CU21" i="6" s="1"/>
  <c r="CV21" i="6" s="1"/>
  <c r="CW21" i="6" s="1"/>
  <c r="CX21" i="6" s="1"/>
  <c r="CY21" i="6" s="1"/>
  <c r="CZ21" i="6" s="1"/>
  <c r="DA21" i="6" s="1"/>
  <c r="DB21" i="6" s="1"/>
  <c r="DC21" i="6" s="1"/>
  <c r="DD21" i="6" s="1"/>
  <c r="DE21" i="6" s="1"/>
  <c r="DF21" i="6" s="1"/>
  <c r="DG21" i="6" s="1"/>
  <c r="DH21" i="6" s="1"/>
  <c r="D20" i="6"/>
  <c r="DH9" i="6" l="1"/>
  <c r="DJ1" i="6"/>
  <c r="DI17" i="6"/>
  <c r="DI18" i="6" s="1"/>
  <c r="DI20" i="6"/>
  <c r="DI21" i="6" s="1"/>
  <c r="DI11" i="6"/>
  <c r="DI3" i="6"/>
  <c r="DI5" i="6"/>
  <c r="DI6" i="6" s="1"/>
  <c r="CN7" i="6"/>
  <c r="CO4" i="6"/>
  <c r="CO10" i="6"/>
  <c r="F14" i="6"/>
  <c r="G12" i="6"/>
  <c r="DI9" i="6" l="1"/>
  <c r="DK1" i="6"/>
  <c r="DJ17" i="6"/>
  <c r="DJ18" i="6" s="1"/>
  <c r="DJ20" i="6"/>
  <c r="DJ21" i="6" s="1"/>
  <c r="DJ11" i="6"/>
  <c r="DJ3" i="6"/>
  <c r="DJ5" i="6"/>
  <c r="DJ6" i="6" s="1"/>
  <c r="CO7" i="6"/>
  <c r="CP4" i="6"/>
  <c r="CP10" i="6"/>
  <c r="G14" i="6"/>
  <c r="H12" i="6"/>
  <c r="DJ9" i="6" l="1"/>
  <c r="DL1" i="6"/>
  <c r="DK17" i="6"/>
  <c r="DK18" i="6" s="1"/>
  <c r="DK20" i="6"/>
  <c r="DK21" i="6" s="1"/>
  <c r="DK11" i="6"/>
  <c r="DK3" i="6"/>
  <c r="DK5" i="6"/>
  <c r="DK6" i="6" s="1"/>
  <c r="CP7" i="6"/>
  <c r="CQ4" i="6"/>
  <c r="CQ10" i="6"/>
  <c r="H14" i="6"/>
  <c r="I12" i="6"/>
  <c r="DK9" i="6" l="1"/>
  <c r="DM1" i="6"/>
  <c r="DL17" i="6"/>
  <c r="DL18" i="6" s="1"/>
  <c r="DL11" i="6"/>
  <c r="DL20" i="6"/>
  <c r="DL21" i="6" s="1"/>
  <c r="DL3" i="6"/>
  <c r="DL5" i="6"/>
  <c r="DL6" i="6" s="1"/>
  <c r="CQ7" i="6"/>
  <c r="CR4" i="6"/>
  <c r="CR10" i="6"/>
  <c r="J12" i="6"/>
  <c r="I14" i="6"/>
  <c r="DL9" i="6" l="1"/>
  <c r="DN1" i="6"/>
  <c r="DM17" i="6"/>
  <c r="DM18" i="6" s="1"/>
  <c r="DM11" i="6"/>
  <c r="DM20" i="6"/>
  <c r="DM21" i="6" s="1"/>
  <c r="DM3" i="6"/>
  <c r="DM5" i="6"/>
  <c r="DM6" i="6" s="1"/>
  <c r="CS4" i="6"/>
  <c r="CR7" i="6"/>
  <c r="CS10" i="6"/>
  <c r="J14" i="6"/>
  <c r="K12" i="6"/>
  <c r="DM9" i="6" l="1"/>
  <c r="DO1" i="6"/>
  <c r="DN17" i="6"/>
  <c r="DN18" i="6" s="1"/>
  <c r="DN11" i="6"/>
  <c r="DN20" i="6"/>
  <c r="DN21" i="6" s="1"/>
  <c r="DN3" i="6"/>
  <c r="DN5" i="6"/>
  <c r="DN6" i="6" s="1"/>
  <c r="CT4" i="6"/>
  <c r="CS7" i="6"/>
  <c r="CT10" i="6"/>
  <c r="K14" i="6"/>
  <c r="L12" i="6"/>
  <c r="DN9" i="6" l="1"/>
  <c r="DP1" i="6"/>
  <c r="DO17" i="6"/>
  <c r="DO18" i="6" s="1"/>
  <c r="DO20" i="6"/>
  <c r="DO21" i="6" s="1"/>
  <c r="DO11" i="6"/>
  <c r="DO3" i="6"/>
  <c r="DO5" i="6"/>
  <c r="DO6" i="6" s="1"/>
  <c r="CU4" i="6"/>
  <c r="CT7" i="6"/>
  <c r="CU10" i="6"/>
  <c r="L14" i="6"/>
  <c r="M12" i="6"/>
  <c r="DO9" i="6" l="1"/>
  <c r="DQ1" i="6"/>
  <c r="DP17" i="6"/>
  <c r="DP18" i="6" s="1"/>
  <c r="DP11" i="6"/>
  <c r="DP20" i="6"/>
  <c r="DP21" i="6" s="1"/>
  <c r="DP3" i="6"/>
  <c r="DP5" i="6"/>
  <c r="DP6" i="6" s="1"/>
  <c r="CU7" i="6"/>
  <c r="CV4" i="6"/>
  <c r="CV10" i="6"/>
  <c r="M14" i="6"/>
  <c r="N12" i="6"/>
  <c r="DP9" i="6" l="1"/>
  <c r="DR1" i="6"/>
  <c r="DQ17" i="6"/>
  <c r="DQ18" i="6" s="1"/>
  <c r="DQ11" i="6"/>
  <c r="DQ20" i="6"/>
  <c r="DQ21" i="6" s="1"/>
  <c r="DQ3" i="6"/>
  <c r="DQ5" i="6"/>
  <c r="DQ6" i="6" s="1"/>
  <c r="CV7" i="6"/>
  <c r="CW4" i="6"/>
  <c r="CW10" i="6"/>
  <c r="N14" i="6"/>
  <c r="O12" i="6"/>
  <c r="DS1" i="6" l="1"/>
  <c r="DQ9" i="6"/>
  <c r="DR17" i="6"/>
  <c r="DR18" i="6" s="1"/>
  <c r="DR20" i="6"/>
  <c r="DR21" i="6" s="1"/>
  <c r="DR11" i="6"/>
  <c r="DR3" i="6"/>
  <c r="DR5" i="6"/>
  <c r="DR6" i="6" s="1"/>
  <c r="CW7" i="6"/>
  <c r="CX4" i="6"/>
  <c r="CX10" i="6"/>
  <c r="O14" i="6"/>
  <c r="P12" i="6"/>
  <c r="DT1" i="6" l="1"/>
  <c r="DS3" i="6"/>
  <c r="DS11" i="6"/>
  <c r="DS17" i="6"/>
  <c r="DS18" i="6" s="1"/>
  <c r="DS20" i="6"/>
  <c r="DS21" i="6" s="1"/>
  <c r="DS5" i="6"/>
  <c r="DS6" i="6" s="1"/>
  <c r="DR9" i="6"/>
  <c r="CX7" i="6"/>
  <c r="CY4" i="6"/>
  <c r="CY10" i="6"/>
  <c r="P14" i="6"/>
  <c r="Q12" i="6"/>
  <c r="DT11" i="6" l="1"/>
  <c r="DT17" i="6"/>
  <c r="DT18" i="6" s="1"/>
  <c r="DU1" i="6"/>
  <c r="DT3" i="6"/>
  <c r="DT5" i="6"/>
  <c r="DT6" i="6" s="1"/>
  <c r="DT20" i="6"/>
  <c r="DT21" i="6" s="1"/>
  <c r="DS9" i="6"/>
  <c r="CZ4" i="6"/>
  <c r="CY7" i="6"/>
  <c r="CZ10" i="6"/>
  <c r="R12" i="6"/>
  <c r="Q14" i="6"/>
  <c r="DU11" i="6" l="1"/>
  <c r="DU3" i="6"/>
  <c r="DU5" i="6"/>
  <c r="DU6" i="6" s="1"/>
  <c r="DV1" i="6"/>
  <c r="DU17" i="6"/>
  <c r="DU18" i="6" s="1"/>
  <c r="DU20" i="6"/>
  <c r="DU21" i="6" s="1"/>
  <c r="DT9" i="6"/>
  <c r="CZ7" i="6"/>
  <c r="DA4" i="6"/>
  <c r="DA10" i="6"/>
  <c r="R14" i="6"/>
  <c r="S12" i="6"/>
  <c r="DV3" i="6" l="1"/>
  <c r="DV5" i="6"/>
  <c r="DV6" i="6" s="1"/>
  <c r="DV11" i="6"/>
  <c r="DW1" i="6"/>
  <c r="DV17" i="6"/>
  <c r="DV18" i="6" s="1"/>
  <c r="DV20" i="6"/>
  <c r="DV21" i="6" s="1"/>
  <c r="DU9" i="6"/>
  <c r="DB4" i="6"/>
  <c r="DA7" i="6"/>
  <c r="DB10" i="6"/>
  <c r="S14" i="6"/>
  <c r="T12" i="6"/>
  <c r="DW3" i="6" l="1"/>
  <c r="DW5" i="6"/>
  <c r="DW6" i="6" s="1"/>
  <c r="DW9" i="6"/>
  <c r="DW20" i="6"/>
  <c r="DW21" i="6" s="1"/>
  <c r="DX1" i="6"/>
  <c r="DW11" i="6"/>
  <c r="DW17" i="6"/>
  <c r="DW18" i="6" s="1"/>
  <c r="DV9" i="6"/>
  <c r="DC4" i="6"/>
  <c r="DB7" i="6"/>
  <c r="DC10" i="6"/>
  <c r="U12" i="6"/>
  <c r="T14" i="6"/>
  <c r="DY1" i="6" l="1"/>
  <c r="DX3" i="6"/>
  <c r="DX17" i="6"/>
  <c r="DX18" i="6" s="1"/>
  <c r="DX5" i="6"/>
  <c r="DX6" i="6" s="1"/>
  <c r="DX11" i="6"/>
  <c r="DX9" i="6"/>
  <c r="DX20" i="6"/>
  <c r="DX21" i="6" s="1"/>
  <c r="DC7" i="6"/>
  <c r="DD4" i="6"/>
  <c r="DD10" i="6"/>
  <c r="V12" i="6"/>
  <c r="U14" i="6"/>
  <c r="DZ1" i="6" l="1"/>
  <c r="DY20" i="6"/>
  <c r="DY21" i="6" s="1"/>
  <c r="DY5" i="6"/>
  <c r="DY6" i="6" s="1"/>
  <c r="DY17" i="6"/>
  <c r="DY18" i="6" s="1"/>
  <c r="DY3" i="6"/>
  <c r="DY11" i="6"/>
  <c r="DY9" i="6"/>
  <c r="DE4" i="6"/>
  <c r="DD7" i="6"/>
  <c r="DE10" i="6"/>
  <c r="V14" i="6"/>
  <c r="W12" i="6"/>
  <c r="DZ3" i="6" l="1"/>
  <c r="DZ5" i="6"/>
  <c r="DZ6" i="6" s="1"/>
  <c r="EA1" i="6"/>
  <c r="DZ20" i="6"/>
  <c r="DZ21" i="6" s="1"/>
  <c r="DZ11" i="6"/>
  <c r="DZ17" i="6"/>
  <c r="DZ18" i="6" s="1"/>
  <c r="DZ9" i="6"/>
  <c r="DE7" i="6"/>
  <c r="DF4" i="6"/>
  <c r="DF10" i="6"/>
  <c r="W14" i="6"/>
  <c r="X12" i="6"/>
  <c r="EB1" i="6" l="1"/>
  <c r="EA3" i="6"/>
  <c r="EA5" i="6"/>
  <c r="EA6" i="6" s="1"/>
  <c r="EA17" i="6"/>
  <c r="EA18" i="6" s="1"/>
  <c r="EA11" i="6"/>
  <c r="EA9" i="6"/>
  <c r="EA20" i="6"/>
  <c r="EA21" i="6" s="1"/>
  <c r="DG4" i="6"/>
  <c r="DF7" i="6"/>
  <c r="DG10" i="6"/>
  <c r="X14" i="6"/>
  <c r="Y12" i="6"/>
  <c r="EC1" i="6" l="1"/>
  <c r="EB9" i="6"/>
  <c r="EB20" i="6"/>
  <c r="EB21" i="6" s="1"/>
  <c r="EB11" i="6"/>
  <c r="EB3" i="6"/>
  <c r="EB17" i="6"/>
  <c r="EB18" i="6" s="1"/>
  <c r="EB5" i="6"/>
  <c r="EB6" i="6" s="1"/>
  <c r="DG7" i="6"/>
  <c r="DH4" i="6"/>
  <c r="DH10" i="6"/>
  <c r="Z12" i="6"/>
  <c r="Y14" i="6"/>
  <c r="EC11" i="6" l="1"/>
  <c r="EC17" i="6"/>
  <c r="EC18" i="6" s="1"/>
  <c r="EC20" i="6"/>
  <c r="EC21" i="6" s="1"/>
  <c r="ED1" i="6"/>
  <c r="EC9" i="6"/>
  <c r="EC3" i="6"/>
  <c r="EC5" i="6"/>
  <c r="EC6" i="6" s="1"/>
  <c r="DI4" i="6"/>
  <c r="DH7" i="6"/>
  <c r="DI10" i="6"/>
  <c r="Z14" i="6"/>
  <c r="AA12" i="6"/>
  <c r="ED5" i="6" l="1"/>
  <c r="ED6" i="6" s="1"/>
  <c r="ED17" i="6"/>
  <c r="ED18" i="6" s="1"/>
  <c r="EE1" i="6"/>
  <c r="ED11" i="6"/>
  <c r="ED3" i="6"/>
  <c r="ED20" i="6"/>
  <c r="ED21" i="6" s="1"/>
  <c r="DJ4" i="6"/>
  <c r="DI7" i="6"/>
  <c r="DJ10" i="6"/>
  <c r="AB12" i="6"/>
  <c r="AA14" i="6"/>
  <c r="EF1" i="6" l="1"/>
  <c r="EE9" i="6" s="1"/>
  <c r="EE5" i="6"/>
  <c r="EE6" i="6" s="1"/>
  <c r="EE17" i="6"/>
  <c r="EE18" i="6" s="1"/>
  <c r="EE3" i="6"/>
  <c r="EE20" i="6"/>
  <c r="EE21" i="6" s="1"/>
  <c r="EE11" i="6"/>
  <c r="ED9" i="6"/>
  <c r="DK4" i="6"/>
  <c r="DJ7" i="6"/>
  <c r="DK10" i="6"/>
  <c r="AB14" i="6"/>
  <c r="AC12" i="6"/>
  <c r="EF11" i="6" l="1"/>
  <c r="EF17" i="6"/>
  <c r="EF18" i="6" s="1"/>
  <c r="EG1" i="6"/>
  <c r="EF5" i="6"/>
  <c r="EF6" i="6" s="1"/>
  <c r="EF3" i="6"/>
  <c r="EF20" i="6"/>
  <c r="EF21" i="6" s="1"/>
  <c r="DK7" i="6"/>
  <c r="DL4" i="6"/>
  <c r="DL10" i="6"/>
  <c r="AC14" i="6"/>
  <c r="AD12" i="6"/>
  <c r="EG11" i="6" l="1"/>
  <c r="EG17" i="6"/>
  <c r="EG18" i="6" s="1"/>
  <c r="EH1" i="6"/>
  <c r="EG5" i="6"/>
  <c r="EG6" i="6" s="1"/>
  <c r="EG3" i="6"/>
  <c r="EG20" i="6"/>
  <c r="EG21" i="6" s="1"/>
  <c r="EF9" i="6"/>
  <c r="DL7" i="6"/>
  <c r="DM4" i="6"/>
  <c r="DM10" i="6"/>
  <c r="AE12" i="6"/>
  <c r="AD14" i="6"/>
  <c r="EH3" i="6" l="1"/>
  <c r="EH5" i="6"/>
  <c r="EH6" i="6" s="1"/>
  <c r="EH11" i="6"/>
  <c r="EH17" i="6"/>
  <c r="EH18" i="6" s="1"/>
  <c r="EI1" i="6"/>
  <c r="EH20" i="6"/>
  <c r="EH21" i="6" s="1"/>
  <c r="EG9" i="6"/>
  <c r="DM7" i="6"/>
  <c r="DN4" i="6"/>
  <c r="DN10" i="6"/>
  <c r="AE14" i="6"/>
  <c r="AF12" i="6"/>
  <c r="EI3" i="6" l="1"/>
  <c r="EI5" i="6"/>
  <c r="EI6" i="6" s="1"/>
  <c r="EI11" i="6"/>
  <c r="EJ1" i="6"/>
  <c r="EI20" i="6"/>
  <c r="EI21" i="6" s="1"/>
  <c r="EI17" i="6"/>
  <c r="EI18" i="6" s="1"/>
  <c r="EH9" i="6"/>
  <c r="DN7" i="6"/>
  <c r="DO4" i="6"/>
  <c r="DO10" i="6"/>
  <c r="AF14" i="6"/>
  <c r="AG12" i="6"/>
  <c r="EJ3" i="6" l="1"/>
  <c r="EJ20" i="6"/>
  <c r="EJ21" i="6" s="1"/>
  <c r="EJ11" i="6"/>
  <c r="EJ5" i="6"/>
  <c r="EJ6" i="6" s="1"/>
  <c r="EK1" i="6"/>
  <c r="EJ17" i="6"/>
  <c r="EJ18" i="6" s="1"/>
  <c r="EI9" i="6"/>
  <c r="DP4" i="6"/>
  <c r="DO7" i="6"/>
  <c r="DP10" i="6"/>
  <c r="AH12" i="6"/>
  <c r="AG14" i="6"/>
  <c r="EK3" i="6" l="1"/>
  <c r="EL1" i="6"/>
  <c r="EK5" i="6"/>
  <c r="EK6" i="6" s="1"/>
  <c r="EK20" i="6"/>
  <c r="EK21" i="6" s="1"/>
  <c r="EK11" i="6"/>
  <c r="EK17" i="6"/>
  <c r="EK18" i="6" s="1"/>
  <c r="EJ9" i="6"/>
  <c r="DP7" i="6"/>
  <c r="DQ4" i="6"/>
  <c r="DQ10" i="6"/>
  <c r="AI12" i="6"/>
  <c r="AH14" i="6"/>
  <c r="EL3" i="6" l="1"/>
  <c r="EL5" i="6"/>
  <c r="EL6" i="6" s="1"/>
  <c r="EL20" i="6"/>
  <c r="EL21" i="6" s="1"/>
  <c r="EM1" i="6"/>
  <c r="EL17" i="6"/>
  <c r="EL18" i="6" s="1"/>
  <c r="EL11" i="6"/>
  <c r="EL9" i="6"/>
  <c r="EK9" i="6"/>
  <c r="DQ7" i="6"/>
  <c r="DR4" i="6"/>
  <c r="DR10" i="6"/>
  <c r="DS10" i="6" s="1"/>
  <c r="AI14" i="6"/>
  <c r="AJ12" i="6"/>
  <c r="DR7" i="6" l="1"/>
  <c r="DS4" i="6"/>
  <c r="EN1" i="6"/>
  <c r="EM3" i="6"/>
  <c r="EM5" i="6"/>
  <c r="EM6" i="6" s="1"/>
  <c r="EM20" i="6"/>
  <c r="EM21" i="6" s="1"/>
  <c r="EM11" i="6"/>
  <c r="EM9" i="6"/>
  <c r="EM17" i="6"/>
  <c r="EM18" i="6" s="1"/>
  <c r="DT10" i="6"/>
  <c r="AJ14" i="6"/>
  <c r="AK12" i="6"/>
  <c r="EO1" i="6" l="1"/>
  <c r="EN3" i="6"/>
  <c r="EN5" i="6"/>
  <c r="EN6" i="6" s="1"/>
  <c r="EN11" i="6"/>
  <c r="EN20" i="6"/>
  <c r="EN21" i="6" s="1"/>
  <c r="EN17" i="6"/>
  <c r="EN18" i="6" s="1"/>
  <c r="EN9" i="6"/>
  <c r="DT4" i="6"/>
  <c r="DS7" i="6"/>
  <c r="DU10" i="6"/>
  <c r="AL12" i="6"/>
  <c r="AK14" i="6"/>
  <c r="DU4" i="6" l="1"/>
  <c r="DT7" i="6"/>
  <c r="EO11" i="6"/>
  <c r="EO17" i="6"/>
  <c r="EO18" i="6" s="1"/>
  <c r="EO20" i="6"/>
  <c r="EO21" i="6" s="1"/>
  <c r="EP1" i="6"/>
  <c r="EO3" i="6"/>
  <c r="EO9" i="6"/>
  <c r="EO5" i="6"/>
  <c r="EO6" i="6" s="1"/>
  <c r="DV10" i="6"/>
  <c r="AM12" i="6"/>
  <c r="AL14" i="6"/>
  <c r="EP3" i="6" l="1"/>
  <c r="EP11" i="6"/>
  <c r="EP17" i="6"/>
  <c r="EP18" i="6" s="1"/>
  <c r="EQ1" i="6"/>
  <c r="EP5" i="6"/>
  <c r="EP6" i="6" s="1"/>
  <c r="EP20" i="6"/>
  <c r="EP21" i="6" s="1"/>
  <c r="DV4" i="6"/>
  <c r="DU7" i="6"/>
  <c r="DW10" i="6"/>
  <c r="AM14" i="6"/>
  <c r="AN12" i="6"/>
  <c r="ER1" i="6" l="1"/>
  <c r="EQ17" i="6"/>
  <c r="EQ18" i="6" s="1"/>
  <c r="EQ3" i="6"/>
  <c r="EQ20" i="6"/>
  <c r="EQ21" i="6" s="1"/>
  <c r="EQ5" i="6"/>
  <c r="EQ6" i="6" s="1"/>
  <c r="EQ11" i="6"/>
  <c r="DV7" i="6"/>
  <c r="DW4" i="6"/>
  <c r="EP9" i="6"/>
  <c r="DX10" i="6"/>
  <c r="AO12" i="6"/>
  <c r="AN14" i="6"/>
  <c r="DW7" i="6" l="1"/>
  <c r="DX4" i="6"/>
  <c r="ER11" i="6"/>
  <c r="ER17" i="6"/>
  <c r="ER18" i="6" s="1"/>
  <c r="ES1" i="6"/>
  <c r="ER5" i="6"/>
  <c r="ER6" i="6" s="1"/>
  <c r="ER3" i="6"/>
  <c r="ER20" i="6"/>
  <c r="ER21" i="6" s="1"/>
  <c r="EQ9" i="6"/>
  <c r="DY10" i="6"/>
  <c r="AP12" i="6"/>
  <c r="AO14" i="6"/>
  <c r="ES17" i="6" l="1"/>
  <c r="ES18" i="6" s="1"/>
  <c r="ES5" i="6"/>
  <c r="ES6" i="6" s="1"/>
  <c r="ES20" i="6"/>
  <c r="ES21" i="6" s="1"/>
  <c r="ES3" i="6"/>
  <c r="ES11" i="6"/>
  <c r="ET1" i="6"/>
  <c r="ER9" i="6"/>
  <c r="DY4" i="6"/>
  <c r="DX7" i="6"/>
  <c r="DZ10" i="6"/>
  <c r="AP14" i="6"/>
  <c r="AQ12" i="6"/>
  <c r="DZ4" i="6" l="1"/>
  <c r="DY7" i="6"/>
  <c r="ET3" i="6"/>
  <c r="ET5" i="6"/>
  <c r="ET6" i="6" s="1"/>
  <c r="EU1" i="6"/>
  <c r="ET9" i="6" s="1"/>
  <c r="ET17" i="6"/>
  <c r="ET18" i="6" s="1"/>
  <c r="ET11" i="6"/>
  <c r="ET20" i="6"/>
  <c r="ET21" i="6" s="1"/>
  <c r="ES9" i="6"/>
  <c r="EA10" i="6"/>
  <c r="AQ14" i="6"/>
  <c r="AR12" i="6"/>
  <c r="EU3" i="6" l="1"/>
  <c r="EU5" i="6"/>
  <c r="EU6" i="6" s="1"/>
  <c r="EU11" i="6"/>
  <c r="EV1" i="6"/>
  <c r="EU9" i="6" s="1"/>
  <c r="EU17" i="6"/>
  <c r="EU18" i="6" s="1"/>
  <c r="EU20" i="6"/>
  <c r="EU21" i="6" s="1"/>
  <c r="DZ7" i="6"/>
  <c r="EA4" i="6"/>
  <c r="EB10" i="6"/>
  <c r="AR14" i="6"/>
  <c r="AS12" i="6"/>
  <c r="EB4" i="6" l="1"/>
  <c r="EA7" i="6"/>
  <c r="EV5" i="6"/>
  <c r="EV6" i="6" s="1"/>
  <c r="EV11" i="6"/>
  <c r="EW1" i="6"/>
  <c r="EV17" i="6"/>
  <c r="EV18" i="6" s="1"/>
  <c r="EV20" i="6"/>
  <c r="EV21" i="6" s="1"/>
  <c r="EV9" i="6"/>
  <c r="EV3" i="6"/>
  <c r="EC10" i="6"/>
  <c r="AS14" i="6"/>
  <c r="AT12" i="6"/>
  <c r="EW20" i="6" l="1"/>
  <c r="EW21" i="6" s="1"/>
  <c r="EW5" i="6"/>
  <c r="EW6" i="6" s="1"/>
  <c r="EW11" i="6"/>
  <c r="EX1" i="6"/>
  <c r="EW17" i="6"/>
  <c r="EW18" i="6" s="1"/>
  <c r="EW3" i="6"/>
  <c r="EW9" i="6"/>
  <c r="EC4" i="6"/>
  <c r="EB7" i="6"/>
  <c r="ED10" i="6"/>
  <c r="AT14" i="6"/>
  <c r="AU12" i="6"/>
  <c r="ED4" i="6" l="1"/>
  <c r="EC7" i="6"/>
  <c r="EX3" i="6"/>
  <c r="EX5" i="6"/>
  <c r="EX6" i="6" s="1"/>
  <c r="EX11" i="6"/>
  <c r="EY1" i="6"/>
  <c r="EX17" i="6"/>
  <c r="EX18" i="6" s="1"/>
  <c r="EX20" i="6"/>
  <c r="EX21" i="6" s="1"/>
  <c r="EE10" i="6"/>
  <c r="AU14" i="6"/>
  <c r="AV12" i="6"/>
  <c r="EZ1" i="6" l="1"/>
  <c r="EY9" i="6"/>
  <c r="EY3" i="6"/>
  <c r="EY5" i="6"/>
  <c r="EY6" i="6" s="1"/>
  <c r="EY20" i="6"/>
  <c r="EY21" i="6" s="1"/>
  <c r="EY17" i="6"/>
  <c r="EY18" i="6" s="1"/>
  <c r="EY11" i="6"/>
  <c r="EX9" i="6"/>
  <c r="EE4" i="6"/>
  <c r="ED7" i="6"/>
  <c r="EF10" i="6"/>
  <c r="AW12" i="6"/>
  <c r="AV14" i="6"/>
  <c r="EF4" i="6" l="1"/>
  <c r="EE7" i="6"/>
  <c r="FA1" i="6"/>
  <c r="EZ9" i="6"/>
  <c r="EZ5" i="6"/>
  <c r="EZ6" i="6" s="1"/>
  <c r="EZ20" i="6"/>
  <c r="EZ21" i="6" s="1"/>
  <c r="EZ11" i="6"/>
  <c r="EZ3" i="6"/>
  <c r="EZ17" i="6"/>
  <c r="EZ18" i="6" s="1"/>
  <c r="EG10" i="6"/>
  <c r="AX12" i="6"/>
  <c r="AW14" i="6"/>
  <c r="FA11" i="6" l="1"/>
  <c r="FA17" i="6"/>
  <c r="FA18" i="6" s="1"/>
  <c r="FA20" i="6"/>
  <c r="FA21" i="6" s="1"/>
  <c r="FB1" i="6"/>
  <c r="FA9" i="6"/>
  <c r="FA5" i="6"/>
  <c r="FA6" i="6" s="1"/>
  <c r="FA3" i="6"/>
  <c r="EG4" i="6"/>
  <c r="EF7" i="6"/>
  <c r="EH10" i="6"/>
  <c r="AY12" i="6"/>
  <c r="AX14" i="6"/>
  <c r="FB3" i="6" l="1"/>
  <c r="FB11" i="6"/>
  <c r="FB5" i="6"/>
  <c r="FB6" i="6" s="1"/>
  <c r="FB17" i="6"/>
  <c r="FB18" i="6" s="1"/>
  <c r="FC1" i="6"/>
  <c r="FB20" i="6"/>
  <c r="FB21" i="6" s="1"/>
  <c r="EH4" i="6"/>
  <c r="EG7" i="6"/>
  <c r="EI10" i="6"/>
  <c r="AZ12" i="6"/>
  <c r="AY14" i="6"/>
  <c r="EH7" i="6" l="1"/>
  <c r="EI4" i="6"/>
  <c r="FD1" i="6"/>
  <c r="FC9" i="6" s="1"/>
  <c r="FC3" i="6"/>
  <c r="FC5" i="6"/>
  <c r="FC6" i="6" s="1"/>
  <c r="FC17" i="6"/>
  <c r="FC18" i="6" s="1"/>
  <c r="FC11" i="6"/>
  <c r="FC20" i="6"/>
  <c r="FC21" i="6" s="1"/>
  <c r="FB9" i="6"/>
  <c r="EJ10" i="6"/>
  <c r="AZ14" i="6"/>
  <c r="BA12" i="6"/>
  <c r="FD11" i="6" l="1"/>
  <c r="FD17" i="6"/>
  <c r="FD18" i="6" s="1"/>
  <c r="FE1" i="6"/>
  <c r="FD3" i="6"/>
  <c r="FD9" i="6"/>
  <c r="FD5" i="6"/>
  <c r="FD6" i="6" s="1"/>
  <c r="FD20" i="6"/>
  <c r="FD21" i="6" s="1"/>
  <c r="EI7" i="6"/>
  <c r="EJ4" i="6"/>
  <c r="EK10" i="6"/>
  <c r="BA14" i="6"/>
  <c r="BB12" i="6"/>
  <c r="FE3" i="6" l="1"/>
  <c r="FE11" i="6"/>
  <c r="FE17" i="6"/>
  <c r="FE18" i="6" s="1"/>
  <c r="FE20" i="6"/>
  <c r="FE21" i="6" s="1"/>
  <c r="FF1" i="6"/>
  <c r="FE5" i="6"/>
  <c r="FE6" i="6" s="1"/>
  <c r="EJ7" i="6"/>
  <c r="EK4" i="6"/>
  <c r="EL10" i="6"/>
  <c r="BB14" i="6"/>
  <c r="BC12" i="6"/>
  <c r="FF3" i="6" l="1"/>
  <c r="FF5" i="6"/>
  <c r="FF6" i="6" s="1"/>
  <c r="FF20" i="6"/>
  <c r="FF21" i="6" s="1"/>
  <c r="FF11" i="6"/>
  <c r="FF17" i="6"/>
  <c r="FF18" i="6" s="1"/>
  <c r="FG1" i="6"/>
  <c r="FE9" i="6"/>
  <c r="EL4" i="6"/>
  <c r="EK7" i="6"/>
  <c r="EM10" i="6"/>
  <c r="BC14" i="6"/>
  <c r="BD12" i="6"/>
  <c r="EL7" i="6" l="1"/>
  <c r="EM4" i="6"/>
  <c r="FG3" i="6"/>
  <c r="FG5" i="6"/>
  <c r="FG6" i="6" s="1"/>
  <c r="FG17" i="6"/>
  <c r="FG18" i="6" s="1"/>
  <c r="FG20" i="6"/>
  <c r="FG21" i="6" s="1"/>
  <c r="FG11" i="6"/>
  <c r="FH1" i="6"/>
  <c r="FF9" i="6"/>
  <c r="EN10" i="6"/>
  <c r="BE12" i="6"/>
  <c r="BD14" i="6"/>
  <c r="FH17" i="6" l="1"/>
  <c r="FH18" i="6" s="1"/>
  <c r="FH3" i="6"/>
  <c r="FI1" i="6"/>
  <c r="FH20" i="6"/>
  <c r="FH21" i="6" s="1"/>
  <c r="FH11" i="6"/>
  <c r="FH5" i="6"/>
  <c r="FH6" i="6" s="1"/>
  <c r="FG9" i="6"/>
  <c r="EN4" i="6"/>
  <c r="EM7" i="6"/>
  <c r="EO10" i="6"/>
  <c r="BE14" i="6"/>
  <c r="BF12" i="6"/>
  <c r="FI11" i="6" l="1"/>
  <c r="FI17" i="6"/>
  <c r="FI18" i="6" s="1"/>
  <c r="FI3" i="6"/>
  <c r="FI20" i="6"/>
  <c r="FI21" i="6" s="1"/>
  <c r="FJ1" i="6"/>
  <c r="FI5" i="6"/>
  <c r="FI6" i="6" s="1"/>
  <c r="EO4" i="6"/>
  <c r="EN7" i="6"/>
  <c r="FH9" i="6"/>
  <c r="EP10" i="6"/>
  <c r="BF14" i="6"/>
  <c r="BG12" i="6"/>
  <c r="FJ3" i="6" l="1"/>
  <c r="FJ5" i="6"/>
  <c r="FJ6" i="6" s="1"/>
  <c r="FJ20" i="6"/>
  <c r="FJ21" i="6" s="1"/>
  <c r="FJ11" i="6"/>
  <c r="FJ17" i="6"/>
  <c r="FJ18" i="6" s="1"/>
  <c r="FK1" i="6"/>
  <c r="EP4" i="6"/>
  <c r="EO7" i="6"/>
  <c r="FI9" i="6"/>
  <c r="EQ10" i="6"/>
  <c r="BG14" i="6"/>
  <c r="BH12" i="6"/>
  <c r="EQ4" i="6" l="1"/>
  <c r="EP7" i="6"/>
  <c r="FL1" i="6"/>
  <c r="FK9" i="6"/>
  <c r="FK3" i="6"/>
  <c r="FK5" i="6"/>
  <c r="FK6" i="6" s="1"/>
  <c r="FK11" i="6"/>
  <c r="FK20" i="6"/>
  <c r="FK21" i="6" s="1"/>
  <c r="FK17" i="6"/>
  <c r="FK18" i="6" s="1"/>
  <c r="FJ9" i="6"/>
  <c r="ER10" i="6"/>
  <c r="BH14" i="6"/>
  <c r="BI12" i="6"/>
  <c r="FM1" i="6" l="1"/>
  <c r="FL20" i="6"/>
  <c r="FL21" i="6" s="1"/>
  <c r="FL11" i="6"/>
  <c r="FL9" i="6"/>
  <c r="FL3" i="6"/>
  <c r="FL17" i="6"/>
  <c r="FL18" i="6" s="1"/>
  <c r="FL5" i="6"/>
  <c r="FL6" i="6" s="1"/>
  <c r="ER4" i="6"/>
  <c r="EQ7" i="6"/>
  <c r="ES10" i="6"/>
  <c r="BJ12" i="6"/>
  <c r="BI14" i="6"/>
  <c r="ES4" i="6" l="1"/>
  <c r="ER7" i="6"/>
  <c r="FM11" i="6"/>
  <c r="FM17" i="6"/>
  <c r="FM18" i="6" s="1"/>
  <c r="FM20" i="6"/>
  <c r="FM21" i="6" s="1"/>
  <c r="FN1" i="6"/>
  <c r="FM9" i="6"/>
  <c r="FM3" i="6"/>
  <c r="FM5" i="6"/>
  <c r="FM6" i="6" s="1"/>
  <c r="ET10" i="6"/>
  <c r="BK12" i="6"/>
  <c r="BJ14" i="6"/>
  <c r="FN5" i="6" l="1"/>
  <c r="FN6" i="6" s="1"/>
  <c r="FO1" i="6"/>
  <c r="FN20" i="6"/>
  <c r="FN21" i="6" s="1"/>
  <c r="FN9" i="6"/>
  <c r="FN3" i="6"/>
  <c r="FN11" i="6"/>
  <c r="FN17" i="6"/>
  <c r="FN18" i="6" s="1"/>
  <c r="ET4" i="6"/>
  <c r="ES7" i="6"/>
  <c r="EU10" i="6"/>
  <c r="BL12" i="6"/>
  <c r="BK14" i="6"/>
  <c r="EU4" i="6" l="1"/>
  <c r="ET7" i="6"/>
  <c r="FP1" i="6"/>
  <c r="FO5" i="6"/>
  <c r="FO6" i="6" s="1"/>
  <c r="FO17" i="6"/>
  <c r="FO18" i="6" s="1"/>
  <c r="FO20" i="6"/>
  <c r="FO21" i="6" s="1"/>
  <c r="FO9" i="6"/>
  <c r="FO3" i="6"/>
  <c r="FO11" i="6"/>
  <c r="EV10" i="6"/>
  <c r="BM12" i="6"/>
  <c r="BL14" i="6"/>
  <c r="FP11" i="6" l="1"/>
  <c r="FP17" i="6"/>
  <c r="FP18" i="6" s="1"/>
  <c r="FQ1" i="6"/>
  <c r="FP9" i="6" s="1"/>
  <c r="FP5" i="6"/>
  <c r="FP6" i="6" s="1"/>
  <c r="FP20" i="6"/>
  <c r="FP21" i="6" s="1"/>
  <c r="FP3" i="6"/>
  <c r="EU7" i="6"/>
  <c r="EV4" i="6"/>
  <c r="EW10" i="6"/>
  <c r="BM14" i="6"/>
  <c r="BN12" i="6"/>
  <c r="EV7" i="6" l="1"/>
  <c r="EW4" i="6"/>
  <c r="FR1" i="6"/>
  <c r="FQ9" i="6" s="1"/>
  <c r="FQ5" i="6"/>
  <c r="FQ6" i="6" s="1"/>
  <c r="FQ17" i="6"/>
  <c r="FQ18" i="6" s="1"/>
  <c r="FQ3" i="6"/>
  <c r="FQ20" i="6"/>
  <c r="FQ21" i="6" s="1"/>
  <c r="FQ11" i="6"/>
  <c r="EX10" i="6"/>
  <c r="BN14" i="6"/>
  <c r="BO12" i="6"/>
  <c r="FR3" i="6" l="1"/>
  <c r="FR5" i="6"/>
  <c r="FR6" i="6" s="1"/>
  <c r="FS1" i="6"/>
  <c r="FR11" i="6"/>
  <c r="FR17" i="6"/>
  <c r="FR18" i="6" s="1"/>
  <c r="FR20" i="6"/>
  <c r="FR21" i="6" s="1"/>
  <c r="EW7" i="6"/>
  <c r="EX4" i="6"/>
  <c r="EY10" i="6"/>
  <c r="BO14" i="6"/>
  <c r="BP12" i="6"/>
  <c r="FS3" i="6" l="1"/>
  <c r="FS5" i="6"/>
  <c r="FS6" i="6" s="1"/>
  <c r="FT1" i="6"/>
  <c r="FS17" i="6"/>
  <c r="FS18" i="6" s="1"/>
  <c r="FS11" i="6"/>
  <c r="FS20" i="6"/>
  <c r="FS21" i="6" s="1"/>
  <c r="EX7" i="6"/>
  <c r="EY4" i="6"/>
  <c r="FR9" i="6"/>
  <c r="EZ10" i="6"/>
  <c r="BP14" i="6"/>
  <c r="BQ12" i="6"/>
  <c r="FT3" i="6" l="1"/>
  <c r="FU1" i="6"/>
  <c r="FT9" i="6" s="1"/>
  <c r="FT11" i="6"/>
  <c r="FT5" i="6"/>
  <c r="FT6" i="6" s="1"/>
  <c r="FT20" i="6"/>
  <c r="FT21" i="6" s="1"/>
  <c r="FT17" i="6"/>
  <c r="FT18" i="6" s="1"/>
  <c r="EZ4" i="6"/>
  <c r="EY7" i="6"/>
  <c r="FS9" i="6"/>
  <c r="FA10" i="6"/>
  <c r="BQ14" i="6"/>
  <c r="BR12" i="6"/>
  <c r="FA4" i="6" l="1"/>
  <c r="EZ7" i="6"/>
  <c r="FU17" i="6"/>
  <c r="FU18" i="6" s="1"/>
  <c r="FU3" i="6"/>
  <c r="FU11" i="6"/>
  <c r="FV1" i="6"/>
  <c r="FU5" i="6"/>
  <c r="FU6" i="6" s="1"/>
  <c r="FU20" i="6"/>
  <c r="FU21" i="6" s="1"/>
  <c r="FB10" i="6"/>
  <c r="BS12" i="6"/>
  <c r="BR14" i="6"/>
  <c r="FV3" i="6" l="1"/>
  <c r="FV5" i="6"/>
  <c r="FV6" i="6" s="1"/>
  <c r="FV17" i="6"/>
  <c r="FV18" i="6" s="1"/>
  <c r="FV20" i="6"/>
  <c r="FV21" i="6" s="1"/>
  <c r="FV11" i="6"/>
  <c r="FW1" i="6"/>
  <c r="FU9" i="6"/>
  <c r="FB4" i="6"/>
  <c r="FA7" i="6"/>
  <c r="FC10" i="6"/>
  <c r="BT12" i="6"/>
  <c r="BS14" i="6"/>
  <c r="FC4" i="6" l="1"/>
  <c r="FB7" i="6"/>
  <c r="FX1" i="6"/>
  <c r="FW9" i="6"/>
  <c r="FW3" i="6"/>
  <c r="FW5" i="6"/>
  <c r="FW6" i="6" s="1"/>
  <c r="FW11" i="6"/>
  <c r="FW20" i="6"/>
  <c r="FW21" i="6" s="1"/>
  <c r="FW17" i="6"/>
  <c r="FW18" i="6" s="1"/>
  <c r="FV9" i="6"/>
  <c r="FD10" i="6"/>
  <c r="BU12" i="6"/>
  <c r="BT14" i="6"/>
  <c r="FY1" i="6" l="1"/>
  <c r="FX11" i="6"/>
  <c r="FX9" i="6"/>
  <c r="FX3" i="6"/>
  <c r="FX17" i="6"/>
  <c r="FX18" i="6" s="1"/>
  <c r="FX5" i="6"/>
  <c r="FX6" i="6" s="1"/>
  <c r="FX20" i="6"/>
  <c r="FX21" i="6" s="1"/>
  <c r="FD4" i="6"/>
  <c r="FC7" i="6"/>
  <c r="FE10" i="6"/>
  <c r="BV12" i="6"/>
  <c r="BU14" i="6"/>
  <c r="FE4" i="6" l="1"/>
  <c r="FD7" i="6"/>
  <c r="FY11" i="6"/>
  <c r="FY17" i="6"/>
  <c r="FY18" i="6" s="1"/>
  <c r="FY20" i="6"/>
  <c r="FY21" i="6" s="1"/>
  <c r="FY3" i="6"/>
  <c r="FY5" i="6"/>
  <c r="FY6" i="6" s="1"/>
  <c r="FZ1" i="6"/>
  <c r="FY9" i="6" s="1"/>
  <c r="FF10" i="6"/>
  <c r="BV14" i="6"/>
  <c r="BW12" i="6"/>
  <c r="FZ11" i="6" l="1"/>
  <c r="FZ20" i="6"/>
  <c r="FZ21" i="6" s="1"/>
  <c r="FZ3" i="6"/>
  <c r="FZ5" i="6"/>
  <c r="FZ6" i="6" s="1"/>
  <c r="FZ17" i="6"/>
  <c r="FZ18" i="6" s="1"/>
  <c r="GA1" i="6"/>
  <c r="FE7" i="6"/>
  <c r="FF4" i="6"/>
  <c r="FG10" i="6"/>
  <c r="BW14" i="6"/>
  <c r="BX12" i="6"/>
  <c r="GB1" i="6" l="1"/>
  <c r="GA11" i="6"/>
  <c r="GA20" i="6"/>
  <c r="GA21" i="6" s="1"/>
  <c r="GA5" i="6"/>
  <c r="GA6" i="6" s="1"/>
  <c r="GA9" i="6"/>
  <c r="GA3" i="6"/>
  <c r="GA17" i="6"/>
  <c r="GA18" i="6" s="1"/>
  <c r="FZ9" i="6"/>
  <c r="FF7" i="6"/>
  <c r="FG4" i="6"/>
  <c r="FH10" i="6"/>
  <c r="BX14" i="6"/>
  <c r="BY12" i="6"/>
  <c r="FG7" i="6" l="1"/>
  <c r="FH4" i="6"/>
  <c r="GB11" i="6"/>
  <c r="GB17" i="6"/>
  <c r="GB18" i="6" s="1"/>
  <c r="GC1" i="6"/>
  <c r="GB5" i="6"/>
  <c r="GB6" i="6" s="1"/>
  <c r="GB3" i="6"/>
  <c r="GB9" i="6"/>
  <c r="GB20" i="6"/>
  <c r="GB21" i="6" s="1"/>
  <c r="FI10" i="6"/>
  <c r="BY14" i="6"/>
  <c r="BZ12" i="6"/>
  <c r="GC20" i="6" l="1"/>
  <c r="GC21" i="6" s="1"/>
  <c r="GD1" i="6"/>
  <c r="GC5" i="6"/>
  <c r="GC6" i="6" s="1"/>
  <c r="GC3" i="6"/>
  <c r="GC11" i="6"/>
  <c r="GC17" i="6"/>
  <c r="GC18" i="6" s="1"/>
  <c r="GC9" i="6"/>
  <c r="FI4" i="6"/>
  <c r="FH7" i="6"/>
  <c r="FJ10" i="6"/>
  <c r="CA12" i="6"/>
  <c r="BZ14" i="6"/>
  <c r="FJ4" i="6" l="1"/>
  <c r="FI7" i="6"/>
  <c r="GD3" i="6"/>
  <c r="GD5" i="6"/>
  <c r="GD6" i="6" s="1"/>
  <c r="GD20" i="6"/>
  <c r="GD21" i="6" s="1"/>
  <c r="GE1" i="6"/>
  <c r="GD11" i="6"/>
  <c r="GD17" i="6"/>
  <c r="GD18" i="6" s="1"/>
  <c r="FK10" i="6"/>
  <c r="CB12" i="6"/>
  <c r="CA14" i="6"/>
  <c r="GE3" i="6" l="1"/>
  <c r="GE5" i="6"/>
  <c r="GE6" i="6" s="1"/>
  <c r="GF1" i="6"/>
  <c r="GE20" i="6"/>
  <c r="GE21" i="6" s="1"/>
  <c r="GE17" i="6"/>
  <c r="GE18" i="6" s="1"/>
  <c r="GE11" i="6"/>
  <c r="GD9" i="6"/>
  <c r="FJ7" i="6"/>
  <c r="FK4" i="6"/>
  <c r="FL10" i="6"/>
  <c r="CC12" i="6"/>
  <c r="CB14" i="6"/>
  <c r="FL4" i="6" l="1"/>
  <c r="FK7" i="6"/>
  <c r="GF9" i="6"/>
  <c r="GF5" i="6"/>
  <c r="GF6" i="6" s="1"/>
  <c r="GF20" i="6"/>
  <c r="GF21" i="6" s="1"/>
  <c r="GF17" i="6"/>
  <c r="GF18" i="6" s="1"/>
  <c r="GF3" i="6"/>
  <c r="GF11" i="6"/>
  <c r="GE9" i="6"/>
  <c r="FM10" i="6"/>
  <c r="CC14" i="6"/>
  <c r="CD12" i="6"/>
  <c r="D9" i="6" l="1"/>
  <c r="FM4" i="6"/>
  <c r="FL7" i="6"/>
  <c r="FN10" i="6"/>
  <c r="CE12" i="6"/>
  <c r="CD14" i="6"/>
  <c r="FN4" i="6" l="1"/>
  <c r="FM7" i="6"/>
  <c r="FO10" i="6"/>
  <c r="CE14" i="6"/>
  <c r="CF12" i="6"/>
  <c r="FO4" i="6" l="1"/>
  <c r="FN7" i="6"/>
  <c r="FP10" i="6"/>
  <c r="CG12" i="6"/>
  <c r="CF14" i="6"/>
  <c r="FP4" i="6" l="1"/>
  <c r="FO7" i="6"/>
  <c r="FQ10" i="6"/>
  <c r="CH12" i="6"/>
  <c r="CG14" i="6"/>
  <c r="FQ4" i="6" l="1"/>
  <c r="FP7" i="6"/>
  <c r="FR10" i="6"/>
  <c r="CH14" i="6"/>
  <c r="CI12" i="6"/>
  <c r="FQ7" i="6" l="1"/>
  <c r="FR4" i="6"/>
  <c r="FS10" i="6"/>
  <c r="CJ12" i="6"/>
  <c r="CI14" i="6"/>
  <c r="FR7" i="6" l="1"/>
  <c r="FS4" i="6"/>
  <c r="FT10" i="6"/>
  <c r="CK12" i="6"/>
  <c r="CJ14" i="6"/>
  <c r="FS7" i="6" l="1"/>
  <c r="FT4" i="6"/>
  <c r="FU10" i="6"/>
  <c r="CK14" i="6"/>
  <c r="CL12" i="6"/>
  <c r="FT7" i="6" l="1"/>
  <c r="FU4" i="6"/>
  <c r="FV10" i="6"/>
  <c r="CM12" i="6"/>
  <c r="CL14" i="6"/>
  <c r="FU7" i="6" l="1"/>
  <c r="FV4" i="6"/>
  <c r="FW10" i="6"/>
  <c r="CN12" i="6"/>
  <c r="CM14" i="6"/>
  <c r="FV7" i="6" l="1"/>
  <c r="FW4" i="6"/>
  <c r="FX10" i="6"/>
  <c r="CO12" i="6"/>
  <c r="CN14" i="6"/>
  <c r="FX4" i="6" l="1"/>
  <c r="FW7" i="6"/>
  <c r="FY10" i="6"/>
  <c r="CP12" i="6"/>
  <c r="CO14" i="6"/>
  <c r="FY4" i="6" l="1"/>
  <c r="FX7" i="6"/>
  <c r="FZ10" i="6"/>
  <c r="CQ12" i="6"/>
  <c r="CP14" i="6"/>
  <c r="FZ4" i="6" l="1"/>
  <c r="FY7" i="6"/>
  <c r="GA10" i="6"/>
  <c r="CR12" i="6"/>
  <c r="CQ14" i="6"/>
  <c r="GA4" i="6" l="1"/>
  <c r="FZ7" i="6"/>
  <c r="GB10" i="6"/>
  <c r="CS12" i="6"/>
  <c r="CR14" i="6"/>
  <c r="GB4" i="6" l="1"/>
  <c r="GA7" i="6"/>
  <c r="GC10" i="6"/>
  <c r="CT12" i="6"/>
  <c r="CS14" i="6"/>
  <c r="GC4" i="6" l="1"/>
  <c r="GB7" i="6"/>
  <c r="GD10" i="6"/>
  <c r="CU12" i="6"/>
  <c r="CT14" i="6"/>
  <c r="GD4" i="6" l="1"/>
  <c r="GC7" i="6"/>
  <c r="GE10" i="6"/>
  <c r="CV12" i="6"/>
  <c r="CU14" i="6"/>
  <c r="GE4" i="6" l="1"/>
  <c r="GD7" i="6"/>
  <c r="GF10" i="6"/>
  <c r="CW12" i="6"/>
  <c r="CV14" i="6"/>
  <c r="GE7" i="6" l="1"/>
  <c r="GF4" i="6"/>
  <c r="GF7" i="6" s="1"/>
  <c r="CX12" i="6"/>
  <c r="CW14" i="6"/>
  <c r="CY12" i="6" l="1"/>
  <c r="CX14" i="6"/>
  <c r="CZ12" i="6" l="1"/>
  <c r="CY14" i="6"/>
  <c r="DA12" i="6" l="1"/>
  <c r="CZ14" i="6"/>
  <c r="DB12" i="6" l="1"/>
  <c r="DA14" i="6"/>
  <c r="DC12" i="6" l="1"/>
  <c r="DB14" i="6"/>
  <c r="DD12" i="6" l="1"/>
  <c r="DC14" i="6"/>
  <c r="DE12" i="6" l="1"/>
  <c r="DD14" i="6"/>
  <c r="DF12" i="6" l="1"/>
  <c r="DE14" i="6"/>
  <c r="DG12" i="6" l="1"/>
  <c r="DF14" i="6"/>
  <c r="DH12" i="6" l="1"/>
  <c r="DG14" i="6"/>
  <c r="DI12" i="6" l="1"/>
  <c r="DH14" i="6"/>
  <c r="DJ12" i="6" l="1"/>
  <c r="DI14" i="6"/>
  <c r="DK12" i="6" l="1"/>
  <c r="DJ14" i="6"/>
  <c r="DL12" i="6" l="1"/>
  <c r="DK14" i="6"/>
  <c r="DM12" i="6" l="1"/>
  <c r="DL14" i="6"/>
  <c r="DN12" i="6" l="1"/>
  <c r="DM14" i="6"/>
  <c r="DO12" i="6" l="1"/>
  <c r="DN14" i="6"/>
  <c r="DP12" i="6" l="1"/>
  <c r="DO14" i="6"/>
  <c r="DQ12" i="6" l="1"/>
  <c r="DP14" i="6"/>
  <c r="DR12" i="6" l="1"/>
  <c r="DQ14" i="6"/>
  <c r="DR14" i="6" l="1"/>
  <c r="DS12" i="6"/>
  <c r="DT12" i="6" l="1"/>
  <c r="DS14" i="6"/>
  <c r="DU12" i="6" l="1"/>
  <c r="DT14" i="6"/>
  <c r="DV12" i="6" l="1"/>
  <c r="DU14" i="6"/>
  <c r="DW12" i="6" l="1"/>
  <c r="DV14" i="6"/>
  <c r="DX12" i="6" l="1"/>
  <c r="DW14" i="6"/>
  <c r="DY12" i="6" l="1"/>
  <c r="DX14" i="6"/>
  <c r="DZ12" i="6" l="1"/>
  <c r="DY14" i="6"/>
  <c r="EA12" i="6" l="1"/>
  <c r="DZ14" i="6"/>
  <c r="EB12" i="6" l="1"/>
  <c r="EA14" i="6"/>
  <c r="EC12" i="6" l="1"/>
  <c r="EB14" i="6"/>
  <c r="ED12" i="6" l="1"/>
  <c r="EC14" i="6"/>
  <c r="EE12" i="6" l="1"/>
  <c r="ED14" i="6"/>
  <c r="EF12" i="6" l="1"/>
  <c r="EE14" i="6"/>
  <c r="EG12" i="6" l="1"/>
  <c r="EF14" i="6"/>
  <c r="EH12" i="6" l="1"/>
  <c r="EG14" i="6"/>
  <c r="EI12" i="6" l="1"/>
  <c r="EH14" i="6"/>
  <c r="EJ12" i="6" l="1"/>
  <c r="EI14" i="6"/>
  <c r="EK12" i="6" l="1"/>
  <c r="EJ14" i="6"/>
  <c r="EL12" i="6" l="1"/>
  <c r="EK14" i="6"/>
  <c r="EM12" i="6" l="1"/>
  <c r="EL14" i="6"/>
  <c r="EN12" i="6" l="1"/>
  <c r="EM14" i="6"/>
  <c r="EO12" i="6" l="1"/>
  <c r="EN14" i="6"/>
  <c r="EP12" i="6" l="1"/>
  <c r="EO14" i="6"/>
  <c r="EQ12" i="6" l="1"/>
  <c r="EP14" i="6"/>
  <c r="ER12" i="6" l="1"/>
  <c r="EQ14" i="6"/>
  <c r="ES12" i="6" l="1"/>
  <c r="ER14" i="6"/>
  <c r="ET12" i="6" l="1"/>
  <c r="ES14" i="6"/>
  <c r="EU12" i="6" l="1"/>
  <c r="ET14" i="6"/>
  <c r="EV12" i="6" l="1"/>
  <c r="EU14" i="6"/>
  <c r="EW12" i="6" l="1"/>
  <c r="EV14" i="6"/>
  <c r="EX12" i="6" l="1"/>
  <c r="EW14" i="6"/>
  <c r="EY12" i="6" l="1"/>
  <c r="EX14" i="6"/>
  <c r="EZ12" i="6" l="1"/>
  <c r="EY14" i="6"/>
  <c r="FA12" i="6" l="1"/>
  <c r="EZ14" i="6"/>
  <c r="FB12" i="6" l="1"/>
  <c r="FA14" i="6"/>
  <c r="FC12" i="6" l="1"/>
  <c r="FB14" i="6"/>
  <c r="FD12" i="6" l="1"/>
  <c r="FC14" i="6"/>
  <c r="FE12" i="6" l="1"/>
  <c r="FD14" i="6"/>
  <c r="FF12" i="6" l="1"/>
  <c r="FE14" i="6"/>
  <c r="FG12" i="6" l="1"/>
  <c r="FF14" i="6"/>
  <c r="FH12" i="6" l="1"/>
  <c r="FG14" i="6"/>
  <c r="FI12" i="6" l="1"/>
  <c r="FH14" i="6"/>
  <c r="FJ12" i="6" l="1"/>
  <c r="FI14" i="6"/>
  <c r="FK12" i="6" l="1"/>
  <c r="FJ14" i="6"/>
  <c r="FL12" i="6" l="1"/>
  <c r="FK14" i="6"/>
  <c r="FM12" i="6" l="1"/>
  <c r="FL14" i="6"/>
  <c r="FN12" i="6" l="1"/>
  <c r="FM14" i="6"/>
  <c r="FO12" i="6" l="1"/>
  <c r="FN14" i="6"/>
  <c r="FP12" i="6" l="1"/>
  <c r="FO14" i="6"/>
  <c r="FQ12" i="6" l="1"/>
  <c r="FP14" i="6"/>
  <c r="FR12" i="6" l="1"/>
  <c r="FQ14" i="6"/>
  <c r="FS12" i="6" l="1"/>
  <c r="FR14" i="6"/>
  <c r="FT12" i="6" l="1"/>
  <c r="FS14" i="6"/>
  <c r="FU12" i="6" l="1"/>
  <c r="FT14" i="6"/>
  <c r="FV12" i="6" l="1"/>
  <c r="FU14" i="6"/>
  <c r="FW12" i="6" l="1"/>
  <c r="FV14" i="6"/>
  <c r="FX12" i="6" l="1"/>
  <c r="FW14" i="6"/>
  <c r="FY12" i="6" l="1"/>
  <c r="FX14" i="6"/>
  <c r="FZ12" i="6" l="1"/>
  <c r="FY14" i="6"/>
  <c r="GA12" i="6" l="1"/>
  <c r="FZ14" i="6"/>
  <c r="GB12" i="6" l="1"/>
  <c r="GA14" i="6"/>
  <c r="GC12" i="6" l="1"/>
  <c r="GB14" i="6"/>
  <c r="GD12" i="6" l="1"/>
  <c r="GC14" i="6"/>
  <c r="GE12" i="6" l="1"/>
  <c r="GD14" i="6"/>
  <c r="GF12" i="6" l="1"/>
  <c r="GF14" i="6" s="1"/>
  <c r="GE14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Robert</author>
    <author>tc={ACD0AC85-B696-4AFA-9C70-C8E1E05314A3}</author>
    <author>tc={6CDF4260-BB7D-4039-A29B-37CEA0EA0DF0}</author>
    <author>tc={F221F682-80F5-4FD7-BC01-D23550B85EA0}</author>
    <author>tc={777036CD-363B-462E-92F5-64242AA93040}</author>
  </authors>
  <commentList>
    <comment ref="B2" authorId="0" shapeId="0" xr:uid="{C6B23B1B-BF11-47EF-A9C1-F2D1E3654F24}">
      <text>
        <r>
          <rPr>
            <b/>
            <sz val="9"/>
            <color rgb="FF000000"/>
            <rFont val="Tahoma"/>
            <family val="2"/>
          </rPr>
          <t>Robert: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taken directly from the contract</t>
        </r>
      </text>
    </comment>
    <comment ref="E2" authorId="1" shapeId="0" xr:uid="{ACD0AC85-B696-4AFA-9C70-C8E1E05314A3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will calculate based on the start date and duration of the event</t>
      </text>
    </comment>
    <comment ref="F2" authorId="2" shapeId="0" xr:uid="{6CDF4260-BB7D-4039-A29B-37CEA0EA0DF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 during the course of the project</t>
      </text>
    </comment>
    <comment ref="I2" authorId="3" shapeId="0" xr:uid="{F221F682-80F5-4FD7-BC01-D23550B85EA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</t>
      </text>
    </comment>
    <comment ref="B23" authorId="4" shapeId="0" xr:uid="{777036CD-363B-462E-92F5-64242AA93040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AC tie-in and Monitoring Platform installation must be completed wihin 7 days of project start date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tc={94873E54-D33B-42F8-8D26-9B248381CBA6}</author>
  </authors>
  <commentList>
    <comment ref="K52" authorId="0" shapeId="0" xr:uid="{94873E54-D33B-42F8-8D26-9B248381CBA6}">
      <text>
        <t>[Threaded comment]
Your version of Excel allows you to read this threaded comment; however, any edits to it will get removed if the file is opened in a newer version of Excel. Learn more: https://go.microsoft.com/fwlink/?linkid=870924
Comment:
    @Kholisa Nyengane are the dates still correct after the meeting with BMG?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tc={332077BD-6FB2-4A66-B674-13BF36CA8DF2}</author>
    <author>tc={1F2E7919-E283-438D-8BA3-D0E685B145FD}</author>
    <author>Thami Cambalele</author>
    <author>tc={C4E50107-B350-49C8-8800-D3E1F81F33AA}</author>
    <author>HP</author>
    <author>tc={263CCCC2-5F6F-4650-A764-3E474B8A7624}</author>
    <author>tc={33B8F142-4E17-40CE-8692-D669D55FDB84}</author>
  </authors>
  <commentList>
    <comment ref="R35" authorId="0" shapeId="0" xr:uid="{332077BD-6FB2-4A66-B674-13BF36CA8DF2}">
      <text>
        <t>[Threaded comment]
Your version of Excel allows you to read this threaded comment; however, any edits to it will get removed if the file is opened in a newer version of Excel. Learn more: https://go.microsoft.com/fwlink/?linkid=870924
Comment:
    This will be removed. CTs will be allocated to another site.
Reply:
    @Kholisa Nyengane, please give a description of the CTs. Split Core/Rogowski etc.
Reply:
    These are rogowski coils and an integrator kit. Stock is currently sitting in the office.
Reply:
    What size are the CTs?
Reply:
    1000A</t>
      </text>
    </comment>
    <comment ref="R50" authorId="1" shapeId="0" xr:uid="{1F2E7919-E283-438D-8BA3-D0E685B145FD}">
      <text>
        <t>[Threaded comment]
Your version of Excel allows you to read this threaded comment; however, any edits to it will get removed if the file is opened in a newer version of Excel. Learn more: https://go.microsoft.com/fwlink/?linkid=870924
Comment:
    @Kholisa Nyengane, please request this invoice and load it for payment.</t>
      </text>
    </comment>
    <comment ref="R64" authorId="2" shapeId="0" xr:uid="{780945BF-5188-40DB-96C0-29E271B1F73A}">
      <text>
        <r>
          <rPr>
            <b/>
            <sz val="9"/>
            <color indexed="81"/>
            <rFont val="Tahoma"/>
            <family val="2"/>
          </rPr>
          <t>Thami Cambalele:</t>
        </r>
        <r>
          <rPr>
            <sz val="9"/>
            <color indexed="81"/>
            <rFont val="Tahoma"/>
            <family val="2"/>
          </rPr>
          <t xml:space="preserve">
 Changed the amt to whats on the credit note - og 11900</t>
        </r>
      </text>
    </comment>
    <comment ref="R66" authorId="2" shapeId="0" xr:uid="{EE7252C8-9E7A-498F-A683-70FAD1C9CC9D}">
      <text>
        <r>
          <rPr>
            <b/>
            <sz val="9"/>
            <color indexed="81"/>
            <rFont val="Tahoma"/>
            <family val="2"/>
          </rPr>
          <t>Thami Cambalele:</t>
        </r>
        <r>
          <rPr>
            <sz val="9"/>
            <color indexed="81"/>
            <rFont val="Tahoma"/>
            <family val="2"/>
          </rPr>
          <t xml:space="preserve">
 Changed the amt to whats on the credit note - og 11900</t>
        </r>
      </text>
    </comment>
    <comment ref="U74" authorId="3" shapeId="0" xr:uid="{C4E50107-B350-49C8-8800-D3E1F81F33AA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60k</t>
      </text>
    </comment>
    <comment ref="C87" authorId="4" shapeId="0" xr:uid="{DEFF9288-4EBF-4604-A930-FE17A2AEBA70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[SM] from costing sheet</t>
        </r>
      </text>
    </comment>
    <comment ref="N87" authorId="4" shapeId="0" xr:uid="{BE433DC0-E299-46DA-A5B3-7920C2202074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[KN]AC Installation
</t>
        </r>
      </text>
    </comment>
    <comment ref="C88" authorId="4" shapeId="0" xr:uid="{D70C0233-90D1-42B7-8F5F-A5EB9CDF5B94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[SM] from costing sheet
</t>
        </r>
      </text>
    </comment>
    <comment ref="R88" authorId="5" shapeId="0" xr:uid="{263CCCC2-5F6F-4650-A764-3E474B8A7624}">
      <text>
        <t>[Threaded comment]
Your version of Excel allows you to read this threaded comment; however, any edits to it will get removed if the file is opened in a newer version of Excel. Learn more: https://go.microsoft.com/fwlink/?linkid=870924
Comment:
    @Kholisa Nyengane, please get MG to invoice this milestone
Reply:
    @Kholisa Nyengane, a reminder to get this and load it on the accounts board.</t>
      </text>
    </comment>
    <comment ref="R89" authorId="6" shapeId="0" xr:uid="{33B8F142-4E17-40CE-8692-D669D55FDB84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@Lloyd Brown @Kholisa Nyengane can we please request the retention invoice from MG?</t>
      </text>
    </comment>
    <comment ref="N90" authorId="4" shapeId="0" xr:uid="{E7786717-7146-48E8-A27C-6AB8FE9B9B3D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[KN] DC Installation
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<sst xmlns="http://schemas.openxmlformats.org/spreadsheetml/2006/main" count="932" uniqueCount="546">
  <si>
    <t>PROJECT PLAN</t>
  </si>
  <si>
    <t>#</t>
  </si>
  <si>
    <t>Project Milestone</t>
  </si>
  <si>
    <t>Planned Start Date</t>
  </si>
  <si>
    <t>Duration (Work Days)</t>
  </si>
  <si>
    <t>Planned End Date</t>
  </si>
  <si>
    <t>Actual Start Date</t>
  </si>
  <si>
    <t>Actual End Date</t>
  </si>
  <si>
    <t>Comments</t>
  </si>
  <si>
    <t>Contract Signature</t>
  </si>
  <si>
    <t>A</t>
  </si>
  <si>
    <t>PAYMENT MILESTONE 1: DEPOSIT</t>
  </si>
  <si>
    <t>Structural and Electrical Due Diligences</t>
  </si>
  <si>
    <t>Design Confirmation</t>
  </si>
  <si>
    <t>Equipment Procurement</t>
  </si>
  <si>
    <t>Panel Procurement</t>
  </si>
  <si>
    <t>Inverter Procurement</t>
  </si>
  <si>
    <t>Mounting Structure Procurement</t>
  </si>
  <si>
    <t>BOS Procurement</t>
  </si>
  <si>
    <t>Internal Project Kick off</t>
  </si>
  <si>
    <t>Client Project Kick-off</t>
  </si>
  <si>
    <t>Equipment Delivery</t>
  </si>
  <si>
    <t>Mounting Structure Delivery</t>
  </si>
  <si>
    <t>Panel Delivery</t>
  </si>
  <si>
    <t>Generator Delivery</t>
  </si>
  <si>
    <t>B</t>
  </si>
  <si>
    <t>PAYMENT MILESTONE 2: DELIVERY OF PV PANELS</t>
  </si>
  <si>
    <t>Inverter Delivery</t>
  </si>
  <si>
    <t>BOS Delivery</t>
  </si>
  <si>
    <t>C</t>
  </si>
  <si>
    <t>PAYMENT MILESTONE 3: DELIVERY OF INVERTERS AND BOS</t>
  </si>
  <si>
    <t>Installation</t>
  </si>
  <si>
    <t>Site  Establishment</t>
  </si>
  <si>
    <t xml:space="preserve">Installation placed on hold due to Covid-19 case </t>
  </si>
  <si>
    <t>DC Works</t>
  </si>
  <si>
    <t>Mounting structure Installation</t>
  </si>
  <si>
    <t>Cable tray Installation</t>
  </si>
  <si>
    <t>DC Cable Installation</t>
  </si>
  <si>
    <t>Module Installation</t>
  </si>
  <si>
    <t>Earth Cable Installation</t>
  </si>
  <si>
    <t>AC Works</t>
  </si>
  <si>
    <t>Inverters Installation</t>
  </si>
  <si>
    <t>AC BOS Installation</t>
  </si>
  <si>
    <t>AC Cable/Tie-In</t>
  </si>
  <si>
    <t>Monitoring Platform Installation</t>
  </si>
  <si>
    <t>Completion</t>
  </si>
  <si>
    <t>D</t>
  </si>
  <si>
    <t>PAYMENT MILESTONE 4: PRACTICAL COMPLETION</t>
  </si>
  <si>
    <t xml:space="preserve">Commissioning </t>
  </si>
  <si>
    <t>Snag List</t>
  </si>
  <si>
    <t>Pre-Commissioning Checks</t>
  </si>
  <si>
    <t>Issue CoC</t>
  </si>
  <si>
    <t>Cold Commissioning</t>
  </si>
  <si>
    <t>Hot Commissioning</t>
  </si>
  <si>
    <t>Handover</t>
  </si>
  <si>
    <t>E</t>
  </si>
  <si>
    <t>PAYMENT MILESTONE 6: HANDOVER COMPLETE</t>
  </si>
  <si>
    <t>These numbers are used to set the start and end dates on the Gantt Chart</t>
  </si>
  <si>
    <t>Emergent Energy – Financial Close Completion Certificate</t>
  </si>
  <si>
    <t>FINANCIAL CLOSE CERTIFICATE</t>
  </si>
  <si>
    <t xml:space="preserve">Project Name: </t>
  </si>
  <si>
    <t>COO:</t>
  </si>
  <si>
    <t>Johannes Potgieter</t>
  </si>
  <si>
    <t>Programme Manager:</t>
  </si>
  <si>
    <t>Roedolph Venter</t>
  </si>
  <si>
    <t>HoPD:</t>
  </si>
  <si>
    <t>Natasha Watkins-Baker</t>
  </si>
  <si>
    <t>Date of Phase Completion:</t>
  </si>
  <si>
    <t>Phase Deliverables Checklist: (Y/N)</t>
  </si>
  <si>
    <t>Product Agreement</t>
  </si>
  <si>
    <t>NA</t>
  </si>
  <si>
    <t>EPC Agreement</t>
  </si>
  <si>
    <t>O&amp;M Agreeement</t>
  </si>
  <si>
    <t>Cost Proposal</t>
  </si>
  <si>
    <t>Signed</t>
  </si>
  <si>
    <t>Deposit Received</t>
  </si>
  <si>
    <t>Yes</t>
  </si>
  <si>
    <t>Risks / Notes</t>
  </si>
  <si>
    <t>None</t>
  </si>
  <si>
    <t>Acknowledgement and Acceptance:</t>
  </si>
  <si>
    <t>Role</t>
  </si>
  <si>
    <t>Name</t>
  </si>
  <si>
    <t>Signature</t>
  </si>
  <si>
    <t>Date</t>
  </si>
  <si>
    <t>COO</t>
  </si>
  <si>
    <t>Johannes</t>
  </si>
  <si>
    <t>JTP</t>
  </si>
  <si>
    <t>HSE</t>
  </si>
  <si>
    <t xml:space="preserve"> Description</t>
  </si>
  <si>
    <t>Status</t>
  </si>
  <si>
    <t>Approved By</t>
  </si>
  <si>
    <t xml:space="preserve">Results / Comments </t>
  </si>
  <si>
    <t>NOC</t>
  </si>
  <si>
    <t>7.1 Agreement</t>
  </si>
  <si>
    <t>13.2 Agreement</t>
  </si>
  <si>
    <t xml:space="preserve">EE File </t>
  </si>
  <si>
    <t>Subbie File</t>
  </si>
  <si>
    <t>SSEG</t>
  </si>
  <si>
    <t>SSEG Application</t>
  </si>
  <si>
    <t>PTI</t>
  </si>
  <si>
    <t>Commissioning Approval</t>
  </si>
  <si>
    <t xml:space="preserve">HIGH LEVEL PROJECT REVENUE TRACKING </t>
  </si>
  <si>
    <t>PLANNED</t>
  </si>
  <si>
    <t>ACTUAL</t>
  </si>
  <si>
    <t>FINANCIAL REVIEW</t>
  </si>
  <si>
    <t>TIMELINE REVIEW</t>
  </si>
  <si>
    <t>2023 Rev &amp; COS RECOGNISED</t>
  </si>
  <si>
    <t>Planned Revenue</t>
  </si>
  <si>
    <t>START DATE</t>
  </si>
  <si>
    <t>Planned Expenditure</t>
  </si>
  <si>
    <t>Planned Profit</t>
  </si>
  <si>
    <t>FINISH DATE</t>
  </si>
  <si>
    <t>Planned Margin</t>
  </si>
  <si>
    <t>CONTRACT</t>
  </si>
  <si>
    <t>No.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</si>
  <si>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</si>
  <si>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</si>
  <si>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</si>
  <si>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</si>
  <si>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</si>
  <si>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</si>
  <si>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</si>
  <si>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NOTES &amp; COMMENTS</t>
  </si>
  <si>
    <t>Acceptance and Initial Deposit</t>
  </si>
  <si>
    <t>004139</t>
  </si>
  <si>
    <t xml:space="preserve">Delivery of Batteries </t>
  </si>
  <si>
    <t>004274</t>
  </si>
  <si>
    <t>Delivery of Inverters</t>
  </si>
  <si>
    <t>004505</t>
  </si>
  <si>
    <t>004663</t>
  </si>
  <si>
    <t>Wimpie requested invoice to be resent</t>
  </si>
  <si>
    <t>VO - Increase in Inverter Size</t>
  </si>
  <si>
    <t>004275</t>
  </si>
  <si>
    <t>-</t>
  </si>
  <si>
    <t xml:space="preserve"> 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</si>
  <si>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</si>
  <si>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</si>
  <si>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</si>
  <si>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</si>
  <si>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</si>
  <si>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</si>
  <si>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</si>
  <si>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</si>
  <si>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</si>
  <si>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Deposit - Project commencement</t>
  </si>
  <si>
    <t>Delivery of Panels</t>
  </si>
  <si>
    <t xml:space="preserve">Practical Completion </t>
  </si>
  <si>
    <t>Total</t>
  </si>
  <si>
    <t>Public holidays</t>
  </si>
  <si>
    <t>Drop down list</t>
  </si>
  <si>
    <t>Approved</t>
  </si>
  <si>
    <t>Pending</t>
  </si>
  <si>
    <t>Declined</t>
  </si>
  <si>
    <t>Abanded</t>
  </si>
  <si>
    <t>Manual dates</t>
  </si>
  <si>
    <t>BMG World, 28 Droste Crescent, JHB</t>
  </si>
  <si>
    <t>PROJECT SIZE (kWp)</t>
  </si>
  <si>
    <t>1800kWh, 500kVA</t>
  </si>
  <si>
    <t>SITE ADDRESS</t>
  </si>
  <si>
    <t>BUSINESS DEVELOPER</t>
  </si>
  <si>
    <t>Peter</t>
  </si>
  <si>
    <t>PROJECT MANAGERS</t>
  </si>
  <si>
    <t>Lloyd Brown</t>
  </si>
  <si>
    <t>INSTALLER</t>
  </si>
  <si>
    <t>TBC</t>
  </si>
  <si>
    <t>CONTRACT VALUE</t>
  </si>
  <si>
    <t>Phase:</t>
  </si>
  <si>
    <t>HIGH LEVEL PROGRAMME</t>
  </si>
  <si>
    <t>Planned Start</t>
  </si>
  <si>
    <t>Duration (days)</t>
  </si>
  <si>
    <t>Planned End</t>
  </si>
  <si>
    <t>Actual Start</t>
  </si>
  <si>
    <t>Actual End</t>
  </si>
  <si>
    <t>Comment</t>
  </si>
  <si>
    <t>Project Initiation</t>
  </si>
  <si>
    <t>1.1</t>
  </si>
  <si>
    <t>BD Handover</t>
  </si>
  <si>
    <t>1.2</t>
  </si>
  <si>
    <t>Project Introduction</t>
  </si>
  <si>
    <t>Financial Review</t>
  </si>
  <si>
    <t>Client kick off</t>
  </si>
  <si>
    <t>BESS - Prep Work</t>
  </si>
  <si>
    <t>Pre-Installation Prepping</t>
  </si>
  <si>
    <t>Plinth Installation</t>
  </si>
  <si>
    <t>Housing Prep</t>
  </si>
  <si>
    <t>Setup of rigger and placement</t>
  </si>
  <si>
    <t>Housing Completed</t>
  </si>
  <si>
    <t>Site Establishment</t>
  </si>
  <si>
    <t>Installer on site and roof assessment</t>
  </si>
  <si>
    <t>AC Installation</t>
  </si>
  <si>
    <t>Inverters delivered</t>
  </si>
  <si>
    <t>Inverters Mounted</t>
  </si>
  <si>
    <t>Solar DB lead time</t>
  </si>
  <si>
    <t>AC Tie - in</t>
  </si>
  <si>
    <t>Mounting Structure delivered</t>
  </si>
  <si>
    <t>Mounting Structure installation</t>
  </si>
  <si>
    <t>Battery Delivery</t>
  </si>
  <si>
    <t>Battery Installation</t>
  </si>
  <si>
    <t>DC Cable delivered</t>
  </si>
  <si>
    <t>DC Cable Trays installation</t>
  </si>
  <si>
    <t>DC Cabling</t>
  </si>
  <si>
    <t>Module installation</t>
  </si>
  <si>
    <t>Module delivery</t>
  </si>
  <si>
    <t>Module mounting</t>
  </si>
  <si>
    <t>Team prep for hoisting and mounting.</t>
  </si>
  <si>
    <t>Commissioning</t>
  </si>
  <si>
    <t>Cold commissioning</t>
  </si>
  <si>
    <t>Hot commissioning</t>
  </si>
  <si>
    <t>Final Commissioning</t>
  </si>
  <si>
    <t>Elum to update the firmware</t>
  </si>
  <si>
    <t>QA Inspections</t>
  </si>
  <si>
    <t>Red-Team Inspection</t>
  </si>
  <si>
    <t>Project Closure</t>
  </si>
  <si>
    <t>Equipment serial numbers</t>
  </si>
  <si>
    <t>Snags completion</t>
  </si>
  <si>
    <t>System Performance Monitoring</t>
  </si>
  <si>
    <t>Handover documentation</t>
  </si>
  <si>
    <t>Handover to Client</t>
  </si>
  <si>
    <t>Handover to Matriarch</t>
  </si>
  <si>
    <t xml:space="preserve">HIGH LEVEL PROJECT EXPENDITURE TRACKING </t>
  </si>
  <si>
    <t>COSTED</t>
  </si>
  <si>
    <t>Difference from costed</t>
  </si>
  <si>
    <t>Difference from planned</t>
  </si>
  <si>
    <t>EXPENDITURE</t>
  </si>
  <si>
    <t>Item</t>
  </si>
  <si>
    <t>Costed
Expenditure</t>
  </si>
  <si>
    <t>Planned
Expenditure</t>
  </si>
  <si>
    <t>Actual
Expenditure</t>
  </si>
  <si>
    <t>Saving / Overrun</t>
  </si>
  <si>
    <t>Comments on variations from planned expenditure</t>
  </si>
  <si>
    <t>KN: Additional 5000m required.</t>
  </si>
  <si>
    <t>KN: Elum controller- RE: order through Krannich - Forex payment issue to Elum</t>
  </si>
  <si>
    <t>KN: AC cable, Awaiting amended quote from MG</t>
  </si>
  <si>
    <t>KN: Inverter VO &amp; Trenching</t>
  </si>
  <si>
    <t>RV: Matriarch defects percentage 1.25%</t>
  </si>
  <si>
    <t xml:space="preserve">check: </t>
  </si>
  <si>
    <t>Copy amounts in column H and paste as values at Financial review.</t>
  </si>
  <si>
    <t>PLANNED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</si>
  <si>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</si>
  <si>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</si>
  <si>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</si>
  <si>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</si>
  <si>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</si>
  <si>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</si>
  <si>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</si>
  <si>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</si>
  <si>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Project Related date</t>
  </si>
  <si>
    <t>Total COS</t>
  </si>
  <si>
    <t>Product/ Service</t>
  </si>
  <si>
    <t xml:space="preserve">Actual Total </t>
  </si>
  <si>
    <t>REVENUE RECOGNITION AMOUNT</t>
  </si>
  <si>
    <t>CHECK</t>
  </si>
  <si>
    <t>FINANCE PAYMENT DATE</t>
  </si>
  <si>
    <t>PO NUMBER</t>
  </si>
  <si>
    <t>COMMENTS</t>
  </si>
  <si>
    <t>Panels</t>
  </si>
  <si>
    <t>555W Solar Panel</t>
  </si>
  <si>
    <t>1. Panels</t>
  </si>
  <si>
    <t xml:space="preserve">Jinko 555W </t>
  </si>
  <si>
    <t>MENLO DISTRIBUTION INV0001192</t>
  </si>
  <si>
    <t>PO2982-BMG2-20240227</t>
  </si>
  <si>
    <t>BUDGET</t>
  </si>
  <si>
    <t>Installer Allocation</t>
  </si>
  <si>
    <t>Jinko: MCSSRJQ3047</t>
  </si>
  <si>
    <t>AC Equipment</t>
  </si>
  <si>
    <t>DC Equipment</t>
  </si>
  <si>
    <t>AC Labour</t>
  </si>
  <si>
    <t>DC Labour</t>
  </si>
  <si>
    <t>Offloading</t>
  </si>
  <si>
    <t>Inverters</t>
  </si>
  <si>
    <t>Huawei 100KTL</t>
  </si>
  <si>
    <t>2. Inverters</t>
  </si>
  <si>
    <t>Kathea- Huawei 100KTL</t>
  </si>
  <si>
    <t>Kathea Inv 516781</t>
  </si>
  <si>
    <t>Roof Access</t>
  </si>
  <si>
    <t>Delivery</t>
  </si>
  <si>
    <t>Other</t>
  </si>
  <si>
    <t>Mounting Structures</t>
  </si>
  <si>
    <t>Roof Type TBC</t>
  </si>
  <si>
    <t>3. Mounting Structures</t>
  </si>
  <si>
    <t>Schlette IBR</t>
  </si>
  <si>
    <t>Schletter Inv: INV0005</t>
  </si>
  <si>
    <t>PO2908-BMGP2-20231213</t>
  </si>
  <si>
    <t>Less 15%</t>
  </si>
  <si>
    <t>[SM: Target Installation Price]</t>
  </si>
  <si>
    <t>R/Wp</t>
  </si>
  <si>
    <t>Lumax Screws</t>
  </si>
  <si>
    <t>Lumax Inv: INV0040280</t>
  </si>
  <si>
    <t>MG</t>
  </si>
  <si>
    <t>Cosmic Sun - DC Only</t>
  </si>
  <si>
    <t>Lumax Inv: INV0040623</t>
  </si>
  <si>
    <t>Lumax - Clamps</t>
  </si>
  <si>
    <t>lLumax INV0040527</t>
  </si>
  <si>
    <t>PO2936-BMGP2-20240118</t>
  </si>
  <si>
    <t>Installer Price</t>
  </si>
  <si>
    <t xml:space="preserve">DC Cable </t>
  </si>
  <si>
    <t>4. DC Equipment</t>
  </si>
  <si>
    <t>DC Cable Red</t>
  </si>
  <si>
    <t>Rubicon Inv: INVWCRE-0052509</t>
  </si>
  <si>
    <t>DC Cable Black</t>
  </si>
  <si>
    <t>Extra DC cable red (Rubicon)</t>
  </si>
  <si>
    <t>Rubicon : Inv INVWCRE-0052851</t>
  </si>
  <si>
    <t>Extra DC cable black (Rubicon)</t>
  </si>
  <si>
    <t>DC Surge Arrestor</t>
  </si>
  <si>
    <t>Earth Cable</t>
  </si>
  <si>
    <t>DC Equipment - Deposit</t>
  </si>
  <si>
    <t>Cosmic Sun Inv: CS_BMG_001</t>
  </si>
  <si>
    <t>Earth clamp</t>
  </si>
  <si>
    <t>DC Equipment - Onsite</t>
  </si>
  <si>
    <t>Cosmic Sun Inv: CS_BMG_003</t>
  </si>
  <si>
    <t>DC Cable Tray</t>
  </si>
  <si>
    <t>DC Equipment - Retention</t>
  </si>
  <si>
    <t>Cosmic Sun Inv: CS_BMG_006</t>
  </si>
  <si>
    <t>Logistics</t>
  </si>
  <si>
    <t>Anchor Points</t>
  </si>
  <si>
    <t>Monitoring</t>
  </si>
  <si>
    <t>Solarlog</t>
  </si>
  <si>
    <t>5. Monitoring</t>
  </si>
  <si>
    <t>Additional Meter</t>
  </si>
  <si>
    <t>P&amp;G</t>
  </si>
  <si>
    <t>CTs - To be removed (EE Stock 1000A Rogowski Coils with Integrator kit)</t>
  </si>
  <si>
    <t>Accuenergy Inv: ASAI-003146</t>
  </si>
  <si>
    <t>PO3133-BMG-20240528</t>
  </si>
  <si>
    <t>Request Tax Invoice from Accu</t>
  </si>
  <si>
    <t>DC Busbar DB Not included - Est 94k</t>
  </si>
  <si>
    <t>Allocated to Nampak</t>
  </si>
  <si>
    <t>KN: This was sent to Roedolph</t>
  </si>
  <si>
    <t>Comms DB</t>
  </si>
  <si>
    <t>CTs</t>
  </si>
  <si>
    <t>Accuenergy Inv: ASAI-002374</t>
  </si>
  <si>
    <t>PO2914-BMGP2-20231218</t>
  </si>
  <si>
    <t>Revenue Grade Meter</t>
  </si>
  <si>
    <t>Ferite Core for Comms Cable</t>
  </si>
  <si>
    <t>Tanaka's Exp Claim</t>
  </si>
  <si>
    <t xml:space="preserve">TC: Added cost </t>
  </si>
  <si>
    <t>techsitter</t>
  </si>
  <si>
    <t>Techsitter Inv: MN8940230</t>
  </si>
  <si>
    <t>Network Switch</t>
  </si>
  <si>
    <t xml:space="preserve">Elum Controller- Krannich order </t>
  </si>
  <si>
    <t>Krannich Inv: 15-10009002</t>
  </si>
  <si>
    <t>PO3005-BMG-P2-20240314</t>
  </si>
  <si>
    <t>Power Supply</t>
  </si>
  <si>
    <t>Mantech Inv: SOR947028</t>
  </si>
  <si>
    <t>PO3628-BMG-20250205 - RV Approved</t>
  </si>
  <si>
    <t>Additional CTs and Meter - AccuEnergy</t>
  </si>
  <si>
    <t>Accuenergy Inv: ASAI-006969</t>
  </si>
  <si>
    <t>PO4502-BMGP2-20251127</t>
  </si>
  <si>
    <t>Meter</t>
  </si>
  <si>
    <t>Allocated from Stock</t>
  </si>
  <si>
    <t>This can be removed:  KN</t>
  </si>
  <si>
    <t>AC Equipment Deposit</t>
  </si>
  <si>
    <t>6. AC Equipment</t>
  </si>
  <si>
    <t>Matthews Group: INV-1144</t>
  </si>
  <si>
    <t>AC Equipment On site</t>
  </si>
  <si>
    <t>Matthews Group: INV-1167</t>
  </si>
  <si>
    <t>Retention</t>
  </si>
  <si>
    <t>Matthews Group: INV-1293</t>
  </si>
  <si>
    <t>AC Board Deposit</t>
  </si>
  <si>
    <t>AC Board Balance</t>
  </si>
  <si>
    <t>DC Busbar - Removed Cost</t>
  </si>
  <si>
    <t>Battery Systems</t>
  </si>
  <si>
    <t>Battery Inverter + Battery Bank</t>
  </si>
  <si>
    <t>7. Battery Systems</t>
  </si>
  <si>
    <t>Freedom Won Battery 300/240kWh HV</t>
  </si>
  <si>
    <t>Herholdt's Inv: INV720872</t>
  </si>
  <si>
    <t>Atess-PCS630</t>
  </si>
  <si>
    <t>Atess 630kW Bypass Cabinet</t>
  </si>
  <si>
    <t>Atess 630kW Isolation Transformer</t>
  </si>
  <si>
    <t>Atess Enerlog Monitoring Module</t>
  </si>
  <si>
    <t>Atess Enerlog Monitoring Module - Credit</t>
  </si>
  <si>
    <t>Herholdt's CN070484</t>
  </si>
  <si>
    <t>Atess PV Combiner Box 16 Input 1 Output</t>
  </si>
  <si>
    <t>Atess PV Combiner Box 16 Input 1 Output - Credit</t>
  </si>
  <si>
    <t xml:space="preserve">Installation </t>
  </si>
  <si>
    <t>AC+DC Equipment</t>
  </si>
  <si>
    <t xml:space="preserve">Data Guru (Cost removed) </t>
  </si>
  <si>
    <t>Delivery And Rigging</t>
  </si>
  <si>
    <t>E&amp;M Plant Inv: IN111028</t>
  </si>
  <si>
    <t>Safety File</t>
  </si>
  <si>
    <t>Delivery And Rigging - Additional cost</t>
  </si>
  <si>
    <t>E&amp;M Plant Inv: IN111062</t>
  </si>
  <si>
    <t>PO2916-BMGP2-20231219</t>
  </si>
  <si>
    <t>Incorrect Dimensions supplied to the Company</t>
  </si>
  <si>
    <t>E&amp;M Plant Credit Note: IC100085</t>
  </si>
  <si>
    <t>Rigging - shift batteries to install battery cable</t>
  </si>
  <si>
    <t>E&amp;M Plant  - Inv IO103047</t>
  </si>
  <si>
    <t>PO3045-BMG-P2-20240408</t>
  </si>
  <si>
    <t>RV: Removed 60k</t>
  </si>
  <si>
    <t xml:space="preserve">Product Add On </t>
  </si>
  <si>
    <t xml:space="preserve">8. Product Add On </t>
  </si>
  <si>
    <t>AC Tie-in breaker</t>
  </si>
  <si>
    <t>MG INV-1232</t>
  </si>
  <si>
    <t>Trenching - Deposit</t>
  </si>
  <si>
    <t>Mkholo Inv: MP /EE/150124</t>
  </si>
  <si>
    <t>Trenching - Balance</t>
  </si>
  <si>
    <t>Mkholo Inv: MP /EE/260224</t>
  </si>
  <si>
    <t>Ring Cores</t>
  </si>
  <si>
    <t>Steel Covers</t>
  </si>
  <si>
    <t>Mkholo Projects: InvMP/EE?240724</t>
  </si>
  <si>
    <t>PO3257-BMGP2-20240724 - RV Approved</t>
  </si>
  <si>
    <t>Re-Routing of cables</t>
  </si>
  <si>
    <t>MG INV-1291</t>
  </si>
  <si>
    <t>VO approved by Johannes e-mail 29 July</t>
  </si>
  <si>
    <t>Repairs on steel covers</t>
  </si>
  <si>
    <t>Man Hole</t>
  </si>
  <si>
    <t xml:space="preserve">Mkholo Inv: MP/EE/080424 </t>
  </si>
  <si>
    <t>Only services to be capture below, products above</t>
  </si>
  <si>
    <t>AC &amp; DC installation</t>
  </si>
  <si>
    <t>Installation Deposit</t>
  </si>
  <si>
    <t>9. AC installation</t>
  </si>
  <si>
    <t>Deposit</t>
  </si>
  <si>
    <t>Matthews Group Inv: 1144</t>
  </si>
  <si>
    <t>MS Complete</t>
  </si>
  <si>
    <t>AC Tie-in</t>
  </si>
  <si>
    <t>Matthews Group Inv 1238</t>
  </si>
  <si>
    <t>AC Tie-in Complete</t>
  </si>
  <si>
    <t>Practical Completion</t>
  </si>
  <si>
    <t>Matthews Group Inv 1279</t>
  </si>
  <si>
    <t>Panels Complete</t>
  </si>
  <si>
    <t>9. DC installation</t>
  </si>
  <si>
    <t>Cosmic Sun Inv: CS_BMG_002</t>
  </si>
  <si>
    <t xml:space="preserve"> Cosmic Sun Inv. CS_BMG_005</t>
  </si>
  <si>
    <t>Cosmic Sun Inv. CS_BMG_006</t>
  </si>
  <si>
    <t>Site Logistics</t>
  </si>
  <si>
    <t>Scaffolding</t>
  </si>
  <si>
    <t>10. Site Logistics - AC</t>
  </si>
  <si>
    <t>Logistics Deposit</t>
  </si>
  <si>
    <t>Logistics - Equipment Onsite</t>
  </si>
  <si>
    <t>Matthews Group Inv: 1167</t>
  </si>
  <si>
    <t>Logistics - Retention</t>
  </si>
  <si>
    <t>10. Site Logistics - DC</t>
  </si>
  <si>
    <t>Telehandler</t>
  </si>
  <si>
    <t>Cosmic Sun Inv: CS_BMG_004</t>
  </si>
  <si>
    <t>Due Dilligence</t>
  </si>
  <si>
    <t>Structural sign off</t>
  </si>
  <si>
    <t>11. Due Dilligence</t>
  </si>
  <si>
    <t>L&amp;B INV-1448</t>
  </si>
  <si>
    <t xml:space="preserve">Changed amount it was 8k -TC </t>
  </si>
  <si>
    <t>Electrical PrEng sign off</t>
  </si>
  <si>
    <t>Electrical Sign off</t>
  </si>
  <si>
    <t>MJ Bleloch Inv: 1216</t>
  </si>
  <si>
    <t>BDP Commission</t>
  </si>
  <si>
    <t>12. BDP Commission</t>
  </si>
  <si>
    <t>Engineering</t>
  </si>
  <si>
    <t>Matriarch Defects Period</t>
  </si>
  <si>
    <t>13. Engineering</t>
  </si>
  <si>
    <t>Matriarch Defects Period - 1% because of battery cost</t>
  </si>
  <si>
    <t>MATRIARCH INV-2441</t>
  </si>
  <si>
    <t>Management</t>
  </si>
  <si>
    <t>EPC Cost</t>
  </si>
  <si>
    <t xml:space="preserve">Project manager </t>
  </si>
  <si>
    <t>Planner time</t>
  </si>
  <si>
    <t>De Snagging</t>
  </si>
  <si>
    <t>General Expenses</t>
  </si>
  <si>
    <t>Car travel to site</t>
  </si>
  <si>
    <t>14. General Expenses</t>
  </si>
  <si>
    <t>Car Travel to Site</t>
  </si>
  <si>
    <t>Service Add On</t>
  </si>
  <si>
    <t>15. Service Add On</t>
  </si>
  <si>
    <t>[RT: Double Check the first date is always a MONDAY]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</si>
  <si>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</si>
  <si>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</si>
  <si>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</si>
  <si>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</si>
  <si>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</si>
  <si>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</si>
  <si>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</si>
  <si>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</si>
  <si>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</si>
  <si>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</si>
  <si>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Installer Expenditure</t>
  </si>
  <si>
    <t>Installer Expenditure - Cumulative</t>
  </si>
  <si>
    <t>(All)</t>
  </si>
  <si>
    <t>Sum of REVENUE RECOGNITION AMOUNT</t>
  </si>
  <si>
    <t>(blank)</t>
  </si>
  <si>
    <t>Grand Total</t>
  </si>
  <si>
    <t>Inv</t>
  </si>
  <si>
    <t xml:space="preserve">Sum of Actual Total </t>
  </si>
  <si>
    <t>Column Labels</t>
  </si>
  <si>
    <t>Row Labels</t>
  </si>
  <si>
    <t>[capture project margins from costing sheet]</t>
  </si>
  <si>
    <t>Products</t>
  </si>
  <si>
    <t>Services</t>
  </si>
  <si>
    <t>Expenses</t>
  </si>
  <si>
    <t>Subcontractors</t>
  </si>
  <si>
    <t>Equipment Quote and Budget comparision</t>
  </si>
  <si>
    <t>Description</t>
  </si>
  <si>
    <t>Budget</t>
  </si>
  <si>
    <t>Supplier 1</t>
  </si>
  <si>
    <t>Variance</t>
  </si>
  <si>
    <t>Supplier 2</t>
  </si>
  <si>
    <t>Comments / Notes</t>
  </si>
  <si>
    <t>&gt;Name&lt;</t>
  </si>
  <si>
    <t>Optimizers</t>
  </si>
  <si>
    <t>Warranty</t>
  </si>
  <si>
    <t>Delivery fee</t>
  </si>
  <si>
    <t>Mounting Structure</t>
  </si>
  <si>
    <t>DC Cable</t>
  </si>
  <si>
    <t>Monitoring system</t>
  </si>
  <si>
    <t>Additional Scope</t>
  </si>
  <si>
    <t>SCADA</t>
  </si>
  <si>
    <t>Inverter cage</t>
  </si>
  <si>
    <t>Cat ladders</t>
  </si>
  <si>
    <t>Gen Integration</t>
  </si>
  <si>
    <t>Lifelines</t>
  </si>
  <si>
    <t>Totals</t>
  </si>
  <si>
    <t>All amounts are incl VAT</t>
  </si>
  <si>
    <t>Installer Quote and Budget comparision</t>
  </si>
  <si>
    <t>Cosmic Sun</t>
  </si>
  <si>
    <t>&gt;Installer Name 2&lt;</t>
  </si>
  <si>
    <t>AC installation</t>
  </si>
  <si>
    <t>AC equipment</t>
  </si>
  <si>
    <t>DC installation</t>
  </si>
  <si>
    <t>DC equipment</t>
  </si>
  <si>
    <t>Storage</t>
  </si>
  <si>
    <t>Panel lifting equipment</t>
  </si>
  <si>
    <t>&gt;Installer Name 3&lt;</t>
  </si>
  <si>
    <t>&gt;Installer Name 4&lt;</t>
  </si>
  <si>
    <t>Budget Summary</t>
  </si>
  <si>
    <t>All amounts are exc VAT</t>
  </si>
  <si>
    <t>LR</t>
  </si>
  <si>
    <t>JKM</t>
  </si>
  <si>
    <t>Aarden</t>
  </si>
  <si>
    <t>Menlo</t>
  </si>
  <si>
    <t>Krannich</t>
  </si>
  <si>
    <t>Warne House</t>
  </si>
  <si>
    <t>Kerusha/ Kholisa</t>
  </si>
  <si>
    <t>BESS - Prep Work (If Applicable)</t>
  </si>
  <si>
    <t>Awaiting Atess Technician</t>
  </si>
  <si>
    <t>Decision Register</t>
  </si>
  <si>
    <t>ID</t>
  </si>
  <si>
    <t>Decision Description</t>
  </si>
  <si>
    <t>Decision Impact</t>
  </si>
  <si>
    <t>Proposed Date</t>
  </si>
  <si>
    <t>Proposed By</t>
  </si>
  <si>
    <t>DEC001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</si>
  <si>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</si>
  <si>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</si>
  <si>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</si>
  <si>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</si>
  <si>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</si>
  <si>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</si>
  <si>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</si>
  <si>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</si>
  <si>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</si>
  <si>
    <t>Compliance Handover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</si>
</sst>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_(* #,##0.00_);_(* \(#,##0.00\);_(* &quot;-&quot;??_);_(@_)"/>
    <numFmt numFmtId="165" formatCode="&quot;R&quot;#,##0_);[Red]\(&quot;R&quot;#,##0\)"/>
    <numFmt numFmtId="166" formatCode="&quot;R&quot;#,##0.00_);[Red]\(&quot;R&quot;#,##0.00\)"/>
    <numFmt numFmtId="167" formatCode="_(&quot;R&quot;* #,##0.00_);_(&quot;R&quot;* \(#,##0.00\);_(&quot;R&quot;* &quot;-&quot;??_);_(@_)"/>
    <numFmt numFmtId="168" formatCode="_-[$R-1C09]* #,##0.00_-;\-[$R-1C09]* #,##0.00_-;_-[$R-1C09]* &quot;-&quot;??_-;_-@_-"/>
    <numFmt numFmtId="169" formatCode="[$-409]d\-mmm\-yyyy;@"/>
    <numFmt numFmtId="170" formatCode="[$R-1C09]#,##0.00"/>
    <numFmt numFmtId="171" formatCode="&quot;R&quot;#,##0.00"/>
    <numFmt numFmtId="172" formatCode="_-[$R-1C09]* #,##0.0000_-;\-[$R-1C09]* #,##0.0000_-;_-[$R-1C09]* &quot;-&quot;??_-;_-@_-"/>
  </numFmts>
  <fonts count="65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2"/>
      <color theme="0"/>
      <name val="Proxima Nova Lt"/>
    </font>
    <font>
      <b/>
      <sz val="12"/>
      <name val="Proxima Nova Lt"/>
    </font>
    <font>
      <sz val="11"/>
      <color rgb="FFFFC000"/>
      <name val="Proxima Nova Lt"/>
    </font>
    <font>
      <b/>
      <sz val="11"/>
      <name val="Proxima Nova Lt"/>
    </font>
    <font>
      <b/>
      <sz val="12"/>
      <color theme="1"/>
      <name val="Proxima Nova Lt"/>
    </font>
    <font>
      <sz val="11"/>
      <color rgb="FFFF0000"/>
      <name val="Proxima Nova Lt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9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b/>
      <sz val="14"/>
      <color theme="1"/>
      <name val="Proxima Nova Lt"/>
    </font>
    <font>
      <sz val="14"/>
      <color theme="1"/>
      <name val="Proxima Nova Lt"/>
    </font>
    <font>
      <sz val="11"/>
      <color theme="0" tint="-0.499984740745262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2"/>
      <color rgb="FFFF0000"/>
      <name val="Proxima Nova Lt"/>
    </font>
    <font>
      <b/>
      <sz val="10"/>
      <color rgb="FFFF0000"/>
      <name val="Proxima Nova Lt"/>
    </font>
    <font>
      <b/>
      <sz val="18"/>
      <name val="Proxima Nova Lt"/>
    </font>
    <font>
      <sz val="11"/>
      <name val="Calibri"/>
      <family val="2"/>
      <scheme val="minor"/>
    </font>
    <font>
      <b/>
      <sz val="9"/>
      <color theme="0"/>
      <name val="Proxima Nova Lt"/>
    </font>
    <font>
      <sz val="9"/>
      <color theme="0"/>
      <name val="Proxima Nova Lt"/>
    </font>
    <font>
      <sz val="11"/>
      <color rgb="FF000000"/>
      <name val="Proxima Nova Lt"/>
    </font>
    <font>
      <sz val="10"/>
      <color rgb="FF000000"/>
      <name val="Proxima Nova Lt"/>
    </font>
    <font>
      <b/>
      <sz val="14"/>
      <color theme="9"/>
      <name val="Calibri"/>
      <family val="2"/>
      <scheme val="minor"/>
    </font>
    <font>
      <sz val="11"/>
      <color theme="1"/>
      <name val="Cambria"/>
      <family val="1"/>
    </font>
    <font>
      <sz val="10"/>
      <color theme="1"/>
      <name val="Cambria"/>
      <family val="1"/>
    </font>
    <font>
      <sz val="10"/>
      <color theme="1"/>
      <name val="Calibri"/>
      <family val="2"/>
      <scheme val="minor"/>
    </font>
    <font>
      <b/>
      <sz val="11"/>
      <color theme="1"/>
      <name val="Cambria"/>
      <family val="1"/>
    </font>
    <font>
      <sz val="10"/>
      <color theme="1"/>
      <name val="Fairwater Script"/>
    </font>
  </fonts>
  <fills count="21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1EA34A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</fills>
  <borders count="9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 style="thick">
        <color rgb="FFFF0000"/>
      </left>
      <right style="medium">
        <color indexed="64"/>
      </right>
      <top style="medium">
        <color indexed="64"/>
      </top>
      <bottom/>
      <diagonal/>
    </border>
    <border>
      <left style="thick">
        <color rgb="FFFF0000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ck">
        <color rgb="FFFF0000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FF0000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ck">
        <color rgb="FFFF0000"/>
      </left>
      <right style="medium">
        <color indexed="64"/>
      </right>
      <top/>
      <bottom/>
      <diagonal/>
    </border>
    <border>
      <left style="thick">
        <color rgb="FFFF0000"/>
      </left>
      <right style="medium">
        <color indexed="64"/>
      </right>
      <top/>
      <bottom style="thin">
        <color indexed="64"/>
      </bottom>
      <diagonal/>
    </border>
    <border>
      <left/>
      <right style="thick">
        <color rgb="FFFF0000"/>
      </right>
      <top/>
      <bottom/>
      <diagonal/>
    </border>
    <border>
      <left style="thin">
        <color indexed="64"/>
      </left>
      <right style="thick">
        <color rgb="FFFF0000"/>
      </right>
      <top style="medium">
        <color indexed="64"/>
      </top>
      <bottom/>
      <diagonal/>
    </border>
    <border>
      <left style="thin">
        <color indexed="64"/>
      </left>
      <right style="thick">
        <color rgb="FFFF0000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FF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FF0000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rgb="FFFF0000"/>
      </right>
      <top/>
      <bottom/>
      <diagonal/>
    </border>
    <border>
      <left style="thin">
        <color indexed="64"/>
      </left>
      <right style="thick">
        <color rgb="FFFF0000"/>
      </right>
      <top/>
      <bottom style="thin">
        <color indexed="64"/>
      </bottom>
      <diagonal/>
    </border>
    <border>
      <left style="thin">
        <color indexed="64"/>
      </left>
      <right style="thick">
        <color rgb="FFFF0000"/>
      </right>
      <top style="thin">
        <color indexed="64"/>
      </top>
      <bottom/>
      <diagonal/>
    </border>
    <border>
      <left/>
      <right style="thick">
        <color rgb="FFFF0000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rgb="FFFF0000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ck">
        <color rgb="FFFF0000"/>
      </left>
      <right style="medium">
        <color indexed="64"/>
      </right>
      <top style="thin">
        <color indexed="64"/>
      </top>
      <bottom/>
      <diagonal/>
    </border>
    <border>
      <left style="thick">
        <color rgb="FFFF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4">
    <xf numFmtId="0" fontId="0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7" fontId="2" fillId="0" borderId="0" applyFont="0" applyFill="0" applyBorder="0" applyAlignment="0" applyProtection="0"/>
  </cellStyleXfs>
  <cellXfs count="1059">
    <xf numFmtId="0" fontId="0" fillId="0" borderId="0" xfId="0"/>
    <xf numFmtId="0" fontId="4" fillId="2" borderId="0" xfId="0" applyFont="1" applyFill="1" applyAlignment="1" applyProtection="1">
      <alignment horizontal="left"/>
      <protection locked="0"/>
    </xf>
    <xf numFmtId="0" fontId="5" fillId="2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6" fillId="2" borderId="0" xfId="0" applyFont="1" applyFill="1" applyAlignment="1" applyProtection="1">
      <alignment horizontal="center" vertical="center"/>
      <protection locked="0"/>
    </xf>
    <xf numFmtId="168" fontId="6" fillId="2" borderId="0" xfId="0" applyNumberFormat="1" applyFont="1" applyFill="1" applyProtection="1">
      <protection locked="0"/>
    </xf>
    <xf numFmtId="0" fontId="7" fillId="2" borderId="1" xfId="0" applyFont="1" applyFill="1" applyBorder="1" applyAlignment="1" applyProtection="1">
      <alignment vertical="center" wrapText="1"/>
      <protection locked="0"/>
    </xf>
    <xf numFmtId="0" fontId="7" fillId="2" borderId="0" xfId="0" applyFont="1" applyFill="1" applyAlignment="1" applyProtection="1">
      <alignment vertical="center" wrapText="1"/>
      <protection locked="0"/>
    </xf>
    <xf numFmtId="0" fontId="4" fillId="3" borderId="1" xfId="0" applyFont="1" applyFill="1" applyBorder="1" applyAlignment="1" applyProtection="1">
      <alignment horizontal="center" vertical="center" wrapText="1"/>
      <protection locked="0"/>
    </xf>
    <xf numFmtId="0" fontId="8" fillId="3" borderId="1" xfId="0" applyFont="1" applyFill="1" applyBorder="1" applyAlignment="1" applyProtection="1">
      <alignment horizontal="left" vertical="center" wrapText="1"/>
      <protection locked="0"/>
    </xf>
    <xf numFmtId="0" fontId="4" fillId="3" borderId="2" xfId="0" applyFont="1" applyFill="1" applyBorder="1" applyAlignment="1" applyProtection="1">
      <alignment vertical="center" wrapText="1"/>
      <protection locked="0"/>
    </xf>
    <xf numFmtId="0" fontId="4" fillId="3" borderId="0" xfId="0" applyFont="1" applyFill="1" applyAlignment="1" applyProtection="1">
      <alignment vertical="center" wrapText="1"/>
      <protection locked="0"/>
    </xf>
    <xf numFmtId="0" fontId="6" fillId="2" borderId="0" xfId="0" applyFont="1" applyFill="1" applyAlignment="1" applyProtection="1">
      <alignment wrapText="1"/>
      <protection locked="0"/>
    </xf>
    <xf numFmtId="16" fontId="6" fillId="0" borderId="2" xfId="0" applyNumberFormat="1" applyFont="1" applyBorder="1" applyAlignment="1" applyProtection="1">
      <alignment wrapText="1"/>
      <protection locked="0"/>
    </xf>
    <xf numFmtId="0" fontId="6" fillId="0" borderId="0" xfId="0" applyFont="1" applyAlignment="1" applyProtection="1">
      <alignment wrapText="1"/>
      <protection locked="0"/>
    </xf>
    <xf numFmtId="0" fontId="6" fillId="0" borderId="2" xfId="0" applyFont="1" applyBorder="1" applyAlignment="1" applyProtection="1">
      <alignment horizontal="center"/>
      <protection locked="0"/>
    </xf>
    <xf numFmtId="0" fontId="9" fillId="0" borderId="2" xfId="0" applyFont="1" applyBorder="1" applyProtection="1">
      <protection locked="0"/>
    </xf>
    <xf numFmtId="169" fontId="5" fillId="0" borderId="2" xfId="0" applyNumberFormat="1" applyFont="1" applyBorder="1" applyProtection="1">
      <protection locked="0"/>
    </xf>
    <xf numFmtId="0" fontId="6" fillId="0" borderId="2" xfId="1" applyNumberFormat="1" applyFont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Alignment="1" applyProtection="1">
      <alignment horizontal="center" vertical="center"/>
      <protection locked="0"/>
    </xf>
    <xf numFmtId="9" fontId="6" fillId="0" borderId="2" xfId="2" applyFont="1" applyBorder="1" applyAlignment="1" applyProtection="1">
      <alignment horizontal="center" vertical="center"/>
      <protection locked="0"/>
    </xf>
    <xf numFmtId="9" fontId="6" fillId="0" borderId="0" xfId="2" applyFont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0" xfId="0" applyFont="1" applyAlignment="1" applyProtection="1">
      <alignment horizontal="center"/>
      <protection locked="0"/>
    </xf>
    <xf numFmtId="0" fontId="6" fillId="0" borderId="0" xfId="0" applyFont="1" applyProtection="1">
      <protection locked="0"/>
    </xf>
    <xf numFmtId="0" fontId="6" fillId="4" borderId="2" xfId="0" applyFont="1" applyFill="1" applyBorder="1" applyAlignment="1" applyProtection="1">
      <alignment horizontal="center"/>
      <protection locked="0"/>
    </xf>
    <xf numFmtId="0" fontId="11" fillId="4" borderId="2" xfId="0" applyFont="1" applyFill="1" applyBorder="1" applyAlignment="1" applyProtection="1">
      <alignment wrapText="1"/>
      <protection locked="0"/>
    </xf>
    <xf numFmtId="169" fontId="6" fillId="4" borderId="2" xfId="0" applyNumberFormat="1" applyFont="1" applyFill="1" applyBorder="1" applyProtection="1">
      <protection locked="0"/>
    </xf>
    <xf numFmtId="0" fontId="6" fillId="4" borderId="2" xfId="1" applyNumberFormat="1" applyFont="1" applyFill="1" applyBorder="1" applyAlignment="1" applyProtection="1">
      <alignment horizontal="center" vertical="center"/>
      <protection locked="0"/>
    </xf>
    <xf numFmtId="169" fontId="6" fillId="4" borderId="2" xfId="0" applyNumberFormat="1" applyFont="1" applyFill="1" applyBorder="1" applyAlignment="1" applyProtection="1">
      <alignment horizontal="center" vertical="center"/>
      <protection locked="0"/>
    </xf>
    <xf numFmtId="9" fontId="6" fillId="4" borderId="2" xfId="2" applyFont="1" applyFill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Protection="1">
      <protection locked="0"/>
    </xf>
    <xf numFmtId="0" fontId="6" fillId="5" borderId="2" xfId="0" applyFont="1" applyFill="1" applyBorder="1" applyAlignment="1" applyProtection="1">
      <alignment horizontal="center"/>
      <protection locked="0"/>
    </xf>
    <xf numFmtId="0" fontId="9" fillId="5" borderId="3" xfId="0" applyFont="1" applyFill="1" applyBorder="1" applyProtection="1">
      <protection locked="0"/>
    </xf>
    <xf numFmtId="169" fontId="12" fillId="5" borderId="2" xfId="0" applyNumberFormat="1" applyFont="1" applyFill="1" applyBorder="1" applyProtection="1">
      <protection locked="0"/>
    </xf>
    <xf numFmtId="0" fontId="12" fillId="5" borderId="2" xfId="1" applyNumberFormat="1" applyFont="1" applyFill="1" applyBorder="1" applyAlignment="1" applyProtection="1">
      <alignment horizontal="center" vertical="center"/>
      <protection locked="0"/>
    </xf>
    <xf numFmtId="169" fontId="12" fillId="5" borderId="2" xfId="0" applyNumberFormat="1" applyFont="1" applyFill="1" applyBorder="1" applyAlignment="1" applyProtection="1">
      <alignment horizontal="center" vertical="center"/>
      <protection locked="0"/>
    </xf>
    <xf numFmtId="9" fontId="6" fillId="5" borderId="2" xfId="2" applyFont="1" applyFill="1" applyBorder="1" applyAlignment="1" applyProtection="1">
      <alignment horizontal="center" vertical="center"/>
      <protection locked="0"/>
    </xf>
    <xf numFmtId="0" fontId="5" fillId="6" borderId="2" xfId="0" applyFont="1" applyFill="1" applyBorder="1" applyAlignment="1" applyProtection="1">
      <alignment horizontal="left" wrapText="1" indent="2"/>
      <protection locked="0"/>
    </xf>
    <xf numFmtId="169" fontId="6" fillId="0" borderId="2" xfId="0" applyNumberFormat="1" applyFont="1" applyBorder="1" applyAlignment="1">
      <alignment horizontal="center" vertical="center"/>
    </xf>
    <xf numFmtId="0" fontId="6" fillId="0" borderId="2" xfId="1" applyNumberFormat="1" applyFont="1" applyBorder="1" applyAlignment="1" applyProtection="1">
      <alignment horizontal="center" vertical="center" wrapText="1"/>
      <protection locked="0"/>
    </xf>
    <xf numFmtId="0" fontId="9" fillId="0" borderId="2" xfId="0" applyFont="1" applyBorder="1" applyAlignment="1" applyProtection="1">
      <alignment wrapText="1"/>
      <protection locked="0"/>
    </xf>
    <xf numFmtId="0" fontId="9" fillId="0" borderId="3" xfId="0" applyFont="1" applyBorder="1" applyProtection="1">
      <protection locked="0"/>
    </xf>
    <xf numFmtId="0" fontId="9" fillId="5" borderId="2" xfId="0" applyFont="1" applyFill="1" applyBorder="1" applyAlignment="1" applyProtection="1">
      <alignment wrapText="1"/>
      <protection locked="0"/>
    </xf>
    <xf numFmtId="169" fontId="12" fillId="5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horizontal="left" wrapText="1" indent="2"/>
      <protection locked="0"/>
    </xf>
    <xf numFmtId="0" fontId="11" fillId="4" borderId="2" xfId="0" applyFont="1" applyFill="1" applyBorder="1" applyAlignment="1" applyProtection="1">
      <alignment horizontal="left"/>
      <protection locked="0"/>
    </xf>
    <xf numFmtId="0" fontId="6" fillId="4" borderId="2" xfId="1" applyNumberFormat="1" applyFont="1" applyFill="1" applyBorder="1" applyAlignment="1" applyProtection="1">
      <alignment horizontal="center" vertical="center" wrapText="1"/>
      <protection locked="0"/>
    </xf>
    <xf numFmtId="169" fontId="6" fillId="4" borderId="2" xfId="0" applyNumberFormat="1" applyFont="1" applyFill="1" applyBorder="1" applyAlignment="1">
      <alignment horizontal="center" vertical="center"/>
    </xf>
    <xf numFmtId="0" fontId="11" fillId="5" borderId="3" xfId="0" applyFont="1" applyFill="1" applyBorder="1" applyAlignment="1" applyProtection="1">
      <alignment wrapText="1"/>
      <protection locked="0"/>
    </xf>
    <xf numFmtId="169" fontId="7" fillId="5" borderId="2" xfId="0" applyNumberFormat="1" applyFont="1" applyFill="1" applyBorder="1" applyProtection="1">
      <protection locked="0"/>
    </xf>
    <xf numFmtId="0" fontId="7" fillId="5" borderId="2" xfId="1" applyNumberFormat="1" applyFont="1" applyFill="1" applyBorder="1" applyAlignment="1" applyProtection="1">
      <alignment horizontal="center" vertical="center"/>
      <protection locked="0"/>
    </xf>
    <xf numFmtId="169" fontId="7" fillId="5" borderId="2" xfId="0" applyNumberFormat="1" applyFont="1" applyFill="1" applyBorder="1"/>
    <xf numFmtId="0" fontId="5" fillId="0" borderId="2" xfId="0" applyFont="1" applyBorder="1" applyAlignment="1" applyProtection="1">
      <alignment horizontal="left" indent="2"/>
      <protection locked="0"/>
    </xf>
    <xf numFmtId="0" fontId="11" fillId="5" borderId="2" xfId="0" applyFont="1" applyFill="1" applyBorder="1" applyProtection="1">
      <protection locked="0"/>
    </xf>
    <xf numFmtId="169" fontId="7" fillId="5" borderId="2" xfId="0" applyNumberFormat="1" applyFont="1" applyFill="1" applyBorder="1" applyAlignment="1">
      <alignment horizontal="center" vertical="center"/>
    </xf>
    <xf numFmtId="0" fontId="11" fillId="5" borderId="2" xfId="0" applyFont="1" applyFill="1" applyBorder="1" applyAlignment="1" applyProtection="1">
      <alignment wrapText="1"/>
      <protection locked="0"/>
    </xf>
    <xf numFmtId="169" fontId="7" fillId="4" borderId="2" xfId="0" applyNumberFormat="1" applyFont="1" applyFill="1" applyBorder="1" applyProtection="1">
      <protection locked="0"/>
    </xf>
    <xf numFmtId="0" fontId="7" fillId="4" borderId="2" xfId="1" applyNumberFormat="1" applyFont="1" applyFill="1" applyBorder="1" applyAlignment="1" applyProtection="1">
      <alignment horizontal="center" vertical="center"/>
      <protection locked="0"/>
    </xf>
    <xf numFmtId="169" fontId="7" fillId="4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wrapText="1"/>
      <protection locked="0"/>
    </xf>
    <xf numFmtId="0" fontId="6" fillId="0" borderId="2" xfId="1" applyNumberFormat="1" applyFont="1" applyFill="1" applyBorder="1" applyAlignment="1" applyProtection="1">
      <alignment horizontal="center" vertical="center"/>
      <protection locked="0"/>
    </xf>
    <xf numFmtId="0" fontId="5" fillId="0" borderId="2" xfId="0" applyFont="1" applyBorder="1" applyProtection="1">
      <protection locked="0"/>
    </xf>
    <xf numFmtId="0" fontId="11" fillId="4" borderId="2" xfId="0" applyFont="1" applyFill="1" applyBorder="1" applyAlignment="1" applyProtection="1">
      <alignment horizontal="left" wrapText="1"/>
      <protection locked="0"/>
    </xf>
    <xf numFmtId="0" fontId="6" fillId="0" borderId="0" xfId="0" applyFont="1" applyAlignment="1" applyProtection="1">
      <alignment horizontal="center"/>
      <protection locked="0"/>
    </xf>
    <xf numFmtId="0" fontId="5" fillId="0" borderId="0" xfId="0" applyFont="1" applyProtection="1">
      <protection locked="0"/>
    </xf>
    <xf numFmtId="164" fontId="13" fillId="0" borderId="4" xfId="1" applyFont="1" applyBorder="1" applyProtection="1">
      <protection locked="0"/>
    </xf>
    <xf numFmtId="0" fontId="13" fillId="0" borderId="0" xfId="0" applyFont="1" applyAlignment="1" applyProtection="1">
      <alignment horizontal="center" vertical="center" wrapText="1"/>
      <protection locked="0"/>
    </xf>
    <xf numFmtId="9" fontId="6" fillId="0" borderId="0" xfId="0" applyNumberFormat="1" applyFont="1" applyAlignment="1" applyProtection="1">
      <alignment horizontal="center"/>
      <protection locked="0"/>
    </xf>
    <xf numFmtId="164" fontId="13" fillId="0" borderId="7" xfId="1" applyFont="1" applyBorder="1" applyProtection="1"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3" fillId="8" borderId="2" xfId="0" applyFont="1" applyFill="1" applyBorder="1" applyAlignment="1">
      <alignment horizontal="center" vertical="center"/>
    </xf>
    <xf numFmtId="0" fontId="20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3" fillId="7" borderId="0" xfId="0" applyFont="1" applyFill="1"/>
    <xf numFmtId="0" fontId="3" fillId="8" borderId="2" xfId="0" applyFont="1" applyFill="1" applyBorder="1" applyAlignment="1">
      <alignment horizontal="center" vertical="center" wrapText="1"/>
    </xf>
    <xf numFmtId="15" fontId="20" fillId="0" borderId="18" xfId="0" applyNumberFormat="1" applyFont="1" applyBorder="1"/>
    <xf numFmtId="15" fontId="20" fillId="0" borderId="14" xfId="0" applyNumberFormat="1" applyFont="1" applyBorder="1"/>
    <xf numFmtId="0" fontId="20" fillId="0" borderId="18" xfId="0" applyFont="1" applyBorder="1"/>
    <xf numFmtId="0" fontId="20" fillId="0" borderId="14" xfId="0" applyFont="1" applyBorder="1"/>
    <xf numFmtId="0" fontId="20" fillId="0" borderId="12" xfId="0" applyFont="1" applyBorder="1"/>
    <xf numFmtId="0" fontId="16" fillId="0" borderId="0" xfId="0" applyFont="1"/>
    <xf numFmtId="0" fontId="20" fillId="12" borderId="0" xfId="0" applyFont="1" applyFill="1"/>
    <xf numFmtId="0" fontId="26" fillId="7" borderId="0" xfId="0" applyFont="1" applyFill="1"/>
    <xf numFmtId="0" fontId="26" fillId="7" borderId="0" xfId="0" applyFont="1" applyFill="1" applyAlignment="1">
      <alignment horizontal="center"/>
    </xf>
    <xf numFmtId="0" fontId="26" fillId="0" borderId="0" xfId="0" applyFont="1"/>
    <xf numFmtId="167" fontId="26" fillId="7" borderId="0" xfId="0" applyNumberFormat="1" applyFont="1" applyFill="1"/>
    <xf numFmtId="167" fontId="27" fillId="7" borderId="0" xfId="0" applyNumberFormat="1" applyFont="1" applyFill="1"/>
    <xf numFmtId="167" fontId="26" fillId="7" borderId="0" xfId="0" applyNumberFormat="1" applyFont="1" applyFill="1" applyAlignment="1">
      <alignment horizontal="center"/>
    </xf>
    <xf numFmtId="0" fontId="27" fillId="7" borderId="0" xfId="0" applyFont="1" applyFill="1"/>
    <xf numFmtId="0" fontId="26" fillId="7" borderId="0" xfId="0" applyFont="1" applyFill="1" applyProtection="1">
      <protection locked="0"/>
    </xf>
    <xf numFmtId="0" fontId="40" fillId="0" borderId="0" xfId="0" applyFont="1"/>
    <xf numFmtId="171" fontId="27" fillId="7" borderId="0" xfId="0" applyNumberFormat="1" applyFont="1" applyFill="1" applyAlignment="1">
      <alignment horizontal="center"/>
    </xf>
    <xf numFmtId="167" fontId="27" fillId="7" borderId="0" xfId="0" applyNumberFormat="1" applyFont="1" applyFill="1" applyAlignment="1">
      <alignment horizontal="center"/>
    </xf>
    <xf numFmtId="0" fontId="26" fillId="7" borderId="25" xfId="0" applyFont="1" applyFill="1" applyBorder="1"/>
    <xf numFmtId="171" fontId="26" fillId="7" borderId="0" xfId="0" applyNumberFormat="1" applyFont="1" applyFill="1" applyAlignment="1">
      <alignment horizontal="center"/>
    </xf>
    <xf numFmtId="167" fontId="26" fillId="0" borderId="0" xfId="0" applyNumberFormat="1" applyFont="1"/>
    <xf numFmtId="0" fontId="27" fillId="7" borderId="25" xfId="0" applyFont="1" applyFill="1" applyBorder="1"/>
    <xf numFmtId="167" fontId="27" fillId="7" borderId="20" xfId="0" applyNumberFormat="1" applyFont="1" applyFill="1" applyBorder="1"/>
    <xf numFmtId="0" fontId="27" fillId="0" borderId="45" xfId="0" applyFont="1" applyBorder="1"/>
    <xf numFmtId="0" fontId="26" fillId="0" borderId="45" xfId="0" applyFont="1" applyBorder="1"/>
    <xf numFmtId="167" fontId="26" fillId="0" borderId="45" xfId="0" applyNumberFormat="1" applyFont="1" applyBorder="1"/>
    <xf numFmtId="0" fontId="27" fillId="0" borderId="0" xfId="0" applyFont="1"/>
    <xf numFmtId="167" fontId="27" fillId="0" borderId="0" xfId="0" applyNumberFormat="1" applyFont="1"/>
    <xf numFmtId="167" fontId="26" fillId="7" borderId="25" xfId="0" applyNumberFormat="1" applyFont="1" applyFill="1" applyBorder="1" applyAlignment="1">
      <alignment horizontal="center"/>
    </xf>
    <xf numFmtId="0" fontId="26" fillId="7" borderId="0" xfId="0" applyFont="1" applyFill="1" applyAlignment="1">
      <alignment horizontal="left" indent="1"/>
    </xf>
    <xf numFmtId="0" fontId="6" fillId="2" borderId="0" xfId="0" applyFont="1" applyFill="1" applyAlignment="1" applyProtection="1">
      <alignment horizontal="center"/>
      <protection locked="0"/>
    </xf>
    <xf numFmtId="168" fontId="5" fillId="2" borderId="30" xfId="0" applyNumberFormat="1" applyFont="1" applyFill="1" applyBorder="1" applyAlignment="1" applyProtection="1">
      <alignment wrapText="1"/>
      <protection locked="0"/>
    </xf>
    <xf numFmtId="0" fontId="47" fillId="0" borderId="0" xfId="0" applyFont="1"/>
    <xf numFmtId="9" fontId="48" fillId="0" borderId="2" xfId="0" applyNumberFormat="1" applyFont="1" applyBorder="1"/>
    <xf numFmtId="168" fontId="11" fillId="0" borderId="12" xfId="0" applyNumberFormat="1" applyFont="1" applyBorder="1" applyAlignment="1" applyProtection="1">
      <alignment horizontal="center" vertical="center" wrapText="1"/>
      <protection locked="0"/>
    </xf>
    <xf numFmtId="0" fontId="6" fillId="7" borderId="0" xfId="0" applyFont="1" applyFill="1" applyProtection="1">
      <protection locked="0"/>
    </xf>
    <xf numFmtId="0" fontId="6" fillId="7" borderId="0" xfId="0" applyFont="1" applyFill="1" applyAlignment="1" applyProtection="1">
      <alignment horizontal="center"/>
      <protection locked="0"/>
    </xf>
    <xf numFmtId="0" fontId="7" fillId="7" borderId="0" xfId="0" applyFont="1" applyFill="1" applyProtection="1">
      <protection locked="0"/>
    </xf>
    <xf numFmtId="0" fontId="27" fillId="9" borderId="12" xfId="0" applyFont="1" applyFill="1" applyBorder="1" applyAlignment="1" applyProtection="1">
      <alignment horizontal="center" vertical="center"/>
      <protection locked="0"/>
    </xf>
    <xf numFmtId="167" fontId="26" fillId="7" borderId="0" xfId="0" applyNumberFormat="1" applyFont="1" applyFill="1" applyProtection="1">
      <protection locked="0"/>
    </xf>
    <xf numFmtId="0" fontId="26" fillId="7" borderId="0" xfId="0" applyFont="1" applyFill="1" applyAlignment="1" applyProtection="1">
      <alignment horizontal="center"/>
      <protection locked="0"/>
    </xf>
    <xf numFmtId="0" fontId="24" fillId="7" borderId="0" xfId="0" applyFont="1" applyFill="1" applyProtection="1">
      <protection locked="0"/>
    </xf>
    <xf numFmtId="0" fontId="33" fillId="7" borderId="0" xfId="0" applyFont="1" applyFill="1" applyProtection="1">
      <protection locked="0"/>
    </xf>
    <xf numFmtId="0" fontId="7" fillId="2" borderId="0" xfId="0" applyFont="1" applyFill="1" applyProtection="1">
      <protection locked="0"/>
    </xf>
    <xf numFmtId="0" fontId="21" fillId="7" borderId="0" xfId="0" applyFont="1" applyFill="1" applyProtection="1">
      <protection locked="0"/>
    </xf>
    <xf numFmtId="0" fontId="33" fillId="7" borderId="2" xfId="0" applyFont="1" applyFill="1" applyBorder="1" applyProtection="1">
      <protection locked="0"/>
    </xf>
    <xf numFmtId="0" fontId="24" fillId="2" borderId="0" xfId="0" applyFont="1" applyFill="1" applyProtection="1">
      <protection locked="0"/>
    </xf>
    <xf numFmtId="0" fontId="21" fillId="2" borderId="0" xfId="0" applyFont="1" applyFill="1" applyProtection="1">
      <protection locked="0"/>
    </xf>
    <xf numFmtId="0" fontId="27" fillId="7" borderId="0" xfId="0" applyFont="1" applyFill="1" applyAlignment="1" applyProtection="1">
      <alignment horizontal="center"/>
      <protection locked="0"/>
    </xf>
    <xf numFmtId="0" fontId="7" fillId="9" borderId="2" xfId="1" applyNumberFormat="1" applyFont="1" applyFill="1" applyBorder="1" applyAlignment="1" applyProtection="1">
      <alignment horizontal="center" vertical="center" wrapText="1"/>
    </xf>
    <xf numFmtId="0" fontId="7" fillId="9" borderId="2" xfId="1" applyNumberFormat="1" applyFont="1" applyFill="1" applyBorder="1" applyAlignment="1" applyProtection="1">
      <alignment horizontal="center" vertical="center"/>
    </xf>
    <xf numFmtId="0" fontId="27" fillId="7" borderId="0" xfId="0" applyFont="1" applyFill="1" applyAlignment="1" applyProtection="1">
      <alignment horizontal="left"/>
      <protection locked="0"/>
    </xf>
    <xf numFmtId="0" fontId="26" fillId="0" borderId="0" xfId="0" applyFont="1" applyProtection="1">
      <protection locked="0"/>
    </xf>
    <xf numFmtId="0" fontId="26" fillId="0" borderId="0" xfId="0" applyFont="1" applyAlignment="1" applyProtection="1">
      <alignment horizontal="center"/>
      <protection locked="0"/>
    </xf>
    <xf numFmtId="0" fontId="27" fillId="9" borderId="2" xfId="0" applyFont="1" applyFill="1" applyBorder="1" applyAlignment="1" applyProtection="1">
      <alignment horizontal="center"/>
      <protection locked="0"/>
    </xf>
    <xf numFmtId="0" fontId="27" fillId="9" borderId="10" xfId="0" applyFont="1" applyFill="1" applyBorder="1" applyProtection="1">
      <protection locked="0"/>
    </xf>
    <xf numFmtId="0" fontId="27" fillId="9" borderId="15" xfId="0" applyFont="1" applyFill="1" applyBorder="1" applyProtection="1">
      <protection locked="0"/>
    </xf>
    <xf numFmtId="0" fontId="26" fillId="7" borderId="0" xfId="0" applyFont="1" applyFill="1" applyAlignment="1" applyProtection="1">
      <alignment wrapText="1"/>
      <protection locked="0"/>
    </xf>
    <xf numFmtId="9" fontId="31" fillId="0" borderId="2" xfId="0" applyNumberFormat="1" applyFont="1" applyBorder="1" applyAlignment="1" applyProtection="1">
      <alignment horizontal="center"/>
      <protection locked="0"/>
    </xf>
    <xf numFmtId="167" fontId="31" fillId="0" borderId="2" xfId="0" applyNumberFormat="1" applyFont="1" applyBorder="1" applyProtection="1">
      <protection locked="0"/>
    </xf>
    <xf numFmtId="0" fontId="31" fillId="0" borderId="0" xfId="0" applyFont="1" applyProtection="1">
      <protection locked="0"/>
    </xf>
    <xf numFmtId="15" fontId="31" fillId="0" borderId="2" xfId="0" applyNumberFormat="1" applyFont="1" applyBorder="1" applyAlignment="1" applyProtection="1">
      <alignment horizontal="center"/>
      <protection locked="0"/>
    </xf>
    <xf numFmtId="15" fontId="29" fillId="0" borderId="2" xfId="0" applyNumberFormat="1" applyFont="1" applyBorder="1" applyAlignment="1" applyProtection="1">
      <alignment horizontal="center"/>
      <protection locked="0"/>
    </xf>
    <xf numFmtId="9" fontId="26" fillId="7" borderId="0" xfId="0" applyNumberFormat="1" applyFont="1" applyFill="1" applyAlignment="1" applyProtection="1">
      <alignment horizontal="center"/>
      <protection locked="0"/>
    </xf>
    <xf numFmtId="0" fontId="26" fillId="2" borderId="0" xfId="0" applyFont="1" applyFill="1" applyProtection="1">
      <protection locked="0"/>
    </xf>
    <xf numFmtId="0" fontId="26" fillId="2" borderId="0" xfId="0" applyFont="1" applyFill="1" applyAlignment="1" applyProtection="1">
      <alignment horizontal="center"/>
      <protection locked="0"/>
    </xf>
    <xf numFmtId="167" fontId="30" fillId="2" borderId="0" xfId="0" applyNumberFormat="1" applyFont="1" applyFill="1" applyProtection="1">
      <protection locked="0"/>
    </xf>
    <xf numFmtId="0" fontId="27" fillId="7" borderId="0" xfId="0" applyFont="1" applyFill="1" applyAlignment="1" applyProtection="1">
      <alignment vertical="top"/>
      <protection locked="0"/>
    </xf>
    <xf numFmtId="0" fontId="29" fillId="12" borderId="0" xfId="0" applyFont="1" applyFill="1" applyAlignment="1" applyProtection="1">
      <alignment horizontal="left" wrapText="1"/>
      <protection locked="0"/>
    </xf>
    <xf numFmtId="167" fontId="30" fillId="7" borderId="0" xfId="0" applyNumberFormat="1" applyFont="1" applyFill="1" applyProtection="1">
      <protection locked="0"/>
    </xf>
    <xf numFmtId="0" fontId="29" fillId="7" borderId="0" xfId="0" applyFont="1" applyFill="1" applyAlignment="1" applyProtection="1">
      <alignment horizontal="left"/>
      <protection locked="0"/>
    </xf>
    <xf numFmtId="0" fontId="26" fillId="7" borderId="0" xfId="0" applyFont="1" applyFill="1" applyAlignment="1" applyProtection="1">
      <alignment horizontal="left"/>
      <protection locked="0"/>
    </xf>
    <xf numFmtId="167" fontId="31" fillId="7" borderId="0" xfId="0" applyNumberFormat="1" applyFont="1" applyFill="1" applyProtection="1">
      <protection locked="0"/>
    </xf>
    <xf numFmtId="0" fontId="29" fillId="6" borderId="0" xfId="0" applyFont="1" applyFill="1" applyAlignment="1" applyProtection="1">
      <alignment horizontal="left"/>
      <protection locked="0"/>
    </xf>
    <xf numFmtId="0" fontId="26" fillId="6" borderId="0" xfId="0" applyFont="1" applyFill="1" applyAlignment="1" applyProtection="1">
      <alignment horizontal="left"/>
      <protection locked="0"/>
    </xf>
    <xf numFmtId="167" fontId="31" fillId="7" borderId="0" xfId="0" applyNumberFormat="1" applyFont="1" applyFill="1" applyAlignment="1" applyProtection="1">
      <alignment horizontal="left"/>
      <protection locked="0"/>
    </xf>
    <xf numFmtId="0" fontId="30" fillId="2" borderId="0" xfId="0" applyFont="1" applyFill="1" applyAlignment="1" applyProtection="1">
      <alignment horizontal="left" wrapText="1"/>
      <protection locked="0"/>
    </xf>
    <xf numFmtId="0" fontId="31" fillId="0" borderId="2" xfId="0" applyFont="1" applyBorder="1" applyAlignment="1" applyProtection="1">
      <alignment horizontal="center"/>
      <protection locked="0"/>
    </xf>
    <xf numFmtId="0" fontId="31" fillId="0" borderId="2" xfId="0" applyFont="1" applyBorder="1" applyProtection="1">
      <protection locked="0"/>
    </xf>
    <xf numFmtId="0" fontId="31" fillId="0" borderId="1" xfId="0" applyFont="1" applyBorder="1" applyAlignment="1" applyProtection="1">
      <alignment horizontal="center"/>
      <protection locked="0"/>
    </xf>
    <xf numFmtId="0" fontId="31" fillId="0" borderId="1" xfId="0" applyFont="1" applyBorder="1" applyProtection="1">
      <protection locked="0"/>
    </xf>
    <xf numFmtId="9" fontId="31" fillId="0" borderId="1" xfId="0" applyNumberFormat="1" applyFont="1" applyBorder="1" applyAlignment="1" applyProtection="1">
      <alignment horizontal="center"/>
      <protection locked="0"/>
    </xf>
    <xf numFmtId="167" fontId="31" fillId="0" borderId="1" xfId="0" applyNumberFormat="1" applyFont="1" applyBorder="1" applyProtection="1">
      <protection locked="0"/>
    </xf>
    <xf numFmtId="0" fontId="26" fillId="5" borderId="11" xfId="0" applyFont="1" applyFill="1" applyBorder="1" applyAlignment="1" applyProtection="1">
      <alignment horizontal="center"/>
      <protection locked="0"/>
    </xf>
    <xf numFmtId="0" fontId="26" fillId="5" borderId="16" xfId="0" applyFont="1" applyFill="1" applyBorder="1" applyProtection="1">
      <protection locked="0"/>
    </xf>
    <xf numFmtId="9" fontId="26" fillId="5" borderId="16" xfId="0" applyNumberFormat="1" applyFont="1" applyFill="1" applyBorder="1" applyAlignment="1" applyProtection="1">
      <alignment horizontal="center"/>
      <protection locked="0"/>
    </xf>
    <xf numFmtId="167" fontId="26" fillId="5" borderId="17" xfId="0" applyNumberFormat="1" applyFont="1" applyFill="1" applyBorder="1" applyProtection="1">
      <protection locked="0"/>
    </xf>
    <xf numFmtId="0" fontId="46" fillId="0" borderId="16" xfId="0" applyFont="1" applyBorder="1" applyAlignment="1" applyProtection="1">
      <alignment horizontal="left"/>
      <protection locked="0"/>
    </xf>
    <xf numFmtId="0" fontId="6" fillId="7" borderId="0" xfId="0" applyFont="1" applyFill="1" applyAlignment="1" applyProtection="1">
      <alignment horizontal="center" vertical="center"/>
      <protection locked="0"/>
    </xf>
    <xf numFmtId="0" fontId="5" fillId="7" borderId="0" xfId="0" applyFont="1" applyFill="1" applyProtection="1">
      <protection locked="0"/>
    </xf>
    <xf numFmtId="167" fontId="6" fillId="7" borderId="0" xfId="3" applyFont="1" applyFill="1" applyBorder="1" applyProtection="1">
      <protection locked="0"/>
    </xf>
    <xf numFmtId="0" fontId="41" fillId="7" borderId="51" xfId="0" applyFont="1" applyFill="1" applyBorder="1" applyProtection="1">
      <protection locked="0"/>
    </xf>
    <xf numFmtId="0" fontId="23" fillId="17" borderId="19" xfId="0" applyFont="1" applyFill="1" applyBorder="1" applyProtection="1">
      <protection locked="0"/>
    </xf>
    <xf numFmtId="0" fontId="7" fillId="17" borderId="21" xfId="0" applyFont="1" applyFill="1" applyBorder="1" applyProtection="1">
      <protection locked="0"/>
    </xf>
    <xf numFmtId="0" fontId="7" fillId="17" borderId="22" xfId="0" applyFont="1" applyFill="1" applyBorder="1" applyProtection="1">
      <protection locked="0"/>
    </xf>
    <xf numFmtId="167" fontId="7" fillId="17" borderId="23" xfId="0" applyNumberFormat="1" applyFont="1" applyFill="1" applyBorder="1" applyProtection="1">
      <protection locked="0"/>
    </xf>
    <xf numFmtId="167" fontId="7" fillId="17" borderId="26" xfId="0" applyNumberFormat="1" applyFont="1" applyFill="1" applyBorder="1" applyProtection="1">
      <protection locked="0"/>
    </xf>
    <xf numFmtId="167" fontId="51" fillId="17" borderId="23" xfId="0" applyNumberFormat="1" applyFont="1" applyFill="1" applyBorder="1" applyProtection="1">
      <protection locked="0"/>
    </xf>
    <xf numFmtId="0" fontId="23" fillId="6" borderId="0" xfId="0" applyFont="1" applyFill="1" applyProtection="1">
      <protection locked="0"/>
    </xf>
    <xf numFmtId="0" fontId="6" fillId="6" borderId="0" xfId="0" applyFont="1" applyFill="1" applyProtection="1">
      <protection locked="0"/>
    </xf>
    <xf numFmtId="0" fontId="7" fillId="17" borderId="24" xfId="0" applyFont="1" applyFill="1" applyBorder="1" applyProtection="1">
      <protection locked="0"/>
    </xf>
    <xf numFmtId="0" fontId="23" fillId="16" borderId="19" xfId="0" applyFont="1" applyFill="1" applyBorder="1" applyProtection="1">
      <protection locked="0"/>
    </xf>
    <xf numFmtId="0" fontId="7" fillId="16" borderId="21" xfId="0" applyFont="1" applyFill="1" applyBorder="1" applyProtection="1">
      <protection locked="0"/>
    </xf>
    <xf numFmtId="0" fontId="7" fillId="16" borderId="22" xfId="0" applyFont="1" applyFill="1" applyBorder="1" applyProtection="1">
      <protection locked="0"/>
    </xf>
    <xf numFmtId="167" fontId="7" fillId="16" borderId="23" xfId="0" applyNumberFormat="1" applyFont="1" applyFill="1" applyBorder="1" applyProtection="1">
      <protection locked="0"/>
    </xf>
    <xf numFmtId="167" fontId="7" fillId="16" borderId="26" xfId="0" applyNumberFormat="1" applyFont="1" applyFill="1" applyBorder="1" applyProtection="1">
      <protection locked="0"/>
    </xf>
    <xf numFmtId="0" fontId="7" fillId="16" borderId="24" xfId="0" applyFont="1" applyFill="1" applyBorder="1" applyProtection="1">
      <protection locked="0"/>
    </xf>
    <xf numFmtId="0" fontId="27" fillId="9" borderId="27" xfId="0" applyFont="1" applyFill="1" applyBorder="1" applyAlignment="1" applyProtection="1">
      <alignment horizontal="center" wrapText="1"/>
      <protection locked="0"/>
    </xf>
    <xf numFmtId="0" fontId="21" fillId="7" borderId="0" xfId="0" applyFont="1" applyFill="1" applyAlignment="1" applyProtection="1">
      <alignment horizontal="center"/>
      <protection locked="0"/>
    </xf>
    <xf numFmtId="167" fontId="6" fillId="7" borderId="0" xfId="0" applyNumberFormat="1" applyFont="1" applyFill="1" applyAlignment="1" applyProtection="1">
      <alignment horizontal="center"/>
      <protection locked="0"/>
    </xf>
    <xf numFmtId="0" fontId="21" fillId="2" borderId="0" xfId="0" applyFont="1" applyFill="1" applyAlignment="1" applyProtection="1">
      <alignment horizontal="center"/>
      <protection locked="0"/>
    </xf>
    <xf numFmtId="167" fontId="6" fillId="2" borderId="0" xfId="0" applyNumberFormat="1" applyFont="1" applyFill="1" applyAlignment="1" applyProtection="1">
      <alignment horizontal="center"/>
      <protection locked="0"/>
    </xf>
    <xf numFmtId="0" fontId="21" fillId="0" borderId="0" xfId="0" applyFont="1" applyAlignment="1" applyProtection="1">
      <alignment horizontal="center"/>
      <protection locked="0"/>
    </xf>
    <xf numFmtId="0" fontId="27" fillId="7" borderId="0" xfId="0" applyFont="1" applyFill="1" applyAlignment="1" applyProtection="1">
      <alignment horizontal="center" vertical="center"/>
      <protection locked="0"/>
    </xf>
    <xf numFmtId="167" fontId="22" fillId="7" borderId="0" xfId="0" applyNumberFormat="1" applyFont="1" applyFill="1" applyProtection="1">
      <protection locked="0"/>
    </xf>
    <xf numFmtId="0" fontId="46" fillId="0" borderId="16" xfId="0" applyFont="1" applyBorder="1" applyAlignment="1" applyProtection="1">
      <alignment horizontal="center"/>
      <protection locked="0"/>
    </xf>
    <xf numFmtId="15" fontId="52" fillId="0" borderId="2" xfId="0" applyNumberFormat="1" applyFont="1" applyBorder="1" applyAlignment="1" applyProtection="1">
      <alignment horizontal="left"/>
      <protection locked="0"/>
    </xf>
    <xf numFmtId="14" fontId="23" fillId="10" borderId="39" xfId="0" applyNumberFormat="1" applyFont="1" applyFill="1" applyBorder="1" applyProtection="1">
      <protection locked="0"/>
    </xf>
    <xf numFmtId="14" fontId="23" fillId="13" borderId="32" xfId="0" applyNumberFormat="1" applyFont="1" applyFill="1" applyBorder="1" applyProtection="1">
      <protection locked="0"/>
    </xf>
    <xf numFmtId="14" fontId="23" fillId="10" borderId="32" xfId="0" applyNumberFormat="1" applyFont="1" applyFill="1" applyBorder="1" applyProtection="1">
      <protection locked="0"/>
    </xf>
    <xf numFmtId="14" fontId="23" fillId="10" borderId="36" xfId="0" applyNumberFormat="1" applyFont="1" applyFill="1" applyBorder="1" applyProtection="1">
      <protection locked="0"/>
    </xf>
    <xf numFmtId="14" fontId="23" fillId="0" borderId="48" xfId="0" applyNumberFormat="1" applyFont="1" applyBorder="1" applyProtection="1">
      <protection locked="0"/>
    </xf>
    <xf numFmtId="14" fontId="23" fillId="11" borderId="39" xfId="0" applyNumberFormat="1" applyFont="1" applyFill="1" applyBorder="1" applyProtection="1">
      <protection locked="0"/>
    </xf>
    <xf numFmtId="14" fontId="23" fillId="11" borderId="32" xfId="0" applyNumberFormat="1" applyFont="1" applyFill="1" applyBorder="1" applyProtection="1">
      <protection locked="0"/>
    </xf>
    <xf numFmtId="14" fontId="23" fillId="11" borderId="36" xfId="0" applyNumberFormat="1" applyFont="1" applyFill="1" applyBorder="1" applyProtection="1">
      <protection locked="0"/>
    </xf>
    <xf numFmtId="14" fontId="23" fillId="13" borderId="39" xfId="0" applyNumberFormat="1" applyFont="1" applyFill="1" applyBorder="1" applyProtection="1">
      <protection locked="0"/>
    </xf>
    <xf numFmtId="14" fontId="23" fillId="13" borderId="36" xfId="0" applyNumberFormat="1" applyFont="1" applyFill="1" applyBorder="1" applyProtection="1">
      <protection locked="0"/>
    </xf>
    <xf numFmtId="14" fontId="23" fillId="11" borderId="46" xfId="0" applyNumberFormat="1" applyFont="1" applyFill="1" applyBorder="1" applyProtection="1">
      <protection locked="0"/>
    </xf>
    <xf numFmtId="14" fontId="23" fillId="13" borderId="46" xfId="0" applyNumberFormat="1" applyFont="1" applyFill="1" applyBorder="1" applyProtection="1">
      <protection locked="0"/>
    </xf>
    <xf numFmtId="14" fontId="23" fillId="13" borderId="41" xfId="0" applyNumberFormat="1" applyFont="1" applyFill="1" applyBorder="1" applyProtection="1">
      <protection locked="0"/>
    </xf>
    <xf numFmtId="14" fontId="23" fillId="13" borderId="30" xfId="0" applyNumberFormat="1" applyFont="1" applyFill="1" applyBorder="1" applyProtection="1">
      <protection locked="0"/>
    </xf>
    <xf numFmtId="14" fontId="23" fillId="10" borderId="46" xfId="0" applyNumberFormat="1" applyFont="1" applyFill="1" applyBorder="1" applyProtection="1">
      <protection locked="0"/>
    </xf>
    <xf numFmtId="14" fontId="23" fillId="10" borderId="44" xfId="0" applyNumberFormat="1" applyFont="1" applyFill="1" applyBorder="1" applyProtection="1">
      <protection locked="0"/>
    </xf>
    <xf numFmtId="0" fontId="5" fillId="10" borderId="39" xfId="0" applyFont="1" applyFill="1" applyBorder="1" applyProtection="1">
      <protection locked="0"/>
    </xf>
    <xf numFmtId="0" fontId="5" fillId="11" borderId="32" xfId="0" applyFont="1" applyFill="1" applyBorder="1" applyProtection="1">
      <protection locked="0"/>
    </xf>
    <xf numFmtId="0" fontId="5" fillId="13" borderId="32" xfId="0" applyFont="1" applyFill="1" applyBorder="1" applyProtection="1">
      <protection locked="0"/>
    </xf>
    <xf numFmtId="0" fontId="5" fillId="10" borderId="32" xfId="0" applyFont="1" applyFill="1" applyBorder="1" applyProtection="1">
      <protection locked="0"/>
    </xf>
    <xf numFmtId="0" fontId="5" fillId="10" borderId="36" xfId="0" applyFont="1" applyFill="1" applyBorder="1" applyProtection="1">
      <protection locked="0"/>
    </xf>
    <xf numFmtId="0" fontId="5" fillId="0" borderId="48" xfId="0" applyFont="1" applyBorder="1" applyProtection="1">
      <protection locked="0"/>
    </xf>
    <xf numFmtId="0" fontId="5" fillId="11" borderId="39" xfId="0" applyFont="1" applyFill="1" applyBorder="1" applyProtection="1">
      <protection locked="0"/>
    </xf>
    <xf numFmtId="0" fontId="5" fillId="11" borderId="36" xfId="0" applyFont="1" applyFill="1" applyBorder="1" applyProtection="1">
      <protection locked="0"/>
    </xf>
    <xf numFmtId="0" fontId="5" fillId="13" borderId="39" xfId="0" applyFont="1" applyFill="1" applyBorder="1" applyProtection="1">
      <protection locked="0"/>
    </xf>
    <xf numFmtId="0" fontId="5" fillId="13" borderId="36" xfId="0" applyFont="1" applyFill="1" applyBorder="1" applyProtection="1">
      <protection locked="0"/>
    </xf>
    <xf numFmtId="0" fontId="5" fillId="11" borderId="46" xfId="0" applyFont="1" applyFill="1" applyBorder="1" applyProtection="1">
      <protection locked="0"/>
    </xf>
    <xf numFmtId="0" fontId="5" fillId="13" borderId="46" xfId="0" applyFont="1" applyFill="1" applyBorder="1" applyProtection="1">
      <protection locked="0"/>
    </xf>
    <xf numFmtId="0" fontId="5" fillId="13" borderId="41" xfId="0" applyFont="1" applyFill="1" applyBorder="1" applyProtection="1">
      <protection locked="0"/>
    </xf>
    <xf numFmtId="0" fontId="5" fillId="13" borderId="30" xfId="0" applyFont="1" applyFill="1" applyBorder="1" applyProtection="1">
      <protection locked="0"/>
    </xf>
    <xf numFmtId="0" fontId="53" fillId="0" borderId="16" xfId="0" applyFont="1" applyBorder="1" applyAlignment="1" applyProtection="1">
      <alignment horizontal="left"/>
      <protection locked="0"/>
    </xf>
    <xf numFmtId="0" fontId="5" fillId="10" borderId="46" xfId="0" applyFont="1" applyFill="1" applyBorder="1" applyProtection="1">
      <protection locked="0"/>
    </xf>
    <xf numFmtId="0" fontId="5" fillId="10" borderId="44" xfId="0" applyFont="1" applyFill="1" applyBorder="1" applyProtection="1">
      <protection locked="0"/>
    </xf>
    <xf numFmtId="0" fontId="0" fillId="0" borderId="0" xfId="0" applyProtection="1">
      <protection locked="0"/>
    </xf>
    <xf numFmtId="0" fontId="21" fillId="9" borderId="19" xfId="0" applyFont="1" applyFill="1" applyBorder="1" applyAlignment="1" applyProtection="1">
      <alignment horizontal="center"/>
      <protection locked="0"/>
    </xf>
    <xf numFmtId="0" fontId="4" fillId="9" borderId="21" xfId="0" applyFont="1" applyFill="1" applyBorder="1" applyAlignment="1" applyProtection="1">
      <alignment horizontal="right"/>
      <protection locked="0"/>
    </xf>
    <xf numFmtId="0" fontId="44" fillId="7" borderId="0" xfId="0" applyFont="1" applyFill="1" applyProtection="1">
      <protection locked="0"/>
    </xf>
    <xf numFmtId="0" fontId="21" fillId="9" borderId="22" xfId="0" applyFont="1" applyFill="1" applyBorder="1" applyAlignment="1" applyProtection="1">
      <alignment horizontal="center"/>
      <protection locked="0"/>
    </xf>
    <xf numFmtId="0" fontId="4" fillId="9" borderId="23" xfId="0" applyFont="1" applyFill="1" applyBorder="1" applyAlignment="1" applyProtection="1">
      <alignment horizontal="right"/>
      <protection locked="0"/>
    </xf>
    <xf numFmtId="0" fontId="44" fillId="9" borderId="0" xfId="0" applyFont="1" applyFill="1" applyAlignment="1" applyProtection="1">
      <alignment horizontal="center"/>
      <protection locked="0"/>
    </xf>
    <xf numFmtId="0" fontId="44" fillId="9" borderId="0" xfId="0" applyFont="1" applyFill="1" applyProtection="1">
      <protection locked="0"/>
    </xf>
    <xf numFmtId="0" fontId="44" fillId="9" borderId="23" xfId="0" applyFont="1" applyFill="1" applyBorder="1" applyProtection="1">
      <protection locked="0"/>
    </xf>
    <xf numFmtId="0" fontId="21" fillId="9" borderId="24" xfId="0" applyFont="1" applyFill="1" applyBorder="1" applyAlignment="1" applyProtection="1">
      <alignment horizontal="center"/>
      <protection locked="0"/>
    </xf>
    <xf numFmtId="0" fontId="4" fillId="9" borderId="26" xfId="0" applyFont="1" applyFill="1" applyBorder="1" applyAlignment="1" applyProtection="1">
      <alignment horizontal="right"/>
      <protection locked="0"/>
    </xf>
    <xf numFmtId="0" fontId="7" fillId="7" borderId="0" xfId="0" applyFont="1" applyFill="1" applyAlignment="1" applyProtection="1">
      <alignment horizontal="center"/>
      <protection locked="0"/>
    </xf>
    <xf numFmtId="16" fontId="43" fillId="0" borderId="0" xfId="0" applyNumberFormat="1" applyFont="1" applyAlignment="1">
      <alignment horizontal="right"/>
    </xf>
    <xf numFmtId="16" fontId="43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5" borderId="2" xfId="0" applyNumberFormat="1" applyFill="1" applyBorder="1"/>
    <xf numFmtId="0" fontId="0" fillId="2" borderId="0" xfId="0" applyFill="1"/>
    <xf numFmtId="0" fontId="17" fillId="2" borderId="15" xfId="0" applyFont="1" applyFill="1" applyBorder="1"/>
    <xf numFmtId="0" fontId="17" fillId="2" borderId="0" xfId="0" applyFont="1" applyFill="1" applyAlignment="1">
      <alignment horizontal="center"/>
    </xf>
    <xf numFmtId="16" fontId="0" fillId="2" borderId="0" xfId="0" applyNumberFormat="1" applyFill="1"/>
    <xf numFmtId="0" fontId="0" fillId="8" borderId="15" xfId="0" applyFill="1" applyBorder="1"/>
    <xf numFmtId="167" fontId="0" fillId="8" borderId="2" xfId="0" applyNumberFormat="1" applyFill="1" applyBorder="1"/>
    <xf numFmtId="167" fontId="0" fillId="2" borderId="2" xfId="0" applyNumberFormat="1" applyFill="1" applyBorder="1"/>
    <xf numFmtId="3" fontId="0" fillId="8" borderId="2" xfId="0" applyNumberFormat="1" applyFill="1" applyBorder="1" applyAlignment="1">
      <alignment horizontal="right"/>
    </xf>
    <xf numFmtId="0" fontId="0" fillId="14" borderId="15" xfId="0" applyFill="1" applyBorder="1"/>
    <xf numFmtId="167" fontId="0" fillId="14" borderId="2" xfId="0" applyNumberFormat="1" applyFill="1" applyBorder="1"/>
    <xf numFmtId="3" fontId="0" fillId="14" borderId="2" xfId="0" applyNumberFormat="1" applyFill="1" applyBorder="1" applyAlignment="1">
      <alignment horizontal="right"/>
    </xf>
    <xf numFmtId="0" fontId="18" fillId="5" borderId="0" xfId="0" applyFont="1" applyFill="1"/>
    <xf numFmtId="0" fontId="0" fillId="5" borderId="0" xfId="0" applyFill="1"/>
    <xf numFmtId="0" fontId="0" fillId="5" borderId="15" xfId="0" applyFill="1" applyBorder="1" applyAlignment="1">
      <alignment horizontal="right"/>
    </xf>
    <xf numFmtId="0" fontId="0" fillId="5" borderId="2" xfId="0" applyFill="1" applyBorder="1"/>
    <xf numFmtId="0" fontId="0" fillId="2" borderId="2" xfId="0" applyFill="1" applyBorder="1"/>
    <xf numFmtId="3" fontId="0" fillId="5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9" borderId="15" xfId="0" applyFill="1" applyBorder="1"/>
    <xf numFmtId="167" fontId="0" fillId="9" borderId="2" xfId="0" applyNumberFormat="1" applyFill="1" applyBorder="1"/>
    <xf numFmtId="3" fontId="0" fillId="9" borderId="2" xfId="0" applyNumberFormat="1" applyFill="1" applyBorder="1" applyAlignment="1">
      <alignment horizontal="right"/>
    </xf>
    <xf numFmtId="0" fontId="0" fillId="15" borderId="15" xfId="0" applyFill="1" applyBorder="1"/>
    <xf numFmtId="167" fontId="0" fillId="15" borderId="2" xfId="0" applyNumberFormat="1" applyFill="1" applyBorder="1"/>
    <xf numFmtId="3" fontId="0" fillId="15" borderId="2" xfId="0" applyNumberFormat="1" applyFill="1" applyBorder="1" applyAlignment="1">
      <alignment horizontal="right"/>
    </xf>
    <xf numFmtId="0" fontId="6" fillId="7" borderId="0" xfId="0" applyFont="1" applyFill="1"/>
    <xf numFmtId="0" fontId="6" fillId="7" borderId="0" xfId="0" applyFont="1" applyFill="1" applyAlignment="1">
      <alignment horizontal="center"/>
    </xf>
    <xf numFmtId="0" fontId="5" fillId="7" borderId="0" xfId="0" applyFont="1" applyFill="1"/>
    <xf numFmtId="0" fontId="6" fillId="0" borderId="0" xfId="0" applyFont="1" applyAlignment="1">
      <alignment horizontal="center"/>
    </xf>
    <xf numFmtId="0" fontId="7" fillId="7" borderId="0" xfId="0" applyFont="1" applyFill="1"/>
    <xf numFmtId="0" fontId="7" fillId="7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167" fontId="11" fillId="7" borderId="12" xfId="0" applyNumberFormat="1" applyFont="1" applyFill="1" applyBorder="1"/>
    <xf numFmtId="167" fontId="37" fillId="7" borderId="2" xfId="0" applyNumberFormat="1" applyFont="1" applyFill="1" applyBorder="1" applyAlignment="1">
      <alignment vertical="center"/>
    </xf>
    <xf numFmtId="0" fontId="7" fillId="7" borderId="0" xfId="0" applyFont="1" applyFill="1" applyAlignment="1">
      <alignment horizontal="left"/>
    </xf>
    <xf numFmtId="0" fontId="27" fillId="9" borderId="12" xfId="0" applyFont="1" applyFill="1" applyBorder="1" applyAlignment="1">
      <alignment horizontal="center" vertical="center"/>
    </xf>
    <xf numFmtId="0" fontId="27" fillId="7" borderId="0" xfId="0" applyFont="1" applyFill="1" applyAlignment="1">
      <alignment horizontal="center" vertical="center"/>
    </xf>
    <xf numFmtId="0" fontId="27" fillId="9" borderId="12" xfId="0" applyFont="1" applyFill="1" applyBorder="1" applyAlignment="1">
      <alignment horizontal="center" vertical="center" wrapText="1"/>
    </xf>
    <xf numFmtId="0" fontId="27" fillId="7" borderId="0" xfId="0" applyFont="1" applyFill="1" applyAlignment="1">
      <alignment horizontal="center" vertical="center" wrapText="1"/>
    </xf>
    <xf numFmtId="0" fontId="34" fillId="7" borderId="2" xfId="0" applyFont="1" applyFill="1" applyBorder="1" applyAlignment="1">
      <alignment horizontal="center"/>
    </xf>
    <xf numFmtId="0" fontId="34" fillId="7" borderId="2" xfId="0" applyFont="1" applyFill="1" applyBorder="1"/>
    <xf numFmtId="167" fontId="26" fillId="7" borderId="2" xfId="0" applyNumberFormat="1" applyFont="1" applyFill="1" applyBorder="1"/>
    <xf numFmtId="167" fontId="31" fillId="7" borderId="2" xfId="0" applyNumberFormat="1" applyFont="1" applyFill="1" applyBorder="1"/>
    <xf numFmtId="0" fontId="26" fillId="7" borderId="0" xfId="0" applyFont="1" applyFill="1" applyAlignment="1">
      <alignment horizontal="left" vertical="center"/>
    </xf>
    <xf numFmtId="0" fontId="42" fillId="7" borderId="0" xfId="0" applyFont="1" applyFill="1" applyAlignment="1">
      <alignment horizontal="right"/>
    </xf>
    <xf numFmtId="167" fontId="42" fillId="7" borderId="0" xfId="0" applyNumberFormat="1" applyFont="1" applyFill="1"/>
    <xf numFmtId="167" fontId="28" fillId="7" borderId="0" xfId="0" applyNumberFormat="1" applyFont="1" applyFill="1"/>
    <xf numFmtId="0" fontId="7" fillId="9" borderId="2" xfId="0" applyFont="1" applyFill="1" applyBorder="1" applyAlignment="1">
      <alignment horizontal="center" vertical="center" wrapText="1"/>
    </xf>
    <xf numFmtId="167" fontId="6" fillId="7" borderId="0" xfId="0" applyNumberFormat="1" applyFont="1" applyFill="1" applyAlignment="1">
      <alignment horizontal="center"/>
    </xf>
    <xf numFmtId="0" fontId="21" fillId="7" borderId="0" xfId="0" applyFont="1" applyFill="1" applyAlignment="1">
      <alignment horizontal="center"/>
    </xf>
    <xf numFmtId="0" fontId="6" fillId="7" borderId="2" xfId="0" applyFont="1" applyFill="1" applyBorder="1" applyAlignment="1">
      <alignment horizontal="center" wrapText="1"/>
    </xf>
    <xf numFmtId="0" fontId="6" fillId="7" borderId="2" xfId="0" applyFont="1" applyFill="1" applyBorder="1" applyAlignment="1">
      <alignment wrapText="1"/>
    </xf>
    <xf numFmtId="0" fontId="6" fillId="7" borderId="2" xfId="0" applyFont="1" applyFill="1" applyBorder="1" applyAlignment="1">
      <alignment horizontal="center"/>
    </xf>
    <xf numFmtId="0" fontId="6" fillId="7" borderId="2" xfId="0" applyFont="1" applyFill="1" applyBorder="1"/>
    <xf numFmtId="0" fontId="32" fillId="8" borderId="2" xfId="0" applyFont="1" applyFill="1" applyBorder="1" applyAlignment="1">
      <alignment horizontal="center"/>
    </xf>
    <xf numFmtId="0" fontId="11" fillId="8" borderId="2" xfId="0" applyFont="1" applyFill="1" applyBorder="1"/>
    <xf numFmtId="15" fontId="7" fillId="7" borderId="2" xfId="0" applyNumberFormat="1" applyFont="1" applyFill="1" applyBorder="1" applyAlignment="1">
      <alignment horizontal="center" wrapText="1"/>
    </xf>
    <xf numFmtId="0" fontId="7" fillId="7" borderId="2" xfId="0" applyFont="1" applyFill="1" applyBorder="1" applyAlignment="1">
      <alignment horizontal="center" wrapText="1"/>
    </xf>
    <xf numFmtId="0" fontId="32" fillId="7" borderId="2" xfId="0" applyFont="1" applyFill="1" applyBorder="1" applyAlignment="1">
      <alignment horizontal="center"/>
    </xf>
    <xf numFmtId="0" fontId="5" fillId="7" borderId="2" xfId="0" applyFont="1" applyFill="1" applyBorder="1"/>
    <xf numFmtId="15" fontId="21" fillId="7" borderId="2" xfId="0" applyNumberFormat="1" applyFont="1" applyFill="1" applyBorder="1" applyAlignment="1">
      <alignment horizontal="center" wrapText="1"/>
    </xf>
    <xf numFmtId="0" fontId="21" fillId="7" borderId="2" xfId="0" applyFont="1" applyFill="1" applyBorder="1" applyAlignment="1">
      <alignment horizontal="center" wrapText="1"/>
    </xf>
    <xf numFmtId="0" fontId="32" fillId="7" borderId="0" xfId="0" applyFont="1" applyFill="1" applyAlignment="1">
      <alignment horizontal="center"/>
    </xf>
    <xf numFmtId="167" fontId="7" fillId="7" borderId="0" xfId="0" applyNumberFormat="1" applyFont="1" applyFill="1" applyAlignment="1">
      <alignment horizontal="center"/>
    </xf>
    <xf numFmtId="15" fontId="25" fillId="7" borderId="2" xfId="0" applyNumberFormat="1" applyFont="1" applyFill="1" applyBorder="1" applyAlignment="1">
      <alignment horizontal="center" wrapText="1"/>
    </xf>
    <xf numFmtId="9" fontId="27" fillId="7" borderId="2" xfId="2" applyFont="1" applyFill="1" applyBorder="1" applyAlignment="1" applyProtection="1">
      <alignment horizontal="center"/>
      <protection locked="0"/>
    </xf>
    <xf numFmtId="0" fontId="23" fillId="7" borderId="2" xfId="0" applyFont="1" applyFill="1" applyBorder="1" applyProtection="1">
      <protection locked="0"/>
    </xf>
    <xf numFmtId="0" fontId="6" fillId="7" borderId="0" xfId="0" applyFont="1" applyFill="1" applyAlignment="1" applyProtection="1">
      <alignment vertical="center"/>
      <protection locked="0"/>
    </xf>
    <xf numFmtId="0" fontId="13" fillId="7" borderId="0" xfId="0" applyFont="1" applyFill="1" applyAlignment="1" applyProtection="1">
      <alignment horizontal="center" vertical="center"/>
      <protection locked="0"/>
    </xf>
    <xf numFmtId="168" fontId="7" fillId="0" borderId="12" xfId="0" applyNumberFormat="1" applyFont="1" applyBorder="1" applyAlignment="1" applyProtection="1">
      <alignment vertical="center"/>
      <protection locked="0"/>
    </xf>
    <xf numFmtId="0" fontId="7" fillId="0" borderId="42" xfId="0" applyFont="1" applyBorder="1" applyAlignment="1" applyProtection="1">
      <alignment horizontal="center" vertical="center"/>
      <protection locked="0"/>
    </xf>
    <xf numFmtId="0" fontId="7" fillId="0" borderId="43" xfId="0" applyFont="1" applyBorder="1" applyAlignment="1" applyProtection="1">
      <alignment horizontal="center" vertical="center"/>
      <protection locked="0"/>
    </xf>
    <xf numFmtId="168" fontId="7" fillId="0" borderId="43" xfId="0" applyNumberFormat="1" applyFont="1" applyBorder="1" applyAlignment="1" applyProtection="1">
      <alignment horizontal="center" vertical="center" wrapText="1"/>
      <protection locked="0"/>
    </xf>
    <xf numFmtId="168" fontId="7" fillId="0" borderId="44" xfId="0" applyNumberFormat="1" applyFont="1" applyBorder="1" applyAlignment="1" applyProtection="1">
      <alignment horizontal="center" vertical="center" wrapText="1"/>
      <protection locked="0"/>
    </xf>
    <xf numFmtId="168" fontId="7" fillId="7" borderId="0" xfId="0" applyNumberFormat="1" applyFont="1" applyFill="1" applyAlignment="1" applyProtection="1">
      <alignment horizontal="center" vertical="center" wrapText="1"/>
      <protection locked="0"/>
    </xf>
    <xf numFmtId="0" fontId="7" fillId="7" borderId="12" xfId="0" applyFont="1" applyFill="1" applyBorder="1" applyAlignment="1" applyProtection="1">
      <alignment horizontal="center" vertical="center"/>
      <protection locked="0"/>
    </xf>
    <xf numFmtId="0" fontId="6" fillId="2" borderId="28" xfId="0" applyFont="1" applyFill="1" applyBorder="1" applyAlignment="1" applyProtection="1">
      <alignment horizontal="center"/>
      <protection locked="0"/>
    </xf>
    <xf numFmtId="0" fontId="6" fillId="2" borderId="29" xfId="0" applyFont="1" applyFill="1" applyBorder="1" applyProtection="1">
      <protection locked="0"/>
    </xf>
    <xf numFmtId="0" fontId="6" fillId="2" borderId="29" xfId="0" applyFont="1" applyFill="1" applyBorder="1" applyAlignment="1" applyProtection="1">
      <alignment horizontal="center" vertical="center"/>
      <protection locked="0"/>
    </xf>
    <xf numFmtId="0" fontId="6" fillId="2" borderId="29" xfId="0" applyFont="1" applyFill="1" applyBorder="1" applyAlignment="1" applyProtection="1">
      <alignment horizontal="center"/>
      <protection locked="0"/>
    </xf>
    <xf numFmtId="168" fontId="6" fillId="2" borderId="29" xfId="0" applyNumberFormat="1" applyFont="1" applyFill="1" applyBorder="1" applyAlignment="1" applyProtection="1">
      <alignment wrapText="1"/>
      <protection locked="0"/>
    </xf>
    <xf numFmtId="168" fontId="6" fillId="2" borderId="30" xfId="0" applyNumberFormat="1" applyFont="1" applyFill="1" applyBorder="1" applyAlignment="1" applyProtection="1">
      <alignment wrapText="1"/>
      <protection locked="0"/>
    </xf>
    <xf numFmtId="168" fontId="6" fillId="2" borderId="5" xfId="0" applyNumberFormat="1" applyFont="1" applyFill="1" applyBorder="1" applyAlignment="1" applyProtection="1">
      <alignment wrapText="1"/>
      <protection locked="0"/>
    </xf>
    <xf numFmtId="0" fontId="6" fillId="2" borderId="13" xfId="0" applyFont="1" applyFill="1" applyBorder="1" applyAlignment="1" applyProtection="1">
      <alignment vertical="center"/>
      <protection locked="0"/>
    </xf>
    <xf numFmtId="0" fontId="6" fillId="2" borderId="5" xfId="0" applyFont="1" applyFill="1" applyBorder="1" applyProtection="1">
      <protection locked="0"/>
    </xf>
    <xf numFmtId="168" fontId="13" fillId="2" borderId="29" xfId="0" applyNumberFormat="1" applyFont="1" applyFill="1" applyBorder="1" applyAlignment="1" applyProtection="1">
      <alignment horizontal="center" vertical="center" wrapText="1"/>
      <protection locked="0"/>
    </xf>
    <xf numFmtId="0" fontId="21" fillId="10" borderId="37" xfId="0" applyFont="1" applyFill="1" applyBorder="1" applyAlignment="1" applyProtection="1">
      <alignment horizontal="center"/>
      <protection locked="0"/>
    </xf>
    <xf numFmtId="0" fontId="6" fillId="10" borderId="38" xfId="0" applyFont="1" applyFill="1" applyBorder="1" applyProtection="1">
      <protection locked="0"/>
    </xf>
    <xf numFmtId="0" fontId="6" fillId="10" borderId="38" xfId="0" applyFont="1" applyFill="1" applyBorder="1" applyAlignment="1" applyProtection="1">
      <alignment horizontal="center" vertical="center"/>
      <protection locked="0"/>
    </xf>
    <xf numFmtId="168" fontId="5" fillId="10" borderId="2" xfId="0" applyNumberFormat="1" applyFont="1" applyFill="1" applyBorder="1" applyAlignment="1" applyProtection="1">
      <alignment horizontal="center"/>
      <protection locked="0"/>
    </xf>
    <xf numFmtId="14" fontId="5" fillId="10" borderId="39" xfId="0" applyNumberFormat="1" applyFont="1" applyFill="1" applyBorder="1" applyAlignment="1" applyProtection="1">
      <alignment horizontal="center"/>
      <protection locked="0"/>
    </xf>
    <xf numFmtId="168" fontId="5" fillId="10" borderId="5" xfId="0" applyNumberFormat="1" applyFont="1" applyFill="1" applyBorder="1" applyProtection="1">
      <protection locked="0"/>
    </xf>
    <xf numFmtId="0" fontId="21" fillId="10" borderId="31" xfId="0" applyFont="1" applyFill="1" applyBorder="1" applyAlignment="1" applyProtection="1">
      <alignment horizontal="center"/>
      <protection locked="0"/>
    </xf>
    <xf numFmtId="0" fontId="5" fillId="10" borderId="2" xfId="0" applyFont="1" applyFill="1" applyBorder="1" applyProtection="1">
      <protection locked="0"/>
    </xf>
    <xf numFmtId="14" fontId="5" fillId="10" borderId="32" xfId="0" applyNumberFormat="1" applyFont="1" applyFill="1" applyBorder="1" applyAlignment="1" applyProtection="1">
      <alignment horizontal="center"/>
      <protection locked="0"/>
    </xf>
    <xf numFmtId="168" fontId="5" fillId="10" borderId="0" xfId="0" applyNumberFormat="1" applyFont="1" applyFill="1" applyProtection="1">
      <protection locked="0"/>
    </xf>
    <xf numFmtId="0" fontId="6" fillId="10" borderId="0" xfId="0" applyFont="1" applyFill="1" applyProtection="1">
      <protection locked="0"/>
    </xf>
    <xf numFmtId="0" fontId="6" fillId="10" borderId="2" xfId="0" applyFont="1" applyFill="1" applyBorder="1" applyProtection="1">
      <protection locked="0"/>
    </xf>
    <xf numFmtId="0" fontId="21" fillId="10" borderId="34" xfId="0" applyFont="1" applyFill="1" applyBorder="1" applyAlignment="1" applyProtection="1">
      <alignment horizontal="center"/>
      <protection locked="0"/>
    </xf>
    <xf numFmtId="168" fontId="5" fillId="10" borderId="35" xfId="0" applyNumberFormat="1" applyFont="1" applyFill="1" applyBorder="1" applyAlignment="1" applyProtection="1">
      <alignment horizontal="center"/>
      <protection locked="0"/>
    </xf>
    <xf numFmtId="14" fontId="5" fillId="10" borderId="36" xfId="0" applyNumberFormat="1" applyFont="1" applyFill="1" applyBorder="1" applyAlignment="1" applyProtection="1">
      <alignment horizontal="center"/>
      <protection locked="0"/>
    </xf>
    <xf numFmtId="168" fontId="5" fillId="10" borderId="8" xfId="0" applyNumberFormat="1" applyFont="1" applyFill="1" applyBorder="1" applyProtection="1">
      <protection locked="0"/>
    </xf>
    <xf numFmtId="0" fontId="6" fillId="10" borderId="8" xfId="0" applyFont="1" applyFill="1" applyBorder="1" applyProtection="1">
      <protection locked="0"/>
    </xf>
    <xf numFmtId="0" fontId="21" fillId="0" borderId="47" xfId="0" applyFont="1" applyBorder="1" applyProtection="1">
      <protection locked="0"/>
    </xf>
    <xf numFmtId="0" fontId="6" fillId="0" borderId="3" xfId="0" applyFont="1" applyBorder="1" applyProtection="1">
      <protection locked="0"/>
    </xf>
    <xf numFmtId="168" fontId="6" fillId="0" borderId="3" xfId="0" applyNumberFormat="1" applyFont="1" applyBorder="1" applyProtection="1">
      <protection locked="0"/>
    </xf>
    <xf numFmtId="168" fontId="6" fillId="0" borderId="3" xfId="0" applyNumberFormat="1" applyFont="1" applyBorder="1" applyAlignment="1" applyProtection="1">
      <alignment horizontal="center" vertical="center"/>
      <protection locked="0"/>
    </xf>
    <xf numFmtId="0" fontId="6" fillId="0" borderId="3" xfId="0" applyFont="1" applyBorder="1" applyAlignment="1" applyProtection="1">
      <alignment horizontal="center"/>
      <protection locked="0"/>
    </xf>
    <xf numFmtId="14" fontId="5" fillId="0" borderId="48" xfId="0" applyNumberFormat="1" applyFont="1" applyBorder="1" applyAlignment="1" applyProtection="1">
      <alignment horizontal="center"/>
      <protection locked="0"/>
    </xf>
    <xf numFmtId="0" fontId="6" fillId="0" borderId="18" xfId="0" applyFont="1" applyBorder="1" applyAlignment="1" applyProtection="1">
      <alignment vertical="center"/>
      <protection locked="0"/>
    </xf>
    <xf numFmtId="0" fontId="21" fillId="11" borderId="37" xfId="0" applyFont="1" applyFill="1" applyBorder="1" applyAlignment="1" applyProtection="1">
      <alignment horizontal="center"/>
      <protection locked="0"/>
    </xf>
    <xf numFmtId="0" fontId="6" fillId="11" borderId="38" xfId="0" applyFont="1" applyFill="1" applyBorder="1" applyProtection="1">
      <protection locked="0"/>
    </xf>
    <xf numFmtId="0" fontId="6" fillId="11" borderId="38" xfId="0" applyFont="1" applyFill="1" applyBorder="1" applyAlignment="1" applyProtection="1">
      <alignment horizontal="center" vertical="center"/>
      <protection locked="0"/>
    </xf>
    <xf numFmtId="168" fontId="5" fillId="11" borderId="38" xfId="0" applyNumberFormat="1" applyFont="1" applyFill="1" applyBorder="1" applyAlignment="1" applyProtection="1">
      <alignment horizontal="center"/>
      <protection locked="0"/>
    </xf>
    <xf numFmtId="14" fontId="5" fillId="11" borderId="39" xfId="0" applyNumberFormat="1" applyFont="1" applyFill="1" applyBorder="1" applyAlignment="1" applyProtection="1">
      <alignment horizontal="center"/>
      <protection locked="0"/>
    </xf>
    <xf numFmtId="168" fontId="5" fillId="11" borderId="5" xfId="0" applyNumberFormat="1" applyFont="1" applyFill="1" applyBorder="1" applyProtection="1">
      <protection locked="0"/>
    </xf>
    <xf numFmtId="0" fontId="6" fillId="11" borderId="5" xfId="0" applyFont="1" applyFill="1" applyBorder="1" applyProtection="1">
      <protection locked="0"/>
    </xf>
    <xf numFmtId="0" fontId="21" fillId="11" borderId="33" xfId="0" applyFont="1" applyFill="1" applyBorder="1" applyAlignment="1" applyProtection="1">
      <alignment horizontal="center"/>
      <protection locked="0"/>
    </xf>
    <xf numFmtId="0" fontId="6" fillId="11" borderId="27" xfId="0" applyFont="1" applyFill="1" applyBorder="1" applyProtection="1">
      <protection locked="0"/>
    </xf>
    <xf numFmtId="168" fontId="5" fillId="11" borderId="27" xfId="0" applyNumberFormat="1" applyFont="1" applyFill="1" applyBorder="1" applyAlignment="1" applyProtection="1">
      <alignment horizontal="center"/>
      <protection locked="0"/>
    </xf>
    <xf numFmtId="14" fontId="5" fillId="11" borderId="32" xfId="0" applyNumberFormat="1" applyFont="1" applyFill="1" applyBorder="1" applyAlignment="1" applyProtection="1">
      <alignment horizontal="center"/>
      <protection locked="0"/>
    </xf>
    <xf numFmtId="168" fontId="5" fillId="11" borderId="0" xfId="0" applyNumberFormat="1" applyFont="1" applyFill="1" applyProtection="1">
      <protection locked="0"/>
    </xf>
    <xf numFmtId="0" fontId="6" fillId="11" borderId="0" xfId="0" applyFont="1" applyFill="1" applyProtection="1">
      <protection locked="0"/>
    </xf>
    <xf numFmtId="14" fontId="5" fillId="11" borderId="36" xfId="0" applyNumberFormat="1" applyFont="1" applyFill="1" applyBorder="1" applyAlignment="1" applyProtection="1">
      <alignment horizontal="center"/>
      <protection locked="0"/>
    </xf>
    <xf numFmtId="168" fontId="5" fillId="11" borderId="8" xfId="0" applyNumberFormat="1" applyFont="1" applyFill="1" applyBorder="1" applyProtection="1">
      <protection locked="0"/>
    </xf>
    <xf numFmtId="0" fontId="6" fillId="11" borderId="8" xfId="0" applyFont="1" applyFill="1" applyBorder="1" applyProtection="1">
      <protection locked="0"/>
    </xf>
    <xf numFmtId="0" fontId="21" fillId="0" borderId="47" xfId="0" applyFont="1" applyBorder="1" applyAlignment="1" applyProtection="1">
      <alignment horizontal="center"/>
      <protection locked="0"/>
    </xf>
    <xf numFmtId="0" fontId="6" fillId="0" borderId="3" xfId="0" applyFont="1" applyBorder="1" applyAlignment="1" applyProtection="1">
      <alignment horizontal="center" vertical="center"/>
      <protection locked="0"/>
    </xf>
    <xf numFmtId="167" fontId="6" fillId="0" borderId="3" xfId="0" applyNumberFormat="1" applyFont="1" applyBorder="1" applyAlignment="1" applyProtection="1">
      <alignment horizontal="center"/>
      <protection locked="0"/>
    </xf>
    <xf numFmtId="168" fontId="5" fillId="0" borderId="3" xfId="0" applyNumberFormat="1" applyFont="1" applyBorder="1" applyAlignment="1" applyProtection="1">
      <alignment horizontal="center"/>
      <protection locked="0"/>
    </xf>
    <xf numFmtId="168" fontId="5" fillId="0" borderId="0" xfId="0" applyNumberFormat="1" applyFont="1" applyProtection="1">
      <protection locked="0"/>
    </xf>
    <xf numFmtId="0" fontId="21" fillId="13" borderId="37" xfId="0" applyFont="1" applyFill="1" applyBorder="1" applyAlignment="1" applyProtection="1">
      <alignment horizontal="center"/>
      <protection locked="0"/>
    </xf>
    <xf numFmtId="0" fontId="6" fillId="13" borderId="38" xfId="0" applyFont="1" applyFill="1" applyBorder="1" applyAlignment="1" applyProtection="1">
      <alignment horizontal="left" vertical="center"/>
      <protection locked="0"/>
    </xf>
    <xf numFmtId="9" fontId="6" fillId="13" borderId="38" xfId="0" applyNumberFormat="1" applyFont="1" applyFill="1" applyBorder="1" applyProtection="1">
      <protection locked="0"/>
    </xf>
    <xf numFmtId="9" fontId="6" fillId="13" borderId="38" xfId="0" applyNumberFormat="1" applyFont="1" applyFill="1" applyBorder="1" applyAlignment="1" applyProtection="1">
      <alignment horizontal="center" vertical="center"/>
      <protection locked="0"/>
    </xf>
    <xf numFmtId="168" fontId="5" fillId="13" borderId="38" xfId="0" applyNumberFormat="1" applyFont="1" applyFill="1" applyBorder="1" applyAlignment="1" applyProtection="1">
      <alignment horizontal="center"/>
      <protection locked="0"/>
    </xf>
    <xf numFmtId="14" fontId="5" fillId="13" borderId="39" xfId="0" applyNumberFormat="1" applyFont="1" applyFill="1" applyBorder="1" applyAlignment="1" applyProtection="1">
      <alignment horizontal="center"/>
      <protection locked="0"/>
    </xf>
    <xf numFmtId="168" fontId="5" fillId="13" borderId="5" xfId="0" applyNumberFormat="1" applyFont="1" applyFill="1" applyBorder="1" applyProtection="1">
      <protection locked="0"/>
    </xf>
    <xf numFmtId="0" fontId="6" fillId="13" borderId="5" xfId="0" applyFont="1" applyFill="1" applyBorder="1" applyProtection="1">
      <protection locked="0"/>
    </xf>
    <xf numFmtId="0" fontId="21" fillId="13" borderId="31" xfId="0" applyFont="1" applyFill="1" applyBorder="1" applyAlignment="1" applyProtection="1">
      <alignment horizontal="center"/>
      <protection locked="0"/>
    </xf>
    <xf numFmtId="0" fontId="6" fillId="13" borderId="2" xfId="0" applyFont="1" applyFill="1" applyBorder="1" applyAlignment="1" applyProtection="1">
      <alignment horizontal="left" vertical="center"/>
      <protection locked="0"/>
    </xf>
    <xf numFmtId="9" fontId="6" fillId="13" borderId="2" xfId="0" applyNumberFormat="1" applyFont="1" applyFill="1" applyBorder="1" applyProtection="1">
      <protection locked="0"/>
    </xf>
    <xf numFmtId="9" fontId="6" fillId="13" borderId="2" xfId="0" applyNumberFormat="1" applyFont="1" applyFill="1" applyBorder="1" applyAlignment="1" applyProtection="1">
      <alignment horizontal="center" vertical="center"/>
      <protection locked="0"/>
    </xf>
    <xf numFmtId="9" fontId="6" fillId="13" borderId="2" xfId="0" applyNumberFormat="1" applyFont="1" applyFill="1" applyBorder="1" applyAlignment="1" applyProtection="1">
      <alignment horizontal="center"/>
      <protection locked="0"/>
    </xf>
    <xf numFmtId="168" fontId="5" fillId="13" borderId="2" xfId="0" applyNumberFormat="1" applyFont="1" applyFill="1" applyBorder="1" applyAlignment="1" applyProtection="1">
      <alignment horizontal="center"/>
      <protection locked="0"/>
    </xf>
    <xf numFmtId="14" fontId="5" fillId="13" borderId="32" xfId="0" applyNumberFormat="1" applyFont="1" applyFill="1" applyBorder="1" applyAlignment="1" applyProtection="1">
      <alignment horizontal="center"/>
      <protection locked="0"/>
    </xf>
    <xf numFmtId="168" fontId="5" fillId="13" borderId="0" xfId="0" applyNumberFormat="1" applyFont="1" applyFill="1" applyProtection="1">
      <protection locked="0"/>
    </xf>
    <xf numFmtId="0" fontId="6" fillId="13" borderId="0" xfId="0" applyFont="1" applyFill="1" applyProtection="1">
      <protection locked="0"/>
    </xf>
    <xf numFmtId="0" fontId="21" fillId="13" borderId="34" xfId="0" applyFont="1" applyFill="1" applyBorder="1" applyAlignment="1" applyProtection="1">
      <alignment horizontal="center"/>
      <protection locked="0"/>
    </xf>
    <xf numFmtId="0" fontId="6" fillId="13" borderId="35" xfId="0" applyFont="1" applyFill="1" applyBorder="1" applyAlignment="1" applyProtection="1">
      <alignment horizontal="left" vertical="center"/>
      <protection locked="0"/>
    </xf>
    <xf numFmtId="9" fontId="6" fillId="13" borderId="35" xfId="0" applyNumberFormat="1" applyFont="1" applyFill="1" applyBorder="1" applyProtection="1">
      <protection locked="0"/>
    </xf>
    <xf numFmtId="9" fontId="6" fillId="13" borderId="35" xfId="0" applyNumberFormat="1" applyFont="1" applyFill="1" applyBorder="1" applyAlignment="1" applyProtection="1">
      <alignment horizontal="center" vertical="center"/>
      <protection locked="0"/>
    </xf>
    <xf numFmtId="9" fontId="6" fillId="13" borderId="35" xfId="0" applyNumberFormat="1" applyFont="1" applyFill="1" applyBorder="1" applyAlignment="1" applyProtection="1">
      <alignment horizontal="center"/>
      <protection locked="0"/>
    </xf>
    <xf numFmtId="168" fontId="5" fillId="13" borderId="35" xfId="0" applyNumberFormat="1" applyFont="1" applyFill="1" applyBorder="1" applyAlignment="1" applyProtection="1">
      <alignment horizontal="center"/>
      <protection locked="0"/>
    </xf>
    <xf numFmtId="14" fontId="5" fillId="13" borderId="36" xfId="0" applyNumberFormat="1" applyFont="1" applyFill="1" applyBorder="1" applyAlignment="1" applyProtection="1">
      <alignment horizontal="center"/>
      <protection locked="0"/>
    </xf>
    <xf numFmtId="168" fontId="5" fillId="13" borderId="8" xfId="0" applyNumberFormat="1" applyFont="1" applyFill="1" applyBorder="1" applyProtection="1">
      <protection locked="0"/>
    </xf>
    <xf numFmtId="0" fontId="6" fillId="13" borderId="8" xfId="0" applyFont="1" applyFill="1" applyBorder="1" applyProtection="1">
      <protection locked="0"/>
    </xf>
    <xf numFmtId="0" fontId="6" fillId="0" borderId="3" xfId="0" applyFont="1" applyBorder="1" applyAlignment="1" applyProtection="1">
      <alignment horizontal="left" vertical="center"/>
      <protection locked="0"/>
    </xf>
    <xf numFmtId="9" fontId="6" fillId="0" borderId="3" xfId="0" applyNumberFormat="1" applyFont="1" applyBorder="1" applyProtection="1">
      <protection locked="0"/>
    </xf>
    <xf numFmtId="9" fontId="6" fillId="0" borderId="3" xfId="0" applyNumberFormat="1" applyFont="1" applyBorder="1" applyAlignment="1" applyProtection="1">
      <alignment horizontal="center" vertical="center"/>
      <protection locked="0"/>
    </xf>
    <xf numFmtId="9" fontId="6" fillId="0" borderId="3" xfId="0" applyNumberFormat="1" applyFont="1" applyBorder="1" applyAlignment="1" applyProtection="1">
      <alignment horizontal="center"/>
      <protection locked="0"/>
    </xf>
    <xf numFmtId="0" fontId="6" fillId="11" borderId="38" xfId="0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left" vertical="center"/>
      <protection locked="0"/>
    </xf>
    <xf numFmtId="14" fontId="5" fillId="11" borderId="46" xfId="0" applyNumberFormat="1" applyFont="1" applyFill="1" applyBorder="1" applyAlignment="1" applyProtection="1">
      <alignment horizontal="center"/>
      <protection locked="0"/>
    </xf>
    <xf numFmtId="0" fontId="21" fillId="11" borderId="31" xfId="0" applyFont="1" applyFill="1" applyBorder="1" applyAlignment="1" applyProtection="1">
      <alignment horizontal="center"/>
      <protection locked="0"/>
    </xf>
    <xf numFmtId="0" fontId="6" fillId="11" borderId="2" xfId="0" applyFont="1" applyFill="1" applyBorder="1" applyAlignment="1" applyProtection="1">
      <alignment horizontal="left" vertical="center"/>
      <protection locked="0"/>
    </xf>
    <xf numFmtId="0" fontId="6" fillId="11" borderId="2" xfId="0" applyFont="1" applyFill="1" applyBorder="1" applyProtection="1">
      <protection locked="0"/>
    </xf>
    <xf numFmtId="0" fontId="6" fillId="11" borderId="2" xfId="0" applyFont="1" applyFill="1" applyBorder="1" applyAlignment="1" applyProtection="1">
      <alignment horizontal="center" vertical="center"/>
      <protection locked="0"/>
    </xf>
    <xf numFmtId="168" fontId="5" fillId="11" borderId="2" xfId="0" applyNumberFormat="1" applyFont="1" applyFill="1" applyBorder="1" applyAlignment="1" applyProtection="1">
      <alignment horizontal="center"/>
      <protection locked="0"/>
    </xf>
    <xf numFmtId="9" fontId="6" fillId="11" borderId="2" xfId="0" applyNumberFormat="1" applyFont="1" applyFill="1" applyBorder="1" applyAlignment="1" applyProtection="1">
      <alignment horizontal="center" vertical="center"/>
      <protection locked="0"/>
    </xf>
    <xf numFmtId="0" fontId="21" fillId="11" borderId="34" xfId="0" applyFont="1" applyFill="1" applyBorder="1" applyAlignment="1" applyProtection="1">
      <alignment horizontal="center"/>
      <protection locked="0"/>
    </xf>
    <xf numFmtId="0" fontId="6" fillId="11" borderId="35" xfId="0" applyFont="1" applyFill="1" applyBorder="1" applyProtection="1">
      <protection locked="0"/>
    </xf>
    <xf numFmtId="0" fontId="6" fillId="11" borderId="35" xfId="0" applyFont="1" applyFill="1" applyBorder="1" applyAlignment="1" applyProtection="1">
      <alignment horizontal="center" vertical="center"/>
      <protection locked="0"/>
    </xf>
    <xf numFmtId="9" fontId="6" fillId="11" borderId="35" xfId="0" applyNumberFormat="1" applyFont="1" applyFill="1" applyBorder="1" applyAlignment="1" applyProtection="1">
      <alignment horizontal="center" vertical="center"/>
      <protection locked="0"/>
    </xf>
    <xf numFmtId="0" fontId="6" fillId="13" borderId="38" xfId="0" applyFont="1" applyFill="1" applyBorder="1" applyProtection="1">
      <protection locked="0"/>
    </xf>
    <xf numFmtId="0" fontId="21" fillId="13" borderId="33" xfId="0" applyFont="1" applyFill="1" applyBorder="1" applyAlignment="1" applyProtection="1">
      <alignment horizontal="center"/>
      <protection locked="0"/>
    </xf>
    <xf numFmtId="0" fontId="6" fillId="13" borderId="27" xfId="0" applyFont="1" applyFill="1" applyBorder="1" applyAlignment="1" applyProtection="1">
      <alignment horizontal="left" vertical="center"/>
      <protection locked="0"/>
    </xf>
    <xf numFmtId="0" fontId="6" fillId="13" borderId="27" xfId="0" applyFont="1" applyFill="1" applyBorder="1" applyProtection="1">
      <protection locked="0"/>
    </xf>
    <xf numFmtId="168" fontId="5" fillId="13" borderId="27" xfId="0" applyNumberFormat="1" applyFont="1" applyFill="1" applyBorder="1" applyAlignment="1" applyProtection="1">
      <alignment horizontal="center"/>
      <protection locked="0"/>
    </xf>
    <xf numFmtId="14" fontId="5" fillId="13" borderId="46" xfId="0" applyNumberFormat="1" applyFont="1" applyFill="1" applyBorder="1" applyAlignment="1" applyProtection="1">
      <alignment horizontal="center"/>
      <protection locked="0"/>
    </xf>
    <xf numFmtId="0" fontId="6" fillId="13" borderId="2" xfId="0" applyFont="1" applyFill="1" applyBorder="1" applyProtection="1">
      <protection locked="0"/>
    </xf>
    <xf numFmtId="0" fontId="21" fillId="13" borderId="40" xfId="0" applyFont="1" applyFill="1" applyBorder="1" applyAlignment="1" applyProtection="1">
      <alignment horizontal="center"/>
      <protection locked="0"/>
    </xf>
    <xf numFmtId="0" fontId="6" fillId="13" borderId="1" xfId="0" applyFont="1" applyFill="1" applyBorder="1" applyAlignment="1" applyProtection="1">
      <alignment horizontal="left" vertical="center"/>
      <protection locked="0"/>
    </xf>
    <xf numFmtId="168" fontId="5" fillId="13" borderId="1" xfId="0" applyNumberFormat="1" applyFont="1" applyFill="1" applyBorder="1" applyAlignment="1" applyProtection="1">
      <alignment horizontal="center"/>
      <protection locked="0"/>
    </xf>
    <xf numFmtId="14" fontId="5" fillId="13" borderId="41" xfId="0" applyNumberFormat="1" applyFont="1" applyFill="1" applyBorder="1" applyAlignment="1" applyProtection="1">
      <alignment horizontal="center"/>
      <protection locked="0"/>
    </xf>
    <xf numFmtId="0" fontId="6" fillId="13" borderId="35" xfId="0" applyFont="1" applyFill="1" applyBorder="1" applyProtection="1">
      <protection locked="0"/>
    </xf>
    <xf numFmtId="168" fontId="7" fillId="0" borderId="18" xfId="0" applyNumberFormat="1" applyFont="1" applyBorder="1" applyAlignment="1" applyProtection="1">
      <alignment vertical="center"/>
      <protection locked="0"/>
    </xf>
    <xf numFmtId="9" fontId="6" fillId="11" borderId="38" xfId="0" applyNumberFormat="1" applyFont="1" applyFill="1" applyBorder="1" applyProtection="1">
      <protection locked="0"/>
    </xf>
    <xf numFmtId="9" fontId="6" fillId="11" borderId="38" xfId="0" applyNumberFormat="1" applyFont="1" applyFill="1" applyBorder="1" applyAlignment="1" applyProtection="1">
      <alignment horizontal="center" vertical="center"/>
      <protection locked="0"/>
    </xf>
    <xf numFmtId="9" fontId="6" fillId="11" borderId="38" xfId="0" applyNumberFormat="1" applyFont="1" applyFill="1" applyBorder="1" applyAlignment="1" applyProtection="1">
      <alignment horizontal="center"/>
      <protection locked="0"/>
    </xf>
    <xf numFmtId="9" fontId="6" fillId="11" borderId="2" xfId="0" applyNumberFormat="1" applyFont="1" applyFill="1" applyBorder="1" applyProtection="1">
      <protection locked="0"/>
    </xf>
    <xf numFmtId="9" fontId="6" fillId="11" borderId="2" xfId="0" applyNumberFormat="1" applyFont="1" applyFill="1" applyBorder="1" applyAlignment="1" applyProtection="1">
      <alignment horizontal="center"/>
      <protection locked="0"/>
    </xf>
    <xf numFmtId="9" fontId="6" fillId="11" borderId="35" xfId="0" applyNumberFormat="1" applyFont="1" applyFill="1" applyBorder="1" applyProtection="1">
      <protection locked="0"/>
    </xf>
    <xf numFmtId="9" fontId="6" fillId="11" borderId="35" xfId="0" applyNumberFormat="1" applyFont="1" applyFill="1" applyBorder="1" applyAlignment="1" applyProtection="1">
      <alignment horizontal="center"/>
      <protection locked="0"/>
    </xf>
    <xf numFmtId="168" fontId="5" fillId="11" borderId="35" xfId="0" applyNumberFormat="1" applyFont="1" applyFill="1" applyBorder="1" applyAlignment="1" applyProtection="1">
      <alignment horizontal="center"/>
      <protection locked="0"/>
    </xf>
    <xf numFmtId="0" fontId="36" fillId="0" borderId="3" xfId="0" applyFont="1" applyBorder="1" applyAlignment="1" applyProtection="1">
      <alignment horizontal="left" vertical="center"/>
      <protection locked="0"/>
    </xf>
    <xf numFmtId="0" fontId="21" fillId="13" borderId="28" xfId="0" applyFont="1" applyFill="1" applyBorder="1" applyAlignment="1" applyProtection="1">
      <alignment horizontal="center"/>
      <protection locked="0"/>
    </xf>
    <xf numFmtId="9" fontId="6" fillId="13" borderId="29" xfId="0" applyNumberFormat="1" applyFont="1" applyFill="1" applyBorder="1" applyProtection="1">
      <protection locked="0"/>
    </xf>
    <xf numFmtId="9" fontId="6" fillId="13" borderId="29" xfId="0" applyNumberFormat="1" applyFont="1" applyFill="1" applyBorder="1" applyAlignment="1" applyProtection="1">
      <alignment horizontal="center" vertical="center"/>
      <protection locked="0"/>
    </xf>
    <xf numFmtId="9" fontId="6" fillId="13" borderId="29" xfId="0" applyNumberFormat="1" applyFont="1" applyFill="1" applyBorder="1" applyAlignment="1" applyProtection="1">
      <alignment horizontal="center"/>
      <protection locked="0"/>
    </xf>
    <xf numFmtId="168" fontId="5" fillId="13" borderId="29" xfId="0" applyNumberFormat="1" applyFont="1" applyFill="1" applyBorder="1" applyAlignment="1" applyProtection="1">
      <alignment horizontal="center"/>
      <protection locked="0"/>
    </xf>
    <xf numFmtId="14" fontId="5" fillId="13" borderId="30" xfId="0" applyNumberFormat="1" applyFont="1" applyFill="1" applyBorder="1" applyAlignment="1" applyProtection="1">
      <alignment horizontal="center"/>
      <protection locked="0"/>
    </xf>
    <xf numFmtId="9" fontId="6" fillId="13" borderId="1" xfId="0" applyNumberFormat="1" applyFont="1" applyFill="1" applyBorder="1" applyProtection="1">
      <protection locked="0"/>
    </xf>
    <xf numFmtId="9" fontId="6" fillId="13" borderId="1" xfId="0" applyNumberFormat="1" applyFont="1" applyFill="1" applyBorder="1" applyAlignment="1" applyProtection="1">
      <alignment horizontal="center" vertical="center"/>
      <protection locked="0"/>
    </xf>
    <xf numFmtId="9" fontId="6" fillId="13" borderId="1" xfId="0" applyNumberFormat="1" applyFont="1" applyFill="1" applyBorder="1" applyAlignment="1" applyProtection="1">
      <alignment horizontal="center"/>
      <protection locked="0"/>
    </xf>
    <xf numFmtId="0" fontId="46" fillId="0" borderId="11" xfId="0" applyFont="1" applyBorder="1" applyAlignment="1" applyProtection="1">
      <alignment horizontal="left"/>
      <protection locked="0"/>
    </xf>
    <xf numFmtId="0" fontId="46" fillId="0" borderId="17" xfId="0" applyFont="1" applyBorder="1" applyAlignment="1" applyProtection="1">
      <alignment horizontal="left"/>
      <protection locked="0"/>
    </xf>
    <xf numFmtId="168" fontId="38" fillId="11" borderId="2" xfId="0" applyNumberFormat="1" applyFont="1" applyFill="1" applyBorder="1" applyAlignment="1" applyProtection="1">
      <alignment horizontal="left" vertical="center"/>
      <protection locked="0"/>
    </xf>
    <xf numFmtId="0" fontId="6" fillId="11" borderId="35" xfId="0" applyFont="1" applyFill="1" applyBorder="1" applyAlignment="1" applyProtection="1">
      <alignment horizontal="left" vertical="center"/>
      <protection locked="0"/>
    </xf>
    <xf numFmtId="0" fontId="6" fillId="10" borderId="38" xfId="0" applyFont="1" applyFill="1" applyBorder="1" applyAlignment="1" applyProtection="1">
      <alignment horizontal="center"/>
      <protection locked="0"/>
    </xf>
    <xf numFmtId="168" fontId="5" fillId="10" borderId="38" xfId="0" applyNumberFormat="1" applyFont="1" applyFill="1" applyBorder="1" applyAlignment="1" applyProtection="1">
      <alignment horizontal="center"/>
      <protection locked="0"/>
    </xf>
    <xf numFmtId="0" fontId="6" fillId="10" borderId="5" xfId="0" applyFont="1" applyFill="1" applyBorder="1" applyProtection="1">
      <protection locked="0"/>
    </xf>
    <xf numFmtId="0" fontId="21" fillId="10" borderId="33" xfId="0" applyFont="1" applyFill="1" applyBorder="1" applyAlignment="1" applyProtection="1">
      <alignment horizontal="center"/>
      <protection locked="0"/>
    </xf>
    <xf numFmtId="0" fontId="6" fillId="10" borderId="27" xfId="0" applyFont="1" applyFill="1" applyBorder="1" applyProtection="1">
      <protection locked="0"/>
    </xf>
    <xf numFmtId="0" fontId="6" fillId="10" borderId="27" xfId="0" applyFont="1" applyFill="1" applyBorder="1" applyAlignment="1" applyProtection="1">
      <alignment horizontal="center" vertical="center"/>
      <protection locked="0"/>
    </xf>
    <xf numFmtId="0" fontId="6" fillId="10" borderId="27" xfId="0" applyFont="1" applyFill="1" applyBorder="1" applyAlignment="1" applyProtection="1">
      <alignment horizontal="center"/>
      <protection locked="0"/>
    </xf>
    <xf numFmtId="168" fontId="5" fillId="10" borderId="27" xfId="0" applyNumberFormat="1" applyFont="1" applyFill="1" applyBorder="1" applyAlignment="1" applyProtection="1">
      <alignment horizontal="center"/>
      <protection locked="0"/>
    </xf>
    <xf numFmtId="14" fontId="5" fillId="10" borderId="46" xfId="0" applyNumberFormat="1" applyFont="1" applyFill="1" applyBorder="1" applyAlignment="1" applyProtection="1">
      <alignment horizontal="center"/>
      <protection locked="0"/>
    </xf>
    <xf numFmtId="0" fontId="6" fillId="10" borderId="2" xfId="0" applyFont="1" applyFill="1" applyBorder="1" applyAlignment="1" applyProtection="1">
      <alignment horizontal="center" vertical="center"/>
      <protection locked="0"/>
    </xf>
    <xf numFmtId="0" fontId="6" fillId="10" borderId="2" xfId="0" applyFont="1" applyFill="1" applyBorder="1" applyAlignment="1" applyProtection="1">
      <alignment horizontal="center"/>
      <protection locked="0"/>
    </xf>
    <xf numFmtId="0" fontId="6" fillId="10" borderId="35" xfId="0" applyFont="1" applyFill="1" applyBorder="1" applyProtection="1">
      <protection locked="0"/>
    </xf>
    <xf numFmtId="0" fontId="6" fillId="10" borderId="35" xfId="0" applyFont="1" applyFill="1" applyBorder="1" applyAlignment="1" applyProtection="1">
      <alignment horizontal="center" vertical="center"/>
      <protection locked="0"/>
    </xf>
    <xf numFmtId="0" fontId="6" fillId="10" borderId="35" xfId="0" applyFont="1" applyFill="1" applyBorder="1" applyAlignment="1" applyProtection="1">
      <alignment horizontal="center"/>
      <protection locked="0"/>
    </xf>
    <xf numFmtId="0" fontId="6" fillId="11" borderId="38" xfId="0" applyFont="1" applyFill="1" applyBorder="1" applyAlignment="1" applyProtection="1">
      <alignment horizontal="center"/>
      <protection locked="0"/>
    </xf>
    <xf numFmtId="0" fontId="6" fillId="11" borderId="2" xfId="0" applyFont="1" applyFill="1" applyBorder="1" applyAlignment="1" applyProtection="1">
      <alignment horizontal="center"/>
      <protection locked="0"/>
    </xf>
    <xf numFmtId="0" fontId="6" fillId="11" borderId="35" xfId="0" applyFont="1" applyFill="1" applyBorder="1" applyAlignment="1" applyProtection="1">
      <alignment horizontal="center"/>
      <protection locked="0"/>
    </xf>
    <xf numFmtId="0" fontId="21" fillId="10" borderId="42" xfId="0" applyFont="1" applyFill="1" applyBorder="1" applyAlignment="1" applyProtection="1">
      <alignment horizontal="center"/>
      <protection locked="0"/>
    </xf>
    <xf numFmtId="0" fontId="6" fillId="10" borderId="43" xfId="0" applyFont="1" applyFill="1" applyBorder="1" applyProtection="1">
      <protection locked="0"/>
    </xf>
    <xf numFmtId="0" fontId="6" fillId="10" borderId="43" xfId="0" applyFont="1" applyFill="1" applyBorder="1" applyAlignment="1" applyProtection="1">
      <alignment horizontal="center" vertical="center"/>
      <protection locked="0"/>
    </xf>
    <xf numFmtId="9" fontId="6" fillId="10" borderId="43" xfId="0" applyNumberFormat="1" applyFont="1" applyFill="1" applyBorder="1" applyAlignment="1" applyProtection="1">
      <alignment horizontal="center"/>
      <protection locked="0"/>
    </xf>
    <xf numFmtId="168" fontId="5" fillId="10" borderId="43" xfId="0" applyNumberFormat="1" applyFont="1" applyFill="1" applyBorder="1" applyAlignment="1" applyProtection="1">
      <alignment horizontal="center"/>
      <protection locked="0"/>
    </xf>
    <xf numFmtId="14" fontId="5" fillId="10" borderId="44" xfId="0" applyNumberFormat="1" applyFont="1" applyFill="1" applyBorder="1" applyAlignment="1" applyProtection="1">
      <alignment horizontal="center"/>
      <protection locked="0"/>
    </xf>
    <xf numFmtId="168" fontId="5" fillId="10" borderId="16" xfId="0" applyNumberFormat="1" applyFont="1" applyFill="1" applyBorder="1" applyProtection="1">
      <protection locked="0"/>
    </xf>
    <xf numFmtId="168" fontId="7" fillId="10" borderId="12" xfId="0" applyNumberFormat="1" applyFont="1" applyFill="1" applyBorder="1" applyAlignment="1" applyProtection="1">
      <alignment vertical="center"/>
      <protection locked="0"/>
    </xf>
    <xf numFmtId="0" fontId="6" fillId="10" borderId="16" xfId="0" applyFont="1" applyFill="1" applyBorder="1" applyProtection="1">
      <protection locked="0"/>
    </xf>
    <xf numFmtId="168" fontId="7" fillId="0" borderId="14" xfId="0" applyNumberFormat="1" applyFont="1" applyBorder="1" applyAlignment="1" applyProtection="1">
      <alignment horizontal="center" vertical="center"/>
      <protection locked="0"/>
    </xf>
    <xf numFmtId="170" fontId="7" fillId="2" borderId="0" xfId="0" applyNumberFormat="1" applyFont="1" applyFill="1" applyProtection="1">
      <protection locked="0"/>
    </xf>
    <xf numFmtId="0" fontId="6" fillId="2" borderId="18" xfId="0" applyFont="1" applyFill="1" applyBorder="1" applyAlignment="1" applyProtection="1">
      <alignment vertical="center"/>
      <protection locked="0"/>
    </xf>
    <xf numFmtId="168" fontId="13" fillId="2" borderId="0" xfId="0" applyNumberFormat="1" applyFont="1" applyFill="1" applyAlignment="1" applyProtection="1">
      <alignment horizontal="center" vertical="center"/>
      <protection locked="0"/>
    </xf>
    <xf numFmtId="168" fontId="6" fillId="7" borderId="0" xfId="0" applyNumberFormat="1" applyFont="1" applyFill="1" applyAlignment="1" applyProtection="1">
      <alignment vertical="center"/>
      <protection locked="0"/>
    </xf>
    <xf numFmtId="0" fontId="6" fillId="0" borderId="0" xfId="0" applyFont="1" applyAlignment="1" applyProtection="1">
      <alignment vertical="center"/>
      <protection locked="0"/>
    </xf>
    <xf numFmtId="0" fontId="13" fillId="0" borderId="0" xfId="0" applyFont="1" applyAlignment="1" applyProtection="1">
      <alignment horizontal="center" vertical="center"/>
      <protection locked="0"/>
    </xf>
    <xf numFmtId="168" fontId="5" fillId="2" borderId="55" xfId="0" applyNumberFormat="1" applyFont="1" applyFill="1" applyBorder="1" applyAlignment="1" applyProtection="1">
      <alignment wrapText="1"/>
      <protection locked="0"/>
    </xf>
    <xf numFmtId="0" fontId="5" fillId="7" borderId="56" xfId="0" applyFont="1" applyFill="1" applyBorder="1" applyProtection="1">
      <protection locked="0"/>
    </xf>
    <xf numFmtId="168" fontId="5" fillId="2" borderId="57" xfId="0" applyNumberFormat="1" applyFont="1" applyFill="1" applyBorder="1" applyAlignment="1" applyProtection="1">
      <alignment wrapText="1"/>
      <protection locked="0"/>
    </xf>
    <xf numFmtId="2" fontId="13" fillId="10" borderId="59" xfId="0" applyNumberFormat="1" applyFont="1" applyFill="1" applyBorder="1" applyAlignment="1" applyProtection="1">
      <alignment horizontal="center"/>
      <protection locked="0"/>
    </xf>
    <xf numFmtId="2" fontId="13" fillId="10" borderId="60" xfId="0" applyNumberFormat="1" applyFont="1" applyFill="1" applyBorder="1" applyAlignment="1" applyProtection="1">
      <alignment horizontal="center"/>
      <protection locked="0"/>
    </xf>
    <xf numFmtId="2" fontId="13" fillId="11" borderId="59" xfId="0" applyNumberFormat="1" applyFont="1" applyFill="1" applyBorder="1" applyAlignment="1" applyProtection="1">
      <alignment horizontal="center"/>
      <protection locked="0"/>
    </xf>
    <xf numFmtId="2" fontId="13" fillId="10" borderId="62" xfId="0" applyNumberFormat="1" applyFont="1" applyFill="1" applyBorder="1" applyAlignment="1" applyProtection="1">
      <alignment horizontal="center"/>
      <protection locked="0"/>
    </xf>
    <xf numFmtId="0" fontId="5" fillId="0" borderId="56" xfId="0" applyFont="1" applyBorder="1" applyProtection="1">
      <protection locked="0"/>
    </xf>
    <xf numFmtId="0" fontId="5" fillId="7" borderId="63" xfId="0" applyFont="1" applyFill="1" applyBorder="1" applyProtection="1">
      <protection locked="0"/>
    </xf>
    <xf numFmtId="168" fontId="5" fillId="2" borderId="64" xfId="0" applyNumberFormat="1" applyFont="1" applyFill="1" applyBorder="1" applyAlignment="1" applyProtection="1">
      <alignment wrapText="1"/>
      <protection locked="0"/>
    </xf>
    <xf numFmtId="14" fontId="13" fillId="13" borderId="66" xfId="0" applyNumberFormat="1" applyFont="1" applyFill="1" applyBorder="1" applyAlignment="1" applyProtection="1">
      <alignment horizontal="center"/>
      <protection locked="0"/>
    </xf>
    <xf numFmtId="14" fontId="13" fillId="10" borderId="67" xfId="0" applyNumberFormat="1" applyFont="1" applyFill="1" applyBorder="1" applyAlignment="1" applyProtection="1">
      <alignment horizontal="center"/>
      <protection locked="0"/>
    </xf>
    <xf numFmtId="14" fontId="13" fillId="0" borderId="68" xfId="0" applyNumberFormat="1" applyFont="1" applyBorder="1" applyAlignment="1" applyProtection="1">
      <alignment horizontal="center"/>
      <protection locked="0"/>
    </xf>
    <xf numFmtId="14" fontId="13" fillId="11" borderId="65" xfId="0" applyNumberFormat="1" applyFont="1" applyFill="1" applyBorder="1" applyAlignment="1" applyProtection="1">
      <alignment horizontal="center"/>
      <protection locked="0"/>
    </xf>
    <xf numFmtId="14" fontId="13" fillId="11" borderId="66" xfId="0" applyNumberFormat="1" applyFont="1" applyFill="1" applyBorder="1" applyAlignment="1" applyProtection="1">
      <alignment horizontal="center"/>
      <protection locked="0"/>
    </xf>
    <xf numFmtId="14" fontId="13" fillId="11" borderId="67" xfId="0" applyNumberFormat="1" applyFont="1" applyFill="1" applyBorder="1" applyAlignment="1" applyProtection="1">
      <alignment horizontal="center"/>
      <protection locked="0"/>
    </xf>
    <xf numFmtId="14" fontId="13" fillId="13" borderId="67" xfId="0" applyNumberFormat="1" applyFont="1" applyFill="1" applyBorder="1" applyAlignment="1" applyProtection="1">
      <alignment horizontal="center"/>
      <protection locked="0"/>
    </xf>
    <xf numFmtId="14" fontId="13" fillId="10" borderId="72" xfId="0" applyNumberFormat="1" applyFont="1" applyFill="1" applyBorder="1" applyAlignment="1" applyProtection="1">
      <alignment horizontal="center"/>
      <protection locked="0"/>
    </xf>
    <xf numFmtId="0" fontId="5" fillId="0" borderId="63" xfId="0" applyFont="1" applyBorder="1" applyProtection="1">
      <protection locked="0"/>
    </xf>
    <xf numFmtId="168" fontId="7" fillId="0" borderId="17" xfId="0" applyNumberFormat="1" applyFont="1" applyBorder="1" applyAlignment="1" applyProtection="1">
      <alignment vertical="center"/>
      <protection locked="0"/>
    </xf>
    <xf numFmtId="0" fontId="7" fillId="7" borderId="17" xfId="0" applyFont="1" applyFill="1" applyBorder="1" applyAlignment="1" applyProtection="1">
      <alignment horizontal="center" vertical="center"/>
      <protection locked="0"/>
    </xf>
    <xf numFmtId="0" fontId="6" fillId="2" borderId="6" xfId="0" applyFont="1" applyFill="1" applyBorder="1" applyAlignment="1" applyProtection="1">
      <alignment vertical="center"/>
      <protection locked="0"/>
    </xf>
    <xf numFmtId="0" fontId="6" fillId="0" borderId="73" xfId="0" applyFont="1" applyBorder="1" applyAlignment="1" applyProtection="1">
      <alignment vertical="center"/>
      <protection locked="0"/>
    </xf>
    <xf numFmtId="168" fontId="7" fillId="0" borderId="73" xfId="0" applyNumberFormat="1" applyFont="1" applyBorder="1" applyAlignment="1" applyProtection="1">
      <alignment vertical="center"/>
      <protection locked="0"/>
    </xf>
    <xf numFmtId="168" fontId="7" fillId="10" borderId="17" xfId="0" applyNumberFormat="1" applyFont="1" applyFill="1" applyBorder="1" applyAlignment="1" applyProtection="1">
      <alignment vertical="center"/>
      <protection locked="0"/>
    </xf>
    <xf numFmtId="168" fontId="7" fillId="0" borderId="9" xfId="0" applyNumberFormat="1" applyFont="1" applyBorder="1" applyAlignment="1" applyProtection="1">
      <alignment horizontal="center" vertical="center"/>
      <protection locked="0"/>
    </xf>
    <xf numFmtId="14" fontId="46" fillId="0" borderId="71" xfId="0" applyNumberFormat="1" applyFont="1" applyBorder="1" applyAlignment="1" applyProtection="1">
      <alignment horizontal="left"/>
      <protection locked="0"/>
    </xf>
    <xf numFmtId="0" fontId="5" fillId="11" borderId="38" xfId="0" applyFont="1" applyFill="1" applyBorder="1" applyProtection="1">
      <protection locked="0"/>
    </xf>
    <xf numFmtId="0" fontId="26" fillId="0" borderId="2" xfId="0" applyFont="1" applyBorder="1" applyAlignment="1" applyProtection="1">
      <alignment horizontal="center"/>
      <protection locked="0"/>
    </xf>
    <xf numFmtId="0" fontId="35" fillId="0" borderId="2" xfId="0" applyFont="1" applyBorder="1" applyProtection="1">
      <protection locked="0"/>
    </xf>
    <xf numFmtId="167" fontId="35" fillId="0" borderId="2" xfId="0" applyNumberFormat="1" applyFont="1" applyBorder="1" applyProtection="1">
      <protection locked="0"/>
    </xf>
    <xf numFmtId="0" fontId="31" fillId="7" borderId="0" xfId="0" applyFont="1" applyFill="1" applyProtection="1">
      <protection locked="0"/>
    </xf>
    <xf numFmtId="10" fontId="35" fillId="0" borderId="2" xfId="0" applyNumberFormat="1" applyFont="1" applyBorder="1" applyProtection="1">
      <protection locked="0"/>
    </xf>
    <xf numFmtId="0" fontId="27" fillId="9" borderId="2" xfId="0" applyFont="1" applyFill="1" applyBorder="1" applyAlignment="1" applyProtection="1">
      <alignment horizontal="center" wrapText="1"/>
      <protection locked="0"/>
    </xf>
    <xf numFmtId="15" fontId="26" fillId="7" borderId="0" xfId="0" applyNumberFormat="1" applyFont="1" applyFill="1" applyAlignment="1" applyProtection="1">
      <alignment horizontal="center"/>
      <protection locked="0"/>
    </xf>
    <xf numFmtId="9" fontId="27" fillId="7" borderId="0" xfId="0" applyNumberFormat="1" applyFont="1" applyFill="1" applyAlignment="1" applyProtection="1">
      <alignment horizontal="center"/>
      <protection locked="0"/>
    </xf>
    <xf numFmtId="167" fontId="27" fillId="7" borderId="0" xfId="0" applyNumberFormat="1" applyFont="1" applyFill="1" applyProtection="1">
      <protection locked="0"/>
    </xf>
    <xf numFmtId="9" fontId="27" fillId="7" borderId="25" xfId="2" applyFont="1" applyFill="1" applyBorder="1" applyAlignment="1">
      <alignment horizontal="center"/>
    </xf>
    <xf numFmtId="9" fontId="7" fillId="9" borderId="27" xfId="0" applyNumberFormat="1" applyFont="1" applyFill="1" applyBorder="1" applyAlignment="1" applyProtection="1">
      <alignment horizontal="center" vertical="center"/>
      <protection locked="0"/>
    </xf>
    <xf numFmtId="0" fontId="44" fillId="7" borderId="0" xfId="0" applyFont="1" applyFill="1" applyAlignment="1" applyProtection="1">
      <alignment horizontal="center" vertical="center"/>
      <protection locked="0"/>
    </xf>
    <xf numFmtId="0" fontId="5" fillId="11" borderId="41" xfId="0" applyFont="1" applyFill="1" applyBorder="1" applyProtection="1">
      <protection locked="0"/>
    </xf>
    <xf numFmtId="14" fontId="23" fillId="11" borderId="41" xfId="0" applyNumberFormat="1" applyFont="1" applyFill="1" applyBorder="1" applyProtection="1">
      <protection locked="0"/>
    </xf>
    <xf numFmtId="0" fontId="6" fillId="11" borderId="14" xfId="0" applyFont="1" applyFill="1" applyBorder="1" applyProtection="1">
      <protection locked="0"/>
    </xf>
    <xf numFmtId="0" fontId="6" fillId="13" borderId="38" xfId="0" applyFont="1" applyFill="1" applyBorder="1" applyAlignment="1" applyProtection="1">
      <alignment horizontal="center" vertical="center"/>
      <protection locked="0"/>
    </xf>
    <xf numFmtId="0" fontId="54" fillId="0" borderId="0" xfId="0" applyFont="1"/>
    <xf numFmtId="164" fontId="54" fillId="0" borderId="0" xfId="1" applyFont="1"/>
    <xf numFmtId="14" fontId="26" fillId="0" borderId="0" xfId="0" applyNumberFormat="1" applyFont="1" applyProtection="1">
      <protection locked="0"/>
    </xf>
    <xf numFmtId="15" fontId="31" fillId="0" borderId="2" xfId="0" quotePrefix="1" applyNumberFormat="1" applyFont="1" applyBorder="1" applyAlignment="1" applyProtection="1">
      <alignment horizontal="center"/>
      <protection locked="0"/>
    </xf>
    <xf numFmtId="167" fontId="13" fillId="7" borderId="0" xfId="0" applyNumberFormat="1" applyFont="1" applyFill="1" applyAlignment="1" applyProtection="1">
      <alignment horizontal="center" vertical="center"/>
      <protection locked="0"/>
    </xf>
    <xf numFmtId="0" fontId="5" fillId="10" borderId="2" xfId="0" applyFont="1" applyFill="1" applyBorder="1" applyAlignment="1" applyProtection="1">
      <alignment horizontal="center" vertical="center"/>
      <protection locked="0"/>
    </xf>
    <xf numFmtId="167" fontId="5" fillId="11" borderId="2" xfId="0" applyNumberFormat="1" applyFont="1" applyFill="1" applyBorder="1" applyAlignment="1" applyProtection="1">
      <alignment horizontal="left" vertical="center"/>
      <protection locked="0"/>
    </xf>
    <xf numFmtId="168" fontId="5" fillId="11" borderId="2" xfId="0" applyNumberFormat="1" applyFont="1" applyFill="1" applyBorder="1" applyAlignment="1" applyProtection="1">
      <alignment horizontal="left" vertical="center"/>
      <protection locked="0"/>
    </xf>
    <xf numFmtId="2" fontId="5" fillId="10" borderId="62" xfId="0" applyNumberFormat="1" applyFont="1" applyFill="1" applyBorder="1" applyAlignment="1" applyProtection="1">
      <alignment horizontal="center"/>
      <protection locked="0"/>
    </xf>
    <xf numFmtId="172" fontId="6" fillId="7" borderId="0" xfId="0" applyNumberFormat="1" applyFont="1" applyFill="1" applyAlignment="1" applyProtection="1">
      <alignment vertical="center"/>
      <protection locked="0"/>
    </xf>
    <xf numFmtId="168" fontId="5" fillId="2" borderId="6" xfId="0" applyNumberFormat="1" applyFont="1" applyFill="1" applyBorder="1" applyAlignment="1" applyProtection="1">
      <alignment wrapText="1"/>
      <protection locked="0"/>
    </xf>
    <xf numFmtId="2" fontId="13" fillId="0" borderId="73" xfId="0" applyNumberFormat="1" applyFont="1" applyBorder="1" applyAlignment="1" applyProtection="1">
      <alignment horizontal="center"/>
      <protection locked="0"/>
    </xf>
    <xf numFmtId="14" fontId="13" fillId="11" borderId="75" xfId="0" applyNumberFormat="1" applyFont="1" applyFill="1" applyBorder="1" applyAlignment="1" applyProtection="1">
      <alignment horizontal="center"/>
      <protection locked="0"/>
    </xf>
    <xf numFmtId="14" fontId="13" fillId="11" borderId="76" xfId="0" applyNumberFormat="1" applyFont="1" applyFill="1" applyBorder="1" applyAlignment="1" applyProtection="1">
      <alignment horizontal="center"/>
      <protection locked="0"/>
    </xf>
    <xf numFmtId="14" fontId="13" fillId="11" borderId="77" xfId="0" applyNumberFormat="1" applyFont="1" applyFill="1" applyBorder="1" applyAlignment="1" applyProtection="1">
      <alignment horizontal="center"/>
      <protection locked="0"/>
    </xf>
    <xf numFmtId="14" fontId="13" fillId="13" borderId="78" xfId="0" applyNumberFormat="1" applyFont="1" applyFill="1" applyBorder="1" applyAlignment="1" applyProtection="1">
      <alignment horizontal="center"/>
      <protection locked="0"/>
    </xf>
    <xf numFmtId="14" fontId="13" fillId="13" borderId="76" xfId="0" applyNumberFormat="1" applyFont="1" applyFill="1" applyBorder="1" applyAlignment="1" applyProtection="1">
      <alignment horizontal="center"/>
      <protection locked="0"/>
    </xf>
    <xf numFmtId="14" fontId="13" fillId="11" borderId="78" xfId="0" applyNumberFormat="1" applyFont="1" applyFill="1" applyBorder="1" applyAlignment="1" applyProtection="1">
      <alignment horizontal="center"/>
      <protection locked="0"/>
    </xf>
    <xf numFmtId="2" fontId="46" fillId="0" borderId="0" xfId="0" applyNumberFormat="1" applyFont="1" applyAlignment="1" applyProtection="1">
      <alignment horizontal="center"/>
      <protection locked="0"/>
    </xf>
    <xf numFmtId="167" fontId="13" fillId="11" borderId="80" xfId="3" applyFont="1" applyFill="1" applyBorder="1" applyAlignment="1" applyProtection="1">
      <alignment horizontal="center"/>
      <protection locked="0"/>
    </xf>
    <xf numFmtId="167" fontId="13" fillId="11" borderId="79" xfId="3" applyFont="1" applyFill="1" applyBorder="1" applyAlignment="1" applyProtection="1">
      <alignment horizontal="center"/>
      <protection locked="0"/>
    </xf>
    <xf numFmtId="167" fontId="13" fillId="11" borderId="81" xfId="3" applyFont="1" applyFill="1" applyBorder="1" applyAlignment="1" applyProtection="1">
      <alignment horizontal="center"/>
      <protection locked="0"/>
    </xf>
    <xf numFmtId="167" fontId="13" fillId="13" borderId="79" xfId="3" applyFont="1" applyFill="1" applyBorder="1" applyAlignment="1" applyProtection="1">
      <alignment horizontal="center"/>
      <protection locked="0"/>
    </xf>
    <xf numFmtId="0" fontId="0" fillId="0" borderId="0" xfId="0" pivotButton="1"/>
    <xf numFmtId="0" fontId="0" fillId="0" borderId="0" xfId="0" applyAlignment="1">
      <alignment horizontal="left"/>
    </xf>
    <xf numFmtId="167" fontId="0" fillId="0" borderId="0" xfId="0" applyNumberFormat="1"/>
    <xf numFmtId="0" fontId="5" fillId="10" borderId="35" xfId="0" applyFont="1" applyFill="1" applyBorder="1" applyProtection="1">
      <protection locked="0"/>
    </xf>
    <xf numFmtId="14" fontId="13" fillId="0" borderId="22" xfId="0" applyNumberFormat="1" applyFont="1" applyBorder="1" applyAlignment="1" applyProtection="1">
      <alignment horizontal="center"/>
      <protection locked="0"/>
    </xf>
    <xf numFmtId="14" fontId="13" fillId="10" borderId="54" xfId="0" applyNumberFormat="1" applyFont="1" applyFill="1" applyBorder="1" applyAlignment="1" applyProtection="1">
      <alignment horizontal="center"/>
      <protection locked="0"/>
    </xf>
    <xf numFmtId="168" fontId="11" fillId="0" borderId="44" xfId="0" applyNumberFormat="1" applyFont="1" applyBorder="1" applyAlignment="1" applyProtection="1">
      <alignment horizontal="center" vertical="center" wrapText="1"/>
      <protection locked="0"/>
    </xf>
    <xf numFmtId="168" fontId="11" fillId="0" borderId="17" xfId="0" applyNumberFormat="1" applyFont="1" applyBorder="1" applyAlignment="1" applyProtection="1">
      <alignment horizontal="center" vertical="center" wrapText="1"/>
      <protection locked="0"/>
    </xf>
    <xf numFmtId="168" fontId="11" fillId="0" borderId="54" xfId="0" applyNumberFormat="1" applyFont="1" applyBorder="1" applyAlignment="1" applyProtection="1">
      <alignment horizontal="center" vertical="center" wrapText="1"/>
      <protection locked="0"/>
    </xf>
    <xf numFmtId="14" fontId="13" fillId="10" borderId="78" xfId="0" applyNumberFormat="1" applyFont="1" applyFill="1" applyBorder="1" applyAlignment="1" applyProtection="1">
      <alignment horizontal="center"/>
      <protection locked="0"/>
    </xf>
    <xf numFmtId="14" fontId="13" fillId="0" borderId="17" xfId="0" applyNumberFormat="1" applyFont="1" applyBorder="1" applyAlignment="1" applyProtection="1">
      <alignment horizontal="center"/>
      <protection locked="0"/>
    </xf>
    <xf numFmtId="2" fontId="13" fillId="10" borderId="83" xfId="0" applyNumberFormat="1" applyFont="1" applyFill="1" applyBorder="1" applyAlignment="1" applyProtection="1">
      <alignment horizontal="center"/>
      <protection locked="0"/>
    </xf>
    <xf numFmtId="2" fontId="5" fillId="11" borderId="62" xfId="0" applyNumberFormat="1" applyFont="1" applyFill="1" applyBorder="1" applyAlignment="1" applyProtection="1">
      <alignment horizontal="center"/>
      <protection locked="0"/>
    </xf>
    <xf numFmtId="2" fontId="13" fillId="11" borderId="83" xfId="0" applyNumberFormat="1" applyFont="1" applyFill="1" applyBorder="1" applyAlignment="1" applyProtection="1">
      <alignment horizontal="center"/>
      <protection locked="0"/>
    </xf>
    <xf numFmtId="2" fontId="13" fillId="10" borderId="61" xfId="0" applyNumberFormat="1" applyFont="1" applyFill="1" applyBorder="1" applyAlignment="1" applyProtection="1">
      <alignment horizontal="center"/>
      <protection locked="0"/>
    </xf>
    <xf numFmtId="171" fontId="0" fillId="8" borderId="2" xfId="0" applyNumberFormat="1" applyFill="1" applyBorder="1"/>
    <xf numFmtId="15" fontId="21" fillId="8" borderId="2" xfId="0" applyNumberFormat="1" applyFont="1" applyFill="1" applyBorder="1" applyAlignment="1">
      <alignment horizontal="center" wrapText="1"/>
    </xf>
    <xf numFmtId="0" fontId="4" fillId="7" borderId="0" xfId="0" applyFont="1" applyFill="1" applyProtection="1">
      <protection locked="0"/>
    </xf>
    <xf numFmtId="0" fontId="55" fillId="7" borderId="0" xfId="0" applyFont="1" applyFill="1" applyProtection="1">
      <protection locked="0"/>
    </xf>
    <xf numFmtId="0" fontId="56" fillId="7" borderId="0" xfId="0" applyFont="1" applyFill="1" applyProtection="1">
      <protection locked="0"/>
    </xf>
    <xf numFmtId="15" fontId="56" fillId="7" borderId="0" xfId="0" applyNumberFormat="1" applyFont="1" applyFill="1" applyProtection="1">
      <protection locked="0"/>
    </xf>
    <xf numFmtId="15" fontId="25" fillId="7" borderId="0" xfId="0" applyNumberFormat="1" applyFont="1" applyFill="1" applyProtection="1">
      <protection locked="0"/>
    </xf>
    <xf numFmtId="0" fontId="29" fillId="6" borderId="13" xfId="0" applyFont="1" applyFill="1" applyBorder="1" applyProtection="1">
      <protection locked="0"/>
    </xf>
    <xf numFmtId="167" fontId="29" fillId="6" borderId="18" xfId="0" applyNumberFormat="1" applyFont="1" applyFill="1" applyBorder="1" applyProtection="1">
      <protection locked="0"/>
    </xf>
    <xf numFmtId="10" fontId="29" fillId="6" borderId="14" xfId="0" applyNumberFormat="1" applyFont="1" applyFill="1" applyBorder="1" applyProtection="1">
      <protection locked="0"/>
    </xf>
    <xf numFmtId="0" fontId="30" fillId="7" borderId="0" xfId="0" applyFont="1" applyFill="1" applyProtection="1">
      <protection locked="0"/>
    </xf>
    <xf numFmtId="14" fontId="13" fillId="10" borderId="76" xfId="0" applyNumberFormat="1" applyFont="1" applyFill="1" applyBorder="1" applyAlignment="1" applyProtection="1">
      <alignment horizontal="center"/>
      <protection locked="0"/>
    </xf>
    <xf numFmtId="14" fontId="13" fillId="10" borderId="73" xfId="0" applyNumberFormat="1" applyFont="1" applyFill="1" applyBorder="1" applyAlignment="1" applyProtection="1">
      <alignment horizontal="center"/>
      <protection locked="0"/>
    </xf>
    <xf numFmtId="2" fontId="13" fillId="13" borderId="59" xfId="0" applyNumberFormat="1" applyFont="1" applyFill="1" applyBorder="1" applyAlignment="1" applyProtection="1">
      <alignment horizontal="center"/>
      <protection locked="0"/>
    </xf>
    <xf numFmtId="2" fontId="13" fillId="0" borderId="12" xfId="0" applyNumberFormat="1" applyFont="1" applyBorder="1" applyAlignment="1" applyProtection="1">
      <alignment horizontal="center"/>
      <protection locked="0"/>
    </xf>
    <xf numFmtId="2" fontId="5" fillId="11" borderId="59" xfId="0" applyNumberFormat="1" applyFont="1" applyFill="1" applyBorder="1" applyAlignment="1" applyProtection="1">
      <alignment horizontal="center"/>
      <protection locked="0"/>
    </xf>
    <xf numFmtId="2" fontId="13" fillId="13" borderId="83" xfId="0" applyNumberFormat="1" applyFont="1" applyFill="1" applyBorder="1" applyAlignment="1" applyProtection="1">
      <alignment horizontal="center"/>
      <protection locked="0"/>
    </xf>
    <xf numFmtId="2" fontId="5" fillId="13" borderId="59" xfId="0" applyNumberFormat="1" applyFont="1" applyFill="1" applyBorder="1" applyAlignment="1" applyProtection="1">
      <alignment horizontal="center"/>
      <protection locked="0"/>
    </xf>
    <xf numFmtId="2" fontId="13" fillId="13" borderId="60" xfId="0" applyNumberFormat="1" applyFont="1" applyFill="1" applyBorder="1" applyAlignment="1" applyProtection="1">
      <alignment horizontal="center"/>
      <protection locked="0"/>
    </xf>
    <xf numFmtId="2" fontId="46" fillId="0" borderId="84" xfId="0" applyNumberFormat="1" applyFont="1" applyBorder="1" applyAlignment="1" applyProtection="1">
      <alignment horizontal="center"/>
      <protection locked="0"/>
    </xf>
    <xf numFmtId="2" fontId="5" fillId="11" borderId="58" xfId="0" applyNumberFormat="1" applyFont="1" applyFill="1" applyBorder="1" applyAlignment="1" applyProtection="1">
      <alignment horizontal="center"/>
      <protection locked="0"/>
    </xf>
    <xf numFmtId="2" fontId="13" fillId="11" borderId="60" xfId="0" applyNumberFormat="1" applyFont="1" applyFill="1" applyBorder="1" applyAlignment="1" applyProtection="1">
      <alignment horizontal="center"/>
      <protection locked="0"/>
    </xf>
    <xf numFmtId="168" fontId="5" fillId="0" borderId="48" xfId="0" applyNumberFormat="1" applyFont="1" applyBorder="1" applyAlignment="1" applyProtection="1">
      <alignment horizontal="center"/>
      <protection locked="0"/>
    </xf>
    <xf numFmtId="2" fontId="13" fillId="11" borderId="62" xfId="0" applyNumberFormat="1" applyFont="1" applyFill="1" applyBorder="1" applyAlignment="1" applyProtection="1">
      <alignment horizontal="center"/>
      <protection locked="0"/>
    </xf>
    <xf numFmtId="168" fontId="13" fillId="0" borderId="23" xfId="0" applyNumberFormat="1" applyFont="1" applyBorder="1" applyAlignment="1" applyProtection="1">
      <alignment horizontal="center"/>
      <protection locked="0"/>
    </xf>
    <xf numFmtId="167" fontId="13" fillId="10" borderId="14" xfId="3" applyFont="1" applyFill="1" applyBorder="1" applyAlignment="1" applyProtection="1">
      <alignment horizontal="center"/>
      <protection locked="0"/>
    </xf>
    <xf numFmtId="14" fontId="13" fillId="11" borderId="69" xfId="0" applyNumberFormat="1" applyFont="1" applyFill="1" applyBorder="1" applyAlignment="1" applyProtection="1">
      <alignment horizontal="center"/>
      <protection locked="0"/>
    </xf>
    <xf numFmtId="168" fontId="13" fillId="11" borderId="79" xfId="0" applyNumberFormat="1" applyFont="1" applyFill="1" applyBorder="1" applyAlignment="1" applyProtection="1">
      <alignment horizontal="center"/>
      <protection locked="0"/>
    </xf>
    <xf numFmtId="168" fontId="13" fillId="11" borderId="81" xfId="0" applyNumberFormat="1" applyFont="1" applyFill="1" applyBorder="1" applyAlignment="1" applyProtection="1">
      <alignment horizontal="center"/>
      <protection locked="0"/>
    </xf>
    <xf numFmtId="0" fontId="27" fillId="9" borderId="2" xfId="0" applyFont="1" applyFill="1" applyBorder="1" applyAlignment="1" applyProtection="1">
      <alignment horizontal="left"/>
      <protection locked="0"/>
    </xf>
    <xf numFmtId="15" fontId="29" fillId="0" borderId="2" xfId="0" applyNumberFormat="1" applyFont="1" applyBorder="1" applyAlignment="1" applyProtection="1">
      <alignment horizontal="left"/>
      <protection locked="0"/>
    </xf>
    <xf numFmtId="168" fontId="11" fillId="0" borderId="43" xfId="0" applyNumberFormat="1" applyFont="1" applyBorder="1" applyAlignment="1" applyProtection="1">
      <alignment horizontal="center" vertical="center" wrapText="1"/>
      <protection locked="0"/>
    </xf>
    <xf numFmtId="14" fontId="13" fillId="0" borderId="73" xfId="0" applyNumberFormat="1" applyFont="1" applyBorder="1" applyAlignment="1" applyProtection="1">
      <alignment horizontal="center"/>
      <protection locked="0"/>
    </xf>
    <xf numFmtId="14" fontId="13" fillId="0" borderId="0" xfId="0" applyNumberFormat="1" applyFont="1" applyAlignment="1" applyProtection="1">
      <alignment horizontal="center"/>
      <protection locked="0"/>
    </xf>
    <xf numFmtId="0" fontId="21" fillId="11" borderId="28" xfId="0" applyFont="1" applyFill="1" applyBorder="1" applyAlignment="1" applyProtection="1">
      <alignment horizontal="center"/>
      <protection locked="0"/>
    </xf>
    <xf numFmtId="9" fontId="6" fillId="11" borderId="29" xfId="0" applyNumberFormat="1" applyFont="1" applyFill="1" applyBorder="1" applyProtection="1">
      <protection locked="0"/>
    </xf>
    <xf numFmtId="9" fontId="6" fillId="11" borderId="29" xfId="0" applyNumberFormat="1" applyFont="1" applyFill="1" applyBorder="1" applyAlignment="1" applyProtection="1">
      <alignment horizontal="center" vertical="center"/>
      <protection locked="0"/>
    </xf>
    <xf numFmtId="9" fontId="6" fillId="11" borderId="29" xfId="0" applyNumberFormat="1" applyFont="1" applyFill="1" applyBorder="1" applyAlignment="1" applyProtection="1">
      <alignment horizontal="center"/>
      <protection locked="0"/>
    </xf>
    <xf numFmtId="168" fontId="5" fillId="11" borderId="29" xfId="0" applyNumberFormat="1" applyFont="1" applyFill="1" applyBorder="1" applyAlignment="1" applyProtection="1">
      <alignment horizontal="center"/>
      <protection locked="0"/>
    </xf>
    <xf numFmtId="14" fontId="5" fillId="11" borderId="30" xfId="0" applyNumberFormat="1" applyFont="1" applyFill="1" applyBorder="1" applyAlignment="1" applyProtection="1">
      <alignment horizontal="center"/>
      <protection locked="0"/>
    </xf>
    <xf numFmtId="0" fontId="5" fillId="11" borderId="30" xfId="0" applyFont="1" applyFill="1" applyBorder="1" applyProtection="1">
      <protection locked="0"/>
    </xf>
    <xf numFmtId="14" fontId="23" fillId="11" borderId="30" xfId="0" applyNumberFormat="1" applyFont="1" applyFill="1" applyBorder="1" applyProtection="1">
      <protection locked="0"/>
    </xf>
    <xf numFmtId="0" fontId="21" fillId="11" borderId="40" xfId="0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Alignment="1" applyProtection="1">
      <alignment horizontal="left" vertical="center"/>
      <protection locked="0"/>
    </xf>
    <xf numFmtId="9" fontId="6" fillId="11" borderId="1" xfId="0" applyNumberFormat="1" applyFont="1" applyFill="1" applyBorder="1" applyProtection="1">
      <protection locked="0"/>
    </xf>
    <xf numFmtId="9" fontId="6" fillId="11" borderId="1" xfId="0" applyNumberFormat="1" applyFont="1" applyFill="1" applyBorder="1" applyAlignment="1" applyProtection="1">
      <alignment horizontal="center" vertical="center"/>
      <protection locked="0"/>
    </xf>
    <xf numFmtId="9" fontId="6" fillId="11" borderId="1" xfId="0" applyNumberFormat="1" applyFont="1" applyFill="1" applyBorder="1" applyAlignment="1" applyProtection="1">
      <alignment horizontal="center"/>
      <protection locked="0"/>
    </xf>
    <xf numFmtId="168" fontId="5" fillId="11" borderId="1" xfId="0" applyNumberFormat="1" applyFont="1" applyFill="1" applyBorder="1" applyAlignment="1" applyProtection="1">
      <alignment horizontal="center"/>
      <protection locked="0"/>
    </xf>
    <xf numFmtId="14" fontId="5" fillId="11" borderId="41" xfId="0" applyNumberFormat="1" applyFont="1" applyFill="1" applyBorder="1" applyAlignment="1" applyProtection="1">
      <alignment horizontal="center"/>
      <protection locked="0"/>
    </xf>
    <xf numFmtId="14" fontId="13" fillId="11" borderId="70" xfId="0" applyNumberFormat="1" applyFont="1" applyFill="1" applyBorder="1" applyAlignment="1" applyProtection="1">
      <alignment horizontal="center"/>
      <protection locked="0"/>
    </xf>
    <xf numFmtId="168" fontId="6" fillId="11" borderId="38" xfId="0" applyNumberFormat="1" applyFont="1" applyFill="1" applyBorder="1" applyAlignment="1" applyProtection="1">
      <alignment horizontal="center" vertical="center"/>
      <protection locked="0"/>
    </xf>
    <xf numFmtId="168" fontId="6" fillId="11" borderId="27" xfId="0" applyNumberFormat="1" applyFont="1" applyFill="1" applyBorder="1" applyAlignment="1" applyProtection="1">
      <alignment horizontal="center" vertical="center"/>
      <protection locked="0"/>
    </xf>
    <xf numFmtId="0" fontId="6" fillId="11" borderId="27" xfId="0" applyFont="1" applyFill="1" applyBorder="1" applyAlignment="1" applyProtection="1">
      <alignment horizontal="center"/>
      <protection locked="0"/>
    </xf>
    <xf numFmtId="168" fontId="6" fillId="11" borderId="2" xfId="0" applyNumberFormat="1" applyFont="1" applyFill="1" applyBorder="1" applyAlignment="1" applyProtection="1">
      <alignment horizontal="center" vertical="center"/>
      <protection locked="0"/>
    </xf>
    <xf numFmtId="0" fontId="6" fillId="11" borderId="1" xfId="0" applyFont="1" applyFill="1" applyBorder="1" applyProtection="1">
      <protection locked="0"/>
    </xf>
    <xf numFmtId="168" fontId="6" fillId="11" borderId="1" xfId="0" applyNumberFormat="1" applyFont="1" applyFill="1" applyBorder="1" applyAlignment="1" applyProtection="1">
      <alignment horizontal="center" vertical="center"/>
      <protection locked="0"/>
    </xf>
    <xf numFmtId="0" fontId="6" fillId="11" borderId="1" xfId="0" applyFont="1" applyFill="1" applyBorder="1" applyAlignment="1" applyProtection="1">
      <alignment horizontal="center"/>
      <protection locked="0"/>
    </xf>
    <xf numFmtId="2" fontId="5" fillId="11" borderId="83" xfId="0" applyNumberFormat="1" applyFont="1" applyFill="1" applyBorder="1" applyAlignment="1" applyProtection="1">
      <alignment horizontal="center"/>
      <protection locked="0"/>
    </xf>
    <xf numFmtId="168" fontId="6" fillId="11" borderId="35" xfId="0" applyNumberFormat="1" applyFont="1" applyFill="1" applyBorder="1" applyAlignment="1" applyProtection="1">
      <alignment horizontal="center" vertical="center"/>
      <protection locked="0"/>
    </xf>
    <xf numFmtId="168" fontId="6" fillId="11" borderId="5" xfId="0" applyNumberFormat="1" applyFont="1" applyFill="1" applyBorder="1" applyProtection="1">
      <protection locked="0"/>
    </xf>
    <xf numFmtId="167" fontId="13" fillId="11" borderId="2" xfId="3" applyFont="1" applyFill="1" applyBorder="1" applyProtection="1">
      <protection locked="0"/>
    </xf>
    <xf numFmtId="0" fontId="5" fillId="11" borderId="2" xfId="0" applyFont="1" applyFill="1" applyBorder="1" applyProtection="1">
      <protection locked="0"/>
    </xf>
    <xf numFmtId="0" fontId="36" fillId="11" borderId="2" xfId="0" applyFont="1" applyFill="1" applyBorder="1" applyAlignment="1" applyProtection="1">
      <alignment horizontal="center" vertical="center"/>
      <protection locked="0"/>
    </xf>
    <xf numFmtId="0" fontId="36" fillId="11" borderId="2" xfId="0" applyFont="1" applyFill="1" applyBorder="1" applyProtection="1">
      <protection locked="0"/>
    </xf>
    <xf numFmtId="168" fontId="5" fillId="11" borderId="2" xfId="0" applyNumberFormat="1" applyFont="1" applyFill="1" applyBorder="1" applyAlignment="1" applyProtection="1">
      <alignment horizontal="center" vertic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0" fontId="36" fillId="11" borderId="35" xfId="0" applyFont="1" applyFill="1" applyBorder="1" applyProtection="1">
      <protection locked="0"/>
    </xf>
    <xf numFmtId="0" fontId="36" fillId="11" borderId="35" xfId="0" applyFont="1" applyFill="1" applyBorder="1" applyAlignment="1" applyProtection="1">
      <alignment horizontal="center" vertical="center"/>
      <protection locked="0"/>
    </xf>
    <xf numFmtId="0" fontId="5" fillId="11" borderId="35" xfId="0" applyFont="1" applyFill="1" applyBorder="1" applyProtection="1">
      <protection locked="0"/>
    </xf>
    <xf numFmtId="167" fontId="6" fillId="13" borderId="38" xfId="0" applyNumberFormat="1" applyFont="1" applyFill="1" applyBorder="1" applyAlignment="1" applyProtection="1">
      <alignment horizontal="center"/>
      <protection locked="0"/>
    </xf>
    <xf numFmtId="2" fontId="5" fillId="13" borderId="62" xfId="0" applyNumberFormat="1" applyFont="1" applyFill="1" applyBorder="1" applyAlignment="1" applyProtection="1">
      <alignment horizontal="center"/>
      <protection locked="0"/>
    </xf>
    <xf numFmtId="0" fontId="6" fillId="13" borderId="27" xfId="0" applyFont="1" applyFill="1" applyBorder="1" applyAlignment="1" applyProtection="1">
      <alignment horizontal="center" vertical="center"/>
      <protection locked="0"/>
    </xf>
    <xf numFmtId="167" fontId="6" fillId="13" borderId="27" xfId="0" applyNumberFormat="1" applyFont="1" applyFill="1" applyBorder="1" applyAlignment="1" applyProtection="1">
      <alignment horizontal="center"/>
      <protection locked="0"/>
    </xf>
    <xf numFmtId="0" fontId="21" fillId="13" borderId="49" xfId="0" applyFont="1" applyFill="1" applyBorder="1" applyAlignment="1" applyProtection="1">
      <alignment horizontal="center"/>
      <protection locked="0"/>
    </xf>
    <xf numFmtId="0" fontId="6" fillId="13" borderId="50" xfId="0" applyFont="1" applyFill="1" applyBorder="1" applyProtection="1">
      <protection locked="0"/>
    </xf>
    <xf numFmtId="0" fontId="6" fillId="13" borderId="50" xfId="0" applyFont="1" applyFill="1" applyBorder="1" applyAlignment="1" applyProtection="1">
      <alignment horizontal="center" vertical="center"/>
      <protection locked="0"/>
    </xf>
    <xf numFmtId="167" fontId="6" fillId="13" borderId="50" xfId="0" applyNumberFormat="1" applyFont="1" applyFill="1" applyBorder="1" applyAlignment="1" applyProtection="1">
      <alignment horizontal="center"/>
      <protection locked="0"/>
    </xf>
    <xf numFmtId="168" fontId="5" fillId="13" borderId="50" xfId="0" applyNumberFormat="1" applyFont="1" applyFill="1" applyBorder="1" applyAlignment="1" applyProtection="1">
      <alignment horizontal="center"/>
      <protection locked="0"/>
    </xf>
    <xf numFmtId="0" fontId="6" fillId="13" borderId="2" xfId="0" applyFont="1" applyFill="1" applyBorder="1" applyAlignment="1" applyProtection="1">
      <alignment horizontal="center" vertical="center"/>
      <protection locked="0"/>
    </xf>
    <xf numFmtId="0" fontId="6" fillId="13" borderId="35" xfId="0" applyFont="1" applyFill="1" applyBorder="1" applyAlignment="1" applyProtection="1">
      <alignment horizontal="center" vertical="center"/>
      <protection locked="0"/>
    </xf>
    <xf numFmtId="167" fontId="6" fillId="13" borderId="35" xfId="0" applyNumberFormat="1" applyFont="1" applyFill="1" applyBorder="1" applyAlignment="1" applyProtection="1">
      <alignment horizontal="center"/>
      <protection locked="0"/>
    </xf>
    <xf numFmtId="9" fontId="6" fillId="13" borderId="38" xfId="0" applyNumberFormat="1" applyFont="1" applyFill="1" applyBorder="1" applyAlignment="1" applyProtection="1">
      <alignment horizontal="center"/>
      <protection locked="0"/>
    </xf>
    <xf numFmtId="0" fontId="36" fillId="13" borderId="35" xfId="0" applyFont="1" applyFill="1" applyBorder="1" applyAlignment="1" applyProtection="1">
      <alignment horizontal="left" vertical="center"/>
      <protection locked="0"/>
    </xf>
    <xf numFmtId="165" fontId="6" fillId="0" borderId="18" xfId="0" applyNumberFormat="1" applyFont="1" applyBorder="1" applyAlignment="1" applyProtection="1">
      <alignment vertical="center"/>
      <protection locked="0"/>
    </xf>
    <xf numFmtId="0" fontId="5" fillId="11" borderId="48" xfId="0" applyFont="1" applyFill="1" applyBorder="1" applyProtection="1">
      <protection locked="0"/>
    </xf>
    <xf numFmtId="14" fontId="23" fillId="11" borderId="48" xfId="0" applyNumberFormat="1" applyFont="1" applyFill="1" applyBorder="1" applyProtection="1">
      <protection locked="0"/>
    </xf>
    <xf numFmtId="0" fontId="5" fillId="11" borderId="38" xfId="0" applyFont="1" applyFill="1" applyBorder="1" applyAlignment="1" applyProtection="1">
      <alignment horizontal="center" vertical="center"/>
      <protection locked="0"/>
    </xf>
    <xf numFmtId="0" fontId="5" fillId="11" borderId="35" xfId="0" applyFont="1" applyFill="1" applyBorder="1" applyAlignment="1" applyProtection="1">
      <alignment horizontal="center" vertical="center"/>
      <protection locked="0"/>
    </xf>
    <xf numFmtId="0" fontId="5" fillId="0" borderId="3" xfId="0" applyFont="1" applyBorder="1" applyProtection="1">
      <protection locked="0"/>
    </xf>
    <xf numFmtId="168" fontId="5" fillId="0" borderId="3" xfId="0" applyNumberFormat="1" applyFont="1" applyBorder="1" applyProtection="1">
      <protection locked="0"/>
    </xf>
    <xf numFmtId="168" fontId="5" fillId="0" borderId="3" xfId="0" applyNumberFormat="1" applyFont="1" applyBorder="1" applyAlignment="1" applyProtection="1">
      <alignment horizontal="center" vertical="center"/>
      <protection locked="0"/>
    </xf>
    <xf numFmtId="0" fontId="5" fillId="0" borderId="3" xfId="0" applyFont="1" applyBorder="1" applyAlignment="1" applyProtection="1">
      <alignment horizontal="center"/>
      <protection locked="0"/>
    </xf>
    <xf numFmtId="0" fontId="5" fillId="13" borderId="38" xfId="0" applyFont="1" applyFill="1" applyBorder="1" applyProtection="1">
      <protection locked="0"/>
    </xf>
    <xf numFmtId="0" fontId="5" fillId="13" borderId="27" xfId="0" applyFont="1" applyFill="1" applyBorder="1" applyProtection="1">
      <protection locked="0"/>
    </xf>
    <xf numFmtId="0" fontId="5" fillId="13" borderId="50" xfId="0" applyFont="1" applyFill="1" applyBorder="1" applyProtection="1"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167" fontId="5" fillId="0" borderId="3" xfId="0" applyNumberFormat="1" applyFont="1" applyBorder="1" applyAlignment="1" applyProtection="1">
      <alignment horizontal="center"/>
      <protection locked="0"/>
    </xf>
    <xf numFmtId="0" fontId="5" fillId="11" borderId="38" xfId="0" applyFont="1" applyFill="1" applyBorder="1" applyAlignment="1" applyProtection="1">
      <alignment horizontal="left" vertical="center"/>
      <protection locked="0"/>
    </xf>
    <xf numFmtId="0" fontId="5" fillId="11" borderId="38" xfId="0" applyFont="1" applyFill="1" applyBorder="1" applyAlignment="1" applyProtection="1">
      <alignment horizontal="center"/>
      <protection locked="0"/>
    </xf>
    <xf numFmtId="0" fontId="5" fillId="11" borderId="2" xfId="0" applyFont="1" applyFill="1" applyBorder="1" applyAlignment="1" applyProtection="1">
      <alignment horizontal="left" vertical="center"/>
      <protection locked="0"/>
    </xf>
    <xf numFmtId="9" fontId="5" fillId="11" borderId="2" xfId="0" applyNumberFormat="1" applyFont="1" applyFill="1" applyBorder="1" applyProtection="1">
      <protection locked="0"/>
    </xf>
    <xf numFmtId="0" fontId="5" fillId="11" borderId="35" xfId="0" applyFont="1" applyFill="1" applyBorder="1" applyAlignment="1" applyProtection="1">
      <alignment horizontal="left" vertical="center"/>
      <protection locked="0"/>
    </xf>
    <xf numFmtId="9" fontId="5" fillId="11" borderId="35" xfId="0" applyNumberFormat="1" applyFont="1" applyFill="1" applyBorder="1" applyAlignment="1" applyProtection="1">
      <alignment horizontal="center"/>
      <protection locked="0"/>
    </xf>
    <xf numFmtId="0" fontId="5" fillId="0" borderId="3" xfId="0" applyFont="1" applyBorder="1" applyAlignment="1" applyProtection="1">
      <alignment horizontal="left" vertical="center"/>
      <protection locked="0"/>
    </xf>
    <xf numFmtId="9" fontId="5" fillId="0" borderId="3" xfId="0" applyNumberFormat="1" applyFont="1" applyBorder="1" applyProtection="1">
      <protection locked="0"/>
    </xf>
    <xf numFmtId="9" fontId="5" fillId="0" borderId="3" xfId="0" applyNumberFormat="1" applyFont="1" applyBorder="1" applyAlignment="1" applyProtection="1">
      <alignment horizontal="center" vertical="center"/>
      <protection locked="0"/>
    </xf>
    <xf numFmtId="9" fontId="5" fillId="0" borderId="3" xfId="0" applyNumberFormat="1" applyFont="1" applyBorder="1" applyAlignment="1" applyProtection="1">
      <alignment horizontal="center"/>
      <protection locked="0"/>
    </xf>
    <xf numFmtId="0" fontId="5" fillId="13" borderId="38" xfId="0" applyFont="1" applyFill="1" applyBorder="1" applyAlignment="1" applyProtection="1">
      <alignment horizontal="left" vertical="center"/>
      <protection locked="0"/>
    </xf>
    <xf numFmtId="0" fontId="5" fillId="13" borderId="24" xfId="0" applyFont="1" applyFill="1" applyBorder="1" applyAlignment="1" applyProtection="1">
      <alignment horizontal="left" vertical="center"/>
      <protection locked="0"/>
    </xf>
    <xf numFmtId="0" fontId="5" fillId="13" borderId="2" xfId="0" applyFont="1" applyFill="1" applyBorder="1" applyAlignment="1" applyProtection="1">
      <alignment horizontal="left" vertical="center"/>
      <protection locked="0"/>
    </xf>
    <xf numFmtId="0" fontId="5" fillId="13" borderId="2" xfId="0" applyFont="1" applyFill="1" applyBorder="1" applyAlignment="1" applyProtection="1">
      <alignment horizontal="center" vertical="center"/>
      <protection locked="0"/>
    </xf>
    <xf numFmtId="167" fontId="5" fillId="13" borderId="2" xfId="0" applyNumberFormat="1" applyFont="1" applyFill="1" applyBorder="1" applyAlignment="1" applyProtection="1">
      <alignment horizontal="center"/>
      <protection locked="0"/>
    </xf>
    <xf numFmtId="166" fontId="5" fillId="13" borderId="24" xfId="3" applyNumberFormat="1" applyFont="1" applyFill="1" applyBorder="1" applyAlignment="1" applyProtection="1">
      <alignment horizontal="left" vertical="center"/>
      <protection locked="0"/>
    </xf>
    <xf numFmtId="0" fontId="5" fillId="13" borderId="2" xfId="0" applyFont="1" applyFill="1" applyBorder="1" applyProtection="1">
      <protection locked="0"/>
    </xf>
    <xf numFmtId="0" fontId="5" fillId="13" borderId="35" xfId="0" applyFont="1" applyFill="1" applyBorder="1" applyProtection="1">
      <protection locked="0"/>
    </xf>
    <xf numFmtId="0" fontId="5" fillId="11" borderId="27" xfId="0" applyFont="1" applyFill="1" applyBorder="1" applyAlignment="1" applyProtection="1">
      <alignment horizontal="left" vertical="center"/>
      <protection locked="0"/>
    </xf>
    <xf numFmtId="0" fontId="5" fillId="11" borderId="2" xfId="0" applyFont="1" applyFill="1" applyBorder="1" applyAlignment="1" applyProtection="1">
      <alignment horizontal="center"/>
      <protection locked="0"/>
    </xf>
    <xf numFmtId="0" fontId="5" fillId="11" borderId="1" xfId="0" applyFont="1" applyFill="1" applyBorder="1" applyProtection="1">
      <protection locked="0"/>
    </xf>
    <xf numFmtId="168" fontId="5" fillId="11" borderId="1" xfId="0" applyNumberFormat="1" applyFont="1" applyFill="1" applyBorder="1" applyAlignment="1" applyProtection="1">
      <alignment horizontal="center" vertical="center"/>
      <protection locked="0"/>
    </xf>
    <xf numFmtId="0" fontId="5" fillId="11" borderId="1" xfId="0" applyFont="1" applyFill="1" applyBorder="1" applyAlignment="1" applyProtection="1">
      <alignment horizontal="center"/>
      <protection locked="0"/>
    </xf>
    <xf numFmtId="0" fontId="5" fillId="11" borderId="1" xfId="0" applyFont="1" applyFill="1" applyBorder="1" applyAlignment="1" applyProtection="1">
      <alignment horizontal="left" vertical="center"/>
      <protection locked="0"/>
    </xf>
    <xf numFmtId="0" fontId="5" fillId="11" borderId="35" xfId="0" applyFont="1" applyFill="1" applyBorder="1" applyAlignment="1" applyProtection="1">
      <alignment horizontal="center"/>
      <protection locked="0"/>
    </xf>
    <xf numFmtId="0" fontId="5" fillId="13" borderId="29" xfId="0" applyFont="1" applyFill="1" applyBorder="1" applyAlignment="1" applyProtection="1">
      <alignment horizontal="left" vertical="center"/>
      <protection locked="0"/>
    </xf>
    <xf numFmtId="0" fontId="5" fillId="13" borderId="35" xfId="0" applyFont="1" applyFill="1" applyBorder="1" applyAlignment="1" applyProtection="1">
      <alignment horizontal="left" vertical="center"/>
      <protection locked="0"/>
    </xf>
    <xf numFmtId="9" fontId="5" fillId="13" borderId="35" xfId="0" applyNumberFormat="1" applyFont="1" applyFill="1" applyBorder="1" applyProtection="1">
      <protection locked="0"/>
    </xf>
    <xf numFmtId="9" fontId="5" fillId="13" borderId="35" xfId="0" applyNumberFormat="1" applyFont="1" applyFill="1" applyBorder="1" applyAlignment="1" applyProtection="1">
      <alignment horizontal="center" vertical="center"/>
      <protection locked="0"/>
    </xf>
    <xf numFmtId="9" fontId="5" fillId="13" borderId="35" xfId="0" applyNumberFormat="1" applyFont="1" applyFill="1" applyBorder="1" applyAlignment="1" applyProtection="1">
      <alignment horizontal="center"/>
      <protection locked="0"/>
    </xf>
    <xf numFmtId="9" fontId="5" fillId="11" borderId="1" xfId="0" applyNumberFormat="1" applyFont="1" applyFill="1" applyBorder="1" applyProtection="1">
      <protection locked="0"/>
    </xf>
    <xf numFmtId="0" fontId="5" fillId="13" borderId="1" xfId="0" applyFont="1" applyFill="1" applyBorder="1" applyAlignment="1" applyProtection="1">
      <alignment horizontal="left" vertical="center"/>
      <protection locked="0"/>
    </xf>
    <xf numFmtId="9" fontId="5" fillId="13" borderId="1" xfId="0" applyNumberFormat="1" applyFont="1" applyFill="1" applyBorder="1" applyAlignment="1" applyProtection="1">
      <alignment horizontal="center" vertical="center"/>
      <protection locked="0"/>
    </xf>
    <xf numFmtId="9" fontId="5" fillId="13" borderId="1" xfId="0" applyNumberFormat="1" applyFont="1" applyFill="1" applyBorder="1" applyAlignment="1" applyProtection="1">
      <alignment horizontal="center"/>
      <protection locked="0"/>
    </xf>
    <xf numFmtId="0" fontId="5" fillId="10" borderId="38" xfId="0" applyFont="1" applyFill="1" applyBorder="1" applyProtection="1">
      <protection locked="0"/>
    </xf>
    <xf numFmtId="0" fontId="5" fillId="10" borderId="38" xfId="0" applyFont="1" applyFill="1" applyBorder="1" applyAlignment="1" applyProtection="1">
      <alignment horizontal="center" vertical="center"/>
      <protection locked="0"/>
    </xf>
    <xf numFmtId="0" fontId="5" fillId="10" borderId="27" xfId="0" applyFont="1" applyFill="1" applyBorder="1" applyProtection="1">
      <protection locked="0"/>
    </xf>
    <xf numFmtId="0" fontId="5" fillId="10" borderId="35" xfId="0" applyFont="1" applyFill="1" applyBorder="1" applyAlignment="1" applyProtection="1">
      <alignment horizontal="center" vertical="center"/>
      <protection locked="0"/>
    </xf>
    <xf numFmtId="0" fontId="5" fillId="10" borderId="35" xfId="0" applyFont="1" applyFill="1" applyBorder="1" applyAlignment="1" applyProtection="1">
      <alignment horizontal="center"/>
      <protection locked="0"/>
    </xf>
    <xf numFmtId="0" fontId="5" fillId="10" borderId="2" xfId="0" applyFont="1" applyFill="1" applyBorder="1" applyAlignment="1" applyProtection="1">
      <alignment horizontal="center"/>
      <protection locked="0"/>
    </xf>
    <xf numFmtId="0" fontId="5" fillId="10" borderId="43" xfId="0" applyFont="1" applyFill="1" applyBorder="1" applyProtection="1">
      <protection locked="0"/>
    </xf>
    <xf numFmtId="0" fontId="5" fillId="10" borderId="43" xfId="0" applyFont="1" applyFill="1" applyBorder="1" applyAlignment="1" applyProtection="1">
      <alignment horizontal="center" vertical="center"/>
      <protection locked="0"/>
    </xf>
    <xf numFmtId="9" fontId="5" fillId="10" borderId="43" xfId="0" applyNumberFormat="1" applyFont="1" applyFill="1" applyBorder="1" applyAlignment="1" applyProtection="1">
      <alignment horizontal="center"/>
      <protection locked="0"/>
    </xf>
    <xf numFmtId="0" fontId="5" fillId="10" borderId="38" xfId="0" applyFont="1" applyFill="1" applyBorder="1" applyAlignment="1" applyProtection="1">
      <alignment horizontal="center"/>
      <protection locked="0"/>
    </xf>
    <xf numFmtId="14" fontId="44" fillId="7" borderId="0" xfId="0" applyNumberFormat="1" applyFont="1" applyFill="1" applyAlignment="1">
      <alignment horizontal="center"/>
    </xf>
    <xf numFmtId="0" fontId="44" fillId="7" borderId="0" xfId="0" applyFont="1" applyFill="1" applyAlignment="1">
      <alignment horizontal="center"/>
    </xf>
    <xf numFmtId="168" fontId="13" fillId="10" borderId="17" xfId="0" applyNumberFormat="1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Alignment="1" applyProtection="1">
      <alignment horizontal="center" vertical="center"/>
      <protection locked="0"/>
    </xf>
    <xf numFmtId="0" fontId="5" fillId="11" borderId="1" xfId="0" applyFont="1" applyFill="1" applyBorder="1" applyAlignment="1" applyProtection="1">
      <alignment horizontal="center" vertical="center"/>
      <protection locked="0"/>
    </xf>
    <xf numFmtId="0" fontId="21" fillId="10" borderId="40" xfId="0" applyFont="1" applyFill="1" applyBorder="1" applyAlignment="1" applyProtection="1">
      <alignment horizontal="center"/>
      <protection locked="0"/>
    </xf>
    <xf numFmtId="0" fontId="6" fillId="10" borderId="1" xfId="0" applyFont="1" applyFill="1" applyBorder="1" applyProtection="1">
      <protection locked="0"/>
    </xf>
    <xf numFmtId="0" fontId="6" fillId="10" borderId="1" xfId="0" applyFont="1" applyFill="1" applyBorder="1" applyAlignment="1" applyProtection="1">
      <alignment horizontal="center" vertical="center"/>
      <protection locked="0"/>
    </xf>
    <xf numFmtId="0" fontId="6" fillId="10" borderId="1" xfId="0" applyFont="1" applyFill="1" applyBorder="1" applyAlignment="1" applyProtection="1">
      <alignment horizontal="center"/>
      <protection locked="0"/>
    </xf>
    <xf numFmtId="168" fontId="5" fillId="10" borderId="1" xfId="0" applyNumberFormat="1" applyFont="1" applyFill="1" applyBorder="1" applyAlignment="1" applyProtection="1">
      <alignment horizontal="center"/>
      <protection locked="0"/>
    </xf>
    <xf numFmtId="14" fontId="5" fillId="10" borderId="41" xfId="0" applyNumberFormat="1" applyFont="1" applyFill="1" applyBorder="1" applyAlignment="1" applyProtection="1">
      <alignment horizontal="center"/>
      <protection locked="0"/>
    </xf>
    <xf numFmtId="0" fontId="5" fillId="10" borderId="1" xfId="0" applyFont="1" applyFill="1" applyBorder="1" applyProtection="1">
      <protection locked="0"/>
    </xf>
    <xf numFmtId="0" fontId="5" fillId="10" borderId="1" xfId="0" applyFont="1" applyFill="1" applyBorder="1" applyAlignment="1" applyProtection="1">
      <alignment horizontal="center" vertical="center"/>
      <protection locked="0"/>
    </xf>
    <xf numFmtId="0" fontId="5" fillId="10" borderId="1" xfId="0" applyFont="1" applyFill="1" applyBorder="1" applyAlignment="1" applyProtection="1">
      <alignment horizontal="center"/>
      <protection locked="0"/>
    </xf>
    <xf numFmtId="0" fontId="5" fillId="10" borderId="41" xfId="0" applyFont="1" applyFill="1" applyBorder="1" applyProtection="1">
      <protection locked="0"/>
    </xf>
    <xf numFmtId="14" fontId="23" fillId="10" borderId="41" xfId="0" applyNumberFormat="1" applyFont="1" applyFill="1" applyBorder="1" applyProtection="1">
      <protection locked="0"/>
    </xf>
    <xf numFmtId="9" fontId="27" fillId="7" borderId="0" xfId="2" applyFont="1" applyFill="1" applyBorder="1" applyAlignment="1" applyProtection="1">
      <alignment horizontal="center"/>
      <protection locked="0"/>
    </xf>
    <xf numFmtId="167" fontId="6" fillId="11" borderId="38" xfId="3" applyFont="1" applyFill="1" applyBorder="1" applyAlignment="1" applyProtection="1">
      <alignment horizontal="center"/>
      <protection locked="0"/>
    </xf>
    <xf numFmtId="167" fontId="6" fillId="11" borderId="2" xfId="3" applyFont="1" applyFill="1" applyBorder="1" applyAlignment="1" applyProtection="1">
      <alignment horizontal="center"/>
      <protection locked="0"/>
    </xf>
    <xf numFmtId="167" fontId="6" fillId="11" borderId="35" xfId="3" applyFont="1" applyFill="1" applyBorder="1" applyAlignment="1" applyProtection="1">
      <alignment horizontal="center"/>
      <protection locked="0"/>
    </xf>
    <xf numFmtId="167" fontId="5" fillId="13" borderId="2" xfId="0" applyNumberFormat="1" applyFont="1" applyFill="1" applyBorder="1" applyAlignment="1" applyProtection="1">
      <alignment horizontal="left" vertical="center"/>
      <protection locked="0"/>
    </xf>
    <xf numFmtId="167" fontId="5" fillId="11" borderId="2" xfId="3" applyFont="1" applyFill="1" applyBorder="1" applyAlignment="1" applyProtection="1">
      <alignment horizontal="center"/>
      <protection locked="0"/>
    </xf>
    <xf numFmtId="167" fontId="5" fillId="11" borderId="35" xfId="3" applyFont="1" applyFill="1" applyBorder="1" applyAlignment="1" applyProtection="1">
      <alignment horizontal="center"/>
      <protection locked="0"/>
    </xf>
    <xf numFmtId="167" fontId="5" fillId="11" borderId="1" xfId="3" applyFont="1" applyFill="1" applyBorder="1" applyAlignment="1" applyProtection="1">
      <alignment horizontal="center"/>
      <protection locked="0"/>
    </xf>
    <xf numFmtId="168" fontId="5" fillId="6" borderId="38" xfId="0" applyNumberFormat="1" applyFont="1" applyFill="1" applyBorder="1" applyAlignment="1" applyProtection="1">
      <alignment horizontal="center"/>
      <protection locked="0"/>
    </xf>
    <xf numFmtId="14" fontId="5" fillId="11" borderId="65" xfId="0" applyNumberFormat="1" applyFont="1" applyFill="1" applyBorder="1" applyAlignment="1" applyProtection="1">
      <alignment horizontal="center"/>
      <protection locked="0"/>
    </xf>
    <xf numFmtId="14" fontId="5" fillId="11" borderId="77" xfId="0" applyNumberFormat="1" applyFont="1" applyFill="1" applyBorder="1" applyAlignment="1" applyProtection="1">
      <alignment horizontal="center"/>
      <protection locked="0"/>
    </xf>
    <xf numFmtId="0" fontId="5" fillId="11" borderId="50" xfId="0" applyFont="1" applyFill="1" applyBorder="1" applyAlignment="1" applyProtection="1">
      <alignment horizontal="left" vertical="center"/>
      <protection locked="0"/>
    </xf>
    <xf numFmtId="14" fontId="5" fillId="11" borderId="75" xfId="0" applyNumberFormat="1" applyFont="1" applyFill="1" applyBorder="1" applyAlignment="1" applyProtection="1">
      <alignment horizontal="center"/>
      <protection locked="0"/>
    </xf>
    <xf numFmtId="167" fontId="5" fillId="11" borderId="79" xfId="3" applyFont="1" applyFill="1" applyBorder="1" applyAlignment="1" applyProtection="1">
      <alignment horizontal="center"/>
      <protection locked="0"/>
    </xf>
    <xf numFmtId="14" fontId="5" fillId="10" borderId="77" xfId="0" applyNumberFormat="1" applyFont="1" applyFill="1" applyBorder="1" applyAlignment="1" applyProtection="1">
      <alignment horizontal="center"/>
      <protection locked="0"/>
    </xf>
    <xf numFmtId="167" fontId="5" fillId="10" borderId="80" xfId="3" applyFont="1" applyFill="1" applyBorder="1" applyAlignment="1" applyProtection="1">
      <alignment horizontal="center"/>
      <protection locked="0"/>
    </xf>
    <xf numFmtId="167" fontId="5" fillId="11" borderId="80" xfId="3" applyFont="1" applyFill="1" applyBorder="1" applyAlignment="1" applyProtection="1">
      <alignment horizontal="center"/>
      <protection locked="0"/>
    </xf>
    <xf numFmtId="0" fontId="5" fillId="11" borderId="2" xfId="3" applyNumberFormat="1" applyFont="1" applyFill="1" applyBorder="1" applyProtection="1">
      <protection locked="0"/>
    </xf>
    <xf numFmtId="167" fontId="5" fillId="13" borderId="35" xfId="3" applyFont="1" applyFill="1" applyBorder="1" applyAlignment="1" applyProtection="1">
      <alignment horizontal="center"/>
      <protection locked="0"/>
    </xf>
    <xf numFmtId="167" fontId="5" fillId="11" borderId="38" xfId="3" applyFont="1" applyFill="1" applyBorder="1" applyAlignment="1" applyProtection="1">
      <alignment horizontal="center"/>
      <protection locked="0"/>
    </xf>
    <xf numFmtId="167" fontId="5" fillId="0" borderId="3" xfId="3" applyFont="1" applyBorder="1" applyAlignment="1" applyProtection="1">
      <alignment horizontal="center"/>
      <protection locked="0"/>
    </xf>
    <xf numFmtId="167" fontId="5" fillId="10" borderId="35" xfId="3" applyFont="1" applyFill="1" applyBorder="1" applyAlignment="1" applyProtection="1">
      <alignment horizontal="center"/>
      <protection locked="0"/>
    </xf>
    <xf numFmtId="0" fontId="21" fillId="11" borderId="47" xfId="0" applyFont="1" applyFill="1" applyBorder="1" applyAlignment="1" applyProtection="1">
      <alignment horizontal="center"/>
      <protection locked="0"/>
    </xf>
    <xf numFmtId="0" fontId="6" fillId="11" borderId="3" xfId="0" applyFont="1" applyFill="1" applyBorder="1" applyAlignment="1" applyProtection="1">
      <alignment horizontal="left" vertical="center"/>
      <protection locked="0"/>
    </xf>
    <xf numFmtId="9" fontId="6" fillId="11" borderId="3" xfId="0" applyNumberFormat="1" applyFont="1" applyFill="1" applyBorder="1" applyProtection="1">
      <protection locked="0"/>
    </xf>
    <xf numFmtId="9" fontId="6" fillId="11" borderId="3" xfId="0" applyNumberFormat="1" applyFont="1" applyFill="1" applyBorder="1" applyAlignment="1" applyProtection="1">
      <alignment horizontal="center" vertical="center"/>
      <protection locked="0"/>
    </xf>
    <xf numFmtId="9" fontId="6" fillId="11" borderId="3" xfId="0" applyNumberFormat="1" applyFont="1" applyFill="1" applyBorder="1" applyAlignment="1" applyProtection="1">
      <alignment horizontal="center"/>
      <protection locked="0"/>
    </xf>
    <xf numFmtId="168" fontId="5" fillId="11" borderId="3" xfId="0" applyNumberFormat="1" applyFont="1" applyFill="1" applyBorder="1" applyAlignment="1" applyProtection="1">
      <alignment horizontal="center"/>
      <protection locked="0"/>
    </xf>
    <xf numFmtId="14" fontId="5" fillId="11" borderId="48" xfId="0" applyNumberFormat="1" applyFont="1" applyFill="1" applyBorder="1" applyAlignment="1" applyProtection="1">
      <alignment horizontal="center"/>
      <protection locked="0"/>
    </xf>
    <xf numFmtId="0" fontId="5" fillId="11" borderId="3" xfId="0" applyFont="1" applyFill="1" applyBorder="1" applyAlignment="1" applyProtection="1">
      <alignment horizontal="left" vertical="center"/>
      <protection locked="0"/>
    </xf>
    <xf numFmtId="0" fontId="5" fillId="11" borderId="3" xfId="0" applyFont="1" applyFill="1" applyBorder="1" applyAlignment="1" applyProtection="1">
      <alignment horizontal="center" vertical="center"/>
      <protection locked="0"/>
    </xf>
    <xf numFmtId="167" fontId="5" fillId="11" borderId="3" xfId="3" applyFont="1" applyFill="1" applyBorder="1" applyAlignment="1" applyProtection="1">
      <alignment horizontal="center"/>
      <protection locked="0"/>
    </xf>
    <xf numFmtId="9" fontId="5" fillId="11" borderId="29" xfId="0" applyNumberFormat="1" applyFont="1" applyFill="1" applyBorder="1" applyProtection="1">
      <protection locked="0"/>
    </xf>
    <xf numFmtId="9" fontId="5" fillId="11" borderId="3" xfId="0" applyNumberFormat="1" applyFont="1" applyFill="1" applyBorder="1" applyProtection="1">
      <protection locked="0"/>
    </xf>
    <xf numFmtId="14" fontId="5" fillId="11" borderId="68" xfId="0" applyNumberFormat="1" applyFont="1" applyFill="1" applyBorder="1" applyAlignment="1" applyProtection="1">
      <alignment horizontal="center"/>
      <protection locked="0"/>
    </xf>
    <xf numFmtId="9" fontId="5" fillId="11" borderId="27" xfId="0" applyNumberFormat="1" applyFont="1" applyFill="1" applyBorder="1" applyProtection="1">
      <protection locked="0"/>
    </xf>
    <xf numFmtId="0" fontId="5" fillId="11" borderId="27" xfId="0" applyFont="1" applyFill="1" applyBorder="1" applyAlignment="1" applyProtection="1">
      <alignment horizontal="center" vertical="center"/>
      <protection locked="0"/>
    </xf>
    <xf numFmtId="167" fontId="5" fillId="11" borderId="27" xfId="3" applyFont="1" applyFill="1" applyBorder="1" applyAlignment="1" applyProtection="1">
      <alignment horizontal="center"/>
      <protection locked="0"/>
    </xf>
    <xf numFmtId="168" fontId="5" fillId="11" borderId="65" xfId="0" applyNumberFormat="1" applyFont="1" applyFill="1" applyBorder="1" applyAlignment="1" applyProtection="1">
      <alignment horizontal="center"/>
      <protection locked="0"/>
    </xf>
    <xf numFmtId="168" fontId="5" fillId="11" borderId="69" xfId="0" applyNumberFormat="1" applyFont="1" applyFill="1" applyBorder="1" applyAlignment="1" applyProtection="1">
      <alignment horizontal="center"/>
      <protection locked="0"/>
    </xf>
    <xf numFmtId="14" fontId="0" fillId="0" borderId="0" xfId="0" applyNumberFormat="1"/>
    <xf numFmtId="167" fontId="5" fillId="10" borderId="79" xfId="3" applyFont="1" applyFill="1" applyBorder="1" applyAlignment="1" applyProtection="1">
      <alignment horizontal="center"/>
      <protection locked="0"/>
    </xf>
    <xf numFmtId="9" fontId="7" fillId="17" borderId="22" xfId="0" applyNumberFormat="1" applyFont="1" applyFill="1" applyBorder="1" applyProtection="1">
      <protection locked="0"/>
    </xf>
    <xf numFmtId="0" fontId="5" fillId="16" borderId="2" xfId="0" applyFont="1" applyFill="1" applyBorder="1" applyProtection="1">
      <protection locked="0"/>
    </xf>
    <xf numFmtId="9" fontId="5" fillId="16" borderId="2" xfId="2" applyFont="1" applyFill="1" applyBorder="1" applyAlignment="1" applyProtection="1">
      <alignment horizontal="center"/>
      <protection locked="0"/>
    </xf>
    <xf numFmtId="167" fontId="5" fillId="16" borderId="2" xfId="3" applyFont="1" applyFill="1" applyBorder="1" applyAlignment="1" applyProtection="1">
      <alignment horizontal="center"/>
      <protection locked="0"/>
    </xf>
    <xf numFmtId="168" fontId="5" fillId="16" borderId="2" xfId="0" applyNumberFormat="1" applyFont="1" applyFill="1" applyBorder="1" applyAlignment="1" applyProtection="1">
      <alignment horizontal="center"/>
      <protection locked="0"/>
    </xf>
    <xf numFmtId="9" fontId="5" fillId="16" borderId="27" xfId="2" applyFont="1" applyFill="1" applyBorder="1" applyAlignment="1" applyProtection="1">
      <alignment horizontal="center"/>
      <protection locked="0"/>
    </xf>
    <xf numFmtId="167" fontId="5" fillId="16" borderId="27" xfId="3" applyFont="1" applyFill="1" applyBorder="1" applyAlignment="1" applyProtection="1">
      <alignment horizontal="center"/>
      <protection locked="0"/>
    </xf>
    <xf numFmtId="0" fontId="5" fillId="16" borderId="35" xfId="0" applyFont="1" applyFill="1" applyBorder="1" applyAlignment="1" applyProtection="1">
      <alignment horizontal="left" vertical="center"/>
      <protection locked="0"/>
    </xf>
    <xf numFmtId="9" fontId="5" fillId="16" borderId="35" xfId="2" applyFont="1" applyFill="1" applyBorder="1" applyAlignment="1" applyProtection="1">
      <alignment horizontal="center"/>
      <protection locked="0"/>
    </xf>
    <xf numFmtId="167" fontId="5" fillId="16" borderId="35" xfId="3" applyFont="1" applyFill="1" applyBorder="1" applyAlignment="1" applyProtection="1">
      <alignment horizontal="center"/>
      <protection locked="0"/>
    </xf>
    <xf numFmtId="167" fontId="5" fillId="16" borderId="35" xfId="0" applyNumberFormat="1" applyFont="1" applyFill="1" applyBorder="1" applyAlignment="1" applyProtection="1">
      <alignment horizontal="center"/>
      <protection locked="0"/>
    </xf>
    <xf numFmtId="9" fontId="5" fillId="16" borderId="38" xfId="0" applyNumberFormat="1" applyFont="1" applyFill="1" applyBorder="1" applyProtection="1">
      <protection locked="0"/>
    </xf>
    <xf numFmtId="9" fontId="5" fillId="16" borderId="38" xfId="0" applyNumberFormat="1" applyFont="1" applyFill="1" applyBorder="1" applyAlignment="1" applyProtection="1">
      <alignment horizontal="center"/>
      <protection locked="0"/>
    </xf>
    <xf numFmtId="167" fontId="5" fillId="16" borderId="38" xfId="3" applyFont="1" applyFill="1" applyBorder="1" applyAlignment="1" applyProtection="1">
      <alignment horizontal="center"/>
      <protection locked="0"/>
    </xf>
    <xf numFmtId="9" fontId="5" fillId="16" borderId="2" xfId="0" applyNumberFormat="1" applyFont="1" applyFill="1" applyBorder="1" applyProtection="1">
      <protection locked="0"/>
    </xf>
    <xf numFmtId="9" fontId="5" fillId="16" borderId="2" xfId="0" applyNumberFormat="1" applyFont="1" applyFill="1" applyBorder="1" applyAlignment="1" applyProtection="1">
      <alignment horizontal="center"/>
      <protection locked="0"/>
    </xf>
    <xf numFmtId="9" fontId="5" fillId="16" borderId="1" xfId="0" applyNumberFormat="1" applyFont="1" applyFill="1" applyBorder="1" applyProtection="1">
      <protection locked="0"/>
    </xf>
    <xf numFmtId="167" fontId="5" fillId="16" borderId="1" xfId="3" applyFont="1" applyFill="1" applyBorder="1" applyAlignment="1" applyProtection="1">
      <alignment horizontal="center"/>
      <protection locked="0"/>
    </xf>
    <xf numFmtId="168" fontId="5" fillId="16" borderId="38" xfId="0" applyNumberFormat="1" applyFont="1" applyFill="1" applyBorder="1" applyAlignment="1" applyProtection="1">
      <alignment horizontal="center"/>
      <protection locked="0"/>
    </xf>
    <xf numFmtId="0" fontId="5" fillId="16" borderId="38" xfId="0" applyFont="1" applyFill="1" applyBorder="1" applyProtection="1">
      <protection locked="0"/>
    </xf>
    <xf numFmtId="0" fontId="5" fillId="16" borderId="27" xfId="0" applyFont="1" applyFill="1" applyBorder="1" applyProtection="1">
      <protection locked="0"/>
    </xf>
    <xf numFmtId="9" fontId="5" fillId="16" borderId="27" xfId="0" applyNumberFormat="1" applyFont="1" applyFill="1" applyBorder="1" applyAlignment="1" applyProtection="1">
      <alignment horizontal="center"/>
      <protection locked="0"/>
    </xf>
    <xf numFmtId="167" fontId="6" fillId="7" borderId="0" xfId="0" applyNumberFormat="1" applyFont="1" applyFill="1" applyProtection="1">
      <protection locked="0"/>
    </xf>
    <xf numFmtId="167" fontId="7" fillId="18" borderId="23" xfId="0" applyNumberFormat="1" applyFont="1" applyFill="1" applyBorder="1" applyProtection="1">
      <protection locked="0"/>
    </xf>
    <xf numFmtId="167" fontId="0" fillId="0" borderId="0" xfId="3" applyFont="1"/>
    <xf numFmtId="14" fontId="5" fillId="11" borderId="70" xfId="0" applyNumberFormat="1" applyFont="1" applyFill="1" applyBorder="1" applyAlignment="1" applyProtection="1">
      <alignment horizontal="center"/>
      <protection locked="0"/>
    </xf>
    <xf numFmtId="14" fontId="5" fillId="11" borderId="80" xfId="0" applyNumberFormat="1" applyFont="1" applyFill="1" applyBorder="1" applyAlignment="1" applyProtection="1">
      <alignment horizontal="center"/>
      <protection locked="0"/>
    </xf>
    <xf numFmtId="168" fontId="38" fillId="11" borderId="1" xfId="0" applyNumberFormat="1" applyFont="1" applyFill="1" applyBorder="1" applyAlignment="1" applyProtection="1">
      <alignment horizontal="left" vertical="center"/>
      <protection locked="0"/>
    </xf>
    <xf numFmtId="9" fontId="5" fillId="16" borderId="1" xfId="0" applyNumberFormat="1" applyFont="1" applyFill="1" applyBorder="1" applyAlignment="1" applyProtection="1">
      <alignment horizontal="center"/>
      <protection locked="0"/>
    </xf>
    <xf numFmtId="168" fontId="5" fillId="16" borderId="27" xfId="0" applyNumberFormat="1" applyFont="1" applyFill="1" applyBorder="1" applyAlignment="1" applyProtection="1">
      <alignment horizontal="center"/>
      <protection locked="0"/>
    </xf>
    <xf numFmtId="9" fontId="5" fillId="16" borderId="35" xfId="0" applyNumberFormat="1" applyFont="1" applyFill="1" applyBorder="1" applyProtection="1">
      <protection locked="0"/>
    </xf>
    <xf numFmtId="9" fontId="5" fillId="16" borderId="35" xfId="0" applyNumberFormat="1" applyFont="1" applyFill="1" applyBorder="1" applyAlignment="1" applyProtection="1">
      <alignment horizontal="center"/>
      <protection locked="0"/>
    </xf>
    <xf numFmtId="2" fontId="5" fillId="11" borderId="74" xfId="0" applyNumberFormat="1" applyFont="1" applyFill="1" applyBorder="1" applyAlignment="1" applyProtection="1">
      <alignment horizontal="center"/>
      <protection locked="0"/>
    </xf>
    <xf numFmtId="0" fontId="53" fillId="0" borderId="5" xfId="0" applyFont="1" applyBorder="1" applyAlignment="1" applyProtection="1">
      <alignment horizontal="left"/>
      <protection locked="0"/>
    </xf>
    <xf numFmtId="0" fontId="46" fillId="0" borderId="4" xfId="0" applyFont="1" applyBorder="1" applyAlignment="1" applyProtection="1">
      <alignment horizontal="left"/>
      <protection locked="0"/>
    </xf>
    <xf numFmtId="168" fontId="5" fillId="16" borderId="39" xfId="0" applyNumberFormat="1" applyFont="1" applyFill="1" applyBorder="1" applyAlignment="1" applyProtection="1">
      <alignment horizontal="center"/>
      <protection locked="0"/>
    </xf>
    <xf numFmtId="168" fontId="5" fillId="16" borderId="46" xfId="0" applyNumberFormat="1" applyFont="1" applyFill="1" applyBorder="1" applyAlignment="1" applyProtection="1">
      <alignment horizontal="center"/>
      <protection locked="0"/>
    </xf>
    <xf numFmtId="168" fontId="5" fillId="16" borderId="85" xfId="0" applyNumberFormat="1" applyFont="1" applyFill="1" applyBorder="1" applyAlignment="1" applyProtection="1">
      <alignment horizontal="center"/>
      <protection locked="0"/>
    </xf>
    <xf numFmtId="0" fontId="5" fillId="16" borderId="2" xfId="0" applyFont="1" applyFill="1" applyBorder="1" applyAlignment="1" applyProtection="1">
      <alignment horizontal="center"/>
      <protection locked="0"/>
    </xf>
    <xf numFmtId="0" fontId="5" fillId="16" borderId="27" xfId="0" applyFont="1" applyFill="1" applyBorder="1" applyAlignment="1" applyProtection="1">
      <alignment horizontal="center"/>
      <protection locked="0"/>
    </xf>
    <xf numFmtId="0" fontId="7" fillId="6" borderId="0" xfId="0" applyFont="1" applyFill="1" applyProtection="1">
      <protection locked="0"/>
    </xf>
    <xf numFmtId="0" fontId="6" fillId="6" borderId="0" xfId="0" applyFont="1" applyFill="1" applyAlignment="1" applyProtection="1">
      <alignment horizontal="center"/>
      <protection locked="0"/>
    </xf>
    <xf numFmtId="9" fontId="5" fillId="11" borderId="35" xfId="0" applyNumberFormat="1" applyFont="1" applyFill="1" applyBorder="1" applyProtection="1">
      <protection locked="0"/>
    </xf>
    <xf numFmtId="0" fontId="5" fillId="16" borderId="1" xfId="0" applyFont="1" applyFill="1" applyBorder="1" applyAlignment="1" applyProtection="1">
      <alignment horizontal="left" vertical="center"/>
      <protection locked="0"/>
    </xf>
    <xf numFmtId="14" fontId="5" fillId="13" borderId="77" xfId="0" applyNumberFormat="1" applyFont="1" applyFill="1" applyBorder="1" applyAlignment="1" applyProtection="1">
      <alignment horizontal="center"/>
      <protection locked="0"/>
    </xf>
    <xf numFmtId="14" fontId="5" fillId="11" borderId="82" xfId="0" applyNumberFormat="1" applyFont="1" applyFill="1" applyBorder="1" applyAlignment="1" applyProtection="1">
      <alignment horizontal="center"/>
      <protection locked="0"/>
    </xf>
    <xf numFmtId="167" fontId="5" fillId="11" borderId="82" xfId="3" applyFont="1" applyFill="1" applyBorder="1" applyAlignment="1" applyProtection="1">
      <alignment horizontal="center"/>
      <protection locked="0"/>
    </xf>
    <xf numFmtId="14" fontId="5" fillId="11" borderId="78" xfId="0" applyNumberFormat="1" applyFont="1" applyFill="1" applyBorder="1" applyAlignment="1" applyProtection="1">
      <alignment horizontal="center"/>
      <protection locked="0"/>
    </xf>
    <xf numFmtId="14" fontId="5" fillId="11" borderId="79" xfId="0" applyNumberFormat="1" applyFont="1" applyFill="1" applyBorder="1" applyAlignment="1" applyProtection="1">
      <alignment horizontal="center"/>
      <protection locked="0"/>
    </xf>
    <xf numFmtId="14" fontId="5" fillId="11" borderId="74" xfId="0" applyNumberFormat="1" applyFont="1" applyFill="1" applyBorder="1" applyAlignment="1" applyProtection="1">
      <alignment horizontal="center"/>
      <protection locked="0"/>
    </xf>
    <xf numFmtId="2" fontId="5" fillId="11" borderId="77" xfId="0" applyNumberFormat="1" applyFont="1" applyFill="1" applyBorder="1" applyAlignment="1" applyProtection="1">
      <alignment horizontal="center"/>
      <protection locked="0"/>
    </xf>
    <xf numFmtId="14" fontId="5" fillId="13" borderId="75" xfId="0" applyNumberFormat="1" applyFont="1" applyFill="1" applyBorder="1" applyAlignment="1" applyProtection="1">
      <alignment horizontal="center"/>
      <protection locked="0"/>
    </xf>
    <xf numFmtId="14" fontId="5" fillId="11" borderId="69" xfId="0" applyNumberFormat="1" applyFont="1" applyFill="1" applyBorder="1" applyAlignment="1" applyProtection="1">
      <alignment horizontal="center"/>
      <protection locked="0"/>
    </xf>
    <xf numFmtId="167" fontId="5" fillId="11" borderId="27" xfId="0" applyNumberFormat="1" applyFont="1" applyFill="1" applyBorder="1" applyAlignment="1" applyProtection="1">
      <alignment horizontal="left" vertical="center"/>
      <protection locked="0"/>
    </xf>
    <xf numFmtId="9" fontId="5" fillId="16" borderId="27" xfId="0" applyNumberFormat="1" applyFont="1" applyFill="1" applyBorder="1" applyProtection="1">
      <protection locked="0"/>
    </xf>
    <xf numFmtId="9" fontId="6" fillId="11" borderId="27" xfId="0" applyNumberFormat="1" applyFont="1" applyFill="1" applyBorder="1" applyProtection="1">
      <protection locked="0"/>
    </xf>
    <xf numFmtId="9" fontId="6" fillId="11" borderId="27" xfId="0" applyNumberFormat="1" applyFont="1" applyFill="1" applyBorder="1" applyAlignment="1" applyProtection="1">
      <alignment horizontal="center" vertical="center"/>
      <protection locked="0"/>
    </xf>
    <xf numFmtId="15" fontId="29" fillId="6" borderId="18" xfId="0" applyNumberFormat="1" applyFont="1" applyFill="1" applyBorder="1" applyProtection="1">
      <protection locked="0"/>
    </xf>
    <xf numFmtId="167" fontId="6" fillId="11" borderId="2" xfId="0" applyNumberFormat="1" applyFont="1" applyFill="1" applyBorder="1" applyAlignment="1" applyProtection="1">
      <alignment horizontal="center"/>
      <protection locked="0"/>
    </xf>
    <xf numFmtId="9" fontId="7" fillId="11" borderId="27" xfId="0" applyNumberFormat="1" applyFont="1" applyFill="1" applyBorder="1" applyProtection="1">
      <protection locked="0"/>
    </xf>
    <xf numFmtId="9" fontId="7" fillId="11" borderId="27" xfId="0" applyNumberFormat="1" applyFont="1" applyFill="1" applyBorder="1" applyAlignment="1" applyProtection="1">
      <alignment horizontal="center" vertical="center"/>
      <protection locked="0"/>
    </xf>
    <xf numFmtId="0" fontId="7" fillId="11" borderId="27" xfId="0" applyFont="1" applyFill="1" applyBorder="1" applyAlignment="1" applyProtection="1">
      <alignment horizontal="center"/>
      <protection locked="0"/>
    </xf>
    <xf numFmtId="168" fontId="11" fillId="11" borderId="27" xfId="0" applyNumberFormat="1" applyFont="1" applyFill="1" applyBorder="1" applyAlignment="1" applyProtection="1">
      <alignment horizontal="center"/>
      <protection locked="0"/>
    </xf>
    <xf numFmtId="14" fontId="5" fillId="13" borderId="65" xfId="0" applyNumberFormat="1" applyFont="1" applyFill="1" applyBorder="1" applyAlignment="1" applyProtection="1">
      <alignment horizontal="center"/>
      <protection locked="0"/>
    </xf>
    <xf numFmtId="14" fontId="5" fillId="13" borderId="66" xfId="0" applyNumberFormat="1" applyFont="1" applyFill="1" applyBorder="1" applyAlignment="1" applyProtection="1">
      <alignment horizontal="center"/>
      <protection locked="0"/>
    </xf>
    <xf numFmtId="2" fontId="5" fillId="13" borderId="83" xfId="0" applyNumberFormat="1" applyFont="1" applyFill="1" applyBorder="1" applyAlignment="1" applyProtection="1">
      <alignment horizontal="center"/>
      <protection locked="0"/>
    </xf>
    <xf numFmtId="14" fontId="5" fillId="13" borderId="78" xfId="0" applyNumberFormat="1" applyFont="1" applyFill="1" applyBorder="1" applyAlignment="1" applyProtection="1">
      <alignment horizontal="center"/>
      <protection locked="0"/>
    </xf>
    <xf numFmtId="14" fontId="5" fillId="13" borderId="70" xfId="0" applyNumberFormat="1" applyFont="1" applyFill="1" applyBorder="1" applyAlignment="1" applyProtection="1">
      <alignment horizontal="center"/>
      <protection locked="0"/>
    </xf>
    <xf numFmtId="2" fontId="5" fillId="10" borderId="58" xfId="0" applyNumberFormat="1" applyFont="1" applyFill="1" applyBorder="1" applyAlignment="1" applyProtection="1">
      <alignment horizontal="center"/>
      <protection locked="0"/>
    </xf>
    <xf numFmtId="14" fontId="5" fillId="10" borderId="65" xfId="0" applyNumberFormat="1" applyFont="1" applyFill="1" applyBorder="1" applyAlignment="1" applyProtection="1">
      <alignment horizontal="center"/>
      <protection locked="0"/>
    </xf>
    <xf numFmtId="167" fontId="5" fillId="11" borderId="35" xfId="3" applyFont="1" applyFill="1" applyBorder="1" applyAlignment="1" applyProtection="1">
      <alignment horizontal="center" vertical="center"/>
      <protection locked="0"/>
    </xf>
    <xf numFmtId="15" fontId="29" fillId="6" borderId="14" xfId="0" applyNumberFormat="1" applyFont="1" applyFill="1" applyBorder="1" applyProtection="1">
      <protection locked="0"/>
    </xf>
    <xf numFmtId="14" fontId="5" fillId="10" borderId="69" xfId="0" applyNumberFormat="1" applyFont="1" applyFill="1" applyBorder="1" applyAlignment="1" applyProtection="1">
      <alignment horizontal="center"/>
      <protection locked="0"/>
    </xf>
    <xf numFmtId="14" fontId="5" fillId="10" borderId="74" xfId="0" applyNumberFormat="1" applyFont="1" applyFill="1" applyBorder="1" applyAlignment="1" applyProtection="1">
      <alignment horizontal="center"/>
      <protection locked="0"/>
    </xf>
    <xf numFmtId="167" fontId="5" fillId="13" borderId="80" xfId="3" applyFont="1" applyFill="1" applyBorder="1" applyAlignment="1" applyProtection="1">
      <alignment horizontal="center"/>
      <protection locked="0"/>
    </xf>
    <xf numFmtId="167" fontId="5" fillId="13" borderId="79" xfId="3" applyFont="1" applyFill="1" applyBorder="1" applyAlignment="1" applyProtection="1">
      <alignment horizontal="center"/>
      <protection locked="0"/>
    </xf>
    <xf numFmtId="167" fontId="5" fillId="11" borderId="81" xfId="3" applyFont="1" applyFill="1" applyBorder="1" applyAlignment="1" applyProtection="1">
      <alignment horizontal="center"/>
      <protection locked="0"/>
    </xf>
    <xf numFmtId="14" fontId="5" fillId="11" borderId="66" xfId="0" applyNumberFormat="1" applyFont="1" applyFill="1" applyBorder="1" applyAlignment="1" applyProtection="1">
      <alignment horizontal="center"/>
      <protection locked="0"/>
    </xf>
    <xf numFmtId="167" fontId="5" fillId="13" borderId="82" xfId="3" applyFont="1" applyFill="1" applyBorder="1" applyAlignment="1" applyProtection="1">
      <alignment horizontal="center"/>
      <protection locked="0"/>
    </xf>
    <xf numFmtId="15" fontId="21" fillId="20" borderId="2" xfId="0" applyNumberFormat="1" applyFont="1" applyFill="1" applyBorder="1" applyAlignment="1">
      <alignment horizontal="center" wrapText="1"/>
    </xf>
    <xf numFmtId="0" fontId="32" fillId="7" borderId="2" xfId="0" applyFont="1" applyFill="1" applyBorder="1" applyAlignment="1">
      <alignment horizontal="center" vertical="center"/>
    </xf>
    <xf numFmtId="0" fontId="5" fillId="7" borderId="2" xfId="0" applyFont="1" applyFill="1" applyBorder="1" applyAlignment="1">
      <alignment vertical="center"/>
    </xf>
    <xf numFmtId="0" fontId="6" fillId="7" borderId="0" xfId="0" applyFont="1" applyFill="1" applyAlignment="1">
      <alignment vertical="center"/>
    </xf>
    <xf numFmtId="15" fontId="21" fillId="7" borderId="2" xfId="0" applyNumberFormat="1" applyFont="1" applyFill="1" applyBorder="1" applyAlignment="1">
      <alignment horizontal="center" vertical="center" wrapText="1"/>
    </xf>
    <xf numFmtId="0" fontId="21" fillId="7" borderId="2" xfId="0" applyFont="1" applyFill="1" applyBorder="1" applyAlignment="1">
      <alignment horizontal="center" vertical="center" wrapText="1"/>
    </xf>
    <xf numFmtId="167" fontId="6" fillId="7" borderId="0" xfId="0" applyNumberFormat="1" applyFont="1" applyFill="1" applyAlignment="1">
      <alignment horizontal="center" vertical="center"/>
    </xf>
    <xf numFmtId="9" fontId="27" fillId="7" borderId="2" xfId="2" applyFont="1" applyFill="1" applyBorder="1" applyAlignment="1" applyProtection="1">
      <alignment horizontal="center" vertical="center"/>
      <protection locked="0"/>
    </xf>
    <xf numFmtId="0" fontId="56" fillId="7" borderId="0" xfId="0" applyFont="1" applyFill="1" applyAlignment="1" applyProtection="1">
      <alignment vertical="center"/>
      <protection locked="0"/>
    </xf>
    <xf numFmtId="0" fontId="33" fillId="7" borderId="2" xfId="0" applyFont="1" applyFill="1" applyBorder="1" applyAlignment="1" applyProtection="1">
      <alignment vertical="center" wrapText="1"/>
      <protection locked="0"/>
    </xf>
    <xf numFmtId="167" fontId="5" fillId="13" borderId="81" xfId="3" applyFont="1" applyFill="1" applyBorder="1" applyAlignment="1" applyProtection="1">
      <alignment horizontal="center"/>
      <protection locked="0"/>
    </xf>
    <xf numFmtId="14" fontId="5" fillId="13" borderId="38" xfId="0" applyNumberFormat="1" applyFont="1" applyFill="1" applyBorder="1" applyAlignment="1" applyProtection="1">
      <alignment horizontal="center"/>
      <protection locked="0"/>
    </xf>
    <xf numFmtId="14" fontId="5" fillId="13" borderId="27" xfId="0" applyNumberFormat="1" applyFont="1" applyFill="1" applyBorder="1" applyAlignment="1" applyProtection="1">
      <alignment horizontal="center"/>
      <protection locked="0"/>
    </xf>
    <xf numFmtId="164" fontId="6" fillId="0" borderId="0" xfId="0" applyNumberFormat="1" applyFont="1" applyProtection="1">
      <protection locked="0"/>
    </xf>
    <xf numFmtId="14" fontId="5" fillId="10" borderId="75" xfId="0" applyNumberFormat="1" applyFont="1" applyFill="1" applyBorder="1" applyAlignment="1" applyProtection="1">
      <alignment horizontal="center"/>
      <protection locked="0"/>
    </xf>
    <xf numFmtId="164" fontId="26" fillId="7" borderId="2" xfId="1" applyFont="1" applyFill="1" applyBorder="1" applyProtection="1">
      <protection locked="0"/>
    </xf>
    <xf numFmtId="167" fontId="26" fillId="7" borderId="2" xfId="0" applyNumberFormat="1" applyFont="1" applyFill="1" applyBorder="1" applyProtection="1">
      <protection locked="0"/>
    </xf>
    <xf numFmtId="14" fontId="5" fillId="10" borderId="73" xfId="0" applyNumberFormat="1" applyFont="1" applyFill="1" applyBorder="1" applyAlignment="1" applyProtection="1">
      <alignment horizontal="center"/>
      <protection locked="0"/>
    </xf>
    <xf numFmtId="14" fontId="5" fillId="11" borderId="13" xfId="0" applyNumberFormat="1" applyFont="1" applyFill="1" applyBorder="1" applyAlignment="1" applyProtection="1">
      <alignment horizontal="center"/>
      <protection locked="0"/>
    </xf>
    <xf numFmtId="14" fontId="5" fillId="11" borderId="18" xfId="0" applyNumberFormat="1" applyFont="1" applyFill="1" applyBorder="1" applyAlignment="1" applyProtection="1">
      <alignment horizontal="center"/>
      <protection locked="0"/>
    </xf>
    <xf numFmtId="14" fontId="5" fillId="11" borderId="67" xfId="0" applyNumberFormat="1" applyFont="1" applyFill="1" applyBorder="1" applyAlignment="1" applyProtection="1">
      <alignment horizontal="center"/>
      <protection locked="0"/>
    </xf>
    <xf numFmtId="14" fontId="5" fillId="10" borderId="66" xfId="0" applyNumberFormat="1" applyFont="1" applyFill="1" applyBorder="1" applyAlignment="1" applyProtection="1">
      <alignment horizontal="center"/>
      <protection locked="0"/>
    </xf>
    <xf numFmtId="2" fontId="5" fillId="11" borderId="78" xfId="0" applyNumberFormat="1" applyFont="1" applyFill="1" applyBorder="1" applyAlignment="1" applyProtection="1">
      <alignment horizontal="center"/>
      <protection locked="0"/>
    </xf>
    <xf numFmtId="0" fontId="5" fillId="10" borderId="2" xfId="0" quotePrefix="1" applyFont="1" applyFill="1" applyBorder="1" applyAlignment="1" applyProtection="1">
      <alignment horizontal="center" vertical="center"/>
      <protection locked="0"/>
    </xf>
    <xf numFmtId="167" fontId="5" fillId="10" borderId="82" xfId="3" applyFont="1" applyFill="1" applyBorder="1" applyAlignment="1" applyProtection="1">
      <alignment horizontal="center"/>
      <protection locked="0"/>
    </xf>
    <xf numFmtId="167" fontId="5" fillId="10" borderId="86" xfId="3" applyFont="1" applyFill="1" applyBorder="1" applyAlignment="1" applyProtection="1">
      <alignment horizontal="center"/>
      <protection locked="0"/>
    </xf>
    <xf numFmtId="167" fontId="5" fillId="10" borderId="81" xfId="3" applyFont="1" applyFill="1" applyBorder="1" applyAlignment="1" applyProtection="1">
      <alignment horizontal="center"/>
      <protection locked="0"/>
    </xf>
    <xf numFmtId="14" fontId="5" fillId="13" borderId="76" xfId="0" applyNumberFormat="1" applyFont="1" applyFill="1" applyBorder="1" applyAlignment="1" applyProtection="1">
      <alignment horizontal="center"/>
      <protection locked="0"/>
    </xf>
    <xf numFmtId="14" fontId="5" fillId="13" borderId="67" xfId="0" applyNumberFormat="1" applyFont="1" applyFill="1" applyBorder="1" applyAlignment="1" applyProtection="1">
      <alignment horizontal="center"/>
      <protection locked="0"/>
    </xf>
    <xf numFmtId="14" fontId="5" fillId="11" borderId="76" xfId="0" applyNumberFormat="1" applyFont="1" applyFill="1" applyBorder="1" applyAlignment="1" applyProtection="1">
      <alignment horizontal="center"/>
      <protection locked="0"/>
    </xf>
    <xf numFmtId="2" fontId="5" fillId="11" borderId="76" xfId="0" applyNumberFormat="1" applyFont="1" applyFill="1" applyBorder="1" applyAlignment="1" applyProtection="1">
      <alignment horizontal="center"/>
      <protection locked="0"/>
    </xf>
    <xf numFmtId="14" fontId="5" fillId="10" borderId="22" xfId="0" applyNumberFormat="1" applyFont="1" applyFill="1" applyBorder="1" applyAlignment="1" applyProtection="1">
      <alignment horizontal="center"/>
      <protection locked="0"/>
    </xf>
    <xf numFmtId="14" fontId="5" fillId="10" borderId="82" xfId="0" applyNumberFormat="1" applyFont="1" applyFill="1" applyBorder="1" applyAlignment="1" applyProtection="1">
      <alignment horizontal="center"/>
      <protection locked="0"/>
    </xf>
    <xf numFmtId="15" fontId="21" fillId="0" borderId="2" xfId="0" applyNumberFormat="1" applyFont="1" applyBorder="1" applyAlignment="1">
      <alignment horizontal="center" wrapText="1"/>
    </xf>
    <xf numFmtId="167" fontId="11" fillId="16" borderId="35" xfId="3" applyFont="1" applyFill="1" applyBorder="1" applyAlignment="1" applyProtection="1">
      <alignment horizontal="center"/>
      <protection locked="0"/>
    </xf>
    <xf numFmtId="0" fontId="11" fillId="16" borderId="2" xfId="0" applyFont="1" applyFill="1" applyBorder="1" applyAlignment="1" applyProtection="1">
      <alignment horizontal="left" vertical="center"/>
      <protection locked="0"/>
    </xf>
    <xf numFmtId="9" fontId="11" fillId="16" borderId="2" xfId="0" applyNumberFormat="1" applyFont="1" applyFill="1" applyBorder="1" applyAlignment="1" applyProtection="1">
      <alignment horizontal="center"/>
      <protection locked="0"/>
    </xf>
    <xf numFmtId="167" fontId="11" fillId="16" borderId="2" xfId="3" applyFont="1" applyFill="1" applyBorder="1" applyAlignment="1" applyProtection="1">
      <alignment horizontal="center"/>
      <protection locked="0"/>
    </xf>
    <xf numFmtId="0" fontId="11" fillId="16" borderId="27" xfId="0" applyFont="1" applyFill="1" applyBorder="1" applyProtection="1">
      <protection locked="0"/>
    </xf>
    <xf numFmtId="9" fontId="11" fillId="16" borderId="27" xfId="0" applyNumberFormat="1" applyFont="1" applyFill="1" applyBorder="1" applyAlignment="1" applyProtection="1">
      <alignment horizontal="center"/>
      <protection locked="0"/>
    </xf>
    <xf numFmtId="167" fontId="11" fillId="16" borderId="27" xfId="3" applyFont="1" applyFill="1" applyBorder="1" applyAlignment="1" applyProtection="1">
      <alignment horizontal="center"/>
      <protection locked="0"/>
    </xf>
    <xf numFmtId="168" fontId="11" fillId="16" borderId="2" xfId="0" applyNumberFormat="1" applyFont="1" applyFill="1" applyBorder="1" applyAlignment="1" applyProtection="1">
      <alignment horizontal="center"/>
      <protection locked="0"/>
    </xf>
    <xf numFmtId="9" fontId="11" fillId="16" borderId="35" xfId="0" applyNumberFormat="1" applyFont="1" applyFill="1" applyBorder="1" applyProtection="1">
      <protection locked="0"/>
    </xf>
    <xf numFmtId="9" fontId="11" fillId="16" borderId="35" xfId="0" applyNumberFormat="1" applyFont="1" applyFill="1" applyBorder="1" applyAlignment="1" applyProtection="1">
      <alignment horizontal="center"/>
      <protection locked="0"/>
    </xf>
    <xf numFmtId="168" fontId="11" fillId="16" borderId="36" xfId="0" applyNumberFormat="1" applyFont="1" applyFill="1" applyBorder="1" applyAlignment="1" applyProtection="1">
      <alignment horizontal="center"/>
      <protection locked="0"/>
    </xf>
    <xf numFmtId="14" fontId="5" fillId="13" borderId="74" xfId="0" applyNumberFormat="1" applyFont="1" applyFill="1" applyBorder="1" applyAlignment="1" applyProtection="1">
      <alignment horizontal="center"/>
      <protection locked="0"/>
    </xf>
    <xf numFmtId="2" fontId="5" fillId="13" borderId="58" xfId="0" applyNumberFormat="1" applyFont="1" applyFill="1" applyBorder="1" applyAlignment="1" applyProtection="1">
      <alignment horizontal="center"/>
      <protection locked="0"/>
    </xf>
    <xf numFmtId="168" fontId="11" fillId="11" borderId="35" xfId="0" applyNumberFormat="1" applyFont="1" applyFill="1" applyBorder="1" applyAlignment="1" applyProtection="1">
      <alignment horizontal="center" vertical="center"/>
      <protection locked="0"/>
    </xf>
    <xf numFmtId="0" fontId="11" fillId="11" borderId="35" xfId="0" applyFont="1" applyFill="1" applyBorder="1" applyAlignment="1" applyProtection="1">
      <alignment horizontal="center"/>
      <protection locked="0"/>
    </xf>
    <xf numFmtId="14" fontId="5" fillId="13" borderId="64" xfId="0" applyNumberFormat="1" applyFont="1" applyFill="1" applyBorder="1" applyAlignment="1" applyProtection="1">
      <alignment horizontal="center"/>
      <protection locked="0"/>
    </xf>
    <xf numFmtId="2" fontId="5" fillId="11" borderId="75" xfId="0" applyNumberFormat="1" applyFont="1" applyFill="1" applyBorder="1" applyAlignment="1" applyProtection="1">
      <alignment horizontal="center"/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44" fillId="9" borderId="22" xfId="0" applyFont="1" applyFill="1" applyBorder="1" applyAlignment="1" applyProtection="1">
      <alignment horizontal="left"/>
      <protection locked="0"/>
    </xf>
    <xf numFmtId="0" fontId="44" fillId="9" borderId="0" xfId="0" applyFont="1" applyFill="1" applyAlignment="1" applyProtection="1">
      <alignment horizontal="left"/>
      <protection locked="0"/>
    </xf>
    <xf numFmtId="0" fontId="44" fillId="9" borderId="23" xfId="0" applyFont="1" applyFill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14" fontId="5" fillId="10" borderId="79" xfId="0" applyNumberFormat="1" applyFont="1" applyFill="1" applyBorder="1" applyAlignment="1" applyProtection="1">
      <alignment horizontal="center"/>
      <protection locked="0"/>
    </xf>
    <xf numFmtId="14" fontId="5" fillId="10" borderId="10" xfId="0" applyNumberFormat="1" applyFont="1" applyFill="1" applyBorder="1" applyAlignment="1" applyProtection="1">
      <alignment horizontal="center"/>
      <protection locked="0"/>
    </xf>
    <xf numFmtId="0" fontId="5" fillId="13" borderId="1" xfId="0" applyFont="1" applyFill="1" applyBorder="1" applyProtection="1">
      <protection locked="0"/>
    </xf>
    <xf numFmtId="167" fontId="5" fillId="13" borderId="86" xfId="3" applyFont="1" applyFill="1" applyBorder="1" applyAlignment="1" applyProtection="1">
      <alignment horizontal="center"/>
      <protection locked="0"/>
    </xf>
    <xf numFmtId="168" fontId="5" fillId="16" borderId="32" xfId="0" applyNumberFormat="1" applyFont="1" applyFill="1" applyBorder="1" applyAlignment="1" applyProtection="1">
      <alignment horizontal="center"/>
      <protection locked="0"/>
    </xf>
    <xf numFmtId="0" fontId="21" fillId="7" borderId="0" xfId="0" applyFont="1" applyFill="1" applyAlignment="1">
      <alignment horizontal="center" vertical="center"/>
    </xf>
    <xf numFmtId="0" fontId="32" fillId="8" borderId="2" xfId="0" applyFont="1" applyFill="1" applyBorder="1" applyAlignment="1">
      <alignment horizontal="center" vertical="center"/>
    </xf>
    <xf numFmtId="0" fontId="32" fillId="7" borderId="0" xfId="0" applyFont="1" applyFill="1" applyAlignment="1">
      <alignment horizontal="center" vertical="center"/>
    </xf>
    <xf numFmtId="0" fontId="11" fillId="11" borderId="27" xfId="0" applyFont="1" applyFill="1" applyBorder="1" applyProtection="1">
      <protection locked="0"/>
    </xf>
    <xf numFmtId="168" fontId="11" fillId="11" borderId="27" xfId="0" applyNumberFormat="1" applyFont="1" applyFill="1" applyBorder="1" applyAlignment="1" applyProtection="1">
      <alignment horizontal="center" vertical="center"/>
      <protection locked="0"/>
    </xf>
    <xf numFmtId="0" fontId="11" fillId="11" borderId="27" xfId="0" applyFont="1" applyFill="1" applyBorder="1" applyAlignment="1" applyProtection="1">
      <alignment horizontal="center"/>
      <protection locked="0"/>
    </xf>
    <xf numFmtId="0" fontId="26" fillId="0" borderId="10" xfId="0" applyFont="1" applyBorder="1" applyAlignment="1" applyProtection="1">
      <alignment horizontal="left"/>
      <protection locked="0"/>
    </xf>
    <xf numFmtId="0" fontId="26" fillId="0" borderId="15" xfId="0" applyFont="1" applyBorder="1" applyAlignment="1" applyProtection="1">
      <alignment horizontal="left"/>
      <protection locked="0"/>
    </xf>
    <xf numFmtId="9" fontId="5" fillId="10" borderId="29" xfId="0" applyNumberFormat="1" applyFont="1" applyFill="1" applyBorder="1" applyProtection="1">
      <protection locked="0"/>
    </xf>
    <xf numFmtId="9" fontId="5" fillId="10" borderId="29" xfId="0" applyNumberFormat="1" applyFont="1" applyFill="1" applyBorder="1" applyAlignment="1" applyProtection="1">
      <alignment horizontal="center" vertical="center"/>
      <protection locked="0"/>
    </xf>
    <xf numFmtId="9" fontId="5" fillId="10" borderId="29" xfId="0" applyNumberFormat="1" applyFont="1" applyFill="1" applyBorder="1" applyAlignment="1" applyProtection="1">
      <alignment horizontal="center"/>
      <protection locked="0"/>
    </xf>
    <xf numFmtId="168" fontId="5" fillId="10" borderId="29" xfId="0" applyNumberFormat="1" applyFont="1" applyFill="1" applyBorder="1" applyAlignment="1" applyProtection="1">
      <alignment horizontal="center"/>
      <protection locked="0"/>
    </xf>
    <xf numFmtId="168" fontId="23" fillId="11" borderId="27" xfId="0" applyNumberFormat="1" applyFont="1" applyFill="1" applyBorder="1" applyAlignment="1" applyProtection="1">
      <alignment horizontal="center" vertical="center"/>
      <protection locked="0"/>
    </xf>
    <xf numFmtId="0" fontId="23" fillId="11" borderId="27" xfId="0" applyFont="1" applyFill="1" applyBorder="1" applyAlignment="1" applyProtection="1">
      <alignment horizontal="center"/>
      <protection locked="0"/>
    </xf>
    <xf numFmtId="9" fontId="23" fillId="13" borderId="1" xfId="0" applyNumberFormat="1" applyFont="1" applyFill="1" applyBorder="1" applyAlignment="1" applyProtection="1">
      <alignment horizontal="center" vertical="center"/>
      <protection locked="0"/>
    </xf>
    <xf numFmtId="9" fontId="23" fillId="13" borderId="1" xfId="0" applyNumberFormat="1" applyFont="1" applyFill="1" applyBorder="1" applyAlignment="1" applyProtection="1">
      <alignment horizontal="center"/>
      <protection locked="0"/>
    </xf>
    <xf numFmtId="2" fontId="57" fillId="11" borderId="75" xfId="0" applyNumberFormat="1" applyFont="1" applyFill="1" applyBorder="1" applyAlignment="1" applyProtection="1">
      <alignment horizontal="center"/>
      <protection locked="0"/>
    </xf>
    <xf numFmtId="14" fontId="57" fillId="11" borderId="66" xfId="0" applyNumberFormat="1" applyFont="1" applyFill="1" applyBorder="1" applyAlignment="1" applyProtection="1">
      <alignment horizontal="center"/>
      <protection locked="0"/>
    </xf>
    <xf numFmtId="168" fontId="11" fillId="13" borderId="1" xfId="0" applyNumberFormat="1" applyFont="1" applyFill="1" applyBorder="1" applyAlignment="1" applyProtection="1">
      <alignment horizontal="center"/>
      <protection locked="0"/>
    </xf>
    <xf numFmtId="167" fontId="23" fillId="13" borderId="1" xfId="0" applyNumberFormat="1" applyFont="1" applyFill="1" applyBorder="1" applyAlignment="1" applyProtection="1">
      <alignment horizontal="center"/>
      <protection locked="0"/>
    </xf>
    <xf numFmtId="167" fontId="57" fillId="13" borderId="79" xfId="3" applyFont="1" applyFill="1" applyBorder="1" applyAlignment="1" applyProtection="1">
      <alignment horizontal="center"/>
      <protection locked="0"/>
    </xf>
    <xf numFmtId="167" fontId="57" fillId="11" borderId="79" xfId="3" applyFont="1" applyFill="1" applyBorder="1" applyAlignment="1" applyProtection="1">
      <alignment horizontal="center"/>
      <protection locked="0"/>
    </xf>
    <xf numFmtId="167" fontId="57" fillId="11" borderId="81" xfId="3" applyFont="1" applyFill="1" applyBorder="1" applyAlignment="1" applyProtection="1">
      <alignment horizontal="center"/>
      <protection locked="0"/>
    </xf>
    <xf numFmtId="167" fontId="57" fillId="10" borderId="82" xfId="3" applyFont="1" applyFill="1" applyBorder="1" applyAlignment="1" applyProtection="1">
      <alignment horizontal="center"/>
      <protection locked="0"/>
    </xf>
    <xf numFmtId="164" fontId="31" fillId="7" borderId="0" xfId="0" applyNumberFormat="1" applyFont="1" applyFill="1" applyProtection="1">
      <protection locked="0"/>
    </xf>
    <xf numFmtId="15" fontId="58" fillId="0" borderId="2" xfId="0" quotePrefix="1" applyNumberFormat="1" applyFont="1" applyBorder="1" applyAlignment="1" applyProtection="1">
      <alignment horizontal="center"/>
      <protection locked="0"/>
    </xf>
    <xf numFmtId="0" fontId="58" fillId="0" borderId="0" xfId="0" applyFont="1" applyProtection="1">
      <protection locked="0"/>
    </xf>
    <xf numFmtId="15" fontId="58" fillId="0" borderId="2" xfId="0" applyNumberFormat="1" applyFont="1" applyBorder="1" applyAlignment="1" applyProtection="1">
      <alignment horizontal="center"/>
      <protection locked="0"/>
    </xf>
    <xf numFmtId="14" fontId="57" fillId="10" borderId="78" xfId="0" applyNumberFormat="1" applyFont="1" applyFill="1" applyBorder="1" applyAlignment="1" applyProtection="1">
      <alignment horizontal="center"/>
      <protection locked="0"/>
    </xf>
    <xf numFmtId="14" fontId="57" fillId="10" borderId="67" xfId="0" applyNumberFormat="1" applyFont="1" applyFill="1" applyBorder="1" applyAlignment="1" applyProtection="1">
      <alignment horizontal="center"/>
      <protection locked="0"/>
    </xf>
    <xf numFmtId="2" fontId="57" fillId="11" borderId="83" xfId="0" applyNumberFormat="1" applyFont="1" applyFill="1" applyBorder="1" applyAlignment="1" applyProtection="1">
      <alignment horizontal="center"/>
      <protection locked="0"/>
    </xf>
    <xf numFmtId="14" fontId="57" fillId="11" borderId="78" xfId="0" applyNumberFormat="1" applyFont="1" applyFill="1" applyBorder="1" applyAlignment="1" applyProtection="1">
      <alignment horizontal="center"/>
      <protection locked="0"/>
    </xf>
    <xf numFmtId="14" fontId="57" fillId="11" borderId="67" xfId="0" applyNumberFormat="1" applyFont="1" applyFill="1" applyBorder="1" applyAlignment="1" applyProtection="1">
      <alignment horizontal="center"/>
      <protection locked="0"/>
    </xf>
    <xf numFmtId="164" fontId="0" fillId="0" borderId="0" xfId="0" applyNumberFormat="1"/>
    <xf numFmtId="167" fontId="5" fillId="11" borderId="86" xfId="3" applyFont="1" applyFill="1" applyBorder="1" applyAlignment="1" applyProtection="1">
      <alignment horizontal="center"/>
      <protection locked="0"/>
    </xf>
    <xf numFmtId="0" fontId="60" fillId="0" borderId="0" xfId="0" applyFont="1" applyAlignment="1">
      <alignment vertical="center"/>
    </xf>
    <xf numFmtId="0" fontId="61" fillId="0" borderId="2" xfId="0" applyFont="1" applyBorder="1" applyAlignment="1">
      <alignment vertical="center"/>
    </xf>
    <xf numFmtId="0" fontId="62" fillId="0" borderId="2" xfId="0" applyFont="1" applyBorder="1"/>
    <xf numFmtId="0" fontId="61" fillId="0" borderId="2" xfId="0" applyFont="1" applyBorder="1" applyAlignment="1">
      <alignment vertical="center" wrapText="1"/>
    </xf>
    <xf numFmtId="0" fontId="64" fillId="0" borderId="2" xfId="0" applyFont="1" applyBorder="1" applyAlignment="1">
      <alignment vertical="center" wrapText="1"/>
    </xf>
    <xf numFmtId="15" fontId="61" fillId="0" borderId="2" xfId="0" applyNumberFormat="1" applyFont="1" applyBorder="1" applyAlignment="1">
      <alignment vertical="center" wrapText="1"/>
    </xf>
    <xf numFmtId="0" fontId="7" fillId="6" borderId="0" xfId="0" applyFont="1" applyFill="1" applyAlignment="1" applyProtection="1">
      <alignment horizontal="right"/>
      <protection locked="0"/>
    </xf>
    <xf numFmtId="168" fontId="7" fillId="11" borderId="13" xfId="0" applyNumberFormat="1" applyFont="1" applyFill="1" applyBorder="1" applyAlignment="1" applyProtection="1">
      <alignment horizontal="center" vertical="center"/>
      <protection locked="0"/>
    </xf>
    <xf numFmtId="168" fontId="7" fillId="11" borderId="18" xfId="0" applyNumberFormat="1" applyFont="1" applyFill="1" applyBorder="1" applyAlignment="1" applyProtection="1">
      <alignment horizontal="center" vertical="center"/>
      <protection locked="0"/>
    </xf>
    <xf numFmtId="168" fontId="7" fillId="11" borderId="14" xfId="0" applyNumberFormat="1" applyFont="1" applyFill="1" applyBorder="1" applyAlignment="1" applyProtection="1">
      <alignment horizontal="center" vertical="center"/>
      <protection locked="0"/>
    </xf>
    <xf numFmtId="168" fontId="13" fillId="11" borderId="28" xfId="0" applyNumberFormat="1" applyFont="1" applyFill="1" applyBorder="1" applyAlignment="1" applyProtection="1">
      <alignment horizontal="center"/>
      <protection locked="0"/>
    </xf>
    <xf numFmtId="168" fontId="13" fillId="11" borderId="47" xfId="0" applyNumberFormat="1" applyFont="1" applyFill="1" applyBorder="1" applyAlignment="1" applyProtection="1">
      <alignment horizontal="center"/>
      <protection locked="0"/>
    </xf>
    <xf numFmtId="14" fontId="13" fillId="11" borderId="47" xfId="0" applyNumberFormat="1" applyFont="1" applyFill="1" applyBorder="1" applyAlignment="1" applyProtection="1">
      <alignment horizontal="center"/>
      <protection locked="0"/>
    </xf>
    <xf numFmtId="14" fontId="13" fillId="11" borderId="49" xfId="0" applyNumberFormat="1" applyFont="1" applyFill="1" applyBorder="1" applyAlignment="1" applyProtection="1">
      <alignment horizontal="center"/>
      <protection locked="0"/>
    </xf>
    <xf numFmtId="168" fontId="7" fillId="11" borderId="6" xfId="0" applyNumberFormat="1" applyFont="1" applyFill="1" applyBorder="1" applyAlignment="1" applyProtection="1">
      <alignment horizontal="center" vertical="center"/>
      <protection locked="0"/>
    </xf>
    <xf numFmtId="168" fontId="7" fillId="11" borderId="73" xfId="0" applyNumberFormat="1" applyFont="1" applyFill="1" applyBorder="1" applyAlignment="1" applyProtection="1">
      <alignment horizontal="center" vertical="center"/>
      <protection locked="0"/>
    </xf>
    <xf numFmtId="168" fontId="7" fillId="11" borderId="9" xfId="0" applyNumberFormat="1" applyFont="1" applyFill="1" applyBorder="1" applyAlignment="1" applyProtection="1">
      <alignment horizontal="center" vertical="center"/>
      <protection locked="0"/>
    </xf>
    <xf numFmtId="168" fontId="13" fillId="10" borderId="28" xfId="0" applyNumberFormat="1" applyFont="1" applyFill="1" applyBorder="1" applyAlignment="1" applyProtection="1">
      <alignment horizontal="center"/>
      <protection locked="0"/>
    </xf>
    <xf numFmtId="14" fontId="13" fillId="10" borderId="47" xfId="0" applyNumberFormat="1" applyFont="1" applyFill="1" applyBorder="1" applyAlignment="1" applyProtection="1">
      <alignment horizontal="center"/>
      <protection locked="0"/>
    </xf>
    <xf numFmtId="14" fontId="13" fillId="10" borderId="49" xfId="0" applyNumberFormat="1" applyFont="1" applyFill="1" applyBorder="1" applyAlignment="1" applyProtection="1">
      <alignment horizontal="center"/>
      <protection locked="0"/>
    </xf>
    <xf numFmtId="168" fontId="13" fillId="12" borderId="28" xfId="0" applyNumberFormat="1" applyFont="1" applyFill="1" applyBorder="1" applyAlignment="1" applyProtection="1">
      <alignment horizontal="center"/>
      <protection locked="0"/>
    </xf>
    <xf numFmtId="14" fontId="13" fillId="12" borderId="47" xfId="0" applyNumberFormat="1" applyFont="1" applyFill="1" applyBorder="1" applyAlignment="1" applyProtection="1">
      <alignment horizontal="center"/>
      <protection locked="0"/>
    </xf>
    <xf numFmtId="14" fontId="13" fillId="12" borderId="49" xfId="0" applyNumberFormat="1" applyFont="1" applyFill="1" applyBorder="1" applyAlignment="1" applyProtection="1">
      <alignment horizontal="center"/>
      <protection locked="0"/>
    </xf>
    <xf numFmtId="168" fontId="5" fillId="13" borderId="28" xfId="0" applyNumberFormat="1" applyFont="1" applyFill="1" applyBorder="1" applyAlignment="1" applyProtection="1">
      <alignment horizontal="center"/>
      <protection locked="0"/>
    </xf>
    <xf numFmtId="14" fontId="5" fillId="13" borderId="47" xfId="0" applyNumberFormat="1" applyFont="1" applyFill="1" applyBorder="1" applyAlignment="1" applyProtection="1">
      <alignment horizontal="center"/>
      <protection locked="0"/>
    </xf>
    <xf numFmtId="14" fontId="5" fillId="13" borderId="49" xfId="0" applyNumberFormat="1" applyFont="1" applyFill="1" applyBorder="1" applyAlignment="1" applyProtection="1">
      <alignment horizontal="center"/>
      <protection locked="0"/>
    </xf>
    <xf numFmtId="168" fontId="5" fillId="11" borderId="28" xfId="0" applyNumberFormat="1" applyFont="1" applyFill="1" applyBorder="1" applyAlignment="1" applyProtection="1">
      <alignment horizontal="center"/>
      <protection locked="0"/>
    </xf>
    <xf numFmtId="14" fontId="5" fillId="11" borderId="47" xfId="0" applyNumberFormat="1" applyFont="1" applyFill="1" applyBorder="1" applyAlignment="1" applyProtection="1">
      <alignment horizontal="center"/>
      <protection locked="0"/>
    </xf>
    <xf numFmtId="14" fontId="5" fillId="11" borderId="49" xfId="0" applyNumberFormat="1" applyFont="1" applyFill="1" applyBorder="1" applyAlignment="1" applyProtection="1">
      <alignment horizontal="center"/>
      <protection locked="0"/>
    </xf>
    <xf numFmtId="0" fontId="23" fillId="7" borderId="11" xfId="0" applyFont="1" applyFill="1" applyBorder="1" applyAlignment="1" applyProtection="1">
      <alignment horizontal="center" vertical="center"/>
      <protection locked="0"/>
    </xf>
    <xf numFmtId="0" fontId="23" fillId="7" borderId="16" xfId="0" applyFont="1" applyFill="1" applyBorder="1" applyAlignment="1" applyProtection="1">
      <alignment horizontal="center" vertical="center"/>
      <protection locked="0"/>
    </xf>
    <xf numFmtId="0" fontId="23" fillId="7" borderId="17" xfId="0" applyFont="1" applyFill="1" applyBorder="1" applyAlignment="1" applyProtection="1">
      <alignment horizontal="center" vertical="center"/>
      <protection locked="0"/>
    </xf>
    <xf numFmtId="167" fontId="13" fillId="11" borderId="28" xfId="3" applyFont="1" applyFill="1" applyBorder="1" applyAlignment="1" applyProtection="1">
      <alignment horizontal="center" vertical="center"/>
      <protection locked="0"/>
    </xf>
    <xf numFmtId="167" fontId="13" fillId="11" borderId="47" xfId="3" applyFont="1" applyFill="1" applyBorder="1" applyAlignment="1" applyProtection="1">
      <alignment horizontal="center" vertical="center"/>
      <protection locked="0"/>
    </xf>
    <xf numFmtId="167" fontId="13" fillId="11" borderId="49" xfId="3" applyFont="1" applyFill="1" applyBorder="1" applyAlignment="1" applyProtection="1">
      <alignment horizontal="center" vertical="center"/>
      <protection locked="0"/>
    </xf>
    <xf numFmtId="168" fontId="5" fillId="19" borderId="28" xfId="0" applyNumberFormat="1" applyFont="1" applyFill="1" applyBorder="1" applyAlignment="1" applyProtection="1">
      <alignment horizontal="center" vertical="center"/>
      <protection locked="0"/>
    </xf>
    <xf numFmtId="14" fontId="5" fillId="19" borderId="47" xfId="0" applyNumberFormat="1" applyFont="1" applyFill="1" applyBorder="1" applyAlignment="1" applyProtection="1">
      <alignment horizontal="center" vertical="center"/>
      <protection locked="0"/>
    </xf>
    <xf numFmtId="14" fontId="5" fillId="19" borderId="49" xfId="0" applyNumberFormat="1" applyFont="1" applyFill="1" applyBorder="1" applyAlignment="1" applyProtection="1">
      <alignment horizontal="center" vertical="center"/>
      <protection locked="0"/>
    </xf>
    <xf numFmtId="168" fontId="13" fillId="13" borderId="4" xfId="0" applyNumberFormat="1" applyFont="1" applyFill="1" applyBorder="1" applyAlignment="1" applyProtection="1">
      <alignment horizontal="center"/>
      <protection locked="0"/>
    </xf>
    <xf numFmtId="168" fontId="13" fillId="13" borderId="51" xfId="0" applyNumberFormat="1" applyFont="1" applyFill="1" applyBorder="1" applyAlignment="1" applyProtection="1">
      <alignment horizontal="center"/>
      <protection locked="0"/>
    </xf>
    <xf numFmtId="14" fontId="13" fillId="13" borderId="47" xfId="0" applyNumberFormat="1" applyFont="1" applyFill="1" applyBorder="1" applyAlignment="1" applyProtection="1">
      <alignment horizontal="center"/>
      <protection locked="0"/>
    </xf>
    <xf numFmtId="14" fontId="13" fillId="13" borderId="49" xfId="0" applyNumberFormat="1" applyFont="1" applyFill="1" applyBorder="1" applyAlignment="1" applyProtection="1">
      <alignment horizontal="center"/>
      <protection locked="0"/>
    </xf>
    <xf numFmtId="168" fontId="7" fillId="13" borderId="13" xfId="0" applyNumberFormat="1" applyFont="1" applyFill="1" applyBorder="1" applyAlignment="1" applyProtection="1">
      <alignment horizontal="center" vertical="center"/>
      <protection locked="0"/>
    </xf>
    <xf numFmtId="168" fontId="7" fillId="13" borderId="18" xfId="0" applyNumberFormat="1" applyFont="1" applyFill="1" applyBorder="1" applyAlignment="1" applyProtection="1">
      <alignment horizontal="center" vertical="center"/>
      <protection locked="0"/>
    </xf>
    <xf numFmtId="168" fontId="7" fillId="13" borderId="14" xfId="0" applyNumberFormat="1" applyFont="1" applyFill="1" applyBorder="1" applyAlignment="1" applyProtection="1">
      <alignment horizontal="center" vertical="center"/>
      <protection locked="0"/>
    </xf>
    <xf numFmtId="168" fontId="7" fillId="10" borderId="13" xfId="0" applyNumberFormat="1" applyFont="1" applyFill="1" applyBorder="1" applyAlignment="1" applyProtection="1">
      <alignment horizontal="center" vertical="center"/>
      <protection locked="0"/>
    </xf>
    <xf numFmtId="168" fontId="7" fillId="10" borderId="18" xfId="0" applyNumberFormat="1" applyFont="1" applyFill="1" applyBorder="1" applyAlignment="1" applyProtection="1">
      <alignment horizontal="center" vertical="center"/>
      <protection locked="0"/>
    </xf>
    <xf numFmtId="168" fontId="7" fillId="10" borderId="14" xfId="0" applyNumberFormat="1" applyFont="1" applyFill="1" applyBorder="1" applyAlignment="1" applyProtection="1">
      <alignment horizontal="center" vertical="center"/>
      <protection locked="0"/>
    </xf>
    <xf numFmtId="168" fontId="7" fillId="13" borderId="6" xfId="0" applyNumberFormat="1" applyFont="1" applyFill="1" applyBorder="1" applyAlignment="1" applyProtection="1">
      <alignment horizontal="center" vertical="center"/>
      <protection locked="0"/>
    </xf>
    <xf numFmtId="168" fontId="7" fillId="13" borderId="73" xfId="0" applyNumberFormat="1" applyFont="1" applyFill="1" applyBorder="1" applyAlignment="1" applyProtection="1">
      <alignment horizontal="center" vertical="center"/>
      <protection locked="0"/>
    </xf>
    <xf numFmtId="168" fontId="7" fillId="13" borderId="9" xfId="0" applyNumberFormat="1" applyFont="1" applyFill="1" applyBorder="1" applyAlignment="1" applyProtection="1">
      <alignment horizontal="center" vertical="center"/>
      <protection locked="0"/>
    </xf>
    <xf numFmtId="168" fontId="7" fillId="10" borderId="6" xfId="0" applyNumberFormat="1" applyFont="1" applyFill="1" applyBorder="1" applyAlignment="1" applyProtection="1">
      <alignment horizontal="center" vertical="center"/>
      <protection locked="0"/>
    </xf>
    <xf numFmtId="168" fontId="7" fillId="10" borderId="73" xfId="0" applyNumberFormat="1" applyFont="1" applyFill="1" applyBorder="1" applyAlignment="1" applyProtection="1">
      <alignment horizontal="center" vertical="center"/>
      <protection locked="0"/>
    </xf>
    <xf numFmtId="168" fontId="7" fillId="10" borderId="9" xfId="0" applyNumberFormat="1" applyFont="1" applyFill="1" applyBorder="1" applyAlignment="1" applyProtection="1">
      <alignment horizontal="center" vertical="center"/>
      <protection locked="0"/>
    </xf>
    <xf numFmtId="168" fontId="5" fillId="11" borderId="13" xfId="0" applyNumberFormat="1" applyFont="1" applyFill="1" applyBorder="1" applyAlignment="1" applyProtection="1">
      <alignment horizontal="center"/>
      <protection locked="0"/>
    </xf>
    <xf numFmtId="168" fontId="5" fillId="11" borderId="18" xfId="0" applyNumberFormat="1" applyFont="1" applyFill="1" applyBorder="1" applyAlignment="1" applyProtection="1">
      <alignment horizontal="center"/>
      <protection locked="0"/>
    </xf>
    <xf numFmtId="168" fontId="5" fillId="11" borderId="14" xfId="0" applyNumberFormat="1" applyFont="1" applyFill="1" applyBorder="1" applyAlignment="1" applyProtection="1">
      <alignment horizontal="center"/>
      <protection locked="0"/>
    </xf>
    <xf numFmtId="0" fontId="7" fillId="8" borderId="11" xfId="0" applyFont="1" applyFill="1" applyBorder="1" applyAlignment="1" applyProtection="1">
      <alignment horizont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0" fontId="6" fillId="8" borderId="17" xfId="0" applyFont="1" applyFill="1" applyBorder="1" applyAlignment="1" applyProtection="1">
      <alignment horizontal="center"/>
      <protection locked="0"/>
    </xf>
    <xf numFmtId="0" fontId="11" fillId="8" borderId="11" xfId="0" applyFont="1" applyFill="1" applyBorder="1" applyAlignment="1" applyProtection="1">
      <alignment horizontal="center"/>
      <protection locked="0"/>
    </xf>
    <xf numFmtId="0" fontId="11" fillId="8" borderId="16" xfId="0" applyFont="1" applyFill="1" applyBorder="1" applyAlignment="1" applyProtection="1">
      <alignment horizontal="center"/>
      <protection locked="0"/>
    </xf>
    <xf numFmtId="0" fontId="5" fillId="11" borderId="13" xfId="0" applyFont="1" applyFill="1" applyBorder="1" applyAlignment="1" applyProtection="1">
      <alignment horizontal="center"/>
      <protection locked="0"/>
    </xf>
    <xf numFmtId="0" fontId="5" fillId="11" borderId="82" xfId="0" applyFont="1" applyFill="1" applyBorder="1" applyAlignment="1" applyProtection="1">
      <alignment horizontal="center"/>
      <protection locked="0"/>
    </xf>
    <xf numFmtId="168" fontId="13" fillId="11" borderId="28" xfId="0" applyNumberFormat="1" applyFont="1" applyFill="1" applyBorder="1" applyAlignment="1" applyProtection="1">
      <alignment horizontal="center" vertical="center"/>
      <protection locked="0"/>
    </xf>
    <xf numFmtId="14" fontId="13" fillId="11" borderId="47" xfId="0" applyNumberFormat="1" applyFont="1" applyFill="1" applyBorder="1" applyAlignment="1" applyProtection="1">
      <alignment horizontal="center" vertical="center"/>
      <protection locked="0"/>
    </xf>
    <xf numFmtId="14" fontId="13" fillId="11" borderId="49" xfId="0" applyNumberFormat="1" applyFont="1" applyFill="1" applyBorder="1" applyAlignment="1" applyProtection="1">
      <alignment horizontal="center" vertical="center"/>
      <protection locked="0"/>
    </xf>
    <xf numFmtId="0" fontId="13" fillId="0" borderId="5" xfId="0" applyFont="1" applyBorder="1" applyAlignment="1" applyProtection="1">
      <alignment horizontal="center" vertical="center" wrapText="1"/>
      <protection locked="0"/>
    </xf>
    <xf numFmtId="0" fontId="13" fillId="0" borderId="6" xfId="0" applyFont="1" applyBorder="1" applyAlignment="1" applyProtection="1">
      <alignment horizontal="center" vertical="center" wrapText="1"/>
      <protection locked="0"/>
    </xf>
    <xf numFmtId="0" fontId="13" fillId="0" borderId="8" xfId="0" applyFont="1" applyBorder="1" applyAlignment="1" applyProtection="1">
      <alignment horizontal="center" vertical="center" wrapText="1"/>
      <protection locked="0"/>
    </xf>
    <xf numFmtId="0" fontId="13" fillId="0" borderId="9" xfId="0" applyFont="1" applyBorder="1" applyAlignment="1" applyProtection="1">
      <alignment horizontal="center" vertical="center" wrapText="1"/>
      <protection locked="0"/>
    </xf>
    <xf numFmtId="0" fontId="61" fillId="0" borderId="2" xfId="0" applyFont="1" applyBorder="1" applyAlignment="1">
      <alignment horizontal="center" vertical="center" wrapText="1"/>
    </xf>
    <xf numFmtId="0" fontId="63" fillId="0" borderId="2" xfId="0" applyFont="1" applyBorder="1" applyAlignment="1">
      <alignment horizontal="center" vertical="center"/>
    </xf>
    <xf numFmtId="0" fontId="59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51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73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63" fillId="0" borderId="2" xfId="0" applyFont="1" applyBorder="1" applyAlignment="1">
      <alignment horizontal="center" vertical="center" wrapText="1"/>
    </xf>
    <xf numFmtId="0" fontId="3" fillId="7" borderId="87" xfId="0" applyFont="1" applyFill="1" applyBorder="1" applyAlignment="1">
      <alignment horizontal="center"/>
    </xf>
    <xf numFmtId="0" fontId="3" fillId="7" borderId="88" xfId="0" applyFont="1" applyFill="1" applyBorder="1" applyAlignment="1">
      <alignment horizontal="center"/>
    </xf>
    <xf numFmtId="0" fontId="3" fillId="7" borderId="89" xfId="0" applyFont="1" applyFill="1" applyBorder="1" applyAlignment="1">
      <alignment horizontal="center"/>
    </xf>
    <xf numFmtId="0" fontId="26" fillId="0" borderId="10" xfId="0" applyFont="1" applyBorder="1" applyAlignment="1" applyProtection="1">
      <alignment horizontal="left"/>
      <protection locked="0"/>
    </xf>
    <xf numFmtId="0" fontId="26" fillId="0" borderId="15" xfId="0" applyFont="1" applyBorder="1" applyAlignment="1" applyProtection="1">
      <alignment horizontal="left"/>
      <protection locked="0"/>
    </xf>
    <xf numFmtId="0" fontId="31" fillId="0" borderId="10" xfId="0" applyFont="1" applyBorder="1" applyAlignment="1" applyProtection="1">
      <alignment horizontal="left"/>
      <protection locked="0"/>
    </xf>
    <xf numFmtId="0" fontId="31" fillId="0" borderId="15" xfId="0" applyFont="1" applyBorder="1" applyAlignment="1" applyProtection="1">
      <alignment horizontal="left"/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7" fillId="9" borderId="27" xfId="0" applyFont="1" applyFill="1" applyBorder="1" applyAlignment="1" applyProtection="1">
      <alignment horizontal="center" vertical="center"/>
      <protection locked="0"/>
    </xf>
    <xf numFmtId="0" fontId="24" fillId="9" borderId="2" xfId="0" applyFont="1" applyFill="1" applyBorder="1" applyAlignment="1">
      <alignment horizontal="center" vertical="center"/>
    </xf>
    <xf numFmtId="0" fontId="7" fillId="9" borderId="2" xfId="0" applyFont="1" applyFill="1" applyBorder="1" applyAlignment="1">
      <alignment horizontal="center" vertical="center"/>
    </xf>
    <xf numFmtId="0" fontId="6" fillId="9" borderId="2" xfId="0" applyFont="1" applyFill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 wrapText="1"/>
    </xf>
    <xf numFmtId="0" fontId="7" fillId="9" borderId="27" xfId="0" applyFont="1" applyFill="1" applyBorder="1" applyAlignment="1">
      <alignment horizontal="center" vertical="center" wrapText="1"/>
    </xf>
    <xf numFmtId="0" fontId="44" fillId="9" borderId="19" xfId="0" applyFont="1" applyFill="1" applyBorder="1" applyAlignment="1" applyProtection="1">
      <alignment horizontal="left"/>
      <protection locked="0"/>
    </xf>
    <xf numFmtId="0" fontId="44" fillId="9" borderId="20" xfId="0" applyFont="1" applyFill="1" applyBorder="1" applyAlignment="1" applyProtection="1">
      <alignment horizontal="left"/>
      <protection locked="0"/>
    </xf>
    <xf numFmtId="0" fontId="44" fillId="9" borderId="21" xfId="0" applyFont="1" applyFill="1" applyBorder="1" applyAlignment="1" applyProtection="1">
      <alignment horizontal="left"/>
      <protection locked="0"/>
    </xf>
    <xf numFmtId="0" fontId="44" fillId="9" borderId="22" xfId="0" applyFont="1" applyFill="1" applyBorder="1" applyAlignment="1" applyProtection="1">
      <alignment horizontal="left"/>
      <protection locked="0"/>
    </xf>
    <xf numFmtId="0" fontId="44" fillId="9" borderId="0" xfId="0" applyFont="1" applyFill="1" applyAlignment="1" applyProtection="1">
      <alignment horizontal="left"/>
      <protection locked="0"/>
    </xf>
    <xf numFmtId="0" fontId="44" fillId="9" borderId="23" xfId="0" applyFont="1" applyFill="1" applyBorder="1" applyAlignment="1" applyProtection="1">
      <alignment horizontal="left"/>
      <protection locked="0"/>
    </xf>
    <xf numFmtId="171" fontId="44" fillId="9" borderId="24" xfId="0" applyNumberFormat="1" applyFont="1" applyFill="1" applyBorder="1" applyAlignment="1" applyProtection="1">
      <alignment horizontal="left" vertical="center"/>
      <protection locked="0"/>
    </xf>
    <xf numFmtId="171" fontId="44" fillId="9" borderId="25" xfId="0" applyNumberFormat="1" applyFont="1" applyFill="1" applyBorder="1" applyAlignment="1" applyProtection="1">
      <alignment horizontal="left" vertical="center"/>
      <protection locked="0"/>
    </xf>
    <xf numFmtId="171" fontId="44" fillId="9" borderId="26" xfId="0" applyNumberFormat="1" applyFont="1" applyFill="1" applyBorder="1" applyAlignment="1" applyProtection="1">
      <alignment horizontal="left" vertical="center"/>
      <protection locked="0"/>
    </xf>
    <xf numFmtId="0" fontId="11" fillId="7" borderId="0" xfId="0" applyFont="1" applyFill="1" applyAlignment="1">
      <alignment horizontal="left"/>
    </xf>
    <xf numFmtId="0" fontId="11" fillId="7" borderId="0" xfId="0" applyFont="1" applyFill="1" applyAlignment="1">
      <alignment horizontal="right"/>
    </xf>
    <xf numFmtId="0" fontId="45" fillId="2" borderId="53" xfId="0" applyFont="1" applyFill="1" applyBorder="1" applyAlignment="1">
      <alignment horizontal="center" vertical="center" textRotation="90"/>
    </xf>
    <xf numFmtId="0" fontId="45" fillId="2" borderId="52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39" fillId="0" borderId="0" xfId="0" applyFont="1" applyAlignment="1">
      <alignment horizontal="center"/>
    </xf>
    <xf numFmtId="0" fontId="3" fillId="7" borderId="0" xfId="0" applyFont="1" applyFill="1" applyAlignment="1">
      <alignment horizontal="left"/>
    </xf>
    <xf numFmtId="0" fontId="3" fillId="7" borderId="0" xfId="0" applyFont="1" applyFill="1" applyAlignment="1">
      <alignment horizontal="right"/>
    </xf>
  </cellXfs>
  <cellStyles count="4">
    <cellStyle name="Comma" xfId="1" builtinId="3"/>
    <cellStyle name="Currency" xfId="3" builtinId="4"/>
    <cellStyle name="Normal" xfId="0" builtinId="0"/>
    <cellStyle name="Percent" xfId="2" builtinId="5"/>
  </cellStyles>
  <dxfs count="45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gradientFill>
          <stop position="0">
            <color theme="0"/>
          </stop>
          <stop position="1">
            <color rgb="FFFFC000"/>
          </stop>
        </gradientFill>
      </fill>
    </dxf>
    <dxf>
      <fill>
        <gradientFill degree="180">
          <stop position="0">
            <color theme="0"/>
          </stop>
          <stop position="1">
            <color rgb="FFFFC000"/>
          </stop>
        </gradientFill>
      </fill>
    </dxf>
    <dxf>
      <numFmt numFmtId="167" formatCode="_(&quot;R&quot;* #,##0.00_);_(&quot;R&quot;* \(#,##0.00\);_(&quot;R&quot;* &quot;-&quot;??_);_(@_)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2.xml"/><Relationship Id="rId18" Type="http://schemas.openxmlformats.org/officeDocument/2006/relationships/pivotCacheDefinition" Target="pivotCache/pivotCacheDefinition1.xml"/><Relationship Id="rId26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1.xml"/><Relationship Id="rId17" Type="http://schemas.openxmlformats.org/officeDocument/2006/relationships/worksheet" Target="worksheets/sheet16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5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0.xml"/><Relationship Id="rId24" Type="http://schemas.microsoft.com/office/2017/10/relationships/person" Target="persons/perso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4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10" Type="http://schemas.openxmlformats.org/officeDocument/2006/relationships/chartsheet" Target="chartsheets/sheet1.xml"/><Relationship Id="rId19" Type="http://schemas.openxmlformats.org/officeDocument/2006/relationships/pivotCacheDefinition" Target="pivotCache/pivotCacheDefinition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3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0" i="0" baseline="0">
                <a:effectLst/>
              </a:rPr>
              <a:t>Proposed Work Plan for Cinnamon Square 243 kWp</a:t>
            </a:r>
            <a:endParaRPr lang="en-US" sz="1800">
              <a:effectLst/>
            </a:endParaRPr>
          </a:p>
        </c:rich>
      </c:tx>
      <c:layout>
        <c:manualLayout>
          <c:xMode val="edge"/>
          <c:yMode val="edge"/>
          <c:x val="0.4505203346815993"/>
          <c:y val="4.07068534070512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2692801625603251"/>
          <c:y val="0.20995841576375332"/>
          <c:w val="0.67582818391190302"/>
          <c:h val="0.73477104260027748"/>
        </c:manualLayout>
      </c:layout>
      <c:barChart>
        <c:barDir val="bar"/>
        <c:grouping val="stacked"/>
        <c:varyColors val="0"/>
        <c:ser>
          <c:idx val="0"/>
          <c:order val="0"/>
          <c:tx>
            <c:v>Planned Start Date</c:v>
          </c:tx>
          <c:spPr>
            <a:noFill/>
            <a:ln>
              <a:noFill/>
            </a:ln>
            <a:effectLst/>
          </c:spPr>
          <c:invertIfNegative val="0"/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43831</c:v>
              </c:pt>
              <c:pt idx="1">
                <c:v>43832</c:v>
              </c:pt>
              <c:pt idx="2">
                <c:v>43833</c:v>
              </c:pt>
              <c:pt idx="3">
                <c:v>43841</c:v>
              </c:pt>
              <c:pt idx="4">
                <c:v>43833</c:v>
              </c:pt>
              <c:pt idx="5">
                <c:v>43833</c:v>
              </c:pt>
              <c:pt idx="6">
                <c:v>43941</c:v>
              </c:pt>
              <c:pt idx="7">
                <c:v>43941</c:v>
              </c:pt>
              <c:pt idx="8">
                <c:v>43941</c:v>
              </c:pt>
              <c:pt idx="9">
                <c:v>43936</c:v>
              </c:pt>
              <c:pt idx="10">
                <c:v>43963</c:v>
              </c:pt>
              <c:pt idx="11">
                <c:v>43983</c:v>
              </c:pt>
              <c:pt idx="12">
                <c:v>43983</c:v>
              </c:pt>
              <c:pt idx="13">
                <c:v>43990</c:v>
              </c:pt>
              <c:pt idx="14">
                <c:v>43983</c:v>
              </c:pt>
              <c:pt idx="15">
                <c:v>43992</c:v>
              </c:pt>
              <c:pt idx="16">
                <c:v>43983</c:v>
              </c:pt>
              <c:pt idx="17">
                <c:v>43983</c:v>
              </c:pt>
              <c:pt idx="18">
                <c:v>43985</c:v>
              </c:pt>
              <c:pt idx="19">
                <c:v>43990</c:v>
              </c:pt>
              <c:pt idx="20">
                <c:v>43990</c:v>
              </c:pt>
              <c:pt idx="21">
                <c:v>43991</c:v>
              </c:pt>
              <c:pt idx="22">
                <c:v>43991</c:v>
              </c:pt>
              <c:pt idx="23">
                <c:v>43997</c:v>
              </c:pt>
              <c:pt idx="24">
                <c:v>44004</c:v>
              </c:pt>
              <c:pt idx="25">
                <c:v>44006</c:v>
              </c:pt>
              <c:pt idx="26">
                <c:v>44004</c:v>
              </c:pt>
              <c:pt idx="27">
                <c:v>43991</c:v>
              </c:pt>
              <c:pt idx="28">
                <c:v>43991</c:v>
              </c:pt>
              <c:pt idx="29">
                <c:v>43993</c:v>
              </c:pt>
              <c:pt idx="30">
                <c:v>43992</c:v>
              </c:pt>
              <c:pt idx="31">
                <c:v>43997</c:v>
              </c:pt>
              <c:pt idx="32">
                <c:v>44000</c:v>
              </c:pt>
              <c:pt idx="33">
                <c:v>44012</c:v>
              </c:pt>
              <c:pt idx="34">
                <c:v>44000</c:v>
              </c:pt>
              <c:pt idx="35">
                <c:v>44012</c:v>
              </c:pt>
              <c:pt idx="36">
                <c:v>43997</c:v>
              </c:pt>
              <c:pt idx="37">
                <c:v>44014</c:v>
              </c:pt>
              <c:pt idx="38">
                <c:v>44010</c:v>
              </c:pt>
              <c:pt idx="39">
                <c:v>43997</c:v>
              </c:pt>
              <c:pt idx="40">
                <c:v>44012</c:v>
              </c:pt>
            </c:numLit>
          </c:val>
          <c:extLst>
            <c:ext xmlns:c16="http://schemas.microsoft.com/office/drawing/2014/chart" uri="{C3380CC4-5D6E-409C-BE32-E72D297353CC}">
              <c16:uniqueId val="{00000000-A49F-4D7D-B92E-C3F4B7D620E5}"/>
            </c:ext>
          </c:extLst>
        </c:ser>
        <c:ser>
          <c:idx val="1"/>
          <c:order val="1"/>
          <c:tx>
            <c:v>Duration (Work Days)</c:v>
          </c:tx>
          <c:spPr>
            <a:solidFill>
              <a:srgbClr val="1EA34A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FF33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A49F-4D7D-B92E-C3F4B7D620E5}"/>
              </c:ext>
            </c:extLst>
          </c:dPt>
          <c:dPt>
            <c:idx val="15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A49F-4D7D-B92E-C3F4B7D620E5}"/>
              </c:ext>
            </c:extLst>
          </c:dPt>
          <c:dPt>
            <c:idx val="1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A49F-4D7D-B92E-C3F4B7D620E5}"/>
              </c:ext>
            </c:extLst>
          </c:dPt>
          <c:dPt>
            <c:idx val="3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A49F-4D7D-B92E-C3F4B7D620E5}"/>
              </c:ext>
            </c:extLst>
          </c:dPt>
          <c:dPt>
            <c:idx val="3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A49F-4D7D-B92E-C3F4B7D620E5}"/>
              </c:ext>
            </c:extLst>
          </c:dPt>
          <c:dPt>
            <c:idx val="4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A49F-4D7D-B92E-C3F4B7D620E5}"/>
              </c:ext>
            </c:extLst>
          </c:dPt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1</c:v>
              </c:pt>
              <c:pt idx="1">
                <c:v>1</c:v>
              </c:pt>
              <c:pt idx="2">
                <c:v>5</c:v>
              </c:pt>
              <c:pt idx="3">
                <c:v>2</c:v>
              </c:pt>
              <c:pt idx="5">
                <c:v>5</c:v>
              </c:pt>
              <c:pt idx="6">
                <c:v>5</c:v>
              </c:pt>
              <c:pt idx="7">
                <c:v>5</c:v>
              </c:pt>
              <c:pt idx="8">
                <c:v>5</c:v>
              </c:pt>
              <c:pt idx="9">
                <c:v>5</c:v>
              </c:pt>
              <c:pt idx="10">
                <c:v>5</c:v>
              </c:pt>
              <c:pt idx="11">
                <c:v>9</c:v>
              </c:pt>
              <c:pt idx="12">
                <c:v>2</c:v>
              </c:pt>
              <c:pt idx="13">
                <c:v>2</c:v>
              </c:pt>
              <c:pt idx="14">
                <c:v>2</c:v>
              </c:pt>
              <c:pt idx="15">
                <c:v>2</c:v>
              </c:pt>
              <c:pt idx="16">
                <c:v>2</c:v>
              </c:pt>
              <c:pt idx="17">
                <c:v>1</c:v>
              </c:pt>
              <c:pt idx="18">
                <c:v>2</c:v>
              </c:pt>
              <c:pt idx="19">
                <c:v>22</c:v>
              </c:pt>
              <c:pt idx="20">
                <c:v>1</c:v>
              </c:pt>
              <c:pt idx="21">
                <c:v>16</c:v>
              </c:pt>
              <c:pt idx="22">
                <c:v>4</c:v>
              </c:pt>
              <c:pt idx="23">
                <c:v>3</c:v>
              </c:pt>
              <c:pt idx="24">
                <c:v>2</c:v>
              </c:pt>
              <c:pt idx="25">
                <c:v>4</c:v>
              </c:pt>
              <c:pt idx="26">
                <c:v>1</c:v>
              </c:pt>
              <c:pt idx="27">
                <c:v>8</c:v>
              </c:pt>
              <c:pt idx="28">
                <c:v>2</c:v>
              </c:pt>
              <c:pt idx="29">
                <c:v>3</c:v>
              </c:pt>
              <c:pt idx="30">
                <c:v>3</c:v>
              </c:pt>
              <c:pt idx="31">
                <c:v>1</c:v>
              </c:pt>
              <c:pt idx="32">
                <c:v>14</c:v>
              </c:pt>
              <c:pt idx="33">
                <c:v>2</c:v>
              </c:pt>
              <c:pt idx="34">
                <c:v>2</c:v>
              </c:pt>
              <c:pt idx="35">
                <c:v>1</c:v>
              </c:pt>
              <c:pt idx="36">
                <c:v>22</c:v>
              </c:pt>
              <c:pt idx="37">
                <c:v>3</c:v>
              </c:pt>
              <c:pt idx="38">
                <c:v>2</c:v>
              </c:pt>
              <c:pt idx="39">
                <c:v>2</c:v>
              </c:pt>
              <c:pt idx="40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D-A49F-4D7D-B92E-C3F4B7D620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281821408"/>
        <c:axId val="375242888"/>
      </c:barChart>
      <c:catAx>
        <c:axId val="281821408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400" b="1"/>
                  <a:t>Scope</a:t>
                </a:r>
                <a:r>
                  <a:rPr lang="en-US" sz="2400" b="1" baseline="0"/>
                  <a:t> of Work</a:t>
                </a:r>
                <a:endParaRPr lang="en-US" sz="2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5242888"/>
        <c:crosses val="autoZero"/>
        <c:auto val="1"/>
        <c:lblAlgn val="ctr"/>
        <c:lblOffset val="100"/>
        <c:noMultiLvlLbl val="0"/>
      </c:catAx>
      <c:valAx>
        <c:axId val="375242888"/>
        <c:scaling>
          <c:orientation val="minMax"/>
          <c:max val="43660"/>
          <c:min val="4346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1821408"/>
        <c:crosses val="autoZero"/>
        <c:crossBetween val="between"/>
        <c:majorUnit val="7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1">
          <a:alpha val="92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>
      <c:oddFooter>&amp;L20/06/2018 - v1&amp;R Project Programme:  808kWp Sable Square</c:oddFooter>
    </c:headerFooter>
    <c:pageMargins b="0" l="0.31496062992125984" r="0.31496062992125984" t="0" header="0.31496062992125984" footer="0.31496062992125984"/>
    <c:pageSetup paperSize="9" orientation="landscape" horizontalDpi="-3" verticalDpi="-3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baseline="0"/>
              <a:t>BMG 350kWp,1800kWh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solidFill>
              <a:schemeClr val="bg1">
                <a:alpha val="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errBars>
            <c:errBarType val="plus"/>
            <c:errValType val="cust"/>
            <c:noEndCap val="1"/>
            <c:plus>
              <c:numRef>
                <c:f>('Project Plan'!$N$13,'Project Plan'!$N$19,'Project Plan'!$N$26,'Project Plan'!$N$29,'Project Plan'!$N$36,'Project Plan'!$N$45,'Project Plan'!$N$49,'Project Plan'!$N$54,'Project Plan'!$N$57)</c:f>
                <c:numCache>
                  <c:formatCode>General</c:formatCode>
                  <c:ptCount val="9"/>
                  <c:pt idx="0">
                    <c:v>1</c:v>
                  </c:pt>
                  <c:pt idx="1">
                    <c:v>1</c:v>
                  </c:pt>
                  <c:pt idx="2">
                    <c:v>1</c:v>
                  </c:pt>
                  <c:pt idx="3">
                    <c:v>1</c:v>
                  </c:pt>
                  <c:pt idx="4">
                    <c:v>1</c:v>
                  </c:pt>
                  <c:pt idx="5">
                    <c:v>1</c:v>
                  </c:pt>
                  <c:pt idx="6">
                    <c:v>1</c:v>
                  </c:pt>
                  <c:pt idx="7">
                    <c:v>1</c:v>
                  </c:pt>
                  <c:pt idx="8">
                    <c:v>1</c:v>
                  </c:pt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  <c:spPr>
              <a:noFill/>
              <a:ln w="158750" cap="flat" cmpd="sng" algn="ctr">
                <a:gradFill flip="none" rotWithShape="1">
                  <a:gsLst>
                    <a:gs pos="0">
                      <a:schemeClr val="accent6">
                        <a:lumMod val="67000"/>
                      </a:schemeClr>
                    </a:gs>
                    <a:gs pos="83000">
                      <a:schemeClr val="accent6">
                        <a:lumMod val="97000"/>
                        <a:lumOff val="3000"/>
                      </a:schemeClr>
                    </a:gs>
                    <a:gs pos="100000">
                      <a:schemeClr val="accent6">
                        <a:lumMod val="60000"/>
                        <a:lumOff val="40000"/>
                      </a:schemeClr>
                    </a:gs>
                  </a:gsLst>
                  <a:lin ang="16200000" scaled="1"/>
                  <a:tileRect/>
                </a:gradFill>
                <a:round/>
              </a:ln>
              <a:effectLst/>
            </c:spPr>
          </c:errBars>
          <c:cat>
            <c:strRef>
              <c:f>('Project Plan'!$C$13,'Project Plan'!$C$19,'Project Plan'!$C$26,'Project Plan'!$C$29,'Project Plan'!$C$36,'Project Plan'!$C$45,'Project Plan'!$C$49,'Project Plan'!$C$54,'Project Plan'!$C$57)</c:f>
              <c:strCache>
                <c:ptCount val="9"/>
                <c:pt idx="0">
                  <c:v>Project Initiation</c:v>
                </c:pt>
                <c:pt idx="1">
                  <c:v>BESS - Prep Work</c:v>
                </c:pt>
                <c:pt idx="2">
                  <c:v>Site Establishment</c:v>
                </c:pt>
                <c:pt idx="3">
                  <c:v>AC Installation</c:v>
                </c:pt>
                <c:pt idx="4">
                  <c:v>DC Works</c:v>
                </c:pt>
                <c:pt idx="5">
                  <c:v>Module installation</c:v>
                </c:pt>
                <c:pt idx="6">
                  <c:v>Commissioning</c:v>
                </c:pt>
                <c:pt idx="7">
                  <c:v>QA Inspections</c:v>
                </c:pt>
                <c:pt idx="8">
                  <c:v>Project Closure</c:v>
                </c:pt>
              </c:strCache>
            </c:strRef>
          </c:cat>
          <c:val>
            <c:numRef>
              <c:f>('Project Plan'!$I$13,'Project Plan'!$I$19,'Project Plan'!$I$26,'Project Plan'!$I$29,'Project Plan'!$I$36,'Project Plan'!$I$45,'Project Plan'!$I$49,'Project Plan'!$I$54,'Project Plan'!$I$57)</c:f>
              <c:numCache>
                <c:formatCode>d\-mmm\-yy</c:formatCode>
                <c:ptCount val="9"/>
                <c:pt idx="0">
                  <c:v>45138</c:v>
                </c:pt>
                <c:pt idx="1">
                  <c:v>45152</c:v>
                </c:pt>
                <c:pt idx="2">
                  <c:v>45299</c:v>
                </c:pt>
                <c:pt idx="3">
                  <c:v>45299</c:v>
                </c:pt>
                <c:pt idx="4">
                  <c:v>45271</c:v>
                </c:pt>
                <c:pt idx="5">
                  <c:v>45355</c:v>
                </c:pt>
                <c:pt idx="6">
                  <c:v>45391</c:v>
                </c:pt>
                <c:pt idx="7">
                  <c:v>45495</c:v>
                </c:pt>
                <c:pt idx="8">
                  <c:v>45394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33-4DD5-8995-7CD955C6C626}"/>
            </c:ext>
          </c:extLst>
        </c:ser>
        <c:ser>
          <c:idx val="1"/>
          <c:order val="1"/>
          <c:tx>
            <c:strRef>
              <c:f>'Project Plan'!$J$10</c:f>
              <c:strCache>
                <c:ptCount val="1"/>
                <c:pt idx="0">
                  <c:v>Duration (days)</c:v>
                </c:pt>
              </c:strCache>
            </c:strRef>
          </c:tx>
          <c:spPr>
            <a:gradFill>
              <a:gsLst>
                <a:gs pos="0">
                  <a:schemeClr val="accent1">
                    <a:lumMod val="5000"/>
                    <a:lumOff val="95000"/>
                  </a:schemeClr>
                </a:gs>
                <a:gs pos="74000">
                  <a:schemeClr val="accent1">
                    <a:lumMod val="45000"/>
                    <a:lumOff val="55000"/>
                  </a:schemeClr>
                </a:gs>
                <a:gs pos="83000">
                  <a:schemeClr val="accent1">
                    <a:lumMod val="45000"/>
                    <a:lumOff val="55000"/>
                  </a:schemeClr>
                </a:gs>
                <a:gs pos="100000">
                  <a:schemeClr val="accent1">
                    <a:lumMod val="30000"/>
                    <a:lumOff val="70000"/>
                  </a:schemeClr>
                </a:gs>
              </a:gsLst>
              <a:lin ang="5400000" scaled="1"/>
            </a:gradFill>
            <a:ln>
              <a:gradFill>
                <a:gsLst>
                  <a:gs pos="0">
                    <a:schemeClr val="accent1">
                      <a:lumMod val="5000"/>
                      <a:lumOff val="95000"/>
                    </a:schemeClr>
                  </a:gs>
                  <a:gs pos="74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315786E9-69F7-4559-86ED-026870DECAE4}" type="CELLRANGE">
                      <a:rPr lang="en-US" baseline="0"/>
                      <a:pPr/>
                      <a:t>[CELLRANGE]</a:t>
                    </a:fld>
                    <a:r>
                      <a:rPr lang="en-US" baseline="0"/>
                      <a:t>; </a:t>
                    </a:r>
                    <a:fld id="{9291B8BB-5D2A-42FF-BB2C-5BA45261C49D}" type="VALUE">
                      <a:rPr lang="en-US" baseline="0"/>
                      <a:pPr/>
                      <a:t>[VALUE]</a:t>
                    </a:fld>
                    <a:endParaRPr lang="en-US" baseline="0"/>
                  </a:p>
                </c:rich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A033-4DD5-8995-7CD955C6C626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08FB9F02-9DFA-4C43-B4AF-CA4EFC0C1B2B}" type="CELLRANGE">
                      <a:rPr lang="en-ZA"/>
                      <a:pPr/>
                      <a:t>[CELLRANGE]</a:t>
                    </a:fld>
                    <a:r>
                      <a:rPr lang="en-ZA" baseline="0"/>
                      <a:t>; </a:t>
                    </a:r>
                    <a:fld id="{31128AEE-A206-4858-A56D-40E76FA4306F}" type="VALUE">
                      <a:rPr lang="en-ZA" baseline="0"/>
                      <a:pPr/>
                      <a:t>[VALUE]</a:t>
                    </a:fld>
                    <a:endParaRPr lang="en-ZA" baseline="0"/>
                  </a:p>
                </c:rich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A033-4DD5-8995-7CD955C6C626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C21E44CF-C180-4573-8770-40B5C5C18C79}" type="CELLRANGE">
                      <a:rPr lang="en-US" baseline="0"/>
                      <a:pPr/>
                      <a:t>[CELLRANGE]</a:t>
                    </a:fld>
                    <a:r>
                      <a:rPr lang="en-US" baseline="0"/>
                      <a:t>, </a:t>
                    </a:r>
                    <a:fld id="{4E5F44A7-8FA6-4D31-BDFF-864FF6AB02A1}" type="VALUE">
                      <a:rPr lang="en-US" baseline="0"/>
                      <a:pPr/>
                      <a:t>[VALUE]</a:t>
                    </a:fld>
                    <a:endParaRPr lang="en-US" baseline="0"/>
                  </a:p>
                </c:rich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A033-4DD5-8995-7CD955C6C626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93F0FEAC-D91C-4569-ABE7-A56F8748D949}" type="CELLRANGE">
                      <a:rPr lang="en-US"/>
                      <a:pPr/>
                      <a:t>[CELLRANGE]</a:t>
                    </a:fld>
                    <a:r>
                      <a:rPr lang="en-US" baseline="0"/>
                      <a:t>, </a:t>
                    </a:r>
                    <a:fld id="{521F1EEA-9398-4847-963B-640CE2EC69CE}" type="VALUE">
                      <a:rPr lang="en-US" baseline="0"/>
                      <a:pPr/>
                      <a:t>[VALUE]</a:t>
                    </a:fld>
                    <a:endParaRPr lang="en-US" baseline="0"/>
                  </a:p>
                </c:rich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4-A033-4DD5-8995-7CD955C6C626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363E0595-44C7-4C10-8101-8780BB65A030}" type="CELLRANGE">
                      <a:rPr lang="en-US"/>
                      <a:pPr/>
                      <a:t>[CELLRANGE]</a:t>
                    </a:fld>
                    <a:r>
                      <a:rPr lang="en-US" baseline="0"/>
                      <a:t>, </a:t>
                    </a:r>
                    <a:fld id="{737152D8-62C9-44A9-B785-80755FDA8997}" type="VALUE">
                      <a:rPr lang="en-US" baseline="0"/>
                      <a:pPr/>
                      <a:t>[VALUE]</a:t>
                    </a:fld>
                    <a:endParaRPr lang="en-US" baseline="0"/>
                  </a:p>
                </c:rich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5-A033-4DD5-8995-7CD955C6C626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36B85DE4-1992-4D6B-B00A-AB5A5DD41C68}" type="CELLRANGE">
                      <a:rPr lang="en-US"/>
                      <a:pPr/>
                      <a:t>[CELLRANGE]</a:t>
                    </a:fld>
                    <a:r>
                      <a:rPr lang="en-US" baseline="0"/>
                      <a:t>, </a:t>
                    </a:r>
                    <a:fld id="{EFDDFBF9-2974-446D-9184-3BAE6BCEFFA4}" type="VALUE">
                      <a:rPr lang="en-US" baseline="0"/>
                      <a:pPr/>
                      <a:t>[VALUE]</a:t>
                    </a:fld>
                    <a:endParaRPr lang="en-US" baseline="0"/>
                  </a:p>
                </c:rich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6-A033-4DD5-8995-7CD955C6C626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10619A85-6788-496B-81E6-87048F3034D4}" type="CELLRANGE">
                      <a:rPr lang="en-US"/>
                      <a:pPr/>
                      <a:t>[CELLRANGE]</a:t>
                    </a:fld>
                    <a:r>
                      <a:rPr lang="en-US" baseline="0"/>
                      <a:t>, </a:t>
                    </a:r>
                    <a:fld id="{15780404-3F3A-4E1E-80D5-82A451ADDACD}" type="VALUE">
                      <a:rPr lang="en-US" baseline="0"/>
                      <a:pPr/>
                      <a:t>[VALUE]</a:t>
                    </a:fld>
                    <a:endParaRPr lang="en-US" baseline="0"/>
                  </a:p>
                </c:rich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7-A033-4DD5-8995-7CD955C6C626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1A5A36AB-6236-4F2A-96CB-9A7325472D3E}" type="CELLRANGE">
                      <a:rPr lang="en-US"/>
                      <a:pPr/>
                      <a:t>[CELLRANGE]</a:t>
                    </a:fld>
                    <a:r>
                      <a:rPr lang="en-US" baseline="0"/>
                      <a:t>, </a:t>
                    </a:r>
                    <a:fld id="{05D6B809-2CFC-40B0-B349-2C6EFC9A970A}" type="VALUE">
                      <a:rPr lang="en-US" baseline="0"/>
                      <a:pPr/>
                      <a:t>[VALUE]</a:t>
                    </a:fld>
                    <a:endParaRPr lang="en-US" baseline="0"/>
                  </a:p>
                </c:rich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0-4E21-4711-B887-73457463DB4E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04B76F77-EB4C-4D55-AC14-0AF960098C8B}" type="CELLRANGE">
                      <a:rPr lang="en-US"/>
                      <a:pPr/>
                      <a:t>[CELLRANGE]</a:t>
                    </a:fld>
                    <a:r>
                      <a:rPr lang="en-US" baseline="0"/>
                      <a:t>, </a:t>
                    </a:r>
                    <a:fld id="{1861B01F-2452-4029-BAB9-EDE34F0F24E0}" type="VALUE">
                      <a:rPr lang="en-US" baseline="0"/>
                      <a:pPr/>
                      <a:t>[VALUE]</a:t>
                    </a:fld>
                    <a:endParaRPr lang="en-US" baseline="0"/>
                  </a:p>
                </c:rich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4E21-4711-B887-73457463DB4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('Project Plan'!$C$13,'Project Plan'!$C$19,'Project Plan'!$C$26,'Project Plan'!$C$29,'Project Plan'!$C$36,'Project Plan'!$C$45,'Project Plan'!$C$49,'Project Plan'!$C$54,'Project Plan'!$C$57)</c:f>
              <c:strCache>
                <c:ptCount val="9"/>
                <c:pt idx="0">
                  <c:v>Project Initiation</c:v>
                </c:pt>
                <c:pt idx="1">
                  <c:v>BESS - Prep Work</c:v>
                </c:pt>
                <c:pt idx="2">
                  <c:v>Site Establishment</c:v>
                </c:pt>
                <c:pt idx="3">
                  <c:v>AC Installation</c:v>
                </c:pt>
                <c:pt idx="4">
                  <c:v>DC Works</c:v>
                </c:pt>
                <c:pt idx="5">
                  <c:v>Module installation</c:v>
                </c:pt>
                <c:pt idx="6">
                  <c:v>Commissioning</c:v>
                </c:pt>
                <c:pt idx="7">
                  <c:v>QA Inspections</c:v>
                </c:pt>
                <c:pt idx="8">
                  <c:v>Project Closure</c:v>
                </c:pt>
              </c:strCache>
            </c:strRef>
          </c:cat>
          <c:val>
            <c:numRef>
              <c:f>('Project Plan'!$J$13,'Project Plan'!$J$19,'Project Plan'!$J$26,'Project Plan'!$J$29,'Project Plan'!$J$36,'Project Plan'!$J$45,'Project Plan'!$J$49,'Project Plan'!$J$54,'Project Plan'!$J$57)</c:f>
              <c:numCache>
                <c:formatCode>General</c:formatCode>
                <c:ptCount val="9"/>
                <c:pt idx="0">
                  <c:v>126</c:v>
                </c:pt>
                <c:pt idx="1">
                  <c:v>114</c:v>
                </c:pt>
                <c:pt idx="2">
                  <c:v>1</c:v>
                </c:pt>
                <c:pt idx="3">
                  <c:v>78</c:v>
                </c:pt>
                <c:pt idx="4">
                  <c:v>63</c:v>
                </c:pt>
                <c:pt idx="5">
                  <c:v>17</c:v>
                </c:pt>
                <c:pt idx="6">
                  <c:v>10</c:v>
                </c:pt>
                <c:pt idx="7">
                  <c:v>3</c:v>
                </c:pt>
                <c:pt idx="8">
                  <c:v>515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('Project Plan'!$M$13,'Project Plan'!$M$19,'Project Plan'!$M$26,'Project Plan'!$M$29,'Project Plan'!$M$36,'Project Plan'!$M$45,'Project Plan'!$M$49,'Project Plan'!$M$54,'Project Plan'!$M$57)</c15:f>
                <c15:dlblRangeCache>
                  <c:ptCount val="9"/>
                  <c:pt idx="0">
                    <c:v>100%</c:v>
                  </c:pt>
                  <c:pt idx="1">
                    <c:v>100%</c:v>
                  </c:pt>
                  <c:pt idx="2">
                    <c:v>100%</c:v>
                  </c:pt>
                  <c:pt idx="3">
                    <c:v>100%</c:v>
                  </c:pt>
                  <c:pt idx="4">
                    <c:v>100%</c:v>
                  </c:pt>
                  <c:pt idx="5">
                    <c:v>100%</c:v>
                  </c:pt>
                  <c:pt idx="6">
                    <c:v>100%</c:v>
                  </c:pt>
                  <c:pt idx="7">
                    <c:v>100%</c:v>
                  </c:pt>
                  <c:pt idx="8">
                    <c:v>100%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8-A033-4DD5-8995-7CD955C6C626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0"/>
        <c:overlap val="90"/>
        <c:axId val="19241807"/>
        <c:axId val="19228911"/>
      </c:barChart>
      <c:scatterChart>
        <c:scatterStyle val="lineMarker"/>
        <c:varyColors val="0"/>
        <c:ser>
          <c:idx val="2"/>
          <c:order val="2"/>
          <c:tx>
            <c:v>today</c:v>
          </c:tx>
          <c:spPr>
            <a:ln w="38100" cap="rnd">
              <a:solidFill>
                <a:srgbClr val="FF0000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'Project Plan'!$N$1:$O$1</c:f>
              <c:numCache>
                <c:formatCode>m/d/yyyy</c:formatCode>
                <c:ptCount val="2"/>
                <c:pt idx="0">
                  <c:v>46063</c:v>
                </c:pt>
                <c:pt idx="1">
                  <c:v>46063</c:v>
                </c:pt>
              </c:numCache>
            </c:numRef>
          </c:xVal>
          <c:yVal>
            <c:numRef>
              <c:f>'Project Plan'!$N$2:$O$2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A033-4DD5-8995-7CD955C6C626}"/>
            </c:ext>
          </c:extLst>
        </c:ser>
        <c:ser>
          <c:idx val="3"/>
          <c:order val="3"/>
          <c:tx>
            <c:v>Timeline</c:v>
          </c:tx>
          <c:spPr>
            <a:ln w="28575" cap="rnd">
              <a:noFill/>
              <a:round/>
            </a:ln>
            <a:effectLst/>
          </c:spPr>
          <c:marker>
            <c:symbol val="none"/>
          </c:marker>
          <c:xVal>
            <c:numRef>
              <c:f>('Project Plan'!$I$13,'Project Plan'!$K$57)</c:f>
              <c:numCache>
                <c:formatCode>d\-mmm\-yy</c:formatCode>
                <c:ptCount val="2"/>
                <c:pt idx="0">
                  <c:v>45138</c:v>
                </c:pt>
                <c:pt idx="1">
                  <c:v>45909</c:v>
                </c:pt>
              </c:numCache>
            </c:numRef>
          </c:xVal>
          <c:yVal>
            <c:numRef>
              <c:f>('Project Plan'!$I$10:$I$11,'Project Plan'!$K$10:$K$11)</c:f>
              <c:numCache>
                <c:formatCode>General</c:formatCode>
                <c:ptCount val="4"/>
                <c:pt idx="0">
                  <c:v>0</c:v>
                </c:pt>
                <c:pt idx="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A033-4DD5-8995-7CD955C6C6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194799"/>
        <c:axId val="30204783"/>
      </c:scatterChart>
      <c:catAx>
        <c:axId val="19241807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28911"/>
        <c:crosses val="autoZero"/>
        <c:auto val="1"/>
        <c:lblAlgn val="ctr"/>
        <c:lblOffset val="100"/>
        <c:noMultiLvlLbl val="0"/>
      </c:catAx>
      <c:valAx>
        <c:axId val="19228911"/>
        <c:scaling>
          <c:orientation val="minMax"/>
          <c:min val="4512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\-yy" sourceLinked="0"/>
        <c:majorTickMark val="none"/>
        <c:minorTickMark val="none"/>
        <c:tickLblPos val="nextTo"/>
        <c:spPr>
          <a:noFill/>
          <a:ln w="53975">
            <a:noFill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41807"/>
        <c:crosses val="autoZero"/>
        <c:crossBetween val="between"/>
        <c:majorUnit val="10"/>
      </c:valAx>
      <c:valAx>
        <c:axId val="30204783"/>
        <c:scaling>
          <c:orientation val="minMax"/>
          <c:max val="1"/>
        </c:scaling>
        <c:delete val="1"/>
        <c:axPos val="r"/>
        <c:numFmt formatCode="General" sourceLinked="1"/>
        <c:majorTickMark val="out"/>
        <c:minorTickMark val="none"/>
        <c:tickLblPos val="nextTo"/>
        <c:crossAx val="30194799"/>
        <c:crosses val="max"/>
        <c:crossBetween val="midCat"/>
      </c:valAx>
      <c:valAx>
        <c:axId val="30194799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3020478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Cashflow!$F$1:$CK$1</c:f>
              <c:numCache>
                <c:formatCode>d\-mmm\-yy</c:formatCode>
                <c:ptCount val="84"/>
                <c:pt idx="0">
                  <c:v>45138</c:v>
                </c:pt>
                <c:pt idx="1">
                  <c:v>45145</c:v>
                </c:pt>
                <c:pt idx="2">
                  <c:v>45152</c:v>
                </c:pt>
                <c:pt idx="3">
                  <c:v>45159</c:v>
                </c:pt>
                <c:pt idx="4">
                  <c:v>45166</c:v>
                </c:pt>
                <c:pt idx="5">
                  <c:v>45173</c:v>
                </c:pt>
                <c:pt idx="6">
                  <c:v>45180</c:v>
                </c:pt>
                <c:pt idx="7">
                  <c:v>45187</c:v>
                </c:pt>
                <c:pt idx="8">
                  <c:v>45194</c:v>
                </c:pt>
                <c:pt idx="9">
                  <c:v>45201</c:v>
                </c:pt>
                <c:pt idx="10">
                  <c:v>45208</c:v>
                </c:pt>
                <c:pt idx="11">
                  <c:v>45215</c:v>
                </c:pt>
                <c:pt idx="12">
                  <c:v>45222</c:v>
                </c:pt>
                <c:pt idx="13">
                  <c:v>45229</c:v>
                </c:pt>
                <c:pt idx="14">
                  <c:v>45236</c:v>
                </c:pt>
                <c:pt idx="15">
                  <c:v>45243</c:v>
                </c:pt>
                <c:pt idx="16">
                  <c:v>45250</c:v>
                </c:pt>
                <c:pt idx="17">
                  <c:v>45257</c:v>
                </c:pt>
                <c:pt idx="18">
                  <c:v>45264</c:v>
                </c:pt>
                <c:pt idx="19">
                  <c:v>45271</c:v>
                </c:pt>
                <c:pt idx="20">
                  <c:v>45278</c:v>
                </c:pt>
                <c:pt idx="21">
                  <c:v>45285</c:v>
                </c:pt>
                <c:pt idx="22">
                  <c:v>45292</c:v>
                </c:pt>
                <c:pt idx="23">
                  <c:v>45299</c:v>
                </c:pt>
                <c:pt idx="24">
                  <c:v>45306</c:v>
                </c:pt>
                <c:pt idx="25">
                  <c:v>45313</c:v>
                </c:pt>
                <c:pt idx="26">
                  <c:v>45320</c:v>
                </c:pt>
                <c:pt idx="27">
                  <c:v>45327</c:v>
                </c:pt>
                <c:pt idx="28">
                  <c:v>45334</c:v>
                </c:pt>
                <c:pt idx="29">
                  <c:v>45341</c:v>
                </c:pt>
                <c:pt idx="30">
                  <c:v>45348</c:v>
                </c:pt>
                <c:pt idx="31">
                  <c:v>45355</c:v>
                </c:pt>
                <c:pt idx="32">
                  <c:v>45362</c:v>
                </c:pt>
                <c:pt idx="33">
                  <c:v>45369</c:v>
                </c:pt>
                <c:pt idx="34">
                  <c:v>45376</c:v>
                </c:pt>
                <c:pt idx="35">
                  <c:v>45383</c:v>
                </c:pt>
                <c:pt idx="36">
                  <c:v>45390</c:v>
                </c:pt>
                <c:pt idx="37">
                  <c:v>45397</c:v>
                </c:pt>
                <c:pt idx="38">
                  <c:v>45404</c:v>
                </c:pt>
                <c:pt idx="39">
                  <c:v>45411</c:v>
                </c:pt>
                <c:pt idx="40">
                  <c:v>45418</c:v>
                </c:pt>
                <c:pt idx="41">
                  <c:v>45425</c:v>
                </c:pt>
                <c:pt idx="42">
                  <c:v>45432</c:v>
                </c:pt>
                <c:pt idx="43">
                  <c:v>45439</c:v>
                </c:pt>
                <c:pt idx="44">
                  <c:v>45446</c:v>
                </c:pt>
                <c:pt idx="45">
                  <c:v>45453</c:v>
                </c:pt>
                <c:pt idx="46">
                  <c:v>45460</c:v>
                </c:pt>
                <c:pt idx="47">
                  <c:v>45467</c:v>
                </c:pt>
                <c:pt idx="48">
                  <c:v>45474</c:v>
                </c:pt>
                <c:pt idx="49">
                  <c:v>45481</c:v>
                </c:pt>
                <c:pt idx="50">
                  <c:v>45488</c:v>
                </c:pt>
                <c:pt idx="51">
                  <c:v>45495</c:v>
                </c:pt>
                <c:pt idx="52">
                  <c:v>45502</c:v>
                </c:pt>
                <c:pt idx="53">
                  <c:v>45509</c:v>
                </c:pt>
                <c:pt idx="54">
                  <c:v>45516</c:v>
                </c:pt>
                <c:pt idx="55">
                  <c:v>45523</c:v>
                </c:pt>
                <c:pt idx="56">
                  <c:v>45530</c:v>
                </c:pt>
                <c:pt idx="57">
                  <c:v>45537</c:v>
                </c:pt>
                <c:pt idx="58">
                  <c:v>45544</c:v>
                </c:pt>
                <c:pt idx="59">
                  <c:v>45551</c:v>
                </c:pt>
                <c:pt idx="60">
                  <c:v>45558</c:v>
                </c:pt>
                <c:pt idx="61">
                  <c:v>45565</c:v>
                </c:pt>
                <c:pt idx="62">
                  <c:v>45572</c:v>
                </c:pt>
                <c:pt idx="63">
                  <c:v>45579</c:v>
                </c:pt>
                <c:pt idx="64">
                  <c:v>45586</c:v>
                </c:pt>
                <c:pt idx="65">
                  <c:v>45593</c:v>
                </c:pt>
                <c:pt idx="66">
                  <c:v>45600</c:v>
                </c:pt>
                <c:pt idx="67">
                  <c:v>45607</c:v>
                </c:pt>
                <c:pt idx="68">
                  <c:v>45614</c:v>
                </c:pt>
                <c:pt idx="69">
                  <c:v>45621</c:v>
                </c:pt>
                <c:pt idx="70">
                  <c:v>45628</c:v>
                </c:pt>
                <c:pt idx="71">
                  <c:v>45635</c:v>
                </c:pt>
                <c:pt idx="72">
                  <c:v>45642</c:v>
                </c:pt>
                <c:pt idx="73">
                  <c:v>45649</c:v>
                </c:pt>
                <c:pt idx="74">
                  <c:v>45656</c:v>
                </c:pt>
                <c:pt idx="75">
                  <c:v>45663</c:v>
                </c:pt>
                <c:pt idx="76">
                  <c:v>45670</c:v>
                </c:pt>
                <c:pt idx="77">
                  <c:v>45677</c:v>
                </c:pt>
                <c:pt idx="78">
                  <c:v>45684</c:v>
                </c:pt>
                <c:pt idx="79">
                  <c:v>45691</c:v>
                </c:pt>
                <c:pt idx="80">
                  <c:v>45698</c:v>
                </c:pt>
                <c:pt idx="81">
                  <c:v>45705</c:v>
                </c:pt>
                <c:pt idx="82">
                  <c:v>45712</c:v>
                </c:pt>
                <c:pt idx="83">
                  <c:v>45719</c:v>
                </c:pt>
              </c:numCache>
            </c:numRef>
          </c:cat>
          <c:val>
            <c:numRef>
              <c:f>Cashflow!$F$4:$BE$4</c:f>
              <c:numCache>
                <c:formatCode>#,##0</c:formatCode>
                <c:ptCount val="5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8971852.9800000004</c:v>
                </c:pt>
                <c:pt idx="5">
                  <c:v>8971852.9800000004</c:v>
                </c:pt>
                <c:pt idx="6">
                  <c:v>8971852.9800000004</c:v>
                </c:pt>
                <c:pt idx="7">
                  <c:v>8971852.9800000004</c:v>
                </c:pt>
                <c:pt idx="8">
                  <c:v>8971852.9800000004</c:v>
                </c:pt>
                <c:pt idx="9">
                  <c:v>8971852.9800000004</c:v>
                </c:pt>
                <c:pt idx="10">
                  <c:v>8971852.9800000004</c:v>
                </c:pt>
                <c:pt idx="11">
                  <c:v>8971852.9800000004</c:v>
                </c:pt>
                <c:pt idx="12">
                  <c:v>8971852.9800000004</c:v>
                </c:pt>
                <c:pt idx="13">
                  <c:v>8971852.9800000004</c:v>
                </c:pt>
                <c:pt idx="14">
                  <c:v>8971852.9800000004</c:v>
                </c:pt>
                <c:pt idx="15">
                  <c:v>8971852.9800000004</c:v>
                </c:pt>
                <c:pt idx="16">
                  <c:v>8971852.9800000004</c:v>
                </c:pt>
                <c:pt idx="17">
                  <c:v>8971852.9800000004</c:v>
                </c:pt>
                <c:pt idx="18">
                  <c:v>8971852.9800000004</c:v>
                </c:pt>
                <c:pt idx="19">
                  <c:v>8971852.9800000004</c:v>
                </c:pt>
                <c:pt idx="20">
                  <c:v>14503433.885000002</c:v>
                </c:pt>
                <c:pt idx="21">
                  <c:v>14503433.885000002</c:v>
                </c:pt>
                <c:pt idx="22">
                  <c:v>14503433.885000002</c:v>
                </c:pt>
                <c:pt idx="23">
                  <c:v>14503433.885000002</c:v>
                </c:pt>
                <c:pt idx="24">
                  <c:v>14503433.885000002</c:v>
                </c:pt>
                <c:pt idx="25">
                  <c:v>14503433.885000002</c:v>
                </c:pt>
                <c:pt idx="26">
                  <c:v>14503433.885000002</c:v>
                </c:pt>
                <c:pt idx="27">
                  <c:v>14503433.885000002</c:v>
                </c:pt>
                <c:pt idx="28">
                  <c:v>14503433.885000002</c:v>
                </c:pt>
                <c:pt idx="29">
                  <c:v>14503433.885000002</c:v>
                </c:pt>
                <c:pt idx="30">
                  <c:v>14503433.885000002</c:v>
                </c:pt>
                <c:pt idx="31">
                  <c:v>14503433.885000002</c:v>
                </c:pt>
                <c:pt idx="32">
                  <c:v>14503433.885000002</c:v>
                </c:pt>
                <c:pt idx="33">
                  <c:v>15251088.300000001</c:v>
                </c:pt>
                <c:pt idx="34">
                  <c:v>15251088.300000001</c:v>
                </c:pt>
                <c:pt idx="35">
                  <c:v>15251088.300000001</c:v>
                </c:pt>
                <c:pt idx="36">
                  <c:v>15251088.300000001</c:v>
                </c:pt>
                <c:pt idx="37">
                  <c:v>15251088.300000001</c:v>
                </c:pt>
                <c:pt idx="38">
                  <c:v>15251088.300000001</c:v>
                </c:pt>
                <c:pt idx="39">
                  <c:v>15251088.300000001</c:v>
                </c:pt>
                <c:pt idx="40">
                  <c:v>15251088.300000001</c:v>
                </c:pt>
                <c:pt idx="41">
                  <c:v>15251088.300000001</c:v>
                </c:pt>
                <c:pt idx="42">
                  <c:v>15251088.300000001</c:v>
                </c:pt>
                <c:pt idx="43">
                  <c:v>15251088.300000001</c:v>
                </c:pt>
                <c:pt idx="44">
                  <c:v>15251088.300000001</c:v>
                </c:pt>
                <c:pt idx="45">
                  <c:v>15251088.300000001</c:v>
                </c:pt>
                <c:pt idx="46">
                  <c:v>15251088.300000001</c:v>
                </c:pt>
                <c:pt idx="47">
                  <c:v>15251088.300000001</c:v>
                </c:pt>
                <c:pt idx="48">
                  <c:v>15251088.300000001</c:v>
                </c:pt>
                <c:pt idx="49">
                  <c:v>15251088.300000001</c:v>
                </c:pt>
                <c:pt idx="50">
                  <c:v>15251088.300000001</c:v>
                </c:pt>
                <c:pt idx="51">
                  <c:v>15251088.300000001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Cashflow!$F$1:$CK$1</c:f>
              <c:numCache>
                <c:formatCode>d\-mmm\-yy</c:formatCode>
                <c:ptCount val="84"/>
                <c:pt idx="0">
                  <c:v>45138</c:v>
                </c:pt>
                <c:pt idx="1">
                  <c:v>45145</c:v>
                </c:pt>
                <c:pt idx="2">
                  <c:v>45152</c:v>
                </c:pt>
                <c:pt idx="3">
                  <c:v>45159</c:v>
                </c:pt>
                <c:pt idx="4">
                  <c:v>45166</c:v>
                </c:pt>
                <c:pt idx="5">
                  <c:v>45173</c:v>
                </c:pt>
                <c:pt idx="6">
                  <c:v>45180</c:v>
                </c:pt>
                <c:pt idx="7">
                  <c:v>45187</c:v>
                </c:pt>
                <c:pt idx="8">
                  <c:v>45194</c:v>
                </c:pt>
                <c:pt idx="9">
                  <c:v>45201</c:v>
                </c:pt>
                <c:pt idx="10">
                  <c:v>45208</c:v>
                </c:pt>
                <c:pt idx="11">
                  <c:v>45215</c:v>
                </c:pt>
                <c:pt idx="12">
                  <c:v>45222</c:v>
                </c:pt>
                <c:pt idx="13">
                  <c:v>45229</c:v>
                </c:pt>
                <c:pt idx="14">
                  <c:v>45236</c:v>
                </c:pt>
                <c:pt idx="15">
                  <c:v>45243</c:v>
                </c:pt>
                <c:pt idx="16">
                  <c:v>45250</c:v>
                </c:pt>
                <c:pt idx="17">
                  <c:v>45257</c:v>
                </c:pt>
                <c:pt idx="18">
                  <c:v>45264</c:v>
                </c:pt>
                <c:pt idx="19">
                  <c:v>45271</c:v>
                </c:pt>
                <c:pt idx="20">
                  <c:v>45278</c:v>
                </c:pt>
                <c:pt idx="21">
                  <c:v>45285</c:v>
                </c:pt>
                <c:pt idx="22">
                  <c:v>45292</c:v>
                </c:pt>
                <c:pt idx="23">
                  <c:v>45299</c:v>
                </c:pt>
                <c:pt idx="24">
                  <c:v>45306</c:v>
                </c:pt>
                <c:pt idx="25">
                  <c:v>45313</c:v>
                </c:pt>
                <c:pt idx="26">
                  <c:v>45320</c:v>
                </c:pt>
                <c:pt idx="27">
                  <c:v>45327</c:v>
                </c:pt>
                <c:pt idx="28">
                  <c:v>45334</c:v>
                </c:pt>
                <c:pt idx="29">
                  <c:v>45341</c:v>
                </c:pt>
                <c:pt idx="30">
                  <c:v>45348</c:v>
                </c:pt>
                <c:pt idx="31">
                  <c:v>45355</c:v>
                </c:pt>
                <c:pt idx="32">
                  <c:v>45362</c:v>
                </c:pt>
                <c:pt idx="33">
                  <c:v>45369</c:v>
                </c:pt>
                <c:pt idx="34">
                  <c:v>45376</c:v>
                </c:pt>
                <c:pt idx="35">
                  <c:v>45383</c:v>
                </c:pt>
                <c:pt idx="36">
                  <c:v>45390</c:v>
                </c:pt>
                <c:pt idx="37">
                  <c:v>45397</c:v>
                </c:pt>
                <c:pt idx="38">
                  <c:v>45404</c:v>
                </c:pt>
                <c:pt idx="39">
                  <c:v>45411</c:v>
                </c:pt>
                <c:pt idx="40">
                  <c:v>45418</c:v>
                </c:pt>
                <c:pt idx="41">
                  <c:v>45425</c:v>
                </c:pt>
                <c:pt idx="42">
                  <c:v>45432</c:v>
                </c:pt>
                <c:pt idx="43">
                  <c:v>45439</c:v>
                </c:pt>
                <c:pt idx="44">
                  <c:v>45446</c:v>
                </c:pt>
                <c:pt idx="45">
                  <c:v>45453</c:v>
                </c:pt>
                <c:pt idx="46">
                  <c:v>45460</c:v>
                </c:pt>
                <c:pt idx="47">
                  <c:v>45467</c:v>
                </c:pt>
                <c:pt idx="48">
                  <c:v>45474</c:v>
                </c:pt>
                <c:pt idx="49">
                  <c:v>45481</c:v>
                </c:pt>
                <c:pt idx="50">
                  <c:v>45488</c:v>
                </c:pt>
                <c:pt idx="51">
                  <c:v>45495</c:v>
                </c:pt>
                <c:pt idx="52">
                  <c:v>45502</c:v>
                </c:pt>
                <c:pt idx="53">
                  <c:v>45509</c:v>
                </c:pt>
                <c:pt idx="54">
                  <c:v>45516</c:v>
                </c:pt>
                <c:pt idx="55">
                  <c:v>45523</c:v>
                </c:pt>
                <c:pt idx="56">
                  <c:v>45530</c:v>
                </c:pt>
                <c:pt idx="57">
                  <c:v>45537</c:v>
                </c:pt>
                <c:pt idx="58">
                  <c:v>45544</c:v>
                </c:pt>
                <c:pt idx="59">
                  <c:v>45551</c:v>
                </c:pt>
                <c:pt idx="60">
                  <c:v>45558</c:v>
                </c:pt>
                <c:pt idx="61">
                  <c:v>45565</c:v>
                </c:pt>
                <c:pt idx="62">
                  <c:v>45572</c:v>
                </c:pt>
                <c:pt idx="63">
                  <c:v>45579</c:v>
                </c:pt>
                <c:pt idx="64">
                  <c:v>45586</c:v>
                </c:pt>
                <c:pt idx="65">
                  <c:v>45593</c:v>
                </c:pt>
                <c:pt idx="66">
                  <c:v>45600</c:v>
                </c:pt>
                <c:pt idx="67">
                  <c:v>45607</c:v>
                </c:pt>
                <c:pt idx="68">
                  <c:v>45614</c:v>
                </c:pt>
                <c:pt idx="69">
                  <c:v>45621</c:v>
                </c:pt>
                <c:pt idx="70">
                  <c:v>45628</c:v>
                </c:pt>
                <c:pt idx="71">
                  <c:v>45635</c:v>
                </c:pt>
                <c:pt idx="72">
                  <c:v>45642</c:v>
                </c:pt>
                <c:pt idx="73">
                  <c:v>45649</c:v>
                </c:pt>
                <c:pt idx="74">
                  <c:v>45656</c:v>
                </c:pt>
                <c:pt idx="75">
                  <c:v>45663</c:v>
                </c:pt>
                <c:pt idx="76">
                  <c:v>45670</c:v>
                </c:pt>
                <c:pt idx="77">
                  <c:v>45677</c:v>
                </c:pt>
                <c:pt idx="78">
                  <c:v>45684</c:v>
                </c:pt>
                <c:pt idx="79">
                  <c:v>45691</c:v>
                </c:pt>
                <c:pt idx="80">
                  <c:v>45698</c:v>
                </c:pt>
                <c:pt idx="81">
                  <c:v>45705</c:v>
                </c:pt>
                <c:pt idx="82">
                  <c:v>45712</c:v>
                </c:pt>
                <c:pt idx="83">
                  <c:v>45719</c:v>
                </c:pt>
              </c:numCache>
            </c:numRef>
          </c:cat>
          <c:val>
            <c:numRef>
              <c:f>Cashflow!$F$6:$BE$6</c:f>
              <c:numCache>
                <c:formatCode>#,##0</c:formatCode>
                <c:ptCount val="5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774463.10869565222</c:v>
                </c:pt>
                <c:pt idx="19">
                  <c:v>782463.10869565222</c:v>
                </c:pt>
                <c:pt idx="20">
                  <c:v>782463.10869565222</c:v>
                </c:pt>
                <c:pt idx="21">
                  <c:v>782463.10869565222</c:v>
                </c:pt>
                <c:pt idx="22">
                  <c:v>782463.10869565222</c:v>
                </c:pt>
                <c:pt idx="23">
                  <c:v>1024463.1086956522</c:v>
                </c:pt>
                <c:pt idx="24">
                  <c:v>1024463.1086956522</c:v>
                </c:pt>
                <c:pt idx="25">
                  <c:v>1024463.1086956522</c:v>
                </c:pt>
                <c:pt idx="26">
                  <c:v>10589272.108695652</c:v>
                </c:pt>
                <c:pt idx="27">
                  <c:v>10722139.108695652</c:v>
                </c:pt>
                <c:pt idx="28">
                  <c:v>10722139.108695652</c:v>
                </c:pt>
                <c:pt idx="29">
                  <c:v>12255656.758695653</c:v>
                </c:pt>
                <c:pt idx="30">
                  <c:v>12621185.717391305</c:v>
                </c:pt>
                <c:pt idx="31">
                  <c:v>13085940.300724639</c:v>
                </c:pt>
                <c:pt idx="32">
                  <c:v>13085940.300724639</c:v>
                </c:pt>
                <c:pt idx="33">
                  <c:v>13085940.300724639</c:v>
                </c:pt>
                <c:pt idx="34">
                  <c:v>13085940.300724639</c:v>
                </c:pt>
                <c:pt idx="35">
                  <c:v>13170256.550724639</c:v>
                </c:pt>
                <c:pt idx="36">
                  <c:v>13170256.550724639</c:v>
                </c:pt>
                <c:pt idx="37">
                  <c:v>13170256.550724639</c:v>
                </c:pt>
                <c:pt idx="38">
                  <c:v>13282857.692898551</c:v>
                </c:pt>
                <c:pt idx="39">
                  <c:v>13282857.692898551</c:v>
                </c:pt>
                <c:pt idx="40">
                  <c:v>13282857.692898551</c:v>
                </c:pt>
                <c:pt idx="41">
                  <c:v>13282857.692898551</c:v>
                </c:pt>
                <c:pt idx="42">
                  <c:v>13282857.692898551</c:v>
                </c:pt>
                <c:pt idx="43">
                  <c:v>13282857.692898551</c:v>
                </c:pt>
                <c:pt idx="44">
                  <c:v>13282857.692898551</c:v>
                </c:pt>
                <c:pt idx="45">
                  <c:v>13282857.692898551</c:v>
                </c:pt>
                <c:pt idx="46">
                  <c:v>13282857.692898551</c:v>
                </c:pt>
                <c:pt idx="47">
                  <c:v>13282857.692898551</c:v>
                </c:pt>
                <c:pt idx="48">
                  <c:v>13282857.692898551</c:v>
                </c:pt>
                <c:pt idx="49">
                  <c:v>13282857.692898551</c:v>
                </c:pt>
                <c:pt idx="50">
                  <c:v>13282857.692898551</c:v>
                </c:pt>
                <c:pt idx="51">
                  <c:v>13282857.692898551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Cashflow!$F$1:$CK$1</c:f>
              <c:numCache>
                <c:formatCode>d\-mmm\-yy</c:formatCode>
                <c:ptCount val="84"/>
                <c:pt idx="0">
                  <c:v>45138</c:v>
                </c:pt>
                <c:pt idx="1">
                  <c:v>45145</c:v>
                </c:pt>
                <c:pt idx="2">
                  <c:v>45152</c:v>
                </c:pt>
                <c:pt idx="3">
                  <c:v>45159</c:v>
                </c:pt>
                <c:pt idx="4">
                  <c:v>45166</c:v>
                </c:pt>
                <c:pt idx="5">
                  <c:v>45173</c:v>
                </c:pt>
                <c:pt idx="6">
                  <c:v>45180</c:v>
                </c:pt>
                <c:pt idx="7">
                  <c:v>45187</c:v>
                </c:pt>
                <c:pt idx="8">
                  <c:v>45194</c:v>
                </c:pt>
                <c:pt idx="9">
                  <c:v>45201</c:v>
                </c:pt>
                <c:pt idx="10">
                  <c:v>45208</c:v>
                </c:pt>
                <c:pt idx="11">
                  <c:v>45215</c:v>
                </c:pt>
                <c:pt idx="12">
                  <c:v>45222</c:v>
                </c:pt>
                <c:pt idx="13">
                  <c:v>45229</c:v>
                </c:pt>
                <c:pt idx="14">
                  <c:v>45236</c:v>
                </c:pt>
                <c:pt idx="15">
                  <c:v>45243</c:v>
                </c:pt>
                <c:pt idx="16">
                  <c:v>45250</c:v>
                </c:pt>
                <c:pt idx="17">
                  <c:v>45257</c:v>
                </c:pt>
                <c:pt idx="18">
                  <c:v>45264</c:v>
                </c:pt>
                <c:pt idx="19">
                  <c:v>45271</c:v>
                </c:pt>
                <c:pt idx="20">
                  <c:v>45278</c:v>
                </c:pt>
                <c:pt idx="21">
                  <c:v>45285</c:v>
                </c:pt>
                <c:pt idx="22">
                  <c:v>45292</c:v>
                </c:pt>
                <c:pt idx="23">
                  <c:v>45299</c:v>
                </c:pt>
                <c:pt idx="24">
                  <c:v>45306</c:v>
                </c:pt>
                <c:pt idx="25">
                  <c:v>45313</c:v>
                </c:pt>
                <c:pt idx="26">
                  <c:v>45320</c:v>
                </c:pt>
                <c:pt idx="27">
                  <c:v>45327</c:v>
                </c:pt>
                <c:pt idx="28">
                  <c:v>45334</c:v>
                </c:pt>
                <c:pt idx="29">
                  <c:v>45341</c:v>
                </c:pt>
                <c:pt idx="30">
                  <c:v>45348</c:v>
                </c:pt>
                <c:pt idx="31">
                  <c:v>45355</c:v>
                </c:pt>
                <c:pt idx="32">
                  <c:v>45362</c:v>
                </c:pt>
                <c:pt idx="33">
                  <c:v>45369</c:v>
                </c:pt>
                <c:pt idx="34">
                  <c:v>45376</c:v>
                </c:pt>
                <c:pt idx="35">
                  <c:v>45383</c:v>
                </c:pt>
                <c:pt idx="36">
                  <c:v>45390</c:v>
                </c:pt>
                <c:pt idx="37">
                  <c:v>45397</c:v>
                </c:pt>
                <c:pt idx="38">
                  <c:v>45404</c:v>
                </c:pt>
                <c:pt idx="39">
                  <c:v>45411</c:v>
                </c:pt>
                <c:pt idx="40">
                  <c:v>45418</c:v>
                </c:pt>
                <c:pt idx="41">
                  <c:v>45425</c:v>
                </c:pt>
                <c:pt idx="42">
                  <c:v>45432</c:v>
                </c:pt>
                <c:pt idx="43">
                  <c:v>45439</c:v>
                </c:pt>
                <c:pt idx="44">
                  <c:v>45446</c:v>
                </c:pt>
                <c:pt idx="45">
                  <c:v>45453</c:v>
                </c:pt>
                <c:pt idx="46">
                  <c:v>45460</c:v>
                </c:pt>
                <c:pt idx="47">
                  <c:v>45467</c:v>
                </c:pt>
                <c:pt idx="48">
                  <c:v>45474</c:v>
                </c:pt>
                <c:pt idx="49">
                  <c:v>45481</c:v>
                </c:pt>
                <c:pt idx="50">
                  <c:v>45488</c:v>
                </c:pt>
                <c:pt idx="51">
                  <c:v>45495</c:v>
                </c:pt>
                <c:pt idx="52">
                  <c:v>45502</c:v>
                </c:pt>
                <c:pt idx="53">
                  <c:v>45509</c:v>
                </c:pt>
                <c:pt idx="54">
                  <c:v>45516</c:v>
                </c:pt>
                <c:pt idx="55">
                  <c:v>45523</c:v>
                </c:pt>
                <c:pt idx="56">
                  <c:v>45530</c:v>
                </c:pt>
                <c:pt idx="57">
                  <c:v>45537</c:v>
                </c:pt>
                <c:pt idx="58">
                  <c:v>45544</c:v>
                </c:pt>
                <c:pt idx="59">
                  <c:v>45551</c:v>
                </c:pt>
                <c:pt idx="60">
                  <c:v>45558</c:v>
                </c:pt>
                <c:pt idx="61">
                  <c:v>45565</c:v>
                </c:pt>
                <c:pt idx="62">
                  <c:v>45572</c:v>
                </c:pt>
                <c:pt idx="63">
                  <c:v>45579</c:v>
                </c:pt>
                <c:pt idx="64">
                  <c:v>45586</c:v>
                </c:pt>
                <c:pt idx="65">
                  <c:v>45593</c:v>
                </c:pt>
                <c:pt idx="66">
                  <c:v>45600</c:v>
                </c:pt>
                <c:pt idx="67">
                  <c:v>45607</c:v>
                </c:pt>
                <c:pt idx="68">
                  <c:v>45614</c:v>
                </c:pt>
                <c:pt idx="69">
                  <c:v>45621</c:v>
                </c:pt>
                <c:pt idx="70">
                  <c:v>45628</c:v>
                </c:pt>
                <c:pt idx="71">
                  <c:v>45635</c:v>
                </c:pt>
                <c:pt idx="72">
                  <c:v>45642</c:v>
                </c:pt>
                <c:pt idx="73">
                  <c:v>45649</c:v>
                </c:pt>
                <c:pt idx="74">
                  <c:v>45656</c:v>
                </c:pt>
                <c:pt idx="75">
                  <c:v>45663</c:v>
                </c:pt>
                <c:pt idx="76">
                  <c:v>45670</c:v>
                </c:pt>
                <c:pt idx="77">
                  <c:v>45677</c:v>
                </c:pt>
                <c:pt idx="78">
                  <c:v>45684</c:v>
                </c:pt>
                <c:pt idx="79">
                  <c:v>45691</c:v>
                </c:pt>
                <c:pt idx="80">
                  <c:v>45698</c:v>
                </c:pt>
                <c:pt idx="81">
                  <c:v>45705</c:v>
                </c:pt>
                <c:pt idx="82">
                  <c:v>45712</c:v>
                </c:pt>
                <c:pt idx="83">
                  <c:v>45719</c:v>
                </c:pt>
              </c:numCache>
            </c:numRef>
          </c:cat>
          <c:val>
            <c:numRef>
              <c:f>Cashflow!$F$7:$BE$7</c:f>
              <c:numCache>
                <c:formatCode>#,##0</c:formatCode>
                <c:ptCount val="5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8971852.9800000004</c:v>
                </c:pt>
                <c:pt idx="5">
                  <c:v>8971852.9800000004</c:v>
                </c:pt>
                <c:pt idx="6">
                  <c:v>8971852.9800000004</c:v>
                </c:pt>
                <c:pt idx="7">
                  <c:v>8971852.9800000004</c:v>
                </c:pt>
                <c:pt idx="8">
                  <c:v>8971852.9800000004</c:v>
                </c:pt>
                <c:pt idx="9">
                  <c:v>8971852.9800000004</c:v>
                </c:pt>
                <c:pt idx="10">
                  <c:v>8971852.9800000004</c:v>
                </c:pt>
                <c:pt idx="11">
                  <c:v>8971852.9800000004</c:v>
                </c:pt>
                <c:pt idx="12">
                  <c:v>8971852.9800000004</c:v>
                </c:pt>
                <c:pt idx="13">
                  <c:v>8971852.9800000004</c:v>
                </c:pt>
                <c:pt idx="14">
                  <c:v>8971852.9800000004</c:v>
                </c:pt>
                <c:pt idx="15">
                  <c:v>8971852.9800000004</c:v>
                </c:pt>
                <c:pt idx="16">
                  <c:v>8971852.9800000004</c:v>
                </c:pt>
                <c:pt idx="17">
                  <c:v>8971852.9800000004</c:v>
                </c:pt>
                <c:pt idx="18">
                  <c:v>8197389.8713043481</c:v>
                </c:pt>
                <c:pt idx="19">
                  <c:v>8189389.8713043481</c:v>
                </c:pt>
                <c:pt idx="20">
                  <c:v>13720970.776304349</c:v>
                </c:pt>
                <c:pt idx="21">
                  <c:v>13720970.776304349</c:v>
                </c:pt>
                <c:pt idx="22">
                  <c:v>13720970.776304349</c:v>
                </c:pt>
                <c:pt idx="23">
                  <c:v>13478970.776304349</c:v>
                </c:pt>
                <c:pt idx="24">
                  <c:v>13478970.776304349</c:v>
                </c:pt>
                <c:pt idx="25">
                  <c:v>13478970.776304349</c:v>
                </c:pt>
                <c:pt idx="26">
                  <c:v>3914161.7763043493</c:v>
                </c:pt>
                <c:pt idx="27">
                  <c:v>3781294.7763043493</c:v>
                </c:pt>
                <c:pt idx="28">
                  <c:v>3781294.7763043493</c:v>
                </c:pt>
                <c:pt idx="29">
                  <c:v>2247777.1263043489</c:v>
                </c:pt>
                <c:pt idx="30">
                  <c:v>1882248.167608697</c:v>
                </c:pt>
                <c:pt idx="31">
                  <c:v>1417493.584275363</c:v>
                </c:pt>
                <c:pt idx="32">
                  <c:v>1417493.584275363</c:v>
                </c:pt>
                <c:pt idx="33">
                  <c:v>2165147.9992753621</c:v>
                </c:pt>
                <c:pt idx="34">
                  <c:v>2165147.9992753621</c:v>
                </c:pt>
                <c:pt idx="35">
                  <c:v>2080831.7492753621</c:v>
                </c:pt>
                <c:pt idx="36">
                  <c:v>2080831.7492753621</c:v>
                </c:pt>
                <c:pt idx="37">
                  <c:v>2080831.7492753621</c:v>
                </c:pt>
                <c:pt idx="38">
                  <c:v>1968230.6071014497</c:v>
                </c:pt>
                <c:pt idx="39">
                  <c:v>1968230.6071014497</c:v>
                </c:pt>
                <c:pt idx="40">
                  <c:v>1968230.6071014497</c:v>
                </c:pt>
                <c:pt idx="41">
                  <c:v>1968230.6071014497</c:v>
                </c:pt>
                <c:pt idx="42">
                  <c:v>1968230.6071014497</c:v>
                </c:pt>
                <c:pt idx="43">
                  <c:v>1968230.6071014497</c:v>
                </c:pt>
                <c:pt idx="44">
                  <c:v>1968230.6071014497</c:v>
                </c:pt>
                <c:pt idx="45">
                  <c:v>1968230.6071014497</c:v>
                </c:pt>
                <c:pt idx="46">
                  <c:v>1968230.6071014497</c:v>
                </c:pt>
                <c:pt idx="47">
                  <c:v>1968230.6071014497</c:v>
                </c:pt>
                <c:pt idx="48">
                  <c:v>1968230.6071014497</c:v>
                </c:pt>
                <c:pt idx="49">
                  <c:v>1968230.6071014497</c:v>
                </c:pt>
                <c:pt idx="50">
                  <c:v>1968230.6071014497</c:v>
                </c:pt>
                <c:pt idx="51">
                  <c:v>1968230.6071014497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Cashflow!$F$1:$CK$1</c:f>
              <c:numCache>
                <c:formatCode>d\-mmm\-yy</c:formatCode>
                <c:ptCount val="84"/>
                <c:pt idx="0">
                  <c:v>45138</c:v>
                </c:pt>
                <c:pt idx="1">
                  <c:v>45145</c:v>
                </c:pt>
                <c:pt idx="2">
                  <c:v>45152</c:v>
                </c:pt>
                <c:pt idx="3">
                  <c:v>45159</c:v>
                </c:pt>
                <c:pt idx="4">
                  <c:v>45166</c:v>
                </c:pt>
                <c:pt idx="5">
                  <c:v>45173</c:v>
                </c:pt>
                <c:pt idx="6">
                  <c:v>45180</c:v>
                </c:pt>
                <c:pt idx="7">
                  <c:v>45187</c:v>
                </c:pt>
                <c:pt idx="8">
                  <c:v>45194</c:v>
                </c:pt>
                <c:pt idx="9">
                  <c:v>45201</c:v>
                </c:pt>
                <c:pt idx="10">
                  <c:v>45208</c:v>
                </c:pt>
                <c:pt idx="11">
                  <c:v>45215</c:v>
                </c:pt>
                <c:pt idx="12">
                  <c:v>45222</c:v>
                </c:pt>
                <c:pt idx="13">
                  <c:v>45229</c:v>
                </c:pt>
                <c:pt idx="14">
                  <c:v>45236</c:v>
                </c:pt>
                <c:pt idx="15">
                  <c:v>45243</c:v>
                </c:pt>
                <c:pt idx="16">
                  <c:v>45250</c:v>
                </c:pt>
                <c:pt idx="17">
                  <c:v>45257</c:v>
                </c:pt>
                <c:pt idx="18">
                  <c:v>45264</c:v>
                </c:pt>
                <c:pt idx="19">
                  <c:v>45271</c:v>
                </c:pt>
                <c:pt idx="20">
                  <c:v>45278</c:v>
                </c:pt>
                <c:pt idx="21">
                  <c:v>45285</c:v>
                </c:pt>
                <c:pt idx="22">
                  <c:v>45292</c:v>
                </c:pt>
                <c:pt idx="23">
                  <c:v>45299</c:v>
                </c:pt>
                <c:pt idx="24">
                  <c:v>45306</c:v>
                </c:pt>
                <c:pt idx="25">
                  <c:v>45313</c:v>
                </c:pt>
                <c:pt idx="26">
                  <c:v>45320</c:v>
                </c:pt>
                <c:pt idx="27">
                  <c:v>45327</c:v>
                </c:pt>
                <c:pt idx="28">
                  <c:v>45334</c:v>
                </c:pt>
                <c:pt idx="29">
                  <c:v>45341</c:v>
                </c:pt>
                <c:pt idx="30">
                  <c:v>45348</c:v>
                </c:pt>
                <c:pt idx="31">
                  <c:v>45355</c:v>
                </c:pt>
                <c:pt idx="32">
                  <c:v>45362</c:v>
                </c:pt>
                <c:pt idx="33">
                  <c:v>45369</c:v>
                </c:pt>
                <c:pt idx="34">
                  <c:v>45376</c:v>
                </c:pt>
                <c:pt idx="35">
                  <c:v>45383</c:v>
                </c:pt>
                <c:pt idx="36">
                  <c:v>45390</c:v>
                </c:pt>
                <c:pt idx="37">
                  <c:v>45397</c:v>
                </c:pt>
                <c:pt idx="38">
                  <c:v>45404</c:v>
                </c:pt>
                <c:pt idx="39">
                  <c:v>45411</c:v>
                </c:pt>
                <c:pt idx="40">
                  <c:v>45418</c:v>
                </c:pt>
                <c:pt idx="41">
                  <c:v>45425</c:v>
                </c:pt>
                <c:pt idx="42">
                  <c:v>45432</c:v>
                </c:pt>
                <c:pt idx="43">
                  <c:v>45439</c:v>
                </c:pt>
                <c:pt idx="44">
                  <c:v>45446</c:v>
                </c:pt>
                <c:pt idx="45">
                  <c:v>45453</c:v>
                </c:pt>
                <c:pt idx="46">
                  <c:v>45460</c:v>
                </c:pt>
                <c:pt idx="47">
                  <c:v>45467</c:v>
                </c:pt>
                <c:pt idx="48">
                  <c:v>45474</c:v>
                </c:pt>
                <c:pt idx="49">
                  <c:v>45481</c:v>
                </c:pt>
                <c:pt idx="50">
                  <c:v>45488</c:v>
                </c:pt>
                <c:pt idx="51">
                  <c:v>45495</c:v>
                </c:pt>
                <c:pt idx="52">
                  <c:v>45502</c:v>
                </c:pt>
                <c:pt idx="53">
                  <c:v>45509</c:v>
                </c:pt>
                <c:pt idx="54">
                  <c:v>45516</c:v>
                </c:pt>
                <c:pt idx="55">
                  <c:v>45523</c:v>
                </c:pt>
                <c:pt idx="56">
                  <c:v>45530</c:v>
                </c:pt>
                <c:pt idx="57">
                  <c:v>45537</c:v>
                </c:pt>
                <c:pt idx="58">
                  <c:v>45544</c:v>
                </c:pt>
                <c:pt idx="59">
                  <c:v>45551</c:v>
                </c:pt>
                <c:pt idx="60">
                  <c:v>45558</c:v>
                </c:pt>
                <c:pt idx="61">
                  <c:v>45565</c:v>
                </c:pt>
                <c:pt idx="62">
                  <c:v>45572</c:v>
                </c:pt>
                <c:pt idx="63">
                  <c:v>45579</c:v>
                </c:pt>
                <c:pt idx="64">
                  <c:v>45586</c:v>
                </c:pt>
                <c:pt idx="65">
                  <c:v>45593</c:v>
                </c:pt>
                <c:pt idx="66">
                  <c:v>45600</c:v>
                </c:pt>
                <c:pt idx="67">
                  <c:v>45607</c:v>
                </c:pt>
                <c:pt idx="68">
                  <c:v>45614</c:v>
                </c:pt>
                <c:pt idx="69">
                  <c:v>45621</c:v>
                </c:pt>
                <c:pt idx="70">
                  <c:v>45628</c:v>
                </c:pt>
                <c:pt idx="71">
                  <c:v>45635</c:v>
                </c:pt>
                <c:pt idx="72">
                  <c:v>45642</c:v>
                </c:pt>
                <c:pt idx="73">
                  <c:v>45649</c:v>
                </c:pt>
                <c:pt idx="74">
                  <c:v>45656</c:v>
                </c:pt>
                <c:pt idx="75">
                  <c:v>45663</c:v>
                </c:pt>
                <c:pt idx="76">
                  <c:v>45670</c:v>
                </c:pt>
                <c:pt idx="77">
                  <c:v>45677</c:v>
                </c:pt>
                <c:pt idx="78">
                  <c:v>45684</c:v>
                </c:pt>
                <c:pt idx="79">
                  <c:v>45691</c:v>
                </c:pt>
                <c:pt idx="80">
                  <c:v>45698</c:v>
                </c:pt>
                <c:pt idx="81">
                  <c:v>45705</c:v>
                </c:pt>
                <c:pt idx="82">
                  <c:v>45712</c:v>
                </c:pt>
                <c:pt idx="83">
                  <c:v>45719</c:v>
                </c:pt>
              </c:numCache>
            </c:numRef>
          </c:cat>
          <c:val>
            <c:numRef>
              <c:f>Cashflow!$F$10:$CK$10</c:f>
              <c:numCache>
                <c:formatCode>#,##0</c:formatCode>
                <c:ptCount val="84"/>
                <c:pt idx="0">
                  <c:v>8971852.9800000004</c:v>
                </c:pt>
                <c:pt idx="1">
                  <c:v>8971852.9800000004</c:v>
                </c:pt>
                <c:pt idx="2">
                  <c:v>8971852.9800000004</c:v>
                </c:pt>
                <c:pt idx="3">
                  <c:v>8971852.9800000004</c:v>
                </c:pt>
                <c:pt idx="4">
                  <c:v>8971852.9800000004</c:v>
                </c:pt>
                <c:pt idx="5">
                  <c:v>8971852.9800000004</c:v>
                </c:pt>
                <c:pt idx="6">
                  <c:v>8971852.9800000004</c:v>
                </c:pt>
                <c:pt idx="7">
                  <c:v>8971852.9800000004</c:v>
                </c:pt>
                <c:pt idx="8">
                  <c:v>8971852.9800000004</c:v>
                </c:pt>
                <c:pt idx="9">
                  <c:v>8971852.9800000004</c:v>
                </c:pt>
                <c:pt idx="10">
                  <c:v>8971852.9800000004</c:v>
                </c:pt>
                <c:pt idx="11">
                  <c:v>8971852.9800000004</c:v>
                </c:pt>
                <c:pt idx="12">
                  <c:v>8971852.9800000004</c:v>
                </c:pt>
                <c:pt idx="13">
                  <c:v>8971852.9800000004</c:v>
                </c:pt>
                <c:pt idx="14">
                  <c:v>8971852.9800000004</c:v>
                </c:pt>
                <c:pt idx="15">
                  <c:v>8971852.9800000004</c:v>
                </c:pt>
                <c:pt idx="16">
                  <c:v>8971852.9800000004</c:v>
                </c:pt>
                <c:pt idx="17">
                  <c:v>8971852.9800000004</c:v>
                </c:pt>
                <c:pt idx="18">
                  <c:v>8971852.9800000004</c:v>
                </c:pt>
                <c:pt idx="19">
                  <c:v>9269852.9800000004</c:v>
                </c:pt>
                <c:pt idx="20">
                  <c:v>14503433.885000002</c:v>
                </c:pt>
                <c:pt idx="21">
                  <c:v>14503433.885000002</c:v>
                </c:pt>
                <c:pt idx="22">
                  <c:v>14503433.885000002</c:v>
                </c:pt>
                <c:pt idx="23">
                  <c:v>14503433.885000002</c:v>
                </c:pt>
                <c:pt idx="24">
                  <c:v>14503433.885000002</c:v>
                </c:pt>
                <c:pt idx="25">
                  <c:v>14503433.885000002</c:v>
                </c:pt>
                <c:pt idx="26">
                  <c:v>14503433.885000002</c:v>
                </c:pt>
                <c:pt idx="27">
                  <c:v>14503433.885000002</c:v>
                </c:pt>
                <c:pt idx="28">
                  <c:v>14503433.885000002</c:v>
                </c:pt>
                <c:pt idx="29">
                  <c:v>14503433.885000002</c:v>
                </c:pt>
                <c:pt idx="30">
                  <c:v>14503433.885000002</c:v>
                </c:pt>
                <c:pt idx="31">
                  <c:v>14503433.885000002</c:v>
                </c:pt>
                <c:pt idx="32">
                  <c:v>14503433.885000002</c:v>
                </c:pt>
                <c:pt idx="33">
                  <c:v>14503433.885000002</c:v>
                </c:pt>
                <c:pt idx="34">
                  <c:v>14503433.885000002</c:v>
                </c:pt>
                <c:pt idx="35">
                  <c:v>14503433.885000002</c:v>
                </c:pt>
                <c:pt idx="36">
                  <c:v>14503433.885000002</c:v>
                </c:pt>
                <c:pt idx="37">
                  <c:v>14503433.885000002</c:v>
                </c:pt>
                <c:pt idx="38">
                  <c:v>14503433.885000002</c:v>
                </c:pt>
                <c:pt idx="39">
                  <c:v>14503433.885000002</c:v>
                </c:pt>
                <c:pt idx="40">
                  <c:v>14503433.885000002</c:v>
                </c:pt>
                <c:pt idx="41">
                  <c:v>14503433.885000002</c:v>
                </c:pt>
                <c:pt idx="42">
                  <c:v>14503433.885000002</c:v>
                </c:pt>
                <c:pt idx="43">
                  <c:v>14503433.885000002</c:v>
                </c:pt>
                <c:pt idx="44">
                  <c:v>14503433.885000002</c:v>
                </c:pt>
                <c:pt idx="45">
                  <c:v>14503433.885000002</c:v>
                </c:pt>
                <c:pt idx="46">
                  <c:v>14503433.885000002</c:v>
                </c:pt>
                <c:pt idx="47">
                  <c:v>14503433.885000002</c:v>
                </c:pt>
                <c:pt idx="48">
                  <c:v>14503433.885000002</c:v>
                </c:pt>
                <c:pt idx="49">
                  <c:v>14503433.885000002</c:v>
                </c:pt>
                <c:pt idx="50">
                  <c:v>14503433.885000002</c:v>
                </c:pt>
                <c:pt idx="51">
                  <c:v>14503433.885000002</c:v>
                </c:pt>
                <c:pt idx="52">
                  <c:v>14503433.885000002</c:v>
                </c:pt>
                <c:pt idx="53">
                  <c:v>14503433.885000002</c:v>
                </c:pt>
                <c:pt idx="54">
                  <c:v>14503433.885000002</c:v>
                </c:pt>
                <c:pt idx="55">
                  <c:v>14503433.885000002</c:v>
                </c:pt>
                <c:pt idx="56">
                  <c:v>14877261.092500001</c:v>
                </c:pt>
                <c:pt idx="57">
                  <c:v>14877261.092500001</c:v>
                </c:pt>
                <c:pt idx="58">
                  <c:v>14877261.092500001</c:v>
                </c:pt>
                <c:pt idx="59">
                  <c:v>14877261.092500001</c:v>
                </c:pt>
                <c:pt idx="60">
                  <c:v>14877261.092500001</c:v>
                </c:pt>
                <c:pt idx="61">
                  <c:v>14877261.092500001</c:v>
                </c:pt>
                <c:pt idx="62">
                  <c:v>14877261.092500001</c:v>
                </c:pt>
                <c:pt idx="63">
                  <c:v>14877261.092500001</c:v>
                </c:pt>
                <c:pt idx="64">
                  <c:v>14877261.092500001</c:v>
                </c:pt>
                <c:pt idx="65">
                  <c:v>14877261.092500001</c:v>
                </c:pt>
                <c:pt idx="66">
                  <c:v>14877261.092500001</c:v>
                </c:pt>
                <c:pt idx="67">
                  <c:v>14877261.092500001</c:v>
                </c:pt>
                <c:pt idx="68">
                  <c:v>14877261.092500001</c:v>
                </c:pt>
                <c:pt idx="69">
                  <c:v>14877261.092500001</c:v>
                </c:pt>
                <c:pt idx="70">
                  <c:v>14877261.092500001</c:v>
                </c:pt>
                <c:pt idx="71">
                  <c:v>14877261.092500001</c:v>
                </c:pt>
                <c:pt idx="72">
                  <c:v>14877261.092500001</c:v>
                </c:pt>
                <c:pt idx="73">
                  <c:v>14877261.092500001</c:v>
                </c:pt>
                <c:pt idx="74">
                  <c:v>14877261.092500001</c:v>
                </c:pt>
                <c:pt idx="75">
                  <c:v>14877261.092500001</c:v>
                </c:pt>
                <c:pt idx="76">
                  <c:v>14877261.092500001</c:v>
                </c:pt>
                <c:pt idx="77">
                  <c:v>14877261.092500001</c:v>
                </c:pt>
                <c:pt idx="78">
                  <c:v>14877261.092500001</c:v>
                </c:pt>
                <c:pt idx="79">
                  <c:v>14877261.092500001</c:v>
                </c:pt>
                <c:pt idx="80">
                  <c:v>14877261.092500001</c:v>
                </c:pt>
                <c:pt idx="81">
                  <c:v>14877261.092500001</c:v>
                </c:pt>
                <c:pt idx="82">
                  <c:v>14877261.092500001</c:v>
                </c:pt>
                <c:pt idx="83">
                  <c:v>14877261.092500001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Cashflow!$F$1:$CK$1</c:f>
              <c:numCache>
                <c:formatCode>d\-mmm\-yy</c:formatCode>
                <c:ptCount val="84"/>
                <c:pt idx="0">
                  <c:v>45138</c:v>
                </c:pt>
                <c:pt idx="1">
                  <c:v>45145</c:v>
                </c:pt>
                <c:pt idx="2">
                  <c:v>45152</c:v>
                </c:pt>
                <c:pt idx="3">
                  <c:v>45159</c:v>
                </c:pt>
                <c:pt idx="4">
                  <c:v>45166</c:v>
                </c:pt>
                <c:pt idx="5">
                  <c:v>45173</c:v>
                </c:pt>
                <c:pt idx="6">
                  <c:v>45180</c:v>
                </c:pt>
                <c:pt idx="7">
                  <c:v>45187</c:v>
                </c:pt>
                <c:pt idx="8">
                  <c:v>45194</c:v>
                </c:pt>
                <c:pt idx="9">
                  <c:v>45201</c:v>
                </c:pt>
                <c:pt idx="10">
                  <c:v>45208</c:v>
                </c:pt>
                <c:pt idx="11">
                  <c:v>45215</c:v>
                </c:pt>
                <c:pt idx="12">
                  <c:v>45222</c:v>
                </c:pt>
                <c:pt idx="13">
                  <c:v>45229</c:v>
                </c:pt>
                <c:pt idx="14">
                  <c:v>45236</c:v>
                </c:pt>
                <c:pt idx="15">
                  <c:v>45243</c:v>
                </c:pt>
                <c:pt idx="16">
                  <c:v>45250</c:v>
                </c:pt>
                <c:pt idx="17">
                  <c:v>45257</c:v>
                </c:pt>
                <c:pt idx="18">
                  <c:v>45264</c:v>
                </c:pt>
                <c:pt idx="19">
                  <c:v>45271</c:v>
                </c:pt>
                <c:pt idx="20">
                  <c:v>45278</c:v>
                </c:pt>
                <c:pt idx="21">
                  <c:v>45285</c:v>
                </c:pt>
                <c:pt idx="22">
                  <c:v>45292</c:v>
                </c:pt>
                <c:pt idx="23">
                  <c:v>45299</c:v>
                </c:pt>
                <c:pt idx="24">
                  <c:v>45306</c:v>
                </c:pt>
                <c:pt idx="25">
                  <c:v>45313</c:v>
                </c:pt>
                <c:pt idx="26">
                  <c:v>45320</c:v>
                </c:pt>
                <c:pt idx="27">
                  <c:v>45327</c:v>
                </c:pt>
                <c:pt idx="28">
                  <c:v>45334</c:v>
                </c:pt>
                <c:pt idx="29">
                  <c:v>45341</c:v>
                </c:pt>
                <c:pt idx="30">
                  <c:v>45348</c:v>
                </c:pt>
                <c:pt idx="31">
                  <c:v>45355</c:v>
                </c:pt>
                <c:pt idx="32">
                  <c:v>45362</c:v>
                </c:pt>
                <c:pt idx="33">
                  <c:v>45369</c:v>
                </c:pt>
                <c:pt idx="34">
                  <c:v>45376</c:v>
                </c:pt>
                <c:pt idx="35">
                  <c:v>45383</c:v>
                </c:pt>
                <c:pt idx="36">
                  <c:v>45390</c:v>
                </c:pt>
                <c:pt idx="37">
                  <c:v>45397</c:v>
                </c:pt>
                <c:pt idx="38">
                  <c:v>45404</c:v>
                </c:pt>
                <c:pt idx="39">
                  <c:v>45411</c:v>
                </c:pt>
                <c:pt idx="40">
                  <c:v>45418</c:v>
                </c:pt>
                <c:pt idx="41">
                  <c:v>45425</c:v>
                </c:pt>
                <c:pt idx="42">
                  <c:v>45432</c:v>
                </c:pt>
                <c:pt idx="43">
                  <c:v>45439</c:v>
                </c:pt>
                <c:pt idx="44">
                  <c:v>45446</c:v>
                </c:pt>
                <c:pt idx="45">
                  <c:v>45453</c:v>
                </c:pt>
                <c:pt idx="46">
                  <c:v>45460</c:v>
                </c:pt>
                <c:pt idx="47">
                  <c:v>45467</c:v>
                </c:pt>
                <c:pt idx="48">
                  <c:v>45474</c:v>
                </c:pt>
                <c:pt idx="49">
                  <c:v>45481</c:v>
                </c:pt>
                <c:pt idx="50">
                  <c:v>45488</c:v>
                </c:pt>
                <c:pt idx="51">
                  <c:v>45495</c:v>
                </c:pt>
                <c:pt idx="52">
                  <c:v>45502</c:v>
                </c:pt>
                <c:pt idx="53">
                  <c:v>45509</c:v>
                </c:pt>
                <c:pt idx="54">
                  <c:v>45516</c:v>
                </c:pt>
                <c:pt idx="55">
                  <c:v>45523</c:v>
                </c:pt>
                <c:pt idx="56">
                  <c:v>45530</c:v>
                </c:pt>
                <c:pt idx="57">
                  <c:v>45537</c:v>
                </c:pt>
                <c:pt idx="58">
                  <c:v>45544</c:v>
                </c:pt>
                <c:pt idx="59">
                  <c:v>45551</c:v>
                </c:pt>
                <c:pt idx="60">
                  <c:v>45558</c:v>
                </c:pt>
                <c:pt idx="61">
                  <c:v>45565</c:v>
                </c:pt>
                <c:pt idx="62">
                  <c:v>45572</c:v>
                </c:pt>
                <c:pt idx="63">
                  <c:v>45579</c:v>
                </c:pt>
                <c:pt idx="64">
                  <c:v>45586</c:v>
                </c:pt>
                <c:pt idx="65">
                  <c:v>45593</c:v>
                </c:pt>
                <c:pt idx="66">
                  <c:v>45600</c:v>
                </c:pt>
                <c:pt idx="67">
                  <c:v>45607</c:v>
                </c:pt>
                <c:pt idx="68">
                  <c:v>45614</c:v>
                </c:pt>
                <c:pt idx="69">
                  <c:v>45621</c:v>
                </c:pt>
                <c:pt idx="70">
                  <c:v>45628</c:v>
                </c:pt>
                <c:pt idx="71">
                  <c:v>45635</c:v>
                </c:pt>
                <c:pt idx="72">
                  <c:v>45642</c:v>
                </c:pt>
                <c:pt idx="73">
                  <c:v>45649</c:v>
                </c:pt>
                <c:pt idx="74">
                  <c:v>45656</c:v>
                </c:pt>
                <c:pt idx="75">
                  <c:v>45663</c:v>
                </c:pt>
                <c:pt idx="76">
                  <c:v>45670</c:v>
                </c:pt>
                <c:pt idx="77">
                  <c:v>45677</c:v>
                </c:pt>
                <c:pt idx="78">
                  <c:v>45684</c:v>
                </c:pt>
                <c:pt idx="79">
                  <c:v>45691</c:v>
                </c:pt>
                <c:pt idx="80">
                  <c:v>45698</c:v>
                </c:pt>
                <c:pt idx="81">
                  <c:v>45705</c:v>
                </c:pt>
                <c:pt idx="82">
                  <c:v>45712</c:v>
                </c:pt>
                <c:pt idx="83">
                  <c:v>45719</c:v>
                </c:pt>
              </c:numCache>
            </c:numRef>
          </c:cat>
          <c:val>
            <c:numRef>
              <c:f>Cashflow!$F$12:$CK$12</c:f>
              <c:numCache>
                <c:formatCode>#,##0</c:formatCode>
                <c:ptCount val="8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5847.3600000000279</c:v>
                </c:pt>
                <c:pt idx="5">
                  <c:v>5847.3600000000279</c:v>
                </c:pt>
                <c:pt idx="6">
                  <c:v>5847.3600000000279</c:v>
                </c:pt>
                <c:pt idx="7">
                  <c:v>5847.3600000000279</c:v>
                </c:pt>
                <c:pt idx="8">
                  <c:v>5847.3600000000279</c:v>
                </c:pt>
                <c:pt idx="9">
                  <c:v>880912.57739130442</c:v>
                </c:pt>
                <c:pt idx="10">
                  <c:v>880912.57739130442</c:v>
                </c:pt>
                <c:pt idx="11">
                  <c:v>2893867.3600000003</c:v>
                </c:pt>
                <c:pt idx="12">
                  <c:v>2893867.3600000003</c:v>
                </c:pt>
                <c:pt idx="13">
                  <c:v>3328800.9686956527</c:v>
                </c:pt>
                <c:pt idx="14">
                  <c:v>8358698.3600000003</c:v>
                </c:pt>
                <c:pt idx="15">
                  <c:v>8358698.3600000003</c:v>
                </c:pt>
                <c:pt idx="16">
                  <c:v>9619898.3599999994</c:v>
                </c:pt>
                <c:pt idx="17">
                  <c:v>9598478.3599999994</c:v>
                </c:pt>
                <c:pt idx="18">
                  <c:v>9632670.3599999994</c:v>
                </c:pt>
                <c:pt idx="19">
                  <c:v>9625120.3599999994</c:v>
                </c:pt>
                <c:pt idx="20">
                  <c:v>9971541.4149999991</c:v>
                </c:pt>
                <c:pt idx="21">
                  <c:v>9974315.9949999992</c:v>
                </c:pt>
                <c:pt idx="22">
                  <c:v>9974315.9949999992</c:v>
                </c:pt>
                <c:pt idx="23">
                  <c:v>10440547.844999999</c:v>
                </c:pt>
                <c:pt idx="24">
                  <c:v>10440547.844999999</c:v>
                </c:pt>
                <c:pt idx="25">
                  <c:v>10441304.084999999</c:v>
                </c:pt>
                <c:pt idx="26">
                  <c:v>10545405.432999998</c:v>
                </c:pt>
                <c:pt idx="27">
                  <c:v>10562817.242999999</c:v>
                </c:pt>
                <c:pt idx="28">
                  <c:v>10592005.008217391</c:v>
                </c:pt>
                <c:pt idx="29">
                  <c:v>10806001.713</c:v>
                </c:pt>
                <c:pt idx="30">
                  <c:v>11262876.513</c:v>
                </c:pt>
                <c:pt idx="31">
                  <c:v>11263556.013</c:v>
                </c:pt>
                <c:pt idx="32">
                  <c:v>11263556.013</c:v>
                </c:pt>
                <c:pt idx="33">
                  <c:v>11774937.228</c:v>
                </c:pt>
                <c:pt idx="34">
                  <c:v>11774937.228</c:v>
                </c:pt>
                <c:pt idx="35">
                  <c:v>12988725.118000001</c:v>
                </c:pt>
                <c:pt idx="36">
                  <c:v>12988725.118000001</c:v>
                </c:pt>
                <c:pt idx="37">
                  <c:v>13047025.118000001</c:v>
                </c:pt>
                <c:pt idx="38">
                  <c:v>13168050.455</c:v>
                </c:pt>
                <c:pt idx="39">
                  <c:v>13317581.338</c:v>
                </c:pt>
                <c:pt idx="40">
                  <c:v>13338242.427999999</c:v>
                </c:pt>
                <c:pt idx="41">
                  <c:v>13338242.427999999</c:v>
                </c:pt>
                <c:pt idx="42">
                  <c:v>13338242.427999999</c:v>
                </c:pt>
                <c:pt idx="43">
                  <c:v>13742090.847999999</c:v>
                </c:pt>
                <c:pt idx="44">
                  <c:v>13799109.418</c:v>
                </c:pt>
                <c:pt idx="45">
                  <c:v>13799109.418</c:v>
                </c:pt>
                <c:pt idx="46">
                  <c:v>13799109.418</c:v>
                </c:pt>
                <c:pt idx="47">
                  <c:v>13810713.418</c:v>
                </c:pt>
                <c:pt idx="48">
                  <c:v>13812053.138</c:v>
                </c:pt>
                <c:pt idx="49">
                  <c:v>13812053.138</c:v>
                </c:pt>
                <c:pt idx="50">
                  <c:v>13828191.438000001</c:v>
                </c:pt>
                <c:pt idx="51">
                  <c:v>13850081.438000001</c:v>
                </c:pt>
                <c:pt idx="52">
                  <c:v>13939572.138</c:v>
                </c:pt>
                <c:pt idx="53">
                  <c:v>13940822.798</c:v>
                </c:pt>
                <c:pt idx="54">
                  <c:v>13940822.798</c:v>
                </c:pt>
                <c:pt idx="55">
                  <c:v>13940822.798</c:v>
                </c:pt>
                <c:pt idx="56">
                  <c:v>14047699.928000001</c:v>
                </c:pt>
                <c:pt idx="57">
                  <c:v>14154895.548</c:v>
                </c:pt>
                <c:pt idx="58">
                  <c:v>14154895.548</c:v>
                </c:pt>
                <c:pt idx="59">
                  <c:v>14154895.548</c:v>
                </c:pt>
                <c:pt idx="60">
                  <c:v>14154895.548</c:v>
                </c:pt>
                <c:pt idx="61">
                  <c:v>14154895.548</c:v>
                </c:pt>
                <c:pt idx="62">
                  <c:v>14154895.548</c:v>
                </c:pt>
                <c:pt idx="63">
                  <c:v>14154895.548</c:v>
                </c:pt>
                <c:pt idx="64">
                  <c:v>14154895.548</c:v>
                </c:pt>
                <c:pt idx="65">
                  <c:v>14154895.548</c:v>
                </c:pt>
                <c:pt idx="66">
                  <c:v>14154895.548</c:v>
                </c:pt>
                <c:pt idx="67">
                  <c:v>14154895.548</c:v>
                </c:pt>
                <c:pt idx="68">
                  <c:v>14154895.548</c:v>
                </c:pt>
                <c:pt idx="69">
                  <c:v>14154895.548</c:v>
                </c:pt>
                <c:pt idx="70">
                  <c:v>14154895.548</c:v>
                </c:pt>
                <c:pt idx="71">
                  <c:v>14154895.548</c:v>
                </c:pt>
                <c:pt idx="72">
                  <c:v>14154895.548</c:v>
                </c:pt>
                <c:pt idx="73">
                  <c:v>14154895.548</c:v>
                </c:pt>
                <c:pt idx="74">
                  <c:v>14154895.548</c:v>
                </c:pt>
                <c:pt idx="75">
                  <c:v>14154895.548</c:v>
                </c:pt>
                <c:pt idx="76">
                  <c:v>14154895.548</c:v>
                </c:pt>
                <c:pt idx="77">
                  <c:v>14154895.548</c:v>
                </c:pt>
                <c:pt idx="78">
                  <c:v>14154895.548</c:v>
                </c:pt>
                <c:pt idx="79">
                  <c:v>14154895.548</c:v>
                </c:pt>
                <c:pt idx="80">
                  <c:v>14154895.548</c:v>
                </c:pt>
                <c:pt idx="81">
                  <c:v>14154895.548</c:v>
                </c:pt>
                <c:pt idx="82">
                  <c:v>14154895.548</c:v>
                </c:pt>
                <c:pt idx="83">
                  <c:v>14154895.548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Cashflow!$F$1:$CK$1</c:f>
              <c:numCache>
                <c:formatCode>d\-mmm\-yy</c:formatCode>
                <c:ptCount val="84"/>
                <c:pt idx="0">
                  <c:v>45138</c:v>
                </c:pt>
                <c:pt idx="1">
                  <c:v>45145</c:v>
                </c:pt>
                <c:pt idx="2">
                  <c:v>45152</c:v>
                </c:pt>
                <c:pt idx="3">
                  <c:v>45159</c:v>
                </c:pt>
                <c:pt idx="4">
                  <c:v>45166</c:v>
                </c:pt>
                <c:pt idx="5">
                  <c:v>45173</c:v>
                </c:pt>
                <c:pt idx="6">
                  <c:v>45180</c:v>
                </c:pt>
                <c:pt idx="7">
                  <c:v>45187</c:v>
                </c:pt>
                <c:pt idx="8">
                  <c:v>45194</c:v>
                </c:pt>
                <c:pt idx="9">
                  <c:v>45201</c:v>
                </c:pt>
                <c:pt idx="10">
                  <c:v>45208</c:v>
                </c:pt>
                <c:pt idx="11">
                  <c:v>45215</c:v>
                </c:pt>
                <c:pt idx="12">
                  <c:v>45222</c:v>
                </c:pt>
                <c:pt idx="13">
                  <c:v>45229</c:v>
                </c:pt>
                <c:pt idx="14">
                  <c:v>45236</c:v>
                </c:pt>
                <c:pt idx="15">
                  <c:v>45243</c:v>
                </c:pt>
                <c:pt idx="16">
                  <c:v>45250</c:v>
                </c:pt>
                <c:pt idx="17">
                  <c:v>45257</c:v>
                </c:pt>
                <c:pt idx="18">
                  <c:v>45264</c:v>
                </c:pt>
                <c:pt idx="19">
                  <c:v>45271</c:v>
                </c:pt>
                <c:pt idx="20">
                  <c:v>45278</c:v>
                </c:pt>
                <c:pt idx="21">
                  <c:v>45285</c:v>
                </c:pt>
                <c:pt idx="22">
                  <c:v>45292</c:v>
                </c:pt>
                <c:pt idx="23">
                  <c:v>45299</c:v>
                </c:pt>
                <c:pt idx="24">
                  <c:v>45306</c:v>
                </c:pt>
                <c:pt idx="25">
                  <c:v>45313</c:v>
                </c:pt>
                <c:pt idx="26">
                  <c:v>45320</c:v>
                </c:pt>
                <c:pt idx="27">
                  <c:v>45327</c:v>
                </c:pt>
                <c:pt idx="28">
                  <c:v>45334</c:v>
                </c:pt>
                <c:pt idx="29">
                  <c:v>45341</c:v>
                </c:pt>
                <c:pt idx="30">
                  <c:v>45348</c:v>
                </c:pt>
                <c:pt idx="31">
                  <c:v>45355</c:v>
                </c:pt>
                <c:pt idx="32">
                  <c:v>45362</c:v>
                </c:pt>
                <c:pt idx="33">
                  <c:v>45369</c:v>
                </c:pt>
                <c:pt idx="34">
                  <c:v>45376</c:v>
                </c:pt>
                <c:pt idx="35">
                  <c:v>45383</c:v>
                </c:pt>
                <c:pt idx="36">
                  <c:v>45390</c:v>
                </c:pt>
                <c:pt idx="37">
                  <c:v>45397</c:v>
                </c:pt>
                <c:pt idx="38">
                  <c:v>45404</c:v>
                </c:pt>
                <c:pt idx="39">
                  <c:v>45411</c:v>
                </c:pt>
                <c:pt idx="40">
                  <c:v>45418</c:v>
                </c:pt>
                <c:pt idx="41">
                  <c:v>45425</c:v>
                </c:pt>
                <c:pt idx="42">
                  <c:v>45432</c:v>
                </c:pt>
                <c:pt idx="43">
                  <c:v>45439</c:v>
                </c:pt>
                <c:pt idx="44">
                  <c:v>45446</c:v>
                </c:pt>
                <c:pt idx="45">
                  <c:v>45453</c:v>
                </c:pt>
                <c:pt idx="46">
                  <c:v>45460</c:v>
                </c:pt>
                <c:pt idx="47">
                  <c:v>45467</c:v>
                </c:pt>
                <c:pt idx="48">
                  <c:v>45474</c:v>
                </c:pt>
                <c:pt idx="49">
                  <c:v>45481</c:v>
                </c:pt>
                <c:pt idx="50">
                  <c:v>45488</c:v>
                </c:pt>
                <c:pt idx="51">
                  <c:v>45495</c:v>
                </c:pt>
                <c:pt idx="52">
                  <c:v>45502</c:v>
                </c:pt>
                <c:pt idx="53">
                  <c:v>45509</c:v>
                </c:pt>
                <c:pt idx="54">
                  <c:v>45516</c:v>
                </c:pt>
                <c:pt idx="55">
                  <c:v>45523</c:v>
                </c:pt>
                <c:pt idx="56">
                  <c:v>45530</c:v>
                </c:pt>
                <c:pt idx="57">
                  <c:v>45537</c:v>
                </c:pt>
                <c:pt idx="58">
                  <c:v>45544</c:v>
                </c:pt>
                <c:pt idx="59">
                  <c:v>45551</c:v>
                </c:pt>
                <c:pt idx="60">
                  <c:v>45558</c:v>
                </c:pt>
                <c:pt idx="61">
                  <c:v>45565</c:v>
                </c:pt>
                <c:pt idx="62">
                  <c:v>45572</c:v>
                </c:pt>
                <c:pt idx="63">
                  <c:v>45579</c:v>
                </c:pt>
                <c:pt idx="64">
                  <c:v>45586</c:v>
                </c:pt>
                <c:pt idx="65">
                  <c:v>45593</c:v>
                </c:pt>
                <c:pt idx="66">
                  <c:v>45600</c:v>
                </c:pt>
                <c:pt idx="67">
                  <c:v>45607</c:v>
                </c:pt>
                <c:pt idx="68">
                  <c:v>45614</c:v>
                </c:pt>
                <c:pt idx="69">
                  <c:v>45621</c:v>
                </c:pt>
                <c:pt idx="70">
                  <c:v>45628</c:v>
                </c:pt>
                <c:pt idx="71">
                  <c:v>45635</c:v>
                </c:pt>
                <c:pt idx="72">
                  <c:v>45642</c:v>
                </c:pt>
                <c:pt idx="73">
                  <c:v>45649</c:v>
                </c:pt>
                <c:pt idx="74">
                  <c:v>45656</c:v>
                </c:pt>
                <c:pt idx="75">
                  <c:v>45663</c:v>
                </c:pt>
                <c:pt idx="76">
                  <c:v>45670</c:v>
                </c:pt>
                <c:pt idx="77">
                  <c:v>45677</c:v>
                </c:pt>
                <c:pt idx="78">
                  <c:v>45684</c:v>
                </c:pt>
                <c:pt idx="79">
                  <c:v>45691</c:v>
                </c:pt>
                <c:pt idx="80">
                  <c:v>45698</c:v>
                </c:pt>
                <c:pt idx="81">
                  <c:v>45705</c:v>
                </c:pt>
                <c:pt idx="82">
                  <c:v>45712</c:v>
                </c:pt>
                <c:pt idx="83">
                  <c:v>45719</c:v>
                </c:pt>
              </c:numCache>
            </c:numRef>
          </c:cat>
          <c:val>
            <c:numRef>
              <c:f>Cashflow!$F$14:$CK$14</c:f>
              <c:numCache>
                <c:formatCode>#,##0</c:formatCode>
                <c:ptCount val="84"/>
                <c:pt idx="0">
                  <c:v>8971852.9800000004</c:v>
                </c:pt>
                <c:pt idx="1">
                  <c:v>8971852.9800000004</c:v>
                </c:pt>
                <c:pt idx="2">
                  <c:v>8971852.9800000004</c:v>
                </c:pt>
                <c:pt idx="3">
                  <c:v>8971852.9800000004</c:v>
                </c:pt>
                <c:pt idx="4">
                  <c:v>8966005.620000001</c:v>
                </c:pt>
                <c:pt idx="5">
                  <c:v>8966005.620000001</c:v>
                </c:pt>
                <c:pt idx="6">
                  <c:v>8966005.620000001</c:v>
                </c:pt>
                <c:pt idx="7">
                  <c:v>8966005.620000001</c:v>
                </c:pt>
                <c:pt idx="8">
                  <c:v>8966005.620000001</c:v>
                </c:pt>
                <c:pt idx="9">
                  <c:v>8090940.4026086964</c:v>
                </c:pt>
                <c:pt idx="10">
                  <c:v>8090940.4026086964</c:v>
                </c:pt>
                <c:pt idx="11">
                  <c:v>6077985.6200000001</c:v>
                </c:pt>
                <c:pt idx="12">
                  <c:v>6077985.6200000001</c:v>
                </c:pt>
                <c:pt idx="13">
                  <c:v>5643052.0113043478</c:v>
                </c:pt>
                <c:pt idx="14">
                  <c:v>613154.62000000011</c:v>
                </c:pt>
                <c:pt idx="15">
                  <c:v>613154.62000000011</c:v>
                </c:pt>
                <c:pt idx="16">
                  <c:v>-648045.37999999896</c:v>
                </c:pt>
                <c:pt idx="17">
                  <c:v>-626625.37999999896</c:v>
                </c:pt>
                <c:pt idx="18">
                  <c:v>-660817.37999999896</c:v>
                </c:pt>
                <c:pt idx="19">
                  <c:v>-355267.37999999896</c:v>
                </c:pt>
                <c:pt idx="20">
                  <c:v>4531892.4700000025</c:v>
                </c:pt>
                <c:pt idx="21">
                  <c:v>4529117.8900000025</c:v>
                </c:pt>
                <c:pt idx="22">
                  <c:v>4529117.8900000025</c:v>
                </c:pt>
                <c:pt idx="23">
                  <c:v>4062886.0400000028</c:v>
                </c:pt>
                <c:pt idx="24">
                  <c:v>4062886.0400000028</c:v>
                </c:pt>
                <c:pt idx="25">
                  <c:v>4062129.8000000026</c:v>
                </c:pt>
                <c:pt idx="26">
                  <c:v>3958028.4520000033</c:v>
                </c:pt>
                <c:pt idx="27">
                  <c:v>3940616.6420000028</c:v>
                </c:pt>
                <c:pt idx="28">
                  <c:v>3911428.876782611</c:v>
                </c:pt>
                <c:pt idx="29">
                  <c:v>3697432.1720000021</c:v>
                </c:pt>
                <c:pt idx="30">
                  <c:v>3240557.3720000014</c:v>
                </c:pt>
                <c:pt idx="31">
                  <c:v>3239877.8720000014</c:v>
                </c:pt>
                <c:pt idx="32">
                  <c:v>3239877.8720000014</c:v>
                </c:pt>
                <c:pt idx="33">
                  <c:v>2728496.6570000015</c:v>
                </c:pt>
                <c:pt idx="34">
                  <c:v>2728496.6570000015</c:v>
                </c:pt>
                <c:pt idx="35">
                  <c:v>1514708.7670000009</c:v>
                </c:pt>
                <c:pt idx="36">
                  <c:v>1514708.7670000009</c:v>
                </c:pt>
                <c:pt idx="37">
                  <c:v>1456408.7670000009</c:v>
                </c:pt>
                <c:pt idx="38">
                  <c:v>1335383.4300000016</c:v>
                </c:pt>
                <c:pt idx="39">
                  <c:v>1185852.5470000021</c:v>
                </c:pt>
                <c:pt idx="40">
                  <c:v>1165191.4570000023</c:v>
                </c:pt>
                <c:pt idx="41">
                  <c:v>1165191.4570000023</c:v>
                </c:pt>
                <c:pt idx="42">
                  <c:v>1165191.4570000023</c:v>
                </c:pt>
                <c:pt idx="43">
                  <c:v>761343.03700000234</c:v>
                </c:pt>
                <c:pt idx="44">
                  <c:v>704324.46700000204</c:v>
                </c:pt>
                <c:pt idx="45">
                  <c:v>704324.46700000204</c:v>
                </c:pt>
                <c:pt idx="46">
                  <c:v>704324.46700000204</c:v>
                </c:pt>
                <c:pt idx="47">
                  <c:v>692720.46700000204</c:v>
                </c:pt>
                <c:pt idx="48">
                  <c:v>691380.74700000137</c:v>
                </c:pt>
                <c:pt idx="49">
                  <c:v>691380.74700000137</c:v>
                </c:pt>
                <c:pt idx="50">
                  <c:v>675242.44700000063</c:v>
                </c:pt>
                <c:pt idx="51">
                  <c:v>653352.44700000063</c:v>
                </c:pt>
                <c:pt idx="52">
                  <c:v>563861.74700000137</c:v>
                </c:pt>
                <c:pt idx="53">
                  <c:v>562611.08700000122</c:v>
                </c:pt>
                <c:pt idx="54">
                  <c:v>562611.08700000122</c:v>
                </c:pt>
                <c:pt idx="55">
                  <c:v>562611.08700000122</c:v>
                </c:pt>
                <c:pt idx="56">
                  <c:v>829561.16449999996</c:v>
                </c:pt>
                <c:pt idx="57">
                  <c:v>722365.54450000077</c:v>
                </c:pt>
                <c:pt idx="58">
                  <c:v>722365.54450000077</c:v>
                </c:pt>
                <c:pt idx="59">
                  <c:v>722365.54450000077</c:v>
                </c:pt>
                <c:pt idx="60">
                  <c:v>722365.54450000077</c:v>
                </c:pt>
                <c:pt idx="61">
                  <c:v>722365.54450000077</c:v>
                </c:pt>
                <c:pt idx="62">
                  <c:v>722365.54450000077</c:v>
                </c:pt>
                <c:pt idx="63">
                  <c:v>722365.54450000077</c:v>
                </c:pt>
                <c:pt idx="64">
                  <c:v>722365.54450000077</c:v>
                </c:pt>
                <c:pt idx="65">
                  <c:v>722365.54450000077</c:v>
                </c:pt>
                <c:pt idx="66">
                  <c:v>722365.54450000077</c:v>
                </c:pt>
                <c:pt idx="67">
                  <c:v>722365.54450000077</c:v>
                </c:pt>
                <c:pt idx="68">
                  <c:v>722365.54450000077</c:v>
                </c:pt>
                <c:pt idx="69">
                  <c:v>722365.54450000077</c:v>
                </c:pt>
                <c:pt idx="70">
                  <c:v>722365.54450000077</c:v>
                </c:pt>
                <c:pt idx="71">
                  <c:v>722365.54450000077</c:v>
                </c:pt>
                <c:pt idx="72">
                  <c:v>722365.54450000077</c:v>
                </c:pt>
                <c:pt idx="73">
                  <c:v>722365.54450000077</c:v>
                </c:pt>
                <c:pt idx="74">
                  <c:v>722365.54450000077</c:v>
                </c:pt>
                <c:pt idx="75">
                  <c:v>722365.54450000077</c:v>
                </c:pt>
                <c:pt idx="76">
                  <c:v>722365.54450000077</c:v>
                </c:pt>
                <c:pt idx="77">
                  <c:v>722365.54450000077</c:v>
                </c:pt>
                <c:pt idx="78">
                  <c:v>722365.54450000077</c:v>
                </c:pt>
                <c:pt idx="79">
                  <c:v>722365.54450000077</c:v>
                </c:pt>
                <c:pt idx="80">
                  <c:v>722365.54450000077</c:v>
                </c:pt>
                <c:pt idx="81">
                  <c:v>722365.54450000077</c:v>
                </c:pt>
                <c:pt idx="82">
                  <c:v>722365.54450000077</c:v>
                </c:pt>
                <c:pt idx="83">
                  <c:v>722365.54450000077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cat>
            <c:numRef>
              <c:f>Cashflow!$F$1:$CK$1</c:f>
              <c:numCache>
                <c:formatCode>d\-mmm\-yy</c:formatCode>
                <c:ptCount val="84"/>
                <c:pt idx="0">
                  <c:v>45138</c:v>
                </c:pt>
                <c:pt idx="1">
                  <c:v>45145</c:v>
                </c:pt>
                <c:pt idx="2">
                  <c:v>45152</c:v>
                </c:pt>
                <c:pt idx="3">
                  <c:v>45159</c:v>
                </c:pt>
                <c:pt idx="4">
                  <c:v>45166</c:v>
                </c:pt>
                <c:pt idx="5">
                  <c:v>45173</c:v>
                </c:pt>
                <c:pt idx="6">
                  <c:v>45180</c:v>
                </c:pt>
                <c:pt idx="7">
                  <c:v>45187</c:v>
                </c:pt>
                <c:pt idx="8">
                  <c:v>45194</c:v>
                </c:pt>
                <c:pt idx="9">
                  <c:v>45201</c:v>
                </c:pt>
                <c:pt idx="10">
                  <c:v>45208</c:v>
                </c:pt>
                <c:pt idx="11">
                  <c:v>45215</c:v>
                </c:pt>
                <c:pt idx="12">
                  <c:v>45222</c:v>
                </c:pt>
                <c:pt idx="13">
                  <c:v>45229</c:v>
                </c:pt>
                <c:pt idx="14">
                  <c:v>45236</c:v>
                </c:pt>
                <c:pt idx="15">
                  <c:v>45243</c:v>
                </c:pt>
                <c:pt idx="16">
                  <c:v>45250</c:v>
                </c:pt>
                <c:pt idx="17">
                  <c:v>45257</c:v>
                </c:pt>
                <c:pt idx="18">
                  <c:v>45264</c:v>
                </c:pt>
                <c:pt idx="19">
                  <c:v>45271</c:v>
                </c:pt>
                <c:pt idx="20">
                  <c:v>45278</c:v>
                </c:pt>
                <c:pt idx="21">
                  <c:v>45285</c:v>
                </c:pt>
                <c:pt idx="22">
                  <c:v>45292</c:v>
                </c:pt>
                <c:pt idx="23">
                  <c:v>45299</c:v>
                </c:pt>
                <c:pt idx="24">
                  <c:v>45306</c:v>
                </c:pt>
                <c:pt idx="25">
                  <c:v>45313</c:v>
                </c:pt>
                <c:pt idx="26">
                  <c:v>45320</c:v>
                </c:pt>
                <c:pt idx="27">
                  <c:v>45327</c:v>
                </c:pt>
                <c:pt idx="28">
                  <c:v>45334</c:v>
                </c:pt>
                <c:pt idx="29">
                  <c:v>45341</c:v>
                </c:pt>
                <c:pt idx="30">
                  <c:v>45348</c:v>
                </c:pt>
                <c:pt idx="31">
                  <c:v>45355</c:v>
                </c:pt>
                <c:pt idx="32">
                  <c:v>45362</c:v>
                </c:pt>
                <c:pt idx="33">
                  <c:v>45369</c:v>
                </c:pt>
                <c:pt idx="34">
                  <c:v>45376</c:v>
                </c:pt>
                <c:pt idx="35">
                  <c:v>45383</c:v>
                </c:pt>
                <c:pt idx="36">
                  <c:v>45390</c:v>
                </c:pt>
                <c:pt idx="37">
                  <c:v>45397</c:v>
                </c:pt>
                <c:pt idx="38">
                  <c:v>45404</c:v>
                </c:pt>
                <c:pt idx="39">
                  <c:v>45411</c:v>
                </c:pt>
                <c:pt idx="40">
                  <c:v>45418</c:v>
                </c:pt>
                <c:pt idx="41">
                  <c:v>45425</c:v>
                </c:pt>
                <c:pt idx="42">
                  <c:v>45432</c:v>
                </c:pt>
                <c:pt idx="43">
                  <c:v>45439</c:v>
                </c:pt>
                <c:pt idx="44">
                  <c:v>45446</c:v>
                </c:pt>
                <c:pt idx="45">
                  <c:v>45453</c:v>
                </c:pt>
                <c:pt idx="46">
                  <c:v>45460</c:v>
                </c:pt>
                <c:pt idx="47">
                  <c:v>45467</c:v>
                </c:pt>
                <c:pt idx="48">
                  <c:v>45474</c:v>
                </c:pt>
                <c:pt idx="49">
                  <c:v>45481</c:v>
                </c:pt>
                <c:pt idx="50">
                  <c:v>45488</c:v>
                </c:pt>
                <c:pt idx="51">
                  <c:v>45495</c:v>
                </c:pt>
                <c:pt idx="52">
                  <c:v>45502</c:v>
                </c:pt>
                <c:pt idx="53">
                  <c:v>45509</c:v>
                </c:pt>
                <c:pt idx="54">
                  <c:v>45516</c:v>
                </c:pt>
                <c:pt idx="55">
                  <c:v>45523</c:v>
                </c:pt>
                <c:pt idx="56">
                  <c:v>45530</c:v>
                </c:pt>
                <c:pt idx="57">
                  <c:v>45537</c:v>
                </c:pt>
                <c:pt idx="58">
                  <c:v>45544</c:v>
                </c:pt>
                <c:pt idx="59">
                  <c:v>45551</c:v>
                </c:pt>
                <c:pt idx="60">
                  <c:v>45558</c:v>
                </c:pt>
                <c:pt idx="61">
                  <c:v>45565</c:v>
                </c:pt>
                <c:pt idx="62">
                  <c:v>45572</c:v>
                </c:pt>
                <c:pt idx="63">
                  <c:v>45579</c:v>
                </c:pt>
                <c:pt idx="64">
                  <c:v>45586</c:v>
                </c:pt>
                <c:pt idx="65">
                  <c:v>45593</c:v>
                </c:pt>
                <c:pt idx="66">
                  <c:v>45600</c:v>
                </c:pt>
                <c:pt idx="67">
                  <c:v>45607</c:v>
                </c:pt>
                <c:pt idx="68">
                  <c:v>45614</c:v>
                </c:pt>
                <c:pt idx="69">
                  <c:v>45621</c:v>
                </c:pt>
                <c:pt idx="70">
                  <c:v>45628</c:v>
                </c:pt>
                <c:pt idx="71">
                  <c:v>45635</c:v>
                </c:pt>
                <c:pt idx="72">
                  <c:v>45642</c:v>
                </c:pt>
                <c:pt idx="73">
                  <c:v>45649</c:v>
                </c:pt>
                <c:pt idx="74">
                  <c:v>45656</c:v>
                </c:pt>
                <c:pt idx="75">
                  <c:v>45663</c:v>
                </c:pt>
                <c:pt idx="76">
                  <c:v>45670</c:v>
                </c:pt>
                <c:pt idx="77">
                  <c:v>45677</c:v>
                </c:pt>
                <c:pt idx="78">
                  <c:v>45684</c:v>
                </c:pt>
                <c:pt idx="79">
                  <c:v>45691</c:v>
                </c:pt>
                <c:pt idx="80">
                  <c:v>45698</c:v>
                </c:pt>
                <c:pt idx="81">
                  <c:v>45705</c:v>
                </c:pt>
                <c:pt idx="82">
                  <c:v>45712</c:v>
                </c:pt>
                <c:pt idx="83">
                  <c:v>45719</c:v>
                </c:pt>
              </c:numCache>
            </c:numRef>
          </c:cat>
          <c:val>
            <c:numRef>
              <c:f>Cashflow!$F$18:$CK$18</c:f>
              <c:numCache>
                <c:formatCode>#,##0</c:formatCode>
                <c:ptCount val="8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1680912.4908214733</c:v>
                </c:pt>
                <c:pt idx="5">
                  <c:v>1680912.4908214733</c:v>
                </c:pt>
                <c:pt idx="6">
                  <c:v>1680912.4908214733</c:v>
                </c:pt>
                <c:pt idx="7">
                  <c:v>1680912.4908214733</c:v>
                </c:pt>
                <c:pt idx="8">
                  <c:v>1680912.4908214733</c:v>
                </c:pt>
                <c:pt idx="9">
                  <c:v>1680912.4908214733</c:v>
                </c:pt>
                <c:pt idx="10">
                  <c:v>1680912.4908214733</c:v>
                </c:pt>
                <c:pt idx="11">
                  <c:v>1680912.4908214733</c:v>
                </c:pt>
                <c:pt idx="12">
                  <c:v>1680912.4908214733</c:v>
                </c:pt>
                <c:pt idx="13">
                  <c:v>1688971.0530626627</c:v>
                </c:pt>
                <c:pt idx="14">
                  <c:v>1688971.0530626627</c:v>
                </c:pt>
                <c:pt idx="15">
                  <c:v>1688971.0530626627</c:v>
                </c:pt>
                <c:pt idx="16">
                  <c:v>1688971.0530626627</c:v>
                </c:pt>
                <c:pt idx="17">
                  <c:v>13170530.737329379</c:v>
                </c:pt>
                <c:pt idx="18">
                  <c:v>13170530.737329379</c:v>
                </c:pt>
                <c:pt idx="19">
                  <c:v>13170530.737329379</c:v>
                </c:pt>
                <c:pt idx="20">
                  <c:v>13170530.737329379</c:v>
                </c:pt>
                <c:pt idx="21">
                  <c:v>13751802.741346715</c:v>
                </c:pt>
                <c:pt idx="22">
                  <c:v>13751802.741346715</c:v>
                </c:pt>
                <c:pt idx="23">
                  <c:v>13751802.741346715</c:v>
                </c:pt>
                <c:pt idx="24">
                  <c:v>13751802.741346715</c:v>
                </c:pt>
                <c:pt idx="25">
                  <c:v>13751802.741346715</c:v>
                </c:pt>
                <c:pt idx="26">
                  <c:v>14185851.409512693</c:v>
                </c:pt>
                <c:pt idx="27">
                  <c:v>14185851.409512693</c:v>
                </c:pt>
                <c:pt idx="28">
                  <c:v>14185851.409512693</c:v>
                </c:pt>
                <c:pt idx="29">
                  <c:v>14185851.409512693</c:v>
                </c:pt>
                <c:pt idx="30">
                  <c:v>14229512.523079285</c:v>
                </c:pt>
                <c:pt idx="31">
                  <c:v>14229512.523079285</c:v>
                </c:pt>
                <c:pt idx="32">
                  <c:v>14229512.523079285</c:v>
                </c:pt>
                <c:pt idx="33">
                  <c:v>14229512.523079285</c:v>
                </c:pt>
                <c:pt idx="34">
                  <c:v>14774369.575444808</c:v>
                </c:pt>
                <c:pt idx="35">
                  <c:v>14774369.575444808</c:v>
                </c:pt>
                <c:pt idx="36">
                  <c:v>14774369.575444808</c:v>
                </c:pt>
                <c:pt idx="37">
                  <c:v>14774369.575444808</c:v>
                </c:pt>
                <c:pt idx="38">
                  <c:v>14774369.575444808</c:v>
                </c:pt>
                <c:pt idx="39">
                  <c:v>15162537.037993973</c:v>
                </c:pt>
                <c:pt idx="40">
                  <c:v>15162537.037993973</c:v>
                </c:pt>
                <c:pt idx="41">
                  <c:v>15162537.037993973</c:v>
                </c:pt>
                <c:pt idx="42">
                  <c:v>15162537.037993973</c:v>
                </c:pt>
                <c:pt idx="43">
                  <c:v>15196203.275997277</c:v>
                </c:pt>
                <c:pt idx="44">
                  <c:v>15196203.275997277</c:v>
                </c:pt>
                <c:pt idx="45">
                  <c:v>15196203.275997277</c:v>
                </c:pt>
                <c:pt idx="46">
                  <c:v>15196203.275997277</c:v>
                </c:pt>
                <c:pt idx="47">
                  <c:v>15196203.275997277</c:v>
                </c:pt>
                <c:pt idx="48">
                  <c:v>15196203.275997277</c:v>
                </c:pt>
                <c:pt idx="49">
                  <c:v>15196203.275997277</c:v>
                </c:pt>
                <c:pt idx="50">
                  <c:v>15196203.275997277</c:v>
                </c:pt>
                <c:pt idx="51">
                  <c:v>15196203.275997277</c:v>
                </c:pt>
                <c:pt idx="52">
                  <c:v>15196203.275997277</c:v>
                </c:pt>
                <c:pt idx="53">
                  <c:v>15196203.275997277</c:v>
                </c:pt>
                <c:pt idx="54">
                  <c:v>15196203.275997277</c:v>
                </c:pt>
                <c:pt idx="55">
                  <c:v>15196203.275997277</c:v>
                </c:pt>
                <c:pt idx="56">
                  <c:v>15196203.275997277</c:v>
                </c:pt>
                <c:pt idx="57">
                  <c:v>15196203.275997277</c:v>
                </c:pt>
                <c:pt idx="58">
                  <c:v>15196203.275997277</c:v>
                </c:pt>
                <c:pt idx="59">
                  <c:v>15196203.275997277</c:v>
                </c:pt>
                <c:pt idx="60">
                  <c:v>15196203.275997277</c:v>
                </c:pt>
                <c:pt idx="61">
                  <c:v>15196203.275997277</c:v>
                </c:pt>
                <c:pt idx="62">
                  <c:v>15196203.275997277</c:v>
                </c:pt>
                <c:pt idx="63">
                  <c:v>15196203.275997277</c:v>
                </c:pt>
                <c:pt idx="64">
                  <c:v>15196203.275997277</c:v>
                </c:pt>
                <c:pt idx="65">
                  <c:v>15196203.275997277</c:v>
                </c:pt>
                <c:pt idx="66">
                  <c:v>15196203.275997277</c:v>
                </c:pt>
                <c:pt idx="67">
                  <c:v>15196203.275997277</c:v>
                </c:pt>
                <c:pt idx="68">
                  <c:v>15196203.275997277</c:v>
                </c:pt>
                <c:pt idx="69">
                  <c:v>15196203.275997277</c:v>
                </c:pt>
                <c:pt idx="70">
                  <c:v>15196203.275997277</c:v>
                </c:pt>
                <c:pt idx="71">
                  <c:v>15196203.275997277</c:v>
                </c:pt>
                <c:pt idx="72">
                  <c:v>15196203.275997277</c:v>
                </c:pt>
                <c:pt idx="73">
                  <c:v>15196203.275997277</c:v>
                </c:pt>
                <c:pt idx="74">
                  <c:v>15196203.275997277</c:v>
                </c:pt>
                <c:pt idx="75">
                  <c:v>15196203.275997277</c:v>
                </c:pt>
                <c:pt idx="76">
                  <c:v>15196203.275997277</c:v>
                </c:pt>
                <c:pt idx="77">
                  <c:v>15196203.275997277</c:v>
                </c:pt>
                <c:pt idx="78">
                  <c:v>15196203.275997277</c:v>
                </c:pt>
                <c:pt idx="79">
                  <c:v>15196203.275997277</c:v>
                </c:pt>
                <c:pt idx="80">
                  <c:v>15196203.275997277</c:v>
                </c:pt>
                <c:pt idx="81">
                  <c:v>15196203.275997277</c:v>
                </c:pt>
                <c:pt idx="82">
                  <c:v>15196203.275997277</c:v>
                </c:pt>
                <c:pt idx="83">
                  <c:v>15196203.275997277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2923561241061872"/>
          <c:y val="0.33520549060771465"/>
          <c:w val="0.16027208842296473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75" workbookViewId="0" zoomToFit="1"/>
  </sheetViews>
  <pageMargins left="0.7" right="0.7" top="0.75" bottom="0.75" header="0.3" footer="0.3"/>
  <drawing r:id="rId1"/>
</chartsheet>
</file>

<file path=xl/documenttasks/documenttask1.xml><?xml version="1.0" encoding="utf-8"?>
<Tasks xmlns="http://schemas.microsoft.com/office/tasks/2019/documenttasks">
  <Task id="{804F7D8D-11E0-4DC0-BCB0-60BBF08FF43F}">
    <Anchor>
      <Comment id="{33B8F142-4E17-40CE-8692-D669D55FDB84}"/>
    </Anchor>
    <History>
      <Event time="2024-07-27T13:14:23.33" id="{44BB6EA2-96A7-40AA-AF96-4005144DA17E}">
        <Attribution userId="S::mizelda@emergentenergy.co.za::3a5c2ad2-993e-4fe1-a333-48e19c6adda8" userName="Mizelda Isaacs" userProvider="AD"/>
        <Anchor>
          <Comment id="{33B8F142-4E17-40CE-8692-D669D55FDB84}"/>
        </Anchor>
        <Create/>
      </Event>
      <Event time="2024-07-27T13:14:23.33" id="{85021033-C05E-46F7-93E5-0F0D26860163}">
        <Attribution userId="S::mizelda@emergentenergy.co.za::3a5c2ad2-993e-4fe1-a333-48e19c6adda8" userName="Mizelda Isaacs" userProvider="AD"/>
        <Anchor>
          <Comment id="{33B8F142-4E17-40CE-8692-D669D55FDB84}"/>
        </Anchor>
        <Assign userId="S::lloyd@emergentenergy.co.za::3e596b3f-4431-4c2f-b5e7-2e09852114d5" userName="Lloyd Brown" userProvider="AD"/>
      </Event>
      <Event time="2024-07-27T13:14:23.33" id="{60480AC2-4757-46C3-8B16-80A7098D4459}">
        <Attribution userId="S::mizelda@emergentenergy.co.za::3a5c2ad2-993e-4fe1-a333-48e19c6adda8" userName="Mizelda Isaacs" userProvider="AD"/>
        <Anchor>
          <Comment id="{33B8F142-4E17-40CE-8692-D669D55FDB84}"/>
        </Anchor>
        <SetTitle title="@Lloyd Brown @Kholisa Nyengane can we please request the retention invoice from MG?"/>
      </Event>
    </History>
  </Task>
</Task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emf"/><Relationship Id="rId2" Type="http://schemas.openxmlformats.org/officeDocument/2006/relationships/chart" Target="../charts/chart2.xml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17689</xdr:colOff>
      <xdr:row>5</xdr:row>
      <xdr:rowOff>164102</xdr:rowOff>
    </xdr:from>
    <xdr:to>
      <xdr:col>48</xdr:col>
      <xdr:colOff>41456</xdr:colOff>
      <xdr:row>65</xdr:row>
      <xdr:rowOff>37738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2BE1B4-17B4-473B-9C63-F20F7BC791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288348</xdr:colOff>
      <xdr:row>0</xdr:row>
      <xdr:rowOff>56636</xdr:rowOff>
    </xdr:from>
    <xdr:to>
      <xdr:col>12</xdr:col>
      <xdr:colOff>836325</xdr:colOff>
      <xdr:row>6</xdr:row>
      <xdr:rowOff>9283</xdr:rowOff>
    </xdr:to>
    <xdr:pic>
      <xdr:nvPicPr>
        <xdr:cNvPr id="4" name="Picture 2">
          <a:extLst>
            <a:ext uri="{FF2B5EF4-FFF2-40B4-BE49-F238E27FC236}">
              <a16:creationId xmlns:a16="http://schemas.microsoft.com/office/drawing/2014/main" id="{B3C13060-2EBC-4ABB-8313-CEC217CF9C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17748" y="56636"/>
          <a:ext cx="3572166" cy="914672"/>
        </a:xfrm>
        <a:prstGeom prst="rect">
          <a:avLst/>
        </a:prstGeom>
      </xdr:spPr>
    </xdr:pic>
    <xdr:clientData/>
  </xdr:twoCellAnchor>
  <xdr:twoCellAnchor>
    <xdr:from>
      <xdr:col>17</xdr:col>
      <xdr:colOff>136908</xdr:colOff>
      <xdr:row>1</xdr:row>
      <xdr:rowOff>89646</xdr:rowOff>
    </xdr:from>
    <xdr:to>
      <xdr:col>39</xdr:col>
      <xdr:colOff>198784</xdr:colOff>
      <xdr:row>18</xdr:row>
      <xdr:rowOff>57149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54941564-06EA-4180-8DCC-CEE55F207FB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95250</xdr:colOff>
      <xdr:row>66</xdr:row>
      <xdr:rowOff>31750</xdr:rowOff>
    </xdr:from>
    <xdr:to>
      <xdr:col>2</xdr:col>
      <xdr:colOff>2630487</xdr:colOff>
      <xdr:row>1235</xdr:row>
      <xdr:rowOff>133350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D419F10-4704-A15A-25BA-BCE4DB7B2C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0" y="10271125"/>
          <a:ext cx="2959100" cy="204238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12992100" cy="94361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Emergent" id="{7B8B029F-64E7-4507-A36C-04BD7D968E99}" userId="Emergent" providerId="None"/>
  <person displayName="Kholisa Nyengane" id="{F24295AA-AEC1-4DC2-91CC-3D22191AE3AA}" userId="3ffef797f230724b" providerId="Windows Live"/>
  <person displayName="Lloyd Brown" id="{4E3F8299-0449-47E0-BD52-20A002D3718A}" userId="lloyd@emergentenergy.co.za" providerId="PeoplePicker"/>
  <person displayName="Kholisa Nyengane" id="{088166F8-6D5F-4CF7-85B9-9677329AD4C0}" userId="kholisa@emergentenergy.co.za" providerId="PeoplePicker"/>
  <person displayName="Kholisa Nyengane" id="{76845407-17F6-43BD-B7DD-75BF3C25CD01}" userId="S::kholisa@emergentenergy.co.za::c7895a5c-287a-4d0a-ae95-4726ca203614" providerId="AD"/>
  <person displayName="Mizelda Isaacs" id="{6324703C-2A14-4942-A9EE-32AF2E291A13}" userId="S::mizelda@emergentenergy.co.za::3a5c2ad2-993e-4fe1-a333-48e19c6adda8" providerId="AD"/>
  <person displayName="Roedolph Venter" id="{DBD570B5-F21A-41B6-B1DA-E30111892040}" userId="S::roedolph@emergentenergy.co.za::9a21ce2b-45c7-4248-95e2-e26943ee2072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hannes Potgieter" refreshedDate="46036.591947800924" createdVersion="8" refreshedVersion="8" minRefreshableVersion="3" recordCount="134" xr:uid="{CFE685BB-DDF2-42BA-9528-D7F36DD72BD0}">
  <cacheSource type="worksheet">
    <worksheetSource ref="M4:X138" sheet="Expenditure Breakdown"/>
  </cacheSource>
  <cacheFields count="15">
    <cacheField name="No. " numFmtId="0">
      <sharedItems containsString="0" containsBlank="1" containsNumber="1" containsInteger="1" minValue="1" maxValue="15"/>
    </cacheField>
    <cacheField name="Product/ Service" numFmtId="0">
      <sharedItems containsBlank="1" containsMixedTypes="1" containsNumber="1" minValue="0" maxValue="250335.41739130433" count="30">
        <m/>
        <s v="1. Panels"/>
        <s v="2. Inverters"/>
        <s v="3. Mounting Structures"/>
        <s v="4. DC Equipment"/>
        <s v="5. Monitoring"/>
        <s v="6. AC Equipment"/>
        <s v="7. Battery Systems"/>
        <s v="8. Product Add On "/>
        <s v="9. AC installation"/>
        <s v="9. DC installation"/>
        <s v="10. Site Logistics - AC"/>
        <s v="10. Site Logistics - DC"/>
        <s v="11. Due Dilligence"/>
        <s v="12. BDP Commission"/>
        <s v="13. Engineering"/>
        <s v="14. General Expenses"/>
        <s v="15. Service Add On"/>
        <n v="64553.2" u="1"/>
        <n v="190000" u="1"/>
        <n v="94553.2" u="1"/>
        <n v="195335.5" u="1"/>
        <n v="250335.41739130433" u="1"/>
        <n v="0" u="1"/>
        <n v="209475" u="1"/>
        <n v="60622.9" u="1"/>
        <n v="146155.86800000002" u="1"/>
        <n v="40035.599999999991" u="1"/>
        <n v="110190" u="1"/>
        <n v="121790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0.1" maxValue="10000"/>
    </cacheField>
    <cacheField name="Rate / Unit" numFmtId="0">
      <sharedItems containsString="0" containsBlank="1" containsNumber="1" minValue="14.3" maxValue="1391200"/>
    </cacheField>
    <cacheField name="Actual Total " numFmtId="0">
      <sharedItems containsString="0" containsBlank="1" containsNumber="1" minValue="-11604" maxValue="3826086.9565217393"/>
    </cacheField>
    <cacheField name="INVOICE NUMBER" numFmtId="0">
      <sharedItems containsBlank="1"/>
    </cacheField>
    <cacheField name="INVOICE RAISED DATE" numFmtId="0">
      <sharedItems containsNonDate="0" containsDate="1" containsString="0" containsBlank="1" minDate="2023-08-31T00:00:00" maxDate="2025-12-01T00:00:00" count="17">
        <m/>
        <d v="2024-03-31T00:00:00"/>
        <d v="2023-08-31T00:00:00"/>
        <d v="2023-12-31T00:00:00"/>
        <d v="2024-01-31T00:00:00"/>
        <d v="2024-02-29T00:00:00"/>
        <d v="2024-04-30T00:00:00"/>
        <d v="2024-05-31T00:00:00"/>
        <d v="2024-07-31T00:00:00"/>
        <d v="2025-02-28T00:00:00"/>
        <d v="2025-11-30T00:00:00"/>
        <d v="2024-08-31T00:00:00"/>
        <d v="2023-11-30T00:00:00"/>
        <d v="2023-10-31T00:00:00"/>
        <d v="2023-09-30T00:00:00"/>
        <d v="2024-06-30T00:00:00"/>
        <d v="2024-09-30T00:00:00" u="1"/>
      </sharedItems>
      <fieldGroup par="14"/>
    </cacheField>
    <cacheField name="REVENUE RECOGNITION AMOUNT" numFmtId="0">
      <sharedItems containsString="0" containsBlank="1" containsNumber="1" minValue="-14267.581681746713" maxValue="9640107.4356274083" count="249">
        <m/>
        <n v="0"/>
        <n v="1675592.1640855954"/>
        <n v="240948.52260873845"/>
        <n v="298000"/>
        <n v="103929.29268263688"/>
        <n v="2366.7197874568892"/>
        <n v="37716.04653291298"/>
        <n v="721.37619121685987"/>
        <n v="3480.0247754766096"/>
        <n v="117270.98197472395"/>
        <n v="116780.9917993421"/>
        <n v="23454.196394944789"/>
        <n v="23356.19835986842"/>
        <n v="653.32023384247339"/>
        <n v="62006.029506439168"/>
        <n v="43661.113566593107"/>
        <n v="3485.6383916482764"/>
        <n v="1232.3901786683045"/>
        <n v="622.6718820990003"/>
        <n v="1413.5411079601085"/>
        <n v="327.78865338138428"/>
        <n v="18.983898844481715"/>
        <n v="50730.330284535703"/>
        <n v="313.91037958599668"/>
        <n v="104001.42072426324"/>
        <n v="83201.136579410595"/>
        <n v="20800.284144852649"/>
        <n v="35623.46116711793"/>
        <n v="1039087.1469589756"/>
        <n v="2405380.7583210384"/>
        <n v="519543.57347948779"/>
        <n v="4571983.446619493"/>
        <n v="1438493.5426813602"/>
        <n v="651247.86935653782"/>
        <n v="455037.04339627462"/>
        <n v="372346.48824127926"/>
        <n v="14219.907606133582"/>
        <n v="-12783.998928137884"/>
        <n v="37232.352433844717"/>
        <n v="3580.952080710892"/>
        <n v="18024.125472911488"/>
        <n v="64802.52"/>
        <n v="16600.510190502417"/>
        <n v="48860.42730949758"/>
        <n v="4420.4436935846279"/>
        <n v="3536.3549548677024"/>
        <n v="884.0887387169256"/>
        <n v="33469.056306415376"/>
        <n v="26775.245045132298"/>
        <n v="6693.8112612830746"/>
        <n v="7916.6666666666661"/>
        <n v="15833.33763413323"/>
        <n v="213594.73530219973"/>
        <n v="3721.013155201988"/>
        <n v="1936.5338912715267"/>
        <n v="1599.3135806759924"/>
        <n v="141.89557452269659"/>
        <n v="1758.79"/>
        <n v="1452.1001786683046" u="1"/>
        <n v="-48.97" u="1"/>
        <n v="12569.37763413323" u="1"/>
        <n v="12569.38401403729" u="1"/>
        <n v="1232.3923795722992" u="1"/>
        <n v="15833.333333333332" u="1"/>
        <n v="1281.3623795722992" u="1"/>
        <n v="32401.26" u="1"/>
        <n v="50744.966698351716" u="1"/>
        <n v="1281.732299752643" u="1"/>
        <n v="51962.721753839571" u="1"/>
        <n v="166429.41408559532" u="1"/>
        <n v="1509162.75" u="1"/>
        <n v="1497864.7267703577" u="1"/>
        <n v="11298.03" u="1"/>
        <n v="51950.491753839568" u="1"/>
        <n v="14681.903530914657" u="1"/>
        <n v="212822.62530219974" u="1"/>
        <n v="7047.2378074013259" u="1"/>
        <n v="25249.950871754983" u="1"/>
        <n v="3916.0970829468001" u="1"/>
        <n v="48046.624001351985" u="1"/>
        <n v="50120.62" u="1"/>
        <n v="48015.744001351988" u="1"/>
        <n v="3871.5763303436015" u="1"/>
        <n v="621.40628884270154" u="1"/>
        <n v="47469.736723684684" u="1"/>
        <n v="211983.5306632143" u="1"/>
        <n v="104437.60550452271" u="1"/>
        <n v="2378.2952921362958" u="1"/>
        <n v="37900.513775484003" u="1"/>
        <n v="3497.0453975572091" u="1"/>
        <n v="10915.278391648277" u="1"/>
        <n v="3974.3563388994221" u="1"/>
        <n v="639.20215708493208" u="1"/>
        <n v="637.90296570874318" u="1"/>
        <n v="336.49056643292158" u="1"/>
        <n v="19.487870642833297" u="1"/>
        <n v="48741.931755357349" u="1"/>
        <n v="213872.54832833188" u="1"/>
        <n v="133235.42014597225" u="1"/>
        <n v="132678.7261899306" u="1"/>
        <n v="742.25860805555578" u="1"/>
        <n v="49604.827316444374" u="1"/>
        <n v="12401.206829111094" u="1"/>
        <n v="4021.2866088422211" u="1"/>
        <n v="646.75002829275695" u="1"/>
        <n v="340.46393765817896" u="1"/>
        <n v="19.717988667462105" u="1"/>
        <n v="49317.489611713499" u="1"/>
        <n v="1763.2427394242379" u="1"/>
        <n v="315.10157391912219" u="1"/>
        <n v="1763.2395859686414" u="1"/>
        <n v="315.10214605366531" u="1"/>
        <n v="181508.07349320216" u="1"/>
        <n v="16589.284353657091" u="1"/>
        <n v="537.49092782419541" u="1"/>
        <n v="107628.30459001876" u="1"/>
        <n v="2396.3837611998979" u="1"/>
        <n v="38188.771618481573" u="1"/>
        <n v="257049.66410744839" u="1"/>
        <n v="15071.860105689406" u="1"/>
        <n v="59273.469974070656" u="1"/>
        <n v="47418.779526995648" u="1"/>
        <n v="11854.694881748912" u="1"/>
        <n v="96364.292815343535" u="1"/>
        <n v="77091.434252274834" u="1"/>
        <n v="19272.858563068708" u="1"/>
        <n v="33007.52642702411" u="1"/>
        <n v="20506.125298027044" u="1"/>
        <n v="9012.062736455744" u="1"/>
        <n v="71619.041614217844" u="1"/>
        <n v="145307.31369578454" u="1"/>
        <n v="2906.14627391569" u="1"/>
        <n v="257049.66118954864" u="1"/>
        <n v="15071.859934601156" u="1"/>
        <n v="59273.4737359016" u="1"/>
        <n v="47418.778988721278" u="1"/>
        <n v="11854.69474718032" u="1"/>
        <n v="1063.013507600836" u="1"/>
        <n v="3912.4531012176517" u="1"/>
        <n v="778.48818072098459" u="1"/>
        <n v="48905.663765220641" u="1"/>
        <n v="-12797.916845520223" u="1"/>
        <n v="14697.887693734707" u="1"/>
        <n v="37272.887231136025" u="1"/>
        <n v="71697.013140169307" u="1"/>
        <n v="168740.65059891794" u="1"/>
        <n v="15422.380839226893" u="1"/>
        <n v="465.93745497243077" u="1"/>
        <n v="230572.74890788368" u="1"/>
        <n v="10375.773700854767" u="1"/>
        <n v="1003.1753576859605" u="1"/>
        <n v="3692.2169955316913" u="1"/>
        <n v="734.66626111990934" u="1"/>
        <n v="49229.55994042255" u="1"/>
        <n v="139624.88189138117" u="1"/>
        <n v="111699.90551310494" u="1"/>
        <n v="27924.976378276235" u="1"/>
        <n v="1042570.8207341408" u="1"/>
        <n v="2413445.1077758204" u="1"/>
        <n v="521285.41036707041" u="1"/>
        <n v="4587311.6112302188" u="1"/>
        <n v="1443316.2779495707" u="1"/>
        <n v="653431.26189512259" u="1"/>
        <n v="456562.61381589482" u="1"/>
        <n v="373594.82790187193" u="1"/>
        <n v="14267.581681746713" u="1"/>
        <n v="-14267.581681746713" u="1"/>
        <n v="14747.164259284418" u="1"/>
        <n v="73366.542711718066" u="1"/>
        <n v="21751.788824110921" u="1"/>
        <n v="43709.148675889075" u="1"/>
        <n v="7137.2922914657847" u="1"/>
        <n v="4160.7353521398827" u="1"/>
        <n v="138517.25230813105" u="1"/>
        <n v="9696.2076615691749" u="1"/>
        <n v="217435.1974038406" u="1"/>
        <n v="18481.991779326454" u="1"/>
        <n v="77375.639706392962" u="1"/>
        <n v="61900.511765114381" u="1"/>
        <n v="15475.127941278595" u="1"/>
        <n v="3716.7714911211096" u="1"/>
        <n v="13679.688962536291" u="1"/>
        <n v="1353.9745744449544" u="1"/>
        <n v="35909.183526657762" u="1"/>
        <n v="1004253.17686612" u="1"/>
        <n v="2324743.6706210272" u="1"/>
        <n v="502126.58843305998" u="1"/>
        <n v="4418713.9782109279" u="1"/>
        <n v="1390270.0214962724" u="1"/>
        <n v="546956.45024836354" u="1"/>
        <n v="388851.85134844598" u="1"/>
        <n v="283294.7999280481" u="1"/>
        <n v="13743.20472541285" u="1"/>
        <n v="288722.78834900947" u="1"/>
        <n v="115489.1153396038" u="1"/>
        <n v="52368.75" u="1"/>
        <n v="39276.5625" u="1"/>
        <n v="37889.5" u="1"/>
        <n v="30311.600000000002" u="1"/>
        <n v="7577.9000000000005" u="1"/>
        <n v="147929.66847862554" u="1"/>
        <n v="13520.320542799724" u="1"/>
        <n v="380.13728386480147" u="1"/>
        <n v="189454.66715044322" u="1"/>
        <n v="16103.646707787675" u="1"/>
        <n v="92555.07736886105" u="1"/>
        <n v="74044.061895088846" u="1"/>
        <n v="18511.015473772211" u="1"/>
        <n v="3365.7891323201534" u="1"/>
        <n v="12387.887862790407" u="1"/>
        <n v="5161.6199428293357" u="1"/>
        <n v="1226.1159769954061" u="1"/>
        <n v="32518.205639824817" u="1"/>
        <n v="9640107.4356274083" u="1"/>
        <n v="10000" u="1"/>
        <n v="13750" u="1"/>
        <n v="141600.9270706989" u="1"/>
        <n v="12941.892879521205" u="1"/>
        <n v="583.33333333333326" u="1"/>
        <n v="862308.59074482066" u="1"/>
        <n v="18647.896434666432" u="1"/>
        <n v="91741.804227147499" u="1"/>
        <n v="565.88808054481103" u="1"/>
        <n v="64820.248131721935" u="1"/>
        <n v="3723.3416118678156" u="1"/>
        <n v="43337.435897435913" u="1"/>
        <n v="39530.769230769234" u="1"/>
        <n v="668.71794871794884" u="1"/>
        <n v="142717.94871794875" u="1"/>
        <n v="2490.2248105435951" u="1"/>
        <n v="29882.697726523136" u="1"/>
        <n v="7470.6744316307841" u="1"/>
        <n v="1137.4898694097244" u="1"/>
        <n v="4059.5644861481678" u="1"/>
        <n v="1478.8498864390403" u="1"/>
        <n v="14941.348863261568" u="1"/>
        <n v="1359.6627465568029" u="1"/>
        <n v="93022.118171683411" u="1"/>
        <n v="51923.820361511927" u="1"/>
        <n v="25961.910180755964" u="1"/>
        <n v="34615.880241007952" u="1"/>
        <n v="8653.9700602519879" u="1"/>
        <n v="4183.098794960244" u="1"/>
        <n v="77647.63" u="1"/>
        <n v="7500" u="1"/>
        <n v="15000" u="1"/>
        <n v="34434.209762318838" u="1"/>
        <n v="892.15686274509801" u="1"/>
      </sharedItems>
    </cacheField>
    <cacheField name="CHECK" numFmtId="0">
      <sharedItems containsString="0" containsBlank="1" containsNumber="1" minValue="-297999.99999999994" maxValue="4.413963295519352E-3"/>
    </cacheField>
    <cacheField name="FINANCE PAYMENT DATE" numFmtId="0">
      <sharedItems containsNonDate="0" containsDate="1" containsString="0" containsBlank="1" minDate="2023-08-10T00:00:00" maxDate="2026-01-01T00:00:00"/>
    </cacheField>
    <cacheField name="Total COS" numFmtId="0">
      <sharedItems containsString="0" containsBlank="1" containsNumber="1" minValue="0" maxValue="9684222"/>
    </cacheField>
    <cacheField name="Months (INVOICE RAISED DATE)" numFmtId="0" databaseField="0">
      <fieldGroup base="7">
        <rangePr groupBy="months" startDate="2023-08-31T00:00:00" endDate="2025-12-01T00:00:00"/>
        <groupItems count="14">
          <s v="&lt;2023/08/31"/>
          <s v="Jan"/>
          <s v="Feb"/>
          <s v="Mar"/>
          <s v="Apr"/>
          <s v="May"/>
          <s v="Jun"/>
          <s v="Jul"/>
          <s v="Aug"/>
          <s v="Sept"/>
          <s v="Oct"/>
          <s v="Nov"/>
          <s v="Dec"/>
          <s v="&gt;2025/12/01"/>
        </groupItems>
      </fieldGroup>
    </cacheField>
    <cacheField name="Quarters (INVOICE RAISED DATE)" numFmtId="0" databaseField="0">
      <fieldGroup base="7">
        <rangePr groupBy="quarters" startDate="2023-08-31T00:00:00" endDate="2025-12-01T00:00:00"/>
        <groupItems count="6">
          <s v="&lt;2023/08/31"/>
          <s v="Qtr1"/>
          <s v="Qtr2"/>
          <s v="Qtr3"/>
          <s v="Qtr4"/>
          <s v="&gt;2025/12/01"/>
        </groupItems>
      </fieldGroup>
    </cacheField>
    <cacheField name="Years (INVOICE RAISED DATE)" numFmtId="0" databaseField="0">
      <fieldGroup base="7">
        <rangePr groupBy="years" startDate="2023-08-31T00:00:00" endDate="2025-12-01T00:00:00"/>
        <groupItems count="5">
          <s v="&lt;2023/08/31"/>
          <s v="2023"/>
          <s v="2024"/>
          <s v="2025"/>
          <s v="&gt;2025/12/01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hannes Potgieter" refreshedDate="46036.591948032408" createdVersion="8" refreshedVersion="8" minRefreshableVersion="3" recordCount="134" xr:uid="{4DBF7AD8-EED9-40FD-8023-05173AE5B9FD}">
  <cacheSource type="worksheet">
    <worksheetSource ref="N4:T138" sheet="Expenditure Breakdown"/>
  </cacheSource>
  <cacheFields count="7">
    <cacheField name="Product/ Service" numFmtId="0">
      <sharedItems containsBlank="1" containsMixedTypes="1" containsNumber="1" minValue="64553.2" maxValue="190000" count="21">
        <m/>
        <s v="1. Panels"/>
        <s v="2. Inverters"/>
        <s v="3. Mounting Structures"/>
        <s v="4. DC Equipment"/>
        <s v="5. Monitoring"/>
        <s v="6. AC Equipment"/>
        <s v="7. Battery Systems"/>
        <s v="8. Product Add On "/>
        <s v="9. AC installation"/>
        <s v="9. DC installation"/>
        <s v="10. Site Logistics - AC"/>
        <s v="10. Site Logistics - DC"/>
        <s v="11. Due Dilligence"/>
        <s v="12. BDP Commission"/>
        <s v="13. Engineering"/>
        <s v="14. General Expenses"/>
        <s v="15. Service Add On"/>
        <n v="64553.2" u="1"/>
        <n v="190000" u="1"/>
        <n v="94553.2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0.1" maxValue="10000"/>
    </cacheField>
    <cacheField name="Rate / Unit" numFmtId="0">
      <sharedItems containsString="0" containsBlank="1" containsNumber="1" minValue="14.3" maxValue="1391200"/>
    </cacheField>
    <cacheField name="Actual Total " numFmtId="0">
      <sharedItems containsString="0" containsBlank="1" containsNumber="1" minValue="-11604" maxValue="3826086.9565217393"/>
    </cacheField>
    <cacheField name="INVOICE NUMBER" numFmtId="0">
      <sharedItems containsBlank="1"/>
    </cacheField>
    <cacheField name="INVOICE RAISED DATE" numFmtId="0">
      <sharedItems containsNonDate="0" containsDate="1" containsString="0" containsBlank="1" minDate="2023-02-28T00:00:00" maxDate="2025-12-01T00:00:00" count="35">
        <m/>
        <d v="2024-03-31T00:00:00"/>
        <d v="2023-08-31T00:00:00"/>
        <d v="2023-12-31T00:00:00"/>
        <d v="2024-01-31T00:00:00"/>
        <d v="2024-02-29T00:00:00"/>
        <d v="2024-04-30T00:00:00"/>
        <d v="2024-05-31T00:00:00"/>
        <d v="2024-07-31T00:00:00"/>
        <d v="2025-02-28T00:00:00"/>
        <d v="2025-11-30T00:00:00"/>
        <d v="2024-08-31T00:00:00"/>
        <d v="2023-11-30T00:00:00"/>
        <d v="2023-10-31T00:00:00"/>
        <d v="2023-09-30T00:00:00"/>
        <d v="2024-06-30T00:00:00"/>
        <d v="2024-09-30T00:00:00" u="1"/>
        <d v="2024-04-03T00:00:00" u="1"/>
        <d v="2024-04-12T00:00:00" u="1"/>
        <d v="2024-04-11T00:00:00" u="1"/>
        <d v="2024-04-18T00:00:00" u="1"/>
        <d v="2023-03-31T00:00:00" u="1"/>
        <d v="2024-02-27T00:00:00" u="1"/>
        <d v="2024-02-28T00:00:00" u="1"/>
        <d v="2024-03-30T00:00:00" u="1"/>
        <d v="2024-01-15T00:00:00" u="1"/>
        <d v="2024-01-09T00:00:00" u="1"/>
        <d v="2024-01-16T00:00:00" u="1"/>
        <d v="2024-01-04T00:00:00" u="1"/>
        <d v="2023-12-12T00:00:00" u="1"/>
        <d v="2023-12-11T00:00:00" u="1"/>
        <d v="2023-12-01T00:00:00" u="1"/>
        <d v="2023-12-06T00:00:00" u="1"/>
        <d v="2023-12-07T00:00:00" u="1"/>
        <d v="2023-02-28T00:00:00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4">
  <r>
    <m/>
    <x v="0"/>
    <m/>
    <m/>
    <m/>
    <m/>
    <m/>
    <x v="0"/>
    <x v="0"/>
    <m/>
    <m/>
    <m/>
  </r>
  <r>
    <n v="1"/>
    <x v="1"/>
    <s v="Jinko 555W "/>
    <n v="638"/>
    <n v="973747.5"/>
    <m/>
    <s v="MENLO DISTRIBUTION INV0001192"/>
    <x v="1"/>
    <x v="1"/>
    <n v="4.413963295519352E-3"/>
    <d v="2023-08-10T00:00:00"/>
    <n v="1165914.24"/>
  </r>
  <r>
    <n v="1"/>
    <x v="1"/>
    <m/>
    <m/>
    <m/>
    <m/>
    <s v="MENLO DISTRIBUTION INV0001192"/>
    <x v="1"/>
    <x v="1"/>
    <m/>
    <d v="2024-04-02T00:00:00"/>
    <m/>
  </r>
  <r>
    <n v="1"/>
    <x v="1"/>
    <m/>
    <n v="637"/>
    <m/>
    <n v="1165914.24"/>
    <s v="Jinko: MCSSRJQ3047"/>
    <x v="2"/>
    <x v="2"/>
    <m/>
    <d v="2024-04-02T00:00:00"/>
    <m/>
  </r>
  <r>
    <n v="1"/>
    <x v="1"/>
    <m/>
    <m/>
    <m/>
    <m/>
    <m/>
    <x v="0"/>
    <x v="1"/>
    <m/>
    <m/>
    <m/>
  </r>
  <r>
    <n v="1"/>
    <x v="1"/>
    <m/>
    <m/>
    <m/>
    <m/>
    <m/>
    <x v="0"/>
    <x v="1"/>
    <m/>
    <m/>
    <m/>
  </r>
  <r>
    <n v="1"/>
    <x v="0"/>
    <m/>
    <m/>
    <m/>
    <m/>
    <m/>
    <x v="0"/>
    <x v="1"/>
    <m/>
    <m/>
    <m/>
  </r>
  <r>
    <m/>
    <x v="0"/>
    <m/>
    <m/>
    <m/>
    <m/>
    <m/>
    <x v="0"/>
    <x v="0"/>
    <m/>
    <m/>
    <m/>
  </r>
  <r>
    <n v="2"/>
    <x v="2"/>
    <s v="Kathea- Huawei 100KTL"/>
    <n v="3"/>
    <n v="80833"/>
    <n v="29187.765217391308"/>
    <s v="Kathea Inv 516781"/>
    <x v="3"/>
    <x v="3"/>
    <n v="-297999.99999999994"/>
    <d v="2024-02-12T00:00:00"/>
    <n v="243184.47"/>
  </r>
  <r>
    <n v="2"/>
    <x v="2"/>
    <s v="Delivery"/>
    <m/>
    <m/>
    <n v="213996.70478260869"/>
    <s v="Kathea Inv 516781"/>
    <x v="3"/>
    <x v="1"/>
    <m/>
    <d v="2024-02-23T00:00:00"/>
    <m/>
  </r>
  <r>
    <n v="2"/>
    <x v="2"/>
    <m/>
    <m/>
    <m/>
    <m/>
    <m/>
    <x v="1"/>
    <x v="4"/>
    <m/>
    <m/>
    <m/>
  </r>
  <r>
    <n v="2"/>
    <x v="2"/>
    <m/>
    <m/>
    <m/>
    <m/>
    <m/>
    <x v="0"/>
    <x v="1"/>
    <m/>
    <m/>
    <m/>
  </r>
  <r>
    <m/>
    <x v="0"/>
    <m/>
    <m/>
    <m/>
    <m/>
    <m/>
    <x v="0"/>
    <x v="0"/>
    <m/>
    <m/>
    <m/>
  </r>
  <r>
    <n v="3"/>
    <x v="3"/>
    <s v="Schlette IBR"/>
    <m/>
    <m/>
    <n v="54891"/>
    <s v="Schletter Inv: INV0005"/>
    <x v="4"/>
    <x v="5"/>
    <n v="0"/>
    <d v="2024-02-29T00:00:00"/>
    <n v="78280"/>
  </r>
  <r>
    <n v="3"/>
    <x v="3"/>
    <m/>
    <m/>
    <m/>
    <m/>
    <m/>
    <x v="0"/>
    <x v="0"/>
    <m/>
    <m/>
    <m/>
  </r>
  <r>
    <n v="3"/>
    <x v="3"/>
    <s v="Delivery"/>
    <m/>
    <m/>
    <n v="1250"/>
    <s v="Schletter Inv: INV0005"/>
    <x v="4"/>
    <x v="6"/>
    <m/>
    <d v="2024-02-29T00:00:00"/>
    <m/>
  </r>
  <r>
    <n v="3"/>
    <x v="3"/>
    <s v="Lumax Screws"/>
    <m/>
    <m/>
    <n v="19920"/>
    <s v="Lumax Inv: INV0040280"/>
    <x v="4"/>
    <x v="7"/>
    <m/>
    <d v="2024-02-29T00:00:00"/>
    <m/>
  </r>
  <r>
    <n v="3"/>
    <x v="3"/>
    <s v="Lumax Screws"/>
    <m/>
    <m/>
    <n v="381"/>
    <s v="Lumax Inv: INV0040623"/>
    <x v="4"/>
    <x v="8"/>
    <m/>
    <d v="2024-02-29T00:00:00"/>
    <m/>
  </r>
  <r>
    <n v="3"/>
    <x v="3"/>
    <s v="Lumax - Clamps"/>
    <m/>
    <m/>
    <n v="1838"/>
    <s v="lLumax INV0040527"/>
    <x v="4"/>
    <x v="9"/>
    <m/>
    <d v="2024-02-29T00:00:00"/>
    <m/>
  </r>
  <r>
    <m/>
    <x v="0"/>
    <m/>
    <m/>
    <m/>
    <m/>
    <m/>
    <x v="0"/>
    <x v="0"/>
    <m/>
    <m/>
    <m/>
  </r>
  <r>
    <n v="4"/>
    <x v="4"/>
    <s v="DC Cable Red"/>
    <n v="10000"/>
    <n v="14.36"/>
    <n v="143600"/>
    <s v="Rubicon Inv: INVWCRE-0052509"/>
    <x v="4"/>
    <x v="10"/>
    <n v="-1.6314492677338421E-3"/>
    <d v="2024-02-29T00:00:00"/>
    <n v="478379.14499999996"/>
  </r>
  <r>
    <m/>
    <x v="4"/>
    <s v="DC Cable Black"/>
    <n v="10000"/>
    <n v="14.3"/>
    <n v="143000"/>
    <s v="Rubicon Inv: INVWCRE-0052509"/>
    <x v="4"/>
    <x v="11"/>
    <m/>
    <d v="2024-02-29T00:00:00"/>
    <m/>
  </r>
  <r>
    <m/>
    <x v="4"/>
    <s v="Extra DC cable red (Rubicon)"/>
    <n v="2000"/>
    <n v="14.36"/>
    <n v="28720"/>
    <s v="Rubicon : Inv INVWCRE-0052851"/>
    <x v="4"/>
    <x v="12"/>
    <m/>
    <d v="2024-02-29T00:00:00"/>
    <m/>
  </r>
  <r>
    <m/>
    <x v="4"/>
    <s v="Extra DC cable black (Rubicon)"/>
    <n v="2000"/>
    <n v="14.3"/>
    <n v="28600"/>
    <s v="Rubicon : Inv INVWCRE-0052851"/>
    <x v="4"/>
    <x v="13"/>
    <m/>
    <d v="2024-02-29T00:00:00"/>
    <m/>
  </r>
  <r>
    <n v="4"/>
    <x v="4"/>
    <s v="Delivery"/>
    <m/>
    <m/>
    <n v="800"/>
    <s v="Rubicon Inv: INVWCRE-0052509"/>
    <x v="4"/>
    <x v="14"/>
    <m/>
    <d v="2024-02-29T00:00:00"/>
    <m/>
  </r>
  <r>
    <n v="4"/>
    <x v="4"/>
    <s v="DC Equipment - Deposit"/>
    <n v="0.5"/>
    <n v="133659.15"/>
    <n v="66829.570000000007"/>
    <s v="Cosmic Sun Inv: CS_BMG_001"/>
    <x v="3"/>
    <x v="15"/>
    <m/>
    <d v="2023-12-21T00:00:00"/>
    <m/>
  </r>
  <r>
    <n v="4"/>
    <x v="4"/>
    <s v="DC Equipment - Onsite"/>
    <n v="0.4"/>
    <m/>
    <n v="53463.66"/>
    <s v="Cosmic Sun Inv: CS_BMG_003"/>
    <x v="5"/>
    <x v="16"/>
    <m/>
    <d v="2024-02-01T00:00:00"/>
    <m/>
  </r>
  <r>
    <n v="4"/>
    <x v="4"/>
    <s v="DC Equipment - Retention"/>
    <n v="0.1"/>
    <m/>
    <n v="13365.915000000001"/>
    <s v="Cosmic Sun Inv: CS_BMG_006"/>
    <x v="6"/>
    <x v="17"/>
    <m/>
    <d v="2024-04-25T00:00:00"/>
    <m/>
  </r>
  <r>
    <m/>
    <x v="0"/>
    <m/>
    <m/>
    <m/>
    <m/>
    <m/>
    <x v="0"/>
    <x v="0"/>
    <m/>
    <m/>
    <m/>
  </r>
  <r>
    <n v="5"/>
    <x v="5"/>
    <s v="Additional Meter"/>
    <m/>
    <m/>
    <m/>
    <m/>
    <x v="0"/>
    <x v="1"/>
    <n v="2.1696851326851174E-3"/>
    <m/>
    <n v="438053.50999999995"/>
  </r>
  <r>
    <n v="5"/>
    <x v="5"/>
    <s v="CTs - To be removed (EE Stock 1000A Rogowski Coils with Integrator kit)"/>
    <m/>
    <m/>
    <n v="11604"/>
    <s v="Accuenergy Inv: ASAI-003146"/>
    <x v="7"/>
    <x v="18"/>
    <m/>
    <d v="2024-06-30T00:00:00"/>
    <m/>
  </r>
  <r>
    <n v="5"/>
    <x v="5"/>
    <s v="CTs - To be removed (EE Stock 1000A Rogowski Coils with Integrator kit)"/>
    <m/>
    <m/>
    <n v="-11604"/>
    <s v="Allocated to Nampak"/>
    <x v="8"/>
    <x v="1"/>
    <m/>
    <d v="2024-07-31T00:00:00"/>
    <m/>
  </r>
  <r>
    <n v="5"/>
    <x v="5"/>
    <s v="CTs"/>
    <m/>
    <m/>
    <n v="4920"/>
    <s v="Accuenergy Inv: ASAI-002374"/>
    <x v="4"/>
    <x v="19"/>
    <m/>
    <d v="2024-02-29T00:00:00"/>
    <m/>
  </r>
  <r>
    <n v="5"/>
    <x v="5"/>
    <s v="Ferite Core for Comms Cable"/>
    <m/>
    <m/>
    <n v="125.66"/>
    <s v="Tanaka's Exp Claim"/>
    <x v="6"/>
    <x v="1"/>
    <m/>
    <d v="2024-05-09T00:00:00"/>
    <m/>
  </r>
  <r>
    <n v="5"/>
    <x v="5"/>
    <s v="techsitter"/>
    <m/>
    <m/>
    <n v="11169"/>
    <s v="Techsitter Inv: MN8940230"/>
    <x v="4"/>
    <x v="20"/>
    <m/>
    <d v="2024-02-29T00:00:00"/>
    <m/>
  </r>
  <r>
    <n v="5"/>
    <x v="5"/>
    <s v="Network Switch"/>
    <m/>
    <m/>
    <n v="2590"/>
    <s v="Accuenergy Inv: ASAI-002374"/>
    <x v="4"/>
    <x v="21"/>
    <m/>
    <d v="2024-02-29T00:00:00"/>
    <m/>
  </r>
  <r>
    <n v="5"/>
    <x v="5"/>
    <s v="Delivery"/>
    <m/>
    <m/>
    <n v="150"/>
    <s v="Accuenergy Inv: ASAI-002374"/>
    <x v="4"/>
    <x v="22"/>
    <m/>
    <d v="2024-02-29T00:00:00"/>
    <m/>
  </r>
  <r>
    <n v="5"/>
    <x v="5"/>
    <s v="Elum Controller- Krannich order "/>
    <m/>
    <m/>
    <n v="403848.42"/>
    <s v="Krannich Inv: 15-10009002"/>
    <x v="6"/>
    <x v="23"/>
    <m/>
    <d v="2024-05-31T00:00:00"/>
    <m/>
  </r>
  <r>
    <n v="5"/>
    <x v="5"/>
    <s v="Power Supply"/>
    <m/>
    <m/>
    <n v="2388"/>
    <s v="Mantech Inv: SOR947028"/>
    <x v="3"/>
    <x v="24"/>
    <m/>
    <d v="2023-12-21T00:00:00"/>
    <m/>
  </r>
  <r>
    <n v="5"/>
    <x v="5"/>
    <s v="Additional Meter"/>
    <m/>
    <m/>
    <m/>
    <m/>
    <x v="9"/>
    <x v="0"/>
    <m/>
    <d v="2025-03-28T00:00:00"/>
    <m/>
  </r>
  <r>
    <n v="5"/>
    <x v="5"/>
    <s v="Additional CTs and Meter - AccuEnergy"/>
    <m/>
    <m/>
    <n v="7080"/>
    <s v="Accuenergy Inv: ASAI-006969"/>
    <x v="10"/>
    <x v="0"/>
    <m/>
    <d v="2025-12-31T00:00:00"/>
    <m/>
  </r>
  <r>
    <n v="5"/>
    <x v="5"/>
    <s v="Meter"/>
    <m/>
    <m/>
    <n v="5782.43"/>
    <s v="Allocated from Stock"/>
    <x v="11"/>
    <x v="0"/>
    <m/>
    <d v="2024-08-31T00:00:00"/>
    <m/>
  </r>
  <r>
    <m/>
    <x v="0"/>
    <m/>
    <m/>
    <m/>
    <m/>
    <m/>
    <x v="0"/>
    <x v="0"/>
    <m/>
    <m/>
    <m/>
  </r>
  <r>
    <n v="6"/>
    <x v="6"/>
    <s v="AC Equipment Deposit"/>
    <n v="0.5"/>
    <n v="883467.09999999986"/>
    <n v="441733.54999999993"/>
    <s v="Matthews Group: INV-1144"/>
    <x v="3"/>
    <x v="25"/>
    <n v="0"/>
    <d v="2024-01-12T00:00:00"/>
    <n v="1186079.8499999999"/>
  </r>
  <r>
    <n v="6"/>
    <x v="6"/>
    <s v="AC Equipment On site"/>
    <n v="0.4"/>
    <m/>
    <n v="353386.83999999997"/>
    <s v="Matthews Group: INV-1167"/>
    <x v="1"/>
    <x v="26"/>
    <m/>
    <d v="2024-03-22T00:00:00"/>
    <m/>
  </r>
  <r>
    <n v="6"/>
    <x v="6"/>
    <s v="Retention"/>
    <n v="0.1"/>
    <m/>
    <n v="88346.709999999992"/>
    <s v="Matthews Group: INV-1293"/>
    <x v="8"/>
    <x v="27"/>
    <m/>
    <d v="2024-09-05T00:00:00"/>
    <m/>
  </r>
  <r>
    <n v="6"/>
    <x v="6"/>
    <s v="AC Board Deposit"/>
    <m/>
    <n v="302612.75"/>
    <n v="151306.375"/>
    <s v="Matthews Group: INV-1144"/>
    <x v="3"/>
    <x v="28"/>
    <m/>
    <d v="2023-12-18T00:00:00"/>
    <m/>
  </r>
  <r>
    <n v="6"/>
    <x v="6"/>
    <s v="AC Board Balance"/>
    <m/>
    <m/>
    <n v="151306.375"/>
    <s v="Matthews Group: INV-1167"/>
    <x v="1"/>
    <x v="28"/>
    <m/>
    <d v="2024-03-22T00:00:00"/>
    <m/>
  </r>
  <r>
    <n v="6"/>
    <x v="6"/>
    <s v="DC Busbar - Removed Cost"/>
    <m/>
    <m/>
    <m/>
    <m/>
    <x v="0"/>
    <x v="1"/>
    <m/>
    <m/>
    <m/>
  </r>
  <r>
    <m/>
    <x v="0"/>
    <m/>
    <m/>
    <m/>
    <m/>
    <m/>
    <x v="0"/>
    <x v="0"/>
    <m/>
    <m/>
    <m/>
  </r>
  <r>
    <n v="7"/>
    <x v="7"/>
    <s v="Freedom Won Battery 300/240kWh HV"/>
    <n v="6"/>
    <n v="1391200"/>
    <n v="869565.21739130444"/>
    <s v="Herholdt's Inv: INV720872"/>
    <x v="12"/>
    <x v="29"/>
    <n v="2.2428035736083984E-3"/>
    <d v="2023-10-04T00:00:00"/>
    <n v="9684222"/>
  </r>
  <r>
    <m/>
    <x v="7"/>
    <s v="Freedom Won Battery 300/240kWh HV"/>
    <m/>
    <m/>
    <n v="2012954.7826086958"/>
    <s v="Herholdt's Inv: INV720872"/>
    <x v="12"/>
    <x v="30"/>
    <m/>
    <d v="2023-10-20T00:00:00"/>
    <m/>
  </r>
  <r>
    <m/>
    <x v="7"/>
    <s v="Freedom Won Battery 300/240kWh HV"/>
    <m/>
    <m/>
    <n v="434782.60869565222"/>
    <s v="Herholdt's Inv: INV720872"/>
    <x v="12"/>
    <x v="31"/>
    <m/>
    <d v="2023-11-03T00:00:00"/>
    <m/>
  </r>
  <r>
    <m/>
    <x v="7"/>
    <s v="Freedom Won Battery 300/240kWh HV"/>
    <m/>
    <m/>
    <n v="3826086.9565217393"/>
    <s v="Herholdt's Inv: INV720872"/>
    <x v="12"/>
    <x v="32"/>
    <m/>
    <d v="2023-11-10T00:00:00"/>
    <m/>
  </r>
  <r>
    <m/>
    <x v="7"/>
    <s v="Freedom Won Battery 300/240kWh HV"/>
    <m/>
    <m/>
    <n v="1203810.4347826084"/>
    <s v="Herholdt's Inv: INV720872"/>
    <x v="12"/>
    <x v="33"/>
    <m/>
    <d v="2023-11-10T00:00:00"/>
    <m/>
  </r>
  <r>
    <n v="7"/>
    <x v="7"/>
    <s v="Atess-PCS630"/>
    <m/>
    <m/>
    <n v="545000"/>
    <s v="Herholdt's Inv: INV720872"/>
    <x v="12"/>
    <x v="34"/>
    <m/>
    <d v="2023-11-23T00:00:00"/>
    <m/>
  </r>
  <r>
    <n v="7"/>
    <x v="7"/>
    <s v="Atess 630kW Bypass Cabinet"/>
    <m/>
    <m/>
    <n v="380800"/>
    <s v="Herholdt's Inv: INV720872"/>
    <x v="12"/>
    <x v="35"/>
    <m/>
    <d v="2023-11-23T00:00:00"/>
    <m/>
  </r>
  <r>
    <n v="7"/>
    <x v="7"/>
    <s v="Atess 630kW Isolation Transformer"/>
    <m/>
    <m/>
    <n v="311600"/>
    <s v="Herholdt's Inv: INV720872"/>
    <x v="12"/>
    <x v="36"/>
    <m/>
    <d v="2023-11-23T00:00:00"/>
    <m/>
  </r>
  <r>
    <n v="7"/>
    <x v="7"/>
    <s v="Atess Enerlog Monitoring Module"/>
    <m/>
    <m/>
    <n v="11900"/>
    <s v="Herholdt's Inv: INV720872"/>
    <x v="12"/>
    <x v="37"/>
    <m/>
    <d v="2023-11-23T00:00:00"/>
    <m/>
  </r>
  <r>
    <m/>
    <x v="7"/>
    <s v="Atess Enerlog Monitoring Module - Credit"/>
    <m/>
    <m/>
    <n v="-10710"/>
    <s v="Herholdt's CN070484"/>
    <x v="3"/>
    <x v="38"/>
    <m/>
    <d v="2023-11-30T00:00:00"/>
    <m/>
  </r>
  <r>
    <n v="7"/>
    <x v="7"/>
    <s v="Atess PV Combiner Box 16 Input 1 Output"/>
    <m/>
    <m/>
    <n v="11900"/>
    <s v="Herholdt's Inv: INV720872"/>
    <x v="12"/>
    <x v="37"/>
    <m/>
    <d v="2023-11-23T00:00:00"/>
    <m/>
  </r>
  <r>
    <n v="7"/>
    <x v="7"/>
    <s v="Atess PV Combiner Box 16 Input 1 Output - Credit"/>
    <m/>
    <m/>
    <n v="-10710"/>
    <s v="Herholdt's CN070484"/>
    <x v="3"/>
    <x v="38"/>
    <m/>
    <d v="2023-11-30T00:00:00"/>
    <m/>
  </r>
  <r>
    <n v="7"/>
    <x v="7"/>
    <m/>
    <m/>
    <m/>
    <m/>
    <m/>
    <x v="0"/>
    <x v="1"/>
    <m/>
    <m/>
    <m/>
  </r>
  <r>
    <n v="7"/>
    <x v="7"/>
    <s v="Data Guru (Cost removed) "/>
    <m/>
    <m/>
    <m/>
    <m/>
    <x v="0"/>
    <x v="1"/>
    <m/>
    <m/>
    <m/>
  </r>
  <r>
    <n v="7"/>
    <x v="7"/>
    <s v="Delivery And Rigging"/>
    <m/>
    <m/>
    <n v="31192"/>
    <s v="E&amp;M Plant Inv: IN111028"/>
    <x v="3"/>
    <x v="39"/>
    <m/>
    <d v="2023-12-08T00:00:00"/>
    <m/>
  </r>
  <r>
    <n v="7"/>
    <x v="7"/>
    <s v="Safety File"/>
    <m/>
    <m/>
    <n v="3000"/>
    <s v="E&amp;M Plant Inv: IN111028"/>
    <x v="3"/>
    <x v="40"/>
    <m/>
    <d v="2023-12-08T00:00:00"/>
    <m/>
  </r>
  <r>
    <n v="7"/>
    <x v="7"/>
    <s v="Delivery And Rigging - Additional cost"/>
    <m/>
    <m/>
    <n v="15100"/>
    <s v="E&amp;M Plant Inv: IN111062"/>
    <x v="3"/>
    <x v="41"/>
    <m/>
    <d v="2023-12-22T00:00:00"/>
    <m/>
  </r>
  <r>
    <m/>
    <x v="7"/>
    <s v="Delivery And Rigging - Additional cost"/>
    <m/>
    <m/>
    <n v="-7550"/>
    <s v="E&amp;M Plant Credit Note: IC100085"/>
    <x v="3"/>
    <x v="1"/>
    <m/>
    <d v="2023-12-11T00:00:00"/>
    <m/>
  </r>
  <r>
    <m/>
    <x v="7"/>
    <s v="Rigging - shift batteries to install battery cable"/>
    <m/>
    <m/>
    <n v="55500"/>
    <s v="E&amp;M Plant  - Inv IO103047"/>
    <x v="6"/>
    <x v="42"/>
    <m/>
    <d v="2024-04-15T00:00:00"/>
    <m/>
  </r>
  <r>
    <n v="7"/>
    <x v="7"/>
    <m/>
    <m/>
    <m/>
    <m/>
    <m/>
    <x v="0"/>
    <x v="0"/>
    <m/>
    <m/>
    <m/>
  </r>
  <r>
    <m/>
    <x v="0"/>
    <m/>
    <m/>
    <m/>
    <m/>
    <m/>
    <x v="0"/>
    <x v="0"/>
    <m/>
    <m/>
    <m/>
  </r>
  <r>
    <n v="8"/>
    <x v="8"/>
    <s v="AC Tie-in breaker"/>
    <m/>
    <m/>
    <n v="32856.480000000003"/>
    <s v="MG INV-1232"/>
    <x v="7"/>
    <x v="1"/>
    <n v="0"/>
    <d v="2024-06-06T00:00:00"/>
    <n v="291094.63"/>
  </r>
  <r>
    <n v="8"/>
    <x v="8"/>
    <s v="Trenching - Deposit"/>
    <m/>
    <m/>
    <n v="16045.8"/>
    <s v="Mkholo Inv: MP /EE/150124"/>
    <x v="4"/>
    <x v="1"/>
    <m/>
    <d v="2024-02-08T00:00:00"/>
    <m/>
  </r>
  <r>
    <n v="8"/>
    <x v="8"/>
    <s v="Trenching - Balance"/>
    <m/>
    <m/>
    <n v="15045.8"/>
    <s v="Mkholo Inv: MP /EE/260224"/>
    <x v="5"/>
    <x v="1"/>
    <m/>
    <d v="2024-02-29T00:00:00"/>
    <m/>
  </r>
  <r>
    <n v="8"/>
    <x v="8"/>
    <s v="Ring Cores"/>
    <m/>
    <m/>
    <n v="267.14999999999998"/>
    <s v="Tanaka's Exp Claim"/>
    <x v="7"/>
    <x v="1"/>
    <m/>
    <d v="2024-06-06T00:00:00"/>
    <m/>
  </r>
  <r>
    <n v="8"/>
    <x v="8"/>
    <s v="Steel Covers"/>
    <m/>
    <m/>
    <n v="21890"/>
    <s v="Mkholo Projects: InvMP/EE?240724"/>
    <x v="8"/>
    <x v="1"/>
    <m/>
    <d v="2024-07-24T00:00:00"/>
    <m/>
  </r>
  <r>
    <n v="8"/>
    <x v="8"/>
    <s v="Re-Routing of cables"/>
    <n v="0.5"/>
    <n v="202189.4"/>
    <n v="101094.7"/>
    <s v="MG INV-1291"/>
    <x v="8"/>
    <x v="1"/>
    <m/>
    <d v="2024-08-01T00:00:00"/>
    <m/>
  </r>
  <r>
    <n v="8"/>
    <x v="8"/>
    <s v="Re-Routing of cables"/>
    <n v="0.5"/>
    <m/>
    <n v="101094.7"/>
    <s v="MG INV-1291"/>
    <x v="8"/>
    <x v="1"/>
    <m/>
    <d v="2024-08-29T00:00:00"/>
    <m/>
  </r>
  <r>
    <m/>
    <x v="8"/>
    <s v="Repairs on steel covers"/>
    <m/>
    <m/>
    <m/>
    <m/>
    <x v="0"/>
    <x v="0"/>
    <m/>
    <m/>
    <m/>
  </r>
  <r>
    <n v="8"/>
    <x v="8"/>
    <s v="Man Hole"/>
    <m/>
    <m/>
    <n v="2800"/>
    <s v="Mkholo Inv: MP/EE/080424 "/>
    <x v="6"/>
    <x v="1"/>
    <m/>
    <d v="2024-04-18T00:00:00"/>
    <m/>
  </r>
  <r>
    <m/>
    <x v="0"/>
    <m/>
    <m/>
    <m/>
    <m/>
    <m/>
    <x v="0"/>
    <x v="0"/>
    <m/>
    <m/>
    <m/>
  </r>
  <r>
    <n v="9"/>
    <x v="9"/>
    <s v="Deposit"/>
    <n v="0.25"/>
    <m/>
    <n v="16138.3"/>
    <s v="Matthews Group Inv: 1144"/>
    <x v="3"/>
    <x v="43"/>
    <n v="0"/>
    <d v="2024-01-12T00:00:00"/>
    <n v="254553.2"/>
  </r>
  <r>
    <n v="9"/>
    <x v="9"/>
    <s v="AC Tie-in"/>
    <n v="0.25"/>
    <m/>
    <n v="16138.3"/>
    <s v="Matthews Group Inv 1238"/>
    <x v="7"/>
    <x v="43"/>
    <m/>
    <d v="2024-06-06T00:00:00"/>
    <m/>
  </r>
  <r>
    <n v="9"/>
    <x v="9"/>
    <s v="Practical Completion"/>
    <n v="0.25"/>
    <m/>
    <n v="16138.3"/>
    <s v="Matthews Group Inv 1279"/>
    <x v="8"/>
    <x v="43"/>
    <m/>
    <d v="2024-07-19T00:00:00"/>
    <m/>
  </r>
  <r>
    <n v="9"/>
    <x v="9"/>
    <s v="Retention"/>
    <n v="0.25"/>
    <m/>
    <n v="16138.3"/>
    <s v="Matthews Group: INV-1293"/>
    <x v="8"/>
    <x v="43"/>
    <m/>
    <d v="2024-09-05T00:00:00"/>
    <m/>
  </r>
  <r>
    <n v="9"/>
    <x v="10"/>
    <s v="Deposit"/>
    <n v="0.25"/>
    <m/>
    <n v="47500"/>
    <s v="Cosmic Sun Inv: CS_BMG_001"/>
    <x v="3"/>
    <x v="44"/>
    <m/>
    <d v="2023-12-22T00:00:00"/>
    <m/>
  </r>
  <r>
    <n v="9"/>
    <x v="10"/>
    <s v="MS Complete"/>
    <n v="0.25"/>
    <m/>
    <n v="47500"/>
    <s v="Cosmic Sun Inv: CS_BMG_002"/>
    <x v="1"/>
    <x v="44"/>
    <m/>
    <d v="2024-04-25T00:00:00"/>
    <m/>
  </r>
  <r>
    <m/>
    <x v="10"/>
    <s v="Panels Complete"/>
    <n v="0.25"/>
    <m/>
    <n v="47500"/>
    <s v=" Cosmic Sun Inv. CS_BMG_005"/>
    <x v="1"/>
    <x v="44"/>
    <m/>
    <d v="2024-04-04T00:00:00"/>
    <m/>
  </r>
  <r>
    <n v="9"/>
    <x v="10"/>
    <s v="Retention"/>
    <n v="0.25"/>
    <m/>
    <n v="47500"/>
    <s v="Cosmic Sun Inv. CS_BMG_006"/>
    <x v="6"/>
    <x v="44"/>
    <m/>
    <d v="2024-04-25T00:00:00"/>
    <m/>
  </r>
  <r>
    <m/>
    <x v="0"/>
    <m/>
    <m/>
    <m/>
    <m/>
    <m/>
    <x v="0"/>
    <x v="0"/>
    <m/>
    <m/>
    <m/>
  </r>
  <r>
    <n v="10"/>
    <x v="11"/>
    <s v="Logistics Deposit"/>
    <n v="0.5"/>
    <n v="16720"/>
    <n v="8360"/>
    <s v="Matthews Group Inv: 1144"/>
    <x v="3"/>
    <x v="45"/>
    <n v="0"/>
    <d v="2024-01-12T00:00:00"/>
    <n v="143314.22"/>
  </r>
  <r>
    <n v="10"/>
    <x v="11"/>
    <s v="Logistics - Equipment Onsite"/>
    <n v="0.4"/>
    <m/>
    <n v="6688"/>
    <s v="Matthews Group Inv: 1167"/>
    <x v="1"/>
    <x v="46"/>
    <m/>
    <d v="2024-03-22T00:00:00"/>
    <m/>
  </r>
  <r>
    <n v="10"/>
    <x v="11"/>
    <s v="Logistics - Retention"/>
    <n v="0.1"/>
    <m/>
    <n v="1672"/>
    <s v="Matthews Group: INV-1293"/>
    <x v="8"/>
    <x v="47"/>
    <m/>
    <d v="2024-09-05T00:00:00"/>
    <m/>
  </r>
  <r>
    <n v="10"/>
    <x v="0"/>
    <m/>
    <m/>
    <m/>
    <m/>
    <m/>
    <x v="0"/>
    <x v="1"/>
    <m/>
    <m/>
    <m/>
  </r>
  <r>
    <n v="10"/>
    <x v="12"/>
    <s v="Logistics Deposit"/>
    <n v="0.5"/>
    <n v="126594.22"/>
    <n v="63297.11"/>
    <s v="Cosmic Sun Inv: CS_BMG_001"/>
    <x v="3"/>
    <x v="48"/>
    <m/>
    <d v="2023-12-22T00:00:00"/>
    <m/>
  </r>
  <r>
    <n v="10"/>
    <x v="12"/>
    <s v="Logistics - Equipment Onsite"/>
    <n v="0.4"/>
    <m/>
    <n v="50637.688000000002"/>
    <s v="Cosmic Sun Inv: CS_BMG_004"/>
    <x v="1"/>
    <x v="49"/>
    <m/>
    <d v="2024-02-01T00:00:00"/>
    <m/>
  </r>
  <r>
    <n v="10"/>
    <x v="12"/>
    <s v="Logistics - Retention"/>
    <n v="0.1"/>
    <m/>
    <n v="12659.422"/>
    <s v="Cosmic Sun Inv. CS_BMG_006"/>
    <x v="6"/>
    <x v="50"/>
    <m/>
    <d v="2024-04-25T00:00:00"/>
    <m/>
  </r>
  <r>
    <n v="10"/>
    <x v="0"/>
    <m/>
    <m/>
    <m/>
    <m/>
    <m/>
    <x v="0"/>
    <x v="1"/>
    <m/>
    <m/>
    <m/>
  </r>
  <r>
    <m/>
    <x v="0"/>
    <m/>
    <m/>
    <m/>
    <m/>
    <m/>
    <x v="0"/>
    <x v="0"/>
    <m/>
    <m/>
    <m/>
  </r>
  <r>
    <n v="11"/>
    <x v="13"/>
    <s v="Structural sign off"/>
    <m/>
    <m/>
    <n v="5500"/>
    <s v="L&amp;B INV-1448"/>
    <x v="13"/>
    <x v="51"/>
    <n v="-4.3007998974644579E-3"/>
    <d v="2023-10-06T00:00:00"/>
    <n v="11683.16"/>
  </r>
  <r>
    <n v="11"/>
    <x v="13"/>
    <s v="Electrical Sign off"/>
    <m/>
    <m/>
    <n v="6183.16"/>
    <s v="MJ Bleloch Inv: 1216"/>
    <x v="7"/>
    <x v="52"/>
    <m/>
    <d v="2024-06-06T00:00:00"/>
    <m/>
  </r>
  <r>
    <n v="11"/>
    <x v="0"/>
    <m/>
    <m/>
    <m/>
    <m/>
    <m/>
    <x v="0"/>
    <x v="1"/>
    <m/>
    <m/>
    <m/>
  </r>
  <r>
    <n v="11"/>
    <x v="0"/>
    <m/>
    <m/>
    <m/>
    <m/>
    <m/>
    <x v="0"/>
    <x v="1"/>
    <m/>
    <m/>
    <m/>
  </r>
  <r>
    <n v="11"/>
    <x v="0"/>
    <m/>
    <m/>
    <m/>
    <m/>
    <m/>
    <x v="0"/>
    <x v="1"/>
    <m/>
    <m/>
    <m/>
  </r>
  <r>
    <m/>
    <x v="0"/>
    <m/>
    <m/>
    <m/>
    <m/>
    <m/>
    <x v="0"/>
    <x v="0"/>
    <m/>
    <m/>
    <m/>
  </r>
  <r>
    <n v="12"/>
    <x v="14"/>
    <m/>
    <m/>
    <m/>
    <n v="0"/>
    <m/>
    <x v="0"/>
    <x v="1"/>
    <m/>
    <m/>
    <n v="0"/>
  </r>
  <r>
    <m/>
    <x v="0"/>
    <m/>
    <m/>
    <m/>
    <m/>
    <m/>
    <x v="0"/>
    <x v="0"/>
    <m/>
    <m/>
    <m/>
  </r>
  <r>
    <n v="13"/>
    <x v="15"/>
    <s v="Matriarch Defects Period - 1% because of battery cost"/>
    <m/>
    <m/>
    <n v="149530.883"/>
    <s v="MATRIARCH INV-2441"/>
    <x v="6"/>
    <x v="53"/>
    <n v="1.9991528533864766E-3"/>
    <d v="2024-04-30T00:00:00"/>
    <n v="154048.413"/>
  </r>
  <r>
    <n v="13"/>
    <x v="15"/>
    <s v="EPC Cost"/>
    <m/>
    <m/>
    <n v="3761.29"/>
    <m/>
    <x v="2"/>
    <x v="54"/>
    <m/>
    <d v="2023-08-31T00:00:00"/>
    <m/>
  </r>
  <r>
    <n v="13"/>
    <x v="15"/>
    <s v="EPC Cost"/>
    <m/>
    <m/>
    <n v="0"/>
    <m/>
    <x v="14"/>
    <x v="1"/>
    <m/>
    <d v="2023-09-30T00:00:00"/>
    <m/>
  </r>
  <r>
    <n v="13"/>
    <x v="15"/>
    <s v="EPC Cost"/>
    <m/>
    <m/>
    <n v="0"/>
    <m/>
    <x v="13"/>
    <x v="1"/>
    <m/>
    <d v="2023-10-31T00:00:00"/>
    <m/>
  </r>
  <r>
    <n v="13"/>
    <x v="15"/>
    <s v="EPC Cost"/>
    <m/>
    <m/>
    <n v="0"/>
    <m/>
    <x v="12"/>
    <x v="1"/>
    <m/>
    <d v="2023-11-30T00:00:00"/>
    <m/>
  </r>
  <r>
    <n v="13"/>
    <x v="15"/>
    <s v="EPC Cost"/>
    <m/>
    <m/>
    <n v="0"/>
    <m/>
    <x v="3"/>
    <x v="1"/>
    <m/>
    <d v="2023-12-31T00:00:00"/>
    <m/>
  </r>
  <r>
    <n v="13"/>
    <x v="15"/>
    <s v="EPC Cost"/>
    <m/>
    <m/>
    <n v="756.24"/>
    <m/>
    <x v="4"/>
    <x v="55"/>
    <m/>
    <d v="2024-01-25T00:00:00"/>
    <m/>
  </r>
  <r>
    <n v="13"/>
    <x v="0"/>
    <m/>
    <m/>
    <m/>
    <m/>
    <m/>
    <x v="0"/>
    <x v="1"/>
    <m/>
    <m/>
    <m/>
  </r>
  <r>
    <m/>
    <x v="0"/>
    <m/>
    <m/>
    <m/>
    <m/>
    <m/>
    <x v="0"/>
    <x v="0"/>
    <m/>
    <m/>
    <m/>
  </r>
  <r>
    <n v="14"/>
    <x v="16"/>
    <s v="Car Travel to Site"/>
    <m/>
    <m/>
    <n v="2086.0700000000279"/>
    <m/>
    <x v="2"/>
    <x v="56"/>
    <n v="8.4480131135933334E-4"/>
    <d v="2023-08-31T00:00:00"/>
    <n v="33168.710000000021"/>
  </r>
  <r>
    <n v="14"/>
    <x v="16"/>
    <s v="Car Travel to Site"/>
    <m/>
    <m/>
    <n v="0"/>
    <m/>
    <x v="14"/>
    <x v="1"/>
    <m/>
    <d v="2023-09-30T00:00:00"/>
    <m/>
  </r>
  <r>
    <n v="14"/>
    <x v="16"/>
    <s v="Car Travel to Site"/>
    <m/>
    <m/>
    <n v="151"/>
    <m/>
    <x v="13"/>
    <x v="57"/>
    <m/>
    <d v="2023-10-31T00:00:00"/>
    <m/>
  </r>
  <r>
    <n v="14"/>
    <x v="16"/>
    <s v="Car Travel to Site"/>
    <m/>
    <m/>
    <n v="0"/>
    <m/>
    <x v="12"/>
    <x v="1"/>
    <m/>
    <d v="2023-11-30T00:00:00"/>
    <m/>
  </r>
  <r>
    <n v="14"/>
    <x v="16"/>
    <s v="Car Travel to Site"/>
    <m/>
    <m/>
    <n v="2774.58"/>
    <m/>
    <x v="3"/>
    <x v="58"/>
    <m/>
    <d v="2023-12-31T00:00:00"/>
    <m/>
  </r>
  <r>
    <n v="14"/>
    <x v="16"/>
    <s v="Car Travel to Site"/>
    <m/>
    <m/>
    <n v="1366.01"/>
    <m/>
    <x v="4"/>
    <x v="1"/>
    <m/>
    <d v="2024-02-08T00:00:00"/>
    <m/>
  </r>
  <r>
    <n v="14"/>
    <x v="16"/>
    <s v="Car Travel to Site"/>
    <m/>
    <m/>
    <n v="679.5"/>
    <m/>
    <x v="5"/>
    <x v="1"/>
    <m/>
    <d v="2024-03-07T00:00:00"/>
    <m/>
  </r>
  <r>
    <n v="14"/>
    <x v="16"/>
    <s v="Car Travel to Site"/>
    <m/>
    <m/>
    <n v="373.65"/>
    <m/>
    <x v="1"/>
    <x v="1"/>
    <m/>
    <d v="2024-04-05T00:00:00"/>
    <m/>
  </r>
  <r>
    <n v="14"/>
    <x v="16"/>
    <s v="Car Travel to Site"/>
    <m/>
    <m/>
    <n v="20535.429999999997"/>
    <m/>
    <x v="6"/>
    <x v="0"/>
    <m/>
    <d v="2024-05-09T00:00:00"/>
    <m/>
  </r>
  <r>
    <n v="14"/>
    <x v="16"/>
    <s v="Car Travel to Site"/>
    <m/>
    <m/>
    <n v="1573.48"/>
    <m/>
    <x v="7"/>
    <x v="0"/>
    <m/>
    <d v="2024-06-06T00:00:00"/>
    <m/>
  </r>
  <r>
    <n v="14"/>
    <x v="16"/>
    <s v="Car Travel to Site"/>
    <m/>
    <m/>
    <n v="1339.72"/>
    <m/>
    <x v="15"/>
    <x v="0"/>
    <m/>
    <d v="2024-07-05T00:00:00"/>
    <m/>
  </r>
  <r>
    <m/>
    <x v="0"/>
    <m/>
    <m/>
    <m/>
    <n v="1250.6600000000001"/>
    <m/>
    <x v="8"/>
    <x v="0"/>
    <m/>
    <d v="2024-08-06T00:00:00"/>
    <m/>
  </r>
  <r>
    <n v="14"/>
    <x v="0"/>
    <m/>
    <m/>
    <m/>
    <n v="1038.6099999999999"/>
    <m/>
    <x v="11"/>
    <x v="1"/>
    <m/>
    <d v="2024-09-05T00:00:00"/>
    <m/>
  </r>
  <r>
    <m/>
    <x v="0"/>
    <m/>
    <m/>
    <m/>
    <m/>
    <m/>
    <x v="0"/>
    <x v="0"/>
    <m/>
    <m/>
    <m/>
  </r>
  <r>
    <n v="15"/>
    <x v="17"/>
    <m/>
    <m/>
    <m/>
    <n v="0"/>
    <m/>
    <x v="0"/>
    <x v="1"/>
    <n v="0"/>
    <m/>
    <n v="0"/>
  </r>
  <r>
    <n v="15"/>
    <x v="0"/>
    <m/>
    <m/>
    <m/>
    <n v="0"/>
    <m/>
    <x v="0"/>
    <x v="1"/>
    <m/>
    <m/>
    <m/>
  </r>
  <r>
    <n v="15"/>
    <x v="0"/>
    <m/>
    <m/>
    <m/>
    <n v="0"/>
    <m/>
    <x v="0"/>
    <x v="1"/>
    <m/>
    <m/>
    <m/>
  </r>
  <r>
    <n v="15"/>
    <x v="0"/>
    <m/>
    <m/>
    <m/>
    <n v="0"/>
    <m/>
    <x v="0"/>
    <x v="1"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4">
  <r>
    <x v="0"/>
    <m/>
    <m/>
    <m/>
    <m/>
    <m/>
    <x v="0"/>
  </r>
  <r>
    <x v="1"/>
    <s v="Jinko 555W "/>
    <n v="638"/>
    <n v="973747.5"/>
    <m/>
    <s v="MENLO DISTRIBUTION INV0001192"/>
    <x v="1"/>
  </r>
  <r>
    <x v="1"/>
    <m/>
    <m/>
    <m/>
    <m/>
    <s v="MENLO DISTRIBUTION INV0001192"/>
    <x v="1"/>
  </r>
  <r>
    <x v="1"/>
    <m/>
    <n v="637"/>
    <m/>
    <n v="1165914.24"/>
    <s v="Jinko: MCSSRJQ3047"/>
    <x v="2"/>
  </r>
  <r>
    <x v="1"/>
    <m/>
    <m/>
    <m/>
    <m/>
    <m/>
    <x v="0"/>
  </r>
  <r>
    <x v="1"/>
    <m/>
    <m/>
    <m/>
    <m/>
    <m/>
    <x v="0"/>
  </r>
  <r>
    <x v="0"/>
    <m/>
    <m/>
    <m/>
    <m/>
    <m/>
    <x v="0"/>
  </r>
  <r>
    <x v="0"/>
    <m/>
    <m/>
    <m/>
    <m/>
    <m/>
    <x v="0"/>
  </r>
  <r>
    <x v="2"/>
    <s v="Kathea- Huawei 100KTL"/>
    <n v="3"/>
    <n v="80833"/>
    <n v="29187.765217391308"/>
    <s v="Kathea Inv 516781"/>
    <x v="3"/>
  </r>
  <r>
    <x v="2"/>
    <s v="Delivery"/>
    <m/>
    <m/>
    <n v="213996.70478260869"/>
    <s v="Kathea Inv 516781"/>
    <x v="3"/>
  </r>
  <r>
    <x v="2"/>
    <m/>
    <m/>
    <m/>
    <m/>
    <m/>
    <x v="1"/>
  </r>
  <r>
    <x v="2"/>
    <m/>
    <m/>
    <m/>
    <m/>
    <m/>
    <x v="0"/>
  </r>
  <r>
    <x v="0"/>
    <m/>
    <m/>
    <m/>
    <m/>
    <m/>
    <x v="0"/>
  </r>
  <r>
    <x v="3"/>
    <s v="Schlette IBR"/>
    <m/>
    <m/>
    <n v="54891"/>
    <s v="Schletter Inv: INV0005"/>
    <x v="4"/>
  </r>
  <r>
    <x v="3"/>
    <m/>
    <m/>
    <m/>
    <m/>
    <m/>
    <x v="0"/>
  </r>
  <r>
    <x v="3"/>
    <s v="Delivery"/>
    <m/>
    <m/>
    <n v="1250"/>
    <s v="Schletter Inv: INV0005"/>
    <x v="4"/>
  </r>
  <r>
    <x v="3"/>
    <s v="Lumax Screws"/>
    <m/>
    <m/>
    <n v="19920"/>
    <s v="Lumax Inv: INV0040280"/>
    <x v="4"/>
  </r>
  <r>
    <x v="3"/>
    <s v="Lumax Screws"/>
    <m/>
    <m/>
    <n v="381"/>
    <s v="Lumax Inv: INV0040623"/>
    <x v="4"/>
  </r>
  <r>
    <x v="3"/>
    <s v="Lumax - Clamps"/>
    <m/>
    <m/>
    <n v="1838"/>
    <s v="lLumax INV0040527"/>
    <x v="4"/>
  </r>
  <r>
    <x v="0"/>
    <m/>
    <m/>
    <m/>
    <m/>
    <m/>
    <x v="0"/>
  </r>
  <r>
    <x v="4"/>
    <s v="DC Cable Red"/>
    <n v="10000"/>
    <n v="14.36"/>
    <n v="143600"/>
    <s v="Rubicon Inv: INVWCRE-0052509"/>
    <x v="4"/>
  </r>
  <r>
    <x v="4"/>
    <s v="DC Cable Black"/>
    <n v="10000"/>
    <n v="14.3"/>
    <n v="143000"/>
    <s v="Rubicon Inv: INVWCRE-0052509"/>
    <x v="4"/>
  </r>
  <r>
    <x v="4"/>
    <s v="Extra DC cable red (Rubicon)"/>
    <n v="2000"/>
    <n v="14.36"/>
    <n v="28720"/>
    <s v="Rubicon : Inv INVWCRE-0052851"/>
    <x v="4"/>
  </r>
  <r>
    <x v="4"/>
    <s v="Extra DC cable black (Rubicon)"/>
    <n v="2000"/>
    <n v="14.3"/>
    <n v="28600"/>
    <s v="Rubicon : Inv INVWCRE-0052851"/>
    <x v="4"/>
  </r>
  <r>
    <x v="4"/>
    <s v="Delivery"/>
    <m/>
    <m/>
    <n v="800"/>
    <s v="Rubicon Inv: INVWCRE-0052509"/>
    <x v="4"/>
  </r>
  <r>
    <x v="4"/>
    <s v="DC Equipment - Deposit"/>
    <n v="0.5"/>
    <n v="133659.15"/>
    <n v="66829.570000000007"/>
    <s v="Cosmic Sun Inv: CS_BMG_001"/>
    <x v="3"/>
  </r>
  <r>
    <x v="4"/>
    <s v="DC Equipment - Onsite"/>
    <n v="0.4"/>
    <m/>
    <n v="53463.66"/>
    <s v="Cosmic Sun Inv: CS_BMG_003"/>
    <x v="5"/>
  </r>
  <r>
    <x v="4"/>
    <s v="DC Equipment - Retention"/>
    <n v="0.1"/>
    <m/>
    <n v="13365.915000000001"/>
    <s v="Cosmic Sun Inv: CS_BMG_006"/>
    <x v="6"/>
  </r>
  <r>
    <x v="0"/>
    <m/>
    <m/>
    <m/>
    <m/>
    <m/>
    <x v="0"/>
  </r>
  <r>
    <x v="5"/>
    <s v="Additional Meter"/>
    <m/>
    <m/>
    <m/>
    <m/>
    <x v="0"/>
  </r>
  <r>
    <x v="5"/>
    <s v="CTs - To be removed (EE Stock 1000A Rogowski Coils with Integrator kit)"/>
    <m/>
    <m/>
    <n v="11604"/>
    <s v="Accuenergy Inv: ASAI-003146"/>
    <x v="7"/>
  </r>
  <r>
    <x v="5"/>
    <s v="CTs - To be removed (EE Stock 1000A Rogowski Coils with Integrator kit)"/>
    <m/>
    <m/>
    <n v="-11604"/>
    <s v="Allocated to Nampak"/>
    <x v="8"/>
  </r>
  <r>
    <x v="5"/>
    <s v="CTs"/>
    <m/>
    <m/>
    <n v="4920"/>
    <s v="Accuenergy Inv: ASAI-002374"/>
    <x v="4"/>
  </r>
  <r>
    <x v="5"/>
    <s v="Ferite Core for Comms Cable"/>
    <m/>
    <m/>
    <n v="125.66"/>
    <s v="Tanaka's Exp Claim"/>
    <x v="6"/>
  </r>
  <r>
    <x v="5"/>
    <s v="techsitter"/>
    <m/>
    <m/>
    <n v="11169"/>
    <s v="Techsitter Inv: MN8940230"/>
    <x v="4"/>
  </r>
  <r>
    <x v="5"/>
    <s v="Network Switch"/>
    <m/>
    <m/>
    <n v="2590"/>
    <s v="Accuenergy Inv: ASAI-002374"/>
    <x v="4"/>
  </r>
  <r>
    <x v="5"/>
    <s v="Delivery"/>
    <m/>
    <m/>
    <n v="150"/>
    <s v="Accuenergy Inv: ASAI-002374"/>
    <x v="4"/>
  </r>
  <r>
    <x v="5"/>
    <s v="Elum Controller- Krannich order "/>
    <m/>
    <m/>
    <n v="403848.42"/>
    <s v="Krannich Inv: 15-10009002"/>
    <x v="6"/>
  </r>
  <r>
    <x v="5"/>
    <s v="Power Supply"/>
    <m/>
    <m/>
    <n v="2388"/>
    <s v="Mantech Inv: SOR947028"/>
    <x v="3"/>
  </r>
  <r>
    <x v="5"/>
    <s v="Additional Meter"/>
    <m/>
    <m/>
    <m/>
    <m/>
    <x v="9"/>
  </r>
  <r>
    <x v="5"/>
    <s v="Additional CTs and Meter - AccuEnergy"/>
    <m/>
    <m/>
    <n v="7080"/>
    <s v="Accuenergy Inv: ASAI-006969"/>
    <x v="10"/>
  </r>
  <r>
    <x v="5"/>
    <s v="Meter"/>
    <m/>
    <m/>
    <n v="5782.43"/>
    <s v="Allocated from Stock"/>
    <x v="11"/>
  </r>
  <r>
    <x v="0"/>
    <m/>
    <m/>
    <m/>
    <m/>
    <m/>
    <x v="0"/>
  </r>
  <r>
    <x v="6"/>
    <s v="AC Equipment Deposit"/>
    <n v="0.5"/>
    <n v="883467.09999999986"/>
    <n v="441733.54999999993"/>
    <s v="Matthews Group: INV-1144"/>
    <x v="3"/>
  </r>
  <r>
    <x v="6"/>
    <s v="AC Equipment On site"/>
    <n v="0.4"/>
    <m/>
    <n v="353386.83999999997"/>
    <s v="Matthews Group: INV-1167"/>
    <x v="1"/>
  </r>
  <r>
    <x v="6"/>
    <s v="Retention"/>
    <n v="0.1"/>
    <m/>
    <n v="88346.709999999992"/>
    <s v="Matthews Group: INV-1293"/>
    <x v="8"/>
  </r>
  <r>
    <x v="6"/>
    <s v="AC Board Deposit"/>
    <m/>
    <n v="302612.75"/>
    <n v="151306.375"/>
    <s v="Matthews Group: INV-1144"/>
    <x v="3"/>
  </r>
  <r>
    <x v="6"/>
    <s v="AC Board Balance"/>
    <m/>
    <m/>
    <n v="151306.375"/>
    <s v="Matthews Group: INV-1167"/>
    <x v="1"/>
  </r>
  <r>
    <x v="6"/>
    <s v="DC Busbar - Removed Cost"/>
    <m/>
    <m/>
    <m/>
    <m/>
    <x v="0"/>
  </r>
  <r>
    <x v="0"/>
    <m/>
    <m/>
    <m/>
    <m/>
    <m/>
    <x v="0"/>
  </r>
  <r>
    <x v="7"/>
    <s v="Freedom Won Battery 300/240kWh HV"/>
    <n v="6"/>
    <n v="1391200"/>
    <n v="869565.21739130444"/>
    <s v="Herholdt's Inv: INV720872"/>
    <x v="12"/>
  </r>
  <r>
    <x v="7"/>
    <s v="Freedom Won Battery 300/240kWh HV"/>
    <m/>
    <m/>
    <n v="2012954.7826086958"/>
    <s v="Herholdt's Inv: INV720872"/>
    <x v="12"/>
  </r>
  <r>
    <x v="7"/>
    <s v="Freedom Won Battery 300/240kWh HV"/>
    <m/>
    <m/>
    <n v="434782.60869565222"/>
    <s v="Herholdt's Inv: INV720872"/>
    <x v="12"/>
  </r>
  <r>
    <x v="7"/>
    <s v="Freedom Won Battery 300/240kWh HV"/>
    <m/>
    <m/>
    <n v="3826086.9565217393"/>
    <s v="Herholdt's Inv: INV720872"/>
    <x v="12"/>
  </r>
  <r>
    <x v="7"/>
    <s v="Freedom Won Battery 300/240kWh HV"/>
    <m/>
    <m/>
    <n v="1203810.4347826084"/>
    <s v="Herholdt's Inv: INV720872"/>
    <x v="12"/>
  </r>
  <r>
    <x v="7"/>
    <s v="Atess-PCS630"/>
    <m/>
    <m/>
    <n v="545000"/>
    <s v="Herholdt's Inv: INV720872"/>
    <x v="12"/>
  </r>
  <r>
    <x v="7"/>
    <s v="Atess 630kW Bypass Cabinet"/>
    <m/>
    <m/>
    <n v="380800"/>
    <s v="Herholdt's Inv: INV720872"/>
    <x v="12"/>
  </r>
  <r>
    <x v="7"/>
    <s v="Atess 630kW Isolation Transformer"/>
    <m/>
    <m/>
    <n v="311600"/>
    <s v="Herholdt's Inv: INV720872"/>
    <x v="12"/>
  </r>
  <r>
    <x v="7"/>
    <s v="Atess Enerlog Monitoring Module"/>
    <m/>
    <m/>
    <n v="11900"/>
    <s v="Herholdt's Inv: INV720872"/>
    <x v="12"/>
  </r>
  <r>
    <x v="7"/>
    <s v="Atess Enerlog Monitoring Module - Credit"/>
    <m/>
    <m/>
    <n v="-10710"/>
    <s v="Herholdt's CN070484"/>
    <x v="3"/>
  </r>
  <r>
    <x v="7"/>
    <s v="Atess PV Combiner Box 16 Input 1 Output"/>
    <m/>
    <m/>
    <n v="11900"/>
    <s v="Herholdt's Inv: INV720872"/>
    <x v="12"/>
  </r>
  <r>
    <x v="7"/>
    <s v="Atess PV Combiner Box 16 Input 1 Output - Credit"/>
    <m/>
    <m/>
    <n v="-10710"/>
    <s v="Herholdt's CN070484"/>
    <x v="3"/>
  </r>
  <r>
    <x v="7"/>
    <m/>
    <m/>
    <m/>
    <m/>
    <m/>
    <x v="0"/>
  </r>
  <r>
    <x v="7"/>
    <s v="Data Guru (Cost removed) "/>
    <m/>
    <m/>
    <m/>
    <m/>
    <x v="0"/>
  </r>
  <r>
    <x v="7"/>
    <s v="Delivery And Rigging"/>
    <m/>
    <m/>
    <n v="31192"/>
    <s v="E&amp;M Plant Inv: IN111028"/>
    <x v="3"/>
  </r>
  <r>
    <x v="7"/>
    <s v="Safety File"/>
    <m/>
    <m/>
    <n v="3000"/>
    <s v="E&amp;M Plant Inv: IN111028"/>
    <x v="3"/>
  </r>
  <r>
    <x v="7"/>
    <s v="Delivery And Rigging - Additional cost"/>
    <m/>
    <m/>
    <n v="15100"/>
    <s v="E&amp;M Plant Inv: IN111062"/>
    <x v="3"/>
  </r>
  <r>
    <x v="7"/>
    <s v="Delivery And Rigging - Additional cost"/>
    <m/>
    <m/>
    <n v="-7550"/>
    <s v="E&amp;M Plant Credit Note: IC100085"/>
    <x v="3"/>
  </r>
  <r>
    <x v="7"/>
    <s v="Rigging - shift batteries to install battery cable"/>
    <m/>
    <m/>
    <n v="55500"/>
    <s v="E&amp;M Plant  - Inv IO103047"/>
    <x v="6"/>
  </r>
  <r>
    <x v="7"/>
    <m/>
    <m/>
    <m/>
    <m/>
    <m/>
    <x v="0"/>
  </r>
  <r>
    <x v="0"/>
    <m/>
    <m/>
    <m/>
    <m/>
    <m/>
    <x v="0"/>
  </r>
  <r>
    <x v="8"/>
    <s v="AC Tie-in breaker"/>
    <m/>
    <m/>
    <n v="32856.480000000003"/>
    <s v="MG INV-1232"/>
    <x v="7"/>
  </r>
  <r>
    <x v="8"/>
    <s v="Trenching - Deposit"/>
    <m/>
    <m/>
    <n v="16045.8"/>
    <s v="Mkholo Inv: MP /EE/150124"/>
    <x v="4"/>
  </r>
  <r>
    <x v="8"/>
    <s v="Trenching - Balance"/>
    <m/>
    <m/>
    <n v="15045.8"/>
    <s v="Mkholo Inv: MP /EE/260224"/>
    <x v="5"/>
  </r>
  <r>
    <x v="8"/>
    <s v="Ring Cores"/>
    <m/>
    <m/>
    <n v="267.14999999999998"/>
    <s v="Tanaka's Exp Claim"/>
    <x v="7"/>
  </r>
  <r>
    <x v="8"/>
    <s v="Steel Covers"/>
    <m/>
    <m/>
    <n v="21890"/>
    <s v="Mkholo Projects: InvMP/EE?240724"/>
    <x v="8"/>
  </r>
  <r>
    <x v="8"/>
    <s v="Re-Routing of cables"/>
    <n v="0.5"/>
    <n v="202189.4"/>
    <n v="101094.7"/>
    <s v="MG INV-1291"/>
    <x v="8"/>
  </r>
  <r>
    <x v="8"/>
    <s v="Re-Routing of cables"/>
    <n v="0.5"/>
    <m/>
    <n v="101094.7"/>
    <s v="MG INV-1291"/>
    <x v="8"/>
  </r>
  <r>
    <x v="8"/>
    <s v="Repairs on steel covers"/>
    <m/>
    <m/>
    <m/>
    <m/>
    <x v="0"/>
  </r>
  <r>
    <x v="8"/>
    <s v="Man Hole"/>
    <m/>
    <m/>
    <n v="2800"/>
    <s v="Mkholo Inv: MP/EE/080424 "/>
    <x v="6"/>
  </r>
  <r>
    <x v="0"/>
    <m/>
    <m/>
    <m/>
    <m/>
    <m/>
    <x v="0"/>
  </r>
  <r>
    <x v="9"/>
    <s v="Deposit"/>
    <n v="0.25"/>
    <m/>
    <n v="16138.3"/>
    <s v="Matthews Group Inv: 1144"/>
    <x v="3"/>
  </r>
  <r>
    <x v="9"/>
    <s v="AC Tie-in"/>
    <n v="0.25"/>
    <m/>
    <n v="16138.3"/>
    <s v="Matthews Group Inv 1238"/>
    <x v="7"/>
  </r>
  <r>
    <x v="9"/>
    <s v="Practical Completion"/>
    <n v="0.25"/>
    <m/>
    <n v="16138.3"/>
    <s v="Matthews Group Inv 1279"/>
    <x v="8"/>
  </r>
  <r>
    <x v="9"/>
    <s v="Retention"/>
    <n v="0.25"/>
    <m/>
    <n v="16138.3"/>
    <s v="Matthews Group: INV-1293"/>
    <x v="8"/>
  </r>
  <r>
    <x v="10"/>
    <s v="Deposit"/>
    <n v="0.25"/>
    <m/>
    <n v="47500"/>
    <s v="Cosmic Sun Inv: CS_BMG_001"/>
    <x v="3"/>
  </r>
  <r>
    <x v="10"/>
    <s v="MS Complete"/>
    <n v="0.25"/>
    <m/>
    <n v="47500"/>
    <s v="Cosmic Sun Inv: CS_BMG_002"/>
    <x v="1"/>
  </r>
  <r>
    <x v="10"/>
    <s v="Panels Complete"/>
    <n v="0.25"/>
    <m/>
    <n v="47500"/>
    <s v=" Cosmic Sun Inv. CS_BMG_005"/>
    <x v="1"/>
  </r>
  <r>
    <x v="10"/>
    <s v="Retention"/>
    <n v="0.25"/>
    <m/>
    <n v="47500"/>
    <s v="Cosmic Sun Inv. CS_BMG_006"/>
    <x v="6"/>
  </r>
  <r>
    <x v="0"/>
    <m/>
    <m/>
    <m/>
    <m/>
    <m/>
    <x v="0"/>
  </r>
  <r>
    <x v="11"/>
    <s v="Logistics Deposit"/>
    <n v="0.5"/>
    <n v="16720"/>
    <n v="8360"/>
    <s v="Matthews Group Inv: 1144"/>
    <x v="3"/>
  </r>
  <r>
    <x v="11"/>
    <s v="Logistics - Equipment Onsite"/>
    <n v="0.4"/>
    <m/>
    <n v="6688"/>
    <s v="Matthews Group Inv: 1167"/>
    <x v="1"/>
  </r>
  <r>
    <x v="11"/>
    <s v="Logistics - Retention"/>
    <n v="0.1"/>
    <m/>
    <n v="1672"/>
    <s v="Matthews Group: INV-1293"/>
    <x v="8"/>
  </r>
  <r>
    <x v="0"/>
    <m/>
    <m/>
    <m/>
    <m/>
    <m/>
    <x v="0"/>
  </r>
  <r>
    <x v="12"/>
    <s v="Logistics Deposit"/>
    <n v="0.5"/>
    <n v="126594.22"/>
    <n v="63297.11"/>
    <s v="Cosmic Sun Inv: CS_BMG_001"/>
    <x v="3"/>
  </r>
  <r>
    <x v="12"/>
    <s v="Logistics - Equipment Onsite"/>
    <n v="0.4"/>
    <m/>
    <n v="50637.688000000002"/>
    <s v="Cosmic Sun Inv: CS_BMG_004"/>
    <x v="1"/>
  </r>
  <r>
    <x v="12"/>
    <s v="Logistics - Retention"/>
    <n v="0.1"/>
    <m/>
    <n v="12659.422"/>
    <s v="Cosmic Sun Inv. CS_BMG_006"/>
    <x v="6"/>
  </r>
  <r>
    <x v="0"/>
    <m/>
    <m/>
    <m/>
    <m/>
    <m/>
    <x v="0"/>
  </r>
  <r>
    <x v="0"/>
    <m/>
    <m/>
    <m/>
    <m/>
    <m/>
    <x v="0"/>
  </r>
  <r>
    <x v="13"/>
    <s v="Structural sign off"/>
    <m/>
    <m/>
    <n v="5500"/>
    <s v="L&amp;B INV-1448"/>
    <x v="13"/>
  </r>
  <r>
    <x v="13"/>
    <s v="Electrical Sign off"/>
    <m/>
    <m/>
    <n v="6183.16"/>
    <s v="MJ Bleloch Inv: 1216"/>
    <x v="7"/>
  </r>
  <r>
    <x v="0"/>
    <m/>
    <m/>
    <m/>
    <m/>
    <m/>
    <x v="0"/>
  </r>
  <r>
    <x v="0"/>
    <m/>
    <m/>
    <m/>
    <m/>
    <m/>
    <x v="0"/>
  </r>
  <r>
    <x v="0"/>
    <m/>
    <m/>
    <m/>
    <m/>
    <m/>
    <x v="0"/>
  </r>
  <r>
    <x v="0"/>
    <m/>
    <m/>
    <m/>
    <m/>
    <m/>
    <x v="0"/>
  </r>
  <r>
    <x v="14"/>
    <m/>
    <m/>
    <m/>
    <n v="0"/>
    <m/>
    <x v="0"/>
  </r>
  <r>
    <x v="0"/>
    <m/>
    <m/>
    <m/>
    <m/>
    <m/>
    <x v="0"/>
  </r>
  <r>
    <x v="15"/>
    <s v="Matriarch Defects Period - 1% because of battery cost"/>
    <m/>
    <m/>
    <n v="149530.883"/>
    <s v="MATRIARCH INV-2441"/>
    <x v="6"/>
  </r>
  <r>
    <x v="15"/>
    <s v="EPC Cost"/>
    <m/>
    <m/>
    <n v="3761.29"/>
    <m/>
    <x v="2"/>
  </r>
  <r>
    <x v="15"/>
    <s v="EPC Cost"/>
    <m/>
    <m/>
    <n v="0"/>
    <m/>
    <x v="14"/>
  </r>
  <r>
    <x v="15"/>
    <s v="EPC Cost"/>
    <m/>
    <m/>
    <n v="0"/>
    <m/>
    <x v="13"/>
  </r>
  <r>
    <x v="15"/>
    <s v="EPC Cost"/>
    <m/>
    <m/>
    <n v="0"/>
    <m/>
    <x v="12"/>
  </r>
  <r>
    <x v="15"/>
    <s v="EPC Cost"/>
    <m/>
    <m/>
    <n v="0"/>
    <m/>
    <x v="3"/>
  </r>
  <r>
    <x v="15"/>
    <s v="EPC Cost"/>
    <m/>
    <m/>
    <n v="756.24"/>
    <m/>
    <x v="4"/>
  </r>
  <r>
    <x v="0"/>
    <m/>
    <m/>
    <m/>
    <m/>
    <m/>
    <x v="0"/>
  </r>
  <r>
    <x v="0"/>
    <m/>
    <m/>
    <m/>
    <m/>
    <m/>
    <x v="0"/>
  </r>
  <r>
    <x v="16"/>
    <s v="Car Travel to Site"/>
    <m/>
    <m/>
    <n v="2086.0700000000279"/>
    <m/>
    <x v="2"/>
  </r>
  <r>
    <x v="16"/>
    <s v="Car Travel to Site"/>
    <m/>
    <m/>
    <n v="0"/>
    <m/>
    <x v="14"/>
  </r>
  <r>
    <x v="16"/>
    <s v="Car Travel to Site"/>
    <m/>
    <m/>
    <n v="151"/>
    <m/>
    <x v="13"/>
  </r>
  <r>
    <x v="16"/>
    <s v="Car Travel to Site"/>
    <m/>
    <m/>
    <n v="0"/>
    <m/>
    <x v="12"/>
  </r>
  <r>
    <x v="16"/>
    <s v="Car Travel to Site"/>
    <m/>
    <m/>
    <n v="2774.58"/>
    <m/>
    <x v="3"/>
  </r>
  <r>
    <x v="16"/>
    <s v="Car Travel to Site"/>
    <m/>
    <m/>
    <n v="1366.01"/>
    <m/>
    <x v="4"/>
  </r>
  <r>
    <x v="16"/>
    <s v="Car Travel to Site"/>
    <m/>
    <m/>
    <n v="679.5"/>
    <m/>
    <x v="5"/>
  </r>
  <r>
    <x v="16"/>
    <s v="Car Travel to Site"/>
    <m/>
    <m/>
    <n v="373.65"/>
    <m/>
    <x v="1"/>
  </r>
  <r>
    <x v="16"/>
    <s v="Car Travel to Site"/>
    <m/>
    <m/>
    <n v="20535.429999999997"/>
    <m/>
    <x v="6"/>
  </r>
  <r>
    <x v="16"/>
    <s v="Car Travel to Site"/>
    <m/>
    <m/>
    <n v="1573.48"/>
    <m/>
    <x v="7"/>
  </r>
  <r>
    <x v="16"/>
    <s v="Car Travel to Site"/>
    <m/>
    <m/>
    <n v="1339.72"/>
    <m/>
    <x v="15"/>
  </r>
  <r>
    <x v="0"/>
    <m/>
    <m/>
    <m/>
    <n v="1250.6600000000001"/>
    <m/>
    <x v="8"/>
  </r>
  <r>
    <x v="0"/>
    <m/>
    <m/>
    <m/>
    <n v="1038.6099999999999"/>
    <m/>
    <x v="11"/>
  </r>
  <r>
    <x v="0"/>
    <m/>
    <m/>
    <m/>
    <m/>
    <m/>
    <x v="0"/>
  </r>
  <r>
    <x v="17"/>
    <m/>
    <m/>
    <m/>
    <n v="0"/>
    <m/>
    <x v="0"/>
  </r>
  <r>
    <x v="0"/>
    <m/>
    <m/>
    <m/>
    <n v="0"/>
    <m/>
    <x v="0"/>
  </r>
  <r>
    <x v="0"/>
    <m/>
    <m/>
    <m/>
    <n v="0"/>
    <m/>
    <x v="0"/>
  </r>
  <r>
    <x v="0"/>
    <m/>
    <m/>
    <m/>
    <n v="0"/>
    <m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A20F8E4-3A19-4365-88C6-D03ECBEEDB74}" name="PivotTable1" cacheId="2" applyNumberFormats="0" applyBorderFormats="0" applyFontFormats="0" applyPatternFormats="0" applyAlignmentFormats="0" applyWidthHeightFormats="1" dataCaption="Values" updatedVersion="8" minRefreshableVersion="3" showDrill="0" useAutoFormatting="1" itemPrintTitles="1" createdVersion="8" indent="0" showHeaders="0" outline="1" outlineData="1" multipleFieldFilters="0">
  <location ref="A3:R23" firstHeaderRow="1" firstDataRow="2" firstDataCol="1" rowPageCount="1" colPageCount="1"/>
  <pivotFields count="15">
    <pivotField showAll="0"/>
    <pivotField axis="axisRow" showAll="0">
      <items count="31">
        <item m="1" x="23"/>
        <item m="1" x="27"/>
        <item m="1" x="28"/>
        <item m="1" x="29"/>
        <item m="1" x="26"/>
        <item x="0"/>
        <item m="1" x="21"/>
        <item m="1" x="22"/>
        <item m="1" x="24"/>
        <item m="1" x="25"/>
        <item x="1"/>
        <item x="2"/>
        <item x="3"/>
        <item x="4"/>
        <item x="5"/>
        <item x="6"/>
        <item x="7"/>
        <item x="8"/>
        <item x="13"/>
        <item x="14"/>
        <item x="15"/>
        <item x="16"/>
        <item x="17"/>
        <item m="1" x="20"/>
        <item m="1" x="19"/>
        <item x="11"/>
        <item x="12"/>
        <item m="1" x="18"/>
        <item x="9"/>
        <item x="10"/>
        <item t="default"/>
      </items>
    </pivotField>
    <pivotField showAll="0"/>
    <pivotField showAll="0"/>
    <pivotField showAll="0"/>
    <pivotField showAll="0"/>
    <pivotField showAll="0"/>
    <pivotField axis="axisCol" showAll="0">
      <items count="18">
        <item x="2"/>
        <item x="14"/>
        <item x="13"/>
        <item x="12"/>
        <item x="3"/>
        <item x="4"/>
        <item x="5"/>
        <item x="1"/>
        <item x="6"/>
        <item x="7"/>
        <item x="0"/>
        <item x="15"/>
        <item x="8"/>
        <item x="11"/>
        <item m="1" x="16"/>
        <item x="9"/>
        <item x="10"/>
        <item t="default"/>
      </items>
    </pivotField>
    <pivotField axis="axisPage" dataField="1" multipleItemSelectionAllowed="1" showAll="0">
      <items count="250">
        <item x="1"/>
        <item m="1" x="223"/>
        <item m="1" x="228"/>
        <item m="1" x="248"/>
        <item m="1" x="233"/>
        <item m="1" x="237"/>
        <item m="1" x="235"/>
        <item m="1" x="230"/>
        <item m="1" x="225"/>
        <item m="1" x="234"/>
        <item m="1" x="243"/>
        <item m="1" x="232"/>
        <item m="1" x="245"/>
        <item m="1" x="242"/>
        <item m="1" x="236"/>
        <item m="1" x="246"/>
        <item m="1" x="221"/>
        <item m="1" x="240"/>
        <item m="1" x="231"/>
        <item m="1" x="247"/>
        <item m="1" x="241"/>
        <item m="1" x="227"/>
        <item m="1" x="226"/>
        <item m="1" x="239"/>
        <item m="1" x="224"/>
        <item m="1" x="244"/>
        <item m="1" x="222"/>
        <item m="1" x="238"/>
        <item m="1" x="229"/>
        <item m="1" x="220"/>
        <item x="0"/>
        <item m="1" x="70"/>
        <item m="1" x="72"/>
        <item m="1" x="172"/>
        <item m="1" x="173"/>
        <item m="1" x="149"/>
        <item m="1" x="150"/>
        <item m="1" x="174"/>
        <item m="1" x="175"/>
        <item m="1" x="204"/>
        <item m="1" x="205"/>
        <item m="1" x="206"/>
        <item m="1" x="207"/>
        <item m="1" x="208"/>
        <item m="1" x="209"/>
        <item m="1" x="210"/>
        <item m="1" x="211"/>
        <item m="1" x="212"/>
        <item m="1" x="213"/>
        <item m="1" x="155"/>
        <item m="1" x="156"/>
        <item m="1" x="157"/>
        <item m="1" x="214"/>
        <item m="1" x="190"/>
        <item m="1" x="191"/>
        <item m="1" x="192"/>
        <item m="1" x="193"/>
        <item m="1" x="194"/>
        <item m="1" x="195"/>
        <item m="1" x="196"/>
        <item m="1" x="197"/>
        <item m="1" x="198"/>
        <item m="1" x="199"/>
        <item m="1" x="200"/>
        <item m="1" x="215"/>
        <item m="1" x="216"/>
        <item m="1" x="217"/>
        <item m="1" x="218"/>
        <item m="1" x="219"/>
        <item x="4"/>
        <item m="1" x="201"/>
        <item x="54"/>
        <item m="1" x="202"/>
        <item x="56"/>
        <item m="1" x="203"/>
        <item m="1" x="176"/>
        <item m="1" x="177"/>
        <item m="1" x="178"/>
        <item m="1" x="179"/>
        <item m="1" x="180"/>
        <item m="1" x="181"/>
        <item m="1" x="182"/>
        <item m="1" x="183"/>
        <item m="1" x="184"/>
        <item m="1" x="185"/>
        <item m="1" x="186"/>
        <item m="1" x="187"/>
        <item m="1" x="188"/>
        <item m="1" x="189"/>
        <item x="51"/>
        <item m="1" x="64"/>
        <item m="1" x="146"/>
        <item m="1" x="147"/>
        <item x="57"/>
        <item m="1" x="148"/>
        <item m="1" x="77"/>
        <item m="1" x="78"/>
        <item m="1" x="131"/>
        <item m="1" x="132"/>
        <item m="1" x="133"/>
        <item m="1" x="134"/>
        <item m="1" x="135"/>
        <item m="1" x="136"/>
        <item m="1" x="137"/>
        <item m="1" x="151"/>
        <item m="1" x="152"/>
        <item m="1" x="153"/>
        <item m="1" x="154"/>
        <item m="1" x="158"/>
        <item m="1" x="159"/>
        <item m="1" x="160"/>
        <item m="1" x="161"/>
        <item m="1" x="162"/>
        <item m="1" x="163"/>
        <item m="1" x="164"/>
        <item m="1" x="165"/>
        <item m="1" x="166"/>
        <item m="1" x="167"/>
        <item m="1" x="168"/>
        <item m="1" x="169"/>
        <item m="1" x="170"/>
        <item m="1" x="171"/>
        <item x="45"/>
        <item x="46"/>
        <item x="47"/>
        <item x="48"/>
        <item x="49"/>
        <item x="50"/>
        <item x="3"/>
        <item m="1" x="138"/>
        <item m="1" x="139"/>
        <item m="1" x="140"/>
        <item m="1" x="141"/>
        <item m="1" x="124"/>
        <item m="1" x="125"/>
        <item m="1" x="126"/>
        <item m="1" x="128"/>
        <item x="29"/>
        <item x="30"/>
        <item x="31"/>
        <item x="32"/>
        <item x="33"/>
        <item x="34"/>
        <item x="35"/>
        <item x="36"/>
        <item x="37"/>
        <item m="1" x="142"/>
        <item m="1" x="143"/>
        <item m="1" x="144"/>
        <item m="1" x="145"/>
        <item x="43"/>
        <item x="44"/>
        <item m="1" x="113"/>
        <item m="1" x="114"/>
        <item m="1" x="115"/>
        <item m="1" x="116"/>
        <item m="1" x="117"/>
        <item m="1" x="118"/>
        <item m="1" x="119"/>
        <item m="1" x="120"/>
        <item m="1" x="121"/>
        <item m="1" x="122"/>
        <item m="1" x="123"/>
        <item m="1" x="104"/>
        <item m="1" x="105"/>
        <item m="1" x="106"/>
        <item m="1" x="107"/>
        <item m="1" x="108"/>
        <item x="24"/>
        <item m="1" x="127"/>
        <item x="38"/>
        <item m="1" x="75"/>
        <item x="39"/>
        <item x="40"/>
        <item m="1" x="129"/>
        <item m="1" x="130"/>
        <item m="1" x="87"/>
        <item m="1" x="88"/>
        <item m="1" x="89"/>
        <item m="1" x="90"/>
        <item m="1" x="99"/>
        <item m="1" x="100"/>
        <item m="1" x="101"/>
        <item x="15"/>
        <item m="1" x="102"/>
        <item m="1" x="103"/>
        <item x="25"/>
        <item x="26"/>
        <item x="27"/>
        <item x="28"/>
        <item x="41"/>
        <item m="1" x="81"/>
        <item m="1" x="98"/>
        <item m="1" x="111"/>
        <item m="1" x="112"/>
        <item m="1" x="109"/>
        <item m="1" x="110"/>
        <item x="58"/>
        <item x="10"/>
        <item x="11"/>
        <item x="12"/>
        <item x="13"/>
        <item x="14"/>
        <item x="16"/>
        <item m="1" x="91"/>
        <item m="1" x="92"/>
        <item m="1" x="93"/>
        <item m="1" x="94"/>
        <item m="1" x="95"/>
        <item m="1" x="96"/>
        <item m="1" x="97"/>
        <item x="5"/>
        <item x="6"/>
        <item x="7"/>
        <item x="8"/>
        <item x="9"/>
        <item x="17"/>
        <item m="1" x="83"/>
        <item x="19"/>
        <item m="1" x="84"/>
        <item x="20"/>
        <item x="21"/>
        <item x="22"/>
        <item m="1" x="85"/>
        <item m="1" x="86"/>
        <item x="55"/>
        <item m="1" x="76"/>
        <item m="1" x="79"/>
        <item m="1" x="82"/>
        <item m="1" x="80"/>
        <item m="1" x="74"/>
        <item m="1" x="73"/>
        <item m="1" x="71"/>
        <item m="1" x="69"/>
        <item m="1" x="66"/>
        <item x="53"/>
        <item x="2"/>
        <item m="1" x="67"/>
        <item m="1" x="68"/>
        <item x="23"/>
        <item m="1" x="65"/>
        <item m="1" x="63"/>
        <item x="42"/>
        <item m="1" x="59"/>
        <item m="1" x="60"/>
        <item m="1" x="62"/>
        <item m="1" x="61"/>
        <item x="18"/>
        <item x="52"/>
        <item t="default"/>
      </items>
    </pivotField>
    <pivotField showAll="0"/>
    <pivotField showAll="0"/>
    <pivotField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1"/>
        <item sd="0" x="2"/>
        <item sd="0" x="3"/>
        <item sd="0" x="4"/>
        <item x="0"/>
        <item x="5"/>
        <item t="default"/>
      </items>
    </pivotField>
    <pivotField showAll="0">
      <items count="6">
        <item sd="0" x="1"/>
        <item sd="0" x="2"/>
        <item x="3"/>
        <item x="0"/>
        <item x="4"/>
        <item t="default"/>
      </items>
    </pivotField>
  </pivotFields>
  <rowFields count="1">
    <field x="1"/>
  </rowFields>
  <rowItems count="19">
    <i>
      <x v="5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5"/>
    </i>
    <i>
      <x v="26"/>
    </i>
    <i>
      <x v="28"/>
    </i>
    <i>
      <x v="29"/>
    </i>
    <i t="grand">
      <x/>
    </i>
  </rowItems>
  <colFields count="1">
    <field x="7"/>
  </colFields>
  <col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colItems>
  <pageFields count="1">
    <pageField fld="8" hier="-1"/>
  </pageFields>
  <dataFields count="1">
    <dataField name="Sum of REVENUE RECOGNITION AMOUNT" fld="8" baseField="1" baseItem="2" numFmtId="16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2EABF72-E915-43CE-AD2C-5CEB71AE2C4D}" name="PivotTable3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R23" firstHeaderRow="1" firstDataRow="2" firstDataCol="1"/>
  <pivotFields count="7">
    <pivotField axis="axisRow" showAll="0" sortType="ascending">
      <items count="22">
        <item m="1" x="18"/>
        <item m="1" x="20"/>
        <item m="1" x="19"/>
        <item x="1"/>
        <item x="11"/>
        <item x="12"/>
        <item x="13"/>
        <item x="14"/>
        <item x="15"/>
        <item x="16"/>
        <item x="17"/>
        <item x="2"/>
        <item x="3"/>
        <item x="4"/>
        <item x="5"/>
        <item x="6"/>
        <item x="7"/>
        <item x="8"/>
        <item x="9"/>
        <item x="10"/>
        <item x="0"/>
        <item t="default"/>
      </items>
    </pivotField>
    <pivotField showAll="0"/>
    <pivotField showAll="0"/>
    <pivotField showAll="0"/>
    <pivotField dataField="1" showAll="0"/>
    <pivotField showAll="0"/>
    <pivotField axis="axisCol" showAll="0">
      <items count="36">
        <item m="1" x="34"/>
        <item m="1" x="21"/>
        <item x="2"/>
        <item x="14"/>
        <item x="13"/>
        <item x="12"/>
        <item x="3"/>
        <item x="4"/>
        <item x="5"/>
        <item x="1"/>
        <item x="6"/>
        <item m="1" x="23"/>
        <item m="1" x="24"/>
        <item m="1" x="32"/>
        <item m="1" x="26"/>
        <item m="1" x="30"/>
        <item m="1" x="33"/>
        <item m="1" x="29"/>
        <item m="1" x="27"/>
        <item m="1" x="25"/>
        <item m="1" x="31"/>
        <item m="1" x="28"/>
        <item m="1" x="22"/>
        <item x="7"/>
        <item x="0"/>
        <item m="1" x="19"/>
        <item m="1" x="20"/>
        <item m="1" x="18"/>
        <item m="1" x="17"/>
        <item x="15"/>
        <item x="8"/>
        <item x="11"/>
        <item m="1" x="16"/>
        <item x="9"/>
        <item x="10"/>
        <item t="default"/>
      </items>
    </pivotField>
  </pivotFields>
  <rowFields count="1">
    <field x="0"/>
  </rowFields>
  <rowItems count="19"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 t="grand">
      <x/>
    </i>
  </rowItems>
  <colFields count="1">
    <field x="6"/>
  </colFields>
  <colItems count="17"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23"/>
    </i>
    <i>
      <x v="24"/>
    </i>
    <i>
      <x v="29"/>
    </i>
    <i>
      <x v="30"/>
    </i>
    <i>
      <x v="31"/>
    </i>
    <i>
      <x v="33"/>
    </i>
    <i>
      <x v="34"/>
    </i>
    <i t="grand">
      <x/>
    </i>
  </colItems>
  <dataFields count="1">
    <dataField name="Sum of Actual Total " fld="4" baseField="0" baseItem="0" numFmtId="167"/>
  </dataFields>
  <formats count="1">
    <format dxfId="44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2" dT="2019-03-06T09:35:04.16" personId="{7B8B029F-64E7-4507-A36C-04BD7D968E99}" id="{ACD0AC85-B696-4AFA-9C70-C8E1E05314A3}">
    <text>These will calculate based on the start date and duration of the event</text>
  </threadedComment>
  <threadedComment ref="F2" dT="2019-03-06T09:34:48.80" personId="{7B8B029F-64E7-4507-A36C-04BD7D968E99}" id="{6CDF4260-BB7D-4039-A29B-37CEA0EA0DF0}">
    <text>To be entered manually during the course of the project</text>
  </threadedComment>
  <threadedComment ref="I2" dT="2019-03-06T09:35:15.06" personId="{7B8B029F-64E7-4507-A36C-04BD7D968E99}" id="{F221F682-80F5-4FD7-BC01-D23550B85EA0}">
    <text>To be entered manually</text>
  </threadedComment>
  <threadedComment ref="B23" dT="2019-07-03T08:42:09.33" personId="{7B8B029F-64E7-4507-A36C-04BD7D968E99}" id="{777036CD-363B-462E-92F5-64242AA93040}">
    <text>The AC tie-in and Monitoring Platform installation must be completed wihin 7 days of project start date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K52" dT="2024-07-04T13:12:54.26" personId="{DBD570B5-F21A-41B6-B1DA-E30111892040}" id="{94873E54-D33B-42F8-8D26-9B248381CBA6}">
    <text>@Kholisa Nyengane are the dates still correct after the meeting with BMG?</text>
    <mentions>
      <mention mentionpersonId="{088166F8-6D5F-4CF7-85B9-9677329AD4C0}" mentionId="{655B2229-E357-4CC7-A914-D13ED17F27EB}" startIndex="0" length="17"/>
    </mentions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R35" dT="2024-06-07T10:45:10.22" personId="{F24295AA-AEC1-4DC2-91CC-3D22191AE3AA}" id="{332077BD-6FB2-4A66-B674-13BF36CA8DF2}">
    <text>This will be removed. CTs will be allocated to another site.</text>
  </threadedComment>
  <threadedComment ref="R35" dT="2024-07-04T13:09:46.87" personId="{DBD570B5-F21A-41B6-B1DA-E30111892040}" id="{A4F0310F-8918-4790-A9E9-99EFCED96A08}" parentId="{332077BD-6FB2-4A66-B674-13BF36CA8DF2}">
    <text xml:space="preserve">@Kholisa Nyengane, please give a description of the CTs. Split Core/Rogowski etc.
</text>
    <mentions>
      <mention mentionpersonId="{088166F8-6D5F-4CF7-85B9-9677329AD4C0}" mentionId="{4723D791-40C4-490B-97C6-D88538905F91}" startIndex="0" length="17"/>
    </mentions>
  </threadedComment>
  <threadedComment ref="R35" dT="2024-07-04T13:45:24.74" personId="{76845407-17F6-43BD-B7DD-75BF3C25CD01}" id="{E85D8E51-F871-422B-B839-79A1530D65DC}" parentId="{332077BD-6FB2-4A66-B674-13BF36CA8DF2}">
    <text>These are rogowski coils and an integrator kit. Stock is currently sitting in the office.</text>
  </threadedComment>
  <threadedComment ref="R35" dT="2024-07-04T13:53:11.65" personId="{DBD570B5-F21A-41B6-B1DA-E30111892040}" id="{6EFCEA1C-6EA2-403B-9108-3B6D0C4E2F92}" parentId="{332077BD-6FB2-4A66-B674-13BF36CA8DF2}">
    <text>What size are the CTs?</text>
  </threadedComment>
  <threadedComment ref="R35" dT="2024-07-04T14:01:35.87" personId="{76845407-17F6-43BD-B7DD-75BF3C25CD01}" id="{1B19FA0B-D086-4C38-B967-224591FB43EC}" parentId="{332077BD-6FB2-4A66-B674-13BF36CA8DF2}">
    <text>1000A</text>
  </threadedComment>
  <threadedComment ref="R50" dT="2024-07-09T08:40:52.34" personId="{DBD570B5-F21A-41B6-B1DA-E30111892040}" id="{1F2E7919-E283-438D-8BA3-D0E685B145FD}">
    <text>@Kholisa Nyengane, please request this invoice and load it for payment.</text>
    <mentions>
      <mention mentionpersonId="{088166F8-6D5F-4CF7-85B9-9677329AD4C0}" mentionId="{C1D58F28-AE2D-40D6-8DBC-1F20FE8AF59D}" startIndex="0" length="17"/>
    </mentions>
  </threadedComment>
  <threadedComment ref="U74" dT="2024-01-31T07:12:57.35" personId="{DBD570B5-F21A-41B6-B1DA-E30111892040}" id="{C4E50107-B350-49C8-8800-D3E1F81F33AA}" done="1">
    <text>Removed 60k</text>
  </threadedComment>
  <threadedComment ref="R88" dT="2024-07-04T13:11:19.16" personId="{DBD570B5-F21A-41B6-B1DA-E30111892040}" id="{263CCCC2-5F6F-4650-A764-3E474B8A7624}">
    <text>@Kholisa Nyengane, please get MG to invoice this milestone</text>
    <mentions>
      <mention mentionpersonId="{088166F8-6D5F-4CF7-85B9-9677329AD4C0}" mentionId="{391C5658-BD74-4C43-8DAB-708E8709C3A9}" startIndex="0" length="17"/>
    </mentions>
  </threadedComment>
  <threadedComment ref="R88" dT="2024-07-09T08:41:58.33" personId="{DBD570B5-F21A-41B6-B1DA-E30111892040}" id="{9B28EAAB-88FC-4980-B48E-193466A24215}" parentId="{263CCCC2-5F6F-4650-A764-3E474B8A7624}">
    <text>@Kholisa Nyengane, a reminder to get this and load it on the accounts board.</text>
    <mentions>
      <mention mentionpersonId="{088166F8-6D5F-4CF7-85B9-9677329AD4C0}" mentionId="{72E32868-333B-4D5C-AB3E-44D6D6DB658F}" startIndex="0" length="17"/>
    </mentions>
  </threadedComment>
  <threadedComment ref="R89" dT="2024-07-27T13:14:23.33" personId="{6324703C-2A14-4942-A9EE-32AF2E291A13}" id="{33B8F142-4E17-40CE-8692-D669D55FDB84}">
    <text>@Lloyd Brown @Kholisa Nyengane can we please request the retention invoice from MG?</text>
    <mentions>
      <mention mentionpersonId="{4E3F8299-0449-47E0-BD52-20A002D3718A}" mentionId="{E148DFCB-1C38-4541-BB0A-416F9877DBA8}" startIndex="0" length="12"/>
      <mention mentionpersonId="{088166F8-6D5F-4CF7-85B9-9677329AD4C0}" mentionId="{05233A06-47B1-4A0A-8536-886E6BC43A34}" startIndex="13" length="17"/>
    </mentions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Relationship Id="rId5" Type="http://schemas.microsoft.com/office/2017/10/relationships/threadedComment" Target="../threadedComments/threadedComment2.xml"/><Relationship Id="rId4" Type="http://schemas.openxmlformats.org/officeDocument/2006/relationships/comments" Target="../comments2.xml"/></Relationships>
</file>

<file path=xl/worksheets/_rels/sheet8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3.xml"/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Relationship Id="rId4" Type="http://schemas.microsoft.com/office/2019/04/relationships/documenttask" Target="../documenttasks/documenttask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0FEEB-CDA4-4F0E-A4A4-DCAC1BD3960A}">
  <sheetPr codeName="Sheet1"/>
  <dimension ref="A1:BG48"/>
  <sheetViews>
    <sheetView zoomScale="70" zoomScaleNormal="70" workbookViewId="0">
      <selection activeCell="H4" sqref="H4"/>
    </sheetView>
  </sheetViews>
  <sheetFormatPr defaultColWidth="9.26953125" defaultRowHeight="14"/>
  <cols>
    <col min="1" max="1" width="9.26953125" style="64"/>
    <col min="2" max="2" width="84.26953125" style="65" bestFit="1" customWidth="1"/>
    <col min="3" max="3" width="19" style="24" customWidth="1"/>
    <col min="4" max="4" width="13.26953125" style="70" customWidth="1"/>
    <col min="5" max="5" width="17.26953125" style="24" customWidth="1"/>
    <col min="6" max="6" width="18.26953125" style="24" customWidth="1"/>
    <col min="7" max="7" width="5.26953125" style="24" bestFit="1" customWidth="1"/>
    <col min="8" max="8" width="20.26953125" style="24" bestFit="1" customWidth="1"/>
    <col min="9" max="9" width="3.26953125" style="24" customWidth="1"/>
    <col min="10" max="10" width="47.26953125" style="24" bestFit="1" customWidth="1"/>
    <col min="11" max="11" width="6.26953125" style="3" customWidth="1"/>
    <col min="12" max="12" width="14.26953125" style="24" customWidth="1"/>
    <col min="13" max="16384" width="9.26953125" style="24"/>
  </cols>
  <sheetData>
    <row r="1" spans="1:59" s="3" customFormat="1">
      <c r="A1" s="1" t="s">
        <v>0</v>
      </c>
      <c r="B1" s="2"/>
      <c r="D1" s="4"/>
      <c r="F1" s="5"/>
      <c r="G1" s="5"/>
      <c r="H1" s="6"/>
      <c r="I1" s="7"/>
      <c r="J1" s="7"/>
    </row>
    <row r="2" spans="1:59" s="14" customFormat="1" ht="28">
      <c r="A2" s="8" t="s">
        <v>1</v>
      </c>
      <c r="B2" s="9" t="s">
        <v>2</v>
      </c>
      <c r="C2" s="8" t="s">
        <v>3</v>
      </c>
      <c r="D2" s="8" t="s">
        <v>4</v>
      </c>
      <c r="E2" s="8" t="s">
        <v>5</v>
      </c>
      <c r="F2" s="8" t="s">
        <v>6</v>
      </c>
      <c r="G2" s="8"/>
      <c r="H2" s="8" t="s">
        <v>7</v>
      </c>
      <c r="I2" s="10"/>
      <c r="J2" s="11" t="s">
        <v>8</v>
      </c>
      <c r="K2" s="12"/>
      <c r="L2" s="13">
        <f>C3</f>
        <v>43831</v>
      </c>
      <c r="M2" s="13">
        <f>L2+3</f>
        <v>43834</v>
      </c>
      <c r="N2" s="13">
        <f t="shared" ref="N2:AP2" si="0">M2+7</f>
        <v>43841</v>
      </c>
      <c r="O2" s="13">
        <f t="shared" si="0"/>
        <v>43848</v>
      </c>
      <c r="P2" s="13">
        <f t="shared" si="0"/>
        <v>43855</v>
      </c>
      <c r="Q2" s="13">
        <f>P2+6</f>
        <v>43861</v>
      </c>
      <c r="R2" s="13">
        <f>Q2+1</f>
        <v>43862</v>
      </c>
      <c r="S2" s="13">
        <f t="shared" si="0"/>
        <v>43869</v>
      </c>
      <c r="T2" s="13">
        <f t="shared" si="0"/>
        <v>43876</v>
      </c>
      <c r="U2" s="13">
        <f t="shared" si="0"/>
        <v>43883</v>
      </c>
      <c r="V2" s="13">
        <f>U2+6</f>
        <v>43889</v>
      </c>
      <c r="W2" s="13">
        <f t="shared" si="0"/>
        <v>43896</v>
      </c>
      <c r="X2" s="13">
        <f t="shared" si="0"/>
        <v>43903</v>
      </c>
      <c r="Y2" s="13">
        <f t="shared" si="0"/>
        <v>43910</v>
      </c>
      <c r="Z2" s="13">
        <f t="shared" si="0"/>
        <v>43917</v>
      </c>
      <c r="AA2" s="13">
        <f>Z2+3</f>
        <v>43920</v>
      </c>
      <c r="AB2" s="13">
        <f>AA2+4</f>
        <v>43924</v>
      </c>
      <c r="AC2" s="13">
        <f t="shared" si="0"/>
        <v>43931</v>
      </c>
      <c r="AD2" s="13">
        <f t="shared" si="0"/>
        <v>43938</v>
      </c>
      <c r="AE2" s="13">
        <f t="shared" si="0"/>
        <v>43945</v>
      </c>
      <c r="AF2" s="13">
        <f>AE2+6</f>
        <v>43951</v>
      </c>
      <c r="AG2" s="13">
        <f>AF2+2</f>
        <v>43953</v>
      </c>
      <c r="AH2" s="13">
        <f t="shared" si="0"/>
        <v>43960</v>
      </c>
      <c r="AI2" s="13">
        <f t="shared" si="0"/>
        <v>43967</v>
      </c>
      <c r="AJ2" s="13">
        <f t="shared" si="0"/>
        <v>43974</v>
      </c>
      <c r="AK2" s="13">
        <f t="shared" si="0"/>
        <v>43981</v>
      </c>
      <c r="AL2" s="13">
        <f>AK2+1</f>
        <v>43982</v>
      </c>
      <c r="AM2" s="13">
        <f>AL2+6</f>
        <v>43988</v>
      </c>
      <c r="AN2" s="13">
        <f t="shared" si="0"/>
        <v>43995</v>
      </c>
      <c r="AO2" s="13">
        <f t="shared" si="0"/>
        <v>44002</v>
      </c>
      <c r="AP2" s="13">
        <f t="shared" si="0"/>
        <v>44009</v>
      </c>
      <c r="AQ2" s="13">
        <f>AP2+3</f>
        <v>44012</v>
      </c>
      <c r="AR2" s="13">
        <f>AQ2+4</f>
        <v>44016</v>
      </c>
      <c r="AS2" s="13">
        <f>AR2+7</f>
        <v>44023</v>
      </c>
      <c r="AT2" s="13">
        <f t="shared" ref="AT2:AU2" si="1">AS2+7</f>
        <v>44030</v>
      </c>
      <c r="AU2" s="13">
        <f t="shared" si="1"/>
        <v>44037</v>
      </c>
      <c r="AV2" s="13">
        <f>AU2+6</f>
        <v>44043</v>
      </c>
      <c r="AW2" s="13">
        <f>AV2+1</f>
        <v>44044</v>
      </c>
      <c r="AX2" s="13">
        <f t="shared" ref="AX2:BA2" si="2">AW2+7</f>
        <v>44051</v>
      </c>
      <c r="AY2" s="13">
        <f t="shared" si="2"/>
        <v>44058</v>
      </c>
      <c r="AZ2" s="13">
        <f t="shared" si="2"/>
        <v>44065</v>
      </c>
      <c r="BA2" s="13">
        <f t="shared" si="2"/>
        <v>44072</v>
      </c>
      <c r="BB2" s="13">
        <f>BA2+2</f>
        <v>44074</v>
      </c>
      <c r="BC2" s="13">
        <f>BB2+5</f>
        <v>44079</v>
      </c>
      <c r="BD2" s="13">
        <f>BC2+7</f>
        <v>44086</v>
      </c>
      <c r="BE2" s="13">
        <f t="shared" ref="BE2:BF2" si="3">BD2+7</f>
        <v>44093</v>
      </c>
      <c r="BF2" s="13">
        <f t="shared" si="3"/>
        <v>44100</v>
      </c>
      <c r="BG2" s="13">
        <f>BF2+4</f>
        <v>44104</v>
      </c>
    </row>
    <row r="3" spans="1:59" ht="15.5">
      <c r="A3" s="15">
        <v>1</v>
      </c>
      <c r="B3" s="16" t="s">
        <v>9</v>
      </c>
      <c r="C3" s="17">
        <v>43831</v>
      </c>
      <c r="D3" s="18">
        <v>1</v>
      </c>
      <c r="E3" s="19">
        <v>43832</v>
      </c>
      <c r="F3" s="17">
        <v>43831</v>
      </c>
      <c r="G3" s="18">
        <v>1</v>
      </c>
      <c r="H3" s="19">
        <v>43832</v>
      </c>
      <c r="I3" s="20"/>
      <c r="J3" s="21"/>
      <c r="L3" s="22">
        <f t="shared" ref="L3:AA11" si="4">IF(AND($F3&lt;(L$2+7),$F3&gt;L$2),1,
IF(AND($H3&lt;L$2+7,$H3&gt;L$2),3,
IF(AND($F3&lt;=L$2, $H3&gt;=L$2),  2,
"" )))</f>
        <v>3</v>
      </c>
      <c r="M3" s="22" t="str">
        <f t="shared" si="4"/>
        <v/>
      </c>
      <c r="N3" s="22" t="str">
        <f t="shared" si="4"/>
        <v/>
      </c>
      <c r="O3" s="22" t="str">
        <f t="shared" si="4"/>
        <v/>
      </c>
      <c r="P3" s="22" t="str">
        <f t="shared" si="4"/>
        <v/>
      </c>
      <c r="Q3" s="22" t="str">
        <f t="shared" si="4"/>
        <v/>
      </c>
      <c r="R3" s="22" t="str">
        <f t="shared" si="4"/>
        <v/>
      </c>
      <c r="S3" s="22" t="str">
        <f t="shared" si="4"/>
        <v/>
      </c>
      <c r="T3" s="22" t="str">
        <f t="shared" si="4"/>
        <v/>
      </c>
      <c r="U3" s="22" t="str">
        <f t="shared" si="4"/>
        <v/>
      </c>
      <c r="V3" s="22" t="str">
        <f t="shared" si="4"/>
        <v/>
      </c>
      <c r="W3" s="22" t="str">
        <f t="shared" si="4"/>
        <v/>
      </c>
      <c r="X3" s="22" t="str">
        <f t="shared" si="4"/>
        <v/>
      </c>
      <c r="Y3" s="22" t="str">
        <f t="shared" si="4"/>
        <v/>
      </c>
      <c r="Z3" s="22" t="str">
        <f t="shared" si="4"/>
        <v/>
      </c>
      <c r="AA3" s="22" t="str">
        <f t="shared" si="4"/>
        <v/>
      </c>
      <c r="AB3" s="22" t="str">
        <f t="shared" ref="AB3:AQ11" si="5">IF(AND($F3&lt;(AB$2+7),$F3&gt;AB$2),1,
IF(AND($H3&lt;AB$2+7,$H3&gt;AB$2),3,
IF(AND($F3&lt;=AB$2, $H3&gt;=AB$2),  2,
"" )))</f>
        <v/>
      </c>
      <c r="AC3" s="22" t="str">
        <f t="shared" si="5"/>
        <v/>
      </c>
      <c r="AD3" s="22" t="str">
        <f t="shared" si="5"/>
        <v/>
      </c>
      <c r="AE3" s="22" t="str">
        <f t="shared" si="5"/>
        <v/>
      </c>
      <c r="AF3" s="22" t="str">
        <f t="shared" si="5"/>
        <v/>
      </c>
      <c r="AG3" s="22" t="str">
        <f t="shared" si="5"/>
        <v/>
      </c>
      <c r="AH3" s="22" t="str">
        <f t="shared" si="5"/>
        <v/>
      </c>
      <c r="AI3" s="22" t="str">
        <f t="shared" si="5"/>
        <v/>
      </c>
      <c r="AJ3" s="22" t="str">
        <f t="shared" si="5"/>
        <v/>
      </c>
      <c r="AK3" s="22" t="str">
        <f t="shared" si="5"/>
        <v/>
      </c>
      <c r="AL3" s="22" t="str">
        <f t="shared" si="5"/>
        <v/>
      </c>
      <c r="AM3" s="22" t="str">
        <f t="shared" si="5"/>
        <v/>
      </c>
      <c r="AN3" s="22" t="str">
        <f t="shared" si="5"/>
        <v/>
      </c>
      <c r="AO3" s="22" t="str">
        <f t="shared" si="5"/>
        <v/>
      </c>
      <c r="AP3" s="22" t="str">
        <f t="shared" si="5"/>
        <v/>
      </c>
      <c r="AQ3" s="22" t="str">
        <f t="shared" si="5"/>
        <v/>
      </c>
      <c r="AR3" s="23"/>
      <c r="AS3" s="23"/>
      <c r="AT3" s="23"/>
      <c r="AU3" s="23"/>
      <c r="AV3" s="23"/>
      <c r="AW3" s="23"/>
      <c r="BC3" s="13"/>
      <c r="BD3" s="13"/>
    </row>
    <row r="4" spans="1:59">
      <c r="A4" s="25" t="s">
        <v>10</v>
      </c>
      <c r="B4" s="26" t="s">
        <v>11</v>
      </c>
      <c r="C4" s="27">
        <v>43832</v>
      </c>
      <c r="D4" s="28">
        <v>1</v>
      </c>
      <c r="E4" s="29">
        <v>43833</v>
      </c>
      <c r="F4" s="27">
        <v>43832</v>
      </c>
      <c r="G4" s="28">
        <v>1</v>
      </c>
      <c r="H4" s="29">
        <v>43833</v>
      </c>
      <c r="I4" s="30"/>
      <c r="J4" s="21"/>
      <c r="L4" s="22">
        <f t="shared" si="4"/>
        <v>1</v>
      </c>
      <c r="M4" s="22" t="str">
        <f t="shared" si="4"/>
        <v/>
      </c>
      <c r="N4" s="22" t="str">
        <f t="shared" si="4"/>
        <v/>
      </c>
      <c r="O4" s="22" t="str">
        <f t="shared" si="4"/>
        <v/>
      </c>
      <c r="P4" s="22" t="str">
        <f t="shared" si="4"/>
        <v/>
      </c>
      <c r="Q4" s="22" t="str">
        <f t="shared" si="4"/>
        <v/>
      </c>
      <c r="R4" s="22" t="str">
        <f t="shared" si="4"/>
        <v/>
      </c>
      <c r="S4" s="22" t="str">
        <f t="shared" si="4"/>
        <v/>
      </c>
      <c r="T4" s="22" t="str">
        <f t="shared" si="4"/>
        <v/>
      </c>
      <c r="U4" s="22" t="str">
        <f t="shared" si="4"/>
        <v/>
      </c>
      <c r="V4" s="22" t="str">
        <f t="shared" si="4"/>
        <v/>
      </c>
      <c r="W4" s="22" t="str">
        <f t="shared" si="4"/>
        <v/>
      </c>
      <c r="X4" s="22" t="str">
        <f t="shared" si="4"/>
        <v/>
      </c>
      <c r="Y4" s="22" t="str">
        <f t="shared" si="4"/>
        <v/>
      </c>
      <c r="Z4" s="22" t="str">
        <f t="shared" si="4"/>
        <v/>
      </c>
      <c r="AA4" s="22" t="str">
        <f t="shared" si="4"/>
        <v/>
      </c>
      <c r="AB4" s="22" t="str">
        <f t="shared" si="5"/>
        <v/>
      </c>
      <c r="AC4" s="22" t="str">
        <f t="shared" si="5"/>
        <v/>
      </c>
      <c r="AD4" s="22" t="str">
        <f t="shared" si="5"/>
        <v/>
      </c>
      <c r="AE4" s="22" t="str">
        <f t="shared" si="5"/>
        <v/>
      </c>
      <c r="AF4" s="22" t="str">
        <f t="shared" si="5"/>
        <v/>
      </c>
      <c r="AG4" s="22" t="str">
        <f t="shared" si="5"/>
        <v/>
      </c>
      <c r="AH4" s="22" t="str">
        <f t="shared" si="5"/>
        <v/>
      </c>
      <c r="AI4" s="22" t="str">
        <f t="shared" si="5"/>
        <v/>
      </c>
      <c r="AJ4" s="22" t="str">
        <f t="shared" si="5"/>
        <v/>
      </c>
      <c r="AK4" s="22" t="str">
        <f t="shared" si="5"/>
        <v/>
      </c>
      <c r="AL4" s="22" t="str">
        <f t="shared" si="5"/>
        <v/>
      </c>
      <c r="AM4" s="22" t="str">
        <f t="shared" si="5"/>
        <v/>
      </c>
      <c r="AN4" s="22" t="str">
        <f t="shared" si="5"/>
        <v/>
      </c>
      <c r="AO4" s="22" t="str">
        <f t="shared" si="5"/>
        <v/>
      </c>
      <c r="AP4" s="22" t="str">
        <f t="shared" si="5"/>
        <v/>
      </c>
      <c r="AQ4" s="22" t="str">
        <f t="shared" si="5"/>
        <v/>
      </c>
      <c r="AR4" s="23"/>
      <c r="AS4" s="23"/>
      <c r="AT4" s="23"/>
      <c r="AU4" s="23"/>
      <c r="AV4" s="23"/>
      <c r="AW4" s="23"/>
      <c r="BC4" s="13"/>
      <c r="BD4" s="13"/>
    </row>
    <row r="5" spans="1:59" ht="15.5">
      <c r="A5" s="15">
        <v>2</v>
      </c>
      <c r="B5" s="16" t="s">
        <v>12</v>
      </c>
      <c r="C5" s="31">
        <v>43833</v>
      </c>
      <c r="D5" s="18">
        <v>5</v>
      </c>
      <c r="E5" s="19">
        <v>43840</v>
      </c>
      <c r="F5" s="31">
        <v>43833</v>
      </c>
      <c r="G5" s="18">
        <v>5</v>
      </c>
      <c r="H5" s="19">
        <v>43840</v>
      </c>
      <c r="I5" s="20"/>
      <c r="J5" s="21"/>
      <c r="L5" s="22">
        <f t="shared" si="4"/>
        <v>1</v>
      </c>
      <c r="M5" s="22">
        <f t="shared" si="4"/>
        <v>3</v>
      </c>
      <c r="N5" s="22" t="str">
        <f t="shared" si="4"/>
        <v/>
      </c>
      <c r="O5" s="22" t="str">
        <f t="shared" si="4"/>
        <v/>
      </c>
      <c r="P5" s="22" t="str">
        <f t="shared" si="4"/>
        <v/>
      </c>
      <c r="Q5" s="22" t="str">
        <f t="shared" si="4"/>
        <v/>
      </c>
      <c r="R5" s="22" t="str">
        <f t="shared" si="4"/>
        <v/>
      </c>
      <c r="S5" s="22" t="str">
        <f t="shared" si="4"/>
        <v/>
      </c>
      <c r="T5" s="22" t="str">
        <f t="shared" si="4"/>
        <v/>
      </c>
      <c r="U5" s="22" t="str">
        <f t="shared" si="4"/>
        <v/>
      </c>
      <c r="V5" s="22" t="str">
        <f t="shared" si="4"/>
        <v/>
      </c>
      <c r="W5" s="22" t="str">
        <f t="shared" si="4"/>
        <v/>
      </c>
      <c r="X5" s="22" t="str">
        <f t="shared" si="4"/>
        <v/>
      </c>
      <c r="Y5" s="22" t="str">
        <f t="shared" si="4"/>
        <v/>
      </c>
      <c r="Z5" s="22" t="str">
        <f t="shared" si="4"/>
        <v/>
      </c>
      <c r="AA5" s="22" t="str">
        <f t="shared" si="4"/>
        <v/>
      </c>
      <c r="AB5" s="22" t="str">
        <f t="shared" si="5"/>
        <v/>
      </c>
      <c r="AC5" s="22" t="str">
        <f t="shared" si="5"/>
        <v/>
      </c>
      <c r="AD5" s="22" t="str">
        <f t="shared" si="5"/>
        <v/>
      </c>
      <c r="AE5" s="22" t="str">
        <f t="shared" si="5"/>
        <v/>
      </c>
      <c r="AF5" s="22" t="str">
        <f t="shared" si="5"/>
        <v/>
      </c>
      <c r="AG5" s="22" t="str">
        <f t="shared" si="5"/>
        <v/>
      </c>
      <c r="AH5" s="22" t="str">
        <f t="shared" si="5"/>
        <v/>
      </c>
      <c r="AI5" s="22" t="str">
        <f t="shared" si="5"/>
        <v/>
      </c>
      <c r="AJ5" s="22" t="str">
        <f t="shared" si="5"/>
        <v/>
      </c>
      <c r="AK5" s="22" t="str">
        <f t="shared" si="5"/>
        <v/>
      </c>
      <c r="AL5" s="22" t="str">
        <f t="shared" si="5"/>
        <v/>
      </c>
      <c r="AM5" s="22" t="str">
        <f t="shared" si="5"/>
        <v/>
      </c>
      <c r="AN5" s="22" t="str">
        <f t="shared" si="5"/>
        <v/>
      </c>
      <c r="AO5" s="22" t="str">
        <f t="shared" si="5"/>
        <v/>
      </c>
      <c r="AP5" s="22" t="str">
        <f t="shared" si="5"/>
        <v/>
      </c>
      <c r="AQ5" s="22" t="str">
        <f t="shared" si="5"/>
        <v/>
      </c>
      <c r="AR5" s="23"/>
      <c r="AS5" s="23"/>
      <c r="AT5" s="23"/>
      <c r="AU5" s="23"/>
      <c r="AV5" s="23"/>
      <c r="AW5" s="23"/>
      <c r="BC5" s="13"/>
      <c r="BD5" s="13"/>
    </row>
    <row r="6" spans="1:59" ht="15.5">
      <c r="A6" s="15">
        <v>3</v>
      </c>
      <c r="B6" s="16" t="s">
        <v>13</v>
      </c>
      <c r="C6" s="31">
        <v>43841</v>
      </c>
      <c r="D6" s="18">
        <v>2</v>
      </c>
      <c r="E6" s="19">
        <v>43844</v>
      </c>
      <c r="F6" s="31">
        <v>43841</v>
      </c>
      <c r="G6" s="18">
        <v>2</v>
      </c>
      <c r="H6" s="19">
        <v>43844</v>
      </c>
      <c r="I6" s="20"/>
      <c r="J6" s="21"/>
      <c r="L6" s="22" t="str">
        <f t="shared" si="4"/>
        <v/>
      </c>
      <c r="M6" s="22" t="str">
        <f t="shared" si="4"/>
        <v/>
      </c>
      <c r="N6" s="22">
        <f t="shared" si="4"/>
        <v>3</v>
      </c>
      <c r="O6" s="22" t="str">
        <f t="shared" si="4"/>
        <v/>
      </c>
      <c r="P6" s="22" t="str">
        <f t="shared" si="4"/>
        <v/>
      </c>
      <c r="Q6" s="22" t="str">
        <f t="shared" si="4"/>
        <v/>
      </c>
      <c r="R6" s="22" t="str">
        <f t="shared" si="4"/>
        <v/>
      </c>
      <c r="S6" s="22" t="str">
        <f t="shared" si="4"/>
        <v/>
      </c>
      <c r="T6" s="22" t="str">
        <f t="shared" si="4"/>
        <v/>
      </c>
      <c r="U6" s="22" t="str">
        <f t="shared" si="4"/>
        <v/>
      </c>
      <c r="V6" s="22" t="str">
        <f t="shared" si="4"/>
        <v/>
      </c>
      <c r="W6" s="22" t="str">
        <f t="shared" si="4"/>
        <v/>
      </c>
      <c r="X6" s="22" t="str">
        <f t="shared" si="4"/>
        <v/>
      </c>
      <c r="Y6" s="22" t="str">
        <f t="shared" si="4"/>
        <v/>
      </c>
      <c r="Z6" s="22" t="str">
        <f t="shared" si="4"/>
        <v/>
      </c>
      <c r="AA6" s="22" t="str">
        <f t="shared" si="4"/>
        <v/>
      </c>
      <c r="AB6" s="22" t="str">
        <f t="shared" si="5"/>
        <v/>
      </c>
      <c r="AC6" s="22" t="str">
        <f t="shared" si="5"/>
        <v/>
      </c>
      <c r="AD6" s="22" t="str">
        <f t="shared" si="5"/>
        <v/>
      </c>
      <c r="AE6" s="22" t="str">
        <f t="shared" si="5"/>
        <v/>
      </c>
      <c r="AF6" s="22" t="str">
        <f t="shared" si="5"/>
        <v/>
      </c>
      <c r="AG6" s="22" t="str">
        <f t="shared" si="5"/>
        <v/>
      </c>
      <c r="AH6" s="22" t="str">
        <f t="shared" si="5"/>
        <v/>
      </c>
      <c r="AI6" s="22" t="str">
        <f t="shared" si="5"/>
        <v/>
      </c>
      <c r="AJ6" s="22" t="str">
        <f t="shared" si="5"/>
        <v/>
      </c>
      <c r="AK6" s="22" t="str">
        <f t="shared" si="5"/>
        <v/>
      </c>
      <c r="AL6" s="22" t="str">
        <f t="shared" si="5"/>
        <v/>
      </c>
      <c r="AM6" s="22" t="str">
        <f t="shared" si="5"/>
        <v/>
      </c>
      <c r="AN6" s="22" t="str">
        <f t="shared" si="5"/>
        <v/>
      </c>
      <c r="AO6" s="22" t="str">
        <f t="shared" si="5"/>
        <v/>
      </c>
      <c r="AP6" s="22" t="str">
        <f t="shared" si="5"/>
        <v/>
      </c>
      <c r="AQ6" s="22" t="str">
        <f t="shared" si="5"/>
        <v/>
      </c>
      <c r="AR6" s="23"/>
      <c r="AS6" s="23"/>
      <c r="AT6" s="23"/>
      <c r="AU6" s="23"/>
      <c r="AV6" s="23"/>
      <c r="AW6" s="23"/>
      <c r="BC6" s="13"/>
      <c r="BD6" s="13"/>
    </row>
    <row r="7" spans="1:59" ht="15.5">
      <c r="A7" s="32">
        <v>4</v>
      </c>
      <c r="B7" s="33" t="s">
        <v>14</v>
      </c>
      <c r="C7" s="34">
        <v>43833</v>
      </c>
      <c r="D7" s="35"/>
      <c r="E7" s="36">
        <v>43949</v>
      </c>
      <c r="F7" s="34">
        <v>43833</v>
      </c>
      <c r="G7" s="35"/>
      <c r="H7" s="36">
        <v>43949</v>
      </c>
      <c r="I7" s="37"/>
      <c r="J7" s="21"/>
      <c r="L7" s="22">
        <f t="shared" si="4"/>
        <v>1</v>
      </c>
      <c r="M7" s="22">
        <f t="shared" si="4"/>
        <v>2</v>
      </c>
      <c r="N7" s="22">
        <f t="shared" si="4"/>
        <v>2</v>
      </c>
      <c r="O7" s="22">
        <f t="shared" si="4"/>
        <v>2</v>
      </c>
      <c r="P7" s="22">
        <f t="shared" si="4"/>
        <v>2</v>
      </c>
      <c r="Q7" s="22">
        <f t="shared" si="4"/>
        <v>2</v>
      </c>
      <c r="R7" s="22">
        <f t="shared" si="4"/>
        <v>2</v>
      </c>
      <c r="S7" s="22">
        <f t="shared" si="4"/>
        <v>2</v>
      </c>
      <c r="T7" s="22">
        <f t="shared" si="4"/>
        <v>2</v>
      </c>
      <c r="U7" s="22">
        <f t="shared" si="4"/>
        <v>2</v>
      </c>
      <c r="V7" s="22">
        <f t="shared" si="4"/>
        <v>2</v>
      </c>
      <c r="W7" s="22">
        <f t="shared" si="4"/>
        <v>2</v>
      </c>
      <c r="X7" s="22">
        <f t="shared" si="4"/>
        <v>2</v>
      </c>
      <c r="Y7" s="22">
        <f t="shared" si="4"/>
        <v>2</v>
      </c>
      <c r="Z7" s="22">
        <f t="shared" si="4"/>
        <v>2</v>
      </c>
      <c r="AA7" s="22">
        <f t="shared" si="4"/>
        <v>2</v>
      </c>
      <c r="AB7" s="22">
        <f t="shared" si="5"/>
        <v>2</v>
      </c>
      <c r="AC7" s="22">
        <f t="shared" si="5"/>
        <v>2</v>
      </c>
      <c r="AD7" s="22">
        <f t="shared" si="5"/>
        <v>2</v>
      </c>
      <c r="AE7" s="22">
        <f t="shared" si="5"/>
        <v>3</v>
      </c>
      <c r="AF7" s="22" t="str">
        <f t="shared" si="5"/>
        <v/>
      </c>
      <c r="AG7" s="22" t="str">
        <f t="shared" si="5"/>
        <v/>
      </c>
      <c r="AH7" s="22" t="str">
        <f t="shared" si="5"/>
        <v/>
      </c>
      <c r="AI7" s="22" t="str">
        <f t="shared" si="5"/>
        <v/>
      </c>
      <c r="AJ7" s="22" t="str">
        <f t="shared" si="5"/>
        <v/>
      </c>
      <c r="AK7" s="22" t="str">
        <f t="shared" si="5"/>
        <v/>
      </c>
      <c r="AL7" s="22" t="str">
        <f t="shared" si="5"/>
        <v/>
      </c>
      <c r="AM7" s="22" t="str">
        <f t="shared" si="5"/>
        <v/>
      </c>
      <c r="AN7" s="22" t="str">
        <f t="shared" si="5"/>
        <v/>
      </c>
      <c r="AO7" s="22" t="str">
        <f t="shared" si="5"/>
        <v/>
      </c>
      <c r="AP7" s="22" t="str">
        <f t="shared" si="5"/>
        <v/>
      </c>
      <c r="AQ7" s="22" t="str">
        <f t="shared" si="5"/>
        <v/>
      </c>
      <c r="AR7" s="23"/>
      <c r="AS7" s="23"/>
      <c r="AT7" s="23"/>
      <c r="AU7" s="23"/>
      <c r="AV7" s="23"/>
      <c r="AW7" s="23"/>
      <c r="BC7" s="13"/>
      <c r="BD7" s="13"/>
    </row>
    <row r="8" spans="1:59">
      <c r="A8" s="15"/>
      <c r="B8" s="38" t="s">
        <v>15</v>
      </c>
      <c r="C8" s="31">
        <v>43833</v>
      </c>
      <c r="D8" s="18">
        <v>5</v>
      </c>
      <c r="E8" s="39">
        <v>43840</v>
      </c>
      <c r="F8" s="31">
        <v>43833</v>
      </c>
      <c r="G8" s="18">
        <v>5</v>
      </c>
      <c r="H8" s="39">
        <v>43840</v>
      </c>
      <c r="I8" s="20"/>
      <c r="J8" s="21"/>
      <c r="L8" s="22">
        <f t="shared" si="4"/>
        <v>1</v>
      </c>
      <c r="M8" s="22">
        <f t="shared" si="4"/>
        <v>3</v>
      </c>
      <c r="N8" s="22" t="str">
        <f t="shared" si="4"/>
        <v/>
      </c>
      <c r="O8" s="22" t="str">
        <f t="shared" si="4"/>
        <v/>
      </c>
      <c r="P8" s="22" t="str">
        <f t="shared" si="4"/>
        <v/>
      </c>
      <c r="Q8" s="22" t="str">
        <f t="shared" si="4"/>
        <v/>
      </c>
      <c r="R8" s="22" t="str">
        <f t="shared" si="4"/>
        <v/>
      </c>
      <c r="S8" s="22" t="str">
        <f t="shared" si="4"/>
        <v/>
      </c>
      <c r="T8" s="22" t="str">
        <f t="shared" si="4"/>
        <v/>
      </c>
      <c r="U8" s="22" t="str">
        <f t="shared" si="4"/>
        <v/>
      </c>
      <c r="V8" s="22" t="str">
        <f t="shared" si="4"/>
        <v/>
      </c>
      <c r="W8" s="22" t="str">
        <f t="shared" si="4"/>
        <v/>
      </c>
      <c r="X8" s="22" t="str">
        <f t="shared" si="4"/>
        <v/>
      </c>
      <c r="Y8" s="22" t="str">
        <f t="shared" si="4"/>
        <v/>
      </c>
      <c r="Z8" s="22" t="str">
        <f t="shared" si="4"/>
        <v/>
      </c>
      <c r="AA8" s="22" t="str">
        <f t="shared" si="4"/>
        <v/>
      </c>
      <c r="AB8" s="22" t="str">
        <f t="shared" si="5"/>
        <v/>
      </c>
      <c r="AC8" s="22" t="str">
        <f t="shared" si="5"/>
        <v/>
      </c>
      <c r="AD8" s="22" t="str">
        <f t="shared" si="5"/>
        <v/>
      </c>
      <c r="AE8" s="22" t="str">
        <f t="shared" si="5"/>
        <v/>
      </c>
      <c r="AF8" s="22" t="str">
        <f t="shared" si="5"/>
        <v/>
      </c>
      <c r="AG8" s="22" t="str">
        <f t="shared" si="5"/>
        <v/>
      </c>
      <c r="AH8" s="22" t="str">
        <f t="shared" si="5"/>
        <v/>
      </c>
      <c r="AI8" s="22" t="str">
        <f t="shared" si="5"/>
        <v/>
      </c>
      <c r="AJ8" s="22" t="str">
        <f t="shared" si="5"/>
        <v/>
      </c>
      <c r="AK8" s="22" t="str">
        <f t="shared" si="5"/>
        <v/>
      </c>
      <c r="AL8" s="22" t="str">
        <f t="shared" si="5"/>
        <v/>
      </c>
      <c r="AM8" s="22" t="str">
        <f t="shared" si="5"/>
        <v/>
      </c>
      <c r="AN8" s="22" t="str">
        <f t="shared" si="5"/>
        <v/>
      </c>
      <c r="AO8" s="22" t="str">
        <f t="shared" si="5"/>
        <v/>
      </c>
      <c r="AP8" s="22" t="str">
        <f t="shared" si="5"/>
        <v/>
      </c>
      <c r="AQ8" s="22" t="str">
        <f t="shared" si="5"/>
        <v/>
      </c>
      <c r="AR8" s="23"/>
      <c r="AS8" s="23"/>
      <c r="AT8" s="23"/>
      <c r="AU8" s="23"/>
      <c r="AV8" s="23"/>
      <c r="AW8" s="23"/>
      <c r="BC8" s="13"/>
      <c r="BD8" s="13"/>
    </row>
    <row r="9" spans="1:59">
      <c r="A9" s="15"/>
      <c r="B9" s="38" t="s">
        <v>16</v>
      </c>
      <c r="C9" s="31">
        <v>43941</v>
      </c>
      <c r="D9" s="18">
        <v>5</v>
      </c>
      <c r="E9" s="39">
        <v>43949</v>
      </c>
      <c r="F9" s="31">
        <v>43941</v>
      </c>
      <c r="G9" s="18">
        <v>5</v>
      </c>
      <c r="H9" s="39">
        <v>43949</v>
      </c>
      <c r="I9" s="20"/>
      <c r="J9" s="21"/>
      <c r="L9" s="22" t="str">
        <f t="shared" si="4"/>
        <v/>
      </c>
      <c r="M9" s="22" t="str">
        <f t="shared" si="4"/>
        <v/>
      </c>
      <c r="N9" s="22" t="str">
        <f t="shared" si="4"/>
        <v/>
      </c>
      <c r="O9" s="22" t="str">
        <f t="shared" si="4"/>
        <v/>
      </c>
      <c r="P9" s="22" t="str">
        <f t="shared" si="4"/>
        <v/>
      </c>
      <c r="Q9" s="22" t="str">
        <f t="shared" si="4"/>
        <v/>
      </c>
      <c r="R9" s="22" t="str">
        <f t="shared" si="4"/>
        <v/>
      </c>
      <c r="S9" s="22" t="str">
        <f t="shared" si="4"/>
        <v/>
      </c>
      <c r="T9" s="22" t="str">
        <f t="shared" si="4"/>
        <v/>
      </c>
      <c r="U9" s="22" t="str">
        <f t="shared" si="4"/>
        <v/>
      </c>
      <c r="V9" s="22" t="str">
        <f t="shared" si="4"/>
        <v/>
      </c>
      <c r="W9" s="22" t="str">
        <f t="shared" si="4"/>
        <v/>
      </c>
      <c r="X9" s="22" t="str">
        <f t="shared" si="4"/>
        <v/>
      </c>
      <c r="Y9" s="22" t="str">
        <f t="shared" si="4"/>
        <v/>
      </c>
      <c r="Z9" s="22" t="str">
        <f t="shared" si="4"/>
        <v/>
      </c>
      <c r="AA9" s="22" t="str">
        <f t="shared" si="4"/>
        <v/>
      </c>
      <c r="AB9" s="22" t="str">
        <f t="shared" si="5"/>
        <v/>
      </c>
      <c r="AC9" s="22" t="str">
        <f t="shared" si="5"/>
        <v/>
      </c>
      <c r="AD9" s="22">
        <f t="shared" si="5"/>
        <v>1</v>
      </c>
      <c r="AE9" s="22">
        <f t="shared" si="5"/>
        <v>3</v>
      </c>
      <c r="AF9" s="22" t="str">
        <f t="shared" si="5"/>
        <v/>
      </c>
      <c r="AG9" s="22" t="str">
        <f t="shared" si="5"/>
        <v/>
      </c>
      <c r="AH9" s="22" t="str">
        <f t="shared" si="5"/>
        <v/>
      </c>
      <c r="AI9" s="22" t="str">
        <f t="shared" si="5"/>
        <v/>
      </c>
      <c r="AJ9" s="22" t="str">
        <f t="shared" si="5"/>
        <v/>
      </c>
      <c r="AK9" s="22" t="str">
        <f t="shared" si="5"/>
        <v/>
      </c>
      <c r="AL9" s="22" t="str">
        <f t="shared" si="5"/>
        <v/>
      </c>
      <c r="AM9" s="22" t="str">
        <f t="shared" si="5"/>
        <v/>
      </c>
      <c r="AN9" s="22" t="str">
        <f t="shared" si="5"/>
        <v/>
      </c>
      <c r="AO9" s="22" t="str">
        <f t="shared" si="5"/>
        <v/>
      </c>
      <c r="AP9" s="22" t="str">
        <f t="shared" si="5"/>
        <v/>
      </c>
      <c r="AQ9" s="22" t="str">
        <f t="shared" si="5"/>
        <v/>
      </c>
      <c r="AR9" s="23"/>
      <c r="AS9" s="23"/>
      <c r="AT9" s="23"/>
      <c r="AU9" s="23"/>
      <c r="AV9" s="23"/>
      <c r="AW9" s="23"/>
      <c r="BC9" s="13"/>
      <c r="BD9" s="13"/>
    </row>
    <row r="10" spans="1:59">
      <c r="A10" s="15"/>
      <c r="B10" s="38" t="s">
        <v>17</v>
      </c>
      <c r="C10" s="31">
        <v>43941</v>
      </c>
      <c r="D10" s="18">
        <v>5</v>
      </c>
      <c r="E10" s="39">
        <v>43949</v>
      </c>
      <c r="F10" s="31">
        <v>43941</v>
      </c>
      <c r="G10" s="18">
        <v>5</v>
      </c>
      <c r="H10" s="39">
        <v>43949</v>
      </c>
      <c r="I10" s="20"/>
      <c r="J10" s="21"/>
      <c r="L10" s="22" t="str">
        <f t="shared" si="4"/>
        <v/>
      </c>
      <c r="M10" s="22" t="str">
        <f t="shared" si="4"/>
        <v/>
      </c>
      <c r="N10" s="22" t="str">
        <f t="shared" si="4"/>
        <v/>
      </c>
      <c r="O10" s="22" t="str">
        <f t="shared" si="4"/>
        <v/>
      </c>
      <c r="P10" s="22" t="str">
        <f t="shared" si="4"/>
        <v/>
      </c>
      <c r="Q10" s="22" t="str">
        <f t="shared" si="4"/>
        <v/>
      </c>
      <c r="R10" s="22" t="str">
        <f t="shared" si="4"/>
        <v/>
      </c>
      <c r="S10" s="22" t="str">
        <f t="shared" si="4"/>
        <v/>
      </c>
      <c r="T10" s="22" t="str">
        <f t="shared" si="4"/>
        <v/>
      </c>
      <c r="U10" s="22" t="str">
        <f t="shared" si="4"/>
        <v/>
      </c>
      <c r="V10" s="22" t="str">
        <f t="shared" si="4"/>
        <v/>
      </c>
      <c r="W10" s="22" t="str">
        <f t="shared" si="4"/>
        <v/>
      </c>
      <c r="X10" s="22" t="str">
        <f t="shared" si="4"/>
        <v/>
      </c>
      <c r="Y10" s="22" t="str">
        <f t="shared" si="4"/>
        <v/>
      </c>
      <c r="Z10" s="22" t="str">
        <f t="shared" si="4"/>
        <v/>
      </c>
      <c r="AA10" s="22" t="str">
        <f t="shared" si="4"/>
        <v/>
      </c>
      <c r="AB10" s="22" t="str">
        <f t="shared" si="5"/>
        <v/>
      </c>
      <c r="AC10" s="22" t="str">
        <f t="shared" si="5"/>
        <v/>
      </c>
      <c r="AD10" s="22">
        <f t="shared" si="5"/>
        <v>1</v>
      </c>
      <c r="AE10" s="22">
        <f t="shared" si="5"/>
        <v>3</v>
      </c>
      <c r="AF10" s="22" t="str">
        <f t="shared" si="5"/>
        <v/>
      </c>
      <c r="AG10" s="22" t="str">
        <f t="shared" si="5"/>
        <v/>
      </c>
      <c r="AH10" s="22" t="str">
        <f t="shared" si="5"/>
        <v/>
      </c>
      <c r="AI10" s="22" t="str">
        <f t="shared" si="5"/>
        <v/>
      </c>
      <c r="AJ10" s="22" t="str">
        <f t="shared" si="5"/>
        <v/>
      </c>
      <c r="AK10" s="22" t="str">
        <f t="shared" si="5"/>
        <v/>
      </c>
      <c r="AL10" s="22" t="str">
        <f t="shared" si="5"/>
        <v/>
      </c>
      <c r="AM10" s="22" t="str">
        <f t="shared" si="5"/>
        <v/>
      </c>
      <c r="AN10" s="22" t="str">
        <f t="shared" si="5"/>
        <v/>
      </c>
      <c r="AO10" s="22" t="str">
        <f t="shared" si="5"/>
        <v/>
      </c>
      <c r="AP10" s="22" t="str">
        <f t="shared" si="5"/>
        <v/>
      </c>
      <c r="AQ10" s="22" t="str">
        <f t="shared" si="5"/>
        <v/>
      </c>
      <c r="AR10" s="23"/>
      <c r="AS10" s="23"/>
      <c r="AT10" s="23"/>
      <c r="AU10" s="23"/>
      <c r="AV10" s="23"/>
      <c r="AW10" s="23"/>
      <c r="BC10" s="13"/>
      <c r="BD10" s="13"/>
    </row>
    <row r="11" spans="1:59">
      <c r="A11" s="15"/>
      <c r="B11" s="38" t="s">
        <v>18</v>
      </c>
      <c r="C11" s="31">
        <v>43941</v>
      </c>
      <c r="D11" s="40">
        <v>5</v>
      </c>
      <c r="E11" s="39">
        <v>43949</v>
      </c>
      <c r="F11" s="31">
        <v>43941</v>
      </c>
      <c r="G11" s="40">
        <v>5</v>
      </c>
      <c r="H11" s="39">
        <v>43949</v>
      </c>
      <c r="I11" s="20"/>
      <c r="J11" s="21"/>
      <c r="L11" s="22" t="str">
        <f t="shared" si="4"/>
        <v/>
      </c>
      <c r="M11" s="22" t="str">
        <f t="shared" si="4"/>
        <v/>
      </c>
      <c r="N11" s="22" t="str">
        <f t="shared" si="4"/>
        <v/>
      </c>
      <c r="O11" s="22" t="str">
        <f t="shared" si="4"/>
        <v/>
      </c>
      <c r="P11" s="22" t="str">
        <f t="shared" si="4"/>
        <v/>
      </c>
      <c r="Q11" s="22" t="str">
        <f t="shared" si="4"/>
        <v/>
      </c>
      <c r="R11" s="22" t="str">
        <f t="shared" si="4"/>
        <v/>
      </c>
      <c r="S11" s="22" t="str">
        <f t="shared" si="4"/>
        <v/>
      </c>
      <c r="T11" s="22" t="str">
        <f t="shared" si="4"/>
        <v/>
      </c>
      <c r="U11" s="22" t="str">
        <f t="shared" si="4"/>
        <v/>
      </c>
      <c r="V11" s="22" t="str">
        <f t="shared" si="4"/>
        <v/>
      </c>
      <c r="W11" s="22" t="str">
        <f t="shared" si="4"/>
        <v/>
      </c>
      <c r="X11" s="22" t="str">
        <f t="shared" si="4"/>
        <v/>
      </c>
      <c r="Y11" s="22" t="str">
        <f t="shared" si="4"/>
        <v/>
      </c>
      <c r="Z11" s="22" t="str">
        <f t="shared" si="4"/>
        <v/>
      </c>
      <c r="AA11" s="22" t="str">
        <f t="shared" si="4"/>
        <v/>
      </c>
      <c r="AB11" s="22" t="str">
        <f t="shared" si="5"/>
        <v/>
      </c>
      <c r="AC11" s="22" t="str">
        <f t="shared" si="5"/>
        <v/>
      </c>
      <c r="AD11" s="22">
        <f t="shared" si="5"/>
        <v>1</v>
      </c>
      <c r="AE11" s="22">
        <f t="shared" si="5"/>
        <v>3</v>
      </c>
      <c r="AF11" s="22" t="str">
        <f t="shared" si="5"/>
        <v/>
      </c>
      <c r="AG11" s="22" t="str">
        <f t="shared" si="5"/>
        <v/>
      </c>
      <c r="AH11" s="22" t="str">
        <f t="shared" si="5"/>
        <v/>
      </c>
      <c r="AI11" s="22" t="str">
        <f t="shared" si="5"/>
        <v/>
      </c>
      <c r="AJ11" s="22" t="str">
        <f t="shared" si="5"/>
        <v/>
      </c>
      <c r="AK11" s="22" t="str">
        <f t="shared" si="5"/>
        <v/>
      </c>
      <c r="AL11" s="22" t="str">
        <f t="shared" si="5"/>
        <v/>
      </c>
      <c r="AM11" s="22" t="str">
        <f t="shared" si="5"/>
        <v/>
      </c>
      <c r="AN11" s="22" t="str">
        <f t="shared" si="5"/>
        <v/>
      </c>
      <c r="AO11" s="22" t="str">
        <f t="shared" si="5"/>
        <v/>
      </c>
      <c r="AP11" s="22" t="str">
        <f t="shared" si="5"/>
        <v/>
      </c>
      <c r="AQ11" s="22" t="str">
        <f t="shared" si="5"/>
        <v/>
      </c>
      <c r="AR11" s="23"/>
      <c r="AS11" s="23"/>
      <c r="AT11" s="23"/>
      <c r="AU11" s="23"/>
      <c r="AV11" s="23"/>
      <c r="AW11" s="23"/>
      <c r="BC11" s="13"/>
      <c r="BD11" s="13"/>
    </row>
    <row r="12" spans="1:59" ht="15.5">
      <c r="A12" s="15">
        <v>5</v>
      </c>
      <c r="B12" s="41" t="s">
        <v>19</v>
      </c>
      <c r="C12" s="31">
        <v>43936</v>
      </c>
      <c r="D12" s="40">
        <v>5</v>
      </c>
      <c r="E12" s="39">
        <v>43943</v>
      </c>
      <c r="F12" s="31">
        <v>43936</v>
      </c>
      <c r="G12" s="40">
        <v>5</v>
      </c>
      <c r="H12" s="39">
        <v>43943</v>
      </c>
      <c r="I12" s="20"/>
      <c r="J12" s="21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3"/>
      <c r="AS12" s="23"/>
      <c r="AT12" s="23"/>
      <c r="AU12" s="23"/>
      <c r="AV12" s="23"/>
      <c r="AW12" s="23"/>
    </row>
    <row r="13" spans="1:59" ht="15.5">
      <c r="A13" s="15">
        <v>6</v>
      </c>
      <c r="B13" s="42" t="s">
        <v>20</v>
      </c>
      <c r="C13" s="31">
        <v>43963</v>
      </c>
      <c r="D13" s="40">
        <v>5</v>
      </c>
      <c r="E13" s="39">
        <v>43970</v>
      </c>
      <c r="F13" s="31">
        <v>43963</v>
      </c>
      <c r="G13" s="40">
        <v>5</v>
      </c>
      <c r="H13" s="39">
        <v>43970</v>
      </c>
      <c r="I13" s="20"/>
      <c r="J13" s="21"/>
      <c r="L13" s="22" t="str">
        <f t="shared" ref="L13:AA14" si="6">IF(AND($F13&lt;(L$2+7),$F13&gt;L$2),1,
IF(AND($H13&lt;L$2+7,$H13&gt;L$2),3,
IF(AND($F13&lt;=L$2, $H13&gt;=L$2),  2,
"" )))</f>
        <v/>
      </c>
      <c r="M13" s="22" t="str">
        <f t="shared" si="6"/>
        <v/>
      </c>
      <c r="N13" s="22" t="str">
        <f t="shared" si="6"/>
        <v/>
      </c>
      <c r="O13" s="22" t="str">
        <f t="shared" si="6"/>
        <v/>
      </c>
      <c r="P13" s="22" t="str">
        <f t="shared" si="6"/>
        <v/>
      </c>
      <c r="Q13" s="22" t="str">
        <f t="shared" si="6"/>
        <v/>
      </c>
      <c r="R13" s="22" t="str">
        <f t="shared" si="6"/>
        <v/>
      </c>
      <c r="S13" s="22" t="str">
        <f t="shared" si="6"/>
        <v/>
      </c>
      <c r="T13" s="22" t="str">
        <f t="shared" si="6"/>
        <v/>
      </c>
      <c r="U13" s="22" t="str">
        <f t="shared" si="6"/>
        <v/>
      </c>
      <c r="V13" s="22" t="str">
        <f t="shared" si="6"/>
        <v/>
      </c>
      <c r="W13" s="22" t="str">
        <f t="shared" si="6"/>
        <v/>
      </c>
      <c r="X13" s="22" t="str">
        <f t="shared" si="6"/>
        <v/>
      </c>
      <c r="Y13" s="22" t="str">
        <f t="shared" si="6"/>
        <v/>
      </c>
      <c r="Z13" s="22" t="str">
        <f t="shared" si="6"/>
        <v/>
      </c>
      <c r="AA13" s="22" t="str">
        <f t="shared" si="6"/>
        <v/>
      </c>
      <c r="AB13" s="22" t="str">
        <f t="shared" ref="AB13:AQ14" si="7">IF(AND($F13&lt;(AB$2+7),$F13&gt;AB$2),1,
IF(AND($H13&lt;AB$2+7,$H13&gt;AB$2),3,
IF(AND($F13&lt;=AB$2, $H13&gt;=AB$2),  2,
"" )))</f>
        <v/>
      </c>
      <c r="AC13" s="22" t="str">
        <f t="shared" si="7"/>
        <v/>
      </c>
      <c r="AD13" s="22" t="str">
        <f t="shared" si="7"/>
        <v/>
      </c>
      <c r="AE13" s="22" t="str">
        <f t="shared" si="7"/>
        <v/>
      </c>
      <c r="AF13" s="22" t="str">
        <f t="shared" si="7"/>
        <v/>
      </c>
      <c r="AG13" s="22" t="str">
        <f t="shared" si="7"/>
        <v/>
      </c>
      <c r="AH13" s="22">
        <f t="shared" si="7"/>
        <v>1</v>
      </c>
      <c r="AI13" s="22">
        <f t="shared" si="7"/>
        <v>3</v>
      </c>
      <c r="AJ13" s="22" t="str">
        <f t="shared" si="7"/>
        <v/>
      </c>
      <c r="AK13" s="22" t="str">
        <f t="shared" si="7"/>
        <v/>
      </c>
      <c r="AL13" s="22" t="str">
        <f t="shared" si="7"/>
        <v/>
      </c>
      <c r="AM13" s="22" t="str">
        <f t="shared" si="7"/>
        <v/>
      </c>
      <c r="AN13" s="22" t="str">
        <f t="shared" si="7"/>
        <v/>
      </c>
      <c r="AO13" s="22" t="str">
        <f t="shared" si="7"/>
        <v/>
      </c>
      <c r="AP13" s="22" t="str">
        <f t="shared" si="7"/>
        <v/>
      </c>
      <c r="AQ13" s="22" t="str">
        <f t="shared" si="7"/>
        <v/>
      </c>
      <c r="AR13" s="23"/>
      <c r="AS13" s="23"/>
      <c r="AT13" s="23"/>
      <c r="AU13" s="23"/>
      <c r="AV13" s="23"/>
      <c r="AW13" s="23"/>
    </row>
    <row r="14" spans="1:59" ht="15.5">
      <c r="A14" s="32">
        <v>7</v>
      </c>
      <c r="B14" s="43" t="s">
        <v>21</v>
      </c>
      <c r="C14" s="34">
        <v>43983</v>
      </c>
      <c r="D14" s="35">
        <v>9</v>
      </c>
      <c r="E14" s="44">
        <v>43994</v>
      </c>
      <c r="F14" s="34">
        <v>43983</v>
      </c>
      <c r="G14" s="35">
        <v>9</v>
      </c>
      <c r="H14" s="44">
        <v>43994</v>
      </c>
      <c r="I14" s="37"/>
      <c r="J14" s="21"/>
      <c r="L14" s="22" t="str">
        <f t="shared" si="6"/>
        <v/>
      </c>
      <c r="M14" s="22" t="str">
        <f t="shared" si="6"/>
        <v/>
      </c>
      <c r="N14" s="22" t="str">
        <f t="shared" si="6"/>
        <v/>
      </c>
      <c r="O14" s="22" t="str">
        <f t="shared" si="6"/>
        <v/>
      </c>
      <c r="P14" s="22" t="str">
        <f t="shared" si="6"/>
        <v/>
      </c>
      <c r="Q14" s="22" t="str">
        <f t="shared" si="6"/>
        <v/>
      </c>
      <c r="R14" s="22" t="str">
        <f t="shared" si="6"/>
        <v/>
      </c>
      <c r="S14" s="22" t="str">
        <f t="shared" si="6"/>
        <v/>
      </c>
      <c r="T14" s="22" t="str">
        <f t="shared" si="6"/>
        <v/>
      </c>
      <c r="U14" s="22" t="str">
        <f t="shared" si="6"/>
        <v/>
      </c>
      <c r="V14" s="22" t="str">
        <f t="shared" si="6"/>
        <v/>
      </c>
      <c r="W14" s="22" t="str">
        <f t="shared" si="6"/>
        <v/>
      </c>
      <c r="X14" s="22" t="str">
        <f t="shared" si="6"/>
        <v/>
      </c>
      <c r="Y14" s="22" t="str">
        <f t="shared" si="6"/>
        <v/>
      </c>
      <c r="Z14" s="22" t="str">
        <f t="shared" si="6"/>
        <v/>
      </c>
      <c r="AA14" s="22" t="str">
        <f t="shared" si="6"/>
        <v/>
      </c>
      <c r="AB14" s="22" t="str">
        <f t="shared" si="7"/>
        <v/>
      </c>
      <c r="AC14" s="22" t="str">
        <f t="shared" si="7"/>
        <v/>
      </c>
      <c r="AD14" s="22" t="str">
        <f t="shared" si="7"/>
        <v/>
      </c>
      <c r="AE14" s="22" t="str">
        <f t="shared" si="7"/>
        <v/>
      </c>
      <c r="AF14" s="22" t="str">
        <f t="shared" si="7"/>
        <v/>
      </c>
      <c r="AG14" s="22" t="str">
        <f t="shared" si="7"/>
        <v/>
      </c>
      <c r="AH14" s="22" t="str">
        <f t="shared" si="7"/>
        <v/>
      </c>
      <c r="AI14" s="22" t="str">
        <f t="shared" si="7"/>
        <v/>
      </c>
      <c r="AJ14" s="22" t="str">
        <f t="shared" si="7"/>
        <v/>
      </c>
      <c r="AK14" s="22">
        <f t="shared" si="7"/>
        <v>1</v>
      </c>
      <c r="AL14" s="22">
        <f t="shared" si="7"/>
        <v>1</v>
      </c>
      <c r="AM14" s="22">
        <f t="shared" si="7"/>
        <v>3</v>
      </c>
      <c r="AN14" s="22" t="str">
        <f t="shared" si="7"/>
        <v/>
      </c>
      <c r="AO14" s="22" t="str">
        <f t="shared" si="7"/>
        <v/>
      </c>
      <c r="AP14" s="22" t="str">
        <f t="shared" si="7"/>
        <v/>
      </c>
      <c r="AQ14" s="22" t="str">
        <f t="shared" si="7"/>
        <v/>
      </c>
      <c r="AR14" s="23"/>
      <c r="AS14" s="23"/>
      <c r="AT14" s="23"/>
      <c r="AU14" s="23"/>
      <c r="AV14" s="23"/>
      <c r="AW14" s="23"/>
    </row>
    <row r="15" spans="1:59">
      <c r="A15" s="15"/>
      <c r="B15" s="45" t="s">
        <v>22</v>
      </c>
      <c r="C15" s="31">
        <v>43983</v>
      </c>
      <c r="D15" s="40">
        <v>2</v>
      </c>
      <c r="E15" s="39">
        <v>43985</v>
      </c>
      <c r="F15" s="31">
        <v>43983</v>
      </c>
      <c r="G15" s="40">
        <v>2</v>
      </c>
      <c r="H15" s="39">
        <v>43985</v>
      </c>
      <c r="I15" s="20"/>
      <c r="J15" s="21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3"/>
      <c r="AS15" s="23"/>
      <c r="AT15" s="23"/>
      <c r="AU15" s="23"/>
      <c r="AV15" s="23"/>
      <c r="AW15" s="23"/>
    </row>
    <row r="16" spans="1:59">
      <c r="A16" s="15"/>
      <c r="B16" s="45" t="s">
        <v>23</v>
      </c>
      <c r="C16" s="31">
        <v>43990</v>
      </c>
      <c r="D16" s="40">
        <v>2</v>
      </c>
      <c r="E16" s="39">
        <v>43992</v>
      </c>
      <c r="F16" s="31">
        <v>43990</v>
      </c>
      <c r="G16" s="40">
        <v>2</v>
      </c>
      <c r="H16" s="39">
        <v>43992</v>
      </c>
      <c r="I16" s="20"/>
      <c r="J16" s="21"/>
      <c r="L16" s="22" t="str">
        <f t="shared" ref="L16:AQ16" si="8">IF(AND($F16&lt;(L$2+7),$F16&gt;L$2),1,
IF(AND($H16&lt;L$2+7,$H16&gt;L$2),3,
IF(AND($F16&lt;=L$2, $H16&gt;=L$2),  2,
"" )))</f>
        <v/>
      </c>
      <c r="M16" s="22" t="str">
        <f t="shared" si="8"/>
        <v/>
      </c>
      <c r="N16" s="22" t="str">
        <f t="shared" si="8"/>
        <v/>
      </c>
      <c r="O16" s="22" t="str">
        <f t="shared" si="8"/>
        <v/>
      </c>
      <c r="P16" s="22" t="str">
        <f t="shared" si="8"/>
        <v/>
      </c>
      <c r="Q16" s="22" t="str">
        <f t="shared" si="8"/>
        <v/>
      </c>
      <c r="R16" s="22" t="str">
        <f t="shared" si="8"/>
        <v/>
      </c>
      <c r="S16" s="22" t="str">
        <f t="shared" si="8"/>
        <v/>
      </c>
      <c r="T16" s="22" t="str">
        <f t="shared" si="8"/>
        <v/>
      </c>
      <c r="U16" s="22" t="str">
        <f t="shared" si="8"/>
        <v/>
      </c>
      <c r="V16" s="22" t="str">
        <f t="shared" si="8"/>
        <v/>
      </c>
      <c r="W16" s="22" t="str">
        <f t="shared" si="8"/>
        <v/>
      </c>
      <c r="X16" s="22" t="str">
        <f t="shared" si="8"/>
        <v/>
      </c>
      <c r="Y16" s="22" t="str">
        <f t="shared" si="8"/>
        <v/>
      </c>
      <c r="Z16" s="22" t="str">
        <f t="shared" si="8"/>
        <v/>
      </c>
      <c r="AA16" s="22" t="str">
        <f t="shared" si="8"/>
        <v/>
      </c>
      <c r="AB16" s="22" t="str">
        <f t="shared" si="8"/>
        <v/>
      </c>
      <c r="AC16" s="22" t="str">
        <f t="shared" si="8"/>
        <v/>
      </c>
      <c r="AD16" s="22" t="str">
        <f t="shared" si="8"/>
        <v/>
      </c>
      <c r="AE16" s="22" t="str">
        <f t="shared" si="8"/>
        <v/>
      </c>
      <c r="AF16" s="22" t="str">
        <f t="shared" si="8"/>
        <v/>
      </c>
      <c r="AG16" s="22" t="str">
        <f t="shared" si="8"/>
        <v/>
      </c>
      <c r="AH16" s="22" t="str">
        <f t="shared" si="8"/>
        <v/>
      </c>
      <c r="AI16" s="22" t="str">
        <f t="shared" si="8"/>
        <v/>
      </c>
      <c r="AJ16" s="22" t="str">
        <f t="shared" si="8"/>
        <v/>
      </c>
      <c r="AK16" s="22" t="str">
        <f t="shared" si="8"/>
        <v/>
      </c>
      <c r="AL16" s="22" t="str">
        <f t="shared" si="8"/>
        <v/>
      </c>
      <c r="AM16" s="22">
        <f t="shared" si="8"/>
        <v>1</v>
      </c>
      <c r="AN16" s="22" t="str">
        <f t="shared" si="8"/>
        <v/>
      </c>
      <c r="AO16" s="22" t="str">
        <f t="shared" si="8"/>
        <v/>
      </c>
      <c r="AP16" s="22" t="str">
        <f t="shared" si="8"/>
        <v/>
      </c>
      <c r="AQ16" s="22" t="str">
        <f t="shared" si="8"/>
        <v/>
      </c>
      <c r="AR16" s="23"/>
      <c r="AS16" s="23"/>
      <c r="AT16" s="23"/>
      <c r="AU16" s="23"/>
      <c r="AV16" s="23"/>
      <c r="AW16" s="23"/>
    </row>
    <row r="17" spans="1:49">
      <c r="A17" s="15"/>
      <c r="B17" s="45" t="s">
        <v>24</v>
      </c>
      <c r="C17" s="31">
        <v>43983</v>
      </c>
      <c r="D17" s="40">
        <v>2</v>
      </c>
      <c r="E17" s="39">
        <v>43985</v>
      </c>
      <c r="F17" s="31">
        <v>43983</v>
      </c>
      <c r="G17" s="40">
        <v>2</v>
      </c>
      <c r="H17" s="39">
        <v>43985</v>
      </c>
      <c r="I17" s="20"/>
      <c r="J17" s="21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3"/>
      <c r="AS17" s="23"/>
      <c r="AT17" s="23"/>
      <c r="AU17" s="23"/>
      <c r="AV17" s="23"/>
      <c r="AW17" s="23"/>
    </row>
    <row r="18" spans="1:49">
      <c r="A18" s="25" t="s">
        <v>25</v>
      </c>
      <c r="B18" s="46" t="s">
        <v>26</v>
      </c>
      <c r="C18" s="27">
        <v>43992</v>
      </c>
      <c r="D18" s="47">
        <v>2</v>
      </c>
      <c r="E18" s="48">
        <v>43994</v>
      </c>
      <c r="F18" s="27">
        <v>43992</v>
      </c>
      <c r="G18" s="47">
        <v>2</v>
      </c>
      <c r="H18" s="48">
        <v>43994</v>
      </c>
      <c r="I18" s="30"/>
      <c r="J18" s="21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3"/>
      <c r="AS18" s="23"/>
      <c r="AT18" s="23"/>
      <c r="AU18" s="23"/>
      <c r="AV18" s="23"/>
      <c r="AW18" s="23"/>
    </row>
    <row r="19" spans="1:49">
      <c r="A19" s="15"/>
      <c r="B19" s="45" t="s">
        <v>27</v>
      </c>
      <c r="C19" s="31">
        <v>43983</v>
      </c>
      <c r="D19" s="40">
        <v>2</v>
      </c>
      <c r="E19" s="39">
        <v>43985</v>
      </c>
      <c r="F19" s="31">
        <v>43983</v>
      </c>
      <c r="G19" s="40">
        <v>2</v>
      </c>
      <c r="H19" s="39">
        <v>43985</v>
      </c>
      <c r="I19" s="20"/>
      <c r="J19" s="21"/>
      <c r="L19" s="22" t="str">
        <f t="shared" ref="L19:AQ20" si="9">IF(AND($F19&lt;(L$2+7),$F19&gt;L$2),1,
IF(AND($H19&lt;L$2+7,$H19&gt;L$2),3,
IF(AND($F19&lt;=L$2, $H19&gt;=L$2),  2,
"" )))</f>
        <v/>
      </c>
      <c r="M19" s="22" t="str">
        <f t="shared" si="9"/>
        <v/>
      </c>
      <c r="N19" s="22" t="str">
        <f t="shared" si="9"/>
        <v/>
      </c>
      <c r="O19" s="22" t="str">
        <f t="shared" si="9"/>
        <v/>
      </c>
      <c r="P19" s="22" t="str">
        <f t="shared" si="9"/>
        <v/>
      </c>
      <c r="Q19" s="22" t="str">
        <f t="shared" si="9"/>
        <v/>
      </c>
      <c r="R19" s="22" t="str">
        <f t="shared" si="9"/>
        <v/>
      </c>
      <c r="S19" s="22" t="str">
        <f t="shared" si="9"/>
        <v/>
      </c>
      <c r="T19" s="22" t="str">
        <f t="shared" si="9"/>
        <v/>
      </c>
      <c r="U19" s="22" t="str">
        <f t="shared" si="9"/>
        <v/>
      </c>
      <c r="V19" s="22" t="str">
        <f t="shared" si="9"/>
        <v/>
      </c>
      <c r="W19" s="22" t="str">
        <f t="shared" si="9"/>
        <v/>
      </c>
      <c r="X19" s="22" t="str">
        <f t="shared" si="9"/>
        <v/>
      </c>
      <c r="Y19" s="22" t="str">
        <f t="shared" si="9"/>
        <v/>
      </c>
      <c r="Z19" s="22" t="str">
        <f t="shared" si="9"/>
        <v/>
      </c>
      <c r="AA19" s="22" t="str">
        <f t="shared" si="9"/>
        <v/>
      </c>
      <c r="AB19" s="22" t="str">
        <f t="shared" si="9"/>
        <v/>
      </c>
      <c r="AC19" s="22" t="str">
        <f t="shared" si="9"/>
        <v/>
      </c>
      <c r="AD19" s="22" t="str">
        <f t="shared" si="9"/>
        <v/>
      </c>
      <c r="AE19" s="22" t="str">
        <f t="shared" si="9"/>
        <v/>
      </c>
      <c r="AF19" s="22" t="str">
        <f t="shared" si="9"/>
        <v/>
      </c>
      <c r="AG19" s="22" t="str">
        <f t="shared" si="9"/>
        <v/>
      </c>
      <c r="AH19" s="22" t="str">
        <f t="shared" si="9"/>
        <v/>
      </c>
      <c r="AI19" s="22" t="str">
        <f t="shared" si="9"/>
        <v/>
      </c>
      <c r="AJ19" s="22" t="str">
        <f t="shared" si="9"/>
        <v/>
      </c>
      <c r="AK19" s="22">
        <f t="shared" si="9"/>
        <v>1</v>
      </c>
      <c r="AL19" s="22">
        <f t="shared" si="9"/>
        <v>1</v>
      </c>
      <c r="AM19" s="22" t="str">
        <f t="shared" si="9"/>
        <v/>
      </c>
      <c r="AN19" s="22" t="str">
        <f t="shared" si="9"/>
        <v/>
      </c>
      <c r="AO19" s="22" t="str">
        <f t="shared" si="9"/>
        <v/>
      </c>
      <c r="AP19" s="22" t="str">
        <f t="shared" si="9"/>
        <v/>
      </c>
      <c r="AQ19" s="22" t="str">
        <f t="shared" si="9"/>
        <v/>
      </c>
      <c r="AR19" s="23"/>
      <c r="AS19" s="23"/>
      <c r="AT19" s="23"/>
      <c r="AU19" s="23"/>
      <c r="AV19" s="23"/>
      <c r="AW19" s="23"/>
    </row>
    <row r="20" spans="1:49">
      <c r="A20" s="15"/>
      <c r="B20" s="45" t="s">
        <v>28</v>
      </c>
      <c r="C20" s="31">
        <v>43983</v>
      </c>
      <c r="D20" s="18">
        <v>1</v>
      </c>
      <c r="E20" s="39">
        <v>43984</v>
      </c>
      <c r="F20" s="31">
        <v>43983</v>
      </c>
      <c r="G20" s="18">
        <v>1</v>
      </c>
      <c r="H20" s="39">
        <v>43984</v>
      </c>
      <c r="I20" s="20"/>
      <c r="J20" s="21"/>
      <c r="L20" s="22" t="str">
        <f t="shared" si="9"/>
        <v/>
      </c>
      <c r="M20" s="22" t="str">
        <f t="shared" si="9"/>
        <v/>
      </c>
      <c r="N20" s="22" t="str">
        <f t="shared" si="9"/>
        <v/>
      </c>
      <c r="O20" s="22" t="str">
        <f t="shared" si="9"/>
        <v/>
      </c>
      <c r="P20" s="22" t="str">
        <f t="shared" si="9"/>
        <v/>
      </c>
      <c r="Q20" s="22" t="str">
        <f t="shared" si="9"/>
        <v/>
      </c>
      <c r="R20" s="22" t="str">
        <f t="shared" si="9"/>
        <v/>
      </c>
      <c r="S20" s="22" t="str">
        <f t="shared" si="9"/>
        <v/>
      </c>
      <c r="T20" s="22" t="str">
        <f t="shared" si="9"/>
        <v/>
      </c>
      <c r="U20" s="22" t="str">
        <f t="shared" si="9"/>
        <v/>
      </c>
      <c r="V20" s="22" t="str">
        <f t="shared" si="9"/>
        <v/>
      </c>
      <c r="W20" s="22" t="str">
        <f t="shared" si="9"/>
        <v/>
      </c>
      <c r="X20" s="22" t="str">
        <f t="shared" si="9"/>
        <v/>
      </c>
      <c r="Y20" s="22" t="str">
        <f t="shared" si="9"/>
        <v/>
      </c>
      <c r="Z20" s="22" t="str">
        <f t="shared" si="9"/>
        <v/>
      </c>
      <c r="AA20" s="22" t="str">
        <f t="shared" si="9"/>
        <v/>
      </c>
      <c r="AB20" s="22" t="str">
        <f t="shared" si="9"/>
        <v/>
      </c>
      <c r="AC20" s="22" t="str">
        <f t="shared" si="9"/>
        <v/>
      </c>
      <c r="AD20" s="22" t="str">
        <f t="shared" si="9"/>
        <v/>
      </c>
      <c r="AE20" s="22" t="str">
        <f t="shared" si="9"/>
        <v/>
      </c>
      <c r="AF20" s="22" t="str">
        <f t="shared" si="9"/>
        <v/>
      </c>
      <c r="AG20" s="22" t="str">
        <f t="shared" si="9"/>
        <v/>
      </c>
      <c r="AH20" s="22" t="str">
        <f t="shared" si="9"/>
        <v/>
      </c>
      <c r="AI20" s="22" t="str">
        <f t="shared" si="9"/>
        <v/>
      </c>
      <c r="AJ20" s="22" t="str">
        <f t="shared" si="9"/>
        <v/>
      </c>
      <c r="AK20" s="22">
        <f t="shared" si="9"/>
        <v>1</v>
      </c>
      <c r="AL20" s="22">
        <f t="shared" si="9"/>
        <v>1</v>
      </c>
      <c r="AM20" s="22" t="str">
        <f t="shared" si="9"/>
        <v/>
      </c>
      <c r="AN20" s="22" t="str">
        <f t="shared" si="9"/>
        <v/>
      </c>
      <c r="AO20" s="22" t="str">
        <f t="shared" si="9"/>
        <v/>
      </c>
      <c r="AP20" s="22" t="str">
        <f t="shared" si="9"/>
        <v/>
      </c>
      <c r="AQ20" s="22" t="str">
        <f t="shared" si="9"/>
        <v/>
      </c>
      <c r="AR20" s="23"/>
      <c r="AS20" s="23"/>
      <c r="AT20" s="23"/>
      <c r="AU20" s="23"/>
      <c r="AV20" s="23"/>
      <c r="AW20" s="23"/>
    </row>
    <row r="21" spans="1:49">
      <c r="A21" s="25" t="s">
        <v>29</v>
      </c>
      <c r="B21" s="46" t="s">
        <v>30</v>
      </c>
      <c r="C21" s="27">
        <v>43985</v>
      </c>
      <c r="D21" s="47">
        <v>2</v>
      </c>
      <c r="E21" s="48">
        <v>43987</v>
      </c>
      <c r="F21" s="27">
        <v>43985</v>
      </c>
      <c r="G21" s="47">
        <v>2</v>
      </c>
      <c r="H21" s="48">
        <v>43987</v>
      </c>
      <c r="I21" s="30"/>
      <c r="J21" s="21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3"/>
      <c r="AS21" s="23"/>
      <c r="AT21" s="23"/>
      <c r="AU21" s="23"/>
      <c r="AV21" s="23"/>
      <c r="AW21" s="23"/>
    </row>
    <row r="22" spans="1:49">
      <c r="A22" s="32">
        <v>8</v>
      </c>
      <c r="B22" s="49" t="s">
        <v>31</v>
      </c>
      <c r="C22" s="50">
        <v>43990</v>
      </c>
      <c r="D22" s="51">
        <v>22</v>
      </c>
      <c r="E22" s="52">
        <v>44012</v>
      </c>
      <c r="F22" s="50">
        <v>43990</v>
      </c>
      <c r="G22" s="51">
        <v>22</v>
      </c>
      <c r="H22" s="52">
        <v>44012</v>
      </c>
      <c r="I22" s="37"/>
      <c r="J22" s="21"/>
      <c r="L22" s="22" t="str">
        <f t="shared" ref="L22:AQ31" si="10">IF(AND($F22&lt;(L$2+7),$F22&gt;L$2),1,
IF(AND($H22&lt;L$2+7,$H22&gt;L$2),3,
IF(AND($F22&lt;=L$2, $H22&gt;=L$2),  2,
"" )))</f>
        <v/>
      </c>
      <c r="M22" s="22" t="str">
        <f t="shared" si="10"/>
        <v/>
      </c>
      <c r="N22" s="22" t="str">
        <f t="shared" si="10"/>
        <v/>
      </c>
      <c r="O22" s="22" t="str">
        <f t="shared" si="10"/>
        <v/>
      </c>
      <c r="P22" s="22" t="str">
        <f t="shared" si="10"/>
        <v/>
      </c>
      <c r="Q22" s="22" t="str">
        <f t="shared" si="10"/>
        <v/>
      </c>
      <c r="R22" s="22" t="str">
        <f t="shared" si="10"/>
        <v/>
      </c>
      <c r="S22" s="22" t="str">
        <f t="shared" si="10"/>
        <v/>
      </c>
      <c r="T22" s="22" t="str">
        <f t="shared" si="10"/>
        <v/>
      </c>
      <c r="U22" s="22" t="str">
        <f t="shared" si="10"/>
        <v/>
      </c>
      <c r="V22" s="22" t="str">
        <f t="shared" si="10"/>
        <v/>
      </c>
      <c r="W22" s="22" t="str">
        <f t="shared" si="10"/>
        <v/>
      </c>
      <c r="X22" s="22" t="str">
        <f t="shared" si="10"/>
        <v/>
      </c>
      <c r="Y22" s="22" t="str">
        <f t="shared" si="10"/>
        <v/>
      </c>
      <c r="Z22" s="22" t="str">
        <f t="shared" si="10"/>
        <v/>
      </c>
      <c r="AA22" s="22" t="str">
        <f t="shared" si="10"/>
        <v/>
      </c>
      <c r="AB22" s="22" t="str">
        <f t="shared" si="10"/>
        <v/>
      </c>
      <c r="AC22" s="22" t="str">
        <f t="shared" si="10"/>
        <v/>
      </c>
      <c r="AD22" s="22" t="str">
        <f t="shared" si="10"/>
        <v/>
      </c>
      <c r="AE22" s="22" t="str">
        <f t="shared" si="10"/>
        <v/>
      </c>
      <c r="AF22" s="22" t="str">
        <f t="shared" si="10"/>
        <v/>
      </c>
      <c r="AG22" s="22" t="str">
        <f t="shared" si="10"/>
        <v/>
      </c>
      <c r="AH22" s="22" t="str">
        <f t="shared" si="10"/>
        <v/>
      </c>
      <c r="AI22" s="22" t="str">
        <f t="shared" si="10"/>
        <v/>
      </c>
      <c r="AJ22" s="22" t="str">
        <f t="shared" si="10"/>
        <v/>
      </c>
      <c r="AK22" s="22" t="str">
        <f t="shared" si="10"/>
        <v/>
      </c>
      <c r="AL22" s="22" t="str">
        <f t="shared" si="10"/>
        <v/>
      </c>
      <c r="AM22" s="22">
        <f t="shared" si="10"/>
        <v>1</v>
      </c>
      <c r="AN22" s="22">
        <f t="shared" si="10"/>
        <v>2</v>
      </c>
      <c r="AO22" s="22">
        <f t="shared" si="10"/>
        <v>2</v>
      </c>
      <c r="AP22" s="22">
        <f t="shared" si="10"/>
        <v>3</v>
      </c>
      <c r="AQ22" s="22">
        <f t="shared" si="10"/>
        <v>2</v>
      </c>
      <c r="AR22" s="23"/>
      <c r="AS22" s="23"/>
      <c r="AT22" s="23"/>
      <c r="AU22" s="23"/>
      <c r="AV22" s="23"/>
      <c r="AW22" s="23"/>
    </row>
    <row r="23" spans="1:49">
      <c r="A23" s="15"/>
      <c r="B23" s="53" t="s">
        <v>32</v>
      </c>
      <c r="C23" s="31">
        <v>43990</v>
      </c>
      <c r="D23" s="18">
        <v>1</v>
      </c>
      <c r="E23" s="39">
        <v>43991</v>
      </c>
      <c r="F23" s="31">
        <v>43990</v>
      </c>
      <c r="G23" s="18">
        <v>1</v>
      </c>
      <c r="H23" s="39">
        <v>43991</v>
      </c>
      <c r="I23" s="20"/>
      <c r="J23" s="21" t="s">
        <v>33</v>
      </c>
      <c r="L23" s="22" t="str">
        <f t="shared" si="10"/>
        <v/>
      </c>
      <c r="M23" s="22" t="str">
        <f t="shared" si="10"/>
        <v/>
      </c>
      <c r="N23" s="22" t="str">
        <f t="shared" si="10"/>
        <v/>
      </c>
      <c r="O23" s="22" t="str">
        <f t="shared" si="10"/>
        <v/>
      </c>
      <c r="P23" s="22" t="str">
        <f t="shared" si="10"/>
        <v/>
      </c>
      <c r="Q23" s="22" t="str">
        <f t="shared" si="10"/>
        <v/>
      </c>
      <c r="R23" s="22" t="str">
        <f t="shared" si="10"/>
        <v/>
      </c>
      <c r="S23" s="22" t="str">
        <f t="shared" si="10"/>
        <v/>
      </c>
      <c r="T23" s="22" t="str">
        <f t="shared" si="10"/>
        <v/>
      </c>
      <c r="U23" s="22" t="str">
        <f t="shared" si="10"/>
        <v/>
      </c>
      <c r="V23" s="22" t="str">
        <f t="shared" si="10"/>
        <v/>
      </c>
      <c r="W23" s="22" t="str">
        <f t="shared" si="10"/>
        <v/>
      </c>
      <c r="X23" s="22" t="str">
        <f t="shared" si="10"/>
        <v/>
      </c>
      <c r="Y23" s="22" t="str">
        <f t="shared" si="10"/>
        <v/>
      </c>
      <c r="Z23" s="22" t="str">
        <f t="shared" si="10"/>
        <v/>
      </c>
      <c r="AA23" s="22" t="str">
        <f t="shared" si="10"/>
        <v/>
      </c>
      <c r="AB23" s="22" t="str">
        <f t="shared" si="10"/>
        <v/>
      </c>
      <c r="AC23" s="22" t="str">
        <f t="shared" si="10"/>
        <v/>
      </c>
      <c r="AD23" s="22" t="str">
        <f t="shared" si="10"/>
        <v/>
      </c>
      <c r="AE23" s="22" t="str">
        <f t="shared" si="10"/>
        <v/>
      </c>
      <c r="AF23" s="22" t="str">
        <f t="shared" si="10"/>
        <v/>
      </c>
      <c r="AG23" s="22" t="str">
        <f t="shared" si="10"/>
        <v/>
      </c>
      <c r="AH23" s="22" t="str">
        <f t="shared" si="10"/>
        <v/>
      </c>
      <c r="AI23" s="22" t="str">
        <f t="shared" si="10"/>
        <v/>
      </c>
      <c r="AJ23" s="22" t="str">
        <f t="shared" si="10"/>
        <v/>
      </c>
      <c r="AK23" s="22" t="str">
        <f t="shared" si="10"/>
        <v/>
      </c>
      <c r="AL23" s="22" t="str">
        <f t="shared" si="10"/>
        <v/>
      </c>
      <c r="AM23" s="22">
        <f t="shared" si="10"/>
        <v>1</v>
      </c>
      <c r="AN23" s="22" t="str">
        <f t="shared" si="10"/>
        <v/>
      </c>
      <c r="AO23" s="22" t="str">
        <f t="shared" si="10"/>
        <v/>
      </c>
      <c r="AP23" s="22" t="str">
        <f t="shared" si="10"/>
        <v/>
      </c>
      <c r="AQ23" s="22" t="str">
        <f t="shared" si="10"/>
        <v/>
      </c>
      <c r="AR23" s="23"/>
      <c r="AS23" s="23"/>
      <c r="AT23" s="23"/>
      <c r="AU23" s="23"/>
      <c r="AV23" s="23"/>
      <c r="AW23" s="23"/>
    </row>
    <row r="24" spans="1:49">
      <c r="A24" s="32">
        <v>9</v>
      </c>
      <c r="B24" s="54" t="s">
        <v>34</v>
      </c>
      <c r="C24" s="50">
        <v>43991</v>
      </c>
      <c r="D24" s="51">
        <v>16</v>
      </c>
      <c r="E24" s="55">
        <v>44012</v>
      </c>
      <c r="F24" s="50">
        <v>43991</v>
      </c>
      <c r="G24" s="51">
        <v>16</v>
      </c>
      <c r="H24" s="55">
        <v>44012</v>
      </c>
      <c r="I24" s="55"/>
      <c r="J24" s="21"/>
      <c r="L24" s="22" t="str">
        <f t="shared" si="10"/>
        <v/>
      </c>
      <c r="M24" s="22" t="str">
        <f t="shared" si="10"/>
        <v/>
      </c>
      <c r="N24" s="22" t="str">
        <f t="shared" si="10"/>
        <v/>
      </c>
      <c r="O24" s="22" t="str">
        <f t="shared" si="10"/>
        <v/>
      </c>
      <c r="P24" s="22" t="str">
        <f t="shared" si="10"/>
        <v/>
      </c>
      <c r="Q24" s="22" t="str">
        <f t="shared" si="10"/>
        <v/>
      </c>
      <c r="R24" s="22" t="str">
        <f t="shared" si="10"/>
        <v/>
      </c>
      <c r="S24" s="22" t="str">
        <f t="shared" si="10"/>
        <v/>
      </c>
      <c r="T24" s="22" t="str">
        <f t="shared" si="10"/>
        <v/>
      </c>
      <c r="U24" s="22" t="str">
        <f t="shared" si="10"/>
        <v/>
      </c>
      <c r="V24" s="22" t="str">
        <f t="shared" si="10"/>
        <v/>
      </c>
      <c r="W24" s="22" t="str">
        <f t="shared" si="10"/>
        <v/>
      </c>
      <c r="X24" s="22" t="str">
        <f t="shared" si="10"/>
        <v/>
      </c>
      <c r="Y24" s="22" t="str">
        <f t="shared" si="10"/>
        <v/>
      </c>
      <c r="Z24" s="22" t="str">
        <f t="shared" si="10"/>
        <v/>
      </c>
      <c r="AA24" s="22" t="str">
        <f t="shared" si="10"/>
        <v/>
      </c>
      <c r="AB24" s="22" t="str">
        <f t="shared" si="10"/>
        <v/>
      </c>
      <c r="AC24" s="22" t="str">
        <f t="shared" si="10"/>
        <v/>
      </c>
      <c r="AD24" s="22" t="str">
        <f t="shared" si="10"/>
        <v/>
      </c>
      <c r="AE24" s="22" t="str">
        <f t="shared" si="10"/>
        <v/>
      </c>
      <c r="AF24" s="22" t="str">
        <f t="shared" si="10"/>
        <v/>
      </c>
      <c r="AG24" s="22" t="str">
        <f t="shared" si="10"/>
        <v/>
      </c>
      <c r="AH24" s="22" t="str">
        <f t="shared" si="10"/>
        <v/>
      </c>
      <c r="AI24" s="22" t="str">
        <f t="shared" si="10"/>
        <v/>
      </c>
      <c r="AJ24" s="22" t="str">
        <f t="shared" si="10"/>
        <v/>
      </c>
      <c r="AK24" s="22" t="str">
        <f t="shared" si="10"/>
        <v/>
      </c>
      <c r="AL24" s="22" t="str">
        <f t="shared" si="10"/>
        <v/>
      </c>
      <c r="AM24" s="22">
        <f t="shared" si="10"/>
        <v>1</v>
      </c>
      <c r="AN24" s="22">
        <f t="shared" si="10"/>
        <v>2</v>
      </c>
      <c r="AO24" s="22">
        <f t="shared" si="10"/>
        <v>2</v>
      </c>
      <c r="AP24" s="22">
        <f t="shared" si="10"/>
        <v>3</v>
      </c>
      <c r="AQ24" s="22">
        <f t="shared" si="10"/>
        <v>2</v>
      </c>
      <c r="AR24" s="23"/>
      <c r="AS24" s="23"/>
      <c r="AT24" s="23"/>
      <c r="AU24" s="23"/>
      <c r="AV24" s="23"/>
      <c r="AW24" s="23"/>
    </row>
    <row r="25" spans="1:49">
      <c r="A25" s="15"/>
      <c r="B25" s="45" t="s">
        <v>35</v>
      </c>
      <c r="C25" s="31">
        <v>43991</v>
      </c>
      <c r="D25" s="18">
        <v>4</v>
      </c>
      <c r="E25" s="39">
        <v>43997</v>
      </c>
      <c r="F25" s="31">
        <v>43991</v>
      </c>
      <c r="G25" s="18">
        <v>4</v>
      </c>
      <c r="H25" s="39">
        <v>43997</v>
      </c>
      <c r="I25" s="20"/>
      <c r="J25" s="21"/>
      <c r="L25" s="22" t="str">
        <f t="shared" si="10"/>
        <v/>
      </c>
      <c r="M25" s="22" t="str">
        <f t="shared" si="10"/>
        <v/>
      </c>
      <c r="N25" s="22" t="str">
        <f t="shared" si="10"/>
        <v/>
      </c>
      <c r="O25" s="22" t="str">
        <f t="shared" si="10"/>
        <v/>
      </c>
      <c r="P25" s="22" t="str">
        <f t="shared" si="10"/>
        <v/>
      </c>
      <c r="Q25" s="22" t="str">
        <f t="shared" si="10"/>
        <v/>
      </c>
      <c r="R25" s="22" t="str">
        <f t="shared" si="10"/>
        <v/>
      </c>
      <c r="S25" s="22" t="str">
        <f t="shared" si="10"/>
        <v/>
      </c>
      <c r="T25" s="22" t="str">
        <f t="shared" si="10"/>
        <v/>
      </c>
      <c r="U25" s="22" t="str">
        <f t="shared" si="10"/>
        <v/>
      </c>
      <c r="V25" s="22" t="str">
        <f t="shared" si="10"/>
        <v/>
      </c>
      <c r="W25" s="22" t="str">
        <f t="shared" si="10"/>
        <v/>
      </c>
      <c r="X25" s="22" t="str">
        <f t="shared" si="10"/>
        <v/>
      </c>
      <c r="Y25" s="22" t="str">
        <f t="shared" si="10"/>
        <v/>
      </c>
      <c r="Z25" s="22" t="str">
        <f t="shared" si="10"/>
        <v/>
      </c>
      <c r="AA25" s="22" t="str">
        <f t="shared" si="10"/>
        <v/>
      </c>
      <c r="AB25" s="22" t="str">
        <f t="shared" si="10"/>
        <v/>
      </c>
      <c r="AC25" s="22" t="str">
        <f t="shared" si="10"/>
        <v/>
      </c>
      <c r="AD25" s="22" t="str">
        <f t="shared" si="10"/>
        <v/>
      </c>
      <c r="AE25" s="22" t="str">
        <f t="shared" si="10"/>
        <v/>
      </c>
      <c r="AF25" s="22" t="str">
        <f t="shared" si="10"/>
        <v/>
      </c>
      <c r="AG25" s="22" t="str">
        <f t="shared" si="10"/>
        <v/>
      </c>
      <c r="AH25" s="22" t="str">
        <f t="shared" si="10"/>
        <v/>
      </c>
      <c r="AI25" s="22" t="str">
        <f t="shared" si="10"/>
        <v/>
      </c>
      <c r="AJ25" s="22" t="str">
        <f t="shared" si="10"/>
        <v/>
      </c>
      <c r="AK25" s="22" t="str">
        <f t="shared" si="10"/>
        <v/>
      </c>
      <c r="AL25" s="22" t="str">
        <f t="shared" si="10"/>
        <v/>
      </c>
      <c r="AM25" s="22">
        <f t="shared" si="10"/>
        <v>1</v>
      </c>
      <c r="AN25" s="22">
        <f t="shared" si="10"/>
        <v>3</v>
      </c>
      <c r="AO25" s="22" t="str">
        <f t="shared" si="10"/>
        <v/>
      </c>
      <c r="AP25" s="22" t="str">
        <f t="shared" si="10"/>
        <v/>
      </c>
      <c r="AQ25" s="22" t="str">
        <f t="shared" si="10"/>
        <v/>
      </c>
      <c r="AR25" s="23"/>
      <c r="AS25" s="23"/>
      <c r="AT25" s="23"/>
      <c r="AU25" s="23"/>
      <c r="AV25" s="23"/>
      <c r="AW25" s="23"/>
    </row>
    <row r="26" spans="1:49">
      <c r="A26" s="15"/>
      <c r="B26" s="45" t="s">
        <v>36</v>
      </c>
      <c r="C26" s="31">
        <v>43997</v>
      </c>
      <c r="D26" s="18">
        <v>3</v>
      </c>
      <c r="E26" s="39">
        <v>44004</v>
      </c>
      <c r="F26" s="31">
        <v>43997</v>
      </c>
      <c r="G26" s="18">
        <v>3</v>
      </c>
      <c r="H26" s="39">
        <v>44004</v>
      </c>
      <c r="I26" s="20"/>
      <c r="J26" s="21"/>
      <c r="L26" s="22" t="str">
        <f t="shared" si="10"/>
        <v/>
      </c>
      <c r="M26" s="22" t="str">
        <f t="shared" si="10"/>
        <v/>
      </c>
      <c r="N26" s="22" t="str">
        <f t="shared" si="10"/>
        <v/>
      </c>
      <c r="O26" s="22" t="str">
        <f t="shared" si="10"/>
        <v/>
      </c>
      <c r="P26" s="22" t="str">
        <f t="shared" si="10"/>
        <v/>
      </c>
      <c r="Q26" s="22" t="str">
        <f t="shared" si="10"/>
        <v/>
      </c>
      <c r="R26" s="22" t="str">
        <f t="shared" si="10"/>
        <v/>
      </c>
      <c r="S26" s="22" t="str">
        <f t="shared" si="10"/>
        <v/>
      </c>
      <c r="T26" s="22" t="str">
        <f t="shared" si="10"/>
        <v/>
      </c>
      <c r="U26" s="22" t="str">
        <f t="shared" si="10"/>
        <v/>
      </c>
      <c r="V26" s="22" t="str">
        <f t="shared" si="10"/>
        <v/>
      </c>
      <c r="W26" s="22" t="str">
        <f t="shared" si="10"/>
        <v/>
      </c>
      <c r="X26" s="22" t="str">
        <f t="shared" si="10"/>
        <v/>
      </c>
      <c r="Y26" s="22" t="str">
        <f t="shared" si="10"/>
        <v/>
      </c>
      <c r="Z26" s="22" t="str">
        <f t="shared" si="10"/>
        <v/>
      </c>
      <c r="AA26" s="22" t="str">
        <f t="shared" si="10"/>
        <v/>
      </c>
      <c r="AB26" s="22" t="str">
        <f t="shared" si="10"/>
        <v/>
      </c>
      <c r="AC26" s="22" t="str">
        <f t="shared" si="10"/>
        <v/>
      </c>
      <c r="AD26" s="22" t="str">
        <f t="shared" si="10"/>
        <v/>
      </c>
      <c r="AE26" s="22" t="str">
        <f t="shared" si="10"/>
        <v/>
      </c>
      <c r="AF26" s="22" t="str">
        <f t="shared" si="10"/>
        <v/>
      </c>
      <c r="AG26" s="22" t="str">
        <f t="shared" si="10"/>
        <v/>
      </c>
      <c r="AH26" s="22" t="str">
        <f t="shared" si="10"/>
        <v/>
      </c>
      <c r="AI26" s="22" t="str">
        <f t="shared" si="10"/>
        <v/>
      </c>
      <c r="AJ26" s="22" t="str">
        <f t="shared" si="10"/>
        <v/>
      </c>
      <c r="AK26" s="22" t="str">
        <f t="shared" si="10"/>
        <v/>
      </c>
      <c r="AL26" s="22" t="str">
        <f t="shared" si="10"/>
        <v/>
      </c>
      <c r="AM26" s="22" t="str">
        <f t="shared" si="10"/>
        <v/>
      </c>
      <c r="AN26" s="22">
        <f t="shared" si="10"/>
        <v>1</v>
      </c>
      <c r="AO26" s="22">
        <f t="shared" si="10"/>
        <v>3</v>
      </c>
      <c r="AP26" s="22" t="str">
        <f t="shared" si="10"/>
        <v/>
      </c>
      <c r="AQ26" s="22" t="str">
        <f t="shared" si="10"/>
        <v/>
      </c>
      <c r="AR26" s="23"/>
      <c r="AS26" s="23"/>
      <c r="AT26" s="23"/>
      <c r="AU26" s="23"/>
      <c r="AV26" s="23"/>
      <c r="AW26" s="23"/>
    </row>
    <row r="27" spans="1:49">
      <c r="A27" s="15"/>
      <c r="B27" s="45" t="s">
        <v>37</v>
      </c>
      <c r="C27" s="31">
        <v>44004</v>
      </c>
      <c r="D27" s="18">
        <v>2</v>
      </c>
      <c r="E27" s="39">
        <v>44006</v>
      </c>
      <c r="F27" s="31">
        <v>44004</v>
      </c>
      <c r="G27" s="18">
        <v>2</v>
      </c>
      <c r="H27" s="39">
        <v>44006</v>
      </c>
      <c r="I27" s="20"/>
      <c r="J27" s="21"/>
      <c r="L27" s="22" t="str">
        <f>IF(AND($F27&lt;(L$2+7),$F27&gt;L$2),1,
IF(AND($H27&lt;L$2+7,$H27&gt;L$2),3,
IF(AND($F27&lt;=L$2, $H27&gt;=L$2),  2,
"" )))</f>
        <v/>
      </c>
      <c r="M27" s="22" t="str">
        <f t="shared" si="10"/>
        <v/>
      </c>
      <c r="N27" s="22" t="str">
        <f t="shared" si="10"/>
        <v/>
      </c>
      <c r="O27" s="22" t="str">
        <f t="shared" si="10"/>
        <v/>
      </c>
      <c r="P27" s="22" t="str">
        <f t="shared" si="10"/>
        <v/>
      </c>
      <c r="Q27" s="22" t="str">
        <f t="shared" si="10"/>
        <v/>
      </c>
      <c r="R27" s="22" t="str">
        <f t="shared" si="10"/>
        <v/>
      </c>
      <c r="S27" s="22" t="str">
        <f t="shared" si="10"/>
        <v/>
      </c>
      <c r="T27" s="22" t="str">
        <f t="shared" si="10"/>
        <v/>
      </c>
      <c r="U27" s="22" t="str">
        <f t="shared" si="10"/>
        <v/>
      </c>
      <c r="V27" s="22" t="str">
        <f t="shared" si="10"/>
        <v/>
      </c>
      <c r="W27" s="22" t="str">
        <f t="shared" si="10"/>
        <v/>
      </c>
      <c r="X27" s="22" t="str">
        <f t="shared" si="10"/>
        <v/>
      </c>
      <c r="Y27" s="22" t="str">
        <f t="shared" si="10"/>
        <v/>
      </c>
      <c r="Z27" s="22" t="str">
        <f t="shared" si="10"/>
        <v/>
      </c>
      <c r="AA27" s="22" t="str">
        <f t="shared" si="10"/>
        <v/>
      </c>
      <c r="AB27" s="22" t="str">
        <f t="shared" si="10"/>
        <v/>
      </c>
      <c r="AC27" s="22" t="str">
        <f t="shared" si="10"/>
        <v/>
      </c>
      <c r="AD27" s="22" t="str">
        <f t="shared" si="10"/>
        <v/>
      </c>
      <c r="AE27" s="22" t="str">
        <f t="shared" si="10"/>
        <v/>
      </c>
      <c r="AF27" s="22" t="str">
        <f t="shared" si="10"/>
        <v/>
      </c>
      <c r="AG27" s="22" t="str">
        <f t="shared" si="10"/>
        <v/>
      </c>
      <c r="AH27" s="22" t="str">
        <f t="shared" si="10"/>
        <v/>
      </c>
      <c r="AI27" s="22" t="str">
        <f t="shared" si="10"/>
        <v/>
      </c>
      <c r="AJ27" s="22" t="str">
        <f t="shared" si="10"/>
        <v/>
      </c>
      <c r="AK27" s="22" t="str">
        <f t="shared" si="10"/>
        <v/>
      </c>
      <c r="AL27" s="22" t="str">
        <f t="shared" si="10"/>
        <v/>
      </c>
      <c r="AM27" s="22" t="str">
        <f t="shared" si="10"/>
        <v/>
      </c>
      <c r="AN27" s="22" t="str">
        <f t="shared" si="10"/>
        <v/>
      </c>
      <c r="AO27" s="22">
        <f t="shared" si="10"/>
        <v>1</v>
      </c>
      <c r="AP27" s="22" t="str">
        <f t="shared" si="10"/>
        <v/>
      </c>
      <c r="AQ27" s="22" t="str">
        <f t="shared" si="10"/>
        <v/>
      </c>
      <c r="AR27" s="23"/>
      <c r="AS27" s="23"/>
      <c r="AT27" s="23"/>
      <c r="AU27" s="23"/>
      <c r="AV27" s="23"/>
      <c r="AW27" s="23"/>
    </row>
    <row r="28" spans="1:49">
      <c r="A28" s="15"/>
      <c r="B28" s="45" t="s">
        <v>38</v>
      </c>
      <c r="C28" s="31">
        <v>44006</v>
      </c>
      <c r="D28" s="18">
        <v>4</v>
      </c>
      <c r="E28" s="39">
        <v>44012</v>
      </c>
      <c r="F28" s="31">
        <v>44006</v>
      </c>
      <c r="G28" s="18">
        <v>4</v>
      </c>
      <c r="H28" s="39">
        <v>44012</v>
      </c>
      <c r="I28" s="20"/>
      <c r="J28" s="21"/>
      <c r="L28" s="22" t="str">
        <f>IF(AND($F28&lt;(L$2+7),$F28&gt;L$2),1,
IF(AND($H28&lt;L$2+7,$H28&gt;L$2),3,
IF(AND($F28&lt;=L$2, $H28&gt;=L$2),  2,
"" )))</f>
        <v/>
      </c>
      <c r="M28" s="22" t="str">
        <f t="shared" si="10"/>
        <v/>
      </c>
      <c r="N28" s="22" t="str">
        <f t="shared" si="10"/>
        <v/>
      </c>
      <c r="O28" s="22" t="str">
        <f t="shared" si="10"/>
        <v/>
      </c>
      <c r="P28" s="22" t="str">
        <f t="shared" si="10"/>
        <v/>
      </c>
      <c r="Q28" s="22" t="str">
        <f t="shared" si="10"/>
        <v/>
      </c>
      <c r="R28" s="22" t="str">
        <f t="shared" si="10"/>
        <v/>
      </c>
      <c r="S28" s="22" t="str">
        <f t="shared" si="10"/>
        <v/>
      </c>
      <c r="T28" s="22" t="str">
        <f t="shared" si="10"/>
        <v/>
      </c>
      <c r="U28" s="22" t="str">
        <f t="shared" si="10"/>
        <v/>
      </c>
      <c r="V28" s="22" t="str">
        <f t="shared" si="10"/>
        <v/>
      </c>
      <c r="W28" s="22" t="str">
        <f t="shared" si="10"/>
        <v/>
      </c>
      <c r="X28" s="22" t="str">
        <f t="shared" si="10"/>
        <v/>
      </c>
      <c r="Y28" s="22" t="str">
        <f t="shared" si="10"/>
        <v/>
      </c>
      <c r="Z28" s="22" t="str">
        <f t="shared" si="10"/>
        <v/>
      </c>
      <c r="AA28" s="22" t="str">
        <f t="shared" si="10"/>
        <v/>
      </c>
      <c r="AB28" s="22" t="str">
        <f t="shared" si="10"/>
        <v/>
      </c>
      <c r="AC28" s="22" t="str">
        <f t="shared" si="10"/>
        <v/>
      </c>
      <c r="AD28" s="22" t="str">
        <f t="shared" si="10"/>
        <v/>
      </c>
      <c r="AE28" s="22" t="str">
        <f t="shared" si="10"/>
        <v/>
      </c>
      <c r="AF28" s="22" t="str">
        <f t="shared" si="10"/>
        <v/>
      </c>
      <c r="AG28" s="22" t="str">
        <f t="shared" si="10"/>
        <v/>
      </c>
      <c r="AH28" s="22" t="str">
        <f t="shared" si="10"/>
        <v/>
      </c>
      <c r="AI28" s="22" t="str">
        <f t="shared" si="10"/>
        <v/>
      </c>
      <c r="AJ28" s="22" t="str">
        <f t="shared" si="10"/>
        <v/>
      </c>
      <c r="AK28" s="22" t="str">
        <f t="shared" si="10"/>
        <v/>
      </c>
      <c r="AL28" s="22" t="str">
        <f t="shared" si="10"/>
        <v/>
      </c>
      <c r="AM28" s="22" t="str">
        <f t="shared" si="10"/>
        <v/>
      </c>
      <c r="AN28" s="22" t="str">
        <f t="shared" si="10"/>
        <v/>
      </c>
      <c r="AO28" s="22">
        <f t="shared" si="10"/>
        <v>1</v>
      </c>
      <c r="AP28" s="22">
        <f t="shared" si="10"/>
        <v>3</v>
      </c>
      <c r="AQ28" s="22">
        <f t="shared" si="10"/>
        <v>2</v>
      </c>
      <c r="AR28" s="23"/>
      <c r="AS28" s="23"/>
      <c r="AT28" s="23"/>
      <c r="AU28" s="23"/>
      <c r="AV28" s="23"/>
      <c r="AW28" s="23"/>
    </row>
    <row r="29" spans="1:49">
      <c r="A29" s="15"/>
      <c r="B29" s="45" t="s">
        <v>39</v>
      </c>
      <c r="C29" s="31">
        <v>44004</v>
      </c>
      <c r="D29" s="18">
        <v>1</v>
      </c>
      <c r="E29" s="39">
        <v>44005</v>
      </c>
      <c r="F29" s="31">
        <v>44004</v>
      </c>
      <c r="G29" s="18">
        <v>1</v>
      </c>
      <c r="H29" s="39">
        <v>44005</v>
      </c>
      <c r="I29" s="20"/>
      <c r="J29" s="21"/>
      <c r="L29" s="22" t="str">
        <f>IF(AND($F29&lt;(L$2+7),$F29&gt;L$2),1,
IF(AND($H29&lt;L$2+7,$H29&gt;L$2),3,
IF(AND($F29&lt;=L$2, $H29&gt;=L$2),  2,
"" )))</f>
        <v/>
      </c>
      <c r="M29" s="22" t="str">
        <f t="shared" si="10"/>
        <v/>
      </c>
      <c r="N29" s="22" t="str">
        <f t="shared" si="10"/>
        <v/>
      </c>
      <c r="O29" s="22" t="str">
        <f t="shared" si="10"/>
        <v/>
      </c>
      <c r="P29" s="22" t="str">
        <f t="shared" si="10"/>
        <v/>
      </c>
      <c r="Q29" s="22" t="str">
        <f t="shared" si="10"/>
        <v/>
      </c>
      <c r="R29" s="22" t="str">
        <f t="shared" si="10"/>
        <v/>
      </c>
      <c r="S29" s="22" t="str">
        <f t="shared" si="10"/>
        <v/>
      </c>
      <c r="T29" s="22" t="str">
        <f t="shared" si="10"/>
        <v/>
      </c>
      <c r="U29" s="22" t="str">
        <f t="shared" si="10"/>
        <v/>
      </c>
      <c r="V29" s="22" t="str">
        <f t="shared" si="10"/>
        <v/>
      </c>
      <c r="W29" s="22" t="str">
        <f t="shared" si="10"/>
        <v/>
      </c>
      <c r="X29" s="22" t="str">
        <f t="shared" si="10"/>
        <v/>
      </c>
      <c r="Y29" s="22" t="str">
        <f t="shared" si="10"/>
        <v/>
      </c>
      <c r="Z29" s="22" t="str">
        <f t="shared" si="10"/>
        <v/>
      </c>
      <c r="AA29" s="22" t="str">
        <f t="shared" si="10"/>
        <v/>
      </c>
      <c r="AB29" s="22" t="str">
        <f t="shared" si="10"/>
        <v/>
      </c>
      <c r="AC29" s="22" t="str">
        <f t="shared" si="10"/>
        <v/>
      </c>
      <c r="AD29" s="22" t="str">
        <f t="shared" si="10"/>
        <v/>
      </c>
      <c r="AE29" s="22" t="str">
        <f t="shared" si="10"/>
        <v/>
      </c>
      <c r="AF29" s="22" t="str">
        <f t="shared" si="10"/>
        <v/>
      </c>
      <c r="AG29" s="22" t="str">
        <f t="shared" si="10"/>
        <v/>
      </c>
      <c r="AH29" s="22" t="str">
        <f t="shared" si="10"/>
        <v/>
      </c>
      <c r="AI29" s="22" t="str">
        <f t="shared" si="10"/>
        <v/>
      </c>
      <c r="AJ29" s="22" t="str">
        <f t="shared" si="10"/>
        <v/>
      </c>
      <c r="AK29" s="22" t="str">
        <f t="shared" si="10"/>
        <v/>
      </c>
      <c r="AL29" s="22" t="str">
        <f t="shared" si="10"/>
        <v/>
      </c>
      <c r="AM29" s="22" t="str">
        <f t="shared" si="10"/>
        <v/>
      </c>
      <c r="AN29" s="22" t="str">
        <f t="shared" si="10"/>
        <v/>
      </c>
      <c r="AO29" s="22">
        <f t="shared" si="10"/>
        <v>1</v>
      </c>
      <c r="AP29" s="22" t="str">
        <f t="shared" si="10"/>
        <v/>
      </c>
      <c r="AQ29" s="22" t="str">
        <f t="shared" si="10"/>
        <v/>
      </c>
      <c r="AR29" s="23"/>
      <c r="AS29" s="23"/>
      <c r="AT29" s="23"/>
      <c r="AU29" s="23"/>
      <c r="AV29" s="23"/>
      <c r="AW29" s="23"/>
    </row>
    <row r="30" spans="1:49">
      <c r="A30" s="32">
        <v>10</v>
      </c>
      <c r="B30" s="56" t="s">
        <v>40</v>
      </c>
      <c r="C30" s="50">
        <v>43991</v>
      </c>
      <c r="D30" s="51">
        <v>8</v>
      </c>
      <c r="E30" s="55">
        <v>44000</v>
      </c>
      <c r="F30" s="50">
        <v>43991</v>
      </c>
      <c r="G30" s="51">
        <v>8</v>
      </c>
      <c r="H30" s="55">
        <v>44000</v>
      </c>
      <c r="I30" s="55"/>
      <c r="J30" s="21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3"/>
      <c r="AS30" s="23"/>
      <c r="AT30" s="23"/>
      <c r="AU30" s="23"/>
      <c r="AV30" s="23"/>
      <c r="AW30" s="23"/>
    </row>
    <row r="31" spans="1:49">
      <c r="A31" s="15"/>
      <c r="B31" s="45" t="s">
        <v>41</v>
      </c>
      <c r="C31" s="31">
        <v>43991</v>
      </c>
      <c r="D31" s="18">
        <v>2</v>
      </c>
      <c r="E31" s="39">
        <v>43993</v>
      </c>
      <c r="F31" s="31">
        <v>43991</v>
      </c>
      <c r="G31" s="18">
        <v>2</v>
      </c>
      <c r="H31" s="39">
        <v>43993</v>
      </c>
      <c r="I31" s="37"/>
      <c r="J31" s="21"/>
      <c r="L31" s="22" t="str">
        <f>IF(AND($F31&lt;(L$2+7),$F31&gt;L$2),1,
IF(AND($H31&lt;L$2+7,$H31&gt;L$2),3,
IF(AND($F31&lt;=L$2, $H31&gt;=L$2),  2,
"" )))</f>
        <v/>
      </c>
      <c r="M31" s="22" t="str">
        <f t="shared" si="10"/>
        <v/>
      </c>
      <c r="N31" s="22" t="str">
        <f t="shared" si="10"/>
        <v/>
      </c>
      <c r="O31" s="22" t="str">
        <f t="shared" ref="O31:AQ31" si="11">IF(AND($F31&lt;(O$2+7),$F31&gt;O$2),1,
IF(AND($H31&lt;O$2+7,$H31&gt;O$2),3,
IF(AND($F31&lt;=O$2, $H31&gt;=O$2),  2,
"" )))</f>
        <v/>
      </c>
      <c r="P31" s="22" t="str">
        <f t="shared" si="11"/>
        <v/>
      </c>
      <c r="Q31" s="22" t="str">
        <f t="shared" si="11"/>
        <v/>
      </c>
      <c r="R31" s="22" t="str">
        <f t="shared" si="11"/>
        <v/>
      </c>
      <c r="S31" s="22" t="str">
        <f t="shared" si="11"/>
        <v/>
      </c>
      <c r="T31" s="22" t="str">
        <f t="shared" si="11"/>
        <v/>
      </c>
      <c r="U31" s="22" t="str">
        <f t="shared" si="11"/>
        <v/>
      </c>
      <c r="V31" s="22" t="str">
        <f t="shared" si="11"/>
        <v/>
      </c>
      <c r="W31" s="22" t="str">
        <f t="shared" si="11"/>
        <v/>
      </c>
      <c r="X31" s="22" t="str">
        <f t="shared" si="11"/>
        <v/>
      </c>
      <c r="Y31" s="22" t="str">
        <f t="shared" si="11"/>
        <v/>
      </c>
      <c r="Z31" s="22" t="str">
        <f t="shared" si="11"/>
        <v/>
      </c>
      <c r="AA31" s="22" t="str">
        <f t="shared" si="11"/>
        <v/>
      </c>
      <c r="AB31" s="22" t="str">
        <f t="shared" si="11"/>
        <v/>
      </c>
      <c r="AC31" s="22" t="str">
        <f t="shared" si="11"/>
        <v/>
      </c>
      <c r="AD31" s="22" t="str">
        <f t="shared" si="11"/>
        <v/>
      </c>
      <c r="AE31" s="22" t="str">
        <f t="shared" si="11"/>
        <v/>
      </c>
      <c r="AF31" s="22" t="str">
        <f t="shared" si="11"/>
        <v/>
      </c>
      <c r="AG31" s="22" t="str">
        <f t="shared" si="11"/>
        <v/>
      </c>
      <c r="AH31" s="22" t="str">
        <f t="shared" si="11"/>
        <v/>
      </c>
      <c r="AI31" s="22" t="str">
        <f t="shared" si="11"/>
        <v/>
      </c>
      <c r="AJ31" s="22" t="str">
        <f t="shared" si="11"/>
        <v/>
      </c>
      <c r="AK31" s="22" t="str">
        <f t="shared" si="11"/>
        <v/>
      </c>
      <c r="AL31" s="22" t="str">
        <f t="shared" si="11"/>
        <v/>
      </c>
      <c r="AM31" s="22">
        <f t="shared" si="11"/>
        <v>1</v>
      </c>
      <c r="AN31" s="22" t="str">
        <f t="shared" si="11"/>
        <v/>
      </c>
      <c r="AO31" s="22" t="str">
        <f t="shared" si="11"/>
        <v/>
      </c>
      <c r="AP31" s="22" t="str">
        <f t="shared" si="11"/>
        <v/>
      </c>
      <c r="AQ31" s="22" t="str">
        <f t="shared" si="11"/>
        <v/>
      </c>
      <c r="AR31" s="23"/>
      <c r="AS31" s="23"/>
      <c r="AT31" s="23"/>
      <c r="AU31" s="23"/>
      <c r="AV31" s="23"/>
      <c r="AW31" s="23"/>
    </row>
    <row r="32" spans="1:49">
      <c r="A32" s="15"/>
      <c r="B32" s="45" t="s">
        <v>42</v>
      </c>
      <c r="C32" s="31">
        <v>43993</v>
      </c>
      <c r="D32" s="18">
        <v>3</v>
      </c>
      <c r="E32" s="39">
        <v>44000</v>
      </c>
      <c r="F32" s="31">
        <v>43993</v>
      </c>
      <c r="G32" s="18">
        <v>3</v>
      </c>
      <c r="H32" s="39">
        <v>44000</v>
      </c>
      <c r="I32" s="20"/>
      <c r="J32" s="21"/>
      <c r="L32" s="22" t="str">
        <f>IF(AND($F32&lt;(L$2+7),$F32&gt;L$2),1,
IF(AND($H32&lt;L$2+7,$H32&gt;L$2),3,
IF(AND($F32&lt;=L$2, $H32&gt;=L$2),  2,
"" )))</f>
        <v/>
      </c>
      <c r="M32" s="22" t="str">
        <f t="shared" ref="M32:AQ43" si="12">IF(AND($F32&lt;(M$2+7),$F32&gt;M$2),1,
IF(AND($H32&lt;M$2+7,$H32&gt;M$2),3,
IF(AND($F32&lt;=M$2, $H32&gt;=M$2),  2,
"" )))</f>
        <v/>
      </c>
      <c r="N32" s="22" t="str">
        <f t="shared" si="12"/>
        <v/>
      </c>
      <c r="O32" s="22" t="str">
        <f t="shared" si="12"/>
        <v/>
      </c>
      <c r="P32" s="22" t="str">
        <f t="shared" si="12"/>
        <v/>
      </c>
      <c r="Q32" s="22" t="str">
        <f t="shared" si="12"/>
        <v/>
      </c>
      <c r="R32" s="22" t="str">
        <f t="shared" si="12"/>
        <v/>
      </c>
      <c r="S32" s="22" t="str">
        <f t="shared" si="12"/>
        <v/>
      </c>
      <c r="T32" s="22" t="str">
        <f t="shared" si="12"/>
        <v/>
      </c>
      <c r="U32" s="22" t="str">
        <f t="shared" si="12"/>
        <v/>
      </c>
      <c r="V32" s="22" t="str">
        <f t="shared" si="12"/>
        <v/>
      </c>
      <c r="W32" s="22" t="str">
        <f t="shared" si="12"/>
        <v/>
      </c>
      <c r="X32" s="22" t="str">
        <f t="shared" si="12"/>
        <v/>
      </c>
      <c r="Y32" s="22" t="str">
        <f t="shared" si="12"/>
        <v/>
      </c>
      <c r="Z32" s="22" t="str">
        <f t="shared" si="12"/>
        <v/>
      </c>
      <c r="AA32" s="22" t="str">
        <f t="shared" si="12"/>
        <v/>
      </c>
      <c r="AB32" s="22" t="str">
        <f t="shared" si="12"/>
        <v/>
      </c>
      <c r="AC32" s="22" t="str">
        <f t="shared" si="12"/>
        <v/>
      </c>
      <c r="AD32" s="22" t="str">
        <f t="shared" si="12"/>
        <v/>
      </c>
      <c r="AE32" s="22" t="str">
        <f t="shared" si="12"/>
        <v/>
      </c>
      <c r="AF32" s="22" t="str">
        <f t="shared" si="12"/>
        <v/>
      </c>
      <c r="AG32" s="22" t="str">
        <f t="shared" si="12"/>
        <v/>
      </c>
      <c r="AH32" s="22" t="str">
        <f t="shared" si="12"/>
        <v/>
      </c>
      <c r="AI32" s="22" t="str">
        <f t="shared" si="12"/>
        <v/>
      </c>
      <c r="AJ32" s="22" t="str">
        <f t="shared" si="12"/>
        <v/>
      </c>
      <c r="AK32" s="22" t="str">
        <f t="shared" si="12"/>
        <v/>
      </c>
      <c r="AL32" s="22" t="str">
        <f t="shared" si="12"/>
        <v/>
      </c>
      <c r="AM32" s="22">
        <f t="shared" si="12"/>
        <v>1</v>
      </c>
      <c r="AN32" s="22">
        <f t="shared" si="12"/>
        <v>3</v>
      </c>
      <c r="AO32" s="22" t="str">
        <f t="shared" si="12"/>
        <v/>
      </c>
      <c r="AP32" s="22" t="str">
        <f t="shared" si="12"/>
        <v/>
      </c>
      <c r="AQ32" s="22" t="str">
        <f t="shared" si="12"/>
        <v/>
      </c>
      <c r="AR32" s="23"/>
      <c r="AS32" s="23"/>
      <c r="AT32" s="23"/>
      <c r="AU32" s="23"/>
      <c r="AV32" s="23"/>
      <c r="AW32" s="23"/>
    </row>
    <row r="33" spans="1:49">
      <c r="A33" s="15"/>
      <c r="B33" s="53" t="s">
        <v>43</v>
      </c>
      <c r="C33" s="31">
        <v>43992</v>
      </c>
      <c r="D33" s="18">
        <v>3</v>
      </c>
      <c r="E33" s="39">
        <v>43997</v>
      </c>
      <c r="F33" s="31">
        <v>43992</v>
      </c>
      <c r="G33" s="18">
        <v>3</v>
      </c>
      <c r="H33" s="39">
        <v>43997</v>
      </c>
      <c r="I33" s="20"/>
      <c r="J33" s="21"/>
      <c r="L33" s="22" t="str">
        <f>IF(AND($F33&lt;(L$2+7),$F33&gt;L$2),1,
IF(AND($H33&lt;L$2+7,$H33&gt;L$2),3,
IF(AND($F33&lt;=L$2, $H33&gt;=L$2),  2,
"" )))</f>
        <v/>
      </c>
      <c r="M33" s="22" t="str">
        <f t="shared" si="12"/>
        <v/>
      </c>
      <c r="N33" s="22" t="str">
        <f t="shared" si="12"/>
        <v/>
      </c>
      <c r="O33" s="22" t="str">
        <f t="shared" si="12"/>
        <v/>
      </c>
      <c r="P33" s="22" t="str">
        <f t="shared" si="12"/>
        <v/>
      </c>
      <c r="Q33" s="22" t="str">
        <f t="shared" si="12"/>
        <v/>
      </c>
      <c r="R33" s="22" t="str">
        <f t="shared" si="12"/>
        <v/>
      </c>
      <c r="S33" s="22" t="str">
        <f t="shared" si="12"/>
        <v/>
      </c>
      <c r="T33" s="22" t="str">
        <f t="shared" si="12"/>
        <v/>
      </c>
      <c r="U33" s="22" t="str">
        <f t="shared" si="12"/>
        <v/>
      </c>
      <c r="V33" s="22" t="str">
        <f t="shared" si="12"/>
        <v/>
      </c>
      <c r="W33" s="22" t="str">
        <f t="shared" si="12"/>
        <v/>
      </c>
      <c r="X33" s="22" t="str">
        <f t="shared" si="12"/>
        <v/>
      </c>
      <c r="Y33" s="22" t="str">
        <f t="shared" si="12"/>
        <v/>
      </c>
      <c r="Z33" s="22" t="str">
        <f t="shared" si="12"/>
        <v/>
      </c>
      <c r="AA33" s="22" t="str">
        <f t="shared" si="12"/>
        <v/>
      </c>
      <c r="AB33" s="22" t="str">
        <f t="shared" si="12"/>
        <v/>
      </c>
      <c r="AC33" s="22" t="str">
        <f t="shared" si="12"/>
        <v/>
      </c>
      <c r="AD33" s="22" t="str">
        <f t="shared" si="12"/>
        <v/>
      </c>
      <c r="AE33" s="22" t="str">
        <f t="shared" si="12"/>
        <v/>
      </c>
      <c r="AF33" s="22" t="str">
        <f t="shared" si="12"/>
        <v/>
      </c>
      <c r="AG33" s="22" t="str">
        <f t="shared" si="12"/>
        <v/>
      </c>
      <c r="AH33" s="22" t="str">
        <f t="shared" si="12"/>
        <v/>
      </c>
      <c r="AI33" s="22" t="str">
        <f t="shared" si="12"/>
        <v/>
      </c>
      <c r="AJ33" s="22" t="str">
        <f t="shared" si="12"/>
        <v/>
      </c>
      <c r="AK33" s="22" t="str">
        <f t="shared" si="12"/>
        <v/>
      </c>
      <c r="AL33" s="22" t="str">
        <f t="shared" si="12"/>
        <v/>
      </c>
      <c r="AM33" s="22">
        <f t="shared" si="12"/>
        <v>1</v>
      </c>
      <c r="AN33" s="22">
        <f t="shared" si="12"/>
        <v>3</v>
      </c>
      <c r="AO33" s="22" t="str">
        <f t="shared" si="12"/>
        <v/>
      </c>
      <c r="AP33" s="22" t="str">
        <f t="shared" si="12"/>
        <v/>
      </c>
      <c r="AQ33" s="22" t="str">
        <f t="shared" si="12"/>
        <v/>
      </c>
      <c r="AR33" s="23"/>
      <c r="AS33" s="23"/>
      <c r="AT33" s="23"/>
      <c r="AU33" s="23"/>
      <c r="AV33" s="23"/>
      <c r="AW33" s="23"/>
    </row>
    <row r="34" spans="1:49">
      <c r="A34" s="15"/>
      <c r="B34" s="53" t="s">
        <v>44</v>
      </c>
      <c r="C34" s="31">
        <v>43997</v>
      </c>
      <c r="D34" s="18">
        <v>1</v>
      </c>
      <c r="E34" s="39">
        <v>44000</v>
      </c>
      <c r="F34" s="31">
        <v>43997</v>
      </c>
      <c r="G34" s="18">
        <v>1</v>
      </c>
      <c r="H34" s="39">
        <v>44000</v>
      </c>
      <c r="I34" s="30"/>
      <c r="J34" s="21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3"/>
      <c r="AS34" s="23"/>
      <c r="AT34" s="23"/>
      <c r="AU34" s="23"/>
      <c r="AV34" s="23"/>
      <c r="AW34" s="23"/>
    </row>
    <row r="35" spans="1:49">
      <c r="A35" s="32">
        <v>11</v>
      </c>
      <c r="B35" s="56" t="s">
        <v>45</v>
      </c>
      <c r="C35" s="50">
        <v>44000</v>
      </c>
      <c r="D35" s="51">
        <v>14</v>
      </c>
      <c r="E35" s="55">
        <v>44014</v>
      </c>
      <c r="F35" s="50">
        <v>44000</v>
      </c>
      <c r="G35" s="51">
        <v>14</v>
      </c>
      <c r="H35" s="55">
        <v>44014</v>
      </c>
      <c r="I35" s="37"/>
      <c r="J35" s="21"/>
      <c r="L35" s="22" t="str">
        <f>IF(AND($F35&lt;(L$2+7),$F35&gt;L$2),1,
IF(AND($H35&lt;L$2+7,$H35&gt;L$2),3,
IF(AND($F35&lt;=L$2, $H35&gt;=L$2),  2,
"" )))</f>
        <v/>
      </c>
      <c r="M35" s="22" t="str">
        <f t="shared" si="12"/>
        <v/>
      </c>
      <c r="N35" s="22" t="str">
        <f t="shared" si="12"/>
        <v/>
      </c>
      <c r="O35" s="22" t="str">
        <f t="shared" si="12"/>
        <v/>
      </c>
      <c r="P35" s="22" t="str">
        <f t="shared" si="12"/>
        <v/>
      </c>
      <c r="Q35" s="22" t="str">
        <f t="shared" si="12"/>
        <v/>
      </c>
      <c r="R35" s="22" t="str">
        <f t="shared" si="12"/>
        <v/>
      </c>
      <c r="S35" s="22" t="str">
        <f t="shared" si="12"/>
        <v/>
      </c>
      <c r="T35" s="22" t="str">
        <f t="shared" si="12"/>
        <v/>
      </c>
      <c r="U35" s="22" t="str">
        <f t="shared" si="12"/>
        <v/>
      </c>
      <c r="V35" s="22" t="str">
        <f t="shared" si="12"/>
        <v/>
      </c>
      <c r="W35" s="22" t="str">
        <f t="shared" si="12"/>
        <v/>
      </c>
      <c r="X35" s="22" t="str">
        <f t="shared" si="12"/>
        <v/>
      </c>
      <c r="Y35" s="22" t="str">
        <f t="shared" si="12"/>
        <v/>
      </c>
      <c r="Z35" s="22" t="str">
        <f t="shared" si="12"/>
        <v/>
      </c>
      <c r="AA35" s="22" t="str">
        <f t="shared" si="12"/>
        <v/>
      </c>
      <c r="AB35" s="22" t="str">
        <f t="shared" si="12"/>
        <v/>
      </c>
      <c r="AC35" s="22" t="str">
        <f t="shared" si="12"/>
        <v/>
      </c>
      <c r="AD35" s="22" t="str">
        <f t="shared" si="12"/>
        <v/>
      </c>
      <c r="AE35" s="22" t="str">
        <f t="shared" si="12"/>
        <v/>
      </c>
      <c r="AF35" s="22" t="str">
        <f t="shared" si="12"/>
        <v/>
      </c>
      <c r="AG35" s="22" t="str">
        <f t="shared" si="12"/>
        <v/>
      </c>
      <c r="AH35" s="22" t="str">
        <f t="shared" si="12"/>
        <v/>
      </c>
      <c r="AI35" s="22" t="str">
        <f t="shared" si="12"/>
        <v/>
      </c>
      <c r="AJ35" s="22" t="str">
        <f t="shared" si="12"/>
        <v/>
      </c>
      <c r="AK35" s="22" t="str">
        <f t="shared" si="12"/>
        <v/>
      </c>
      <c r="AL35" s="22" t="str">
        <f t="shared" si="12"/>
        <v/>
      </c>
      <c r="AM35" s="22" t="str">
        <f t="shared" si="12"/>
        <v/>
      </c>
      <c r="AN35" s="22">
        <f t="shared" si="12"/>
        <v>1</v>
      </c>
      <c r="AO35" s="22">
        <f t="shared" si="12"/>
        <v>2</v>
      </c>
      <c r="AP35" s="22">
        <f t="shared" si="12"/>
        <v>3</v>
      </c>
      <c r="AQ35" s="22">
        <f t="shared" si="12"/>
        <v>3</v>
      </c>
      <c r="AR35" s="23"/>
      <c r="AS35" s="23"/>
      <c r="AT35" s="23"/>
      <c r="AU35" s="23"/>
      <c r="AV35" s="23"/>
      <c r="AW35" s="23"/>
    </row>
    <row r="36" spans="1:49">
      <c r="A36" s="15"/>
      <c r="B36" s="45" t="s">
        <v>34</v>
      </c>
      <c r="C36" s="31">
        <v>44012</v>
      </c>
      <c r="D36" s="18">
        <v>2</v>
      </c>
      <c r="E36" s="39">
        <v>44014</v>
      </c>
      <c r="F36" s="31">
        <v>44012</v>
      </c>
      <c r="G36" s="18">
        <v>2</v>
      </c>
      <c r="H36" s="39">
        <v>44014</v>
      </c>
      <c r="I36" s="20"/>
      <c r="J36" s="21"/>
      <c r="L36" s="22" t="str">
        <f>IF(AND($F36&lt;(L$2+7),$F36&gt;L$2),1,
IF(AND($H36&lt;L$2+7,$H36&gt;L$2),3,
IF(AND($F36&lt;=L$2, $H36&gt;=L$2),  2,
"" )))</f>
        <v/>
      </c>
      <c r="M36" s="22" t="str">
        <f t="shared" si="12"/>
        <v/>
      </c>
      <c r="N36" s="22" t="str">
        <f t="shared" si="12"/>
        <v/>
      </c>
      <c r="O36" s="22" t="str">
        <f t="shared" si="12"/>
        <v/>
      </c>
      <c r="P36" s="22" t="str">
        <f t="shared" si="12"/>
        <v/>
      </c>
      <c r="Q36" s="22" t="str">
        <f t="shared" si="12"/>
        <v/>
      </c>
      <c r="R36" s="22" t="str">
        <f t="shared" si="12"/>
        <v/>
      </c>
      <c r="S36" s="22" t="str">
        <f t="shared" si="12"/>
        <v/>
      </c>
      <c r="T36" s="22" t="str">
        <f t="shared" si="12"/>
        <v/>
      </c>
      <c r="U36" s="22" t="str">
        <f t="shared" si="12"/>
        <v/>
      </c>
      <c r="V36" s="22" t="str">
        <f t="shared" si="12"/>
        <v/>
      </c>
      <c r="W36" s="22" t="str">
        <f t="shared" si="12"/>
        <v/>
      </c>
      <c r="X36" s="22" t="str">
        <f t="shared" si="12"/>
        <v/>
      </c>
      <c r="Y36" s="22" t="str">
        <f t="shared" si="12"/>
        <v/>
      </c>
      <c r="Z36" s="22" t="str">
        <f t="shared" si="12"/>
        <v/>
      </c>
      <c r="AA36" s="22" t="str">
        <f t="shared" si="12"/>
        <v/>
      </c>
      <c r="AB36" s="22" t="str">
        <f t="shared" si="12"/>
        <v/>
      </c>
      <c r="AC36" s="22" t="str">
        <f t="shared" si="12"/>
        <v/>
      </c>
      <c r="AD36" s="22" t="str">
        <f t="shared" si="12"/>
        <v/>
      </c>
      <c r="AE36" s="22" t="str">
        <f t="shared" si="12"/>
        <v/>
      </c>
      <c r="AF36" s="22" t="str">
        <f t="shared" si="12"/>
        <v/>
      </c>
      <c r="AG36" s="22" t="str">
        <f t="shared" si="12"/>
        <v/>
      </c>
      <c r="AH36" s="22" t="str">
        <f t="shared" si="12"/>
        <v/>
      </c>
      <c r="AI36" s="22" t="str">
        <f t="shared" si="12"/>
        <v/>
      </c>
      <c r="AJ36" s="22" t="str">
        <f t="shared" si="12"/>
        <v/>
      </c>
      <c r="AK36" s="22" t="str">
        <f t="shared" si="12"/>
        <v/>
      </c>
      <c r="AL36" s="22" t="str">
        <f t="shared" si="12"/>
        <v/>
      </c>
      <c r="AM36" s="22" t="str">
        <f t="shared" si="12"/>
        <v/>
      </c>
      <c r="AN36" s="22" t="str">
        <f t="shared" si="12"/>
        <v/>
      </c>
      <c r="AO36" s="22" t="str">
        <f t="shared" si="12"/>
        <v/>
      </c>
      <c r="AP36" s="22">
        <f t="shared" si="12"/>
        <v>1</v>
      </c>
      <c r="AQ36" s="22">
        <f t="shared" si="12"/>
        <v>3</v>
      </c>
      <c r="AR36" s="23"/>
      <c r="AS36" s="23"/>
      <c r="AT36" s="23"/>
      <c r="AU36" s="23"/>
      <c r="AV36" s="23"/>
      <c r="AW36" s="23"/>
    </row>
    <row r="37" spans="1:49">
      <c r="A37" s="15"/>
      <c r="B37" s="45" t="s">
        <v>40</v>
      </c>
      <c r="C37" s="31">
        <v>44000</v>
      </c>
      <c r="D37" s="18">
        <v>2</v>
      </c>
      <c r="E37" s="39">
        <v>44004</v>
      </c>
      <c r="F37" s="31">
        <v>44000</v>
      </c>
      <c r="G37" s="18">
        <v>2</v>
      </c>
      <c r="H37" s="39">
        <v>44004</v>
      </c>
      <c r="I37" s="20"/>
      <c r="J37" s="21"/>
      <c r="L37" s="22" t="str">
        <f>IF(AND($F37&lt;(L$2+7),$F37&gt;L$2),1,
IF(AND($H37&lt;L$2+7,$H37&gt;L$2),3,
IF(AND($F37&lt;=L$2, $H37&gt;=L$2),  2,
"" )))</f>
        <v/>
      </c>
      <c r="M37" s="22" t="str">
        <f t="shared" si="12"/>
        <v/>
      </c>
      <c r="N37" s="22" t="str">
        <f t="shared" si="12"/>
        <v/>
      </c>
      <c r="O37" s="22" t="str">
        <f t="shared" si="12"/>
        <v/>
      </c>
      <c r="P37" s="22" t="str">
        <f t="shared" si="12"/>
        <v/>
      </c>
      <c r="Q37" s="22" t="str">
        <f t="shared" si="12"/>
        <v/>
      </c>
      <c r="R37" s="22" t="str">
        <f t="shared" si="12"/>
        <v/>
      </c>
      <c r="S37" s="22" t="str">
        <f t="shared" si="12"/>
        <v/>
      </c>
      <c r="T37" s="22" t="str">
        <f t="shared" si="12"/>
        <v/>
      </c>
      <c r="U37" s="22" t="str">
        <f t="shared" si="12"/>
        <v/>
      </c>
      <c r="V37" s="22" t="str">
        <f t="shared" si="12"/>
        <v/>
      </c>
      <c r="W37" s="22" t="str">
        <f t="shared" si="12"/>
        <v/>
      </c>
      <c r="X37" s="22" t="str">
        <f t="shared" si="12"/>
        <v/>
      </c>
      <c r="Y37" s="22" t="str">
        <f t="shared" si="12"/>
        <v/>
      </c>
      <c r="Z37" s="22" t="str">
        <f t="shared" si="12"/>
        <v/>
      </c>
      <c r="AA37" s="22" t="str">
        <f t="shared" si="12"/>
        <v/>
      </c>
      <c r="AB37" s="22" t="str">
        <f t="shared" si="12"/>
        <v/>
      </c>
      <c r="AC37" s="22" t="str">
        <f t="shared" si="12"/>
        <v/>
      </c>
      <c r="AD37" s="22" t="str">
        <f t="shared" si="12"/>
        <v/>
      </c>
      <c r="AE37" s="22" t="str">
        <f t="shared" si="12"/>
        <v/>
      </c>
      <c r="AF37" s="22" t="str">
        <f t="shared" si="12"/>
        <v/>
      </c>
      <c r="AG37" s="22" t="str">
        <f t="shared" si="12"/>
        <v/>
      </c>
      <c r="AH37" s="22" t="str">
        <f t="shared" si="12"/>
        <v/>
      </c>
      <c r="AI37" s="22" t="str">
        <f t="shared" si="12"/>
        <v/>
      </c>
      <c r="AJ37" s="22" t="str">
        <f t="shared" si="12"/>
        <v/>
      </c>
      <c r="AK37" s="22" t="str">
        <f t="shared" si="12"/>
        <v/>
      </c>
      <c r="AL37" s="22" t="str">
        <f t="shared" si="12"/>
        <v/>
      </c>
      <c r="AM37" s="22" t="str">
        <f t="shared" si="12"/>
        <v/>
      </c>
      <c r="AN37" s="22">
        <f t="shared" si="12"/>
        <v>1</v>
      </c>
      <c r="AO37" s="22">
        <f t="shared" si="12"/>
        <v>3</v>
      </c>
      <c r="AP37" s="22" t="str">
        <f t="shared" si="12"/>
        <v/>
      </c>
      <c r="AQ37" s="22" t="str">
        <f t="shared" si="12"/>
        <v/>
      </c>
      <c r="AR37" s="23"/>
      <c r="AS37" s="23"/>
      <c r="AT37" s="23"/>
      <c r="AU37" s="23"/>
      <c r="AV37" s="23"/>
      <c r="AW37" s="23"/>
    </row>
    <row r="38" spans="1:49">
      <c r="A38" s="25" t="s">
        <v>46</v>
      </c>
      <c r="B38" s="46" t="s">
        <v>47</v>
      </c>
      <c r="C38" s="57">
        <v>44012</v>
      </c>
      <c r="D38" s="58">
        <v>1</v>
      </c>
      <c r="E38" s="59">
        <v>44013</v>
      </c>
      <c r="F38" s="57">
        <v>44012</v>
      </c>
      <c r="G38" s="58">
        <v>1</v>
      </c>
      <c r="H38" s="59">
        <v>44013</v>
      </c>
      <c r="I38" s="30"/>
      <c r="J38" s="21"/>
      <c r="L38" s="22" t="str">
        <f>IF(AND($F38&lt;(L$2+7),$F38&gt;L$2),1,
IF(AND($H38&lt;L$2+7,$H38&gt;L$2),3,
IF(AND($F38&lt;=L$2, $H38&gt;=L$2),  2,
"" )))</f>
        <v/>
      </c>
      <c r="M38" s="22" t="str">
        <f t="shared" si="12"/>
        <v/>
      </c>
      <c r="N38" s="22" t="str">
        <f t="shared" si="12"/>
        <v/>
      </c>
      <c r="O38" s="22" t="str">
        <f t="shared" si="12"/>
        <v/>
      </c>
      <c r="P38" s="22" t="str">
        <f t="shared" si="12"/>
        <v/>
      </c>
      <c r="Q38" s="22" t="str">
        <f t="shared" si="12"/>
        <v/>
      </c>
      <c r="R38" s="22" t="str">
        <f t="shared" si="12"/>
        <v/>
      </c>
      <c r="S38" s="22" t="str">
        <f t="shared" si="12"/>
        <v/>
      </c>
      <c r="T38" s="22" t="str">
        <f t="shared" si="12"/>
        <v/>
      </c>
      <c r="U38" s="22" t="str">
        <f t="shared" si="12"/>
        <v/>
      </c>
      <c r="V38" s="22" t="str">
        <f t="shared" si="12"/>
        <v/>
      </c>
      <c r="W38" s="22" t="str">
        <f t="shared" si="12"/>
        <v/>
      </c>
      <c r="X38" s="22" t="str">
        <f t="shared" si="12"/>
        <v/>
      </c>
      <c r="Y38" s="22" t="str">
        <f t="shared" si="12"/>
        <v/>
      </c>
      <c r="Z38" s="22" t="str">
        <f t="shared" si="12"/>
        <v/>
      </c>
      <c r="AA38" s="22" t="str">
        <f t="shared" si="12"/>
        <v/>
      </c>
      <c r="AB38" s="22" t="str">
        <f t="shared" si="12"/>
        <v/>
      </c>
      <c r="AC38" s="22" t="str">
        <f t="shared" si="12"/>
        <v/>
      </c>
      <c r="AD38" s="22" t="str">
        <f t="shared" si="12"/>
        <v/>
      </c>
      <c r="AE38" s="22" t="str">
        <f t="shared" si="12"/>
        <v/>
      </c>
      <c r="AF38" s="22" t="str">
        <f t="shared" si="12"/>
        <v/>
      </c>
      <c r="AG38" s="22" t="str">
        <f t="shared" si="12"/>
        <v/>
      </c>
      <c r="AH38" s="22" t="str">
        <f t="shared" si="12"/>
        <v/>
      </c>
      <c r="AI38" s="22" t="str">
        <f t="shared" si="12"/>
        <v/>
      </c>
      <c r="AJ38" s="22" t="str">
        <f t="shared" si="12"/>
        <v/>
      </c>
      <c r="AK38" s="22" t="str">
        <f t="shared" si="12"/>
        <v/>
      </c>
      <c r="AL38" s="22" t="str">
        <f t="shared" si="12"/>
        <v/>
      </c>
      <c r="AM38" s="22" t="str">
        <f t="shared" si="12"/>
        <v/>
      </c>
      <c r="AN38" s="22" t="str">
        <f t="shared" si="12"/>
        <v/>
      </c>
      <c r="AO38" s="22" t="str">
        <f t="shared" si="12"/>
        <v/>
      </c>
      <c r="AP38" s="22">
        <f t="shared" si="12"/>
        <v>1</v>
      </c>
      <c r="AQ38" s="22">
        <f t="shared" si="12"/>
        <v>3</v>
      </c>
      <c r="AR38" s="23"/>
      <c r="AS38" s="23"/>
      <c r="AT38" s="23"/>
      <c r="AU38" s="23"/>
      <c r="AV38" s="23"/>
      <c r="AW38" s="23"/>
    </row>
    <row r="39" spans="1:49" ht="15.5">
      <c r="A39" s="32">
        <v>12</v>
      </c>
      <c r="B39" s="43" t="s">
        <v>48</v>
      </c>
      <c r="C39" s="34">
        <v>43997</v>
      </c>
      <c r="D39" s="35">
        <v>22</v>
      </c>
      <c r="E39" s="44">
        <v>44019</v>
      </c>
      <c r="F39" s="34">
        <v>43997</v>
      </c>
      <c r="G39" s="35">
        <v>22</v>
      </c>
      <c r="H39" s="44">
        <v>44019</v>
      </c>
      <c r="I39" s="55"/>
      <c r="J39" s="21"/>
      <c r="L39" s="22" t="str">
        <f>IF(AND($F39&lt;(L$2+7),$F39&gt;L$2),1,
IF(AND($H39&lt;L$2+7,$H39&gt;L$2),3,
IF(AND($F39&lt;=L$2, $H39&gt;=L$2),  2,
"" )))</f>
        <v/>
      </c>
      <c r="M39" s="22" t="str">
        <f t="shared" si="12"/>
        <v/>
      </c>
      <c r="N39" s="22" t="str">
        <f t="shared" si="12"/>
        <v/>
      </c>
      <c r="O39" s="22" t="str">
        <f t="shared" si="12"/>
        <v/>
      </c>
      <c r="P39" s="22" t="str">
        <f t="shared" si="12"/>
        <v/>
      </c>
      <c r="Q39" s="22" t="str">
        <f t="shared" si="12"/>
        <v/>
      </c>
      <c r="R39" s="22" t="str">
        <f t="shared" si="12"/>
        <v/>
      </c>
      <c r="S39" s="22" t="str">
        <f t="shared" si="12"/>
        <v/>
      </c>
      <c r="T39" s="22" t="str">
        <f t="shared" si="12"/>
        <v/>
      </c>
      <c r="U39" s="22" t="str">
        <f t="shared" si="12"/>
        <v/>
      </c>
      <c r="V39" s="22" t="str">
        <f t="shared" si="12"/>
        <v/>
      </c>
      <c r="W39" s="22" t="str">
        <f t="shared" si="12"/>
        <v/>
      </c>
      <c r="X39" s="22" t="str">
        <f t="shared" si="12"/>
        <v/>
      </c>
      <c r="Y39" s="22" t="str">
        <f t="shared" si="12"/>
        <v/>
      </c>
      <c r="Z39" s="22" t="str">
        <f t="shared" si="12"/>
        <v/>
      </c>
      <c r="AA39" s="22" t="str">
        <f t="shared" si="12"/>
        <v/>
      </c>
      <c r="AB39" s="22" t="str">
        <f t="shared" si="12"/>
        <v/>
      </c>
      <c r="AC39" s="22" t="str">
        <f t="shared" si="12"/>
        <v/>
      </c>
      <c r="AD39" s="22" t="str">
        <f t="shared" si="12"/>
        <v/>
      </c>
      <c r="AE39" s="22" t="str">
        <f t="shared" si="12"/>
        <v/>
      </c>
      <c r="AF39" s="22" t="str">
        <f t="shared" si="12"/>
        <v/>
      </c>
      <c r="AG39" s="22" t="str">
        <f t="shared" si="12"/>
        <v/>
      </c>
      <c r="AH39" s="22" t="str">
        <f t="shared" si="12"/>
        <v/>
      </c>
      <c r="AI39" s="22" t="str">
        <f t="shared" si="12"/>
        <v/>
      </c>
      <c r="AJ39" s="22" t="str">
        <f t="shared" si="12"/>
        <v/>
      </c>
      <c r="AK39" s="22" t="str">
        <f t="shared" si="12"/>
        <v/>
      </c>
      <c r="AL39" s="22" t="str">
        <f t="shared" si="12"/>
        <v/>
      </c>
      <c r="AM39" s="22" t="str">
        <f t="shared" si="12"/>
        <v/>
      </c>
      <c r="AN39" s="22">
        <f t="shared" si="12"/>
        <v>1</v>
      </c>
      <c r="AO39" s="22">
        <f t="shared" si="12"/>
        <v>2</v>
      </c>
      <c r="AP39" s="22">
        <f t="shared" si="12"/>
        <v>2</v>
      </c>
      <c r="AQ39" s="22">
        <f t="shared" si="12"/>
        <v>2</v>
      </c>
      <c r="AR39" s="23"/>
      <c r="AS39" s="23"/>
      <c r="AT39" s="23"/>
      <c r="AU39" s="23"/>
      <c r="AV39" s="23"/>
      <c r="AW39" s="23"/>
    </row>
    <row r="40" spans="1:49">
      <c r="A40" s="15"/>
      <c r="B40" s="60" t="s">
        <v>49</v>
      </c>
      <c r="C40" s="31">
        <v>44014</v>
      </c>
      <c r="D40" s="61">
        <v>3</v>
      </c>
      <c r="E40" s="39">
        <v>44019</v>
      </c>
      <c r="F40" s="31">
        <v>44014</v>
      </c>
      <c r="G40" s="61">
        <v>3</v>
      </c>
      <c r="H40" s="39">
        <v>44019</v>
      </c>
      <c r="I40" s="20"/>
      <c r="J40" s="21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3"/>
      <c r="AS40" s="23"/>
      <c r="AT40" s="23"/>
      <c r="AU40" s="23"/>
      <c r="AV40" s="23"/>
      <c r="AW40" s="23"/>
    </row>
    <row r="41" spans="1:49">
      <c r="A41" s="15"/>
      <c r="B41" s="62" t="s">
        <v>50</v>
      </c>
      <c r="C41" s="31">
        <v>44010</v>
      </c>
      <c r="D41" s="18">
        <v>2</v>
      </c>
      <c r="E41" s="39">
        <v>44012</v>
      </c>
      <c r="F41" s="31">
        <v>44010</v>
      </c>
      <c r="G41" s="18">
        <v>2</v>
      </c>
      <c r="H41" s="39">
        <v>44012</v>
      </c>
      <c r="I41" s="30"/>
      <c r="J41" s="21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3"/>
      <c r="AS41" s="23"/>
      <c r="AT41" s="23"/>
      <c r="AU41" s="23"/>
      <c r="AV41" s="23"/>
      <c r="AW41" s="23"/>
    </row>
    <row r="42" spans="1:49">
      <c r="A42" s="15"/>
      <c r="B42" s="62" t="s">
        <v>51</v>
      </c>
      <c r="C42" s="31">
        <v>43997</v>
      </c>
      <c r="D42" s="18">
        <v>2</v>
      </c>
      <c r="E42" s="39">
        <v>44001</v>
      </c>
      <c r="F42" s="31">
        <v>43997</v>
      </c>
      <c r="G42" s="18">
        <v>2</v>
      </c>
      <c r="H42" s="39">
        <v>44001</v>
      </c>
      <c r="I42" s="20"/>
      <c r="J42" s="21"/>
      <c r="L42" s="22" t="str">
        <f>IF(AND($F42&lt;(L$2+7),$F42&gt;L$2),1,
IF(AND($H42&lt;L$2+7,$H42&gt;L$2),3,
IF(AND($F42&lt;=L$2, $H42&gt;=L$2),  2,
"" )))</f>
        <v/>
      </c>
      <c r="M42" s="22" t="str">
        <f t="shared" si="12"/>
        <v/>
      </c>
      <c r="N42" s="22" t="str">
        <f t="shared" si="12"/>
        <v/>
      </c>
      <c r="O42" s="22" t="str">
        <f t="shared" si="12"/>
        <v/>
      </c>
      <c r="P42" s="22" t="str">
        <f t="shared" si="12"/>
        <v/>
      </c>
      <c r="Q42" s="22" t="str">
        <f t="shared" si="12"/>
        <v/>
      </c>
      <c r="R42" s="22" t="str">
        <f t="shared" si="12"/>
        <v/>
      </c>
      <c r="S42" s="22" t="str">
        <f t="shared" si="12"/>
        <v/>
      </c>
      <c r="T42" s="22" t="str">
        <f t="shared" si="12"/>
        <v/>
      </c>
      <c r="U42" s="22" t="str">
        <f t="shared" si="12"/>
        <v/>
      </c>
      <c r="V42" s="22" t="str">
        <f t="shared" si="12"/>
        <v/>
      </c>
      <c r="W42" s="22" t="str">
        <f t="shared" si="12"/>
        <v/>
      </c>
      <c r="X42" s="22" t="str">
        <f t="shared" si="12"/>
        <v/>
      </c>
      <c r="Y42" s="22" t="str">
        <f t="shared" si="12"/>
        <v/>
      </c>
      <c r="Z42" s="22" t="str">
        <f t="shared" si="12"/>
        <v/>
      </c>
      <c r="AA42" s="22" t="str">
        <f t="shared" si="12"/>
        <v/>
      </c>
      <c r="AB42" s="22" t="str">
        <f t="shared" si="12"/>
        <v/>
      </c>
      <c r="AC42" s="22" t="str">
        <f t="shared" si="12"/>
        <v/>
      </c>
      <c r="AD42" s="22" t="str">
        <f t="shared" si="12"/>
        <v/>
      </c>
      <c r="AE42" s="22" t="str">
        <f t="shared" si="12"/>
        <v/>
      </c>
      <c r="AF42" s="22" t="str">
        <f t="shared" si="12"/>
        <v/>
      </c>
      <c r="AG42" s="22" t="str">
        <f t="shared" si="12"/>
        <v/>
      </c>
      <c r="AH42" s="22" t="str">
        <f t="shared" si="12"/>
        <v/>
      </c>
      <c r="AI42" s="22" t="str">
        <f t="shared" si="12"/>
        <v/>
      </c>
      <c r="AJ42" s="22" t="str">
        <f t="shared" si="12"/>
        <v/>
      </c>
      <c r="AK42" s="22" t="str">
        <f t="shared" si="12"/>
        <v/>
      </c>
      <c r="AL42" s="22" t="str">
        <f t="shared" si="12"/>
        <v/>
      </c>
      <c r="AM42" s="22" t="str">
        <f t="shared" si="12"/>
        <v/>
      </c>
      <c r="AN42" s="22">
        <f t="shared" si="12"/>
        <v>1</v>
      </c>
      <c r="AO42" s="22" t="str">
        <f t="shared" si="12"/>
        <v/>
      </c>
      <c r="AP42" s="22" t="str">
        <f t="shared" si="12"/>
        <v/>
      </c>
      <c r="AQ42" s="22" t="str">
        <f t="shared" si="12"/>
        <v/>
      </c>
      <c r="AR42" s="23"/>
      <c r="AS42" s="23"/>
      <c r="AT42" s="23"/>
      <c r="AU42" s="23"/>
      <c r="AV42" s="23"/>
      <c r="AW42" s="23"/>
    </row>
    <row r="43" spans="1:49">
      <c r="A43" s="15"/>
      <c r="B43" s="62" t="s">
        <v>52</v>
      </c>
      <c r="C43" s="31">
        <v>44012</v>
      </c>
      <c r="D43" s="18">
        <v>1</v>
      </c>
      <c r="E43" s="39">
        <v>44013</v>
      </c>
      <c r="F43" s="31">
        <v>44012</v>
      </c>
      <c r="G43" s="18">
        <v>1</v>
      </c>
      <c r="H43" s="39">
        <v>44013</v>
      </c>
      <c r="I43" s="30"/>
      <c r="J43" s="21"/>
      <c r="L43" s="22" t="str">
        <f>IF(AND($F43&lt;(L$2+7),$F43&gt;L$2),1,
IF(AND($H43&lt;L$2+7,$H43&gt;L$2),3,
IF(AND($F43&lt;=L$2, $H43&gt;=L$2),  2,
"" )))</f>
        <v/>
      </c>
      <c r="M43" s="22" t="str">
        <f t="shared" si="12"/>
        <v/>
      </c>
      <c r="N43" s="22" t="str">
        <f t="shared" si="12"/>
        <v/>
      </c>
      <c r="O43" s="22" t="str">
        <f t="shared" si="12"/>
        <v/>
      </c>
      <c r="P43" s="22" t="str">
        <f t="shared" si="12"/>
        <v/>
      </c>
      <c r="Q43" s="22" t="str">
        <f t="shared" si="12"/>
        <v/>
      </c>
      <c r="R43" s="22" t="str">
        <f t="shared" si="12"/>
        <v/>
      </c>
      <c r="S43" s="22" t="str">
        <f t="shared" si="12"/>
        <v/>
      </c>
      <c r="T43" s="22" t="str">
        <f t="shared" ref="T43:AQ43" si="13">IF(AND($F43&lt;(T$2+7),$F43&gt;T$2),1,
IF(AND($H43&lt;T$2+7,$H43&gt;T$2),3,
IF(AND($F43&lt;=T$2, $H43&gt;=T$2),  2,
"" )))</f>
        <v/>
      </c>
      <c r="U43" s="22" t="str">
        <f t="shared" si="13"/>
        <v/>
      </c>
      <c r="V43" s="22" t="str">
        <f t="shared" si="13"/>
        <v/>
      </c>
      <c r="W43" s="22" t="str">
        <f t="shared" si="13"/>
        <v/>
      </c>
      <c r="X43" s="22" t="str">
        <f t="shared" si="13"/>
        <v/>
      </c>
      <c r="Y43" s="22" t="str">
        <f t="shared" si="13"/>
        <v/>
      </c>
      <c r="Z43" s="22" t="str">
        <f t="shared" si="13"/>
        <v/>
      </c>
      <c r="AA43" s="22" t="str">
        <f t="shared" si="13"/>
        <v/>
      </c>
      <c r="AB43" s="22" t="str">
        <f t="shared" si="13"/>
        <v/>
      </c>
      <c r="AC43" s="22" t="str">
        <f t="shared" si="13"/>
        <v/>
      </c>
      <c r="AD43" s="22" t="str">
        <f t="shared" si="13"/>
        <v/>
      </c>
      <c r="AE43" s="22" t="str">
        <f t="shared" si="13"/>
        <v/>
      </c>
      <c r="AF43" s="22" t="str">
        <f t="shared" si="13"/>
        <v/>
      </c>
      <c r="AG43" s="22" t="str">
        <f t="shared" si="13"/>
        <v/>
      </c>
      <c r="AH43" s="22" t="str">
        <f t="shared" si="13"/>
        <v/>
      </c>
      <c r="AI43" s="22" t="str">
        <f t="shared" si="13"/>
        <v/>
      </c>
      <c r="AJ43" s="22" t="str">
        <f t="shared" si="13"/>
        <v/>
      </c>
      <c r="AK43" s="22" t="str">
        <f t="shared" si="13"/>
        <v/>
      </c>
      <c r="AL43" s="22" t="str">
        <f t="shared" si="13"/>
        <v/>
      </c>
      <c r="AM43" s="22" t="str">
        <f t="shared" si="13"/>
        <v/>
      </c>
      <c r="AN43" s="22" t="str">
        <f t="shared" si="13"/>
        <v/>
      </c>
      <c r="AO43" s="22" t="str">
        <f t="shared" si="13"/>
        <v/>
      </c>
      <c r="AP43" s="22">
        <f t="shared" si="13"/>
        <v>1</v>
      </c>
      <c r="AQ43" s="22">
        <f t="shared" si="13"/>
        <v>3</v>
      </c>
      <c r="AR43" s="23"/>
      <c r="AS43" s="23"/>
      <c r="AT43" s="23"/>
      <c r="AU43" s="23"/>
      <c r="AV43" s="23"/>
      <c r="AW43" s="23"/>
    </row>
    <row r="44" spans="1:49">
      <c r="A44" s="15"/>
      <c r="B44" s="62" t="s">
        <v>53</v>
      </c>
      <c r="C44" s="31">
        <v>44013</v>
      </c>
      <c r="D44" s="18">
        <v>2</v>
      </c>
      <c r="E44" s="39">
        <v>44015</v>
      </c>
      <c r="F44" s="31">
        <v>44013</v>
      </c>
      <c r="G44" s="18">
        <v>2</v>
      </c>
      <c r="H44" s="39">
        <v>44015</v>
      </c>
      <c r="I44" s="20"/>
      <c r="J44" s="21"/>
      <c r="L44" s="22" t="str">
        <f>IF(AND($F44&lt;(L$2+7),$F44&gt;L$2),1,
IF(AND($H44&lt;L$2+7,$H44&gt;L$2),3,
IF(AND($F44&lt;=L$2, $H44&gt;=L$2),  2,
"" )))</f>
        <v/>
      </c>
      <c r="M44" s="22" t="str">
        <f t="shared" ref="M44:AQ45" si="14">IF(AND($F44&lt;(M$2+7),$F44&gt;M$2),1,
IF(AND($H44&lt;M$2+7,$H44&gt;M$2),3,
IF(AND($F44&lt;=M$2, $H44&gt;=M$2),  2,
"" )))</f>
        <v/>
      </c>
      <c r="N44" s="22" t="str">
        <f t="shared" si="14"/>
        <v/>
      </c>
      <c r="O44" s="22" t="str">
        <f t="shared" si="14"/>
        <v/>
      </c>
      <c r="P44" s="22" t="str">
        <f t="shared" si="14"/>
        <v/>
      </c>
      <c r="Q44" s="22" t="str">
        <f t="shared" si="14"/>
        <v/>
      </c>
      <c r="R44" s="22" t="str">
        <f t="shared" si="14"/>
        <v/>
      </c>
      <c r="S44" s="22" t="str">
        <f t="shared" si="14"/>
        <v/>
      </c>
      <c r="T44" s="22" t="str">
        <f t="shared" si="14"/>
        <v/>
      </c>
      <c r="U44" s="22" t="str">
        <f t="shared" si="14"/>
        <v/>
      </c>
      <c r="V44" s="22" t="str">
        <f t="shared" si="14"/>
        <v/>
      </c>
      <c r="W44" s="22" t="str">
        <f t="shared" si="14"/>
        <v/>
      </c>
      <c r="X44" s="22" t="str">
        <f t="shared" si="14"/>
        <v/>
      </c>
      <c r="Y44" s="22" t="str">
        <f t="shared" si="14"/>
        <v/>
      </c>
      <c r="Z44" s="22" t="str">
        <f t="shared" si="14"/>
        <v/>
      </c>
      <c r="AA44" s="22" t="str">
        <f t="shared" si="14"/>
        <v/>
      </c>
      <c r="AB44" s="22" t="str">
        <f t="shared" si="14"/>
        <v/>
      </c>
      <c r="AC44" s="22" t="str">
        <f t="shared" si="14"/>
        <v/>
      </c>
      <c r="AD44" s="22" t="str">
        <f t="shared" si="14"/>
        <v/>
      </c>
      <c r="AE44" s="22" t="str">
        <f t="shared" si="14"/>
        <v/>
      </c>
      <c r="AF44" s="22" t="str">
        <f t="shared" si="14"/>
        <v/>
      </c>
      <c r="AG44" s="22" t="str">
        <f t="shared" si="14"/>
        <v/>
      </c>
      <c r="AH44" s="22" t="str">
        <f t="shared" si="14"/>
        <v/>
      </c>
      <c r="AI44" s="22" t="str">
        <f t="shared" si="14"/>
        <v/>
      </c>
      <c r="AJ44" s="22" t="str">
        <f t="shared" si="14"/>
        <v/>
      </c>
      <c r="AK44" s="22" t="str">
        <f t="shared" si="14"/>
        <v/>
      </c>
      <c r="AL44" s="22" t="str">
        <f t="shared" si="14"/>
        <v/>
      </c>
      <c r="AM44" s="22" t="str">
        <f t="shared" si="14"/>
        <v/>
      </c>
      <c r="AN44" s="22" t="str">
        <f t="shared" si="14"/>
        <v/>
      </c>
      <c r="AO44" s="22" t="str">
        <f t="shared" si="14"/>
        <v/>
      </c>
      <c r="AP44" s="22">
        <f t="shared" si="14"/>
        <v>1</v>
      </c>
      <c r="AQ44" s="22">
        <f t="shared" si="14"/>
        <v>1</v>
      </c>
      <c r="AR44" s="23"/>
      <c r="AS44" s="23"/>
      <c r="AT44" s="23"/>
      <c r="AU44" s="23"/>
      <c r="AV44" s="23"/>
      <c r="AW44" s="23"/>
    </row>
    <row r="45" spans="1:49" ht="15.5">
      <c r="A45" s="32">
        <v>13</v>
      </c>
      <c r="B45" s="43" t="s">
        <v>54</v>
      </c>
      <c r="C45" s="50">
        <v>44020</v>
      </c>
      <c r="D45" s="51">
        <v>1</v>
      </c>
      <c r="E45" s="55">
        <v>44021</v>
      </c>
      <c r="F45" s="50">
        <v>44020</v>
      </c>
      <c r="G45" s="51">
        <v>1</v>
      </c>
      <c r="H45" s="55">
        <v>44021</v>
      </c>
      <c r="I45" s="55"/>
      <c r="J45" s="21"/>
      <c r="L45" s="22" t="str">
        <f>IF(AND($F45&lt;(L$2+7),$F45&gt;L$2),1,
IF(AND($H45&lt;L$2+7,$H45&gt;L$2),3,
IF(AND($F45&lt;=L$2, $H45&gt;=L$2),  2,
"" )))</f>
        <v/>
      </c>
      <c r="M45" s="22" t="str">
        <f t="shared" si="14"/>
        <v/>
      </c>
      <c r="N45" s="22" t="str">
        <f t="shared" si="14"/>
        <v/>
      </c>
      <c r="O45" s="22" t="str">
        <f t="shared" si="14"/>
        <v/>
      </c>
      <c r="P45" s="22" t="str">
        <f t="shared" si="14"/>
        <v/>
      </c>
      <c r="Q45" s="22" t="str">
        <f t="shared" si="14"/>
        <v/>
      </c>
      <c r="R45" s="22" t="str">
        <f t="shared" si="14"/>
        <v/>
      </c>
      <c r="S45" s="22" t="str">
        <f t="shared" si="14"/>
        <v/>
      </c>
      <c r="T45" s="22" t="str">
        <f t="shared" si="14"/>
        <v/>
      </c>
      <c r="U45" s="22" t="str">
        <f t="shared" si="14"/>
        <v/>
      </c>
      <c r="V45" s="22" t="str">
        <f t="shared" si="14"/>
        <v/>
      </c>
      <c r="W45" s="22" t="str">
        <f t="shared" si="14"/>
        <v/>
      </c>
      <c r="X45" s="22" t="str">
        <f t="shared" si="14"/>
        <v/>
      </c>
      <c r="Y45" s="22" t="str">
        <f t="shared" si="14"/>
        <v/>
      </c>
      <c r="Z45" s="22" t="str">
        <f t="shared" si="14"/>
        <v/>
      </c>
      <c r="AA45" s="22" t="str">
        <f t="shared" si="14"/>
        <v/>
      </c>
      <c r="AB45" s="22" t="str">
        <f t="shared" si="14"/>
        <v/>
      </c>
      <c r="AC45" s="22" t="str">
        <f t="shared" si="14"/>
        <v/>
      </c>
      <c r="AD45" s="22" t="str">
        <f t="shared" si="14"/>
        <v/>
      </c>
      <c r="AE45" s="22" t="str">
        <f t="shared" si="14"/>
        <v/>
      </c>
      <c r="AF45" s="22" t="str">
        <f t="shared" si="14"/>
        <v/>
      </c>
      <c r="AG45" s="22" t="str">
        <f t="shared" si="14"/>
        <v/>
      </c>
      <c r="AH45" s="22" t="str">
        <f t="shared" si="14"/>
        <v/>
      </c>
      <c r="AI45" s="22" t="str">
        <f t="shared" si="14"/>
        <v/>
      </c>
      <c r="AJ45" s="22" t="str">
        <f t="shared" si="14"/>
        <v/>
      </c>
      <c r="AK45" s="22" t="str">
        <f t="shared" si="14"/>
        <v/>
      </c>
      <c r="AL45" s="22" t="str">
        <f t="shared" si="14"/>
        <v/>
      </c>
      <c r="AM45" s="22" t="str">
        <f t="shared" si="14"/>
        <v/>
      </c>
      <c r="AN45" s="22" t="str">
        <f t="shared" si="14"/>
        <v/>
      </c>
      <c r="AO45" s="22" t="str">
        <f t="shared" si="14"/>
        <v/>
      </c>
      <c r="AP45" s="22" t="str">
        <f t="shared" si="14"/>
        <v/>
      </c>
      <c r="AQ45" s="22" t="str">
        <f t="shared" si="14"/>
        <v/>
      </c>
      <c r="AR45" s="23"/>
      <c r="AS45" s="23"/>
      <c r="AT45" s="23"/>
      <c r="AU45" s="23"/>
      <c r="AV45" s="23"/>
      <c r="AW45" s="23"/>
    </row>
    <row r="46" spans="1:49" s="3" customFormat="1" ht="14.5" thickBot="1">
      <c r="A46" s="25" t="s">
        <v>55</v>
      </c>
      <c r="B46" s="63" t="s">
        <v>56</v>
      </c>
      <c r="C46" s="57">
        <v>44022</v>
      </c>
      <c r="D46" s="58">
        <v>1</v>
      </c>
      <c r="E46" s="59">
        <v>44025</v>
      </c>
      <c r="F46" s="57">
        <v>44022</v>
      </c>
      <c r="G46" s="58">
        <v>1</v>
      </c>
      <c r="H46" s="59">
        <v>44025</v>
      </c>
      <c r="I46" s="30"/>
    </row>
    <row r="47" spans="1:49">
      <c r="C47" s="66">
        <v>43831</v>
      </c>
      <c r="D47" s="1009" t="s">
        <v>57</v>
      </c>
      <c r="E47" s="1009"/>
      <c r="F47" s="1010"/>
      <c r="G47" s="67"/>
      <c r="I47" s="68"/>
      <c r="J47" s="68"/>
    </row>
    <row r="48" spans="1:49" ht="14.5" thickBot="1">
      <c r="C48" s="69">
        <v>44014</v>
      </c>
      <c r="D48" s="1011"/>
      <c r="E48" s="1011"/>
      <c r="F48" s="1012"/>
      <c r="G48" s="67"/>
    </row>
  </sheetData>
  <mergeCells count="1">
    <mergeCell ref="D47:F48"/>
  </mergeCells>
  <conditionalFormatting sqref="I3:I23 I25:I29 I31:I37 I40:I44">
    <cfRule type="dataBar" priority="6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{F186E0C0-7323-4CA1-B613-3BA72EFC06C7}</x14:id>
        </ext>
      </extLst>
    </cfRule>
  </conditionalFormatting>
  <conditionalFormatting sqref="I38">
    <cfRule type="dataBar" priority="5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{0DD52378-DE94-416F-8D0E-CD660017B8CA}</x14:id>
        </ext>
      </extLst>
    </cfRule>
  </conditionalFormatting>
  <conditionalFormatting sqref="I46">
    <cfRule type="dataBar" priority="4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{F16E4C26-8102-4BB6-B2AB-A8594BB2ED16}</x14:id>
        </ext>
      </extLst>
    </cfRule>
  </conditionalFormatting>
  <conditionalFormatting sqref="L3:AW45">
    <cfRule type="cellIs" dxfId="43" priority="1" operator="equal">
      <formula>3</formula>
    </cfRule>
    <cfRule type="cellIs" dxfId="42" priority="2" operator="equal">
      <formula>1</formula>
    </cfRule>
    <cfRule type="cellIs" dxfId="41" priority="3" operator="equal">
      <formula>2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186E0C0-7323-4CA1-B613-3BA72EFC06C7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I3:I23 I25:I29 I31:I37 I40:I44</xm:sqref>
        </x14:conditionalFormatting>
        <x14:conditionalFormatting xmlns:xm="http://schemas.microsoft.com/office/excel/2006/main">
          <x14:cfRule type="dataBar" id="{0DD52378-DE94-416F-8D0E-CD660017B8CA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I38</xm:sqref>
        </x14:conditionalFormatting>
        <x14:conditionalFormatting xmlns:xm="http://schemas.microsoft.com/office/excel/2006/main">
          <x14:cfRule type="dataBar" id="{F16E4C26-8102-4BB6-B2AB-A8594BB2ED16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I46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101683-29EE-456D-BE05-9E3BE0466903}">
  <sheetPr codeName="Sheet8">
    <pageSetUpPr fitToPage="1"/>
  </sheetPr>
  <dimension ref="B1:O26"/>
  <sheetViews>
    <sheetView view="pageBreakPreview" zoomScale="95" zoomScaleNormal="115" zoomScaleSheetLayoutView="130" workbookViewId="0">
      <selection activeCell="F9" sqref="F9:G9"/>
    </sheetView>
  </sheetViews>
  <sheetFormatPr defaultRowHeight="14.5"/>
  <cols>
    <col min="1" max="1" width="6" customWidth="1"/>
    <col min="2" max="2" width="21" customWidth="1"/>
    <col min="3" max="3" width="28.7265625" customWidth="1"/>
    <col min="4" max="4" width="15.26953125" customWidth="1"/>
    <col min="5" max="5" width="16.7265625" customWidth="1"/>
    <col min="6" max="6" width="5.7265625" customWidth="1"/>
  </cols>
  <sheetData>
    <row r="1" spans="2:15" ht="15" thickBot="1"/>
    <row r="2" spans="2:15" ht="18.5">
      <c r="B2" s="1015" t="s">
        <v>58</v>
      </c>
      <c r="C2" s="1015"/>
      <c r="D2" s="1015"/>
      <c r="E2" s="1015"/>
      <c r="H2" s="1016" t="s">
        <v>59</v>
      </c>
      <c r="I2" s="1017"/>
      <c r="J2" s="1017"/>
      <c r="K2" s="1017"/>
      <c r="L2" s="1017"/>
      <c r="M2" s="1017"/>
      <c r="N2" s="1017"/>
      <c r="O2" s="1018"/>
    </row>
    <row r="3" spans="2:15">
      <c r="B3" s="942"/>
      <c r="H3" s="1019"/>
      <c r="I3" s="1020"/>
      <c r="J3" s="1020"/>
      <c r="K3" s="1020"/>
      <c r="L3" s="1020"/>
      <c r="M3" s="1020"/>
      <c r="N3" s="1020"/>
      <c r="O3" s="1021"/>
    </row>
    <row r="4" spans="2:15">
      <c r="B4" s="943" t="s">
        <v>60</v>
      </c>
      <c r="C4" s="944" t="str">
        <f>'Project Plan'!E2</f>
        <v>BMG World, 28 Droste Crescent, JHB</v>
      </c>
      <c r="H4" s="1019"/>
      <c r="I4" s="1020"/>
      <c r="J4" s="1020"/>
      <c r="K4" s="1020"/>
      <c r="L4" s="1020"/>
      <c r="M4" s="1020"/>
      <c r="N4" s="1020"/>
      <c r="O4" s="1021"/>
    </row>
    <row r="5" spans="2:15">
      <c r="B5" s="943" t="s">
        <v>61</v>
      </c>
      <c r="C5" s="944" t="s">
        <v>62</v>
      </c>
      <c r="H5" s="1019"/>
      <c r="I5" s="1020"/>
      <c r="J5" s="1020"/>
      <c r="K5" s="1020"/>
      <c r="L5" s="1020"/>
      <c r="M5" s="1020"/>
      <c r="N5" s="1020"/>
      <c r="O5" s="1021"/>
    </row>
    <row r="6" spans="2:15">
      <c r="B6" s="943" t="s">
        <v>63</v>
      </c>
      <c r="C6" s="944" t="s">
        <v>64</v>
      </c>
      <c r="H6" s="1019"/>
      <c r="I6" s="1020"/>
      <c r="J6" s="1020"/>
      <c r="K6" s="1020"/>
      <c r="L6" s="1020"/>
      <c r="M6" s="1020"/>
      <c r="N6" s="1020"/>
      <c r="O6" s="1021"/>
    </row>
    <row r="7" spans="2:15">
      <c r="B7" s="943" t="s">
        <v>65</v>
      </c>
      <c r="C7" s="944" t="s">
        <v>66</v>
      </c>
      <c r="H7" s="1019"/>
      <c r="I7" s="1020"/>
      <c r="J7" s="1020"/>
      <c r="K7" s="1020"/>
      <c r="L7" s="1020"/>
      <c r="M7" s="1020"/>
      <c r="N7" s="1020"/>
      <c r="O7" s="1021"/>
    </row>
    <row r="8" spans="2:15">
      <c r="B8" s="942"/>
      <c r="H8" s="1019"/>
      <c r="I8" s="1020"/>
      <c r="J8" s="1020"/>
      <c r="K8" s="1020"/>
      <c r="L8" s="1020"/>
      <c r="M8" s="1020"/>
      <c r="N8" s="1020"/>
      <c r="O8" s="1021"/>
    </row>
    <row r="9" spans="2:15">
      <c r="B9" s="1025" t="s">
        <v>67</v>
      </c>
      <c r="C9" s="1025"/>
      <c r="D9" s="1025"/>
      <c r="E9" s="1025"/>
      <c r="H9" s="1019"/>
      <c r="I9" s="1020"/>
      <c r="J9" s="1020"/>
      <c r="K9" s="1020"/>
      <c r="L9" s="1020"/>
      <c r="M9" s="1020"/>
      <c r="N9" s="1020"/>
      <c r="O9" s="1021"/>
    </row>
    <row r="10" spans="2:15" ht="15" thickBot="1">
      <c r="B10" s="1025" t="s">
        <v>68</v>
      </c>
      <c r="C10" s="1025"/>
      <c r="D10" s="1025"/>
      <c r="E10" s="1025"/>
      <c r="H10" s="1022"/>
      <c r="I10" s="1023"/>
      <c r="J10" s="1023"/>
      <c r="K10" s="1023"/>
      <c r="L10" s="1023"/>
      <c r="M10" s="1023"/>
      <c r="N10" s="1023"/>
      <c r="O10" s="1024"/>
    </row>
    <row r="11" spans="2:15">
      <c r="B11" s="945" t="s">
        <v>69</v>
      </c>
      <c r="C11" s="1013" t="s">
        <v>70</v>
      </c>
      <c r="D11" s="1013"/>
      <c r="E11" s="1013"/>
    </row>
    <row r="12" spans="2:15">
      <c r="B12" s="945" t="s">
        <v>71</v>
      </c>
      <c r="C12" s="1013" t="s">
        <v>70</v>
      </c>
      <c r="D12" s="1013"/>
      <c r="E12" s="1013"/>
    </row>
    <row r="13" spans="2:15">
      <c r="B13" s="945" t="s">
        <v>72</v>
      </c>
      <c r="C13" s="1013" t="s">
        <v>70</v>
      </c>
      <c r="D13" s="1013"/>
      <c r="E13" s="1013"/>
    </row>
    <row r="14" spans="2:15">
      <c r="B14" s="945" t="s">
        <v>73</v>
      </c>
      <c r="C14" s="1013" t="s">
        <v>74</v>
      </c>
      <c r="D14" s="1013"/>
      <c r="E14" s="1013"/>
    </row>
    <row r="15" spans="2:15">
      <c r="B15" s="945" t="s">
        <v>75</v>
      </c>
      <c r="C15" s="1013" t="s">
        <v>76</v>
      </c>
      <c r="D15" s="1013"/>
      <c r="E15" s="1013"/>
    </row>
    <row r="16" spans="2:15" ht="15" customHeight="1">
      <c r="B16" s="945" t="s">
        <v>77</v>
      </c>
      <c r="C16" s="1013" t="s">
        <v>78</v>
      </c>
      <c r="D16" s="1013"/>
      <c r="E16" s="1013"/>
    </row>
    <row r="17" spans="2:5">
      <c r="B17" s="942"/>
    </row>
    <row r="18" spans="2:5">
      <c r="B18" s="1014" t="s">
        <v>79</v>
      </c>
      <c r="C18" s="1014"/>
      <c r="D18" s="1014"/>
      <c r="E18" s="1014"/>
    </row>
    <row r="19" spans="2:5">
      <c r="B19" s="945" t="s">
        <v>80</v>
      </c>
      <c r="C19" s="945" t="s">
        <v>81</v>
      </c>
      <c r="D19" s="945" t="s">
        <v>82</v>
      </c>
      <c r="E19" s="945" t="s">
        <v>83</v>
      </c>
    </row>
    <row r="20" spans="2:5" ht="15" customHeight="1">
      <c r="B20" s="945" t="s">
        <v>84</v>
      </c>
      <c r="C20" s="945" t="s">
        <v>85</v>
      </c>
      <c r="D20" s="946" t="s">
        <v>86</v>
      </c>
      <c r="E20" s="947">
        <v>45953</v>
      </c>
    </row>
    <row r="21" spans="2:5">
      <c r="B21" s="945"/>
      <c r="C21" s="945"/>
      <c r="D21" s="945"/>
      <c r="E21" s="945"/>
    </row>
    <row r="22" spans="2:5">
      <c r="B22" s="945"/>
      <c r="C22" s="945"/>
      <c r="D22" s="945"/>
      <c r="E22" s="945"/>
    </row>
    <row r="23" spans="2:5">
      <c r="B23" s="945"/>
      <c r="C23" s="945"/>
      <c r="D23" s="945"/>
      <c r="E23" s="945"/>
    </row>
    <row r="24" spans="2:5">
      <c r="B24" s="945"/>
      <c r="C24" s="945"/>
      <c r="D24" s="945"/>
      <c r="E24" s="945"/>
    </row>
    <row r="25" spans="2:5">
      <c r="B25" s="945"/>
      <c r="C25" s="945"/>
      <c r="D25" s="945"/>
      <c r="E25" s="945"/>
    </row>
    <row r="26" spans="2:5">
      <c r="B26" s="942"/>
    </row>
  </sheetData>
  <mergeCells count="11">
    <mergeCell ref="C12:E12"/>
    <mergeCell ref="B2:E2"/>
    <mergeCell ref="H2:O10"/>
    <mergeCell ref="B9:E9"/>
    <mergeCell ref="B10:E10"/>
    <mergeCell ref="C11:E11"/>
    <mergeCell ref="C13:E13"/>
    <mergeCell ref="C14:E14"/>
    <mergeCell ref="C15:E15"/>
    <mergeCell ref="C16:E16"/>
    <mergeCell ref="B18:E18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C81931-755C-42A9-967C-CAC7158222C8}">
  <sheetPr codeName="Sheet16"/>
  <dimension ref="B1:J28"/>
  <sheetViews>
    <sheetView showGridLines="0" zoomScale="130" zoomScaleNormal="130" workbookViewId="0">
      <selection activeCell="B17" sqref="B17"/>
    </sheetView>
  </sheetViews>
  <sheetFormatPr defaultColWidth="9.26953125" defaultRowHeight="14.5"/>
  <cols>
    <col min="1" max="1" width="7.26953125" customWidth="1"/>
    <col min="2" max="2" width="37.7265625" customWidth="1"/>
    <col min="3" max="3" width="9.26953125" bestFit="1" customWidth="1"/>
    <col min="4" max="4" width="12.26953125" bestFit="1" customWidth="1"/>
    <col min="5" max="5" width="10.26953125" customWidth="1"/>
    <col min="6" max="6" width="33.7265625" customWidth="1"/>
  </cols>
  <sheetData>
    <row r="1" spans="2:10" ht="15" thickBot="1"/>
    <row r="2" spans="2:10" ht="15.5" thickTop="1" thickBot="1">
      <c r="B2" s="1026" t="s">
        <v>87</v>
      </c>
      <c r="C2" s="1027"/>
      <c r="D2" s="1027"/>
      <c r="E2" s="1027"/>
      <c r="F2" s="1028"/>
      <c r="G2" s="77"/>
      <c r="H2" s="77"/>
      <c r="I2" s="77"/>
      <c r="J2" s="77"/>
    </row>
    <row r="3" spans="2:10" ht="6.75" customHeight="1" thickTop="1"/>
    <row r="4" spans="2:10">
      <c r="B4" s="72" t="s">
        <v>88</v>
      </c>
      <c r="C4" s="78" t="s">
        <v>89</v>
      </c>
      <c r="D4" s="78" t="s">
        <v>90</v>
      </c>
      <c r="E4" s="78" t="s">
        <v>83</v>
      </c>
      <c r="F4" s="78" t="s">
        <v>91</v>
      </c>
    </row>
    <row r="5" spans="2:10">
      <c r="B5" s="74" t="s">
        <v>92</v>
      </c>
      <c r="C5" s="76"/>
      <c r="D5" s="76"/>
      <c r="E5" s="76"/>
      <c r="F5" s="71"/>
    </row>
    <row r="6" spans="2:10">
      <c r="B6" s="74" t="s">
        <v>93</v>
      </c>
      <c r="C6" s="76"/>
      <c r="D6" s="76"/>
      <c r="E6" s="76"/>
      <c r="F6" s="71"/>
    </row>
    <row r="7" spans="2:10">
      <c r="B7" s="74" t="s">
        <v>94</v>
      </c>
      <c r="C7" s="76"/>
      <c r="D7" s="76"/>
      <c r="E7" s="76"/>
      <c r="F7" s="71"/>
    </row>
    <row r="8" spans="2:10">
      <c r="B8" s="74" t="s">
        <v>95</v>
      </c>
      <c r="C8" s="76"/>
      <c r="D8" s="76"/>
      <c r="E8" s="76"/>
      <c r="F8" s="71"/>
    </row>
    <row r="9" spans="2:10">
      <c r="B9" s="75" t="s">
        <v>96</v>
      </c>
      <c r="C9" s="75"/>
      <c r="D9" s="75"/>
      <c r="E9" s="75"/>
      <c r="F9" s="71"/>
    </row>
    <row r="10" spans="2:10">
      <c r="B10" s="75"/>
      <c r="C10" s="75"/>
      <c r="D10" s="75"/>
      <c r="E10" s="75"/>
      <c r="F10" s="71"/>
    </row>
    <row r="11" spans="2:10">
      <c r="B11" s="75"/>
      <c r="C11" s="75"/>
      <c r="D11" s="75"/>
      <c r="E11" s="75"/>
      <c r="F11" s="71"/>
    </row>
    <row r="12" spans="2:10">
      <c r="B12" s="75"/>
      <c r="C12" s="75"/>
      <c r="D12" s="75"/>
      <c r="E12" s="75"/>
      <c r="F12" s="71"/>
    </row>
    <row r="13" spans="2:10">
      <c r="B13" s="75"/>
      <c r="C13" s="75"/>
      <c r="D13" s="75"/>
      <c r="E13" s="75"/>
      <c r="F13" s="71"/>
    </row>
    <row r="14" spans="2:10">
      <c r="B14" s="75"/>
      <c r="C14" s="75"/>
      <c r="D14" s="75"/>
      <c r="E14" s="75"/>
      <c r="F14" s="71"/>
    </row>
    <row r="15" spans="2:10" ht="15" thickBot="1"/>
    <row r="16" spans="2:10" ht="15.5" thickTop="1" thickBot="1">
      <c r="B16" s="1026" t="s">
        <v>97</v>
      </c>
      <c r="C16" s="1027"/>
      <c r="D16" s="1027"/>
      <c r="E16" s="1027"/>
      <c r="F16" s="1028"/>
    </row>
    <row r="17" spans="2:6" ht="15" thickTop="1"/>
    <row r="18" spans="2:6">
      <c r="B18" s="72" t="s">
        <v>88</v>
      </c>
      <c r="C18" s="78" t="s">
        <v>89</v>
      </c>
      <c r="D18" s="78" t="s">
        <v>90</v>
      </c>
      <c r="E18" s="78" t="s">
        <v>83</v>
      </c>
      <c r="F18" s="78" t="s">
        <v>91</v>
      </c>
    </row>
    <row r="19" spans="2:6">
      <c r="B19" s="74" t="s">
        <v>98</v>
      </c>
      <c r="C19" s="76"/>
      <c r="D19" s="76"/>
      <c r="E19" s="76"/>
      <c r="F19" s="71"/>
    </row>
    <row r="20" spans="2:6">
      <c r="B20" s="74" t="s">
        <v>99</v>
      </c>
      <c r="C20" s="76"/>
      <c r="D20" s="76"/>
      <c r="E20" s="76"/>
      <c r="F20" s="71"/>
    </row>
    <row r="21" spans="2:6">
      <c r="B21" s="74" t="s">
        <v>100</v>
      </c>
      <c r="C21" s="76"/>
      <c r="D21" s="76"/>
      <c r="E21" s="76"/>
      <c r="F21" s="71"/>
    </row>
    <row r="22" spans="2:6">
      <c r="B22" s="74"/>
      <c r="C22" s="76"/>
      <c r="D22" s="76"/>
      <c r="E22" s="76"/>
      <c r="F22" s="71"/>
    </row>
    <row r="23" spans="2:6">
      <c r="B23" s="75"/>
      <c r="C23" s="75"/>
      <c r="D23" s="75"/>
      <c r="E23" s="75"/>
      <c r="F23" s="71"/>
    </row>
    <row r="24" spans="2:6">
      <c r="B24" s="75"/>
      <c r="C24" s="75"/>
      <c r="D24" s="75"/>
      <c r="E24" s="75"/>
      <c r="F24" s="71"/>
    </row>
    <row r="25" spans="2:6">
      <c r="B25" s="75"/>
      <c r="C25" s="75"/>
      <c r="D25" s="75"/>
      <c r="E25" s="75"/>
      <c r="F25" s="71"/>
    </row>
    <row r="26" spans="2:6">
      <c r="B26" s="75"/>
      <c r="C26" s="75"/>
      <c r="D26" s="75"/>
      <c r="E26" s="75"/>
      <c r="F26" s="71"/>
    </row>
    <row r="27" spans="2:6">
      <c r="B27" s="75"/>
      <c r="C27" s="75"/>
      <c r="D27" s="75"/>
      <c r="E27" s="75"/>
      <c r="F27" s="71"/>
    </row>
    <row r="28" spans="2:6">
      <c r="B28" s="75"/>
      <c r="C28" s="75"/>
      <c r="D28" s="75"/>
      <c r="E28" s="75"/>
      <c r="F28" s="71"/>
    </row>
  </sheetData>
  <mergeCells count="2">
    <mergeCell ref="B2:F2"/>
    <mergeCell ref="B16:F16"/>
  </mergeCells>
  <conditionalFormatting sqref="C5:C14">
    <cfRule type="containsText" dxfId="40" priority="6" operator="containsText" text="Pending">
      <formula>NOT(ISERROR(SEARCH("Pending",C5)))</formula>
    </cfRule>
    <cfRule type="containsText" dxfId="39" priority="7" operator="containsText" text="Declined">
      <formula>NOT(ISERROR(SEARCH("Declined",C5)))</formula>
    </cfRule>
    <cfRule type="containsText" dxfId="38" priority="8" operator="containsText" text="Abanded">
      <formula>NOT(ISERROR(SEARCH("Abanded",C5)))</formula>
    </cfRule>
    <cfRule type="containsText" dxfId="37" priority="9" operator="containsText" text="Declined">
      <formula>NOT(ISERROR(SEARCH("Declined",C5)))</formula>
    </cfRule>
    <cfRule type="containsText" dxfId="36" priority="10" operator="containsText" text="Approved">
      <formula>NOT(ISERROR(SEARCH("Approved",C5)))</formula>
    </cfRule>
  </conditionalFormatting>
  <conditionalFormatting sqref="C19:C28">
    <cfRule type="containsText" dxfId="35" priority="1" operator="containsText" text="Pending">
      <formula>NOT(ISERROR(SEARCH("Pending",C19)))</formula>
    </cfRule>
    <cfRule type="containsText" dxfId="34" priority="2" operator="containsText" text="Declined">
      <formula>NOT(ISERROR(SEARCH("Declined",C19)))</formula>
    </cfRule>
    <cfRule type="containsText" dxfId="33" priority="3" operator="containsText" text="Abanded">
      <formula>NOT(ISERROR(SEARCH("Abanded",C19)))</formula>
    </cfRule>
    <cfRule type="containsText" dxfId="32" priority="4" operator="containsText" text="Declined">
      <formula>NOT(ISERROR(SEARCH("Declined",C19)))</formula>
    </cfRule>
    <cfRule type="containsText" dxfId="31" priority="5" operator="containsText" text="Approved">
      <formula>NOT(ISERROR(SEARCH("Approved",C19)))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A219"/>
  <sheetViews>
    <sheetView topLeftCell="A3" zoomScaleNormal="100" workbookViewId="0">
      <selection activeCell="L33" sqref="L33"/>
    </sheetView>
  </sheetViews>
  <sheetFormatPr defaultColWidth="8.26953125" defaultRowHeight="14.5"/>
  <cols>
    <col min="1" max="1" width="5.26953125" style="93" customWidth="1"/>
    <col min="2" max="2" width="5.26953125" style="132" customWidth="1"/>
    <col min="3" max="3" width="26.26953125" style="131" customWidth="1"/>
    <col min="4" max="4" width="16.26953125" style="131" customWidth="1"/>
    <col min="5" max="5" width="7.26953125" style="131" customWidth="1"/>
    <col min="6" max="6" width="16.26953125" style="131" customWidth="1"/>
    <col min="7" max="7" width="10" style="131" bestFit="1" customWidth="1"/>
    <col min="8" max="8" width="15.26953125" style="131" customWidth="1"/>
    <col min="9" max="9" width="1.26953125" style="131" customWidth="1"/>
    <col min="10" max="10" width="3.26953125" style="93" customWidth="1"/>
    <col min="11" max="11" width="1.26953125" style="229" customWidth="1"/>
    <col min="12" max="12" width="18.26953125" style="93" bestFit="1" customWidth="1"/>
    <col min="13" max="13" width="1.26953125" style="131" customWidth="1"/>
    <col min="14" max="14" width="18.26953125" style="131" bestFit="1" customWidth="1"/>
    <col min="15" max="15" width="1.26953125" style="93" customWidth="1"/>
    <col min="16" max="16" width="17" style="131" customWidth="1"/>
    <col min="17" max="17" width="15.26953125" style="131" bestFit="1" customWidth="1"/>
    <col min="18" max="18" width="32.26953125" style="131" customWidth="1"/>
    <col min="19" max="19" width="4.26953125" style="131" customWidth="1"/>
    <col min="20" max="20" width="14.26953125" style="131" customWidth="1"/>
    <col min="21" max="21" width="10.26953125" style="93" bestFit="1" customWidth="1"/>
    <col min="22" max="23" width="8.26953125" style="93"/>
    <col min="24" max="24" width="5.26953125" style="93" bestFit="1" customWidth="1"/>
    <col min="25" max="25" width="14.26953125" style="93" bestFit="1" customWidth="1"/>
    <col min="26" max="26" width="8.26953125" style="93"/>
    <col min="27" max="27" width="14.26953125" style="93" bestFit="1" customWidth="1"/>
    <col min="28" max="28" width="8.26953125" style="131"/>
    <col min="29" max="29" width="12.26953125" style="131" bestFit="1" customWidth="1"/>
    <col min="30" max="16384" width="8.26953125" style="131"/>
  </cols>
  <sheetData>
    <row r="1" spans="1:21" s="93" customFormat="1" ht="14.25" customHeight="1">
      <c r="A1" s="578"/>
      <c r="B1" s="119"/>
      <c r="J1" s="143"/>
      <c r="S1" s="143"/>
    </row>
    <row r="2" spans="1:21" s="93" customFormat="1" ht="14.25" customHeight="1" thickBot="1">
      <c r="A2" s="578"/>
      <c r="B2" s="130" t="s">
        <v>101</v>
      </c>
      <c r="C2" s="130"/>
      <c r="D2" s="130"/>
      <c r="E2" s="130"/>
      <c r="F2" s="130"/>
      <c r="G2" s="130"/>
      <c r="H2" s="130"/>
      <c r="J2" s="143"/>
      <c r="L2" s="130"/>
      <c r="M2" s="130"/>
      <c r="O2" s="130"/>
      <c r="R2" s="130"/>
      <c r="S2" s="143"/>
    </row>
    <row r="3" spans="1:21" s="93" customFormat="1" ht="25.5">
      <c r="B3" s="119"/>
      <c r="D3" s="127" t="s">
        <v>102</v>
      </c>
      <c r="F3" s="127" t="s">
        <v>103</v>
      </c>
      <c r="J3" s="143"/>
      <c r="L3" s="575" t="s">
        <v>104</v>
      </c>
      <c r="N3" s="575" t="s">
        <v>105</v>
      </c>
      <c r="P3" s="136" t="s">
        <v>106</v>
      </c>
      <c r="Q3" s="93" t="s">
        <v>102</v>
      </c>
      <c r="R3" s="93" t="s">
        <v>103</v>
      </c>
      <c r="S3" s="143"/>
    </row>
    <row r="4" spans="1:21" s="93" customFormat="1" ht="13">
      <c r="B4" s="514">
        <v>1</v>
      </c>
      <c r="C4" s="515" t="s">
        <v>107</v>
      </c>
      <c r="D4" s="516">
        <f>'Project Plan'!E8</f>
        <v>14953088.300000001</v>
      </c>
      <c r="E4" s="517"/>
      <c r="F4" s="516">
        <f>F22</f>
        <v>15251088.299999999</v>
      </c>
      <c r="J4" s="143"/>
      <c r="L4" s="576">
        <v>15251088.300000001</v>
      </c>
      <c r="N4" s="576" t="s">
        <v>108</v>
      </c>
      <c r="P4" s="861">
        <v>1669614.47</v>
      </c>
      <c r="Q4" s="862">
        <f>F4-P4</f>
        <v>13581473.829999998</v>
      </c>
      <c r="R4" s="861">
        <f>F4-P4</f>
        <v>13581473.829999998</v>
      </c>
      <c r="S4" s="143"/>
      <c r="T4" s="118"/>
    </row>
    <row r="5" spans="1:21" s="93" customFormat="1" ht="15" customHeight="1">
      <c r="B5" s="514">
        <v>2</v>
      </c>
      <c r="C5" s="515" t="s">
        <v>109</v>
      </c>
      <c r="D5" s="516">
        <f>+'Expenditure Tracking'!F5</f>
        <v>13282857.692898551</v>
      </c>
      <c r="E5" s="517"/>
      <c r="F5" s="516">
        <f>+'Expenditure Tracking'!J5</f>
        <v>14161975.548000002</v>
      </c>
      <c r="J5" s="143"/>
      <c r="L5" s="576">
        <v>13983270.251720311</v>
      </c>
      <c r="N5" s="824">
        <v>45299</v>
      </c>
      <c r="P5" s="861">
        <v>1171761.6000000001</v>
      </c>
      <c r="Q5" s="862">
        <f>F5-P5</f>
        <v>12990213.948000003</v>
      </c>
      <c r="R5" s="861">
        <f>F5-P5</f>
        <v>12990213.948000003</v>
      </c>
      <c r="S5" s="143"/>
      <c r="T5" s="118"/>
    </row>
    <row r="6" spans="1:21" s="93" customFormat="1" ht="15" customHeight="1">
      <c r="B6" s="514">
        <v>3</v>
      </c>
      <c r="C6" s="515" t="s">
        <v>110</v>
      </c>
      <c r="D6" s="516">
        <f>+D4-D5</f>
        <v>1670230.6071014497</v>
      </c>
      <c r="E6" s="517"/>
      <c r="F6" s="516">
        <f>+F4-F5-G6</f>
        <v>1089112.7519999966</v>
      </c>
      <c r="J6" s="143"/>
      <c r="L6" s="576">
        <v>1267818.0482796896</v>
      </c>
      <c r="N6" s="576" t="s">
        <v>111</v>
      </c>
      <c r="P6" s="861">
        <f>P4-P5</f>
        <v>497852.86999999988</v>
      </c>
      <c r="Q6" s="861">
        <f t="shared" ref="Q6:R6" si="0">Q4-Q5</f>
        <v>591259.88199999556</v>
      </c>
      <c r="R6" s="861">
        <f t="shared" si="0"/>
        <v>591259.88199999556</v>
      </c>
      <c r="S6" s="143"/>
    </row>
    <row r="7" spans="1:21" s="93" customFormat="1" ht="15" customHeight="1" thickBot="1">
      <c r="B7" s="514">
        <v>4</v>
      </c>
      <c r="C7" s="515" t="s">
        <v>112</v>
      </c>
      <c r="D7" s="518">
        <f>+D6/D4</f>
        <v>0.11169803679293792</v>
      </c>
      <c r="E7" s="517"/>
      <c r="F7" s="518">
        <f>+F6/F4</f>
        <v>7.1412133388539661E-2</v>
      </c>
      <c r="J7" s="143"/>
      <c r="L7" s="577">
        <v>8.3129677262421306E-2</v>
      </c>
      <c r="N7" s="838">
        <v>45364</v>
      </c>
      <c r="S7" s="143"/>
    </row>
    <row r="8" spans="1:21" s="93" customFormat="1" ht="9" customHeight="1">
      <c r="B8" s="119"/>
      <c r="J8" s="143"/>
      <c r="S8" s="143"/>
    </row>
    <row r="9" spans="1:21" s="93" customFormat="1" ht="9.75" customHeight="1">
      <c r="B9" s="119"/>
      <c r="J9" s="143"/>
      <c r="S9" s="143"/>
    </row>
    <row r="10" spans="1:21" s="93" customFormat="1" ht="13">
      <c r="B10" s="130" t="s">
        <v>113</v>
      </c>
      <c r="J10" s="143"/>
      <c r="S10" s="143"/>
      <c r="U10" s="130"/>
    </row>
    <row r="11" spans="1:21" s="93" customFormat="1" ht="14.25" customHeight="1">
      <c r="B11" s="119"/>
      <c r="J11" s="143"/>
      <c r="S11" s="143"/>
    </row>
    <row r="12" spans="1:21" s="93" customFormat="1" ht="26">
      <c r="B12" s="133" t="s">
        <v>114</v>
      </c>
      <c r="C12" s="134" t="s">
        <v>115</v>
      </c>
      <c r="D12" s="135"/>
      <c r="E12" s="133" t="s">
        <v>116</v>
      </c>
      <c r="F12" s="133" t="s">
        <v>117</v>
      </c>
      <c r="H12" s="519" t="s">
        <v>118</v>
      </c>
      <c r="J12" s="143"/>
      <c r="L12" s="186" t="s">
        <v>119</v>
      </c>
      <c r="M12" s="136"/>
      <c r="N12" s="186" t="s">
        <v>120</v>
      </c>
      <c r="O12" s="131"/>
      <c r="P12" s="186" t="s">
        <v>121</v>
      </c>
      <c r="R12" s="597" t="s">
        <v>122</v>
      </c>
      <c r="S12" s="143"/>
    </row>
    <row r="13" spans="1:21" s="93" customFormat="1" ht="13">
      <c r="B13" s="514">
        <v>1</v>
      </c>
      <c r="C13" s="1029" t="s">
        <v>123</v>
      </c>
      <c r="D13" s="1030"/>
      <c r="E13" s="137">
        <v>0.6</v>
      </c>
      <c r="F13" s="138">
        <f>$D$4*E13</f>
        <v>8971852.9800000004</v>
      </c>
      <c r="G13" s="139"/>
      <c r="H13" s="140">
        <v>45169</v>
      </c>
      <c r="J13" s="143"/>
      <c r="L13" s="533" t="s">
        <v>124</v>
      </c>
      <c r="M13" s="532">
        <v>45078</v>
      </c>
      <c r="N13" s="140">
        <v>45139</v>
      </c>
      <c r="O13" s="131"/>
      <c r="P13" s="140">
        <v>45140</v>
      </c>
      <c r="R13" s="195"/>
      <c r="S13" s="143"/>
    </row>
    <row r="14" spans="1:21" s="93" customFormat="1" ht="12.5">
      <c r="B14" s="514">
        <v>2</v>
      </c>
      <c r="C14" s="1029" t="s">
        <v>125</v>
      </c>
      <c r="D14" s="1030"/>
      <c r="E14" s="137">
        <v>0.25</v>
      </c>
      <c r="F14" s="138">
        <f t="shared" ref="F14:F17" si="1">$D$4*E14</f>
        <v>3738272.0750000002</v>
      </c>
      <c r="G14" s="517"/>
      <c r="H14" s="140">
        <f>'Project Plan'!G39+7</f>
        <v>45279</v>
      </c>
      <c r="J14" s="143"/>
      <c r="L14" s="533" t="s">
        <v>126</v>
      </c>
      <c r="M14" s="517"/>
      <c r="N14" s="140">
        <v>45273</v>
      </c>
      <c r="O14" s="131"/>
      <c r="P14" s="140">
        <v>45278</v>
      </c>
      <c r="R14" s="598"/>
      <c r="S14" s="143"/>
    </row>
    <row r="15" spans="1:21" s="93" customFormat="1" ht="12.5">
      <c r="B15" s="514">
        <v>3</v>
      </c>
      <c r="C15" s="1029" t="s">
        <v>127</v>
      </c>
      <c r="D15" s="1030"/>
      <c r="E15" s="137">
        <v>0.1</v>
      </c>
      <c r="F15" s="138">
        <f t="shared" si="1"/>
        <v>1495308.83</v>
      </c>
      <c r="G15" s="517"/>
      <c r="H15" s="140">
        <f>'Project Plan'!E30+7</f>
        <v>45278</v>
      </c>
      <c r="J15" s="143"/>
      <c r="L15" s="533" t="s">
        <v>126</v>
      </c>
      <c r="M15" s="517"/>
      <c r="N15" s="140">
        <v>45273</v>
      </c>
      <c r="O15" s="131"/>
      <c r="P15" s="140">
        <v>45278</v>
      </c>
      <c r="R15" s="598"/>
      <c r="S15" s="143"/>
    </row>
    <row r="16" spans="1:21" s="93" customFormat="1" ht="12.5">
      <c r="B16" s="514">
        <v>4</v>
      </c>
      <c r="C16" s="1029" t="s">
        <v>54</v>
      </c>
      <c r="D16" s="1030"/>
      <c r="E16" s="137">
        <v>2.5000000000000001E-2</v>
      </c>
      <c r="F16" s="138">
        <f t="shared" si="1"/>
        <v>373827.20750000002</v>
      </c>
      <c r="G16" s="931"/>
      <c r="H16" s="140">
        <f>'Project Plan'!E62</f>
        <v>45372</v>
      </c>
      <c r="J16" s="143"/>
      <c r="L16" s="932" t="s">
        <v>128</v>
      </c>
      <c r="M16" s="933"/>
      <c r="N16" s="934">
        <v>45527</v>
      </c>
      <c r="O16" s="131"/>
      <c r="P16" s="934">
        <f>N16+7</f>
        <v>45534</v>
      </c>
      <c r="R16" s="598"/>
      <c r="S16" s="143"/>
    </row>
    <row r="17" spans="2:19" s="93" customFormat="1" ht="12.5">
      <c r="B17" s="514">
        <v>4</v>
      </c>
      <c r="C17" s="913" t="s">
        <v>54</v>
      </c>
      <c r="D17" s="914"/>
      <c r="E17" s="137">
        <v>2.5000000000000001E-2</v>
      </c>
      <c r="F17" s="138">
        <f t="shared" si="1"/>
        <v>373827.20750000002</v>
      </c>
      <c r="G17" s="517"/>
      <c r="H17" s="140">
        <v>45372</v>
      </c>
      <c r="J17" s="143"/>
      <c r="L17" s="932" t="s">
        <v>129</v>
      </c>
      <c r="M17" s="131"/>
      <c r="N17" s="934">
        <v>45691</v>
      </c>
      <c r="O17" s="131"/>
      <c r="P17" s="934">
        <v>46052</v>
      </c>
      <c r="R17" s="598" t="s">
        <v>130</v>
      </c>
      <c r="S17" s="143"/>
    </row>
    <row r="18" spans="2:19" s="93" customFormat="1" ht="12.5">
      <c r="B18" s="514">
        <v>5</v>
      </c>
      <c r="C18" s="1031" t="s">
        <v>131</v>
      </c>
      <c r="D18" s="1032"/>
      <c r="E18" s="137">
        <v>0</v>
      </c>
      <c r="F18" s="138">
        <v>298000</v>
      </c>
      <c r="G18" s="517"/>
      <c r="H18" s="140">
        <f>H15</f>
        <v>45278</v>
      </c>
      <c r="J18" s="143"/>
      <c r="L18" s="533" t="s">
        <v>132</v>
      </c>
      <c r="N18" s="140">
        <v>45273</v>
      </c>
      <c r="O18" s="131"/>
      <c r="P18" s="140">
        <v>45274</v>
      </c>
      <c r="R18" s="598"/>
      <c r="S18" s="143"/>
    </row>
    <row r="19" spans="2:19" s="93" customFormat="1" ht="12.5">
      <c r="B19" s="514">
        <v>6</v>
      </c>
      <c r="C19" s="1029"/>
      <c r="D19" s="1030"/>
      <c r="E19" s="137">
        <v>0</v>
      </c>
      <c r="F19" s="138">
        <v>0</v>
      </c>
      <c r="G19" s="517"/>
      <c r="H19" s="140"/>
      <c r="J19" s="143"/>
      <c r="L19" s="141"/>
      <c r="M19" s="139"/>
      <c r="N19" s="141"/>
      <c r="O19" s="131"/>
      <c r="P19" s="141"/>
      <c r="R19" s="598"/>
      <c r="S19" s="143"/>
    </row>
    <row r="20" spans="2:19" s="93" customFormat="1" ht="12.5">
      <c r="B20" s="514">
        <v>7</v>
      </c>
      <c r="C20" s="1029" t="s">
        <v>133</v>
      </c>
      <c r="D20" s="1030"/>
      <c r="E20" s="137">
        <v>0</v>
      </c>
      <c r="F20" s="138">
        <f t="shared" ref="F20" si="2">$D$4*E20</f>
        <v>0</v>
      </c>
      <c r="G20" s="517"/>
      <c r="H20" s="140"/>
      <c r="J20" s="143"/>
      <c r="L20" s="141"/>
      <c r="N20" s="141"/>
      <c r="O20" s="131"/>
      <c r="P20" s="141"/>
      <c r="R20" s="598"/>
      <c r="S20" s="143"/>
    </row>
    <row r="21" spans="2:19" s="93" customFormat="1" ht="9" customHeight="1">
      <c r="B21" s="119"/>
      <c r="E21" s="142"/>
      <c r="F21" s="118"/>
      <c r="H21" s="520"/>
      <c r="J21" s="143"/>
      <c r="S21" s="143"/>
    </row>
    <row r="22" spans="2:19" s="93" customFormat="1" ht="13">
      <c r="B22" s="119"/>
      <c r="E22" s="521">
        <f>SUM(E13:E20)</f>
        <v>1</v>
      </c>
      <c r="F22" s="522">
        <f>SUM(F13:F20)</f>
        <v>15251088.299999999</v>
      </c>
      <c r="J22" s="143" t="s">
        <v>134</v>
      </c>
      <c r="S22" s="143"/>
    </row>
    <row r="23" spans="2:19" s="143" customFormat="1" ht="25.5" customHeight="1">
      <c r="B23" s="144"/>
      <c r="F23" s="145"/>
    </row>
    <row r="24" spans="2:19" s="93" customFormat="1" ht="24.75" customHeight="1">
      <c r="B24" s="146" t="s">
        <v>135</v>
      </c>
      <c r="C24" s="147" t="s">
        <v>136</v>
      </c>
      <c r="D24" s="147"/>
      <c r="F24" s="148"/>
    </row>
    <row r="25" spans="2:19" s="93" customFormat="1" ht="12.5">
      <c r="C25" s="149" t="s">
        <v>137</v>
      </c>
      <c r="D25" s="150"/>
      <c r="F25" s="151"/>
    </row>
    <row r="26" spans="2:19" s="93" customFormat="1" ht="12.5">
      <c r="C26" s="149" t="s">
        <v>138</v>
      </c>
      <c r="D26" s="150"/>
    </row>
    <row r="27" spans="2:19" s="93" customFormat="1" ht="12.5">
      <c r="C27" s="152" t="s">
        <v>139</v>
      </c>
      <c r="D27" s="153"/>
    </row>
    <row r="28" spans="2:19" s="93" customFormat="1" ht="12.5">
      <c r="C28" s="154" t="s">
        <v>140</v>
      </c>
      <c r="D28" s="150"/>
    </row>
    <row r="29" spans="2:19" s="93" customFormat="1" ht="12.5">
      <c r="B29" s="119"/>
      <c r="C29" s="154" t="s">
        <v>141</v>
      </c>
      <c r="D29" s="150"/>
    </row>
    <row r="30" spans="2:19" s="93" customFormat="1" ht="12.5">
      <c r="B30" s="119"/>
      <c r="C30" s="93" t="s">
        <v>142</v>
      </c>
    </row>
    <row r="31" spans="2:19" s="93" customFormat="1" ht="27.75" customHeight="1">
      <c r="B31" s="119"/>
      <c r="C31" s="155" t="s">
        <v>143</v>
      </c>
      <c r="D31" s="155"/>
      <c r="F31" s="151"/>
    </row>
    <row r="32" spans="2:19" s="93" customFormat="1" ht="12.5">
      <c r="B32" s="119"/>
      <c r="F32" s="148"/>
    </row>
    <row r="33" spans="2:6" s="93" customFormat="1" ht="12.5">
      <c r="B33" s="119"/>
      <c r="F33" s="148"/>
    </row>
    <row r="34" spans="2:6" s="93" customFormat="1" ht="12.5">
      <c r="B34" s="119"/>
      <c r="F34" s="148"/>
    </row>
    <row r="35" spans="2:6" s="93" customFormat="1" ht="12.5">
      <c r="B35" s="119"/>
      <c r="F35" s="148"/>
    </row>
    <row r="36" spans="2:6" s="93" customFormat="1" ht="12.5">
      <c r="B36" s="119"/>
    </row>
    <row r="37" spans="2:6" s="93" customFormat="1" ht="12.5">
      <c r="B37" s="119"/>
    </row>
    <row r="38" spans="2:6" s="93" customFormat="1" ht="12.5">
      <c r="B38" s="119"/>
    </row>
    <row r="39" spans="2:6" s="93" customFormat="1" ht="12.75" hidden="1" customHeight="1">
      <c r="B39" s="119"/>
    </row>
    <row r="40" spans="2:6" s="93" customFormat="1" ht="12.75" hidden="1" customHeight="1">
      <c r="B40" s="119"/>
    </row>
    <row r="41" spans="2:6" s="93" customFormat="1" ht="13.5" hidden="1" customHeight="1">
      <c r="B41" s="133" t="s">
        <v>114</v>
      </c>
      <c r="C41" s="134" t="s">
        <v>115</v>
      </c>
      <c r="D41" s="135"/>
      <c r="E41" s="133" t="s">
        <v>116</v>
      </c>
      <c r="F41" s="133" t="s">
        <v>117</v>
      </c>
    </row>
    <row r="42" spans="2:6" s="93" customFormat="1" ht="12.75" hidden="1" customHeight="1">
      <c r="B42" s="156">
        <v>1</v>
      </c>
      <c r="C42" s="157" t="s">
        <v>144</v>
      </c>
      <c r="D42" s="157"/>
      <c r="E42" s="137">
        <v>0.35</v>
      </c>
      <c r="F42" s="138">
        <f>$F$48*E42</f>
        <v>5337880.9049999993</v>
      </c>
    </row>
    <row r="43" spans="2:6" s="93" customFormat="1" ht="12.75" hidden="1" customHeight="1">
      <c r="B43" s="156">
        <v>2</v>
      </c>
      <c r="C43" s="157" t="s">
        <v>145</v>
      </c>
      <c r="D43" s="157"/>
      <c r="E43" s="137">
        <v>0.3</v>
      </c>
      <c r="F43" s="138">
        <f t="shared" ref="F43:F46" si="3">$F$48*E43</f>
        <v>4575326.4899999993</v>
      </c>
    </row>
    <row r="44" spans="2:6" s="93" customFormat="1" ht="12.75" hidden="1" customHeight="1">
      <c r="B44" s="156">
        <v>3</v>
      </c>
      <c r="C44" s="157" t="s">
        <v>127</v>
      </c>
      <c r="D44" s="157"/>
      <c r="E44" s="137">
        <v>0.2</v>
      </c>
      <c r="F44" s="138">
        <f t="shared" si="3"/>
        <v>3050217.66</v>
      </c>
    </row>
    <row r="45" spans="2:6" s="93" customFormat="1" ht="12.75" hidden="1" customHeight="1">
      <c r="B45" s="156">
        <v>4</v>
      </c>
      <c r="C45" s="157" t="s">
        <v>146</v>
      </c>
      <c r="D45" s="157"/>
      <c r="E45" s="137">
        <v>0.1</v>
      </c>
      <c r="F45" s="138">
        <f t="shared" si="3"/>
        <v>1525108.83</v>
      </c>
    </row>
    <row r="46" spans="2:6" s="93" customFormat="1" ht="13.5" hidden="1" customHeight="1" thickBot="1">
      <c r="B46" s="158">
        <v>5</v>
      </c>
      <c r="C46" s="159" t="s">
        <v>54</v>
      </c>
      <c r="D46" s="159"/>
      <c r="E46" s="160">
        <v>0.05</v>
      </c>
      <c r="F46" s="161">
        <f t="shared" si="3"/>
        <v>762554.41500000004</v>
      </c>
    </row>
    <row r="47" spans="2:6" s="93" customFormat="1" ht="13.5" hidden="1" customHeight="1" thickBot="1">
      <c r="B47" s="162"/>
      <c r="C47" s="163" t="s">
        <v>147</v>
      </c>
      <c r="D47" s="163"/>
      <c r="E47" s="164">
        <f>SUM(E42:E46)</f>
        <v>0.99999999999999989</v>
      </c>
      <c r="F47" s="165">
        <f>SUM(F42:F46)</f>
        <v>15251088.300000001</v>
      </c>
    </row>
    <row r="48" spans="2:6" s="93" customFormat="1" ht="12.75" hidden="1" customHeight="1">
      <c r="B48" s="119"/>
      <c r="E48" s="142">
        <f>SUM(E42:E46)</f>
        <v>0.99999999999999989</v>
      </c>
      <c r="F48" s="118">
        <f>F22</f>
        <v>15251088.299999999</v>
      </c>
    </row>
    <row r="49" spans="2:2" s="93" customFormat="1" ht="12.75" hidden="1" customHeight="1">
      <c r="B49" s="119"/>
    </row>
    <row r="50" spans="2:2" s="93" customFormat="1" ht="12.5">
      <c r="B50" s="119"/>
    </row>
    <row r="51" spans="2:2" s="93" customFormat="1" ht="12.5">
      <c r="B51" s="119"/>
    </row>
    <row r="52" spans="2:2" s="93" customFormat="1" ht="12.5">
      <c r="B52" s="119"/>
    </row>
    <row r="53" spans="2:2" s="93" customFormat="1" ht="12.5">
      <c r="B53" s="119"/>
    </row>
    <row r="54" spans="2:2" s="93" customFormat="1" ht="12.5">
      <c r="B54" s="119"/>
    </row>
    <row r="55" spans="2:2" s="93" customFormat="1" ht="12.5">
      <c r="B55" s="119"/>
    </row>
    <row r="56" spans="2:2" s="93" customFormat="1" ht="12.5">
      <c r="B56" s="119"/>
    </row>
    <row r="57" spans="2:2" s="93" customFormat="1" ht="12.5">
      <c r="B57" s="119"/>
    </row>
    <row r="58" spans="2:2" s="93" customFormat="1" ht="12.5">
      <c r="B58" s="119"/>
    </row>
    <row r="59" spans="2:2" s="93" customFormat="1" ht="12.5">
      <c r="B59" s="119"/>
    </row>
    <row r="60" spans="2:2" s="93" customFormat="1" ht="12.5">
      <c r="B60" s="119"/>
    </row>
    <row r="61" spans="2:2" s="93" customFormat="1" ht="12.5">
      <c r="B61" s="119"/>
    </row>
    <row r="62" spans="2:2" s="93" customFormat="1" ht="12.5">
      <c r="B62" s="119"/>
    </row>
    <row r="63" spans="2:2" s="93" customFormat="1" ht="12.5">
      <c r="B63" s="119"/>
    </row>
    <row r="64" spans="2:2" s="93" customFormat="1" ht="12.5">
      <c r="B64" s="119"/>
    </row>
    <row r="65" spans="2:2" s="93" customFormat="1" ht="12.5">
      <c r="B65" s="119"/>
    </row>
    <row r="66" spans="2:2" s="93" customFormat="1" ht="12.5">
      <c r="B66" s="119"/>
    </row>
    <row r="67" spans="2:2" s="93" customFormat="1" ht="12.5">
      <c r="B67" s="119"/>
    </row>
    <row r="68" spans="2:2" s="93" customFormat="1" ht="12.5">
      <c r="B68" s="119"/>
    </row>
    <row r="69" spans="2:2" s="93" customFormat="1" ht="12.5">
      <c r="B69" s="119"/>
    </row>
    <row r="70" spans="2:2" s="93" customFormat="1" ht="12.5">
      <c r="B70" s="119"/>
    </row>
    <row r="71" spans="2:2" s="93" customFormat="1" ht="12.5">
      <c r="B71" s="119"/>
    </row>
    <row r="72" spans="2:2" s="93" customFormat="1" ht="12.5">
      <c r="B72" s="119"/>
    </row>
    <row r="73" spans="2:2" s="93" customFormat="1" ht="12.5">
      <c r="B73" s="119"/>
    </row>
    <row r="74" spans="2:2" s="93" customFormat="1" ht="12.5">
      <c r="B74" s="119"/>
    </row>
    <row r="75" spans="2:2" s="93" customFormat="1" ht="12.5">
      <c r="B75" s="119"/>
    </row>
    <row r="76" spans="2:2" s="93" customFormat="1" ht="12.5">
      <c r="B76" s="119"/>
    </row>
    <row r="77" spans="2:2" s="93" customFormat="1" ht="12.5">
      <c r="B77" s="119"/>
    </row>
    <row r="78" spans="2:2" s="93" customFormat="1" ht="12.5">
      <c r="B78" s="119"/>
    </row>
    <row r="79" spans="2:2" s="93" customFormat="1" ht="12.5">
      <c r="B79" s="119"/>
    </row>
    <row r="80" spans="2:2" s="93" customFormat="1" ht="12.5">
      <c r="B80" s="119"/>
    </row>
    <row r="81" spans="2:2" s="93" customFormat="1" ht="12.5">
      <c r="B81" s="119"/>
    </row>
    <row r="82" spans="2:2" s="93" customFormat="1" ht="12.5">
      <c r="B82" s="119"/>
    </row>
    <row r="83" spans="2:2" s="93" customFormat="1" ht="12.5">
      <c r="B83" s="119"/>
    </row>
    <row r="84" spans="2:2" s="93" customFormat="1" ht="12.5">
      <c r="B84" s="119"/>
    </row>
    <row r="85" spans="2:2" s="93" customFormat="1" ht="12.5">
      <c r="B85" s="119"/>
    </row>
    <row r="86" spans="2:2" s="93" customFormat="1" ht="12.5">
      <c r="B86" s="119"/>
    </row>
    <row r="87" spans="2:2" s="93" customFormat="1" ht="12.5">
      <c r="B87" s="119"/>
    </row>
    <row r="88" spans="2:2" s="93" customFormat="1" ht="12.5">
      <c r="B88" s="119"/>
    </row>
    <row r="89" spans="2:2" s="93" customFormat="1" ht="12.5">
      <c r="B89" s="119"/>
    </row>
    <row r="90" spans="2:2" s="93" customFormat="1" ht="12.5">
      <c r="B90" s="119"/>
    </row>
    <row r="91" spans="2:2" s="93" customFormat="1" ht="12.5">
      <c r="B91" s="119"/>
    </row>
    <row r="92" spans="2:2" s="93" customFormat="1" ht="12.5">
      <c r="B92" s="119"/>
    </row>
    <row r="93" spans="2:2" s="93" customFormat="1" ht="12.5">
      <c r="B93" s="119"/>
    </row>
    <row r="94" spans="2:2" s="93" customFormat="1" ht="12.5">
      <c r="B94" s="119"/>
    </row>
    <row r="95" spans="2:2" s="93" customFormat="1" ht="12.5">
      <c r="B95" s="119"/>
    </row>
    <row r="96" spans="2:2" s="93" customFormat="1" ht="12.5">
      <c r="B96" s="119"/>
    </row>
    <row r="97" spans="2:2" s="93" customFormat="1" ht="12.5">
      <c r="B97" s="119"/>
    </row>
    <row r="98" spans="2:2" s="93" customFormat="1" ht="12.5">
      <c r="B98" s="119"/>
    </row>
    <row r="99" spans="2:2" s="93" customFormat="1" ht="12.5">
      <c r="B99" s="119"/>
    </row>
    <row r="100" spans="2:2" s="93" customFormat="1" ht="12.5">
      <c r="B100" s="119"/>
    </row>
    <row r="101" spans="2:2" s="93" customFormat="1" ht="12.5">
      <c r="B101" s="119"/>
    </row>
    <row r="102" spans="2:2" s="93" customFormat="1" ht="12.5">
      <c r="B102" s="119"/>
    </row>
    <row r="103" spans="2:2" s="93" customFormat="1" ht="12.5">
      <c r="B103" s="119"/>
    </row>
    <row r="104" spans="2:2" s="93" customFormat="1" ht="12.5">
      <c r="B104" s="119"/>
    </row>
    <row r="105" spans="2:2" s="93" customFormat="1" ht="12.5">
      <c r="B105" s="119"/>
    </row>
    <row r="106" spans="2:2" s="93" customFormat="1" ht="12.5">
      <c r="B106" s="119"/>
    </row>
    <row r="107" spans="2:2" s="93" customFormat="1" ht="12.5">
      <c r="B107" s="119"/>
    </row>
    <row r="108" spans="2:2" s="93" customFormat="1" ht="12.5">
      <c r="B108" s="119"/>
    </row>
    <row r="109" spans="2:2" s="93" customFormat="1" ht="12.5">
      <c r="B109" s="119"/>
    </row>
    <row r="110" spans="2:2" s="93" customFormat="1" ht="12.5">
      <c r="B110" s="119"/>
    </row>
    <row r="111" spans="2:2" s="93" customFormat="1" ht="12.5">
      <c r="B111" s="119"/>
    </row>
    <row r="112" spans="2:2" s="93" customFormat="1" ht="12.5">
      <c r="B112" s="119"/>
    </row>
    <row r="113" spans="2:2" s="93" customFormat="1" ht="12.5">
      <c r="B113" s="119"/>
    </row>
    <row r="114" spans="2:2" s="93" customFormat="1" ht="12.5">
      <c r="B114" s="119"/>
    </row>
    <row r="115" spans="2:2" s="93" customFormat="1" ht="12.5">
      <c r="B115" s="119"/>
    </row>
    <row r="116" spans="2:2" s="93" customFormat="1" ht="12.5">
      <c r="B116" s="119"/>
    </row>
    <row r="117" spans="2:2" s="93" customFormat="1" ht="12.5">
      <c r="B117" s="119"/>
    </row>
    <row r="118" spans="2:2" s="93" customFormat="1" ht="12.5">
      <c r="B118" s="119"/>
    </row>
    <row r="119" spans="2:2" s="93" customFormat="1" ht="12.5">
      <c r="B119" s="119"/>
    </row>
    <row r="120" spans="2:2" s="93" customFormat="1" ht="12.5">
      <c r="B120" s="119"/>
    </row>
    <row r="121" spans="2:2" s="93" customFormat="1" ht="12.5">
      <c r="B121" s="119"/>
    </row>
    <row r="122" spans="2:2" s="93" customFormat="1" ht="12.5">
      <c r="B122" s="119"/>
    </row>
    <row r="123" spans="2:2" s="93" customFormat="1" ht="12.5">
      <c r="B123" s="119"/>
    </row>
    <row r="124" spans="2:2" s="93" customFormat="1" ht="12.5">
      <c r="B124" s="119"/>
    </row>
    <row r="125" spans="2:2" s="93" customFormat="1" ht="12.5">
      <c r="B125" s="119"/>
    </row>
    <row r="126" spans="2:2" s="93" customFormat="1" ht="12.5">
      <c r="B126" s="119"/>
    </row>
    <row r="127" spans="2:2" s="93" customFormat="1" ht="12.5">
      <c r="B127" s="119"/>
    </row>
    <row r="128" spans="2:2" s="93" customFormat="1" ht="12.5">
      <c r="B128" s="119"/>
    </row>
    <row r="129" spans="2:2" s="93" customFormat="1" ht="12.5">
      <c r="B129" s="119"/>
    </row>
    <row r="130" spans="2:2" s="93" customFormat="1" ht="12.5">
      <c r="B130" s="119"/>
    </row>
    <row r="131" spans="2:2" s="93" customFormat="1" ht="12.5">
      <c r="B131" s="119"/>
    </row>
    <row r="132" spans="2:2" s="93" customFormat="1" ht="12.5">
      <c r="B132" s="119"/>
    </row>
    <row r="133" spans="2:2" s="93" customFormat="1" ht="12.5">
      <c r="B133" s="119"/>
    </row>
    <row r="134" spans="2:2" s="93" customFormat="1" ht="12.5">
      <c r="B134" s="119"/>
    </row>
    <row r="135" spans="2:2" s="93" customFormat="1" ht="12.5">
      <c r="B135" s="119"/>
    </row>
    <row r="136" spans="2:2" s="93" customFormat="1" ht="12.5">
      <c r="B136" s="119"/>
    </row>
    <row r="137" spans="2:2" s="93" customFormat="1" ht="12.5">
      <c r="B137" s="119"/>
    </row>
    <row r="138" spans="2:2" s="93" customFormat="1" ht="12.5">
      <c r="B138" s="119"/>
    </row>
    <row r="139" spans="2:2" s="93" customFormat="1" ht="12.5">
      <c r="B139" s="119"/>
    </row>
    <row r="140" spans="2:2" s="93" customFormat="1" ht="12.5">
      <c r="B140" s="119"/>
    </row>
    <row r="141" spans="2:2" s="93" customFormat="1" ht="12.5">
      <c r="B141" s="119"/>
    </row>
    <row r="142" spans="2:2" s="93" customFormat="1" ht="12.5">
      <c r="B142" s="119"/>
    </row>
    <row r="143" spans="2:2" s="93" customFormat="1" ht="12.5">
      <c r="B143" s="119"/>
    </row>
    <row r="144" spans="2:2" s="93" customFormat="1" ht="12.5">
      <c r="B144" s="119"/>
    </row>
    <row r="145" spans="2:2" s="93" customFormat="1" ht="12.5">
      <c r="B145" s="119"/>
    </row>
    <row r="146" spans="2:2" s="93" customFormat="1" ht="12.5">
      <c r="B146" s="119"/>
    </row>
    <row r="147" spans="2:2" s="93" customFormat="1" ht="12.5">
      <c r="B147" s="119"/>
    </row>
    <row r="148" spans="2:2" s="93" customFormat="1" ht="12.5">
      <c r="B148" s="119"/>
    </row>
    <row r="149" spans="2:2" s="93" customFormat="1" ht="12.5">
      <c r="B149" s="119"/>
    </row>
    <row r="150" spans="2:2" s="93" customFormat="1" ht="12.5">
      <c r="B150" s="119"/>
    </row>
    <row r="151" spans="2:2" s="93" customFormat="1" ht="12.5">
      <c r="B151" s="119"/>
    </row>
    <row r="152" spans="2:2" s="93" customFormat="1" ht="12.5">
      <c r="B152" s="119"/>
    </row>
    <row r="153" spans="2:2" s="93" customFormat="1" ht="12.5">
      <c r="B153" s="119"/>
    </row>
    <row r="154" spans="2:2" s="93" customFormat="1" ht="12.5">
      <c r="B154" s="119"/>
    </row>
    <row r="155" spans="2:2" s="93" customFormat="1" ht="12.5">
      <c r="B155" s="119"/>
    </row>
    <row r="156" spans="2:2" s="93" customFormat="1" ht="12.5">
      <c r="B156" s="119"/>
    </row>
    <row r="157" spans="2:2" s="93" customFormat="1" ht="12.5">
      <c r="B157" s="119"/>
    </row>
    <row r="158" spans="2:2" s="93" customFormat="1" ht="12.5">
      <c r="B158" s="119"/>
    </row>
    <row r="159" spans="2:2" s="93" customFormat="1" ht="12.5">
      <c r="B159" s="119"/>
    </row>
    <row r="160" spans="2:2" s="93" customFormat="1" ht="12.5">
      <c r="B160" s="119"/>
    </row>
    <row r="161" spans="2:2" s="93" customFormat="1" ht="12.5">
      <c r="B161" s="119"/>
    </row>
    <row r="162" spans="2:2" s="93" customFormat="1" ht="12.5">
      <c r="B162" s="119"/>
    </row>
    <row r="163" spans="2:2" s="93" customFormat="1" ht="12.5">
      <c r="B163" s="119"/>
    </row>
    <row r="164" spans="2:2" s="93" customFormat="1" ht="12.5">
      <c r="B164" s="119"/>
    </row>
    <row r="165" spans="2:2" s="93" customFormat="1" ht="12.5">
      <c r="B165" s="119"/>
    </row>
    <row r="166" spans="2:2" s="93" customFormat="1" ht="12.5">
      <c r="B166" s="119"/>
    </row>
    <row r="167" spans="2:2" s="93" customFormat="1" ht="12.5">
      <c r="B167" s="119"/>
    </row>
    <row r="168" spans="2:2" s="93" customFormat="1" ht="12.5">
      <c r="B168" s="119"/>
    </row>
    <row r="169" spans="2:2" s="93" customFormat="1" ht="12.5">
      <c r="B169" s="119"/>
    </row>
    <row r="170" spans="2:2" s="93" customFormat="1" ht="12.5">
      <c r="B170" s="119"/>
    </row>
    <row r="171" spans="2:2" s="93" customFormat="1" ht="12.5">
      <c r="B171" s="119"/>
    </row>
    <row r="172" spans="2:2" s="93" customFormat="1" ht="12.5">
      <c r="B172" s="119"/>
    </row>
    <row r="173" spans="2:2" s="93" customFormat="1" ht="12.5">
      <c r="B173" s="119"/>
    </row>
    <row r="174" spans="2:2" s="93" customFormat="1" ht="12.5">
      <c r="B174" s="119"/>
    </row>
    <row r="175" spans="2:2" s="93" customFormat="1" ht="12.5">
      <c r="B175" s="119"/>
    </row>
    <row r="176" spans="2:2" s="93" customFormat="1" ht="12.5">
      <c r="B176" s="119"/>
    </row>
    <row r="177" spans="2:2" s="93" customFormat="1" ht="12.5">
      <c r="B177" s="119"/>
    </row>
    <row r="178" spans="2:2" s="93" customFormat="1" ht="12.5">
      <c r="B178" s="119"/>
    </row>
    <row r="179" spans="2:2" s="93" customFormat="1" ht="12.5">
      <c r="B179" s="119"/>
    </row>
    <row r="180" spans="2:2" s="93" customFormat="1" ht="12.5">
      <c r="B180" s="119"/>
    </row>
    <row r="181" spans="2:2" s="93" customFormat="1" ht="12.5">
      <c r="B181" s="119"/>
    </row>
    <row r="182" spans="2:2" s="93" customFormat="1" ht="12.5">
      <c r="B182" s="119"/>
    </row>
    <row r="183" spans="2:2" s="93" customFormat="1" ht="12.5">
      <c r="B183" s="119"/>
    </row>
    <row r="184" spans="2:2" s="93" customFormat="1" ht="12.5">
      <c r="B184" s="119"/>
    </row>
    <row r="185" spans="2:2" s="93" customFormat="1" ht="12.5">
      <c r="B185" s="119"/>
    </row>
    <row r="186" spans="2:2" s="93" customFormat="1" ht="12.5">
      <c r="B186" s="119"/>
    </row>
    <row r="187" spans="2:2" s="93" customFormat="1" ht="12.5">
      <c r="B187" s="119"/>
    </row>
    <row r="188" spans="2:2" s="93" customFormat="1" ht="12.5">
      <c r="B188" s="119"/>
    </row>
    <row r="189" spans="2:2" s="93" customFormat="1" ht="12.5">
      <c r="B189" s="119"/>
    </row>
    <row r="190" spans="2:2" s="93" customFormat="1" ht="12.5">
      <c r="B190" s="119"/>
    </row>
    <row r="191" spans="2:2" s="93" customFormat="1" ht="12.5">
      <c r="B191" s="119"/>
    </row>
    <row r="192" spans="2:2" s="93" customFormat="1" ht="12.5">
      <c r="B192" s="119"/>
    </row>
    <row r="193" spans="2:2" s="93" customFormat="1" ht="12.5">
      <c r="B193" s="119"/>
    </row>
    <row r="194" spans="2:2" s="93" customFormat="1" ht="12.5">
      <c r="B194" s="119"/>
    </row>
    <row r="195" spans="2:2" s="93" customFormat="1" ht="12.5">
      <c r="B195" s="119"/>
    </row>
    <row r="196" spans="2:2" s="93" customFormat="1" ht="12.5">
      <c r="B196" s="119"/>
    </row>
    <row r="197" spans="2:2" s="93" customFormat="1" ht="12.5">
      <c r="B197" s="119"/>
    </row>
    <row r="198" spans="2:2" s="93" customFormat="1" ht="12.5">
      <c r="B198" s="119"/>
    </row>
    <row r="199" spans="2:2" s="93" customFormat="1" ht="12.5">
      <c r="B199" s="119"/>
    </row>
    <row r="200" spans="2:2" s="93" customFormat="1" ht="12.5">
      <c r="B200" s="119"/>
    </row>
    <row r="201" spans="2:2" s="93" customFormat="1" ht="12.5">
      <c r="B201" s="119"/>
    </row>
    <row r="202" spans="2:2" s="93" customFormat="1" ht="12.5">
      <c r="B202" s="119"/>
    </row>
    <row r="203" spans="2:2" s="93" customFormat="1" ht="12.5">
      <c r="B203" s="119"/>
    </row>
    <row r="204" spans="2:2" s="93" customFormat="1" ht="12.5">
      <c r="B204" s="119"/>
    </row>
    <row r="205" spans="2:2" s="93" customFormat="1" ht="12.5">
      <c r="B205" s="119"/>
    </row>
    <row r="206" spans="2:2" s="93" customFormat="1" ht="12.5">
      <c r="B206" s="119"/>
    </row>
    <row r="207" spans="2:2" s="93" customFormat="1" ht="12.5">
      <c r="B207" s="119"/>
    </row>
    <row r="208" spans="2:2" s="93" customFormat="1" ht="12.5">
      <c r="B208" s="119"/>
    </row>
    <row r="209" spans="2:2" s="93" customFormat="1" ht="12.5">
      <c r="B209" s="119"/>
    </row>
    <row r="210" spans="2:2" s="93" customFormat="1" ht="12.5">
      <c r="B210" s="119"/>
    </row>
    <row r="211" spans="2:2" s="93" customFormat="1" ht="12.5">
      <c r="B211" s="119"/>
    </row>
    <row r="212" spans="2:2" s="93" customFormat="1" ht="12.5">
      <c r="B212" s="119"/>
    </row>
    <row r="213" spans="2:2" s="93" customFormat="1" ht="12.5">
      <c r="B213" s="119"/>
    </row>
    <row r="214" spans="2:2" s="93" customFormat="1" ht="12.5">
      <c r="B214" s="119"/>
    </row>
    <row r="215" spans="2:2" s="93" customFormat="1" ht="12.5">
      <c r="B215" s="119"/>
    </row>
    <row r="216" spans="2:2" s="93" customFormat="1" ht="12.5">
      <c r="B216" s="119"/>
    </row>
    <row r="217" spans="2:2" s="93" customFormat="1" ht="12.5">
      <c r="B217" s="119"/>
    </row>
    <row r="218" spans="2:2" s="93" customFormat="1" ht="12.5">
      <c r="B218" s="119"/>
    </row>
    <row r="219" spans="2:2" s="93" customFormat="1" ht="12.5">
      <c r="B219" s="119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P12:P20 L12:N20" name="Range1"/>
  </protectedRanges>
  <mergeCells count="7">
    <mergeCell ref="C16:D16"/>
    <mergeCell ref="C20:D20"/>
    <mergeCell ref="C13:D13"/>
    <mergeCell ref="C14:D14"/>
    <mergeCell ref="C15:D15"/>
    <mergeCell ref="C18:D18"/>
    <mergeCell ref="C19:D19"/>
  </mergeCells>
  <conditionalFormatting sqref="F22">
    <cfRule type="cellIs" dxfId="30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H14"/>
  <sheetViews>
    <sheetView showGridLines="0" workbookViewId="0">
      <selection activeCell="H22" sqref="H22"/>
    </sheetView>
  </sheetViews>
  <sheetFormatPr defaultColWidth="9.26953125" defaultRowHeight="12.5"/>
  <cols>
    <col min="1" max="2" width="9.26953125" style="73"/>
    <col min="3" max="3" width="13.26953125" style="73" bestFit="1" customWidth="1"/>
    <col min="4" max="5" width="9.26953125" style="73"/>
    <col min="6" max="6" width="12.26953125" style="73" bestFit="1" customWidth="1"/>
    <col min="7" max="7" width="1.26953125" style="73" customWidth="1"/>
    <col min="8" max="8" width="11.26953125" style="73" bestFit="1" customWidth="1"/>
    <col min="9" max="16384" width="9.26953125" style="73"/>
  </cols>
  <sheetData>
    <row r="1" spans="3:8" ht="13" thickBot="1"/>
    <row r="2" spans="3:8" ht="13" thickBot="1">
      <c r="C2" s="83" t="s">
        <v>148</v>
      </c>
      <c r="F2" s="83" t="s">
        <v>149</v>
      </c>
    </row>
    <row r="3" spans="3:8">
      <c r="C3" s="79">
        <v>44197</v>
      </c>
      <c r="F3" s="81" t="s">
        <v>150</v>
      </c>
    </row>
    <row r="4" spans="3:8">
      <c r="C4" s="79">
        <v>44277</v>
      </c>
      <c r="F4" s="81" t="s">
        <v>151</v>
      </c>
    </row>
    <row r="5" spans="3:8">
      <c r="C5" s="79">
        <v>44288</v>
      </c>
      <c r="F5" s="81" t="s">
        <v>152</v>
      </c>
    </row>
    <row r="6" spans="3:8" ht="13" thickBot="1">
      <c r="C6" s="79">
        <v>44291</v>
      </c>
      <c r="F6" s="82" t="s">
        <v>153</v>
      </c>
    </row>
    <row r="7" spans="3:8">
      <c r="C7" s="79">
        <v>44313</v>
      </c>
    </row>
    <row r="8" spans="3:8">
      <c r="C8" s="79">
        <v>44317</v>
      </c>
    </row>
    <row r="9" spans="3:8">
      <c r="C9" s="79">
        <v>44363</v>
      </c>
    </row>
    <row r="10" spans="3:8">
      <c r="C10" s="79">
        <v>44417</v>
      </c>
    </row>
    <row r="11" spans="3:8">
      <c r="C11" s="79">
        <v>44463</v>
      </c>
    </row>
    <row r="12" spans="3:8">
      <c r="C12" s="79">
        <v>44546</v>
      </c>
    </row>
    <row r="13" spans="3:8">
      <c r="C13" s="79">
        <v>44555</v>
      </c>
      <c r="F13" s="85"/>
      <c r="H13" s="73" t="s">
        <v>154</v>
      </c>
    </row>
    <row r="14" spans="3:8" ht="13" thickBot="1">
      <c r="C14" s="80">
        <v>44556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B232"/>
  <sheetViews>
    <sheetView tabSelected="1" zoomScale="80" zoomScaleNormal="80" workbookViewId="0">
      <selection activeCell="E10" sqref="E10:E11"/>
    </sheetView>
  </sheetViews>
  <sheetFormatPr defaultColWidth="8.26953125" defaultRowHeight="14"/>
  <cols>
    <col min="1" max="1" width="1.26953125" style="114" customWidth="1"/>
    <col min="2" max="2" width="6.26953125" style="191" bestFit="1" customWidth="1"/>
    <col min="3" max="3" width="41.26953125" style="24" customWidth="1"/>
    <col min="4" max="4" width="3.26953125" style="114" customWidth="1"/>
    <col min="5" max="5" width="10.7265625" style="24" bestFit="1" customWidth="1"/>
    <col min="6" max="6" width="18.26953125" style="188" customWidth="1"/>
    <col min="7" max="7" width="13.26953125" style="64" customWidth="1"/>
    <col min="8" max="8" width="5.26953125" style="114" customWidth="1"/>
    <col min="9" max="9" width="13" style="114" bestFit="1" customWidth="1"/>
    <col min="10" max="10" width="13.26953125" style="115" customWidth="1"/>
    <col min="11" max="11" width="14.26953125" style="114" customWidth="1"/>
    <col min="12" max="12" width="2.26953125" style="114" customWidth="1"/>
    <col min="13" max="13" width="14.7265625" style="114" bestFit="1" customWidth="1"/>
    <col min="14" max="14" width="10.7265625" style="114" bestFit="1" customWidth="1"/>
    <col min="15" max="15" width="33.26953125" style="114" bestFit="1" customWidth="1"/>
    <col min="16" max="16" width="1.26953125" style="114" customWidth="1"/>
    <col min="17" max="17" width="5.26953125" style="3" customWidth="1"/>
    <col min="18" max="25" width="8.26953125" style="114"/>
    <col min="26" max="16384" width="8.26953125" style="24"/>
  </cols>
  <sheetData>
    <row r="1" spans="2:28" s="114" customFormat="1" ht="4.5" customHeight="1">
      <c r="B1" s="187"/>
      <c r="F1" s="188"/>
      <c r="G1" s="115"/>
      <c r="J1" s="115"/>
      <c r="N1" s="709">
        <f ca="1">TODAY()</f>
        <v>46063</v>
      </c>
      <c r="O1" s="709">
        <f ca="1">TODAY()</f>
        <v>46063</v>
      </c>
      <c r="Q1" s="3"/>
    </row>
    <row r="2" spans="2:28">
      <c r="B2" s="230"/>
      <c r="C2" s="231" t="s">
        <v>0</v>
      </c>
      <c r="D2" s="232"/>
      <c r="E2" s="1040" t="s">
        <v>155</v>
      </c>
      <c r="F2" s="1041"/>
      <c r="G2" s="1041"/>
      <c r="H2" s="1042"/>
      <c r="N2" s="710">
        <v>0</v>
      </c>
      <c r="O2" s="710">
        <v>1</v>
      </c>
    </row>
    <row r="3" spans="2:28" s="114" customFormat="1">
      <c r="B3" s="233"/>
      <c r="C3" s="234" t="s">
        <v>156</v>
      </c>
      <c r="D3" s="232"/>
      <c r="E3" s="898">
        <v>350</v>
      </c>
      <c r="F3" s="235" t="s">
        <v>157</v>
      </c>
      <c r="G3" s="236"/>
      <c r="H3" s="237"/>
      <c r="J3" s="115"/>
      <c r="Q3" s="3"/>
    </row>
    <row r="4" spans="2:28" s="114" customFormat="1">
      <c r="B4" s="233"/>
      <c r="C4" s="234" t="s">
        <v>158</v>
      </c>
      <c r="D4" s="232"/>
      <c r="E4" s="1043" t="s">
        <v>155</v>
      </c>
      <c r="F4" s="1044"/>
      <c r="G4" s="1044"/>
      <c r="H4" s="1045"/>
      <c r="J4" s="115"/>
      <c r="Q4" s="3"/>
    </row>
    <row r="5" spans="2:28" s="114" customFormat="1">
      <c r="B5" s="233"/>
      <c r="C5" s="234" t="s">
        <v>159</v>
      </c>
      <c r="D5" s="232"/>
      <c r="E5" s="1043" t="s">
        <v>160</v>
      </c>
      <c r="F5" s="1044"/>
      <c r="G5" s="1044"/>
      <c r="H5" s="1045"/>
      <c r="J5" s="115"/>
      <c r="Q5" s="3"/>
    </row>
    <row r="6" spans="2:28" s="114" customFormat="1">
      <c r="B6" s="233"/>
      <c r="C6" s="234" t="s">
        <v>161</v>
      </c>
      <c r="D6" s="232"/>
      <c r="E6" s="1043" t="s">
        <v>162</v>
      </c>
      <c r="F6" s="1044"/>
      <c r="G6" s="1044"/>
      <c r="H6" s="1045"/>
      <c r="J6" s="115"/>
      <c r="Q6" s="3"/>
    </row>
    <row r="7" spans="2:28" s="114" customFormat="1">
      <c r="B7" s="233"/>
      <c r="C7" s="234" t="s">
        <v>163</v>
      </c>
      <c r="D7" s="232"/>
      <c r="E7" s="898" t="s">
        <v>164</v>
      </c>
      <c r="F7" s="235"/>
      <c r="G7" s="899"/>
      <c r="H7" s="900"/>
      <c r="J7" s="115"/>
      <c r="Q7" s="3"/>
    </row>
    <row r="8" spans="2:28">
      <c r="B8" s="238"/>
      <c r="C8" s="239" t="s">
        <v>165</v>
      </c>
      <c r="D8" s="232"/>
      <c r="E8" s="1046">
        <v>14953088.300000001</v>
      </c>
      <c r="F8" s="1047"/>
      <c r="G8" s="1047"/>
      <c r="H8" s="1048"/>
    </row>
    <row r="9" spans="2:28" s="114" customFormat="1">
      <c r="B9" s="187"/>
      <c r="C9" s="948" t="s">
        <v>166</v>
      </c>
      <c r="D9" s="178"/>
      <c r="E9" s="807" t="s">
        <v>545</v>
      </c>
      <c r="F9" s="188"/>
      <c r="G9" s="240"/>
      <c r="J9" s="115"/>
      <c r="Q9" s="3"/>
    </row>
    <row r="10" spans="2:28" ht="30" customHeight="1">
      <c r="B10" s="1035" t="s">
        <v>114</v>
      </c>
      <c r="C10" s="1036" t="s">
        <v>167</v>
      </c>
      <c r="D10" s="269"/>
      <c r="E10" s="1038" t="s">
        <v>168</v>
      </c>
      <c r="F10" s="291" t="s">
        <v>169</v>
      </c>
      <c r="G10" s="1038" t="s">
        <v>170</v>
      </c>
      <c r="H10" s="292"/>
      <c r="I10" s="1038" t="s">
        <v>171</v>
      </c>
      <c r="J10" s="291" t="s">
        <v>169</v>
      </c>
      <c r="K10" s="1038" t="s">
        <v>172</v>
      </c>
      <c r="M10" s="897" t="s">
        <v>89</v>
      </c>
      <c r="O10" s="1033" t="s">
        <v>173</v>
      </c>
      <c r="Z10" s="114"/>
      <c r="AA10" s="114"/>
      <c r="AB10" s="114"/>
    </row>
    <row r="11" spans="2:28">
      <c r="B11" s="1036"/>
      <c r="C11" s="1037"/>
      <c r="D11" s="269"/>
      <c r="E11" s="1039"/>
      <c r="F11" s="128">
        <f>G51-E27</f>
        <v>84</v>
      </c>
      <c r="G11" s="1039"/>
      <c r="H11" s="292"/>
      <c r="I11" s="1039"/>
      <c r="J11" s="129">
        <f>K51-I27</f>
        <v>102</v>
      </c>
      <c r="K11" s="1039"/>
      <c r="M11" s="524">
        <f>AVERAGE(M13,M26,M29,M36,M45,M49,M57,M54,M19)</f>
        <v>1</v>
      </c>
      <c r="N11" s="524">
        <f>AVERAGE(N13,N26,N29,N36,N45,N49,N57,N54,N19)</f>
        <v>1</v>
      </c>
      <c r="O11" s="1034"/>
      <c r="Z11" s="114"/>
      <c r="AA11" s="114"/>
      <c r="AB11" s="114"/>
    </row>
    <row r="12" spans="2:28" s="114" customFormat="1" ht="4.5" customHeight="1">
      <c r="B12" s="293"/>
      <c r="C12" s="269"/>
      <c r="D12" s="269"/>
      <c r="E12" s="294"/>
      <c r="F12" s="294"/>
      <c r="G12" s="295"/>
      <c r="H12" s="292"/>
      <c r="I12" s="296"/>
      <c r="J12" s="296"/>
      <c r="K12" s="297"/>
      <c r="Q12" s="3"/>
    </row>
    <row r="13" spans="2:28" s="116" customFormat="1">
      <c r="B13" s="298">
        <v>1</v>
      </c>
      <c r="C13" s="299" t="s">
        <v>174</v>
      </c>
      <c r="D13" s="273"/>
      <c r="E13" s="300">
        <f>MIN(E14:E17)</f>
        <v>45138</v>
      </c>
      <c r="F13" s="301">
        <f>G13-E13</f>
        <v>38</v>
      </c>
      <c r="G13" s="300">
        <f>MAX(G14:G17)</f>
        <v>45176</v>
      </c>
      <c r="H13" s="274"/>
      <c r="I13" s="300">
        <f>MIN(I14:I17)</f>
        <v>45138</v>
      </c>
      <c r="J13" s="301">
        <f>K13-I13</f>
        <v>126</v>
      </c>
      <c r="K13" s="300">
        <f>MAX(K14:K17)</f>
        <v>45264</v>
      </c>
      <c r="M13" s="523">
        <f>(J14*M14+J15*M15+J16*M16+J17*M17)/SUM(J14:J17)</f>
        <v>1</v>
      </c>
      <c r="N13" s="523">
        <f>(K14*N14+K15*N15+K16*N16+K17*N17)/SUM(K14:K17)</f>
        <v>1</v>
      </c>
      <c r="O13" s="121"/>
      <c r="P13" s="114"/>
      <c r="Q13" s="122"/>
    </row>
    <row r="14" spans="2:28" s="114" customFormat="1">
      <c r="B14" s="302" t="s">
        <v>175</v>
      </c>
      <c r="C14" s="303" t="s">
        <v>176</v>
      </c>
      <c r="D14" s="269"/>
      <c r="E14" s="304">
        <v>45138</v>
      </c>
      <c r="F14" s="305">
        <v>1</v>
      </c>
      <c r="G14" s="304">
        <f>WORKDAY.INTL(E14,F14,1,Data!$C$3:$C$14)</f>
        <v>45139</v>
      </c>
      <c r="H14" s="292"/>
      <c r="I14" s="304">
        <v>45138</v>
      </c>
      <c r="J14" s="305">
        <v>1</v>
      </c>
      <c r="K14" s="304">
        <f>WORKDAY.INTL(I14,J14,1,Data!$C$3:$C$14)</f>
        <v>45139</v>
      </c>
      <c r="M14" s="309">
        <v>1</v>
      </c>
      <c r="N14" s="309">
        <v>1</v>
      </c>
      <c r="O14" s="124"/>
      <c r="Q14" s="3"/>
    </row>
    <row r="15" spans="2:28" s="114" customFormat="1">
      <c r="B15" s="302" t="s">
        <v>177</v>
      </c>
      <c r="C15" s="303" t="s">
        <v>178</v>
      </c>
      <c r="D15" s="269"/>
      <c r="E15" s="304">
        <f>E14+14</f>
        <v>45152</v>
      </c>
      <c r="F15" s="305">
        <v>1</v>
      </c>
      <c r="G15" s="304">
        <f>WORKDAY.INTL(E15,F15,1,Data!$C$3:$C$14)</f>
        <v>45153</v>
      </c>
      <c r="H15" s="292"/>
      <c r="I15" s="304">
        <f>I14+14</f>
        <v>45152</v>
      </c>
      <c r="J15" s="305">
        <v>1</v>
      </c>
      <c r="K15" s="304">
        <f>WORKDAY.INTL(I15,J15,1,Data!$C$3:$C$14)</f>
        <v>45153</v>
      </c>
      <c r="M15" s="309">
        <v>1</v>
      </c>
      <c r="N15" s="309">
        <v>1</v>
      </c>
      <c r="O15" s="124"/>
      <c r="Q15" s="3"/>
    </row>
    <row r="16" spans="2:28" s="114" customFormat="1">
      <c r="B16" s="302">
        <v>1.3</v>
      </c>
      <c r="C16" s="303" t="s">
        <v>179</v>
      </c>
      <c r="D16" s="269"/>
      <c r="E16" s="304">
        <f>G15+21</f>
        <v>45174</v>
      </c>
      <c r="F16" s="305">
        <v>1</v>
      </c>
      <c r="G16" s="304">
        <f>WORKDAY.INTL(E16,F16,1,Data!$C$3:$C$14)</f>
        <v>45175</v>
      </c>
      <c r="H16" s="292"/>
      <c r="I16" s="304">
        <v>45261</v>
      </c>
      <c r="J16" s="305">
        <v>1</v>
      </c>
      <c r="K16" s="304">
        <f>WORKDAY.INTL(I16,J16,1,Data!$C$3:$C$14)</f>
        <v>45264</v>
      </c>
      <c r="M16" s="309">
        <v>1</v>
      </c>
      <c r="N16" s="309">
        <v>1</v>
      </c>
      <c r="O16" s="124"/>
      <c r="Q16" s="3"/>
    </row>
    <row r="17" spans="2:28" s="114" customFormat="1">
      <c r="B17" s="302">
        <v>1.4</v>
      </c>
      <c r="C17" s="303" t="s">
        <v>180</v>
      </c>
      <c r="D17" s="269"/>
      <c r="E17" s="304">
        <f>E16+1</f>
        <v>45175</v>
      </c>
      <c r="F17" s="305">
        <v>1</v>
      </c>
      <c r="G17" s="304">
        <f>WORKDAY.INTL(E17,F17,1,Data!$C$3:$C$14)</f>
        <v>45176</v>
      </c>
      <c r="H17" s="292"/>
      <c r="I17" s="304">
        <f>I16+1</f>
        <v>45262</v>
      </c>
      <c r="J17" s="305">
        <v>1</v>
      </c>
      <c r="K17" s="304">
        <f>WORKDAY.INTL(I17,J17,1,Data!$C$3:$C$14)</f>
        <v>45264</v>
      </c>
      <c r="M17" s="309">
        <v>1</v>
      </c>
      <c r="N17" s="309">
        <v>1</v>
      </c>
      <c r="O17" s="124"/>
      <c r="Q17" s="3"/>
    </row>
    <row r="18" spans="2:28" s="114" customFormat="1" ht="21.75" customHeight="1">
      <c r="B18" s="293"/>
      <c r="C18" s="269"/>
      <c r="D18" s="269"/>
      <c r="E18" s="294"/>
      <c r="F18" s="294"/>
      <c r="G18" s="294"/>
      <c r="H18" s="292"/>
      <c r="I18" s="294"/>
      <c r="J18" s="294"/>
      <c r="K18" s="294"/>
      <c r="Q18" s="3"/>
    </row>
    <row r="19" spans="2:28" s="116" customFormat="1">
      <c r="B19" s="298">
        <v>2</v>
      </c>
      <c r="C19" s="299" t="s">
        <v>181</v>
      </c>
      <c r="D19" s="273"/>
      <c r="E19" s="300">
        <f>MIN(E20:E24)</f>
        <v>45152</v>
      </c>
      <c r="F19" s="301">
        <f>G19-E19</f>
        <v>59</v>
      </c>
      <c r="G19" s="300">
        <f>MAX(G20:G24)</f>
        <v>45211</v>
      </c>
      <c r="H19" s="274"/>
      <c r="I19" s="300">
        <f>MIN(I20:I24)</f>
        <v>45152</v>
      </c>
      <c r="J19" s="301">
        <f>K19-I19</f>
        <v>114</v>
      </c>
      <c r="K19" s="300">
        <f>MAX(K20:K24)</f>
        <v>45266</v>
      </c>
      <c r="M19" s="523">
        <f>(J20*M20+J21*M21+J22*M22+J23*M23+J24*M24)/SUM(J20:J24)</f>
        <v>1</v>
      </c>
      <c r="N19" s="523">
        <f>(K20*N20+K21*N21+K22*N22+K23*N23+K24*N24)/SUM(K20:K24)</f>
        <v>1</v>
      </c>
      <c r="O19" s="121"/>
      <c r="P19" s="114"/>
      <c r="Q19" s="125"/>
      <c r="R19" s="120"/>
      <c r="S19" s="120"/>
      <c r="T19" s="120"/>
      <c r="U19" s="120"/>
      <c r="V19" s="120"/>
      <c r="W19" s="120"/>
      <c r="X19" s="120"/>
      <c r="Y19" s="120"/>
      <c r="Z19" s="120"/>
      <c r="AA19" s="120"/>
      <c r="AB19" s="120"/>
    </row>
    <row r="20" spans="2:28" s="114" customFormat="1">
      <c r="B20" s="302">
        <v>2.1</v>
      </c>
      <c r="C20" s="303" t="s">
        <v>182</v>
      </c>
      <c r="D20" s="269"/>
      <c r="E20" s="304">
        <f>WORKDAY.INTL(E15,0,1,Data!$C$3:$C$14)</f>
        <v>45152</v>
      </c>
      <c r="F20" s="305">
        <v>10</v>
      </c>
      <c r="G20" s="304">
        <f>WORKDAY.INTL(E20,F20,1,Data!$C$3:$C$14)</f>
        <v>45166</v>
      </c>
      <c r="H20" s="292"/>
      <c r="I20" s="304">
        <f>WORKDAY.INTL(I15,0,1,Data!$C$3:$C$14)</f>
        <v>45152</v>
      </c>
      <c r="J20" s="305">
        <v>10</v>
      </c>
      <c r="K20" s="304">
        <f>WORKDAY.INTL(I20,J20,1,Data!$C$3:$C$14)</f>
        <v>45166</v>
      </c>
      <c r="M20" s="309">
        <v>1</v>
      </c>
      <c r="N20" s="309">
        <v>1</v>
      </c>
      <c r="O20" s="124"/>
      <c r="Q20" s="126"/>
      <c r="R20" s="123"/>
      <c r="S20" s="123"/>
      <c r="T20" s="123"/>
      <c r="U20" s="123"/>
      <c r="V20" s="123"/>
      <c r="W20" s="123"/>
      <c r="X20" s="123"/>
      <c r="Y20" s="123"/>
      <c r="Z20" s="123"/>
      <c r="AA20" s="123"/>
      <c r="AB20" s="123"/>
    </row>
    <row r="21" spans="2:28" s="114" customFormat="1">
      <c r="B21" s="302">
        <v>2.2000000000000002</v>
      </c>
      <c r="C21" s="303" t="s">
        <v>183</v>
      </c>
      <c r="D21" s="269"/>
      <c r="E21" s="304">
        <f>WORKDAY.INTL(G20,0,1,Data!$C$3:$C$14)</f>
        <v>45166</v>
      </c>
      <c r="F21" s="305">
        <v>10</v>
      </c>
      <c r="G21" s="304">
        <f>WORKDAY.INTL(E21,F21,1,Data!$C$3:$C$14)</f>
        <v>45180</v>
      </c>
      <c r="H21" s="292"/>
      <c r="I21" s="304">
        <f>WORKDAY.INTL(K20,0,1,Data!$C$3:$C$14)</f>
        <v>45166</v>
      </c>
      <c r="J21" s="305">
        <v>10</v>
      </c>
      <c r="K21" s="304">
        <f>WORKDAY.INTL(I21,J21,1,Data!$C$3:$C$14)</f>
        <v>45180</v>
      </c>
      <c r="M21" s="309">
        <v>1</v>
      </c>
      <c r="N21" s="309">
        <v>1</v>
      </c>
      <c r="O21" s="124"/>
      <c r="Q21" s="126"/>
      <c r="R21" s="123"/>
      <c r="S21" s="123"/>
      <c r="T21" s="123"/>
      <c r="U21" s="123"/>
      <c r="V21" s="123"/>
      <c r="W21" s="123"/>
      <c r="X21" s="123"/>
      <c r="Y21" s="123"/>
      <c r="Z21" s="123"/>
      <c r="AA21" s="123"/>
      <c r="AB21" s="123"/>
    </row>
    <row r="22" spans="2:28" s="114" customFormat="1">
      <c r="B22" s="302">
        <v>2.2999999999999998</v>
      </c>
      <c r="C22" s="303" t="s">
        <v>184</v>
      </c>
      <c r="D22" s="269"/>
      <c r="E22" s="304">
        <f>WORKDAY.INTL(E20,0,1,Data!$C$3:$C$14)</f>
        <v>45152</v>
      </c>
      <c r="F22" s="305">
        <v>36</v>
      </c>
      <c r="G22" s="304">
        <f>WORKDAY.INTL(E22,F22,1,Data!$C$3:$C$14)</f>
        <v>45202</v>
      </c>
      <c r="H22" s="292"/>
      <c r="I22" s="304">
        <f>WORKDAY.INTL(I20,0,1,Data!$C$3:$C$14)</f>
        <v>45152</v>
      </c>
      <c r="J22" s="305">
        <v>36</v>
      </c>
      <c r="K22" s="304">
        <f>WORKDAY.INTL(I22,J22,1,Data!$C$3:$C$14)</f>
        <v>45202</v>
      </c>
      <c r="M22" s="309">
        <v>1</v>
      </c>
      <c r="N22" s="309">
        <v>1</v>
      </c>
      <c r="O22" s="124"/>
      <c r="Q22" s="126"/>
      <c r="R22" s="123"/>
      <c r="S22" s="123"/>
      <c r="T22" s="123"/>
      <c r="U22" s="123"/>
      <c r="V22" s="123"/>
      <c r="W22" s="123"/>
      <c r="X22" s="123"/>
      <c r="Y22" s="123"/>
      <c r="Z22" s="123"/>
      <c r="AA22" s="123"/>
      <c r="AB22" s="123"/>
    </row>
    <row r="23" spans="2:28" s="114" customFormat="1">
      <c r="B23" s="302">
        <v>2.4</v>
      </c>
      <c r="C23" s="303" t="s">
        <v>185</v>
      </c>
      <c r="D23" s="269"/>
      <c r="E23" s="304">
        <f>WORKDAY.INTL(G22,0,1,Data!$C$3:$C$14)</f>
        <v>45202</v>
      </c>
      <c r="F23" s="305">
        <v>3</v>
      </c>
      <c r="G23" s="304">
        <f>WORKDAY.INTL(E23,F23,1,Data!$C$3:$C$14)</f>
        <v>45205</v>
      </c>
      <c r="H23" s="292"/>
      <c r="I23" s="304">
        <f>WORKDAY.INTL(K22,0,1,Data!$C$3:$C$14)</f>
        <v>45202</v>
      </c>
      <c r="J23" s="305">
        <v>3</v>
      </c>
      <c r="K23" s="304">
        <f>WORKDAY.INTL(I23,J23,1,Data!$C$3:$C$14)</f>
        <v>45205</v>
      </c>
      <c r="M23" s="309">
        <v>1</v>
      </c>
      <c r="N23" s="309">
        <v>1</v>
      </c>
      <c r="O23" s="124"/>
      <c r="Q23" s="126"/>
      <c r="R23" s="123"/>
      <c r="S23" s="123"/>
      <c r="T23" s="123"/>
      <c r="U23" s="123"/>
      <c r="V23" s="123"/>
      <c r="W23" s="123"/>
      <c r="X23" s="123"/>
      <c r="Y23" s="123"/>
      <c r="Z23" s="123"/>
      <c r="AA23" s="123"/>
      <c r="AB23" s="123"/>
    </row>
    <row r="24" spans="2:28" s="114" customFormat="1">
      <c r="B24" s="302">
        <v>2.5</v>
      </c>
      <c r="C24" s="303" t="s">
        <v>186</v>
      </c>
      <c r="D24" s="269"/>
      <c r="E24" s="308">
        <f>WORKDAY.INTL(G23,0,1,Data!$C$3:$C$14)</f>
        <v>45205</v>
      </c>
      <c r="F24" s="305">
        <v>4</v>
      </c>
      <c r="G24" s="304">
        <f>WORKDAY.INTL(E24,F24,1,Data!$C$3:$C$14)</f>
        <v>45211</v>
      </c>
      <c r="H24" s="292"/>
      <c r="I24" s="308">
        <f>WORKDAY.INTL(K23,0,1,Data!$C$3:$C$14)</f>
        <v>45205</v>
      </c>
      <c r="J24" s="305">
        <v>43</v>
      </c>
      <c r="K24" s="304">
        <f>WORKDAY.INTL(I24,J24,1,Data!$C$3:$C$14)</f>
        <v>45266</v>
      </c>
      <c r="M24" s="309">
        <v>1</v>
      </c>
      <c r="N24" s="309">
        <v>1</v>
      </c>
      <c r="O24" s="124"/>
      <c r="Q24" s="126"/>
      <c r="R24" s="123"/>
      <c r="S24" s="123"/>
      <c r="T24" s="123"/>
      <c r="U24" s="123"/>
      <c r="V24" s="123"/>
      <c r="W24" s="123"/>
      <c r="X24" s="123"/>
      <c r="Y24" s="123"/>
      <c r="Z24" s="123"/>
      <c r="AA24" s="123"/>
      <c r="AB24" s="123"/>
    </row>
    <row r="25" spans="2:28" s="114" customFormat="1" ht="3.75" customHeight="1">
      <c r="B25" s="293"/>
      <c r="C25" s="269"/>
      <c r="D25" s="269"/>
      <c r="E25" s="294"/>
      <c r="F25" s="294"/>
      <c r="G25" s="294"/>
      <c r="H25" s="292"/>
      <c r="I25" s="294"/>
      <c r="J25" s="294"/>
      <c r="K25" s="294"/>
      <c r="Q25" s="3"/>
    </row>
    <row r="26" spans="2:28" s="116" customFormat="1">
      <c r="B26" s="298">
        <v>3</v>
      </c>
      <c r="C26" s="299" t="s">
        <v>187</v>
      </c>
      <c r="D26" s="273"/>
      <c r="E26" s="300">
        <f>MIN(E27:E28)</f>
        <v>45271</v>
      </c>
      <c r="F26" s="301">
        <f>G26-E26</f>
        <v>1</v>
      </c>
      <c r="G26" s="300">
        <f>MAX(G27)</f>
        <v>45272</v>
      </c>
      <c r="H26" s="274"/>
      <c r="I26" s="300">
        <f>MIN(I27:I28)</f>
        <v>45299</v>
      </c>
      <c r="J26" s="301">
        <f>K26-I26</f>
        <v>1</v>
      </c>
      <c r="K26" s="300">
        <f>MAX(K27)</f>
        <v>45300</v>
      </c>
      <c r="M26" s="523">
        <f>(J27*M27)/J26</f>
        <v>1</v>
      </c>
      <c r="N26" s="523">
        <f>(K27*N27)/K26</f>
        <v>1</v>
      </c>
      <c r="O26" s="121"/>
      <c r="P26" s="114"/>
      <c r="Q26" s="125"/>
      <c r="R26" s="120"/>
      <c r="S26" s="120"/>
      <c r="T26" s="120"/>
      <c r="U26" s="120"/>
      <c r="V26" s="120"/>
      <c r="W26" s="120"/>
      <c r="X26" s="120"/>
      <c r="Y26" s="123"/>
      <c r="Z26" s="120"/>
      <c r="AA26" s="120"/>
      <c r="AB26" s="120"/>
    </row>
    <row r="27" spans="2:28" s="114" customFormat="1">
      <c r="B27" s="302">
        <v>3.1</v>
      </c>
      <c r="C27" s="303" t="s">
        <v>188</v>
      </c>
      <c r="D27" s="269"/>
      <c r="E27" s="569">
        <v>45271</v>
      </c>
      <c r="F27" s="305">
        <v>1</v>
      </c>
      <c r="G27" s="304">
        <f>WORKDAY.INTL(E27,F27,1,Data!$C$3:$C$14)</f>
        <v>45272</v>
      </c>
      <c r="H27" s="292"/>
      <c r="I27" s="569">
        <v>45299</v>
      </c>
      <c r="J27" s="305">
        <v>1</v>
      </c>
      <c r="K27" s="304">
        <f>WORKDAY.INTL(I27,J27,1,Data!$C$3:$C$14)</f>
        <v>45300</v>
      </c>
      <c r="M27" s="309">
        <v>1</v>
      </c>
      <c r="N27" s="309">
        <v>1</v>
      </c>
      <c r="O27" s="124"/>
      <c r="Q27" s="126"/>
      <c r="R27" s="123"/>
      <c r="S27" s="123"/>
      <c r="T27" s="123"/>
      <c r="U27" s="123"/>
      <c r="V27" s="123"/>
      <c r="W27" s="123"/>
      <c r="X27" s="123"/>
      <c r="Z27" s="123"/>
      <c r="AA27" s="123"/>
      <c r="AB27" s="123"/>
    </row>
    <row r="28" spans="2:28" s="114" customFormat="1" ht="3.75" customHeight="1">
      <c r="B28" s="306"/>
      <c r="C28" s="271"/>
      <c r="D28" s="269"/>
      <c r="E28" s="304"/>
      <c r="F28" s="305"/>
      <c r="G28" s="304"/>
      <c r="H28" s="292"/>
      <c r="I28" s="304"/>
      <c r="J28" s="305"/>
      <c r="K28" s="304"/>
      <c r="M28" s="127"/>
      <c r="N28" s="127"/>
      <c r="O28" s="121"/>
      <c r="Q28" s="126"/>
      <c r="R28" s="123"/>
      <c r="S28" s="123"/>
      <c r="T28" s="123"/>
      <c r="U28" s="123"/>
      <c r="V28" s="123"/>
      <c r="W28" s="123"/>
      <c r="X28" s="123"/>
      <c r="Y28" s="123"/>
      <c r="Z28" s="123"/>
      <c r="AA28" s="123"/>
      <c r="AB28" s="123"/>
    </row>
    <row r="29" spans="2:28" s="116" customFormat="1">
      <c r="B29" s="298">
        <v>4</v>
      </c>
      <c r="C29" s="299" t="s">
        <v>189</v>
      </c>
      <c r="D29" s="273"/>
      <c r="E29" s="300">
        <f>MIN(E30:E34)</f>
        <v>45271</v>
      </c>
      <c r="F29" s="301">
        <f>G29-E29</f>
        <v>74</v>
      </c>
      <c r="G29" s="300">
        <f>MAX(G30:G34)</f>
        <v>45345</v>
      </c>
      <c r="H29" s="307"/>
      <c r="I29" s="300">
        <f>MIN(I30:I34)</f>
        <v>45299</v>
      </c>
      <c r="J29" s="301">
        <f>K29-I29</f>
        <v>78</v>
      </c>
      <c r="K29" s="300">
        <f>MAX(K30:K34)</f>
        <v>45377</v>
      </c>
      <c r="M29" s="523">
        <f>(J30*M30+J31*M31+J32*M32+J33*M33+J34*M34)/SUM(J30:J34)</f>
        <v>1</v>
      </c>
      <c r="N29" s="523">
        <f>(K30*N30+K31*N31+K32*N32+K33*N33+K34*N34)/SUM(K30:K34)</f>
        <v>1</v>
      </c>
      <c r="O29" s="121"/>
      <c r="P29" s="114"/>
      <c r="Q29" s="125"/>
      <c r="R29" s="120"/>
      <c r="S29" s="120"/>
      <c r="T29" s="120"/>
      <c r="U29" s="120"/>
      <c r="V29" s="120"/>
      <c r="W29" s="120"/>
      <c r="X29" s="120"/>
      <c r="Y29" s="120"/>
      <c r="Z29" s="120"/>
      <c r="AA29" s="120"/>
      <c r="AB29" s="120"/>
    </row>
    <row r="30" spans="2:28" s="114" customFormat="1">
      <c r="B30" s="302">
        <v>4.0999999999999996</v>
      </c>
      <c r="C30" s="303" t="s">
        <v>190</v>
      </c>
      <c r="D30" s="269"/>
      <c r="E30" s="304">
        <f>E27</f>
        <v>45271</v>
      </c>
      <c r="F30" s="305">
        <v>1</v>
      </c>
      <c r="G30" s="304">
        <f>WORKDAY.INTL(E30,F30,1,Data!$C$3:$C$14)</f>
        <v>45272</v>
      </c>
      <c r="H30" s="292"/>
      <c r="I30" s="304">
        <f>I27</f>
        <v>45299</v>
      </c>
      <c r="J30" s="305">
        <v>1</v>
      </c>
      <c r="K30" s="304">
        <f>WORKDAY.INTL(I30,J30,1,Data!$C$3:$C$14)</f>
        <v>45300</v>
      </c>
      <c r="M30" s="309">
        <v>1</v>
      </c>
      <c r="N30" s="309">
        <v>1</v>
      </c>
      <c r="O30" s="124"/>
      <c r="Q30" s="126"/>
      <c r="R30" s="123"/>
      <c r="S30" s="123"/>
      <c r="T30" s="123"/>
      <c r="U30" s="123"/>
      <c r="V30" s="123"/>
      <c r="W30" s="123"/>
      <c r="X30" s="123"/>
      <c r="Y30" s="123"/>
      <c r="Z30" s="123"/>
      <c r="AA30" s="123"/>
      <c r="AB30" s="123"/>
    </row>
    <row r="31" spans="2:28" s="114" customFormat="1">
      <c r="B31" s="302">
        <v>4.2</v>
      </c>
      <c r="C31" s="303" t="s">
        <v>191</v>
      </c>
      <c r="D31" s="269"/>
      <c r="E31" s="304">
        <f>WORKDAY.INTL(G30,0,1,Data!$C$3:$C$14)+1</f>
        <v>45273</v>
      </c>
      <c r="F31" s="305">
        <v>1</v>
      </c>
      <c r="G31" s="304">
        <f>WORKDAY.INTL(E31,F31,1,Data!$C$3:$C$14)</f>
        <v>45274</v>
      </c>
      <c r="H31" s="292"/>
      <c r="I31" s="304">
        <f>I32+4</f>
        <v>45303</v>
      </c>
      <c r="J31" s="305">
        <v>1</v>
      </c>
      <c r="K31" s="304">
        <f>WORKDAY.INTL(I31,J31,1,Data!$C$3:$C$14)</f>
        <v>45306</v>
      </c>
      <c r="M31" s="309">
        <v>1</v>
      </c>
      <c r="N31" s="309">
        <v>1</v>
      </c>
      <c r="O31" s="124"/>
      <c r="Q31" s="126"/>
      <c r="R31" s="123"/>
      <c r="S31" s="123"/>
      <c r="T31" s="123"/>
      <c r="U31" s="123"/>
      <c r="V31" s="123"/>
      <c r="W31" s="123"/>
      <c r="X31" s="123"/>
      <c r="Y31" s="123"/>
      <c r="Z31" s="123"/>
      <c r="AA31" s="123"/>
      <c r="AB31" s="123"/>
    </row>
    <row r="32" spans="2:28" s="114" customFormat="1">
      <c r="B32" s="302">
        <v>4.3</v>
      </c>
      <c r="C32" s="303" t="s">
        <v>192</v>
      </c>
      <c r="D32" s="269"/>
      <c r="E32" s="304">
        <f>WORKDAY.INTL(E27,0,1,Data!$C$3:$C$14)+33</f>
        <v>45304</v>
      </c>
      <c r="F32" s="305">
        <v>30</v>
      </c>
      <c r="G32" s="304">
        <f>WORKDAY.INTL(E32,F32,1,Data!$C$3:$C$14)</f>
        <v>45345</v>
      </c>
      <c r="H32" s="292"/>
      <c r="I32" s="304">
        <f>WORKDAY.INTL(I27,0,1,Data!$C$3:$C$14)</f>
        <v>45299</v>
      </c>
      <c r="J32" s="305">
        <v>35</v>
      </c>
      <c r="K32" s="304">
        <f>WORKDAY.INTL(I32,J32,1,Data!$C$3:$C$14)+5</f>
        <v>45353</v>
      </c>
      <c r="M32" s="309">
        <v>1</v>
      </c>
      <c r="N32" s="309">
        <v>1</v>
      </c>
      <c r="O32" s="124"/>
      <c r="Q32" s="126"/>
      <c r="R32" s="123"/>
      <c r="S32" s="123"/>
      <c r="T32" s="123"/>
      <c r="U32" s="123"/>
      <c r="V32" s="123"/>
      <c r="W32" s="123"/>
      <c r="X32" s="123"/>
      <c r="Y32" s="123"/>
      <c r="Z32" s="123"/>
      <c r="AA32" s="123"/>
      <c r="AB32" s="123"/>
    </row>
    <row r="33" spans="2:28" s="114" customFormat="1">
      <c r="B33" s="847">
        <v>4.4000000000000004</v>
      </c>
      <c r="C33" s="848" t="s">
        <v>40</v>
      </c>
      <c r="D33" s="849"/>
      <c r="E33" s="850">
        <f>WORKDAY.INTL(E32,0,1,Data!$C$3:$C$14)+7</f>
        <v>45311</v>
      </c>
      <c r="F33" s="851">
        <v>25</v>
      </c>
      <c r="G33" s="850">
        <f>WORKDAY.INTL(E33,F33,1,Data!$C$3:$C$14)</f>
        <v>45345</v>
      </c>
      <c r="H33" s="852"/>
      <c r="I33" s="850">
        <f>WORKDAY.INTL(I32,0,1,Data!$C$3:$C$14)+7</f>
        <v>45306</v>
      </c>
      <c r="J33" s="851">
        <v>30</v>
      </c>
      <c r="K33" s="850">
        <f>WORKDAY.INTL(I33,J33,1,Data!$C$3:$C$14)+28</f>
        <v>45376</v>
      </c>
      <c r="L33" s="311"/>
      <c r="M33" s="853">
        <v>1</v>
      </c>
      <c r="N33" s="853">
        <v>1</v>
      </c>
      <c r="O33" s="855"/>
      <c r="Q33" s="126"/>
      <c r="R33" s="123"/>
      <c r="S33" s="123"/>
      <c r="T33" s="123"/>
      <c r="U33" s="123"/>
      <c r="V33" s="123"/>
      <c r="W33" s="123"/>
      <c r="X33" s="123"/>
      <c r="Y33" s="123"/>
      <c r="Z33" s="123"/>
      <c r="AA33" s="123"/>
      <c r="AB33" s="123"/>
    </row>
    <row r="34" spans="2:28" s="114" customFormat="1">
      <c r="B34" s="302">
        <v>4.5</v>
      </c>
      <c r="C34" s="303" t="s">
        <v>193</v>
      </c>
      <c r="D34" s="269"/>
      <c r="E34" s="304">
        <f>WORKDAY.INTL(G40,0,1,Data!$C$3:$C$14)+1</f>
        <v>45322</v>
      </c>
      <c r="F34" s="305">
        <v>2</v>
      </c>
      <c r="G34" s="304">
        <f>WORKDAY.INTL(E34,F34,1,Data!$C$3:$C$14)</f>
        <v>45324</v>
      </c>
      <c r="H34" s="292"/>
      <c r="I34" s="304">
        <v>45374</v>
      </c>
      <c r="J34" s="305">
        <v>2</v>
      </c>
      <c r="K34" s="304">
        <f>WORKDAY.INTL(I34,J34,1,Data!$C$3:$C$14)</f>
        <v>45377</v>
      </c>
      <c r="M34" s="309">
        <v>1</v>
      </c>
      <c r="N34" s="309">
        <v>1</v>
      </c>
      <c r="O34" s="124"/>
      <c r="Q34" s="126"/>
      <c r="R34" s="123"/>
      <c r="S34" s="123"/>
      <c r="T34" s="123"/>
      <c r="U34" s="123"/>
      <c r="V34" s="123"/>
      <c r="W34" s="123"/>
      <c r="X34" s="123"/>
      <c r="Y34" s="123"/>
      <c r="Z34" s="123"/>
      <c r="AA34" s="123"/>
      <c r="AB34" s="123"/>
    </row>
    <row r="35" spans="2:28" s="114" customFormat="1" ht="4.5" customHeight="1">
      <c r="B35" s="306"/>
      <c r="C35" s="271"/>
      <c r="D35" s="269"/>
      <c r="E35" s="304"/>
      <c r="F35" s="305"/>
      <c r="G35" s="304"/>
      <c r="H35" s="292"/>
      <c r="I35" s="304"/>
      <c r="J35" s="305"/>
      <c r="K35" s="304"/>
      <c r="M35" s="127"/>
      <c r="N35" s="127"/>
      <c r="O35" s="121"/>
      <c r="Q35" s="126"/>
      <c r="R35" s="123"/>
      <c r="S35" s="123"/>
      <c r="T35" s="123"/>
      <c r="U35" s="123"/>
      <c r="V35" s="123"/>
      <c r="W35" s="123"/>
      <c r="X35" s="123"/>
      <c r="Y35" s="123"/>
      <c r="Z35" s="123"/>
      <c r="AA35" s="123"/>
      <c r="AB35" s="123"/>
    </row>
    <row r="36" spans="2:28" s="116" customFormat="1">
      <c r="B36" s="298">
        <v>5</v>
      </c>
      <c r="C36" s="299" t="s">
        <v>34</v>
      </c>
      <c r="D36" s="273"/>
      <c r="E36" s="300">
        <f>MIN(E37:E43)</f>
        <v>45271</v>
      </c>
      <c r="F36" s="301">
        <f>G36-E36</f>
        <v>63</v>
      </c>
      <c r="G36" s="300">
        <f>MAX(G37:G43)</f>
        <v>45334</v>
      </c>
      <c r="H36" s="307"/>
      <c r="I36" s="300">
        <f>MIN(I37:I43)</f>
        <v>45271</v>
      </c>
      <c r="J36" s="301">
        <f>K36-I36</f>
        <v>63</v>
      </c>
      <c r="K36" s="300">
        <f>MAX(K37:K43)</f>
        <v>45334</v>
      </c>
      <c r="M36" s="523">
        <f>(J37*M37+J38*M38+J39*M39+J40*M40+J41*M41+J42*M42+J43*M43)/SUM(J37:J43)</f>
        <v>1</v>
      </c>
      <c r="N36" s="523">
        <f>(K37*N37+K38*N38+K39*N39+K40*N40+K41*N41+K42*N42+K43*N43)/SUM(K37:K43)</f>
        <v>1</v>
      </c>
      <c r="O36" s="121"/>
      <c r="P36" s="114"/>
      <c r="Q36" s="125"/>
      <c r="R36" s="120"/>
      <c r="S36" s="120"/>
      <c r="T36" s="120"/>
      <c r="U36" s="120"/>
      <c r="V36" s="120"/>
      <c r="W36" s="120"/>
      <c r="X36" s="120"/>
      <c r="Y36" s="120"/>
      <c r="Z36" s="120"/>
      <c r="AA36" s="120"/>
      <c r="AB36" s="120"/>
    </row>
    <row r="37" spans="2:28" s="114" customFormat="1">
      <c r="B37" s="302">
        <v>5.0999999999999996</v>
      </c>
      <c r="C37" s="303" t="s">
        <v>194</v>
      </c>
      <c r="D37" s="269"/>
      <c r="E37" s="304">
        <v>45299</v>
      </c>
      <c r="F37" s="305">
        <v>1</v>
      </c>
      <c r="G37" s="304">
        <f>WORKDAY.INTL(E37,F37,1,Data!$C$3:$C$14)</f>
        <v>45300</v>
      </c>
      <c r="H37" s="292"/>
      <c r="I37" s="304">
        <v>45301</v>
      </c>
      <c r="J37" s="305">
        <v>1</v>
      </c>
      <c r="K37" s="304">
        <f>WORKDAY.INTL(I37,J37,1,Data!$C$3:$C$14)</f>
        <v>45302</v>
      </c>
      <c r="M37" s="309">
        <v>1</v>
      </c>
      <c r="N37" s="309">
        <v>1</v>
      </c>
      <c r="O37" s="124"/>
      <c r="Q37" s="126"/>
      <c r="R37" s="123"/>
      <c r="S37" s="123"/>
      <c r="T37" s="123"/>
      <c r="U37" s="123"/>
      <c r="V37" s="123"/>
      <c r="W37" s="123"/>
      <c r="X37" s="123"/>
      <c r="Y37" s="123"/>
      <c r="Z37" s="123"/>
      <c r="AA37" s="123"/>
      <c r="AB37" s="123"/>
    </row>
    <row r="38" spans="2:28" s="114" customFormat="1">
      <c r="B38" s="302">
        <v>5.2</v>
      </c>
      <c r="C38" s="303" t="s">
        <v>195</v>
      </c>
      <c r="D38" s="269"/>
      <c r="E38" s="304">
        <f>WORKDAY.INTL(G37,0,1,Data!$C$3:$C$14)</f>
        <v>45300</v>
      </c>
      <c r="F38" s="305">
        <v>10</v>
      </c>
      <c r="G38" s="304">
        <f>WORKDAY.INTL(E38,F38,1,Data!$C$3:$C$14)</f>
        <v>45314</v>
      </c>
      <c r="H38" s="292"/>
      <c r="I38" s="304">
        <f>WORKDAY.INTL(K37,0,1,Data!$C$3:$C$14)</f>
        <v>45302</v>
      </c>
      <c r="J38" s="305">
        <v>3</v>
      </c>
      <c r="K38" s="304">
        <f>WORKDAY.INTL(I38,J38,1,Data!$C$3:$C$14)</f>
        <v>45307</v>
      </c>
      <c r="M38" s="309">
        <v>1</v>
      </c>
      <c r="N38" s="309">
        <v>1</v>
      </c>
      <c r="O38" s="124"/>
      <c r="Q38" s="126"/>
      <c r="R38" s="123"/>
      <c r="S38" s="123"/>
      <c r="T38" s="123"/>
      <c r="U38" s="123"/>
      <c r="V38" s="123"/>
      <c r="W38" s="123"/>
      <c r="X38" s="123"/>
      <c r="Y38" s="123"/>
      <c r="Z38" s="123"/>
      <c r="AA38" s="123"/>
      <c r="AB38" s="123"/>
    </row>
    <row r="39" spans="2:28" s="114" customFormat="1">
      <c r="B39" s="302">
        <v>5.3</v>
      </c>
      <c r="C39" s="303" t="s">
        <v>196</v>
      </c>
      <c r="D39" s="269"/>
      <c r="E39" s="304">
        <v>45271</v>
      </c>
      <c r="F39" s="305">
        <v>1</v>
      </c>
      <c r="G39" s="304">
        <f>WORKDAY.INTL(E39,F39,1,Data!$C$3:$C$14)</f>
        <v>45272</v>
      </c>
      <c r="H39" s="292"/>
      <c r="I39" s="304">
        <v>45271</v>
      </c>
      <c r="J39" s="305">
        <v>1</v>
      </c>
      <c r="K39" s="304">
        <f>WORKDAY.INTL(I39,J39,1,Data!$C$3:$C$14)</f>
        <v>45272</v>
      </c>
      <c r="M39" s="309">
        <v>1</v>
      </c>
      <c r="N39" s="309">
        <v>1</v>
      </c>
      <c r="O39" s="124"/>
      <c r="Q39" s="126"/>
      <c r="R39" s="123"/>
      <c r="S39" s="123"/>
      <c r="T39" s="123"/>
      <c r="U39" s="123"/>
      <c r="V39" s="123"/>
      <c r="W39" s="123"/>
      <c r="X39" s="123"/>
      <c r="Y39" s="123"/>
      <c r="Z39" s="123"/>
      <c r="AA39" s="123"/>
      <c r="AB39" s="123"/>
    </row>
    <row r="40" spans="2:28" s="114" customFormat="1">
      <c r="B40" s="302">
        <v>5.4</v>
      </c>
      <c r="C40" s="303" t="s">
        <v>197</v>
      </c>
      <c r="D40" s="269"/>
      <c r="E40" s="304">
        <f>WORKDAY.INTL(G39,0,1,Data!$C$3:$C$14)</f>
        <v>45272</v>
      </c>
      <c r="F40" s="305">
        <v>35</v>
      </c>
      <c r="G40" s="304">
        <f>WORKDAY.INTL(E40,F40,1,Data!$C$3:$C$14)</f>
        <v>45321</v>
      </c>
      <c r="H40" s="292"/>
      <c r="I40" s="304">
        <f>WORKDAY.INTL(K39,0,1,Data!$C$3:$C$14)</f>
        <v>45272</v>
      </c>
      <c r="J40" s="305">
        <v>35</v>
      </c>
      <c r="K40" s="304">
        <f>WORKDAY.INTL(I40,J40,1,Data!$C$3:$C$14)</f>
        <v>45321</v>
      </c>
      <c r="M40" s="309">
        <v>1</v>
      </c>
      <c r="N40" s="309">
        <v>1</v>
      </c>
      <c r="O40" s="124"/>
      <c r="Q40" s="126"/>
      <c r="R40" s="123"/>
      <c r="S40" s="123"/>
      <c r="T40" s="123"/>
      <c r="U40" s="123"/>
      <c r="V40" s="123"/>
      <c r="W40" s="123"/>
      <c r="X40" s="123"/>
      <c r="Y40" s="123"/>
      <c r="Z40" s="123"/>
      <c r="AA40" s="123"/>
      <c r="AB40" s="123"/>
    </row>
    <row r="41" spans="2:28" s="114" customFormat="1">
      <c r="B41" s="302">
        <v>5.5</v>
      </c>
      <c r="C41" s="303" t="s">
        <v>198</v>
      </c>
      <c r="D41" s="269"/>
      <c r="E41" s="304">
        <v>45308</v>
      </c>
      <c r="F41" s="305">
        <v>1</v>
      </c>
      <c r="G41" s="304">
        <f>WORKDAY.INTL(E41,F41,1,Data!$C$3:$C$14)</f>
        <v>45309</v>
      </c>
      <c r="H41" s="292"/>
      <c r="I41" s="304">
        <v>45307</v>
      </c>
      <c r="J41" s="305">
        <v>1</v>
      </c>
      <c r="K41" s="304">
        <f>WORKDAY.INTL(I41,J41,1,Data!$C$3:$C$14)</f>
        <v>45308</v>
      </c>
      <c r="M41" s="309">
        <v>1</v>
      </c>
      <c r="N41" s="309">
        <v>1</v>
      </c>
      <c r="O41" s="124"/>
      <c r="Q41" s="126"/>
      <c r="R41" s="123"/>
      <c r="S41" s="123"/>
      <c r="T41" s="123"/>
      <c r="U41" s="123"/>
      <c r="V41" s="123"/>
      <c r="W41" s="123"/>
      <c r="X41" s="123"/>
      <c r="Y41" s="123"/>
      <c r="Z41" s="123"/>
      <c r="AA41" s="123"/>
      <c r="AB41" s="123"/>
    </row>
    <row r="42" spans="2:28" s="114" customFormat="1">
      <c r="B42" s="302">
        <v>5.6</v>
      </c>
      <c r="C42" s="303" t="s">
        <v>199</v>
      </c>
      <c r="D42" s="269"/>
      <c r="E42" s="304">
        <f>+G38</f>
        <v>45314</v>
      </c>
      <c r="F42" s="305">
        <v>7</v>
      </c>
      <c r="G42" s="304">
        <f>WORKDAY.INTL(E42,F42,1,Data!$C$3:$C$14)</f>
        <v>45323</v>
      </c>
      <c r="H42" s="292"/>
      <c r="I42" s="304">
        <f>+K38</f>
        <v>45307</v>
      </c>
      <c r="J42" s="305">
        <v>7</v>
      </c>
      <c r="K42" s="304">
        <f>WORKDAY.INTL(I42,J42,1,Data!$C$3:$C$14)</f>
        <v>45316</v>
      </c>
      <c r="M42" s="309">
        <v>1</v>
      </c>
      <c r="N42" s="309">
        <v>1</v>
      </c>
      <c r="O42" s="124"/>
      <c r="Q42" s="126"/>
      <c r="R42" s="123"/>
      <c r="S42" s="123"/>
      <c r="T42" s="123"/>
      <c r="U42" s="123"/>
      <c r="V42" s="123"/>
      <c r="W42" s="123"/>
      <c r="X42" s="123"/>
      <c r="Y42" s="123"/>
      <c r="Z42" s="123"/>
      <c r="AA42" s="123"/>
      <c r="AB42" s="123"/>
    </row>
    <row r="43" spans="2:28" s="114" customFormat="1">
      <c r="B43" s="302">
        <v>5.7</v>
      </c>
      <c r="C43" s="303" t="s">
        <v>200</v>
      </c>
      <c r="D43" s="269"/>
      <c r="E43" s="304">
        <f>+G42</f>
        <v>45323</v>
      </c>
      <c r="F43" s="305">
        <v>7</v>
      </c>
      <c r="G43" s="304">
        <f>WORKDAY.INTL(E43,F43,1,Data!$C$3:$C$14)</f>
        <v>45334</v>
      </c>
      <c r="H43" s="292"/>
      <c r="I43" s="304">
        <f>+K42</f>
        <v>45316</v>
      </c>
      <c r="J43" s="305">
        <v>10</v>
      </c>
      <c r="K43" s="304">
        <f>WORKDAY.INTL(I43,J43,1,Data!$C$3:$C$14)+4</f>
        <v>45334</v>
      </c>
      <c r="M43" s="309">
        <v>1</v>
      </c>
      <c r="N43" s="309">
        <v>1</v>
      </c>
      <c r="O43" s="124"/>
      <c r="Q43" s="126"/>
      <c r="R43" s="123"/>
      <c r="S43" s="123"/>
      <c r="T43" s="123"/>
      <c r="U43" s="123"/>
      <c r="V43" s="123"/>
      <c r="W43" s="123"/>
      <c r="X43" s="123"/>
      <c r="Y43" s="123"/>
      <c r="Z43" s="123"/>
      <c r="AA43" s="123"/>
      <c r="AB43" s="123"/>
    </row>
    <row r="44" spans="2:28" s="114" customFormat="1" ht="4.5" customHeight="1">
      <c r="B44" s="306"/>
      <c r="C44" s="271"/>
      <c r="D44" s="269"/>
      <c r="E44" s="304"/>
      <c r="F44" s="305"/>
      <c r="G44" s="304"/>
      <c r="H44" s="292"/>
      <c r="I44" s="304"/>
      <c r="J44" s="305"/>
      <c r="K44" s="304"/>
      <c r="M44" s="725"/>
      <c r="N44" s="725"/>
      <c r="O44" s="121"/>
      <c r="Q44" s="126"/>
      <c r="R44" s="123"/>
      <c r="S44" s="123"/>
      <c r="T44" s="123"/>
      <c r="U44" s="123"/>
      <c r="V44" s="123"/>
      <c r="W44" s="123"/>
      <c r="X44" s="123"/>
      <c r="Y44" s="123"/>
      <c r="Z44" s="123"/>
      <c r="AA44" s="123"/>
      <c r="AB44" s="123"/>
    </row>
    <row r="45" spans="2:28" s="116" customFormat="1">
      <c r="B45" s="298">
        <v>6</v>
      </c>
      <c r="C45" s="299" t="s">
        <v>201</v>
      </c>
      <c r="D45" s="273"/>
      <c r="E45" s="300">
        <f>MIN(E46:E47)</f>
        <v>45314</v>
      </c>
      <c r="F45" s="301">
        <f>G45-E45</f>
        <v>15</v>
      </c>
      <c r="G45" s="300">
        <f>MAX(G46:G47)</f>
        <v>45329</v>
      </c>
      <c r="H45" s="274"/>
      <c r="I45" s="300">
        <f>MIN(I46:I47)</f>
        <v>45355</v>
      </c>
      <c r="J45" s="301">
        <f>K45-I45</f>
        <v>17</v>
      </c>
      <c r="K45" s="300">
        <f>MAX(K46:K47)</f>
        <v>45372</v>
      </c>
      <c r="M45" s="523">
        <f>(J46*M46+J47*M47)/SUM(J46:J47)</f>
        <v>1</v>
      </c>
      <c r="N45" s="523">
        <f>(K46*N46+K47*N47)/SUM(K46:K47)</f>
        <v>1</v>
      </c>
      <c r="O45" s="121"/>
      <c r="P45" s="114"/>
      <c r="Q45" s="125"/>
      <c r="R45" s="120"/>
      <c r="S45" s="120"/>
      <c r="T45" s="120"/>
      <c r="U45" s="120"/>
      <c r="V45" s="120"/>
      <c r="W45" s="120"/>
      <c r="X45" s="120"/>
      <c r="Y45" s="120"/>
      <c r="Z45" s="120"/>
      <c r="AA45" s="120"/>
      <c r="AB45" s="120"/>
    </row>
    <row r="46" spans="2:28" s="114" customFormat="1">
      <c r="B46" s="302">
        <v>6.1</v>
      </c>
      <c r="C46" s="303" t="s">
        <v>202</v>
      </c>
      <c r="D46" s="269"/>
      <c r="E46" s="308">
        <v>45314</v>
      </c>
      <c r="F46" s="305">
        <v>1</v>
      </c>
      <c r="G46" s="304">
        <f>WORKDAY.INTL(E46,F46,1,Data!$C$3:$C$14)</f>
        <v>45315</v>
      </c>
      <c r="H46" s="292"/>
      <c r="I46" s="308">
        <v>45355</v>
      </c>
      <c r="J46" s="305">
        <v>1</v>
      </c>
      <c r="K46" s="304">
        <f>WORKDAY.INTL(I46,J46,1,Data!$C$3:$C$14)</f>
        <v>45356</v>
      </c>
      <c r="M46" s="309">
        <v>1</v>
      </c>
      <c r="N46" s="309">
        <v>1</v>
      </c>
      <c r="O46" s="124"/>
      <c r="Q46" s="126"/>
      <c r="R46" s="123"/>
      <c r="S46" s="123"/>
      <c r="T46" s="123"/>
      <c r="U46" s="123"/>
      <c r="V46" s="123"/>
      <c r="W46" s="123"/>
      <c r="X46" s="123"/>
      <c r="Y46" s="123"/>
      <c r="Z46" s="123"/>
      <c r="AA46" s="123"/>
      <c r="AB46" s="123"/>
    </row>
    <row r="47" spans="2:28" s="114" customFormat="1">
      <c r="B47" s="302">
        <v>6.2</v>
      </c>
      <c r="C47" s="303" t="s">
        <v>203</v>
      </c>
      <c r="D47" s="269"/>
      <c r="E47" s="308">
        <f>WORKDAY.INTL(G46,0,1,Data!$C$3:$C$14)</f>
        <v>45315</v>
      </c>
      <c r="F47" s="305">
        <v>10</v>
      </c>
      <c r="G47" s="304">
        <f>WORKDAY.INTL(E47,F47,1,Data!$C$3:$C$14)</f>
        <v>45329</v>
      </c>
      <c r="H47" s="292"/>
      <c r="I47" s="308">
        <f>WORKDAY.INTL(K46,0,1,Data!$C$3:$C$14)</f>
        <v>45356</v>
      </c>
      <c r="J47" s="305">
        <v>12</v>
      </c>
      <c r="K47" s="304">
        <f>WORKDAY.INTL(I47,J47,1,Data!$C$3:$C$14)</f>
        <v>45372</v>
      </c>
      <c r="M47" s="309">
        <v>1</v>
      </c>
      <c r="N47" s="309">
        <v>1</v>
      </c>
      <c r="O47" s="124" t="s">
        <v>204</v>
      </c>
      <c r="Q47" s="126"/>
      <c r="R47" s="123"/>
      <c r="S47" s="123"/>
      <c r="T47" s="123"/>
      <c r="U47" s="123"/>
      <c r="V47" s="123"/>
      <c r="W47" s="123"/>
      <c r="X47" s="123"/>
      <c r="Y47" s="123"/>
      <c r="Z47" s="123"/>
      <c r="AA47" s="123"/>
      <c r="AB47" s="123"/>
    </row>
    <row r="48" spans="2:28" s="114" customFormat="1" ht="4.5" customHeight="1">
      <c r="B48" s="293"/>
      <c r="C48" s="269"/>
      <c r="D48" s="269"/>
      <c r="E48" s="305"/>
      <c r="F48" s="294"/>
      <c r="G48" s="305"/>
      <c r="H48" s="292"/>
      <c r="I48" s="305"/>
      <c r="J48" s="294"/>
      <c r="K48" s="305"/>
      <c r="L48" s="123"/>
      <c r="M48" s="123"/>
      <c r="N48" s="123"/>
      <c r="O48" s="123"/>
      <c r="Q48" s="126"/>
      <c r="R48" s="123"/>
      <c r="S48" s="123"/>
      <c r="T48" s="123"/>
      <c r="U48" s="123"/>
      <c r="V48" s="123"/>
      <c r="W48" s="123"/>
      <c r="X48" s="123"/>
      <c r="Y48" s="123"/>
      <c r="Z48" s="123"/>
      <c r="AA48" s="123"/>
      <c r="AB48" s="123"/>
    </row>
    <row r="49" spans="2:28" s="116" customFormat="1">
      <c r="B49" s="298">
        <v>7</v>
      </c>
      <c r="C49" s="299" t="s">
        <v>205</v>
      </c>
      <c r="D49" s="273"/>
      <c r="E49" s="300">
        <f>MIN(E50:E51)</f>
        <v>45345</v>
      </c>
      <c r="F49" s="301">
        <f>G49-E49</f>
        <v>10</v>
      </c>
      <c r="G49" s="300">
        <f>MAX(G50:G51)</f>
        <v>45355</v>
      </c>
      <c r="H49" s="274"/>
      <c r="I49" s="300">
        <f>MIN(I50:I51)</f>
        <v>45391</v>
      </c>
      <c r="J49" s="301">
        <f>K49-I49</f>
        <v>10</v>
      </c>
      <c r="K49" s="300">
        <f>MAX(K50:K51)</f>
        <v>45401</v>
      </c>
      <c r="M49" s="523">
        <f>(J50*M50+J51*M51)/SUM(J50:J51)</f>
        <v>1</v>
      </c>
      <c r="N49" s="523">
        <f>(K50*N50+K51*N51)/SUM(K50:K51)</f>
        <v>1</v>
      </c>
      <c r="O49" s="121"/>
      <c r="P49" s="114"/>
      <c r="Q49" s="125"/>
      <c r="R49" s="120"/>
      <c r="S49" s="120"/>
      <c r="T49" s="120"/>
      <c r="U49" s="120"/>
      <c r="V49" s="120"/>
      <c r="W49" s="120"/>
      <c r="X49" s="120"/>
      <c r="Y49" s="120"/>
      <c r="Z49" s="120"/>
      <c r="AA49" s="120"/>
      <c r="AB49" s="120"/>
    </row>
    <row r="50" spans="2:28" s="114" customFormat="1">
      <c r="B50" s="302">
        <v>7.1</v>
      </c>
      <c r="C50" s="297" t="s">
        <v>206</v>
      </c>
      <c r="D50" s="269"/>
      <c r="E50" s="308">
        <f>WORKDAY.INTL(MAX(G29,G36,G45),0,1,Data!$C$3:$C$14)</f>
        <v>45345</v>
      </c>
      <c r="F50" s="305">
        <v>3</v>
      </c>
      <c r="G50" s="304">
        <f>WORKDAY.INTL(E50,F50,1,Data!$C$3:$C$14)</f>
        <v>45350</v>
      </c>
      <c r="H50" s="292"/>
      <c r="I50" s="308">
        <f>WORKDAY.INTL(MAX(K29,K36,K45),0,1,Data!$C$3:$C$14)+14</f>
        <v>45391</v>
      </c>
      <c r="J50" s="305">
        <v>3</v>
      </c>
      <c r="K50" s="304">
        <f>WORKDAY.INTL(I50,J50,1,Data!$C$3:$C$14)</f>
        <v>45394</v>
      </c>
      <c r="M50" s="309">
        <v>1</v>
      </c>
      <c r="N50" s="309">
        <v>1</v>
      </c>
      <c r="O50" s="124"/>
      <c r="Q50" s="126"/>
      <c r="R50" s="123"/>
      <c r="S50" s="123"/>
      <c r="T50" s="123"/>
      <c r="U50" s="123"/>
      <c r="V50" s="123"/>
      <c r="W50" s="123"/>
      <c r="X50" s="123"/>
      <c r="Y50" s="123"/>
      <c r="Z50" s="123"/>
      <c r="AA50" s="123"/>
      <c r="AB50" s="123"/>
    </row>
    <row r="51" spans="2:28" s="114" customFormat="1">
      <c r="B51" s="302">
        <v>7.2</v>
      </c>
      <c r="C51" s="297" t="s">
        <v>207</v>
      </c>
      <c r="D51" s="269"/>
      <c r="E51" s="308">
        <f>WORKDAY.INTL(G50,0,1,Data!$C$3:$C$14)</f>
        <v>45350</v>
      </c>
      <c r="F51" s="305">
        <v>3</v>
      </c>
      <c r="G51" s="304">
        <f>WORKDAY.INTL(E51,F51,1,Data!$C$3:$C$14)</f>
        <v>45355</v>
      </c>
      <c r="H51" s="292"/>
      <c r="I51" s="308">
        <f>WORKDAY.INTL(K50,0,1,Data!$C$3:$C$14)</f>
        <v>45394</v>
      </c>
      <c r="J51" s="305">
        <v>5</v>
      </c>
      <c r="K51" s="879">
        <f>WORKDAY.INTL(I51,J51,1,Data!$C$3:$C$14)</f>
        <v>45401</v>
      </c>
      <c r="M51" s="309">
        <v>1</v>
      </c>
      <c r="N51" s="309">
        <v>1</v>
      </c>
      <c r="O51" s="124"/>
      <c r="Q51" s="126"/>
      <c r="R51" s="123"/>
      <c r="S51" s="123"/>
      <c r="T51" s="123"/>
      <c r="U51" s="123"/>
      <c r="V51" s="123"/>
      <c r="W51" s="123"/>
      <c r="X51" s="123"/>
      <c r="Y51" s="123"/>
      <c r="Z51" s="123"/>
      <c r="AA51" s="123"/>
      <c r="AB51" s="123"/>
    </row>
    <row r="52" spans="2:28" s="114" customFormat="1">
      <c r="B52" s="302">
        <v>7.3</v>
      </c>
      <c r="C52" s="297" t="s">
        <v>208</v>
      </c>
      <c r="D52" s="269"/>
      <c r="E52" s="308"/>
      <c r="F52" s="305"/>
      <c r="G52" s="304"/>
      <c r="H52" s="292"/>
      <c r="I52" s="308">
        <v>45446</v>
      </c>
      <c r="J52" s="305">
        <v>35</v>
      </c>
      <c r="K52" s="846">
        <f>WORKDAY.INTL(I52,J52,1,Data!$C$3:$C$14)</f>
        <v>45495</v>
      </c>
      <c r="M52" s="309">
        <v>1</v>
      </c>
      <c r="N52" s="309">
        <v>1</v>
      </c>
      <c r="O52" s="124" t="s">
        <v>209</v>
      </c>
      <c r="Q52" s="126"/>
      <c r="R52" s="123"/>
      <c r="S52" s="123"/>
      <c r="T52" s="123"/>
      <c r="U52" s="123"/>
      <c r="V52" s="123"/>
      <c r="W52" s="123"/>
      <c r="X52" s="123"/>
      <c r="Y52" s="123"/>
      <c r="Z52" s="123"/>
      <c r="AA52" s="123"/>
      <c r="AB52" s="123"/>
    </row>
    <row r="53" spans="2:28" s="114" customFormat="1" ht="4.5" customHeight="1">
      <c r="B53" s="293"/>
      <c r="C53" s="269"/>
      <c r="D53" s="269"/>
      <c r="E53" s="305"/>
      <c r="F53" s="294"/>
      <c r="G53" s="305"/>
      <c r="H53" s="292"/>
      <c r="I53" s="305"/>
      <c r="J53" s="294"/>
      <c r="K53" s="305"/>
      <c r="L53" s="123"/>
      <c r="M53" s="123"/>
      <c r="N53" s="123"/>
      <c r="O53" s="123"/>
      <c r="Q53" s="126"/>
      <c r="R53" s="123"/>
      <c r="S53" s="123"/>
      <c r="T53" s="123"/>
      <c r="U53" s="123"/>
      <c r="V53" s="123"/>
      <c r="W53" s="123"/>
      <c r="X53" s="123"/>
      <c r="Y53" s="123"/>
      <c r="Z53" s="123"/>
      <c r="AA53" s="123"/>
      <c r="AB53" s="123"/>
    </row>
    <row r="54" spans="2:28" s="116" customFormat="1">
      <c r="B54" s="298">
        <v>8</v>
      </c>
      <c r="C54" s="299" t="s">
        <v>210</v>
      </c>
      <c r="D54" s="273"/>
      <c r="E54" s="300">
        <f>MIN(E55)</f>
        <v>45360</v>
      </c>
      <c r="F54" s="301">
        <f>G54-E54</f>
        <v>4</v>
      </c>
      <c r="G54" s="300">
        <f>MAX(G55)</f>
        <v>45364</v>
      </c>
      <c r="H54" s="274"/>
      <c r="I54" s="300">
        <f>MIN(I55)</f>
        <v>45495</v>
      </c>
      <c r="J54" s="301">
        <f>K54-I54</f>
        <v>3</v>
      </c>
      <c r="K54" s="300">
        <f>MAX(K55)</f>
        <v>45498</v>
      </c>
      <c r="M54" s="523">
        <f>(J55*M55)/SUM(J55)</f>
        <v>1</v>
      </c>
      <c r="N54" s="523">
        <f>(K55*N55)/SUM(K55)</f>
        <v>1</v>
      </c>
      <c r="O54" s="121"/>
      <c r="P54" s="114"/>
      <c r="Q54" s="125"/>
      <c r="R54" s="120"/>
      <c r="S54" s="120"/>
      <c r="T54" s="120"/>
      <c r="U54" s="120"/>
      <c r="V54" s="120"/>
      <c r="W54" s="120"/>
      <c r="X54" s="120"/>
      <c r="Y54" s="120"/>
      <c r="Z54" s="120"/>
      <c r="AA54" s="120"/>
      <c r="AB54" s="120"/>
    </row>
    <row r="55" spans="2:28">
      <c r="B55" s="302">
        <v>8.1</v>
      </c>
      <c r="C55" s="297" t="s">
        <v>211</v>
      </c>
      <c r="D55" s="269"/>
      <c r="E55" s="308">
        <f>WORKDAY.INTL(G51,0,1,Data!$C$3:$C$14)+5</f>
        <v>45360</v>
      </c>
      <c r="F55" s="305">
        <v>3</v>
      </c>
      <c r="G55" s="308">
        <f>WORKDAY.INTL(E55,F55,1,Data!$C$3:$C$14)</f>
        <v>45364</v>
      </c>
      <c r="H55" s="292"/>
      <c r="I55" s="308">
        <f>WORKDAY.INTL(K52,0,1,Data!$C$3:$C$14)</f>
        <v>45495</v>
      </c>
      <c r="J55" s="305">
        <v>3</v>
      </c>
      <c r="K55" s="308">
        <f>WORKDAY.INTL(I55,J55,1,Data!$C$3:$C$14)</f>
        <v>45498</v>
      </c>
      <c r="M55" s="309">
        <v>1</v>
      </c>
      <c r="N55" s="309">
        <v>1</v>
      </c>
      <c r="O55" s="124"/>
      <c r="Y55" s="24"/>
    </row>
    <row r="56" spans="2:28" s="114" customFormat="1" ht="4.5" customHeight="1">
      <c r="B56" s="293"/>
      <c r="C56" s="269"/>
      <c r="D56" s="269"/>
      <c r="E56" s="305"/>
      <c r="F56" s="294"/>
      <c r="G56" s="305"/>
      <c r="H56" s="292"/>
      <c r="I56" s="305"/>
      <c r="J56" s="294"/>
      <c r="K56" s="305"/>
      <c r="L56" s="123"/>
      <c r="M56" s="123"/>
      <c r="N56" s="123"/>
      <c r="O56" s="123"/>
      <c r="Q56" s="126"/>
      <c r="R56" s="123"/>
      <c r="S56" s="123"/>
      <c r="T56" s="123"/>
      <c r="U56" s="123"/>
      <c r="V56" s="123"/>
      <c r="W56" s="123"/>
      <c r="X56" s="123"/>
      <c r="Y56" s="123"/>
      <c r="Z56" s="123"/>
      <c r="AA56" s="123"/>
      <c r="AB56" s="123"/>
    </row>
    <row r="57" spans="2:28" s="116" customFormat="1">
      <c r="B57" s="298">
        <v>9</v>
      </c>
      <c r="C57" s="299" t="s">
        <v>212</v>
      </c>
      <c r="D57" s="273"/>
      <c r="E57" s="300">
        <f>MIN(E58:E63)</f>
        <v>45350</v>
      </c>
      <c r="F57" s="301">
        <f>G57-E57</f>
        <v>26</v>
      </c>
      <c r="G57" s="300">
        <f>MAX(G58:G63)</f>
        <v>45376</v>
      </c>
      <c r="H57" s="274"/>
      <c r="I57" s="300">
        <f>MIN(I58:I63)</f>
        <v>45394</v>
      </c>
      <c r="J57" s="301">
        <f>K57-I57</f>
        <v>515</v>
      </c>
      <c r="K57" s="300">
        <f>MAX(K58:K63)</f>
        <v>45909</v>
      </c>
      <c r="M57" s="523">
        <f>(J58*M58+J59*M59+J60*M60+J61*M61+J62*M62+J63*M63)/SUM(J58:J63)</f>
        <v>1</v>
      </c>
      <c r="N57" s="523">
        <f>(K58*N58+K59*N59+K60*N60+K61*N61+K62*N62+K63*N63)/SUM(K58:K63)</f>
        <v>1</v>
      </c>
      <c r="O57" s="121"/>
      <c r="P57" s="114"/>
      <c r="Q57" s="125"/>
      <c r="R57" s="120"/>
      <c r="S57" s="120"/>
      <c r="T57" s="120"/>
      <c r="U57" s="120"/>
      <c r="V57" s="120"/>
      <c r="W57" s="120"/>
      <c r="X57" s="120"/>
      <c r="Y57" s="120"/>
      <c r="Z57" s="120"/>
      <c r="AA57" s="120"/>
      <c r="AB57" s="120"/>
    </row>
    <row r="58" spans="2:28" s="114" customFormat="1">
      <c r="B58" s="302">
        <v>9.1</v>
      </c>
      <c r="C58" s="297" t="s">
        <v>213</v>
      </c>
      <c r="D58" s="269"/>
      <c r="E58" s="308">
        <f>WORKDAY.INTL(E51,0,1,Data!$C$3:$C$14)</f>
        <v>45350</v>
      </c>
      <c r="F58" s="305">
        <v>1</v>
      </c>
      <c r="G58" s="308">
        <f>WORKDAY.INTL(E58,F58,1,Data!$C$3:$C$14)</f>
        <v>45351</v>
      </c>
      <c r="H58" s="292"/>
      <c r="I58" s="308">
        <f>WORKDAY.INTL(I51,0,1,Data!$C$3:$C$14)</f>
        <v>45394</v>
      </c>
      <c r="J58" s="305">
        <v>1</v>
      </c>
      <c r="K58" s="308">
        <f>WORKDAY.INTL(I58,J58,1,Data!$C$3:$C$14)</f>
        <v>45397</v>
      </c>
      <c r="M58" s="309">
        <v>1</v>
      </c>
      <c r="N58" s="309">
        <v>1</v>
      </c>
      <c r="O58" s="124"/>
      <c r="Q58" s="126"/>
      <c r="R58" s="123"/>
      <c r="S58" s="123"/>
      <c r="T58" s="123"/>
      <c r="U58" s="123"/>
      <c r="V58" s="123"/>
      <c r="W58" s="123"/>
      <c r="X58" s="123"/>
      <c r="Y58" s="123"/>
      <c r="Z58" s="123"/>
      <c r="AA58" s="123"/>
      <c r="AB58" s="123"/>
    </row>
    <row r="59" spans="2:28" s="114" customFormat="1">
      <c r="B59" s="302">
        <v>9.1999999999999993</v>
      </c>
      <c r="C59" s="297" t="s">
        <v>214</v>
      </c>
      <c r="D59" s="269"/>
      <c r="E59" s="308">
        <f>WORKDAY.INTL(G55,0,1,Data!$C$3:$C$14)</f>
        <v>45364</v>
      </c>
      <c r="F59" s="305">
        <v>3</v>
      </c>
      <c r="G59" s="308">
        <f>WORKDAY.INTL(E59,F59,1,Data!$C$3:$C$14)</f>
        <v>45369</v>
      </c>
      <c r="H59" s="292"/>
      <c r="I59" s="308">
        <f>WORKDAY.INTL(K52,0,1,Data!$C$3:$C$14)</f>
        <v>45495</v>
      </c>
      <c r="J59" s="305">
        <v>19</v>
      </c>
      <c r="K59" s="308">
        <f>WORKDAY.INTL(I59,J59,1,Data!$C$3:$C$14)</f>
        <v>45520</v>
      </c>
      <c r="M59" s="309">
        <v>1</v>
      </c>
      <c r="N59" s="309">
        <v>1</v>
      </c>
      <c r="O59" s="124"/>
      <c r="Q59" s="126"/>
      <c r="R59" s="123"/>
      <c r="S59" s="123"/>
      <c r="T59" s="123"/>
      <c r="U59" s="123"/>
      <c r="V59" s="123"/>
      <c r="W59" s="123"/>
      <c r="X59" s="123"/>
      <c r="Y59" s="123"/>
      <c r="Z59" s="123"/>
      <c r="AA59" s="123"/>
      <c r="AB59" s="123"/>
    </row>
    <row r="60" spans="2:28" s="114" customFormat="1">
      <c r="B60" s="302">
        <v>9.3000000000000007</v>
      </c>
      <c r="C60" s="297" t="s">
        <v>215</v>
      </c>
      <c r="D60" s="269"/>
      <c r="E60" s="308">
        <f>WORKDAY.INTL(G59,0,1,Data!$C$3:$C$14)</f>
        <v>45369</v>
      </c>
      <c r="F60" s="305">
        <v>5</v>
      </c>
      <c r="G60" s="308">
        <f>WORKDAY.INTL(E60,F60,1,Data!$C$3:$C$14)</f>
        <v>45376</v>
      </c>
      <c r="H60" s="292"/>
      <c r="I60" s="308">
        <f>WORKDAY.INTL(K59,0,1,Data!$C$3:$C$14)</f>
        <v>45520</v>
      </c>
      <c r="J60" s="305">
        <v>5</v>
      </c>
      <c r="K60" s="308">
        <f>WORKDAY.INTL(I60,J60,1,Data!$C$3:$C$14)</f>
        <v>45527</v>
      </c>
      <c r="M60" s="309">
        <v>1</v>
      </c>
      <c r="N60" s="309">
        <v>1</v>
      </c>
      <c r="O60" s="124"/>
      <c r="Q60" s="126"/>
      <c r="R60" s="123"/>
      <c r="S60" s="123"/>
      <c r="T60" s="123"/>
      <c r="U60" s="123"/>
      <c r="V60" s="123"/>
      <c r="W60" s="123"/>
      <c r="X60" s="123"/>
      <c r="Y60" s="123"/>
      <c r="Z60" s="123"/>
      <c r="AA60" s="123"/>
      <c r="AB60" s="123"/>
    </row>
    <row r="61" spans="2:28" s="114" customFormat="1">
      <c r="B61" s="302">
        <v>9.4</v>
      </c>
      <c r="C61" s="297" t="s">
        <v>216</v>
      </c>
      <c r="D61" s="269"/>
      <c r="E61" s="308">
        <f>WORKDAY.INTL(G59,0,1,Data!$C$3:$C$14)</f>
        <v>45369</v>
      </c>
      <c r="F61" s="305">
        <v>3</v>
      </c>
      <c r="G61" s="308">
        <f>WORKDAY.INTL(E61,F61,1,Data!$C$3:$C$14)</f>
        <v>45372</v>
      </c>
      <c r="H61" s="292"/>
      <c r="I61" s="308">
        <v>45586</v>
      </c>
      <c r="J61" s="305">
        <v>1</v>
      </c>
      <c r="K61" s="308">
        <f>WORKDAY.INTL(I61,J61,1,Data!$C$3:$C$14)</f>
        <v>45587</v>
      </c>
      <c r="M61" s="309">
        <v>1</v>
      </c>
      <c r="N61" s="309">
        <v>1</v>
      </c>
      <c r="O61" s="124"/>
      <c r="Q61" s="126"/>
      <c r="R61" s="123"/>
      <c r="S61" s="123"/>
      <c r="T61" s="123"/>
      <c r="U61" s="123"/>
      <c r="V61" s="123"/>
      <c r="W61" s="123"/>
      <c r="X61" s="123"/>
      <c r="Y61" s="123"/>
      <c r="Z61" s="123"/>
      <c r="AA61" s="123"/>
      <c r="AB61" s="123"/>
    </row>
    <row r="62" spans="2:28" s="114" customFormat="1">
      <c r="B62" s="302">
        <v>9.5</v>
      </c>
      <c r="C62" s="297" t="s">
        <v>217</v>
      </c>
      <c r="D62" s="269"/>
      <c r="E62" s="308">
        <f>WORKDAY.INTL(G61,0,1,Data!$C$3:$C$14)</f>
        <v>45372</v>
      </c>
      <c r="F62" s="305">
        <v>1</v>
      </c>
      <c r="G62" s="308">
        <f>WORKDAY.INTL(E62,F62,1,Data!$C$3:$C$14)</f>
        <v>45373</v>
      </c>
      <c r="H62" s="292"/>
      <c r="I62" s="308">
        <f>WORKDAY.INTL(K61,0,1,Data!$C$3:$C$14)</f>
        <v>45587</v>
      </c>
      <c r="J62" s="305">
        <v>1</v>
      </c>
      <c r="K62" s="308">
        <v>45909</v>
      </c>
      <c r="M62" s="309">
        <v>1</v>
      </c>
      <c r="N62" s="309">
        <v>1</v>
      </c>
      <c r="O62" s="124"/>
      <c r="Q62" s="126"/>
      <c r="R62" s="123"/>
      <c r="S62" s="123"/>
      <c r="T62" s="123"/>
      <c r="U62" s="123"/>
      <c r="V62" s="123"/>
      <c r="W62" s="123"/>
      <c r="X62" s="123"/>
      <c r="Y62" s="123"/>
      <c r="Z62" s="123"/>
      <c r="AA62" s="123"/>
      <c r="AB62" s="123"/>
    </row>
    <row r="63" spans="2:28" s="114" customFormat="1">
      <c r="B63" s="302">
        <v>9.6</v>
      </c>
      <c r="C63" s="297" t="s">
        <v>218</v>
      </c>
      <c r="D63" s="269"/>
      <c r="E63" s="308">
        <f>WORKDAY.INTL(G62,0,1,Data!$C$3:$C$14)</f>
        <v>45373</v>
      </c>
      <c r="F63" s="305">
        <v>1</v>
      </c>
      <c r="G63" s="308">
        <f>WORKDAY.INTL(E63,F63,1,Data!$C$3:$C$14)</f>
        <v>45376</v>
      </c>
      <c r="H63" s="292"/>
      <c r="I63" s="308">
        <f>WORKDAY.INTL(I60,0,1,Data!$C$3:$C$14)+2</f>
        <v>45522</v>
      </c>
      <c r="J63" s="305">
        <v>1</v>
      </c>
      <c r="K63" s="308">
        <f>WORKDAY.INTL(I63,J63,1,Data!$C$3:$C$14)</f>
        <v>45523</v>
      </c>
      <c r="M63" s="309">
        <v>1</v>
      </c>
      <c r="N63" s="309">
        <v>1</v>
      </c>
      <c r="O63" s="124"/>
      <c r="Q63" s="126"/>
      <c r="R63" s="123"/>
      <c r="S63" s="123"/>
      <c r="T63" s="123"/>
      <c r="U63" s="123"/>
      <c r="V63" s="123"/>
      <c r="W63" s="123"/>
      <c r="X63" s="123"/>
      <c r="Y63" s="123"/>
      <c r="Z63" s="123"/>
      <c r="AA63" s="123"/>
      <c r="AB63" s="123"/>
    </row>
    <row r="64" spans="2:28" s="114" customFormat="1" ht="4.5" customHeight="1">
      <c r="B64" s="293"/>
      <c r="C64" s="269"/>
      <c r="D64" s="269"/>
      <c r="E64" s="269"/>
      <c r="F64" s="269"/>
      <c r="G64" s="269"/>
      <c r="H64" s="269"/>
      <c r="I64" s="269"/>
      <c r="J64" s="269"/>
      <c r="K64" s="269"/>
      <c r="L64" s="269"/>
      <c r="M64" s="269"/>
      <c r="N64" s="269"/>
      <c r="O64" s="269"/>
      <c r="Q64" s="126"/>
      <c r="R64" s="123"/>
      <c r="S64" s="123"/>
      <c r="T64" s="123"/>
      <c r="U64" s="123"/>
      <c r="V64" s="123"/>
      <c r="W64" s="123"/>
      <c r="X64" s="123"/>
      <c r="Y64" s="123"/>
      <c r="Z64" s="123"/>
      <c r="AA64" s="123"/>
      <c r="AB64" s="123"/>
    </row>
    <row r="65" spans="2:10" s="3" customFormat="1">
      <c r="B65" s="189"/>
      <c r="E65" s="190"/>
      <c r="F65" s="109"/>
      <c r="J65" s="109"/>
    </row>
    <row r="66" spans="2:10">
      <c r="B66" s="187"/>
      <c r="C66" s="114"/>
      <c r="E66" s="114"/>
      <c r="G66" s="115"/>
    </row>
    <row r="67" spans="2:10">
      <c r="B67" s="187"/>
      <c r="C67" s="114"/>
      <c r="E67" s="114"/>
      <c r="G67" s="115"/>
    </row>
    <row r="68" spans="2:10">
      <c r="B68" s="187"/>
      <c r="C68" s="114"/>
      <c r="E68" s="114"/>
      <c r="G68" s="115"/>
    </row>
    <row r="69" spans="2:10">
      <c r="B69" s="187"/>
      <c r="C69" s="114"/>
      <c r="E69" s="114"/>
      <c r="G69" s="115"/>
    </row>
    <row r="70" spans="2:10">
      <c r="B70" s="187"/>
      <c r="C70" s="114"/>
      <c r="E70" s="114"/>
      <c r="G70" s="115"/>
    </row>
    <row r="71" spans="2:10">
      <c r="B71" s="187"/>
      <c r="C71" s="114"/>
      <c r="E71" s="114"/>
      <c r="G71" s="115"/>
    </row>
    <row r="72" spans="2:10">
      <c r="B72" s="187"/>
      <c r="C72" s="114"/>
      <c r="E72" s="114"/>
      <c r="G72" s="115"/>
    </row>
    <row r="73" spans="2:10">
      <c r="B73" s="187"/>
      <c r="C73" s="114"/>
      <c r="E73" s="114"/>
      <c r="G73" s="115"/>
    </row>
    <row r="74" spans="2:10">
      <c r="B74" s="187"/>
      <c r="C74" s="114"/>
      <c r="E74" s="114"/>
      <c r="G74" s="115"/>
    </row>
    <row r="75" spans="2:10">
      <c r="B75" s="187"/>
      <c r="C75" s="114"/>
      <c r="E75" s="114"/>
      <c r="G75" s="115"/>
    </row>
    <row r="76" spans="2:10">
      <c r="B76" s="187"/>
      <c r="C76" s="114"/>
      <c r="E76" s="114"/>
      <c r="G76" s="115"/>
    </row>
    <row r="77" spans="2:10">
      <c r="B77" s="187"/>
      <c r="C77" s="114"/>
      <c r="E77" s="114"/>
      <c r="G77" s="115"/>
    </row>
    <row r="78" spans="2:10">
      <c r="B78" s="187"/>
      <c r="C78" s="114"/>
      <c r="E78" s="114"/>
      <c r="G78" s="115"/>
    </row>
    <row r="79" spans="2:10">
      <c r="B79" s="187"/>
      <c r="C79" s="114"/>
      <c r="E79" s="114"/>
      <c r="G79" s="115"/>
    </row>
    <row r="80" spans="2:10">
      <c r="B80" s="187"/>
      <c r="C80" s="114"/>
      <c r="E80" s="114"/>
      <c r="G80" s="115"/>
    </row>
    <row r="81" spans="2:7">
      <c r="B81" s="187"/>
      <c r="C81" s="114"/>
      <c r="E81" s="114"/>
      <c r="G81" s="115"/>
    </row>
    <row r="82" spans="2:7">
      <c r="B82" s="187"/>
      <c r="C82" s="114"/>
      <c r="E82" s="114"/>
      <c r="G82" s="115"/>
    </row>
    <row r="83" spans="2:7">
      <c r="B83" s="187"/>
      <c r="C83" s="114"/>
      <c r="E83" s="114"/>
      <c r="G83" s="115"/>
    </row>
    <row r="84" spans="2:7">
      <c r="B84" s="187"/>
      <c r="C84" s="114"/>
      <c r="E84" s="114"/>
      <c r="G84" s="115"/>
    </row>
    <row r="85" spans="2:7">
      <c r="B85" s="187"/>
      <c r="C85" s="114"/>
      <c r="E85" s="114"/>
      <c r="G85" s="115"/>
    </row>
    <row r="86" spans="2:7">
      <c r="B86" s="187"/>
      <c r="C86" s="114"/>
      <c r="E86" s="114"/>
      <c r="G86" s="115"/>
    </row>
    <row r="87" spans="2:7">
      <c r="B87" s="187"/>
      <c r="C87" s="114"/>
      <c r="E87" s="114"/>
      <c r="G87" s="115"/>
    </row>
    <row r="88" spans="2:7">
      <c r="B88" s="187"/>
      <c r="C88" s="114"/>
      <c r="E88" s="114"/>
      <c r="G88" s="115"/>
    </row>
    <row r="89" spans="2:7">
      <c r="B89" s="187"/>
      <c r="C89" s="114"/>
      <c r="E89" s="114"/>
      <c r="G89" s="115"/>
    </row>
    <row r="90" spans="2:7">
      <c r="B90" s="187"/>
      <c r="C90" s="114"/>
      <c r="E90" s="114"/>
      <c r="G90" s="115"/>
    </row>
    <row r="91" spans="2:7">
      <c r="B91" s="187"/>
      <c r="C91" s="114"/>
      <c r="E91" s="114"/>
      <c r="G91" s="115"/>
    </row>
    <row r="92" spans="2:7">
      <c r="B92" s="187"/>
      <c r="C92" s="114"/>
      <c r="E92" s="114"/>
      <c r="G92" s="115"/>
    </row>
    <row r="93" spans="2:7">
      <c r="B93" s="187"/>
      <c r="C93" s="114"/>
      <c r="E93" s="114"/>
      <c r="G93" s="115"/>
    </row>
    <row r="94" spans="2:7">
      <c r="B94" s="187"/>
      <c r="C94" s="114"/>
      <c r="E94" s="114"/>
      <c r="G94" s="115"/>
    </row>
    <row r="95" spans="2:7">
      <c r="B95" s="187"/>
      <c r="C95" s="114"/>
      <c r="E95" s="114"/>
      <c r="G95" s="115"/>
    </row>
    <row r="96" spans="2:7">
      <c r="B96" s="187"/>
      <c r="C96" s="114"/>
      <c r="E96" s="114"/>
      <c r="G96" s="115"/>
    </row>
    <row r="97" spans="2:7">
      <c r="B97" s="187"/>
      <c r="C97" s="114"/>
      <c r="E97" s="114"/>
      <c r="G97" s="115"/>
    </row>
    <row r="98" spans="2:7">
      <c r="B98" s="187"/>
      <c r="C98" s="114"/>
      <c r="E98" s="114"/>
      <c r="G98" s="115"/>
    </row>
    <row r="99" spans="2:7">
      <c r="B99" s="187"/>
      <c r="C99" s="114"/>
      <c r="E99" s="114"/>
      <c r="G99" s="115"/>
    </row>
    <row r="100" spans="2:7">
      <c r="B100" s="187"/>
      <c r="C100" s="114"/>
      <c r="E100" s="114"/>
      <c r="G100" s="115"/>
    </row>
    <row r="101" spans="2:7">
      <c r="B101" s="187"/>
      <c r="C101" s="114"/>
      <c r="E101" s="114"/>
      <c r="G101" s="115"/>
    </row>
    <row r="102" spans="2:7">
      <c r="B102" s="187"/>
      <c r="C102" s="114"/>
      <c r="E102" s="114"/>
      <c r="G102" s="115"/>
    </row>
    <row r="103" spans="2:7">
      <c r="B103" s="187"/>
      <c r="C103" s="114"/>
      <c r="E103" s="114"/>
      <c r="G103" s="115"/>
    </row>
    <row r="104" spans="2:7">
      <c r="B104" s="187"/>
      <c r="C104" s="114"/>
      <c r="E104" s="114"/>
      <c r="G104" s="115"/>
    </row>
    <row r="105" spans="2:7">
      <c r="B105" s="187"/>
      <c r="C105" s="114"/>
      <c r="E105" s="114"/>
      <c r="G105" s="115"/>
    </row>
    <row r="106" spans="2:7">
      <c r="B106" s="187"/>
      <c r="C106" s="114"/>
      <c r="E106" s="114"/>
      <c r="G106" s="115"/>
    </row>
    <row r="107" spans="2:7">
      <c r="B107" s="187"/>
      <c r="C107" s="114"/>
      <c r="E107" s="114"/>
      <c r="G107" s="115"/>
    </row>
    <row r="108" spans="2:7">
      <c r="B108" s="187"/>
      <c r="C108" s="114"/>
      <c r="E108" s="114"/>
      <c r="G108" s="115"/>
    </row>
    <row r="109" spans="2:7">
      <c r="B109" s="187"/>
      <c r="C109" s="114"/>
      <c r="E109" s="114"/>
      <c r="G109" s="115"/>
    </row>
    <row r="110" spans="2:7">
      <c r="B110" s="187"/>
      <c r="C110" s="114"/>
      <c r="E110" s="114"/>
      <c r="G110" s="115"/>
    </row>
    <row r="111" spans="2:7">
      <c r="B111" s="187"/>
      <c r="C111" s="114"/>
      <c r="E111" s="114"/>
      <c r="G111" s="115"/>
    </row>
    <row r="112" spans="2:7">
      <c r="B112" s="187"/>
      <c r="C112" s="114"/>
      <c r="E112" s="114"/>
      <c r="G112" s="115"/>
    </row>
    <row r="113" spans="2:7">
      <c r="B113" s="187"/>
      <c r="C113" s="114"/>
      <c r="E113" s="114"/>
      <c r="G113" s="115"/>
    </row>
    <row r="114" spans="2:7">
      <c r="B114" s="187"/>
      <c r="C114" s="114"/>
      <c r="E114" s="114"/>
      <c r="G114" s="115"/>
    </row>
    <row r="115" spans="2:7">
      <c r="B115" s="187"/>
      <c r="C115" s="114"/>
      <c r="E115" s="114"/>
      <c r="G115" s="115"/>
    </row>
    <row r="116" spans="2:7">
      <c r="B116" s="187"/>
      <c r="C116" s="114"/>
      <c r="E116" s="114"/>
      <c r="G116" s="115"/>
    </row>
    <row r="117" spans="2:7">
      <c r="B117" s="187"/>
      <c r="C117" s="114"/>
      <c r="E117" s="114"/>
      <c r="G117" s="115"/>
    </row>
    <row r="118" spans="2:7">
      <c r="B118" s="187"/>
      <c r="C118" s="114"/>
      <c r="E118" s="114"/>
      <c r="G118" s="115"/>
    </row>
    <row r="119" spans="2:7">
      <c r="B119" s="187"/>
      <c r="C119" s="114"/>
      <c r="E119" s="114"/>
      <c r="G119" s="115"/>
    </row>
    <row r="120" spans="2:7">
      <c r="B120" s="187"/>
      <c r="C120" s="114"/>
      <c r="E120" s="114"/>
      <c r="G120" s="115"/>
    </row>
    <row r="121" spans="2:7">
      <c r="B121" s="187"/>
      <c r="C121" s="114"/>
      <c r="E121" s="114"/>
      <c r="G121" s="115"/>
    </row>
    <row r="122" spans="2:7">
      <c r="B122" s="187"/>
      <c r="C122" s="114"/>
      <c r="E122" s="114"/>
      <c r="G122" s="115"/>
    </row>
    <row r="123" spans="2:7">
      <c r="B123" s="187"/>
      <c r="C123" s="114"/>
      <c r="E123" s="114"/>
      <c r="G123" s="115"/>
    </row>
    <row r="124" spans="2:7">
      <c r="B124" s="187"/>
      <c r="C124" s="114"/>
      <c r="E124" s="114"/>
      <c r="G124" s="115"/>
    </row>
    <row r="125" spans="2:7">
      <c r="B125" s="187"/>
      <c r="C125" s="114"/>
      <c r="E125" s="114"/>
      <c r="G125" s="115"/>
    </row>
    <row r="126" spans="2:7">
      <c r="B126" s="187"/>
      <c r="C126" s="114"/>
      <c r="E126" s="114"/>
      <c r="G126" s="115"/>
    </row>
    <row r="127" spans="2:7">
      <c r="B127" s="187"/>
      <c r="C127" s="114"/>
      <c r="E127" s="114"/>
      <c r="G127" s="115"/>
    </row>
    <row r="128" spans="2:7">
      <c r="B128" s="187"/>
      <c r="C128" s="114"/>
      <c r="E128" s="114"/>
      <c r="G128" s="115"/>
    </row>
    <row r="129" spans="2:7">
      <c r="B129" s="187"/>
      <c r="C129" s="114"/>
      <c r="E129" s="114"/>
      <c r="G129" s="115"/>
    </row>
    <row r="130" spans="2:7">
      <c r="B130" s="187"/>
      <c r="C130" s="114"/>
      <c r="E130" s="114"/>
      <c r="G130" s="115"/>
    </row>
    <row r="131" spans="2:7">
      <c r="B131" s="187"/>
      <c r="C131" s="114"/>
      <c r="E131" s="114"/>
      <c r="G131" s="115"/>
    </row>
    <row r="132" spans="2:7">
      <c r="B132" s="187"/>
      <c r="C132" s="114"/>
      <c r="E132" s="114"/>
      <c r="G132" s="115"/>
    </row>
    <row r="133" spans="2:7">
      <c r="B133" s="187"/>
      <c r="C133" s="114"/>
      <c r="E133" s="114"/>
      <c r="G133" s="115"/>
    </row>
    <row r="134" spans="2:7">
      <c r="B134" s="187"/>
      <c r="C134" s="114"/>
      <c r="E134" s="114"/>
      <c r="G134" s="115"/>
    </row>
    <row r="135" spans="2:7">
      <c r="B135" s="187"/>
      <c r="C135" s="114"/>
      <c r="E135" s="114"/>
      <c r="G135" s="115"/>
    </row>
    <row r="136" spans="2:7">
      <c r="B136" s="187"/>
      <c r="C136" s="114"/>
      <c r="E136" s="114"/>
      <c r="G136" s="115"/>
    </row>
    <row r="137" spans="2:7">
      <c r="B137" s="187"/>
      <c r="C137" s="114"/>
      <c r="E137" s="114"/>
      <c r="G137" s="115"/>
    </row>
    <row r="138" spans="2:7">
      <c r="B138" s="187"/>
      <c r="C138" s="114"/>
      <c r="E138" s="114"/>
      <c r="G138" s="115"/>
    </row>
    <row r="139" spans="2:7">
      <c r="B139" s="187"/>
      <c r="C139" s="114"/>
      <c r="E139" s="114"/>
      <c r="G139" s="115"/>
    </row>
    <row r="140" spans="2:7">
      <c r="B140" s="187"/>
      <c r="C140" s="114"/>
      <c r="E140" s="114"/>
      <c r="G140" s="115"/>
    </row>
    <row r="141" spans="2:7">
      <c r="B141" s="187"/>
      <c r="C141" s="114"/>
      <c r="E141" s="114"/>
      <c r="G141" s="115"/>
    </row>
    <row r="142" spans="2:7">
      <c r="B142" s="187"/>
      <c r="C142" s="114"/>
      <c r="E142" s="114"/>
      <c r="G142" s="115"/>
    </row>
    <row r="143" spans="2:7">
      <c r="B143" s="187"/>
      <c r="C143" s="114"/>
      <c r="E143" s="114"/>
      <c r="G143" s="115"/>
    </row>
    <row r="144" spans="2:7">
      <c r="B144" s="187"/>
      <c r="C144" s="114"/>
      <c r="E144" s="114"/>
      <c r="G144" s="115"/>
    </row>
    <row r="145" spans="2:7">
      <c r="B145" s="187"/>
      <c r="C145" s="114"/>
      <c r="E145" s="114"/>
      <c r="G145" s="115"/>
    </row>
    <row r="146" spans="2:7">
      <c r="B146" s="187"/>
      <c r="C146" s="114"/>
      <c r="E146" s="114"/>
      <c r="G146" s="115"/>
    </row>
    <row r="147" spans="2:7">
      <c r="B147" s="187"/>
      <c r="C147" s="114"/>
      <c r="E147" s="114"/>
      <c r="G147" s="115"/>
    </row>
    <row r="148" spans="2:7">
      <c r="B148" s="187"/>
      <c r="C148" s="114"/>
      <c r="E148" s="114"/>
      <c r="G148" s="115"/>
    </row>
    <row r="149" spans="2:7">
      <c r="B149" s="187"/>
      <c r="C149" s="114"/>
      <c r="E149" s="114"/>
      <c r="G149" s="115"/>
    </row>
    <row r="150" spans="2:7">
      <c r="B150" s="187"/>
      <c r="C150" s="114"/>
      <c r="E150" s="114"/>
      <c r="G150" s="115"/>
    </row>
    <row r="151" spans="2:7">
      <c r="B151" s="187"/>
      <c r="C151" s="114"/>
      <c r="E151" s="114"/>
      <c r="G151" s="115"/>
    </row>
    <row r="152" spans="2:7">
      <c r="B152" s="187"/>
      <c r="C152" s="114"/>
      <c r="E152" s="114"/>
      <c r="G152" s="115"/>
    </row>
    <row r="153" spans="2:7">
      <c r="B153" s="187"/>
      <c r="C153" s="114"/>
      <c r="E153" s="114"/>
      <c r="G153" s="115"/>
    </row>
    <row r="154" spans="2:7">
      <c r="B154" s="187"/>
      <c r="C154" s="114"/>
      <c r="E154" s="114"/>
      <c r="G154" s="115"/>
    </row>
    <row r="155" spans="2:7">
      <c r="B155" s="187"/>
      <c r="C155" s="114"/>
      <c r="E155" s="114"/>
      <c r="G155" s="115"/>
    </row>
    <row r="156" spans="2:7">
      <c r="B156" s="187"/>
      <c r="C156" s="114"/>
      <c r="E156" s="114"/>
      <c r="G156" s="115"/>
    </row>
    <row r="157" spans="2:7">
      <c r="B157" s="187"/>
      <c r="C157" s="114"/>
      <c r="E157" s="114"/>
      <c r="G157" s="115"/>
    </row>
    <row r="158" spans="2:7">
      <c r="B158" s="187"/>
      <c r="C158" s="114"/>
      <c r="E158" s="114"/>
      <c r="G158" s="115"/>
    </row>
    <row r="159" spans="2:7">
      <c r="B159" s="187"/>
      <c r="C159" s="114"/>
      <c r="E159" s="114"/>
      <c r="G159" s="115"/>
    </row>
    <row r="160" spans="2:7">
      <c r="B160" s="187"/>
      <c r="C160" s="114"/>
      <c r="E160" s="114"/>
      <c r="G160" s="115"/>
    </row>
    <row r="161" spans="2:7">
      <c r="B161" s="187"/>
      <c r="C161" s="114"/>
      <c r="E161" s="114"/>
      <c r="G161" s="115"/>
    </row>
    <row r="162" spans="2:7">
      <c r="B162" s="187"/>
      <c r="C162" s="114"/>
      <c r="E162" s="114"/>
      <c r="G162" s="115"/>
    </row>
    <row r="163" spans="2:7">
      <c r="B163" s="187"/>
      <c r="C163" s="114"/>
      <c r="E163" s="114"/>
      <c r="G163" s="115"/>
    </row>
    <row r="164" spans="2:7">
      <c r="B164" s="187"/>
      <c r="C164" s="114"/>
      <c r="E164" s="114"/>
      <c r="G164" s="115"/>
    </row>
    <row r="165" spans="2:7">
      <c r="B165" s="187"/>
      <c r="C165" s="114"/>
      <c r="E165" s="114"/>
      <c r="G165" s="115"/>
    </row>
    <row r="166" spans="2:7">
      <c r="B166" s="187"/>
      <c r="C166" s="114"/>
      <c r="E166" s="114"/>
      <c r="G166" s="115"/>
    </row>
    <row r="167" spans="2:7">
      <c r="B167" s="187"/>
      <c r="C167" s="114"/>
      <c r="E167" s="114"/>
      <c r="G167" s="115"/>
    </row>
    <row r="168" spans="2:7">
      <c r="B168" s="187"/>
      <c r="C168" s="114"/>
      <c r="E168" s="114"/>
      <c r="G168" s="115"/>
    </row>
    <row r="169" spans="2:7">
      <c r="B169" s="187"/>
      <c r="C169" s="114"/>
      <c r="E169" s="114"/>
      <c r="G169" s="115"/>
    </row>
    <row r="170" spans="2:7">
      <c r="B170" s="187"/>
      <c r="C170" s="114"/>
      <c r="E170" s="114"/>
      <c r="G170" s="115"/>
    </row>
    <row r="171" spans="2:7">
      <c r="B171" s="187"/>
      <c r="C171" s="114"/>
      <c r="E171" s="114"/>
      <c r="G171" s="115"/>
    </row>
    <row r="172" spans="2:7">
      <c r="B172" s="187"/>
      <c r="C172" s="114"/>
      <c r="E172" s="114"/>
      <c r="G172" s="115"/>
    </row>
    <row r="173" spans="2:7">
      <c r="B173" s="187"/>
      <c r="C173" s="114"/>
      <c r="E173" s="114"/>
      <c r="G173" s="115"/>
    </row>
    <row r="174" spans="2:7">
      <c r="B174" s="187"/>
      <c r="C174" s="114"/>
      <c r="E174" s="114"/>
      <c r="G174" s="115"/>
    </row>
    <row r="175" spans="2:7">
      <c r="B175" s="187"/>
      <c r="C175" s="114"/>
      <c r="E175" s="114"/>
      <c r="G175" s="115"/>
    </row>
    <row r="176" spans="2:7">
      <c r="B176" s="187"/>
      <c r="C176" s="114"/>
      <c r="E176" s="114"/>
      <c r="G176" s="115"/>
    </row>
    <row r="177" spans="2:7">
      <c r="B177" s="187"/>
      <c r="C177" s="114"/>
      <c r="E177" s="114"/>
      <c r="G177" s="115"/>
    </row>
    <row r="178" spans="2:7">
      <c r="B178" s="187"/>
      <c r="C178" s="114"/>
      <c r="E178" s="114"/>
      <c r="G178" s="115"/>
    </row>
    <row r="179" spans="2:7">
      <c r="B179" s="187"/>
      <c r="C179" s="114"/>
      <c r="E179" s="114"/>
      <c r="G179" s="115"/>
    </row>
    <row r="180" spans="2:7">
      <c r="B180" s="187"/>
      <c r="C180" s="114"/>
      <c r="E180" s="114"/>
      <c r="G180" s="115"/>
    </row>
    <row r="181" spans="2:7">
      <c r="B181" s="187"/>
      <c r="C181" s="114"/>
      <c r="E181" s="114"/>
      <c r="G181" s="115"/>
    </row>
    <row r="182" spans="2:7">
      <c r="B182" s="187"/>
      <c r="C182" s="114"/>
      <c r="E182" s="114"/>
      <c r="G182" s="115"/>
    </row>
    <row r="183" spans="2:7">
      <c r="B183" s="187"/>
      <c r="C183" s="114"/>
      <c r="E183" s="114"/>
      <c r="G183" s="115"/>
    </row>
    <row r="184" spans="2:7">
      <c r="B184" s="187"/>
      <c r="C184" s="114"/>
      <c r="E184" s="114"/>
      <c r="G184" s="115"/>
    </row>
    <row r="185" spans="2:7">
      <c r="B185" s="187"/>
      <c r="C185" s="114"/>
      <c r="E185" s="114"/>
      <c r="G185" s="115"/>
    </row>
    <row r="186" spans="2:7">
      <c r="B186" s="187"/>
      <c r="C186" s="114"/>
      <c r="E186" s="114"/>
      <c r="G186" s="115"/>
    </row>
    <row r="187" spans="2:7">
      <c r="B187" s="187"/>
      <c r="C187" s="114"/>
      <c r="E187" s="114"/>
      <c r="G187" s="115"/>
    </row>
    <row r="188" spans="2:7">
      <c r="B188" s="187"/>
      <c r="C188" s="114"/>
      <c r="E188" s="114"/>
      <c r="G188" s="115"/>
    </row>
    <row r="189" spans="2:7">
      <c r="B189" s="187"/>
      <c r="C189" s="114"/>
      <c r="E189" s="114"/>
      <c r="G189" s="115"/>
    </row>
    <row r="190" spans="2:7">
      <c r="B190" s="187"/>
      <c r="C190" s="114"/>
      <c r="E190" s="114"/>
      <c r="G190" s="115"/>
    </row>
    <row r="191" spans="2:7">
      <c r="B191" s="187"/>
      <c r="C191" s="114"/>
      <c r="E191" s="114"/>
      <c r="G191" s="115"/>
    </row>
    <row r="192" spans="2:7">
      <c r="B192" s="187"/>
      <c r="C192" s="114"/>
      <c r="E192" s="114"/>
      <c r="G192" s="115"/>
    </row>
    <row r="193" spans="2:7">
      <c r="B193" s="187"/>
      <c r="C193" s="114"/>
      <c r="E193" s="114"/>
      <c r="G193" s="115"/>
    </row>
    <row r="194" spans="2:7">
      <c r="B194" s="187"/>
      <c r="C194" s="114"/>
      <c r="E194" s="114"/>
      <c r="G194" s="115"/>
    </row>
    <row r="195" spans="2:7">
      <c r="B195" s="187"/>
      <c r="C195" s="114"/>
      <c r="E195" s="114"/>
      <c r="G195" s="115"/>
    </row>
    <row r="196" spans="2:7">
      <c r="B196" s="187"/>
      <c r="C196" s="114"/>
      <c r="E196" s="114"/>
      <c r="G196" s="115"/>
    </row>
    <row r="197" spans="2:7">
      <c r="B197" s="187"/>
      <c r="C197" s="114"/>
      <c r="E197" s="114"/>
      <c r="G197" s="115"/>
    </row>
    <row r="198" spans="2:7">
      <c r="B198" s="187"/>
      <c r="C198" s="114"/>
      <c r="E198" s="114"/>
      <c r="G198" s="115"/>
    </row>
    <row r="199" spans="2:7">
      <c r="B199" s="187"/>
      <c r="C199" s="114"/>
      <c r="E199" s="114"/>
      <c r="G199" s="115"/>
    </row>
    <row r="200" spans="2:7">
      <c r="B200" s="187"/>
      <c r="C200" s="114"/>
      <c r="E200" s="114"/>
      <c r="G200" s="115"/>
    </row>
    <row r="201" spans="2:7">
      <c r="B201" s="187"/>
      <c r="C201" s="114"/>
      <c r="E201" s="114"/>
      <c r="G201" s="115"/>
    </row>
    <row r="202" spans="2:7">
      <c r="B202" s="187"/>
      <c r="C202" s="114"/>
      <c r="E202" s="114"/>
      <c r="G202" s="115"/>
    </row>
    <row r="203" spans="2:7">
      <c r="B203" s="187"/>
      <c r="C203" s="114"/>
      <c r="E203" s="114"/>
      <c r="G203" s="115"/>
    </row>
    <row r="204" spans="2:7">
      <c r="B204" s="187"/>
      <c r="C204" s="114"/>
      <c r="E204" s="114"/>
      <c r="G204" s="115"/>
    </row>
    <row r="205" spans="2:7">
      <c r="B205" s="187"/>
      <c r="C205" s="114"/>
      <c r="E205" s="114"/>
      <c r="G205" s="115"/>
    </row>
    <row r="206" spans="2:7">
      <c r="B206" s="187"/>
      <c r="C206" s="114"/>
      <c r="E206" s="114"/>
      <c r="G206" s="115"/>
    </row>
    <row r="207" spans="2:7">
      <c r="B207" s="187"/>
      <c r="C207" s="114"/>
      <c r="E207" s="114"/>
      <c r="G207" s="115"/>
    </row>
    <row r="208" spans="2:7">
      <c r="B208" s="187"/>
      <c r="C208" s="114"/>
      <c r="E208" s="114"/>
      <c r="G208" s="115"/>
    </row>
    <row r="209" spans="2:7">
      <c r="B209" s="187"/>
      <c r="C209" s="114"/>
      <c r="E209" s="114"/>
      <c r="G209" s="115"/>
    </row>
    <row r="210" spans="2:7">
      <c r="B210" s="187"/>
      <c r="C210" s="114"/>
      <c r="E210" s="114"/>
      <c r="G210" s="115"/>
    </row>
    <row r="211" spans="2:7">
      <c r="B211" s="187"/>
      <c r="C211" s="114"/>
      <c r="E211" s="114"/>
      <c r="G211" s="115"/>
    </row>
    <row r="212" spans="2:7">
      <c r="B212" s="187"/>
      <c r="C212" s="114"/>
      <c r="E212" s="114"/>
      <c r="G212" s="115"/>
    </row>
    <row r="213" spans="2:7">
      <c r="B213" s="187"/>
      <c r="C213" s="114"/>
      <c r="E213" s="114"/>
      <c r="G213" s="115"/>
    </row>
    <row r="214" spans="2:7">
      <c r="B214" s="187"/>
      <c r="C214" s="114"/>
      <c r="E214" s="114"/>
      <c r="G214" s="115"/>
    </row>
    <row r="215" spans="2:7">
      <c r="B215" s="187"/>
      <c r="C215" s="114"/>
      <c r="E215" s="114"/>
      <c r="G215" s="115"/>
    </row>
    <row r="216" spans="2:7">
      <c r="B216" s="187"/>
      <c r="C216" s="114"/>
      <c r="E216" s="114"/>
      <c r="G216" s="115"/>
    </row>
    <row r="217" spans="2:7">
      <c r="B217" s="187"/>
      <c r="C217" s="114"/>
      <c r="E217" s="114"/>
      <c r="G217" s="115"/>
    </row>
    <row r="218" spans="2:7">
      <c r="B218" s="187"/>
      <c r="C218" s="114"/>
      <c r="E218" s="114"/>
      <c r="G218" s="115"/>
    </row>
    <row r="219" spans="2:7">
      <c r="B219" s="187"/>
      <c r="C219" s="114"/>
      <c r="E219" s="114"/>
      <c r="G219" s="115"/>
    </row>
    <row r="220" spans="2:7">
      <c r="B220" s="187"/>
      <c r="C220" s="114"/>
      <c r="E220" s="114"/>
      <c r="G220" s="115"/>
    </row>
    <row r="221" spans="2:7">
      <c r="B221" s="187"/>
      <c r="C221" s="114"/>
      <c r="E221" s="114"/>
      <c r="G221" s="115"/>
    </row>
    <row r="222" spans="2:7">
      <c r="B222" s="187"/>
      <c r="C222" s="114"/>
      <c r="E222" s="114"/>
      <c r="G222" s="115"/>
    </row>
    <row r="223" spans="2:7">
      <c r="B223" s="187"/>
      <c r="C223" s="114"/>
      <c r="E223" s="114"/>
      <c r="G223" s="115"/>
    </row>
    <row r="224" spans="2:7">
      <c r="B224" s="187"/>
      <c r="C224" s="114"/>
      <c r="E224" s="114"/>
      <c r="G224" s="115"/>
    </row>
    <row r="225" spans="2:7">
      <c r="B225" s="187"/>
      <c r="C225" s="114"/>
      <c r="E225" s="114"/>
      <c r="G225" s="115"/>
    </row>
    <row r="226" spans="2:7">
      <c r="B226" s="187"/>
      <c r="C226" s="114"/>
      <c r="E226" s="114"/>
      <c r="G226" s="115"/>
    </row>
    <row r="227" spans="2:7">
      <c r="B227" s="187"/>
      <c r="C227" s="114"/>
      <c r="E227" s="114"/>
      <c r="G227" s="115"/>
    </row>
    <row r="228" spans="2:7">
      <c r="B228" s="187"/>
      <c r="C228" s="114"/>
      <c r="E228" s="114"/>
      <c r="G228" s="115"/>
    </row>
    <row r="229" spans="2:7">
      <c r="B229" s="187"/>
      <c r="C229" s="114"/>
      <c r="E229" s="114"/>
      <c r="G229" s="115"/>
    </row>
    <row r="230" spans="2:7">
      <c r="B230" s="187"/>
      <c r="C230" s="114"/>
      <c r="E230" s="114"/>
      <c r="G230" s="115"/>
    </row>
    <row r="231" spans="2:7">
      <c r="B231" s="187"/>
      <c r="C231" s="114"/>
      <c r="E231" s="114"/>
      <c r="G231" s="115"/>
    </row>
    <row r="232" spans="2:7">
      <c r="B232" s="187"/>
      <c r="C232" s="114"/>
      <c r="E232" s="114"/>
      <c r="G232" s="115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P64 M65:P1048576 M1:P63" name="Range1"/>
  </protectedRanges>
  <mergeCells count="12">
    <mergeCell ref="E2:H2"/>
    <mergeCell ref="E4:H4"/>
    <mergeCell ref="E5:H5"/>
    <mergeCell ref="E6:H6"/>
    <mergeCell ref="E8:H8"/>
    <mergeCell ref="O10:O11"/>
    <mergeCell ref="B10:B11"/>
    <mergeCell ref="C10:C11"/>
    <mergeCell ref="E10:E11"/>
    <mergeCell ref="G10:G11"/>
    <mergeCell ref="I10:I11"/>
    <mergeCell ref="K10:K11"/>
  </mergeCells>
  <phoneticPr fontId="19" type="noConversion"/>
  <conditionalFormatting sqref="M27:N28 M55:N56 M46:N48 M20:N25 M14:N18 M37:N44 M30:N35 M50:N53 M58:N63">
    <cfRule type="colorScale" priority="2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orientation="portrait" r:id="rId1"/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P196"/>
  <sheetViews>
    <sheetView zoomScale="85" zoomScaleNormal="85" workbookViewId="0">
      <pane ySplit="7" topLeftCell="A8" activePane="bottomLeft" state="frozen"/>
      <selection activeCell="G7" sqref="G7"/>
      <selection pane="bottomLeft" activeCell="V52" sqref="V52"/>
    </sheetView>
  </sheetViews>
  <sheetFormatPr defaultColWidth="8.26953125" defaultRowHeight="14"/>
  <cols>
    <col min="1" max="1" width="1.26953125" style="24" customWidth="1"/>
    <col min="2" max="2" width="8.26953125" style="64"/>
    <col min="3" max="3" width="2.26953125" style="64" customWidth="1"/>
    <col min="4" max="4" width="21.26953125" style="24" customWidth="1"/>
    <col min="5" max="5" width="1.26953125" style="24" customWidth="1"/>
    <col min="6" max="6" width="17.26953125" style="24" bestFit="1" customWidth="1"/>
    <col min="7" max="7" width="1.26953125" style="24" customWidth="1"/>
    <col min="8" max="8" width="18.26953125" style="24" customWidth="1"/>
    <col min="9" max="9" width="1.26953125" style="24" customWidth="1"/>
    <col min="10" max="10" width="18.26953125" style="24" customWidth="1"/>
    <col min="11" max="11" width="3.26953125" style="24" customWidth="1"/>
    <col min="12" max="12" width="23" style="24" customWidth="1"/>
    <col min="13" max="13" width="3.26953125" style="24" customWidth="1"/>
    <col min="14" max="14" width="24.26953125" style="24" bestFit="1" customWidth="1"/>
    <col min="15" max="15" width="2" style="24" customWidth="1"/>
    <col min="16" max="16" width="53.26953125" style="24" customWidth="1"/>
    <col min="17" max="16384" width="8.26953125" style="24"/>
  </cols>
  <sheetData>
    <row r="1" spans="1:16" ht="6.75" customHeight="1">
      <c r="A1" s="269"/>
      <c r="B1" s="270"/>
      <c r="C1" s="270"/>
      <c r="D1" s="269"/>
      <c r="E1" s="269"/>
      <c r="F1" s="269"/>
      <c r="G1" s="269"/>
      <c r="H1" s="269"/>
      <c r="I1" s="269"/>
      <c r="J1" s="269"/>
      <c r="K1" s="269"/>
      <c r="L1" s="269"/>
      <c r="M1" s="269"/>
      <c r="N1" s="269"/>
      <c r="O1" s="114"/>
      <c r="P1" s="114"/>
    </row>
    <row r="2" spans="1:16">
      <c r="A2" s="269"/>
      <c r="B2" s="273" t="s">
        <v>219</v>
      </c>
      <c r="C2" s="273"/>
      <c r="D2" s="273"/>
      <c r="E2" s="273"/>
      <c r="F2" s="273"/>
      <c r="G2" s="273"/>
      <c r="H2" s="273"/>
      <c r="I2" s="273"/>
      <c r="J2" s="273"/>
      <c r="K2" s="273"/>
      <c r="L2" s="273"/>
      <c r="M2" s="273"/>
      <c r="N2" s="273"/>
      <c r="O2" s="116"/>
      <c r="P2" s="116"/>
    </row>
    <row r="3" spans="1:16" ht="6.75" customHeight="1">
      <c r="A3" s="269"/>
      <c r="B3" s="270"/>
      <c r="C3" s="270"/>
      <c r="D3" s="269"/>
      <c r="E3" s="269"/>
      <c r="F3" s="269"/>
      <c r="G3" s="269"/>
      <c r="H3" s="269"/>
      <c r="I3" s="269"/>
      <c r="J3" s="269"/>
      <c r="K3" s="269"/>
      <c r="L3" s="269"/>
      <c r="M3" s="269"/>
      <c r="N3" s="269"/>
      <c r="O3" s="114"/>
      <c r="P3" s="114"/>
    </row>
    <row r="4" spans="1:16" ht="14.5" thickBot="1">
      <c r="A4" s="269"/>
      <c r="B4" s="1049"/>
      <c r="C4" s="1049"/>
      <c r="D4" s="1049"/>
      <c r="E4" s="901"/>
      <c r="F4" s="274" t="s">
        <v>220</v>
      </c>
      <c r="G4" s="269"/>
      <c r="H4" s="274" t="s">
        <v>102</v>
      </c>
      <c r="I4" s="269"/>
      <c r="J4" s="274" t="s">
        <v>103</v>
      </c>
      <c r="K4" s="269"/>
      <c r="L4" s="275" t="s">
        <v>221</v>
      </c>
      <c r="M4" s="269"/>
      <c r="N4" s="275" t="s">
        <v>222</v>
      </c>
      <c r="O4" s="114"/>
      <c r="P4" s="114"/>
    </row>
    <row r="5" spans="1:16" ht="14.5" thickBot="1">
      <c r="A5" s="269"/>
      <c r="B5" s="1050" t="s">
        <v>223</v>
      </c>
      <c r="C5" s="1050"/>
      <c r="D5" s="1050"/>
      <c r="E5" s="901"/>
      <c r="F5" s="276">
        <f>SUM(F9:F23)</f>
        <v>13282857.692898551</v>
      </c>
      <c r="G5" s="271"/>
      <c r="H5" s="276">
        <f>SUM(H9:H23)</f>
        <v>14016971.451720312</v>
      </c>
      <c r="I5" s="271"/>
      <c r="J5" s="276">
        <f>SUM(J9:J23)</f>
        <v>14161975.548000002</v>
      </c>
      <c r="K5" s="269"/>
      <c r="L5" s="277">
        <f>SUM(L9:L23)</f>
        <v>-734113.75882176089</v>
      </c>
      <c r="M5" s="269"/>
      <c r="N5" s="277">
        <f>SUM(N9:N23)</f>
        <v>-145004.09627968739</v>
      </c>
      <c r="O5" s="114"/>
      <c r="P5" s="114"/>
    </row>
    <row r="6" spans="1:16" ht="6.75" customHeight="1" thickBot="1">
      <c r="A6" s="269"/>
      <c r="B6" s="278"/>
      <c r="C6" s="278"/>
      <c r="D6" s="278"/>
      <c r="E6" s="278"/>
      <c r="F6" s="269"/>
      <c r="G6" s="269"/>
      <c r="H6" s="269"/>
      <c r="I6" s="269"/>
      <c r="J6" s="269"/>
      <c r="K6" s="269"/>
      <c r="L6" s="269"/>
      <c r="M6" s="269"/>
      <c r="N6" s="269"/>
      <c r="O6" s="114"/>
      <c r="P6" s="114"/>
    </row>
    <row r="7" spans="1:16" ht="26.5" thickBot="1">
      <c r="A7" s="269"/>
      <c r="B7" s="279" t="s">
        <v>114</v>
      </c>
      <c r="C7" s="280"/>
      <c r="D7" s="279" t="s">
        <v>224</v>
      </c>
      <c r="E7" s="280"/>
      <c r="F7" s="281" t="s">
        <v>225</v>
      </c>
      <c r="G7" s="282"/>
      <c r="H7" s="281" t="s">
        <v>226</v>
      </c>
      <c r="I7" s="282"/>
      <c r="J7" s="281" t="s">
        <v>227</v>
      </c>
      <c r="K7" s="282"/>
      <c r="L7" s="281" t="s">
        <v>228</v>
      </c>
      <c r="M7" s="282"/>
      <c r="N7" s="281" t="s">
        <v>228</v>
      </c>
      <c r="O7" s="192"/>
      <c r="P7" s="117" t="s">
        <v>229</v>
      </c>
    </row>
    <row r="8" spans="1:16" ht="6.75" customHeight="1">
      <c r="A8" s="269"/>
      <c r="B8" s="270"/>
      <c r="C8" s="270"/>
      <c r="D8" s="269"/>
      <c r="E8" s="269"/>
      <c r="F8" s="269"/>
      <c r="G8" s="269"/>
      <c r="H8" s="269"/>
      <c r="I8" s="269"/>
      <c r="J8" s="269"/>
      <c r="K8" s="269"/>
      <c r="L8" s="269"/>
      <c r="M8" s="269"/>
      <c r="N8" s="269"/>
      <c r="O8" s="114"/>
      <c r="P8" s="114"/>
    </row>
    <row r="9" spans="1:16">
      <c r="A9" s="269"/>
      <c r="B9" s="283">
        <f>'Expenditure Breakdown'!B6</f>
        <v>1</v>
      </c>
      <c r="C9" s="272"/>
      <c r="D9" s="284" t="str">
        <f>'Expenditure Breakdown'!C6</f>
        <v>Panels</v>
      </c>
      <c r="E9" s="86"/>
      <c r="F9" s="285">
        <f>'Expenditure Breakdown'!J6</f>
        <v>1502096.4000000001</v>
      </c>
      <c r="G9" s="86"/>
      <c r="H9" s="285">
        <v>1188829.0237203124</v>
      </c>
      <c r="I9" s="86"/>
      <c r="J9" s="285">
        <f>'Expenditure Breakdown'!X6</f>
        <v>1165914.24</v>
      </c>
      <c r="K9" s="89"/>
      <c r="L9" s="286">
        <f>F9-H9</f>
        <v>313267.37627968774</v>
      </c>
      <c r="M9" s="89"/>
      <c r="N9" s="286">
        <f>H9-J9</f>
        <v>22914.783720312407</v>
      </c>
      <c r="O9" s="193"/>
      <c r="P9" s="310"/>
    </row>
    <row r="10" spans="1:16">
      <c r="A10" s="269"/>
      <c r="B10" s="283">
        <f>'Expenditure Breakdown'!B13</f>
        <v>2</v>
      </c>
      <c r="C10" s="272"/>
      <c r="D10" s="284" t="str">
        <f>'Expenditure Breakdown'!C13</f>
        <v>Inverters</v>
      </c>
      <c r="E10" s="86"/>
      <c r="F10" s="285">
        <f>+'Expenditure Breakdown'!J13</f>
        <v>216000</v>
      </c>
      <c r="G10" s="86"/>
      <c r="H10" s="285">
        <v>253411.45499999999</v>
      </c>
      <c r="I10" s="86"/>
      <c r="J10" s="285">
        <f>+'Expenditure Breakdown'!X13</f>
        <v>243184.47</v>
      </c>
      <c r="K10" s="89"/>
      <c r="L10" s="286">
        <f t="shared" ref="L10:L23" si="0">F10-H10</f>
        <v>-37411.454999999987</v>
      </c>
      <c r="M10" s="89"/>
      <c r="N10" s="286">
        <f t="shared" ref="N10:N23" si="1">H10-J10</f>
        <v>10226.984999999986</v>
      </c>
      <c r="O10" s="193"/>
      <c r="P10" s="310"/>
    </row>
    <row r="11" spans="1:16">
      <c r="A11" s="269"/>
      <c r="B11" s="283">
        <f>'Expenditure Breakdown'!B18</f>
        <v>3</v>
      </c>
      <c r="C11" s="272"/>
      <c r="D11" s="284" t="str">
        <f>'Expenditure Breakdown'!C18</f>
        <v>Mounting Structures</v>
      </c>
      <c r="E11" s="287"/>
      <c r="F11" s="285">
        <f>+'Expenditure Breakdown'!J18</f>
        <v>132867</v>
      </c>
      <c r="G11" s="86"/>
      <c r="H11" s="285">
        <v>71033.820000000007</v>
      </c>
      <c r="I11" s="86"/>
      <c r="J11" s="285">
        <f>+'Expenditure Breakdown'!X18</f>
        <v>78280</v>
      </c>
      <c r="K11" s="89"/>
      <c r="L11" s="286">
        <f t="shared" si="0"/>
        <v>61833.179999999993</v>
      </c>
      <c r="M11" s="89"/>
      <c r="N11" s="286">
        <f t="shared" si="1"/>
        <v>-7246.179999999993</v>
      </c>
      <c r="O11" s="193"/>
      <c r="P11" s="310"/>
    </row>
    <row r="12" spans="1:16">
      <c r="A12" s="269"/>
      <c r="B12" s="283">
        <f>'Expenditure Breakdown'!B25</f>
        <v>4</v>
      </c>
      <c r="C12" s="272"/>
      <c r="D12" s="284" t="str">
        <f>'Expenditure Breakdown'!C25</f>
        <v>DC Equipment</v>
      </c>
      <c r="E12" s="287"/>
      <c r="F12" s="285">
        <f>+'Expenditure Breakdown'!J25</f>
        <v>350217.5</v>
      </c>
      <c r="G12" s="86"/>
      <c r="H12" s="285">
        <v>440470.35000000003</v>
      </c>
      <c r="I12" s="86"/>
      <c r="J12" s="285">
        <f>+'Expenditure Breakdown'!X25</f>
        <v>478379.14499999996</v>
      </c>
      <c r="K12" s="89"/>
      <c r="L12" s="286">
        <f t="shared" si="0"/>
        <v>-90252.850000000035</v>
      </c>
      <c r="M12" s="89"/>
      <c r="N12" s="286">
        <f t="shared" si="1"/>
        <v>-37908.794999999925</v>
      </c>
      <c r="O12" s="193"/>
      <c r="P12" s="310" t="s">
        <v>230</v>
      </c>
    </row>
    <row r="13" spans="1:16">
      <c r="A13" s="269"/>
      <c r="B13" s="283">
        <f>'Expenditure Breakdown'!B34</f>
        <v>5</v>
      </c>
      <c r="C13" s="272"/>
      <c r="D13" s="284" t="str">
        <f>'Expenditure Breakdown'!C34</f>
        <v>Monitoring</v>
      </c>
      <c r="E13" s="287"/>
      <c r="F13" s="285">
        <f>+'Expenditure Breakdown'!J34</f>
        <v>49000</v>
      </c>
      <c r="G13" s="86"/>
      <c r="H13" s="285">
        <v>419120.31</v>
      </c>
      <c r="I13" s="86"/>
      <c r="J13" s="285">
        <f>+'Expenditure Breakdown'!X34</f>
        <v>438053.50999999995</v>
      </c>
      <c r="K13" s="89"/>
      <c r="L13" s="286">
        <f t="shared" si="0"/>
        <v>-370120.31</v>
      </c>
      <c r="M13" s="89"/>
      <c r="N13" s="286">
        <f t="shared" si="1"/>
        <v>-18933.199999999953</v>
      </c>
      <c r="O13" s="193"/>
      <c r="P13" s="310" t="s">
        <v>231</v>
      </c>
    </row>
    <row r="14" spans="1:16">
      <c r="A14" s="269"/>
      <c r="B14" s="283">
        <f>'Expenditure Breakdown'!B48</f>
        <v>6</v>
      </c>
      <c r="C14" s="272"/>
      <c r="D14" s="284" t="str">
        <f>'Expenditure Breakdown'!C48</f>
        <v>AC Equipment</v>
      </c>
      <c r="E14" s="287"/>
      <c r="F14" s="285">
        <f>+'Expenditure Breakdown'!J48</f>
        <v>250335.41739130433</v>
      </c>
      <c r="G14" s="86"/>
      <c r="H14" s="285">
        <v>1308958.73</v>
      </c>
      <c r="I14" s="86"/>
      <c r="J14" s="285">
        <f>+'Expenditure Breakdown'!X48</f>
        <v>1186079.8499999999</v>
      </c>
      <c r="K14" s="89"/>
      <c r="L14" s="286">
        <f t="shared" si="0"/>
        <v>-1058623.3126086956</v>
      </c>
      <c r="M14" s="89"/>
      <c r="N14" s="286">
        <f t="shared" si="1"/>
        <v>122878.88000000012</v>
      </c>
      <c r="O14" s="193"/>
      <c r="P14" s="310" t="s">
        <v>232</v>
      </c>
    </row>
    <row r="15" spans="1:16">
      <c r="A15" s="269"/>
      <c r="B15" s="283">
        <f>'Expenditure Breakdown'!B55</f>
        <v>7</v>
      </c>
      <c r="C15" s="272"/>
      <c r="D15" s="284" t="str">
        <f>'Expenditure Breakdown'!C55</f>
        <v>Battery Systems</v>
      </c>
      <c r="E15" s="287"/>
      <c r="F15" s="285">
        <f>+'Expenditure Breakdown'!J55</f>
        <v>10380642.333333334</v>
      </c>
      <c r="G15" s="86"/>
      <c r="H15" s="285">
        <v>9658092</v>
      </c>
      <c r="I15" s="86"/>
      <c r="J15" s="285">
        <f>'Expenditure Breakdown'!X55</f>
        <v>9684222</v>
      </c>
      <c r="K15" s="89"/>
      <c r="L15" s="286">
        <f t="shared" si="0"/>
        <v>722550.33333333395</v>
      </c>
      <c r="M15" s="89"/>
      <c r="N15" s="286">
        <f t="shared" si="1"/>
        <v>-26130</v>
      </c>
      <c r="O15" s="193"/>
      <c r="P15" s="310"/>
    </row>
    <row r="16" spans="1:16">
      <c r="A16" s="269"/>
      <c r="B16" s="283">
        <f>'Expenditure Breakdown'!B76</f>
        <v>8</v>
      </c>
      <c r="C16" s="272"/>
      <c r="D16" s="284" t="str">
        <f>'Expenditure Breakdown'!C76</f>
        <v xml:space="preserve">Product Add On </v>
      </c>
      <c r="E16" s="287"/>
      <c r="F16" s="285">
        <f>'Expenditure Breakdown'!J76</f>
        <v>0</v>
      </c>
      <c r="G16" s="86"/>
      <c r="H16" s="285">
        <v>34671.599999999999</v>
      </c>
      <c r="I16" s="86"/>
      <c r="J16" s="285">
        <f>'Expenditure Breakdown'!X76</f>
        <v>291094.63</v>
      </c>
      <c r="K16" s="89"/>
      <c r="L16" s="286">
        <f t="shared" si="0"/>
        <v>-34671.599999999999</v>
      </c>
      <c r="M16" s="89"/>
      <c r="N16" s="286">
        <f t="shared" si="1"/>
        <v>-256423.03</v>
      </c>
      <c r="O16" s="193"/>
      <c r="P16" s="310" t="s">
        <v>233</v>
      </c>
    </row>
    <row r="17" spans="1:16">
      <c r="A17" s="269"/>
      <c r="B17" s="283">
        <f>'Expenditure Breakdown'!B86</f>
        <v>9</v>
      </c>
      <c r="C17" s="272"/>
      <c r="D17" s="284" t="str">
        <f>'Expenditure Breakdown'!C86</f>
        <v>AC &amp; DC installation</v>
      </c>
      <c r="E17" s="287"/>
      <c r="F17" s="285">
        <f>+'Expenditure Breakdown'!J86</f>
        <v>209475</v>
      </c>
      <c r="G17" s="86"/>
      <c r="H17" s="285">
        <v>284553.2</v>
      </c>
      <c r="I17" s="86"/>
      <c r="J17" s="285">
        <f>+'Expenditure Breakdown'!X86</f>
        <v>254553.2</v>
      </c>
      <c r="K17" s="89"/>
      <c r="L17" s="286">
        <f t="shared" si="0"/>
        <v>-75078.200000000012</v>
      </c>
      <c r="M17" s="89"/>
      <c r="N17" s="286">
        <f t="shared" si="1"/>
        <v>30000</v>
      </c>
      <c r="O17" s="193"/>
      <c r="P17" s="310"/>
    </row>
    <row r="18" spans="1:16">
      <c r="A18" s="269"/>
      <c r="B18" s="283">
        <f>'Expenditure Breakdown'!B95</f>
        <v>10</v>
      </c>
      <c r="C18" s="272"/>
      <c r="D18" s="284" t="str">
        <f>'Expenditure Breakdown'!C95</f>
        <v>Site Logistics</v>
      </c>
      <c r="E18" s="86"/>
      <c r="F18" s="285">
        <f>+'Expenditure Breakdown'!J95</f>
        <v>60622.9</v>
      </c>
      <c r="G18" s="86"/>
      <c r="H18" s="285">
        <v>143314.22</v>
      </c>
      <c r="I18" s="86"/>
      <c r="J18" s="285">
        <f>+'Expenditure Breakdown'!X95</f>
        <v>143314.22</v>
      </c>
      <c r="K18" s="89"/>
      <c r="L18" s="286">
        <f t="shared" si="0"/>
        <v>-82691.320000000007</v>
      </c>
      <c r="M18" s="89"/>
      <c r="N18" s="286">
        <f t="shared" si="1"/>
        <v>0</v>
      </c>
      <c r="O18" s="193"/>
      <c r="P18" s="310"/>
    </row>
    <row r="19" spans="1:16">
      <c r="A19" s="269"/>
      <c r="B19" s="283">
        <f>'Expenditure Breakdown'!B104</f>
        <v>11</v>
      </c>
      <c r="C19" s="272"/>
      <c r="D19" s="284" t="str">
        <f>'Expenditure Breakdown'!C104</f>
        <v>Due Dilligence</v>
      </c>
      <c r="E19" s="86"/>
      <c r="F19" s="285">
        <f>'Expenditure Breakdown'!J104</f>
        <v>19000</v>
      </c>
      <c r="G19" s="86"/>
      <c r="H19" s="285">
        <v>16500</v>
      </c>
      <c r="I19" s="86"/>
      <c r="J19" s="285">
        <f>'Expenditure Breakdown'!X104</f>
        <v>11683.16</v>
      </c>
      <c r="K19" s="89"/>
      <c r="L19" s="286">
        <f t="shared" si="0"/>
        <v>2500</v>
      </c>
      <c r="M19" s="89"/>
      <c r="N19" s="286">
        <f t="shared" si="1"/>
        <v>4816.84</v>
      </c>
      <c r="O19" s="193"/>
      <c r="P19" s="310"/>
    </row>
    <row r="20" spans="1:16">
      <c r="A20" s="269"/>
      <c r="B20" s="283">
        <f>'Expenditure Breakdown'!B110</f>
        <v>12</v>
      </c>
      <c r="C20" s="272"/>
      <c r="D20" s="284" t="str">
        <f>'Expenditure Breakdown'!C110</f>
        <v>BDP Commission</v>
      </c>
      <c r="E20" s="86"/>
      <c r="F20" s="285">
        <f>+'Expenditure Breakdown'!J110</f>
        <v>0</v>
      </c>
      <c r="G20" s="86"/>
      <c r="H20" s="285">
        <v>0</v>
      </c>
      <c r="I20" s="86"/>
      <c r="J20" s="285">
        <f>+'Expenditure Breakdown'!X110</f>
        <v>0</v>
      </c>
      <c r="K20" s="89"/>
      <c r="L20" s="286">
        <f t="shared" si="0"/>
        <v>0</v>
      </c>
      <c r="M20" s="89"/>
      <c r="N20" s="286">
        <f t="shared" si="1"/>
        <v>0</v>
      </c>
      <c r="O20" s="193"/>
      <c r="P20" s="310"/>
    </row>
    <row r="21" spans="1:16">
      <c r="A21" s="269"/>
      <c r="B21" s="283">
        <f>'Expenditure Breakdown'!B112</f>
        <v>13</v>
      </c>
      <c r="C21" s="272"/>
      <c r="D21" s="284" t="str">
        <f>'Expenditure Breakdown'!C112</f>
        <v>Engineering</v>
      </c>
      <c r="E21" s="86"/>
      <c r="F21" s="285">
        <f>+'Expenditure Breakdown'!J112</f>
        <v>109626.14217391305</v>
      </c>
      <c r="G21" s="86"/>
      <c r="H21" s="285">
        <v>194292.17299999998</v>
      </c>
      <c r="I21" s="86"/>
      <c r="J21" s="285">
        <f>+'Expenditure Breakdown'!X112</f>
        <v>154048.413</v>
      </c>
      <c r="K21" s="89"/>
      <c r="L21" s="286">
        <f t="shared" si="0"/>
        <v>-84666.030826086935</v>
      </c>
      <c r="M21" s="89"/>
      <c r="N21" s="286">
        <f t="shared" si="1"/>
        <v>40243.75999999998</v>
      </c>
      <c r="O21" s="193"/>
      <c r="P21" s="310" t="s">
        <v>234</v>
      </c>
    </row>
    <row r="22" spans="1:16">
      <c r="A22" s="269"/>
      <c r="B22" s="283">
        <f>'Expenditure Breakdown'!B121</f>
        <v>14</v>
      </c>
      <c r="C22" s="272"/>
      <c r="D22" s="284" t="str">
        <f>'Expenditure Breakdown'!C121</f>
        <v>General Expenses</v>
      </c>
      <c r="E22" s="86"/>
      <c r="F22" s="285">
        <f>+'Expenditure Breakdown'!J121</f>
        <v>2975</v>
      </c>
      <c r="G22" s="86"/>
      <c r="H22" s="285">
        <v>3724.57</v>
      </c>
      <c r="I22" s="86"/>
      <c r="J22" s="285">
        <f>+'Expenditure Breakdown'!X121</f>
        <v>33168.710000000021</v>
      </c>
      <c r="K22" s="89"/>
      <c r="L22" s="286">
        <f t="shared" si="0"/>
        <v>-749.57000000000016</v>
      </c>
      <c r="M22" s="89"/>
      <c r="N22" s="286">
        <f t="shared" si="1"/>
        <v>-29444.140000000021</v>
      </c>
      <c r="O22" s="193"/>
      <c r="P22" s="310"/>
    </row>
    <row r="23" spans="1:16">
      <c r="A23" s="269"/>
      <c r="B23" s="283">
        <f>'Expenditure Breakdown'!B135</f>
        <v>15</v>
      </c>
      <c r="C23" s="272"/>
      <c r="D23" s="284" t="str">
        <f>'Expenditure Breakdown'!C135</f>
        <v>Service Add On</v>
      </c>
      <c r="E23" s="86"/>
      <c r="F23" s="285">
        <f>+'Expenditure Breakdown'!J135</f>
        <v>0</v>
      </c>
      <c r="G23" s="86"/>
      <c r="H23" s="285">
        <v>0</v>
      </c>
      <c r="I23" s="86"/>
      <c r="J23" s="285">
        <f>+'Expenditure Breakdown'!X135</f>
        <v>0</v>
      </c>
      <c r="K23" s="89"/>
      <c r="L23" s="286">
        <f t="shared" si="0"/>
        <v>0</v>
      </c>
      <c r="M23" s="89"/>
      <c r="N23" s="286">
        <f t="shared" si="1"/>
        <v>0</v>
      </c>
      <c r="O23" s="193"/>
      <c r="P23" s="310"/>
    </row>
    <row r="24" spans="1:16" ht="6.75" customHeight="1">
      <c r="A24" s="269"/>
      <c r="B24" s="87"/>
      <c r="C24" s="87"/>
      <c r="D24" s="86"/>
      <c r="E24" s="86"/>
      <c r="F24" s="86"/>
      <c r="G24" s="86"/>
      <c r="H24" s="89"/>
      <c r="I24" s="86"/>
      <c r="J24" s="89"/>
      <c r="K24" s="89"/>
      <c r="L24" s="89"/>
      <c r="M24" s="89"/>
      <c r="N24" s="89"/>
      <c r="O24" s="193"/>
      <c r="P24" s="114"/>
    </row>
    <row r="25" spans="1:16" ht="15" customHeight="1">
      <c r="A25" s="269"/>
      <c r="B25" s="87"/>
      <c r="C25" s="87"/>
      <c r="D25" s="288" t="s">
        <v>235</v>
      </c>
      <c r="E25" s="86"/>
      <c r="F25" s="289">
        <f>'Expenditure Breakdown'!J2-'Expenditure Tracking'!F5</f>
        <v>0</v>
      </c>
      <c r="G25" s="289" t="e">
        <f>'Expenditure Breakdown'!#REF!-G5</f>
        <v>#REF!</v>
      </c>
      <c r="H25" s="289">
        <f>'Expenditure Breakdown'!X2-J5</f>
        <v>0</v>
      </c>
      <c r="I25" s="289" t="e">
        <f>'Expenditure Breakdown'!#REF!-I5</f>
        <v>#REF!</v>
      </c>
      <c r="J25" s="289">
        <f>'Expenditure Breakdown'!X2-J5</f>
        <v>0</v>
      </c>
      <c r="K25" s="89"/>
      <c r="L25" s="290"/>
      <c r="M25" s="89"/>
      <c r="N25" s="290"/>
      <c r="O25" s="193"/>
      <c r="P25" s="114"/>
    </row>
    <row r="26" spans="1:16" s="3" customFormat="1">
      <c r="B26" s="109"/>
      <c r="C26" s="109"/>
    </row>
    <row r="27" spans="1:16">
      <c r="A27" s="807" t="s">
        <v>236</v>
      </c>
      <c r="B27" s="808"/>
      <c r="C27" s="808"/>
      <c r="D27" s="178"/>
      <c r="E27" s="178"/>
      <c r="F27" s="178"/>
      <c r="G27" s="178"/>
      <c r="H27" s="178"/>
      <c r="I27" s="114"/>
      <c r="J27" s="114"/>
      <c r="K27" s="114"/>
      <c r="L27" s="114"/>
      <c r="M27" s="114"/>
      <c r="N27" s="114"/>
      <c r="O27" s="114"/>
      <c r="P27" s="114"/>
    </row>
    <row r="28" spans="1:16">
      <c r="A28" s="114"/>
      <c r="B28" s="115"/>
      <c r="C28" s="115"/>
      <c r="D28" s="114"/>
      <c r="E28" s="114"/>
      <c r="F28" s="114"/>
      <c r="G28" s="114"/>
      <c r="H28" s="114"/>
      <c r="I28" s="114"/>
      <c r="J28" s="114"/>
      <c r="K28" s="114"/>
      <c r="L28" s="114"/>
      <c r="M28" s="114"/>
      <c r="N28" s="114"/>
      <c r="O28" s="114"/>
      <c r="P28" s="114"/>
    </row>
    <row r="29" spans="1:16">
      <c r="A29" s="114"/>
      <c r="B29" s="115"/>
      <c r="C29" s="115"/>
      <c r="E29" s="114"/>
      <c r="F29" s="114"/>
      <c r="G29" s="114"/>
      <c r="H29" s="114"/>
      <c r="I29" s="114"/>
      <c r="J29" s="114"/>
      <c r="K29" s="114"/>
      <c r="L29" s="114"/>
      <c r="M29" s="114"/>
      <c r="N29" s="114"/>
      <c r="O29" s="114"/>
      <c r="P29" s="114"/>
    </row>
    <row r="30" spans="1:16">
      <c r="A30" s="114"/>
      <c r="B30" s="115"/>
      <c r="C30" s="115"/>
      <c r="D30" s="114"/>
      <c r="E30" s="114"/>
      <c r="F30" s="114"/>
      <c r="G30" s="114"/>
      <c r="H30" s="114"/>
      <c r="I30" s="114"/>
      <c r="J30" s="114"/>
      <c r="K30" s="114"/>
      <c r="L30" s="114"/>
      <c r="M30" s="114"/>
      <c r="N30" s="114"/>
      <c r="O30" s="114"/>
      <c r="P30" s="114"/>
    </row>
    <row r="31" spans="1:16">
      <c r="A31" s="114"/>
      <c r="B31" s="115"/>
      <c r="C31" s="115"/>
      <c r="D31" s="114"/>
      <c r="E31" s="114"/>
      <c r="F31" s="114"/>
      <c r="G31" s="114"/>
      <c r="H31" s="114"/>
      <c r="I31" s="114"/>
      <c r="J31" s="114"/>
      <c r="K31" s="114"/>
      <c r="L31" s="114"/>
      <c r="M31" s="114"/>
      <c r="N31" s="114"/>
      <c r="O31" s="114"/>
      <c r="P31" s="114"/>
    </row>
    <row r="32" spans="1:16">
      <c r="A32" s="114"/>
      <c r="B32" s="115"/>
      <c r="C32" s="115"/>
      <c r="D32" s="114"/>
      <c r="E32" s="114"/>
      <c r="F32" s="114"/>
      <c r="G32" s="114"/>
      <c r="H32" s="114"/>
      <c r="I32" s="114"/>
      <c r="J32" s="114"/>
      <c r="K32" s="114"/>
      <c r="L32" s="114"/>
      <c r="M32" s="114"/>
      <c r="N32" s="114"/>
      <c r="O32" s="114"/>
      <c r="P32" s="114"/>
    </row>
    <row r="33" spans="1:16">
      <c r="A33" s="114"/>
      <c r="B33" s="115"/>
      <c r="C33" s="115"/>
      <c r="D33" s="114"/>
      <c r="E33" s="114"/>
      <c r="F33" s="114"/>
      <c r="G33" s="114"/>
      <c r="H33" s="114"/>
      <c r="I33" s="114"/>
      <c r="J33" s="114"/>
      <c r="K33" s="114"/>
      <c r="L33" s="114"/>
      <c r="M33" s="114"/>
      <c r="N33" s="114"/>
      <c r="O33" s="114"/>
      <c r="P33" s="114"/>
    </row>
    <row r="34" spans="1:16">
      <c r="A34" s="114"/>
      <c r="B34" s="115"/>
      <c r="C34" s="115"/>
      <c r="D34" s="114"/>
      <c r="E34" s="114"/>
      <c r="F34" s="114"/>
      <c r="G34" s="114"/>
      <c r="H34" s="114"/>
      <c r="I34" s="114"/>
      <c r="J34" s="114"/>
      <c r="K34" s="114"/>
      <c r="L34" s="114"/>
      <c r="M34" s="114"/>
      <c r="N34" s="114"/>
      <c r="O34" s="114"/>
      <c r="P34" s="114"/>
    </row>
    <row r="35" spans="1:16">
      <c r="A35" s="114"/>
      <c r="B35" s="115"/>
      <c r="C35" s="115"/>
      <c r="D35" s="114"/>
      <c r="E35" s="114"/>
      <c r="F35" s="114"/>
      <c r="G35" s="114"/>
      <c r="H35" s="114"/>
      <c r="I35" s="114"/>
      <c r="J35" s="114"/>
      <c r="K35" s="114"/>
      <c r="L35" s="114"/>
      <c r="M35" s="114"/>
      <c r="N35" s="114"/>
      <c r="O35" s="114"/>
      <c r="P35" s="114"/>
    </row>
    <row r="36" spans="1:16">
      <c r="A36" s="114"/>
      <c r="B36" s="115"/>
      <c r="C36" s="115"/>
      <c r="D36" s="114"/>
      <c r="E36" s="114"/>
      <c r="F36" s="114"/>
      <c r="G36" s="114"/>
      <c r="H36" s="114"/>
      <c r="I36" s="114"/>
      <c r="J36" s="114"/>
      <c r="K36" s="114"/>
      <c r="L36" s="114"/>
      <c r="M36" s="114"/>
      <c r="N36" s="114"/>
      <c r="O36" s="114"/>
      <c r="P36" s="114"/>
    </row>
    <row r="37" spans="1:16">
      <c r="A37" s="114"/>
      <c r="B37" s="115"/>
      <c r="C37" s="115"/>
      <c r="D37" s="114"/>
      <c r="E37" s="114"/>
      <c r="F37" s="114"/>
      <c r="G37" s="114"/>
      <c r="H37" s="114"/>
      <c r="I37" s="114"/>
      <c r="J37" s="114"/>
      <c r="K37" s="114"/>
      <c r="L37" s="114"/>
      <c r="M37" s="114"/>
      <c r="N37" s="114"/>
      <c r="O37" s="114"/>
      <c r="P37" s="114"/>
    </row>
    <row r="38" spans="1:16">
      <c r="A38" s="114"/>
      <c r="B38" s="115"/>
      <c r="C38" s="115"/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  <c r="O38" s="114"/>
      <c r="P38" s="114"/>
    </row>
    <row r="39" spans="1:16" s="114" customFormat="1">
      <c r="B39" s="115"/>
      <c r="C39" s="115"/>
    </row>
    <row r="40" spans="1:16" s="114" customFormat="1">
      <c r="B40" s="115"/>
      <c r="C40" s="115"/>
    </row>
    <row r="41" spans="1:16" s="114" customFormat="1">
      <c r="B41" s="115"/>
      <c r="C41" s="115"/>
    </row>
    <row r="42" spans="1:16" s="114" customFormat="1">
      <c r="B42" s="115"/>
      <c r="C42" s="115"/>
    </row>
    <row r="43" spans="1:16" s="114" customFormat="1">
      <c r="B43" s="115"/>
      <c r="C43" s="115"/>
    </row>
    <row r="44" spans="1:16" s="114" customFormat="1">
      <c r="B44" s="115"/>
      <c r="C44" s="115"/>
    </row>
    <row r="45" spans="1:16" s="114" customFormat="1">
      <c r="B45" s="115"/>
      <c r="C45" s="115"/>
    </row>
    <row r="46" spans="1:16" s="114" customFormat="1">
      <c r="B46" s="115"/>
      <c r="C46" s="115"/>
    </row>
    <row r="47" spans="1:16" s="114" customFormat="1">
      <c r="B47" s="115"/>
      <c r="C47" s="115"/>
    </row>
    <row r="48" spans="1:16" s="114" customFormat="1">
      <c r="B48" s="115"/>
      <c r="C48" s="115"/>
    </row>
    <row r="49" spans="2:3" s="114" customFormat="1">
      <c r="B49" s="115"/>
      <c r="C49" s="115"/>
    </row>
    <row r="50" spans="2:3" s="114" customFormat="1">
      <c r="B50" s="115"/>
      <c r="C50" s="115"/>
    </row>
    <row r="51" spans="2:3" s="114" customFormat="1">
      <c r="B51" s="115"/>
      <c r="C51" s="115"/>
    </row>
    <row r="52" spans="2:3" s="114" customFormat="1">
      <c r="B52" s="115"/>
      <c r="C52" s="115"/>
    </row>
    <row r="53" spans="2:3" s="114" customFormat="1">
      <c r="B53" s="115"/>
      <c r="C53" s="115"/>
    </row>
    <row r="54" spans="2:3" s="114" customFormat="1">
      <c r="B54" s="115"/>
      <c r="C54" s="115"/>
    </row>
    <row r="55" spans="2:3" s="114" customFormat="1">
      <c r="B55" s="115"/>
      <c r="C55" s="115"/>
    </row>
    <row r="56" spans="2:3" s="114" customFormat="1">
      <c r="B56" s="115"/>
      <c r="C56" s="115"/>
    </row>
    <row r="57" spans="2:3" s="114" customFormat="1">
      <c r="B57" s="115"/>
      <c r="C57" s="115"/>
    </row>
    <row r="58" spans="2:3" s="114" customFormat="1">
      <c r="B58" s="115"/>
      <c r="C58" s="115"/>
    </row>
    <row r="59" spans="2:3" s="114" customFormat="1">
      <c r="B59" s="115"/>
      <c r="C59" s="115"/>
    </row>
    <row r="60" spans="2:3" s="114" customFormat="1">
      <c r="B60" s="115"/>
      <c r="C60" s="115"/>
    </row>
    <row r="61" spans="2:3" s="114" customFormat="1">
      <c r="B61" s="115"/>
      <c r="C61" s="115"/>
    </row>
    <row r="62" spans="2:3" s="114" customFormat="1">
      <c r="B62" s="115"/>
      <c r="C62" s="115"/>
    </row>
    <row r="63" spans="2:3" s="114" customFormat="1">
      <c r="B63" s="115"/>
      <c r="C63" s="115"/>
    </row>
    <row r="64" spans="2:3" s="114" customFormat="1">
      <c r="B64" s="115"/>
      <c r="C64" s="115"/>
    </row>
    <row r="65" spans="2:3" s="114" customFormat="1">
      <c r="B65" s="115"/>
      <c r="C65" s="115"/>
    </row>
    <row r="66" spans="2:3" s="114" customFormat="1">
      <c r="B66" s="115"/>
      <c r="C66" s="115"/>
    </row>
    <row r="67" spans="2:3" s="114" customFormat="1">
      <c r="B67" s="115"/>
      <c r="C67" s="115"/>
    </row>
    <row r="68" spans="2:3" s="114" customFormat="1">
      <c r="B68" s="115"/>
      <c r="C68" s="115"/>
    </row>
    <row r="69" spans="2:3" s="114" customFormat="1">
      <c r="B69" s="115"/>
      <c r="C69" s="115"/>
    </row>
    <row r="70" spans="2:3" s="114" customFormat="1">
      <c r="B70" s="115"/>
      <c r="C70" s="115"/>
    </row>
    <row r="71" spans="2:3" s="114" customFormat="1">
      <c r="B71" s="115"/>
      <c r="C71" s="115"/>
    </row>
    <row r="72" spans="2:3" s="114" customFormat="1">
      <c r="B72" s="115"/>
      <c r="C72" s="115"/>
    </row>
    <row r="73" spans="2:3" s="114" customFormat="1">
      <c r="B73" s="115"/>
      <c r="C73" s="115"/>
    </row>
    <row r="74" spans="2:3" s="114" customFormat="1">
      <c r="B74" s="115"/>
      <c r="C74" s="115"/>
    </row>
    <row r="75" spans="2:3" s="114" customFormat="1">
      <c r="B75" s="115"/>
      <c r="C75" s="115"/>
    </row>
    <row r="76" spans="2:3" s="114" customFormat="1">
      <c r="B76" s="115"/>
      <c r="C76" s="115"/>
    </row>
    <row r="77" spans="2:3" s="114" customFormat="1">
      <c r="B77" s="115"/>
      <c r="C77" s="115"/>
    </row>
    <row r="78" spans="2:3" s="114" customFormat="1">
      <c r="B78" s="115"/>
      <c r="C78" s="115"/>
    </row>
    <row r="79" spans="2:3" s="114" customFormat="1">
      <c r="B79" s="115"/>
      <c r="C79" s="115"/>
    </row>
    <row r="80" spans="2:3" s="114" customFormat="1">
      <c r="B80" s="115"/>
      <c r="C80" s="115"/>
    </row>
    <row r="81" spans="2:3" s="114" customFormat="1">
      <c r="B81" s="115"/>
      <c r="C81" s="115"/>
    </row>
    <row r="82" spans="2:3" s="114" customFormat="1">
      <c r="B82" s="115"/>
      <c r="C82" s="115"/>
    </row>
    <row r="83" spans="2:3" s="114" customFormat="1">
      <c r="B83" s="115"/>
      <c r="C83" s="115"/>
    </row>
    <row r="84" spans="2:3" s="114" customFormat="1">
      <c r="B84" s="115"/>
      <c r="C84" s="115"/>
    </row>
    <row r="85" spans="2:3" s="114" customFormat="1">
      <c r="B85" s="115"/>
      <c r="C85" s="115"/>
    </row>
    <row r="86" spans="2:3" s="114" customFormat="1">
      <c r="B86" s="115"/>
      <c r="C86" s="115"/>
    </row>
    <row r="87" spans="2:3" s="114" customFormat="1">
      <c r="B87" s="115"/>
      <c r="C87" s="115"/>
    </row>
    <row r="88" spans="2:3" s="114" customFormat="1">
      <c r="B88" s="115"/>
      <c r="C88" s="115"/>
    </row>
    <row r="89" spans="2:3" s="114" customFormat="1">
      <c r="B89" s="115"/>
      <c r="C89" s="115"/>
    </row>
    <row r="90" spans="2:3" s="114" customFormat="1">
      <c r="B90" s="115"/>
      <c r="C90" s="115"/>
    </row>
    <row r="91" spans="2:3" s="114" customFormat="1">
      <c r="B91" s="115"/>
      <c r="C91" s="115"/>
    </row>
    <row r="92" spans="2:3" s="114" customFormat="1">
      <c r="B92" s="115"/>
      <c r="C92" s="115"/>
    </row>
    <row r="93" spans="2:3" s="114" customFormat="1">
      <c r="B93" s="115"/>
      <c r="C93" s="115"/>
    </row>
    <row r="94" spans="2:3" s="114" customFormat="1">
      <c r="B94" s="115"/>
      <c r="C94" s="115"/>
    </row>
    <row r="95" spans="2:3" s="114" customFormat="1">
      <c r="B95" s="115"/>
      <c r="C95" s="115"/>
    </row>
    <row r="96" spans="2:3" s="114" customFormat="1">
      <c r="B96" s="115"/>
      <c r="C96" s="115"/>
    </row>
    <row r="97" spans="2:3" s="114" customFormat="1">
      <c r="B97" s="115"/>
      <c r="C97" s="115"/>
    </row>
    <row r="98" spans="2:3" s="114" customFormat="1">
      <c r="B98" s="115"/>
      <c r="C98" s="115"/>
    </row>
    <row r="99" spans="2:3" s="114" customFormat="1">
      <c r="B99" s="115"/>
      <c r="C99" s="115"/>
    </row>
    <row r="100" spans="2:3" s="114" customFormat="1">
      <c r="B100" s="115"/>
      <c r="C100" s="115"/>
    </row>
    <row r="101" spans="2:3" s="114" customFormat="1">
      <c r="B101" s="115"/>
      <c r="C101" s="115"/>
    </row>
    <row r="102" spans="2:3" s="114" customFormat="1">
      <c r="B102" s="115"/>
      <c r="C102" s="115"/>
    </row>
    <row r="103" spans="2:3" s="114" customFormat="1">
      <c r="B103" s="115"/>
      <c r="C103" s="115"/>
    </row>
    <row r="104" spans="2:3" s="114" customFormat="1">
      <c r="B104" s="115"/>
      <c r="C104" s="115"/>
    </row>
    <row r="105" spans="2:3" s="114" customFormat="1">
      <c r="B105" s="115"/>
      <c r="C105" s="115"/>
    </row>
    <row r="106" spans="2:3" s="114" customFormat="1">
      <c r="B106" s="115"/>
      <c r="C106" s="115"/>
    </row>
    <row r="107" spans="2:3" s="114" customFormat="1">
      <c r="B107" s="115"/>
      <c r="C107" s="115"/>
    </row>
    <row r="108" spans="2:3" s="114" customFormat="1">
      <c r="B108" s="115"/>
      <c r="C108" s="115"/>
    </row>
    <row r="109" spans="2:3" s="114" customFormat="1">
      <c r="B109" s="115"/>
      <c r="C109" s="115"/>
    </row>
    <row r="110" spans="2:3" s="114" customFormat="1">
      <c r="B110" s="115"/>
      <c r="C110" s="115"/>
    </row>
    <row r="111" spans="2:3" s="114" customFormat="1">
      <c r="B111" s="115"/>
      <c r="C111" s="115"/>
    </row>
    <row r="112" spans="2:3" s="114" customFormat="1">
      <c r="B112" s="115"/>
      <c r="C112" s="115"/>
    </row>
    <row r="113" spans="2:3" s="114" customFormat="1">
      <c r="B113" s="115"/>
      <c r="C113" s="115"/>
    </row>
    <row r="114" spans="2:3" s="114" customFormat="1">
      <c r="B114" s="115"/>
      <c r="C114" s="115"/>
    </row>
    <row r="115" spans="2:3" s="114" customFormat="1">
      <c r="B115" s="115"/>
      <c r="C115" s="115"/>
    </row>
    <row r="116" spans="2:3" s="114" customFormat="1">
      <c r="B116" s="115"/>
      <c r="C116" s="115"/>
    </row>
    <row r="117" spans="2:3" s="114" customFormat="1">
      <c r="B117" s="115"/>
      <c r="C117" s="115"/>
    </row>
    <row r="118" spans="2:3" s="114" customFormat="1">
      <c r="B118" s="115"/>
      <c r="C118" s="115"/>
    </row>
    <row r="119" spans="2:3" s="114" customFormat="1">
      <c r="B119" s="115"/>
      <c r="C119" s="115"/>
    </row>
    <row r="120" spans="2:3" s="114" customFormat="1">
      <c r="B120" s="115"/>
      <c r="C120" s="115"/>
    </row>
    <row r="121" spans="2:3" s="114" customFormat="1">
      <c r="B121" s="115"/>
      <c r="C121" s="115"/>
    </row>
    <row r="122" spans="2:3" s="114" customFormat="1">
      <c r="B122" s="115"/>
      <c r="C122" s="115"/>
    </row>
    <row r="123" spans="2:3" s="114" customFormat="1">
      <c r="B123" s="115"/>
      <c r="C123" s="115"/>
    </row>
    <row r="124" spans="2:3" s="114" customFormat="1">
      <c r="B124" s="115"/>
      <c r="C124" s="115"/>
    </row>
    <row r="125" spans="2:3" s="114" customFormat="1">
      <c r="B125" s="115"/>
      <c r="C125" s="115"/>
    </row>
    <row r="126" spans="2:3" s="114" customFormat="1">
      <c r="B126" s="115"/>
      <c r="C126" s="115"/>
    </row>
    <row r="127" spans="2:3" s="114" customFormat="1">
      <c r="B127" s="115"/>
      <c r="C127" s="115"/>
    </row>
    <row r="128" spans="2:3" s="114" customFormat="1">
      <c r="B128" s="115"/>
      <c r="C128" s="115"/>
    </row>
    <row r="129" spans="2:3" s="114" customFormat="1">
      <c r="B129" s="115"/>
      <c r="C129" s="115"/>
    </row>
    <row r="130" spans="2:3" s="114" customFormat="1">
      <c r="B130" s="115"/>
      <c r="C130" s="115"/>
    </row>
    <row r="131" spans="2:3" s="114" customFormat="1">
      <c r="B131" s="115"/>
      <c r="C131" s="115"/>
    </row>
    <row r="132" spans="2:3" s="114" customFormat="1">
      <c r="B132" s="115"/>
      <c r="C132" s="115"/>
    </row>
    <row r="133" spans="2:3" s="114" customFormat="1">
      <c r="B133" s="115"/>
      <c r="C133" s="115"/>
    </row>
    <row r="134" spans="2:3" s="114" customFormat="1">
      <c r="B134" s="115"/>
      <c r="C134" s="115"/>
    </row>
    <row r="135" spans="2:3" s="114" customFormat="1">
      <c r="B135" s="115"/>
      <c r="C135" s="115"/>
    </row>
    <row r="136" spans="2:3" s="114" customFormat="1">
      <c r="B136" s="115"/>
      <c r="C136" s="115"/>
    </row>
    <row r="137" spans="2:3" s="114" customFormat="1">
      <c r="B137" s="115"/>
      <c r="C137" s="115"/>
    </row>
    <row r="138" spans="2:3" s="114" customFormat="1">
      <c r="B138" s="115"/>
      <c r="C138" s="115"/>
    </row>
    <row r="139" spans="2:3" s="114" customFormat="1">
      <c r="B139" s="115"/>
      <c r="C139" s="115"/>
    </row>
    <row r="140" spans="2:3" s="114" customFormat="1">
      <c r="B140" s="115"/>
      <c r="C140" s="115"/>
    </row>
    <row r="141" spans="2:3" s="114" customFormat="1">
      <c r="B141" s="115"/>
      <c r="C141" s="115"/>
    </row>
    <row r="142" spans="2:3" s="114" customFormat="1">
      <c r="B142" s="115"/>
      <c r="C142" s="115"/>
    </row>
    <row r="143" spans="2:3" s="114" customFormat="1">
      <c r="B143" s="115"/>
      <c r="C143" s="115"/>
    </row>
    <row r="144" spans="2:3" s="114" customFormat="1">
      <c r="B144" s="115"/>
      <c r="C144" s="115"/>
    </row>
    <row r="145" spans="2:3" s="114" customFormat="1">
      <c r="B145" s="115"/>
      <c r="C145" s="115"/>
    </row>
    <row r="146" spans="2:3" s="114" customFormat="1">
      <c r="B146" s="115"/>
      <c r="C146" s="115"/>
    </row>
    <row r="147" spans="2:3" s="114" customFormat="1">
      <c r="B147" s="115"/>
      <c r="C147" s="115"/>
    </row>
    <row r="148" spans="2:3" s="114" customFormat="1">
      <c r="B148" s="115"/>
      <c r="C148" s="115"/>
    </row>
    <row r="149" spans="2:3" s="114" customFormat="1">
      <c r="B149" s="115"/>
      <c r="C149" s="115"/>
    </row>
    <row r="150" spans="2:3" s="114" customFormat="1">
      <c r="B150" s="115"/>
      <c r="C150" s="115"/>
    </row>
    <row r="151" spans="2:3" s="114" customFormat="1">
      <c r="B151" s="115"/>
      <c r="C151" s="115"/>
    </row>
    <row r="152" spans="2:3" s="114" customFormat="1">
      <c r="B152" s="115"/>
      <c r="C152" s="115"/>
    </row>
    <row r="153" spans="2:3" s="114" customFormat="1">
      <c r="B153" s="115"/>
      <c r="C153" s="115"/>
    </row>
    <row r="154" spans="2:3" s="114" customFormat="1">
      <c r="B154" s="115"/>
      <c r="C154" s="115"/>
    </row>
    <row r="155" spans="2:3" s="114" customFormat="1">
      <c r="B155" s="115"/>
      <c r="C155" s="115"/>
    </row>
    <row r="156" spans="2:3" s="114" customFormat="1">
      <c r="B156" s="115"/>
      <c r="C156" s="115"/>
    </row>
    <row r="157" spans="2:3" s="114" customFormat="1">
      <c r="B157" s="115"/>
      <c r="C157" s="115"/>
    </row>
    <row r="158" spans="2:3" s="114" customFormat="1">
      <c r="B158" s="115"/>
      <c r="C158" s="115"/>
    </row>
    <row r="159" spans="2:3" s="114" customFormat="1">
      <c r="B159" s="115"/>
      <c r="C159" s="115"/>
    </row>
    <row r="160" spans="2:3" s="114" customFormat="1">
      <c r="B160" s="115"/>
      <c r="C160" s="115"/>
    </row>
    <row r="161" spans="2:3" s="114" customFormat="1">
      <c r="B161" s="115"/>
      <c r="C161" s="115"/>
    </row>
    <row r="162" spans="2:3" s="114" customFormat="1">
      <c r="B162" s="115"/>
      <c r="C162" s="115"/>
    </row>
    <row r="163" spans="2:3" s="114" customFormat="1">
      <c r="B163" s="115"/>
      <c r="C163" s="115"/>
    </row>
    <row r="164" spans="2:3" s="114" customFormat="1">
      <c r="B164" s="115"/>
      <c r="C164" s="115"/>
    </row>
    <row r="165" spans="2:3" s="114" customFormat="1">
      <c r="B165" s="115"/>
      <c r="C165" s="115"/>
    </row>
    <row r="166" spans="2:3" s="114" customFormat="1">
      <c r="B166" s="115"/>
      <c r="C166" s="115"/>
    </row>
    <row r="167" spans="2:3" s="114" customFormat="1">
      <c r="B167" s="115"/>
      <c r="C167" s="115"/>
    </row>
    <row r="168" spans="2:3" s="114" customFormat="1">
      <c r="B168" s="115"/>
      <c r="C168" s="115"/>
    </row>
    <row r="169" spans="2:3" s="114" customFormat="1">
      <c r="B169" s="115"/>
      <c r="C169" s="115"/>
    </row>
    <row r="170" spans="2:3" s="114" customFormat="1">
      <c r="B170" s="115"/>
      <c r="C170" s="115"/>
    </row>
    <row r="171" spans="2:3" s="114" customFormat="1">
      <c r="B171" s="115"/>
      <c r="C171" s="115"/>
    </row>
    <row r="172" spans="2:3" s="114" customFormat="1">
      <c r="B172" s="115"/>
      <c r="C172" s="115"/>
    </row>
    <row r="173" spans="2:3" s="114" customFormat="1">
      <c r="B173" s="115"/>
      <c r="C173" s="115"/>
    </row>
    <row r="174" spans="2:3" s="114" customFormat="1">
      <c r="B174" s="115"/>
      <c r="C174" s="115"/>
    </row>
    <row r="175" spans="2:3" s="114" customFormat="1">
      <c r="B175" s="115"/>
      <c r="C175" s="115"/>
    </row>
    <row r="176" spans="2:3" s="114" customFormat="1">
      <c r="B176" s="115"/>
      <c r="C176" s="115"/>
    </row>
    <row r="177" spans="2:3" s="114" customFormat="1">
      <c r="B177" s="115"/>
      <c r="C177" s="115"/>
    </row>
    <row r="178" spans="2:3" s="114" customFormat="1">
      <c r="B178" s="115"/>
      <c r="C178" s="115"/>
    </row>
    <row r="179" spans="2:3" s="114" customFormat="1">
      <c r="B179" s="115"/>
      <c r="C179" s="115"/>
    </row>
    <row r="180" spans="2:3" s="114" customFormat="1">
      <c r="B180" s="115"/>
      <c r="C180" s="115"/>
    </row>
    <row r="181" spans="2:3" s="114" customFormat="1">
      <c r="B181" s="115"/>
      <c r="C181" s="115"/>
    </row>
    <row r="182" spans="2:3" s="114" customFormat="1">
      <c r="B182" s="115"/>
      <c r="C182" s="115"/>
    </row>
    <row r="183" spans="2:3" s="114" customFormat="1">
      <c r="B183" s="115"/>
      <c r="C183" s="115"/>
    </row>
    <row r="184" spans="2:3" s="114" customFormat="1">
      <c r="B184" s="115"/>
      <c r="C184" s="115"/>
    </row>
    <row r="185" spans="2:3" s="114" customFormat="1">
      <c r="B185" s="115"/>
      <c r="C185" s="115"/>
    </row>
    <row r="186" spans="2:3" s="114" customFormat="1">
      <c r="B186" s="115"/>
      <c r="C186" s="115"/>
    </row>
    <row r="187" spans="2:3" s="114" customFormat="1">
      <c r="B187" s="115"/>
      <c r="C187" s="115"/>
    </row>
    <row r="188" spans="2:3" s="114" customFormat="1">
      <c r="B188" s="115"/>
      <c r="C188" s="115"/>
    </row>
    <row r="189" spans="2:3" s="114" customFormat="1">
      <c r="B189" s="115"/>
      <c r="C189" s="115"/>
    </row>
    <row r="190" spans="2:3" s="114" customFormat="1">
      <c r="B190" s="115"/>
      <c r="C190" s="115"/>
    </row>
    <row r="191" spans="2:3" s="114" customFormat="1">
      <c r="B191" s="115"/>
      <c r="C191" s="115"/>
    </row>
    <row r="192" spans="2:3" s="114" customFormat="1">
      <c r="B192" s="115"/>
      <c r="C192" s="115"/>
    </row>
    <row r="193" spans="2:3" s="114" customFormat="1">
      <c r="B193" s="115"/>
      <c r="C193" s="115"/>
    </row>
    <row r="194" spans="2:3" s="114" customFormat="1">
      <c r="B194" s="115"/>
      <c r="C194" s="115"/>
    </row>
    <row r="195" spans="2:3" s="114" customFormat="1">
      <c r="B195" s="115"/>
      <c r="C195" s="115"/>
    </row>
    <row r="196" spans="2:3" s="114" customFormat="1">
      <c r="B196" s="115"/>
      <c r="C196" s="115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29" priority="5" operator="notEqual">
      <formula>0</formula>
    </cfRule>
  </conditionalFormatting>
  <conditionalFormatting sqref="H25">
    <cfRule type="cellIs" dxfId="28" priority="3" operator="notEqual">
      <formula>0</formula>
    </cfRule>
  </conditionalFormatting>
  <conditionalFormatting sqref="J25">
    <cfRule type="cellIs" dxfId="27" priority="4" operator="notEqual">
      <formula>0</formula>
    </cfRule>
  </conditionalFormatting>
  <conditionalFormatting sqref="L5 L9:L23">
    <cfRule type="cellIs" dxfId="26" priority="1" operator="lessThan">
      <formula>0</formula>
    </cfRule>
    <cfRule type="cellIs" dxfId="25" priority="2" operator="greaterThanOrEqual">
      <formula>0</formula>
    </cfRule>
  </conditionalFormatting>
  <conditionalFormatting sqref="N5 N9:N23">
    <cfRule type="cellIs" dxfId="24" priority="6" operator="lessThan">
      <formula>0</formula>
    </cfRule>
    <cfRule type="cellIs" dxfId="23" priority="7" operator="greaterThanOrEqual">
      <formula>0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5F14B7-BABD-425A-B307-02166D7DFA35}">
  <sheetPr codeName="Sheet6"/>
  <dimension ref="A1:AQ501"/>
  <sheetViews>
    <sheetView zoomScale="85" zoomScaleNormal="85" zoomScaleSheetLayoutView="55" workbookViewId="0">
      <pane ySplit="4" topLeftCell="A17" activePane="bottomLeft" state="frozen"/>
      <selection activeCell="G7" sqref="G7"/>
      <selection pane="bottomLeft" activeCell="W45" sqref="W45"/>
    </sheetView>
  </sheetViews>
  <sheetFormatPr defaultColWidth="8.26953125" defaultRowHeight="14"/>
  <cols>
    <col min="1" max="1" width="2.26953125" style="114" customWidth="1"/>
    <col min="2" max="2" width="6.26953125" style="24" customWidth="1"/>
    <col min="3" max="3" width="18.26953125" style="24" customWidth="1"/>
    <col min="4" max="4" width="27.26953125" style="24" customWidth="1"/>
    <col min="5" max="5" width="7.26953125" style="70" customWidth="1"/>
    <col min="6" max="6" width="14.26953125" style="64" customWidth="1"/>
    <col min="7" max="7" width="16.26953125" style="24" customWidth="1"/>
    <col min="8" max="8" width="12.26953125" style="24" customWidth="1"/>
    <col min="9" max="9" width="2.26953125" style="114" customWidth="1"/>
    <col min="10" max="11" width="20.26953125" style="484" customWidth="1"/>
    <col min="12" max="12" width="5.26953125" style="114" customWidth="1"/>
    <col min="13" max="13" width="5.26953125" style="24" bestFit="1" customWidth="1"/>
    <col min="14" max="14" width="23.26953125" style="24" customWidth="1"/>
    <col min="15" max="15" width="73.26953125" style="24" bestFit="1" customWidth="1"/>
    <col min="16" max="16" width="14.26953125" style="70" bestFit="1" customWidth="1"/>
    <col min="17" max="17" width="17.26953125" style="64" customWidth="1"/>
    <col min="18" max="18" width="18.26953125" style="485" customWidth="1"/>
    <col min="19" max="19" width="40.7265625" style="493" customWidth="1"/>
    <col min="20" max="20" width="13" style="65" customWidth="1"/>
    <col min="21" max="21" width="17.26953125" style="65" customWidth="1"/>
    <col min="22" max="22" width="15.7265625" style="65" bestFit="1" customWidth="1"/>
    <col min="23" max="23" width="13.26953125" style="504" customWidth="1"/>
    <col min="24" max="24" width="20.26953125" style="24" customWidth="1"/>
    <col min="25" max="25" width="39.7265625" style="65" bestFit="1" customWidth="1"/>
    <col min="26" max="26" width="34.26953125" style="114" customWidth="1"/>
    <col min="27" max="27" width="37" style="114" customWidth="1"/>
    <col min="28" max="28" width="19.26953125" style="114" customWidth="1"/>
    <col min="29" max="29" width="2.26953125" style="114" customWidth="1"/>
    <col min="30" max="30" width="20.26953125" style="114" customWidth="1"/>
    <col min="31" max="31" width="24.26953125" style="114" customWidth="1"/>
    <col min="32" max="32" width="8.26953125" style="114"/>
    <col min="33" max="33" width="20.7265625" style="114" customWidth="1"/>
    <col min="34" max="43" width="8.26953125" style="114"/>
    <col min="44" max="16384" width="8.26953125" style="24"/>
  </cols>
  <sheetData>
    <row r="1" spans="1:43" s="114" customFormat="1" ht="4.5" customHeight="1" thickBot="1">
      <c r="E1" s="167"/>
      <c r="F1" s="115"/>
      <c r="J1" s="311"/>
      <c r="K1" s="311"/>
      <c r="P1" s="167"/>
      <c r="Q1" s="115"/>
      <c r="R1" s="525"/>
      <c r="S1" s="487"/>
      <c r="T1" s="168"/>
      <c r="U1" s="168"/>
      <c r="V1" s="168"/>
      <c r="W1" s="494"/>
      <c r="Y1" s="168"/>
    </row>
    <row r="2" spans="1:43" ht="21.75" customHeight="1" thickBot="1">
      <c r="B2" s="999" t="s">
        <v>237</v>
      </c>
      <c r="C2" s="1000"/>
      <c r="D2" s="1000"/>
      <c r="E2" s="1000"/>
      <c r="F2" s="1000"/>
      <c r="G2" s="1000"/>
      <c r="H2" s="1001"/>
      <c r="J2" s="313">
        <f>SUM(J6:J139)</f>
        <v>13282857.692898551</v>
      </c>
      <c r="K2" s="313">
        <f>SUM(K6:K139)</f>
        <v>14953088.675000014</v>
      </c>
      <c r="M2" s="1002" t="s">
        <v>238</v>
      </c>
      <c r="N2" s="1003"/>
      <c r="O2" s="1003"/>
      <c r="P2" s="1003"/>
      <c r="Q2" s="1003"/>
      <c r="R2" s="1003"/>
      <c r="S2" s="971" t="s">
        <v>239</v>
      </c>
      <c r="T2" s="972"/>
      <c r="U2" s="972"/>
      <c r="V2" s="972"/>
      <c r="W2" s="973"/>
      <c r="X2" s="505">
        <f>SUM(X6:X139)</f>
        <v>14161975.548000002</v>
      </c>
      <c r="Y2" s="114"/>
    </row>
    <row r="3" spans="1:43" s="114" customFormat="1" ht="13.5" customHeight="1" thickBot="1">
      <c r="E3" s="167"/>
      <c r="F3" s="115"/>
      <c r="J3" s="311"/>
      <c r="K3" s="539"/>
      <c r="P3" s="167"/>
      <c r="Q3" s="115"/>
      <c r="R3" s="312"/>
      <c r="Y3" s="168"/>
    </row>
    <row r="4" spans="1:43" s="70" customFormat="1" ht="42.5" thickBot="1">
      <c r="A4" s="167"/>
      <c r="B4" s="314" t="s">
        <v>240</v>
      </c>
      <c r="C4" s="315" t="s">
        <v>241</v>
      </c>
      <c r="D4" s="315" t="s">
        <v>242</v>
      </c>
      <c r="E4" s="315" t="s">
        <v>243</v>
      </c>
      <c r="F4" s="315" t="s">
        <v>244</v>
      </c>
      <c r="G4" s="316" t="s">
        <v>245</v>
      </c>
      <c r="H4" s="317" t="s">
        <v>246</v>
      </c>
      <c r="I4" s="318"/>
      <c r="J4" s="319" t="s">
        <v>247</v>
      </c>
      <c r="K4" s="319" t="str">
        <f>IF(K2-'Revenue Tracking'!D4&gt;=0, "Total Revenue", "ERROR on REV" )</f>
        <v>Total Revenue</v>
      </c>
      <c r="L4" s="167"/>
      <c r="M4" s="314" t="s">
        <v>240</v>
      </c>
      <c r="N4" s="315" t="s">
        <v>248</v>
      </c>
      <c r="O4" s="315" t="s">
        <v>242</v>
      </c>
      <c r="P4" s="315" t="s">
        <v>243</v>
      </c>
      <c r="Q4" s="315" t="s">
        <v>244</v>
      </c>
      <c r="R4" s="599" t="s">
        <v>249</v>
      </c>
      <c r="S4" s="113" t="s">
        <v>119</v>
      </c>
      <c r="T4" s="559" t="s">
        <v>120</v>
      </c>
      <c r="U4" s="560" t="s">
        <v>250</v>
      </c>
      <c r="V4" s="561" t="s">
        <v>251</v>
      </c>
      <c r="W4" s="559" t="s">
        <v>252</v>
      </c>
      <c r="X4" s="506" t="s">
        <v>247</v>
      </c>
      <c r="Y4" s="113" t="s">
        <v>253</v>
      </c>
      <c r="Z4" s="113" t="s">
        <v>254</v>
      </c>
      <c r="AA4" s="167"/>
      <c r="AB4" s="167"/>
      <c r="AC4" s="167"/>
      <c r="AD4" s="167"/>
      <c r="AE4" s="167"/>
      <c r="AF4" s="167"/>
      <c r="AG4" s="167"/>
      <c r="AH4" s="167"/>
      <c r="AI4" s="167"/>
      <c r="AJ4" s="167"/>
      <c r="AK4" s="167"/>
      <c r="AL4" s="167"/>
      <c r="AM4" s="167"/>
      <c r="AN4" s="167"/>
      <c r="AO4" s="167"/>
      <c r="AP4" s="167"/>
      <c r="AQ4" s="167"/>
    </row>
    <row r="5" spans="1:43" s="3" customFormat="1" ht="7.5" customHeight="1" thickBot="1">
      <c r="B5" s="320"/>
      <c r="C5" s="321"/>
      <c r="D5" s="321"/>
      <c r="E5" s="322"/>
      <c r="F5" s="323"/>
      <c r="G5" s="324"/>
      <c r="H5" s="325"/>
      <c r="I5" s="326"/>
      <c r="J5" s="327"/>
      <c r="K5" s="327"/>
      <c r="L5" s="328"/>
      <c r="M5" s="320"/>
      <c r="N5" s="321"/>
      <c r="O5" s="321"/>
      <c r="P5" s="322"/>
      <c r="Q5" s="323"/>
      <c r="R5" s="329"/>
      <c r="S5" s="488"/>
      <c r="T5" s="110"/>
      <c r="U5" s="540"/>
      <c r="V5" s="486"/>
      <c r="W5" s="495"/>
      <c r="X5" s="507"/>
      <c r="Y5" s="110"/>
      <c r="Z5" s="110"/>
    </row>
    <row r="6" spans="1:43" ht="14.25" customHeight="1">
      <c r="B6" s="354">
        <v>1</v>
      </c>
      <c r="C6" s="355" t="s">
        <v>255</v>
      </c>
      <c r="D6" s="355" t="s">
        <v>256</v>
      </c>
      <c r="E6" s="356">
        <v>630</v>
      </c>
      <c r="F6" s="726">
        <v>2384.2800000000002</v>
      </c>
      <c r="G6" s="412">
        <f>F6*E6</f>
        <v>1502096.4000000001</v>
      </c>
      <c r="H6" s="358">
        <f>'Project Plan'!G46+31</f>
        <v>45346</v>
      </c>
      <c r="I6" s="359"/>
      <c r="J6" s="949">
        <f>SUM(G6:G11)</f>
        <v>1502096.4000000001</v>
      </c>
      <c r="K6" s="949">
        <v>1675592.1684995587</v>
      </c>
      <c r="L6" s="627"/>
      <c r="M6" s="354">
        <v>1</v>
      </c>
      <c r="N6" s="513" t="s">
        <v>257</v>
      </c>
      <c r="O6" s="410" t="s">
        <v>258</v>
      </c>
      <c r="P6" s="356">
        <v>638</v>
      </c>
      <c r="Q6" s="726">
        <f>1526.25*P6</f>
        <v>973747.5</v>
      </c>
      <c r="R6" s="412"/>
      <c r="S6" s="588" t="s">
        <v>259</v>
      </c>
      <c r="T6" s="864">
        <v>45382</v>
      </c>
      <c r="U6" s="741">
        <v>0</v>
      </c>
      <c r="V6" s="974">
        <f>K6-SUM(U6:U11)</f>
        <v>4.413963295519352E-3</v>
      </c>
      <c r="W6" s="734">
        <v>45148</v>
      </c>
      <c r="X6" s="956">
        <f>SUM(R6:R11)</f>
        <v>1165914.24</v>
      </c>
      <c r="Y6" s="1004" t="s">
        <v>260</v>
      </c>
      <c r="Z6" s="201"/>
      <c r="AA6" s="169">
        <v>19</v>
      </c>
      <c r="AB6" s="169"/>
      <c r="AF6" s="170"/>
    </row>
    <row r="7" spans="1:43" ht="15" customHeight="1">
      <c r="B7" s="408">
        <v>1</v>
      </c>
      <c r="C7" s="628"/>
      <c r="D7" s="629"/>
      <c r="E7" s="630"/>
      <c r="F7" s="727"/>
      <c r="G7" s="412"/>
      <c r="H7" s="364"/>
      <c r="I7" s="365"/>
      <c r="J7" s="950"/>
      <c r="K7" s="950"/>
      <c r="L7" s="366"/>
      <c r="M7" s="408">
        <v>1</v>
      </c>
      <c r="N7" s="742" t="s">
        <v>257</v>
      </c>
      <c r="O7" s="410"/>
      <c r="P7" s="411"/>
      <c r="Q7" s="825"/>
      <c r="R7" s="412"/>
      <c r="S7" s="583" t="s">
        <v>259</v>
      </c>
      <c r="T7" s="865">
        <v>45382</v>
      </c>
      <c r="U7" s="738">
        <v>0</v>
      </c>
      <c r="V7" s="975"/>
      <c r="W7" s="844">
        <v>45384</v>
      </c>
      <c r="X7" s="957"/>
      <c r="Y7" s="1005"/>
      <c r="Z7" s="202"/>
      <c r="AA7" s="171" t="s">
        <v>261</v>
      </c>
      <c r="AB7" s="172" t="s">
        <v>262</v>
      </c>
      <c r="AC7" s="24"/>
      <c r="AD7" s="24"/>
    </row>
    <row r="8" spans="1:43" ht="15" customHeight="1">
      <c r="B8" s="408">
        <v>1</v>
      </c>
      <c r="C8" s="631"/>
      <c r="D8" s="410"/>
      <c r="E8" s="630"/>
      <c r="F8" s="727"/>
      <c r="G8" s="632"/>
      <c r="H8" s="364"/>
      <c r="I8" s="365"/>
      <c r="J8" s="950"/>
      <c r="K8" s="950"/>
      <c r="L8" s="366"/>
      <c r="M8" s="408">
        <v>1</v>
      </c>
      <c r="N8" s="629" t="s">
        <v>257</v>
      </c>
      <c r="O8" s="362"/>
      <c r="P8" s="761">
        <v>637</v>
      </c>
      <c r="Q8" s="762"/>
      <c r="R8" s="632">
        <v>1165914.24</v>
      </c>
      <c r="S8" s="583" t="s">
        <v>263</v>
      </c>
      <c r="T8" s="865">
        <v>45169</v>
      </c>
      <c r="U8" s="738">
        <v>1675592.1640855954</v>
      </c>
      <c r="V8" s="975"/>
      <c r="W8" s="844">
        <v>45384</v>
      </c>
      <c r="X8" s="957"/>
      <c r="Y8" s="213"/>
      <c r="Z8" s="202"/>
      <c r="AA8" s="173" t="s">
        <v>264</v>
      </c>
      <c r="AB8" s="174">
        <f>+J48</f>
        <v>250335.41739130433</v>
      </c>
    </row>
    <row r="9" spans="1:43" ht="15" customHeight="1">
      <c r="B9" s="408">
        <v>1</v>
      </c>
      <c r="C9" s="631"/>
      <c r="D9" s="631"/>
      <c r="E9" s="630"/>
      <c r="F9" s="727"/>
      <c r="G9" s="412"/>
      <c r="H9" s="364"/>
      <c r="I9" s="365"/>
      <c r="J9" s="950"/>
      <c r="K9" s="950"/>
      <c r="L9" s="366"/>
      <c r="M9" s="408">
        <v>1</v>
      </c>
      <c r="N9" s="629" t="s">
        <v>257</v>
      </c>
      <c r="O9" s="629"/>
      <c r="P9" s="633"/>
      <c r="Q9" s="730"/>
      <c r="R9" s="412"/>
      <c r="S9" s="491"/>
      <c r="T9" s="542"/>
      <c r="U9" s="738">
        <v>0</v>
      </c>
      <c r="V9" s="975"/>
      <c r="W9" s="500"/>
      <c r="X9" s="957"/>
      <c r="Y9" s="213"/>
      <c r="Z9" s="202"/>
      <c r="AA9" s="173" t="s">
        <v>265</v>
      </c>
      <c r="AB9" s="174">
        <f>+G30+G31</f>
        <v>142285.5</v>
      </c>
    </row>
    <row r="10" spans="1:43" ht="15" customHeight="1">
      <c r="B10" s="408">
        <v>1</v>
      </c>
      <c r="C10" s="631"/>
      <c r="D10" s="631"/>
      <c r="E10" s="630"/>
      <c r="F10" s="727"/>
      <c r="G10" s="412"/>
      <c r="H10" s="364"/>
      <c r="I10" s="365"/>
      <c r="J10" s="950"/>
      <c r="K10" s="950"/>
      <c r="L10" s="366"/>
      <c r="M10" s="408">
        <v>1</v>
      </c>
      <c r="N10" s="629" t="s">
        <v>257</v>
      </c>
      <c r="O10" s="629"/>
      <c r="P10" s="633"/>
      <c r="Q10" s="730"/>
      <c r="R10" s="412"/>
      <c r="S10" s="491"/>
      <c r="T10" s="542"/>
      <c r="U10" s="738">
        <v>0</v>
      </c>
      <c r="V10" s="975"/>
      <c r="W10" s="500"/>
      <c r="X10" s="957"/>
      <c r="Y10" s="213"/>
      <c r="Z10" s="202"/>
      <c r="AA10" s="173" t="s">
        <v>266</v>
      </c>
      <c r="AB10" s="174">
        <f>+C87</f>
        <v>0</v>
      </c>
    </row>
    <row r="11" spans="1:43" ht="15" customHeight="1" thickBot="1">
      <c r="B11" s="414">
        <v>1</v>
      </c>
      <c r="C11" s="634"/>
      <c r="D11" s="634"/>
      <c r="E11" s="635"/>
      <c r="F11" s="728"/>
      <c r="G11" s="438"/>
      <c r="H11" s="367"/>
      <c r="I11" s="368"/>
      <c r="J11" s="951"/>
      <c r="K11" s="951"/>
      <c r="L11" s="369"/>
      <c r="M11" s="414">
        <v>1</v>
      </c>
      <c r="N11" s="636"/>
      <c r="O11" s="636"/>
      <c r="P11" s="837"/>
      <c r="Q11" s="731"/>
      <c r="R11" s="438"/>
      <c r="S11" s="566"/>
      <c r="T11" s="547"/>
      <c r="U11" s="843">
        <v>0</v>
      </c>
      <c r="V11" s="976"/>
      <c r="W11" s="501"/>
      <c r="X11" s="958"/>
      <c r="Y11" s="219"/>
      <c r="Z11" s="203"/>
      <c r="AA11" s="173" t="s">
        <v>267</v>
      </c>
      <c r="AB11" s="174">
        <f>+C88</f>
        <v>209475</v>
      </c>
    </row>
    <row r="12" spans="1:43" ht="14.5" thickBot="1">
      <c r="A12" s="24"/>
      <c r="B12" s="347"/>
      <c r="C12" s="348"/>
      <c r="D12" s="349"/>
      <c r="E12" s="350"/>
      <c r="F12" s="351"/>
      <c r="G12" s="351"/>
      <c r="H12" s="352"/>
      <c r="I12" s="24"/>
      <c r="J12" s="353"/>
      <c r="K12" s="353"/>
      <c r="L12" s="24"/>
      <c r="M12" s="347"/>
      <c r="N12" s="656"/>
      <c r="O12" s="349"/>
      <c r="P12" s="350"/>
      <c r="Q12" s="351"/>
      <c r="R12" s="351"/>
      <c r="S12" s="582"/>
      <c r="T12" s="563"/>
      <c r="U12" s="541"/>
      <c r="V12" s="557"/>
      <c r="W12" s="498"/>
      <c r="X12" s="508"/>
      <c r="Y12" s="217"/>
      <c r="Z12" s="200"/>
      <c r="AA12" s="173" t="s">
        <v>268</v>
      </c>
      <c r="AB12" s="174">
        <f>+G98</f>
        <v>8500</v>
      </c>
      <c r="AC12" s="24"/>
      <c r="AD12" s="24"/>
      <c r="AE12" s="24"/>
      <c r="AF12" s="24"/>
      <c r="AG12" s="24"/>
      <c r="AH12" s="24"/>
      <c r="AI12" s="24"/>
      <c r="AJ12" s="24"/>
      <c r="AK12" s="24"/>
      <c r="AL12" s="24"/>
      <c r="AM12" s="24"/>
      <c r="AN12" s="24"/>
      <c r="AO12" s="24"/>
      <c r="AP12" s="24"/>
      <c r="AQ12" s="24"/>
    </row>
    <row r="13" spans="1:43" ht="14.25" customHeight="1">
      <c r="B13" s="375">
        <v>2</v>
      </c>
      <c r="C13" s="418" t="s">
        <v>269</v>
      </c>
      <c r="D13" s="418" t="s">
        <v>270</v>
      </c>
      <c r="E13" s="529">
        <v>3</v>
      </c>
      <c r="F13" s="637"/>
      <c r="G13" s="379">
        <v>216000</v>
      </c>
      <c r="H13" s="380">
        <f>'Project Plan'!G30+30</f>
        <v>45302</v>
      </c>
      <c r="I13" s="381"/>
      <c r="J13" s="984">
        <f>SUM(G13:G16)</f>
        <v>216000</v>
      </c>
      <c r="K13" s="984">
        <v>240948.52260873845</v>
      </c>
      <c r="L13" s="382"/>
      <c r="M13" s="375">
        <v>2</v>
      </c>
      <c r="N13" s="660" t="s">
        <v>271</v>
      </c>
      <c r="O13" s="418" t="s">
        <v>272</v>
      </c>
      <c r="P13" s="529">
        <v>3</v>
      </c>
      <c r="Q13" s="637">
        <v>80833</v>
      </c>
      <c r="R13" s="379">
        <f>33565.93/1.15</f>
        <v>29187.765217391308</v>
      </c>
      <c r="S13" s="638" t="s">
        <v>273</v>
      </c>
      <c r="T13" s="811">
        <v>45291</v>
      </c>
      <c r="U13" s="841">
        <v>240948.52260873845</v>
      </c>
      <c r="V13" s="977">
        <f>K13-SUM(U13:U16)</f>
        <v>-297999.99999999994</v>
      </c>
      <c r="W13" s="830">
        <v>45334</v>
      </c>
      <c r="X13" s="990">
        <f>SUM(R13:R16)</f>
        <v>243184.47</v>
      </c>
      <c r="Y13" s="220"/>
      <c r="Z13" s="204"/>
      <c r="AA13" s="173" t="s">
        <v>274</v>
      </c>
      <c r="AB13" s="174">
        <f>+G95+G96</f>
        <v>25122.9</v>
      </c>
    </row>
    <row r="14" spans="1:43" ht="15" customHeight="1">
      <c r="B14" s="419">
        <v>2</v>
      </c>
      <c r="C14" s="421"/>
      <c r="D14" s="421"/>
      <c r="E14" s="639"/>
      <c r="F14" s="640"/>
      <c r="G14" s="422"/>
      <c r="H14" s="389"/>
      <c r="I14" s="390"/>
      <c r="J14" s="985"/>
      <c r="K14" s="985"/>
      <c r="L14" s="391"/>
      <c r="M14" s="419">
        <v>2</v>
      </c>
      <c r="N14" s="661" t="s">
        <v>271</v>
      </c>
      <c r="O14" s="421" t="s">
        <v>275</v>
      </c>
      <c r="P14" s="639"/>
      <c r="Q14" s="640"/>
      <c r="R14" s="422">
        <f>243184.47-R13</f>
        <v>213996.70478260869</v>
      </c>
      <c r="S14" s="585" t="s">
        <v>273</v>
      </c>
      <c r="T14" s="818">
        <v>45291</v>
      </c>
      <c r="U14" s="842">
        <v>0</v>
      </c>
      <c r="V14" s="978"/>
      <c r="W14" s="831">
        <v>45345</v>
      </c>
      <c r="X14" s="991"/>
      <c r="Y14" s="214"/>
      <c r="Z14" s="197"/>
      <c r="AA14" s="767">
        <f>O67</f>
        <v>0</v>
      </c>
      <c r="AB14" s="174">
        <f>R67</f>
        <v>0</v>
      </c>
    </row>
    <row r="15" spans="1:43" ht="15" customHeight="1">
      <c r="B15" s="419">
        <v>2</v>
      </c>
      <c r="C15" s="421"/>
      <c r="D15" s="421"/>
      <c r="E15" s="639"/>
      <c r="F15" s="640"/>
      <c r="G15" s="422"/>
      <c r="H15" s="389"/>
      <c r="I15" s="390"/>
      <c r="J15" s="985"/>
      <c r="K15" s="985"/>
      <c r="L15" s="391"/>
      <c r="M15" s="419">
        <v>2</v>
      </c>
      <c r="N15" s="661" t="s">
        <v>271</v>
      </c>
      <c r="O15" s="421"/>
      <c r="P15" s="639"/>
      <c r="Q15" s="640"/>
      <c r="R15" s="422"/>
      <c r="S15" s="581"/>
      <c r="T15" s="818">
        <v>45382</v>
      </c>
      <c r="U15" s="842">
        <v>298000</v>
      </c>
      <c r="V15" s="978"/>
      <c r="W15" s="496"/>
      <c r="X15" s="991"/>
      <c r="Y15" s="214"/>
      <c r="Z15" s="197"/>
      <c r="AA15" s="767" t="str">
        <f>O68</f>
        <v xml:space="preserve">Data Guru (Cost removed) </v>
      </c>
      <c r="AB15" s="174">
        <f>R68</f>
        <v>0</v>
      </c>
    </row>
    <row r="16" spans="1:43" ht="15" customHeight="1" thickBot="1">
      <c r="B16" s="641">
        <v>2</v>
      </c>
      <c r="C16" s="642"/>
      <c r="D16" s="642"/>
      <c r="E16" s="643"/>
      <c r="F16" s="644"/>
      <c r="G16" s="645"/>
      <c r="H16" s="398"/>
      <c r="I16" s="399"/>
      <c r="J16" s="986"/>
      <c r="K16" s="986"/>
      <c r="L16" s="400"/>
      <c r="M16" s="641">
        <v>2</v>
      </c>
      <c r="N16" s="662" t="s">
        <v>271</v>
      </c>
      <c r="O16" s="642"/>
      <c r="P16" s="643"/>
      <c r="Q16" s="644"/>
      <c r="R16" s="645"/>
      <c r="S16" s="584"/>
      <c r="T16" s="545"/>
      <c r="U16" s="856">
        <v>0</v>
      </c>
      <c r="V16" s="979"/>
      <c r="W16" s="502"/>
      <c r="X16" s="992"/>
      <c r="Y16" s="221"/>
      <c r="Z16" s="205"/>
      <c r="AA16" s="173" t="s">
        <v>276</v>
      </c>
      <c r="AB16" s="175">
        <v>0</v>
      </c>
    </row>
    <row r="17" spans="1:43" ht="14.5" thickBot="1">
      <c r="A17" s="24"/>
      <c r="B17" s="370"/>
      <c r="C17" s="348"/>
      <c r="D17" s="348"/>
      <c r="E17" s="371"/>
      <c r="F17" s="372"/>
      <c r="G17" s="373"/>
      <c r="H17" s="352"/>
      <c r="I17" s="374"/>
      <c r="J17" s="353"/>
      <c r="K17" s="353"/>
      <c r="L17" s="24"/>
      <c r="M17" s="370"/>
      <c r="N17" s="656"/>
      <c r="O17" s="348"/>
      <c r="P17" s="371"/>
      <c r="Q17" s="372"/>
      <c r="R17" s="373"/>
      <c r="S17" s="582"/>
      <c r="T17" s="563"/>
      <c r="U17" s="541"/>
      <c r="V17" s="557"/>
      <c r="W17" s="498"/>
      <c r="X17" s="508"/>
      <c r="Y17" s="217"/>
      <c r="Z17" s="200"/>
      <c r="AA17" s="173" t="s">
        <v>147</v>
      </c>
      <c r="AB17" s="174">
        <f>SUM(AB8:AB16)</f>
        <v>635718.81739130442</v>
      </c>
      <c r="AC17" s="24"/>
      <c r="AD17" s="24"/>
      <c r="AE17" s="24"/>
      <c r="AF17" s="24"/>
      <c r="AG17" s="24"/>
      <c r="AH17" s="24"/>
      <c r="AI17" s="24"/>
      <c r="AJ17" s="24"/>
      <c r="AK17" s="24"/>
      <c r="AL17" s="24"/>
      <c r="AM17" s="24"/>
      <c r="AN17" s="24"/>
      <c r="AO17" s="24"/>
      <c r="AP17" s="24"/>
      <c r="AQ17" s="24"/>
    </row>
    <row r="18" spans="1:43" ht="14.25" customHeight="1">
      <c r="B18" s="354">
        <v>3</v>
      </c>
      <c r="C18" s="405" t="s">
        <v>277</v>
      </c>
      <c r="D18" s="431" t="s">
        <v>278</v>
      </c>
      <c r="E18" s="432"/>
      <c r="F18" s="467"/>
      <c r="G18" s="357">
        <v>132867</v>
      </c>
      <c r="H18" s="358">
        <f>'Project Plan'!E38+30</f>
        <v>45330</v>
      </c>
      <c r="I18" s="359"/>
      <c r="J18" s="949">
        <f>SUM(G18:G23)</f>
        <v>132867</v>
      </c>
      <c r="K18" s="949">
        <v>148213.45996970023</v>
      </c>
      <c r="L18" s="360"/>
      <c r="M18" s="354">
        <v>3</v>
      </c>
      <c r="N18" s="665" t="s">
        <v>279</v>
      </c>
      <c r="O18" s="431" t="s">
        <v>280</v>
      </c>
      <c r="P18" s="432"/>
      <c r="Q18" s="467"/>
      <c r="R18" s="357">
        <f>56141-1250</f>
        <v>54891</v>
      </c>
      <c r="S18" s="565" t="s">
        <v>281</v>
      </c>
      <c r="T18" s="735">
        <v>45322</v>
      </c>
      <c r="U18" s="741">
        <v>103929.29268263688</v>
      </c>
      <c r="V18" s="952">
        <f>K18-SUM(U18:U23)</f>
        <v>0</v>
      </c>
      <c r="W18" s="734">
        <v>45351</v>
      </c>
      <c r="X18" s="956">
        <f>SUM(R18:R23)</f>
        <v>78280</v>
      </c>
      <c r="Y18" s="218" t="s">
        <v>282</v>
      </c>
      <c r="Z18" s="201"/>
      <c r="AA18" s="173" t="s">
        <v>283</v>
      </c>
      <c r="AB18" s="176">
        <f>+AB17*0.85</f>
        <v>540360.9947826087</v>
      </c>
      <c r="AD18" s="177" t="s">
        <v>284</v>
      </c>
    </row>
    <row r="19" spans="1:43" ht="14.25" customHeight="1">
      <c r="B19" s="361"/>
      <c r="C19" s="406"/>
      <c r="D19" s="822"/>
      <c r="E19" s="823"/>
      <c r="F19" s="620"/>
      <c r="G19" s="363"/>
      <c r="H19" s="407"/>
      <c r="I19" s="365"/>
      <c r="J19" s="950"/>
      <c r="K19" s="950"/>
      <c r="L19" s="366"/>
      <c r="M19" s="408">
        <v>3</v>
      </c>
      <c r="N19" s="667" t="s">
        <v>279</v>
      </c>
      <c r="O19" s="826"/>
      <c r="P19" s="827"/>
      <c r="Q19" s="828"/>
      <c r="R19" s="829"/>
      <c r="S19" s="591"/>
      <c r="T19" s="544"/>
      <c r="U19" s="813"/>
      <c r="V19" s="953"/>
      <c r="W19" s="594"/>
      <c r="X19" s="957"/>
      <c r="Y19" s="222"/>
      <c r="Z19" s="206"/>
      <c r="AA19" s="173"/>
      <c r="AB19" s="176"/>
      <c r="AD19" s="177"/>
    </row>
    <row r="20" spans="1:43" ht="14.25" customHeight="1">
      <c r="B20" s="408">
        <v>3</v>
      </c>
      <c r="C20" s="409"/>
      <c r="D20" s="434"/>
      <c r="E20" s="413"/>
      <c r="F20" s="435"/>
      <c r="G20" s="412"/>
      <c r="H20" s="364"/>
      <c r="I20" s="365"/>
      <c r="J20" s="950"/>
      <c r="K20" s="950"/>
      <c r="L20" s="366"/>
      <c r="M20" s="408">
        <v>3</v>
      </c>
      <c r="N20" s="667" t="s">
        <v>279</v>
      </c>
      <c r="O20" s="434" t="s">
        <v>275</v>
      </c>
      <c r="P20" s="413"/>
      <c r="Q20" s="435"/>
      <c r="R20" s="412">
        <v>1250</v>
      </c>
      <c r="S20" s="583" t="s">
        <v>281</v>
      </c>
      <c r="T20" s="737">
        <v>45322</v>
      </c>
      <c r="U20" s="738">
        <v>2366.7197874568892</v>
      </c>
      <c r="V20" s="954"/>
      <c r="W20" s="844">
        <v>45351</v>
      </c>
      <c r="X20" s="957"/>
      <c r="Y20" s="213"/>
      <c r="Z20" s="202"/>
      <c r="AA20" s="179" t="s">
        <v>285</v>
      </c>
      <c r="AB20" s="175">
        <f>+AB18/'Project Plan'!E3/1000</f>
        <v>1.5438885565217393</v>
      </c>
    </row>
    <row r="21" spans="1:43" ht="14.25" customHeight="1">
      <c r="B21" s="408">
        <v>3</v>
      </c>
      <c r="C21" s="409"/>
      <c r="D21" s="434"/>
      <c r="E21" s="413"/>
      <c r="F21" s="435"/>
      <c r="G21" s="412"/>
      <c r="H21" s="364"/>
      <c r="I21" s="365"/>
      <c r="J21" s="950"/>
      <c r="K21" s="950"/>
      <c r="L21" s="366"/>
      <c r="M21" s="408">
        <v>3</v>
      </c>
      <c r="N21" s="667" t="s">
        <v>279</v>
      </c>
      <c r="O21" s="434" t="s">
        <v>286</v>
      </c>
      <c r="P21" s="413"/>
      <c r="Q21" s="435"/>
      <c r="R21" s="412">
        <v>19920</v>
      </c>
      <c r="S21" s="583" t="s">
        <v>287</v>
      </c>
      <c r="T21" s="737">
        <v>45322</v>
      </c>
      <c r="U21" s="738">
        <v>37716.04653291298</v>
      </c>
      <c r="V21" s="954"/>
      <c r="W21" s="844">
        <v>45351</v>
      </c>
      <c r="X21" s="957"/>
      <c r="Y21" s="213"/>
      <c r="Z21" s="202"/>
      <c r="AB21" s="114" t="s">
        <v>288</v>
      </c>
      <c r="AE21" s="114" t="s">
        <v>289</v>
      </c>
    </row>
    <row r="22" spans="1:43" ht="14.25" customHeight="1">
      <c r="B22" s="610"/>
      <c r="C22" s="611"/>
      <c r="D22" s="612"/>
      <c r="E22" s="613"/>
      <c r="F22" s="614"/>
      <c r="G22" s="615"/>
      <c r="H22" s="616"/>
      <c r="I22" s="365"/>
      <c r="J22" s="950"/>
      <c r="K22" s="950"/>
      <c r="L22" s="366"/>
      <c r="M22" s="408">
        <v>3</v>
      </c>
      <c r="N22" s="667" t="s">
        <v>279</v>
      </c>
      <c r="O22" s="434" t="s">
        <v>286</v>
      </c>
      <c r="P22" s="613"/>
      <c r="Q22" s="614"/>
      <c r="R22" s="615">
        <v>381</v>
      </c>
      <c r="S22" s="583" t="s">
        <v>290</v>
      </c>
      <c r="T22" s="814">
        <v>45322</v>
      </c>
      <c r="U22" s="738">
        <v>721.37619121685987</v>
      </c>
      <c r="V22" s="954"/>
      <c r="W22" s="844">
        <v>45351</v>
      </c>
      <c r="X22" s="957"/>
      <c r="Y22" s="526"/>
      <c r="Z22" s="527"/>
    </row>
    <row r="23" spans="1:43" ht="15" customHeight="1" thickBot="1">
      <c r="B23" s="414">
        <v>3</v>
      </c>
      <c r="C23" s="452"/>
      <c r="D23" s="436"/>
      <c r="E23" s="417"/>
      <c r="F23" s="437"/>
      <c r="G23" s="438"/>
      <c r="H23" s="367"/>
      <c r="I23" s="368"/>
      <c r="J23" s="951"/>
      <c r="K23" s="951"/>
      <c r="L23" s="369"/>
      <c r="M23" s="414">
        <v>3</v>
      </c>
      <c r="N23" s="669" t="s">
        <v>279</v>
      </c>
      <c r="O23" s="436" t="s">
        <v>291</v>
      </c>
      <c r="P23" s="417"/>
      <c r="Q23" s="437"/>
      <c r="R23" s="438">
        <v>1838</v>
      </c>
      <c r="S23" s="625" t="s">
        <v>292</v>
      </c>
      <c r="T23" s="814">
        <v>45322</v>
      </c>
      <c r="U23" s="843">
        <v>3480.0247754766096</v>
      </c>
      <c r="V23" s="955"/>
      <c r="W23" s="866">
        <v>45351</v>
      </c>
      <c r="X23" s="958"/>
      <c r="Y23" s="219" t="s">
        <v>293</v>
      </c>
      <c r="Z23" s="203"/>
      <c r="AA23" s="180" t="s">
        <v>103</v>
      </c>
      <c r="AB23" s="181" t="s">
        <v>294</v>
      </c>
      <c r="AD23" s="180" t="s">
        <v>103</v>
      </c>
      <c r="AE23" s="181" t="s">
        <v>294</v>
      </c>
    </row>
    <row r="24" spans="1:43" ht="14.5" thickBot="1">
      <c r="A24" s="24"/>
      <c r="B24" s="370"/>
      <c r="C24" s="401"/>
      <c r="D24" s="402"/>
      <c r="E24" s="403"/>
      <c r="F24" s="404"/>
      <c r="G24" s="373"/>
      <c r="H24" s="352"/>
      <c r="I24" s="374"/>
      <c r="J24" s="353"/>
      <c r="K24" s="353"/>
      <c r="L24" s="24"/>
      <c r="M24" s="370"/>
      <c r="N24" s="671"/>
      <c r="O24" s="402"/>
      <c r="P24" s="403"/>
      <c r="Q24" s="404"/>
      <c r="R24" s="373"/>
      <c r="S24" s="582"/>
      <c r="T24" s="563"/>
      <c r="U24" s="541"/>
      <c r="V24" s="557"/>
      <c r="W24" s="498"/>
      <c r="X24" s="508"/>
      <c r="Y24" s="217"/>
      <c r="Z24" s="200"/>
      <c r="AA24" s="182" t="s">
        <v>264</v>
      </c>
      <c r="AB24" s="790">
        <f>302612.75+160357.75+628755.61+64674.24+29679.5</f>
        <v>1186079.8499999999</v>
      </c>
      <c r="AD24" s="182" t="s">
        <v>264</v>
      </c>
      <c r="AE24" s="183">
        <f>AE8</f>
        <v>0</v>
      </c>
      <c r="AF24" s="24"/>
      <c r="AG24" s="859">
        <f>AB24*0.4</f>
        <v>474431.93999999994</v>
      </c>
      <c r="AH24" s="24"/>
      <c r="AI24" s="24"/>
      <c r="AJ24" s="24"/>
      <c r="AK24" s="24"/>
      <c r="AL24" s="24"/>
      <c r="AM24" s="24"/>
      <c r="AN24" s="24"/>
      <c r="AO24" s="24"/>
      <c r="AP24" s="24"/>
      <c r="AQ24" s="24"/>
    </row>
    <row r="25" spans="1:43" ht="14.25" customHeight="1" thickBot="1">
      <c r="B25" s="375">
        <v>4</v>
      </c>
      <c r="C25" s="376" t="s">
        <v>265</v>
      </c>
      <c r="D25" s="376" t="s">
        <v>295</v>
      </c>
      <c r="E25" s="529">
        <v>10465</v>
      </c>
      <c r="F25" s="637">
        <v>14.8</v>
      </c>
      <c r="G25" s="379">
        <f>E25*F25</f>
        <v>154882</v>
      </c>
      <c r="H25" s="380">
        <f>'Project Plan'!E41+45</f>
        <v>45353</v>
      </c>
      <c r="I25" s="381"/>
      <c r="J25" s="984">
        <f>SUM(G25:G32)</f>
        <v>350217.5</v>
      </c>
      <c r="K25" s="984">
        <v>390668.46859595302</v>
      </c>
      <c r="L25" s="382"/>
      <c r="M25" s="375">
        <v>4</v>
      </c>
      <c r="N25" s="675" t="s">
        <v>296</v>
      </c>
      <c r="O25" s="376" t="s">
        <v>297</v>
      </c>
      <c r="P25" s="529">
        <v>10000</v>
      </c>
      <c r="Q25" s="637">
        <v>14.36</v>
      </c>
      <c r="R25" s="379">
        <f>Q25*P25</f>
        <v>143600</v>
      </c>
      <c r="S25" s="585" t="s">
        <v>298</v>
      </c>
      <c r="T25" s="811">
        <v>45322</v>
      </c>
      <c r="U25" s="841">
        <v>117270.98197472395</v>
      </c>
      <c r="V25" s="980">
        <f>K25-SUM(U25:U32)</f>
        <v>-1.6314492677338421E-3</v>
      </c>
      <c r="W25" s="857">
        <v>45351</v>
      </c>
      <c r="X25" s="990">
        <f>SUM(R25:R32)</f>
        <v>478379.14499999996</v>
      </c>
      <c r="Y25" s="220"/>
      <c r="Z25" s="204"/>
      <c r="AA25" s="182" t="s">
        <v>265</v>
      </c>
      <c r="AB25" s="183">
        <v>0</v>
      </c>
      <c r="AD25" s="182" t="s">
        <v>265</v>
      </c>
      <c r="AE25" s="183">
        <v>133659.15</v>
      </c>
    </row>
    <row r="26" spans="1:43" ht="14.25" customHeight="1" thickBot="1">
      <c r="B26" s="419"/>
      <c r="C26" s="420"/>
      <c r="D26" s="420"/>
      <c r="E26" s="639"/>
      <c r="F26" s="640"/>
      <c r="G26" s="422"/>
      <c r="H26" s="423"/>
      <c r="I26" s="390"/>
      <c r="J26" s="985"/>
      <c r="K26" s="985"/>
      <c r="L26" s="391"/>
      <c r="M26" s="419"/>
      <c r="N26" s="676" t="s">
        <v>296</v>
      </c>
      <c r="O26" s="420" t="s">
        <v>299</v>
      </c>
      <c r="P26" s="639">
        <v>10000</v>
      </c>
      <c r="Q26" s="640">
        <v>14.3</v>
      </c>
      <c r="R26" s="422">
        <f>Q26*P26</f>
        <v>143000</v>
      </c>
      <c r="S26" s="585" t="s">
        <v>298</v>
      </c>
      <c r="T26" s="811">
        <v>45322</v>
      </c>
      <c r="U26" s="845">
        <v>116780.9917993421</v>
      </c>
      <c r="V26" s="981"/>
      <c r="W26" s="857">
        <v>45351</v>
      </c>
      <c r="X26" s="991"/>
      <c r="Y26" s="223"/>
      <c r="Z26" s="207"/>
      <c r="AA26" s="182"/>
      <c r="AB26" s="183"/>
      <c r="AD26" s="182"/>
      <c r="AE26" s="183"/>
    </row>
    <row r="27" spans="1:43" ht="14.25" customHeight="1" thickBot="1">
      <c r="B27" s="419"/>
      <c r="C27" s="420"/>
      <c r="D27" s="420"/>
      <c r="E27" s="639"/>
      <c r="F27" s="640"/>
      <c r="G27" s="422"/>
      <c r="H27" s="423"/>
      <c r="I27" s="390"/>
      <c r="J27" s="985"/>
      <c r="K27" s="985"/>
      <c r="L27" s="391"/>
      <c r="M27" s="419"/>
      <c r="N27" s="676" t="s">
        <v>296</v>
      </c>
      <c r="O27" s="420" t="s">
        <v>300</v>
      </c>
      <c r="P27" s="639">
        <v>2000</v>
      </c>
      <c r="Q27" s="640">
        <v>14.36</v>
      </c>
      <c r="R27" s="422">
        <v>28720</v>
      </c>
      <c r="S27" s="585" t="s">
        <v>301</v>
      </c>
      <c r="T27" s="811">
        <v>45322</v>
      </c>
      <c r="U27" s="845">
        <v>23454.196394944789</v>
      </c>
      <c r="V27" s="981"/>
      <c r="W27" s="857">
        <v>45351</v>
      </c>
      <c r="X27" s="991"/>
      <c r="Y27" s="223"/>
      <c r="Z27" s="207"/>
      <c r="AA27" s="182"/>
      <c r="AB27" s="183"/>
      <c r="AD27" s="182"/>
      <c r="AE27" s="183"/>
    </row>
    <row r="28" spans="1:43" ht="14.25" customHeight="1">
      <c r="B28" s="419"/>
      <c r="C28" s="420"/>
      <c r="D28" s="420"/>
      <c r="E28" s="639"/>
      <c r="F28" s="640"/>
      <c r="G28" s="422"/>
      <c r="H28" s="423"/>
      <c r="I28" s="390"/>
      <c r="J28" s="985"/>
      <c r="K28" s="985"/>
      <c r="L28" s="391"/>
      <c r="M28" s="419"/>
      <c r="N28" s="676" t="s">
        <v>296</v>
      </c>
      <c r="O28" s="420" t="s">
        <v>302</v>
      </c>
      <c r="P28" s="639">
        <v>2000</v>
      </c>
      <c r="Q28" s="640">
        <v>14.3</v>
      </c>
      <c r="R28" s="422">
        <v>28600</v>
      </c>
      <c r="S28" s="585" t="s">
        <v>301</v>
      </c>
      <c r="T28" s="811">
        <v>45322</v>
      </c>
      <c r="U28" s="845">
        <v>23356.19835986842</v>
      </c>
      <c r="V28" s="981"/>
      <c r="W28" s="857">
        <v>45351</v>
      </c>
      <c r="X28" s="991"/>
      <c r="Y28" s="223"/>
      <c r="Z28" s="207"/>
      <c r="AA28" s="182"/>
      <c r="AB28" s="183"/>
      <c r="AD28" s="182"/>
      <c r="AE28" s="183"/>
    </row>
    <row r="29" spans="1:43" ht="14.25" customHeight="1">
      <c r="B29" s="419">
        <v>4</v>
      </c>
      <c r="C29" s="420"/>
      <c r="D29" s="420" t="s">
        <v>303</v>
      </c>
      <c r="E29" s="639">
        <v>4</v>
      </c>
      <c r="F29" s="640">
        <v>5500</v>
      </c>
      <c r="G29" s="422">
        <f>E29*F29</f>
        <v>22000</v>
      </c>
      <c r="H29" s="423">
        <f>H25</f>
        <v>45353</v>
      </c>
      <c r="I29" s="390"/>
      <c r="J29" s="985"/>
      <c r="K29" s="985"/>
      <c r="L29" s="391"/>
      <c r="M29" s="419">
        <v>4</v>
      </c>
      <c r="N29" s="676" t="s">
        <v>296</v>
      </c>
      <c r="O29" s="677" t="s">
        <v>275</v>
      </c>
      <c r="P29" s="678"/>
      <c r="Q29" s="679"/>
      <c r="R29" s="388">
        <v>800</v>
      </c>
      <c r="S29" s="585" t="s">
        <v>298</v>
      </c>
      <c r="T29" s="811">
        <v>45322</v>
      </c>
      <c r="U29" s="845">
        <v>653.32023384247339</v>
      </c>
      <c r="V29" s="982"/>
      <c r="W29" s="858">
        <v>45351</v>
      </c>
      <c r="X29" s="991"/>
      <c r="Y29" s="223"/>
      <c r="Z29" s="207"/>
      <c r="AA29" s="182" t="s">
        <v>266</v>
      </c>
      <c r="AB29" s="183">
        <v>64553.2</v>
      </c>
      <c r="AD29" s="182" t="s">
        <v>266</v>
      </c>
      <c r="AE29" s="183">
        <v>0</v>
      </c>
    </row>
    <row r="30" spans="1:43" ht="15" customHeight="1">
      <c r="B30" s="383">
        <v>4</v>
      </c>
      <c r="C30" s="384"/>
      <c r="D30" s="424" t="s">
        <v>304</v>
      </c>
      <c r="E30" s="646">
        <v>10465</v>
      </c>
      <c r="F30" s="640">
        <v>13.5</v>
      </c>
      <c r="G30" s="388">
        <f t="shared" ref="G30:G31" si="0">E30*F30</f>
        <v>141277.5</v>
      </c>
      <c r="H30" s="389">
        <f>H48</f>
        <v>45264</v>
      </c>
      <c r="I30" s="390"/>
      <c r="J30" s="985"/>
      <c r="K30" s="985"/>
      <c r="L30" s="391"/>
      <c r="M30" s="383">
        <v>4</v>
      </c>
      <c r="N30" s="680" t="s">
        <v>296</v>
      </c>
      <c r="O30" s="768" t="s">
        <v>305</v>
      </c>
      <c r="P30" s="769">
        <v>0.5</v>
      </c>
      <c r="Q30" s="770">
        <f>AE25</f>
        <v>133659.15</v>
      </c>
      <c r="R30" s="771">
        <v>66829.570000000007</v>
      </c>
      <c r="S30" s="585" t="s">
        <v>306</v>
      </c>
      <c r="T30" s="818">
        <v>45291</v>
      </c>
      <c r="U30" s="842">
        <v>62006.029506439168</v>
      </c>
      <c r="V30" s="982"/>
      <c r="W30" s="831">
        <v>45281</v>
      </c>
      <c r="X30" s="991"/>
      <c r="Y30" s="214"/>
      <c r="Z30" s="197"/>
      <c r="AA30" s="182" t="s">
        <v>267</v>
      </c>
      <c r="AB30" s="183">
        <v>0</v>
      </c>
      <c r="AD30" s="182" t="s">
        <v>267</v>
      </c>
      <c r="AE30" s="183">
        <v>190000</v>
      </c>
    </row>
    <row r="31" spans="1:43" ht="15" customHeight="1">
      <c r="B31" s="383">
        <v>4</v>
      </c>
      <c r="C31" s="424"/>
      <c r="D31" s="424" t="s">
        <v>307</v>
      </c>
      <c r="E31" s="646">
        <v>63</v>
      </c>
      <c r="F31" s="640">
        <v>16</v>
      </c>
      <c r="G31" s="388">
        <f t="shared" si="0"/>
        <v>1008</v>
      </c>
      <c r="H31" s="389">
        <f>H49</f>
        <v>45352</v>
      </c>
      <c r="I31" s="391"/>
      <c r="J31" s="985"/>
      <c r="K31" s="985"/>
      <c r="L31" s="391"/>
      <c r="M31" s="383">
        <v>4</v>
      </c>
      <c r="N31" s="681" t="s">
        <v>296</v>
      </c>
      <c r="O31" s="768" t="s">
        <v>308</v>
      </c>
      <c r="P31" s="772">
        <v>0.4</v>
      </c>
      <c r="Q31" s="773"/>
      <c r="R31" s="771">
        <f t="shared" ref="R31:R32" si="1">P31*$Q$30</f>
        <v>53463.66</v>
      </c>
      <c r="S31" s="585" t="s">
        <v>309</v>
      </c>
      <c r="T31" s="818">
        <v>45351</v>
      </c>
      <c r="U31" s="842">
        <v>43661.113566593107</v>
      </c>
      <c r="V31" s="982"/>
      <c r="W31" s="831">
        <f>'Project Plan'!K42+7</f>
        <v>45323</v>
      </c>
      <c r="X31" s="991"/>
      <c r="Y31" s="214"/>
      <c r="Z31" s="197"/>
      <c r="AA31" s="182" t="s">
        <v>268</v>
      </c>
      <c r="AB31" s="183">
        <v>0</v>
      </c>
      <c r="AD31" s="182" t="s">
        <v>268</v>
      </c>
      <c r="AE31" s="183">
        <v>0</v>
      </c>
    </row>
    <row r="32" spans="1:43" ht="15" customHeight="1" thickBot="1">
      <c r="B32" s="392">
        <v>4</v>
      </c>
      <c r="C32" s="429"/>
      <c r="D32" s="429" t="s">
        <v>310</v>
      </c>
      <c r="E32" s="647">
        <v>230</v>
      </c>
      <c r="F32" s="648">
        <v>135</v>
      </c>
      <c r="G32" s="648">
        <f>E32*F32</f>
        <v>31050</v>
      </c>
      <c r="H32" s="398">
        <f>H50</f>
        <v>45352</v>
      </c>
      <c r="I32" s="400"/>
      <c r="J32" s="986"/>
      <c r="K32" s="986"/>
      <c r="L32" s="400"/>
      <c r="M32" s="392">
        <v>4</v>
      </c>
      <c r="N32" s="682" t="s">
        <v>296</v>
      </c>
      <c r="O32" s="774" t="s">
        <v>311</v>
      </c>
      <c r="P32" s="775">
        <v>0.1</v>
      </c>
      <c r="Q32" s="776"/>
      <c r="R32" s="777">
        <f t="shared" si="1"/>
        <v>13365.915000000001</v>
      </c>
      <c r="S32" s="585" t="s">
        <v>312</v>
      </c>
      <c r="T32" s="833">
        <v>45412</v>
      </c>
      <c r="U32" s="856">
        <v>3485.6383916482764</v>
      </c>
      <c r="V32" s="983"/>
      <c r="W32" s="831">
        <v>45407</v>
      </c>
      <c r="X32" s="992"/>
      <c r="Y32" s="221"/>
      <c r="Z32" s="205"/>
      <c r="AA32" s="182" t="s">
        <v>274</v>
      </c>
      <c r="AB32" s="183">
        <v>0</v>
      </c>
      <c r="AD32" s="182" t="s">
        <v>274</v>
      </c>
      <c r="AE32" s="183">
        <v>71843.09</v>
      </c>
    </row>
    <row r="33" spans="1:43" ht="14.5" thickBot="1">
      <c r="A33" s="24"/>
      <c r="B33" s="347"/>
      <c r="C33" s="348"/>
      <c r="D33" s="348"/>
      <c r="E33" s="371"/>
      <c r="F33" s="351"/>
      <c r="G33" s="372"/>
      <c r="H33" s="352"/>
      <c r="I33" s="24"/>
      <c r="J33" s="353"/>
      <c r="K33" s="353"/>
      <c r="L33" s="24"/>
      <c r="M33" s="347"/>
      <c r="N33" s="656"/>
      <c r="O33" s="656"/>
      <c r="P33" s="663"/>
      <c r="Q33" s="659"/>
      <c r="R33" s="664"/>
      <c r="S33" s="582"/>
      <c r="T33" s="563"/>
      <c r="U33" s="541"/>
      <c r="V33" s="557"/>
      <c r="W33" s="498"/>
      <c r="X33" s="508"/>
      <c r="Y33" s="217"/>
      <c r="Z33" s="200"/>
      <c r="AA33" s="182" t="s">
        <v>313</v>
      </c>
      <c r="AB33" s="183">
        <v>4570</v>
      </c>
      <c r="AD33" s="182" t="s">
        <v>314</v>
      </c>
      <c r="AE33" s="183">
        <v>50251.13</v>
      </c>
      <c r="AF33" s="24"/>
      <c r="AG33" s="24"/>
      <c r="AH33" s="24"/>
      <c r="AI33" s="24"/>
      <c r="AJ33" s="24"/>
      <c r="AK33" s="24"/>
      <c r="AL33" s="24"/>
      <c r="AM33" s="24"/>
      <c r="AN33" s="24"/>
      <c r="AO33" s="24"/>
      <c r="AP33" s="24"/>
      <c r="AQ33" s="24"/>
    </row>
    <row r="34" spans="1:43" ht="14.25" customHeight="1">
      <c r="B34" s="354">
        <v>5</v>
      </c>
      <c r="C34" s="405" t="s">
        <v>315</v>
      </c>
      <c r="D34" s="355" t="s">
        <v>316</v>
      </c>
      <c r="E34" s="618"/>
      <c r="F34" s="467"/>
      <c r="G34" s="357">
        <v>26000</v>
      </c>
      <c r="H34" s="358">
        <f>H13</f>
        <v>45302</v>
      </c>
      <c r="I34" s="359"/>
      <c r="J34" s="949">
        <f>SUM(G34:G46)</f>
        <v>49000</v>
      </c>
      <c r="K34" s="949">
        <v>54659.618554760113</v>
      </c>
      <c r="L34" s="360"/>
      <c r="M34" s="354">
        <v>5</v>
      </c>
      <c r="N34" s="665" t="s">
        <v>317</v>
      </c>
      <c r="O34" s="513" t="s">
        <v>318</v>
      </c>
      <c r="P34" s="654"/>
      <c r="Q34" s="666"/>
      <c r="R34" s="357"/>
      <c r="S34" s="565"/>
      <c r="T34" s="544"/>
      <c r="U34" s="741">
        <v>0</v>
      </c>
      <c r="V34" s="1006">
        <f>K34-SUM(U34:U46)</f>
        <v>2.1696851326851174E-3</v>
      </c>
      <c r="W34" s="499"/>
      <c r="X34" s="956">
        <f>SUM(R34:R46)</f>
        <v>438053.50999999995</v>
      </c>
      <c r="Y34" s="218"/>
      <c r="Z34" s="201"/>
      <c r="AA34" s="182" t="s">
        <v>319</v>
      </c>
      <c r="AB34" s="183">
        <v>12150</v>
      </c>
      <c r="AC34" s="24"/>
      <c r="AD34" s="182" t="s">
        <v>87</v>
      </c>
      <c r="AE34" s="183">
        <v>4500</v>
      </c>
    </row>
    <row r="35" spans="1:43" ht="14.25" customHeight="1">
      <c r="B35" s="361">
        <v>5</v>
      </c>
      <c r="C35" s="406"/>
      <c r="D35" s="362"/>
      <c r="E35" s="619"/>
      <c r="F35" s="620"/>
      <c r="G35" s="363"/>
      <c r="H35" s="407"/>
      <c r="I35" s="365"/>
      <c r="J35" s="950"/>
      <c r="K35" s="950"/>
      <c r="L35" s="366"/>
      <c r="M35" s="361">
        <v>5</v>
      </c>
      <c r="N35" s="683" t="s">
        <v>317</v>
      </c>
      <c r="O35" s="910" t="s">
        <v>320</v>
      </c>
      <c r="P35" s="911"/>
      <c r="Q35" s="912"/>
      <c r="R35" s="363">
        <v>11604</v>
      </c>
      <c r="S35" s="565" t="s">
        <v>321</v>
      </c>
      <c r="T35" s="735">
        <v>45443</v>
      </c>
      <c r="U35" s="738">
        <v>1232.3901786683045</v>
      </c>
      <c r="V35" s="1007"/>
      <c r="W35" s="819">
        <v>45473</v>
      </c>
      <c r="X35" s="957"/>
      <c r="Y35" s="222" t="s">
        <v>322</v>
      </c>
      <c r="Z35" s="206" t="s">
        <v>323</v>
      </c>
      <c r="AA35" s="182" t="s">
        <v>324</v>
      </c>
      <c r="AB35" s="183"/>
      <c r="AD35" s="182" t="s">
        <v>276</v>
      </c>
      <c r="AE35" s="183">
        <v>0</v>
      </c>
    </row>
    <row r="36" spans="1:43" ht="14.25" customHeight="1">
      <c r="B36" s="361"/>
      <c r="C36" s="406"/>
      <c r="D36" s="362"/>
      <c r="E36" s="619"/>
      <c r="F36" s="620"/>
      <c r="G36" s="363"/>
      <c r="H36" s="407"/>
      <c r="I36" s="365"/>
      <c r="J36" s="950"/>
      <c r="K36" s="950"/>
      <c r="L36" s="366"/>
      <c r="M36" s="361">
        <v>5</v>
      </c>
      <c r="N36" s="683" t="s">
        <v>317</v>
      </c>
      <c r="O36" s="910" t="s">
        <v>320</v>
      </c>
      <c r="P36" s="919"/>
      <c r="Q36" s="920"/>
      <c r="R36" s="363">
        <v>-11604</v>
      </c>
      <c r="S36" s="565" t="s">
        <v>325</v>
      </c>
      <c r="T36" s="735">
        <v>45504</v>
      </c>
      <c r="U36" s="738">
        <v>0</v>
      </c>
      <c r="V36" s="1007"/>
      <c r="W36" s="819">
        <v>45504</v>
      </c>
      <c r="X36" s="957"/>
      <c r="Y36" s="222"/>
      <c r="Z36" s="206" t="s">
        <v>326</v>
      </c>
      <c r="AA36" s="182"/>
      <c r="AB36" s="183"/>
      <c r="AD36" s="182"/>
      <c r="AE36" s="183"/>
    </row>
    <row r="37" spans="1:43" ht="14.25" customHeight="1">
      <c r="B37" s="408">
        <v>5</v>
      </c>
      <c r="C37" s="409"/>
      <c r="D37" s="410" t="s">
        <v>327</v>
      </c>
      <c r="E37" s="621"/>
      <c r="F37" s="468"/>
      <c r="G37" s="412">
        <v>8000</v>
      </c>
      <c r="H37" s="364">
        <f>H30</f>
        <v>45264</v>
      </c>
      <c r="I37" s="365"/>
      <c r="J37" s="950"/>
      <c r="K37" s="950"/>
      <c r="L37" s="366"/>
      <c r="M37" s="408">
        <v>5</v>
      </c>
      <c r="N37" s="683" t="s">
        <v>317</v>
      </c>
      <c r="O37" s="629" t="s">
        <v>328</v>
      </c>
      <c r="P37" s="632"/>
      <c r="Q37" s="684"/>
      <c r="R37" s="412">
        <f>1680+3240</f>
        <v>4920</v>
      </c>
      <c r="S37" s="583" t="s">
        <v>329</v>
      </c>
      <c r="T37" s="735">
        <v>45322</v>
      </c>
      <c r="U37" s="813">
        <v>622.6718820990003</v>
      </c>
      <c r="V37" s="1007"/>
      <c r="W37" s="844">
        <v>45351</v>
      </c>
      <c r="X37" s="957"/>
      <c r="Y37" s="213" t="s">
        <v>330</v>
      </c>
      <c r="Z37" s="202"/>
      <c r="AA37" s="182" t="s">
        <v>276</v>
      </c>
      <c r="AB37" s="184">
        <v>0</v>
      </c>
      <c r="AD37" s="182" t="s">
        <v>276</v>
      </c>
      <c r="AE37" s="184">
        <v>0</v>
      </c>
    </row>
    <row r="38" spans="1:43" ht="14.25" customHeight="1">
      <c r="B38" s="408">
        <v>5</v>
      </c>
      <c r="C38" s="409"/>
      <c r="D38" s="410" t="s">
        <v>331</v>
      </c>
      <c r="E38" s="621"/>
      <c r="F38" s="468"/>
      <c r="G38" s="412">
        <v>15000</v>
      </c>
      <c r="H38" s="364">
        <f>H37</f>
        <v>45264</v>
      </c>
      <c r="I38" s="365"/>
      <c r="J38" s="950"/>
      <c r="K38" s="950"/>
      <c r="L38" s="366"/>
      <c r="M38" s="408">
        <v>5</v>
      </c>
      <c r="N38" s="683" t="s">
        <v>317</v>
      </c>
      <c r="O38" s="629" t="s">
        <v>332</v>
      </c>
      <c r="P38" s="632"/>
      <c r="Q38" s="684"/>
      <c r="R38" s="412">
        <v>125.66</v>
      </c>
      <c r="S38" s="583" t="s">
        <v>333</v>
      </c>
      <c r="T38" s="735">
        <v>45412</v>
      </c>
      <c r="U38" s="738">
        <v>0</v>
      </c>
      <c r="V38" s="1007"/>
      <c r="W38" s="844">
        <v>45421</v>
      </c>
      <c r="X38" s="957"/>
      <c r="Y38" s="213"/>
      <c r="Z38" s="202" t="s">
        <v>334</v>
      </c>
      <c r="AA38" s="182" t="s">
        <v>147</v>
      </c>
      <c r="AB38" s="183">
        <f>SUM(AB24:AB35)</f>
        <v>1267353.0499999998</v>
      </c>
      <c r="AD38" s="182" t="s">
        <v>147</v>
      </c>
      <c r="AE38" s="183">
        <f>SUM(AE24:AE35)</f>
        <v>450253.37</v>
      </c>
    </row>
    <row r="39" spans="1:43" ht="14.25" customHeight="1">
      <c r="B39" s="610">
        <v>5</v>
      </c>
      <c r="C39" s="611"/>
      <c r="D39" s="622"/>
      <c r="E39" s="623"/>
      <c r="F39" s="624"/>
      <c r="G39" s="615"/>
      <c r="H39" s="616"/>
      <c r="I39" s="365"/>
      <c r="J39" s="950"/>
      <c r="K39" s="950"/>
      <c r="L39" s="366"/>
      <c r="M39" s="610">
        <v>5</v>
      </c>
      <c r="N39" s="683" t="s">
        <v>317</v>
      </c>
      <c r="O39" s="685" t="s">
        <v>335</v>
      </c>
      <c r="P39" s="686"/>
      <c r="Q39" s="687"/>
      <c r="R39" s="615">
        <v>11169</v>
      </c>
      <c r="S39" s="625" t="s">
        <v>336</v>
      </c>
      <c r="T39" s="814">
        <v>45322</v>
      </c>
      <c r="U39" s="738">
        <v>1413.5411079601085</v>
      </c>
      <c r="V39" s="1007"/>
      <c r="W39" s="792">
        <v>45351</v>
      </c>
      <c r="X39" s="957"/>
      <c r="Y39" s="526"/>
      <c r="Z39" s="527"/>
      <c r="AA39" s="185" t="s">
        <v>285</v>
      </c>
      <c r="AB39" s="184">
        <f>+AB38/'Project Plan'!E3/1000</f>
        <v>3.6210087142857139</v>
      </c>
      <c r="AD39" s="185" t="s">
        <v>285</v>
      </c>
      <c r="AE39" s="184">
        <f>+AE38/'Project Plan'!E3/1000</f>
        <v>1.2864382000000001</v>
      </c>
    </row>
    <row r="40" spans="1:43" ht="14.25" customHeight="1">
      <c r="B40" s="610">
        <v>5</v>
      </c>
      <c r="C40" s="611"/>
      <c r="D40" s="622"/>
      <c r="E40" s="623"/>
      <c r="F40" s="624"/>
      <c r="G40" s="615"/>
      <c r="H40" s="616"/>
      <c r="I40" s="365"/>
      <c r="J40" s="950"/>
      <c r="K40" s="950"/>
      <c r="L40" s="366"/>
      <c r="M40" s="610">
        <v>5</v>
      </c>
      <c r="N40" s="683" t="s">
        <v>317</v>
      </c>
      <c r="O40" s="685" t="s">
        <v>337</v>
      </c>
      <c r="P40" s="686"/>
      <c r="Q40" s="687"/>
      <c r="R40" s="615">
        <f>1950+100+540</f>
        <v>2590</v>
      </c>
      <c r="S40" s="625" t="s">
        <v>329</v>
      </c>
      <c r="T40" s="814">
        <v>45322</v>
      </c>
      <c r="U40" s="738">
        <v>327.78865338138428</v>
      </c>
      <c r="V40" s="1007"/>
      <c r="W40" s="792">
        <v>45351</v>
      </c>
      <c r="X40" s="957"/>
      <c r="Y40" s="213" t="s">
        <v>330</v>
      </c>
      <c r="Z40" s="527"/>
    </row>
    <row r="41" spans="1:43" ht="14.25" customHeight="1">
      <c r="B41" s="610">
        <v>5</v>
      </c>
      <c r="C41" s="611"/>
      <c r="D41" s="622"/>
      <c r="E41" s="623"/>
      <c r="F41" s="624"/>
      <c r="G41" s="615"/>
      <c r="H41" s="616"/>
      <c r="I41" s="365"/>
      <c r="J41" s="950"/>
      <c r="K41" s="950"/>
      <c r="L41" s="366"/>
      <c r="M41" s="610">
        <v>5</v>
      </c>
      <c r="N41" s="683" t="s">
        <v>317</v>
      </c>
      <c r="O41" s="685" t="s">
        <v>275</v>
      </c>
      <c r="P41" s="686"/>
      <c r="Q41" s="687"/>
      <c r="R41" s="615">
        <v>150</v>
      </c>
      <c r="S41" s="625" t="s">
        <v>329</v>
      </c>
      <c r="T41" s="814">
        <f>T40</f>
        <v>45322</v>
      </c>
      <c r="U41" s="738">
        <v>18.983898844481715</v>
      </c>
      <c r="V41" s="1007"/>
      <c r="W41" s="792">
        <v>45351</v>
      </c>
      <c r="X41" s="957"/>
      <c r="Y41" s="213" t="s">
        <v>330</v>
      </c>
      <c r="Z41" s="527"/>
    </row>
    <row r="42" spans="1:43" ht="14.25" customHeight="1">
      <c r="B42" s="610">
        <v>5</v>
      </c>
      <c r="C42" s="611"/>
      <c r="D42" s="622"/>
      <c r="E42" s="623"/>
      <c r="F42" s="624"/>
      <c r="G42" s="615"/>
      <c r="H42" s="616"/>
      <c r="I42" s="365"/>
      <c r="J42" s="950"/>
      <c r="K42" s="950"/>
      <c r="L42" s="366"/>
      <c r="M42" s="610">
        <v>5</v>
      </c>
      <c r="N42" s="683" t="s">
        <v>317</v>
      </c>
      <c r="O42" s="685" t="s">
        <v>338</v>
      </c>
      <c r="P42" s="686"/>
      <c r="Q42" s="687"/>
      <c r="R42" s="615">
        <v>403848.42</v>
      </c>
      <c r="S42" s="625" t="s">
        <v>339</v>
      </c>
      <c r="T42" s="814">
        <v>45412</v>
      </c>
      <c r="U42" s="738">
        <v>50730.330284535703</v>
      </c>
      <c r="V42" s="1007"/>
      <c r="W42" s="792">
        <v>45443</v>
      </c>
      <c r="X42" s="957"/>
      <c r="Y42" s="526" t="s">
        <v>340</v>
      </c>
      <c r="Z42" s="527"/>
      <c r="AB42" s="789"/>
    </row>
    <row r="43" spans="1:43" ht="14.25" customHeight="1">
      <c r="B43" s="610">
        <v>5</v>
      </c>
      <c r="C43" s="611"/>
      <c r="D43" s="622"/>
      <c r="E43" s="623"/>
      <c r="F43" s="624"/>
      <c r="G43" s="615"/>
      <c r="H43" s="616"/>
      <c r="I43" s="365"/>
      <c r="J43" s="950"/>
      <c r="K43" s="950"/>
      <c r="L43" s="366"/>
      <c r="M43" s="610">
        <v>5</v>
      </c>
      <c r="N43" s="683" t="s">
        <v>317</v>
      </c>
      <c r="O43" s="685" t="s">
        <v>341</v>
      </c>
      <c r="P43" s="686"/>
      <c r="Q43" s="687"/>
      <c r="R43" s="615">
        <v>2388</v>
      </c>
      <c r="S43" s="625" t="s">
        <v>342</v>
      </c>
      <c r="T43" s="814">
        <v>45291</v>
      </c>
      <c r="U43" s="738">
        <v>313.91037958599668</v>
      </c>
      <c r="V43" s="1007"/>
      <c r="W43" s="792">
        <v>45281</v>
      </c>
      <c r="X43" s="957"/>
      <c r="Y43" s="526"/>
      <c r="Z43" s="527"/>
    </row>
    <row r="44" spans="1:43" ht="14.25" customHeight="1">
      <c r="B44" s="610"/>
      <c r="C44" s="611"/>
      <c r="D44" s="622"/>
      <c r="E44" s="623"/>
      <c r="F44" s="624"/>
      <c r="G44" s="615"/>
      <c r="H44" s="616"/>
      <c r="I44" s="365"/>
      <c r="J44" s="950"/>
      <c r="K44" s="950"/>
      <c r="L44" s="366"/>
      <c r="M44" s="610">
        <v>5</v>
      </c>
      <c r="N44" s="683" t="s">
        <v>317</v>
      </c>
      <c r="O44" s="685" t="s">
        <v>318</v>
      </c>
      <c r="P44" s="686"/>
      <c r="Q44" s="687"/>
      <c r="R44" s="615"/>
      <c r="S44" s="625"/>
      <c r="T44" s="814">
        <v>45716</v>
      </c>
      <c r="U44" s="941"/>
      <c r="V44" s="1007"/>
      <c r="W44" s="792">
        <v>45744</v>
      </c>
      <c r="X44" s="957"/>
      <c r="Y44" s="526" t="s">
        <v>343</v>
      </c>
      <c r="Z44" s="527"/>
    </row>
    <row r="45" spans="1:43" ht="14.25" customHeight="1">
      <c r="B45" s="610"/>
      <c r="C45" s="611"/>
      <c r="D45" s="622"/>
      <c r="E45" s="623"/>
      <c r="F45" s="624"/>
      <c r="G45" s="615"/>
      <c r="H45" s="616"/>
      <c r="I45" s="365"/>
      <c r="J45" s="950"/>
      <c r="K45" s="950"/>
      <c r="L45" s="366"/>
      <c r="M45" s="610">
        <v>5</v>
      </c>
      <c r="N45" s="683" t="s">
        <v>317</v>
      </c>
      <c r="O45" s="685" t="s">
        <v>344</v>
      </c>
      <c r="P45" s="686"/>
      <c r="Q45" s="687"/>
      <c r="R45" s="615">
        <v>7080</v>
      </c>
      <c r="S45" s="625" t="s">
        <v>345</v>
      </c>
      <c r="T45" s="814">
        <v>45991</v>
      </c>
      <c r="U45" s="941"/>
      <c r="V45" s="1007"/>
      <c r="W45" s="792">
        <v>46022</v>
      </c>
      <c r="X45" s="957"/>
      <c r="Y45" s="526" t="s">
        <v>346</v>
      </c>
      <c r="Z45" s="527"/>
    </row>
    <row r="46" spans="1:43" ht="15" customHeight="1" thickBot="1">
      <c r="B46" s="414">
        <v>5</v>
      </c>
      <c r="C46" s="452"/>
      <c r="D46" s="415"/>
      <c r="E46" s="626"/>
      <c r="F46" s="469"/>
      <c r="G46" s="438"/>
      <c r="H46" s="367"/>
      <c r="I46" s="368"/>
      <c r="J46" s="951"/>
      <c r="K46" s="951"/>
      <c r="L46" s="369"/>
      <c r="M46" s="414">
        <v>5</v>
      </c>
      <c r="N46" s="669" t="s">
        <v>317</v>
      </c>
      <c r="O46" s="636" t="s">
        <v>347</v>
      </c>
      <c r="P46" s="893"/>
      <c r="Q46" s="894"/>
      <c r="R46" s="438">
        <v>5782.43</v>
      </c>
      <c r="S46" s="937" t="s">
        <v>348</v>
      </c>
      <c r="T46" s="938">
        <v>45535</v>
      </c>
      <c r="U46" s="551"/>
      <c r="V46" s="1008"/>
      <c r="W46" s="939">
        <v>45535</v>
      </c>
      <c r="X46" s="958"/>
      <c r="Y46" s="219"/>
      <c r="Z46" s="203" t="s">
        <v>349</v>
      </c>
    </row>
    <row r="47" spans="1:43" ht="14.5" thickBot="1">
      <c r="A47" s="24"/>
      <c r="B47" s="370"/>
      <c r="C47" s="401"/>
      <c r="D47" s="349"/>
      <c r="E47" s="350"/>
      <c r="F47" s="351"/>
      <c r="G47" s="373"/>
      <c r="H47" s="352"/>
      <c r="I47" s="374"/>
      <c r="J47" s="430"/>
      <c r="K47" s="430"/>
      <c r="L47" s="24"/>
      <c r="M47" s="370"/>
      <c r="N47" s="671"/>
      <c r="O47" s="657"/>
      <c r="P47" s="658"/>
      <c r="Q47" s="659"/>
      <c r="R47" s="373"/>
      <c r="S47" s="582"/>
      <c r="T47" s="563"/>
      <c r="U47" s="541"/>
      <c r="V47" s="557"/>
      <c r="W47" s="498"/>
      <c r="X47" s="509"/>
      <c r="Y47" s="217"/>
      <c r="Z47" s="200"/>
      <c r="AE47" s="24"/>
      <c r="AF47" s="24"/>
      <c r="AG47" s="24"/>
      <c r="AH47" s="24"/>
      <c r="AI47" s="24"/>
      <c r="AJ47" s="24"/>
      <c r="AK47" s="24"/>
      <c r="AL47" s="24"/>
      <c r="AM47" s="24"/>
      <c r="AN47" s="24"/>
      <c r="AO47" s="24"/>
      <c r="AP47" s="24"/>
      <c r="AQ47" s="24"/>
    </row>
    <row r="48" spans="1:43" ht="14.25" customHeight="1">
      <c r="B48" s="375">
        <v>6</v>
      </c>
      <c r="C48" s="376" t="s">
        <v>264</v>
      </c>
      <c r="D48" s="377" t="s">
        <v>350</v>
      </c>
      <c r="E48" s="378"/>
      <c r="F48" s="649">
        <v>0.5</v>
      </c>
      <c r="G48" s="379">
        <f>F48*C49</f>
        <v>125167.70869565217</v>
      </c>
      <c r="H48" s="380">
        <f>'Project Plan'!E27-7</f>
        <v>45264</v>
      </c>
      <c r="I48" s="381"/>
      <c r="J48" s="984">
        <f>SUM(G48:G53)</f>
        <v>250335.41739130433</v>
      </c>
      <c r="K48" s="984">
        <v>279249.76378276234</v>
      </c>
      <c r="L48" s="382"/>
      <c r="M48" s="375">
        <v>6</v>
      </c>
      <c r="N48" s="690" t="s">
        <v>351</v>
      </c>
      <c r="O48" s="778" t="s">
        <v>350</v>
      </c>
      <c r="P48" s="779">
        <v>0.5</v>
      </c>
      <c r="Q48" s="780">
        <f>AB24-302612.75</f>
        <v>883467.09999999986</v>
      </c>
      <c r="R48" s="780">
        <f>P48*$Q$48</f>
        <v>441733.54999999993</v>
      </c>
      <c r="S48" s="638" t="s">
        <v>352</v>
      </c>
      <c r="T48" s="811">
        <v>45291</v>
      </c>
      <c r="U48" s="841">
        <v>104001.42072426324</v>
      </c>
      <c r="V48" s="965">
        <f>K48-SUM(U48:U53)</f>
        <v>0</v>
      </c>
      <c r="W48" s="830">
        <v>45303</v>
      </c>
      <c r="X48" s="990">
        <f>SUM(R48:R53)</f>
        <v>1186079.8499999999</v>
      </c>
      <c r="Y48" s="220"/>
      <c r="Z48" s="204"/>
    </row>
    <row r="49" spans="1:43" ht="14.25" customHeight="1">
      <c r="B49" s="383">
        <v>6</v>
      </c>
      <c r="C49" s="729">
        <v>250335.41739130433</v>
      </c>
      <c r="D49" s="385" t="s">
        <v>353</v>
      </c>
      <c r="E49" s="386"/>
      <c r="F49" s="387">
        <v>0.4</v>
      </c>
      <c r="G49" s="388">
        <f>F49*C49</f>
        <v>100134.16695652175</v>
      </c>
      <c r="H49" s="389">
        <f>'Project Plan'!G32+7</f>
        <v>45352</v>
      </c>
      <c r="I49" s="390"/>
      <c r="J49" s="985"/>
      <c r="K49" s="985"/>
      <c r="L49" s="391"/>
      <c r="M49" s="383">
        <v>6</v>
      </c>
      <c r="N49" s="677" t="s">
        <v>351</v>
      </c>
      <c r="O49" s="781" t="s">
        <v>353</v>
      </c>
      <c r="P49" s="782">
        <v>0.4</v>
      </c>
      <c r="Q49" s="770"/>
      <c r="R49" s="770">
        <f t="shared" ref="R49:R50" si="2">P49*$Q$48</f>
        <v>353386.83999999997</v>
      </c>
      <c r="S49" s="638" t="s">
        <v>354</v>
      </c>
      <c r="T49" s="818">
        <v>45382</v>
      </c>
      <c r="U49" s="842">
        <v>83201.136579410595</v>
      </c>
      <c r="V49" s="966"/>
      <c r="W49" s="831">
        <v>45373</v>
      </c>
      <c r="X49" s="991"/>
      <c r="Y49" s="214"/>
      <c r="Z49" s="197"/>
    </row>
    <row r="50" spans="1:43" ht="14.25" customHeight="1">
      <c r="B50" s="383">
        <v>6</v>
      </c>
      <c r="C50" s="384"/>
      <c r="D50" s="385" t="s">
        <v>355</v>
      </c>
      <c r="E50" s="386"/>
      <c r="F50" s="387">
        <v>0.1</v>
      </c>
      <c r="G50" s="388">
        <f>F50*C49</f>
        <v>25033.541739130436</v>
      </c>
      <c r="H50" s="389">
        <f>H49</f>
        <v>45352</v>
      </c>
      <c r="I50" s="390"/>
      <c r="J50" s="985"/>
      <c r="K50" s="985"/>
      <c r="L50" s="391"/>
      <c r="M50" s="383">
        <v>6</v>
      </c>
      <c r="N50" s="677" t="s">
        <v>351</v>
      </c>
      <c r="O50" s="881" t="s">
        <v>355</v>
      </c>
      <c r="P50" s="882">
        <v>0.1</v>
      </c>
      <c r="Q50" s="883"/>
      <c r="R50" s="883">
        <f t="shared" si="2"/>
        <v>88346.709999999992</v>
      </c>
      <c r="S50" s="585" t="s">
        <v>356</v>
      </c>
      <c r="T50" s="818">
        <v>45504</v>
      </c>
      <c r="U50" s="927">
        <v>20800.284144852649</v>
      </c>
      <c r="V50" s="966"/>
      <c r="W50" s="831">
        <v>45540</v>
      </c>
      <c r="X50" s="991"/>
      <c r="Y50" s="214"/>
      <c r="Z50" s="197"/>
    </row>
    <row r="51" spans="1:43" ht="14.25" customHeight="1">
      <c r="B51" s="425"/>
      <c r="C51" s="426"/>
      <c r="D51" s="446"/>
      <c r="E51" s="447"/>
      <c r="F51" s="448"/>
      <c r="G51" s="427"/>
      <c r="H51" s="428"/>
      <c r="I51" s="390"/>
      <c r="J51" s="985"/>
      <c r="K51" s="985"/>
      <c r="L51" s="391"/>
      <c r="M51" s="425">
        <v>6</v>
      </c>
      <c r="N51" s="696" t="s">
        <v>351</v>
      </c>
      <c r="O51" s="810" t="s">
        <v>357</v>
      </c>
      <c r="P51" s="795"/>
      <c r="Q51" s="784">
        <v>302612.75</v>
      </c>
      <c r="R51" s="784">
        <f>302612.75*0.5</f>
        <v>151306.375</v>
      </c>
      <c r="S51" s="832" t="s">
        <v>352</v>
      </c>
      <c r="T51" s="833">
        <v>45291</v>
      </c>
      <c r="U51" s="842">
        <v>35623.46116711793</v>
      </c>
      <c r="V51" s="966"/>
      <c r="W51" s="834">
        <v>45278</v>
      </c>
      <c r="X51" s="991"/>
      <c r="Y51" s="224"/>
      <c r="Z51" s="208"/>
    </row>
    <row r="52" spans="1:43" ht="14.25" customHeight="1">
      <c r="B52" s="425"/>
      <c r="C52" s="426"/>
      <c r="D52" s="446"/>
      <c r="E52" s="447"/>
      <c r="F52" s="448"/>
      <c r="G52" s="427"/>
      <c r="H52" s="428"/>
      <c r="I52" s="390"/>
      <c r="J52" s="985"/>
      <c r="K52" s="985"/>
      <c r="L52" s="391"/>
      <c r="M52" s="425">
        <v>6</v>
      </c>
      <c r="N52" s="696" t="s">
        <v>351</v>
      </c>
      <c r="O52" s="810" t="s">
        <v>358</v>
      </c>
      <c r="P52" s="795"/>
      <c r="Q52" s="784"/>
      <c r="R52" s="784">
        <f>302612.75*0.5</f>
        <v>151306.375</v>
      </c>
      <c r="S52" s="832" t="s">
        <v>354</v>
      </c>
      <c r="T52" s="818">
        <v>45382</v>
      </c>
      <c r="U52" s="842">
        <v>35623.46116711793</v>
      </c>
      <c r="V52" s="966"/>
      <c r="W52" s="834">
        <f>W49</f>
        <v>45373</v>
      </c>
      <c r="X52" s="991"/>
      <c r="Y52" s="224"/>
      <c r="Z52" s="208"/>
    </row>
    <row r="53" spans="1:43" ht="15" customHeight="1" thickBot="1">
      <c r="B53" s="392">
        <v>6</v>
      </c>
      <c r="C53" s="650"/>
      <c r="D53" s="394"/>
      <c r="E53" s="395"/>
      <c r="F53" s="396"/>
      <c r="G53" s="397"/>
      <c r="H53" s="398"/>
      <c r="I53" s="399"/>
      <c r="J53" s="986"/>
      <c r="K53" s="986"/>
      <c r="L53" s="400"/>
      <c r="M53" s="392">
        <v>6</v>
      </c>
      <c r="N53" s="691" t="s">
        <v>351</v>
      </c>
      <c r="O53" s="692" t="s">
        <v>359</v>
      </c>
      <c r="P53" s="693"/>
      <c r="Q53" s="743"/>
      <c r="R53" s="397"/>
      <c r="S53" s="586"/>
      <c r="T53" s="546"/>
      <c r="U53" s="552">
        <f t="shared" ref="U53" si="3">R53/$X$48*$K$48</f>
        <v>0</v>
      </c>
      <c r="V53" s="967"/>
      <c r="W53" s="502"/>
      <c r="X53" s="992"/>
      <c r="Y53" s="221"/>
      <c r="Z53" s="205"/>
    </row>
    <row r="54" spans="1:43" ht="14.5" thickBot="1">
      <c r="A54" s="24"/>
      <c r="B54" s="370"/>
      <c r="C54" s="439"/>
      <c r="D54" s="402"/>
      <c r="E54" s="403"/>
      <c r="F54" s="404"/>
      <c r="G54" s="373"/>
      <c r="H54" s="352"/>
      <c r="I54" s="374"/>
      <c r="J54" s="353"/>
      <c r="K54" s="353"/>
      <c r="L54" s="24"/>
      <c r="M54" s="370"/>
      <c r="N54" s="671"/>
      <c r="O54" s="672"/>
      <c r="P54" s="673"/>
      <c r="Q54" s="674"/>
      <c r="R54" s="373"/>
      <c r="S54" s="541"/>
      <c r="T54" s="600"/>
      <c r="U54" s="541"/>
      <c r="V54" s="601"/>
      <c r="W54" s="498"/>
      <c r="X54" s="508"/>
      <c r="Y54" s="217"/>
      <c r="Z54" s="200"/>
      <c r="AE54" s="24"/>
      <c r="AF54" s="24"/>
      <c r="AG54" s="24"/>
      <c r="AH54" s="24"/>
      <c r="AI54" s="24"/>
      <c r="AJ54" s="24"/>
      <c r="AK54" s="24"/>
      <c r="AL54" s="24"/>
      <c r="AM54" s="24"/>
      <c r="AN54" s="24"/>
      <c r="AO54" s="24"/>
      <c r="AP54" s="24"/>
      <c r="AQ54" s="24"/>
    </row>
    <row r="55" spans="1:43" ht="14.25" customHeight="1">
      <c r="B55" s="602">
        <v>7</v>
      </c>
      <c r="C55" s="405" t="s">
        <v>360</v>
      </c>
      <c r="D55" s="603" t="s">
        <v>361</v>
      </c>
      <c r="E55" s="604"/>
      <c r="F55" s="605"/>
      <c r="G55" s="606">
        <v>9564809</v>
      </c>
      <c r="H55" s="607">
        <f>'Project Plan'!I33+14</f>
        <v>45320</v>
      </c>
      <c r="I55" s="359"/>
      <c r="J55" s="949">
        <f>SUM(G55:G74)</f>
        <v>10380642.333333334</v>
      </c>
      <c r="K55" s="949">
        <v>11579631.638640713</v>
      </c>
      <c r="L55" s="360"/>
      <c r="M55" s="602">
        <v>7</v>
      </c>
      <c r="N55" s="665" t="s">
        <v>362</v>
      </c>
      <c r="O55" s="757" t="s">
        <v>363</v>
      </c>
      <c r="P55" s="654">
        <v>6</v>
      </c>
      <c r="Q55" s="744">
        <v>1391200</v>
      </c>
      <c r="R55" s="763">
        <f>1000000/1.15</f>
        <v>869565.21739130444</v>
      </c>
      <c r="S55" s="588" t="s">
        <v>364</v>
      </c>
      <c r="T55" s="793">
        <v>45260</v>
      </c>
      <c r="U55" s="741">
        <v>1039087.1469589756</v>
      </c>
      <c r="V55" s="952">
        <f>K55-SUM(U55:U74)</f>
        <v>2.2428035736083984E-3</v>
      </c>
      <c r="W55" s="734">
        <v>45203</v>
      </c>
      <c r="X55" s="956">
        <f>SUM(R55:R74)</f>
        <v>9684222</v>
      </c>
      <c r="Y55" s="608"/>
      <c r="Z55" s="609"/>
    </row>
    <row r="56" spans="1:43" ht="14.25" customHeight="1">
      <c r="B56" s="747"/>
      <c r="C56" s="748"/>
      <c r="D56" s="749"/>
      <c r="E56" s="750"/>
      <c r="F56" s="751"/>
      <c r="G56" s="752"/>
      <c r="H56" s="753"/>
      <c r="I56" s="365"/>
      <c r="J56" s="950"/>
      <c r="K56" s="950"/>
      <c r="L56" s="366"/>
      <c r="M56" s="747"/>
      <c r="N56" s="683" t="s">
        <v>362</v>
      </c>
      <c r="O56" s="668" t="s">
        <v>363</v>
      </c>
      <c r="P56" s="761"/>
      <c r="Q56" s="762"/>
      <c r="R56" s="764">
        <f>2314898/1.15</f>
        <v>2012954.7826086958</v>
      </c>
      <c r="S56" s="565" t="s">
        <v>364</v>
      </c>
      <c r="T56" s="815">
        <v>45260</v>
      </c>
      <c r="U56" s="813">
        <v>2405380.7583210384</v>
      </c>
      <c r="V56" s="953"/>
      <c r="W56" s="819">
        <v>45219</v>
      </c>
      <c r="X56" s="957"/>
      <c r="Y56" s="652"/>
      <c r="Z56" s="653"/>
    </row>
    <row r="57" spans="1:43" ht="14.25" customHeight="1">
      <c r="B57" s="747"/>
      <c r="C57" s="748"/>
      <c r="D57" s="749"/>
      <c r="E57" s="750"/>
      <c r="F57" s="751"/>
      <c r="G57" s="752"/>
      <c r="H57" s="753"/>
      <c r="I57" s="365"/>
      <c r="J57" s="950"/>
      <c r="K57" s="950"/>
      <c r="L57" s="366"/>
      <c r="M57" s="747"/>
      <c r="N57" s="683" t="s">
        <v>362</v>
      </c>
      <c r="O57" s="760" t="s">
        <v>363</v>
      </c>
      <c r="P57" s="761"/>
      <c r="Q57" s="762"/>
      <c r="R57" s="764">
        <f>500000/1.15</f>
        <v>434782.60869565222</v>
      </c>
      <c r="S57" s="583" t="s">
        <v>364</v>
      </c>
      <c r="T57" s="815">
        <v>45260</v>
      </c>
      <c r="U57" s="738">
        <v>519543.57347948779</v>
      </c>
      <c r="V57" s="953"/>
      <c r="W57" s="819">
        <v>45233</v>
      </c>
      <c r="X57" s="957"/>
      <c r="Y57" s="652"/>
      <c r="Z57" s="653"/>
    </row>
    <row r="58" spans="1:43" ht="14.25" customHeight="1">
      <c r="B58" s="747"/>
      <c r="C58" s="748"/>
      <c r="D58" s="749"/>
      <c r="E58" s="750"/>
      <c r="F58" s="751"/>
      <c r="G58" s="752"/>
      <c r="H58" s="753"/>
      <c r="I58" s="365"/>
      <c r="J58" s="950"/>
      <c r="K58" s="950"/>
      <c r="L58" s="366"/>
      <c r="M58" s="747"/>
      <c r="N58" s="667" t="s">
        <v>362</v>
      </c>
      <c r="O58" s="668" t="s">
        <v>363</v>
      </c>
      <c r="P58" s="633"/>
      <c r="Q58" s="730"/>
      <c r="R58" s="764">
        <f>4400000/1.15</f>
        <v>3826086.9565217393</v>
      </c>
      <c r="S58" s="565" t="s">
        <v>364</v>
      </c>
      <c r="T58" s="815">
        <v>45260</v>
      </c>
      <c r="U58" s="738">
        <v>4571983.446619493</v>
      </c>
      <c r="V58" s="953"/>
      <c r="W58" s="819">
        <v>45240</v>
      </c>
      <c r="X58" s="957"/>
      <c r="Y58" s="652"/>
      <c r="Z58" s="653"/>
    </row>
    <row r="59" spans="1:43" ht="14.25" customHeight="1">
      <c r="B59" s="747"/>
      <c r="C59" s="748"/>
      <c r="D59" s="749"/>
      <c r="E59" s="750"/>
      <c r="F59" s="751"/>
      <c r="G59" s="752"/>
      <c r="H59" s="753"/>
      <c r="I59" s="365"/>
      <c r="J59" s="950"/>
      <c r="K59" s="950"/>
      <c r="L59" s="366"/>
      <c r="M59" s="747"/>
      <c r="N59" s="754" t="s">
        <v>362</v>
      </c>
      <c r="O59" s="758" t="s">
        <v>363</v>
      </c>
      <c r="P59" s="755"/>
      <c r="Q59" s="756"/>
      <c r="R59" s="752">
        <f>8347200-R55-R56-R57-R58</f>
        <v>1203810.4347826084</v>
      </c>
      <c r="S59" s="565" t="s">
        <v>364</v>
      </c>
      <c r="T59" s="815">
        <v>45260</v>
      </c>
      <c r="U59" s="738">
        <v>1438493.5426813602</v>
      </c>
      <c r="V59" s="953"/>
      <c r="W59" s="759">
        <v>45240</v>
      </c>
      <c r="X59" s="957"/>
      <c r="Y59" s="652"/>
      <c r="Z59" s="653"/>
    </row>
    <row r="60" spans="1:43" ht="14.25" customHeight="1">
      <c r="B60" s="610">
        <v>7</v>
      </c>
      <c r="C60" s="611"/>
      <c r="D60" s="612"/>
      <c r="E60" s="613"/>
      <c r="F60" s="614"/>
      <c r="G60" s="615"/>
      <c r="H60" s="616"/>
      <c r="I60" s="365"/>
      <c r="J60" s="950"/>
      <c r="K60" s="950"/>
      <c r="L60" s="366"/>
      <c r="M60" s="610">
        <v>7</v>
      </c>
      <c r="N60" s="688" t="s">
        <v>362</v>
      </c>
      <c r="O60" s="695" t="s">
        <v>365</v>
      </c>
      <c r="P60" s="713"/>
      <c r="Q60" s="732"/>
      <c r="R60" s="615">
        <v>545000</v>
      </c>
      <c r="S60" s="565" t="s">
        <v>364</v>
      </c>
      <c r="T60" s="815">
        <v>45260</v>
      </c>
      <c r="U60" s="738">
        <v>651247.86935653782</v>
      </c>
      <c r="V60" s="953"/>
      <c r="W60" s="792">
        <v>45253</v>
      </c>
      <c r="X60" s="957"/>
      <c r="Y60" s="652"/>
      <c r="Z60" s="653"/>
    </row>
    <row r="61" spans="1:43" ht="14.25" customHeight="1">
      <c r="B61" s="610">
        <v>7</v>
      </c>
      <c r="C61" s="611"/>
      <c r="D61" s="612"/>
      <c r="E61" s="613"/>
      <c r="F61" s="614"/>
      <c r="G61" s="615"/>
      <c r="H61" s="616"/>
      <c r="I61" s="365"/>
      <c r="J61" s="950"/>
      <c r="K61" s="950"/>
      <c r="L61" s="366"/>
      <c r="M61" s="610">
        <v>7</v>
      </c>
      <c r="N61" s="688" t="s">
        <v>362</v>
      </c>
      <c r="O61" s="695" t="s">
        <v>366</v>
      </c>
      <c r="P61" s="713"/>
      <c r="Q61" s="732"/>
      <c r="R61" s="615">
        <v>380800</v>
      </c>
      <c r="S61" s="565" t="s">
        <v>364</v>
      </c>
      <c r="T61" s="815">
        <v>45260</v>
      </c>
      <c r="U61" s="738">
        <v>455037.04339627462</v>
      </c>
      <c r="V61" s="953"/>
      <c r="W61" s="792">
        <v>45253</v>
      </c>
      <c r="X61" s="957"/>
      <c r="Y61" s="652"/>
      <c r="Z61" s="653"/>
    </row>
    <row r="62" spans="1:43" ht="14.25" customHeight="1">
      <c r="B62" s="610">
        <v>7</v>
      </c>
      <c r="C62" s="611"/>
      <c r="D62" s="612"/>
      <c r="E62" s="613"/>
      <c r="F62" s="614"/>
      <c r="G62" s="615"/>
      <c r="H62" s="616"/>
      <c r="I62" s="365"/>
      <c r="J62" s="950"/>
      <c r="K62" s="950"/>
      <c r="L62" s="366"/>
      <c r="M62" s="610">
        <v>7</v>
      </c>
      <c r="N62" s="688" t="s">
        <v>362</v>
      </c>
      <c r="O62" s="695" t="s">
        <v>367</v>
      </c>
      <c r="P62" s="713"/>
      <c r="Q62" s="732"/>
      <c r="R62" s="615">
        <v>311600</v>
      </c>
      <c r="S62" s="565" t="s">
        <v>364</v>
      </c>
      <c r="T62" s="812">
        <v>45260</v>
      </c>
      <c r="U62" s="738">
        <v>372346.48824127926</v>
      </c>
      <c r="V62" s="953"/>
      <c r="W62" s="792">
        <v>45253</v>
      </c>
      <c r="X62" s="957"/>
      <c r="Y62" s="652"/>
      <c r="Z62" s="653"/>
    </row>
    <row r="63" spans="1:43" ht="14.25" customHeight="1">
      <c r="B63" s="610">
        <v>7</v>
      </c>
      <c r="C63" s="611"/>
      <c r="D63" s="612"/>
      <c r="E63" s="613"/>
      <c r="F63" s="614"/>
      <c r="G63" s="615"/>
      <c r="H63" s="616"/>
      <c r="I63" s="365"/>
      <c r="J63" s="950"/>
      <c r="K63" s="950"/>
      <c r="L63" s="366"/>
      <c r="M63" s="610">
        <v>7</v>
      </c>
      <c r="N63" s="688" t="s">
        <v>362</v>
      </c>
      <c r="O63" s="695" t="s">
        <v>368</v>
      </c>
      <c r="P63" s="713"/>
      <c r="Q63" s="732"/>
      <c r="R63" s="615">
        <v>11900</v>
      </c>
      <c r="S63" s="565" t="s">
        <v>364</v>
      </c>
      <c r="T63" s="812">
        <v>45260</v>
      </c>
      <c r="U63" s="738">
        <v>14219.907606133582</v>
      </c>
      <c r="V63" s="953"/>
      <c r="W63" s="792">
        <v>45253</v>
      </c>
      <c r="X63" s="957"/>
      <c r="Y63" s="652"/>
      <c r="Z63" s="653"/>
    </row>
    <row r="64" spans="1:43" ht="14.25" customHeight="1">
      <c r="B64" s="610"/>
      <c r="C64" s="611"/>
      <c r="D64" s="612"/>
      <c r="E64" s="613"/>
      <c r="F64" s="614"/>
      <c r="G64" s="615"/>
      <c r="H64" s="616"/>
      <c r="I64" s="365"/>
      <c r="J64" s="950"/>
      <c r="K64" s="950"/>
      <c r="L64" s="366"/>
      <c r="M64" s="610"/>
      <c r="N64" s="688" t="s">
        <v>362</v>
      </c>
      <c r="O64" s="695" t="s">
        <v>369</v>
      </c>
      <c r="P64" s="713"/>
      <c r="Q64" s="732"/>
      <c r="R64" s="615">
        <v>-10710</v>
      </c>
      <c r="S64" s="565" t="s">
        <v>370</v>
      </c>
      <c r="T64" s="812">
        <v>45291</v>
      </c>
      <c r="U64" s="738">
        <v>-12783.998928137884</v>
      </c>
      <c r="V64" s="953"/>
      <c r="W64" s="792">
        <v>45260</v>
      </c>
      <c r="X64" s="957"/>
      <c r="Y64" s="652"/>
      <c r="Z64" s="653"/>
    </row>
    <row r="65" spans="1:43" ht="14.25" customHeight="1">
      <c r="B65" s="610">
        <v>7</v>
      </c>
      <c r="C65" s="611"/>
      <c r="D65" s="612"/>
      <c r="E65" s="613"/>
      <c r="F65" s="614"/>
      <c r="G65" s="615"/>
      <c r="H65" s="616"/>
      <c r="I65" s="365"/>
      <c r="J65" s="950"/>
      <c r="K65" s="950"/>
      <c r="L65" s="366"/>
      <c r="M65" s="610">
        <v>7</v>
      </c>
      <c r="N65" s="688" t="s">
        <v>362</v>
      </c>
      <c r="O65" s="695" t="s">
        <v>371</v>
      </c>
      <c r="P65" s="713"/>
      <c r="Q65" s="732"/>
      <c r="R65" s="615">
        <v>11900</v>
      </c>
      <c r="S65" s="565" t="s">
        <v>364</v>
      </c>
      <c r="T65" s="812">
        <v>45260</v>
      </c>
      <c r="U65" s="738">
        <v>14219.907606133582</v>
      </c>
      <c r="V65" s="953"/>
      <c r="W65" s="792">
        <v>45253</v>
      </c>
      <c r="X65" s="957"/>
      <c r="Y65" s="652"/>
      <c r="Z65" s="653"/>
    </row>
    <row r="66" spans="1:43" ht="14.25" customHeight="1">
      <c r="B66" s="610">
        <v>7</v>
      </c>
      <c r="C66" s="611"/>
      <c r="D66" s="612"/>
      <c r="E66" s="613"/>
      <c r="F66" s="614"/>
      <c r="G66" s="615"/>
      <c r="H66" s="616"/>
      <c r="I66" s="365"/>
      <c r="J66" s="950"/>
      <c r="K66" s="950"/>
      <c r="L66" s="366"/>
      <c r="M66" s="610">
        <v>7</v>
      </c>
      <c r="N66" s="688" t="s">
        <v>362</v>
      </c>
      <c r="O66" s="695" t="s">
        <v>372</v>
      </c>
      <c r="P66" s="713"/>
      <c r="Q66" s="732"/>
      <c r="R66" s="615">
        <v>-10710</v>
      </c>
      <c r="S66" s="625" t="s">
        <v>370</v>
      </c>
      <c r="T66" s="812">
        <v>45291</v>
      </c>
      <c r="U66" s="738">
        <v>-12783.998928137884</v>
      </c>
      <c r="V66" s="953"/>
      <c r="W66" s="792">
        <v>45260</v>
      </c>
      <c r="X66" s="957"/>
      <c r="Y66" s="652"/>
      <c r="Z66" s="653"/>
    </row>
    <row r="67" spans="1:43" ht="14.25" customHeight="1">
      <c r="B67" s="610">
        <v>7</v>
      </c>
      <c r="C67" s="611"/>
      <c r="D67" s="612" t="s">
        <v>373</v>
      </c>
      <c r="E67" s="613"/>
      <c r="F67" s="614"/>
      <c r="G67" s="615">
        <v>382500</v>
      </c>
      <c r="H67" s="616">
        <f>H86</f>
        <v>45264</v>
      </c>
      <c r="I67" s="365"/>
      <c r="J67" s="950"/>
      <c r="K67" s="950"/>
      <c r="L67" s="366"/>
      <c r="M67" s="610">
        <v>7</v>
      </c>
      <c r="N67" s="688" t="s">
        <v>362</v>
      </c>
      <c r="O67" s="695"/>
      <c r="P67" s="713"/>
      <c r="Q67" s="732"/>
      <c r="R67" s="615"/>
      <c r="S67" s="566"/>
      <c r="T67" s="547"/>
      <c r="U67" s="738">
        <v>0</v>
      </c>
      <c r="V67" s="954"/>
      <c r="W67" s="617"/>
      <c r="X67" s="957"/>
      <c r="Y67" s="526"/>
      <c r="Z67" s="527"/>
    </row>
    <row r="68" spans="1:43" ht="14.25" customHeight="1">
      <c r="B68" s="610">
        <v>7</v>
      </c>
      <c r="C68" s="611"/>
      <c r="D68" s="612" t="s">
        <v>374</v>
      </c>
      <c r="E68" s="613"/>
      <c r="F68" s="614"/>
      <c r="G68" s="615">
        <v>433333.33333333331</v>
      </c>
      <c r="H68" s="616">
        <f>H89</f>
        <v>45357</v>
      </c>
      <c r="I68" s="365"/>
      <c r="J68" s="950"/>
      <c r="K68" s="950"/>
      <c r="L68" s="366"/>
      <c r="M68" s="610">
        <v>7</v>
      </c>
      <c r="N68" s="688" t="s">
        <v>362</v>
      </c>
      <c r="O68" s="695" t="s">
        <v>375</v>
      </c>
      <c r="P68" s="713"/>
      <c r="Q68" s="732"/>
      <c r="R68" s="615"/>
      <c r="S68" s="566"/>
      <c r="T68" s="547"/>
      <c r="U68" s="738">
        <v>0</v>
      </c>
      <c r="V68" s="954"/>
      <c r="W68" s="617"/>
      <c r="X68" s="957"/>
      <c r="Y68" s="526"/>
      <c r="Z68" s="527"/>
    </row>
    <row r="69" spans="1:43" ht="14.25" customHeight="1">
      <c r="B69" s="610">
        <v>7</v>
      </c>
      <c r="C69" s="611"/>
      <c r="D69" s="612"/>
      <c r="E69" s="613"/>
      <c r="F69" s="614"/>
      <c r="G69" s="615"/>
      <c r="H69" s="616"/>
      <c r="I69" s="365"/>
      <c r="J69" s="950"/>
      <c r="K69" s="950"/>
      <c r="L69" s="366"/>
      <c r="M69" s="610">
        <v>7</v>
      </c>
      <c r="N69" s="688" t="s">
        <v>362</v>
      </c>
      <c r="O69" s="695" t="s">
        <v>376</v>
      </c>
      <c r="P69" s="713"/>
      <c r="Q69" s="732"/>
      <c r="R69" s="615">
        <f>31192</f>
        <v>31192</v>
      </c>
      <c r="S69" s="625" t="s">
        <v>377</v>
      </c>
      <c r="T69" s="814">
        <v>45291</v>
      </c>
      <c r="U69" s="738">
        <v>37232.352433844717</v>
      </c>
      <c r="V69" s="954"/>
      <c r="W69" s="792">
        <v>45268</v>
      </c>
      <c r="X69" s="957"/>
      <c r="Y69" s="526"/>
      <c r="Z69" s="527"/>
    </row>
    <row r="70" spans="1:43" ht="14.25" customHeight="1">
      <c r="B70" s="610"/>
      <c r="C70" s="611"/>
      <c r="D70" s="612"/>
      <c r="E70" s="613"/>
      <c r="F70" s="614"/>
      <c r="G70" s="615"/>
      <c r="H70" s="616"/>
      <c r="I70" s="365"/>
      <c r="J70" s="950"/>
      <c r="K70" s="950"/>
      <c r="L70" s="366"/>
      <c r="M70" s="610">
        <v>7</v>
      </c>
      <c r="N70" s="688" t="s">
        <v>362</v>
      </c>
      <c r="O70" s="695" t="s">
        <v>378</v>
      </c>
      <c r="P70" s="713"/>
      <c r="Q70" s="732"/>
      <c r="R70" s="615">
        <v>3000</v>
      </c>
      <c r="S70" s="625" t="s">
        <v>377</v>
      </c>
      <c r="T70" s="814">
        <v>45291</v>
      </c>
      <c r="U70" s="738">
        <v>3580.952080710892</v>
      </c>
      <c r="V70" s="954"/>
      <c r="W70" s="792">
        <v>45268</v>
      </c>
      <c r="X70" s="957"/>
      <c r="Y70" s="526"/>
      <c r="Z70" s="527"/>
    </row>
    <row r="71" spans="1:43" ht="14.25" customHeight="1">
      <c r="B71" s="610"/>
      <c r="C71" s="611"/>
      <c r="D71" s="612"/>
      <c r="E71" s="613"/>
      <c r="F71" s="614"/>
      <c r="G71" s="615"/>
      <c r="H71" s="616"/>
      <c r="I71" s="365"/>
      <c r="J71" s="950"/>
      <c r="K71" s="950"/>
      <c r="L71" s="366"/>
      <c r="M71" s="610">
        <v>7</v>
      </c>
      <c r="N71" s="688" t="s">
        <v>362</v>
      </c>
      <c r="O71" s="695" t="s">
        <v>379</v>
      </c>
      <c r="P71" s="713"/>
      <c r="Q71" s="732"/>
      <c r="R71" s="615">
        <v>15100</v>
      </c>
      <c r="S71" s="625" t="s">
        <v>380</v>
      </c>
      <c r="T71" s="814">
        <v>45291</v>
      </c>
      <c r="U71" s="738">
        <v>18024.125472911488</v>
      </c>
      <c r="V71" s="954"/>
      <c r="W71" s="792">
        <v>45282</v>
      </c>
      <c r="X71" s="957"/>
      <c r="Y71" s="526" t="s">
        <v>381</v>
      </c>
      <c r="Z71" s="527" t="s">
        <v>382</v>
      </c>
    </row>
    <row r="72" spans="1:43" ht="14.25" customHeight="1">
      <c r="B72" s="610"/>
      <c r="C72" s="611"/>
      <c r="D72" s="612"/>
      <c r="E72" s="613"/>
      <c r="F72" s="614"/>
      <c r="G72" s="615"/>
      <c r="H72" s="616"/>
      <c r="I72" s="365"/>
      <c r="J72" s="950"/>
      <c r="K72" s="950"/>
      <c r="L72" s="366"/>
      <c r="M72" s="610"/>
      <c r="N72" s="688" t="s">
        <v>362</v>
      </c>
      <c r="O72" s="695" t="s">
        <v>379</v>
      </c>
      <c r="P72" s="713"/>
      <c r="Q72" s="732"/>
      <c r="R72" s="615">
        <v>-7550</v>
      </c>
      <c r="S72" s="625" t="s">
        <v>383</v>
      </c>
      <c r="T72" s="814">
        <v>45291</v>
      </c>
      <c r="U72" s="738">
        <v>0</v>
      </c>
      <c r="V72" s="954"/>
      <c r="W72" s="792">
        <v>45271</v>
      </c>
      <c r="X72" s="957"/>
      <c r="Y72" s="526"/>
      <c r="Z72" s="527"/>
    </row>
    <row r="73" spans="1:43" ht="14.25" customHeight="1">
      <c r="B73" s="610"/>
      <c r="C73" s="611"/>
      <c r="D73" s="612"/>
      <c r="E73" s="613"/>
      <c r="F73" s="614"/>
      <c r="G73" s="615"/>
      <c r="H73" s="616"/>
      <c r="I73" s="365"/>
      <c r="J73" s="950"/>
      <c r="K73" s="950"/>
      <c r="L73" s="366"/>
      <c r="M73" s="610"/>
      <c r="N73" s="688" t="s">
        <v>362</v>
      </c>
      <c r="O73" s="695" t="s">
        <v>384</v>
      </c>
      <c r="P73" s="713"/>
      <c r="Q73" s="732"/>
      <c r="R73" s="615">
        <v>55500</v>
      </c>
      <c r="S73" s="625" t="s">
        <v>385</v>
      </c>
      <c r="T73" s="814">
        <v>45412</v>
      </c>
      <c r="U73" s="738">
        <v>64802.52</v>
      </c>
      <c r="V73" s="954"/>
      <c r="W73" s="792">
        <v>45397</v>
      </c>
      <c r="X73" s="957"/>
      <c r="Y73" s="526" t="s">
        <v>386</v>
      </c>
      <c r="Z73" s="527"/>
    </row>
    <row r="74" spans="1:43" ht="15" customHeight="1" thickBot="1">
      <c r="B74" s="414">
        <v>7</v>
      </c>
      <c r="C74" s="452"/>
      <c r="D74" s="436"/>
      <c r="E74" s="417"/>
      <c r="F74" s="437"/>
      <c r="G74" s="438"/>
      <c r="H74" s="367"/>
      <c r="I74" s="368"/>
      <c r="J74" s="951"/>
      <c r="K74" s="951"/>
      <c r="L74" s="369"/>
      <c r="M74" s="414">
        <v>7</v>
      </c>
      <c r="N74" s="669" t="s">
        <v>362</v>
      </c>
      <c r="O74" s="809"/>
      <c r="P74" s="655"/>
      <c r="Q74" s="670"/>
      <c r="R74" s="438"/>
      <c r="S74" s="589"/>
      <c r="T74" s="543"/>
      <c r="U74" s="550"/>
      <c r="V74" s="955"/>
      <c r="W74" s="501"/>
      <c r="X74" s="958"/>
      <c r="Y74" s="219"/>
      <c r="Z74" s="203" t="s">
        <v>387</v>
      </c>
    </row>
    <row r="75" spans="1:43" ht="14.5" thickBot="1">
      <c r="A75" s="24"/>
      <c r="B75" s="370"/>
      <c r="C75" s="439"/>
      <c r="D75" s="402"/>
      <c r="E75" s="403"/>
      <c r="F75" s="404"/>
      <c r="G75" s="373"/>
      <c r="H75" s="352"/>
      <c r="I75" s="374"/>
      <c r="J75" s="353"/>
      <c r="K75" s="353"/>
      <c r="L75" s="24"/>
      <c r="M75" s="370"/>
      <c r="N75" s="671"/>
      <c r="O75" s="672"/>
      <c r="P75" s="673"/>
      <c r="Q75" s="674"/>
      <c r="R75" s="373"/>
      <c r="S75" s="541"/>
      <c r="T75" s="600"/>
      <c r="U75" s="541"/>
      <c r="V75" s="601"/>
      <c r="W75" s="498"/>
      <c r="X75" s="508"/>
      <c r="Y75" s="217"/>
      <c r="Z75" s="200"/>
      <c r="AE75" s="24"/>
      <c r="AF75" s="24"/>
      <c r="AG75" s="24"/>
      <c r="AH75" s="24"/>
      <c r="AI75" s="24"/>
      <c r="AJ75" s="24"/>
      <c r="AK75" s="24"/>
      <c r="AL75" s="24"/>
      <c r="AM75" s="24"/>
      <c r="AN75" s="24"/>
      <c r="AO75" s="24"/>
      <c r="AP75" s="24"/>
      <c r="AQ75" s="24"/>
    </row>
    <row r="76" spans="1:43" ht="14.25" customHeight="1">
      <c r="B76" s="440">
        <v>8</v>
      </c>
      <c r="C76" s="376" t="s">
        <v>388</v>
      </c>
      <c r="D76" s="441"/>
      <c r="E76" s="442"/>
      <c r="F76" s="443"/>
      <c r="G76" s="444"/>
      <c r="H76" s="445"/>
      <c r="I76" s="381"/>
      <c r="J76" s="984">
        <f>SUM(G76:G84)</f>
        <v>0</v>
      </c>
      <c r="K76" s="984">
        <v>0</v>
      </c>
      <c r="L76" s="382"/>
      <c r="M76" s="440">
        <v>8</v>
      </c>
      <c r="N76" s="675" t="s">
        <v>389</v>
      </c>
      <c r="O76" s="915" t="s">
        <v>390</v>
      </c>
      <c r="P76" s="916"/>
      <c r="Q76" s="917"/>
      <c r="R76" s="918">
        <v>32856.480000000003</v>
      </c>
      <c r="S76" s="892" t="s">
        <v>391</v>
      </c>
      <c r="T76" s="891">
        <v>45443</v>
      </c>
      <c r="U76" s="841">
        <v>0</v>
      </c>
      <c r="V76" s="962">
        <f>K76-SUM(U76:U84)</f>
        <v>0</v>
      </c>
      <c r="W76" s="895">
        <v>45449</v>
      </c>
      <c r="X76" s="990">
        <f>SUM(R76:R84)</f>
        <v>291094.63</v>
      </c>
      <c r="Y76" s="225"/>
      <c r="Z76" s="209"/>
    </row>
    <row r="77" spans="1:43" ht="14.25" customHeight="1">
      <c r="B77" s="425">
        <v>8</v>
      </c>
      <c r="C77" s="426"/>
      <c r="D77" s="446"/>
      <c r="E77" s="447"/>
      <c r="F77" s="448"/>
      <c r="G77" s="427"/>
      <c r="H77" s="428"/>
      <c r="I77" s="390"/>
      <c r="J77" s="985"/>
      <c r="K77" s="985"/>
      <c r="L77" s="391"/>
      <c r="M77" s="425">
        <v>8</v>
      </c>
      <c r="N77" s="696" t="s">
        <v>389</v>
      </c>
      <c r="O77" s="681" t="s">
        <v>392</v>
      </c>
      <c r="P77" s="697"/>
      <c r="Q77" s="698"/>
      <c r="R77" s="427">
        <v>16045.8</v>
      </c>
      <c r="S77" s="832" t="s">
        <v>393</v>
      </c>
      <c r="T77" s="833">
        <v>45322</v>
      </c>
      <c r="U77" s="842">
        <v>0</v>
      </c>
      <c r="V77" s="963"/>
      <c r="W77" s="834">
        <v>45330</v>
      </c>
      <c r="X77" s="991"/>
      <c r="Y77" s="224"/>
      <c r="Z77" s="208"/>
    </row>
    <row r="78" spans="1:43" ht="14.25" customHeight="1">
      <c r="B78" s="425">
        <v>8</v>
      </c>
      <c r="C78" s="426"/>
      <c r="D78" s="446"/>
      <c r="E78" s="447"/>
      <c r="F78" s="448"/>
      <c r="G78" s="427"/>
      <c r="H78" s="428"/>
      <c r="I78" s="390"/>
      <c r="J78" s="985"/>
      <c r="K78" s="985"/>
      <c r="L78" s="391"/>
      <c r="M78" s="425">
        <v>8</v>
      </c>
      <c r="N78" s="696" t="s">
        <v>389</v>
      </c>
      <c r="O78" s="681" t="s">
        <v>394</v>
      </c>
      <c r="P78" s="697"/>
      <c r="Q78" s="698"/>
      <c r="R78" s="427">
        <v>15045.8</v>
      </c>
      <c r="S78" s="832" t="s">
        <v>395</v>
      </c>
      <c r="T78" s="833">
        <v>45351</v>
      </c>
      <c r="U78" s="842">
        <v>0</v>
      </c>
      <c r="V78" s="963"/>
      <c r="W78" s="834">
        <v>45351</v>
      </c>
      <c r="X78" s="991"/>
      <c r="Y78" s="224"/>
      <c r="Z78" s="208"/>
    </row>
    <row r="79" spans="1:43" ht="14.25" customHeight="1">
      <c r="B79" s="425"/>
      <c r="C79" s="426"/>
      <c r="D79" s="446"/>
      <c r="E79" s="447"/>
      <c r="F79" s="448"/>
      <c r="G79" s="427"/>
      <c r="H79" s="428"/>
      <c r="I79" s="390"/>
      <c r="J79" s="985"/>
      <c r="K79" s="985"/>
      <c r="L79" s="391"/>
      <c r="M79" s="425">
        <v>8</v>
      </c>
      <c r="N79" s="696" t="s">
        <v>389</v>
      </c>
      <c r="O79" s="904" t="s">
        <v>396</v>
      </c>
      <c r="P79" s="697"/>
      <c r="Q79" s="698"/>
      <c r="R79" s="427">
        <v>267.14999999999998</v>
      </c>
      <c r="S79" s="832" t="s">
        <v>333</v>
      </c>
      <c r="T79" s="833">
        <v>45443</v>
      </c>
      <c r="U79" s="905">
        <v>0</v>
      </c>
      <c r="V79" s="963"/>
      <c r="W79" s="834">
        <v>45449</v>
      </c>
      <c r="X79" s="991"/>
      <c r="Y79" s="224"/>
      <c r="Z79" s="208"/>
    </row>
    <row r="80" spans="1:43" ht="14.25" customHeight="1">
      <c r="B80" s="425"/>
      <c r="C80" s="426"/>
      <c r="D80" s="446"/>
      <c r="E80" s="447"/>
      <c r="F80" s="448"/>
      <c r="G80" s="427"/>
      <c r="H80" s="428"/>
      <c r="I80" s="390"/>
      <c r="J80" s="985"/>
      <c r="K80" s="985"/>
      <c r="L80" s="391"/>
      <c r="M80" s="425">
        <v>8</v>
      </c>
      <c r="N80" s="696" t="s">
        <v>389</v>
      </c>
      <c r="O80" s="904" t="s">
        <v>397</v>
      </c>
      <c r="P80" s="921"/>
      <c r="Q80" s="922"/>
      <c r="R80" s="925">
        <v>21890</v>
      </c>
      <c r="S80" s="832" t="s">
        <v>398</v>
      </c>
      <c r="T80" s="833">
        <v>45504</v>
      </c>
      <c r="U80" s="905">
        <v>0</v>
      </c>
      <c r="V80" s="963"/>
      <c r="W80" s="834">
        <v>45497</v>
      </c>
      <c r="X80" s="991"/>
      <c r="Y80" s="224" t="s">
        <v>399</v>
      </c>
      <c r="Z80" s="208"/>
    </row>
    <row r="81" spans="1:43" ht="14.25" customHeight="1">
      <c r="B81" s="425"/>
      <c r="C81" s="426"/>
      <c r="D81" s="446"/>
      <c r="E81" s="447"/>
      <c r="F81" s="448"/>
      <c r="G81" s="427"/>
      <c r="H81" s="428"/>
      <c r="I81" s="390"/>
      <c r="J81" s="985"/>
      <c r="K81" s="985"/>
      <c r="L81" s="391"/>
      <c r="M81" s="425">
        <v>8</v>
      </c>
      <c r="N81" s="696" t="s">
        <v>389</v>
      </c>
      <c r="O81" s="904" t="s">
        <v>400</v>
      </c>
      <c r="P81" s="921">
        <v>0.5</v>
      </c>
      <c r="Q81" s="926">
        <v>202189.4</v>
      </c>
      <c r="R81" s="427">
        <f>P81*Q81</f>
        <v>101094.7</v>
      </c>
      <c r="S81" s="832" t="s">
        <v>401</v>
      </c>
      <c r="T81" s="833">
        <v>45504</v>
      </c>
      <c r="U81" s="905">
        <v>0</v>
      </c>
      <c r="V81" s="963"/>
      <c r="W81" s="834">
        <v>45505</v>
      </c>
      <c r="X81" s="991"/>
      <c r="Y81" s="224" t="s">
        <v>402</v>
      </c>
      <c r="Z81" s="208"/>
    </row>
    <row r="82" spans="1:43" ht="14.25" customHeight="1">
      <c r="B82" s="425"/>
      <c r="C82" s="426"/>
      <c r="D82" s="446"/>
      <c r="E82" s="447"/>
      <c r="F82" s="448"/>
      <c r="G82" s="427"/>
      <c r="H82" s="428"/>
      <c r="I82" s="390"/>
      <c r="J82" s="985"/>
      <c r="K82" s="985"/>
      <c r="L82" s="391"/>
      <c r="M82" s="425">
        <v>8</v>
      </c>
      <c r="N82" s="696" t="s">
        <v>389</v>
      </c>
      <c r="O82" s="904" t="s">
        <v>400</v>
      </c>
      <c r="P82" s="921">
        <v>0.5</v>
      </c>
      <c r="Q82" s="926"/>
      <c r="R82" s="427">
        <f>Q81*P82</f>
        <v>101094.7</v>
      </c>
      <c r="S82" s="832" t="s">
        <v>401</v>
      </c>
      <c r="T82" s="833">
        <v>45504</v>
      </c>
      <c r="U82" s="905">
        <v>0</v>
      </c>
      <c r="V82" s="963"/>
      <c r="W82" s="834">
        <v>45533</v>
      </c>
      <c r="X82" s="991"/>
      <c r="Y82" s="224"/>
      <c r="Z82" s="208"/>
    </row>
    <row r="83" spans="1:43" ht="14.25" customHeight="1">
      <c r="B83" s="425"/>
      <c r="C83" s="426"/>
      <c r="D83" s="446"/>
      <c r="E83" s="447"/>
      <c r="F83" s="448"/>
      <c r="G83" s="427"/>
      <c r="H83" s="428"/>
      <c r="I83" s="390"/>
      <c r="J83" s="985"/>
      <c r="K83" s="985"/>
      <c r="L83" s="391"/>
      <c r="M83" s="425"/>
      <c r="N83" s="696" t="s">
        <v>389</v>
      </c>
      <c r="O83" s="904" t="s">
        <v>403</v>
      </c>
      <c r="P83" s="921"/>
      <c r="Q83" s="926"/>
      <c r="R83" s="427"/>
      <c r="S83" s="832"/>
      <c r="T83" s="833"/>
      <c r="U83" s="905"/>
      <c r="V83" s="963"/>
      <c r="W83" s="834"/>
      <c r="X83" s="991"/>
      <c r="Y83" s="224"/>
      <c r="Z83" s="208"/>
    </row>
    <row r="84" spans="1:43" ht="15" customHeight="1" thickBot="1">
      <c r="B84" s="392">
        <v>8</v>
      </c>
      <c r="C84" s="393"/>
      <c r="D84" s="394"/>
      <c r="E84" s="395"/>
      <c r="F84" s="396"/>
      <c r="G84" s="397"/>
      <c r="H84" s="398"/>
      <c r="I84" s="399"/>
      <c r="J84" s="986"/>
      <c r="K84" s="986"/>
      <c r="L84" s="400"/>
      <c r="M84" s="392">
        <v>8</v>
      </c>
      <c r="N84" s="691" t="s">
        <v>389</v>
      </c>
      <c r="O84" s="692" t="s">
        <v>404</v>
      </c>
      <c r="P84" s="693"/>
      <c r="Q84" s="694"/>
      <c r="R84" s="397">
        <v>2800</v>
      </c>
      <c r="S84" s="832" t="s">
        <v>405</v>
      </c>
      <c r="T84" s="873">
        <v>45412</v>
      </c>
      <c r="U84" s="856">
        <v>0</v>
      </c>
      <c r="V84" s="964"/>
      <c r="W84" s="874">
        <v>45400</v>
      </c>
      <c r="X84" s="992"/>
      <c r="Y84" s="221"/>
      <c r="Z84" s="205"/>
    </row>
    <row r="85" spans="1:43" ht="22.5" customHeight="1" thickBot="1">
      <c r="A85" s="24"/>
      <c r="B85" s="449"/>
      <c r="C85" s="166"/>
      <c r="D85" s="166"/>
      <c r="E85" s="166"/>
      <c r="F85" s="166"/>
      <c r="G85" s="166"/>
      <c r="H85" s="166"/>
      <c r="I85" s="166"/>
      <c r="J85" s="166"/>
      <c r="K85" s="166"/>
      <c r="L85" s="166" t="s">
        <v>406</v>
      </c>
      <c r="M85" s="801"/>
      <c r="N85" s="800"/>
      <c r="O85" s="800"/>
      <c r="P85" s="800"/>
      <c r="Q85" s="800"/>
      <c r="R85" s="800"/>
      <c r="S85" s="587"/>
      <c r="T85" s="194"/>
      <c r="U85" s="548"/>
      <c r="V85" s="194"/>
      <c r="W85" s="512"/>
      <c r="X85" s="450"/>
      <c r="Y85" s="226"/>
      <c r="Z85" s="166"/>
      <c r="AE85" s="24"/>
      <c r="AF85" s="24"/>
      <c r="AG85" s="24"/>
      <c r="AH85" s="24"/>
      <c r="AI85" s="24"/>
      <c r="AJ85" s="24"/>
      <c r="AK85" s="24"/>
      <c r="AL85" s="24"/>
      <c r="AM85" s="24"/>
      <c r="AN85" s="24"/>
      <c r="AO85" s="24"/>
      <c r="AP85" s="24"/>
      <c r="AQ85" s="24"/>
    </row>
    <row r="86" spans="1:43" ht="14.25" customHeight="1">
      <c r="B86" s="354">
        <v>9</v>
      </c>
      <c r="C86" s="405" t="s">
        <v>407</v>
      </c>
      <c r="D86" s="431" t="s">
        <v>408</v>
      </c>
      <c r="E86" s="432"/>
      <c r="F86" s="433">
        <v>0.2</v>
      </c>
      <c r="G86" s="357">
        <f>SUM(C87:C88)*F86</f>
        <v>41895</v>
      </c>
      <c r="H86" s="358">
        <f>'Project Plan'!E27-7</f>
        <v>45264</v>
      </c>
      <c r="I86" s="359"/>
      <c r="J86" s="949">
        <f>SUM(G86:G93)</f>
        <v>209475</v>
      </c>
      <c r="K86" s="949">
        <v>261843.75</v>
      </c>
      <c r="L86" s="360"/>
      <c r="M86" s="354">
        <v>9</v>
      </c>
      <c r="N86" s="665" t="s">
        <v>409</v>
      </c>
      <c r="O86" s="778" t="s">
        <v>410</v>
      </c>
      <c r="P86" s="779">
        <v>0.25</v>
      </c>
      <c r="Q86" s="780"/>
      <c r="R86" s="802">
        <v>16138.3</v>
      </c>
      <c r="S86" s="799" t="s">
        <v>411</v>
      </c>
      <c r="T86" s="816">
        <v>45291</v>
      </c>
      <c r="U86" s="741">
        <v>16600.510190502417</v>
      </c>
      <c r="V86" s="968">
        <f>K86-SUM(U86:U93)</f>
        <v>0</v>
      </c>
      <c r="W86" s="734">
        <v>45303</v>
      </c>
      <c r="X86" s="956">
        <f>SUM(R86:R93)</f>
        <v>254553.2</v>
      </c>
      <c r="Y86" s="218"/>
      <c r="Z86" s="201"/>
      <c r="AE86" s="178"/>
      <c r="AF86" s="178"/>
      <c r="AG86" s="178"/>
    </row>
    <row r="87" spans="1:43" ht="15" customHeight="1">
      <c r="B87" s="408">
        <v>9</v>
      </c>
      <c r="C87" s="537"/>
      <c r="D87" s="434" t="s">
        <v>412</v>
      </c>
      <c r="E87" s="413"/>
      <c r="F87" s="435">
        <v>0.15</v>
      </c>
      <c r="G87" s="412">
        <f>SUM($C$87:$C$88)*F87</f>
        <v>31421.25</v>
      </c>
      <c r="H87" s="364">
        <f>'Project Plan'!G33+7</f>
        <v>45352</v>
      </c>
      <c r="I87" s="365"/>
      <c r="J87" s="950"/>
      <c r="K87" s="950"/>
      <c r="L87" s="366"/>
      <c r="M87" s="408">
        <v>9</v>
      </c>
      <c r="N87" s="536" t="s">
        <v>409</v>
      </c>
      <c r="O87" s="781" t="s">
        <v>413</v>
      </c>
      <c r="P87" s="782">
        <v>0.25</v>
      </c>
      <c r="Q87" s="770"/>
      <c r="R87" s="906">
        <v>16138.3</v>
      </c>
      <c r="S87" s="896" t="s">
        <v>414</v>
      </c>
      <c r="T87" s="737">
        <v>45443</v>
      </c>
      <c r="U87" s="738">
        <v>16600.510190502417</v>
      </c>
      <c r="V87" s="969"/>
      <c r="W87" s="844">
        <v>45449</v>
      </c>
      <c r="X87" s="957"/>
      <c r="Y87" s="213"/>
      <c r="Z87" s="202"/>
    </row>
    <row r="88" spans="1:43" ht="15" customHeight="1">
      <c r="B88" s="408">
        <v>9</v>
      </c>
      <c r="C88" s="536">
        <v>209475</v>
      </c>
      <c r="D88" s="434" t="s">
        <v>415</v>
      </c>
      <c r="E88" s="413"/>
      <c r="F88" s="435">
        <v>0.15</v>
      </c>
      <c r="G88" s="412">
        <f>SUM($C$87:$C$88)*F88</f>
        <v>31421.25</v>
      </c>
      <c r="H88" s="364">
        <f>'Project Plan'!G43+7</f>
        <v>45341</v>
      </c>
      <c r="I88" s="365"/>
      <c r="J88" s="950"/>
      <c r="K88" s="950"/>
      <c r="L88" s="366"/>
      <c r="M88" s="408">
        <v>9</v>
      </c>
      <c r="N88" s="683" t="s">
        <v>409</v>
      </c>
      <c r="O88" s="781" t="s">
        <v>416</v>
      </c>
      <c r="P88" s="782">
        <v>0.25</v>
      </c>
      <c r="Q88" s="770"/>
      <c r="R88" s="906">
        <v>16138.3</v>
      </c>
      <c r="S88" s="923" t="s">
        <v>417</v>
      </c>
      <c r="T88" s="737">
        <v>45504</v>
      </c>
      <c r="U88" s="928">
        <v>16600.510190502417</v>
      </c>
      <c r="V88" s="969"/>
      <c r="W88" s="924">
        <v>45492</v>
      </c>
      <c r="X88" s="957"/>
      <c r="Y88" s="213"/>
      <c r="Z88" s="202"/>
    </row>
    <row r="89" spans="1:43" ht="15" customHeight="1" thickBot="1">
      <c r="B89" s="408">
        <v>9</v>
      </c>
      <c r="C89" s="451">
        <v>0</v>
      </c>
      <c r="D89" s="434" t="s">
        <v>418</v>
      </c>
      <c r="E89" s="413"/>
      <c r="F89" s="435">
        <v>0.15</v>
      </c>
      <c r="G89" s="412">
        <f>SUM($C$87:$C$88)*F89</f>
        <v>31421.25</v>
      </c>
      <c r="H89" s="364">
        <f>'Project Plan'!G50+7</f>
        <v>45357</v>
      </c>
      <c r="I89" s="365"/>
      <c r="J89" s="950"/>
      <c r="K89" s="950"/>
      <c r="L89" s="366"/>
      <c r="M89" s="414">
        <v>9</v>
      </c>
      <c r="N89" s="669" t="s">
        <v>409</v>
      </c>
      <c r="O89" s="888" t="s">
        <v>355</v>
      </c>
      <c r="P89" s="889">
        <v>0.25</v>
      </c>
      <c r="Q89" s="880"/>
      <c r="R89" s="890">
        <v>16138.3</v>
      </c>
      <c r="S89" s="583" t="s">
        <v>356</v>
      </c>
      <c r="T89" s="875">
        <v>45504</v>
      </c>
      <c r="U89" s="929">
        <v>16600.510190502417</v>
      </c>
      <c r="V89" s="969"/>
      <c r="W89" s="924">
        <v>45540</v>
      </c>
      <c r="X89" s="957"/>
      <c r="Y89" s="213"/>
      <c r="Z89" s="202"/>
    </row>
    <row r="90" spans="1:43" ht="15" customHeight="1">
      <c r="B90" s="408">
        <v>9</v>
      </c>
      <c r="C90" s="451"/>
      <c r="D90" s="434" t="s">
        <v>416</v>
      </c>
      <c r="E90" s="413"/>
      <c r="F90" s="435">
        <v>0.2</v>
      </c>
      <c r="G90" s="412">
        <f>SUM($C$87:$C$88)*F90</f>
        <v>41895</v>
      </c>
      <c r="H90" s="364">
        <f>'Project Plan'!G59+14</f>
        <v>45383</v>
      </c>
      <c r="I90" s="365"/>
      <c r="J90" s="950"/>
      <c r="K90" s="950"/>
      <c r="L90" s="366"/>
      <c r="M90" s="361">
        <v>9</v>
      </c>
      <c r="N90" s="820" t="s">
        <v>419</v>
      </c>
      <c r="O90" s="821" t="s">
        <v>410</v>
      </c>
      <c r="P90" s="788">
        <v>0.25</v>
      </c>
      <c r="Q90" s="773"/>
      <c r="R90" s="803">
        <v>47500</v>
      </c>
      <c r="S90" s="817" t="s">
        <v>306</v>
      </c>
      <c r="T90" s="735">
        <v>45291</v>
      </c>
      <c r="U90" s="813">
        <v>48860.42730949758</v>
      </c>
      <c r="V90" s="969"/>
      <c r="W90" s="819">
        <v>45282</v>
      </c>
      <c r="X90" s="957"/>
      <c r="Y90" s="213"/>
      <c r="Z90" s="202"/>
    </row>
    <row r="91" spans="1:43" ht="15" customHeight="1">
      <c r="B91" s="408">
        <v>9</v>
      </c>
      <c r="C91" s="451"/>
      <c r="D91" s="434" t="s">
        <v>355</v>
      </c>
      <c r="E91" s="413"/>
      <c r="F91" s="435">
        <v>0.15</v>
      </c>
      <c r="G91" s="412">
        <f>SUM($C$87:$C$88)*F91</f>
        <v>31421.25</v>
      </c>
      <c r="H91" s="364">
        <f>H90</f>
        <v>45383</v>
      </c>
      <c r="I91" s="365"/>
      <c r="J91" s="950"/>
      <c r="K91" s="950"/>
      <c r="L91" s="366"/>
      <c r="M91" s="408">
        <v>9</v>
      </c>
      <c r="N91" s="683" t="s">
        <v>419</v>
      </c>
      <c r="O91" s="781" t="s">
        <v>412</v>
      </c>
      <c r="P91" s="782">
        <v>0.25</v>
      </c>
      <c r="Q91" s="770"/>
      <c r="R91" s="803">
        <v>47500</v>
      </c>
      <c r="S91" s="817" t="s">
        <v>420</v>
      </c>
      <c r="T91" s="737">
        <v>45382</v>
      </c>
      <c r="U91" s="738">
        <v>48860.42730949758</v>
      </c>
      <c r="V91" s="969"/>
      <c r="W91" s="844">
        <v>45407</v>
      </c>
      <c r="X91" s="957"/>
      <c r="Y91" s="213"/>
      <c r="Z91" s="202"/>
    </row>
    <row r="92" spans="1:43" ht="15" customHeight="1">
      <c r="B92" s="610"/>
      <c r="C92" s="794"/>
      <c r="D92" s="612"/>
      <c r="E92" s="613"/>
      <c r="F92" s="614"/>
      <c r="G92" s="615"/>
      <c r="H92" s="616"/>
      <c r="I92" s="365"/>
      <c r="J92" s="950"/>
      <c r="K92" s="950"/>
      <c r="L92" s="366"/>
      <c r="M92" s="610"/>
      <c r="N92" s="667" t="s">
        <v>419</v>
      </c>
      <c r="O92" s="783" t="s">
        <v>418</v>
      </c>
      <c r="P92" s="795">
        <v>0.25</v>
      </c>
      <c r="Q92" s="784"/>
      <c r="R92" s="803">
        <v>47500</v>
      </c>
      <c r="S92" s="868" t="s">
        <v>421</v>
      </c>
      <c r="T92" s="737">
        <v>45382</v>
      </c>
      <c r="U92" s="738">
        <v>48860.42730949758</v>
      </c>
      <c r="V92" s="969"/>
      <c r="W92" s="792">
        <v>45386</v>
      </c>
      <c r="X92" s="957"/>
      <c r="Y92" s="526"/>
      <c r="Z92" s="527"/>
    </row>
    <row r="93" spans="1:43" ht="15" customHeight="1" thickBot="1">
      <c r="B93" s="414">
        <v>9</v>
      </c>
      <c r="C93" s="452"/>
      <c r="D93" s="436"/>
      <c r="E93" s="417"/>
      <c r="F93" s="437"/>
      <c r="G93" s="438"/>
      <c r="H93" s="367"/>
      <c r="I93" s="368"/>
      <c r="J93" s="951"/>
      <c r="K93" s="951"/>
      <c r="L93" s="369"/>
      <c r="M93" s="414">
        <v>9</v>
      </c>
      <c r="N93" s="736" t="s">
        <v>419</v>
      </c>
      <c r="O93" s="797" t="s">
        <v>355</v>
      </c>
      <c r="P93" s="798">
        <v>0.25</v>
      </c>
      <c r="Q93" s="776"/>
      <c r="R93" s="804">
        <v>47500</v>
      </c>
      <c r="S93" s="876" t="s">
        <v>422</v>
      </c>
      <c r="T93" s="875">
        <v>45412</v>
      </c>
      <c r="U93" s="843">
        <v>48860.42730949758</v>
      </c>
      <c r="V93" s="970"/>
      <c r="W93" s="866">
        <v>45407</v>
      </c>
      <c r="X93" s="958"/>
      <c r="Y93" s="219"/>
      <c r="Z93" s="203"/>
    </row>
    <row r="94" spans="1:43" ht="14.5" thickBot="1">
      <c r="A94" s="24"/>
      <c r="B94" s="370"/>
      <c r="C94" s="401"/>
      <c r="D94" s="402"/>
      <c r="E94" s="403"/>
      <c r="F94" s="404"/>
      <c r="G94" s="373"/>
      <c r="H94" s="352"/>
      <c r="I94" s="374"/>
      <c r="J94" s="353"/>
      <c r="K94" s="651"/>
      <c r="L94" s="24"/>
      <c r="M94" s="370"/>
      <c r="N94" s="671"/>
      <c r="O94" s="672"/>
      <c r="P94" s="674"/>
      <c r="Q94" s="745"/>
      <c r="R94" s="373"/>
      <c r="S94" s="590"/>
      <c r="T94" s="592"/>
      <c r="U94" s="541"/>
      <c r="V94" s="557"/>
      <c r="W94" s="498"/>
      <c r="X94" s="508"/>
      <c r="Y94" s="217"/>
      <c r="Z94" s="200"/>
      <c r="AE94" s="24"/>
      <c r="AF94" s="24"/>
      <c r="AG94" s="24"/>
      <c r="AH94" s="24"/>
      <c r="AI94" s="24"/>
      <c r="AJ94" s="24"/>
      <c r="AK94" s="24"/>
      <c r="AL94" s="24"/>
      <c r="AM94" s="24"/>
      <c r="AN94" s="24"/>
      <c r="AO94" s="24"/>
      <c r="AP94" s="24"/>
      <c r="AQ94" s="24"/>
    </row>
    <row r="95" spans="1:43" ht="14.25" customHeight="1">
      <c r="B95" s="330">
        <v>10</v>
      </c>
      <c r="C95" s="331" t="s">
        <v>423</v>
      </c>
      <c r="D95" s="331" t="s">
        <v>424</v>
      </c>
      <c r="E95" s="332"/>
      <c r="F95" s="453"/>
      <c r="G95" s="454">
        <v>25122.9</v>
      </c>
      <c r="H95" s="334">
        <f>H86</f>
        <v>45264</v>
      </c>
      <c r="I95" s="335"/>
      <c r="J95" s="987">
        <f>SUM(G95:G102)</f>
        <v>60622.9</v>
      </c>
      <c r="K95" s="987">
        <v>75779</v>
      </c>
      <c r="L95" s="455"/>
      <c r="M95" s="330">
        <v>10</v>
      </c>
      <c r="N95" s="699" t="s">
        <v>425</v>
      </c>
      <c r="O95" s="786" t="s">
        <v>426</v>
      </c>
      <c r="P95" s="779">
        <v>0.5</v>
      </c>
      <c r="Q95" s="780">
        <f>AB33+AB34</f>
        <v>16720</v>
      </c>
      <c r="R95" s="785">
        <f>P95*$Q$95</f>
        <v>8360</v>
      </c>
      <c r="S95" s="835" t="s">
        <v>411</v>
      </c>
      <c r="T95" s="840">
        <v>45291</v>
      </c>
      <c r="U95" s="740">
        <v>4420.4436935846279</v>
      </c>
      <c r="V95" s="959">
        <f>K95-SUM(U95:U102)</f>
        <v>0</v>
      </c>
      <c r="W95" s="836">
        <v>45303</v>
      </c>
      <c r="X95" s="993">
        <f>SUM(R95:R102)</f>
        <v>143314.22</v>
      </c>
      <c r="Y95" s="212"/>
      <c r="Z95" s="196"/>
    </row>
    <row r="96" spans="1:43" ht="14.25" customHeight="1">
      <c r="B96" s="456">
        <v>10</v>
      </c>
      <c r="C96" s="457"/>
      <c r="D96" s="457"/>
      <c r="E96" s="458"/>
      <c r="F96" s="459"/>
      <c r="G96" s="333"/>
      <c r="H96" s="338"/>
      <c r="I96" s="339"/>
      <c r="J96" s="988"/>
      <c r="K96" s="988"/>
      <c r="L96" s="340"/>
      <c r="M96" s="456">
        <v>10</v>
      </c>
      <c r="N96" s="701" t="s">
        <v>425</v>
      </c>
      <c r="O96" s="787" t="s">
        <v>427</v>
      </c>
      <c r="P96" s="788">
        <v>0.4</v>
      </c>
      <c r="Q96" s="773"/>
      <c r="R96" s="771">
        <f t="shared" ref="R96:R97" si="4">P96*$Q$95</f>
        <v>6688</v>
      </c>
      <c r="S96" s="538" t="s">
        <v>428</v>
      </c>
      <c r="T96" s="860">
        <v>45382</v>
      </c>
      <c r="U96" s="870">
        <v>3536.3549548677024</v>
      </c>
      <c r="V96" s="960"/>
      <c r="W96" s="867">
        <f>W52</f>
        <v>45373</v>
      </c>
      <c r="X96" s="994"/>
      <c r="Y96" s="215"/>
      <c r="Z96" s="198"/>
    </row>
    <row r="97" spans="1:43" ht="14.25" customHeight="1">
      <c r="B97" s="456">
        <v>10</v>
      </c>
      <c r="C97" s="457"/>
      <c r="D97" s="457"/>
      <c r="E97" s="458"/>
      <c r="F97" s="459"/>
      <c r="G97" s="460"/>
      <c r="H97" s="461"/>
      <c r="I97" s="339"/>
      <c r="J97" s="988"/>
      <c r="K97" s="988"/>
      <c r="L97" s="340"/>
      <c r="M97" s="456">
        <v>10</v>
      </c>
      <c r="N97" s="701" t="s">
        <v>425</v>
      </c>
      <c r="O97" s="884" t="s">
        <v>429</v>
      </c>
      <c r="P97" s="885">
        <v>0.1</v>
      </c>
      <c r="Q97" s="886"/>
      <c r="R97" s="887">
        <f t="shared" si="4"/>
        <v>1672</v>
      </c>
      <c r="S97" s="585" t="s">
        <v>356</v>
      </c>
      <c r="T97" s="739">
        <v>45504</v>
      </c>
      <c r="U97" s="930">
        <v>884.0887387169256</v>
      </c>
      <c r="V97" s="960"/>
      <c r="W97" s="839">
        <f>W89</f>
        <v>45540</v>
      </c>
      <c r="X97" s="994"/>
      <c r="Y97" s="227"/>
      <c r="Z97" s="210"/>
    </row>
    <row r="98" spans="1:43" ht="14.25" customHeight="1" thickBot="1">
      <c r="B98" s="456">
        <v>10</v>
      </c>
      <c r="C98" s="341"/>
      <c r="D98" s="341" t="s">
        <v>268</v>
      </c>
      <c r="E98" s="462"/>
      <c r="F98" s="463"/>
      <c r="G98" s="333">
        <v>8500</v>
      </c>
      <c r="H98" s="338">
        <f>H86</f>
        <v>45264</v>
      </c>
      <c r="I98" s="339"/>
      <c r="J98" s="988"/>
      <c r="K98" s="988"/>
      <c r="L98" s="340"/>
      <c r="M98" s="456">
        <v>10</v>
      </c>
      <c r="N98" s="556"/>
      <c r="O98" s="556"/>
      <c r="P98" s="702"/>
      <c r="Q98" s="746"/>
      <c r="R98" s="343"/>
      <c r="S98" s="490"/>
      <c r="T98" s="579"/>
      <c r="U98" s="593">
        <f t="shared" ref="U98:U102" si="5">R98/$X$95*$K$95</f>
        <v>0</v>
      </c>
      <c r="V98" s="960"/>
      <c r="W98" s="497"/>
      <c r="X98" s="994"/>
      <c r="Y98" s="215"/>
      <c r="Z98" s="198"/>
    </row>
    <row r="99" spans="1:43" ht="14.25" customHeight="1">
      <c r="B99" s="456">
        <v>10</v>
      </c>
      <c r="C99" s="341"/>
      <c r="D99" s="341"/>
      <c r="E99" s="462"/>
      <c r="F99" s="463"/>
      <c r="G99" s="333"/>
      <c r="H99" s="338"/>
      <c r="I99" s="339"/>
      <c r="J99" s="988"/>
      <c r="K99" s="988"/>
      <c r="L99" s="340"/>
      <c r="M99" s="456">
        <v>10</v>
      </c>
      <c r="N99" s="701" t="s">
        <v>430</v>
      </c>
      <c r="O99" s="786" t="s">
        <v>426</v>
      </c>
      <c r="P99" s="779">
        <v>0.5</v>
      </c>
      <c r="Q99" s="780">
        <f>AE32+AE33+AE34</f>
        <v>126594.22</v>
      </c>
      <c r="R99" s="796">
        <f>$Q$99*P99</f>
        <v>63297.11</v>
      </c>
      <c r="S99" s="538" t="s">
        <v>306</v>
      </c>
      <c r="T99" s="739">
        <v>45291</v>
      </c>
      <c r="U99" s="740">
        <v>33469.056306415376</v>
      </c>
      <c r="V99" s="960"/>
      <c r="W99" s="839">
        <v>45282</v>
      </c>
      <c r="X99" s="994"/>
      <c r="Y99" s="215"/>
      <c r="Z99" s="198"/>
    </row>
    <row r="100" spans="1:43" ht="14.25" customHeight="1">
      <c r="B100" s="456">
        <v>10</v>
      </c>
      <c r="C100" s="341"/>
      <c r="D100" s="341" t="s">
        <v>431</v>
      </c>
      <c r="E100" s="462"/>
      <c r="F100" s="463"/>
      <c r="G100" s="333">
        <v>27000</v>
      </c>
      <c r="H100" s="338">
        <f>H98</f>
        <v>45264</v>
      </c>
      <c r="I100" s="339"/>
      <c r="J100" s="988"/>
      <c r="K100" s="988"/>
      <c r="L100" s="340"/>
      <c r="M100" s="456">
        <v>10</v>
      </c>
      <c r="N100" s="337" t="s">
        <v>430</v>
      </c>
      <c r="O100" s="787" t="s">
        <v>427</v>
      </c>
      <c r="P100" s="788">
        <v>0.4</v>
      </c>
      <c r="Q100" s="805"/>
      <c r="R100" s="796">
        <f t="shared" ref="R100:R101" si="6">$Q$99*P100</f>
        <v>50637.688000000002</v>
      </c>
      <c r="S100" s="538" t="s">
        <v>432</v>
      </c>
      <c r="T100" s="860">
        <v>45382</v>
      </c>
      <c r="U100" s="870">
        <v>26775.245045132298</v>
      </c>
      <c r="V100" s="960"/>
      <c r="W100" s="867">
        <v>45323</v>
      </c>
      <c r="X100" s="994"/>
      <c r="Y100" s="215"/>
      <c r="Z100" s="198"/>
    </row>
    <row r="101" spans="1:43" ht="15" customHeight="1">
      <c r="B101" s="456">
        <v>10</v>
      </c>
      <c r="C101" s="457"/>
      <c r="D101" s="457"/>
      <c r="E101" s="458"/>
      <c r="F101" s="459"/>
      <c r="G101" s="460"/>
      <c r="H101" s="461"/>
      <c r="I101" s="339"/>
      <c r="J101" s="988"/>
      <c r="K101" s="988"/>
      <c r="L101" s="340"/>
      <c r="M101" s="456">
        <v>10</v>
      </c>
      <c r="N101" s="701" t="s">
        <v>430</v>
      </c>
      <c r="O101" s="787" t="s">
        <v>429</v>
      </c>
      <c r="P101" s="788">
        <v>0.1</v>
      </c>
      <c r="Q101" s="806"/>
      <c r="R101" s="796">
        <f t="shared" si="6"/>
        <v>12659.422</v>
      </c>
      <c r="S101" s="538" t="s">
        <v>422</v>
      </c>
      <c r="T101" s="739">
        <v>45412</v>
      </c>
      <c r="U101" s="870">
        <v>6693.8112612830746</v>
      </c>
      <c r="V101" s="960"/>
      <c r="W101" s="839">
        <v>45407</v>
      </c>
      <c r="X101" s="994"/>
      <c r="Y101" s="227"/>
      <c r="Z101" s="210"/>
    </row>
    <row r="102" spans="1:43" ht="15" customHeight="1" thickBot="1">
      <c r="B102" s="456">
        <v>10</v>
      </c>
      <c r="C102" s="464"/>
      <c r="D102" s="464"/>
      <c r="E102" s="465"/>
      <c r="F102" s="466"/>
      <c r="G102" s="343"/>
      <c r="H102" s="344"/>
      <c r="I102" s="345"/>
      <c r="J102" s="989"/>
      <c r="K102" s="989"/>
      <c r="L102" s="346"/>
      <c r="M102" s="342">
        <v>10</v>
      </c>
      <c r="N102" s="556"/>
      <c r="O102" s="556"/>
      <c r="P102" s="702"/>
      <c r="Q102" s="703"/>
      <c r="R102" s="343"/>
      <c r="S102" s="564"/>
      <c r="T102" s="562"/>
      <c r="U102" s="593">
        <f t="shared" si="5"/>
        <v>0</v>
      </c>
      <c r="V102" s="961"/>
      <c r="W102" s="497"/>
      <c r="X102" s="995"/>
      <c r="Y102" s="216"/>
      <c r="Z102" s="199"/>
    </row>
    <row r="103" spans="1:43" ht="14.5" thickBot="1">
      <c r="A103" s="24"/>
      <c r="B103" s="347"/>
      <c r="C103" s="348"/>
      <c r="D103" s="348"/>
      <c r="E103" s="371"/>
      <c r="F103" s="351"/>
      <c r="G103" s="351"/>
      <c r="H103" s="352"/>
      <c r="I103" s="374"/>
      <c r="J103" s="353"/>
      <c r="K103" s="353"/>
      <c r="L103" s="24"/>
      <c r="M103" s="347"/>
      <c r="N103" s="656"/>
      <c r="O103" s="656"/>
      <c r="P103" s="663"/>
      <c r="Q103" s="659"/>
      <c r="R103" s="659"/>
      <c r="S103" s="582"/>
      <c r="T103" s="563"/>
      <c r="U103" s="541"/>
      <c r="V103" s="557"/>
      <c r="W103" s="498"/>
      <c r="X103" s="508"/>
      <c r="Y103" s="217"/>
      <c r="Z103" s="200"/>
      <c r="AA103" s="24"/>
      <c r="AB103" s="24"/>
      <c r="AC103" s="24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</row>
    <row r="104" spans="1:43" ht="14.25" customHeight="1">
      <c r="B104" s="354">
        <v>11</v>
      </c>
      <c r="C104" s="355" t="s">
        <v>433</v>
      </c>
      <c r="D104" s="355" t="s">
        <v>434</v>
      </c>
      <c r="E104" s="356"/>
      <c r="F104" s="467"/>
      <c r="G104" s="357">
        <v>8000</v>
      </c>
      <c r="H104" s="358">
        <f>'Project Plan'!E27</f>
        <v>45271</v>
      </c>
      <c r="I104" s="359"/>
      <c r="J104" s="949">
        <f>SUM(G104:G108)</f>
        <v>19000</v>
      </c>
      <c r="K104" s="949">
        <v>23750</v>
      </c>
      <c r="L104" s="360"/>
      <c r="M104" s="354">
        <v>11</v>
      </c>
      <c r="N104" s="513" t="s">
        <v>435</v>
      </c>
      <c r="O104" s="513" t="s">
        <v>434</v>
      </c>
      <c r="P104" s="654"/>
      <c r="Q104" s="666"/>
      <c r="R104" s="357">
        <v>5500</v>
      </c>
      <c r="S104" s="565" t="s">
        <v>436</v>
      </c>
      <c r="T104" s="735">
        <v>45230</v>
      </c>
      <c r="U104" s="741">
        <v>7916.6666666666661</v>
      </c>
      <c r="V104" s="968">
        <f>K104-SUM(U104:U108)</f>
        <v>-4.3007998974644579E-3</v>
      </c>
      <c r="W104" s="734">
        <v>45205</v>
      </c>
      <c r="X104" s="956">
        <f>SUM(R104:R108)</f>
        <v>11683.16</v>
      </c>
      <c r="Y104" s="218"/>
      <c r="Z104" s="201" t="s">
        <v>437</v>
      </c>
    </row>
    <row r="105" spans="1:43" ht="15" customHeight="1">
      <c r="B105" s="408">
        <v>11</v>
      </c>
      <c r="C105" s="410"/>
      <c r="D105" s="410" t="s">
        <v>438</v>
      </c>
      <c r="E105" s="411"/>
      <c r="F105" s="468"/>
      <c r="G105" s="412">
        <v>11000</v>
      </c>
      <c r="H105" s="364">
        <f>'Project Plan'!G59+14</f>
        <v>45383</v>
      </c>
      <c r="I105" s="365"/>
      <c r="J105" s="950"/>
      <c r="K105" s="950"/>
      <c r="L105" s="366"/>
      <c r="M105" s="408">
        <v>11</v>
      </c>
      <c r="N105" s="629" t="s">
        <v>435</v>
      </c>
      <c r="O105" s="629" t="s">
        <v>439</v>
      </c>
      <c r="P105" s="633"/>
      <c r="Q105" s="684"/>
      <c r="R105" s="412">
        <v>6183.16</v>
      </c>
      <c r="S105" s="583" t="s">
        <v>440</v>
      </c>
      <c r="T105" s="737">
        <v>45443</v>
      </c>
      <c r="U105" s="738">
        <v>15833.33763413323</v>
      </c>
      <c r="V105" s="969"/>
      <c r="W105" s="844">
        <v>45449</v>
      </c>
      <c r="X105" s="957"/>
      <c r="Y105" s="213"/>
      <c r="Z105" s="202"/>
    </row>
    <row r="106" spans="1:43" ht="15" customHeight="1">
      <c r="B106" s="408">
        <v>11</v>
      </c>
      <c r="C106" s="410"/>
      <c r="D106" s="410"/>
      <c r="E106" s="411"/>
      <c r="F106" s="468"/>
      <c r="G106" s="412"/>
      <c r="H106" s="364"/>
      <c r="I106" s="365"/>
      <c r="J106" s="950"/>
      <c r="K106" s="950"/>
      <c r="L106" s="366"/>
      <c r="M106" s="408">
        <v>11</v>
      </c>
      <c r="N106" s="629"/>
      <c r="O106" s="629"/>
      <c r="P106" s="633"/>
      <c r="Q106" s="684"/>
      <c r="R106" s="412"/>
      <c r="S106" s="491"/>
      <c r="T106" s="542"/>
      <c r="U106" s="550">
        <f>R106/$X$104*$K$104</f>
        <v>0</v>
      </c>
      <c r="V106" s="969"/>
      <c r="W106" s="500"/>
      <c r="X106" s="957"/>
      <c r="Y106" s="213"/>
      <c r="Z106" s="202"/>
    </row>
    <row r="107" spans="1:43" ht="14.25" customHeight="1">
      <c r="B107" s="408">
        <v>11</v>
      </c>
      <c r="C107" s="410"/>
      <c r="D107" s="410"/>
      <c r="E107" s="411"/>
      <c r="F107" s="468"/>
      <c r="G107" s="412"/>
      <c r="H107" s="364"/>
      <c r="I107" s="365"/>
      <c r="J107" s="950"/>
      <c r="K107" s="950"/>
      <c r="L107" s="366"/>
      <c r="M107" s="408">
        <v>11</v>
      </c>
      <c r="N107" s="629"/>
      <c r="O107" s="629"/>
      <c r="P107" s="633"/>
      <c r="Q107" s="684"/>
      <c r="R107" s="412"/>
      <c r="S107" s="491"/>
      <c r="T107" s="542"/>
      <c r="U107" s="550">
        <f>R107/$X$104*$K$104</f>
        <v>0</v>
      </c>
      <c r="V107" s="969"/>
      <c r="W107" s="500"/>
      <c r="X107" s="957"/>
      <c r="Y107" s="213"/>
      <c r="Z107" s="202"/>
    </row>
    <row r="108" spans="1:43" ht="15" customHeight="1" thickBot="1">
      <c r="B108" s="408">
        <v>11</v>
      </c>
      <c r="C108" s="415"/>
      <c r="D108" s="415"/>
      <c r="E108" s="416"/>
      <c r="F108" s="469"/>
      <c r="G108" s="438"/>
      <c r="H108" s="367"/>
      <c r="I108" s="368"/>
      <c r="J108" s="951"/>
      <c r="K108" s="951"/>
      <c r="L108" s="369"/>
      <c r="M108" s="408">
        <v>11</v>
      </c>
      <c r="N108" s="636"/>
      <c r="O108" s="636"/>
      <c r="P108" s="655"/>
      <c r="Q108" s="689"/>
      <c r="R108" s="438"/>
      <c r="S108" s="566"/>
      <c r="T108" s="547"/>
      <c r="U108" s="551">
        <f>R108/$X$104*$K$104</f>
        <v>0</v>
      </c>
      <c r="V108" s="970"/>
      <c r="W108" s="501"/>
      <c r="X108" s="958"/>
      <c r="Y108" s="219"/>
      <c r="Z108" s="203"/>
    </row>
    <row r="109" spans="1:43" ht="14.5" thickBot="1">
      <c r="A109" s="24"/>
      <c r="B109" s="370"/>
      <c r="C109" s="348"/>
      <c r="D109" s="348"/>
      <c r="E109" s="371"/>
      <c r="F109" s="351"/>
      <c r="G109" s="373"/>
      <c r="H109" s="352"/>
      <c r="I109" s="374"/>
      <c r="J109" s="353"/>
      <c r="K109" s="353"/>
      <c r="L109" s="24"/>
      <c r="M109" s="370"/>
      <c r="N109" s="656"/>
      <c r="O109" s="656"/>
      <c r="P109" s="663"/>
      <c r="Q109" s="659"/>
      <c r="R109" s="373"/>
      <c r="S109" s="582"/>
      <c r="T109" s="563"/>
      <c r="U109" s="541"/>
      <c r="V109" s="557"/>
      <c r="W109" s="498"/>
      <c r="X109" s="508"/>
      <c r="Y109" s="217"/>
      <c r="Z109" s="200"/>
      <c r="AA109" s="24"/>
      <c r="AB109" s="24"/>
      <c r="AC109" s="24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</row>
    <row r="110" spans="1:43" ht="14.5" thickBot="1">
      <c r="B110" s="470">
        <v>12</v>
      </c>
      <c r="C110" s="471" t="s">
        <v>441</v>
      </c>
      <c r="D110" s="471"/>
      <c r="E110" s="472"/>
      <c r="F110" s="473"/>
      <c r="G110" s="474">
        <v>0</v>
      </c>
      <c r="H110" s="475"/>
      <c r="I110" s="476"/>
      <c r="J110" s="477">
        <f>G110</f>
        <v>0</v>
      </c>
      <c r="K110" s="477">
        <v>0</v>
      </c>
      <c r="L110" s="478"/>
      <c r="M110" s="470">
        <v>12</v>
      </c>
      <c r="N110" s="705" t="s">
        <v>442</v>
      </c>
      <c r="O110" s="705"/>
      <c r="P110" s="706"/>
      <c r="Q110" s="707"/>
      <c r="R110" s="474">
        <v>0</v>
      </c>
      <c r="S110" s="567"/>
      <c r="T110" s="580"/>
      <c r="U110" s="711">
        <v>0</v>
      </c>
      <c r="V110" s="558"/>
      <c r="W110" s="503"/>
      <c r="X110" s="510">
        <f>R110</f>
        <v>0</v>
      </c>
      <c r="Y110" s="228"/>
      <c r="Z110" s="211"/>
    </row>
    <row r="111" spans="1:43" ht="14.5" thickBot="1">
      <c r="A111" s="24"/>
      <c r="B111" s="370"/>
      <c r="C111" s="348"/>
      <c r="D111" s="348"/>
      <c r="E111" s="371"/>
      <c r="F111" s="404"/>
      <c r="G111" s="373"/>
      <c r="H111" s="352"/>
      <c r="I111" s="374"/>
      <c r="J111" s="430"/>
      <c r="K111" s="430"/>
      <c r="L111" s="24"/>
      <c r="M111" s="370"/>
      <c r="N111" s="656"/>
      <c r="O111" s="656"/>
      <c r="P111" s="663"/>
      <c r="Q111" s="674"/>
      <c r="R111" s="373"/>
      <c r="S111" s="582"/>
      <c r="T111" s="563"/>
      <c r="U111" s="541"/>
      <c r="V111" s="557"/>
      <c r="W111" s="498"/>
      <c r="X111" s="509"/>
      <c r="Y111" s="217"/>
      <c r="Z111" s="200"/>
      <c r="AA111" s="24"/>
      <c r="AB111" s="24"/>
      <c r="AC111" s="24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</row>
    <row r="112" spans="1:43" ht="15.75" customHeight="1">
      <c r="B112" s="354">
        <v>13</v>
      </c>
      <c r="C112" s="355" t="s">
        <v>443</v>
      </c>
      <c r="D112" s="513" t="s">
        <v>444</v>
      </c>
      <c r="E112" s="356"/>
      <c r="F112" s="467"/>
      <c r="G112" s="733">
        <v>27626.142173913042</v>
      </c>
      <c r="H112" s="358">
        <f>H113</f>
        <v>45407</v>
      </c>
      <c r="I112" s="996"/>
      <c r="J112" s="949">
        <f>SUM(G112:G119)</f>
        <v>109626.14217391305</v>
      </c>
      <c r="K112" s="949">
        <v>219252.28434782609</v>
      </c>
      <c r="L112" s="360"/>
      <c r="M112" s="354">
        <v>13</v>
      </c>
      <c r="N112" s="513" t="s">
        <v>445</v>
      </c>
      <c r="O112" s="513" t="s">
        <v>446</v>
      </c>
      <c r="P112" s="654"/>
      <c r="Q112" s="666"/>
      <c r="R112" s="357">
        <f>'Revenue Tracking'!D4*1%</f>
        <v>149530.883</v>
      </c>
      <c r="S112" s="565" t="s">
        <v>447</v>
      </c>
      <c r="T112" s="735">
        <v>45412</v>
      </c>
      <c r="U112" s="741">
        <v>213594.73530219973</v>
      </c>
      <c r="V112" s="952">
        <f>K112-SUM(U112:U119)</f>
        <v>1.9991528533864766E-3</v>
      </c>
      <c r="W112" s="358">
        <v>45412</v>
      </c>
      <c r="X112" s="956">
        <f>SUM(R112:R119)</f>
        <v>154048.413</v>
      </c>
      <c r="Y112" s="218"/>
      <c r="Z112" s="201"/>
    </row>
    <row r="113" spans="1:43" ht="15.75" customHeight="1">
      <c r="B113" s="408">
        <v>13</v>
      </c>
      <c r="C113" s="410"/>
      <c r="D113" s="410" t="s">
        <v>448</v>
      </c>
      <c r="E113" s="411"/>
      <c r="F113" s="468"/>
      <c r="G113" s="412">
        <v>12000</v>
      </c>
      <c r="H113" s="364">
        <f>'Project Plan'!G63+31</f>
        <v>45407</v>
      </c>
      <c r="I113" s="997"/>
      <c r="J113" s="950"/>
      <c r="K113" s="950"/>
      <c r="L113" s="366"/>
      <c r="M113" s="408">
        <v>13</v>
      </c>
      <c r="N113" s="629" t="s">
        <v>445</v>
      </c>
      <c r="O113" s="629" t="s">
        <v>449</v>
      </c>
      <c r="P113" s="633"/>
      <c r="Q113" s="684"/>
      <c r="R113" s="412">
        <v>3761.29</v>
      </c>
      <c r="S113" s="491"/>
      <c r="T113" s="737">
        <v>45169</v>
      </c>
      <c r="U113" s="738">
        <v>3721.013155201988</v>
      </c>
      <c r="V113" s="954"/>
      <c r="W113" s="737">
        <v>45169</v>
      </c>
      <c r="X113" s="957"/>
      <c r="Y113" s="213"/>
      <c r="Z113" s="202"/>
    </row>
    <row r="114" spans="1:43" ht="15.75" customHeight="1">
      <c r="B114" s="408">
        <v>13</v>
      </c>
      <c r="C114" s="410"/>
      <c r="D114" s="410" t="s">
        <v>450</v>
      </c>
      <c r="E114" s="411"/>
      <c r="F114" s="468"/>
      <c r="G114" s="412">
        <v>27200</v>
      </c>
      <c r="H114" s="364">
        <f>H113</f>
        <v>45407</v>
      </c>
      <c r="I114" s="997"/>
      <c r="J114" s="950"/>
      <c r="K114" s="950"/>
      <c r="L114" s="366"/>
      <c r="M114" s="408">
        <v>13</v>
      </c>
      <c r="N114" s="629" t="s">
        <v>445</v>
      </c>
      <c r="O114" s="629" t="s">
        <v>449</v>
      </c>
      <c r="P114" s="633"/>
      <c r="Q114" s="684"/>
      <c r="R114" s="412">
        <v>0</v>
      </c>
      <c r="S114" s="583"/>
      <c r="T114" s="737">
        <v>45199</v>
      </c>
      <c r="U114" s="738">
        <v>0</v>
      </c>
      <c r="V114" s="954"/>
      <c r="W114" s="737">
        <v>45199</v>
      </c>
      <c r="X114" s="957"/>
      <c r="Y114" s="213"/>
      <c r="Z114" s="202"/>
    </row>
    <row r="115" spans="1:43" ht="15.75" customHeight="1">
      <c r="B115" s="408">
        <v>13</v>
      </c>
      <c r="C115" s="410"/>
      <c r="D115" s="410" t="s">
        <v>451</v>
      </c>
      <c r="E115" s="411"/>
      <c r="F115" s="468"/>
      <c r="G115" s="412">
        <v>15600</v>
      </c>
      <c r="H115" s="364">
        <f>H114</f>
        <v>45407</v>
      </c>
      <c r="I115" s="997"/>
      <c r="J115" s="950"/>
      <c r="K115" s="950"/>
      <c r="L115" s="366"/>
      <c r="M115" s="408">
        <v>13</v>
      </c>
      <c r="N115" s="629" t="s">
        <v>445</v>
      </c>
      <c r="O115" s="629" t="s">
        <v>449</v>
      </c>
      <c r="P115" s="633"/>
      <c r="Q115" s="684"/>
      <c r="R115" s="412">
        <v>0</v>
      </c>
      <c r="S115" s="566"/>
      <c r="T115" s="737">
        <v>45230</v>
      </c>
      <c r="U115" s="738">
        <v>0</v>
      </c>
      <c r="V115" s="954"/>
      <c r="W115" s="737">
        <v>45230</v>
      </c>
      <c r="X115" s="957"/>
      <c r="Y115" s="526"/>
      <c r="Z115" s="527"/>
    </row>
    <row r="116" spans="1:43" ht="15.75" customHeight="1">
      <c r="B116" s="408">
        <v>13</v>
      </c>
      <c r="C116" s="410"/>
      <c r="D116" s="410" t="s">
        <v>452</v>
      </c>
      <c r="E116" s="411"/>
      <c r="F116" s="468"/>
      <c r="G116" s="412">
        <v>27200</v>
      </c>
      <c r="H116" s="364">
        <f>H113</f>
        <v>45407</v>
      </c>
      <c r="I116" s="997"/>
      <c r="J116" s="950"/>
      <c r="K116" s="950"/>
      <c r="L116" s="366"/>
      <c r="M116" s="408">
        <v>13</v>
      </c>
      <c r="N116" s="629" t="s">
        <v>445</v>
      </c>
      <c r="O116" s="629" t="s">
        <v>449</v>
      </c>
      <c r="P116" s="633"/>
      <c r="Q116" s="684"/>
      <c r="R116" s="412">
        <v>0</v>
      </c>
      <c r="S116" s="566"/>
      <c r="T116" s="737">
        <v>45260</v>
      </c>
      <c r="U116" s="738">
        <v>0</v>
      </c>
      <c r="V116" s="954"/>
      <c r="W116" s="737">
        <v>45260</v>
      </c>
      <c r="X116" s="957"/>
      <c r="Y116" s="526"/>
      <c r="Z116" s="527"/>
    </row>
    <row r="117" spans="1:43" ht="15.75" customHeight="1">
      <c r="B117" s="610">
        <v>13</v>
      </c>
      <c r="C117" s="622"/>
      <c r="D117" s="622"/>
      <c r="E117" s="712"/>
      <c r="F117" s="624"/>
      <c r="G117" s="615"/>
      <c r="H117" s="616"/>
      <c r="I117" s="997"/>
      <c r="J117" s="950"/>
      <c r="K117" s="950"/>
      <c r="L117" s="366"/>
      <c r="M117" s="610">
        <v>13</v>
      </c>
      <c r="N117" s="685" t="s">
        <v>445</v>
      </c>
      <c r="O117" s="629" t="s">
        <v>449</v>
      </c>
      <c r="P117" s="713"/>
      <c r="Q117" s="687"/>
      <c r="R117" s="412">
        <v>0</v>
      </c>
      <c r="S117" s="566"/>
      <c r="T117" s="814">
        <v>45291</v>
      </c>
      <c r="U117" s="550">
        <f t="shared" ref="U117:U119" si="7">R117/$X$112*$K$112</f>
        <v>0</v>
      </c>
      <c r="V117" s="954"/>
      <c r="W117" s="814">
        <v>45291</v>
      </c>
      <c r="X117" s="957"/>
      <c r="Y117" s="526"/>
      <c r="Z117" s="527"/>
    </row>
    <row r="118" spans="1:43" ht="15.75" customHeight="1">
      <c r="B118" s="610">
        <v>13</v>
      </c>
      <c r="C118" s="622"/>
      <c r="D118" s="622"/>
      <c r="E118" s="712"/>
      <c r="F118" s="624"/>
      <c r="G118" s="615"/>
      <c r="H118" s="616"/>
      <c r="I118" s="997"/>
      <c r="J118" s="950"/>
      <c r="K118" s="950"/>
      <c r="L118" s="366"/>
      <c r="M118" s="610">
        <v>13</v>
      </c>
      <c r="N118" s="685" t="s">
        <v>445</v>
      </c>
      <c r="O118" s="685" t="s">
        <v>449</v>
      </c>
      <c r="P118" s="713"/>
      <c r="Q118" s="687"/>
      <c r="R118" s="412">
        <v>756.24</v>
      </c>
      <c r="S118" s="566"/>
      <c r="T118" s="814">
        <v>45322</v>
      </c>
      <c r="U118" s="738">
        <v>1936.5338912715267</v>
      </c>
      <c r="V118" s="954"/>
      <c r="W118" s="814">
        <v>45316</v>
      </c>
      <c r="X118" s="957"/>
      <c r="Y118" s="526"/>
      <c r="Z118" s="527"/>
    </row>
    <row r="119" spans="1:43" ht="15.75" customHeight="1" thickBot="1">
      <c r="B119" s="414">
        <v>13</v>
      </c>
      <c r="C119" s="415"/>
      <c r="D119" s="415"/>
      <c r="E119" s="416"/>
      <c r="F119" s="469"/>
      <c r="G119" s="438"/>
      <c r="H119" s="367"/>
      <c r="I119" s="998"/>
      <c r="J119" s="951"/>
      <c r="K119" s="951"/>
      <c r="L119" s="528"/>
      <c r="M119" s="414">
        <v>13</v>
      </c>
      <c r="N119" s="636"/>
      <c r="O119" s="636"/>
      <c r="P119" s="655"/>
      <c r="Q119" s="689"/>
      <c r="R119" s="438"/>
      <c r="S119" s="566"/>
      <c r="T119" s="547"/>
      <c r="U119" s="551">
        <f t="shared" si="7"/>
        <v>0</v>
      </c>
      <c r="V119" s="955"/>
      <c r="W119" s="501"/>
      <c r="X119" s="957"/>
      <c r="Y119" s="219"/>
      <c r="Z119" s="203"/>
    </row>
    <row r="120" spans="1:43" ht="14.5" thickBot="1">
      <c r="A120" s="24"/>
      <c r="B120" s="370"/>
      <c r="C120" s="348"/>
      <c r="D120" s="348"/>
      <c r="E120" s="371"/>
      <c r="F120" s="351"/>
      <c r="G120" s="373"/>
      <c r="H120" s="352"/>
      <c r="I120" s="374"/>
      <c r="J120" s="353"/>
      <c r="K120" s="353"/>
      <c r="L120" s="24"/>
      <c r="M120" s="370"/>
      <c r="N120" s="656"/>
      <c r="O120" s="656"/>
      <c r="P120" s="663"/>
      <c r="Q120" s="659"/>
      <c r="R120" s="373"/>
      <c r="S120" s="582"/>
      <c r="T120" s="563"/>
      <c r="U120" s="541"/>
      <c r="V120" s="557"/>
      <c r="W120" s="498"/>
      <c r="X120" s="509"/>
      <c r="Y120" s="217"/>
      <c r="Z120" s="200"/>
      <c r="AA120" s="24"/>
      <c r="AB120" s="24"/>
      <c r="AC120" s="24"/>
      <c r="AD120" s="24"/>
      <c r="AE120" s="24"/>
      <c r="AF120" s="24"/>
      <c r="AG120" s="24"/>
      <c r="AH120" s="24"/>
      <c r="AI120" s="24"/>
      <c r="AJ120" s="24"/>
      <c r="AK120" s="24"/>
      <c r="AL120" s="24"/>
      <c r="AM120" s="24"/>
      <c r="AN120" s="24"/>
      <c r="AO120" s="24"/>
      <c r="AP120" s="24"/>
      <c r="AQ120" s="24"/>
    </row>
    <row r="121" spans="1:43" ht="14.25" customHeight="1">
      <c r="B121" s="330">
        <v>14</v>
      </c>
      <c r="C121" s="331" t="s">
        <v>453</v>
      </c>
      <c r="D121" s="331" t="s">
        <v>454</v>
      </c>
      <c r="E121" s="332"/>
      <c r="F121" s="453"/>
      <c r="G121" s="454">
        <v>2975</v>
      </c>
      <c r="H121" s="334">
        <f>H113</f>
        <v>45407</v>
      </c>
      <c r="I121" s="335"/>
      <c r="J121" s="987">
        <f>SUM(G121:G133)</f>
        <v>2975</v>
      </c>
      <c r="K121" s="987">
        <v>3500</v>
      </c>
      <c r="L121" s="455"/>
      <c r="M121" s="330">
        <v>14</v>
      </c>
      <c r="N121" s="699" t="s">
        <v>455</v>
      </c>
      <c r="O121" s="699" t="s">
        <v>456</v>
      </c>
      <c r="P121" s="700"/>
      <c r="Q121" s="708"/>
      <c r="R121" s="454">
        <v>2086.0700000000279</v>
      </c>
      <c r="S121" s="492"/>
      <c r="T121" s="739">
        <v>45169</v>
      </c>
      <c r="U121" s="740">
        <v>1599.3135806759924</v>
      </c>
      <c r="V121" s="959">
        <f>K121-SUM(U121:U133)</f>
        <v>8.4480131135933334E-4</v>
      </c>
      <c r="W121" s="334">
        <f>T121</f>
        <v>45169</v>
      </c>
      <c r="X121" s="993">
        <f>SUM(R121:R133)</f>
        <v>33168.710000000021</v>
      </c>
      <c r="Y121" s="212"/>
      <c r="Z121" s="196"/>
    </row>
    <row r="122" spans="1:43" ht="15" customHeight="1">
      <c r="B122" s="336">
        <v>14</v>
      </c>
      <c r="C122" s="341"/>
      <c r="D122" s="341"/>
      <c r="E122" s="462"/>
      <c r="F122" s="463"/>
      <c r="G122" s="333"/>
      <c r="H122" s="338"/>
      <c r="I122" s="339"/>
      <c r="J122" s="988"/>
      <c r="K122" s="988"/>
      <c r="L122" s="340"/>
      <c r="M122" s="336">
        <v>14</v>
      </c>
      <c r="N122" s="337" t="s">
        <v>455</v>
      </c>
      <c r="O122" s="337" t="s">
        <v>456</v>
      </c>
      <c r="P122" s="535"/>
      <c r="Q122" s="704"/>
      <c r="R122" s="333">
        <v>0</v>
      </c>
      <c r="S122" s="489"/>
      <c r="T122" s="739">
        <v>45199</v>
      </c>
      <c r="U122" s="766">
        <v>0</v>
      </c>
      <c r="V122" s="960"/>
      <c r="W122" s="338">
        <f t="shared" ref="W122:W125" si="8">T122</f>
        <v>45199</v>
      </c>
      <c r="X122" s="994"/>
      <c r="Y122" s="215"/>
      <c r="Z122" s="198"/>
    </row>
    <row r="123" spans="1:43" ht="15" customHeight="1">
      <c r="B123" s="336">
        <v>14</v>
      </c>
      <c r="C123" s="341"/>
      <c r="D123" s="341"/>
      <c r="E123" s="462"/>
      <c r="F123" s="463"/>
      <c r="G123" s="333"/>
      <c r="H123" s="338"/>
      <c r="I123" s="339"/>
      <c r="J123" s="988"/>
      <c r="K123" s="988"/>
      <c r="L123" s="340"/>
      <c r="M123" s="336">
        <v>14</v>
      </c>
      <c r="N123" s="337" t="s">
        <v>455</v>
      </c>
      <c r="O123" s="337" t="s">
        <v>456</v>
      </c>
      <c r="P123" s="535"/>
      <c r="Q123" s="704"/>
      <c r="R123" s="333">
        <v>151</v>
      </c>
      <c r="S123" s="489"/>
      <c r="T123" s="739">
        <v>45230</v>
      </c>
      <c r="U123" s="766">
        <v>141.89557452269659</v>
      </c>
      <c r="V123" s="960"/>
      <c r="W123" s="338">
        <f t="shared" si="8"/>
        <v>45230</v>
      </c>
      <c r="X123" s="994"/>
      <c r="Y123" s="215"/>
      <c r="Z123" s="198"/>
    </row>
    <row r="124" spans="1:43" ht="15" customHeight="1">
      <c r="B124" s="336">
        <v>14</v>
      </c>
      <c r="C124" s="341"/>
      <c r="D124" s="341"/>
      <c r="E124" s="462"/>
      <c r="F124" s="463"/>
      <c r="G124" s="333"/>
      <c r="H124" s="338"/>
      <c r="I124" s="339"/>
      <c r="J124" s="988"/>
      <c r="K124" s="988"/>
      <c r="L124" s="340"/>
      <c r="M124" s="336">
        <v>14</v>
      </c>
      <c r="N124" s="337" t="s">
        <v>455</v>
      </c>
      <c r="O124" s="337" t="s">
        <v>456</v>
      </c>
      <c r="P124" s="869"/>
      <c r="Q124" s="704"/>
      <c r="R124" s="333">
        <v>0</v>
      </c>
      <c r="S124" s="489"/>
      <c r="T124" s="739">
        <v>45260</v>
      </c>
      <c r="U124" s="766">
        <v>0</v>
      </c>
      <c r="V124" s="960"/>
      <c r="W124" s="461">
        <f t="shared" si="8"/>
        <v>45260</v>
      </c>
      <c r="X124" s="994"/>
      <c r="Y124" s="215"/>
      <c r="Z124" s="198"/>
    </row>
    <row r="125" spans="1:43" ht="15" customHeight="1">
      <c r="B125" s="714"/>
      <c r="C125" s="715"/>
      <c r="D125" s="715"/>
      <c r="E125" s="716"/>
      <c r="F125" s="717"/>
      <c r="G125" s="718"/>
      <c r="H125" s="719"/>
      <c r="I125" s="339"/>
      <c r="J125" s="988"/>
      <c r="K125" s="988"/>
      <c r="L125" s="340"/>
      <c r="M125" s="336">
        <v>14</v>
      </c>
      <c r="N125" s="720" t="s">
        <v>455</v>
      </c>
      <c r="O125" s="337" t="s">
        <v>456</v>
      </c>
      <c r="P125" s="721"/>
      <c r="Q125" s="722"/>
      <c r="R125" s="333">
        <v>2774.58</v>
      </c>
      <c r="S125" s="564"/>
      <c r="T125" s="739">
        <v>45291</v>
      </c>
      <c r="U125" s="766">
        <v>1758.79</v>
      </c>
      <c r="V125" s="960"/>
      <c r="W125" s="461">
        <f t="shared" si="8"/>
        <v>45291</v>
      </c>
      <c r="X125" s="994"/>
      <c r="Y125" s="723"/>
      <c r="Z125" s="724"/>
    </row>
    <row r="126" spans="1:43" ht="15" customHeight="1">
      <c r="B126" s="714">
        <v>14</v>
      </c>
      <c r="C126" s="715"/>
      <c r="D126" s="715"/>
      <c r="E126" s="716"/>
      <c r="F126" s="717"/>
      <c r="G126" s="718"/>
      <c r="H126" s="719"/>
      <c r="I126" s="339"/>
      <c r="J126" s="988"/>
      <c r="K126" s="988"/>
      <c r="L126" s="340"/>
      <c r="M126" s="714">
        <v>14</v>
      </c>
      <c r="N126" s="720" t="s">
        <v>455</v>
      </c>
      <c r="O126" s="337" t="s">
        <v>456</v>
      </c>
      <c r="P126" s="721"/>
      <c r="Q126" s="722"/>
      <c r="R126" s="333">
        <v>1366.01</v>
      </c>
      <c r="S126" s="564"/>
      <c r="T126" s="739">
        <v>45322</v>
      </c>
      <c r="U126" s="766">
        <v>0</v>
      </c>
      <c r="V126" s="960"/>
      <c r="W126" s="461">
        <v>45330</v>
      </c>
      <c r="X126" s="994"/>
      <c r="Y126" s="723"/>
      <c r="Z126" s="724"/>
    </row>
    <row r="127" spans="1:43" ht="15" customHeight="1">
      <c r="B127" s="714"/>
      <c r="C127" s="715"/>
      <c r="D127" s="715"/>
      <c r="E127" s="716"/>
      <c r="F127" s="717"/>
      <c r="G127" s="718"/>
      <c r="H127" s="719"/>
      <c r="I127" s="339"/>
      <c r="J127" s="988"/>
      <c r="K127" s="988"/>
      <c r="L127" s="340"/>
      <c r="M127" s="714">
        <v>14</v>
      </c>
      <c r="N127" s="720" t="s">
        <v>455</v>
      </c>
      <c r="O127" s="337" t="s">
        <v>456</v>
      </c>
      <c r="P127" s="721"/>
      <c r="Q127" s="722"/>
      <c r="R127" s="718">
        <v>679.5</v>
      </c>
      <c r="S127" s="564"/>
      <c r="T127" s="863">
        <v>45351</v>
      </c>
      <c r="U127" s="871">
        <v>0</v>
      </c>
      <c r="V127" s="960"/>
      <c r="W127" s="461">
        <v>45358</v>
      </c>
      <c r="X127" s="994"/>
      <c r="Y127" s="723"/>
      <c r="Z127" s="724"/>
    </row>
    <row r="128" spans="1:43" ht="15" customHeight="1">
      <c r="B128" s="714"/>
      <c r="C128" s="715"/>
      <c r="D128" s="715"/>
      <c r="E128" s="716"/>
      <c r="F128" s="717"/>
      <c r="G128" s="718"/>
      <c r="H128" s="719"/>
      <c r="I128" s="339"/>
      <c r="J128" s="988"/>
      <c r="K128" s="988"/>
      <c r="L128" s="340"/>
      <c r="M128" s="714">
        <v>14</v>
      </c>
      <c r="N128" s="720" t="s">
        <v>455</v>
      </c>
      <c r="O128" s="337" t="s">
        <v>456</v>
      </c>
      <c r="P128" s="721"/>
      <c r="Q128" s="722"/>
      <c r="R128" s="718">
        <v>373.65</v>
      </c>
      <c r="S128" s="564"/>
      <c r="T128" s="878">
        <v>45382</v>
      </c>
      <c r="U128" s="871">
        <v>0</v>
      </c>
      <c r="V128" s="960"/>
      <c r="W128" s="461">
        <v>45387</v>
      </c>
      <c r="X128" s="994"/>
      <c r="Y128" s="723"/>
      <c r="Z128" s="724"/>
    </row>
    <row r="129" spans="1:43" ht="15" customHeight="1">
      <c r="B129" s="714"/>
      <c r="C129" s="715"/>
      <c r="D129" s="715"/>
      <c r="E129" s="716"/>
      <c r="F129" s="717"/>
      <c r="G129" s="718"/>
      <c r="H129" s="719"/>
      <c r="I129" s="339"/>
      <c r="J129" s="988"/>
      <c r="K129" s="988"/>
      <c r="L129" s="340"/>
      <c r="M129" s="714">
        <v>14</v>
      </c>
      <c r="N129" s="720" t="s">
        <v>455</v>
      </c>
      <c r="O129" s="337" t="s">
        <v>456</v>
      </c>
      <c r="P129" s="721"/>
      <c r="Q129" s="722"/>
      <c r="R129" s="718">
        <v>20535.429999999997</v>
      </c>
      <c r="S129" s="564"/>
      <c r="T129" s="902">
        <v>45412</v>
      </c>
      <c r="U129" s="871"/>
      <c r="V129" s="960"/>
      <c r="W129" s="903">
        <v>45421</v>
      </c>
      <c r="X129" s="994"/>
      <c r="Y129" s="723"/>
      <c r="Z129" s="724"/>
    </row>
    <row r="130" spans="1:43" ht="15" customHeight="1">
      <c r="B130" s="714"/>
      <c r="C130" s="715"/>
      <c r="D130" s="715"/>
      <c r="E130" s="716"/>
      <c r="F130" s="717"/>
      <c r="G130" s="718"/>
      <c r="H130" s="719"/>
      <c r="I130" s="339"/>
      <c r="J130" s="988"/>
      <c r="K130" s="988"/>
      <c r="L130" s="340"/>
      <c r="M130" s="714">
        <v>14</v>
      </c>
      <c r="N130" s="720" t="s">
        <v>455</v>
      </c>
      <c r="O130" s="337" t="s">
        <v>456</v>
      </c>
      <c r="P130" s="721"/>
      <c r="Q130" s="722"/>
      <c r="R130" s="718">
        <v>1573.48</v>
      </c>
      <c r="S130" s="564"/>
      <c r="T130" s="863">
        <v>45443</v>
      </c>
      <c r="U130" s="871"/>
      <c r="V130" s="960"/>
      <c r="W130" s="877">
        <v>45449</v>
      </c>
      <c r="X130" s="994"/>
      <c r="Y130" s="723"/>
      <c r="Z130" s="724"/>
    </row>
    <row r="131" spans="1:43" ht="15" customHeight="1">
      <c r="B131" s="714"/>
      <c r="C131" s="715"/>
      <c r="D131" s="715"/>
      <c r="E131" s="716"/>
      <c r="F131" s="717"/>
      <c r="G131" s="718"/>
      <c r="H131" s="719"/>
      <c r="I131" s="339"/>
      <c r="J131" s="988"/>
      <c r="K131" s="988"/>
      <c r="L131" s="340"/>
      <c r="M131" s="714">
        <v>14</v>
      </c>
      <c r="N131" s="720" t="s">
        <v>455</v>
      </c>
      <c r="O131" s="337" t="s">
        <v>456</v>
      </c>
      <c r="P131" s="721"/>
      <c r="Q131" s="722"/>
      <c r="R131" s="718">
        <v>1339.72</v>
      </c>
      <c r="S131" s="564"/>
      <c r="T131" s="863">
        <v>45473</v>
      </c>
      <c r="U131" s="871"/>
      <c r="V131" s="960"/>
      <c r="W131" s="877">
        <v>45478</v>
      </c>
      <c r="X131" s="994"/>
      <c r="Y131" s="723"/>
      <c r="Z131" s="724"/>
    </row>
    <row r="132" spans="1:43" ht="15" customHeight="1">
      <c r="B132" s="714"/>
      <c r="C132" s="715"/>
      <c r="D132" s="715"/>
      <c r="E132" s="716"/>
      <c r="F132" s="717"/>
      <c r="G132" s="718"/>
      <c r="H132" s="719"/>
      <c r="I132" s="339"/>
      <c r="J132" s="988"/>
      <c r="K132" s="988"/>
      <c r="L132" s="340"/>
      <c r="M132" s="714"/>
      <c r="N132" s="720"/>
      <c r="O132" s="720"/>
      <c r="P132" s="721"/>
      <c r="Q132" s="722"/>
      <c r="R132" s="718">
        <v>1250.6600000000001</v>
      </c>
      <c r="S132" s="564"/>
      <c r="T132" s="863">
        <v>45504</v>
      </c>
      <c r="U132" s="871"/>
      <c r="V132" s="960"/>
      <c r="W132" s="877">
        <v>45510</v>
      </c>
      <c r="X132" s="994"/>
      <c r="Y132" s="723"/>
      <c r="Z132" s="724"/>
    </row>
    <row r="133" spans="1:43" ht="15" customHeight="1" thickBot="1">
      <c r="B133" s="342">
        <v>14</v>
      </c>
      <c r="C133" s="464"/>
      <c r="D133" s="464"/>
      <c r="E133" s="465"/>
      <c r="F133" s="466"/>
      <c r="G133" s="343"/>
      <c r="H133" s="344"/>
      <c r="I133" s="345"/>
      <c r="J133" s="989"/>
      <c r="K133" s="989"/>
      <c r="L133" s="346"/>
      <c r="M133" s="342">
        <v>14</v>
      </c>
      <c r="N133" s="556"/>
      <c r="O133" s="556"/>
      <c r="P133" s="702"/>
      <c r="Q133" s="703"/>
      <c r="R133" s="343">
        <v>1038.6099999999999</v>
      </c>
      <c r="S133" s="564"/>
      <c r="T133" s="935">
        <v>45535</v>
      </c>
      <c r="U133" s="872">
        <v>0</v>
      </c>
      <c r="V133" s="961"/>
      <c r="W133" s="936">
        <v>45540</v>
      </c>
      <c r="X133" s="995"/>
      <c r="Y133" s="216"/>
      <c r="Z133" s="199"/>
    </row>
    <row r="134" spans="1:43" ht="14.5" thickBot="1">
      <c r="A134" s="24"/>
      <c r="B134" s="370"/>
      <c r="C134" s="348"/>
      <c r="D134" s="348"/>
      <c r="E134" s="371"/>
      <c r="F134" s="351"/>
      <c r="G134" s="373"/>
      <c r="H134" s="352"/>
      <c r="I134" s="374"/>
      <c r="J134" s="479"/>
      <c r="K134" s="479"/>
      <c r="L134" s="24"/>
      <c r="M134" s="370"/>
      <c r="N134" s="656"/>
      <c r="O134" s="656"/>
      <c r="P134" s="663"/>
      <c r="Q134" s="659"/>
      <c r="R134" s="373"/>
      <c r="S134" s="582"/>
      <c r="T134" s="563"/>
      <c r="U134" s="541"/>
      <c r="V134" s="557"/>
      <c r="W134" s="498"/>
      <c r="X134" s="511"/>
      <c r="Y134" s="217"/>
      <c r="Z134" s="200"/>
      <c r="AA134" s="24"/>
      <c r="AB134" s="24"/>
      <c r="AC134" s="24"/>
      <c r="AD134" s="24"/>
      <c r="AE134" s="24"/>
      <c r="AF134" s="24"/>
      <c r="AG134" s="24"/>
      <c r="AH134" s="24"/>
      <c r="AI134" s="24"/>
      <c r="AJ134" s="24"/>
      <c r="AK134" s="24"/>
      <c r="AL134" s="24"/>
      <c r="AM134" s="24"/>
      <c r="AN134" s="24"/>
      <c r="AO134" s="24"/>
      <c r="AP134" s="24"/>
      <c r="AQ134" s="24"/>
    </row>
    <row r="135" spans="1:43">
      <c r="B135" s="354">
        <v>15</v>
      </c>
      <c r="C135" s="355" t="s">
        <v>457</v>
      </c>
      <c r="D135" s="355"/>
      <c r="E135" s="356"/>
      <c r="F135" s="467"/>
      <c r="G135" s="357"/>
      <c r="H135" s="358"/>
      <c r="I135" s="359"/>
      <c r="J135" s="949">
        <f>SUM(G135:G138)</f>
        <v>0</v>
      </c>
      <c r="K135" s="949">
        <v>0</v>
      </c>
      <c r="L135" s="360"/>
      <c r="M135" s="354">
        <v>15</v>
      </c>
      <c r="N135" s="513" t="s">
        <v>458</v>
      </c>
      <c r="O135" s="513"/>
      <c r="P135" s="654"/>
      <c r="Q135" s="666"/>
      <c r="R135" s="357">
        <v>0</v>
      </c>
      <c r="S135" s="591"/>
      <c r="T135" s="544"/>
      <c r="U135" s="549">
        <v>0</v>
      </c>
      <c r="V135" s="962">
        <f>K135-SUM(U135:U138)</f>
        <v>0</v>
      </c>
      <c r="W135" s="499"/>
      <c r="X135" s="956">
        <f>SUM(R135:R138)</f>
        <v>0</v>
      </c>
      <c r="Y135" s="218"/>
      <c r="Z135" s="201"/>
    </row>
    <row r="136" spans="1:43">
      <c r="B136" s="408">
        <v>15</v>
      </c>
      <c r="C136" s="410"/>
      <c r="D136" s="410"/>
      <c r="E136" s="411"/>
      <c r="F136" s="468"/>
      <c r="G136" s="412"/>
      <c r="H136" s="364"/>
      <c r="I136" s="365"/>
      <c r="J136" s="950"/>
      <c r="K136" s="950"/>
      <c r="L136" s="366"/>
      <c r="M136" s="408">
        <v>15</v>
      </c>
      <c r="N136" s="629"/>
      <c r="O136" s="629"/>
      <c r="P136" s="633"/>
      <c r="Q136" s="684"/>
      <c r="R136" s="412">
        <v>0</v>
      </c>
      <c r="S136" s="491"/>
      <c r="T136" s="542"/>
      <c r="U136" s="595">
        <v>0</v>
      </c>
      <c r="V136" s="963"/>
      <c r="W136" s="500"/>
      <c r="X136" s="957"/>
      <c r="Y136" s="213"/>
      <c r="Z136" s="202"/>
    </row>
    <row r="137" spans="1:43">
      <c r="B137" s="408">
        <v>15</v>
      </c>
      <c r="C137" s="410"/>
      <c r="D137" s="410"/>
      <c r="E137" s="411"/>
      <c r="F137" s="468"/>
      <c r="G137" s="412"/>
      <c r="H137" s="364"/>
      <c r="I137" s="365"/>
      <c r="J137" s="950"/>
      <c r="K137" s="950"/>
      <c r="L137" s="366"/>
      <c r="M137" s="408">
        <v>15</v>
      </c>
      <c r="N137" s="629"/>
      <c r="O137" s="629"/>
      <c r="P137" s="633"/>
      <c r="Q137" s="684"/>
      <c r="R137" s="412">
        <v>0</v>
      </c>
      <c r="S137" s="491"/>
      <c r="T137" s="542"/>
      <c r="U137" s="595">
        <v>0</v>
      </c>
      <c r="V137" s="963"/>
      <c r="W137" s="500"/>
      <c r="X137" s="957"/>
      <c r="Y137" s="213"/>
      <c r="Z137" s="202"/>
    </row>
    <row r="138" spans="1:43" ht="14.5" thickBot="1">
      <c r="B138" s="414">
        <v>15</v>
      </c>
      <c r="C138" s="415"/>
      <c r="D138" s="415"/>
      <c r="E138" s="416"/>
      <c r="F138" s="469"/>
      <c r="G138" s="438"/>
      <c r="H138" s="367"/>
      <c r="I138" s="368"/>
      <c r="J138" s="951"/>
      <c r="K138" s="951"/>
      <c r="L138" s="369"/>
      <c r="M138" s="414">
        <v>15</v>
      </c>
      <c r="N138" s="636"/>
      <c r="O138" s="636"/>
      <c r="P138" s="655"/>
      <c r="Q138" s="689"/>
      <c r="R138" s="438">
        <v>0</v>
      </c>
      <c r="S138" s="589"/>
      <c r="T138" s="543"/>
      <c r="U138" s="596">
        <v>0</v>
      </c>
      <c r="V138" s="964"/>
      <c r="W138" s="501"/>
      <c r="X138" s="958"/>
      <c r="Y138" s="219"/>
      <c r="Z138" s="203"/>
    </row>
    <row r="139" spans="1:43" s="3" customFormat="1">
      <c r="B139" s="109"/>
      <c r="E139" s="4"/>
      <c r="F139" s="109"/>
      <c r="G139" s="5"/>
      <c r="H139" s="5"/>
      <c r="I139" s="480"/>
      <c r="J139" s="481"/>
      <c r="K139" s="481"/>
      <c r="M139" s="109"/>
      <c r="P139" s="4"/>
      <c r="Q139" s="109"/>
      <c r="R139" s="482"/>
      <c r="S139" s="482"/>
      <c r="T139" s="482"/>
      <c r="U139" s="482"/>
      <c r="V139" s="482"/>
      <c r="W139" s="482"/>
      <c r="X139" s="482"/>
      <c r="Y139" s="482"/>
    </row>
    <row r="140" spans="1:43">
      <c r="B140" s="114"/>
      <c r="C140" s="114"/>
      <c r="D140" s="114"/>
      <c r="E140" s="167"/>
      <c r="F140" s="115"/>
      <c r="G140" s="114"/>
      <c r="H140" s="114"/>
      <c r="J140" s="114"/>
      <c r="K140" s="114"/>
      <c r="M140" s="114"/>
      <c r="N140" s="114"/>
      <c r="O140" s="114"/>
      <c r="P140" s="114"/>
      <c r="Q140" s="114"/>
      <c r="R140" s="312"/>
      <c r="S140" s="312"/>
      <c r="T140" s="312"/>
      <c r="U140" s="534">
        <f>SUM(U6:U133)</f>
        <v>15251088.669261858</v>
      </c>
      <c r="V140" s="312"/>
      <c r="W140" s="312"/>
      <c r="X140" s="312"/>
      <c r="Y140" s="114"/>
    </row>
    <row r="141" spans="1:43">
      <c r="B141" s="114"/>
      <c r="C141" s="114"/>
      <c r="D141" s="114"/>
      <c r="E141" s="167"/>
      <c r="F141" s="115"/>
      <c r="G141" s="114"/>
      <c r="H141" s="114"/>
      <c r="J141" s="311"/>
      <c r="K141" s="311"/>
      <c r="M141" s="114"/>
      <c r="N141" s="114"/>
      <c r="O141" s="114"/>
      <c r="P141" s="167"/>
      <c r="Q141" s="115"/>
      <c r="R141" s="312"/>
      <c r="S141" s="312"/>
      <c r="T141" s="312"/>
      <c r="U141" s="312"/>
      <c r="V141" s="312"/>
      <c r="W141" s="312"/>
      <c r="X141" s="312"/>
      <c r="Y141" s="168"/>
    </row>
    <row r="142" spans="1:43">
      <c r="B142" s="114"/>
      <c r="C142" s="114"/>
      <c r="D142" s="114"/>
      <c r="E142" s="167"/>
      <c r="F142" s="115"/>
      <c r="G142" s="114"/>
      <c r="H142" s="114"/>
      <c r="J142" s="483"/>
      <c r="K142" s="483"/>
      <c r="M142" s="114"/>
      <c r="N142" s="114"/>
      <c r="O142" s="114"/>
      <c r="P142" s="167"/>
      <c r="Q142" s="115"/>
      <c r="R142" s="312"/>
      <c r="S142" s="312"/>
      <c r="T142" s="312"/>
      <c r="U142" s="312"/>
      <c r="V142" s="312"/>
      <c r="W142" s="312"/>
      <c r="X142" s="312"/>
      <c r="Y142" s="168"/>
    </row>
    <row r="143" spans="1:43">
      <c r="B143" s="114"/>
      <c r="C143" s="114"/>
      <c r="D143" s="114"/>
      <c r="E143" s="167"/>
      <c r="F143" s="115"/>
      <c r="G143" s="114"/>
      <c r="H143" s="114"/>
      <c r="J143" s="311"/>
      <c r="K143" s="311"/>
      <c r="M143" s="114"/>
      <c r="N143" s="114"/>
      <c r="O143" s="114"/>
      <c r="P143" s="167"/>
      <c r="Q143" s="115"/>
      <c r="R143" s="312"/>
      <c r="S143" s="312"/>
      <c r="T143" s="312"/>
      <c r="U143" s="312"/>
      <c r="V143" s="312"/>
      <c r="W143" s="312"/>
      <c r="X143" s="312"/>
      <c r="Y143" s="168"/>
    </row>
    <row r="144" spans="1:43">
      <c r="B144" s="114"/>
      <c r="C144" s="114"/>
      <c r="D144" s="114"/>
      <c r="E144" s="167"/>
      <c r="F144" s="115"/>
      <c r="G144" s="114"/>
      <c r="H144" s="114"/>
      <c r="J144" s="483"/>
      <c r="K144" s="483"/>
      <c r="M144" s="114"/>
      <c r="N144" s="114"/>
      <c r="O144" s="114"/>
      <c r="P144" s="167"/>
      <c r="Q144" s="115"/>
      <c r="R144" s="312"/>
      <c r="S144" s="312"/>
      <c r="T144" s="312"/>
      <c r="U144" s="312"/>
      <c r="V144" s="312"/>
      <c r="W144" s="312"/>
      <c r="X144" s="312"/>
      <c r="Y144" s="168"/>
    </row>
    <row r="145" spans="2:25">
      <c r="B145" s="114"/>
      <c r="C145" s="114"/>
      <c r="D145" s="114"/>
      <c r="E145" s="167"/>
      <c r="F145" s="115"/>
      <c r="G145" s="114"/>
      <c r="H145" s="114"/>
      <c r="J145" s="311"/>
      <c r="K145" s="311"/>
      <c r="M145" s="114"/>
      <c r="N145" s="114"/>
      <c r="O145" s="114"/>
      <c r="P145" s="167"/>
      <c r="Q145" s="115"/>
      <c r="R145" s="312"/>
      <c r="S145" s="312"/>
      <c r="T145" s="312"/>
      <c r="U145" s="534"/>
      <c r="V145" s="312"/>
      <c r="W145" s="312"/>
      <c r="X145" s="312"/>
      <c r="Y145" s="168"/>
    </row>
    <row r="146" spans="2:25">
      <c r="B146" s="114"/>
      <c r="C146" s="114"/>
      <c r="D146" s="114"/>
      <c r="E146" s="167"/>
      <c r="F146" s="115"/>
      <c r="G146" s="114"/>
      <c r="H146" s="114"/>
      <c r="J146" s="311"/>
      <c r="K146" s="311"/>
      <c r="M146" s="114"/>
      <c r="N146" s="114"/>
      <c r="O146" s="114"/>
      <c r="P146" s="167"/>
      <c r="Q146" s="115"/>
      <c r="R146" s="534"/>
      <c r="S146" s="312"/>
      <c r="T146" s="312"/>
      <c r="U146" s="312"/>
      <c r="V146" s="312"/>
      <c r="W146" s="312"/>
      <c r="X146" s="312"/>
      <c r="Y146" s="168"/>
    </row>
    <row r="147" spans="2:25">
      <c r="B147" s="114"/>
      <c r="C147" s="114"/>
      <c r="D147" s="114"/>
      <c r="E147" s="167"/>
      <c r="F147" s="115"/>
      <c r="G147" s="114"/>
      <c r="H147" s="114"/>
      <c r="J147" s="311"/>
      <c r="K147" s="311"/>
      <c r="M147" s="114"/>
      <c r="N147" s="114"/>
      <c r="O147" s="114"/>
      <c r="P147" s="167"/>
      <c r="Q147" s="115"/>
      <c r="R147" s="312"/>
      <c r="S147" s="312"/>
      <c r="T147" s="312"/>
      <c r="U147" s="312"/>
      <c r="V147" s="312"/>
      <c r="W147" s="312"/>
      <c r="X147" s="312"/>
      <c r="Y147" s="168"/>
    </row>
    <row r="148" spans="2:25">
      <c r="B148" s="114"/>
      <c r="C148" s="114"/>
      <c r="D148" s="114"/>
      <c r="E148" s="167"/>
      <c r="F148" s="115"/>
      <c r="G148" s="114"/>
      <c r="H148" s="114"/>
      <c r="J148" s="311"/>
      <c r="K148" s="311"/>
      <c r="M148" s="114"/>
      <c r="N148" s="114"/>
      <c r="O148" s="114"/>
      <c r="P148" s="167"/>
      <c r="Q148" s="115"/>
      <c r="R148" s="312"/>
      <c r="S148" s="312"/>
      <c r="T148" s="312"/>
      <c r="U148" s="312"/>
      <c r="V148" s="312"/>
      <c r="W148" s="312"/>
      <c r="X148" s="312"/>
      <c r="Y148" s="168"/>
    </row>
    <row r="149" spans="2:25">
      <c r="B149" s="114"/>
      <c r="C149" s="114"/>
      <c r="D149" s="114"/>
      <c r="E149" s="167"/>
      <c r="F149" s="115"/>
      <c r="G149" s="114"/>
      <c r="H149" s="114"/>
      <c r="J149" s="311"/>
      <c r="K149" s="311"/>
      <c r="M149" s="114"/>
      <c r="N149" s="114"/>
      <c r="O149" s="114"/>
      <c r="P149" s="167"/>
      <c r="Q149" s="115"/>
      <c r="R149" s="312"/>
      <c r="S149" s="312"/>
      <c r="T149" s="312"/>
      <c r="U149" s="312"/>
      <c r="V149" s="312"/>
      <c r="W149" s="312"/>
      <c r="X149" s="312"/>
      <c r="Y149" s="168"/>
    </row>
    <row r="150" spans="2:25">
      <c r="B150" s="114"/>
      <c r="C150" s="114"/>
      <c r="D150" s="114"/>
      <c r="E150" s="167"/>
      <c r="F150" s="115"/>
      <c r="G150" s="114"/>
      <c r="H150" s="114"/>
      <c r="J150" s="311"/>
      <c r="K150" s="311"/>
      <c r="M150" s="114"/>
      <c r="N150" s="114"/>
      <c r="O150" s="114"/>
      <c r="P150" s="167"/>
      <c r="Q150" s="115"/>
      <c r="R150" s="312"/>
      <c r="S150" s="312"/>
      <c r="T150" s="312"/>
      <c r="U150" s="312"/>
      <c r="V150" s="312"/>
      <c r="W150" s="312"/>
      <c r="X150" s="312"/>
      <c r="Y150" s="168"/>
    </row>
    <row r="151" spans="2:25">
      <c r="B151" s="114"/>
      <c r="C151" s="114"/>
      <c r="D151" s="114"/>
      <c r="E151" s="167"/>
      <c r="F151" s="115"/>
      <c r="G151" s="114"/>
      <c r="H151" s="114"/>
      <c r="J151" s="311"/>
      <c r="K151" s="311"/>
      <c r="M151" s="114"/>
      <c r="N151" s="114"/>
      <c r="O151" s="114"/>
      <c r="P151" s="167"/>
      <c r="Q151" s="115"/>
      <c r="R151" s="312"/>
      <c r="S151" s="312"/>
      <c r="T151" s="312"/>
      <c r="U151" s="312"/>
      <c r="V151" s="312"/>
      <c r="W151" s="312"/>
      <c r="X151" s="312"/>
      <c r="Y151" s="168"/>
    </row>
    <row r="152" spans="2:25">
      <c r="B152" s="114"/>
      <c r="C152" s="114"/>
      <c r="D152" s="114"/>
      <c r="E152" s="167"/>
      <c r="F152" s="115"/>
      <c r="G152" s="114"/>
      <c r="H152" s="114"/>
      <c r="J152" s="311"/>
      <c r="K152" s="311"/>
      <c r="M152" s="114"/>
      <c r="N152" s="114"/>
      <c r="O152" s="114"/>
      <c r="P152" s="167"/>
      <c r="Q152" s="115"/>
      <c r="R152" s="312"/>
      <c r="S152" s="312"/>
      <c r="T152" s="312"/>
      <c r="U152" s="312"/>
      <c r="V152" s="312"/>
      <c r="W152" s="312"/>
      <c r="X152" s="312"/>
      <c r="Y152" s="168"/>
    </row>
    <row r="153" spans="2:25" s="114" customFormat="1">
      <c r="E153" s="167"/>
      <c r="F153" s="115"/>
      <c r="J153" s="311"/>
      <c r="K153" s="311"/>
      <c r="P153" s="167"/>
      <c r="Q153" s="115"/>
      <c r="R153" s="312"/>
      <c r="S153" s="312"/>
      <c r="T153" s="312"/>
      <c r="U153" s="312"/>
      <c r="V153" s="312"/>
      <c r="W153" s="312"/>
      <c r="X153" s="312"/>
      <c r="Y153" s="168"/>
    </row>
    <row r="154" spans="2:25" s="114" customFormat="1">
      <c r="E154" s="167"/>
      <c r="F154" s="115"/>
      <c r="J154" s="311"/>
      <c r="K154" s="311"/>
      <c r="P154" s="167"/>
      <c r="Q154" s="115"/>
      <c r="R154" s="312"/>
      <c r="S154" s="312"/>
      <c r="T154" s="312"/>
      <c r="U154" s="312"/>
      <c r="V154" s="312"/>
      <c r="W154" s="312"/>
      <c r="X154" s="312"/>
      <c r="Y154" s="168"/>
    </row>
    <row r="155" spans="2:25" s="114" customFormat="1">
      <c r="E155" s="167"/>
      <c r="F155" s="115"/>
      <c r="J155" s="311"/>
      <c r="K155" s="311"/>
      <c r="P155" s="167"/>
      <c r="Q155" s="115"/>
      <c r="R155" s="312"/>
      <c r="S155" s="312"/>
      <c r="T155" s="312"/>
      <c r="U155" s="312"/>
      <c r="V155" s="312"/>
      <c r="W155" s="312"/>
      <c r="X155" s="312"/>
      <c r="Y155" s="168"/>
    </row>
    <row r="156" spans="2:25" s="114" customFormat="1">
      <c r="E156" s="167"/>
      <c r="F156" s="115"/>
      <c r="J156" s="311"/>
      <c r="K156" s="311"/>
      <c r="P156" s="167"/>
      <c r="Q156" s="115"/>
      <c r="R156" s="312"/>
      <c r="S156" s="312"/>
      <c r="T156" s="312"/>
      <c r="U156" s="312"/>
      <c r="V156" s="312"/>
      <c r="W156" s="312"/>
      <c r="X156" s="312"/>
      <c r="Y156" s="168"/>
    </row>
    <row r="157" spans="2:25" s="114" customFormat="1">
      <c r="E157" s="167"/>
      <c r="F157" s="115"/>
      <c r="J157" s="311"/>
      <c r="K157" s="311"/>
      <c r="P157" s="167"/>
      <c r="Q157" s="115"/>
      <c r="R157" s="312"/>
      <c r="S157" s="312"/>
      <c r="T157" s="312"/>
      <c r="U157" s="312"/>
      <c r="V157" s="312"/>
      <c r="W157" s="312"/>
      <c r="X157" s="312"/>
      <c r="Y157" s="168"/>
    </row>
    <row r="158" spans="2:25" s="114" customFormat="1">
      <c r="E158" s="167"/>
      <c r="F158" s="115"/>
      <c r="J158" s="311"/>
      <c r="K158" s="311"/>
      <c r="P158" s="167"/>
      <c r="Q158" s="115"/>
      <c r="R158" s="312"/>
      <c r="S158" s="312"/>
      <c r="T158" s="312"/>
      <c r="U158" s="312"/>
      <c r="V158" s="312"/>
      <c r="W158" s="312"/>
      <c r="X158" s="312"/>
      <c r="Y158" s="168"/>
    </row>
    <row r="159" spans="2:25" s="114" customFormat="1">
      <c r="E159" s="167"/>
      <c r="F159" s="115"/>
      <c r="J159" s="311"/>
      <c r="K159" s="311"/>
      <c r="P159" s="167"/>
      <c r="Q159" s="115"/>
      <c r="R159" s="312"/>
      <c r="S159" s="312"/>
      <c r="T159" s="312"/>
      <c r="U159" s="312"/>
      <c r="V159" s="312"/>
      <c r="W159" s="312"/>
      <c r="X159" s="312"/>
      <c r="Y159" s="168"/>
    </row>
    <row r="160" spans="2:25" s="114" customFormat="1">
      <c r="E160" s="167"/>
      <c r="F160" s="115"/>
      <c r="J160" s="311"/>
      <c r="K160" s="311"/>
      <c r="P160" s="167"/>
      <c r="Q160" s="115"/>
      <c r="R160" s="312"/>
      <c r="S160" s="312"/>
      <c r="T160" s="312"/>
      <c r="U160" s="312"/>
      <c r="V160" s="312"/>
      <c r="W160" s="312"/>
      <c r="X160" s="312"/>
      <c r="Y160" s="168"/>
    </row>
    <row r="161" spans="5:25" s="114" customFormat="1">
      <c r="E161" s="167"/>
      <c r="F161" s="115"/>
      <c r="J161" s="311"/>
      <c r="K161" s="311"/>
      <c r="P161" s="167"/>
      <c r="Q161" s="115"/>
      <c r="R161" s="312"/>
      <c r="S161" s="312"/>
      <c r="T161" s="312"/>
      <c r="U161" s="312"/>
      <c r="V161" s="312"/>
      <c r="W161" s="312"/>
      <c r="X161" s="312"/>
      <c r="Y161" s="168"/>
    </row>
    <row r="162" spans="5:25" s="114" customFormat="1">
      <c r="E162" s="167"/>
      <c r="F162" s="115"/>
      <c r="J162" s="311"/>
      <c r="K162" s="311"/>
      <c r="P162" s="167"/>
      <c r="Q162" s="115"/>
      <c r="R162" s="312"/>
      <c r="S162" s="312"/>
      <c r="T162" s="312"/>
      <c r="U162" s="312"/>
      <c r="V162" s="312"/>
      <c r="W162" s="312"/>
      <c r="X162" s="312"/>
      <c r="Y162" s="168"/>
    </row>
    <row r="163" spans="5:25" s="114" customFormat="1">
      <c r="E163" s="167"/>
      <c r="F163" s="115"/>
      <c r="J163" s="311"/>
      <c r="K163" s="311"/>
      <c r="P163" s="167"/>
      <c r="Q163" s="115"/>
      <c r="R163" s="312"/>
      <c r="S163" s="312"/>
      <c r="T163" s="312"/>
      <c r="U163" s="312"/>
      <c r="V163" s="312"/>
      <c r="W163" s="312"/>
      <c r="X163" s="312"/>
      <c r="Y163" s="168"/>
    </row>
    <row r="164" spans="5:25" s="114" customFormat="1">
      <c r="E164" s="167"/>
      <c r="F164" s="115"/>
      <c r="J164" s="311"/>
      <c r="K164" s="311"/>
      <c r="P164" s="167"/>
      <c r="Q164" s="115"/>
      <c r="R164" s="312"/>
      <c r="S164" s="312"/>
      <c r="T164" s="312"/>
      <c r="U164" s="312"/>
      <c r="V164" s="312"/>
      <c r="W164" s="312"/>
      <c r="X164" s="312"/>
      <c r="Y164" s="168"/>
    </row>
    <row r="165" spans="5:25" s="114" customFormat="1">
      <c r="E165" s="167"/>
      <c r="F165" s="115"/>
      <c r="J165" s="311"/>
      <c r="K165" s="311"/>
      <c r="P165" s="167"/>
      <c r="Q165" s="115"/>
      <c r="R165" s="312"/>
      <c r="S165" s="312"/>
      <c r="T165" s="312"/>
      <c r="U165" s="312"/>
      <c r="V165" s="312"/>
      <c r="W165" s="312"/>
      <c r="X165" s="312"/>
      <c r="Y165" s="168"/>
    </row>
    <row r="166" spans="5:25" s="114" customFormat="1">
      <c r="E166" s="167"/>
      <c r="F166" s="115"/>
      <c r="J166" s="311"/>
      <c r="K166" s="311"/>
      <c r="P166" s="167"/>
      <c r="Q166" s="115"/>
      <c r="R166" s="312"/>
      <c r="S166" s="312"/>
      <c r="T166" s="312"/>
      <c r="U166" s="312"/>
      <c r="V166" s="312"/>
      <c r="W166" s="312"/>
      <c r="X166" s="312"/>
      <c r="Y166" s="168"/>
    </row>
    <row r="167" spans="5:25" s="114" customFormat="1">
      <c r="E167" s="167"/>
      <c r="F167" s="115"/>
      <c r="J167" s="311"/>
      <c r="K167" s="311"/>
      <c r="P167" s="167"/>
      <c r="Q167" s="115"/>
      <c r="R167" s="312"/>
      <c r="S167" s="312"/>
      <c r="T167" s="312"/>
      <c r="U167" s="312"/>
      <c r="V167" s="312"/>
      <c r="W167" s="312"/>
      <c r="X167" s="312"/>
      <c r="Y167" s="168"/>
    </row>
    <row r="168" spans="5:25" s="114" customFormat="1">
      <c r="E168" s="167"/>
      <c r="F168" s="115"/>
      <c r="J168" s="311"/>
      <c r="K168" s="311"/>
      <c r="P168" s="167"/>
      <c r="Q168" s="115"/>
      <c r="R168" s="312"/>
      <c r="S168" s="312"/>
      <c r="T168" s="312"/>
      <c r="U168" s="312"/>
      <c r="V168" s="312"/>
      <c r="W168" s="312"/>
      <c r="X168" s="312"/>
      <c r="Y168" s="168"/>
    </row>
    <row r="169" spans="5:25" s="114" customFormat="1">
      <c r="E169" s="167"/>
      <c r="F169" s="115"/>
      <c r="J169" s="311"/>
      <c r="K169" s="311"/>
      <c r="P169" s="167"/>
      <c r="Q169" s="115"/>
      <c r="R169" s="312"/>
      <c r="S169" s="312"/>
      <c r="T169" s="312"/>
      <c r="U169" s="312"/>
      <c r="V169" s="312"/>
      <c r="W169" s="312"/>
      <c r="X169" s="312"/>
      <c r="Y169" s="168"/>
    </row>
    <row r="170" spans="5:25" s="114" customFormat="1">
      <c r="E170" s="167"/>
      <c r="F170" s="115"/>
      <c r="J170" s="311"/>
      <c r="K170" s="311"/>
      <c r="P170" s="167"/>
      <c r="Q170" s="115"/>
      <c r="R170" s="312"/>
      <c r="S170" s="312"/>
      <c r="T170" s="312"/>
      <c r="U170" s="312"/>
      <c r="V170" s="312"/>
      <c r="W170" s="312"/>
      <c r="X170" s="312"/>
      <c r="Y170" s="168"/>
    </row>
    <row r="171" spans="5:25" s="114" customFormat="1">
      <c r="E171" s="167"/>
      <c r="F171" s="115"/>
      <c r="J171" s="311"/>
      <c r="K171" s="311"/>
      <c r="P171" s="167"/>
      <c r="Q171" s="115"/>
      <c r="R171" s="312"/>
      <c r="S171" s="312"/>
      <c r="T171" s="312"/>
      <c r="U171" s="312"/>
      <c r="V171" s="312"/>
      <c r="W171" s="312"/>
      <c r="X171" s="312"/>
      <c r="Y171" s="168"/>
    </row>
    <row r="172" spans="5:25" s="114" customFormat="1">
      <c r="E172" s="167"/>
      <c r="F172" s="115"/>
      <c r="J172" s="311"/>
      <c r="K172" s="311"/>
      <c r="P172" s="167"/>
      <c r="Q172" s="115"/>
      <c r="R172" s="312"/>
      <c r="S172" s="312"/>
      <c r="T172" s="312"/>
      <c r="U172" s="312"/>
      <c r="V172" s="312"/>
      <c r="W172" s="312"/>
      <c r="X172" s="312"/>
      <c r="Y172" s="168"/>
    </row>
    <row r="173" spans="5:25" s="114" customFormat="1">
      <c r="E173" s="167"/>
      <c r="F173" s="115"/>
      <c r="J173" s="311"/>
      <c r="K173" s="311"/>
      <c r="P173" s="167"/>
      <c r="Q173" s="115"/>
      <c r="R173" s="312"/>
      <c r="S173" s="312"/>
      <c r="T173" s="312"/>
      <c r="U173" s="312"/>
      <c r="V173" s="312"/>
      <c r="W173" s="312"/>
      <c r="X173" s="312"/>
      <c r="Y173" s="168"/>
    </row>
    <row r="174" spans="5:25" s="114" customFormat="1">
      <c r="E174" s="167"/>
      <c r="F174" s="115"/>
      <c r="J174" s="311"/>
      <c r="K174" s="311"/>
      <c r="P174" s="167"/>
      <c r="Q174" s="115"/>
      <c r="R174" s="312"/>
      <c r="S174" s="312"/>
      <c r="T174" s="312"/>
      <c r="U174" s="312"/>
      <c r="V174" s="312"/>
      <c r="W174" s="312"/>
      <c r="X174" s="312"/>
      <c r="Y174" s="168"/>
    </row>
    <row r="175" spans="5:25" s="114" customFormat="1">
      <c r="E175" s="167"/>
      <c r="F175" s="115"/>
      <c r="J175" s="311"/>
      <c r="K175" s="311"/>
      <c r="P175" s="167"/>
      <c r="Q175" s="115"/>
      <c r="R175" s="312"/>
      <c r="S175" s="312"/>
      <c r="T175" s="312"/>
      <c r="U175" s="312"/>
      <c r="V175" s="312"/>
      <c r="W175" s="312"/>
      <c r="X175" s="312"/>
      <c r="Y175" s="168"/>
    </row>
    <row r="176" spans="5:25" s="114" customFormat="1">
      <c r="E176" s="167"/>
      <c r="F176" s="115"/>
      <c r="J176" s="311"/>
      <c r="K176" s="311"/>
      <c r="P176" s="167"/>
      <c r="Q176" s="115"/>
      <c r="R176" s="312"/>
      <c r="S176" s="312"/>
      <c r="T176" s="312"/>
      <c r="U176" s="312"/>
      <c r="V176" s="312"/>
      <c r="W176" s="312"/>
      <c r="X176" s="312"/>
      <c r="Y176" s="168"/>
    </row>
    <row r="177" spans="5:25" s="114" customFormat="1">
      <c r="E177" s="167"/>
      <c r="F177" s="115"/>
      <c r="J177" s="311"/>
      <c r="K177" s="311"/>
      <c r="P177" s="167"/>
      <c r="Q177" s="115"/>
      <c r="R177" s="312"/>
      <c r="S177" s="312"/>
      <c r="T177" s="312"/>
      <c r="U177" s="312"/>
      <c r="V177" s="312"/>
      <c r="W177" s="312"/>
      <c r="X177" s="312"/>
      <c r="Y177" s="168"/>
    </row>
    <row r="178" spans="5:25" s="114" customFormat="1">
      <c r="E178" s="167"/>
      <c r="F178" s="115"/>
      <c r="J178" s="311"/>
      <c r="K178" s="311"/>
      <c r="P178" s="167"/>
      <c r="Q178" s="115"/>
      <c r="R178" s="312"/>
      <c r="S178" s="312"/>
      <c r="T178" s="312"/>
      <c r="U178" s="312"/>
      <c r="V178" s="312"/>
      <c r="W178" s="312"/>
      <c r="X178" s="312"/>
      <c r="Y178" s="168"/>
    </row>
    <row r="179" spans="5:25" s="114" customFormat="1">
      <c r="E179" s="167"/>
      <c r="F179" s="115"/>
      <c r="J179" s="311"/>
      <c r="K179" s="311"/>
      <c r="P179" s="167"/>
      <c r="Q179" s="115"/>
      <c r="R179" s="312"/>
      <c r="S179" s="312"/>
      <c r="T179" s="312"/>
      <c r="U179" s="312"/>
      <c r="V179" s="312"/>
      <c r="W179" s="312"/>
      <c r="X179" s="312"/>
      <c r="Y179" s="168"/>
    </row>
    <row r="180" spans="5:25" s="114" customFormat="1">
      <c r="E180" s="167"/>
      <c r="F180" s="115"/>
      <c r="J180" s="311"/>
      <c r="K180" s="311"/>
      <c r="P180" s="167"/>
      <c r="Q180" s="115"/>
      <c r="R180" s="312"/>
      <c r="S180" s="312"/>
      <c r="T180" s="312"/>
      <c r="U180" s="312"/>
      <c r="V180" s="312"/>
      <c r="W180" s="312"/>
      <c r="X180" s="312"/>
      <c r="Y180" s="168"/>
    </row>
    <row r="181" spans="5:25" s="114" customFormat="1">
      <c r="E181" s="167"/>
      <c r="F181" s="115"/>
      <c r="J181" s="311"/>
      <c r="K181" s="311"/>
      <c r="P181" s="167"/>
      <c r="Q181" s="115"/>
      <c r="R181" s="312"/>
      <c r="S181" s="312"/>
      <c r="T181" s="312"/>
      <c r="U181" s="312"/>
      <c r="V181" s="312"/>
      <c r="W181" s="312"/>
      <c r="X181" s="312"/>
      <c r="Y181" s="168"/>
    </row>
    <row r="182" spans="5:25" s="114" customFormat="1">
      <c r="E182" s="167"/>
      <c r="F182" s="115"/>
      <c r="J182" s="311"/>
      <c r="K182" s="311"/>
      <c r="P182" s="167"/>
      <c r="Q182" s="115"/>
      <c r="R182" s="312"/>
      <c r="S182" s="312"/>
      <c r="T182" s="312"/>
      <c r="U182" s="312"/>
      <c r="V182" s="312"/>
      <c r="W182" s="312"/>
      <c r="X182" s="312"/>
      <c r="Y182" s="168"/>
    </row>
    <row r="183" spans="5:25" s="114" customFormat="1">
      <c r="E183" s="167"/>
      <c r="F183" s="115"/>
      <c r="J183" s="311"/>
      <c r="K183" s="311"/>
      <c r="P183" s="167"/>
      <c r="Q183" s="115"/>
      <c r="R183" s="312"/>
      <c r="S183" s="312"/>
      <c r="T183" s="312"/>
      <c r="U183" s="312"/>
      <c r="V183" s="312"/>
      <c r="W183" s="312"/>
      <c r="X183" s="312"/>
      <c r="Y183" s="168"/>
    </row>
    <row r="184" spans="5:25" s="114" customFormat="1">
      <c r="E184" s="167"/>
      <c r="F184" s="115"/>
      <c r="J184" s="311"/>
      <c r="K184" s="311"/>
      <c r="P184" s="167"/>
      <c r="Q184" s="115"/>
      <c r="R184" s="312"/>
      <c r="S184" s="312"/>
      <c r="T184" s="312"/>
      <c r="U184" s="312"/>
      <c r="V184" s="312"/>
      <c r="W184" s="312"/>
      <c r="X184" s="312"/>
      <c r="Y184" s="168"/>
    </row>
    <row r="185" spans="5:25" s="114" customFormat="1">
      <c r="E185" s="167"/>
      <c r="F185" s="115"/>
      <c r="J185" s="311"/>
      <c r="K185" s="311"/>
      <c r="P185" s="167"/>
      <c r="Q185" s="115"/>
      <c r="R185" s="312"/>
      <c r="S185" s="312"/>
      <c r="T185" s="312"/>
      <c r="U185" s="312"/>
      <c r="V185" s="312"/>
      <c r="W185" s="312"/>
      <c r="X185" s="312"/>
      <c r="Y185" s="168"/>
    </row>
    <row r="186" spans="5:25" s="114" customFormat="1">
      <c r="E186" s="167"/>
      <c r="F186" s="115"/>
      <c r="J186" s="311"/>
      <c r="K186" s="311"/>
      <c r="P186" s="167"/>
      <c r="Q186" s="115"/>
      <c r="R186" s="312"/>
      <c r="S186" s="312"/>
      <c r="T186" s="312"/>
      <c r="U186" s="312"/>
      <c r="V186" s="312"/>
      <c r="W186" s="312"/>
      <c r="X186" s="312"/>
      <c r="Y186" s="168"/>
    </row>
    <row r="187" spans="5:25" s="114" customFormat="1">
      <c r="E187" s="167"/>
      <c r="F187" s="115"/>
      <c r="J187" s="311"/>
      <c r="K187" s="311"/>
      <c r="P187" s="167"/>
      <c r="Q187" s="115"/>
      <c r="R187" s="312"/>
      <c r="S187" s="312"/>
      <c r="T187" s="312"/>
      <c r="U187" s="312"/>
      <c r="V187" s="312"/>
      <c r="W187" s="312"/>
      <c r="X187" s="312"/>
      <c r="Y187" s="168"/>
    </row>
    <row r="188" spans="5:25" s="114" customFormat="1">
      <c r="E188" s="167"/>
      <c r="F188" s="115"/>
      <c r="J188" s="311"/>
      <c r="K188" s="311"/>
      <c r="P188" s="167"/>
      <c r="Q188" s="115"/>
      <c r="R188" s="312"/>
      <c r="S188" s="312"/>
      <c r="T188" s="312"/>
      <c r="U188" s="312"/>
      <c r="V188" s="312"/>
      <c r="W188" s="312"/>
      <c r="X188" s="312"/>
      <c r="Y188" s="168"/>
    </row>
    <row r="189" spans="5:25" s="114" customFormat="1">
      <c r="E189" s="167"/>
      <c r="F189" s="115"/>
      <c r="J189" s="311"/>
      <c r="K189" s="311"/>
      <c r="P189" s="167"/>
      <c r="Q189" s="115"/>
      <c r="R189" s="312"/>
      <c r="S189" s="312"/>
      <c r="T189" s="312"/>
      <c r="U189" s="312"/>
      <c r="V189" s="312"/>
      <c r="W189" s="312"/>
      <c r="X189" s="312"/>
      <c r="Y189" s="168"/>
    </row>
    <row r="190" spans="5:25" s="114" customFormat="1">
      <c r="E190" s="167"/>
      <c r="F190" s="115"/>
      <c r="J190" s="311"/>
      <c r="K190" s="311"/>
      <c r="P190" s="167"/>
      <c r="Q190" s="115"/>
      <c r="R190" s="312"/>
      <c r="S190" s="312"/>
      <c r="T190" s="312"/>
      <c r="U190" s="312"/>
      <c r="V190" s="312"/>
      <c r="W190" s="312"/>
      <c r="X190" s="312"/>
      <c r="Y190" s="168"/>
    </row>
    <row r="191" spans="5:25" s="114" customFormat="1">
      <c r="E191" s="167"/>
      <c r="F191" s="115"/>
      <c r="J191" s="311"/>
      <c r="K191" s="311"/>
      <c r="P191" s="167"/>
      <c r="Q191" s="115"/>
      <c r="R191" s="312"/>
      <c r="S191" s="312"/>
      <c r="T191" s="312"/>
      <c r="U191" s="312"/>
      <c r="V191" s="312"/>
      <c r="W191" s="312"/>
      <c r="X191" s="312"/>
      <c r="Y191" s="168"/>
    </row>
    <row r="192" spans="5:25" s="114" customFormat="1">
      <c r="E192" s="167"/>
      <c r="F192" s="115"/>
      <c r="J192" s="311"/>
      <c r="K192" s="311"/>
      <c r="P192" s="167"/>
      <c r="Q192" s="115"/>
      <c r="R192" s="312"/>
      <c r="S192" s="312"/>
      <c r="T192" s="312"/>
      <c r="U192" s="312"/>
      <c r="V192" s="312"/>
      <c r="W192" s="312"/>
      <c r="X192" s="312"/>
      <c r="Y192" s="168"/>
    </row>
    <row r="193" spans="5:25" s="114" customFormat="1">
      <c r="E193" s="167"/>
      <c r="F193" s="115"/>
      <c r="J193" s="311"/>
      <c r="K193" s="311"/>
      <c r="P193" s="167"/>
      <c r="Q193" s="115"/>
      <c r="R193" s="312"/>
      <c r="S193" s="312"/>
      <c r="T193" s="312"/>
      <c r="U193" s="312"/>
      <c r="V193" s="312"/>
      <c r="W193" s="312"/>
      <c r="X193" s="312"/>
      <c r="Y193" s="168"/>
    </row>
    <row r="194" spans="5:25" s="114" customFormat="1">
      <c r="E194" s="167"/>
      <c r="F194" s="115"/>
      <c r="J194" s="311"/>
      <c r="K194" s="311"/>
      <c r="P194" s="167"/>
      <c r="Q194" s="115"/>
      <c r="R194" s="312"/>
      <c r="S194" s="312"/>
      <c r="T194" s="312"/>
      <c r="U194" s="312"/>
      <c r="V194" s="312"/>
      <c r="W194" s="312"/>
      <c r="X194" s="312"/>
      <c r="Y194" s="168"/>
    </row>
    <row r="195" spans="5:25" s="114" customFormat="1">
      <c r="E195" s="167"/>
      <c r="F195" s="115"/>
      <c r="J195" s="311"/>
      <c r="K195" s="311"/>
      <c r="P195" s="167"/>
      <c r="Q195" s="115"/>
      <c r="R195" s="312"/>
      <c r="S195" s="312"/>
      <c r="T195" s="312"/>
      <c r="U195" s="312"/>
      <c r="V195" s="312"/>
      <c r="W195" s="312"/>
      <c r="X195" s="312"/>
      <c r="Y195" s="168"/>
    </row>
    <row r="196" spans="5:25" s="114" customFormat="1">
      <c r="E196" s="167"/>
      <c r="F196" s="115"/>
      <c r="J196" s="311"/>
      <c r="K196" s="311"/>
      <c r="P196" s="167"/>
      <c r="Q196" s="115"/>
      <c r="R196" s="312"/>
      <c r="S196" s="312"/>
      <c r="T196" s="312"/>
      <c r="U196" s="312"/>
      <c r="V196" s="312"/>
      <c r="W196" s="312"/>
      <c r="X196" s="312"/>
      <c r="Y196" s="168"/>
    </row>
    <row r="197" spans="5:25" s="114" customFormat="1">
      <c r="E197" s="167"/>
      <c r="F197" s="115"/>
      <c r="J197" s="311"/>
      <c r="K197" s="311"/>
      <c r="P197" s="167"/>
      <c r="Q197" s="115"/>
      <c r="R197" s="312"/>
      <c r="S197" s="312"/>
      <c r="T197" s="312"/>
      <c r="U197" s="312"/>
      <c r="V197" s="312"/>
      <c r="W197" s="312"/>
      <c r="X197" s="312"/>
      <c r="Y197" s="168"/>
    </row>
    <row r="198" spans="5:25" s="114" customFormat="1">
      <c r="E198" s="167"/>
      <c r="F198" s="115"/>
      <c r="J198" s="311"/>
      <c r="K198" s="311"/>
      <c r="P198" s="167"/>
      <c r="Q198" s="115"/>
      <c r="R198" s="312"/>
      <c r="S198" s="312"/>
      <c r="T198" s="312"/>
      <c r="U198" s="312"/>
      <c r="V198" s="312"/>
      <c r="W198" s="312"/>
      <c r="X198" s="312"/>
      <c r="Y198" s="168"/>
    </row>
    <row r="199" spans="5:25" s="114" customFormat="1">
      <c r="E199" s="167"/>
      <c r="F199" s="115"/>
      <c r="J199" s="311"/>
      <c r="K199" s="311"/>
      <c r="P199" s="167"/>
      <c r="Q199" s="115"/>
      <c r="R199" s="312"/>
      <c r="S199" s="312"/>
      <c r="T199" s="312"/>
      <c r="U199" s="312"/>
      <c r="V199" s="312"/>
      <c r="W199" s="312"/>
      <c r="X199" s="312"/>
      <c r="Y199" s="168"/>
    </row>
    <row r="200" spans="5:25" s="114" customFormat="1">
      <c r="E200" s="167"/>
      <c r="F200" s="115"/>
      <c r="J200" s="311"/>
      <c r="K200" s="311"/>
      <c r="P200" s="167"/>
      <c r="Q200" s="115"/>
      <c r="R200" s="312"/>
      <c r="S200" s="312"/>
      <c r="T200" s="312"/>
      <c r="U200" s="312"/>
      <c r="V200" s="312"/>
      <c r="W200" s="312"/>
      <c r="X200" s="312"/>
      <c r="Y200" s="168"/>
    </row>
    <row r="201" spans="5:25" s="114" customFormat="1">
      <c r="E201" s="167"/>
      <c r="F201" s="115"/>
      <c r="J201" s="311"/>
      <c r="K201" s="311"/>
      <c r="P201" s="167"/>
      <c r="Q201" s="115"/>
      <c r="R201" s="312"/>
      <c r="S201" s="312"/>
      <c r="T201" s="312"/>
      <c r="U201" s="312"/>
      <c r="V201" s="312"/>
      <c r="W201" s="312"/>
      <c r="X201" s="312"/>
      <c r="Y201" s="168"/>
    </row>
    <row r="202" spans="5:25" s="114" customFormat="1">
      <c r="E202" s="167"/>
      <c r="F202" s="115"/>
      <c r="J202" s="311"/>
      <c r="K202" s="311"/>
      <c r="P202" s="167"/>
      <c r="Q202" s="115"/>
      <c r="R202" s="312"/>
      <c r="S202" s="312"/>
      <c r="T202" s="312"/>
      <c r="U202" s="312"/>
      <c r="V202" s="312"/>
      <c r="W202" s="312"/>
      <c r="X202" s="312"/>
      <c r="Y202" s="168"/>
    </row>
    <row r="203" spans="5:25" s="114" customFormat="1">
      <c r="E203" s="167"/>
      <c r="F203" s="115"/>
      <c r="J203" s="311"/>
      <c r="K203" s="311"/>
      <c r="P203" s="167"/>
      <c r="Q203" s="115"/>
      <c r="R203" s="312"/>
      <c r="S203" s="312"/>
      <c r="T203" s="312"/>
      <c r="U203" s="312"/>
      <c r="V203" s="312"/>
      <c r="W203" s="312"/>
      <c r="X203" s="312"/>
      <c r="Y203" s="168"/>
    </row>
    <row r="204" spans="5:25" s="114" customFormat="1">
      <c r="E204" s="167"/>
      <c r="F204" s="115"/>
      <c r="J204" s="311"/>
      <c r="K204" s="311"/>
      <c r="P204" s="167"/>
      <c r="Q204" s="115"/>
      <c r="R204" s="312"/>
      <c r="S204" s="312"/>
      <c r="T204" s="312"/>
      <c r="U204" s="312"/>
      <c r="V204" s="312"/>
      <c r="W204" s="312"/>
      <c r="X204" s="312"/>
      <c r="Y204" s="168"/>
    </row>
    <row r="205" spans="5:25" s="114" customFormat="1">
      <c r="E205" s="167"/>
      <c r="F205" s="115"/>
      <c r="J205" s="311"/>
      <c r="K205" s="311"/>
      <c r="P205" s="167"/>
      <c r="Q205" s="115"/>
      <c r="R205" s="312"/>
      <c r="S205" s="312"/>
      <c r="T205" s="312"/>
      <c r="U205" s="312"/>
      <c r="V205" s="312"/>
      <c r="W205" s="312"/>
      <c r="X205" s="312"/>
      <c r="Y205" s="168"/>
    </row>
    <row r="206" spans="5:25" s="114" customFormat="1">
      <c r="E206" s="167"/>
      <c r="F206" s="115"/>
      <c r="J206" s="311"/>
      <c r="K206" s="311"/>
      <c r="P206" s="167"/>
      <c r="Q206" s="115"/>
      <c r="R206" s="312"/>
      <c r="S206" s="312"/>
      <c r="T206" s="312"/>
      <c r="U206" s="312"/>
      <c r="V206" s="312"/>
      <c r="W206" s="312"/>
      <c r="X206" s="312"/>
      <c r="Y206" s="168"/>
    </row>
    <row r="207" spans="5:25" s="114" customFormat="1">
      <c r="E207" s="167"/>
      <c r="F207" s="115"/>
      <c r="J207" s="311"/>
      <c r="K207" s="311"/>
      <c r="P207" s="167"/>
      <c r="Q207" s="115"/>
      <c r="R207" s="312"/>
      <c r="S207" s="312"/>
      <c r="T207" s="312"/>
      <c r="U207" s="312"/>
      <c r="V207" s="312"/>
      <c r="W207" s="312"/>
      <c r="X207" s="312"/>
      <c r="Y207" s="168"/>
    </row>
    <row r="208" spans="5:25" s="114" customFormat="1">
      <c r="E208" s="167"/>
      <c r="F208" s="115"/>
      <c r="J208" s="311"/>
      <c r="K208" s="311"/>
      <c r="P208" s="167"/>
      <c r="Q208" s="115"/>
      <c r="R208" s="312"/>
      <c r="S208" s="312"/>
      <c r="T208" s="312"/>
      <c r="U208" s="312"/>
      <c r="V208" s="312"/>
      <c r="W208" s="312"/>
      <c r="X208" s="312"/>
      <c r="Y208" s="168"/>
    </row>
    <row r="209" spans="5:25" s="114" customFormat="1">
      <c r="E209" s="167"/>
      <c r="F209" s="115"/>
      <c r="J209" s="311"/>
      <c r="K209" s="311"/>
      <c r="P209" s="167"/>
      <c r="Q209" s="115"/>
      <c r="R209" s="312"/>
      <c r="S209" s="312"/>
      <c r="T209" s="312"/>
      <c r="U209" s="312"/>
      <c r="V209" s="312"/>
      <c r="W209" s="312"/>
      <c r="X209" s="312"/>
      <c r="Y209" s="168"/>
    </row>
    <row r="210" spans="5:25" s="114" customFormat="1">
      <c r="E210" s="167"/>
      <c r="F210" s="115"/>
      <c r="J210" s="311"/>
      <c r="K210" s="311"/>
      <c r="P210" s="167"/>
      <c r="Q210" s="115"/>
      <c r="R210" s="312"/>
      <c r="S210" s="312"/>
      <c r="T210" s="312"/>
      <c r="U210" s="312"/>
      <c r="V210" s="312"/>
      <c r="W210" s="312"/>
      <c r="X210" s="312"/>
      <c r="Y210" s="168"/>
    </row>
    <row r="211" spans="5:25" s="114" customFormat="1">
      <c r="E211" s="167"/>
      <c r="F211" s="115"/>
      <c r="J211" s="311"/>
      <c r="K211" s="311"/>
      <c r="P211" s="167"/>
      <c r="Q211" s="115"/>
      <c r="R211" s="312"/>
      <c r="S211" s="312"/>
      <c r="T211" s="312"/>
      <c r="U211" s="312"/>
      <c r="V211" s="312"/>
      <c r="W211" s="312"/>
      <c r="X211" s="312"/>
      <c r="Y211" s="168"/>
    </row>
    <row r="212" spans="5:25" s="114" customFormat="1">
      <c r="E212" s="167"/>
      <c r="F212" s="115"/>
      <c r="J212" s="311"/>
      <c r="K212" s="311"/>
      <c r="P212" s="167"/>
      <c r="Q212" s="115"/>
      <c r="R212" s="312"/>
      <c r="S212" s="312"/>
      <c r="T212" s="312"/>
      <c r="U212" s="312"/>
      <c r="V212" s="312"/>
      <c r="W212" s="312"/>
      <c r="X212" s="312"/>
      <c r="Y212" s="168"/>
    </row>
    <row r="213" spans="5:25" s="114" customFormat="1">
      <c r="E213" s="167"/>
      <c r="F213" s="115"/>
      <c r="J213" s="311"/>
      <c r="K213" s="311"/>
      <c r="P213" s="167"/>
      <c r="Q213" s="115"/>
      <c r="R213" s="312"/>
      <c r="S213" s="312"/>
      <c r="T213" s="312"/>
      <c r="U213" s="312"/>
      <c r="V213" s="312"/>
      <c r="W213" s="312"/>
      <c r="X213" s="312"/>
      <c r="Y213" s="168"/>
    </row>
    <row r="214" spans="5:25" s="114" customFormat="1">
      <c r="E214" s="167"/>
      <c r="F214" s="115"/>
      <c r="J214" s="311"/>
      <c r="K214" s="311"/>
      <c r="P214" s="167"/>
      <c r="Q214" s="115"/>
      <c r="R214" s="312"/>
      <c r="S214" s="312"/>
      <c r="T214" s="312"/>
      <c r="U214" s="312"/>
      <c r="V214" s="312"/>
      <c r="W214" s="312"/>
      <c r="X214" s="312"/>
      <c r="Y214" s="168"/>
    </row>
    <row r="215" spans="5:25" s="114" customFormat="1">
      <c r="E215" s="167"/>
      <c r="F215" s="115"/>
      <c r="J215" s="311"/>
      <c r="K215" s="311"/>
      <c r="P215" s="167"/>
      <c r="Q215" s="115"/>
      <c r="R215" s="312"/>
      <c r="S215" s="312"/>
      <c r="T215" s="312"/>
      <c r="U215" s="312"/>
      <c r="V215" s="312"/>
      <c r="W215" s="312"/>
      <c r="X215" s="312"/>
      <c r="Y215" s="168"/>
    </row>
    <row r="216" spans="5:25" s="114" customFormat="1">
      <c r="E216" s="167"/>
      <c r="F216" s="115"/>
      <c r="J216" s="311"/>
      <c r="K216" s="311"/>
      <c r="P216" s="167"/>
      <c r="Q216" s="115"/>
      <c r="R216" s="312"/>
      <c r="S216" s="312"/>
      <c r="T216" s="312"/>
      <c r="U216" s="312"/>
      <c r="V216" s="312"/>
      <c r="W216" s="312"/>
      <c r="X216" s="312"/>
      <c r="Y216" s="168"/>
    </row>
    <row r="217" spans="5:25" s="114" customFormat="1">
      <c r="E217" s="167"/>
      <c r="F217" s="115"/>
      <c r="J217" s="311"/>
      <c r="K217" s="311"/>
      <c r="P217" s="167"/>
      <c r="Q217" s="115"/>
      <c r="R217" s="312"/>
      <c r="S217" s="312"/>
      <c r="T217" s="312"/>
      <c r="U217" s="312"/>
      <c r="V217" s="312"/>
      <c r="W217" s="312"/>
      <c r="X217" s="312"/>
      <c r="Y217" s="168"/>
    </row>
    <row r="218" spans="5:25" s="114" customFormat="1">
      <c r="E218" s="167"/>
      <c r="F218" s="115"/>
      <c r="J218" s="311"/>
      <c r="K218" s="311"/>
      <c r="P218" s="167"/>
      <c r="Q218" s="115"/>
      <c r="R218" s="312"/>
      <c r="S218" s="312"/>
      <c r="T218" s="312"/>
      <c r="U218" s="312"/>
      <c r="V218" s="312"/>
      <c r="W218" s="312"/>
      <c r="X218" s="312"/>
      <c r="Y218" s="168"/>
    </row>
    <row r="219" spans="5:25" s="114" customFormat="1">
      <c r="E219" s="167"/>
      <c r="F219" s="115"/>
      <c r="J219" s="311"/>
      <c r="K219" s="311"/>
      <c r="P219" s="167"/>
      <c r="Q219" s="115"/>
      <c r="R219" s="312"/>
      <c r="S219" s="312"/>
      <c r="T219" s="312"/>
      <c r="U219" s="312"/>
      <c r="V219" s="312"/>
      <c r="W219" s="312"/>
      <c r="X219" s="312"/>
      <c r="Y219" s="168"/>
    </row>
    <row r="220" spans="5:25" s="114" customFormat="1">
      <c r="E220" s="167"/>
      <c r="F220" s="115"/>
      <c r="J220" s="311"/>
      <c r="K220" s="311"/>
      <c r="P220" s="167"/>
      <c r="Q220" s="115"/>
      <c r="R220" s="312"/>
      <c r="S220" s="312"/>
      <c r="T220" s="312"/>
      <c r="U220" s="312"/>
      <c r="V220" s="312"/>
      <c r="W220" s="312"/>
      <c r="X220" s="312"/>
      <c r="Y220" s="168"/>
    </row>
    <row r="221" spans="5:25" s="114" customFormat="1">
      <c r="E221" s="167"/>
      <c r="F221" s="115"/>
      <c r="J221" s="311"/>
      <c r="K221" s="311"/>
      <c r="P221" s="167"/>
      <c r="Q221" s="115"/>
      <c r="R221" s="312"/>
      <c r="S221" s="312"/>
      <c r="T221" s="312"/>
      <c r="U221" s="312"/>
      <c r="V221" s="312"/>
      <c r="W221" s="312"/>
      <c r="X221" s="312"/>
      <c r="Y221" s="168"/>
    </row>
    <row r="222" spans="5:25" s="114" customFormat="1">
      <c r="E222" s="167"/>
      <c r="F222" s="115"/>
      <c r="J222" s="311"/>
      <c r="K222" s="311"/>
      <c r="P222" s="167"/>
      <c r="Q222" s="115"/>
      <c r="R222" s="312"/>
      <c r="S222" s="312"/>
      <c r="T222" s="312"/>
      <c r="U222" s="312"/>
      <c r="V222" s="312"/>
      <c r="W222" s="312"/>
      <c r="X222" s="312"/>
      <c r="Y222" s="168"/>
    </row>
    <row r="223" spans="5:25" s="114" customFormat="1">
      <c r="E223" s="167"/>
      <c r="F223" s="115"/>
      <c r="J223" s="311"/>
      <c r="K223" s="311"/>
      <c r="P223" s="167"/>
      <c r="Q223" s="115"/>
      <c r="R223" s="312"/>
      <c r="S223" s="312"/>
      <c r="T223" s="312"/>
      <c r="U223" s="312"/>
      <c r="V223" s="312"/>
      <c r="W223" s="312"/>
      <c r="X223" s="312"/>
      <c r="Y223" s="168"/>
    </row>
    <row r="224" spans="5:25" s="114" customFormat="1">
      <c r="E224" s="167"/>
      <c r="F224" s="115"/>
      <c r="J224" s="311"/>
      <c r="K224" s="311"/>
      <c r="P224" s="167"/>
      <c r="Q224" s="115"/>
      <c r="R224" s="312"/>
      <c r="S224" s="312"/>
      <c r="T224" s="312"/>
      <c r="U224" s="312"/>
      <c r="V224" s="312"/>
      <c r="W224" s="312"/>
      <c r="X224" s="312"/>
      <c r="Y224" s="168"/>
    </row>
    <row r="225" spans="5:25" s="114" customFormat="1">
      <c r="E225" s="167"/>
      <c r="F225" s="115"/>
      <c r="J225" s="311"/>
      <c r="K225" s="311"/>
      <c r="P225" s="167"/>
      <c r="Q225" s="115"/>
      <c r="R225" s="312"/>
      <c r="S225" s="312"/>
      <c r="T225" s="312"/>
      <c r="U225" s="312"/>
      <c r="V225" s="312"/>
      <c r="W225" s="312"/>
      <c r="X225" s="312"/>
      <c r="Y225" s="168"/>
    </row>
    <row r="226" spans="5:25" s="114" customFormat="1">
      <c r="E226" s="167"/>
      <c r="F226" s="115"/>
      <c r="J226" s="311"/>
      <c r="K226" s="311"/>
      <c r="P226" s="167"/>
      <c r="Q226" s="115"/>
      <c r="R226" s="312"/>
      <c r="S226" s="312"/>
      <c r="T226" s="312"/>
      <c r="U226" s="312"/>
      <c r="V226" s="312"/>
      <c r="W226" s="312"/>
      <c r="X226" s="312"/>
      <c r="Y226" s="168"/>
    </row>
    <row r="227" spans="5:25" s="114" customFormat="1">
      <c r="E227" s="167"/>
      <c r="F227" s="115"/>
      <c r="J227" s="311"/>
      <c r="K227" s="311"/>
      <c r="P227" s="167"/>
      <c r="Q227" s="115"/>
      <c r="R227" s="312"/>
      <c r="S227" s="312"/>
      <c r="T227" s="312"/>
      <c r="U227" s="312"/>
      <c r="V227" s="312"/>
      <c r="W227" s="312"/>
      <c r="X227" s="312"/>
      <c r="Y227" s="168"/>
    </row>
    <row r="228" spans="5:25" s="114" customFormat="1">
      <c r="E228" s="167"/>
      <c r="F228" s="115"/>
      <c r="J228" s="311"/>
      <c r="K228" s="311"/>
      <c r="P228" s="167"/>
      <c r="Q228" s="115"/>
      <c r="R228" s="312"/>
      <c r="S228" s="312"/>
      <c r="T228" s="312"/>
      <c r="U228" s="312"/>
      <c r="V228" s="312"/>
      <c r="W228" s="312"/>
      <c r="X228" s="312"/>
      <c r="Y228" s="168"/>
    </row>
    <row r="229" spans="5:25" s="114" customFormat="1">
      <c r="E229" s="167"/>
      <c r="F229" s="115"/>
      <c r="J229" s="311"/>
      <c r="K229" s="311"/>
      <c r="P229" s="167"/>
      <c r="Q229" s="115"/>
      <c r="R229" s="312"/>
      <c r="S229" s="312"/>
      <c r="T229" s="312"/>
      <c r="U229" s="312"/>
      <c r="V229" s="312"/>
      <c r="W229" s="312"/>
      <c r="X229" s="312"/>
      <c r="Y229" s="168"/>
    </row>
    <row r="230" spans="5:25" s="114" customFormat="1">
      <c r="E230" s="167"/>
      <c r="F230" s="115"/>
      <c r="J230" s="311"/>
      <c r="K230" s="311"/>
      <c r="P230" s="167"/>
      <c r="Q230" s="115"/>
      <c r="R230" s="312"/>
      <c r="S230" s="312"/>
      <c r="T230" s="312"/>
      <c r="U230" s="312"/>
      <c r="V230" s="312"/>
      <c r="W230" s="312"/>
      <c r="X230" s="312"/>
      <c r="Y230" s="168"/>
    </row>
    <row r="231" spans="5:25" s="114" customFormat="1">
      <c r="E231" s="167"/>
      <c r="F231" s="115"/>
      <c r="J231" s="311"/>
      <c r="K231" s="311"/>
      <c r="P231" s="167"/>
      <c r="Q231" s="115"/>
      <c r="R231" s="312"/>
      <c r="S231" s="312"/>
      <c r="T231" s="312"/>
      <c r="U231" s="312"/>
      <c r="V231" s="312"/>
      <c r="W231" s="312"/>
      <c r="X231" s="312"/>
      <c r="Y231" s="168"/>
    </row>
    <row r="232" spans="5:25" s="114" customFormat="1">
      <c r="E232" s="167"/>
      <c r="F232" s="115"/>
      <c r="J232" s="311"/>
      <c r="K232" s="311"/>
      <c r="P232" s="167"/>
      <c r="Q232" s="115"/>
      <c r="R232" s="312"/>
      <c r="S232" s="312"/>
      <c r="T232" s="312"/>
      <c r="U232" s="312"/>
      <c r="V232" s="312"/>
      <c r="W232" s="312"/>
      <c r="X232" s="312"/>
      <c r="Y232" s="168"/>
    </row>
    <row r="233" spans="5:25" s="114" customFormat="1">
      <c r="E233" s="167"/>
      <c r="F233" s="115"/>
      <c r="J233" s="311"/>
      <c r="K233" s="311"/>
      <c r="P233" s="167"/>
      <c r="Q233" s="115"/>
      <c r="R233" s="312"/>
      <c r="S233" s="312"/>
      <c r="T233" s="312"/>
      <c r="U233" s="312"/>
      <c r="V233" s="312"/>
      <c r="W233" s="312"/>
      <c r="X233" s="312"/>
      <c r="Y233" s="168"/>
    </row>
    <row r="234" spans="5:25" s="114" customFormat="1">
      <c r="E234" s="167"/>
      <c r="F234" s="115"/>
      <c r="J234" s="311"/>
      <c r="K234" s="311"/>
      <c r="P234" s="167"/>
      <c r="Q234" s="115"/>
      <c r="R234" s="312"/>
      <c r="S234" s="312"/>
      <c r="T234" s="312"/>
      <c r="U234" s="312"/>
      <c r="V234" s="312"/>
      <c r="W234" s="312"/>
      <c r="X234" s="312"/>
      <c r="Y234" s="168"/>
    </row>
    <row r="235" spans="5:25" s="114" customFormat="1">
      <c r="E235" s="167"/>
      <c r="F235" s="115"/>
      <c r="J235" s="311"/>
      <c r="K235" s="311"/>
      <c r="P235" s="167"/>
      <c r="Q235" s="115"/>
      <c r="R235" s="312"/>
      <c r="S235" s="312"/>
      <c r="T235" s="312"/>
      <c r="U235" s="312"/>
      <c r="V235" s="312"/>
      <c r="W235" s="312"/>
      <c r="X235" s="312"/>
      <c r="Y235" s="168"/>
    </row>
    <row r="236" spans="5:25" s="114" customFormat="1">
      <c r="E236" s="167"/>
      <c r="F236" s="115"/>
      <c r="J236" s="311"/>
      <c r="K236" s="311"/>
      <c r="P236" s="167"/>
      <c r="Q236" s="115"/>
      <c r="R236" s="312"/>
      <c r="S236" s="312"/>
      <c r="T236" s="312"/>
      <c r="U236" s="312"/>
      <c r="V236" s="312"/>
      <c r="W236" s="312"/>
      <c r="X236" s="312"/>
      <c r="Y236" s="168"/>
    </row>
    <row r="237" spans="5:25" s="114" customFormat="1">
      <c r="E237" s="167"/>
      <c r="F237" s="115"/>
      <c r="J237" s="311"/>
      <c r="K237" s="311"/>
      <c r="P237" s="167"/>
      <c r="Q237" s="115"/>
      <c r="R237" s="312"/>
      <c r="S237" s="312"/>
      <c r="T237" s="312"/>
      <c r="U237" s="312"/>
      <c r="V237" s="312"/>
      <c r="W237" s="312"/>
      <c r="X237" s="312"/>
      <c r="Y237" s="168"/>
    </row>
    <row r="238" spans="5:25" s="114" customFormat="1">
      <c r="E238" s="167"/>
      <c r="F238" s="115"/>
      <c r="J238" s="311"/>
      <c r="K238" s="311"/>
      <c r="P238" s="167"/>
      <c r="Q238" s="115"/>
      <c r="R238" s="312"/>
      <c r="S238" s="312"/>
      <c r="T238" s="312"/>
      <c r="U238" s="312"/>
      <c r="V238" s="312"/>
      <c r="W238" s="312"/>
      <c r="X238" s="312"/>
      <c r="Y238" s="168"/>
    </row>
    <row r="239" spans="5:25" s="114" customFormat="1">
      <c r="E239" s="167"/>
      <c r="F239" s="115"/>
      <c r="J239" s="311"/>
      <c r="K239" s="311"/>
      <c r="P239" s="167"/>
      <c r="Q239" s="115"/>
      <c r="R239" s="312"/>
      <c r="S239" s="312"/>
      <c r="T239" s="312"/>
      <c r="U239" s="312"/>
      <c r="V239" s="312"/>
      <c r="W239" s="312"/>
      <c r="X239" s="312"/>
      <c r="Y239" s="168"/>
    </row>
    <row r="240" spans="5:25" s="114" customFormat="1">
      <c r="E240" s="167"/>
      <c r="F240" s="115"/>
      <c r="J240" s="311"/>
      <c r="K240" s="311"/>
      <c r="P240" s="167"/>
      <c r="Q240" s="115"/>
      <c r="R240" s="312"/>
      <c r="S240" s="312"/>
      <c r="T240" s="312"/>
      <c r="U240" s="312"/>
      <c r="V240" s="312"/>
      <c r="W240" s="312"/>
      <c r="X240" s="312"/>
      <c r="Y240" s="168"/>
    </row>
    <row r="241" spans="5:25" s="114" customFormat="1">
      <c r="E241" s="167"/>
      <c r="F241" s="115"/>
      <c r="J241" s="311"/>
      <c r="K241" s="311"/>
      <c r="P241" s="167"/>
      <c r="Q241" s="115"/>
      <c r="R241" s="312"/>
      <c r="S241" s="312"/>
      <c r="T241" s="312"/>
      <c r="U241" s="312"/>
      <c r="V241" s="312"/>
      <c r="W241" s="312"/>
      <c r="X241" s="312"/>
      <c r="Y241" s="168"/>
    </row>
    <row r="242" spans="5:25" s="114" customFormat="1">
      <c r="E242" s="167"/>
      <c r="F242" s="115"/>
      <c r="J242" s="311"/>
      <c r="K242" s="311"/>
      <c r="P242" s="167"/>
      <c r="Q242" s="115"/>
      <c r="R242" s="312"/>
      <c r="S242" s="312"/>
      <c r="T242" s="312"/>
      <c r="U242" s="312"/>
      <c r="V242" s="312"/>
      <c r="W242" s="312"/>
      <c r="X242" s="312"/>
      <c r="Y242" s="168"/>
    </row>
    <row r="243" spans="5:25" s="114" customFormat="1">
      <c r="E243" s="167"/>
      <c r="F243" s="115"/>
      <c r="J243" s="311"/>
      <c r="K243" s="311"/>
      <c r="P243" s="167"/>
      <c r="Q243" s="115"/>
      <c r="R243" s="312"/>
      <c r="S243" s="312"/>
      <c r="T243" s="312"/>
      <c r="U243" s="312"/>
      <c r="V243" s="312"/>
      <c r="W243" s="312"/>
      <c r="X243" s="312"/>
      <c r="Y243" s="168"/>
    </row>
    <row r="244" spans="5:25" s="114" customFormat="1">
      <c r="E244" s="167"/>
      <c r="F244" s="115"/>
      <c r="J244" s="311"/>
      <c r="K244" s="311"/>
      <c r="P244" s="167"/>
      <c r="Q244" s="115"/>
      <c r="R244" s="312"/>
      <c r="S244" s="312"/>
      <c r="T244" s="312"/>
      <c r="U244" s="312"/>
      <c r="V244" s="312"/>
      <c r="W244" s="312"/>
      <c r="X244" s="312"/>
      <c r="Y244" s="168"/>
    </row>
    <row r="245" spans="5:25" s="114" customFormat="1">
      <c r="E245" s="167"/>
      <c r="F245" s="115"/>
      <c r="J245" s="311"/>
      <c r="K245" s="311"/>
      <c r="P245" s="167"/>
      <c r="Q245" s="115"/>
      <c r="R245" s="312"/>
      <c r="S245" s="312"/>
      <c r="T245" s="312"/>
      <c r="U245" s="312"/>
      <c r="V245" s="312"/>
      <c r="W245" s="312"/>
      <c r="X245" s="312"/>
      <c r="Y245" s="168"/>
    </row>
    <row r="246" spans="5:25" s="114" customFormat="1">
      <c r="E246" s="167"/>
      <c r="F246" s="115"/>
      <c r="J246" s="311"/>
      <c r="K246" s="311"/>
      <c r="P246" s="167"/>
      <c r="Q246" s="115"/>
      <c r="R246" s="312"/>
      <c r="S246" s="312"/>
      <c r="T246" s="312"/>
      <c r="U246" s="312"/>
      <c r="V246" s="312"/>
      <c r="W246" s="312"/>
      <c r="X246" s="312"/>
      <c r="Y246" s="168"/>
    </row>
    <row r="247" spans="5:25" s="114" customFormat="1">
      <c r="E247" s="167"/>
      <c r="F247" s="115"/>
      <c r="J247" s="311"/>
      <c r="K247" s="311"/>
      <c r="P247" s="167"/>
      <c r="Q247" s="115"/>
      <c r="R247" s="312"/>
      <c r="S247" s="312"/>
      <c r="T247" s="312"/>
      <c r="U247" s="312"/>
      <c r="V247" s="312"/>
      <c r="W247" s="312"/>
      <c r="X247" s="312"/>
      <c r="Y247" s="168"/>
    </row>
    <row r="248" spans="5:25" s="114" customFormat="1">
      <c r="E248" s="167"/>
      <c r="F248" s="115"/>
      <c r="J248" s="311"/>
      <c r="K248" s="311"/>
      <c r="P248" s="167"/>
      <c r="Q248" s="115"/>
      <c r="R248" s="312"/>
      <c r="S248" s="312"/>
      <c r="T248" s="312"/>
      <c r="U248" s="312"/>
      <c r="V248" s="312"/>
      <c r="W248" s="312"/>
      <c r="X248" s="312"/>
      <c r="Y248" s="168"/>
    </row>
    <row r="249" spans="5:25" s="114" customFormat="1">
      <c r="E249" s="167"/>
      <c r="F249" s="115"/>
      <c r="J249" s="311"/>
      <c r="K249" s="311"/>
      <c r="P249" s="167"/>
      <c r="Q249" s="115"/>
      <c r="R249" s="312"/>
      <c r="S249" s="312"/>
      <c r="T249" s="312"/>
      <c r="U249" s="312"/>
      <c r="V249" s="312"/>
      <c r="W249" s="312"/>
      <c r="X249" s="312"/>
      <c r="Y249" s="168"/>
    </row>
    <row r="250" spans="5:25" s="114" customFormat="1">
      <c r="E250" s="167"/>
      <c r="F250" s="115"/>
      <c r="J250" s="311"/>
      <c r="K250" s="311"/>
      <c r="P250" s="167"/>
      <c r="Q250" s="115"/>
      <c r="R250" s="312"/>
      <c r="S250" s="312"/>
      <c r="T250" s="312"/>
      <c r="U250" s="312"/>
      <c r="V250" s="312"/>
      <c r="W250" s="312"/>
      <c r="X250" s="312"/>
      <c r="Y250" s="168"/>
    </row>
    <row r="251" spans="5:25" s="114" customFormat="1">
      <c r="E251" s="167"/>
      <c r="F251" s="115"/>
      <c r="J251" s="311"/>
      <c r="K251" s="311"/>
      <c r="P251" s="167"/>
      <c r="Q251" s="115"/>
      <c r="R251" s="312"/>
      <c r="S251" s="312"/>
      <c r="T251" s="312"/>
      <c r="U251" s="312"/>
      <c r="V251" s="312"/>
      <c r="W251" s="312"/>
      <c r="X251" s="312"/>
      <c r="Y251" s="168"/>
    </row>
    <row r="252" spans="5:25" s="114" customFormat="1">
      <c r="E252" s="167"/>
      <c r="F252" s="115"/>
      <c r="J252" s="311"/>
      <c r="K252" s="311"/>
      <c r="P252" s="167"/>
      <c r="Q252" s="115"/>
      <c r="R252" s="312"/>
      <c r="S252" s="312"/>
      <c r="T252" s="312"/>
      <c r="U252" s="312"/>
      <c r="V252" s="312"/>
      <c r="W252" s="312"/>
      <c r="X252" s="312"/>
      <c r="Y252" s="168"/>
    </row>
    <row r="253" spans="5:25" s="114" customFormat="1">
      <c r="E253" s="167"/>
      <c r="F253" s="115"/>
      <c r="J253" s="311"/>
      <c r="K253" s="311"/>
      <c r="P253" s="167"/>
      <c r="Q253" s="115"/>
      <c r="R253" s="312"/>
      <c r="S253" s="312"/>
      <c r="T253" s="312"/>
      <c r="U253" s="312"/>
      <c r="V253" s="312"/>
      <c r="W253" s="312"/>
      <c r="X253" s="312"/>
      <c r="Y253" s="168"/>
    </row>
    <row r="254" spans="5:25" s="114" customFormat="1">
      <c r="E254" s="167"/>
      <c r="F254" s="115"/>
      <c r="J254" s="311"/>
      <c r="K254" s="311"/>
      <c r="P254" s="167"/>
      <c r="Q254" s="115"/>
      <c r="R254" s="312"/>
      <c r="S254" s="312"/>
      <c r="T254" s="312"/>
      <c r="U254" s="312"/>
      <c r="V254" s="312"/>
      <c r="W254" s="312"/>
      <c r="X254" s="312"/>
      <c r="Y254" s="168"/>
    </row>
    <row r="255" spans="5:25" s="114" customFormat="1">
      <c r="E255" s="167"/>
      <c r="F255" s="115"/>
      <c r="J255" s="311"/>
      <c r="K255" s="311"/>
      <c r="P255" s="167"/>
      <c r="Q255" s="115"/>
      <c r="R255" s="312"/>
      <c r="S255" s="312"/>
      <c r="T255" s="312"/>
      <c r="U255" s="312"/>
      <c r="V255" s="312"/>
      <c r="W255" s="312"/>
      <c r="X255" s="312"/>
      <c r="Y255" s="168"/>
    </row>
    <row r="256" spans="5:25" s="114" customFormat="1">
      <c r="E256" s="167"/>
      <c r="F256" s="115"/>
      <c r="J256" s="311"/>
      <c r="K256" s="311"/>
      <c r="P256" s="167"/>
      <c r="Q256" s="115"/>
      <c r="R256" s="312"/>
      <c r="S256" s="312"/>
      <c r="T256" s="312"/>
      <c r="U256" s="312"/>
      <c r="V256" s="312"/>
      <c r="W256" s="312"/>
      <c r="X256" s="312"/>
      <c r="Y256" s="168"/>
    </row>
    <row r="257" spans="5:25" s="114" customFormat="1">
      <c r="E257" s="167"/>
      <c r="F257" s="115"/>
      <c r="J257" s="311"/>
      <c r="K257" s="311"/>
      <c r="P257" s="167"/>
      <c r="Q257" s="115"/>
      <c r="R257" s="312"/>
      <c r="S257" s="312"/>
      <c r="T257" s="312"/>
      <c r="U257" s="312"/>
      <c r="V257" s="312"/>
      <c r="W257" s="312"/>
      <c r="X257" s="312"/>
      <c r="Y257" s="168"/>
    </row>
    <row r="258" spans="5:25" s="114" customFormat="1">
      <c r="E258" s="167"/>
      <c r="F258" s="115"/>
      <c r="J258" s="311"/>
      <c r="K258" s="311"/>
      <c r="P258" s="167"/>
      <c r="Q258" s="115"/>
      <c r="R258" s="312"/>
      <c r="S258" s="312"/>
      <c r="T258" s="312"/>
      <c r="U258" s="312"/>
      <c r="V258" s="312"/>
      <c r="W258" s="312"/>
      <c r="X258" s="312"/>
      <c r="Y258" s="168"/>
    </row>
    <row r="259" spans="5:25" s="114" customFormat="1">
      <c r="E259" s="167"/>
      <c r="F259" s="115"/>
      <c r="J259" s="311"/>
      <c r="K259" s="311"/>
      <c r="P259" s="167"/>
      <c r="Q259" s="115"/>
      <c r="R259" s="312"/>
      <c r="S259" s="312"/>
      <c r="T259" s="312"/>
      <c r="U259" s="312"/>
      <c r="V259" s="312"/>
      <c r="W259" s="312"/>
      <c r="X259" s="312"/>
      <c r="Y259" s="168"/>
    </row>
    <row r="260" spans="5:25" s="114" customFormat="1">
      <c r="E260" s="167"/>
      <c r="F260" s="115"/>
      <c r="J260" s="311"/>
      <c r="K260" s="311"/>
      <c r="P260" s="167"/>
      <c r="Q260" s="115"/>
      <c r="R260" s="312"/>
      <c r="S260" s="312"/>
      <c r="T260" s="312"/>
      <c r="U260" s="312"/>
      <c r="V260" s="312"/>
      <c r="W260" s="312"/>
      <c r="X260" s="312"/>
      <c r="Y260" s="168"/>
    </row>
    <row r="261" spans="5:25" s="114" customFormat="1">
      <c r="E261" s="167"/>
      <c r="F261" s="115"/>
      <c r="J261" s="311"/>
      <c r="K261" s="311"/>
      <c r="P261" s="167"/>
      <c r="Q261" s="115"/>
      <c r="R261" s="312"/>
      <c r="S261" s="312"/>
      <c r="T261" s="312"/>
      <c r="U261" s="312"/>
      <c r="V261" s="312"/>
      <c r="W261" s="312"/>
      <c r="X261" s="312"/>
      <c r="Y261" s="168"/>
    </row>
    <row r="262" spans="5:25" s="114" customFormat="1">
      <c r="E262" s="167"/>
      <c r="F262" s="115"/>
      <c r="J262" s="311"/>
      <c r="K262" s="311"/>
      <c r="P262" s="167"/>
      <c r="Q262" s="115"/>
      <c r="R262" s="312"/>
      <c r="S262" s="312"/>
      <c r="T262" s="312"/>
      <c r="U262" s="312"/>
      <c r="V262" s="312"/>
      <c r="W262" s="312"/>
      <c r="X262" s="312"/>
      <c r="Y262" s="168"/>
    </row>
    <row r="263" spans="5:25" s="114" customFormat="1">
      <c r="E263" s="167"/>
      <c r="F263" s="115"/>
      <c r="J263" s="311"/>
      <c r="K263" s="311"/>
      <c r="P263" s="167"/>
      <c r="Q263" s="115"/>
      <c r="R263" s="312"/>
      <c r="S263" s="312"/>
      <c r="T263" s="312"/>
      <c r="U263" s="312"/>
      <c r="V263" s="312"/>
      <c r="W263" s="312"/>
      <c r="X263" s="312"/>
      <c r="Y263" s="168"/>
    </row>
    <row r="264" spans="5:25" s="114" customFormat="1">
      <c r="E264" s="167"/>
      <c r="F264" s="115"/>
      <c r="J264" s="311"/>
      <c r="K264" s="311"/>
      <c r="P264" s="167"/>
      <c r="Q264" s="115"/>
      <c r="R264" s="312"/>
      <c r="S264" s="312"/>
      <c r="T264" s="312"/>
      <c r="U264" s="312"/>
      <c r="V264" s="312"/>
      <c r="W264" s="312"/>
      <c r="X264" s="312"/>
      <c r="Y264" s="168"/>
    </row>
    <row r="265" spans="5:25" s="114" customFormat="1">
      <c r="E265" s="167"/>
      <c r="F265" s="115"/>
      <c r="J265" s="311"/>
      <c r="K265" s="311"/>
      <c r="P265" s="167"/>
      <c r="Q265" s="115"/>
      <c r="R265" s="312"/>
      <c r="S265" s="312"/>
      <c r="T265" s="312"/>
      <c r="U265" s="312"/>
      <c r="V265" s="312"/>
      <c r="W265" s="312"/>
      <c r="X265" s="312"/>
      <c r="Y265" s="168"/>
    </row>
    <row r="266" spans="5:25" s="114" customFormat="1">
      <c r="E266" s="167"/>
      <c r="F266" s="115"/>
      <c r="J266" s="311"/>
      <c r="K266" s="311"/>
      <c r="P266" s="167"/>
      <c r="Q266" s="115"/>
      <c r="R266" s="312"/>
      <c r="S266" s="312"/>
      <c r="T266" s="312"/>
      <c r="U266" s="312"/>
      <c r="V266" s="312"/>
      <c r="W266" s="312"/>
      <c r="X266" s="312"/>
      <c r="Y266" s="168"/>
    </row>
    <row r="267" spans="5:25" s="114" customFormat="1">
      <c r="E267" s="167"/>
      <c r="F267" s="115"/>
      <c r="J267" s="311"/>
      <c r="K267" s="311"/>
      <c r="P267" s="167"/>
      <c r="Q267" s="115"/>
      <c r="R267" s="312"/>
      <c r="S267" s="312"/>
      <c r="T267" s="312"/>
      <c r="U267" s="312"/>
      <c r="V267" s="312"/>
      <c r="W267" s="312"/>
      <c r="X267" s="312"/>
      <c r="Y267" s="168"/>
    </row>
    <row r="268" spans="5:25" s="114" customFormat="1">
      <c r="E268" s="167"/>
      <c r="F268" s="115"/>
      <c r="J268" s="311"/>
      <c r="K268" s="311"/>
      <c r="P268" s="167"/>
      <c r="Q268" s="115"/>
      <c r="R268" s="312"/>
      <c r="S268" s="312"/>
      <c r="T268" s="312"/>
      <c r="U268" s="312"/>
      <c r="V268" s="312"/>
      <c r="W268" s="312"/>
      <c r="X268" s="312"/>
      <c r="Y268" s="168"/>
    </row>
    <row r="269" spans="5:25" s="114" customFormat="1">
      <c r="E269" s="167"/>
      <c r="F269" s="115"/>
      <c r="J269" s="311"/>
      <c r="K269" s="311"/>
      <c r="P269" s="167"/>
      <c r="Q269" s="115"/>
      <c r="R269" s="312"/>
      <c r="S269" s="312"/>
      <c r="T269" s="312"/>
      <c r="U269" s="312"/>
      <c r="V269" s="312"/>
      <c r="W269" s="312"/>
      <c r="X269" s="312"/>
      <c r="Y269" s="168"/>
    </row>
    <row r="270" spans="5:25" s="114" customFormat="1">
      <c r="E270" s="167"/>
      <c r="F270" s="115"/>
      <c r="J270" s="311"/>
      <c r="K270" s="311"/>
      <c r="P270" s="167"/>
      <c r="Q270" s="115"/>
      <c r="R270" s="312"/>
      <c r="S270" s="312"/>
      <c r="T270" s="312"/>
      <c r="U270" s="312"/>
      <c r="V270" s="312"/>
      <c r="W270" s="312"/>
      <c r="X270" s="312"/>
      <c r="Y270" s="168"/>
    </row>
    <row r="271" spans="5:25" s="114" customFormat="1">
      <c r="E271" s="167"/>
      <c r="F271" s="115"/>
      <c r="J271" s="311"/>
      <c r="K271" s="311"/>
      <c r="P271" s="167"/>
      <c r="Q271" s="115"/>
      <c r="R271" s="312"/>
      <c r="S271" s="312"/>
      <c r="T271" s="312"/>
      <c r="U271" s="312"/>
      <c r="V271" s="312"/>
      <c r="W271" s="312"/>
      <c r="X271" s="312"/>
      <c r="Y271" s="168"/>
    </row>
    <row r="272" spans="5:25" s="114" customFormat="1">
      <c r="E272" s="167"/>
      <c r="F272" s="115"/>
      <c r="J272" s="311"/>
      <c r="K272" s="311"/>
      <c r="P272" s="167"/>
      <c r="Q272" s="115"/>
      <c r="R272" s="312"/>
      <c r="S272" s="312"/>
      <c r="T272" s="312"/>
      <c r="U272" s="312"/>
      <c r="V272" s="312"/>
      <c r="W272" s="312"/>
      <c r="X272" s="312"/>
      <c r="Y272" s="168"/>
    </row>
    <row r="273" spans="5:25" s="114" customFormat="1">
      <c r="E273" s="167"/>
      <c r="F273" s="115"/>
      <c r="J273" s="311"/>
      <c r="K273" s="311"/>
      <c r="P273" s="167"/>
      <c r="Q273" s="115"/>
      <c r="R273" s="312"/>
      <c r="S273" s="312"/>
      <c r="T273" s="312"/>
      <c r="U273" s="312"/>
      <c r="V273" s="312"/>
      <c r="W273" s="312"/>
      <c r="X273" s="312"/>
      <c r="Y273" s="168"/>
    </row>
    <row r="274" spans="5:25" s="114" customFormat="1">
      <c r="E274" s="167"/>
      <c r="F274" s="115"/>
      <c r="J274" s="311"/>
      <c r="K274" s="311"/>
      <c r="P274" s="167"/>
      <c r="Q274" s="115"/>
      <c r="R274" s="312"/>
      <c r="S274" s="312"/>
      <c r="T274" s="312"/>
      <c r="U274" s="312"/>
      <c r="V274" s="312"/>
      <c r="W274" s="312"/>
      <c r="X274" s="312"/>
      <c r="Y274" s="168"/>
    </row>
    <row r="275" spans="5:25" s="114" customFormat="1">
      <c r="E275" s="167"/>
      <c r="F275" s="115"/>
      <c r="J275" s="311"/>
      <c r="K275" s="311"/>
      <c r="P275" s="167"/>
      <c r="Q275" s="115"/>
      <c r="R275" s="312"/>
      <c r="S275" s="312"/>
      <c r="T275" s="312"/>
      <c r="U275" s="312"/>
      <c r="V275" s="312"/>
      <c r="W275" s="312"/>
      <c r="X275" s="312"/>
      <c r="Y275" s="168"/>
    </row>
    <row r="276" spans="5:25" s="114" customFormat="1">
      <c r="E276" s="167"/>
      <c r="F276" s="115"/>
      <c r="J276" s="311"/>
      <c r="K276" s="311"/>
      <c r="P276" s="167"/>
      <c r="Q276" s="115"/>
      <c r="R276" s="312"/>
      <c r="S276" s="312"/>
      <c r="T276" s="312"/>
      <c r="U276" s="312"/>
      <c r="V276" s="312"/>
      <c r="W276" s="312"/>
      <c r="X276" s="312"/>
      <c r="Y276" s="168"/>
    </row>
    <row r="277" spans="5:25" s="114" customFormat="1">
      <c r="E277" s="167"/>
      <c r="F277" s="115"/>
      <c r="J277" s="311"/>
      <c r="K277" s="311"/>
      <c r="P277" s="167"/>
      <c r="Q277" s="115"/>
      <c r="R277" s="312"/>
      <c r="S277" s="312"/>
      <c r="T277" s="312"/>
      <c r="U277" s="312"/>
      <c r="V277" s="312"/>
      <c r="W277" s="312"/>
      <c r="X277" s="312"/>
      <c r="Y277" s="168"/>
    </row>
    <row r="278" spans="5:25" s="114" customFormat="1">
      <c r="E278" s="167"/>
      <c r="F278" s="115"/>
      <c r="J278" s="311"/>
      <c r="K278" s="311"/>
      <c r="P278" s="167"/>
      <c r="Q278" s="115"/>
      <c r="R278" s="312"/>
      <c r="S278" s="312"/>
      <c r="T278" s="312"/>
      <c r="U278" s="312"/>
      <c r="V278" s="312"/>
      <c r="W278" s="312"/>
      <c r="X278" s="312"/>
      <c r="Y278" s="168"/>
    </row>
    <row r="279" spans="5:25" s="114" customFormat="1">
      <c r="E279" s="167"/>
      <c r="F279" s="115"/>
      <c r="J279" s="311"/>
      <c r="K279" s="311"/>
      <c r="P279" s="167"/>
      <c r="Q279" s="115"/>
      <c r="R279" s="312"/>
      <c r="S279" s="312"/>
      <c r="T279" s="312"/>
      <c r="U279" s="312"/>
      <c r="V279" s="312"/>
      <c r="W279" s="312"/>
      <c r="X279" s="312"/>
      <c r="Y279" s="168"/>
    </row>
    <row r="280" spans="5:25" s="114" customFormat="1">
      <c r="E280" s="167"/>
      <c r="F280" s="115"/>
      <c r="J280" s="311"/>
      <c r="K280" s="311"/>
      <c r="P280" s="167"/>
      <c r="Q280" s="115"/>
      <c r="R280" s="312"/>
      <c r="S280" s="312"/>
      <c r="T280" s="312"/>
      <c r="U280" s="312"/>
      <c r="V280" s="312"/>
      <c r="W280" s="312"/>
      <c r="X280" s="312"/>
      <c r="Y280" s="168"/>
    </row>
    <row r="281" spans="5:25" s="114" customFormat="1">
      <c r="E281" s="167"/>
      <c r="F281" s="115"/>
      <c r="J281" s="311"/>
      <c r="K281" s="311"/>
      <c r="P281" s="167"/>
      <c r="Q281" s="115"/>
      <c r="R281" s="312"/>
      <c r="S281" s="312"/>
      <c r="T281" s="312"/>
      <c r="U281" s="312"/>
      <c r="V281" s="312"/>
      <c r="W281" s="312"/>
      <c r="X281" s="312"/>
      <c r="Y281" s="168"/>
    </row>
    <row r="282" spans="5:25" s="114" customFormat="1">
      <c r="E282" s="167"/>
      <c r="F282" s="115"/>
      <c r="J282" s="311"/>
      <c r="K282" s="311"/>
      <c r="P282" s="167"/>
      <c r="Q282" s="115"/>
      <c r="R282" s="312"/>
      <c r="S282" s="312"/>
      <c r="T282" s="312"/>
      <c r="U282" s="312"/>
      <c r="V282" s="312"/>
      <c r="W282" s="312"/>
      <c r="X282" s="312"/>
      <c r="Y282" s="168"/>
    </row>
    <row r="283" spans="5:25" s="114" customFormat="1">
      <c r="E283" s="167"/>
      <c r="F283" s="115"/>
      <c r="J283" s="311"/>
      <c r="K283" s="311"/>
      <c r="P283" s="167"/>
      <c r="Q283" s="115"/>
      <c r="R283" s="312"/>
      <c r="S283" s="312"/>
      <c r="T283" s="312"/>
      <c r="U283" s="312"/>
      <c r="V283" s="312"/>
      <c r="W283" s="312"/>
      <c r="X283" s="312"/>
      <c r="Y283" s="168"/>
    </row>
    <row r="284" spans="5:25" s="114" customFormat="1">
      <c r="E284" s="167"/>
      <c r="F284" s="115"/>
      <c r="J284" s="311"/>
      <c r="K284" s="311"/>
      <c r="P284" s="167"/>
      <c r="Q284" s="115"/>
      <c r="R284" s="312"/>
      <c r="S284" s="312"/>
      <c r="T284" s="312"/>
      <c r="U284" s="312"/>
      <c r="V284" s="312"/>
      <c r="W284" s="312"/>
      <c r="X284" s="312"/>
      <c r="Y284" s="168"/>
    </row>
    <row r="285" spans="5:25" s="114" customFormat="1">
      <c r="E285" s="167"/>
      <c r="F285" s="115"/>
      <c r="J285" s="311"/>
      <c r="K285" s="311"/>
      <c r="P285" s="167"/>
      <c r="Q285" s="115"/>
      <c r="R285" s="312"/>
      <c r="S285" s="312"/>
      <c r="T285" s="312"/>
      <c r="U285" s="312"/>
      <c r="V285" s="312"/>
      <c r="W285" s="312"/>
      <c r="X285" s="312"/>
      <c r="Y285" s="168"/>
    </row>
    <row r="286" spans="5:25" s="114" customFormat="1">
      <c r="E286" s="167"/>
      <c r="F286" s="115"/>
      <c r="J286" s="311"/>
      <c r="K286" s="311"/>
      <c r="P286" s="167"/>
      <c r="Q286" s="115"/>
      <c r="R286" s="312"/>
      <c r="S286" s="312"/>
      <c r="T286" s="312"/>
      <c r="U286" s="312"/>
      <c r="V286" s="312"/>
      <c r="W286" s="312"/>
      <c r="X286" s="312"/>
      <c r="Y286" s="168"/>
    </row>
    <row r="287" spans="5:25" s="114" customFormat="1">
      <c r="E287" s="167"/>
      <c r="F287" s="115"/>
      <c r="J287" s="311"/>
      <c r="K287" s="311"/>
      <c r="P287" s="167"/>
      <c r="Q287" s="115"/>
      <c r="R287" s="312"/>
      <c r="S287" s="312"/>
      <c r="T287" s="312"/>
      <c r="U287" s="312"/>
      <c r="V287" s="312"/>
      <c r="W287" s="312"/>
      <c r="X287" s="312"/>
      <c r="Y287" s="168"/>
    </row>
    <row r="288" spans="5:25" s="114" customFormat="1">
      <c r="E288" s="167"/>
      <c r="F288" s="115"/>
      <c r="J288" s="311"/>
      <c r="K288" s="311"/>
      <c r="P288" s="167"/>
      <c r="Q288" s="115"/>
      <c r="R288" s="312"/>
      <c r="S288" s="312"/>
      <c r="T288" s="312"/>
      <c r="U288" s="312"/>
      <c r="V288" s="312"/>
      <c r="W288" s="312"/>
      <c r="X288" s="312"/>
      <c r="Y288" s="168"/>
    </row>
    <row r="289" spans="5:25" s="114" customFormat="1">
      <c r="E289" s="167"/>
      <c r="F289" s="115"/>
      <c r="J289" s="311"/>
      <c r="K289" s="311"/>
      <c r="P289" s="167"/>
      <c r="Q289" s="115"/>
      <c r="R289" s="312"/>
      <c r="S289" s="312"/>
      <c r="T289" s="312"/>
      <c r="U289" s="312"/>
      <c r="V289" s="312"/>
      <c r="W289" s="312"/>
      <c r="X289" s="312"/>
      <c r="Y289" s="168"/>
    </row>
    <row r="290" spans="5:25" s="114" customFormat="1">
      <c r="E290" s="167"/>
      <c r="F290" s="115"/>
      <c r="J290" s="311"/>
      <c r="K290" s="311"/>
      <c r="P290" s="167"/>
      <c r="Q290" s="115"/>
      <c r="R290" s="312"/>
      <c r="S290" s="312"/>
      <c r="T290" s="312"/>
      <c r="U290" s="312"/>
      <c r="V290" s="312"/>
      <c r="W290" s="312"/>
      <c r="X290" s="312"/>
      <c r="Y290" s="168"/>
    </row>
    <row r="291" spans="5:25" s="114" customFormat="1">
      <c r="E291" s="167"/>
      <c r="F291" s="115"/>
      <c r="J291" s="311"/>
      <c r="K291" s="311"/>
      <c r="P291" s="167"/>
      <c r="Q291" s="115"/>
      <c r="R291" s="312"/>
      <c r="S291" s="312"/>
      <c r="T291" s="312"/>
      <c r="U291" s="312"/>
      <c r="V291" s="312"/>
      <c r="W291" s="312"/>
      <c r="X291" s="312"/>
      <c r="Y291" s="168"/>
    </row>
    <row r="292" spans="5:25" s="114" customFormat="1">
      <c r="E292" s="167"/>
      <c r="F292" s="115"/>
      <c r="J292" s="311"/>
      <c r="K292" s="311"/>
      <c r="P292" s="167"/>
      <c r="Q292" s="115"/>
      <c r="R292" s="312"/>
      <c r="S292" s="312"/>
      <c r="T292" s="312"/>
      <c r="U292" s="312"/>
      <c r="V292" s="312"/>
      <c r="W292" s="312"/>
      <c r="X292" s="312"/>
      <c r="Y292" s="168"/>
    </row>
    <row r="293" spans="5:25" s="114" customFormat="1">
      <c r="E293" s="167"/>
      <c r="F293" s="115"/>
      <c r="J293" s="311"/>
      <c r="K293" s="311"/>
      <c r="P293" s="167"/>
      <c r="Q293" s="115"/>
      <c r="R293" s="312"/>
      <c r="S293" s="312"/>
      <c r="T293" s="312"/>
      <c r="U293" s="312"/>
      <c r="V293" s="312"/>
      <c r="W293" s="312"/>
      <c r="X293" s="312"/>
      <c r="Y293" s="168"/>
    </row>
    <row r="294" spans="5:25" s="114" customFormat="1">
      <c r="E294" s="167"/>
      <c r="F294" s="115"/>
      <c r="J294" s="311"/>
      <c r="K294" s="311"/>
      <c r="P294" s="167"/>
      <c r="Q294" s="115"/>
      <c r="R294" s="312"/>
      <c r="S294" s="312"/>
      <c r="T294" s="312"/>
      <c r="U294" s="312"/>
      <c r="V294" s="312"/>
      <c r="W294" s="312"/>
      <c r="X294" s="312"/>
      <c r="Y294" s="168"/>
    </row>
    <row r="295" spans="5:25" s="114" customFormat="1">
      <c r="E295" s="167"/>
      <c r="F295" s="115"/>
      <c r="J295" s="311"/>
      <c r="K295" s="311"/>
      <c r="P295" s="167"/>
      <c r="Q295" s="115"/>
      <c r="R295" s="312"/>
      <c r="S295" s="312"/>
      <c r="T295" s="312"/>
      <c r="U295" s="312"/>
      <c r="V295" s="312"/>
      <c r="W295" s="312"/>
      <c r="X295" s="312"/>
      <c r="Y295" s="168"/>
    </row>
    <row r="296" spans="5:25" s="114" customFormat="1">
      <c r="E296" s="167"/>
      <c r="F296" s="115"/>
      <c r="J296" s="311"/>
      <c r="K296" s="311"/>
      <c r="P296" s="167"/>
      <c r="Q296" s="115"/>
      <c r="R296" s="312"/>
      <c r="S296" s="312"/>
      <c r="T296" s="312"/>
      <c r="U296" s="312"/>
      <c r="V296" s="312"/>
      <c r="W296" s="312"/>
      <c r="X296" s="312"/>
      <c r="Y296" s="168"/>
    </row>
    <row r="297" spans="5:25" s="114" customFormat="1">
      <c r="E297" s="167"/>
      <c r="F297" s="115"/>
      <c r="J297" s="311"/>
      <c r="K297" s="311"/>
      <c r="P297" s="167"/>
      <c r="Q297" s="115"/>
      <c r="R297" s="312"/>
      <c r="S297" s="312"/>
      <c r="T297" s="312"/>
      <c r="U297" s="312"/>
      <c r="V297" s="312"/>
      <c r="W297" s="312"/>
      <c r="X297" s="312"/>
      <c r="Y297" s="168"/>
    </row>
    <row r="298" spans="5:25" s="114" customFormat="1">
      <c r="E298" s="167"/>
      <c r="F298" s="115"/>
      <c r="J298" s="311"/>
      <c r="K298" s="311"/>
      <c r="P298" s="167"/>
      <c r="Q298" s="115"/>
      <c r="R298" s="312"/>
      <c r="S298" s="312"/>
      <c r="T298" s="312"/>
      <c r="U298" s="312"/>
      <c r="V298" s="312"/>
      <c r="W298" s="312"/>
      <c r="X298" s="312"/>
      <c r="Y298" s="168"/>
    </row>
    <row r="299" spans="5:25" s="114" customFormat="1">
      <c r="E299" s="167"/>
      <c r="F299" s="115"/>
      <c r="J299" s="311"/>
      <c r="K299" s="311"/>
      <c r="P299" s="167"/>
      <c r="Q299" s="115"/>
      <c r="R299" s="312"/>
      <c r="S299" s="312"/>
      <c r="T299" s="312"/>
      <c r="U299" s="312"/>
      <c r="V299" s="312"/>
      <c r="W299" s="312"/>
      <c r="X299" s="312"/>
      <c r="Y299" s="168"/>
    </row>
    <row r="300" spans="5:25" s="114" customFormat="1">
      <c r="E300" s="167"/>
      <c r="F300" s="115"/>
      <c r="J300" s="311"/>
      <c r="K300" s="311"/>
      <c r="P300" s="167"/>
      <c r="Q300" s="115"/>
      <c r="R300" s="312"/>
      <c r="S300" s="312"/>
      <c r="T300" s="312"/>
      <c r="U300" s="312"/>
      <c r="V300" s="312"/>
      <c r="W300" s="312"/>
      <c r="X300" s="312"/>
      <c r="Y300" s="168"/>
    </row>
    <row r="301" spans="5:25" s="114" customFormat="1">
      <c r="E301" s="167"/>
      <c r="F301" s="115"/>
      <c r="J301" s="311"/>
      <c r="K301" s="311"/>
      <c r="P301" s="167"/>
      <c r="Q301" s="115"/>
      <c r="R301" s="312"/>
      <c r="S301" s="312"/>
      <c r="T301" s="312"/>
      <c r="U301" s="312"/>
      <c r="V301" s="312"/>
      <c r="W301" s="312"/>
      <c r="X301" s="312"/>
      <c r="Y301" s="168"/>
    </row>
    <row r="302" spans="5:25" s="114" customFormat="1">
      <c r="E302" s="167"/>
      <c r="F302" s="115"/>
      <c r="J302" s="311"/>
      <c r="K302" s="311"/>
      <c r="P302" s="167"/>
      <c r="Q302" s="115"/>
      <c r="R302" s="312"/>
      <c r="S302" s="312"/>
      <c r="T302" s="312"/>
      <c r="U302" s="312"/>
      <c r="V302" s="312"/>
      <c r="W302" s="312"/>
      <c r="X302" s="312"/>
      <c r="Y302" s="168"/>
    </row>
    <row r="303" spans="5:25" s="114" customFormat="1">
      <c r="E303" s="167"/>
      <c r="F303" s="115"/>
      <c r="J303" s="311"/>
      <c r="K303" s="311"/>
      <c r="P303" s="167"/>
      <c r="Q303" s="115"/>
      <c r="R303" s="312"/>
      <c r="S303" s="312"/>
      <c r="T303" s="312"/>
      <c r="U303" s="312"/>
      <c r="V303" s="312"/>
      <c r="W303" s="312"/>
      <c r="X303" s="312"/>
      <c r="Y303" s="168"/>
    </row>
    <row r="304" spans="5:25" s="114" customFormat="1">
      <c r="E304" s="167"/>
      <c r="F304" s="115"/>
      <c r="J304" s="311"/>
      <c r="K304" s="311"/>
      <c r="P304" s="167"/>
      <c r="Q304" s="115"/>
      <c r="R304" s="312"/>
      <c r="S304" s="312"/>
      <c r="T304" s="312"/>
      <c r="U304" s="312"/>
      <c r="V304" s="312"/>
      <c r="W304" s="312"/>
      <c r="X304" s="312"/>
      <c r="Y304" s="168"/>
    </row>
    <row r="305" spans="5:25" s="114" customFormat="1">
      <c r="E305" s="167"/>
      <c r="F305" s="115"/>
      <c r="J305" s="311"/>
      <c r="K305" s="311"/>
      <c r="P305" s="167"/>
      <c r="Q305" s="115"/>
      <c r="R305" s="312"/>
      <c r="S305" s="312"/>
      <c r="T305" s="312"/>
      <c r="U305" s="312"/>
      <c r="V305" s="312"/>
      <c r="W305" s="312"/>
      <c r="X305" s="312"/>
      <c r="Y305" s="168"/>
    </row>
    <row r="306" spans="5:25" s="114" customFormat="1">
      <c r="E306" s="167"/>
      <c r="F306" s="115"/>
      <c r="J306" s="311"/>
      <c r="K306" s="311"/>
      <c r="P306" s="167"/>
      <c r="Q306" s="115"/>
      <c r="R306" s="312"/>
      <c r="S306" s="312"/>
      <c r="T306" s="312"/>
      <c r="U306" s="312"/>
      <c r="V306" s="312"/>
      <c r="W306" s="312"/>
      <c r="X306" s="312"/>
      <c r="Y306" s="168"/>
    </row>
    <row r="307" spans="5:25" s="114" customFormat="1">
      <c r="E307" s="167"/>
      <c r="F307" s="115"/>
      <c r="J307" s="311"/>
      <c r="K307" s="311"/>
      <c r="P307" s="167"/>
      <c r="Q307" s="115"/>
      <c r="R307" s="312"/>
      <c r="S307" s="312"/>
      <c r="T307" s="312"/>
      <c r="U307" s="312"/>
      <c r="V307" s="312"/>
      <c r="W307" s="312"/>
      <c r="X307" s="312"/>
      <c r="Y307" s="168"/>
    </row>
    <row r="308" spans="5:25" s="114" customFormat="1">
      <c r="E308" s="167"/>
      <c r="F308" s="115"/>
      <c r="J308" s="311"/>
      <c r="K308" s="311"/>
      <c r="P308" s="167"/>
      <c r="Q308" s="115"/>
      <c r="R308" s="312"/>
      <c r="S308" s="312"/>
      <c r="T308" s="312"/>
      <c r="U308" s="312"/>
      <c r="V308" s="312"/>
      <c r="W308" s="312"/>
      <c r="X308" s="312"/>
      <c r="Y308" s="168"/>
    </row>
    <row r="309" spans="5:25" s="114" customFormat="1">
      <c r="E309" s="167"/>
      <c r="F309" s="115"/>
      <c r="J309" s="311"/>
      <c r="K309" s="311"/>
      <c r="P309" s="167"/>
      <c r="Q309" s="115"/>
      <c r="R309" s="312"/>
      <c r="S309" s="312"/>
      <c r="T309" s="312"/>
      <c r="U309" s="312"/>
      <c r="V309" s="312"/>
      <c r="W309" s="312"/>
      <c r="X309" s="312"/>
      <c r="Y309" s="168"/>
    </row>
    <row r="310" spans="5:25" s="114" customFormat="1">
      <c r="E310" s="167"/>
      <c r="F310" s="115"/>
      <c r="J310" s="311"/>
      <c r="K310" s="311"/>
      <c r="P310" s="167"/>
      <c r="Q310" s="115"/>
      <c r="R310" s="312"/>
      <c r="S310" s="312"/>
      <c r="T310" s="312"/>
      <c r="U310" s="312"/>
      <c r="V310" s="312"/>
      <c r="W310" s="312"/>
      <c r="X310" s="312"/>
      <c r="Y310" s="168"/>
    </row>
    <row r="311" spans="5:25" s="114" customFormat="1">
      <c r="E311" s="167"/>
      <c r="F311" s="115"/>
      <c r="J311" s="311"/>
      <c r="K311" s="311"/>
      <c r="P311" s="167"/>
      <c r="Q311" s="115"/>
      <c r="R311" s="312"/>
      <c r="S311" s="312"/>
      <c r="T311" s="312"/>
      <c r="U311" s="312"/>
      <c r="V311" s="312"/>
      <c r="W311" s="312"/>
      <c r="X311" s="312"/>
      <c r="Y311" s="168"/>
    </row>
    <row r="312" spans="5:25" s="114" customFormat="1">
      <c r="E312" s="167"/>
      <c r="F312" s="115"/>
      <c r="J312" s="311"/>
      <c r="K312" s="311"/>
      <c r="P312" s="167"/>
      <c r="Q312" s="115"/>
      <c r="R312" s="312"/>
      <c r="S312" s="312"/>
      <c r="T312" s="312"/>
      <c r="U312" s="312"/>
      <c r="V312" s="312"/>
      <c r="W312" s="312"/>
      <c r="X312" s="312"/>
      <c r="Y312" s="168"/>
    </row>
    <row r="313" spans="5:25" s="114" customFormat="1">
      <c r="E313" s="167"/>
      <c r="F313" s="115"/>
      <c r="J313" s="311"/>
      <c r="K313" s="311"/>
      <c r="P313" s="167"/>
      <c r="Q313" s="115"/>
      <c r="R313" s="312"/>
      <c r="S313" s="312"/>
      <c r="T313" s="312"/>
      <c r="U313" s="312"/>
      <c r="V313" s="312"/>
      <c r="W313" s="312"/>
      <c r="X313" s="312"/>
      <c r="Y313" s="168"/>
    </row>
    <row r="314" spans="5:25" s="114" customFormat="1">
      <c r="E314" s="167"/>
      <c r="F314" s="115"/>
      <c r="J314" s="311"/>
      <c r="K314" s="311"/>
      <c r="P314" s="167"/>
      <c r="Q314" s="115"/>
      <c r="R314" s="312"/>
      <c r="S314" s="312"/>
      <c r="T314" s="312"/>
      <c r="U314" s="312"/>
      <c r="V314" s="312"/>
      <c r="W314" s="312"/>
      <c r="X314" s="312"/>
      <c r="Y314" s="168"/>
    </row>
    <row r="315" spans="5:25" s="114" customFormat="1">
      <c r="E315" s="167"/>
      <c r="F315" s="115"/>
      <c r="J315" s="311"/>
      <c r="K315" s="311"/>
      <c r="P315" s="167"/>
      <c r="Q315" s="115"/>
      <c r="R315" s="312"/>
      <c r="S315" s="312"/>
      <c r="T315" s="312"/>
      <c r="U315" s="312"/>
      <c r="V315" s="312"/>
      <c r="W315" s="312"/>
      <c r="X315" s="312"/>
      <c r="Y315" s="168"/>
    </row>
    <row r="316" spans="5:25" s="114" customFormat="1">
      <c r="E316" s="167"/>
      <c r="F316" s="115"/>
      <c r="J316" s="311"/>
      <c r="K316" s="311"/>
      <c r="P316" s="167"/>
      <c r="Q316" s="115"/>
      <c r="R316" s="312"/>
      <c r="S316" s="312"/>
      <c r="T316" s="312"/>
      <c r="U316" s="312"/>
      <c r="V316" s="312"/>
      <c r="W316" s="312"/>
      <c r="X316" s="312"/>
      <c r="Y316" s="168"/>
    </row>
    <row r="317" spans="5:25" s="114" customFormat="1">
      <c r="E317" s="167"/>
      <c r="F317" s="115"/>
      <c r="J317" s="311"/>
      <c r="K317" s="311"/>
      <c r="P317" s="167"/>
      <c r="Q317" s="115"/>
      <c r="R317" s="312"/>
      <c r="S317" s="312"/>
      <c r="T317" s="312"/>
      <c r="U317" s="312"/>
      <c r="V317" s="312"/>
      <c r="W317" s="312"/>
      <c r="X317" s="312"/>
      <c r="Y317" s="168"/>
    </row>
    <row r="318" spans="5:25" s="114" customFormat="1">
      <c r="E318" s="167"/>
      <c r="F318" s="115"/>
      <c r="J318" s="311"/>
      <c r="K318" s="311"/>
      <c r="P318" s="167"/>
      <c r="Q318" s="115"/>
      <c r="R318" s="312"/>
      <c r="S318" s="312"/>
      <c r="T318" s="312"/>
      <c r="U318" s="312"/>
      <c r="V318" s="312"/>
      <c r="W318" s="312"/>
      <c r="X318" s="312"/>
      <c r="Y318" s="168"/>
    </row>
    <row r="319" spans="5:25" s="114" customFormat="1">
      <c r="E319" s="167"/>
      <c r="F319" s="115"/>
      <c r="J319" s="311"/>
      <c r="K319" s="311"/>
      <c r="P319" s="167"/>
      <c r="Q319" s="115"/>
      <c r="R319" s="312"/>
      <c r="S319" s="312"/>
      <c r="T319" s="312"/>
      <c r="U319" s="312"/>
      <c r="V319" s="312"/>
      <c r="W319" s="312"/>
      <c r="X319" s="312"/>
      <c r="Y319" s="168"/>
    </row>
    <row r="320" spans="5:25" s="114" customFormat="1">
      <c r="E320" s="167"/>
      <c r="F320" s="115"/>
      <c r="J320" s="311"/>
      <c r="K320" s="311"/>
      <c r="P320" s="167"/>
      <c r="Q320" s="115"/>
      <c r="R320" s="312"/>
      <c r="S320" s="312"/>
      <c r="T320" s="312"/>
      <c r="U320" s="312"/>
      <c r="V320" s="312"/>
      <c r="W320" s="312"/>
      <c r="X320" s="312"/>
      <c r="Y320" s="168"/>
    </row>
    <row r="321" spans="5:25" s="114" customFormat="1">
      <c r="E321" s="167"/>
      <c r="F321" s="115"/>
      <c r="J321" s="311"/>
      <c r="K321" s="311"/>
      <c r="P321" s="167"/>
      <c r="Q321" s="115"/>
      <c r="R321" s="312"/>
      <c r="S321" s="312"/>
      <c r="T321" s="312"/>
      <c r="U321" s="312"/>
      <c r="V321" s="312"/>
      <c r="W321" s="312"/>
      <c r="X321" s="312"/>
      <c r="Y321" s="168"/>
    </row>
    <row r="322" spans="5:25" s="114" customFormat="1">
      <c r="E322" s="167"/>
      <c r="F322" s="115"/>
      <c r="J322" s="311"/>
      <c r="K322" s="311"/>
      <c r="P322" s="167"/>
      <c r="Q322" s="115"/>
      <c r="R322" s="312"/>
      <c r="S322" s="312"/>
      <c r="T322" s="312"/>
      <c r="U322" s="312"/>
      <c r="V322" s="312"/>
      <c r="W322" s="312"/>
      <c r="X322" s="312"/>
      <c r="Y322" s="168"/>
    </row>
    <row r="323" spans="5:25" s="114" customFormat="1">
      <c r="E323" s="167"/>
      <c r="F323" s="115"/>
      <c r="J323" s="311"/>
      <c r="K323" s="311"/>
      <c r="P323" s="167"/>
      <c r="Q323" s="115"/>
      <c r="R323" s="312"/>
      <c r="S323" s="312"/>
      <c r="T323" s="312"/>
      <c r="U323" s="312"/>
      <c r="V323" s="312"/>
      <c r="W323" s="312"/>
      <c r="X323" s="312"/>
      <c r="Y323" s="168"/>
    </row>
    <row r="324" spans="5:25" s="114" customFormat="1">
      <c r="E324" s="167"/>
      <c r="F324" s="115"/>
      <c r="J324" s="311"/>
      <c r="K324" s="311"/>
      <c r="P324" s="167"/>
      <c r="Q324" s="115"/>
      <c r="R324" s="312"/>
      <c r="S324" s="312"/>
      <c r="T324" s="312"/>
      <c r="U324" s="312"/>
      <c r="V324" s="312"/>
      <c r="W324" s="312"/>
      <c r="X324" s="312"/>
      <c r="Y324" s="168"/>
    </row>
    <row r="325" spans="5:25" s="114" customFormat="1">
      <c r="E325" s="167"/>
      <c r="F325" s="115"/>
      <c r="J325" s="311"/>
      <c r="K325" s="311"/>
      <c r="P325" s="167"/>
      <c r="Q325" s="115"/>
      <c r="R325" s="312"/>
      <c r="S325" s="312"/>
      <c r="T325" s="312"/>
      <c r="U325" s="312"/>
      <c r="V325" s="312"/>
      <c r="W325" s="312"/>
      <c r="X325" s="312"/>
      <c r="Y325" s="168"/>
    </row>
    <row r="326" spans="5:25" s="114" customFormat="1">
      <c r="E326" s="167"/>
      <c r="F326" s="115"/>
      <c r="J326" s="311"/>
      <c r="K326" s="311"/>
      <c r="P326" s="167"/>
      <c r="Q326" s="115"/>
      <c r="R326" s="312"/>
      <c r="S326" s="312"/>
      <c r="T326" s="312"/>
      <c r="U326" s="312"/>
      <c r="V326" s="312"/>
      <c r="W326" s="312"/>
      <c r="X326" s="312"/>
      <c r="Y326" s="168"/>
    </row>
    <row r="327" spans="5:25" s="114" customFormat="1">
      <c r="E327" s="167"/>
      <c r="F327" s="115"/>
      <c r="J327" s="311"/>
      <c r="K327" s="311"/>
      <c r="P327" s="167"/>
      <c r="Q327" s="115"/>
      <c r="R327" s="312"/>
      <c r="S327" s="312"/>
      <c r="T327" s="312"/>
      <c r="U327" s="312"/>
      <c r="V327" s="312"/>
      <c r="W327" s="312"/>
      <c r="X327" s="312"/>
      <c r="Y327" s="168"/>
    </row>
    <row r="328" spans="5:25" s="114" customFormat="1">
      <c r="E328" s="167"/>
      <c r="F328" s="115"/>
      <c r="J328" s="311"/>
      <c r="K328" s="311"/>
      <c r="P328" s="167"/>
      <c r="Q328" s="115"/>
      <c r="R328" s="312"/>
      <c r="S328" s="312"/>
      <c r="T328" s="312"/>
      <c r="U328" s="312"/>
      <c r="V328" s="312"/>
      <c r="W328" s="312"/>
      <c r="X328" s="312"/>
      <c r="Y328" s="168"/>
    </row>
    <row r="329" spans="5:25" s="114" customFormat="1">
      <c r="E329" s="167"/>
      <c r="F329" s="115"/>
      <c r="J329" s="311"/>
      <c r="K329" s="311"/>
      <c r="P329" s="167"/>
      <c r="Q329" s="115"/>
      <c r="R329" s="312"/>
      <c r="S329" s="312"/>
      <c r="T329" s="312"/>
      <c r="U329" s="312"/>
      <c r="V329" s="312"/>
      <c r="W329" s="312"/>
      <c r="X329" s="312"/>
      <c r="Y329" s="168"/>
    </row>
    <row r="330" spans="5:25" s="114" customFormat="1">
      <c r="E330" s="167"/>
      <c r="F330" s="115"/>
      <c r="J330" s="311"/>
      <c r="K330" s="311"/>
      <c r="P330" s="167"/>
      <c r="Q330" s="115"/>
      <c r="R330" s="312"/>
      <c r="S330" s="312"/>
      <c r="T330" s="312"/>
      <c r="U330" s="312"/>
      <c r="V330" s="312"/>
      <c r="W330" s="312"/>
      <c r="X330" s="312"/>
      <c r="Y330" s="168"/>
    </row>
    <row r="331" spans="5:25" s="114" customFormat="1">
      <c r="E331" s="167"/>
      <c r="F331" s="115"/>
      <c r="J331" s="311"/>
      <c r="K331" s="311"/>
      <c r="P331" s="167"/>
      <c r="Q331" s="115"/>
      <c r="R331" s="312"/>
      <c r="S331" s="312"/>
      <c r="T331" s="312"/>
      <c r="U331" s="312"/>
      <c r="V331" s="312"/>
      <c r="W331" s="312"/>
      <c r="X331" s="312"/>
      <c r="Y331" s="168"/>
    </row>
    <row r="332" spans="5:25" s="114" customFormat="1">
      <c r="E332" s="167"/>
      <c r="F332" s="115"/>
      <c r="J332" s="311"/>
      <c r="K332" s="311"/>
      <c r="P332" s="167"/>
      <c r="Q332" s="115"/>
      <c r="R332" s="312"/>
      <c r="S332" s="312"/>
      <c r="T332" s="312"/>
      <c r="U332" s="312"/>
      <c r="V332" s="312"/>
      <c r="W332" s="312"/>
      <c r="X332" s="312"/>
      <c r="Y332" s="168"/>
    </row>
    <row r="333" spans="5:25" s="114" customFormat="1">
      <c r="E333" s="167"/>
      <c r="F333" s="115"/>
      <c r="J333" s="311"/>
      <c r="K333" s="311"/>
      <c r="P333" s="167"/>
      <c r="Q333" s="115"/>
      <c r="R333" s="312"/>
      <c r="S333" s="312"/>
      <c r="T333" s="312"/>
      <c r="U333" s="312"/>
      <c r="V333" s="312"/>
      <c r="W333" s="312"/>
      <c r="X333" s="312"/>
      <c r="Y333" s="168"/>
    </row>
    <row r="334" spans="5:25" s="114" customFormat="1">
      <c r="E334" s="167"/>
      <c r="F334" s="115"/>
      <c r="J334" s="311"/>
      <c r="K334" s="311"/>
      <c r="P334" s="167"/>
      <c r="Q334" s="115"/>
      <c r="R334" s="312"/>
      <c r="S334" s="312"/>
      <c r="T334" s="312"/>
      <c r="U334" s="312"/>
      <c r="V334" s="312"/>
      <c r="W334" s="312"/>
      <c r="X334" s="312"/>
      <c r="Y334" s="168"/>
    </row>
    <row r="335" spans="5:25" s="114" customFormat="1">
      <c r="E335" s="167"/>
      <c r="F335" s="115"/>
      <c r="J335" s="311"/>
      <c r="K335" s="311"/>
      <c r="P335" s="167"/>
      <c r="Q335" s="115"/>
      <c r="R335" s="312"/>
      <c r="S335" s="312"/>
      <c r="T335" s="312"/>
      <c r="U335" s="312"/>
      <c r="V335" s="312"/>
      <c r="W335" s="312"/>
      <c r="X335" s="312"/>
      <c r="Y335" s="168"/>
    </row>
    <row r="336" spans="5:25" s="114" customFormat="1">
      <c r="E336" s="167"/>
      <c r="F336" s="115"/>
      <c r="J336" s="311"/>
      <c r="K336" s="311"/>
      <c r="P336" s="167"/>
      <c r="Q336" s="115"/>
      <c r="R336" s="312"/>
      <c r="S336" s="312"/>
      <c r="T336" s="312"/>
      <c r="U336" s="312"/>
      <c r="V336" s="312"/>
      <c r="W336" s="312"/>
      <c r="X336" s="312"/>
      <c r="Y336" s="168"/>
    </row>
    <row r="337" spans="5:25" s="114" customFormat="1">
      <c r="E337" s="167"/>
      <c r="F337" s="115"/>
      <c r="J337" s="311"/>
      <c r="K337" s="311"/>
      <c r="P337" s="167"/>
      <c r="Q337" s="115"/>
      <c r="R337" s="312"/>
      <c r="S337" s="312"/>
      <c r="T337" s="312"/>
      <c r="U337" s="312"/>
      <c r="V337" s="312"/>
      <c r="W337" s="312"/>
      <c r="X337" s="312"/>
      <c r="Y337" s="168"/>
    </row>
    <row r="338" spans="5:25" s="114" customFormat="1">
      <c r="E338" s="167"/>
      <c r="F338" s="115"/>
      <c r="J338" s="311"/>
      <c r="K338" s="311"/>
      <c r="P338" s="167"/>
      <c r="Q338" s="115"/>
      <c r="R338" s="312"/>
      <c r="S338" s="312"/>
      <c r="T338" s="312"/>
      <c r="U338" s="312"/>
      <c r="V338" s="312"/>
      <c r="W338" s="312"/>
      <c r="X338" s="312"/>
      <c r="Y338" s="168"/>
    </row>
    <row r="339" spans="5:25" s="114" customFormat="1">
      <c r="E339" s="167"/>
      <c r="F339" s="115"/>
      <c r="J339" s="311"/>
      <c r="K339" s="311"/>
      <c r="P339" s="167"/>
      <c r="Q339" s="115"/>
      <c r="R339" s="312"/>
      <c r="S339" s="312"/>
      <c r="T339" s="312"/>
      <c r="U339" s="312"/>
      <c r="V339" s="312"/>
      <c r="W339" s="312"/>
      <c r="X339" s="312"/>
      <c r="Y339" s="168"/>
    </row>
    <row r="340" spans="5:25" s="114" customFormat="1">
      <c r="E340" s="167"/>
      <c r="F340" s="115"/>
      <c r="J340" s="311"/>
      <c r="K340" s="311"/>
      <c r="P340" s="167"/>
      <c r="Q340" s="115"/>
      <c r="R340" s="312"/>
      <c r="S340" s="312"/>
      <c r="T340" s="312"/>
      <c r="U340" s="312"/>
      <c r="V340" s="312"/>
      <c r="W340" s="312"/>
      <c r="X340" s="312"/>
      <c r="Y340" s="168"/>
    </row>
    <row r="341" spans="5:25" s="114" customFormat="1">
      <c r="E341" s="167"/>
      <c r="F341" s="115"/>
      <c r="J341" s="311"/>
      <c r="K341" s="311"/>
      <c r="P341" s="167"/>
      <c r="Q341" s="115"/>
      <c r="R341" s="312"/>
      <c r="S341" s="312"/>
      <c r="T341" s="312"/>
      <c r="U341" s="312"/>
      <c r="V341" s="312"/>
      <c r="W341" s="312"/>
      <c r="X341" s="312"/>
      <c r="Y341" s="168"/>
    </row>
    <row r="342" spans="5:25" s="114" customFormat="1">
      <c r="E342" s="167"/>
      <c r="F342" s="115"/>
      <c r="J342" s="311"/>
      <c r="K342" s="311"/>
      <c r="P342" s="167"/>
      <c r="Q342" s="115"/>
      <c r="R342" s="312"/>
      <c r="S342" s="312"/>
      <c r="T342" s="312"/>
      <c r="U342" s="312"/>
      <c r="V342" s="312"/>
      <c r="W342" s="312"/>
      <c r="X342" s="312"/>
      <c r="Y342" s="168"/>
    </row>
    <row r="343" spans="5:25" s="114" customFormat="1">
      <c r="E343" s="167"/>
      <c r="F343" s="115"/>
      <c r="J343" s="311"/>
      <c r="K343" s="311"/>
      <c r="P343" s="167"/>
      <c r="Q343" s="115"/>
      <c r="R343" s="312"/>
      <c r="S343" s="312"/>
      <c r="T343" s="312"/>
      <c r="U343" s="312"/>
      <c r="V343" s="312"/>
      <c r="W343" s="312"/>
      <c r="X343" s="312"/>
      <c r="Y343" s="168"/>
    </row>
    <row r="344" spans="5:25" s="114" customFormat="1">
      <c r="E344" s="167"/>
      <c r="F344" s="115"/>
      <c r="J344" s="311"/>
      <c r="K344" s="311"/>
      <c r="P344" s="167"/>
      <c r="Q344" s="115"/>
      <c r="R344" s="312"/>
      <c r="S344" s="312"/>
      <c r="T344" s="312"/>
      <c r="U344" s="312"/>
      <c r="V344" s="312"/>
      <c r="W344" s="312"/>
      <c r="X344" s="312"/>
      <c r="Y344" s="168"/>
    </row>
    <row r="345" spans="5:25" s="114" customFormat="1">
      <c r="E345" s="167"/>
      <c r="F345" s="115"/>
      <c r="J345" s="311"/>
      <c r="K345" s="311"/>
      <c r="P345" s="167"/>
      <c r="Q345" s="115"/>
      <c r="R345" s="312"/>
      <c r="S345" s="312"/>
      <c r="T345" s="312"/>
      <c r="U345" s="312"/>
      <c r="V345" s="312"/>
      <c r="W345" s="312"/>
      <c r="X345" s="312"/>
      <c r="Y345" s="168"/>
    </row>
    <row r="346" spans="5:25" s="114" customFormat="1">
      <c r="E346" s="167"/>
      <c r="F346" s="115"/>
      <c r="J346" s="311"/>
      <c r="K346" s="311"/>
      <c r="P346" s="167"/>
      <c r="Q346" s="115"/>
      <c r="R346" s="312"/>
      <c r="S346" s="312"/>
      <c r="T346" s="312"/>
      <c r="U346" s="312"/>
      <c r="V346" s="312"/>
      <c r="W346" s="312"/>
      <c r="X346" s="312"/>
      <c r="Y346" s="168"/>
    </row>
    <row r="347" spans="5:25" s="114" customFormat="1">
      <c r="E347" s="167"/>
      <c r="F347" s="115"/>
      <c r="J347" s="311"/>
      <c r="K347" s="311"/>
      <c r="P347" s="167"/>
      <c r="Q347" s="115"/>
      <c r="R347" s="312"/>
      <c r="S347" s="312"/>
      <c r="T347" s="312"/>
      <c r="U347" s="312"/>
      <c r="V347" s="312"/>
      <c r="W347" s="312"/>
      <c r="X347" s="312"/>
      <c r="Y347" s="168"/>
    </row>
    <row r="348" spans="5:25" s="114" customFormat="1">
      <c r="E348" s="167"/>
      <c r="F348" s="115"/>
      <c r="J348" s="311"/>
      <c r="K348" s="311"/>
      <c r="P348" s="167"/>
      <c r="Q348" s="115"/>
      <c r="R348" s="312"/>
      <c r="S348" s="312"/>
      <c r="T348" s="312"/>
      <c r="U348" s="312"/>
      <c r="V348" s="312"/>
      <c r="W348" s="312"/>
      <c r="X348" s="312"/>
      <c r="Y348" s="168"/>
    </row>
    <row r="349" spans="5:25" s="114" customFormat="1">
      <c r="E349" s="167"/>
      <c r="F349" s="115"/>
      <c r="J349" s="311"/>
      <c r="K349" s="311"/>
      <c r="P349" s="167"/>
      <c r="Q349" s="115"/>
      <c r="R349" s="312"/>
      <c r="S349" s="312"/>
      <c r="T349" s="312"/>
      <c r="U349" s="312"/>
      <c r="V349" s="312"/>
      <c r="W349" s="312"/>
      <c r="X349" s="312"/>
      <c r="Y349" s="168"/>
    </row>
    <row r="350" spans="5:25" s="114" customFormat="1">
      <c r="E350" s="167"/>
      <c r="F350" s="115"/>
      <c r="J350" s="311"/>
      <c r="K350" s="311"/>
      <c r="P350" s="167"/>
      <c r="Q350" s="115"/>
      <c r="R350" s="312"/>
      <c r="S350" s="312"/>
      <c r="T350" s="312"/>
      <c r="U350" s="312"/>
      <c r="V350" s="312"/>
      <c r="W350" s="312"/>
      <c r="X350" s="312"/>
      <c r="Y350" s="168"/>
    </row>
    <row r="351" spans="5:25" s="114" customFormat="1">
      <c r="E351" s="167"/>
      <c r="F351" s="115"/>
      <c r="J351" s="311"/>
      <c r="K351" s="311"/>
      <c r="P351" s="167"/>
      <c r="Q351" s="115"/>
      <c r="R351" s="312"/>
      <c r="S351" s="312"/>
      <c r="T351" s="312"/>
      <c r="U351" s="312"/>
      <c r="V351" s="312"/>
      <c r="W351" s="312"/>
      <c r="X351" s="312"/>
      <c r="Y351" s="168"/>
    </row>
    <row r="352" spans="5:25" s="114" customFormat="1">
      <c r="E352" s="167"/>
      <c r="F352" s="115"/>
      <c r="J352" s="311"/>
      <c r="K352" s="311"/>
      <c r="P352" s="167"/>
      <c r="Q352" s="115"/>
      <c r="R352" s="312"/>
      <c r="S352" s="312"/>
      <c r="T352" s="312"/>
      <c r="U352" s="312"/>
      <c r="V352" s="312"/>
      <c r="W352" s="312"/>
      <c r="X352" s="312"/>
      <c r="Y352" s="168"/>
    </row>
    <row r="353" spans="5:25" s="114" customFormat="1">
      <c r="E353" s="167"/>
      <c r="F353" s="115"/>
      <c r="J353" s="311"/>
      <c r="K353" s="311"/>
      <c r="P353" s="167"/>
      <c r="Q353" s="115"/>
      <c r="R353" s="312"/>
      <c r="S353" s="312"/>
      <c r="T353" s="312"/>
      <c r="U353" s="312"/>
      <c r="V353" s="312"/>
      <c r="W353" s="312"/>
      <c r="X353" s="312"/>
      <c r="Y353" s="168"/>
    </row>
    <row r="354" spans="5:25" s="114" customFormat="1">
      <c r="E354" s="167"/>
      <c r="F354" s="115"/>
      <c r="J354" s="311"/>
      <c r="K354" s="311"/>
      <c r="P354" s="167"/>
      <c r="Q354" s="115"/>
      <c r="R354" s="312"/>
      <c r="S354" s="312"/>
      <c r="T354" s="312"/>
      <c r="U354" s="312"/>
      <c r="V354" s="312"/>
      <c r="W354" s="312"/>
      <c r="X354" s="312"/>
      <c r="Y354" s="168"/>
    </row>
    <row r="355" spans="5:25" s="114" customFormat="1">
      <c r="E355" s="167"/>
      <c r="F355" s="115"/>
      <c r="J355" s="311"/>
      <c r="K355" s="311"/>
      <c r="P355" s="167"/>
      <c r="Q355" s="115"/>
      <c r="R355" s="312"/>
      <c r="S355" s="312"/>
      <c r="T355" s="312"/>
      <c r="U355" s="312"/>
      <c r="V355" s="312"/>
      <c r="W355" s="312"/>
      <c r="X355" s="312"/>
      <c r="Y355" s="168"/>
    </row>
    <row r="356" spans="5:25" s="114" customFormat="1">
      <c r="E356" s="167"/>
      <c r="F356" s="115"/>
      <c r="J356" s="311"/>
      <c r="K356" s="311"/>
      <c r="P356" s="167"/>
      <c r="Q356" s="115"/>
      <c r="R356" s="312"/>
      <c r="S356" s="312"/>
      <c r="T356" s="312"/>
      <c r="U356" s="312"/>
      <c r="V356" s="312"/>
      <c r="W356" s="312"/>
      <c r="X356" s="312"/>
      <c r="Y356" s="168"/>
    </row>
    <row r="357" spans="5:25" s="114" customFormat="1">
      <c r="E357" s="167"/>
      <c r="F357" s="115"/>
      <c r="J357" s="311"/>
      <c r="K357" s="311"/>
      <c r="P357" s="167"/>
      <c r="Q357" s="115"/>
      <c r="R357" s="312"/>
      <c r="S357" s="312"/>
      <c r="T357" s="312"/>
      <c r="U357" s="312"/>
      <c r="V357" s="312"/>
      <c r="W357" s="312"/>
      <c r="X357" s="312"/>
      <c r="Y357" s="168"/>
    </row>
    <row r="358" spans="5:25" s="114" customFormat="1">
      <c r="E358" s="167"/>
      <c r="F358" s="115"/>
      <c r="J358" s="311"/>
      <c r="K358" s="311"/>
      <c r="P358" s="167"/>
      <c r="Q358" s="115"/>
      <c r="R358" s="312"/>
      <c r="S358" s="312"/>
      <c r="T358" s="312"/>
      <c r="U358" s="312"/>
      <c r="V358" s="312"/>
      <c r="W358" s="312"/>
      <c r="X358" s="312"/>
      <c r="Y358" s="168"/>
    </row>
    <row r="359" spans="5:25" s="114" customFormat="1">
      <c r="E359" s="167"/>
      <c r="F359" s="115"/>
      <c r="J359" s="311"/>
      <c r="K359" s="311"/>
      <c r="P359" s="167"/>
      <c r="Q359" s="115"/>
      <c r="R359" s="312"/>
      <c r="S359" s="312"/>
      <c r="T359" s="312"/>
      <c r="U359" s="312"/>
      <c r="V359" s="312"/>
      <c r="W359" s="312"/>
      <c r="X359" s="312"/>
      <c r="Y359" s="168"/>
    </row>
    <row r="360" spans="5:25" s="114" customFormat="1">
      <c r="E360" s="167"/>
      <c r="F360" s="115"/>
      <c r="J360" s="311"/>
      <c r="K360" s="311"/>
      <c r="P360" s="167"/>
      <c r="Q360" s="115"/>
      <c r="R360" s="312"/>
      <c r="S360" s="312"/>
      <c r="T360" s="312"/>
      <c r="U360" s="312"/>
      <c r="V360" s="312"/>
      <c r="W360" s="312"/>
      <c r="X360" s="312"/>
      <c r="Y360" s="168"/>
    </row>
    <row r="361" spans="5:25" s="114" customFormat="1">
      <c r="E361" s="167"/>
      <c r="F361" s="115"/>
      <c r="J361" s="311"/>
      <c r="K361" s="311"/>
      <c r="P361" s="167"/>
      <c r="Q361" s="115"/>
      <c r="R361" s="312"/>
      <c r="S361" s="312"/>
      <c r="T361" s="312"/>
      <c r="U361" s="312"/>
      <c r="V361" s="312"/>
      <c r="W361" s="312"/>
      <c r="X361" s="312"/>
      <c r="Y361" s="168"/>
    </row>
    <row r="362" spans="5:25" s="114" customFormat="1">
      <c r="E362" s="167"/>
      <c r="F362" s="115"/>
      <c r="J362" s="311"/>
      <c r="K362" s="311"/>
      <c r="P362" s="167"/>
      <c r="Q362" s="115"/>
      <c r="R362" s="312"/>
      <c r="S362" s="312"/>
      <c r="T362" s="312"/>
      <c r="U362" s="312"/>
      <c r="V362" s="312"/>
      <c r="W362" s="312"/>
      <c r="X362" s="312"/>
      <c r="Y362" s="168"/>
    </row>
    <row r="363" spans="5:25" s="114" customFormat="1">
      <c r="E363" s="167"/>
      <c r="F363" s="115"/>
      <c r="J363" s="311"/>
      <c r="K363" s="311"/>
      <c r="P363" s="167"/>
      <c r="Q363" s="115"/>
      <c r="R363" s="312"/>
      <c r="S363" s="312"/>
      <c r="T363" s="312"/>
      <c r="U363" s="312"/>
      <c r="V363" s="312"/>
      <c r="W363" s="312"/>
      <c r="X363" s="312"/>
      <c r="Y363" s="168"/>
    </row>
    <row r="364" spans="5:25" s="114" customFormat="1">
      <c r="E364" s="167"/>
      <c r="F364" s="115"/>
      <c r="J364" s="311"/>
      <c r="K364" s="311"/>
      <c r="P364" s="167"/>
      <c r="Q364" s="115"/>
      <c r="R364" s="312"/>
      <c r="S364" s="312"/>
      <c r="T364" s="312"/>
      <c r="U364" s="312"/>
      <c r="V364" s="312"/>
      <c r="W364" s="312"/>
      <c r="X364" s="312"/>
      <c r="Y364" s="168"/>
    </row>
    <row r="365" spans="5:25" s="114" customFormat="1">
      <c r="E365" s="167"/>
      <c r="F365" s="115"/>
      <c r="J365" s="311"/>
      <c r="K365" s="311"/>
      <c r="P365" s="167"/>
      <c r="Q365" s="115"/>
      <c r="R365" s="312"/>
      <c r="S365" s="312"/>
      <c r="T365" s="312"/>
      <c r="U365" s="312"/>
      <c r="V365" s="312"/>
      <c r="W365" s="312"/>
      <c r="X365" s="312"/>
      <c r="Y365" s="168"/>
    </row>
    <row r="366" spans="5:25" s="114" customFormat="1">
      <c r="E366" s="167"/>
      <c r="F366" s="115"/>
      <c r="J366" s="311"/>
      <c r="K366" s="311"/>
      <c r="P366" s="167"/>
      <c r="Q366" s="115"/>
      <c r="R366" s="312"/>
      <c r="S366" s="312"/>
      <c r="T366" s="312"/>
      <c r="U366" s="312"/>
      <c r="V366" s="312"/>
      <c r="W366" s="312"/>
      <c r="X366" s="312"/>
      <c r="Y366" s="168"/>
    </row>
    <row r="367" spans="5:25" s="114" customFormat="1">
      <c r="E367" s="167"/>
      <c r="F367" s="115"/>
      <c r="J367" s="311"/>
      <c r="K367" s="311"/>
      <c r="P367" s="167"/>
      <c r="Q367" s="115"/>
      <c r="R367" s="312"/>
      <c r="S367" s="312"/>
      <c r="T367" s="312"/>
      <c r="U367" s="312"/>
      <c r="V367" s="312"/>
      <c r="W367" s="312"/>
      <c r="X367" s="312"/>
      <c r="Y367" s="168"/>
    </row>
    <row r="368" spans="5:25" s="114" customFormat="1">
      <c r="E368" s="167"/>
      <c r="F368" s="115"/>
      <c r="J368" s="311"/>
      <c r="K368" s="311"/>
      <c r="P368" s="167"/>
      <c r="Q368" s="115"/>
      <c r="R368" s="312"/>
      <c r="S368" s="312"/>
      <c r="T368" s="312"/>
      <c r="U368" s="312"/>
      <c r="V368" s="312"/>
      <c r="W368" s="312"/>
      <c r="X368" s="312"/>
      <c r="Y368" s="168"/>
    </row>
    <row r="369" spans="5:25" s="114" customFormat="1">
      <c r="E369" s="167"/>
      <c r="F369" s="115"/>
      <c r="J369" s="311"/>
      <c r="K369" s="311"/>
      <c r="P369" s="167"/>
      <c r="Q369" s="115"/>
      <c r="R369" s="312"/>
      <c r="S369" s="312"/>
      <c r="T369" s="312"/>
      <c r="U369" s="312"/>
      <c r="V369" s="312"/>
      <c r="W369" s="312"/>
      <c r="X369" s="312"/>
      <c r="Y369" s="168"/>
    </row>
    <row r="370" spans="5:25" s="114" customFormat="1">
      <c r="E370" s="167"/>
      <c r="F370" s="115"/>
      <c r="J370" s="311"/>
      <c r="K370" s="311"/>
      <c r="P370" s="167"/>
      <c r="Q370" s="115"/>
      <c r="R370" s="312"/>
      <c r="S370" s="312"/>
      <c r="T370" s="312"/>
      <c r="U370" s="312"/>
      <c r="V370" s="312"/>
      <c r="W370" s="312"/>
      <c r="X370" s="312"/>
      <c r="Y370" s="168"/>
    </row>
    <row r="371" spans="5:25" s="114" customFormat="1">
      <c r="E371" s="167"/>
      <c r="F371" s="115"/>
      <c r="J371" s="311"/>
      <c r="K371" s="311"/>
      <c r="P371" s="167"/>
      <c r="Q371" s="115"/>
      <c r="R371" s="312"/>
      <c r="S371" s="312"/>
      <c r="T371" s="312"/>
      <c r="U371" s="312"/>
      <c r="V371" s="312"/>
      <c r="W371" s="312"/>
      <c r="X371" s="312"/>
      <c r="Y371" s="168"/>
    </row>
    <row r="372" spans="5:25" s="114" customFormat="1">
      <c r="E372" s="167"/>
      <c r="F372" s="115"/>
      <c r="J372" s="311"/>
      <c r="K372" s="311"/>
      <c r="P372" s="167"/>
      <c r="Q372" s="115"/>
      <c r="R372" s="312"/>
      <c r="S372" s="312"/>
      <c r="T372" s="312"/>
      <c r="U372" s="312"/>
      <c r="V372" s="312"/>
      <c r="W372" s="312"/>
      <c r="X372" s="312"/>
      <c r="Y372" s="168"/>
    </row>
    <row r="373" spans="5:25" s="114" customFormat="1">
      <c r="E373" s="167"/>
      <c r="F373" s="115"/>
      <c r="J373" s="311"/>
      <c r="K373" s="311"/>
      <c r="P373" s="167"/>
      <c r="Q373" s="115"/>
      <c r="R373" s="312"/>
      <c r="S373" s="312"/>
      <c r="T373" s="312"/>
      <c r="U373" s="312"/>
      <c r="V373" s="312"/>
      <c r="W373" s="312"/>
      <c r="X373" s="312"/>
      <c r="Y373" s="168"/>
    </row>
    <row r="374" spans="5:25" s="114" customFormat="1">
      <c r="E374" s="167"/>
      <c r="F374" s="115"/>
      <c r="J374" s="311"/>
      <c r="K374" s="311"/>
      <c r="P374" s="167"/>
      <c r="Q374" s="115"/>
      <c r="R374" s="312"/>
      <c r="S374" s="312"/>
      <c r="T374" s="312"/>
      <c r="U374" s="312"/>
      <c r="V374" s="312"/>
      <c r="W374" s="312"/>
      <c r="X374" s="312"/>
      <c r="Y374" s="168"/>
    </row>
    <row r="375" spans="5:25" s="114" customFormat="1">
      <c r="E375" s="167"/>
      <c r="F375" s="115"/>
      <c r="J375" s="311"/>
      <c r="K375" s="311"/>
      <c r="P375" s="167"/>
      <c r="Q375" s="115"/>
      <c r="R375" s="312"/>
      <c r="S375" s="312"/>
      <c r="T375" s="312"/>
      <c r="U375" s="312"/>
      <c r="V375" s="312"/>
      <c r="W375" s="312"/>
      <c r="X375" s="312"/>
      <c r="Y375" s="168"/>
    </row>
    <row r="376" spans="5:25" s="114" customFormat="1">
      <c r="E376" s="167"/>
      <c r="F376" s="115"/>
      <c r="J376" s="311"/>
      <c r="K376" s="311"/>
      <c r="P376" s="167"/>
      <c r="Q376" s="115"/>
      <c r="R376" s="312"/>
      <c r="S376" s="312"/>
      <c r="T376" s="312"/>
      <c r="U376" s="312"/>
      <c r="V376" s="312"/>
      <c r="W376" s="312"/>
      <c r="X376" s="312"/>
      <c r="Y376" s="168"/>
    </row>
    <row r="377" spans="5:25" s="114" customFormat="1">
      <c r="E377" s="167"/>
      <c r="F377" s="115"/>
      <c r="J377" s="311"/>
      <c r="K377" s="311"/>
      <c r="P377" s="167"/>
      <c r="Q377" s="115"/>
      <c r="R377" s="312"/>
      <c r="S377" s="312"/>
      <c r="T377" s="312"/>
      <c r="U377" s="312"/>
      <c r="V377" s="312"/>
      <c r="W377" s="312"/>
      <c r="X377" s="312"/>
      <c r="Y377" s="168"/>
    </row>
    <row r="378" spans="5:25" s="114" customFormat="1">
      <c r="E378" s="167"/>
      <c r="F378" s="115"/>
      <c r="J378" s="311"/>
      <c r="K378" s="311"/>
      <c r="P378" s="167"/>
      <c r="Q378" s="115"/>
      <c r="R378" s="312"/>
      <c r="S378" s="312"/>
      <c r="T378" s="312"/>
      <c r="U378" s="312"/>
      <c r="V378" s="312"/>
      <c r="W378" s="312"/>
      <c r="X378" s="312"/>
      <c r="Y378" s="168"/>
    </row>
    <row r="379" spans="5:25" s="114" customFormat="1">
      <c r="E379" s="167"/>
      <c r="F379" s="115"/>
      <c r="J379" s="311"/>
      <c r="K379" s="311"/>
      <c r="P379" s="167"/>
      <c r="Q379" s="115"/>
      <c r="R379" s="312"/>
      <c r="S379" s="312"/>
      <c r="T379" s="312"/>
      <c r="U379" s="312"/>
      <c r="V379" s="312"/>
      <c r="W379" s="312"/>
      <c r="X379" s="312"/>
      <c r="Y379" s="168"/>
    </row>
    <row r="380" spans="5:25" s="114" customFormat="1">
      <c r="E380" s="167"/>
      <c r="F380" s="115"/>
      <c r="J380" s="311"/>
      <c r="K380" s="311"/>
      <c r="P380" s="167"/>
      <c r="Q380" s="115"/>
      <c r="R380" s="312"/>
      <c r="S380" s="312"/>
      <c r="T380" s="312"/>
      <c r="U380" s="312"/>
      <c r="V380" s="312"/>
      <c r="W380" s="312"/>
      <c r="X380" s="312"/>
      <c r="Y380" s="168"/>
    </row>
    <row r="381" spans="5:25" s="114" customFormat="1">
      <c r="E381" s="167"/>
      <c r="F381" s="115"/>
      <c r="J381" s="311"/>
      <c r="K381" s="311"/>
      <c r="P381" s="167"/>
      <c r="Q381" s="115"/>
      <c r="R381" s="312"/>
      <c r="S381" s="312"/>
      <c r="T381" s="312"/>
      <c r="U381" s="312"/>
      <c r="V381" s="312"/>
      <c r="W381" s="312"/>
      <c r="X381" s="312"/>
      <c r="Y381" s="168"/>
    </row>
    <row r="382" spans="5:25" s="114" customFormat="1">
      <c r="E382" s="167"/>
      <c r="F382" s="115"/>
      <c r="J382" s="311"/>
      <c r="K382" s="311"/>
      <c r="P382" s="167"/>
      <c r="Q382" s="115"/>
      <c r="R382" s="312"/>
      <c r="S382" s="312"/>
      <c r="T382" s="312"/>
      <c r="U382" s="312"/>
      <c r="V382" s="312"/>
      <c r="W382" s="312"/>
      <c r="X382" s="312"/>
      <c r="Y382" s="168"/>
    </row>
    <row r="383" spans="5:25" s="114" customFormat="1">
      <c r="E383" s="167"/>
      <c r="F383" s="115"/>
      <c r="J383" s="311"/>
      <c r="K383" s="311"/>
      <c r="P383" s="167"/>
      <c r="Q383" s="115"/>
      <c r="R383" s="312"/>
      <c r="S383" s="312"/>
      <c r="T383" s="312"/>
      <c r="U383" s="312"/>
      <c r="V383" s="312"/>
      <c r="W383" s="312"/>
      <c r="X383" s="312"/>
      <c r="Y383" s="168"/>
    </row>
    <row r="384" spans="5:25" s="114" customFormat="1">
      <c r="E384" s="167"/>
      <c r="F384" s="115"/>
      <c r="J384" s="311"/>
      <c r="K384" s="311"/>
      <c r="P384" s="167"/>
      <c r="Q384" s="115"/>
      <c r="R384" s="312"/>
      <c r="S384" s="312"/>
      <c r="T384" s="312"/>
      <c r="U384" s="312"/>
      <c r="V384" s="312"/>
      <c r="W384" s="312"/>
      <c r="X384" s="312"/>
      <c r="Y384" s="168"/>
    </row>
    <row r="385" spans="5:25" s="114" customFormat="1">
      <c r="E385" s="167"/>
      <c r="F385" s="115"/>
      <c r="J385" s="311"/>
      <c r="K385" s="311"/>
      <c r="P385" s="167"/>
      <c r="Q385" s="115"/>
      <c r="R385" s="312"/>
      <c r="S385" s="312"/>
      <c r="T385" s="312"/>
      <c r="U385" s="312"/>
      <c r="V385" s="312"/>
      <c r="W385" s="312"/>
      <c r="X385" s="312"/>
      <c r="Y385" s="168"/>
    </row>
    <row r="386" spans="5:25" s="114" customFormat="1">
      <c r="E386" s="167"/>
      <c r="F386" s="115"/>
      <c r="J386" s="311"/>
      <c r="K386" s="311"/>
      <c r="P386" s="167"/>
      <c r="Q386" s="115"/>
      <c r="R386" s="312"/>
      <c r="S386" s="312"/>
      <c r="T386" s="312"/>
      <c r="U386" s="312"/>
      <c r="V386" s="312"/>
      <c r="W386" s="312"/>
      <c r="X386" s="312"/>
      <c r="Y386" s="168"/>
    </row>
    <row r="387" spans="5:25" s="114" customFormat="1">
      <c r="E387" s="167"/>
      <c r="F387" s="115"/>
      <c r="J387" s="311"/>
      <c r="K387" s="311"/>
      <c r="P387" s="167"/>
      <c r="Q387" s="115"/>
      <c r="R387" s="312"/>
      <c r="S387" s="312"/>
      <c r="T387" s="312"/>
      <c r="U387" s="312"/>
      <c r="V387" s="312"/>
      <c r="W387" s="312"/>
      <c r="X387" s="312"/>
      <c r="Y387" s="168"/>
    </row>
    <row r="388" spans="5:25" s="114" customFormat="1">
      <c r="E388" s="167"/>
      <c r="F388" s="115"/>
      <c r="J388" s="311"/>
      <c r="K388" s="311"/>
      <c r="P388" s="167"/>
      <c r="Q388" s="115"/>
      <c r="R388" s="312"/>
      <c r="S388" s="312"/>
      <c r="T388" s="312"/>
      <c r="U388" s="312"/>
      <c r="V388" s="312"/>
      <c r="W388" s="312"/>
      <c r="X388" s="312"/>
      <c r="Y388" s="168"/>
    </row>
    <row r="389" spans="5:25" s="114" customFormat="1">
      <c r="E389" s="167"/>
      <c r="F389" s="115"/>
      <c r="J389" s="311"/>
      <c r="K389" s="311"/>
      <c r="P389" s="167"/>
      <c r="Q389" s="115"/>
      <c r="R389" s="312"/>
      <c r="S389" s="312"/>
      <c r="T389" s="312"/>
      <c r="U389" s="312"/>
      <c r="V389" s="312"/>
      <c r="W389" s="312"/>
      <c r="X389" s="312"/>
      <c r="Y389" s="168"/>
    </row>
    <row r="390" spans="5:25" s="114" customFormat="1">
      <c r="E390" s="167"/>
      <c r="F390" s="115"/>
      <c r="J390" s="311"/>
      <c r="K390" s="311"/>
      <c r="P390" s="167"/>
      <c r="Q390" s="115"/>
      <c r="R390" s="312"/>
      <c r="S390" s="312"/>
      <c r="T390" s="312"/>
      <c r="U390" s="312"/>
      <c r="V390" s="312"/>
      <c r="W390" s="312"/>
      <c r="X390" s="312"/>
      <c r="Y390" s="168"/>
    </row>
    <row r="391" spans="5:25" s="114" customFormat="1">
      <c r="E391" s="167"/>
      <c r="F391" s="115"/>
      <c r="J391" s="311"/>
      <c r="K391" s="311"/>
      <c r="P391" s="167"/>
      <c r="Q391" s="115"/>
      <c r="R391" s="312"/>
      <c r="S391" s="312"/>
      <c r="T391" s="312"/>
      <c r="U391" s="312"/>
      <c r="V391" s="312"/>
      <c r="W391" s="312"/>
      <c r="X391" s="312"/>
      <c r="Y391" s="168"/>
    </row>
    <row r="392" spans="5:25" s="114" customFormat="1">
      <c r="E392" s="167"/>
      <c r="F392" s="115"/>
      <c r="J392" s="311"/>
      <c r="K392" s="311"/>
      <c r="P392" s="167"/>
      <c r="Q392" s="115"/>
      <c r="R392" s="312"/>
      <c r="S392" s="312"/>
      <c r="T392" s="312"/>
      <c r="U392" s="312"/>
      <c r="V392" s="312"/>
      <c r="W392" s="312"/>
      <c r="X392" s="312"/>
      <c r="Y392" s="168"/>
    </row>
    <row r="393" spans="5:25" s="114" customFormat="1">
      <c r="E393" s="167"/>
      <c r="F393" s="115"/>
      <c r="J393" s="311"/>
      <c r="K393" s="311"/>
      <c r="P393" s="167"/>
      <c r="Q393" s="115"/>
      <c r="R393" s="312"/>
      <c r="S393" s="312"/>
      <c r="T393" s="312"/>
      <c r="U393" s="312"/>
      <c r="V393" s="312"/>
      <c r="W393" s="312"/>
      <c r="X393" s="312"/>
      <c r="Y393" s="168"/>
    </row>
    <row r="394" spans="5:25" s="114" customFormat="1">
      <c r="E394" s="167"/>
      <c r="F394" s="115"/>
      <c r="J394" s="311"/>
      <c r="K394" s="311"/>
      <c r="P394" s="167"/>
      <c r="Q394" s="115"/>
      <c r="R394" s="312"/>
      <c r="S394" s="312"/>
      <c r="T394" s="312"/>
      <c r="U394" s="312"/>
      <c r="V394" s="312"/>
      <c r="W394" s="312"/>
      <c r="X394" s="312"/>
      <c r="Y394" s="168"/>
    </row>
    <row r="395" spans="5:25" s="114" customFormat="1">
      <c r="E395" s="167"/>
      <c r="F395" s="115"/>
      <c r="J395" s="311"/>
      <c r="K395" s="311"/>
      <c r="P395" s="167"/>
      <c r="Q395" s="115"/>
      <c r="R395" s="312"/>
      <c r="S395" s="312"/>
      <c r="T395" s="312"/>
      <c r="U395" s="312"/>
      <c r="V395" s="312"/>
      <c r="W395" s="312"/>
      <c r="X395" s="312"/>
      <c r="Y395" s="168"/>
    </row>
    <row r="396" spans="5:25" s="114" customFormat="1">
      <c r="E396" s="167"/>
      <c r="F396" s="115"/>
      <c r="J396" s="311"/>
      <c r="K396" s="311"/>
      <c r="P396" s="167"/>
      <c r="Q396" s="115"/>
      <c r="R396" s="312"/>
      <c r="S396" s="312"/>
      <c r="T396" s="312"/>
      <c r="U396" s="312"/>
      <c r="V396" s="312"/>
      <c r="W396" s="312"/>
      <c r="X396" s="312"/>
      <c r="Y396" s="168"/>
    </row>
    <row r="397" spans="5:25" s="114" customFormat="1">
      <c r="E397" s="167"/>
      <c r="F397" s="115"/>
      <c r="J397" s="311"/>
      <c r="K397" s="311"/>
      <c r="P397" s="167"/>
      <c r="Q397" s="115"/>
      <c r="R397" s="312"/>
      <c r="S397" s="312"/>
      <c r="T397" s="312"/>
      <c r="U397" s="312"/>
      <c r="V397" s="312"/>
      <c r="W397" s="312"/>
      <c r="X397" s="312"/>
      <c r="Y397" s="168"/>
    </row>
    <row r="398" spans="5:25" s="114" customFormat="1">
      <c r="E398" s="167"/>
      <c r="F398" s="115"/>
      <c r="J398" s="311"/>
      <c r="K398" s="311"/>
      <c r="P398" s="167"/>
      <c r="Q398" s="115"/>
      <c r="R398" s="312"/>
      <c r="S398" s="312"/>
      <c r="T398" s="312"/>
      <c r="U398" s="312"/>
      <c r="V398" s="312"/>
      <c r="W398" s="312"/>
      <c r="X398" s="312"/>
      <c r="Y398" s="168"/>
    </row>
    <row r="399" spans="5:25" s="114" customFormat="1">
      <c r="E399" s="167"/>
      <c r="F399" s="115"/>
      <c r="J399" s="311"/>
      <c r="K399" s="311"/>
      <c r="P399" s="167"/>
      <c r="Q399" s="115"/>
      <c r="R399" s="312"/>
      <c r="S399" s="312"/>
      <c r="T399" s="312"/>
      <c r="U399" s="312"/>
      <c r="V399" s="312"/>
      <c r="W399" s="312"/>
      <c r="X399" s="312"/>
      <c r="Y399" s="168"/>
    </row>
    <row r="400" spans="5:25" s="114" customFormat="1">
      <c r="E400" s="167"/>
      <c r="F400" s="115"/>
      <c r="J400" s="311"/>
      <c r="K400" s="311"/>
      <c r="P400" s="167"/>
      <c r="Q400" s="115"/>
      <c r="R400" s="312"/>
      <c r="S400" s="312"/>
      <c r="T400" s="312"/>
      <c r="U400" s="312"/>
      <c r="V400" s="312"/>
      <c r="W400" s="312"/>
      <c r="X400" s="312"/>
      <c r="Y400" s="168"/>
    </row>
    <row r="401" spans="5:25" s="114" customFormat="1">
      <c r="E401" s="167"/>
      <c r="F401" s="115"/>
      <c r="J401" s="311"/>
      <c r="K401" s="311"/>
      <c r="P401" s="167"/>
      <c r="Q401" s="115"/>
      <c r="R401" s="312"/>
      <c r="S401" s="312"/>
      <c r="T401" s="312"/>
      <c r="U401" s="312"/>
      <c r="V401" s="312"/>
      <c r="W401" s="312"/>
      <c r="X401" s="312"/>
      <c r="Y401" s="168"/>
    </row>
    <row r="402" spans="5:25" s="114" customFormat="1">
      <c r="E402" s="167"/>
      <c r="F402" s="115"/>
      <c r="J402" s="311"/>
      <c r="K402" s="311"/>
      <c r="P402" s="167"/>
      <c r="Q402" s="115"/>
      <c r="R402" s="312"/>
      <c r="S402" s="312"/>
      <c r="T402" s="312"/>
      <c r="U402" s="312"/>
      <c r="V402" s="312"/>
      <c r="W402" s="312"/>
      <c r="X402" s="312"/>
      <c r="Y402" s="168"/>
    </row>
    <row r="403" spans="5:25" s="114" customFormat="1">
      <c r="E403" s="167"/>
      <c r="F403" s="115"/>
      <c r="J403" s="311"/>
      <c r="K403" s="311"/>
      <c r="P403" s="167"/>
      <c r="Q403" s="115"/>
      <c r="R403" s="312"/>
      <c r="S403" s="312"/>
      <c r="T403" s="312"/>
      <c r="U403" s="312"/>
      <c r="V403" s="312"/>
      <c r="W403" s="312"/>
      <c r="X403" s="312"/>
      <c r="Y403" s="168"/>
    </row>
    <row r="404" spans="5:25" s="114" customFormat="1">
      <c r="E404" s="167"/>
      <c r="F404" s="115"/>
      <c r="J404" s="311"/>
      <c r="K404" s="311"/>
      <c r="P404" s="167"/>
      <c r="Q404" s="115"/>
      <c r="R404" s="312"/>
      <c r="S404" s="312"/>
      <c r="T404" s="312"/>
      <c r="U404" s="312"/>
      <c r="V404" s="312"/>
      <c r="W404" s="312"/>
      <c r="X404" s="312"/>
      <c r="Y404" s="168"/>
    </row>
    <row r="405" spans="5:25" s="114" customFormat="1">
      <c r="E405" s="167"/>
      <c r="F405" s="115"/>
      <c r="J405" s="311"/>
      <c r="K405" s="311"/>
      <c r="P405" s="167"/>
      <c r="Q405" s="115"/>
      <c r="R405" s="312"/>
      <c r="S405" s="312"/>
      <c r="T405" s="312"/>
      <c r="U405" s="312"/>
      <c r="V405" s="312"/>
      <c r="W405" s="312"/>
      <c r="X405" s="312"/>
      <c r="Y405" s="168"/>
    </row>
    <row r="406" spans="5:25" s="114" customFormat="1">
      <c r="E406" s="167"/>
      <c r="F406" s="115"/>
      <c r="J406" s="311"/>
      <c r="K406" s="311"/>
      <c r="P406" s="167"/>
      <c r="Q406" s="115"/>
      <c r="R406" s="312"/>
      <c r="S406" s="312"/>
      <c r="T406" s="312"/>
      <c r="U406" s="312"/>
      <c r="V406" s="312"/>
      <c r="W406" s="312"/>
      <c r="X406" s="312"/>
      <c r="Y406" s="168"/>
    </row>
    <row r="407" spans="5:25" s="114" customFormat="1">
      <c r="E407" s="167"/>
      <c r="F407" s="115"/>
      <c r="J407" s="311"/>
      <c r="K407" s="311"/>
      <c r="P407" s="167"/>
      <c r="Q407" s="115"/>
      <c r="R407" s="312"/>
      <c r="S407" s="312"/>
      <c r="T407" s="312"/>
      <c r="U407" s="312"/>
      <c r="V407" s="312"/>
      <c r="W407" s="312"/>
      <c r="X407" s="312"/>
      <c r="Y407" s="168"/>
    </row>
    <row r="408" spans="5:25" s="114" customFormat="1">
      <c r="E408" s="167"/>
      <c r="F408" s="115"/>
      <c r="J408" s="311"/>
      <c r="K408" s="311"/>
      <c r="P408" s="167"/>
      <c r="Q408" s="115"/>
      <c r="R408" s="312"/>
      <c r="S408" s="312"/>
      <c r="T408" s="312"/>
      <c r="U408" s="312"/>
      <c r="V408" s="312"/>
      <c r="W408" s="312"/>
      <c r="X408" s="312"/>
      <c r="Y408" s="168"/>
    </row>
    <row r="409" spans="5:25" s="114" customFormat="1">
      <c r="E409" s="167"/>
      <c r="F409" s="115"/>
      <c r="J409" s="311"/>
      <c r="K409" s="311"/>
      <c r="P409" s="167"/>
      <c r="Q409" s="115"/>
      <c r="R409" s="312"/>
      <c r="S409" s="312"/>
      <c r="T409" s="312"/>
      <c r="U409" s="312"/>
      <c r="V409" s="312"/>
      <c r="W409" s="312"/>
      <c r="X409" s="312"/>
      <c r="Y409" s="168"/>
    </row>
    <row r="410" spans="5:25" s="114" customFormat="1">
      <c r="E410" s="167"/>
      <c r="F410" s="115"/>
      <c r="J410" s="311"/>
      <c r="K410" s="311"/>
      <c r="P410" s="167"/>
      <c r="Q410" s="115"/>
      <c r="R410" s="312"/>
      <c r="S410" s="312"/>
      <c r="T410" s="312"/>
      <c r="U410" s="312"/>
      <c r="V410" s="312"/>
      <c r="W410" s="312"/>
      <c r="X410" s="312"/>
      <c r="Y410" s="168"/>
    </row>
    <row r="411" spans="5:25" s="114" customFormat="1">
      <c r="E411" s="167"/>
      <c r="F411" s="115"/>
      <c r="J411" s="311"/>
      <c r="K411" s="311"/>
      <c r="P411" s="167"/>
      <c r="Q411" s="115"/>
      <c r="R411" s="312"/>
      <c r="S411" s="312"/>
      <c r="T411" s="312"/>
      <c r="U411" s="312"/>
      <c r="V411" s="312"/>
      <c r="W411" s="312"/>
      <c r="X411" s="312"/>
      <c r="Y411" s="168"/>
    </row>
    <row r="412" spans="5:25" s="114" customFormat="1">
      <c r="E412" s="167"/>
      <c r="F412" s="115"/>
      <c r="J412" s="311"/>
      <c r="K412" s="311"/>
      <c r="P412" s="167"/>
      <c r="Q412" s="115"/>
      <c r="R412" s="312"/>
      <c r="S412" s="312"/>
      <c r="T412" s="312"/>
      <c r="U412" s="312"/>
      <c r="V412" s="312"/>
      <c r="W412" s="312"/>
      <c r="X412" s="312"/>
      <c r="Y412" s="168"/>
    </row>
    <row r="413" spans="5:25" s="114" customFormat="1">
      <c r="E413" s="167"/>
      <c r="F413" s="115"/>
      <c r="J413" s="311"/>
      <c r="K413" s="311"/>
      <c r="P413" s="167"/>
      <c r="Q413" s="115"/>
      <c r="R413" s="312"/>
      <c r="S413" s="312"/>
      <c r="T413" s="312"/>
      <c r="U413" s="312"/>
      <c r="V413" s="312"/>
      <c r="W413" s="312"/>
      <c r="X413" s="312"/>
      <c r="Y413" s="168"/>
    </row>
    <row r="414" spans="5:25" s="114" customFormat="1">
      <c r="E414" s="167"/>
      <c r="F414" s="115"/>
      <c r="J414" s="311"/>
      <c r="K414" s="311"/>
      <c r="P414" s="167"/>
      <c r="Q414" s="115"/>
      <c r="R414" s="312"/>
      <c r="S414" s="312"/>
      <c r="T414" s="312"/>
      <c r="U414" s="312"/>
      <c r="V414" s="312"/>
      <c r="W414" s="312"/>
      <c r="X414" s="312"/>
      <c r="Y414" s="168"/>
    </row>
    <row r="415" spans="5:25" s="114" customFormat="1">
      <c r="E415" s="167"/>
      <c r="F415" s="115"/>
      <c r="J415" s="311"/>
      <c r="K415" s="311"/>
      <c r="P415" s="167"/>
      <c r="Q415" s="115"/>
      <c r="R415" s="312"/>
      <c r="S415" s="312"/>
      <c r="T415" s="312"/>
      <c r="U415" s="312"/>
      <c r="V415" s="312"/>
      <c r="W415" s="312"/>
      <c r="X415" s="312"/>
      <c r="Y415" s="168"/>
    </row>
    <row r="416" spans="5:25" s="114" customFormat="1">
      <c r="E416" s="167"/>
      <c r="F416" s="115"/>
      <c r="J416" s="311"/>
      <c r="K416" s="311"/>
      <c r="P416" s="167"/>
      <c r="Q416" s="115"/>
      <c r="R416" s="312"/>
      <c r="S416" s="312"/>
      <c r="T416" s="312"/>
      <c r="U416" s="312"/>
      <c r="V416" s="312"/>
      <c r="W416" s="312"/>
      <c r="X416" s="312"/>
      <c r="Y416" s="168"/>
    </row>
    <row r="417" spans="5:25" s="114" customFormat="1">
      <c r="E417" s="167"/>
      <c r="F417" s="115"/>
      <c r="J417" s="311"/>
      <c r="K417" s="311"/>
      <c r="P417" s="167"/>
      <c r="Q417" s="115"/>
      <c r="R417" s="312"/>
      <c r="S417" s="312"/>
      <c r="T417" s="312"/>
      <c r="U417" s="312"/>
      <c r="V417" s="312"/>
      <c r="W417" s="312"/>
      <c r="X417" s="312"/>
      <c r="Y417" s="168"/>
    </row>
    <row r="418" spans="5:25" s="114" customFormat="1">
      <c r="E418" s="167"/>
      <c r="F418" s="115"/>
      <c r="J418" s="311"/>
      <c r="K418" s="311"/>
      <c r="P418" s="167"/>
      <c r="Q418" s="115"/>
      <c r="R418" s="312"/>
      <c r="S418" s="312"/>
      <c r="T418" s="312"/>
      <c r="U418" s="312"/>
      <c r="V418" s="312"/>
      <c r="W418" s="312"/>
      <c r="X418" s="312"/>
      <c r="Y418" s="168"/>
    </row>
    <row r="419" spans="5:25" s="114" customFormat="1">
      <c r="E419" s="167"/>
      <c r="F419" s="115"/>
      <c r="J419" s="311"/>
      <c r="K419" s="311"/>
      <c r="P419" s="167"/>
      <c r="Q419" s="115"/>
      <c r="R419" s="312"/>
      <c r="S419" s="312"/>
      <c r="T419" s="312"/>
      <c r="U419" s="312"/>
      <c r="V419" s="312"/>
      <c r="W419" s="312"/>
      <c r="X419" s="312"/>
      <c r="Y419" s="168"/>
    </row>
    <row r="420" spans="5:25" s="114" customFormat="1">
      <c r="E420" s="167"/>
      <c r="F420" s="115"/>
      <c r="J420" s="311"/>
      <c r="K420" s="311"/>
      <c r="P420" s="167"/>
      <c r="Q420" s="115"/>
      <c r="R420" s="312"/>
      <c r="S420" s="312"/>
      <c r="T420" s="312"/>
      <c r="U420" s="312"/>
      <c r="V420" s="312"/>
      <c r="W420" s="312"/>
      <c r="X420" s="312"/>
      <c r="Y420" s="168"/>
    </row>
    <row r="421" spans="5:25" s="114" customFormat="1">
      <c r="E421" s="167"/>
      <c r="F421" s="115"/>
      <c r="J421" s="311"/>
      <c r="K421" s="311"/>
      <c r="P421" s="167"/>
      <c r="Q421" s="115"/>
      <c r="R421" s="312"/>
      <c r="S421" s="312"/>
      <c r="T421" s="312"/>
      <c r="U421" s="312"/>
      <c r="V421" s="312"/>
      <c r="W421" s="312"/>
      <c r="X421" s="312"/>
      <c r="Y421" s="168"/>
    </row>
    <row r="422" spans="5:25" s="114" customFormat="1">
      <c r="E422" s="167"/>
      <c r="F422" s="115"/>
      <c r="J422" s="311"/>
      <c r="K422" s="311"/>
      <c r="P422" s="167"/>
      <c r="Q422" s="115"/>
      <c r="R422" s="312"/>
      <c r="S422" s="312"/>
      <c r="T422" s="312"/>
      <c r="U422" s="312"/>
      <c r="V422" s="312"/>
      <c r="W422" s="312"/>
      <c r="X422" s="312"/>
      <c r="Y422" s="168"/>
    </row>
    <row r="423" spans="5:25" s="114" customFormat="1">
      <c r="E423" s="167"/>
      <c r="F423" s="115"/>
      <c r="J423" s="311"/>
      <c r="K423" s="311"/>
      <c r="P423" s="167"/>
      <c r="Q423" s="115"/>
      <c r="R423" s="312"/>
      <c r="S423" s="312"/>
      <c r="T423" s="312"/>
      <c r="U423" s="312"/>
      <c r="V423" s="312"/>
      <c r="W423" s="312"/>
      <c r="X423" s="312"/>
      <c r="Y423" s="168"/>
    </row>
    <row r="424" spans="5:25" s="114" customFormat="1">
      <c r="E424" s="167"/>
      <c r="F424" s="115"/>
      <c r="J424" s="311"/>
      <c r="K424" s="311"/>
      <c r="P424" s="167"/>
      <c r="Q424" s="115"/>
      <c r="R424" s="312"/>
      <c r="S424" s="312"/>
      <c r="T424" s="312"/>
      <c r="U424" s="312"/>
      <c r="V424" s="312"/>
      <c r="W424" s="312"/>
      <c r="X424" s="312"/>
      <c r="Y424" s="168"/>
    </row>
    <row r="425" spans="5:25" s="114" customFormat="1">
      <c r="E425" s="167"/>
      <c r="F425" s="115"/>
      <c r="J425" s="311"/>
      <c r="K425" s="311"/>
      <c r="P425" s="167"/>
      <c r="Q425" s="115"/>
      <c r="R425" s="312"/>
      <c r="S425" s="312"/>
      <c r="T425" s="312"/>
      <c r="U425" s="312"/>
      <c r="V425" s="312"/>
      <c r="W425" s="312"/>
      <c r="X425" s="312"/>
      <c r="Y425" s="168"/>
    </row>
    <row r="426" spans="5:25" s="114" customFormat="1">
      <c r="E426" s="167"/>
      <c r="F426" s="115"/>
      <c r="J426" s="311"/>
      <c r="K426" s="311"/>
      <c r="P426" s="167"/>
      <c r="Q426" s="115"/>
      <c r="R426" s="312"/>
      <c r="S426" s="312"/>
      <c r="T426" s="312"/>
      <c r="U426" s="312"/>
      <c r="V426" s="312"/>
      <c r="W426" s="312"/>
      <c r="X426" s="312"/>
      <c r="Y426" s="168"/>
    </row>
    <row r="427" spans="5:25" s="114" customFormat="1">
      <c r="E427" s="167"/>
      <c r="F427" s="115"/>
      <c r="J427" s="311"/>
      <c r="K427" s="311"/>
      <c r="P427" s="167"/>
      <c r="Q427" s="115"/>
      <c r="R427" s="312"/>
      <c r="S427" s="312"/>
      <c r="T427" s="312"/>
      <c r="U427" s="312"/>
      <c r="V427" s="312"/>
      <c r="W427" s="312"/>
      <c r="X427" s="312"/>
      <c r="Y427" s="168"/>
    </row>
    <row r="428" spans="5:25" s="114" customFormat="1">
      <c r="E428" s="167"/>
      <c r="F428" s="115"/>
      <c r="J428" s="311"/>
      <c r="K428" s="311"/>
      <c r="P428" s="167"/>
      <c r="Q428" s="115"/>
      <c r="R428" s="312"/>
      <c r="S428" s="312"/>
      <c r="T428" s="312"/>
      <c r="U428" s="312"/>
      <c r="V428" s="312"/>
      <c r="W428" s="312"/>
      <c r="X428" s="312"/>
      <c r="Y428" s="168"/>
    </row>
    <row r="429" spans="5:25" s="114" customFormat="1">
      <c r="E429" s="167"/>
      <c r="F429" s="115"/>
      <c r="J429" s="311"/>
      <c r="K429" s="311"/>
      <c r="P429" s="167"/>
      <c r="Q429" s="115"/>
      <c r="R429" s="312"/>
      <c r="S429" s="312"/>
      <c r="T429" s="312"/>
      <c r="U429" s="312"/>
      <c r="V429" s="312"/>
      <c r="W429" s="312"/>
      <c r="X429" s="312"/>
      <c r="Y429" s="168"/>
    </row>
    <row r="430" spans="5:25" s="114" customFormat="1">
      <c r="E430" s="167"/>
      <c r="F430" s="115"/>
      <c r="J430" s="311"/>
      <c r="K430" s="311"/>
      <c r="P430" s="167"/>
      <c r="Q430" s="115"/>
      <c r="R430" s="312"/>
      <c r="S430" s="312"/>
      <c r="T430" s="312"/>
      <c r="U430" s="312"/>
      <c r="V430" s="312"/>
      <c r="W430" s="312"/>
      <c r="X430" s="312"/>
      <c r="Y430" s="168"/>
    </row>
    <row r="431" spans="5:25" s="114" customFormat="1">
      <c r="E431" s="167"/>
      <c r="F431" s="115"/>
      <c r="J431" s="311"/>
      <c r="K431" s="311"/>
      <c r="P431" s="167"/>
      <c r="Q431" s="115"/>
      <c r="R431" s="312"/>
      <c r="S431" s="312"/>
      <c r="T431" s="312"/>
      <c r="U431" s="312"/>
      <c r="V431" s="312"/>
      <c r="W431" s="312"/>
      <c r="X431" s="312"/>
      <c r="Y431" s="168"/>
    </row>
    <row r="432" spans="5:25" s="114" customFormat="1">
      <c r="E432" s="167"/>
      <c r="F432" s="115"/>
      <c r="J432" s="311"/>
      <c r="K432" s="311"/>
      <c r="P432" s="167"/>
      <c r="Q432" s="115"/>
      <c r="R432" s="312"/>
      <c r="S432" s="312"/>
      <c r="T432" s="312"/>
      <c r="U432" s="312"/>
      <c r="V432" s="312"/>
      <c r="W432" s="312"/>
      <c r="X432" s="312"/>
      <c r="Y432" s="168"/>
    </row>
    <row r="433" spans="5:25" s="114" customFormat="1">
      <c r="E433" s="167"/>
      <c r="F433" s="115"/>
      <c r="J433" s="311"/>
      <c r="K433" s="311"/>
      <c r="P433" s="167"/>
      <c r="Q433" s="115"/>
      <c r="R433" s="312"/>
      <c r="S433" s="312"/>
      <c r="T433" s="312"/>
      <c r="U433" s="312"/>
      <c r="V433" s="312"/>
      <c r="W433" s="312"/>
      <c r="X433" s="312"/>
      <c r="Y433" s="168"/>
    </row>
    <row r="434" spans="5:25" s="114" customFormat="1">
      <c r="E434" s="167"/>
      <c r="F434" s="115"/>
      <c r="J434" s="311"/>
      <c r="K434" s="311"/>
      <c r="P434" s="167"/>
      <c r="Q434" s="115"/>
      <c r="R434" s="312"/>
      <c r="S434" s="312"/>
      <c r="T434" s="312"/>
      <c r="U434" s="312"/>
      <c r="V434" s="312"/>
      <c r="W434" s="312"/>
      <c r="X434" s="312"/>
      <c r="Y434" s="168"/>
    </row>
    <row r="435" spans="5:25" s="114" customFormat="1">
      <c r="E435" s="167"/>
      <c r="F435" s="115"/>
      <c r="J435" s="311"/>
      <c r="K435" s="311"/>
      <c r="P435" s="167"/>
      <c r="Q435" s="115"/>
      <c r="R435" s="312"/>
      <c r="S435" s="312"/>
      <c r="T435" s="312"/>
      <c r="U435" s="312"/>
      <c r="V435" s="312"/>
      <c r="W435" s="312"/>
      <c r="X435" s="312"/>
      <c r="Y435" s="168"/>
    </row>
    <row r="436" spans="5:25" s="114" customFormat="1">
      <c r="E436" s="167"/>
      <c r="F436" s="115"/>
      <c r="J436" s="311"/>
      <c r="K436" s="311"/>
      <c r="P436" s="167"/>
      <c r="Q436" s="115"/>
      <c r="R436" s="312"/>
      <c r="S436" s="312"/>
      <c r="T436" s="312"/>
      <c r="U436" s="312"/>
      <c r="V436" s="312"/>
      <c r="W436" s="312"/>
      <c r="X436" s="312"/>
      <c r="Y436" s="168"/>
    </row>
    <row r="437" spans="5:25" s="114" customFormat="1">
      <c r="E437" s="167"/>
      <c r="F437" s="115"/>
      <c r="J437" s="311"/>
      <c r="K437" s="311"/>
      <c r="P437" s="167"/>
      <c r="Q437" s="115"/>
      <c r="R437" s="312"/>
      <c r="S437" s="312"/>
      <c r="T437" s="312"/>
      <c r="U437" s="312"/>
      <c r="V437" s="312"/>
      <c r="W437" s="312"/>
      <c r="X437" s="312"/>
      <c r="Y437" s="168"/>
    </row>
    <row r="438" spans="5:25" s="114" customFormat="1">
      <c r="E438" s="167"/>
      <c r="F438" s="115"/>
      <c r="J438" s="311"/>
      <c r="K438" s="311"/>
      <c r="P438" s="167"/>
      <c r="Q438" s="115"/>
      <c r="R438" s="312"/>
      <c r="S438" s="312"/>
      <c r="T438" s="312"/>
      <c r="U438" s="312"/>
      <c r="V438" s="312"/>
      <c r="W438" s="312"/>
      <c r="X438" s="312"/>
      <c r="Y438" s="168"/>
    </row>
    <row r="439" spans="5:25" s="114" customFormat="1">
      <c r="E439" s="167"/>
      <c r="F439" s="115"/>
      <c r="J439" s="311"/>
      <c r="K439" s="311"/>
      <c r="P439" s="167"/>
      <c r="Q439" s="115"/>
      <c r="R439" s="312"/>
      <c r="S439" s="312"/>
      <c r="T439" s="312"/>
      <c r="U439" s="312"/>
      <c r="V439" s="312"/>
      <c r="W439" s="312"/>
      <c r="X439" s="312"/>
      <c r="Y439" s="168"/>
    </row>
    <row r="440" spans="5:25" s="114" customFormat="1">
      <c r="E440" s="167"/>
      <c r="F440" s="115"/>
      <c r="J440" s="311"/>
      <c r="K440" s="311"/>
      <c r="P440" s="167"/>
      <c r="Q440" s="115"/>
      <c r="R440" s="312"/>
      <c r="S440" s="312"/>
      <c r="T440" s="312"/>
      <c r="U440" s="312"/>
      <c r="V440" s="312"/>
      <c r="W440" s="312"/>
      <c r="X440" s="312"/>
      <c r="Y440" s="168"/>
    </row>
    <row r="441" spans="5:25" s="114" customFormat="1">
      <c r="E441" s="167"/>
      <c r="F441" s="115"/>
      <c r="J441" s="311"/>
      <c r="K441" s="311"/>
      <c r="P441" s="167"/>
      <c r="Q441" s="115"/>
      <c r="R441" s="312"/>
      <c r="S441" s="312"/>
      <c r="T441" s="312"/>
      <c r="U441" s="312"/>
      <c r="V441" s="312"/>
      <c r="W441" s="312"/>
      <c r="X441" s="312"/>
      <c r="Y441" s="168"/>
    </row>
    <row r="442" spans="5:25" s="114" customFormat="1">
      <c r="E442" s="167"/>
      <c r="F442" s="115"/>
      <c r="J442" s="311"/>
      <c r="K442" s="311"/>
      <c r="P442" s="167"/>
      <c r="Q442" s="115"/>
      <c r="R442" s="312"/>
      <c r="S442" s="312"/>
      <c r="T442" s="312"/>
      <c r="U442" s="312"/>
      <c r="V442" s="312"/>
      <c r="W442" s="312"/>
      <c r="X442" s="312"/>
      <c r="Y442" s="168"/>
    </row>
    <row r="443" spans="5:25" s="114" customFormat="1">
      <c r="E443" s="167"/>
      <c r="F443" s="115"/>
      <c r="J443" s="311"/>
      <c r="K443" s="311"/>
      <c r="P443" s="167"/>
      <c r="Q443" s="115"/>
      <c r="R443" s="312"/>
      <c r="S443" s="312"/>
      <c r="T443" s="312"/>
      <c r="U443" s="312"/>
      <c r="V443" s="312"/>
      <c r="W443" s="312"/>
      <c r="X443" s="312"/>
      <c r="Y443" s="168"/>
    </row>
    <row r="444" spans="5:25" s="114" customFormat="1">
      <c r="E444" s="167"/>
      <c r="F444" s="115"/>
      <c r="J444" s="311"/>
      <c r="K444" s="311"/>
      <c r="P444" s="167"/>
      <c r="Q444" s="115"/>
      <c r="R444" s="312"/>
      <c r="S444" s="312"/>
      <c r="T444" s="312"/>
      <c r="U444" s="312"/>
      <c r="V444" s="312"/>
      <c r="W444" s="312"/>
      <c r="X444" s="312"/>
      <c r="Y444" s="168"/>
    </row>
    <row r="445" spans="5:25" s="114" customFormat="1">
      <c r="E445" s="167"/>
      <c r="F445" s="115"/>
      <c r="J445" s="311"/>
      <c r="K445" s="311"/>
      <c r="P445" s="167"/>
      <c r="Q445" s="115"/>
      <c r="R445" s="312"/>
      <c r="S445" s="312"/>
      <c r="T445" s="312"/>
      <c r="U445" s="312"/>
      <c r="V445" s="312"/>
      <c r="W445" s="312"/>
      <c r="X445" s="312"/>
      <c r="Y445" s="168"/>
    </row>
    <row r="446" spans="5:25" s="114" customFormat="1">
      <c r="E446" s="167"/>
      <c r="F446" s="115"/>
      <c r="J446" s="311"/>
      <c r="K446" s="311"/>
      <c r="P446" s="167"/>
      <c r="Q446" s="115"/>
      <c r="R446" s="312"/>
      <c r="S446" s="312"/>
      <c r="T446" s="312"/>
      <c r="U446" s="312"/>
      <c r="V446" s="312"/>
      <c r="W446" s="312"/>
      <c r="X446" s="312"/>
      <c r="Y446" s="168"/>
    </row>
    <row r="447" spans="5:25" s="114" customFormat="1">
      <c r="E447" s="167"/>
      <c r="F447" s="115"/>
      <c r="J447" s="311"/>
      <c r="K447" s="311"/>
      <c r="P447" s="167"/>
      <c r="Q447" s="115"/>
      <c r="R447" s="312"/>
      <c r="S447" s="312"/>
      <c r="T447" s="312"/>
      <c r="U447" s="312"/>
      <c r="V447" s="312"/>
      <c r="W447" s="312"/>
      <c r="X447" s="312"/>
      <c r="Y447" s="168"/>
    </row>
    <row r="448" spans="5:25" s="114" customFormat="1">
      <c r="E448" s="167"/>
      <c r="F448" s="115"/>
      <c r="J448" s="311"/>
      <c r="K448" s="311"/>
      <c r="P448" s="167"/>
      <c r="Q448" s="115"/>
      <c r="R448" s="312"/>
      <c r="S448" s="312"/>
      <c r="T448" s="312"/>
      <c r="U448" s="312"/>
      <c r="V448" s="312"/>
      <c r="W448" s="312"/>
      <c r="X448" s="312"/>
      <c r="Y448" s="168"/>
    </row>
    <row r="449" spans="5:25" s="114" customFormat="1">
      <c r="E449" s="167"/>
      <c r="F449" s="115"/>
      <c r="J449" s="311"/>
      <c r="K449" s="311"/>
      <c r="P449" s="167"/>
      <c r="Q449" s="115"/>
      <c r="R449" s="312"/>
      <c r="S449" s="312"/>
      <c r="T449" s="312"/>
      <c r="U449" s="312"/>
      <c r="V449" s="312"/>
      <c r="W449" s="312"/>
      <c r="X449" s="312"/>
      <c r="Y449" s="168"/>
    </row>
    <row r="450" spans="5:25" s="114" customFormat="1">
      <c r="E450" s="167"/>
      <c r="F450" s="115"/>
      <c r="J450" s="311"/>
      <c r="K450" s="311"/>
      <c r="P450" s="167"/>
      <c r="Q450" s="115"/>
      <c r="R450" s="312"/>
      <c r="S450" s="312"/>
      <c r="T450" s="312"/>
      <c r="U450" s="312"/>
      <c r="V450" s="312"/>
      <c r="W450" s="312"/>
      <c r="X450" s="312"/>
      <c r="Y450" s="168"/>
    </row>
    <row r="451" spans="5:25" s="114" customFormat="1">
      <c r="E451" s="167"/>
      <c r="F451" s="115"/>
      <c r="J451" s="311"/>
      <c r="K451" s="311"/>
      <c r="P451" s="167"/>
      <c r="Q451" s="115"/>
      <c r="R451" s="312"/>
      <c r="S451" s="312"/>
      <c r="T451" s="312"/>
      <c r="U451" s="312"/>
      <c r="V451" s="312"/>
      <c r="W451" s="312"/>
      <c r="X451" s="312"/>
      <c r="Y451" s="168"/>
    </row>
    <row r="452" spans="5:25" s="114" customFormat="1">
      <c r="E452" s="167"/>
      <c r="F452" s="115"/>
      <c r="J452" s="311"/>
      <c r="K452" s="311"/>
      <c r="P452" s="167"/>
      <c r="Q452" s="115"/>
      <c r="R452" s="312"/>
      <c r="S452" s="312"/>
      <c r="T452" s="312"/>
      <c r="U452" s="312"/>
      <c r="V452" s="312"/>
      <c r="W452" s="312"/>
      <c r="X452" s="312"/>
      <c r="Y452" s="168"/>
    </row>
    <row r="453" spans="5:25" s="114" customFormat="1">
      <c r="E453" s="167"/>
      <c r="F453" s="115"/>
      <c r="J453" s="311"/>
      <c r="K453" s="311"/>
      <c r="P453" s="167"/>
      <c r="Q453" s="115"/>
      <c r="R453" s="312"/>
      <c r="S453" s="312"/>
      <c r="T453" s="312"/>
      <c r="U453" s="312"/>
      <c r="V453" s="312"/>
      <c r="W453" s="312"/>
      <c r="X453" s="312"/>
      <c r="Y453" s="168"/>
    </row>
    <row r="454" spans="5:25" s="114" customFormat="1">
      <c r="E454" s="167"/>
      <c r="F454" s="115"/>
      <c r="J454" s="311"/>
      <c r="K454" s="311"/>
      <c r="P454" s="167"/>
      <c r="Q454" s="115"/>
      <c r="R454" s="312"/>
      <c r="S454" s="312"/>
      <c r="T454" s="312"/>
      <c r="U454" s="312"/>
      <c r="V454" s="312"/>
      <c r="W454" s="312"/>
      <c r="X454" s="312"/>
      <c r="Y454" s="168"/>
    </row>
    <row r="455" spans="5:25" s="114" customFormat="1">
      <c r="E455" s="167"/>
      <c r="F455" s="115"/>
      <c r="J455" s="311"/>
      <c r="K455" s="311"/>
      <c r="P455" s="167"/>
      <c r="Q455" s="115"/>
      <c r="R455" s="312"/>
      <c r="S455" s="312"/>
      <c r="T455" s="312"/>
      <c r="U455" s="312"/>
      <c r="V455" s="312"/>
      <c r="W455" s="312"/>
      <c r="X455" s="312"/>
      <c r="Y455" s="168"/>
    </row>
    <row r="456" spans="5:25" s="114" customFormat="1">
      <c r="E456" s="167"/>
      <c r="F456" s="115"/>
      <c r="J456" s="311"/>
      <c r="K456" s="311"/>
      <c r="P456" s="167"/>
      <c r="Q456" s="115"/>
      <c r="R456" s="312"/>
      <c r="S456" s="312"/>
      <c r="T456" s="312"/>
      <c r="U456" s="312"/>
      <c r="V456" s="312"/>
      <c r="W456" s="312"/>
      <c r="X456" s="312"/>
      <c r="Y456" s="168"/>
    </row>
    <row r="457" spans="5:25" s="114" customFormat="1">
      <c r="E457" s="167"/>
      <c r="F457" s="115"/>
      <c r="J457" s="311"/>
      <c r="K457" s="311"/>
      <c r="P457" s="167"/>
      <c r="Q457" s="115"/>
      <c r="R457" s="312"/>
      <c r="S457" s="312"/>
      <c r="T457" s="312"/>
      <c r="U457" s="312"/>
      <c r="V457" s="312"/>
      <c r="W457" s="312"/>
      <c r="X457" s="312"/>
      <c r="Y457" s="168"/>
    </row>
    <row r="458" spans="5:25" s="114" customFormat="1">
      <c r="E458" s="167"/>
      <c r="F458" s="115"/>
      <c r="J458" s="311"/>
      <c r="K458" s="311"/>
      <c r="P458" s="167"/>
      <c r="Q458" s="115"/>
      <c r="R458" s="312"/>
      <c r="S458" s="312"/>
      <c r="T458" s="312"/>
      <c r="U458" s="312"/>
      <c r="V458" s="312"/>
      <c r="W458" s="312"/>
      <c r="X458" s="312"/>
      <c r="Y458" s="168"/>
    </row>
    <row r="459" spans="5:25" s="114" customFormat="1">
      <c r="E459" s="167"/>
      <c r="F459" s="115"/>
      <c r="J459" s="311"/>
      <c r="K459" s="311"/>
      <c r="P459" s="167"/>
      <c r="Q459" s="115"/>
      <c r="R459" s="312"/>
      <c r="S459" s="312"/>
      <c r="T459" s="312"/>
      <c r="U459" s="312"/>
      <c r="V459" s="312"/>
      <c r="W459" s="312"/>
      <c r="X459" s="312"/>
      <c r="Y459" s="168"/>
    </row>
    <row r="460" spans="5:25" s="114" customFormat="1">
      <c r="E460" s="167"/>
      <c r="F460" s="115"/>
      <c r="J460" s="311"/>
      <c r="K460" s="311"/>
      <c r="P460" s="167"/>
      <c r="Q460" s="115"/>
      <c r="R460" s="312"/>
      <c r="S460" s="312"/>
      <c r="T460" s="312"/>
      <c r="U460" s="312"/>
      <c r="V460" s="312"/>
      <c r="W460" s="312"/>
      <c r="X460" s="312"/>
      <c r="Y460" s="168"/>
    </row>
    <row r="461" spans="5:25" s="114" customFormat="1">
      <c r="E461" s="167"/>
      <c r="F461" s="115"/>
      <c r="J461" s="311"/>
      <c r="K461" s="311"/>
      <c r="P461" s="167"/>
      <c r="Q461" s="115"/>
      <c r="R461" s="312"/>
      <c r="S461" s="312"/>
      <c r="T461" s="312"/>
      <c r="U461" s="312"/>
      <c r="V461" s="312"/>
      <c r="W461" s="312"/>
      <c r="X461" s="312"/>
      <c r="Y461" s="168"/>
    </row>
    <row r="462" spans="5:25" s="114" customFormat="1">
      <c r="E462" s="167"/>
      <c r="F462" s="115"/>
      <c r="J462" s="311"/>
      <c r="K462" s="311"/>
      <c r="P462" s="167"/>
      <c r="Q462" s="115"/>
      <c r="R462" s="312"/>
      <c r="S462" s="312"/>
      <c r="T462" s="312"/>
      <c r="U462" s="312"/>
      <c r="V462" s="312"/>
      <c r="W462" s="312"/>
      <c r="X462" s="312"/>
      <c r="Y462" s="168"/>
    </row>
    <row r="463" spans="5:25" s="114" customFormat="1">
      <c r="E463" s="167"/>
      <c r="F463" s="115"/>
      <c r="J463" s="311"/>
      <c r="K463" s="311"/>
      <c r="P463" s="167"/>
      <c r="Q463" s="115"/>
      <c r="R463" s="312"/>
      <c r="S463" s="312"/>
      <c r="T463" s="312"/>
      <c r="U463" s="312"/>
      <c r="V463" s="312"/>
      <c r="W463" s="312"/>
      <c r="X463" s="312"/>
      <c r="Y463" s="168"/>
    </row>
    <row r="464" spans="5:25" s="114" customFormat="1">
      <c r="E464" s="167"/>
      <c r="F464" s="115"/>
      <c r="J464" s="311"/>
      <c r="K464" s="311"/>
      <c r="P464" s="167"/>
      <c r="Q464" s="115"/>
      <c r="R464" s="312"/>
      <c r="S464" s="312"/>
      <c r="T464" s="312"/>
      <c r="U464" s="312"/>
      <c r="V464" s="312"/>
      <c r="W464" s="312"/>
      <c r="X464" s="312"/>
      <c r="Y464" s="168"/>
    </row>
    <row r="465" spans="5:25" s="114" customFormat="1">
      <c r="E465" s="167"/>
      <c r="F465" s="115"/>
      <c r="J465" s="311"/>
      <c r="K465" s="311"/>
      <c r="P465" s="167"/>
      <c r="Q465" s="115"/>
      <c r="R465" s="312"/>
      <c r="S465" s="312"/>
      <c r="T465" s="312"/>
      <c r="U465" s="312"/>
      <c r="V465" s="312"/>
      <c r="W465" s="312"/>
      <c r="X465" s="312"/>
      <c r="Y465" s="168"/>
    </row>
    <row r="466" spans="5:25" s="114" customFormat="1">
      <c r="E466" s="167"/>
      <c r="F466" s="115"/>
      <c r="J466" s="311"/>
      <c r="K466" s="311"/>
      <c r="P466" s="167"/>
      <c r="Q466" s="115"/>
      <c r="R466" s="312"/>
      <c r="S466" s="312"/>
      <c r="T466" s="312"/>
      <c r="U466" s="312"/>
      <c r="V466" s="312"/>
      <c r="W466" s="312"/>
      <c r="X466" s="312"/>
      <c r="Y466" s="168"/>
    </row>
    <row r="467" spans="5:25" s="114" customFormat="1">
      <c r="E467" s="167"/>
      <c r="F467" s="115"/>
      <c r="J467" s="311"/>
      <c r="K467" s="311"/>
      <c r="P467" s="167"/>
      <c r="Q467" s="115"/>
      <c r="R467" s="312"/>
      <c r="S467" s="312"/>
      <c r="T467" s="312"/>
      <c r="U467" s="312"/>
      <c r="V467" s="312"/>
      <c r="W467" s="312"/>
      <c r="X467" s="312"/>
      <c r="Y467" s="168"/>
    </row>
    <row r="468" spans="5:25" s="114" customFormat="1">
      <c r="E468" s="167"/>
      <c r="F468" s="115"/>
      <c r="J468" s="311"/>
      <c r="K468" s="311"/>
      <c r="P468" s="167"/>
      <c r="Q468" s="115"/>
      <c r="R468" s="312"/>
      <c r="S468" s="312"/>
      <c r="T468" s="312"/>
      <c r="U468" s="312"/>
      <c r="V468" s="312"/>
      <c r="W468" s="312"/>
      <c r="X468" s="312"/>
      <c r="Y468" s="168"/>
    </row>
    <row r="469" spans="5:25" s="114" customFormat="1">
      <c r="E469" s="167"/>
      <c r="F469" s="115"/>
      <c r="J469" s="311"/>
      <c r="K469" s="311"/>
      <c r="P469" s="167"/>
      <c r="Q469" s="115"/>
      <c r="R469" s="312"/>
      <c r="S469" s="312"/>
      <c r="T469" s="312"/>
      <c r="U469" s="312"/>
      <c r="V469" s="312"/>
      <c r="W469" s="312"/>
      <c r="X469" s="312"/>
      <c r="Y469" s="168"/>
    </row>
    <row r="470" spans="5:25" s="114" customFormat="1">
      <c r="E470" s="167"/>
      <c r="F470" s="115"/>
      <c r="J470" s="311"/>
      <c r="K470" s="311"/>
      <c r="P470" s="167"/>
      <c r="Q470" s="115"/>
      <c r="R470" s="312"/>
      <c r="S470" s="312"/>
      <c r="T470" s="312"/>
      <c r="U470" s="312"/>
      <c r="V470" s="312"/>
      <c r="W470" s="312"/>
      <c r="X470" s="312"/>
      <c r="Y470" s="168"/>
    </row>
    <row r="471" spans="5:25" s="114" customFormat="1">
      <c r="E471" s="167"/>
      <c r="F471" s="115"/>
      <c r="J471" s="311"/>
      <c r="K471" s="311"/>
      <c r="P471" s="167"/>
      <c r="Q471" s="115"/>
      <c r="R471" s="312"/>
      <c r="S471" s="312"/>
      <c r="T471" s="312"/>
      <c r="U471" s="312"/>
      <c r="V471" s="312"/>
      <c r="W471" s="312"/>
      <c r="X471" s="312"/>
      <c r="Y471" s="168"/>
    </row>
    <row r="472" spans="5:25" s="114" customFormat="1">
      <c r="E472" s="167"/>
      <c r="F472" s="115"/>
      <c r="J472" s="311"/>
      <c r="K472" s="311"/>
      <c r="P472" s="167"/>
      <c r="Q472" s="115"/>
      <c r="R472" s="312"/>
      <c r="S472" s="312"/>
      <c r="T472" s="312"/>
      <c r="U472" s="312"/>
      <c r="V472" s="312"/>
      <c r="W472" s="312"/>
      <c r="X472" s="312"/>
      <c r="Y472" s="168"/>
    </row>
    <row r="473" spans="5:25" s="114" customFormat="1">
      <c r="E473" s="167"/>
      <c r="F473" s="115"/>
      <c r="J473" s="311"/>
      <c r="K473" s="311"/>
      <c r="P473" s="167"/>
      <c r="Q473" s="115"/>
      <c r="R473" s="312"/>
      <c r="S473" s="312"/>
      <c r="T473" s="312"/>
      <c r="U473" s="312"/>
      <c r="V473" s="312"/>
      <c r="W473" s="312"/>
      <c r="X473" s="312"/>
      <c r="Y473" s="168"/>
    </row>
    <row r="474" spans="5:25" s="114" customFormat="1">
      <c r="E474" s="167"/>
      <c r="F474" s="115"/>
      <c r="J474" s="311"/>
      <c r="K474" s="311"/>
      <c r="P474" s="167"/>
      <c r="Q474" s="115"/>
      <c r="R474" s="312"/>
      <c r="S474" s="312"/>
      <c r="T474" s="312"/>
      <c r="U474" s="312"/>
      <c r="V474" s="312"/>
      <c r="W474" s="312"/>
      <c r="X474" s="312"/>
      <c r="Y474" s="168"/>
    </row>
    <row r="475" spans="5:25" s="114" customFormat="1">
      <c r="E475" s="167"/>
      <c r="F475" s="115"/>
      <c r="J475" s="311"/>
      <c r="K475" s="311"/>
      <c r="P475" s="167"/>
      <c r="Q475" s="115"/>
      <c r="R475" s="312"/>
      <c r="S475" s="312"/>
      <c r="T475" s="312"/>
      <c r="U475" s="312"/>
      <c r="V475" s="312"/>
      <c r="W475" s="312"/>
      <c r="X475" s="312"/>
      <c r="Y475" s="168"/>
    </row>
    <row r="476" spans="5:25" s="114" customFormat="1">
      <c r="E476" s="167"/>
      <c r="F476" s="115"/>
      <c r="J476" s="311"/>
      <c r="K476" s="311"/>
      <c r="P476" s="167"/>
      <c r="Q476" s="115"/>
      <c r="R476" s="312"/>
      <c r="S476" s="312"/>
      <c r="T476" s="312"/>
      <c r="U476" s="312"/>
      <c r="V476" s="312"/>
      <c r="W476" s="312"/>
      <c r="X476" s="312"/>
      <c r="Y476" s="168"/>
    </row>
    <row r="477" spans="5:25" s="114" customFormat="1">
      <c r="E477" s="167"/>
      <c r="F477" s="115"/>
      <c r="J477" s="311"/>
      <c r="K477" s="311"/>
      <c r="P477" s="167"/>
      <c r="Q477" s="115"/>
      <c r="R477" s="312"/>
      <c r="S477" s="312"/>
      <c r="T477" s="312"/>
      <c r="U477" s="312"/>
      <c r="V477" s="312"/>
      <c r="W477" s="312"/>
      <c r="X477" s="312"/>
      <c r="Y477" s="168"/>
    </row>
    <row r="478" spans="5:25" s="114" customFormat="1">
      <c r="E478" s="167"/>
      <c r="F478" s="115"/>
      <c r="J478" s="311"/>
      <c r="K478" s="311"/>
      <c r="P478" s="167"/>
      <c r="Q478" s="115"/>
      <c r="R478" s="312"/>
      <c r="S478" s="312"/>
      <c r="T478" s="312"/>
      <c r="U478" s="312"/>
      <c r="V478" s="312"/>
      <c r="W478" s="312"/>
      <c r="X478" s="312"/>
      <c r="Y478" s="168"/>
    </row>
    <row r="479" spans="5:25" s="114" customFormat="1">
      <c r="E479" s="167"/>
      <c r="F479" s="115"/>
      <c r="J479" s="311"/>
      <c r="K479" s="311"/>
      <c r="P479" s="167"/>
      <c r="Q479" s="115"/>
      <c r="R479" s="312"/>
      <c r="S479" s="312"/>
      <c r="T479" s="312"/>
      <c r="U479" s="312"/>
      <c r="V479" s="312"/>
      <c r="W479" s="312"/>
      <c r="X479" s="312"/>
      <c r="Y479" s="168"/>
    </row>
    <row r="480" spans="5:25" s="114" customFormat="1">
      <c r="E480" s="167"/>
      <c r="F480" s="115"/>
      <c r="J480" s="311"/>
      <c r="K480" s="311"/>
      <c r="P480" s="167"/>
      <c r="Q480" s="115"/>
      <c r="R480" s="312"/>
      <c r="S480" s="312"/>
      <c r="T480" s="312"/>
      <c r="U480" s="312"/>
      <c r="V480" s="312"/>
      <c r="W480" s="312"/>
      <c r="X480" s="312"/>
      <c r="Y480" s="168"/>
    </row>
    <row r="481" spans="5:25" s="114" customFormat="1">
      <c r="E481" s="167"/>
      <c r="F481" s="115"/>
      <c r="J481" s="311"/>
      <c r="K481" s="311"/>
      <c r="P481" s="167"/>
      <c r="Q481" s="115"/>
      <c r="R481" s="312"/>
      <c r="S481" s="312"/>
      <c r="T481" s="312"/>
      <c r="U481" s="312"/>
      <c r="V481" s="312"/>
      <c r="W481" s="312"/>
      <c r="X481" s="312"/>
      <c r="Y481" s="168"/>
    </row>
    <row r="482" spans="5:25" s="114" customFormat="1">
      <c r="E482" s="167"/>
      <c r="F482" s="115"/>
      <c r="J482" s="311"/>
      <c r="K482" s="311"/>
      <c r="P482" s="167"/>
      <c r="Q482" s="115"/>
      <c r="R482" s="312"/>
      <c r="S482" s="312"/>
      <c r="T482" s="312"/>
      <c r="U482" s="312"/>
      <c r="V482" s="312"/>
      <c r="W482" s="312"/>
      <c r="X482" s="312"/>
      <c r="Y482" s="168"/>
    </row>
    <row r="483" spans="5:25" s="114" customFormat="1">
      <c r="E483" s="167"/>
      <c r="F483" s="115"/>
      <c r="J483" s="311"/>
      <c r="K483" s="311"/>
      <c r="P483" s="167"/>
      <c r="Q483" s="115"/>
      <c r="R483" s="312"/>
      <c r="S483" s="312"/>
      <c r="T483" s="312"/>
      <c r="U483" s="312"/>
      <c r="V483" s="312"/>
      <c r="W483" s="312"/>
      <c r="X483" s="312"/>
      <c r="Y483" s="168"/>
    </row>
    <row r="484" spans="5:25" s="114" customFormat="1">
      <c r="E484" s="167"/>
      <c r="F484" s="115"/>
      <c r="J484" s="311"/>
      <c r="K484" s="311"/>
      <c r="P484" s="167"/>
      <c r="Q484" s="115"/>
      <c r="R484" s="312"/>
      <c r="S484" s="312"/>
      <c r="T484" s="312"/>
      <c r="U484" s="312"/>
      <c r="V484" s="312"/>
      <c r="W484" s="312"/>
      <c r="X484" s="312"/>
      <c r="Y484" s="168"/>
    </row>
    <row r="485" spans="5:25" s="114" customFormat="1">
      <c r="E485" s="167"/>
      <c r="F485" s="115"/>
      <c r="J485" s="311"/>
      <c r="K485" s="311"/>
      <c r="P485" s="167"/>
      <c r="Q485" s="115"/>
      <c r="R485" s="312"/>
      <c r="S485" s="312"/>
      <c r="T485" s="312"/>
      <c r="U485" s="312"/>
      <c r="V485" s="312"/>
      <c r="W485" s="312"/>
      <c r="X485" s="312"/>
      <c r="Y485" s="168"/>
    </row>
    <row r="486" spans="5:25" s="114" customFormat="1">
      <c r="E486" s="167"/>
      <c r="F486" s="115"/>
      <c r="J486" s="311"/>
      <c r="K486" s="311"/>
      <c r="P486" s="167"/>
      <c r="Q486" s="115"/>
      <c r="R486" s="312"/>
      <c r="S486" s="312"/>
      <c r="T486" s="312"/>
      <c r="U486" s="312"/>
      <c r="V486" s="312"/>
      <c r="W486" s="312"/>
      <c r="X486" s="312"/>
      <c r="Y486" s="168"/>
    </row>
    <row r="487" spans="5:25" s="114" customFormat="1">
      <c r="E487" s="167"/>
      <c r="F487" s="115"/>
      <c r="J487" s="311"/>
      <c r="K487" s="311"/>
      <c r="P487" s="167"/>
      <c r="Q487" s="115"/>
      <c r="R487" s="312"/>
      <c r="S487" s="312"/>
      <c r="T487" s="312"/>
      <c r="U487" s="312"/>
      <c r="V487" s="312"/>
      <c r="W487" s="312"/>
      <c r="X487" s="312"/>
      <c r="Y487" s="168"/>
    </row>
    <row r="488" spans="5:25" s="114" customFormat="1">
      <c r="E488" s="167"/>
      <c r="F488" s="115"/>
      <c r="J488" s="311"/>
      <c r="K488" s="311"/>
      <c r="P488" s="167"/>
      <c r="Q488" s="115"/>
      <c r="R488" s="312"/>
      <c r="S488" s="312"/>
      <c r="T488" s="312"/>
      <c r="U488" s="312"/>
      <c r="V488" s="312"/>
      <c r="W488" s="312"/>
      <c r="X488" s="312"/>
      <c r="Y488" s="168"/>
    </row>
    <row r="489" spans="5:25" s="114" customFormat="1">
      <c r="E489" s="167"/>
      <c r="F489" s="115"/>
      <c r="J489" s="311"/>
      <c r="K489" s="311"/>
      <c r="P489" s="167"/>
      <c r="Q489" s="115"/>
      <c r="R489" s="312"/>
      <c r="S489" s="312"/>
      <c r="T489" s="312"/>
      <c r="U489" s="312"/>
      <c r="V489" s="312"/>
      <c r="W489" s="312"/>
      <c r="X489" s="312"/>
      <c r="Y489" s="168"/>
    </row>
    <row r="490" spans="5:25" s="114" customFormat="1">
      <c r="E490" s="167"/>
      <c r="F490" s="115"/>
      <c r="J490" s="311"/>
      <c r="K490" s="311"/>
      <c r="P490" s="167"/>
      <c r="Q490" s="115"/>
      <c r="R490" s="312"/>
      <c r="S490" s="312"/>
      <c r="T490" s="312"/>
      <c r="U490" s="312"/>
      <c r="V490" s="312"/>
      <c r="W490" s="312"/>
      <c r="X490" s="312"/>
      <c r="Y490" s="168"/>
    </row>
    <row r="491" spans="5:25" s="114" customFormat="1">
      <c r="E491" s="167"/>
      <c r="F491" s="115"/>
      <c r="J491" s="311"/>
      <c r="K491" s="311"/>
      <c r="P491" s="167"/>
      <c r="Q491" s="115"/>
      <c r="R491" s="312"/>
      <c r="S491" s="312"/>
      <c r="T491" s="312"/>
      <c r="U491" s="312"/>
      <c r="V491" s="312"/>
      <c r="W491" s="312"/>
      <c r="X491" s="312"/>
      <c r="Y491" s="168"/>
    </row>
    <row r="492" spans="5:25" s="114" customFormat="1">
      <c r="E492" s="167"/>
      <c r="F492" s="115"/>
      <c r="J492" s="311"/>
      <c r="K492" s="311"/>
      <c r="P492" s="167"/>
      <c r="Q492" s="115"/>
      <c r="R492" s="312"/>
      <c r="S492" s="312"/>
      <c r="T492" s="312"/>
      <c r="U492" s="312"/>
      <c r="V492" s="312"/>
      <c r="W492" s="312"/>
      <c r="X492" s="312"/>
      <c r="Y492" s="168"/>
    </row>
    <row r="493" spans="5:25" s="114" customFormat="1">
      <c r="E493" s="167"/>
      <c r="F493" s="115"/>
      <c r="J493" s="311"/>
      <c r="K493" s="311"/>
      <c r="P493" s="167"/>
      <c r="Q493" s="115"/>
      <c r="R493" s="312"/>
      <c r="S493" s="312"/>
      <c r="T493" s="312"/>
      <c r="U493" s="312"/>
      <c r="V493" s="312"/>
      <c r="W493" s="312"/>
      <c r="X493" s="312"/>
      <c r="Y493" s="168"/>
    </row>
    <row r="494" spans="5:25" s="114" customFormat="1">
      <c r="E494" s="167"/>
      <c r="F494" s="115"/>
      <c r="J494" s="311"/>
      <c r="K494" s="311"/>
      <c r="P494" s="167"/>
      <c r="Q494" s="115"/>
      <c r="R494" s="312"/>
      <c r="S494" s="312"/>
      <c r="T494" s="312"/>
      <c r="U494" s="312"/>
      <c r="V494" s="312"/>
      <c r="W494" s="312"/>
      <c r="X494" s="312"/>
      <c r="Y494" s="168"/>
    </row>
    <row r="495" spans="5:25" s="114" customFormat="1">
      <c r="E495" s="167"/>
      <c r="F495" s="115"/>
      <c r="J495" s="311"/>
      <c r="K495" s="311"/>
      <c r="P495" s="167"/>
      <c r="Q495" s="115"/>
      <c r="R495" s="312"/>
      <c r="S495" s="312"/>
      <c r="T495" s="312"/>
      <c r="U495" s="312"/>
      <c r="V495" s="312"/>
      <c r="W495" s="312"/>
      <c r="X495" s="312"/>
      <c r="Y495" s="168"/>
    </row>
    <row r="496" spans="5:25" s="114" customFormat="1">
      <c r="E496" s="167"/>
      <c r="F496" s="115"/>
      <c r="J496" s="311"/>
      <c r="K496" s="311"/>
      <c r="P496" s="167"/>
      <c r="Q496" s="115"/>
      <c r="R496" s="312"/>
      <c r="S496" s="312"/>
      <c r="T496" s="312"/>
      <c r="U496" s="312"/>
      <c r="V496" s="312"/>
      <c r="W496" s="312"/>
      <c r="X496" s="312"/>
      <c r="Y496" s="168"/>
    </row>
    <row r="497" spans="5:25" s="114" customFormat="1">
      <c r="E497" s="167"/>
      <c r="F497" s="115"/>
      <c r="J497" s="311"/>
      <c r="K497" s="311"/>
      <c r="P497" s="167"/>
      <c r="Q497" s="115"/>
      <c r="R497" s="312"/>
      <c r="S497" s="312"/>
      <c r="T497" s="312"/>
      <c r="U497" s="312"/>
      <c r="V497" s="312"/>
      <c r="W497" s="312"/>
      <c r="X497" s="312"/>
      <c r="Y497" s="168"/>
    </row>
    <row r="498" spans="5:25" s="114" customFormat="1">
      <c r="E498" s="167"/>
      <c r="F498" s="115"/>
      <c r="J498" s="311"/>
      <c r="K498" s="311"/>
      <c r="P498" s="167"/>
      <c r="Q498" s="115"/>
      <c r="R498" s="312"/>
      <c r="S498" s="312"/>
      <c r="T498" s="312"/>
      <c r="U498" s="312"/>
      <c r="V498" s="312"/>
      <c r="W498" s="312"/>
      <c r="X498" s="312"/>
      <c r="Y498" s="168"/>
    </row>
    <row r="499" spans="5:25">
      <c r="R499" s="312"/>
      <c r="S499" s="312"/>
      <c r="T499" s="312"/>
      <c r="U499" s="312"/>
      <c r="V499" s="312"/>
      <c r="W499" s="312"/>
      <c r="X499" s="312"/>
    </row>
    <row r="500" spans="5:25">
      <c r="R500" s="312"/>
      <c r="S500" s="312"/>
      <c r="T500" s="312"/>
      <c r="U500" s="312"/>
      <c r="V500" s="312"/>
      <c r="W500" s="312"/>
      <c r="X500" s="312"/>
    </row>
    <row r="501" spans="5:25">
      <c r="W501" s="312"/>
      <c r="X501" s="312"/>
    </row>
  </sheetData>
  <sheetProtection formatCells="0" formatColumns="0" formatRows="0" insertColumns="0" insertRows="0" insertHyperlinks="0" deleteColumns="0" deleteRows="0" sort="0" autoFilter="0" pivotTables="0"/>
  <mergeCells count="61">
    <mergeCell ref="Y6:Y7"/>
    <mergeCell ref="K25:K32"/>
    <mergeCell ref="K34:K46"/>
    <mergeCell ref="K48:K53"/>
    <mergeCell ref="K76:K84"/>
    <mergeCell ref="V34:V46"/>
    <mergeCell ref="K135:K138"/>
    <mergeCell ref="K86:K93"/>
    <mergeCell ref="K95:K102"/>
    <mergeCell ref="K104:K108"/>
    <mergeCell ref="K112:K119"/>
    <mergeCell ref="K121:K133"/>
    <mergeCell ref="I112:I119"/>
    <mergeCell ref="J112:J119"/>
    <mergeCell ref="X112:X119"/>
    <mergeCell ref="B2:H2"/>
    <mergeCell ref="M2:R2"/>
    <mergeCell ref="J6:J11"/>
    <mergeCell ref="J13:J16"/>
    <mergeCell ref="J18:J23"/>
    <mergeCell ref="X6:X11"/>
    <mergeCell ref="X13:X16"/>
    <mergeCell ref="X18:X23"/>
    <mergeCell ref="X25:X32"/>
    <mergeCell ref="X34:X46"/>
    <mergeCell ref="K6:K11"/>
    <mergeCell ref="K13:K16"/>
    <mergeCell ref="K18:K23"/>
    <mergeCell ref="X135:X138"/>
    <mergeCell ref="J25:J32"/>
    <mergeCell ref="J34:J46"/>
    <mergeCell ref="J48:J53"/>
    <mergeCell ref="J76:J84"/>
    <mergeCell ref="J86:J93"/>
    <mergeCell ref="J95:J102"/>
    <mergeCell ref="J104:J108"/>
    <mergeCell ref="J121:J133"/>
    <mergeCell ref="J135:J138"/>
    <mergeCell ref="X48:X53"/>
    <mergeCell ref="X76:X84"/>
    <mergeCell ref="X86:X93"/>
    <mergeCell ref="X95:X102"/>
    <mergeCell ref="X104:X108"/>
    <mergeCell ref="X121:X133"/>
    <mergeCell ref="S2:W2"/>
    <mergeCell ref="V6:V11"/>
    <mergeCell ref="V13:V16"/>
    <mergeCell ref="V18:V23"/>
    <mergeCell ref="V25:V32"/>
    <mergeCell ref="V121:V133"/>
    <mergeCell ref="V135:V138"/>
    <mergeCell ref="V48:V53"/>
    <mergeCell ref="V76:V84"/>
    <mergeCell ref="V86:V93"/>
    <mergeCell ref="V95:V102"/>
    <mergeCell ref="V104:V108"/>
    <mergeCell ref="J55:J74"/>
    <mergeCell ref="K55:K74"/>
    <mergeCell ref="V55:V74"/>
    <mergeCell ref="X55:X74"/>
    <mergeCell ref="V112:V119"/>
  </mergeCells>
  <phoneticPr fontId="19" type="noConversion"/>
  <conditionalFormatting sqref="K4">
    <cfRule type="containsText" dxfId="22" priority="2" operator="containsText" text="ERROR">
      <formula>NOT(ISERROR(SEARCH("ERROR",K4)))</formula>
    </cfRule>
  </conditionalFormatting>
  <conditionalFormatting sqref="V34:V46">
    <cfRule type="cellIs" dxfId="21" priority="1" operator="notEqual">
      <formula>0</formula>
    </cfRule>
  </conditionalFormatting>
  <conditionalFormatting sqref="W6:W111 W119:W120 W133:W138">
    <cfRule type="timePeriod" dxfId="20" priority="3" timePeriod="thisWeek">
      <formula>AND(TODAY()-ROUNDDOWN(W6,0)&lt;=WEEKDAY(TODAY())-1,ROUNDDOWN(W6,0)-TODAY()&lt;=7-WEEKDAY(TODAY()))</formula>
    </cfRule>
  </conditionalFormatting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YP26"/>
  <sheetViews>
    <sheetView zoomScale="77" zoomScaleNormal="85" workbookViewId="0">
      <pane xSplit="5" ySplit="15" topLeftCell="GD21" activePane="bottomRight" state="frozen"/>
      <selection pane="topRight" activeCell="F1" sqref="F1"/>
      <selection pane="bottomLeft" activeCell="A22" sqref="A22"/>
      <selection pane="bottomRight" activeCell="GE10" sqref="GE10"/>
    </sheetView>
  </sheetViews>
  <sheetFormatPr defaultColWidth="9.26953125" defaultRowHeight="14.5"/>
  <cols>
    <col min="1" max="1" width="9.26953125" customWidth="1"/>
    <col min="2" max="2" width="34.26953125" customWidth="1"/>
    <col min="3" max="3" width="16.26953125" bestFit="1" customWidth="1"/>
    <col min="4" max="4" width="15.26953125" customWidth="1"/>
    <col min="5" max="5" width="4.26953125" customWidth="1"/>
    <col min="6" max="6" width="16.26953125" bestFit="1" customWidth="1"/>
    <col min="7" max="7" width="20.26953125" customWidth="1"/>
    <col min="8" max="12" width="15.26953125" bestFit="1" customWidth="1"/>
    <col min="13" max="28" width="16.26953125" bestFit="1" customWidth="1"/>
    <col min="29" max="188" width="16.26953125" customWidth="1"/>
    <col min="189" max="189" width="9.26953125" style="245"/>
  </cols>
  <sheetData>
    <row r="1" spans="1:666">
      <c r="D1" s="241" t="s">
        <v>459</v>
      </c>
      <c r="E1" s="242"/>
      <c r="F1" s="243">
        <v>45138</v>
      </c>
      <c r="G1" s="244">
        <f>F1+7</f>
        <v>45145</v>
      </c>
      <c r="H1" s="244">
        <f t="shared" ref="H1:AA1" si="0">G1+7</f>
        <v>45152</v>
      </c>
      <c r="I1" s="244">
        <f t="shared" si="0"/>
        <v>45159</v>
      </c>
      <c r="J1" s="244">
        <f t="shared" si="0"/>
        <v>45166</v>
      </c>
      <c r="K1" s="244">
        <f t="shared" si="0"/>
        <v>45173</v>
      </c>
      <c r="L1" s="244">
        <f t="shared" si="0"/>
        <v>45180</v>
      </c>
      <c r="M1" s="244">
        <f t="shared" si="0"/>
        <v>45187</v>
      </c>
      <c r="N1" s="244">
        <f t="shared" si="0"/>
        <v>45194</v>
      </c>
      <c r="O1" s="244">
        <f t="shared" si="0"/>
        <v>45201</v>
      </c>
      <c r="P1" s="244">
        <f t="shared" si="0"/>
        <v>45208</v>
      </c>
      <c r="Q1" s="244">
        <f t="shared" si="0"/>
        <v>45215</v>
      </c>
      <c r="R1" s="244">
        <f t="shared" si="0"/>
        <v>45222</v>
      </c>
      <c r="S1" s="244">
        <f t="shared" si="0"/>
        <v>45229</v>
      </c>
      <c r="T1" s="244">
        <f t="shared" si="0"/>
        <v>45236</v>
      </c>
      <c r="U1" s="244">
        <f t="shared" si="0"/>
        <v>45243</v>
      </c>
      <c r="V1" s="244">
        <f t="shared" si="0"/>
        <v>45250</v>
      </c>
      <c r="W1" s="244">
        <f t="shared" si="0"/>
        <v>45257</v>
      </c>
      <c r="X1" s="244">
        <f t="shared" si="0"/>
        <v>45264</v>
      </c>
      <c r="Y1" s="244">
        <f t="shared" si="0"/>
        <v>45271</v>
      </c>
      <c r="Z1" s="244">
        <f t="shared" si="0"/>
        <v>45278</v>
      </c>
      <c r="AA1" s="244">
        <f t="shared" si="0"/>
        <v>45285</v>
      </c>
      <c r="AB1" s="244">
        <f t="shared" ref="AB1" si="1">AA1+7</f>
        <v>45292</v>
      </c>
      <c r="AC1" s="244">
        <f t="shared" ref="AC1" si="2">AB1+7</f>
        <v>45299</v>
      </c>
      <c r="AD1" s="244">
        <f t="shared" ref="AD1" si="3">AC1+7</f>
        <v>45306</v>
      </c>
      <c r="AE1" s="244">
        <f t="shared" ref="AE1" si="4">AD1+7</f>
        <v>45313</v>
      </c>
      <c r="AF1" s="244">
        <f t="shared" ref="AF1" si="5">AE1+7</f>
        <v>45320</v>
      </c>
      <c r="AG1" s="244">
        <f t="shared" ref="AG1" si="6">AF1+7</f>
        <v>45327</v>
      </c>
      <c r="AH1" s="244">
        <f t="shared" ref="AH1" si="7">AG1+7</f>
        <v>45334</v>
      </c>
      <c r="AI1" s="244">
        <f t="shared" ref="AI1" si="8">AH1+7</f>
        <v>45341</v>
      </c>
      <c r="AJ1" s="244">
        <f t="shared" ref="AJ1" si="9">AI1+7</f>
        <v>45348</v>
      </c>
      <c r="AK1" s="244">
        <f t="shared" ref="AK1" si="10">AJ1+7</f>
        <v>45355</v>
      </c>
      <c r="AL1" s="244">
        <f t="shared" ref="AL1" si="11">AK1+7</f>
        <v>45362</v>
      </c>
      <c r="AM1" s="244">
        <f t="shared" ref="AM1" si="12">AL1+7</f>
        <v>45369</v>
      </c>
      <c r="AN1" s="244">
        <f t="shared" ref="AN1" si="13">AM1+7</f>
        <v>45376</v>
      </c>
      <c r="AO1" s="244">
        <f t="shared" ref="AO1" si="14">AN1+7</f>
        <v>45383</v>
      </c>
      <c r="AP1" s="244">
        <f t="shared" ref="AP1" si="15">AO1+7</f>
        <v>45390</v>
      </c>
      <c r="AQ1" s="244">
        <f t="shared" ref="AQ1" si="16">AP1+7</f>
        <v>45397</v>
      </c>
      <c r="AR1" s="244">
        <f t="shared" ref="AR1" si="17">AQ1+7</f>
        <v>45404</v>
      </c>
      <c r="AS1" s="244">
        <f t="shared" ref="AS1" si="18">AR1+7</f>
        <v>45411</v>
      </c>
      <c r="AT1" s="244">
        <f t="shared" ref="AT1" si="19">AS1+7</f>
        <v>45418</v>
      </c>
      <c r="AU1" s="244">
        <f t="shared" ref="AU1" si="20">AT1+7</f>
        <v>45425</v>
      </c>
      <c r="AV1" s="244">
        <f t="shared" ref="AV1" si="21">AU1+7</f>
        <v>45432</v>
      </c>
      <c r="AW1" s="244">
        <f t="shared" ref="AW1" si="22">AV1+7</f>
        <v>45439</v>
      </c>
      <c r="AX1" s="244">
        <f t="shared" ref="AX1" si="23">AW1+7</f>
        <v>45446</v>
      </c>
      <c r="AY1" s="244">
        <f t="shared" ref="AY1" si="24">AX1+7</f>
        <v>45453</v>
      </c>
      <c r="AZ1" s="244">
        <f t="shared" ref="AZ1" si="25">AY1+7</f>
        <v>45460</v>
      </c>
      <c r="BA1" s="244">
        <f t="shared" ref="BA1" si="26">AZ1+7</f>
        <v>45467</v>
      </c>
      <c r="BB1" s="244">
        <f t="shared" ref="BB1" si="27">BA1+7</f>
        <v>45474</v>
      </c>
      <c r="BC1" s="244">
        <f t="shared" ref="BC1" si="28">BB1+7</f>
        <v>45481</v>
      </c>
      <c r="BD1" s="244">
        <f t="shared" ref="BD1" si="29">BC1+7</f>
        <v>45488</v>
      </c>
      <c r="BE1" s="244">
        <f t="shared" ref="BE1" si="30">BD1+7</f>
        <v>45495</v>
      </c>
      <c r="BF1" s="244">
        <f t="shared" ref="BF1:CK1" si="31">BE1+7</f>
        <v>45502</v>
      </c>
      <c r="BG1" s="244">
        <f t="shared" si="31"/>
        <v>45509</v>
      </c>
      <c r="BH1" s="244">
        <f t="shared" si="31"/>
        <v>45516</v>
      </c>
      <c r="BI1" s="244">
        <f t="shared" si="31"/>
        <v>45523</v>
      </c>
      <c r="BJ1" s="244">
        <f t="shared" si="31"/>
        <v>45530</v>
      </c>
      <c r="BK1" s="244">
        <f t="shared" si="31"/>
        <v>45537</v>
      </c>
      <c r="BL1" s="244">
        <f t="shared" si="31"/>
        <v>45544</v>
      </c>
      <c r="BM1" s="244">
        <f t="shared" si="31"/>
        <v>45551</v>
      </c>
      <c r="BN1" s="244">
        <f t="shared" si="31"/>
        <v>45558</v>
      </c>
      <c r="BO1" s="244">
        <f t="shared" si="31"/>
        <v>45565</v>
      </c>
      <c r="BP1" s="244">
        <f t="shared" si="31"/>
        <v>45572</v>
      </c>
      <c r="BQ1" s="244">
        <f t="shared" si="31"/>
        <v>45579</v>
      </c>
      <c r="BR1" s="244">
        <f t="shared" si="31"/>
        <v>45586</v>
      </c>
      <c r="BS1" s="244">
        <f t="shared" si="31"/>
        <v>45593</v>
      </c>
      <c r="BT1" s="244">
        <f t="shared" si="31"/>
        <v>45600</v>
      </c>
      <c r="BU1" s="244">
        <f t="shared" si="31"/>
        <v>45607</v>
      </c>
      <c r="BV1" s="244">
        <f t="shared" si="31"/>
        <v>45614</v>
      </c>
      <c r="BW1" s="244">
        <f t="shared" si="31"/>
        <v>45621</v>
      </c>
      <c r="BX1" s="244">
        <f t="shared" si="31"/>
        <v>45628</v>
      </c>
      <c r="BY1" s="244">
        <f t="shared" si="31"/>
        <v>45635</v>
      </c>
      <c r="BZ1" s="244">
        <f t="shared" si="31"/>
        <v>45642</v>
      </c>
      <c r="CA1" s="244">
        <f t="shared" si="31"/>
        <v>45649</v>
      </c>
      <c r="CB1" s="244">
        <f t="shared" si="31"/>
        <v>45656</v>
      </c>
      <c r="CC1" s="244">
        <f t="shared" si="31"/>
        <v>45663</v>
      </c>
      <c r="CD1" s="244">
        <f t="shared" si="31"/>
        <v>45670</v>
      </c>
      <c r="CE1" s="244">
        <f t="shared" si="31"/>
        <v>45677</v>
      </c>
      <c r="CF1" s="244">
        <f t="shared" si="31"/>
        <v>45684</v>
      </c>
      <c r="CG1" s="244">
        <f t="shared" si="31"/>
        <v>45691</v>
      </c>
      <c r="CH1" s="244">
        <f t="shared" si="31"/>
        <v>45698</v>
      </c>
      <c r="CI1" s="244">
        <f t="shared" si="31"/>
        <v>45705</v>
      </c>
      <c r="CJ1" s="244">
        <f t="shared" si="31"/>
        <v>45712</v>
      </c>
      <c r="CK1" s="244">
        <f t="shared" si="31"/>
        <v>45719</v>
      </c>
      <c r="CL1" s="244">
        <f t="shared" ref="CL1" si="32">CK1+7</f>
        <v>45726</v>
      </c>
      <c r="CM1" s="244">
        <f t="shared" ref="CM1" si="33">CL1+7</f>
        <v>45733</v>
      </c>
      <c r="CN1" s="244">
        <f t="shared" ref="CN1" si="34">CM1+7</f>
        <v>45740</v>
      </c>
      <c r="CO1" s="244">
        <f t="shared" ref="CO1" si="35">CN1+7</f>
        <v>45747</v>
      </c>
      <c r="CP1" s="244">
        <f t="shared" ref="CP1" si="36">CO1+7</f>
        <v>45754</v>
      </c>
      <c r="CQ1" s="244">
        <f t="shared" ref="CQ1" si="37">CP1+7</f>
        <v>45761</v>
      </c>
      <c r="CR1" s="244">
        <f t="shared" ref="CR1" si="38">CQ1+7</f>
        <v>45768</v>
      </c>
      <c r="CS1" s="244">
        <f t="shared" ref="CS1" si="39">CR1+7</f>
        <v>45775</v>
      </c>
      <c r="CT1" s="244">
        <f t="shared" ref="CT1" si="40">CS1+7</f>
        <v>45782</v>
      </c>
      <c r="CU1" s="244">
        <f t="shared" ref="CU1" si="41">CT1+7</f>
        <v>45789</v>
      </c>
      <c r="CV1" s="244">
        <f t="shared" ref="CV1" si="42">CU1+7</f>
        <v>45796</v>
      </c>
      <c r="CW1" s="244">
        <f t="shared" ref="CW1" si="43">CV1+7</f>
        <v>45803</v>
      </c>
      <c r="CX1" s="244">
        <f t="shared" ref="CX1" si="44">CW1+7</f>
        <v>45810</v>
      </c>
      <c r="CY1" s="244">
        <f t="shared" ref="CY1" si="45">CX1+7</f>
        <v>45817</v>
      </c>
      <c r="CZ1" s="244">
        <f t="shared" ref="CZ1" si="46">CY1+7</f>
        <v>45824</v>
      </c>
      <c r="DA1" s="244">
        <f t="shared" ref="DA1" si="47">CZ1+7</f>
        <v>45831</v>
      </c>
      <c r="DB1" s="244">
        <f t="shared" ref="DB1" si="48">DA1+7</f>
        <v>45838</v>
      </c>
      <c r="DC1" s="244">
        <f t="shared" ref="DC1" si="49">DB1+7</f>
        <v>45845</v>
      </c>
      <c r="DD1" s="244">
        <f t="shared" ref="DD1" si="50">DC1+7</f>
        <v>45852</v>
      </c>
      <c r="DE1" s="244">
        <f t="shared" ref="DE1" si="51">DD1+7</f>
        <v>45859</v>
      </c>
      <c r="DF1" s="244">
        <f t="shared" ref="DF1" si="52">DE1+7</f>
        <v>45866</v>
      </c>
      <c r="DG1" s="244">
        <f t="shared" ref="DG1" si="53">DF1+7</f>
        <v>45873</v>
      </c>
      <c r="DH1" s="244">
        <f t="shared" ref="DH1" si="54">DG1+7</f>
        <v>45880</v>
      </c>
      <c r="DI1" s="244">
        <f t="shared" ref="DI1" si="55">DH1+7</f>
        <v>45887</v>
      </c>
      <c r="DJ1" s="244">
        <f t="shared" ref="DJ1" si="56">DI1+7</f>
        <v>45894</v>
      </c>
      <c r="DK1" s="244">
        <f t="shared" ref="DK1" si="57">DJ1+7</f>
        <v>45901</v>
      </c>
      <c r="DL1" s="244">
        <f t="shared" ref="DL1" si="58">DK1+7</f>
        <v>45908</v>
      </c>
      <c r="DM1" s="244">
        <f t="shared" ref="DM1" si="59">DL1+7</f>
        <v>45915</v>
      </c>
      <c r="DN1" s="244">
        <f t="shared" ref="DN1" si="60">DM1+7</f>
        <v>45922</v>
      </c>
      <c r="DO1" s="244">
        <f t="shared" ref="DO1" si="61">DN1+7</f>
        <v>45929</v>
      </c>
      <c r="DP1" s="244">
        <f t="shared" ref="DP1" si="62">DO1+7</f>
        <v>45936</v>
      </c>
      <c r="DQ1" s="244">
        <f t="shared" ref="DQ1" si="63">DP1+7</f>
        <v>45943</v>
      </c>
      <c r="DR1" s="244">
        <f t="shared" ref="DR1" si="64">DQ1+7</f>
        <v>45950</v>
      </c>
      <c r="DS1" s="244">
        <f t="shared" ref="DS1" si="65">DR1+7</f>
        <v>45957</v>
      </c>
      <c r="DT1" s="244">
        <f t="shared" ref="DT1" si="66">DS1+7</f>
        <v>45964</v>
      </c>
      <c r="DU1" s="244">
        <f t="shared" ref="DU1" si="67">DT1+7</f>
        <v>45971</v>
      </c>
      <c r="DV1" s="244">
        <f t="shared" ref="DV1" si="68">DU1+7</f>
        <v>45978</v>
      </c>
      <c r="DW1" s="244">
        <f t="shared" ref="DW1" si="69">DV1+7</f>
        <v>45985</v>
      </c>
      <c r="DX1" s="244">
        <f t="shared" ref="DX1" si="70">DW1+7</f>
        <v>45992</v>
      </c>
      <c r="DY1" s="244">
        <f t="shared" ref="DY1" si="71">DX1+7</f>
        <v>45999</v>
      </c>
      <c r="DZ1" s="244">
        <f t="shared" ref="DZ1" si="72">DY1+7</f>
        <v>46006</v>
      </c>
      <c r="EA1" s="244">
        <f t="shared" ref="EA1" si="73">DZ1+7</f>
        <v>46013</v>
      </c>
      <c r="EB1" s="244">
        <f t="shared" ref="EB1" si="74">EA1+7</f>
        <v>46020</v>
      </c>
      <c r="EC1" s="244">
        <f t="shared" ref="EC1" si="75">EB1+7</f>
        <v>46027</v>
      </c>
      <c r="ED1" s="244">
        <f t="shared" ref="ED1" si="76">EC1+7</f>
        <v>46034</v>
      </c>
      <c r="EE1" s="244">
        <f t="shared" ref="EE1" si="77">ED1+7</f>
        <v>46041</v>
      </c>
      <c r="EF1" s="244">
        <f t="shared" ref="EF1" si="78">EE1+7</f>
        <v>46048</v>
      </c>
      <c r="EG1" s="244">
        <f t="shared" ref="EG1" si="79">EF1+7</f>
        <v>46055</v>
      </c>
      <c r="EH1" s="244">
        <f t="shared" ref="EH1" si="80">EG1+7</f>
        <v>46062</v>
      </c>
      <c r="EI1" s="244">
        <f t="shared" ref="EI1" si="81">EH1+7</f>
        <v>46069</v>
      </c>
      <c r="EJ1" s="244">
        <f t="shared" ref="EJ1" si="82">EI1+7</f>
        <v>46076</v>
      </c>
      <c r="EK1" s="244">
        <f t="shared" ref="EK1" si="83">EJ1+7</f>
        <v>46083</v>
      </c>
      <c r="EL1" s="244">
        <f t="shared" ref="EL1" si="84">EK1+7</f>
        <v>46090</v>
      </c>
      <c r="EM1" s="244">
        <f t="shared" ref="EM1" si="85">EL1+7</f>
        <v>46097</v>
      </c>
      <c r="EN1" s="244">
        <f t="shared" ref="EN1" si="86">EM1+7</f>
        <v>46104</v>
      </c>
      <c r="EO1" s="244">
        <f t="shared" ref="EO1" si="87">EN1+7</f>
        <v>46111</v>
      </c>
      <c r="EP1" s="244">
        <f t="shared" ref="EP1" si="88">EO1+7</f>
        <v>46118</v>
      </c>
      <c r="EQ1" s="244">
        <f t="shared" ref="EQ1" si="89">EP1+7</f>
        <v>46125</v>
      </c>
      <c r="ER1" s="244">
        <f t="shared" ref="ER1" si="90">EQ1+7</f>
        <v>46132</v>
      </c>
      <c r="ES1" s="244">
        <f t="shared" ref="ES1" si="91">ER1+7</f>
        <v>46139</v>
      </c>
      <c r="ET1" s="244">
        <f t="shared" ref="ET1" si="92">ES1+7</f>
        <v>46146</v>
      </c>
      <c r="EU1" s="244">
        <f t="shared" ref="EU1" si="93">ET1+7</f>
        <v>46153</v>
      </c>
      <c r="EV1" s="244">
        <f t="shared" ref="EV1" si="94">EU1+7</f>
        <v>46160</v>
      </c>
      <c r="EW1" s="244">
        <f t="shared" ref="EW1" si="95">EV1+7</f>
        <v>46167</v>
      </c>
      <c r="EX1" s="244">
        <f t="shared" ref="EX1" si="96">EW1+7</f>
        <v>46174</v>
      </c>
      <c r="EY1" s="244">
        <f t="shared" ref="EY1" si="97">EX1+7</f>
        <v>46181</v>
      </c>
      <c r="EZ1" s="244">
        <f t="shared" ref="EZ1" si="98">EY1+7</f>
        <v>46188</v>
      </c>
      <c r="FA1" s="244">
        <f t="shared" ref="FA1" si="99">EZ1+7</f>
        <v>46195</v>
      </c>
      <c r="FB1" s="244">
        <f t="shared" ref="FB1" si="100">FA1+7</f>
        <v>46202</v>
      </c>
      <c r="FC1" s="244">
        <f t="shared" ref="FC1" si="101">FB1+7</f>
        <v>46209</v>
      </c>
      <c r="FD1" s="244">
        <f t="shared" ref="FD1" si="102">FC1+7</f>
        <v>46216</v>
      </c>
      <c r="FE1" s="244">
        <f t="shared" ref="FE1" si="103">FD1+7</f>
        <v>46223</v>
      </c>
      <c r="FF1" s="244">
        <f t="shared" ref="FF1" si="104">FE1+7</f>
        <v>46230</v>
      </c>
      <c r="FG1" s="244">
        <f t="shared" ref="FG1" si="105">FF1+7</f>
        <v>46237</v>
      </c>
      <c r="FH1" s="244">
        <f t="shared" ref="FH1" si="106">FG1+7</f>
        <v>46244</v>
      </c>
      <c r="FI1" s="244">
        <f t="shared" ref="FI1" si="107">FH1+7</f>
        <v>46251</v>
      </c>
      <c r="FJ1" s="244">
        <f t="shared" ref="FJ1" si="108">FI1+7</f>
        <v>46258</v>
      </c>
      <c r="FK1" s="244">
        <f t="shared" ref="FK1" si="109">FJ1+7</f>
        <v>46265</v>
      </c>
      <c r="FL1" s="244">
        <f t="shared" ref="FL1" si="110">FK1+7</f>
        <v>46272</v>
      </c>
      <c r="FM1" s="244">
        <f t="shared" ref="FM1" si="111">FL1+7</f>
        <v>46279</v>
      </c>
      <c r="FN1" s="244">
        <f t="shared" ref="FN1" si="112">FM1+7</f>
        <v>46286</v>
      </c>
      <c r="FO1" s="244">
        <f t="shared" ref="FO1" si="113">FN1+7</f>
        <v>46293</v>
      </c>
      <c r="FP1" s="244">
        <f t="shared" ref="FP1" si="114">FO1+7</f>
        <v>46300</v>
      </c>
      <c r="FQ1" s="244">
        <f t="shared" ref="FQ1" si="115">FP1+7</f>
        <v>46307</v>
      </c>
      <c r="FR1" s="244">
        <f t="shared" ref="FR1" si="116">FQ1+7</f>
        <v>46314</v>
      </c>
      <c r="FS1" s="244">
        <f t="shared" ref="FS1" si="117">FR1+7</f>
        <v>46321</v>
      </c>
      <c r="FT1" s="244">
        <f t="shared" ref="FT1" si="118">FS1+7</f>
        <v>46328</v>
      </c>
      <c r="FU1" s="244">
        <f t="shared" ref="FU1" si="119">FT1+7</f>
        <v>46335</v>
      </c>
      <c r="FV1" s="244">
        <f t="shared" ref="FV1" si="120">FU1+7</f>
        <v>46342</v>
      </c>
      <c r="FW1" s="244">
        <f t="shared" ref="FW1" si="121">FV1+7</f>
        <v>46349</v>
      </c>
      <c r="FX1" s="244">
        <f t="shared" ref="FX1" si="122">FW1+7</f>
        <v>46356</v>
      </c>
      <c r="FY1" s="244">
        <f t="shared" ref="FY1" si="123">FX1+7</f>
        <v>46363</v>
      </c>
      <c r="FZ1" s="244">
        <f t="shared" ref="FZ1" si="124">FY1+7</f>
        <v>46370</v>
      </c>
      <c r="GA1" s="244">
        <f t="shared" ref="GA1" si="125">FZ1+7</f>
        <v>46377</v>
      </c>
      <c r="GB1" s="244">
        <f t="shared" ref="GB1" si="126">GA1+7</f>
        <v>46384</v>
      </c>
      <c r="GC1" s="244">
        <f t="shared" ref="GC1" si="127">GB1+7</f>
        <v>46391</v>
      </c>
      <c r="GD1" s="244">
        <f t="shared" ref="GD1" si="128">GC1+7</f>
        <v>46398</v>
      </c>
      <c r="GE1" s="244">
        <f t="shared" ref="GE1" si="129">GD1+7</f>
        <v>46405</v>
      </c>
      <c r="GF1" s="244">
        <f t="shared" ref="GF1" si="130">GE1+7</f>
        <v>46412</v>
      </c>
    </row>
    <row r="2" spans="1:666" s="245" customFormat="1">
      <c r="A2" s="1051" t="s">
        <v>102</v>
      </c>
      <c r="B2" s="246"/>
      <c r="C2" s="247" t="s">
        <v>251</v>
      </c>
      <c r="D2" s="247" t="s">
        <v>251</v>
      </c>
      <c r="E2" s="247"/>
      <c r="F2" s="248"/>
      <c r="G2" s="248"/>
      <c r="H2" s="248"/>
      <c r="I2" s="248"/>
      <c r="J2" s="248"/>
      <c r="K2" s="248"/>
      <c r="L2" s="248"/>
      <c r="M2" s="248"/>
      <c r="N2" s="248"/>
      <c r="O2" s="248"/>
      <c r="P2" s="248"/>
      <c r="Q2" s="248"/>
      <c r="R2" s="248"/>
      <c r="S2" s="248"/>
      <c r="T2" s="248"/>
      <c r="U2" s="248"/>
      <c r="V2" s="248"/>
      <c r="W2" s="248"/>
      <c r="X2" s="248"/>
      <c r="Y2" s="248"/>
      <c r="Z2" s="248"/>
      <c r="AA2" s="248"/>
      <c r="AB2" s="248"/>
      <c r="AC2" s="248"/>
      <c r="AD2" s="248"/>
      <c r="AE2" s="248"/>
      <c r="AF2" s="248"/>
      <c r="AG2" s="248"/>
      <c r="AH2" s="248"/>
      <c r="AI2" s="248"/>
      <c r="AJ2" s="248"/>
      <c r="AK2" s="248"/>
      <c r="AL2" s="248"/>
      <c r="AM2" s="248"/>
      <c r="AN2" s="248"/>
      <c r="AO2" s="248"/>
      <c r="AP2" s="248"/>
      <c r="AQ2" s="248"/>
      <c r="AR2" s="248"/>
      <c r="AS2" s="248"/>
      <c r="AT2" s="248"/>
      <c r="AU2" s="248"/>
      <c r="AV2" s="248"/>
      <c r="AW2" s="248"/>
      <c r="AX2" s="248"/>
      <c r="AY2" s="248"/>
      <c r="AZ2" s="248"/>
      <c r="BA2" s="248"/>
      <c r="BB2" s="248"/>
      <c r="BC2" s="248"/>
      <c r="BD2" s="248"/>
      <c r="BE2" s="248"/>
      <c r="BF2" s="248"/>
      <c r="BG2" s="248"/>
      <c r="BH2" s="248"/>
      <c r="BI2" s="248"/>
      <c r="BJ2" s="248"/>
      <c r="BK2" s="248"/>
      <c r="BL2" s="248"/>
      <c r="BM2" s="248"/>
      <c r="BN2" s="248"/>
      <c r="BO2" s="248"/>
      <c r="BP2" s="248"/>
      <c r="BQ2" s="248"/>
      <c r="BR2" s="248"/>
      <c r="BS2" s="248"/>
      <c r="BT2" s="248"/>
      <c r="BU2" s="248"/>
      <c r="BV2" s="248"/>
      <c r="BW2" s="248"/>
      <c r="BX2" s="248"/>
      <c r="BY2" s="248"/>
      <c r="BZ2" s="248"/>
      <c r="CA2" s="248"/>
      <c r="CB2" s="248"/>
      <c r="CC2" s="248"/>
      <c r="CD2" s="248"/>
      <c r="CE2" s="248"/>
      <c r="CF2" s="248"/>
      <c r="CG2" s="248"/>
      <c r="CH2" s="248"/>
      <c r="CI2" s="248"/>
      <c r="CJ2" s="248"/>
      <c r="CK2" s="248"/>
      <c r="CL2" s="248"/>
      <c r="CM2" s="248"/>
      <c r="CN2" s="248"/>
      <c r="CO2" s="248"/>
      <c r="CP2" s="248"/>
      <c r="CQ2" s="248"/>
      <c r="CR2" s="248"/>
      <c r="CS2" s="248"/>
      <c r="CT2" s="248"/>
      <c r="CU2" s="248"/>
      <c r="CV2" s="248"/>
      <c r="CW2" s="248"/>
      <c r="CX2" s="248"/>
      <c r="CY2" s="248"/>
      <c r="CZ2" s="248"/>
      <c r="DA2" s="248"/>
      <c r="DB2" s="248"/>
      <c r="DC2" s="248"/>
      <c r="DD2" s="248"/>
      <c r="DE2" s="248"/>
      <c r="DF2" s="248"/>
      <c r="DG2" s="248"/>
      <c r="DH2" s="248"/>
      <c r="DI2" s="248"/>
      <c r="DJ2" s="248"/>
      <c r="DK2" s="248"/>
      <c r="DL2" s="248"/>
      <c r="DM2" s="248"/>
      <c r="DN2" s="248"/>
      <c r="DO2" s="248"/>
      <c r="DP2" s="248"/>
      <c r="DQ2" s="248"/>
      <c r="DR2" s="248"/>
      <c r="DS2" s="248"/>
      <c r="DT2" s="248"/>
      <c r="DU2" s="248"/>
      <c r="DV2" s="248"/>
      <c r="DW2" s="248"/>
      <c r="DX2" s="248"/>
      <c r="DY2" s="248"/>
      <c r="DZ2" s="248"/>
      <c r="EA2" s="248"/>
      <c r="EB2" s="248"/>
      <c r="EC2" s="248"/>
      <c r="ED2" s="248"/>
      <c r="EE2" s="248"/>
      <c r="EF2" s="248"/>
      <c r="EG2" s="248"/>
      <c r="EH2" s="248"/>
      <c r="EI2" s="248"/>
      <c r="EJ2" s="248"/>
      <c r="EK2" s="248"/>
      <c r="EL2" s="248"/>
      <c r="EM2" s="248"/>
      <c r="EN2" s="248"/>
      <c r="EO2" s="248"/>
      <c r="EP2" s="248"/>
      <c r="EQ2" s="248"/>
      <c r="ER2" s="248"/>
      <c r="ES2" s="248"/>
      <c r="ET2" s="248"/>
      <c r="EU2" s="248"/>
      <c r="EV2" s="248"/>
      <c r="EW2" s="248"/>
      <c r="EX2" s="248"/>
      <c r="EY2" s="248"/>
      <c r="EZ2" s="248"/>
      <c r="FA2" s="248"/>
      <c r="FB2" s="248"/>
      <c r="FC2" s="248"/>
      <c r="FD2" s="248"/>
      <c r="FE2" s="248"/>
      <c r="FF2" s="248"/>
      <c r="FG2" s="248"/>
      <c r="FH2" s="248"/>
      <c r="FI2" s="248"/>
      <c r="FJ2" s="248"/>
      <c r="FK2" s="248"/>
      <c r="FL2" s="248"/>
      <c r="FM2" s="248"/>
      <c r="FN2" s="248"/>
      <c r="FO2" s="248"/>
      <c r="FP2" s="248"/>
      <c r="FQ2" s="248"/>
      <c r="FR2" s="248"/>
      <c r="FS2" s="248"/>
      <c r="FT2" s="248"/>
      <c r="FU2" s="248"/>
      <c r="FV2" s="248"/>
      <c r="FW2" s="248"/>
      <c r="FX2" s="248"/>
      <c r="FY2" s="248"/>
      <c r="FZ2" s="248"/>
      <c r="GA2" s="248"/>
      <c r="GB2" s="248"/>
      <c r="GC2" s="248"/>
      <c r="GD2" s="248"/>
      <c r="GE2" s="248"/>
      <c r="GF2" s="248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</row>
    <row r="3" spans="1:666">
      <c r="A3" s="1052"/>
      <c r="B3" s="249" t="s">
        <v>107</v>
      </c>
      <c r="C3" s="250">
        <f>'Revenue Tracking'!D4</f>
        <v>14953088.300000001</v>
      </c>
      <c r="D3" s="250">
        <f>SUM(F3:BE3)</f>
        <v>15251088.300000001</v>
      </c>
      <c r="E3" s="251"/>
      <c r="F3" s="252">
        <f>SUMIFS('Revenue Tracking'!$F$13:$F$20, 'Revenue Tracking'!$H$13:$H$20, "&gt;="&amp;F1,'Revenue Tracking'!$H$13:$H$20, "&lt;"&amp;G1)</f>
        <v>0</v>
      </c>
      <c r="G3" s="252">
        <f>SUMIFS('Revenue Tracking'!$F$13:$F$20, 'Revenue Tracking'!$H$13:$H$20, "&gt;="&amp;G1,'Revenue Tracking'!$H$13:$H$20, "&lt;"&amp;H1)</f>
        <v>0</v>
      </c>
      <c r="H3" s="252">
        <f>SUMIFS('Revenue Tracking'!$F$13:$F$20, 'Revenue Tracking'!$H$13:$H$20, "&gt;="&amp;H1,'Revenue Tracking'!$H$13:$H$20, "&lt;"&amp;I1)</f>
        <v>0</v>
      </c>
      <c r="I3" s="252">
        <f>SUMIFS('Revenue Tracking'!$F$13:$F$20, 'Revenue Tracking'!$H$13:$H$20, "&gt;="&amp;I1,'Revenue Tracking'!$H$13:$H$20, "&lt;"&amp;J1)</f>
        <v>0</v>
      </c>
      <c r="J3" s="252">
        <f>SUMIFS('Revenue Tracking'!$F$13:$F$20, 'Revenue Tracking'!$H$13:$H$20, "&gt;="&amp;J1,'Revenue Tracking'!$H$13:$H$20, "&lt;"&amp;K1)</f>
        <v>8971852.9800000004</v>
      </c>
      <c r="K3" s="252">
        <f>SUMIFS('Revenue Tracking'!$F$13:$F$20, 'Revenue Tracking'!$H$13:$H$20, "&gt;="&amp;K1,'Revenue Tracking'!$H$13:$H$20, "&lt;"&amp;L1)</f>
        <v>0</v>
      </c>
      <c r="L3" s="252">
        <f>SUMIFS('Revenue Tracking'!$F$13:$F$20, 'Revenue Tracking'!$H$13:$H$20, "&gt;="&amp;L1,'Revenue Tracking'!$H$13:$H$20, "&lt;"&amp;M1)</f>
        <v>0</v>
      </c>
      <c r="M3" s="252">
        <f>SUMIFS('Revenue Tracking'!$F$13:$F$20, 'Revenue Tracking'!$H$13:$H$20, "&gt;="&amp;M1,'Revenue Tracking'!$H$13:$H$20, "&lt;"&amp;N1)</f>
        <v>0</v>
      </c>
      <c r="N3" s="252">
        <f>SUMIFS('Revenue Tracking'!$F$13:$F$20, 'Revenue Tracking'!$H$13:$H$20, "&gt;="&amp;N1,'Revenue Tracking'!$H$13:$H$20, "&lt;"&amp;O1)</f>
        <v>0</v>
      </c>
      <c r="O3" s="252">
        <f>SUMIFS('Revenue Tracking'!$F$13:$F$20, 'Revenue Tracking'!$H$13:$H$20, "&gt;="&amp;O1,'Revenue Tracking'!$H$13:$H$20, "&lt;"&amp;P1)</f>
        <v>0</v>
      </c>
      <c r="P3" s="252">
        <f>SUMIFS('Revenue Tracking'!$F$13:$F$20, 'Revenue Tracking'!$H$13:$H$20, "&gt;="&amp;P1,'Revenue Tracking'!$H$13:$H$20, "&lt;"&amp;Q1)</f>
        <v>0</v>
      </c>
      <c r="Q3" s="252">
        <f>SUMIFS('Revenue Tracking'!$F$13:$F$20, 'Revenue Tracking'!$H$13:$H$20, "&gt;="&amp;Q1,'Revenue Tracking'!$H$13:$H$20, "&lt;"&amp;R1)</f>
        <v>0</v>
      </c>
      <c r="R3" s="252">
        <f>SUMIFS('Revenue Tracking'!$F$13:$F$20, 'Revenue Tracking'!$H$13:$H$20, "&gt;="&amp;R1,'Revenue Tracking'!$H$13:$H$20, "&lt;"&amp;S1)</f>
        <v>0</v>
      </c>
      <c r="S3" s="252">
        <f>SUMIFS('Revenue Tracking'!$F$13:$F$20, 'Revenue Tracking'!$H$13:$H$20, "&gt;="&amp;S1,'Revenue Tracking'!$H$13:$H$20, "&lt;"&amp;T1)</f>
        <v>0</v>
      </c>
      <c r="T3" s="252">
        <f>SUMIFS('Revenue Tracking'!$F$13:$F$20, 'Revenue Tracking'!$H$13:$H$20, "&gt;="&amp;T1,'Revenue Tracking'!$H$13:$H$20, "&lt;"&amp;U1)</f>
        <v>0</v>
      </c>
      <c r="U3" s="252">
        <f>SUMIFS('Revenue Tracking'!$F$13:$F$20, 'Revenue Tracking'!$H$13:$H$20, "&gt;="&amp;U1,'Revenue Tracking'!$H$13:$H$20, "&lt;"&amp;V1)</f>
        <v>0</v>
      </c>
      <c r="V3" s="252">
        <f>SUMIFS('Revenue Tracking'!$F$13:$F$20, 'Revenue Tracking'!$H$13:$H$20, "&gt;="&amp;V1,'Revenue Tracking'!$H$13:$H$20, "&lt;"&amp;W1)</f>
        <v>0</v>
      </c>
      <c r="W3" s="252">
        <f>SUMIFS('Revenue Tracking'!$F$13:$F$20, 'Revenue Tracking'!$H$13:$H$20, "&gt;="&amp;W1,'Revenue Tracking'!$H$13:$H$20, "&lt;"&amp;X1)</f>
        <v>0</v>
      </c>
      <c r="X3" s="252">
        <f>SUMIFS('Revenue Tracking'!$F$13:$F$20, 'Revenue Tracking'!$H$13:$H$20, "&gt;="&amp;X1,'Revenue Tracking'!$H$13:$H$20, "&lt;"&amp;Y1)</f>
        <v>0</v>
      </c>
      <c r="Y3" s="252">
        <f>SUMIFS('Revenue Tracking'!$F$13:$F$20, 'Revenue Tracking'!$H$13:$H$20, "&gt;="&amp;Y1,'Revenue Tracking'!$H$13:$H$20, "&lt;"&amp;Z1)</f>
        <v>0</v>
      </c>
      <c r="Z3" s="252">
        <f>SUMIFS('Revenue Tracking'!$F$13:$F$20, 'Revenue Tracking'!$H$13:$H$20, "&gt;="&amp;Z1,'Revenue Tracking'!$H$13:$H$20, "&lt;"&amp;AA1)</f>
        <v>5531580.9050000003</v>
      </c>
      <c r="AA3" s="252">
        <f>SUMIFS('Revenue Tracking'!$F$13:$F$20, 'Revenue Tracking'!$H$13:$H$20, "&gt;="&amp;AA1,'Revenue Tracking'!$H$13:$H$20, "&lt;"&amp;AB1)</f>
        <v>0</v>
      </c>
      <c r="AB3" s="252">
        <f>SUMIFS('Revenue Tracking'!$F$13:$F$20, 'Revenue Tracking'!$H$13:$H$20, "&gt;="&amp;AB1,'Revenue Tracking'!$H$13:$H$20, "&lt;"&amp;AC1)</f>
        <v>0</v>
      </c>
      <c r="AC3" s="252">
        <f>SUMIFS('Revenue Tracking'!$F$13:$F$20, 'Revenue Tracking'!$H$13:$H$20, "&gt;="&amp;AC1,'Revenue Tracking'!$H$13:$H$20, "&lt;"&amp;AD1)</f>
        <v>0</v>
      </c>
      <c r="AD3" s="252">
        <f>SUMIFS('Revenue Tracking'!$F$13:$F$20, 'Revenue Tracking'!$H$13:$H$20, "&gt;="&amp;AD1,'Revenue Tracking'!$H$13:$H$20, "&lt;"&amp;AE1)</f>
        <v>0</v>
      </c>
      <c r="AE3" s="252">
        <f>SUMIFS('Revenue Tracking'!$F$13:$F$20, 'Revenue Tracking'!$H$13:$H$20, "&gt;="&amp;AE1,'Revenue Tracking'!$H$13:$H$20, "&lt;"&amp;AF1)</f>
        <v>0</v>
      </c>
      <c r="AF3" s="252">
        <f>SUMIFS('Revenue Tracking'!$F$13:$F$20, 'Revenue Tracking'!$H$13:$H$20, "&gt;="&amp;AF1,'Revenue Tracking'!$H$13:$H$20, "&lt;"&amp;AG1)</f>
        <v>0</v>
      </c>
      <c r="AG3" s="252">
        <f>SUMIFS('Revenue Tracking'!$F$13:$F$20, 'Revenue Tracking'!$H$13:$H$20, "&gt;="&amp;AG1,'Revenue Tracking'!$H$13:$H$20, "&lt;"&amp;AH1)</f>
        <v>0</v>
      </c>
      <c r="AH3" s="252">
        <f>SUMIFS('Revenue Tracking'!$F$13:$F$20, 'Revenue Tracking'!$H$13:$H$20, "&gt;="&amp;AH1,'Revenue Tracking'!$H$13:$H$20, "&lt;"&amp;AI1)</f>
        <v>0</v>
      </c>
      <c r="AI3" s="252">
        <f>SUMIFS('Revenue Tracking'!$F$13:$F$20, 'Revenue Tracking'!$H$13:$H$20, "&gt;="&amp;AI1,'Revenue Tracking'!$H$13:$H$20, "&lt;"&amp;AJ1)</f>
        <v>0</v>
      </c>
      <c r="AJ3" s="252">
        <f>SUMIFS('Revenue Tracking'!$F$13:$F$20, 'Revenue Tracking'!$H$13:$H$20, "&gt;="&amp;AJ1,'Revenue Tracking'!$H$13:$H$20, "&lt;"&amp;AK1)</f>
        <v>0</v>
      </c>
      <c r="AK3" s="252">
        <f>SUMIFS('Revenue Tracking'!$F$13:$F$20, 'Revenue Tracking'!$H$13:$H$20, "&gt;="&amp;AK1,'Revenue Tracking'!$H$13:$H$20, "&lt;"&amp;AL1)</f>
        <v>0</v>
      </c>
      <c r="AL3" s="252">
        <f>SUMIFS('Revenue Tracking'!$F$13:$F$20, 'Revenue Tracking'!$H$13:$H$20, "&gt;="&amp;AL1,'Revenue Tracking'!$H$13:$H$20, "&lt;"&amp;AM1)</f>
        <v>0</v>
      </c>
      <c r="AM3" s="252">
        <f>SUMIFS('Revenue Tracking'!$F$13:$F$20, 'Revenue Tracking'!$H$13:$H$20, "&gt;="&amp;AM1,'Revenue Tracking'!$H$13:$H$20, "&lt;"&amp;AN1)</f>
        <v>747654.41500000004</v>
      </c>
      <c r="AN3" s="252">
        <f>SUMIFS('Revenue Tracking'!$F$13:$F$20, 'Revenue Tracking'!$H$13:$H$20, "&gt;="&amp;AN1,'Revenue Tracking'!$H$13:$H$20, "&lt;"&amp;AO1)</f>
        <v>0</v>
      </c>
      <c r="AO3" s="252">
        <f>SUMIFS('Revenue Tracking'!$F$13:$F$20, 'Revenue Tracking'!$H$13:$H$20, "&gt;="&amp;AO1,'Revenue Tracking'!$H$13:$H$20, "&lt;"&amp;AP1)</f>
        <v>0</v>
      </c>
      <c r="AP3" s="252">
        <f>SUMIFS('Revenue Tracking'!$F$13:$F$20, 'Revenue Tracking'!$H$13:$H$20, "&gt;="&amp;AP1,'Revenue Tracking'!$H$13:$H$20, "&lt;"&amp;AQ1)</f>
        <v>0</v>
      </c>
      <c r="AQ3" s="252">
        <f>SUMIFS('Revenue Tracking'!$F$13:$F$20, 'Revenue Tracking'!$H$13:$H$20, "&gt;="&amp;AQ1,'Revenue Tracking'!$H$13:$H$20, "&lt;"&amp;AR1)</f>
        <v>0</v>
      </c>
      <c r="AR3" s="252">
        <f>SUMIFS('Revenue Tracking'!$F$13:$F$20, 'Revenue Tracking'!$H$13:$H$20, "&gt;="&amp;AR1,'Revenue Tracking'!$H$13:$H$20, "&lt;"&amp;AS1)</f>
        <v>0</v>
      </c>
      <c r="AS3" s="252">
        <f>SUMIFS('Revenue Tracking'!$F$13:$F$20, 'Revenue Tracking'!$H$13:$H$20, "&gt;="&amp;AS1,'Revenue Tracking'!$H$13:$H$20, "&lt;"&amp;AT1)</f>
        <v>0</v>
      </c>
      <c r="AT3" s="252">
        <f>SUMIFS('Revenue Tracking'!$F$13:$F$20, 'Revenue Tracking'!$H$13:$H$20, "&gt;="&amp;AT1,'Revenue Tracking'!$H$13:$H$20, "&lt;"&amp;AU1)</f>
        <v>0</v>
      </c>
      <c r="AU3" s="252">
        <f>SUMIFS('Revenue Tracking'!$F$13:$F$20, 'Revenue Tracking'!$H$13:$H$20, "&gt;="&amp;AU1,'Revenue Tracking'!$H$13:$H$20, "&lt;"&amp;AV1)</f>
        <v>0</v>
      </c>
      <c r="AV3" s="252">
        <f>SUMIFS('Revenue Tracking'!$F$13:$F$20, 'Revenue Tracking'!$H$13:$H$20, "&gt;="&amp;AV1,'Revenue Tracking'!$H$13:$H$20, "&lt;"&amp;AW1)</f>
        <v>0</v>
      </c>
      <c r="AW3" s="252">
        <f>SUMIFS('Revenue Tracking'!$F$13:$F$20, 'Revenue Tracking'!$H$13:$H$20, "&gt;="&amp;AW1,'Revenue Tracking'!$H$13:$H$20, "&lt;"&amp;AX1)</f>
        <v>0</v>
      </c>
      <c r="AX3" s="252">
        <f>SUMIFS('Revenue Tracking'!$F$13:$F$20, 'Revenue Tracking'!$H$13:$H$20, "&gt;="&amp;AX1,'Revenue Tracking'!$H$13:$H$20, "&lt;"&amp;AY1)</f>
        <v>0</v>
      </c>
      <c r="AY3" s="252">
        <f>SUMIFS('Revenue Tracking'!$F$13:$F$20, 'Revenue Tracking'!$H$13:$H$20, "&gt;="&amp;AY1,'Revenue Tracking'!$H$13:$H$20, "&lt;"&amp;AZ1)</f>
        <v>0</v>
      </c>
      <c r="AZ3" s="252">
        <f>SUMIFS('Revenue Tracking'!$F$13:$F$20, 'Revenue Tracking'!$H$13:$H$20, "&gt;="&amp;AZ1,'Revenue Tracking'!$H$13:$H$20, "&lt;"&amp;BA1)</f>
        <v>0</v>
      </c>
      <c r="BA3" s="252">
        <f>SUMIFS('Revenue Tracking'!$F$13:$F$20, 'Revenue Tracking'!$H$13:$H$20, "&gt;="&amp;BA1,'Revenue Tracking'!$H$13:$H$20, "&lt;"&amp;BB1)</f>
        <v>0</v>
      </c>
      <c r="BB3" s="252">
        <f>SUMIFS('Revenue Tracking'!$F$13:$F$20, 'Revenue Tracking'!$H$13:$H$20, "&gt;="&amp;BB1,'Revenue Tracking'!$H$13:$H$20, "&lt;"&amp;BC1)</f>
        <v>0</v>
      </c>
      <c r="BC3" s="252">
        <f>SUMIFS('Revenue Tracking'!$F$13:$F$20, 'Revenue Tracking'!$H$13:$H$20, "&gt;="&amp;BC1,'Revenue Tracking'!$H$13:$H$20, "&lt;"&amp;BD1)</f>
        <v>0</v>
      </c>
      <c r="BD3" s="252">
        <f>SUMIFS('Revenue Tracking'!$F$13:$F$20, 'Revenue Tracking'!$H$13:$H$20, "&gt;="&amp;BD1,'Revenue Tracking'!$H$13:$H$20, "&lt;"&amp;BE1)</f>
        <v>0</v>
      </c>
      <c r="BE3" s="252">
        <f>SUMIFS('Revenue Tracking'!$F$13:$F$20, 'Revenue Tracking'!$H$13:$H$20, "&gt;="&amp;BE1,'Revenue Tracking'!$H$13:$H$20, "&lt;"&amp;GG1)</f>
        <v>0</v>
      </c>
      <c r="BF3" s="252">
        <f>SUMIFS('Revenue Tracking'!$F$13:$F$20, 'Revenue Tracking'!$H$13:$H$20, "&gt;="&amp;BF1,'Revenue Tracking'!$H$13:$H$20, "&lt;"&amp;GH1)</f>
        <v>0</v>
      </c>
      <c r="BG3" s="252">
        <f>SUMIFS('Revenue Tracking'!$F$13:$F$20, 'Revenue Tracking'!$H$13:$H$20, "&gt;="&amp;BG1,'Revenue Tracking'!$H$13:$H$20, "&lt;"&amp;GI1)</f>
        <v>0</v>
      </c>
      <c r="BH3" s="252">
        <f>SUMIFS('Revenue Tracking'!$F$13:$F$20, 'Revenue Tracking'!$H$13:$H$20, "&gt;="&amp;BH1,'Revenue Tracking'!$H$13:$H$20, "&lt;"&amp;GJ1)</f>
        <v>0</v>
      </c>
      <c r="BI3" s="252">
        <f>SUMIFS('Revenue Tracking'!$F$13:$F$20, 'Revenue Tracking'!$H$13:$H$20, "&gt;="&amp;BI1,'Revenue Tracking'!$H$13:$H$20, "&lt;"&amp;GK1)</f>
        <v>0</v>
      </c>
      <c r="BJ3" s="252">
        <f>SUMIFS('Revenue Tracking'!$F$13:$F$20, 'Revenue Tracking'!$H$13:$H$20, "&gt;="&amp;BJ1,'Revenue Tracking'!$H$13:$H$20, "&lt;"&amp;GL1)</f>
        <v>0</v>
      </c>
      <c r="BK3" s="252">
        <f>SUMIFS('Revenue Tracking'!$F$13:$F$20, 'Revenue Tracking'!$H$13:$H$20, "&gt;="&amp;BK1,'Revenue Tracking'!$H$13:$H$20, "&lt;"&amp;GM1)</f>
        <v>0</v>
      </c>
      <c r="BL3" s="252">
        <f>SUMIFS('Revenue Tracking'!$F$13:$F$20, 'Revenue Tracking'!$H$13:$H$20, "&gt;="&amp;BL1,'Revenue Tracking'!$H$13:$H$20, "&lt;"&amp;GN1)</f>
        <v>0</v>
      </c>
      <c r="BM3" s="252">
        <f>SUMIFS('Revenue Tracking'!$F$13:$F$20, 'Revenue Tracking'!$H$13:$H$20, "&gt;="&amp;BM1,'Revenue Tracking'!$H$13:$H$20, "&lt;"&amp;GO1)</f>
        <v>0</v>
      </c>
      <c r="BN3" s="252">
        <f>SUMIFS('Revenue Tracking'!$F$13:$F$20, 'Revenue Tracking'!$H$13:$H$20, "&gt;="&amp;BN1,'Revenue Tracking'!$H$13:$H$20, "&lt;"&amp;GP1)</f>
        <v>0</v>
      </c>
      <c r="BO3" s="252">
        <f>SUMIFS('Revenue Tracking'!$F$13:$F$20, 'Revenue Tracking'!$H$13:$H$20, "&gt;="&amp;BO1,'Revenue Tracking'!$H$13:$H$20, "&lt;"&amp;GQ1)</f>
        <v>0</v>
      </c>
      <c r="BP3" s="252">
        <f>SUMIFS('Revenue Tracking'!$F$13:$F$20, 'Revenue Tracking'!$H$13:$H$20, "&gt;="&amp;BP1,'Revenue Tracking'!$H$13:$H$20, "&lt;"&amp;GR1)</f>
        <v>0</v>
      </c>
      <c r="BQ3" s="252">
        <f>SUMIFS('Revenue Tracking'!$F$13:$F$20, 'Revenue Tracking'!$H$13:$H$20, "&gt;="&amp;BQ1,'Revenue Tracking'!$H$13:$H$20, "&lt;"&amp;GS1)</f>
        <v>0</v>
      </c>
      <c r="BR3" s="252">
        <f>SUMIFS('Revenue Tracking'!$F$13:$F$20, 'Revenue Tracking'!$H$13:$H$20, "&gt;="&amp;BR1,'Revenue Tracking'!$H$13:$H$20, "&lt;"&amp;GT1)</f>
        <v>0</v>
      </c>
      <c r="BS3" s="252">
        <f>SUMIFS('Revenue Tracking'!$F$13:$F$20, 'Revenue Tracking'!$H$13:$H$20, "&gt;="&amp;BS1,'Revenue Tracking'!$H$13:$H$20, "&lt;"&amp;GU1)</f>
        <v>0</v>
      </c>
      <c r="BT3" s="252">
        <f>SUMIFS('Revenue Tracking'!$F$13:$F$20, 'Revenue Tracking'!$H$13:$H$20, "&gt;="&amp;BT1,'Revenue Tracking'!$H$13:$H$20, "&lt;"&amp;GV1)</f>
        <v>0</v>
      </c>
      <c r="BU3" s="252">
        <f>SUMIFS('Revenue Tracking'!$F$13:$F$20, 'Revenue Tracking'!$H$13:$H$20, "&gt;="&amp;BU1,'Revenue Tracking'!$H$13:$H$20, "&lt;"&amp;GW1)</f>
        <v>0</v>
      </c>
      <c r="BV3" s="252">
        <f>SUMIFS('Revenue Tracking'!$F$13:$F$20, 'Revenue Tracking'!$H$13:$H$20, "&gt;="&amp;BV1,'Revenue Tracking'!$H$13:$H$20, "&lt;"&amp;GX1)</f>
        <v>0</v>
      </c>
      <c r="BW3" s="252">
        <f>SUMIFS('Revenue Tracking'!$F$13:$F$20, 'Revenue Tracking'!$H$13:$H$20, "&gt;="&amp;BW1,'Revenue Tracking'!$H$13:$H$20, "&lt;"&amp;GY1)</f>
        <v>0</v>
      </c>
      <c r="BX3" s="252">
        <f>SUMIFS('Revenue Tracking'!$F$13:$F$20, 'Revenue Tracking'!$H$13:$H$20, "&gt;="&amp;BX1,'Revenue Tracking'!$H$13:$H$20, "&lt;"&amp;GZ1)</f>
        <v>0</v>
      </c>
      <c r="BY3" s="252">
        <f>SUMIFS('Revenue Tracking'!$F$13:$F$20, 'Revenue Tracking'!$H$13:$H$20, "&gt;="&amp;BY1,'Revenue Tracking'!$H$13:$H$20, "&lt;"&amp;HA1)</f>
        <v>0</v>
      </c>
      <c r="BZ3" s="252">
        <f>SUMIFS('Revenue Tracking'!$F$13:$F$20, 'Revenue Tracking'!$H$13:$H$20, "&gt;="&amp;BZ1,'Revenue Tracking'!$H$13:$H$20, "&lt;"&amp;HB1)</f>
        <v>0</v>
      </c>
      <c r="CA3" s="252">
        <f>SUMIFS('Revenue Tracking'!$F$13:$F$20, 'Revenue Tracking'!$H$13:$H$20, "&gt;="&amp;CA1,'Revenue Tracking'!$H$13:$H$20, "&lt;"&amp;HC1)</f>
        <v>0</v>
      </c>
      <c r="CB3" s="252">
        <f>SUMIFS('Revenue Tracking'!$F$13:$F$20, 'Revenue Tracking'!$H$13:$H$20, "&gt;="&amp;CB1,'Revenue Tracking'!$H$13:$H$20, "&lt;"&amp;HD1)</f>
        <v>0</v>
      </c>
      <c r="CC3" s="252">
        <f>SUMIFS('Revenue Tracking'!$F$13:$F$20, 'Revenue Tracking'!$H$13:$H$20, "&gt;="&amp;CC1,'Revenue Tracking'!$H$13:$H$20, "&lt;"&amp;HE1)</f>
        <v>0</v>
      </c>
      <c r="CD3" s="252">
        <f>SUMIFS('Revenue Tracking'!$F$13:$F$20, 'Revenue Tracking'!$H$13:$H$20, "&gt;="&amp;CD1,'Revenue Tracking'!$H$13:$H$20, "&lt;"&amp;HF1)</f>
        <v>0</v>
      </c>
      <c r="CE3" s="252">
        <f>SUMIFS('Revenue Tracking'!$F$13:$F$20, 'Revenue Tracking'!$H$13:$H$20, "&gt;="&amp;CE1,'Revenue Tracking'!$H$13:$H$20, "&lt;"&amp;HG1)</f>
        <v>0</v>
      </c>
      <c r="CF3" s="252">
        <f>SUMIFS('Revenue Tracking'!$F$13:$F$20, 'Revenue Tracking'!$H$13:$H$20, "&gt;="&amp;CF1,'Revenue Tracking'!$H$13:$H$20, "&lt;"&amp;HH1)</f>
        <v>0</v>
      </c>
      <c r="CG3" s="252">
        <f>SUMIFS('Revenue Tracking'!$F$13:$F$20, 'Revenue Tracking'!$H$13:$H$20, "&gt;="&amp;CG1,'Revenue Tracking'!$H$13:$H$20, "&lt;"&amp;HI1)</f>
        <v>0</v>
      </c>
      <c r="CH3" s="252">
        <f>SUMIFS('Revenue Tracking'!$F$13:$F$20, 'Revenue Tracking'!$H$13:$H$20, "&gt;="&amp;CH1,'Revenue Tracking'!$H$13:$H$20, "&lt;"&amp;HJ1)</f>
        <v>0</v>
      </c>
      <c r="CI3" s="252">
        <f>SUMIFS('Revenue Tracking'!$F$13:$F$20, 'Revenue Tracking'!$H$13:$H$20, "&gt;="&amp;CI1,'Revenue Tracking'!$H$13:$H$20, "&lt;"&amp;HK1)</f>
        <v>0</v>
      </c>
      <c r="CJ3" s="252">
        <f>SUMIFS('Revenue Tracking'!$F$13:$F$20, 'Revenue Tracking'!$H$13:$H$20, "&gt;="&amp;CJ1,'Revenue Tracking'!$H$13:$H$20, "&lt;"&amp;HL1)</f>
        <v>0</v>
      </c>
      <c r="CK3" s="252">
        <f>SUMIFS('Revenue Tracking'!$F$13:$F$20, 'Revenue Tracking'!$H$13:$H$20, "&gt;="&amp;CK1,'Revenue Tracking'!$H$13:$H$20, "&lt;"&amp;HM1)</f>
        <v>0</v>
      </c>
      <c r="CL3" s="252">
        <f>SUMIFS('Revenue Tracking'!$F$13:$F$20, 'Revenue Tracking'!$H$13:$H$20, "&gt;="&amp;CL1,'Revenue Tracking'!$H$13:$H$20, "&lt;"&amp;HN1)</f>
        <v>0</v>
      </c>
      <c r="CM3" s="252">
        <f>SUMIFS('Revenue Tracking'!$F$13:$F$20, 'Revenue Tracking'!$H$13:$H$20, "&gt;="&amp;CM1,'Revenue Tracking'!$H$13:$H$20, "&lt;"&amp;HO1)</f>
        <v>0</v>
      </c>
      <c r="CN3" s="252">
        <f>SUMIFS('Revenue Tracking'!$F$13:$F$20, 'Revenue Tracking'!$H$13:$H$20, "&gt;="&amp;CN1,'Revenue Tracking'!$H$13:$H$20, "&lt;"&amp;HP1)</f>
        <v>0</v>
      </c>
      <c r="CO3" s="252">
        <f>SUMIFS('Revenue Tracking'!$F$13:$F$20, 'Revenue Tracking'!$H$13:$H$20, "&gt;="&amp;CO1,'Revenue Tracking'!$H$13:$H$20, "&lt;"&amp;HQ1)</f>
        <v>0</v>
      </c>
      <c r="CP3" s="252">
        <f>SUMIFS('Revenue Tracking'!$F$13:$F$20, 'Revenue Tracking'!$H$13:$H$20, "&gt;="&amp;CP1,'Revenue Tracking'!$H$13:$H$20, "&lt;"&amp;HR1)</f>
        <v>0</v>
      </c>
      <c r="CQ3" s="252">
        <f>SUMIFS('Revenue Tracking'!$F$13:$F$20, 'Revenue Tracking'!$H$13:$H$20, "&gt;="&amp;CQ1,'Revenue Tracking'!$H$13:$H$20, "&lt;"&amp;HS1)</f>
        <v>0</v>
      </c>
      <c r="CR3" s="252">
        <f>SUMIFS('Revenue Tracking'!$F$13:$F$20, 'Revenue Tracking'!$H$13:$H$20, "&gt;="&amp;CR1,'Revenue Tracking'!$H$13:$H$20, "&lt;"&amp;HT1)</f>
        <v>0</v>
      </c>
      <c r="CS3" s="252">
        <f>SUMIFS('Revenue Tracking'!$F$13:$F$20, 'Revenue Tracking'!$H$13:$H$20, "&gt;="&amp;CS1,'Revenue Tracking'!$H$13:$H$20, "&lt;"&amp;HU1)</f>
        <v>0</v>
      </c>
      <c r="CT3" s="252">
        <f>SUMIFS('Revenue Tracking'!$F$13:$F$20, 'Revenue Tracking'!$H$13:$H$20, "&gt;="&amp;CT1,'Revenue Tracking'!$H$13:$H$20, "&lt;"&amp;HV1)</f>
        <v>0</v>
      </c>
      <c r="CU3" s="252">
        <f>SUMIFS('Revenue Tracking'!$F$13:$F$20, 'Revenue Tracking'!$H$13:$H$20, "&gt;="&amp;CU1,'Revenue Tracking'!$H$13:$H$20, "&lt;"&amp;HW1)</f>
        <v>0</v>
      </c>
      <c r="CV3" s="252">
        <f>SUMIFS('Revenue Tracking'!$F$13:$F$20, 'Revenue Tracking'!$H$13:$H$20, "&gt;="&amp;CV1,'Revenue Tracking'!$H$13:$H$20, "&lt;"&amp;HX1)</f>
        <v>0</v>
      </c>
      <c r="CW3" s="252">
        <f>SUMIFS('Revenue Tracking'!$F$13:$F$20, 'Revenue Tracking'!$H$13:$H$20, "&gt;="&amp;CW1,'Revenue Tracking'!$H$13:$H$20, "&lt;"&amp;HY1)</f>
        <v>0</v>
      </c>
      <c r="CX3" s="252">
        <f>SUMIFS('Revenue Tracking'!$F$13:$F$20, 'Revenue Tracking'!$H$13:$H$20, "&gt;="&amp;CX1,'Revenue Tracking'!$H$13:$H$20, "&lt;"&amp;HZ1)</f>
        <v>0</v>
      </c>
      <c r="CY3" s="252">
        <f>SUMIFS('Revenue Tracking'!$F$13:$F$20, 'Revenue Tracking'!$H$13:$H$20, "&gt;="&amp;CY1,'Revenue Tracking'!$H$13:$H$20, "&lt;"&amp;IA1)</f>
        <v>0</v>
      </c>
      <c r="CZ3" s="252">
        <f>SUMIFS('Revenue Tracking'!$F$13:$F$20, 'Revenue Tracking'!$H$13:$H$20, "&gt;="&amp;CZ1,'Revenue Tracking'!$H$13:$H$20, "&lt;"&amp;IB1)</f>
        <v>0</v>
      </c>
      <c r="DA3" s="252">
        <f>SUMIFS('Revenue Tracking'!$F$13:$F$20, 'Revenue Tracking'!$H$13:$H$20, "&gt;="&amp;DA1,'Revenue Tracking'!$H$13:$H$20, "&lt;"&amp;IC1)</f>
        <v>0</v>
      </c>
      <c r="DB3" s="252">
        <f>SUMIFS('Revenue Tracking'!$F$13:$F$20, 'Revenue Tracking'!$H$13:$H$20, "&gt;="&amp;DB1,'Revenue Tracking'!$H$13:$H$20, "&lt;"&amp;ID1)</f>
        <v>0</v>
      </c>
      <c r="DC3" s="252">
        <f>SUMIFS('Revenue Tracking'!$F$13:$F$20, 'Revenue Tracking'!$H$13:$H$20, "&gt;="&amp;DC1,'Revenue Tracking'!$H$13:$H$20, "&lt;"&amp;IE1)</f>
        <v>0</v>
      </c>
      <c r="DD3" s="252">
        <f>SUMIFS('Revenue Tracking'!$F$13:$F$20, 'Revenue Tracking'!$H$13:$H$20, "&gt;="&amp;DD1,'Revenue Tracking'!$H$13:$H$20, "&lt;"&amp;IF1)</f>
        <v>0</v>
      </c>
      <c r="DE3" s="252">
        <f>SUMIFS('Revenue Tracking'!$F$13:$F$20, 'Revenue Tracking'!$H$13:$H$20, "&gt;="&amp;DE1,'Revenue Tracking'!$H$13:$H$20, "&lt;"&amp;IG1)</f>
        <v>0</v>
      </c>
      <c r="DF3" s="252">
        <f>SUMIFS('Revenue Tracking'!$F$13:$F$20, 'Revenue Tracking'!$H$13:$H$20, "&gt;="&amp;DF1,'Revenue Tracking'!$H$13:$H$20, "&lt;"&amp;IH1)</f>
        <v>0</v>
      </c>
      <c r="DG3" s="252">
        <f>SUMIFS('Revenue Tracking'!$F$13:$F$20, 'Revenue Tracking'!$H$13:$H$20, "&gt;="&amp;DG1,'Revenue Tracking'!$H$13:$H$20, "&lt;"&amp;II1)</f>
        <v>0</v>
      </c>
      <c r="DH3" s="252">
        <f>SUMIFS('Revenue Tracking'!$F$13:$F$20, 'Revenue Tracking'!$H$13:$H$20, "&gt;="&amp;DH1,'Revenue Tracking'!$H$13:$H$20, "&lt;"&amp;IJ1)</f>
        <v>0</v>
      </c>
      <c r="DI3" s="252">
        <f>SUMIFS('Revenue Tracking'!$F$13:$F$20, 'Revenue Tracking'!$H$13:$H$20, "&gt;="&amp;DI1,'Revenue Tracking'!$H$13:$H$20, "&lt;"&amp;IK1)</f>
        <v>0</v>
      </c>
      <c r="DJ3" s="252">
        <f>SUMIFS('Revenue Tracking'!$F$13:$F$20, 'Revenue Tracking'!$H$13:$H$20, "&gt;="&amp;DJ1,'Revenue Tracking'!$H$13:$H$20, "&lt;"&amp;IL1)</f>
        <v>0</v>
      </c>
      <c r="DK3" s="252">
        <f>SUMIFS('Revenue Tracking'!$F$13:$F$20, 'Revenue Tracking'!$H$13:$H$20, "&gt;="&amp;DK1,'Revenue Tracking'!$H$13:$H$20, "&lt;"&amp;IM1)</f>
        <v>0</v>
      </c>
      <c r="DL3" s="252">
        <f>SUMIFS('Revenue Tracking'!$F$13:$F$20, 'Revenue Tracking'!$H$13:$H$20, "&gt;="&amp;DL1,'Revenue Tracking'!$H$13:$H$20, "&lt;"&amp;IN1)</f>
        <v>0</v>
      </c>
      <c r="DM3" s="252">
        <f>SUMIFS('Revenue Tracking'!$F$13:$F$20, 'Revenue Tracking'!$H$13:$H$20, "&gt;="&amp;DM1,'Revenue Tracking'!$H$13:$H$20, "&lt;"&amp;IO1)</f>
        <v>0</v>
      </c>
      <c r="DN3" s="252">
        <f>SUMIFS('Revenue Tracking'!$F$13:$F$20, 'Revenue Tracking'!$H$13:$H$20, "&gt;="&amp;DN1,'Revenue Tracking'!$H$13:$H$20, "&lt;"&amp;IP1)</f>
        <v>0</v>
      </c>
      <c r="DO3" s="252">
        <f>SUMIFS('Revenue Tracking'!$F$13:$F$20, 'Revenue Tracking'!$H$13:$H$20, "&gt;="&amp;DO1,'Revenue Tracking'!$H$13:$H$20, "&lt;"&amp;IQ1)</f>
        <v>0</v>
      </c>
      <c r="DP3" s="252">
        <f>SUMIFS('Revenue Tracking'!$F$13:$F$20, 'Revenue Tracking'!$H$13:$H$20, "&gt;="&amp;DP1,'Revenue Tracking'!$H$13:$H$20, "&lt;"&amp;IR1)</f>
        <v>0</v>
      </c>
      <c r="DQ3" s="252">
        <f>SUMIFS('Revenue Tracking'!$F$13:$F$20, 'Revenue Tracking'!$H$13:$H$20, "&gt;="&amp;DQ1,'Revenue Tracking'!$H$13:$H$20, "&lt;"&amp;IS1)</f>
        <v>0</v>
      </c>
      <c r="DR3" s="252">
        <f>SUMIFS('Revenue Tracking'!$F$13:$F$20, 'Revenue Tracking'!$H$13:$H$20, "&gt;="&amp;DR1,'Revenue Tracking'!$H$13:$H$20, "&lt;"&amp;IT1)</f>
        <v>0</v>
      </c>
      <c r="DS3" s="252">
        <f>SUMIFS('Revenue Tracking'!$F$13:$F$20, 'Revenue Tracking'!$H$13:$H$20, "&gt;="&amp;DS1,'Revenue Tracking'!$H$13:$H$20, "&lt;"&amp;IU1)</f>
        <v>0</v>
      </c>
      <c r="DT3" s="252">
        <f>SUMIFS('Revenue Tracking'!$F$13:$F$20, 'Revenue Tracking'!$H$13:$H$20, "&gt;="&amp;DT1,'Revenue Tracking'!$H$13:$H$20, "&lt;"&amp;IV1)</f>
        <v>0</v>
      </c>
      <c r="DU3" s="252">
        <f>SUMIFS('Revenue Tracking'!$F$13:$F$20, 'Revenue Tracking'!$H$13:$H$20, "&gt;="&amp;DU1,'Revenue Tracking'!$H$13:$H$20, "&lt;"&amp;IW1)</f>
        <v>0</v>
      </c>
      <c r="DV3" s="252">
        <f>SUMIFS('Revenue Tracking'!$F$13:$F$20, 'Revenue Tracking'!$H$13:$H$20, "&gt;="&amp;DV1,'Revenue Tracking'!$H$13:$H$20, "&lt;"&amp;IX1)</f>
        <v>0</v>
      </c>
      <c r="DW3" s="252">
        <f>SUMIFS('Revenue Tracking'!$F$13:$F$20, 'Revenue Tracking'!$H$13:$H$20, "&gt;="&amp;DW1,'Revenue Tracking'!$H$13:$H$20, "&lt;"&amp;IY1)</f>
        <v>0</v>
      </c>
      <c r="DX3" s="252">
        <f>SUMIFS('Revenue Tracking'!$F$13:$F$20, 'Revenue Tracking'!$H$13:$H$20, "&gt;="&amp;DX1,'Revenue Tracking'!$H$13:$H$20, "&lt;"&amp;IZ1)</f>
        <v>0</v>
      </c>
      <c r="DY3" s="252">
        <f>SUMIFS('Revenue Tracking'!$F$13:$F$20, 'Revenue Tracking'!$H$13:$H$20, "&gt;="&amp;DY1,'Revenue Tracking'!$H$13:$H$20, "&lt;"&amp;JA1)</f>
        <v>0</v>
      </c>
      <c r="DZ3" s="252">
        <f>SUMIFS('Revenue Tracking'!$F$13:$F$20, 'Revenue Tracking'!$H$13:$H$20, "&gt;="&amp;DZ1,'Revenue Tracking'!$H$13:$H$20, "&lt;"&amp;JB1)</f>
        <v>0</v>
      </c>
      <c r="EA3" s="252">
        <f>SUMIFS('Revenue Tracking'!$F$13:$F$20, 'Revenue Tracking'!$H$13:$H$20, "&gt;="&amp;EA1,'Revenue Tracking'!$H$13:$H$20, "&lt;"&amp;JC1)</f>
        <v>0</v>
      </c>
      <c r="EB3" s="252">
        <f>SUMIFS('Revenue Tracking'!$F$13:$F$20, 'Revenue Tracking'!$H$13:$H$20, "&gt;="&amp;EB1,'Revenue Tracking'!$H$13:$H$20, "&lt;"&amp;JD1)</f>
        <v>0</v>
      </c>
      <c r="EC3" s="252">
        <f>SUMIFS('Revenue Tracking'!$F$13:$F$20, 'Revenue Tracking'!$H$13:$H$20, "&gt;="&amp;EC1,'Revenue Tracking'!$H$13:$H$20, "&lt;"&amp;JE1)</f>
        <v>0</v>
      </c>
      <c r="ED3" s="252">
        <f>SUMIFS('Revenue Tracking'!$F$13:$F$20, 'Revenue Tracking'!$H$13:$H$20, "&gt;="&amp;ED1,'Revenue Tracking'!$H$13:$H$20, "&lt;"&amp;JF1)</f>
        <v>0</v>
      </c>
      <c r="EE3" s="252">
        <f>SUMIFS('Revenue Tracking'!$F$13:$F$20, 'Revenue Tracking'!$H$13:$H$20, "&gt;="&amp;EE1,'Revenue Tracking'!$H$13:$H$20, "&lt;"&amp;JG1)</f>
        <v>0</v>
      </c>
      <c r="EF3" s="252">
        <f>SUMIFS('Revenue Tracking'!$F$13:$F$20, 'Revenue Tracking'!$H$13:$H$20, "&gt;="&amp;EF1,'Revenue Tracking'!$H$13:$H$20, "&lt;"&amp;JH1)</f>
        <v>0</v>
      </c>
      <c r="EG3" s="252">
        <f>SUMIFS('Revenue Tracking'!$F$13:$F$20, 'Revenue Tracking'!$H$13:$H$20, "&gt;="&amp;EG1,'Revenue Tracking'!$H$13:$H$20, "&lt;"&amp;JI1)</f>
        <v>0</v>
      </c>
      <c r="EH3" s="252">
        <f>SUMIFS('Revenue Tracking'!$F$13:$F$20, 'Revenue Tracking'!$H$13:$H$20, "&gt;="&amp;EH1,'Revenue Tracking'!$H$13:$H$20, "&lt;"&amp;JJ1)</f>
        <v>0</v>
      </c>
      <c r="EI3" s="252">
        <f>SUMIFS('Revenue Tracking'!$F$13:$F$20, 'Revenue Tracking'!$H$13:$H$20, "&gt;="&amp;EI1,'Revenue Tracking'!$H$13:$H$20, "&lt;"&amp;JK1)</f>
        <v>0</v>
      </c>
      <c r="EJ3" s="252">
        <f>SUMIFS('Revenue Tracking'!$F$13:$F$20, 'Revenue Tracking'!$H$13:$H$20, "&gt;="&amp;EJ1,'Revenue Tracking'!$H$13:$H$20, "&lt;"&amp;JL1)</f>
        <v>0</v>
      </c>
      <c r="EK3" s="252">
        <f>SUMIFS('Revenue Tracking'!$F$13:$F$20, 'Revenue Tracking'!$H$13:$H$20, "&gt;="&amp;EK1,'Revenue Tracking'!$H$13:$H$20, "&lt;"&amp;JM1)</f>
        <v>0</v>
      </c>
      <c r="EL3" s="252">
        <f>SUMIFS('Revenue Tracking'!$F$13:$F$20, 'Revenue Tracking'!$H$13:$H$20, "&gt;="&amp;EL1,'Revenue Tracking'!$H$13:$H$20, "&lt;"&amp;JN1)</f>
        <v>0</v>
      </c>
      <c r="EM3" s="252">
        <f>SUMIFS('Revenue Tracking'!$F$13:$F$20, 'Revenue Tracking'!$H$13:$H$20, "&gt;="&amp;EM1,'Revenue Tracking'!$H$13:$H$20, "&lt;"&amp;JO1)</f>
        <v>0</v>
      </c>
      <c r="EN3" s="252">
        <f>SUMIFS('Revenue Tracking'!$F$13:$F$20, 'Revenue Tracking'!$H$13:$H$20, "&gt;="&amp;EN1,'Revenue Tracking'!$H$13:$H$20, "&lt;"&amp;JP1)</f>
        <v>0</v>
      </c>
      <c r="EO3" s="252">
        <f>SUMIFS('Revenue Tracking'!$F$13:$F$20, 'Revenue Tracking'!$H$13:$H$20, "&gt;="&amp;EO1,'Revenue Tracking'!$H$13:$H$20, "&lt;"&amp;JQ1)</f>
        <v>0</v>
      </c>
      <c r="EP3" s="252">
        <f>SUMIFS('Revenue Tracking'!$F$13:$F$20, 'Revenue Tracking'!$H$13:$H$20, "&gt;="&amp;EP1,'Revenue Tracking'!$H$13:$H$20, "&lt;"&amp;JR1)</f>
        <v>0</v>
      </c>
      <c r="EQ3" s="252">
        <f>SUMIFS('Revenue Tracking'!$F$13:$F$20, 'Revenue Tracking'!$H$13:$H$20, "&gt;="&amp;EQ1,'Revenue Tracking'!$H$13:$H$20, "&lt;"&amp;JS1)</f>
        <v>0</v>
      </c>
      <c r="ER3" s="252">
        <f>SUMIFS('Revenue Tracking'!$F$13:$F$20, 'Revenue Tracking'!$H$13:$H$20, "&gt;="&amp;ER1,'Revenue Tracking'!$H$13:$H$20, "&lt;"&amp;JT1)</f>
        <v>0</v>
      </c>
      <c r="ES3" s="252">
        <f>SUMIFS('Revenue Tracking'!$F$13:$F$20, 'Revenue Tracking'!$H$13:$H$20, "&gt;="&amp;ES1,'Revenue Tracking'!$H$13:$H$20, "&lt;"&amp;JU1)</f>
        <v>0</v>
      </c>
      <c r="ET3" s="252">
        <f>SUMIFS('Revenue Tracking'!$F$13:$F$20, 'Revenue Tracking'!$H$13:$H$20, "&gt;="&amp;ET1,'Revenue Tracking'!$H$13:$H$20, "&lt;"&amp;JV1)</f>
        <v>0</v>
      </c>
      <c r="EU3" s="252">
        <f>SUMIFS('Revenue Tracking'!$F$13:$F$20, 'Revenue Tracking'!$H$13:$H$20, "&gt;="&amp;EU1,'Revenue Tracking'!$H$13:$H$20, "&lt;"&amp;JW1)</f>
        <v>0</v>
      </c>
      <c r="EV3" s="252">
        <f>SUMIFS('Revenue Tracking'!$F$13:$F$20, 'Revenue Tracking'!$H$13:$H$20, "&gt;="&amp;EV1,'Revenue Tracking'!$H$13:$H$20, "&lt;"&amp;JX1)</f>
        <v>0</v>
      </c>
      <c r="EW3" s="252">
        <f>SUMIFS('Revenue Tracking'!$F$13:$F$20, 'Revenue Tracking'!$H$13:$H$20, "&gt;="&amp;EW1,'Revenue Tracking'!$H$13:$H$20, "&lt;"&amp;JY1)</f>
        <v>0</v>
      </c>
      <c r="EX3" s="252">
        <f>SUMIFS('Revenue Tracking'!$F$13:$F$20, 'Revenue Tracking'!$H$13:$H$20, "&gt;="&amp;EX1,'Revenue Tracking'!$H$13:$H$20, "&lt;"&amp;JZ1)</f>
        <v>0</v>
      </c>
      <c r="EY3" s="252">
        <f>SUMIFS('Revenue Tracking'!$F$13:$F$20, 'Revenue Tracking'!$H$13:$H$20, "&gt;="&amp;EY1,'Revenue Tracking'!$H$13:$H$20, "&lt;"&amp;KA1)</f>
        <v>0</v>
      </c>
      <c r="EZ3" s="252">
        <f>SUMIFS('Revenue Tracking'!$F$13:$F$20, 'Revenue Tracking'!$H$13:$H$20, "&gt;="&amp;EZ1,'Revenue Tracking'!$H$13:$H$20, "&lt;"&amp;KB1)</f>
        <v>0</v>
      </c>
      <c r="FA3" s="252">
        <f>SUMIFS('Revenue Tracking'!$F$13:$F$20, 'Revenue Tracking'!$H$13:$H$20, "&gt;="&amp;FA1,'Revenue Tracking'!$H$13:$H$20, "&lt;"&amp;KC1)</f>
        <v>0</v>
      </c>
      <c r="FB3" s="252">
        <f>SUMIFS('Revenue Tracking'!$F$13:$F$20, 'Revenue Tracking'!$H$13:$H$20, "&gt;="&amp;FB1,'Revenue Tracking'!$H$13:$H$20, "&lt;"&amp;KD1)</f>
        <v>0</v>
      </c>
      <c r="FC3" s="252">
        <f>SUMIFS('Revenue Tracking'!$F$13:$F$20, 'Revenue Tracking'!$H$13:$H$20, "&gt;="&amp;FC1,'Revenue Tracking'!$H$13:$H$20, "&lt;"&amp;KE1)</f>
        <v>0</v>
      </c>
      <c r="FD3" s="252">
        <f>SUMIFS('Revenue Tracking'!$F$13:$F$20, 'Revenue Tracking'!$H$13:$H$20, "&gt;="&amp;FD1,'Revenue Tracking'!$H$13:$H$20, "&lt;"&amp;KF1)</f>
        <v>0</v>
      </c>
      <c r="FE3" s="252">
        <f>SUMIFS('Revenue Tracking'!$F$13:$F$20, 'Revenue Tracking'!$H$13:$H$20, "&gt;="&amp;FE1,'Revenue Tracking'!$H$13:$H$20, "&lt;"&amp;KG1)</f>
        <v>0</v>
      </c>
      <c r="FF3" s="252">
        <f>SUMIFS('Revenue Tracking'!$F$13:$F$20, 'Revenue Tracking'!$H$13:$H$20, "&gt;="&amp;FF1,'Revenue Tracking'!$H$13:$H$20, "&lt;"&amp;KH1)</f>
        <v>0</v>
      </c>
      <c r="FG3" s="252">
        <f>SUMIFS('Revenue Tracking'!$F$13:$F$20, 'Revenue Tracking'!$H$13:$H$20, "&gt;="&amp;FG1,'Revenue Tracking'!$H$13:$H$20, "&lt;"&amp;KI1)</f>
        <v>0</v>
      </c>
      <c r="FH3" s="252">
        <f>SUMIFS('Revenue Tracking'!$F$13:$F$20, 'Revenue Tracking'!$H$13:$H$20, "&gt;="&amp;FH1,'Revenue Tracking'!$H$13:$H$20, "&lt;"&amp;KJ1)</f>
        <v>0</v>
      </c>
      <c r="FI3" s="252">
        <f>SUMIFS('Revenue Tracking'!$F$13:$F$20, 'Revenue Tracking'!$H$13:$H$20, "&gt;="&amp;FI1,'Revenue Tracking'!$H$13:$H$20, "&lt;"&amp;KK1)</f>
        <v>0</v>
      </c>
      <c r="FJ3" s="252">
        <f>SUMIFS('Revenue Tracking'!$F$13:$F$20, 'Revenue Tracking'!$H$13:$H$20, "&gt;="&amp;FJ1,'Revenue Tracking'!$H$13:$H$20, "&lt;"&amp;KL1)</f>
        <v>0</v>
      </c>
      <c r="FK3" s="252">
        <f>SUMIFS('Revenue Tracking'!$F$13:$F$20, 'Revenue Tracking'!$H$13:$H$20, "&gt;="&amp;FK1,'Revenue Tracking'!$H$13:$H$20, "&lt;"&amp;KM1)</f>
        <v>0</v>
      </c>
      <c r="FL3" s="252">
        <f>SUMIFS('Revenue Tracking'!$F$13:$F$20, 'Revenue Tracking'!$H$13:$H$20, "&gt;="&amp;FL1,'Revenue Tracking'!$H$13:$H$20, "&lt;"&amp;KN1)</f>
        <v>0</v>
      </c>
      <c r="FM3" s="252">
        <f>SUMIFS('Revenue Tracking'!$F$13:$F$20, 'Revenue Tracking'!$H$13:$H$20, "&gt;="&amp;FM1,'Revenue Tracking'!$H$13:$H$20, "&lt;"&amp;KO1)</f>
        <v>0</v>
      </c>
      <c r="FN3" s="252">
        <f>SUMIFS('Revenue Tracking'!$F$13:$F$20, 'Revenue Tracking'!$H$13:$H$20, "&gt;="&amp;FN1,'Revenue Tracking'!$H$13:$H$20, "&lt;"&amp;KP1)</f>
        <v>0</v>
      </c>
      <c r="FO3" s="252">
        <f>SUMIFS('Revenue Tracking'!$F$13:$F$20, 'Revenue Tracking'!$H$13:$H$20, "&gt;="&amp;FO1,'Revenue Tracking'!$H$13:$H$20, "&lt;"&amp;KQ1)</f>
        <v>0</v>
      </c>
      <c r="FP3" s="252">
        <f>SUMIFS('Revenue Tracking'!$F$13:$F$20, 'Revenue Tracking'!$H$13:$H$20, "&gt;="&amp;FP1,'Revenue Tracking'!$H$13:$H$20, "&lt;"&amp;KR1)</f>
        <v>0</v>
      </c>
      <c r="FQ3" s="252">
        <f>SUMIFS('Revenue Tracking'!$F$13:$F$20, 'Revenue Tracking'!$H$13:$H$20, "&gt;="&amp;FQ1,'Revenue Tracking'!$H$13:$H$20, "&lt;"&amp;KS1)</f>
        <v>0</v>
      </c>
      <c r="FR3" s="252">
        <f>SUMIFS('Revenue Tracking'!$F$13:$F$20, 'Revenue Tracking'!$H$13:$H$20, "&gt;="&amp;FR1,'Revenue Tracking'!$H$13:$H$20, "&lt;"&amp;KT1)</f>
        <v>0</v>
      </c>
      <c r="FS3" s="252">
        <f>SUMIFS('Revenue Tracking'!$F$13:$F$20, 'Revenue Tracking'!$H$13:$H$20, "&gt;="&amp;FS1,'Revenue Tracking'!$H$13:$H$20, "&lt;"&amp;KU1)</f>
        <v>0</v>
      </c>
      <c r="FT3" s="252">
        <f>SUMIFS('Revenue Tracking'!$F$13:$F$20, 'Revenue Tracking'!$H$13:$H$20, "&gt;="&amp;FT1,'Revenue Tracking'!$H$13:$H$20, "&lt;"&amp;KV1)</f>
        <v>0</v>
      </c>
      <c r="FU3" s="252">
        <f>SUMIFS('Revenue Tracking'!$F$13:$F$20, 'Revenue Tracking'!$H$13:$H$20, "&gt;="&amp;FU1,'Revenue Tracking'!$H$13:$H$20, "&lt;"&amp;KW1)</f>
        <v>0</v>
      </c>
      <c r="FV3" s="252">
        <f>SUMIFS('Revenue Tracking'!$F$13:$F$20, 'Revenue Tracking'!$H$13:$H$20, "&gt;="&amp;FV1,'Revenue Tracking'!$H$13:$H$20, "&lt;"&amp;KX1)</f>
        <v>0</v>
      </c>
      <c r="FW3" s="252">
        <f>SUMIFS('Revenue Tracking'!$F$13:$F$20, 'Revenue Tracking'!$H$13:$H$20, "&gt;="&amp;FW1,'Revenue Tracking'!$H$13:$H$20, "&lt;"&amp;KY1)</f>
        <v>0</v>
      </c>
      <c r="FX3" s="252">
        <f>SUMIFS('Revenue Tracking'!$F$13:$F$20, 'Revenue Tracking'!$H$13:$H$20, "&gt;="&amp;FX1,'Revenue Tracking'!$H$13:$H$20, "&lt;"&amp;KZ1)</f>
        <v>0</v>
      </c>
      <c r="FY3" s="252">
        <f>SUMIFS('Revenue Tracking'!$F$13:$F$20, 'Revenue Tracking'!$H$13:$H$20, "&gt;="&amp;FY1,'Revenue Tracking'!$H$13:$H$20, "&lt;"&amp;LA1)</f>
        <v>0</v>
      </c>
      <c r="FZ3" s="252">
        <f>SUMIFS('Revenue Tracking'!$F$13:$F$20, 'Revenue Tracking'!$H$13:$H$20, "&gt;="&amp;FZ1,'Revenue Tracking'!$H$13:$H$20, "&lt;"&amp;LB1)</f>
        <v>0</v>
      </c>
      <c r="GA3" s="252">
        <f>SUMIFS('Revenue Tracking'!$F$13:$F$20, 'Revenue Tracking'!$H$13:$H$20, "&gt;="&amp;GA1,'Revenue Tracking'!$H$13:$H$20, "&lt;"&amp;LC1)</f>
        <v>0</v>
      </c>
      <c r="GB3" s="252">
        <f>SUMIFS('Revenue Tracking'!$F$13:$F$20, 'Revenue Tracking'!$H$13:$H$20, "&gt;="&amp;GB1,'Revenue Tracking'!$H$13:$H$20, "&lt;"&amp;LD1)</f>
        <v>0</v>
      </c>
      <c r="GC3" s="252">
        <f>SUMIFS('Revenue Tracking'!$F$13:$F$20, 'Revenue Tracking'!$H$13:$H$20, "&gt;="&amp;GC1,'Revenue Tracking'!$H$13:$H$20, "&lt;"&amp;LE1)</f>
        <v>0</v>
      </c>
      <c r="GD3" s="252">
        <f>SUMIFS('Revenue Tracking'!$F$13:$F$20, 'Revenue Tracking'!$H$13:$H$20, "&gt;="&amp;GD1,'Revenue Tracking'!$H$13:$H$20, "&lt;"&amp;LF1)</f>
        <v>0</v>
      </c>
      <c r="GE3" s="252">
        <f>SUMIFS('Revenue Tracking'!$F$13:$F$20, 'Revenue Tracking'!$H$13:$H$20, "&gt;="&amp;GE1,'Revenue Tracking'!$H$13:$H$20, "&lt;"&amp;LG1)</f>
        <v>0</v>
      </c>
      <c r="GF3" s="252">
        <f>SUMIFS('Revenue Tracking'!$F$13:$F$20, 'Revenue Tracking'!$H$13:$H$20, "&gt;="&amp;GF1,'Revenue Tracking'!$H$13:$H$20, "&lt;"&amp;LH1)</f>
        <v>0</v>
      </c>
    </row>
    <row r="4" spans="1:666">
      <c r="A4" s="1052"/>
      <c r="B4" s="249" t="s">
        <v>460</v>
      </c>
      <c r="C4" s="250"/>
      <c r="D4" s="250"/>
      <c r="E4" s="251"/>
      <c r="F4" s="252">
        <f>F3</f>
        <v>0</v>
      </c>
      <c r="G4" s="252">
        <f>F4+G3</f>
        <v>0</v>
      </c>
      <c r="H4" s="252">
        <f t="shared" ref="H4" si="131">G4+H3</f>
        <v>0</v>
      </c>
      <c r="I4" s="252">
        <f t="shared" ref="I4" si="132">H4+I3</f>
        <v>0</v>
      </c>
      <c r="J4" s="252">
        <f t="shared" ref="J4" si="133">I4+J3</f>
        <v>8971852.9800000004</v>
      </c>
      <c r="K4" s="252">
        <f t="shared" ref="K4" si="134">J4+K3</f>
        <v>8971852.9800000004</v>
      </c>
      <c r="L4" s="252">
        <f t="shared" ref="L4" si="135">K4+L3</f>
        <v>8971852.9800000004</v>
      </c>
      <c r="M4" s="252">
        <f t="shared" ref="M4" si="136">L4+M3</f>
        <v>8971852.9800000004</v>
      </c>
      <c r="N4" s="252">
        <f t="shared" ref="N4" si="137">M4+N3</f>
        <v>8971852.9800000004</v>
      </c>
      <c r="O4" s="252">
        <f t="shared" ref="O4" si="138">N4+O3</f>
        <v>8971852.9800000004</v>
      </c>
      <c r="P4" s="252">
        <f t="shared" ref="P4" si="139">O4+P3</f>
        <v>8971852.9800000004</v>
      </c>
      <c r="Q4" s="252">
        <f t="shared" ref="Q4" si="140">P4+Q3</f>
        <v>8971852.9800000004</v>
      </c>
      <c r="R4" s="252">
        <f t="shared" ref="R4" si="141">Q4+R3</f>
        <v>8971852.9800000004</v>
      </c>
      <c r="S4" s="252">
        <f t="shared" ref="S4" si="142">R4+S3</f>
        <v>8971852.9800000004</v>
      </c>
      <c r="T4" s="252">
        <f t="shared" ref="T4" si="143">S4+T3</f>
        <v>8971852.9800000004</v>
      </c>
      <c r="U4" s="252">
        <f t="shared" ref="U4" si="144">T4+U3</f>
        <v>8971852.9800000004</v>
      </c>
      <c r="V4" s="252">
        <f t="shared" ref="V4" si="145">U4+V3</f>
        <v>8971852.9800000004</v>
      </c>
      <c r="W4" s="252">
        <f t="shared" ref="W4" si="146">V4+W3</f>
        <v>8971852.9800000004</v>
      </c>
      <c r="X4" s="252">
        <f t="shared" ref="X4" si="147">W4+X3</f>
        <v>8971852.9800000004</v>
      </c>
      <c r="Y4" s="252">
        <f t="shared" ref="Y4" si="148">X4+Y3</f>
        <v>8971852.9800000004</v>
      </c>
      <c r="Z4" s="252">
        <f t="shared" ref="Z4" si="149">Y4+Z3</f>
        <v>14503433.885000002</v>
      </c>
      <c r="AA4" s="252">
        <f t="shared" ref="AA4" si="150">Z4+AA3</f>
        <v>14503433.885000002</v>
      </c>
      <c r="AB4" s="252">
        <f t="shared" ref="AB4" si="151">AA4+AB3</f>
        <v>14503433.885000002</v>
      </c>
      <c r="AC4" s="252">
        <f t="shared" ref="AC4" si="152">AB4+AC3</f>
        <v>14503433.885000002</v>
      </c>
      <c r="AD4" s="252">
        <f t="shared" ref="AD4" si="153">AC4+AD3</f>
        <v>14503433.885000002</v>
      </c>
      <c r="AE4" s="252">
        <f t="shared" ref="AE4" si="154">AD4+AE3</f>
        <v>14503433.885000002</v>
      </c>
      <c r="AF4" s="252">
        <f t="shared" ref="AF4" si="155">AE4+AF3</f>
        <v>14503433.885000002</v>
      </c>
      <c r="AG4" s="252">
        <f t="shared" ref="AG4" si="156">AF4+AG3</f>
        <v>14503433.885000002</v>
      </c>
      <c r="AH4" s="252">
        <f t="shared" ref="AH4" si="157">AG4+AH3</f>
        <v>14503433.885000002</v>
      </c>
      <c r="AI4" s="252">
        <f t="shared" ref="AI4" si="158">AH4+AI3</f>
        <v>14503433.885000002</v>
      </c>
      <c r="AJ4" s="252">
        <f t="shared" ref="AJ4" si="159">AI4+AJ3</f>
        <v>14503433.885000002</v>
      </c>
      <c r="AK4" s="252">
        <f t="shared" ref="AK4" si="160">AJ4+AK3</f>
        <v>14503433.885000002</v>
      </c>
      <c r="AL4" s="252">
        <f t="shared" ref="AL4" si="161">AK4+AL3</f>
        <v>14503433.885000002</v>
      </c>
      <c r="AM4" s="252">
        <f t="shared" ref="AM4" si="162">AL4+AM3</f>
        <v>15251088.300000001</v>
      </c>
      <c r="AN4" s="252">
        <f t="shared" ref="AN4" si="163">AM4+AN3</f>
        <v>15251088.300000001</v>
      </c>
      <c r="AO4" s="252">
        <f t="shared" ref="AO4" si="164">AN4+AO3</f>
        <v>15251088.300000001</v>
      </c>
      <c r="AP4" s="252">
        <f t="shared" ref="AP4" si="165">AO4+AP3</f>
        <v>15251088.300000001</v>
      </c>
      <c r="AQ4" s="252">
        <f t="shared" ref="AQ4" si="166">AP4+AQ3</f>
        <v>15251088.300000001</v>
      </c>
      <c r="AR4" s="252">
        <f t="shared" ref="AR4" si="167">AQ4+AR3</f>
        <v>15251088.300000001</v>
      </c>
      <c r="AS4" s="252">
        <f t="shared" ref="AS4" si="168">AR4+AS3</f>
        <v>15251088.300000001</v>
      </c>
      <c r="AT4" s="252">
        <f t="shared" ref="AT4" si="169">AS4+AT3</f>
        <v>15251088.300000001</v>
      </c>
      <c r="AU4" s="252">
        <f t="shared" ref="AU4" si="170">AT4+AU3</f>
        <v>15251088.300000001</v>
      </c>
      <c r="AV4" s="252">
        <f t="shared" ref="AV4" si="171">AU4+AV3</f>
        <v>15251088.300000001</v>
      </c>
      <c r="AW4" s="252">
        <f t="shared" ref="AW4" si="172">AV4+AW3</f>
        <v>15251088.300000001</v>
      </c>
      <c r="AX4" s="252">
        <f t="shared" ref="AX4" si="173">AW4+AX3</f>
        <v>15251088.300000001</v>
      </c>
      <c r="AY4" s="252">
        <f t="shared" ref="AY4" si="174">AX4+AY3</f>
        <v>15251088.300000001</v>
      </c>
      <c r="AZ4" s="252">
        <f t="shared" ref="AZ4" si="175">AY4+AZ3</f>
        <v>15251088.300000001</v>
      </c>
      <c r="BA4" s="252">
        <f t="shared" ref="BA4" si="176">AZ4+BA3</f>
        <v>15251088.300000001</v>
      </c>
      <c r="BB4" s="252">
        <f t="shared" ref="BB4" si="177">BA4+BB3</f>
        <v>15251088.300000001</v>
      </c>
      <c r="BC4" s="252">
        <f t="shared" ref="BC4" si="178">BB4+BC3</f>
        <v>15251088.300000001</v>
      </c>
      <c r="BD4" s="252">
        <f t="shared" ref="BD4" si="179">BC4+BD3</f>
        <v>15251088.300000001</v>
      </c>
      <c r="BE4" s="252">
        <f t="shared" ref="BE4" si="180">BD4+BE3</f>
        <v>15251088.300000001</v>
      </c>
      <c r="BF4" s="252">
        <f t="shared" ref="BF4:CK4" si="181">BE4+BF3</f>
        <v>15251088.300000001</v>
      </c>
      <c r="BG4" s="252">
        <f t="shared" si="181"/>
        <v>15251088.300000001</v>
      </c>
      <c r="BH4" s="252">
        <f t="shared" si="181"/>
        <v>15251088.300000001</v>
      </c>
      <c r="BI4" s="252">
        <f t="shared" si="181"/>
        <v>15251088.300000001</v>
      </c>
      <c r="BJ4" s="252">
        <f t="shared" si="181"/>
        <v>15251088.300000001</v>
      </c>
      <c r="BK4" s="252">
        <f t="shared" si="181"/>
        <v>15251088.300000001</v>
      </c>
      <c r="BL4" s="252">
        <f t="shared" si="181"/>
        <v>15251088.300000001</v>
      </c>
      <c r="BM4" s="252">
        <f t="shared" si="181"/>
        <v>15251088.300000001</v>
      </c>
      <c r="BN4" s="252">
        <f t="shared" si="181"/>
        <v>15251088.300000001</v>
      </c>
      <c r="BO4" s="252">
        <f t="shared" si="181"/>
        <v>15251088.300000001</v>
      </c>
      <c r="BP4" s="252">
        <f t="shared" si="181"/>
        <v>15251088.300000001</v>
      </c>
      <c r="BQ4" s="252">
        <f t="shared" si="181"/>
        <v>15251088.300000001</v>
      </c>
      <c r="BR4" s="252">
        <f t="shared" si="181"/>
        <v>15251088.300000001</v>
      </c>
      <c r="BS4" s="252">
        <f t="shared" si="181"/>
        <v>15251088.300000001</v>
      </c>
      <c r="BT4" s="252">
        <f t="shared" si="181"/>
        <v>15251088.300000001</v>
      </c>
      <c r="BU4" s="252">
        <f t="shared" si="181"/>
        <v>15251088.300000001</v>
      </c>
      <c r="BV4" s="252">
        <f t="shared" si="181"/>
        <v>15251088.300000001</v>
      </c>
      <c r="BW4" s="252">
        <f t="shared" si="181"/>
        <v>15251088.300000001</v>
      </c>
      <c r="BX4" s="252">
        <f t="shared" si="181"/>
        <v>15251088.300000001</v>
      </c>
      <c r="BY4" s="252">
        <f t="shared" si="181"/>
        <v>15251088.300000001</v>
      </c>
      <c r="BZ4" s="252">
        <f t="shared" si="181"/>
        <v>15251088.300000001</v>
      </c>
      <c r="CA4" s="252">
        <f t="shared" si="181"/>
        <v>15251088.300000001</v>
      </c>
      <c r="CB4" s="252">
        <f t="shared" si="181"/>
        <v>15251088.300000001</v>
      </c>
      <c r="CC4" s="252">
        <f t="shared" si="181"/>
        <v>15251088.300000001</v>
      </c>
      <c r="CD4" s="252">
        <f t="shared" si="181"/>
        <v>15251088.300000001</v>
      </c>
      <c r="CE4" s="252">
        <f t="shared" si="181"/>
        <v>15251088.300000001</v>
      </c>
      <c r="CF4" s="252">
        <f t="shared" si="181"/>
        <v>15251088.300000001</v>
      </c>
      <c r="CG4" s="252">
        <f t="shared" si="181"/>
        <v>15251088.300000001</v>
      </c>
      <c r="CH4" s="252">
        <f t="shared" si="181"/>
        <v>15251088.300000001</v>
      </c>
      <c r="CI4" s="252">
        <f t="shared" si="181"/>
        <v>15251088.300000001</v>
      </c>
      <c r="CJ4" s="252">
        <f t="shared" si="181"/>
        <v>15251088.300000001</v>
      </c>
      <c r="CK4" s="252">
        <f t="shared" si="181"/>
        <v>15251088.300000001</v>
      </c>
      <c r="CL4" s="252">
        <f t="shared" ref="CL4" si="182">CK4+CL3</f>
        <v>15251088.300000001</v>
      </c>
      <c r="CM4" s="252">
        <f t="shared" ref="CM4" si="183">CL4+CM3</f>
        <v>15251088.300000001</v>
      </c>
      <c r="CN4" s="252">
        <f t="shared" ref="CN4" si="184">CM4+CN3</f>
        <v>15251088.300000001</v>
      </c>
      <c r="CO4" s="252">
        <f t="shared" ref="CO4" si="185">CN4+CO3</f>
        <v>15251088.300000001</v>
      </c>
      <c r="CP4" s="252">
        <f t="shared" ref="CP4" si="186">CO4+CP3</f>
        <v>15251088.300000001</v>
      </c>
      <c r="CQ4" s="252">
        <f t="shared" ref="CQ4" si="187">CP4+CQ3</f>
        <v>15251088.300000001</v>
      </c>
      <c r="CR4" s="252">
        <f t="shared" ref="CR4" si="188">CQ4+CR3</f>
        <v>15251088.300000001</v>
      </c>
      <c r="CS4" s="252">
        <f t="shared" ref="CS4" si="189">CR4+CS3</f>
        <v>15251088.300000001</v>
      </c>
      <c r="CT4" s="252">
        <f t="shared" ref="CT4" si="190">CS4+CT3</f>
        <v>15251088.300000001</v>
      </c>
      <c r="CU4" s="252">
        <f t="shared" ref="CU4" si="191">CT4+CU3</f>
        <v>15251088.300000001</v>
      </c>
      <c r="CV4" s="252">
        <f t="shared" ref="CV4" si="192">CU4+CV3</f>
        <v>15251088.300000001</v>
      </c>
      <c r="CW4" s="252">
        <f t="shared" ref="CW4" si="193">CV4+CW3</f>
        <v>15251088.300000001</v>
      </c>
      <c r="CX4" s="252">
        <f t="shared" ref="CX4" si="194">CW4+CX3</f>
        <v>15251088.300000001</v>
      </c>
      <c r="CY4" s="252">
        <f t="shared" ref="CY4" si="195">CX4+CY3</f>
        <v>15251088.300000001</v>
      </c>
      <c r="CZ4" s="252">
        <f t="shared" ref="CZ4" si="196">CY4+CZ3</f>
        <v>15251088.300000001</v>
      </c>
      <c r="DA4" s="252">
        <f t="shared" ref="DA4" si="197">CZ4+DA3</f>
        <v>15251088.300000001</v>
      </c>
      <c r="DB4" s="252">
        <f t="shared" ref="DB4" si="198">DA4+DB3</f>
        <v>15251088.300000001</v>
      </c>
      <c r="DC4" s="252">
        <f t="shared" ref="DC4" si="199">DB4+DC3</f>
        <v>15251088.300000001</v>
      </c>
      <c r="DD4" s="252">
        <f t="shared" ref="DD4" si="200">DC4+DD3</f>
        <v>15251088.300000001</v>
      </c>
      <c r="DE4" s="252">
        <f t="shared" ref="DE4" si="201">DD4+DE3</f>
        <v>15251088.300000001</v>
      </c>
      <c r="DF4" s="252">
        <f t="shared" ref="DF4" si="202">DE4+DF3</f>
        <v>15251088.300000001</v>
      </c>
      <c r="DG4" s="252">
        <f t="shared" ref="DG4" si="203">DF4+DG3</f>
        <v>15251088.300000001</v>
      </c>
      <c r="DH4" s="252">
        <f t="shared" ref="DH4" si="204">DG4+DH3</f>
        <v>15251088.300000001</v>
      </c>
      <c r="DI4" s="252">
        <f t="shared" ref="DI4" si="205">DH4+DI3</f>
        <v>15251088.300000001</v>
      </c>
      <c r="DJ4" s="252">
        <f t="shared" ref="DJ4" si="206">DI4+DJ3</f>
        <v>15251088.300000001</v>
      </c>
      <c r="DK4" s="252">
        <f t="shared" ref="DK4" si="207">DJ4+DK3</f>
        <v>15251088.300000001</v>
      </c>
      <c r="DL4" s="252">
        <f t="shared" ref="DL4" si="208">DK4+DL3</f>
        <v>15251088.300000001</v>
      </c>
      <c r="DM4" s="252">
        <f t="shared" ref="DM4" si="209">DL4+DM3</f>
        <v>15251088.300000001</v>
      </c>
      <c r="DN4" s="252">
        <f t="shared" ref="DN4" si="210">DM4+DN3</f>
        <v>15251088.300000001</v>
      </c>
      <c r="DO4" s="252">
        <f t="shared" ref="DO4" si="211">DN4+DO3</f>
        <v>15251088.300000001</v>
      </c>
      <c r="DP4" s="252">
        <f t="shared" ref="DP4" si="212">DO4+DP3</f>
        <v>15251088.300000001</v>
      </c>
      <c r="DQ4" s="252">
        <f t="shared" ref="DQ4" si="213">DP4+DQ3</f>
        <v>15251088.300000001</v>
      </c>
      <c r="DR4" s="252">
        <f t="shared" ref="DR4" si="214">DQ4+DR3</f>
        <v>15251088.300000001</v>
      </c>
      <c r="DS4" s="252">
        <f t="shared" ref="DS4" si="215">DR4+DS3</f>
        <v>15251088.300000001</v>
      </c>
      <c r="DT4" s="252">
        <f t="shared" ref="DT4" si="216">DS4+DT3</f>
        <v>15251088.300000001</v>
      </c>
      <c r="DU4" s="252">
        <f t="shared" ref="DU4" si="217">DT4+DU3</f>
        <v>15251088.300000001</v>
      </c>
      <c r="DV4" s="252">
        <f t="shared" ref="DV4" si="218">DU4+DV3</f>
        <v>15251088.300000001</v>
      </c>
      <c r="DW4" s="252">
        <f t="shared" ref="DW4" si="219">DV4+DW3</f>
        <v>15251088.300000001</v>
      </c>
      <c r="DX4" s="252">
        <f t="shared" ref="DX4" si="220">DW4+DX3</f>
        <v>15251088.300000001</v>
      </c>
      <c r="DY4" s="252">
        <f t="shared" ref="DY4" si="221">DX4+DY3</f>
        <v>15251088.300000001</v>
      </c>
      <c r="DZ4" s="252">
        <f t="shared" ref="DZ4" si="222">DY4+DZ3</f>
        <v>15251088.300000001</v>
      </c>
      <c r="EA4" s="252">
        <f t="shared" ref="EA4" si="223">DZ4+EA3</f>
        <v>15251088.300000001</v>
      </c>
      <c r="EB4" s="252">
        <f t="shared" ref="EB4" si="224">EA4+EB3</f>
        <v>15251088.300000001</v>
      </c>
      <c r="EC4" s="252">
        <f t="shared" ref="EC4" si="225">EB4+EC3</f>
        <v>15251088.300000001</v>
      </c>
      <c r="ED4" s="252">
        <f t="shared" ref="ED4" si="226">EC4+ED3</f>
        <v>15251088.300000001</v>
      </c>
      <c r="EE4" s="252">
        <f t="shared" ref="EE4" si="227">ED4+EE3</f>
        <v>15251088.300000001</v>
      </c>
      <c r="EF4" s="252">
        <f t="shared" ref="EF4" si="228">EE4+EF3</f>
        <v>15251088.300000001</v>
      </c>
      <c r="EG4" s="252">
        <f t="shared" ref="EG4" si="229">EF4+EG3</f>
        <v>15251088.300000001</v>
      </c>
      <c r="EH4" s="252">
        <f t="shared" ref="EH4" si="230">EG4+EH3</f>
        <v>15251088.300000001</v>
      </c>
      <c r="EI4" s="252">
        <f t="shared" ref="EI4" si="231">EH4+EI3</f>
        <v>15251088.300000001</v>
      </c>
      <c r="EJ4" s="252">
        <f t="shared" ref="EJ4" si="232">EI4+EJ3</f>
        <v>15251088.300000001</v>
      </c>
      <c r="EK4" s="252">
        <f t="shared" ref="EK4" si="233">EJ4+EK3</f>
        <v>15251088.300000001</v>
      </c>
      <c r="EL4" s="252">
        <f t="shared" ref="EL4" si="234">EK4+EL3</f>
        <v>15251088.300000001</v>
      </c>
      <c r="EM4" s="252">
        <f t="shared" ref="EM4" si="235">EL4+EM3</f>
        <v>15251088.300000001</v>
      </c>
      <c r="EN4" s="252">
        <f t="shared" ref="EN4" si="236">EM4+EN3</f>
        <v>15251088.300000001</v>
      </c>
      <c r="EO4" s="252">
        <f t="shared" ref="EO4" si="237">EN4+EO3</f>
        <v>15251088.300000001</v>
      </c>
      <c r="EP4" s="252">
        <f t="shared" ref="EP4" si="238">EO4+EP3</f>
        <v>15251088.300000001</v>
      </c>
      <c r="EQ4" s="252">
        <f t="shared" ref="EQ4" si="239">EP4+EQ3</f>
        <v>15251088.300000001</v>
      </c>
      <c r="ER4" s="252">
        <f t="shared" ref="ER4" si="240">EQ4+ER3</f>
        <v>15251088.300000001</v>
      </c>
      <c r="ES4" s="252">
        <f t="shared" ref="ES4" si="241">ER4+ES3</f>
        <v>15251088.300000001</v>
      </c>
      <c r="ET4" s="252">
        <f t="shared" ref="ET4" si="242">ES4+ET3</f>
        <v>15251088.300000001</v>
      </c>
      <c r="EU4" s="252">
        <f t="shared" ref="EU4" si="243">ET4+EU3</f>
        <v>15251088.300000001</v>
      </c>
      <c r="EV4" s="252">
        <f t="shared" ref="EV4" si="244">EU4+EV3</f>
        <v>15251088.300000001</v>
      </c>
      <c r="EW4" s="252">
        <f t="shared" ref="EW4" si="245">EV4+EW3</f>
        <v>15251088.300000001</v>
      </c>
      <c r="EX4" s="252">
        <f t="shared" ref="EX4" si="246">EW4+EX3</f>
        <v>15251088.300000001</v>
      </c>
      <c r="EY4" s="252">
        <f t="shared" ref="EY4" si="247">EX4+EY3</f>
        <v>15251088.300000001</v>
      </c>
      <c r="EZ4" s="252">
        <f t="shared" ref="EZ4" si="248">EY4+EZ3</f>
        <v>15251088.300000001</v>
      </c>
      <c r="FA4" s="252">
        <f t="shared" ref="FA4" si="249">EZ4+FA3</f>
        <v>15251088.300000001</v>
      </c>
      <c r="FB4" s="252">
        <f t="shared" ref="FB4" si="250">FA4+FB3</f>
        <v>15251088.300000001</v>
      </c>
      <c r="FC4" s="252">
        <f t="shared" ref="FC4" si="251">FB4+FC3</f>
        <v>15251088.300000001</v>
      </c>
      <c r="FD4" s="252">
        <f t="shared" ref="FD4" si="252">FC4+FD3</f>
        <v>15251088.300000001</v>
      </c>
      <c r="FE4" s="252">
        <f t="shared" ref="FE4" si="253">FD4+FE3</f>
        <v>15251088.300000001</v>
      </c>
      <c r="FF4" s="252">
        <f t="shared" ref="FF4" si="254">FE4+FF3</f>
        <v>15251088.300000001</v>
      </c>
      <c r="FG4" s="252">
        <f t="shared" ref="FG4" si="255">FF4+FG3</f>
        <v>15251088.300000001</v>
      </c>
      <c r="FH4" s="252">
        <f t="shared" ref="FH4" si="256">FG4+FH3</f>
        <v>15251088.300000001</v>
      </c>
      <c r="FI4" s="252">
        <f t="shared" ref="FI4" si="257">FH4+FI3</f>
        <v>15251088.300000001</v>
      </c>
      <c r="FJ4" s="252">
        <f t="shared" ref="FJ4" si="258">FI4+FJ3</f>
        <v>15251088.300000001</v>
      </c>
      <c r="FK4" s="252">
        <f t="shared" ref="FK4" si="259">FJ4+FK3</f>
        <v>15251088.300000001</v>
      </c>
      <c r="FL4" s="252">
        <f t="shared" ref="FL4" si="260">FK4+FL3</f>
        <v>15251088.300000001</v>
      </c>
      <c r="FM4" s="252">
        <f t="shared" ref="FM4" si="261">FL4+FM3</f>
        <v>15251088.300000001</v>
      </c>
      <c r="FN4" s="252">
        <f t="shared" ref="FN4" si="262">FM4+FN3</f>
        <v>15251088.300000001</v>
      </c>
      <c r="FO4" s="252">
        <f t="shared" ref="FO4" si="263">FN4+FO3</f>
        <v>15251088.300000001</v>
      </c>
      <c r="FP4" s="252">
        <f t="shared" ref="FP4" si="264">FO4+FP3</f>
        <v>15251088.300000001</v>
      </c>
      <c r="FQ4" s="252">
        <f t="shared" ref="FQ4" si="265">FP4+FQ3</f>
        <v>15251088.300000001</v>
      </c>
      <c r="FR4" s="252">
        <f t="shared" ref="FR4" si="266">FQ4+FR3</f>
        <v>15251088.300000001</v>
      </c>
      <c r="FS4" s="252">
        <f t="shared" ref="FS4" si="267">FR4+FS3</f>
        <v>15251088.300000001</v>
      </c>
      <c r="FT4" s="252">
        <f t="shared" ref="FT4" si="268">FS4+FT3</f>
        <v>15251088.300000001</v>
      </c>
      <c r="FU4" s="252">
        <f t="shared" ref="FU4" si="269">FT4+FU3</f>
        <v>15251088.300000001</v>
      </c>
      <c r="FV4" s="252">
        <f t="shared" ref="FV4" si="270">FU4+FV3</f>
        <v>15251088.300000001</v>
      </c>
      <c r="FW4" s="252">
        <f t="shared" ref="FW4" si="271">FV4+FW3</f>
        <v>15251088.300000001</v>
      </c>
      <c r="FX4" s="252">
        <f t="shared" ref="FX4" si="272">FW4+FX3</f>
        <v>15251088.300000001</v>
      </c>
      <c r="FY4" s="252">
        <f t="shared" ref="FY4" si="273">FX4+FY3</f>
        <v>15251088.300000001</v>
      </c>
      <c r="FZ4" s="252">
        <f t="shared" ref="FZ4" si="274">FY4+FZ3</f>
        <v>15251088.300000001</v>
      </c>
      <c r="GA4" s="252">
        <f t="shared" ref="GA4" si="275">FZ4+GA3</f>
        <v>15251088.300000001</v>
      </c>
      <c r="GB4" s="252">
        <f t="shared" ref="GB4" si="276">GA4+GB3</f>
        <v>15251088.300000001</v>
      </c>
      <c r="GC4" s="252">
        <f t="shared" ref="GC4" si="277">GB4+GC3</f>
        <v>15251088.300000001</v>
      </c>
      <c r="GD4" s="252">
        <f t="shared" ref="GD4" si="278">GC4+GD3</f>
        <v>15251088.300000001</v>
      </c>
      <c r="GE4" s="252">
        <f t="shared" ref="GE4" si="279">GD4+GE3</f>
        <v>15251088.300000001</v>
      </c>
      <c r="GF4" s="252">
        <f t="shared" ref="GF4" si="280">GE4+GF3</f>
        <v>15251088.300000001</v>
      </c>
    </row>
    <row r="5" spans="1:666" s="257" customFormat="1">
      <c r="A5" s="1052"/>
      <c r="B5" s="253" t="s">
        <v>109</v>
      </c>
      <c r="C5" s="254">
        <f>'Revenue Tracking'!D5</f>
        <v>13282857.692898551</v>
      </c>
      <c r="D5" s="254">
        <f>SUM(F5:BE5)</f>
        <v>13282857.692898551</v>
      </c>
      <c r="E5" s="251"/>
      <c r="F5" s="255">
        <f>SUMIFS('Expenditure Breakdown'!$G$6:$G$138, 'Expenditure Breakdown'!$H$6:$H$138, "&gt;="&amp;F1,'Expenditure Breakdown'!$H$6:$H$138, "&lt;"&amp;G1)</f>
        <v>0</v>
      </c>
      <c r="G5" s="255">
        <f>SUMIFS('Expenditure Breakdown'!$G$6:$G$138, 'Expenditure Breakdown'!$H$6:$H$138, "&gt;="&amp;G1,'Expenditure Breakdown'!$H$6:$H$138, "&lt;"&amp;H1)</f>
        <v>0</v>
      </c>
      <c r="H5" s="255">
        <f>SUMIFS('Expenditure Breakdown'!$G$6:$G$138, 'Expenditure Breakdown'!$H$6:$H$138, "&gt;="&amp;H1,'Expenditure Breakdown'!$H$6:$H$138, "&lt;"&amp;I1)</f>
        <v>0</v>
      </c>
      <c r="I5" s="255">
        <f>SUMIFS('Expenditure Breakdown'!$G$6:$G$138, 'Expenditure Breakdown'!$H$6:$H$138, "&gt;="&amp;I1,'Expenditure Breakdown'!$H$6:$H$138, "&lt;"&amp;J1)</f>
        <v>0</v>
      </c>
      <c r="J5" s="255">
        <f>SUMIFS('Expenditure Breakdown'!$G$6:$G$138, 'Expenditure Breakdown'!$H$6:$H$138, "&gt;="&amp;J1,'Expenditure Breakdown'!$H$6:$H$138, "&lt;"&amp;K1)</f>
        <v>0</v>
      </c>
      <c r="K5" s="255">
        <f>SUMIFS('Expenditure Breakdown'!$G$6:$G$138, 'Expenditure Breakdown'!$H$6:$H$138, "&gt;="&amp;K1,'Expenditure Breakdown'!$H$6:$H$138, "&lt;"&amp;L1)</f>
        <v>0</v>
      </c>
      <c r="L5" s="255">
        <f>SUMIFS('Expenditure Breakdown'!$G$6:$G$138, 'Expenditure Breakdown'!$H$6:$H$138, "&gt;="&amp;L1,'Expenditure Breakdown'!$H$6:$H$138, "&lt;"&amp;M1)</f>
        <v>0</v>
      </c>
      <c r="M5" s="255">
        <f>SUMIFS('Expenditure Breakdown'!$G$6:$G$138, 'Expenditure Breakdown'!$H$6:$H$138, "&gt;="&amp;M1,'Expenditure Breakdown'!$H$6:$H$138, "&lt;"&amp;N1)</f>
        <v>0</v>
      </c>
      <c r="N5" s="255">
        <f>SUMIFS('Expenditure Breakdown'!$G$6:$G$138, 'Expenditure Breakdown'!$H$6:$H$138, "&gt;="&amp;N1,'Expenditure Breakdown'!$H$6:$H$138, "&lt;"&amp;O1)</f>
        <v>0</v>
      </c>
      <c r="O5" s="255">
        <f>SUMIFS('Expenditure Breakdown'!$G$6:$G$138, 'Expenditure Breakdown'!$H$6:$H$138, "&gt;="&amp;O1,'Expenditure Breakdown'!$H$6:$H$138, "&lt;"&amp;P1)</f>
        <v>0</v>
      </c>
      <c r="P5" s="255">
        <f>SUMIFS('Expenditure Breakdown'!$G$6:$G$138, 'Expenditure Breakdown'!$H$6:$H$138, "&gt;="&amp;P1,'Expenditure Breakdown'!$H$6:$H$138, "&lt;"&amp;Q1)</f>
        <v>0</v>
      </c>
      <c r="Q5" s="255">
        <f>SUMIFS('Expenditure Breakdown'!$G$6:$G$138, 'Expenditure Breakdown'!$H$6:$H$138, "&gt;="&amp;Q1,'Expenditure Breakdown'!$H$6:$H$138, "&lt;"&amp;R1)</f>
        <v>0</v>
      </c>
      <c r="R5" s="255">
        <f>SUMIFS('Expenditure Breakdown'!$G$6:$G$138, 'Expenditure Breakdown'!$H$6:$H$138, "&gt;="&amp;R1,'Expenditure Breakdown'!$H$6:$H$138, "&lt;"&amp;S1)</f>
        <v>0</v>
      </c>
      <c r="S5" s="255">
        <f>SUMIFS('Expenditure Breakdown'!$G$6:$G$138, 'Expenditure Breakdown'!$H$6:$H$138, "&gt;="&amp;S1,'Expenditure Breakdown'!$H$6:$H$138, "&lt;"&amp;T1)</f>
        <v>0</v>
      </c>
      <c r="T5" s="255">
        <f>SUMIFS('Expenditure Breakdown'!$G$6:$G$138, 'Expenditure Breakdown'!$H$6:$H$138, "&gt;="&amp;T1,'Expenditure Breakdown'!$H$6:$H$138, "&lt;"&amp;U1)</f>
        <v>0</v>
      </c>
      <c r="U5" s="255">
        <f>SUMIFS('Expenditure Breakdown'!$G$6:$G$138, 'Expenditure Breakdown'!$H$6:$H$138, "&gt;="&amp;U1,'Expenditure Breakdown'!$H$6:$H$138, "&lt;"&amp;V1)</f>
        <v>0</v>
      </c>
      <c r="V5" s="255">
        <f>SUMIFS('Expenditure Breakdown'!$G$6:$G$138, 'Expenditure Breakdown'!$H$6:$H$138, "&gt;="&amp;V1,'Expenditure Breakdown'!$H$6:$H$138, "&lt;"&amp;W1)</f>
        <v>0</v>
      </c>
      <c r="W5" s="255">
        <f>SUMIFS('Expenditure Breakdown'!$G$6:$G$138, 'Expenditure Breakdown'!$H$6:$H$138, "&gt;="&amp;W1,'Expenditure Breakdown'!$H$6:$H$138, "&lt;"&amp;X1)</f>
        <v>0</v>
      </c>
      <c r="X5" s="255">
        <f>SUMIFS('Expenditure Breakdown'!$G$6:$G$138, 'Expenditure Breakdown'!$H$6:$H$138, "&gt;="&amp;X1,'Expenditure Breakdown'!$H$6:$H$138, "&lt;"&amp;Y1)</f>
        <v>774463.10869565222</v>
      </c>
      <c r="Y5" s="255">
        <f>SUMIFS('Expenditure Breakdown'!$G$6:$G$138, 'Expenditure Breakdown'!$H$6:$H$138, "&gt;="&amp;Y1,'Expenditure Breakdown'!$H$6:$H$138, "&lt;"&amp;Z1)</f>
        <v>8000</v>
      </c>
      <c r="Z5" s="255">
        <f>SUMIFS('Expenditure Breakdown'!$G$6:$G$138, 'Expenditure Breakdown'!$H$6:$H$138, "&gt;="&amp;Z1,'Expenditure Breakdown'!$H$6:$H$138, "&lt;"&amp;AA1)</f>
        <v>0</v>
      </c>
      <c r="AA5" s="255">
        <f>SUMIFS('Expenditure Breakdown'!$G$6:$G$138, 'Expenditure Breakdown'!$H$6:$H$138, "&gt;="&amp;AA1,'Expenditure Breakdown'!$H$6:$H$138, "&lt;"&amp;AB1)</f>
        <v>0</v>
      </c>
      <c r="AB5" s="255">
        <f>SUMIFS('Expenditure Breakdown'!$G$6:$G$138, 'Expenditure Breakdown'!$H$6:$H$138, "&gt;="&amp;AB1,'Expenditure Breakdown'!$H$6:$H$138, "&lt;"&amp;AC1)</f>
        <v>0</v>
      </c>
      <c r="AC5" s="255">
        <f>SUMIFS('Expenditure Breakdown'!$G$6:$G$138, 'Expenditure Breakdown'!$H$6:$H$138, "&gt;="&amp;AC1,'Expenditure Breakdown'!$H$6:$H$138, "&lt;"&amp;AD1)</f>
        <v>242000</v>
      </c>
      <c r="AD5" s="255">
        <f>SUMIFS('Expenditure Breakdown'!$G$6:$G$138, 'Expenditure Breakdown'!$H$6:$H$138, "&gt;="&amp;AD1,'Expenditure Breakdown'!$H$6:$H$138, "&lt;"&amp;AE1)</f>
        <v>0</v>
      </c>
      <c r="AE5" s="255">
        <f>SUMIFS('Expenditure Breakdown'!$G$6:$G$138, 'Expenditure Breakdown'!$H$6:$H$138, "&gt;="&amp;AE1,'Expenditure Breakdown'!$H$6:$H$138, "&lt;"&amp;AF1)</f>
        <v>0</v>
      </c>
      <c r="AF5" s="255">
        <f>SUMIFS('Expenditure Breakdown'!$G$6:$G$138, 'Expenditure Breakdown'!$H$6:$H$138, "&gt;="&amp;AF1,'Expenditure Breakdown'!$H$6:$H$138, "&lt;"&amp;AG1)</f>
        <v>9564809</v>
      </c>
      <c r="AG5" s="255">
        <f>SUMIFS('Expenditure Breakdown'!$G$6:$G$138, 'Expenditure Breakdown'!$H$6:$H$138, "&gt;="&amp;AG1,'Expenditure Breakdown'!$H$6:$H$138, "&lt;"&amp;AH1)</f>
        <v>132867</v>
      </c>
      <c r="AH5" s="255">
        <f>SUMIFS('Expenditure Breakdown'!$G$6:$G$138, 'Expenditure Breakdown'!$H$6:$H$138, "&gt;="&amp;AH1,'Expenditure Breakdown'!$H$6:$H$138, "&lt;"&amp;AI1)</f>
        <v>0</v>
      </c>
      <c r="AI5" s="255">
        <f>SUMIFS('Expenditure Breakdown'!$G$6:$G$138, 'Expenditure Breakdown'!$H$6:$H$138, "&gt;="&amp;AI1,'Expenditure Breakdown'!$H$6:$H$138, "&lt;"&amp;AJ1)</f>
        <v>1533517.6500000001</v>
      </c>
      <c r="AJ5" s="255">
        <f>SUMIFS('Expenditure Breakdown'!$G$6:$G$138, 'Expenditure Breakdown'!$H$6:$H$138, "&gt;="&amp;AJ1,'Expenditure Breakdown'!$H$6:$H$138, "&lt;"&amp;AK1)</f>
        <v>365528.9586956522</v>
      </c>
      <c r="AK5" s="255">
        <f>SUMIFS('Expenditure Breakdown'!$G$6:$G$138, 'Expenditure Breakdown'!$H$6:$H$138, "&gt;="&amp;AK1,'Expenditure Breakdown'!$H$6:$H$138, "&lt;"&amp;AL1)</f>
        <v>464754.58333333331</v>
      </c>
      <c r="AL5" s="255">
        <f>SUMIFS('Expenditure Breakdown'!$G$6:$G$138, 'Expenditure Breakdown'!$H$6:$H$138, "&gt;="&amp;AL1,'Expenditure Breakdown'!$H$6:$H$138, "&lt;"&amp;AM1)</f>
        <v>0</v>
      </c>
      <c r="AM5" s="255">
        <f>SUMIFS('Expenditure Breakdown'!$G$6:$G$138, 'Expenditure Breakdown'!$H$6:$H$138, "&gt;="&amp;AM1,'Expenditure Breakdown'!$H$6:$H$138, "&lt;"&amp;AN1)</f>
        <v>0</v>
      </c>
      <c r="AN5" s="255">
        <f>SUMIFS('Expenditure Breakdown'!$G$6:$G$138, 'Expenditure Breakdown'!$H$6:$H$138, "&gt;="&amp;AN1,'Expenditure Breakdown'!$H$6:$H$138, "&lt;"&amp;AO1)</f>
        <v>0</v>
      </c>
      <c r="AO5" s="255">
        <f>SUMIFS('Expenditure Breakdown'!$G$6:$G$138, 'Expenditure Breakdown'!$H$6:$H$138, "&gt;="&amp;AO1,'Expenditure Breakdown'!$H$6:$H$138, "&lt;"&amp;AP1)</f>
        <v>84316.25</v>
      </c>
      <c r="AP5" s="255">
        <f>SUMIFS('Expenditure Breakdown'!$G$6:$G$138, 'Expenditure Breakdown'!$H$6:$H$138, "&gt;="&amp;AP1,'Expenditure Breakdown'!$H$6:$H$138, "&lt;"&amp;AQ1)</f>
        <v>0</v>
      </c>
      <c r="AQ5" s="255">
        <f>SUMIFS('Expenditure Breakdown'!$G$6:$G$138, 'Expenditure Breakdown'!$H$6:$H$138, "&gt;="&amp;AQ1,'Expenditure Breakdown'!$H$6:$H$138, "&lt;"&amp;AR1)</f>
        <v>0</v>
      </c>
      <c r="AR5" s="255">
        <f>SUMIFS('Expenditure Breakdown'!$G$6:$G$138, 'Expenditure Breakdown'!$H$6:$H$138, "&gt;="&amp;AR1,'Expenditure Breakdown'!$H$6:$H$138, "&lt;"&amp;AS1)</f>
        <v>112601.14217391305</v>
      </c>
      <c r="AS5" s="255">
        <f>SUMIFS('Expenditure Breakdown'!$G$6:$G$138, 'Expenditure Breakdown'!$H$6:$H$138, "&gt;="&amp;AS1,'Expenditure Breakdown'!$H$6:$H$138, "&lt;"&amp;AT1)</f>
        <v>0</v>
      </c>
      <c r="AT5" s="255">
        <f>SUMIFS('Expenditure Breakdown'!$G$6:$G$138, 'Expenditure Breakdown'!$H$6:$H$138, "&gt;="&amp;AT1,'Expenditure Breakdown'!$H$6:$H$138, "&lt;"&amp;AU1)</f>
        <v>0</v>
      </c>
      <c r="AU5" s="255">
        <f>SUMIFS('Expenditure Breakdown'!$G$6:$G$138, 'Expenditure Breakdown'!$H$6:$H$138, "&gt;="&amp;AU1,'Expenditure Breakdown'!$H$6:$H$138, "&lt;"&amp;AV1)</f>
        <v>0</v>
      </c>
      <c r="AV5" s="255">
        <f>SUMIFS('Expenditure Breakdown'!$G$6:$G$138, 'Expenditure Breakdown'!$H$6:$H$138, "&gt;="&amp;AV1,'Expenditure Breakdown'!$H$6:$H$138, "&lt;"&amp;AW1)</f>
        <v>0</v>
      </c>
      <c r="AW5" s="255">
        <f>SUMIFS('Expenditure Breakdown'!$G$6:$G$138, 'Expenditure Breakdown'!$H$6:$H$138, "&gt;="&amp;AW1,'Expenditure Breakdown'!$H$6:$H$138, "&lt;"&amp;AX1)</f>
        <v>0</v>
      </c>
      <c r="AX5" s="255">
        <f>SUMIFS('Expenditure Breakdown'!$G$6:$G$138, 'Expenditure Breakdown'!$H$6:$H$138, "&gt;="&amp;AX1,'Expenditure Breakdown'!$H$6:$H$138, "&lt;"&amp;AY1)</f>
        <v>0</v>
      </c>
      <c r="AY5" s="255">
        <f>SUMIFS('Expenditure Breakdown'!$G$6:$G$138, 'Expenditure Breakdown'!$H$6:$H$138, "&gt;="&amp;AY1,'Expenditure Breakdown'!$H$6:$H$138, "&lt;"&amp;AZ1)</f>
        <v>0</v>
      </c>
      <c r="AZ5" s="255">
        <f>SUMIFS('Expenditure Breakdown'!$G$6:$G$138, 'Expenditure Breakdown'!$H$6:$H$138, "&gt;="&amp;AZ1,'Expenditure Breakdown'!$H$6:$H$138, "&lt;"&amp;BA1)</f>
        <v>0</v>
      </c>
      <c r="BA5" s="255">
        <f>SUMIFS('Expenditure Breakdown'!$G$6:$G$138, 'Expenditure Breakdown'!$H$6:$H$138, "&gt;="&amp;BA1,'Expenditure Breakdown'!$H$6:$H$138, "&lt;"&amp;BB1)</f>
        <v>0</v>
      </c>
      <c r="BB5" s="255">
        <f>SUMIFS('Expenditure Breakdown'!$G$6:$G$138, 'Expenditure Breakdown'!$H$6:$H$138, "&gt;="&amp;BB1,'Expenditure Breakdown'!$H$6:$H$138, "&lt;"&amp;BC1)</f>
        <v>0</v>
      </c>
      <c r="BC5" s="255">
        <f>SUMIFS('Expenditure Breakdown'!$G$6:$G$138, 'Expenditure Breakdown'!$H$6:$H$138, "&gt;="&amp;BC1,'Expenditure Breakdown'!$H$6:$H$138, "&lt;"&amp;BD1)</f>
        <v>0</v>
      </c>
      <c r="BD5" s="255">
        <f>SUMIFS('Expenditure Breakdown'!$G$6:$G$138, 'Expenditure Breakdown'!$H$6:$H$138, "&gt;="&amp;BD1,'Expenditure Breakdown'!$H$6:$H$138, "&lt;"&amp;BE1)</f>
        <v>0</v>
      </c>
      <c r="BE5" s="255">
        <f>SUMIFS('Expenditure Breakdown'!$G$6:$G$138, 'Expenditure Breakdown'!$H$6:$H$138, "&gt;="&amp;BE1,'Expenditure Breakdown'!$H$6:$H$138, "&lt;"&amp;GG1)</f>
        <v>0</v>
      </c>
      <c r="BF5" s="255">
        <f>SUMIFS('Expenditure Breakdown'!$G$6:$G$138, 'Expenditure Breakdown'!$H$6:$H$138, "&gt;="&amp;BF1,'Expenditure Breakdown'!$H$6:$H$138, "&lt;"&amp;GH1)</f>
        <v>0</v>
      </c>
      <c r="BG5" s="255">
        <f>SUMIFS('Expenditure Breakdown'!$G$6:$G$138, 'Expenditure Breakdown'!$H$6:$H$138, "&gt;="&amp;BG1,'Expenditure Breakdown'!$H$6:$H$138, "&lt;"&amp;GI1)</f>
        <v>0</v>
      </c>
      <c r="BH5" s="255">
        <f>SUMIFS('Expenditure Breakdown'!$G$6:$G$138, 'Expenditure Breakdown'!$H$6:$H$138, "&gt;="&amp;BH1,'Expenditure Breakdown'!$H$6:$H$138, "&lt;"&amp;GJ1)</f>
        <v>0</v>
      </c>
      <c r="BI5" s="255">
        <f>SUMIFS('Expenditure Breakdown'!$G$6:$G$138, 'Expenditure Breakdown'!$H$6:$H$138, "&gt;="&amp;BI1,'Expenditure Breakdown'!$H$6:$H$138, "&lt;"&amp;GK1)</f>
        <v>0</v>
      </c>
      <c r="BJ5" s="255">
        <f>SUMIFS('Expenditure Breakdown'!$G$6:$G$138, 'Expenditure Breakdown'!$H$6:$H$138, "&gt;="&amp;BJ1,'Expenditure Breakdown'!$H$6:$H$138, "&lt;"&amp;GL1)</f>
        <v>0</v>
      </c>
      <c r="BK5" s="255">
        <f>SUMIFS('Expenditure Breakdown'!$G$6:$G$138, 'Expenditure Breakdown'!$H$6:$H$138, "&gt;="&amp;BK1,'Expenditure Breakdown'!$H$6:$H$138, "&lt;"&amp;GM1)</f>
        <v>0</v>
      </c>
      <c r="BL5" s="255">
        <f>SUMIFS('Expenditure Breakdown'!$G$6:$G$138, 'Expenditure Breakdown'!$H$6:$H$138, "&gt;="&amp;BL1,'Expenditure Breakdown'!$H$6:$H$138, "&lt;"&amp;GN1)</f>
        <v>0</v>
      </c>
      <c r="BM5" s="255">
        <f>SUMIFS('Expenditure Breakdown'!$G$6:$G$138, 'Expenditure Breakdown'!$H$6:$H$138, "&gt;="&amp;BM1,'Expenditure Breakdown'!$H$6:$H$138, "&lt;"&amp;GO1)</f>
        <v>0</v>
      </c>
      <c r="BN5" s="255">
        <f>SUMIFS('Expenditure Breakdown'!$G$6:$G$138, 'Expenditure Breakdown'!$H$6:$H$138, "&gt;="&amp;BN1,'Expenditure Breakdown'!$H$6:$H$138, "&lt;"&amp;GP1)</f>
        <v>0</v>
      </c>
      <c r="BO5" s="255">
        <f>SUMIFS('Expenditure Breakdown'!$G$6:$G$138, 'Expenditure Breakdown'!$H$6:$H$138, "&gt;="&amp;BO1,'Expenditure Breakdown'!$H$6:$H$138, "&lt;"&amp;GQ1)</f>
        <v>0</v>
      </c>
      <c r="BP5" s="255">
        <f>SUMIFS('Expenditure Breakdown'!$G$6:$G$138, 'Expenditure Breakdown'!$H$6:$H$138, "&gt;="&amp;BP1,'Expenditure Breakdown'!$H$6:$H$138, "&lt;"&amp;GR1)</f>
        <v>0</v>
      </c>
      <c r="BQ5" s="255">
        <f>SUMIFS('Expenditure Breakdown'!$G$6:$G$138, 'Expenditure Breakdown'!$H$6:$H$138, "&gt;="&amp;BQ1,'Expenditure Breakdown'!$H$6:$H$138, "&lt;"&amp;GS1)</f>
        <v>0</v>
      </c>
      <c r="BR5" s="255">
        <f>SUMIFS('Expenditure Breakdown'!$G$6:$G$138, 'Expenditure Breakdown'!$H$6:$H$138, "&gt;="&amp;BR1,'Expenditure Breakdown'!$H$6:$H$138, "&lt;"&amp;GT1)</f>
        <v>0</v>
      </c>
      <c r="BS5" s="255">
        <f>SUMIFS('Expenditure Breakdown'!$G$6:$G$138, 'Expenditure Breakdown'!$H$6:$H$138, "&gt;="&amp;BS1,'Expenditure Breakdown'!$H$6:$H$138, "&lt;"&amp;GU1)</f>
        <v>0</v>
      </c>
      <c r="BT5" s="255">
        <f>SUMIFS('Expenditure Breakdown'!$G$6:$G$138, 'Expenditure Breakdown'!$H$6:$H$138, "&gt;="&amp;BT1,'Expenditure Breakdown'!$H$6:$H$138, "&lt;"&amp;GV1)</f>
        <v>0</v>
      </c>
      <c r="BU5" s="255">
        <f>SUMIFS('Expenditure Breakdown'!$G$6:$G$138, 'Expenditure Breakdown'!$H$6:$H$138, "&gt;="&amp;BU1,'Expenditure Breakdown'!$H$6:$H$138, "&lt;"&amp;GW1)</f>
        <v>0</v>
      </c>
      <c r="BV5" s="255">
        <f>SUMIFS('Expenditure Breakdown'!$G$6:$G$138, 'Expenditure Breakdown'!$H$6:$H$138, "&gt;="&amp;BV1,'Expenditure Breakdown'!$H$6:$H$138, "&lt;"&amp;GX1)</f>
        <v>0</v>
      </c>
      <c r="BW5" s="255">
        <f>SUMIFS('Expenditure Breakdown'!$G$6:$G$138, 'Expenditure Breakdown'!$H$6:$H$138, "&gt;="&amp;BW1,'Expenditure Breakdown'!$H$6:$H$138, "&lt;"&amp;GY1)</f>
        <v>0</v>
      </c>
      <c r="BX5" s="255">
        <f>SUMIFS('Expenditure Breakdown'!$G$6:$G$138, 'Expenditure Breakdown'!$H$6:$H$138, "&gt;="&amp;BX1,'Expenditure Breakdown'!$H$6:$H$138, "&lt;"&amp;GZ1)</f>
        <v>0</v>
      </c>
      <c r="BY5" s="255">
        <f>SUMIFS('Expenditure Breakdown'!$G$6:$G$138, 'Expenditure Breakdown'!$H$6:$H$138, "&gt;="&amp;BY1,'Expenditure Breakdown'!$H$6:$H$138, "&lt;"&amp;HA1)</f>
        <v>0</v>
      </c>
      <c r="BZ5" s="255">
        <f>SUMIFS('Expenditure Breakdown'!$G$6:$G$138, 'Expenditure Breakdown'!$H$6:$H$138, "&gt;="&amp;BZ1,'Expenditure Breakdown'!$H$6:$H$138, "&lt;"&amp;HB1)</f>
        <v>0</v>
      </c>
      <c r="CA5" s="255">
        <f>SUMIFS('Expenditure Breakdown'!$G$6:$G$138, 'Expenditure Breakdown'!$H$6:$H$138, "&gt;="&amp;CA1,'Expenditure Breakdown'!$H$6:$H$138, "&lt;"&amp;HC1)</f>
        <v>0</v>
      </c>
      <c r="CB5" s="255">
        <f>SUMIFS('Expenditure Breakdown'!$G$6:$G$138, 'Expenditure Breakdown'!$H$6:$H$138, "&gt;="&amp;CB1,'Expenditure Breakdown'!$H$6:$H$138, "&lt;"&amp;HD1)</f>
        <v>0</v>
      </c>
      <c r="CC5" s="255">
        <f>SUMIFS('Expenditure Breakdown'!$G$6:$G$138, 'Expenditure Breakdown'!$H$6:$H$138, "&gt;="&amp;CC1,'Expenditure Breakdown'!$H$6:$H$138, "&lt;"&amp;HE1)</f>
        <v>0</v>
      </c>
      <c r="CD5" s="255">
        <f>SUMIFS('Expenditure Breakdown'!$G$6:$G$138, 'Expenditure Breakdown'!$H$6:$H$138, "&gt;="&amp;CD1,'Expenditure Breakdown'!$H$6:$H$138, "&lt;"&amp;HF1)</f>
        <v>0</v>
      </c>
      <c r="CE5" s="255">
        <f>SUMIFS('Expenditure Breakdown'!$G$6:$G$138, 'Expenditure Breakdown'!$H$6:$H$138, "&gt;="&amp;CE1,'Expenditure Breakdown'!$H$6:$H$138, "&lt;"&amp;HG1)</f>
        <v>0</v>
      </c>
      <c r="CF5" s="255">
        <f>SUMIFS('Expenditure Breakdown'!$G$6:$G$138, 'Expenditure Breakdown'!$H$6:$H$138, "&gt;="&amp;CF1,'Expenditure Breakdown'!$H$6:$H$138, "&lt;"&amp;HH1)</f>
        <v>0</v>
      </c>
      <c r="CG5" s="255">
        <f>SUMIFS('Expenditure Breakdown'!$G$6:$G$138, 'Expenditure Breakdown'!$H$6:$H$138, "&gt;="&amp;CG1,'Expenditure Breakdown'!$H$6:$H$138, "&lt;"&amp;HI1)</f>
        <v>0</v>
      </c>
      <c r="CH5" s="255">
        <f>SUMIFS('Expenditure Breakdown'!$G$6:$G$138, 'Expenditure Breakdown'!$H$6:$H$138, "&gt;="&amp;CH1,'Expenditure Breakdown'!$H$6:$H$138, "&lt;"&amp;HJ1)</f>
        <v>0</v>
      </c>
      <c r="CI5" s="255">
        <f>SUMIFS('Expenditure Breakdown'!$G$6:$G$138, 'Expenditure Breakdown'!$H$6:$H$138, "&gt;="&amp;CI1,'Expenditure Breakdown'!$H$6:$H$138, "&lt;"&amp;HK1)</f>
        <v>0</v>
      </c>
      <c r="CJ5" s="255">
        <f>SUMIFS('Expenditure Breakdown'!$G$6:$G$138, 'Expenditure Breakdown'!$H$6:$H$138, "&gt;="&amp;CJ1,'Expenditure Breakdown'!$H$6:$H$138, "&lt;"&amp;HL1)</f>
        <v>0</v>
      </c>
      <c r="CK5" s="255">
        <f>SUMIFS('Expenditure Breakdown'!$G$6:$G$138, 'Expenditure Breakdown'!$H$6:$H$138, "&gt;="&amp;CK1,'Expenditure Breakdown'!$H$6:$H$138, "&lt;"&amp;HM1)</f>
        <v>0</v>
      </c>
      <c r="CL5" s="255">
        <f>SUMIFS('Expenditure Breakdown'!$G$6:$G$138, 'Expenditure Breakdown'!$H$6:$H$138, "&gt;="&amp;CL1,'Expenditure Breakdown'!$H$6:$H$138, "&lt;"&amp;HN1)</f>
        <v>0</v>
      </c>
      <c r="CM5" s="255">
        <f>SUMIFS('Expenditure Breakdown'!$G$6:$G$138, 'Expenditure Breakdown'!$H$6:$H$138, "&gt;="&amp;CM1,'Expenditure Breakdown'!$H$6:$H$138, "&lt;"&amp;HO1)</f>
        <v>0</v>
      </c>
      <c r="CN5" s="255">
        <f>SUMIFS('Expenditure Breakdown'!$G$6:$G$138, 'Expenditure Breakdown'!$H$6:$H$138, "&gt;="&amp;CN1,'Expenditure Breakdown'!$H$6:$H$138, "&lt;"&amp;HP1)</f>
        <v>0</v>
      </c>
      <c r="CO5" s="255">
        <f>SUMIFS('Expenditure Breakdown'!$G$6:$G$138, 'Expenditure Breakdown'!$H$6:$H$138, "&gt;="&amp;CO1,'Expenditure Breakdown'!$H$6:$H$138, "&lt;"&amp;HQ1)</f>
        <v>0</v>
      </c>
      <c r="CP5" s="255">
        <f>SUMIFS('Expenditure Breakdown'!$G$6:$G$138, 'Expenditure Breakdown'!$H$6:$H$138, "&gt;="&amp;CP1,'Expenditure Breakdown'!$H$6:$H$138, "&lt;"&amp;HR1)</f>
        <v>0</v>
      </c>
      <c r="CQ5" s="255">
        <f>SUMIFS('Expenditure Breakdown'!$G$6:$G$138, 'Expenditure Breakdown'!$H$6:$H$138, "&gt;="&amp;CQ1,'Expenditure Breakdown'!$H$6:$H$138, "&lt;"&amp;HS1)</f>
        <v>0</v>
      </c>
      <c r="CR5" s="255">
        <f>SUMIFS('Expenditure Breakdown'!$G$6:$G$138, 'Expenditure Breakdown'!$H$6:$H$138, "&gt;="&amp;CR1,'Expenditure Breakdown'!$H$6:$H$138, "&lt;"&amp;HT1)</f>
        <v>0</v>
      </c>
      <c r="CS5" s="255">
        <f>SUMIFS('Expenditure Breakdown'!$G$6:$G$138, 'Expenditure Breakdown'!$H$6:$H$138, "&gt;="&amp;CS1,'Expenditure Breakdown'!$H$6:$H$138, "&lt;"&amp;HU1)</f>
        <v>0</v>
      </c>
      <c r="CT5" s="255">
        <f>SUMIFS('Expenditure Breakdown'!$G$6:$G$138, 'Expenditure Breakdown'!$H$6:$H$138, "&gt;="&amp;CT1,'Expenditure Breakdown'!$H$6:$H$138, "&lt;"&amp;HV1)</f>
        <v>0</v>
      </c>
      <c r="CU5" s="255">
        <f>SUMIFS('Expenditure Breakdown'!$G$6:$G$138, 'Expenditure Breakdown'!$H$6:$H$138, "&gt;="&amp;CU1,'Expenditure Breakdown'!$H$6:$H$138, "&lt;"&amp;HW1)</f>
        <v>0</v>
      </c>
      <c r="CV5" s="255">
        <f>SUMIFS('Expenditure Breakdown'!$G$6:$G$138, 'Expenditure Breakdown'!$H$6:$H$138, "&gt;="&amp;CV1,'Expenditure Breakdown'!$H$6:$H$138, "&lt;"&amp;HX1)</f>
        <v>0</v>
      </c>
      <c r="CW5" s="255">
        <f>SUMIFS('Expenditure Breakdown'!$G$6:$G$138, 'Expenditure Breakdown'!$H$6:$H$138, "&gt;="&amp;CW1,'Expenditure Breakdown'!$H$6:$H$138, "&lt;"&amp;HY1)</f>
        <v>0</v>
      </c>
      <c r="CX5" s="255">
        <f>SUMIFS('Expenditure Breakdown'!$G$6:$G$138, 'Expenditure Breakdown'!$H$6:$H$138, "&gt;="&amp;CX1,'Expenditure Breakdown'!$H$6:$H$138, "&lt;"&amp;HZ1)</f>
        <v>0</v>
      </c>
      <c r="CY5" s="255">
        <f>SUMIFS('Expenditure Breakdown'!$G$6:$G$138, 'Expenditure Breakdown'!$H$6:$H$138, "&gt;="&amp;CY1,'Expenditure Breakdown'!$H$6:$H$138, "&lt;"&amp;IA1)</f>
        <v>0</v>
      </c>
      <c r="CZ5" s="255">
        <f>SUMIFS('Expenditure Breakdown'!$G$6:$G$138, 'Expenditure Breakdown'!$H$6:$H$138, "&gt;="&amp;CZ1,'Expenditure Breakdown'!$H$6:$H$138, "&lt;"&amp;IB1)</f>
        <v>0</v>
      </c>
      <c r="DA5" s="255">
        <f>SUMIFS('Expenditure Breakdown'!$G$6:$G$138, 'Expenditure Breakdown'!$H$6:$H$138, "&gt;="&amp;DA1,'Expenditure Breakdown'!$H$6:$H$138, "&lt;"&amp;IC1)</f>
        <v>0</v>
      </c>
      <c r="DB5" s="255">
        <f>SUMIFS('Expenditure Breakdown'!$G$6:$G$138, 'Expenditure Breakdown'!$H$6:$H$138, "&gt;="&amp;DB1,'Expenditure Breakdown'!$H$6:$H$138, "&lt;"&amp;ID1)</f>
        <v>0</v>
      </c>
      <c r="DC5" s="255">
        <f>SUMIFS('Expenditure Breakdown'!$G$6:$G$138, 'Expenditure Breakdown'!$H$6:$H$138, "&gt;="&amp;DC1,'Expenditure Breakdown'!$H$6:$H$138, "&lt;"&amp;IE1)</f>
        <v>0</v>
      </c>
      <c r="DD5" s="255">
        <f>SUMIFS('Expenditure Breakdown'!$G$6:$G$138, 'Expenditure Breakdown'!$H$6:$H$138, "&gt;="&amp;DD1,'Expenditure Breakdown'!$H$6:$H$138, "&lt;"&amp;IF1)</f>
        <v>0</v>
      </c>
      <c r="DE5" s="255">
        <f>SUMIFS('Expenditure Breakdown'!$G$6:$G$138, 'Expenditure Breakdown'!$H$6:$H$138, "&gt;="&amp;DE1,'Expenditure Breakdown'!$H$6:$H$138, "&lt;"&amp;IG1)</f>
        <v>0</v>
      </c>
      <c r="DF5" s="255">
        <f>SUMIFS('Expenditure Breakdown'!$G$6:$G$138, 'Expenditure Breakdown'!$H$6:$H$138, "&gt;="&amp;DF1,'Expenditure Breakdown'!$H$6:$H$138, "&lt;"&amp;IH1)</f>
        <v>0</v>
      </c>
      <c r="DG5" s="255">
        <f>SUMIFS('Expenditure Breakdown'!$G$6:$G$138, 'Expenditure Breakdown'!$H$6:$H$138, "&gt;="&amp;DG1,'Expenditure Breakdown'!$H$6:$H$138, "&lt;"&amp;II1)</f>
        <v>0</v>
      </c>
      <c r="DH5" s="255">
        <f>SUMIFS('Expenditure Breakdown'!$G$6:$G$138, 'Expenditure Breakdown'!$H$6:$H$138, "&gt;="&amp;DH1,'Expenditure Breakdown'!$H$6:$H$138, "&lt;"&amp;IJ1)</f>
        <v>0</v>
      </c>
      <c r="DI5" s="255">
        <f>SUMIFS('Expenditure Breakdown'!$G$6:$G$138, 'Expenditure Breakdown'!$H$6:$H$138, "&gt;="&amp;DI1,'Expenditure Breakdown'!$H$6:$H$138, "&lt;"&amp;IK1)</f>
        <v>0</v>
      </c>
      <c r="DJ5" s="255">
        <f>SUMIFS('Expenditure Breakdown'!$G$6:$G$138, 'Expenditure Breakdown'!$H$6:$H$138, "&gt;="&amp;DJ1,'Expenditure Breakdown'!$H$6:$H$138, "&lt;"&amp;IL1)</f>
        <v>0</v>
      </c>
      <c r="DK5" s="255">
        <f>SUMIFS('Expenditure Breakdown'!$G$6:$G$138, 'Expenditure Breakdown'!$H$6:$H$138, "&gt;="&amp;DK1,'Expenditure Breakdown'!$H$6:$H$138, "&lt;"&amp;IM1)</f>
        <v>0</v>
      </c>
      <c r="DL5" s="255">
        <f>SUMIFS('Expenditure Breakdown'!$G$6:$G$138, 'Expenditure Breakdown'!$H$6:$H$138, "&gt;="&amp;DL1,'Expenditure Breakdown'!$H$6:$H$138, "&lt;"&amp;IN1)</f>
        <v>0</v>
      </c>
      <c r="DM5" s="255">
        <f>SUMIFS('Expenditure Breakdown'!$G$6:$G$138, 'Expenditure Breakdown'!$H$6:$H$138, "&gt;="&amp;DM1,'Expenditure Breakdown'!$H$6:$H$138, "&lt;"&amp;IO1)</f>
        <v>0</v>
      </c>
      <c r="DN5" s="255">
        <f>SUMIFS('Expenditure Breakdown'!$G$6:$G$138, 'Expenditure Breakdown'!$H$6:$H$138, "&gt;="&amp;DN1,'Expenditure Breakdown'!$H$6:$H$138, "&lt;"&amp;IP1)</f>
        <v>0</v>
      </c>
      <c r="DO5" s="255">
        <f>SUMIFS('Expenditure Breakdown'!$G$6:$G$138, 'Expenditure Breakdown'!$H$6:$H$138, "&gt;="&amp;DO1,'Expenditure Breakdown'!$H$6:$H$138, "&lt;"&amp;IQ1)</f>
        <v>0</v>
      </c>
      <c r="DP5" s="255">
        <f>SUMIFS('Expenditure Breakdown'!$G$6:$G$138, 'Expenditure Breakdown'!$H$6:$H$138, "&gt;="&amp;DP1,'Expenditure Breakdown'!$H$6:$H$138, "&lt;"&amp;IR1)</f>
        <v>0</v>
      </c>
      <c r="DQ5" s="255">
        <f>SUMIFS('Expenditure Breakdown'!$G$6:$G$138, 'Expenditure Breakdown'!$H$6:$H$138, "&gt;="&amp;DQ1,'Expenditure Breakdown'!$H$6:$H$138, "&lt;"&amp;IS1)</f>
        <v>0</v>
      </c>
      <c r="DR5" s="255">
        <f>SUMIFS('Expenditure Breakdown'!$G$6:$G$138, 'Expenditure Breakdown'!$H$6:$H$138, "&gt;="&amp;DR1,'Expenditure Breakdown'!$H$6:$H$138, "&lt;"&amp;IT1)</f>
        <v>0</v>
      </c>
      <c r="DS5" s="255">
        <f>SUMIFS('Expenditure Breakdown'!$G$6:$G$138, 'Expenditure Breakdown'!$H$6:$H$138, "&gt;="&amp;DS1,'Expenditure Breakdown'!$H$6:$H$138, "&lt;"&amp;IU1)</f>
        <v>0</v>
      </c>
      <c r="DT5" s="255">
        <f>SUMIFS('Expenditure Breakdown'!$G$6:$G$138, 'Expenditure Breakdown'!$H$6:$H$138, "&gt;="&amp;DT1,'Expenditure Breakdown'!$H$6:$H$138, "&lt;"&amp;IV1)</f>
        <v>0</v>
      </c>
      <c r="DU5" s="255">
        <f>SUMIFS('Expenditure Breakdown'!$G$6:$G$138, 'Expenditure Breakdown'!$H$6:$H$138, "&gt;="&amp;DU1,'Expenditure Breakdown'!$H$6:$H$138, "&lt;"&amp;IW1)</f>
        <v>0</v>
      </c>
      <c r="DV5" s="255">
        <f>SUMIFS('Expenditure Breakdown'!$G$6:$G$138, 'Expenditure Breakdown'!$H$6:$H$138, "&gt;="&amp;DV1,'Expenditure Breakdown'!$H$6:$H$138, "&lt;"&amp;IX1)</f>
        <v>0</v>
      </c>
      <c r="DW5" s="255">
        <f>SUMIFS('Expenditure Breakdown'!$G$6:$G$138, 'Expenditure Breakdown'!$H$6:$H$138, "&gt;="&amp;DW1,'Expenditure Breakdown'!$H$6:$H$138, "&lt;"&amp;IY1)</f>
        <v>0</v>
      </c>
      <c r="DX5" s="255">
        <f>SUMIFS('Expenditure Breakdown'!$G$6:$G$138, 'Expenditure Breakdown'!$H$6:$H$138, "&gt;="&amp;DX1,'Expenditure Breakdown'!$H$6:$H$138, "&lt;"&amp;IZ1)</f>
        <v>0</v>
      </c>
      <c r="DY5" s="255">
        <f>SUMIFS('Expenditure Breakdown'!$G$6:$G$138, 'Expenditure Breakdown'!$H$6:$H$138, "&gt;="&amp;DY1,'Expenditure Breakdown'!$H$6:$H$138, "&lt;"&amp;JA1)</f>
        <v>0</v>
      </c>
      <c r="DZ5" s="255">
        <f>SUMIFS('Expenditure Breakdown'!$G$6:$G$138, 'Expenditure Breakdown'!$H$6:$H$138, "&gt;="&amp;DZ1,'Expenditure Breakdown'!$H$6:$H$138, "&lt;"&amp;JB1)</f>
        <v>0</v>
      </c>
      <c r="EA5" s="255">
        <f>SUMIFS('Expenditure Breakdown'!$G$6:$G$138, 'Expenditure Breakdown'!$H$6:$H$138, "&gt;="&amp;EA1,'Expenditure Breakdown'!$H$6:$H$138, "&lt;"&amp;JC1)</f>
        <v>0</v>
      </c>
      <c r="EB5" s="255">
        <f>SUMIFS('Expenditure Breakdown'!$G$6:$G$138, 'Expenditure Breakdown'!$H$6:$H$138, "&gt;="&amp;EB1,'Expenditure Breakdown'!$H$6:$H$138, "&lt;"&amp;JD1)</f>
        <v>0</v>
      </c>
      <c r="EC5" s="255">
        <f>SUMIFS('Expenditure Breakdown'!$G$6:$G$138, 'Expenditure Breakdown'!$H$6:$H$138, "&gt;="&amp;EC1,'Expenditure Breakdown'!$H$6:$H$138, "&lt;"&amp;JE1)</f>
        <v>0</v>
      </c>
      <c r="ED5" s="255">
        <f>SUMIFS('Expenditure Breakdown'!$G$6:$G$138, 'Expenditure Breakdown'!$H$6:$H$138, "&gt;="&amp;ED1,'Expenditure Breakdown'!$H$6:$H$138, "&lt;"&amp;JF1)</f>
        <v>0</v>
      </c>
      <c r="EE5" s="255">
        <f>SUMIFS('Expenditure Breakdown'!$G$6:$G$138, 'Expenditure Breakdown'!$H$6:$H$138, "&gt;="&amp;EE1,'Expenditure Breakdown'!$H$6:$H$138, "&lt;"&amp;JG1)</f>
        <v>0</v>
      </c>
      <c r="EF5" s="255">
        <f>SUMIFS('Expenditure Breakdown'!$G$6:$G$138, 'Expenditure Breakdown'!$H$6:$H$138, "&gt;="&amp;EF1,'Expenditure Breakdown'!$H$6:$H$138, "&lt;"&amp;JH1)</f>
        <v>0</v>
      </c>
      <c r="EG5" s="255">
        <f>SUMIFS('Expenditure Breakdown'!$G$6:$G$138, 'Expenditure Breakdown'!$H$6:$H$138, "&gt;="&amp;EG1,'Expenditure Breakdown'!$H$6:$H$138, "&lt;"&amp;JI1)</f>
        <v>0</v>
      </c>
      <c r="EH5" s="255">
        <f>SUMIFS('Expenditure Breakdown'!$G$6:$G$138, 'Expenditure Breakdown'!$H$6:$H$138, "&gt;="&amp;EH1,'Expenditure Breakdown'!$H$6:$H$138, "&lt;"&amp;JJ1)</f>
        <v>0</v>
      </c>
      <c r="EI5" s="255">
        <f>SUMIFS('Expenditure Breakdown'!$G$6:$G$138, 'Expenditure Breakdown'!$H$6:$H$138, "&gt;="&amp;EI1,'Expenditure Breakdown'!$H$6:$H$138, "&lt;"&amp;JK1)</f>
        <v>0</v>
      </c>
      <c r="EJ5" s="255">
        <f>SUMIFS('Expenditure Breakdown'!$G$6:$G$138, 'Expenditure Breakdown'!$H$6:$H$138, "&gt;="&amp;EJ1,'Expenditure Breakdown'!$H$6:$H$138, "&lt;"&amp;JL1)</f>
        <v>0</v>
      </c>
      <c r="EK5" s="255">
        <f>SUMIFS('Expenditure Breakdown'!$G$6:$G$138, 'Expenditure Breakdown'!$H$6:$H$138, "&gt;="&amp;EK1,'Expenditure Breakdown'!$H$6:$H$138, "&lt;"&amp;JM1)</f>
        <v>0</v>
      </c>
      <c r="EL5" s="255">
        <f>SUMIFS('Expenditure Breakdown'!$G$6:$G$138, 'Expenditure Breakdown'!$H$6:$H$138, "&gt;="&amp;EL1,'Expenditure Breakdown'!$H$6:$H$138, "&lt;"&amp;JN1)</f>
        <v>0</v>
      </c>
      <c r="EM5" s="255">
        <f>SUMIFS('Expenditure Breakdown'!$G$6:$G$138, 'Expenditure Breakdown'!$H$6:$H$138, "&gt;="&amp;EM1,'Expenditure Breakdown'!$H$6:$H$138, "&lt;"&amp;JO1)</f>
        <v>0</v>
      </c>
      <c r="EN5" s="255">
        <f>SUMIFS('Expenditure Breakdown'!$G$6:$G$138, 'Expenditure Breakdown'!$H$6:$H$138, "&gt;="&amp;EN1,'Expenditure Breakdown'!$H$6:$H$138, "&lt;"&amp;JP1)</f>
        <v>0</v>
      </c>
      <c r="EO5" s="255">
        <f>SUMIFS('Expenditure Breakdown'!$G$6:$G$138, 'Expenditure Breakdown'!$H$6:$H$138, "&gt;="&amp;EO1,'Expenditure Breakdown'!$H$6:$H$138, "&lt;"&amp;JQ1)</f>
        <v>0</v>
      </c>
      <c r="EP5" s="255">
        <f>SUMIFS('Expenditure Breakdown'!$G$6:$G$138, 'Expenditure Breakdown'!$H$6:$H$138, "&gt;="&amp;EP1,'Expenditure Breakdown'!$H$6:$H$138, "&lt;"&amp;JR1)</f>
        <v>0</v>
      </c>
      <c r="EQ5" s="255">
        <f>SUMIFS('Expenditure Breakdown'!$G$6:$G$138, 'Expenditure Breakdown'!$H$6:$H$138, "&gt;="&amp;EQ1,'Expenditure Breakdown'!$H$6:$H$138, "&lt;"&amp;JS1)</f>
        <v>0</v>
      </c>
      <c r="ER5" s="255">
        <f>SUMIFS('Expenditure Breakdown'!$G$6:$G$138, 'Expenditure Breakdown'!$H$6:$H$138, "&gt;="&amp;ER1,'Expenditure Breakdown'!$H$6:$H$138, "&lt;"&amp;JT1)</f>
        <v>0</v>
      </c>
      <c r="ES5" s="255">
        <f>SUMIFS('Expenditure Breakdown'!$G$6:$G$138, 'Expenditure Breakdown'!$H$6:$H$138, "&gt;="&amp;ES1,'Expenditure Breakdown'!$H$6:$H$138, "&lt;"&amp;JU1)</f>
        <v>0</v>
      </c>
      <c r="ET5" s="255">
        <f>SUMIFS('Expenditure Breakdown'!$G$6:$G$138, 'Expenditure Breakdown'!$H$6:$H$138, "&gt;="&amp;ET1,'Expenditure Breakdown'!$H$6:$H$138, "&lt;"&amp;JV1)</f>
        <v>0</v>
      </c>
      <c r="EU5" s="255">
        <f>SUMIFS('Expenditure Breakdown'!$G$6:$G$138, 'Expenditure Breakdown'!$H$6:$H$138, "&gt;="&amp;EU1,'Expenditure Breakdown'!$H$6:$H$138, "&lt;"&amp;JW1)</f>
        <v>0</v>
      </c>
      <c r="EV5" s="255">
        <f>SUMIFS('Expenditure Breakdown'!$G$6:$G$138, 'Expenditure Breakdown'!$H$6:$H$138, "&gt;="&amp;EV1,'Expenditure Breakdown'!$H$6:$H$138, "&lt;"&amp;JX1)</f>
        <v>0</v>
      </c>
      <c r="EW5" s="255">
        <f>SUMIFS('Expenditure Breakdown'!$G$6:$G$138, 'Expenditure Breakdown'!$H$6:$H$138, "&gt;="&amp;EW1,'Expenditure Breakdown'!$H$6:$H$138, "&lt;"&amp;JY1)</f>
        <v>0</v>
      </c>
      <c r="EX5" s="255">
        <f>SUMIFS('Expenditure Breakdown'!$G$6:$G$138, 'Expenditure Breakdown'!$H$6:$H$138, "&gt;="&amp;EX1,'Expenditure Breakdown'!$H$6:$H$138, "&lt;"&amp;JZ1)</f>
        <v>0</v>
      </c>
      <c r="EY5" s="255">
        <f>SUMIFS('Expenditure Breakdown'!$G$6:$G$138, 'Expenditure Breakdown'!$H$6:$H$138, "&gt;="&amp;EY1,'Expenditure Breakdown'!$H$6:$H$138, "&lt;"&amp;KA1)</f>
        <v>0</v>
      </c>
      <c r="EZ5" s="255">
        <f>SUMIFS('Expenditure Breakdown'!$G$6:$G$138, 'Expenditure Breakdown'!$H$6:$H$138, "&gt;="&amp;EZ1,'Expenditure Breakdown'!$H$6:$H$138, "&lt;"&amp;KB1)</f>
        <v>0</v>
      </c>
      <c r="FA5" s="255">
        <f>SUMIFS('Expenditure Breakdown'!$G$6:$G$138, 'Expenditure Breakdown'!$H$6:$H$138, "&gt;="&amp;FA1,'Expenditure Breakdown'!$H$6:$H$138, "&lt;"&amp;KC1)</f>
        <v>0</v>
      </c>
      <c r="FB5" s="255">
        <f>SUMIFS('Expenditure Breakdown'!$G$6:$G$138, 'Expenditure Breakdown'!$H$6:$H$138, "&gt;="&amp;FB1,'Expenditure Breakdown'!$H$6:$H$138, "&lt;"&amp;KD1)</f>
        <v>0</v>
      </c>
      <c r="FC5" s="255">
        <f>SUMIFS('Expenditure Breakdown'!$G$6:$G$138, 'Expenditure Breakdown'!$H$6:$H$138, "&gt;="&amp;FC1,'Expenditure Breakdown'!$H$6:$H$138, "&lt;"&amp;KE1)</f>
        <v>0</v>
      </c>
      <c r="FD5" s="255">
        <f>SUMIFS('Expenditure Breakdown'!$G$6:$G$138, 'Expenditure Breakdown'!$H$6:$H$138, "&gt;="&amp;FD1,'Expenditure Breakdown'!$H$6:$H$138, "&lt;"&amp;KF1)</f>
        <v>0</v>
      </c>
      <c r="FE5" s="255">
        <f>SUMIFS('Expenditure Breakdown'!$G$6:$G$138, 'Expenditure Breakdown'!$H$6:$H$138, "&gt;="&amp;FE1,'Expenditure Breakdown'!$H$6:$H$138, "&lt;"&amp;KG1)</f>
        <v>0</v>
      </c>
      <c r="FF5" s="255">
        <f>SUMIFS('Expenditure Breakdown'!$G$6:$G$138, 'Expenditure Breakdown'!$H$6:$H$138, "&gt;="&amp;FF1,'Expenditure Breakdown'!$H$6:$H$138, "&lt;"&amp;KH1)</f>
        <v>0</v>
      </c>
      <c r="FG5" s="255">
        <f>SUMIFS('Expenditure Breakdown'!$G$6:$G$138, 'Expenditure Breakdown'!$H$6:$H$138, "&gt;="&amp;FG1,'Expenditure Breakdown'!$H$6:$H$138, "&lt;"&amp;KI1)</f>
        <v>0</v>
      </c>
      <c r="FH5" s="255">
        <f>SUMIFS('Expenditure Breakdown'!$G$6:$G$138, 'Expenditure Breakdown'!$H$6:$H$138, "&gt;="&amp;FH1,'Expenditure Breakdown'!$H$6:$H$138, "&lt;"&amp;KJ1)</f>
        <v>0</v>
      </c>
      <c r="FI5" s="255">
        <f>SUMIFS('Expenditure Breakdown'!$G$6:$G$138, 'Expenditure Breakdown'!$H$6:$H$138, "&gt;="&amp;FI1,'Expenditure Breakdown'!$H$6:$H$138, "&lt;"&amp;KK1)</f>
        <v>0</v>
      </c>
      <c r="FJ5" s="255">
        <f>SUMIFS('Expenditure Breakdown'!$G$6:$G$138, 'Expenditure Breakdown'!$H$6:$H$138, "&gt;="&amp;FJ1,'Expenditure Breakdown'!$H$6:$H$138, "&lt;"&amp;KL1)</f>
        <v>0</v>
      </c>
      <c r="FK5" s="255">
        <f>SUMIFS('Expenditure Breakdown'!$G$6:$G$138, 'Expenditure Breakdown'!$H$6:$H$138, "&gt;="&amp;FK1,'Expenditure Breakdown'!$H$6:$H$138, "&lt;"&amp;KM1)</f>
        <v>0</v>
      </c>
      <c r="FL5" s="255">
        <f>SUMIFS('Expenditure Breakdown'!$G$6:$G$138, 'Expenditure Breakdown'!$H$6:$H$138, "&gt;="&amp;FL1,'Expenditure Breakdown'!$H$6:$H$138, "&lt;"&amp;KN1)</f>
        <v>0</v>
      </c>
      <c r="FM5" s="255">
        <f>SUMIFS('Expenditure Breakdown'!$G$6:$G$138, 'Expenditure Breakdown'!$H$6:$H$138, "&gt;="&amp;FM1,'Expenditure Breakdown'!$H$6:$H$138, "&lt;"&amp;KO1)</f>
        <v>0</v>
      </c>
      <c r="FN5" s="255">
        <f>SUMIFS('Expenditure Breakdown'!$G$6:$G$138, 'Expenditure Breakdown'!$H$6:$H$138, "&gt;="&amp;FN1,'Expenditure Breakdown'!$H$6:$H$138, "&lt;"&amp;KP1)</f>
        <v>0</v>
      </c>
      <c r="FO5" s="255">
        <f>SUMIFS('Expenditure Breakdown'!$G$6:$G$138, 'Expenditure Breakdown'!$H$6:$H$138, "&gt;="&amp;FO1,'Expenditure Breakdown'!$H$6:$H$138, "&lt;"&amp;KQ1)</f>
        <v>0</v>
      </c>
      <c r="FP5" s="255">
        <f>SUMIFS('Expenditure Breakdown'!$G$6:$G$138, 'Expenditure Breakdown'!$H$6:$H$138, "&gt;="&amp;FP1,'Expenditure Breakdown'!$H$6:$H$138, "&lt;"&amp;KR1)</f>
        <v>0</v>
      </c>
      <c r="FQ5" s="255">
        <f>SUMIFS('Expenditure Breakdown'!$G$6:$G$138, 'Expenditure Breakdown'!$H$6:$H$138, "&gt;="&amp;FQ1,'Expenditure Breakdown'!$H$6:$H$138, "&lt;"&amp;KS1)</f>
        <v>0</v>
      </c>
      <c r="FR5" s="255">
        <f>SUMIFS('Expenditure Breakdown'!$G$6:$G$138, 'Expenditure Breakdown'!$H$6:$H$138, "&gt;="&amp;FR1,'Expenditure Breakdown'!$H$6:$H$138, "&lt;"&amp;KT1)</f>
        <v>0</v>
      </c>
      <c r="FS5" s="255">
        <f>SUMIFS('Expenditure Breakdown'!$G$6:$G$138, 'Expenditure Breakdown'!$H$6:$H$138, "&gt;="&amp;FS1,'Expenditure Breakdown'!$H$6:$H$138, "&lt;"&amp;KU1)</f>
        <v>0</v>
      </c>
      <c r="FT5" s="255">
        <f>SUMIFS('Expenditure Breakdown'!$G$6:$G$138, 'Expenditure Breakdown'!$H$6:$H$138, "&gt;="&amp;FT1,'Expenditure Breakdown'!$H$6:$H$138, "&lt;"&amp;KV1)</f>
        <v>0</v>
      </c>
      <c r="FU5" s="255">
        <f>SUMIFS('Expenditure Breakdown'!$G$6:$G$138, 'Expenditure Breakdown'!$H$6:$H$138, "&gt;="&amp;FU1,'Expenditure Breakdown'!$H$6:$H$138, "&lt;"&amp;KW1)</f>
        <v>0</v>
      </c>
      <c r="FV5" s="255">
        <f>SUMIFS('Expenditure Breakdown'!$G$6:$G$138, 'Expenditure Breakdown'!$H$6:$H$138, "&gt;="&amp;FV1,'Expenditure Breakdown'!$H$6:$H$138, "&lt;"&amp;KX1)</f>
        <v>0</v>
      </c>
      <c r="FW5" s="255">
        <f>SUMIFS('Expenditure Breakdown'!$G$6:$G$138, 'Expenditure Breakdown'!$H$6:$H$138, "&gt;="&amp;FW1,'Expenditure Breakdown'!$H$6:$H$138, "&lt;"&amp;KY1)</f>
        <v>0</v>
      </c>
      <c r="FX5" s="255">
        <f>SUMIFS('Expenditure Breakdown'!$G$6:$G$138, 'Expenditure Breakdown'!$H$6:$H$138, "&gt;="&amp;FX1,'Expenditure Breakdown'!$H$6:$H$138, "&lt;"&amp;KZ1)</f>
        <v>0</v>
      </c>
      <c r="FY5" s="255">
        <f>SUMIFS('Expenditure Breakdown'!$G$6:$G$138, 'Expenditure Breakdown'!$H$6:$H$138, "&gt;="&amp;FY1,'Expenditure Breakdown'!$H$6:$H$138, "&lt;"&amp;LA1)</f>
        <v>0</v>
      </c>
      <c r="FZ5" s="255">
        <f>SUMIFS('Expenditure Breakdown'!$G$6:$G$138, 'Expenditure Breakdown'!$H$6:$H$138, "&gt;="&amp;FZ1,'Expenditure Breakdown'!$H$6:$H$138, "&lt;"&amp;LB1)</f>
        <v>0</v>
      </c>
      <c r="GA5" s="255">
        <f>SUMIFS('Expenditure Breakdown'!$G$6:$G$138, 'Expenditure Breakdown'!$H$6:$H$138, "&gt;="&amp;GA1,'Expenditure Breakdown'!$H$6:$H$138, "&lt;"&amp;LC1)</f>
        <v>0</v>
      </c>
      <c r="GB5" s="255">
        <f>SUMIFS('Expenditure Breakdown'!$G$6:$G$138, 'Expenditure Breakdown'!$H$6:$H$138, "&gt;="&amp;GB1,'Expenditure Breakdown'!$H$6:$H$138, "&lt;"&amp;LD1)</f>
        <v>0</v>
      </c>
      <c r="GC5" s="255">
        <f>SUMIFS('Expenditure Breakdown'!$G$6:$G$138, 'Expenditure Breakdown'!$H$6:$H$138, "&gt;="&amp;GC1,'Expenditure Breakdown'!$H$6:$H$138, "&lt;"&amp;LE1)</f>
        <v>0</v>
      </c>
      <c r="GD5" s="255">
        <f>SUMIFS('Expenditure Breakdown'!$G$6:$G$138, 'Expenditure Breakdown'!$H$6:$H$138, "&gt;="&amp;GD1,'Expenditure Breakdown'!$H$6:$H$138, "&lt;"&amp;LF1)</f>
        <v>0</v>
      </c>
      <c r="GE5" s="255">
        <f>SUMIFS('Expenditure Breakdown'!$G$6:$G$138, 'Expenditure Breakdown'!$H$6:$H$138, "&gt;="&amp;GE1,'Expenditure Breakdown'!$H$6:$H$138, "&lt;"&amp;LG1)</f>
        <v>0</v>
      </c>
      <c r="GF5" s="255">
        <f>SUMIFS('Expenditure Breakdown'!$G$6:$G$138, 'Expenditure Breakdown'!$H$6:$H$138, "&gt;="&amp;GF1,'Expenditure Breakdown'!$H$6:$H$138, "&lt;"&amp;LH1)</f>
        <v>0</v>
      </c>
      <c r="GG5" s="245"/>
      <c r="GH5" s="256"/>
      <c r="GI5" s="256"/>
    </row>
    <row r="6" spans="1:666" s="257" customFormat="1">
      <c r="A6" s="1052"/>
      <c r="B6" s="253" t="s">
        <v>461</v>
      </c>
      <c r="C6" s="254"/>
      <c r="D6" s="254"/>
      <c r="E6" s="251"/>
      <c r="F6" s="255">
        <f>F5</f>
        <v>0</v>
      </c>
      <c r="G6" s="255">
        <f>F6+G5</f>
        <v>0</v>
      </c>
      <c r="H6" s="255">
        <f t="shared" ref="H6:S6" si="281">G6+H5</f>
        <v>0</v>
      </c>
      <c r="I6" s="255">
        <f t="shared" si="281"/>
        <v>0</v>
      </c>
      <c r="J6" s="255">
        <f t="shared" si="281"/>
        <v>0</v>
      </c>
      <c r="K6" s="255">
        <f t="shared" si="281"/>
        <v>0</v>
      </c>
      <c r="L6" s="255">
        <f t="shared" si="281"/>
        <v>0</v>
      </c>
      <c r="M6" s="255">
        <f t="shared" si="281"/>
        <v>0</v>
      </c>
      <c r="N6" s="255">
        <f t="shared" si="281"/>
        <v>0</v>
      </c>
      <c r="O6" s="255">
        <f t="shared" si="281"/>
        <v>0</v>
      </c>
      <c r="P6" s="255">
        <f t="shared" si="281"/>
        <v>0</v>
      </c>
      <c r="Q6" s="255">
        <f t="shared" si="281"/>
        <v>0</v>
      </c>
      <c r="R6" s="255">
        <f t="shared" si="281"/>
        <v>0</v>
      </c>
      <c r="S6" s="255">
        <f t="shared" si="281"/>
        <v>0</v>
      </c>
      <c r="T6" s="255">
        <f t="shared" ref="T6" si="282">S6+T5</f>
        <v>0</v>
      </c>
      <c r="U6" s="255">
        <f t="shared" ref="U6" si="283">T6+U5</f>
        <v>0</v>
      </c>
      <c r="V6" s="255">
        <f t="shared" ref="V6" si="284">U6+V5</f>
        <v>0</v>
      </c>
      <c r="W6" s="255">
        <f t="shared" ref="W6" si="285">V6+W5</f>
        <v>0</v>
      </c>
      <c r="X6" s="255">
        <f t="shared" ref="X6" si="286">W6+X5</f>
        <v>774463.10869565222</v>
      </c>
      <c r="Y6" s="255">
        <f t="shared" ref="Y6" si="287">X6+Y5</f>
        <v>782463.10869565222</v>
      </c>
      <c r="Z6" s="255">
        <f t="shared" ref="Z6" si="288">Y6+Z5</f>
        <v>782463.10869565222</v>
      </c>
      <c r="AA6" s="255">
        <f t="shared" ref="AA6" si="289">Z6+AA5</f>
        <v>782463.10869565222</v>
      </c>
      <c r="AB6" s="255">
        <f t="shared" ref="AB6" si="290">AA6+AB5</f>
        <v>782463.10869565222</v>
      </c>
      <c r="AC6" s="255">
        <f t="shared" ref="AC6" si="291">AB6+AC5</f>
        <v>1024463.1086956522</v>
      </c>
      <c r="AD6" s="255">
        <f t="shared" ref="AD6" si="292">AC6+AD5</f>
        <v>1024463.1086956522</v>
      </c>
      <c r="AE6" s="255">
        <f t="shared" ref="AE6" si="293">AD6+AE5</f>
        <v>1024463.1086956522</v>
      </c>
      <c r="AF6" s="255">
        <f t="shared" ref="AF6" si="294">AE6+AF5</f>
        <v>10589272.108695652</v>
      </c>
      <c r="AG6" s="255">
        <f t="shared" ref="AG6" si="295">AF6+AG5</f>
        <v>10722139.108695652</v>
      </c>
      <c r="AH6" s="255">
        <f t="shared" ref="AH6" si="296">AG6+AH5</f>
        <v>10722139.108695652</v>
      </c>
      <c r="AI6" s="255">
        <f t="shared" ref="AI6" si="297">AH6+AI5</f>
        <v>12255656.758695653</v>
      </c>
      <c r="AJ6" s="255">
        <f t="shared" ref="AJ6" si="298">AI6+AJ5</f>
        <v>12621185.717391305</v>
      </c>
      <c r="AK6" s="255">
        <f t="shared" ref="AK6" si="299">AJ6+AK5</f>
        <v>13085940.300724639</v>
      </c>
      <c r="AL6" s="255">
        <f t="shared" ref="AL6" si="300">AK6+AL5</f>
        <v>13085940.300724639</v>
      </c>
      <c r="AM6" s="255">
        <f t="shared" ref="AM6" si="301">AL6+AM5</f>
        <v>13085940.300724639</v>
      </c>
      <c r="AN6" s="255">
        <f t="shared" ref="AN6" si="302">AM6+AN5</f>
        <v>13085940.300724639</v>
      </c>
      <c r="AO6" s="255">
        <f t="shared" ref="AO6" si="303">AN6+AO5</f>
        <v>13170256.550724639</v>
      </c>
      <c r="AP6" s="255">
        <f t="shared" ref="AP6" si="304">AO6+AP5</f>
        <v>13170256.550724639</v>
      </c>
      <c r="AQ6" s="255">
        <f t="shared" ref="AQ6" si="305">AP6+AQ5</f>
        <v>13170256.550724639</v>
      </c>
      <c r="AR6" s="255">
        <f t="shared" ref="AR6" si="306">AQ6+AR5</f>
        <v>13282857.692898551</v>
      </c>
      <c r="AS6" s="255">
        <f t="shared" ref="AS6" si="307">AR6+AS5</f>
        <v>13282857.692898551</v>
      </c>
      <c r="AT6" s="255">
        <f t="shared" ref="AT6" si="308">AS6+AT5</f>
        <v>13282857.692898551</v>
      </c>
      <c r="AU6" s="255">
        <f t="shared" ref="AU6" si="309">AT6+AU5</f>
        <v>13282857.692898551</v>
      </c>
      <c r="AV6" s="255">
        <f t="shared" ref="AV6" si="310">AU6+AV5</f>
        <v>13282857.692898551</v>
      </c>
      <c r="AW6" s="255">
        <f t="shared" ref="AW6" si="311">AV6+AW5</f>
        <v>13282857.692898551</v>
      </c>
      <c r="AX6" s="255">
        <f t="shared" ref="AX6" si="312">AW6+AX5</f>
        <v>13282857.692898551</v>
      </c>
      <c r="AY6" s="255">
        <f t="shared" ref="AY6" si="313">AX6+AY5</f>
        <v>13282857.692898551</v>
      </c>
      <c r="AZ6" s="255">
        <f t="shared" ref="AZ6" si="314">AY6+AZ5</f>
        <v>13282857.692898551</v>
      </c>
      <c r="BA6" s="255">
        <f t="shared" ref="BA6" si="315">AZ6+BA5</f>
        <v>13282857.692898551</v>
      </c>
      <c r="BB6" s="255">
        <f t="shared" ref="BB6" si="316">BA6+BB5</f>
        <v>13282857.692898551</v>
      </c>
      <c r="BC6" s="255">
        <f t="shared" ref="BC6" si="317">BB6+BC5</f>
        <v>13282857.692898551</v>
      </c>
      <c r="BD6" s="255">
        <f t="shared" ref="BD6" si="318">BC6+BD5</f>
        <v>13282857.692898551</v>
      </c>
      <c r="BE6" s="255">
        <f t="shared" ref="BE6" si="319">BD6+BE5</f>
        <v>13282857.692898551</v>
      </c>
      <c r="BF6" s="255">
        <f t="shared" ref="BF6:CK6" si="320">BE6+BF5</f>
        <v>13282857.692898551</v>
      </c>
      <c r="BG6" s="255">
        <f t="shared" si="320"/>
        <v>13282857.692898551</v>
      </c>
      <c r="BH6" s="255">
        <f t="shared" si="320"/>
        <v>13282857.692898551</v>
      </c>
      <c r="BI6" s="255">
        <f t="shared" si="320"/>
        <v>13282857.692898551</v>
      </c>
      <c r="BJ6" s="255">
        <f t="shared" si="320"/>
        <v>13282857.692898551</v>
      </c>
      <c r="BK6" s="255">
        <f t="shared" si="320"/>
        <v>13282857.692898551</v>
      </c>
      <c r="BL6" s="255">
        <f t="shared" si="320"/>
        <v>13282857.692898551</v>
      </c>
      <c r="BM6" s="255">
        <f t="shared" si="320"/>
        <v>13282857.692898551</v>
      </c>
      <c r="BN6" s="255">
        <f t="shared" si="320"/>
        <v>13282857.692898551</v>
      </c>
      <c r="BO6" s="255">
        <f t="shared" si="320"/>
        <v>13282857.692898551</v>
      </c>
      <c r="BP6" s="255">
        <f t="shared" si="320"/>
        <v>13282857.692898551</v>
      </c>
      <c r="BQ6" s="255">
        <f t="shared" si="320"/>
        <v>13282857.692898551</v>
      </c>
      <c r="BR6" s="255">
        <f t="shared" si="320"/>
        <v>13282857.692898551</v>
      </c>
      <c r="BS6" s="255">
        <f t="shared" si="320"/>
        <v>13282857.692898551</v>
      </c>
      <c r="BT6" s="255">
        <f t="shared" si="320"/>
        <v>13282857.692898551</v>
      </c>
      <c r="BU6" s="255">
        <f t="shared" si="320"/>
        <v>13282857.692898551</v>
      </c>
      <c r="BV6" s="255">
        <f t="shared" si="320"/>
        <v>13282857.692898551</v>
      </c>
      <c r="BW6" s="255">
        <f t="shared" si="320"/>
        <v>13282857.692898551</v>
      </c>
      <c r="BX6" s="255">
        <f t="shared" si="320"/>
        <v>13282857.692898551</v>
      </c>
      <c r="BY6" s="255">
        <f t="shared" si="320"/>
        <v>13282857.692898551</v>
      </c>
      <c r="BZ6" s="255">
        <f t="shared" si="320"/>
        <v>13282857.692898551</v>
      </c>
      <c r="CA6" s="255">
        <f t="shared" si="320"/>
        <v>13282857.692898551</v>
      </c>
      <c r="CB6" s="255">
        <f t="shared" si="320"/>
        <v>13282857.692898551</v>
      </c>
      <c r="CC6" s="255">
        <f t="shared" si="320"/>
        <v>13282857.692898551</v>
      </c>
      <c r="CD6" s="255">
        <f t="shared" si="320"/>
        <v>13282857.692898551</v>
      </c>
      <c r="CE6" s="255">
        <f t="shared" si="320"/>
        <v>13282857.692898551</v>
      </c>
      <c r="CF6" s="255">
        <f t="shared" si="320"/>
        <v>13282857.692898551</v>
      </c>
      <c r="CG6" s="255">
        <f t="shared" si="320"/>
        <v>13282857.692898551</v>
      </c>
      <c r="CH6" s="255">
        <f t="shared" si="320"/>
        <v>13282857.692898551</v>
      </c>
      <c r="CI6" s="255">
        <f t="shared" si="320"/>
        <v>13282857.692898551</v>
      </c>
      <c r="CJ6" s="255">
        <f t="shared" si="320"/>
        <v>13282857.692898551</v>
      </c>
      <c r="CK6" s="255">
        <f t="shared" si="320"/>
        <v>13282857.692898551</v>
      </c>
      <c r="CL6" s="255">
        <f t="shared" ref="CL6" si="321">CK6+CL5</f>
        <v>13282857.692898551</v>
      </c>
      <c r="CM6" s="255">
        <f t="shared" ref="CM6" si="322">CL6+CM5</f>
        <v>13282857.692898551</v>
      </c>
      <c r="CN6" s="255">
        <f t="shared" ref="CN6" si="323">CM6+CN5</f>
        <v>13282857.692898551</v>
      </c>
      <c r="CO6" s="255">
        <f t="shared" ref="CO6" si="324">CN6+CO5</f>
        <v>13282857.692898551</v>
      </c>
      <c r="CP6" s="255">
        <f t="shared" ref="CP6" si="325">CO6+CP5</f>
        <v>13282857.692898551</v>
      </c>
      <c r="CQ6" s="255">
        <f t="shared" ref="CQ6" si="326">CP6+CQ5</f>
        <v>13282857.692898551</v>
      </c>
      <c r="CR6" s="255">
        <f t="shared" ref="CR6" si="327">CQ6+CR5</f>
        <v>13282857.692898551</v>
      </c>
      <c r="CS6" s="255">
        <f t="shared" ref="CS6" si="328">CR6+CS5</f>
        <v>13282857.692898551</v>
      </c>
      <c r="CT6" s="255">
        <f t="shared" ref="CT6" si="329">CS6+CT5</f>
        <v>13282857.692898551</v>
      </c>
      <c r="CU6" s="255">
        <f t="shared" ref="CU6" si="330">CT6+CU5</f>
        <v>13282857.692898551</v>
      </c>
      <c r="CV6" s="255">
        <f t="shared" ref="CV6" si="331">CU6+CV5</f>
        <v>13282857.692898551</v>
      </c>
      <c r="CW6" s="255">
        <f t="shared" ref="CW6" si="332">CV6+CW5</f>
        <v>13282857.692898551</v>
      </c>
      <c r="CX6" s="255">
        <f t="shared" ref="CX6" si="333">CW6+CX5</f>
        <v>13282857.692898551</v>
      </c>
      <c r="CY6" s="255">
        <f t="shared" ref="CY6" si="334">CX6+CY5</f>
        <v>13282857.692898551</v>
      </c>
      <c r="CZ6" s="255">
        <f t="shared" ref="CZ6" si="335">CY6+CZ5</f>
        <v>13282857.692898551</v>
      </c>
      <c r="DA6" s="255">
        <f t="shared" ref="DA6" si="336">CZ6+DA5</f>
        <v>13282857.692898551</v>
      </c>
      <c r="DB6" s="255">
        <f t="shared" ref="DB6" si="337">DA6+DB5</f>
        <v>13282857.692898551</v>
      </c>
      <c r="DC6" s="255">
        <f t="shared" ref="DC6" si="338">DB6+DC5</f>
        <v>13282857.692898551</v>
      </c>
      <c r="DD6" s="255">
        <f t="shared" ref="DD6" si="339">DC6+DD5</f>
        <v>13282857.692898551</v>
      </c>
      <c r="DE6" s="255">
        <f t="shared" ref="DE6" si="340">DD6+DE5</f>
        <v>13282857.692898551</v>
      </c>
      <c r="DF6" s="255">
        <f t="shared" ref="DF6" si="341">DE6+DF5</f>
        <v>13282857.692898551</v>
      </c>
      <c r="DG6" s="255">
        <f t="shared" ref="DG6" si="342">DF6+DG5</f>
        <v>13282857.692898551</v>
      </c>
      <c r="DH6" s="255">
        <f t="shared" ref="DH6" si="343">DG6+DH5</f>
        <v>13282857.692898551</v>
      </c>
      <c r="DI6" s="255">
        <f t="shared" ref="DI6" si="344">DH6+DI5</f>
        <v>13282857.692898551</v>
      </c>
      <c r="DJ6" s="255">
        <f t="shared" ref="DJ6" si="345">DI6+DJ5</f>
        <v>13282857.692898551</v>
      </c>
      <c r="DK6" s="255">
        <f t="shared" ref="DK6" si="346">DJ6+DK5</f>
        <v>13282857.692898551</v>
      </c>
      <c r="DL6" s="255">
        <f t="shared" ref="DL6" si="347">DK6+DL5</f>
        <v>13282857.692898551</v>
      </c>
      <c r="DM6" s="255">
        <f t="shared" ref="DM6" si="348">DL6+DM5</f>
        <v>13282857.692898551</v>
      </c>
      <c r="DN6" s="255">
        <f t="shared" ref="DN6" si="349">DM6+DN5</f>
        <v>13282857.692898551</v>
      </c>
      <c r="DO6" s="255">
        <f t="shared" ref="DO6" si="350">DN6+DO5</f>
        <v>13282857.692898551</v>
      </c>
      <c r="DP6" s="255">
        <f t="shared" ref="DP6" si="351">DO6+DP5</f>
        <v>13282857.692898551</v>
      </c>
      <c r="DQ6" s="255">
        <f t="shared" ref="DQ6" si="352">DP6+DQ5</f>
        <v>13282857.692898551</v>
      </c>
      <c r="DR6" s="255">
        <f t="shared" ref="DR6" si="353">DQ6+DR5</f>
        <v>13282857.692898551</v>
      </c>
      <c r="DS6" s="255">
        <f t="shared" ref="DS6" si="354">DR6+DS5</f>
        <v>13282857.692898551</v>
      </c>
      <c r="DT6" s="255">
        <f t="shared" ref="DT6" si="355">DS6+DT5</f>
        <v>13282857.692898551</v>
      </c>
      <c r="DU6" s="255">
        <f t="shared" ref="DU6" si="356">DT6+DU5</f>
        <v>13282857.692898551</v>
      </c>
      <c r="DV6" s="255">
        <f t="shared" ref="DV6" si="357">DU6+DV5</f>
        <v>13282857.692898551</v>
      </c>
      <c r="DW6" s="255">
        <f t="shared" ref="DW6" si="358">DV6+DW5</f>
        <v>13282857.692898551</v>
      </c>
      <c r="DX6" s="255">
        <f t="shared" ref="DX6" si="359">DW6+DX5</f>
        <v>13282857.692898551</v>
      </c>
      <c r="DY6" s="255">
        <f t="shared" ref="DY6" si="360">DX6+DY5</f>
        <v>13282857.692898551</v>
      </c>
      <c r="DZ6" s="255">
        <f t="shared" ref="DZ6" si="361">DY6+DZ5</f>
        <v>13282857.692898551</v>
      </c>
      <c r="EA6" s="255">
        <f t="shared" ref="EA6" si="362">DZ6+EA5</f>
        <v>13282857.692898551</v>
      </c>
      <c r="EB6" s="255">
        <f t="shared" ref="EB6" si="363">EA6+EB5</f>
        <v>13282857.692898551</v>
      </c>
      <c r="EC6" s="255">
        <f t="shared" ref="EC6" si="364">EB6+EC5</f>
        <v>13282857.692898551</v>
      </c>
      <c r="ED6" s="255">
        <f t="shared" ref="ED6" si="365">EC6+ED5</f>
        <v>13282857.692898551</v>
      </c>
      <c r="EE6" s="255">
        <f t="shared" ref="EE6" si="366">ED6+EE5</f>
        <v>13282857.692898551</v>
      </c>
      <c r="EF6" s="255">
        <f t="shared" ref="EF6" si="367">EE6+EF5</f>
        <v>13282857.692898551</v>
      </c>
      <c r="EG6" s="255">
        <f t="shared" ref="EG6" si="368">EF6+EG5</f>
        <v>13282857.692898551</v>
      </c>
      <c r="EH6" s="255">
        <f t="shared" ref="EH6" si="369">EG6+EH5</f>
        <v>13282857.692898551</v>
      </c>
      <c r="EI6" s="255">
        <f t="shared" ref="EI6" si="370">EH6+EI5</f>
        <v>13282857.692898551</v>
      </c>
      <c r="EJ6" s="255">
        <f t="shared" ref="EJ6" si="371">EI6+EJ5</f>
        <v>13282857.692898551</v>
      </c>
      <c r="EK6" s="255">
        <f t="shared" ref="EK6" si="372">EJ6+EK5</f>
        <v>13282857.692898551</v>
      </c>
      <c r="EL6" s="255">
        <f t="shared" ref="EL6" si="373">EK6+EL5</f>
        <v>13282857.692898551</v>
      </c>
      <c r="EM6" s="255">
        <f t="shared" ref="EM6" si="374">EL6+EM5</f>
        <v>13282857.692898551</v>
      </c>
      <c r="EN6" s="255">
        <f t="shared" ref="EN6" si="375">EM6+EN5</f>
        <v>13282857.692898551</v>
      </c>
      <c r="EO6" s="255">
        <f t="shared" ref="EO6" si="376">EN6+EO5</f>
        <v>13282857.692898551</v>
      </c>
      <c r="EP6" s="255">
        <f t="shared" ref="EP6" si="377">EO6+EP5</f>
        <v>13282857.692898551</v>
      </c>
      <c r="EQ6" s="255">
        <f t="shared" ref="EQ6" si="378">EP6+EQ5</f>
        <v>13282857.692898551</v>
      </c>
      <c r="ER6" s="255">
        <f t="shared" ref="ER6" si="379">EQ6+ER5</f>
        <v>13282857.692898551</v>
      </c>
      <c r="ES6" s="255">
        <f t="shared" ref="ES6" si="380">ER6+ES5</f>
        <v>13282857.692898551</v>
      </c>
      <c r="ET6" s="255">
        <f t="shared" ref="ET6" si="381">ES6+ET5</f>
        <v>13282857.692898551</v>
      </c>
      <c r="EU6" s="255">
        <f t="shared" ref="EU6" si="382">ET6+EU5</f>
        <v>13282857.692898551</v>
      </c>
      <c r="EV6" s="255">
        <f t="shared" ref="EV6" si="383">EU6+EV5</f>
        <v>13282857.692898551</v>
      </c>
      <c r="EW6" s="255">
        <f t="shared" ref="EW6" si="384">EV6+EW5</f>
        <v>13282857.692898551</v>
      </c>
      <c r="EX6" s="255">
        <f t="shared" ref="EX6" si="385">EW6+EX5</f>
        <v>13282857.692898551</v>
      </c>
      <c r="EY6" s="255">
        <f t="shared" ref="EY6" si="386">EX6+EY5</f>
        <v>13282857.692898551</v>
      </c>
      <c r="EZ6" s="255">
        <f t="shared" ref="EZ6" si="387">EY6+EZ5</f>
        <v>13282857.692898551</v>
      </c>
      <c r="FA6" s="255">
        <f t="shared" ref="FA6" si="388">EZ6+FA5</f>
        <v>13282857.692898551</v>
      </c>
      <c r="FB6" s="255">
        <f t="shared" ref="FB6" si="389">FA6+FB5</f>
        <v>13282857.692898551</v>
      </c>
      <c r="FC6" s="255">
        <f t="shared" ref="FC6" si="390">FB6+FC5</f>
        <v>13282857.692898551</v>
      </c>
      <c r="FD6" s="255">
        <f t="shared" ref="FD6" si="391">FC6+FD5</f>
        <v>13282857.692898551</v>
      </c>
      <c r="FE6" s="255">
        <f t="shared" ref="FE6" si="392">FD6+FE5</f>
        <v>13282857.692898551</v>
      </c>
      <c r="FF6" s="255">
        <f t="shared" ref="FF6" si="393">FE6+FF5</f>
        <v>13282857.692898551</v>
      </c>
      <c r="FG6" s="255">
        <f t="shared" ref="FG6" si="394">FF6+FG5</f>
        <v>13282857.692898551</v>
      </c>
      <c r="FH6" s="255">
        <f t="shared" ref="FH6" si="395">FG6+FH5</f>
        <v>13282857.692898551</v>
      </c>
      <c r="FI6" s="255">
        <f t="shared" ref="FI6" si="396">FH6+FI5</f>
        <v>13282857.692898551</v>
      </c>
      <c r="FJ6" s="255">
        <f t="shared" ref="FJ6" si="397">FI6+FJ5</f>
        <v>13282857.692898551</v>
      </c>
      <c r="FK6" s="255">
        <f t="shared" ref="FK6" si="398">FJ6+FK5</f>
        <v>13282857.692898551</v>
      </c>
      <c r="FL6" s="255">
        <f t="shared" ref="FL6" si="399">FK6+FL5</f>
        <v>13282857.692898551</v>
      </c>
      <c r="FM6" s="255">
        <f t="shared" ref="FM6" si="400">FL6+FM5</f>
        <v>13282857.692898551</v>
      </c>
      <c r="FN6" s="255">
        <f t="shared" ref="FN6" si="401">FM6+FN5</f>
        <v>13282857.692898551</v>
      </c>
      <c r="FO6" s="255">
        <f t="shared" ref="FO6" si="402">FN6+FO5</f>
        <v>13282857.692898551</v>
      </c>
      <c r="FP6" s="255">
        <f t="shared" ref="FP6" si="403">FO6+FP5</f>
        <v>13282857.692898551</v>
      </c>
      <c r="FQ6" s="255">
        <f t="shared" ref="FQ6" si="404">FP6+FQ5</f>
        <v>13282857.692898551</v>
      </c>
      <c r="FR6" s="255">
        <f t="shared" ref="FR6" si="405">FQ6+FR5</f>
        <v>13282857.692898551</v>
      </c>
      <c r="FS6" s="255">
        <f t="shared" ref="FS6" si="406">FR6+FS5</f>
        <v>13282857.692898551</v>
      </c>
      <c r="FT6" s="255">
        <f t="shared" ref="FT6" si="407">FS6+FT5</f>
        <v>13282857.692898551</v>
      </c>
      <c r="FU6" s="255">
        <f t="shared" ref="FU6" si="408">FT6+FU5</f>
        <v>13282857.692898551</v>
      </c>
      <c r="FV6" s="255">
        <f t="shared" ref="FV6" si="409">FU6+FV5</f>
        <v>13282857.692898551</v>
      </c>
      <c r="FW6" s="255">
        <f t="shared" ref="FW6" si="410">FV6+FW5</f>
        <v>13282857.692898551</v>
      </c>
      <c r="FX6" s="255">
        <f t="shared" ref="FX6" si="411">FW6+FX5</f>
        <v>13282857.692898551</v>
      </c>
      <c r="FY6" s="255">
        <f t="shared" ref="FY6" si="412">FX6+FY5</f>
        <v>13282857.692898551</v>
      </c>
      <c r="FZ6" s="255">
        <f t="shared" ref="FZ6" si="413">FY6+FZ5</f>
        <v>13282857.692898551</v>
      </c>
      <c r="GA6" s="255">
        <f t="shared" ref="GA6" si="414">FZ6+GA5</f>
        <v>13282857.692898551</v>
      </c>
      <c r="GB6" s="255">
        <f t="shared" ref="GB6" si="415">GA6+GB5</f>
        <v>13282857.692898551</v>
      </c>
      <c r="GC6" s="255">
        <f t="shared" ref="GC6" si="416">GB6+GC5</f>
        <v>13282857.692898551</v>
      </c>
      <c r="GD6" s="255">
        <f t="shared" ref="GD6" si="417">GC6+GD5</f>
        <v>13282857.692898551</v>
      </c>
      <c r="GE6" s="255">
        <f t="shared" ref="GE6" si="418">GD6+GE5</f>
        <v>13282857.692898551</v>
      </c>
      <c r="GF6" s="255">
        <f t="shared" ref="GF6" si="419">GE6+GF5</f>
        <v>13282857.692898551</v>
      </c>
      <c r="GG6" s="245"/>
      <c r="GH6" s="256"/>
    </row>
    <row r="7" spans="1:666">
      <c r="A7" s="1052"/>
      <c r="B7" s="258" t="s">
        <v>462</v>
      </c>
      <c r="C7" s="259"/>
      <c r="D7" s="259"/>
      <c r="E7" s="260"/>
      <c r="F7" s="261">
        <f t="shared" ref="F7:AA7" si="420">F4-F6</f>
        <v>0</v>
      </c>
      <c r="G7" s="261">
        <f t="shared" si="420"/>
        <v>0</v>
      </c>
      <c r="H7" s="261">
        <f t="shared" si="420"/>
        <v>0</v>
      </c>
      <c r="I7" s="261">
        <f t="shared" si="420"/>
        <v>0</v>
      </c>
      <c r="J7" s="261">
        <f t="shared" si="420"/>
        <v>8971852.9800000004</v>
      </c>
      <c r="K7" s="261">
        <f t="shared" si="420"/>
        <v>8971852.9800000004</v>
      </c>
      <c r="L7" s="261">
        <f t="shared" si="420"/>
        <v>8971852.9800000004</v>
      </c>
      <c r="M7" s="261">
        <f t="shared" si="420"/>
        <v>8971852.9800000004</v>
      </c>
      <c r="N7" s="261">
        <f t="shared" si="420"/>
        <v>8971852.9800000004</v>
      </c>
      <c r="O7" s="261">
        <f t="shared" si="420"/>
        <v>8971852.9800000004</v>
      </c>
      <c r="P7" s="261">
        <f t="shared" si="420"/>
        <v>8971852.9800000004</v>
      </c>
      <c r="Q7" s="261">
        <f t="shared" si="420"/>
        <v>8971852.9800000004</v>
      </c>
      <c r="R7" s="261">
        <f t="shared" si="420"/>
        <v>8971852.9800000004</v>
      </c>
      <c r="S7" s="261">
        <f t="shared" si="420"/>
        <v>8971852.9800000004</v>
      </c>
      <c r="T7" s="261">
        <f t="shared" si="420"/>
        <v>8971852.9800000004</v>
      </c>
      <c r="U7" s="261">
        <f t="shared" si="420"/>
        <v>8971852.9800000004</v>
      </c>
      <c r="V7" s="261">
        <f t="shared" si="420"/>
        <v>8971852.9800000004</v>
      </c>
      <c r="W7" s="261">
        <f t="shared" si="420"/>
        <v>8971852.9800000004</v>
      </c>
      <c r="X7" s="261">
        <f t="shared" si="420"/>
        <v>8197389.8713043481</v>
      </c>
      <c r="Y7" s="261">
        <f t="shared" si="420"/>
        <v>8189389.8713043481</v>
      </c>
      <c r="Z7" s="261">
        <f t="shared" si="420"/>
        <v>13720970.776304349</v>
      </c>
      <c r="AA7" s="261">
        <f t="shared" si="420"/>
        <v>13720970.776304349</v>
      </c>
      <c r="AB7" s="261">
        <f t="shared" ref="AB7:AT7" si="421">AB4-AB6</f>
        <v>13720970.776304349</v>
      </c>
      <c r="AC7" s="261">
        <f t="shared" si="421"/>
        <v>13478970.776304349</v>
      </c>
      <c r="AD7" s="261">
        <f t="shared" si="421"/>
        <v>13478970.776304349</v>
      </c>
      <c r="AE7" s="261">
        <f t="shared" si="421"/>
        <v>13478970.776304349</v>
      </c>
      <c r="AF7" s="261">
        <f t="shared" si="421"/>
        <v>3914161.7763043493</v>
      </c>
      <c r="AG7" s="261">
        <f t="shared" si="421"/>
        <v>3781294.7763043493</v>
      </c>
      <c r="AH7" s="261">
        <f t="shared" si="421"/>
        <v>3781294.7763043493</v>
      </c>
      <c r="AI7" s="261">
        <f t="shared" si="421"/>
        <v>2247777.1263043489</v>
      </c>
      <c r="AJ7" s="261">
        <f t="shared" si="421"/>
        <v>1882248.167608697</v>
      </c>
      <c r="AK7" s="261">
        <f t="shared" si="421"/>
        <v>1417493.584275363</v>
      </c>
      <c r="AL7" s="261">
        <f t="shared" si="421"/>
        <v>1417493.584275363</v>
      </c>
      <c r="AM7" s="261">
        <f t="shared" si="421"/>
        <v>2165147.9992753621</v>
      </c>
      <c r="AN7" s="261">
        <f t="shared" si="421"/>
        <v>2165147.9992753621</v>
      </c>
      <c r="AO7" s="261">
        <f t="shared" si="421"/>
        <v>2080831.7492753621</v>
      </c>
      <c r="AP7" s="261">
        <f t="shared" si="421"/>
        <v>2080831.7492753621</v>
      </c>
      <c r="AQ7" s="261">
        <f t="shared" si="421"/>
        <v>2080831.7492753621</v>
      </c>
      <c r="AR7" s="261">
        <f t="shared" si="421"/>
        <v>1968230.6071014497</v>
      </c>
      <c r="AS7" s="261">
        <f t="shared" si="421"/>
        <v>1968230.6071014497</v>
      </c>
      <c r="AT7" s="261">
        <f t="shared" si="421"/>
        <v>1968230.6071014497</v>
      </c>
      <c r="AU7" s="261">
        <f t="shared" ref="AU7:BE7" si="422">AU4-AU6</f>
        <v>1968230.6071014497</v>
      </c>
      <c r="AV7" s="261">
        <f t="shared" si="422"/>
        <v>1968230.6071014497</v>
      </c>
      <c r="AW7" s="261">
        <f t="shared" si="422"/>
        <v>1968230.6071014497</v>
      </c>
      <c r="AX7" s="261">
        <f t="shared" si="422"/>
        <v>1968230.6071014497</v>
      </c>
      <c r="AY7" s="261">
        <f t="shared" si="422"/>
        <v>1968230.6071014497</v>
      </c>
      <c r="AZ7" s="261">
        <f t="shared" si="422"/>
        <v>1968230.6071014497</v>
      </c>
      <c r="BA7" s="261">
        <f t="shared" si="422"/>
        <v>1968230.6071014497</v>
      </c>
      <c r="BB7" s="261">
        <f t="shared" si="422"/>
        <v>1968230.6071014497</v>
      </c>
      <c r="BC7" s="261">
        <f t="shared" si="422"/>
        <v>1968230.6071014497</v>
      </c>
      <c r="BD7" s="261">
        <f t="shared" si="422"/>
        <v>1968230.6071014497</v>
      </c>
      <c r="BE7" s="261">
        <f t="shared" si="422"/>
        <v>1968230.6071014497</v>
      </c>
      <c r="BF7" s="261">
        <f t="shared" ref="BF7:CK7" si="423">BF4-BF6</f>
        <v>1968230.6071014497</v>
      </c>
      <c r="BG7" s="261">
        <f t="shared" si="423"/>
        <v>1968230.6071014497</v>
      </c>
      <c r="BH7" s="261">
        <f t="shared" si="423"/>
        <v>1968230.6071014497</v>
      </c>
      <c r="BI7" s="261">
        <f t="shared" si="423"/>
        <v>1968230.6071014497</v>
      </c>
      <c r="BJ7" s="261">
        <f t="shared" si="423"/>
        <v>1968230.6071014497</v>
      </c>
      <c r="BK7" s="261">
        <f t="shared" si="423"/>
        <v>1968230.6071014497</v>
      </c>
      <c r="BL7" s="261">
        <f t="shared" si="423"/>
        <v>1968230.6071014497</v>
      </c>
      <c r="BM7" s="261">
        <f t="shared" si="423"/>
        <v>1968230.6071014497</v>
      </c>
      <c r="BN7" s="261">
        <f t="shared" si="423"/>
        <v>1968230.6071014497</v>
      </c>
      <c r="BO7" s="261">
        <f t="shared" si="423"/>
        <v>1968230.6071014497</v>
      </c>
      <c r="BP7" s="261">
        <f t="shared" si="423"/>
        <v>1968230.6071014497</v>
      </c>
      <c r="BQ7" s="261">
        <f t="shared" si="423"/>
        <v>1968230.6071014497</v>
      </c>
      <c r="BR7" s="261">
        <f t="shared" si="423"/>
        <v>1968230.6071014497</v>
      </c>
      <c r="BS7" s="261">
        <f t="shared" si="423"/>
        <v>1968230.6071014497</v>
      </c>
      <c r="BT7" s="261">
        <f t="shared" si="423"/>
        <v>1968230.6071014497</v>
      </c>
      <c r="BU7" s="261">
        <f t="shared" si="423"/>
        <v>1968230.6071014497</v>
      </c>
      <c r="BV7" s="261">
        <f t="shared" si="423"/>
        <v>1968230.6071014497</v>
      </c>
      <c r="BW7" s="261">
        <f t="shared" si="423"/>
        <v>1968230.6071014497</v>
      </c>
      <c r="BX7" s="261">
        <f t="shared" si="423"/>
        <v>1968230.6071014497</v>
      </c>
      <c r="BY7" s="261">
        <f t="shared" si="423"/>
        <v>1968230.6071014497</v>
      </c>
      <c r="BZ7" s="261">
        <f t="shared" si="423"/>
        <v>1968230.6071014497</v>
      </c>
      <c r="CA7" s="261">
        <f t="shared" si="423"/>
        <v>1968230.6071014497</v>
      </c>
      <c r="CB7" s="261">
        <f t="shared" si="423"/>
        <v>1968230.6071014497</v>
      </c>
      <c r="CC7" s="261">
        <f t="shared" si="423"/>
        <v>1968230.6071014497</v>
      </c>
      <c r="CD7" s="261">
        <f t="shared" si="423"/>
        <v>1968230.6071014497</v>
      </c>
      <c r="CE7" s="261">
        <f t="shared" si="423"/>
        <v>1968230.6071014497</v>
      </c>
      <c r="CF7" s="261">
        <f t="shared" si="423"/>
        <v>1968230.6071014497</v>
      </c>
      <c r="CG7" s="261">
        <f t="shared" si="423"/>
        <v>1968230.6071014497</v>
      </c>
      <c r="CH7" s="261">
        <f t="shared" si="423"/>
        <v>1968230.6071014497</v>
      </c>
      <c r="CI7" s="261">
        <f t="shared" si="423"/>
        <v>1968230.6071014497</v>
      </c>
      <c r="CJ7" s="261">
        <f t="shared" si="423"/>
        <v>1968230.6071014497</v>
      </c>
      <c r="CK7" s="261">
        <f t="shared" si="423"/>
        <v>1968230.6071014497</v>
      </c>
      <c r="CL7" s="261">
        <f t="shared" ref="CL7:DR7" si="424">CL4-CL6</f>
        <v>1968230.6071014497</v>
      </c>
      <c r="CM7" s="261">
        <f t="shared" si="424"/>
        <v>1968230.6071014497</v>
      </c>
      <c r="CN7" s="261">
        <f t="shared" si="424"/>
        <v>1968230.6071014497</v>
      </c>
      <c r="CO7" s="261">
        <f t="shared" si="424"/>
        <v>1968230.6071014497</v>
      </c>
      <c r="CP7" s="261">
        <f t="shared" si="424"/>
        <v>1968230.6071014497</v>
      </c>
      <c r="CQ7" s="261">
        <f t="shared" si="424"/>
        <v>1968230.6071014497</v>
      </c>
      <c r="CR7" s="261">
        <f t="shared" si="424"/>
        <v>1968230.6071014497</v>
      </c>
      <c r="CS7" s="261">
        <f t="shared" si="424"/>
        <v>1968230.6071014497</v>
      </c>
      <c r="CT7" s="261">
        <f t="shared" si="424"/>
        <v>1968230.6071014497</v>
      </c>
      <c r="CU7" s="261">
        <f t="shared" si="424"/>
        <v>1968230.6071014497</v>
      </c>
      <c r="CV7" s="261">
        <f t="shared" si="424"/>
        <v>1968230.6071014497</v>
      </c>
      <c r="CW7" s="261">
        <f t="shared" si="424"/>
        <v>1968230.6071014497</v>
      </c>
      <c r="CX7" s="261">
        <f t="shared" si="424"/>
        <v>1968230.6071014497</v>
      </c>
      <c r="CY7" s="261">
        <f t="shared" si="424"/>
        <v>1968230.6071014497</v>
      </c>
      <c r="CZ7" s="261">
        <f t="shared" si="424"/>
        <v>1968230.6071014497</v>
      </c>
      <c r="DA7" s="261">
        <f t="shared" si="424"/>
        <v>1968230.6071014497</v>
      </c>
      <c r="DB7" s="261">
        <f t="shared" si="424"/>
        <v>1968230.6071014497</v>
      </c>
      <c r="DC7" s="261">
        <f t="shared" si="424"/>
        <v>1968230.6071014497</v>
      </c>
      <c r="DD7" s="261">
        <f t="shared" si="424"/>
        <v>1968230.6071014497</v>
      </c>
      <c r="DE7" s="261">
        <f t="shared" si="424"/>
        <v>1968230.6071014497</v>
      </c>
      <c r="DF7" s="261">
        <f t="shared" si="424"/>
        <v>1968230.6071014497</v>
      </c>
      <c r="DG7" s="261">
        <f t="shared" si="424"/>
        <v>1968230.6071014497</v>
      </c>
      <c r="DH7" s="261">
        <f t="shared" si="424"/>
        <v>1968230.6071014497</v>
      </c>
      <c r="DI7" s="261">
        <f t="shared" si="424"/>
        <v>1968230.6071014497</v>
      </c>
      <c r="DJ7" s="261">
        <f t="shared" si="424"/>
        <v>1968230.6071014497</v>
      </c>
      <c r="DK7" s="261">
        <f t="shared" si="424"/>
        <v>1968230.6071014497</v>
      </c>
      <c r="DL7" s="261">
        <f t="shared" si="424"/>
        <v>1968230.6071014497</v>
      </c>
      <c r="DM7" s="261">
        <f t="shared" si="424"/>
        <v>1968230.6071014497</v>
      </c>
      <c r="DN7" s="261">
        <f t="shared" si="424"/>
        <v>1968230.6071014497</v>
      </c>
      <c r="DO7" s="261">
        <f t="shared" si="424"/>
        <v>1968230.6071014497</v>
      </c>
      <c r="DP7" s="261">
        <f t="shared" si="424"/>
        <v>1968230.6071014497</v>
      </c>
      <c r="DQ7" s="261">
        <f t="shared" si="424"/>
        <v>1968230.6071014497</v>
      </c>
      <c r="DR7" s="261">
        <f t="shared" si="424"/>
        <v>1968230.6071014497</v>
      </c>
      <c r="DS7" s="261">
        <f t="shared" ref="DS7:GD7" si="425">DS4-DS6</f>
        <v>1968230.6071014497</v>
      </c>
      <c r="DT7" s="261">
        <f t="shared" si="425"/>
        <v>1968230.6071014497</v>
      </c>
      <c r="DU7" s="261">
        <f t="shared" si="425"/>
        <v>1968230.6071014497</v>
      </c>
      <c r="DV7" s="261">
        <f t="shared" si="425"/>
        <v>1968230.6071014497</v>
      </c>
      <c r="DW7" s="261">
        <f t="shared" si="425"/>
        <v>1968230.6071014497</v>
      </c>
      <c r="DX7" s="261">
        <f t="shared" si="425"/>
        <v>1968230.6071014497</v>
      </c>
      <c r="DY7" s="261">
        <f t="shared" si="425"/>
        <v>1968230.6071014497</v>
      </c>
      <c r="DZ7" s="261">
        <f t="shared" si="425"/>
        <v>1968230.6071014497</v>
      </c>
      <c r="EA7" s="261">
        <f t="shared" si="425"/>
        <v>1968230.6071014497</v>
      </c>
      <c r="EB7" s="261">
        <f t="shared" si="425"/>
        <v>1968230.6071014497</v>
      </c>
      <c r="EC7" s="261">
        <f t="shared" si="425"/>
        <v>1968230.6071014497</v>
      </c>
      <c r="ED7" s="261">
        <f t="shared" si="425"/>
        <v>1968230.6071014497</v>
      </c>
      <c r="EE7" s="261">
        <f t="shared" si="425"/>
        <v>1968230.6071014497</v>
      </c>
      <c r="EF7" s="261">
        <f t="shared" si="425"/>
        <v>1968230.6071014497</v>
      </c>
      <c r="EG7" s="261">
        <f t="shared" si="425"/>
        <v>1968230.6071014497</v>
      </c>
      <c r="EH7" s="261">
        <f t="shared" si="425"/>
        <v>1968230.6071014497</v>
      </c>
      <c r="EI7" s="261">
        <f t="shared" si="425"/>
        <v>1968230.6071014497</v>
      </c>
      <c r="EJ7" s="261">
        <f t="shared" si="425"/>
        <v>1968230.6071014497</v>
      </c>
      <c r="EK7" s="261">
        <f t="shared" si="425"/>
        <v>1968230.6071014497</v>
      </c>
      <c r="EL7" s="261">
        <f t="shared" si="425"/>
        <v>1968230.6071014497</v>
      </c>
      <c r="EM7" s="261">
        <f t="shared" si="425"/>
        <v>1968230.6071014497</v>
      </c>
      <c r="EN7" s="261">
        <f t="shared" si="425"/>
        <v>1968230.6071014497</v>
      </c>
      <c r="EO7" s="261">
        <f t="shared" si="425"/>
        <v>1968230.6071014497</v>
      </c>
      <c r="EP7" s="261">
        <f t="shared" si="425"/>
        <v>1968230.6071014497</v>
      </c>
      <c r="EQ7" s="261">
        <f t="shared" si="425"/>
        <v>1968230.6071014497</v>
      </c>
      <c r="ER7" s="261">
        <f t="shared" si="425"/>
        <v>1968230.6071014497</v>
      </c>
      <c r="ES7" s="261">
        <f t="shared" si="425"/>
        <v>1968230.6071014497</v>
      </c>
      <c r="ET7" s="261">
        <f t="shared" si="425"/>
        <v>1968230.6071014497</v>
      </c>
      <c r="EU7" s="261">
        <f t="shared" si="425"/>
        <v>1968230.6071014497</v>
      </c>
      <c r="EV7" s="261">
        <f t="shared" si="425"/>
        <v>1968230.6071014497</v>
      </c>
      <c r="EW7" s="261">
        <f t="shared" si="425"/>
        <v>1968230.6071014497</v>
      </c>
      <c r="EX7" s="261">
        <f t="shared" si="425"/>
        <v>1968230.6071014497</v>
      </c>
      <c r="EY7" s="261">
        <f t="shared" si="425"/>
        <v>1968230.6071014497</v>
      </c>
      <c r="EZ7" s="261">
        <f t="shared" si="425"/>
        <v>1968230.6071014497</v>
      </c>
      <c r="FA7" s="261">
        <f t="shared" si="425"/>
        <v>1968230.6071014497</v>
      </c>
      <c r="FB7" s="261">
        <f t="shared" si="425"/>
        <v>1968230.6071014497</v>
      </c>
      <c r="FC7" s="261">
        <f t="shared" si="425"/>
        <v>1968230.6071014497</v>
      </c>
      <c r="FD7" s="261">
        <f t="shared" si="425"/>
        <v>1968230.6071014497</v>
      </c>
      <c r="FE7" s="261">
        <f t="shared" si="425"/>
        <v>1968230.6071014497</v>
      </c>
      <c r="FF7" s="261">
        <f t="shared" si="425"/>
        <v>1968230.6071014497</v>
      </c>
      <c r="FG7" s="261">
        <f t="shared" si="425"/>
        <v>1968230.6071014497</v>
      </c>
      <c r="FH7" s="261">
        <f t="shared" si="425"/>
        <v>1968230.6071014497</v>
      </c>
      <c r="FI7" s="261">
        <f t="shared" si="425"/>
        <v>1968230.6071014497</v>
      </c>
      <c r="FJ7" s="261">
        <f t="shared" si="425"/>
        <v>1968230.6071014497</v>
      </c>
      <c r="FK7" s="261">
        <f t="shared" si="425"/>
        <v>1968230.6071014497</v>
      </c>
      <c r="FL7" s="261">
        <f t="shared" si="425"/>
        <v>1968230.6071014497</v>
      </c>
      <c r="FM7" s="261">
        <f t="shared" si="425"/>
        <v>1968230.6071014497</v>
      </c>
      <c r="FN7" s="261">
        <f t="shared" si="425"/>
        <v>1968230.6071014497</v>
      </c>
      <c r="FO7" s="261">
        <f t="shared" si="425"/>
        <v>1968230.6071014497</v>
      </c>
      <c r="FP7" s="261">
        <f t="shared" si="425"/>
        <v>1968230.6071014497</v>
      </c>
      <c r="FQ7" s="261">
        <f t="shared" si="425"/>
        <v>1968230.6071014497</v>
      </c>
      <c r="FR7" s="261">
        <f t="shared" si="425"/>
        <v>1968230.6071014497</v>
      </c>
      <c r="FS7" s="261">
        <f t="shared" si="425"/>
        <v>1968230.6071014497</v>
      </c>
      <c r="FT7" s="261">
        <f t="shared" si="425"/>
        <v>1968230.6071014497</v>
      </c>
      <c r="FU7" s="261">
        <f t="shared" si="425"/>
        <v>1968230.6071014497</v>
      </c>
      <c r="FV7" s="261">
        <f t="shared" si="425"/>
        <v>1968230.6071014497</v>
      </c>
      <c r="FW7" s="261">
        <f t="shared" si="425"/>
        <v>1968230.6071014497</v>
      </c>
      <c r="FX7" s="261">
        <f t="shared" si="425"/>
        <v>1968230.6071014497</v>
      </c>
      <c r="FY7" s="261">
        <f t="shared" si="425"/>
        <v>1968230.6071014497</v>
      </c>
      <c r="FZ7" s="261">
        <f t="shared" si="425"/>
        <v>1968230.6071014497</v>
      </c>
      <c r="GA7" s="261">
        <f t="shared" si="425"/>
        <v>1968230.6071014497</v>
      </c>
      <c r="GB7" s="261">
        <f t="shared" si="425"/>
        <v>1968230.6071014497</v>
      </c>
      <c r="GC7" s="261">
        <f t="shared" si="425"/>
        <v>1968230.6071014497</v>
      </c>
      <c r="GD7" s="261">
        <f t="shared" si="425"/>
        <v>1968230.6071014497</v>
      </c>
      <c r="GE7" s="261">
        <f t="shared" ref="GE7:GF7" si="426">GE4-GE6</f>
        <v>1968230.6071014497</v>
      </c>
      <c r="GF7" s="261">
        <f t="shared" si="426"/>
        <v>1968230.6071014497</v>
      </c>
    </row>
    <row r="8" spans="1:666" s="245" customFormat="1">
      <c r="A8" s="1051" t="s">
        <v>103</v>
      </c>
      <c r="B8" s="246"/>
      <c r="C8" s="247" t="s">
        <v>251</v>
      </c>
      <c r="D8" s="247" t="s">
        <v>251</v>
      </c>
      <c r="E8" s="247"/>
      <c r="F8" s="262"/>
      <c r="G8" s="262"/>
      <c r="H8" s="262"/>
      <c r="I8" s="262"/>
      <c r="J8" s="262"/>
      <c r="K8" s="262"/>
      <c r="L8" s="262"/>
      <c r="M8" s="262"/>
      <c r="N8" s="262"/>
      <c r="O8" s="262"/>
      <c r="P8" s="262"/>
      <c r="Q8" s="262"/>
      <c r="R8" s="262"/>
      <c r="S8" s="262"/>
      <c r="T8" s="262"/>
      <c r="U8" s="262"/>
      <c r="V8" s="262"/>
      <c r="W8" s="262"/>
      <c r="X8" s="262"/>
      <c r="Y8" s="262"/>
      <c r="Z8" s="262"/>
      <c r="AA8" s="262"/>
      <c r="AB8" s="262"/>
      <c r="AC8" s="262"/>
      <c r="AD8" s="262"/>
      <c r="AE8" s="262"/>
      <c r="AF8" s="262"/>
      <c r="AG8" s="262"/>
      <c r="AH8" s="262"/>
      <c r="AI8" s="262"/>
      <c r="AJ8" s="262"/>
      <c r="AK8" s="262"/>
      <c r="AL8" s="262"/>
      <c r="AM8" s="262"/>
      <c r="AN8" s="262"/>
      <c r="AO8" s="262"/>
      <c r="AP8" s="262"/>
      <c r="AQ8" s="262"/>
      <c r="AR8" s="262"/>
      <c r="AS8" s="262"/>
      <c r="AT8" s="262"/>
      <c r="AU8" s="262"/>
      <c r="AV8" s="262"/>
      <c r="AW8" s="262"/>
      <c r="AX8" s="262"/>
      <c r="AY8" s="262"/>
      <c r="AZ8" s="262"/>
      <c r="BA8" s="262"/>
      <c r="BB8" s="262"/>
      <c r="BC8" s="262"/>
      <c r="BD8" s="262"/>
      <c r="BE8" s="262"/>
      <c r="BF8" s="262"/>
      <c r="BG8" s="262"/>
      <c r="BH8" s="262"/>
      <c r="BI8" s="262"/>
      <c r="BJ8" s="262"/>
      <c r="BK8" s="262"/>
      <c r="BL8" s="262"/>
      <c r="BM8" s="262"/>
      <c r="BN8" s="262"/>
      <c r="BO8" s="262"/>
      <c r="BP8" s="262"/>
      <c r="BQ8" s="262"/>
      <c r="BR8" s="262"/>
      <c r="BS8" s="262"/>
      <c r="BT8" s="262"/>
      <c r="BU8" s="262"/>
      <c r="BV8" s="262"/>
      <c r="BW8" s="262"/>
      <c r="BX8" s="262"/>
      <c r="BY8" s="262"/>
      <c r="BZ8" s="262"/>
      <c r="CA8" s="262"/>
      <c r="CB8" s="262"/>
      <c r="CC8" s="262"/>
      <c r="CD8" s="262"/>
      <c r="CE8" s="262"/>
      <c r="CF8" s="262"/>
      <c r="CG8" s="262"/>
      <c r="CH8" s="262"/>
      <c r="CI8" s="262"/>
      <c r="CJ8" s="262"/>
      <c r="CK8" s="262"/>
      <c r="CL8" s="262"/>
      <c r="CM8" s="262"/>
      <c r="CN8" s="262"/>
      <c r="CO8" s="262"/>
      <c r="CP8" s="262"/>
      <c r="CQ8" s="262"/>
      <c r="CR8" s="262"/>
      <c r="CS8" s="262"/>
      <c r="CT8" s="262"/>
      <c r="CU8" s="262"/>
      <c r="CV8" s="262"/>
      <c r="CW8" s="262"/>
      <c r="CX8" s="262"/>
      <c r="CY8" s="262"/>
      <c r="CZ8" s="262"/>
      <c r="DA8" s="262"/>
      <c r="DB8" s="262"/>
      <c r="DC8" s="262"/>
      <c r="DD8" s="262"/>
      <c r="DE8" s="262"/>
      <c r="DF8" s="262"/>
      <c r="DG8" s="262"/>
      <c r="DH8" s="262"/>
      <c r="DI8" s="262"/>
      <c r="DJ8" s="262"/>
      <c r="DK8" s="262"/>
      <c r="DL8" s="262"/>
      <c r="DM8" s="262"/>
      <c r="DN8" s="262"/>
      <c r="DO8" s="262"/>
      <c r="DP8" s="262"/>
      <c r="DQ8" s="262"/>
      <c r="DR8" s="262"/>
      <c r="DS8" s="262"/>
      <c r="DT8" s="262"/>
      <c r="DU8" s="262"/>
      <c r="DV8" s="262"/>
      <c r="DW8" s="262"/>
      <c r="DX8" s="262"/>
      <c r="DY8" s="262"/>
      <c r="DZ8" s="262"/>
      <c r="EA8" s="262"/>
      <c r="EB8" s="262"/>
      <c r="EC8" s="262"/>
      <c r="ED8" s="262"/>
      <c r="EE8" s="262"/>
      <c r="EF8" s="262"/>
      <c r="EG8" s="262"/>
      <c r="EH8" s="262"/>
      <c r="EI8" s="262"/>
      <c r="EJ8" s="262"/>
      <c r="EK8" s="262"/>
      <c r="EL8" s="262"/>
      <c r="EM8" s="262"/>
      <c r="EN8" s="262"/>
      <c r="EO8" s="262"/>
      <c r="EP8" s="262"/>
      <c r="EQ8" s="262"/>
      <c r="ER8" s="262"/>
      <c r="ES8" s="262"/>
      <c r="ET8" s="262"/>
      <c r="EU8" s="262"/>
      <c r="EV8" s="262"/>
      <c r="EW8" s="262"/>
      <c r="EX8" s="262"/>
      <c r="EY8" s="262"/>
      <c r="EZ8" s="262"/>
      <c r="FA8" s="262"/>
      <c r="FB8" s="262"/>
      <c r="FC8" s="262"/>
      <c r="FD8" s="262"/>
      <c r="FE8" s="262"/>
      <c r="FF8" s="262"/>
      <c r="FG8" s="262"/>
      <c r="FH8" s="262"/>
      <c r="FI8" s="262"/>
      <c r="FJ8" s="262"/>
      <c r="FK8" s="262"/>
      <c r="FL8" s="262"/>
      <c r="FM8" s="262"/>
      <c r="FN8" s="262"/>
      <c r="FO8" s="262"/>
      <c r="FP8" s="262"/>
      <c r="FQ8" s="262"/>
      <c r="FR8" s="262"/>
      <c r="FS8" s="262"/>
      <c r="FT8" s="262"/>
      <c r="FU8" s="262"/>
      <c r="FV8" s="262"/>
      <c r="FW8" s="262"/>
      <c r="FX8" s="262"/>
      <c r="FY8" s="262"/>
      <c r="FZ8" s="262"/>
      <c r="GA8" s="262"/>
      <c r="GB8" s="262"/>
      <c r="GC8" s="262"/>
      <c r="GD8" s="262"/>
      <c r="GE8" s="262"/>
      <c r="GF8" s="262"/>
      <c r="GH8"/>
      <c r="GI8"/>
      <c r="GJ8"/>
      <c r="GK8"/>
      <c r="GL8"/>
      <c r="GM8"/>
      <c r="GN8"/>
      <c r="GO8"/>
      <c r="GP8"/>
      <c r="GQ8"/>
      <c r="GR8"/>
      <c r="GS8"/>
      <c r="GT8"/>
      <c r="GU8"/>
      <c r="GV8"/>
      <c r="GW8"/>
      <c r="GX8"/>
      <c r="GY8"/>
      <c r="GZ8"/>
      <c r="HA8"/>
      <c r="HB8"/>
      <c r="HC8"/>
      <c r="HD8"/>
      <c r="HE8"/>
      <c r="HF8"/>
      <c r="HG8"/>
      <c r="HH8"/>
      <c r="HI8"/>
      <c r="HJ8"/>
      <c r="HK8"/>
      <c r="HL8"/>
      <c r="HM8"/>
      <c r="HN8"/>
      <c r="HO8"/>
      <c r="HP8"/>
      <c r="HQ8"/>
      <c r="HR8"/>
      <c r="HS8"/>
      <c r="HT8"/>
      <c r="HU8"/>
      <c r="HV8"/>
      <c r="HW8"/>
      <c r="HX8"/>
      <c r="HY8"/>
      <c r="HZ8"/>
      <c r="IA8"/>
      <c r="IB8"/>
      <c r="IC8"/>
      <c r="ID8"/>
      <c r="IE8"/>
      <c r="IF8"/>
      <c r="IG8"/>
      <c r="IH8"/>
      <c r="II8"/>
      <c r="IJ8"/>
      <c r="IK8"/>
      <c r="IL8"/>
      <c r="IM8"/>
      <c r="IN8"/>
      <c r="IO8"/>
      <c r="IP8"/>
      <c r="IQ8"/>
      <c r="IR8"/>
      <c r="IS8"/>
      <c r="IT8"/>
      <c r="IU8"/>
      <c r="IV8"/>
      <c r="IW8"/>
      <c r="IX8"/>
      <c r="IY8"/>
      <c r="IZ8"/>
      <c r="JA8"/>
      <c r="JB8"/>
      <c r="JC8"/>
      <c r="JD8"/>
      <c r="JE8"/>
      <c r="JF8"/>
      <c r="JG8"/>
      <c r="JH8"/>
      <c r="JI8"/>
      <c r="JJ8"/>
      <c r="JK8"/>
      <c r="JL8"/>
      <c r="JM8"/>
      <c r="JN8"/>
      <c r="JO8"/>
      <c r="JP8"/>
      <c r="JQ8"/>
      <c r="JR8"/>
      <c r="JS8"/>
      <c r="JT8"/>
      <c r="JU8"/>
      <c r="JV8"/>
      <c r="JW8"/>
      <c r="JX8"/>
      <c r="JY8"/>
      <c r="JZ8"/>
      <c r="KA8"/>
      <c r="KB8"/>
      <c r="KC8"/>
      <c r="KD8"/>
      <c r="KE8"/>
      <c r="KF8"/>
      <c r="KG8"/>
      <c r="KH8"/>
      <c r="KI8"/>
      <c r="KJ8"/>
      <c r="KK8"/>
      <c r="KL8"/>
      <c r="KM8"/>
      <c r="KN8"/>
      <c r="KO8"/>
      <c r="KP8"/>
      <c r="KQ8"/>
      <c r="KR8"/>
      <c r="KS8"/>
      <c r="KT8"/>
      <c r="KU8"/>
      <c r="KV8"/>
      <c r="KW8"/>
      <c r="KX8"/>
      <c r="KY8"/>
      <c r="KZ8"/>
      <c r="LA8"/>
      <c r="LB8"/>
      <c r="LC8"/>
      <c r="LD8"/>
      <c r="LE8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  <c r="WD8"/>
      <c r="WE8"/>
      <c r="WF8"/>
      <c r="WG8"/>
      <c r="WH8"/>
      <c r="WI8"/>
      <c r="WJ8"/>
      <c r="WK8"/>
      <c r="WL8"/>
      <c r="WM8"/>
      <c r="WN8"/>
      <c r="WO8"/>
      <c r="WP8"/>
      <c r="WQ8"/>
      <c r="WR8"/>
      <c r="WS8"/>
      <c r="WT8"/>
      <c r="WU8"/>
      <c r="WV8"/>
      <c r="WW8"/>
      <c r="WX8"/>
      <c r="WY8"/>
      <c r="WZ8"/>
      <c r="XA8"/>
      <c r="XB8"/>
      <c r="XC8"/>
      <c r="XD8"/>
      <c r="XE8"/>
      <c r="XF8"/>
      <c r="XG8"/>
      <c r="XH8"/>
      <c r="XI8"/>
      <c r="XJ8"/>
      <c r="XK8"/>
      <c r="XL8"/>
      <c r="XM8"/>
      <c r="XN8"/>
      <c r="XO8"/>
      <c r="XP8"/>
      <c r="XQ8"/>
      <c r="XR8"/>
      <c r="XS8"/>
      <c r="XT8"/>
      <c r="XU8"/>
      <c r="XV8"/>
      <c r="XW8"/>
      <c r="XX8"/>
      <c r="XY8"/>
      <c r="XZ8"/>
      <c r="YA8"/>
      <c r="YB8"/>
      <c r="YC8"/>
      <c r="YD8"/>
      <c r="YE8"/>
      <c r="YF8"/>
      <c r="YG8"/>
      <c r="YH8"/>
      <c r="YI8"/>
      <c r="YJ8"/>
      <c r="YK8"/>
      <c r="YL8"/>
      <c r="YM8"/>
      <c r="YN8"/>
      <c r="YO8"/>
      <c r="YP8"/>
    </row>
    <row r="9" spans="1:666">
      <c r="A9" s="1052"/>
      <c r="B9" s="263" t="s">
        <v>463</v>
      </c>
      <c r="C9" s="264">
        <f>'Revenue Tracking'!F4</f>
        <v>15251088.299999999</v>
      </c>
      <c r="D9" s="264">
        <f>SUM(F9:GF9)</f>
        <v>15251088.300000001</v>
      </c>
      <c r="E9" s="251"/>
      <c r="F9" s="265">
        <f>SUMIFS('Revenue Tracking'!$F$13:$F$20, 'Revenue Tracking'!$P$13:$P$20, "&gt;="&amp;F1,'Revenue Tracking'!$P$13:$P$20, "&lt;"&amp;G1)</f>
        <v>8971852.9800000004</v>
      </c>
      <c r="G9" s="265">
        <f>SUMIFS('Revenue Tracking'!$F$13:$F$20, 'Revenue Tracking'!$P$13:$P$20, "&gt;="&amp;G1,'Revenue Tracking'!$P$13:$P$20, "&lt;"&amp;H1)</f>
        <v>0</v>
      </c>
      <c r="H9" s="265">
        <f>SUMIFS('Revenue Tracking'!$F$13:$F$20, 'Revenue Tracking'!$P$13:$P$20, "&gt;="&amp;H1,'Revenue Tracking'!$P$13:$P$20, "&lt;"&amp;I1)</f>
        <v>0</v>
      </c>
      <c r="I9" s="265">
        <f>SUMIFS('Revenue Tracking'!$F$13:$F$20, 'Revenue Tracking'!$P$13:$P$20, "&gt;="&amp;I1,'Revenue Tracking'!$P$13:$P$20, "&lt;"&amp;J1)</f>
        <v>0</v>
      </c>
      <c r="J9" s="265">
        <f>SUMIFS('Revenue Tracking'!$F$13:$F$20, 'Revenue Tracking'!$P$13:$P$20, "&gt;="&amp;J1,'Revenue Tracking'!$P$13:$P$20, "&lt;"&amp;K1)</f>
        <v>0</v>
      </c>
      <c r="K9" s="265">
        <f>SUMIFS('Revenue Tracking'!$F$13:$F$20, 'Revenue Tracking'!$P$13:$P$20, "&gt;="&amp;K1,'Revenue Tracking'!$P$13:$P$20, "&lt;"&amp;L1)</f>
        <v>0</v>
      </c>
      <c r="L9" s="265">
        <f>SUMIFS('Revenue Tracking'!$F$13:$F$20, 'Revenue Tracking'!$P$13:$P$20, "&gt;="&amp;L1,'Revenue Tracking'!$P$13:$P$20, "&lt;"&amp;M1)</f>
        <v>0</v>
      </c>
      <c r="M9" s="265">
        <f>SUMIFS('Revenue Tracking'!$F$13:$F$20, 'Revenue Tracking'!$P$13:$P$20, "&gt;="&amp;M1,'Revenue Tracking'!$P$13:$P$20, "&lt;"&amp;N1)</f>
        <v>0</v>
      </c>
      <c r="N9" s="265">
        <f>SUMIFS('Revenue Tracking'!$F$13:$F$20, 'Revenue Tracking'!$P$13:$P$20, "&gt;="&amp;N1,'Revenue Tracking'!$P$13:$P$20, "&lt;"&amp;O1)</f>
        <v>0</v>
      </c>
      <c r="O9" s="265">
        <f>SUMIFS('Revenue Tracking'!$F$13:$F$20, 'Revenue Tracking'!$P$13:$P$20, "&gt;="&amp;O1,'Revenue Tracking'!$P$13:$P$20, "&lt;"&amp;P1)</f>
        <v>0</v>
      </c>
      <c r="P9" s="265">
        <f>SUMIFS('Revenue Tracking'!$F$13:$F$20, 'Revenue Tracking'!$P$13:$P$20, "&gt;="&amp;P1,'Revenue Tracking'!$P$13:$P$20, "&lt;"&amp;Q1)</f>
        <v>0</v>
      </c>
      <c r="Q9" s="265">
        <f>SUMIFS('Revenue Tracking'!$F$13:$F$20, 'Revenue Tracking'!$P$13:$P$20, "&gt;="&amp;Q1,'Revenue Tracking'!$P$13:$P$20, "&lt;"&amp;R1)</f>
        <v>0</v>
      </c>
      <c r="R9" s="265">
        <f>SUMIFS('Revenue Tracking'!$F$13:$F$20, 'Revenue Tracking'!$P$13:$P$20, "&gt;="&amp;R1,'Revenue Tracking'!$P$13:$P$20, "&lt;"&amp;S1)</f>
        <v>0</v>
      </c>
      <c r="S9" s="265">
        <f>SUMIFS('Revenue Tracking'!$F$13:$F$20, 'Revenue Tracking'!$P$13:$P$20, "&gt;="&amp;S1,'Revenue Tracking'!$P$13:$P$20, "&lt;"&amp;T1)</f>
        <v>0</v>
      </c>
      <c r="T9" s="265">
        <f>SUMIFS('Revenue Tracking'!$F$13:$F$20, 'Revenue Tracking'!$P$13:$P$20, "&gt;="&amp;T1,'Revenue Tracking'!$P$13:$P$20, "&lt;"&amp;U1)</f>
        <v>0</v>
      </c>
      <c r="U9" s="265">
        <f>SUMIFS('Revenue Tracking'!$F$13:$F$20, 'Revenue Tracking'!$P$13:$P$20, "&gt;="&amp;U1,'Revenue Tracking'!$P$13:$P$20, "&lt;"&amp;V1)</f>
        <v>0</v>
      </c>
      <c r="V9" s="265">
        <f>SUMIFS('Revenue Tracking'!$F$13:$F$20, 'Revenue Tracking'!$P$13:$P$20, "&gt;="&amp;V1,'Revenue Tracking'!$P$13:$P$20, "&lt;"&amp;W1)</f>
        <v>0</v>
      </c>
      <c r="W9" s="265">
        <f>SUMIFS('Revenue Tracking'!$F$13:$F$20, 'Revenue Tracking'!$P$13:$P$20, "&gt;="&amp;W1,'Revenue Tracking'!$P$13:$P$20, "&lt;"&amp;X1)</f>
        <v>0</v>
      </c>
      <c r="X9" s="265">
        <f>SUMIFS('Revenue Tracking'!$F$13:$F$20, 'Revenue Tracking'!$P$13:$P$20, "&gt;="&amp;X1,'Revenue Tracking'!$P$13:$P$20, "&lt;"&amp;Y1)</f>
        <v>0</v>
      </c>
      <c r="Y9" s="265">
        <f>SUMIFS('Revenue Tracking'!$F$13:$F$20, 'Revenue Tracking'!$P$13:$P$20, "&gt;="&amp;Y1,'Revenue Tracking'!$P$13:$P$20, "&lt;"&amp;Z1)</f>
        <v>298000</v>
      </c>
      <c r="Z9" s="265">
        <f>SUMIFS('Revenue Tracking'!$F$13:$F$20, 'Revenue Tracking'!$P$13:$P$20, "&gt;="&amp;Z1,'Revenue Tracking'!$P$13:$P$20, "&lt;"&amp;AA1)</f>
        <v>5233580.9050000003</v>
      </c>
      <c r="AA9" s="265">
        <f>SUMIFS('Revenue Tracking'!$F$13:$F$20, 'Revenue Tracking'!$P$13:$P$20, "&gt;="&amp;AA1,'Revenue Tracking'!$P$13:$P$20, "&lt;"&amp;AB1)</f>
        <v>0</v>
      </c>
      <c r="AB9" s="265">
        <f>SUMIFS('Revenue Tracking'!$F$13:$F$20, 'Revenue Tracking'!$P$13:$P$20, "&gt;="&amp;AB1,'Revenue Tracking'!$P$13:$P$20, "&lt;"&amp;AC1)</f>
        <v>0</v>
      </c>
      <c r="AC9" s="265">
        <f>SUMIFS('Revenue Tracking'!$F$13:$F$20, 'Revenue Tracking'!$P$13:$P$20, "&gt;="&amp;AC1,'Revenue Tracking'!$P$13:$P$20, "&lt;"&amp;AD1)</f>
        <v>0</v>
      </c>
      <c r="AD9" s="265">
        <f>SUMIFS('Revenue Tracking'!$F$13:$F$20, 'Revenue Tracking'!$P$13:$P$20, "&gt;="&amp;AD1,'Revenue Tracking'!$P$13:$P$20, "&lt;"&amp;AE1)</f>
        <v>0</v>
      </c>
      <c r="AE9" s="265">
        <f>SUMIFS('Revenue Tracking'!$F$13:$F$20, 'Revenue Tracking'!$P$13:$P$20, "&gt;="&amp;AE1,'Revenue Tracking'!$P$13:$P$20, "&lt;"&amp;AF1)</f>
        <v>0</v>
      </c>
      <c r="AF9" s="265">
        <f>SUMIFS('Revenue Tracking'!$F$13:$F$20, 'Revenue Tracking'!$P$13:$P$20, "&gt;="&amp;AF1,'Revenue Tracking'!$P$13:$P$20, "&lt;"&amp;AG1)</f>
        <v>0</v>
      </c>
      <c r="AG9" s="265">
        <f>SUMIFS('Revenue Tracking'!$F$13:$F$20, 'Revenue Tracking'!$P$13:$P$20, "&gt;="&amp;AG1,'Revenue Tracking'!$P$13:$P$20, "&lt;"&amp;AH1)</f>
        <v>0</v>
      </c>
      <c r="AH9" s="265">
        <f>SUMIFS('Revenue Tracking'!$F$13:$F$20, 'Revenue Tracking'!$P$13:$P$20, "&gt;="&amp;AH1,'Revenue Tracking'!$P$13:$P$20, "&lt;"&amp;AI1)</f>
        <v>0</v>
      </c>
      <c r="AI9" s="265">
        <f>SUMIFS('Revenue Tracking'!$F$13:$F$20, 'Revenue Tracking'!$P$13:$P$20, "&gt;="&amp;AI1,'Revenue Tracking'!$P$13:$P$20, "&lt;"&amp;AJ1)</f>
        <v>0</v>
      </c>
      <c r="AJ9" s="265">
        <f>SUMIFS('Revenue Tracking'!$F$13:$F$20, 'Revenue Tracking'!$P$13:$P$20, "&gt;="&amp;AJ1,'Revenue Tracking'!$P$13:$P$20, "&lt;"&amp;AK1)</f>
        <v>0</v>
      </c>
      <c r="AK9" s="265">
        <f>SUMIFS('Revenue Tracking'!$F$13:$F$20, 'Revenue Tracking'!$P$13:$P$20, "&gt;="&amp;AK1,'Revenue Tracking'!$P$13:$P$20, "&lt;"&amp;AL1)</f>
        <v>0</v>
      </c>
      <c r="AL9" s="265">
        <f>SUMIFS('Revenue Tracking'!$F$13:$F$20, 'Revenue Tracking'!$P$13:$P$20, "&gt;="&amp;AL1,'Revenue Tracking'!$P$13:$P$20, "&lt;"&amp;AM1)</f>
        <v>0</v>
      </c>
      <c r="AM9" s="265">
        <f>SUMIFS('Revenue Tracking'!$F$13:$F$20, 'Revenue Tracking'!$P$13:$P$20, "&gt;="&amp;AM1,'Revenue Tracking'!$P$13:$P$20, "&lt;"&amp;AN1)</f>
        <v>0</v>
      </c>
      <c r="AN9" s="265">
        <f>SUMIFS('Revenue Tracking'!$F$13:$F$20, 'Revenue Tracking'!$P$13:$P$20, "&gt;="&amp;AN1,'Revenue Tracking'!$P$13:$P$20, "&lt;"&amp;AO1)</f>
        <v>0</v>
      </c>
      <c r="AO9" s="265">
        <f>SUMIFS('Revenue Tracking'!$F$13:$F$20, 'Revenue Tracking'!$P$13:$P$20, "&gt;="&amp;AO1,'Revenue Tracking'!$P$13:$P$20, "&lt;"&amp;AP1)</f>
        <v>0</v>
      </c>
      <c r="AP9" s="265">
        <f>SUMIFS('Revenue Tracking'!$F$13:$F$20, 'Revenue Tracking'!$P$13:$P$20, "&gt;="&amp;AP1,'Revenue Tracking'!$P$13:$P$20, "&lt;"&amp;AQ1)</f>
        <v>0</v>
      </c>
      <c r="AQ9" s="265">
        <f>SUMIFS('Revenue Tracking'!$F$13:$F$20, 'Revenue Tracking'!$P$13:$P$20, "&gt;="&amp;AQ1,'Revenue Tracking'!$P$13:$P$20, "&lt;"&amp;AR1)</f>
        <v>0</v>
      </c>
      <c r="AR9" s="265">
        <f>SUMIFS('Revenue Tracking'!$F$13:$F$20, 'Revenue Tracking'!$P$13:$P$20, "&gt;="&amp;AR1,'Revenue Tracking'!$P$13:$P$20, "&lt;"&amp;AS1)</f>
        <v>0</v>
      </c>
      <c r="AS9" s="265">
        <f>SUMIFS('Revenue Tracking'!$F$13:$F$20, 'Revenue Tracking'!$P$13:$P$20, "&gt;="&amp;AS1,'Revenue Tracking'!$P$13:$P$20, "&lt;"&amp;AT1)</f>
        <v>0</v>
      </c>
      <c r="AT9" s="265">
        <f>SUMIFS('Revenue Tracking'!$F$13:$F$20, 'Revenue Tracking'!$P$13:$P$20, "&gt;="&amp;AT1,'Revenue Tracking'!$P$13:$P$20, "&lt;"&amp;AU1)</f>
        <v>0</v>
      </c>
      <c r="AU9" s="265">
        <f>SUMIFS('Revenue Tracking'!$F$13:$F$20, 'Revenue Tracking'!$P$13:$P$20, "&gt;="&amp;AU1,'Revenue Tracking'!$P$13:$P$20, "&lt;"&amp;AV1)</f>
        <v>0</v>
      </c>
      <c r="AV9" s="265">
        <f>SUMIFS('Revenue Tracking'!$F$13:$F$20, 'Revenue Tracking'!$P$13:$P$20, "&gt;="&amp;AV1,'Revenue Tracking'!$P$13:$P$20, "&lt;"&amp;AW1)</f>
        <v>0</v>
      </c>
      <c r="AW9" s="265">
        <f>SUMIFS('Revenue Tracking'!$F$13:$F$20, 'Revenue Tracking'!$P$13:$P$20, "&gt;="&amp;AW1,'Revenue Tracking'!$P$13:$P$20, "&lt;"&amp;AX1)</f>
        <v>0</v>
      </c>
      <c r="AX9" s="265">
        <f>SUMIFS('Revenue Tracking'!$F$13:$F$20, 'Revenue Tracking'!$P$13:$P$20, "&gt;="&amp;AX1,'Revenue Tracking'!$P$13:$P$20, "&lt;"&amp;AY1)</f>
        <v>0</v>
      </c>
      <c r="AY9" s="265">
        <f>SUMIFS('Revenue Tracking'!$F$13:$F$20, 'Revenue Tracking'!$P$13:$P$20, "&gt;="&amp;AY1,'Revenue Tracking'!$P$13:$P$20, "&lt;"&amp;AZ1)</f>
        <v>0</v>
      </c>
      <c r="AZ9" s="265">
        <f>SUMIFS('Revenue Tracking'!$F$13:$F$20, 'Revenue Tracking'!$P$13:$P$20, "&gt;="&amp;AZ1,'Revenue Tracking'!$P$13:$P$20, "&lt;"&amp;BA1)</f>
        <v>0</v>
      </c>
      <c r="BA9" s="265">
        <f>SUMIFS('Revenue Tracking'!$F$13:$F$20, 'Revenue Tracking'!$P$13:$P$20, "&gt;="&amp;BA1,'Revenue Tracking'!$P$13:$P$20, "&lt;"&amp;BB1)</f>
        <v>0</v>
      </c>
      <c r="BB9" s="265">
        <f>SUMIFS('Revenue Tracking'!$F$13:$F$20, 'Revenue Tracking'!$P$13:$P$20, "&gt;="&amp;BB1,'Revenue Tracking'!$P$13:$P$20, "&lt;"&amp;BC1)</f>
        <v>0</v>
      </c>
      <c r="BC9" s="265">
        <f>SUMIFS('Revenue Tracking'!$F$13:$F$20, 'Revenue Tracking'!$P$13:$P$20, "&gt;="&amp;BC1,'Revenue Tracking'!$P$13:$P$20, "&lt;"&amp;BD1)</f>
        <v>0</v>
      </c>
      <c r="BD9" s="265">
        <f>SUMIFS('Revenue Tracking'!$F$13:$F$20, 'Revenue Tracking'!$P$13:$P$20, "&gt;="&amp;BD1,'Revenue Tracking'!$P$13:$P$20, "&lt;"&amp;BE1)</f>
        <v>0</v>
      </c>
      <c r="BE9" s="265">
        <f>SUMIFS('Revenue Tracking'!$F$13:$F$20, 'Revenue Tracking'!$P$13:$P$20, "&gt;="&amp;BE1,'Revenue Tracking'!$P$13:$P$20, "&lt;"&amp;BF1)</f>
        <v>0</v>
      </c>
      <c r="BF9" s="265">
        <f>SUMIFS('Revenue Tracking'!$F$13:$F$20, 'Revenue Tracking'!$P$13:$P$20, "&gt;="&amp;BF1,'Revenue Tracking'!$P$13:$P$20, "&lt;"&amp;BG1)</f>
        <v>0</v>
      </c>
      <c r="BG9" s="265">
        <f>SUMIFS('Revenue Tracking'!$F$13:$F$20, 'Revenue Tracking'!$P$13:$P$20, "&gt;="&amp;BG1,'Revenue Tracking'!$P$13:$P$20, "&lt;"&amp;BH1)</f>
        <v>0</v>
      </c>
      <c r="BH9" s="265">
        <f>SUMIFS('Revenue Tracking'!$F$13:$F$20, 'Revenue Tracking'!$P$13:$P$20, "&gt;="&amp;BH1,'Revenue Tracking'!$P$13:$P$20, "&lt;"&amp;BI1)</f>
        <v>0</v>
      </c>
      <c r="BI9" s="265">
        <f>SUMIFS('Revenue Tracking'!$F$13:$F$20, 'Revenue Tracking'!$P$13:$P$20, "&gt;="&amp;BI1,'Revenue Tracking'!$P$13:$P$20, "&lt;"&amp;BJ1)</f>
        <v>0</v>
      </c>
      <c r="BJ9" s="265">
        <f>SUMIFS('Revenue Tracking'!$F$13:$F$20, 'Revenue Tracking'!$P$13:$P$20, "&gt;="&amp;BJ1,'Revenue Tracking'!$P$13:$P$20, "&lt;"&amp;BK1)</f>
        <v>373827.20750000002</v>
      </c>
      <c r="BK9" s="265">
        <f>SUMIFS('Revenue Tracking'!$F$13:$F$20, 'Revenue Tracking'!$P$13:$P$20, "&gt;="&amp;BK1,'Revenue Tracking'!$P$13:$P$20, "&lt;"&amp;BL1)</f>
        <v>0</v>
      </c>
      <c r="BL9" s="265">
        <f>SUMIFS('Revenue Tracking'!$F$13:$F$20, 'Revenue Tracking'!$P$13:$P$20, "&gt;="&amp;BL1,'Revenue Tracking'!$P$13:$P$20, "&lt;"&amp;BM1)</f>
        <v>0</v>
      </c>
      <c r="BM9" s="265">
        <f>SUMIFS('Revenue Tracking'!$F$13:$F$20, 'Revenue Tracking'!$P$13:$P$20, "&gt;="&amp;BM1,'Revenue Tracking'!$P$13:$P$20, "&lt;"&amp;BN1)</f>
        <v>0</v>
      </c>
      <c r="BN9" s="265">
        <f>SUMIFS('Revenue Tracking'!$F$13:$F$20, 'Revenue Tracking'!$P$13:$P$20, "&gt;="&amp;BN1,'Revenue Tracking'!$P$13:$P$20, "&lt;"&amp;BO1)</f>
        <v>0</v>
      </c>
      <c r="BO9" s="265">
        <f>SUMIFS('Revenue Tracking'!$F$13:$F$20, 'Revenue Tracking'!$P$13:$P$20, "&gt;="&amp;BO1,'Revenue Tracking'!$P$13:$P$20, "&lt;"&amp;BP1)</f>
        <v>0</v>
      </c>
      <c r="BP9" s="265">
        <f>SUMIFS('Revenue Tracking'!$F$13:$F$20, 'Revenue Tracking'!$P$13:$P$20, "&gt;="&amp;BP1,'Revenue Tracking'!$P$13:$P$20, "&lt;"&amp;BQ1)</f>
        <v>0</v>
      </c>
      <c r="BQ9" s="265">
        <f>SUMIFS('Revenue Tracking'!$F$13:$F$20, 'Revenue Tracking'!$P$13:$P$20, "&gt;="&amp;BQ1,'Revenue Tracking'!$P$13:$P$20, "&lt;"&amp;BR1)</f>
        <v>0</v>
      </c>
      <c r="BR9" s="265">
        <f>SUMIFS('Revenue Tracking'!$F$13:$F$20, 'Revenue Tracking'!$P$13:$P$20, "&gt;="&amp;BR1,'Revenue Tracking'!$P$13:$P$20, "&lt;"&amp;BS1)</f>
        <v>0</v>
      </c>
      <c r="BS9" s="265">
        <f>SUMIFS('Revenue Tracking'!$F$13:$F$20, 'Revenue Tracking'!$P$13:$P$20, "&gt;="&amp;BS1,'Revenue Tracking'!$P$13:$P$20, "&lt;"&amp;BT1)</f>
        <v>0</v>
      </c>
      <c r="BT9" s="265">
        <f>SUMIFS('Revenue Tracking'!$F$13:$F$20, 'Revenue Tracking'!$P$13:$P$20, "&gt;="&amp;BT1,'Revenue Tracking'!$P$13:$P$20, "&lt;"&amp;BU1)</f>
        <v>0</v>
      </c>
      <c r="BU9" s="265">
        <f>SUMIFS('Revenue Tracking'!$F$13:$F$20, 'Revenue Tracking'!$P$13:$P$20, "&gt;="&amp;BU1,'Revenue Tracking'!$P$13:$P$20, "&lt;"&amp;BV1)</f>
        <v>0</v>
      </c>
      <c r="BV9" s="265">
        <f>SUMIFS('Revenue Tracking'!$F$13:$F$20, 'Revenue Tracking'!$P$13:$P$20, "&gt;="&amp;BV1,'Revenue Tracking'!$P$13:$P$20, "&lt;"&amp;BW1)</f>
        <v>0</v>
      </c>
      <c r="BW9" s="265">
        <f>SUMIFS('Revenue Tracking'!$F$13:$F$20, 'Revenue Tracking'!$P$13:$P$20, "&gt;="&amp;BW1,'Revenue Tracking'!$P$13:$P$20, "&lt;"&amp;BX1)</f>
        <v>0</v>
      </c>
      <c r="BX9" s="265">
        <f>SUMIFS('Revenue Tracking'!$F$13:$F$20, 'Revenue Tracking'!$P$13:$P$20, "&gt;="&amp;BX1,'Revenue Tracking'!$P$13:$P$20, "&lt;"&amp;BY1)</f>
        <v>0</v>
      </c>
      <c r="BY9" s="265">
        <f>SUMIFS('Revenue Tracking'!$F$13:$F$20, 'Revenue Tracking'!$P$13:$P$20, "&gt;="&amp;BY1,'Revenue Tracking'!$P$13:$P$20, "&lt;"&amp;BZ1)</f>
        <v>0</v>
      </c>
      <c r="BZ9" s="265">
        <f>SUMIFS('Revenue Tracking'!$F$13:$F$20, 'Revenue Tracking'!$P$13:$P$20, "&gt;="&amp;BZ1,'Revenue Tracking'!$P$13:$P$20, "&lt;"&amp;CA1)</f>
        <v>0</v>
      </c>
      <c r="CA9" s="265">
        <f>SUMIFS('Revenue Tracking'!$F$13:$F$20, 'Revenue Tracking'!$P$13:$P$20, "&gt;="&amp;CA1,'Revenue Tracking'!$P$13:$P$20, "&lt;"&amp;CB1)</f>
        <v>0</v>
      </c>
      <c r="CB9" s="265">
        <f>SUMIFS('Revenue Tracking'!$F$13:$F$20, 'Revenue Tracking'!$P$13:$P$20, "&gt;="&amp;CB1,'Revenue Tracking'!$P$13:$P$20, "&lt;"&amp;CC1)</f>
        <v>0</v>
      </c>
      <c r="CC9" s="265">
        <f>SUMIFS('Revenue Tracking'!$F$13:$F$20, 'Revenue Tracking'!$P$13:$P$20, "&gt;="&amp;CC1,'Revenue Tracking'!$P$13:$P$20, "&lt;"&amp;CD1)</f>
        <v>0</v>
      </c>
      <c r="CD9" s="265">
        <f>SUMIFS('Revenue Tracking'!$F$13:$F$20, 'Revenue Tracking'!$P$13:$P$20, "&gt;="&amp;CD1,'Revenue Tracking'!$P$13:$P$20, "&lt;"&amp;CE1)</f>
        <v>0</v>
      </c>
      <c r="CE9" s="265">
        <f>SUMIFS('Revenue Tracking'!$F$13:$F$20, 'Revenue Tracking'!$P$13:$P$20, "&gt;="&amp;CE1,'Revenue Tracking'!$P$13:$P$20, "&lt;"&amp;CF1)</f>
        <v>0</v>
      </c>
      <c r="CF9" s="265">
        <f>SUMIFS('Revenue Tracking'!$F$13:$F$20, 'Revenue Tracking'!$P$13:$P$20, "&gt;="&amp;CF1,'Revenue Tracking'!$P$13:$P$20, "&lt;"&amp;CG1)</f>
        <v>0</v>
      </c>
      <c r="CG9" s="265">
        <f>SUMIFS('Revenue Tracking'!$F$13:$F$20, 'Revenue Tracking'!$P$13:$P$20, "&gt;="&amp;CG1,'Revenue Tracking'!$P$13:$P$20, "&lt;"&amp;CH1)</f>
        <v>0</v>
      </c>
      <c r="CH9" s="265">
        <f>SUMIFS('Revenue Tracking'!$F$13:$F$20, 'Revenue Tracking'!$P$13:$P$20, "&gt;="&amp;CH1,'Revenue Tracking'!$P$13:$P$20, "&lt;"&amp;CI1)</f>
        <v>0</v>
      </c>
      <c r="CI9" s="265">
        <f>SUMIFS('Revenue Tracking'!$F$13:$F$20, 'Revenue Tracking'!$P$13:$P$20, "&gt;="&amp;CI1,'Revenue Tracking'!$P$13:$P$20, "&lt;"&amp;CJ1)</f>
        <v>0</v>
      </c>
      <c r="CJ9" s="265">
        <f>SUMIFS('Revenue Tracking'!$F$13:$F$20, 'Revenue Tracking'!$P$13:$P$20, "&gt;="&amp;CJ1,'Revenue Tracking'!$P$13:$P$20, "&lt;"&amp;CK1)</f>
        <v>0</v>
      </c>
      <c r="CK9" s="265">
        <f>SUMIFS('Revenue Tracking'!$F$13:$F$20, 'Revenue Tracking'!$P$13:$P$20, "&gt;="&amp;CK1,'Revenue Tracking'!$P$13:$P$20, "&lt;"&amp;CL1)</f>
        <v>0</v>
      </c>
      <c r="CL9" s="265">
        <f>SUMIFS('Revenue Tracking'!$F$13:$F$20, 'Revenue Tracking'!$P$13:$P$20, "&gt;="&amp;CL1,'Revenue Tracking'!$P$13:$P$20, "&lt;"&amp;CM1)</f>
        <v>0</v>
      </c>
      <c r="CM9" s="265">
        <f>SUMIFS('Revenue Tracking'!$F$13:$F$20, 'Revenue Tracking'!$P$13:$P$20, "&gt;="&amp;CM1,'Revenue Tracking'!$P$13:$P$20, "&lt;"&amp;CN1)</f>
        <v>0</v>
      </c>
      <c r="CN9" s="265">
        <f>SUMIFS('Revenue Tracking'!$F$13:$F$20, 'Revenue Tracking'!$P$13:$P$20, "&gt;="&amp;CN1,'Revenue Tracking'!$P$13:$P$20, "&lt;"&amp;CO1)</f>
        <v>0</v>
      </c>
      <c r="CO9" s="265">
        <f>SUMIFS('Revenue Tracking'!$F$13:$F$20, 'Revenue Tracking'!$P$13:$P$20, "&gt;="&amp;CO1,'Revenue Tracking'!$P$13:$P$20, "&lt;"&amp;CP1)</f>
        <v>0</v>
      </c>
      <c r="CP9" s="265">
        <f>SUMIFS('Revenue Tracking'!$F$13:$F$20, 'Revenue Tracking'!$P$13:$P$20, "&gt;="&amp;CP1,'Revenue Tracking'!$P$13:$P$20, "&lt;"&amp;CQ1)</f>
        <v>0</v>
      </c>
      <c r="CQ9" s="265">
        <f>SUMIFS('Revenue Tracking'!$F$13:$F$20, 'Revenue Tracking'!$P$13:$P$20, "&gt;="&amp;CQ1,'Revenue Tracking'!$P$13:$P$20, "&lt;"&amp;CR1)</f>
        <v>0</v>
      </c>
      <c r="CR9" s="265">
        <f>SUMIFS('Revenue Tracking'!$F$13:$F$20, 'Revenue Tracking'!$P$13:$P$20, "&gt;="&amp;CR1,'Revenue Tracking'!$P$13:$P$20, "&lt;"&amp;CS1)</f>
        <v>0</v>
      </c>
      <c r="CS9" s="265">
        <f>SUMIFS('Revenue Tracking'!$F$13:$F$20, 'Revenue Tracking'!$P$13:$P$20, "&gt;="&amp;CS1,'Revenue Tracking'!$P$13:$P$20, "&lt;"&amp;CT1)</f>
        <v>0</v>
      </c>
      <c r="CT9" s="265">
        <f>SUMIFS('Revenue Tracking'!$F$13:$F$20, 'Revenue Tracking'!$P$13:$P$20, "&gt;="&amp;CT1,'Revenue Tracking'!$P$13:$P$20, "&lt;"&amp;CU1)</f>
        <v>0</v>
      </c>
      <c r="CU9" s="265">
        <f>SUMIFS('Revenue Tracking'!$F$13:$F$20, 'Revenue Tracking'!$P$13:$P$20, "&gt;="&amp;CU1,'Revenue Tracking'!$P$13:$P$20, "&lt;"&amp;CV1)</f>
        <v>0</v>
      </c>
      <c r="CV9" s="265">
        <f>SUMIFS('Revenue Tracking'!$F$13:$F$20, 'Revenue Tracking'!$P$13:$P$20, "&gt;="&amp;CV1,'Revenue Tracking'!$P$13:$P$20, "&lt;"&amp;CW1)</f>
        <v>0</v>
      </c>
      <c r="CW9" s="265">
        <f>SUMIFS('Revenue Tracking'!$F$13:$F$20, 'Revenue Tracking'!$P$13:$P$20, "&gt;="&amp;CW1,'Revenue Tracking'!$P$13:$P$20, "&lt;"&amp;CX1)</f>
        <v>0</v>
      </c>
      <c r="CX9" s="265">
        <f>SUMIFS('Revenue Tracking'!$F$13:$F$20, 'Revenue Tracking'!$P$13:$P$20, "&gt;="&amp;CX1,'Revenue Tracking'!$P$13:$P$20, "&lt;"&amp;CY1)</f>
        <v>0</v>
      </c>
      <c r="CY9" s="265">
        <f>SUMIFS('Revenue Tracking'!$F$13:$F$20, 'Revenue Tracking'!$P$13:$P$20, "&gt;="&amp;CY1,'Revenue Tracking'!$P$13:$P$20, "&lt;"&amp;CZ1)</f>
        <v>0</v>
      </c>
      <c r="CZ9" s="265">
        <f>SUMIFS('Revenue Tracking'!$F$13:$F$20, 'Revenue Tracking'!$P$13:$P$20, "&gt;="&amp;CZ1,'Revenue Tracking'!$P$13:$P$20, "&lt;"&amp;DA1)</f>
        <v>0</v>
      </c>
      <c r="DA9" s="265">
        <f>SUMIFS('Revenue Tracking'!$F$13:$F$20, 'Revenue Tracking'!$P$13:$P$20, "&gt;="&amp;DA1,'Revenue Tracking'!$P$13:$P$20, "&lt;"&amp;DB1)</f>
        <v>0</v>
      </c>
      <c r="DB9" s="265">
        <f>SUMIFS('Revenue Tracking'!$F$13:$F$20, 'Revenue Tracking'!$P$13:$P$20, "&gt;="&amp;DB1,'Revenue Tracking'!$P$13:$P$20, "&lt;"&amp;DC1)</f>
        <v>0</v>
      </c>
      <c r="DC9" s="265">
        <f>SUMIFS('Revenue Tracking'!$F$13:$F$20, 'Revenue Tracking'!$P$13:$P$20, "&gt;="&amp;DC1,'Revenue Tracking'!$P$13:$P$20, "&lt;"&amp;DD1)</f>
        <v>0</v>
      </c>
      <c r="DD9" s="265">
        <f>SUMIFS('Revenue Tracking'!$F$13:$F$20, 'Revenue Tracking'!$P$13:$P$20, "&gt;="&amp;DD1,'Revenue Tracking'!$P$13:$P$20, "&lt;"&amp;DE1)</f>
        <v>0</v>
      </c>
      <c r="DE9" s="265">
        <f>SUMIFS('Revenue Tracking'!$F$13:$F$20, 'Revenue Tracking'!$P$13:$P$20, "&gt;="&amp;DE1,'Revenue Tracking'!$P$13:$P$20, "&lt;"&amp;DF1)</f>
        <v>0</v>
      </c>
      <c r="DF9" s="265">
        <f>SUMIFS('Revenue Tracking'!$F$13:$F$20, 'Revenue Tracking'!$P$13:$P$20, "&gt;="&amp;DF1,'Revenue Tracking'!$P$13:$P$20, "&lt;"&amp;DG1)</f>
        <v>0</v>
      </c>
      <c r="DG9" s="265">
        <f>SUMIFS('Revenue Tracking'!$F$13:$F$20, 'Revenue Tracking'!$P$13:$P$20, "&gt;="&amp;DG1,'Revenue Tracking'!$P$13:$P$20, "&lt;"&amp;DH1)</f>
        <v>0</v>
      </c>
      <c r="DH9" s="265">
        <f>SUMIFS('Revenue Tracking'!$F$13:$F$20, 'Revenue Tracking'!$P$13:$P$20, "&gt;="&amp;DH1,'Revenue Tracking'!$P$13:$P$20, "&lt;"&amp;DI1)</f>
        <v>0</v>
      </c>
      <c r="DI9" s="265">
        <f>SUMIFS('Revenue Tracking'!$F$13:$F$20, 'Revenue Tracking'!$P$13:$P$20, "&gt;="&amp;DI1,'Revenue Tracking'!$P$13:$P$20, "&lt;"&amp;DJ1)</f>
        <v>0</v>
      </c>
      <c r="DJ9" s="265">
        <f>SUMIFS('Revenue Tracking'!$F$13:$F$20, 'Revenue Tracking'!$P$13:$P$20, "&gt;="&amp;DJ1,'Revenue Tracking'!$P$13:$P$20, "&lt;"&amp;DK1)</f>
        <v>0</v>
      </c>
      <c r="DK9" s="265">
        <f>SUMIFS('Revenue Tracking'!$F$13:$F$20, 'Revenue Tracking'!$P$13:$P$20, "&gt;="&amp;DK1,'Revenue Tracking'!$P$13:$P$20, "&lt;"&amp;DL1)</f>
        <v>0</v>
      </c>
      <c r="DL9" s="265">
        <f>SUMIFS('Revenue Tracking'!$F$13:$F$20, 'Revenue Tracking'!$P$13:$P$20, "&gt;="&amp;DL1,'Revenue Tracking'!$P$13:$P$20, "&lt;"&amp;DM1)</f>
        <v>0</v>
      </c>
      <c r="DM9" s="265">
        <f>SUMIFS('Revenue Tracking'!$F$13:$F$20, 'Revenue Tracking'!$P$13:$P$20, "&gt;="&amp;DM1,'Revenue Tracking'!$P$13:$P$20, "&lt;"&amp;DN1)</f>
        <v>0</v>
      </c>
      <c r="DN9" s="265">
        <f>SUMIFS('Revenue Tracking'!$F$13:$F$20, 'Revenue Tracking'!$P$13:$P$20, "&gt;="&amp;DN1,'Revenue Tracking'!$P$13:$P$20, "&lt;"&amp;DO1)</f>
        <v>0</v>
      </c>
      <c r="DO9" s="265">
        <f>SUMIFS('Revenue Tracking'!$F$13:$F$20, 'Revenue Tracking'!$P$13:$P$20, "&gt;="&amp;DO1,'Revenue Tracking'!$P$13:$P$20, "&lt;"&amp;DP1)</f>
        <v>0</v>
      </c>
      <c r="DP9" s="265">
        <f>SUMIFS('Revenue Tracking'!$F$13:$F$20, 'Revenue Tracking'!$P$13:$P$20, "&gt;="&amp;DP1,'Revenue Tracking'!$P$13:$P$20, "&lt;"&amp;DQ1)</f>
        <v>0</v>
      </c>
      <c r="DQ9" s="265">
        <f>SUMIFS('Revenue Tracking'!$F$13:$F$20, 'Revenue Tracking'!$P$13:$P$20, "&gt;="&amp;DQ1,'Revenue Tracking'!$P$13:$P$20, "&lt;"&amp;DR1)</f>
        <v>0</v>
      </c>
      <c r="DR9" s="265">
        <f>SUMIFS('Revenue Tracking'!$F$13:$F$20, 'Revenue Tracking'!$P$13:$P$20, "&gt;="&amp;DR1,'Revenue Tracking'!$P$13:$P$20, "&lt;"&amp;DS1)</f>
        <v>0</v>
      </c>
      <c r="DS9" s="265">
        <f>SUMIFS('Revenue Tracking'!$F$13:$F$20, 'Revenue Tracking'!$P$13:$P$20, "&gt;="&amp;DS1,'Revenue Tracking'!$P$13:$P$20, "&lt;"&amp;DT1)</f>
        <v>0</v>
      </c>
      <c r="DT9" s="265">
        <f>SUMIFS('Revenue Tracking'!$F$13:$F$20, 'Revenue Tracking'!$P$13:$P$20, "&gt;="&amp;DT1,'Revenue Tracking'!$P$13:$P$20, "&lt;"&amp;DU1)</f>
        <v>0</v>
      </c>
      <c r="DU9" s="265">
        <f>SUMIFS('Revenue Tracking'!$F$13:$F$20, 'Revenue Tracking'!$P$13:$P$20, "&gt;="&amp;DU1,'Revenue Tracking'!$P$13:$P$20, "&lt;"&amp;DV1)</f>
        <v>0</v>
      </c>
      <c r="DV9" s="265">
        <f>SUMIFS('Revenue Tracking'!$F$13:$F$20, 'Revenue Tracking'!$P$13:$P$20, "&gt;="&amp;DV1,'Revenue Tracking'!$P$13:$P$20, "&lt;"&amp;DW1)</f>
        <v>0</v>
      </c>
      <c r="DW9" s="265">
        <f>SUMIFS('Revenue Tracking'!$F$13:$F$20, 'Revenue Tracking'!$P$13:$P$20, "&gt;="&amp;DW1,'Revenue Tracking'!$P$13:$P$20, "&lt;"&amp;DX1)</f>
        <v>0</v>
      </c>
      <c r="DX9" s="265">
        <f>SUMIFS('Revenue Tracking'!$F$13:$F$20, 'Revenue Tracking'!$P$13:$P$20, "&gt;="&amp;DX1,'Revenue Tracking'!$P$13:$P$20, "&lt;"&amp;DY1)</f>
        <v>0</v>
      </c>
      <c r="DY9" s="265">
        <f>SUMIFS('Revenue Tracking'!$F$13:$F$20, 'Revenue Tracking'!$P$13:$P$20, "&gt;="&amp;DY1,'Revenue Tracking'!$P$13:$P$20, "&lt;"&amp;DZ1)</f>
        <v>0</v>
      </c>
      <c r="DZ9" s="265">
        <f>SUMIFS('Revenue Tracking'!$F$13:$F$20, 'Revenue Tracking'!$P$13:$P$20, "&gt;="&amp;DZ1,'Revenue Tracking'!$P$13:$P$20, "&lt;"&amp;EA1)</f>
        <v>0</v>
      </c>
      <c r="EA9" s="265">
        <f>SUMIFS('Revenue Tracking'!$F$13:$F$20, 'Revenue Tracking'!$P$13:$P$20, "&gt;="&amp;EA1,'Revenue Tracking'!$P$13:$P$20, "&lt;"&amp;EB1)</f>
        <v>0</v>
      </c>
      <c r="EB9" s="265">
        <f>SUMIFS('Revenue Tracking'!$F$13:$F$20, 'Revenue Tracking'!$P$13:$P$20, "&gt;="&amp;EB1,'Revenue Tracking'!$P$13:$P$20, "&lt;"&amp;EC1)</f>
        <v>0</v>
      </c>
      <c r="EC9" s="265">
        <f>SUMIFS('Revenue Tracking'!$F$13:$F$20, 'Revenue Tracking'!$P$13:$P$20, "&gt;="&amp;EC1,'Revenue Tracking'!$P$13:$P$20, "&lt;"&amp;ED1)</f>
        <v>0</v>
      </c>
      <c r="ED9" s="265">
        <f>SUMIFS('Revenue Tracking'!$F$13:$F$20, 'Revenue Tracking'!$P$13:$P$20, "&gt;="&amp;ED1,'Revenue Tracking'!$P$13:$P$20, "&lt;"&amp;EE1)</f>
        <v>0</v>
      </c>
      <c r="EE9" s="265">
        <f>SUMIFS('Revenue Tracking'!$F$13:$F$20, 'Revenue Tracking'!$P$13:$P$20, "&gt;="&amp;EE1,'Revenue Tracking'!$P$13:$P$20, "&lt;"&amp;EF1)</f>
        <v>0</v>
      </c>
      <c r="EF9" s="265">
        <f>SUMIFS('Revenue Tracking'!$F$13:$F$20, 'Revenue Tracking'!$P$13:$P$20, "&gt;="&amp;EF1,'Revenue Tracking'!$P$13:$P$20, "&lt;"&amp;EG1)</f>
        <v>373827.20750000002</v>
      </c>
      <c r="EG9" s="265">
        <f>SUMIFS('Revenue Tracking'!$F$13:$F$20, 'Revenue Tracking'!$P$13:$P$20, "&gt;="&amp;EG1,'Revenue Tracking'!$P$13:$P$20, "&lt;"&amp;EH1)</f>
        <v>0</v>
      </c>
      <c r="EH9" s="265">
        <f>SUMIFS('Revenue Tracking'!$F$13:$F$20, 'Revenue Tracking'!$P$13:$P$20, "&gt;="&amp;EH1,'Revenue Tracking'!$P$13:$P$20, "&lt;"&amp;EI1)</f>
        <v>0</v>
      </c>
      <c r="EI9" s="265">
        <f>SUMIFS('Revenue Tracking'!$F$13:$F$20, 'Revenue Tracking'!$P$13:$P$20, "&gt;="&amp;EI1,'Revenue Tracking'!$P$13:$P$20, "&lt;"&amp;EJ1)</f>
        <v>0</v>
      </c>
      <c r="EJ9" s="265">
        <f>SUMIFS('Revenue Tracking'!$F$13:$F$20, 'Revenue Tracking'!$P$13:$P$20, "&gt;="&amp;EJ1,'Revenue Tracking'!$P$13:$P$20, "&lt;"&amp;EK1)</f>
        <v>0</v>
      </c>
      <c r="EK9" s="265">
        <f>SUMIFS('Revenue Tracking'!$F$13:$F$20, 'Revenue Tracking'!$P$13:$P$20, "&gt;="&amp;EK1,'Revenue Tracking'!$P$13:$P$20, "&lt;"&amp;EL1)</f>
        <v>0</v>
      </c>
      <c r="EL9" s="265">
        <f>SUMIFS('Revenue Tracking'!$F$13:$F$20, 'Revenue Tracking'!$P$13:$P$20, "&gt;="&amp;EL1,'Revenue Tracking'!$P$13:$P$20, "&lt;"&amp;EM1)</f>
        <v>0</v>
      </c>
      <c r="EM9" s="265">
        <f>SUMIFS('Revenue Tracking'!$F$13:$F$20, 'Revenue Tracking'!$P$13:$P$20, "&gt;="&amp;EM1,'Revenue Tracking'!$P$13:$P$20, "&lt;"&amp;EN1)</f>
        <v>0</v>
      </c>
      <c r="EN9" s="265">
        <f>SUMIFS('Revenue Tracking'!$F$13:$F$20, 'Revenue Tracking'!$P$13:$P$20, "&gt;="&amp;EN1,'Revenue Tracking'!$P$13:$P$20, "&lt;"&amp;EO1)</f>
        <v>0</v>
      </c>
      <c r="EO9" s="265">
        <f>SUMIFS('Revenue Tracking'!$F$13:$F$20, 'Revenue Tracking'!$P$13:$P$20, "&gt;="&amp;EO1,'Revenue Tracking'!$P$13:$P$20, "&lt;"&amp;EP1)</f>
        <v>0</v>
      </c>
      <c r="EP9" s="265">
        <f>SUMIFS('Revenue Tracking'!$F$13:$F$20, 'Revenue Tracking'!$P$13:$P$20, "&gt;="&amp;EP1,'Revenue Tracking'!$P$13:$P$20, "&lt;"&amp;EQ1)</f>
        <v>0</v>
      </c>
      <c r="EQ9" s="265">
        <f>SUMIFS('Revenue Tracking'!$F$13:$F$20, 'Revenue Tracking'!$P$13:$P$20, "&gt;="&amp;EQ1,'Revenue Tracking'!$P$13:$P$20, "&lt;"&amp;ER1)</f>
        <v>0</v>
      </c>
      <c r="ER9" s="265">
        <f>SUMIFS('Revenue Tracking'!$F$13:$F$20, 'Revenue Tracking'!$P$13:$P$20, "&gt;="&amp;ER1,'Revenue Tracking'!$P$13:$P$20, "&lt;"&amp;ES1)</f>
        <v>0</v>
      </c>
      <c r="ES9" s="265">
        <f>SUMIFS('Revenue Tracking'!$F$13:$F$20, 'Revenue Tracking'!$P$13:$P$20, "&gt;="&amp;ES1,'Revenue Tracking'!$P$13:$P$20, "&lt;"&amp;ET1)</f>
        <v>0</v>
      </c>
      <c r="ET9" s="265">
        <f>SUMIFS('Revenue Tracking'!$F$13:$F$20, 'Revenue Tracking'!$P$13:$P$20, "&gt;="&amp;ET1,'Revenue Tracking'!$P$13:$P$20, "&lt;"&amp;EU1)</f>
        <v>0</v>
      </c>
      <c r="EU9" s="265">
        <f>SUMIFS('Revenue Tracking'!$F$13:$F$20, 'Revenue Tracking'!$P$13:$P$20, "&gt;="&amp;EU1,'Revenue Tracking'!$P$13:$P$20, "&lt;"&amp;EV1)</f>
        <v>0</v>
      </c>
      <c r="EV9" s="265">
        <f>SUMIFS('Revenue Tracking'!$F$13:$F$20, 'Revenue Tracking'!$P$13:$P$20, "&gt;="&amp;EV1,'Revenue Tracking'!$P$13:$P$20, "&lt;"&amp;EW1)</f>
        <v>0</v>
      </c>
      <c r="EW9" s="265">
        <f>SUMIFS('Revenue Tracking'!$F$13:$F$20, 'Revenue Tracking'!$P$13:$P$20, "&gt;="&amp;EW1,'Revenue Tracking'!$P$13:$P$20, "&lt;"&amp;EX1)</f>
        <v>0</v>
      </c>
      <c r="EX9" s="265">
        <f>SUMIFS('Revenue Tracking'!$F$13:$F$20, 'Revenue Tracking'!$P$13:$P$20, "&gt;="&amp;EX1,'Revenue Tracking'!$P$13:$P$20, "&lt;"&amp;EY1)</f>
        <v>0</v>
      </c>
      <c r="EY9" s="265">
        <f>SUMIFS('Revenue Tracking'!$F$13:$F$20, 'Revenue Tracking'!$P$13:$P$20, "&gt;="&amp;EY1,'Revenue Tracking'!$P$13:$P$20, "&lt;"&amp;EZ1)</f>
        <v>0</v>
      </c>
      <c r="EZ9" s="265">
        <f>SUMIFS('Revenue Tracking'!$F$13:$F$20, 'Revenue Tracking'!$P$13:$P$20, "&gt;="&amp;EZ1,'Revenue Tracking'!$P$13:$P$20, "&lt;"&amp;FA1)</f>
        <v>0</v>
      </c>
      <c r="FA9" s="265">
        <f>SUMIFS('Revenue Tracking'!$F$13:$F$20, 'Revenue Tracking'!$P$13:$P$20, "&gt;="&amp;FA1,'Revenue Tracking'!$P$13:$P$20, "&lt;"&amp;FB1)</f>
        <v>0</v>
      </c>
      <c r="FB9" s="265">
        <f>SUMIFS('Revenue Tracking'!$F$13:$F$20, 'Revenue Tracking'!$P$13:$P$20, "&gt;="&amp;FB1,'Revenue Tracking'!$P$13:$P$20, "&lt;"&amp;FC1)</f>
        <v>0</v>
      </c>
      <c r="FC9" s="265">
        <f>SUMIFS('Revenue Tracking'!$F$13:$F$20, 'Revenue Tracking'!$P$13:$P$20, "&gt;="&amp;FC1,'Revenue Tracking'!$P$13:$P$20, "&lt;"&amp;FD1)</f>
        <v>0</v>
      </c>
      <c r="FD9" s="265">
        <f>SUMIFS('Revenue Tracking'!$F$13:$F$20, 'Revenue Tracking'!$P$13:$P$20, "&gt;="&amp;FD1,'Revenue Tracking'!$P$13:$P$20, "&lt;"&amp;FE1)</f>
        <v>0</v>
      </c>
      <c r="FE9" s="265">
        <f>SUMIFS('Revenue Tracking'!$F$13:$F$20, 'Revenue Tracking'!$P$13:$P$20, "&gt;="&amp;FE1,'Revenue Tracking'!$P$13:$P$20, "&lt;"&amp;FF1)</f>
        <v>0</v>
      </c>
      <c r="FF9" s="265">
        <f>SUMIFS('Revenue Tracking'!$F$13:$F$20, 'Revenue Tracking'!$P$13:$P$20, "&gt;="&amp;FF1,'Revenue Tracking'!$P$13:$P$20, "&lt;"&amp;FG1)</f>
        <v>0</v>
      </c>
      <c r="FG9" s="265">
        <f>SUMIFS('Revenue Tracking'!$F$13:$F$20, 'Revenue Tracking'!$P$13:$P$20, "&gt;="&amp;FG1,'Revenue Tracking'!$P$13:$P$20, "&lt;"&amp;FH1)</f>
        <v>0</v>
      </c>
      <c r="FH9" s="265">
        <f>SUMIFS('Revenue Tracking'!$F$13:$F$20, 'Revenue Tracking'!$P$13:$P$20, "&gt;="&amp;FH1,'Revenue Tracking'!$P$13:$P$20, "&lt;"&amp;FI1)</f>
        <v>0</v>
      </c>
      <c r="FI9" s="265">
        <f>SUMIFS('Revenue Tracking'!$F$13:$F$20, 'Revenue Tracking'!$P$13:$P$20, "&gt;="&amp;FI1,'Revenue Tracking'!$P$13:$P$20, "&lt;"&amp;FJ1)</f>
        <v>0</v>
      </c>
      <c r="FJ9" s="265">
        <f>SUMIFS('Revenue Tracking'!$F$13:$F$20, 'Revenue Tracking'!$P$13:$P$20, "&gt;="&amp;FJ1,'Revenue Tracking'!$P$13:$P$20, "&lt;"&amp;FK1)</f>
        <v>0</v>
      </c>
      <c r="FK9" s="265">
        <f>SUMIFS('Revenue Tracking'!$F$13:$F$20, 'Revenue Tracking'!$P$13:$P$20, "&gt;="&amp;FK1,'Revenue Tracking'!$P$13:$P$20, "&lt;"&amp;FL1)</f>
        <v>0</v>
      </c>
      <c r="FL9" s="265">
        <f>SUMIFS('Revenue Tracking'!$F$13:$F$20, 'Revenue Tracking'!$P$13:$P$20, "&gt;="&amp;FL1,'Revenue Tracking'!$P$13:$P$20, "&lt;"&amp;FM1)</f>
        <v>0</v>
      </c>
      <c r="FM9" s="265">
        <f>SUMIFS('Revenue Tracking'!$F$13:$F$20, 'Revenue Tracking'!$P$13:$P$20, "&gt;="&amp;FM1,'Revenue Tracking'!$P$13:$P$20, "&lt;"&amp;FN1)</f>
        <v>0</v>
      </c>
      <c r="FN9" s="265">
        <f>SUMIFS('Revenue Tracking'!$F$13:$F$20, 'Revenue Tracking'!$P$13:$P$20, "&gt;="&amp;FN1,'Revenue Tracking'!$P$13:$P$20, "&lt;"&amp;FO1)</f>
        <v>0</v>
      </c>
      <c r="FO9" s="265">
        <f>SUMIFS('Revenue Tracking'!$F$13:$F$20, 'Revenue Tracking'!$P$13:$P$20, "&gt;="&amp;FO1,'Revenue Tracking'!$P$13:$P$20, "&lt;"&amp;FP1)</f>
        <v>0</v>
      </c>
      <c r="FP9" s="265">
        <f>SUMIFS('Revenue Tracking'!$F$13:$F$20, 'Revenue Tracking'!$P$13:$P$20, "&gt;="&amp;FP1,'Revenue Tracking'!$P$13:$P$20, "&lt;"&amp;FQ1)</f>
        <v>0</v>
      </c>
      <c r="FQ9" s="265">
        <f>SUMIFS('Revenue Tracking'!$F$13:$F$20, 'Revenue Tracking'!$P$13:$P$20, "&gt;="&amp;FQ1,'Revenue Tracking'!$P$13:$P$20, "&lt;"&amp;FR1)</f>
        <v>0</v>
      </c>
      <c r="FR9" s="265">
        <f>SUMIFS('Revenue Tracking'!$F$13:$F$20, 'Revenue Tracking'!$P$13:$P$20, "&gt;="&amp;FR1,'Revenue Tracking'!$P$13:$P$20, "&lt;"&amp;FS1)</f>
        <v>0</v>
      </c>
      <c r="FS9" s="265">
        <f>SUMIFS('Revenue Tracking'!$F$13:$F$20, 'Revenue Tracking'!$P$13:$P$20, "&gt;="&amp;FS1,'Revenue Tracking'!$P$13:$P$20, "&lt;"&amp;FT1)</f>
        <v>0</v>
      </c>
      <c r="FT9" s="265">
        <f>SUMIFS('Revenue Tracking'!$F$13:$F$20, 'Revenue Tracking'!$P$13:$P$20, "&gt;="&amp;FT1,'Revenue Tracking'!$P$13:$P$20, "&lt;"&amp;FU1)</f>
        <v>0</v>
      </c>
      <c r="FU9" s="265">
        <f>SUMIFS('Revenue Tracking'!$F$13:$F$20, 'Revenue Tracking'!$P$13:$P$20, "&gt;="&amp;FU1,'Revenue Tracking'!$P$13:$P$20, "&lt;"&amp;FV1)</f>
        <v>0</v>
      </c>
      <c r="FV9" s="265">
        <f>SUMIFS('Revenue Tracking'!$F$13:$F$20, 'Revenue Tracking'!$P$13:$P$20, "&gt;="&amp;FV1,'Revenue Tracking'!$P$13:$P$20, "&lt;"&amp;FW1)</f>
        <v>0</v>
      </c>
      <c r="FW9" s="265">
        <f>SUMIFS('Revenue Tracking'!$F$13:$F$20, 'Revenue Tracking'!$P$13:$P$20, "&gt;="&amp;FW1,'Revenue Tracking'!$P$13:$P$20, "&lt;"&amp;FX1)</f>
        <v>0</v>
      </c>
      <c r="FX9" s="265">
        <f>SUMIFS('Revenue Tracking'!$F$13:$F$20, 'Revenue Tracking'!$P$13:$P$20, "&gt;="&amp;FX1,'Revenue Tracking'!$P$13:$P$20, "&lt;"&amp;FY1)</f>
        <v>0</v>
      </c>
      <c r="FY9" s="265">
        <f>SUMIFS('Revenue Tracking'!$F$13:$F$20, 'Revenue Tracking'!$P$13:$P$20, "&gt;="&amp;FY1,'Revenue Tracking'!$P$13:$P$20, "&lt;"&amp;FZ1)</f>
        <v>0</v>
      </c>
      <c r="FZ9" s="265">
        <f>SUMIFS('Revenue Tracking'!$F$13:$F$20, 'Revenue Tracking'!$P$13:$P$20, "&gt;="&amp;FZ1,'Revenue Tracking'!$P$13:$P$20, "&lt;"&amp;GA1)</f>
        <v>0</v>
      </c>
      <c r="GA9" s="265">
        <f>SUMIFS('Revenue Tracking'!$F$13:$F$20, 'Revenue Tracking'!$P$13:$P$20, "&gt;="&amp;GA1,'Revenue Tracking'!$P$13:$P$20, "&lt;"&amp;GB1)</f>
        <v>0</v>
      </c>
      <c r="GB9" s="265">
        <f>SUMIFS('Revenue Tracking'!$F$13:$F$20, 'Revenue Tracking'!$P$13:$P$20, "&gt;="&amp;GB1,'Revenue Tracking'!$P$13:$P$20, "&lt;"&amp;GC1)</f>
        <v>0</v>
      </c>
      <c r="GC9" s="265">
        <f>SUMIFS('Revenue Tracking'!$F$13:$F$20, 'Revenue Tracking'!$P$13:$P$20, "&gt;="&amp;GC1,'Revenue Tracking'!$P$13:$P$20, "&lt;"&amp;GD1)</f>
        <v>0</v>
      </c>
      <c r="GD9" s="265">
        <f>SUMIFS('Revenue Tracking'!$F$13:$F$20, 'Revenue Tracking'!$P$13:$P$20, "&gt;="&amp;GD1,'Revenue Tracking'!$P$13:$P$20, "&lt;"&amp;GE1)</f>
        <v>0</v>
      </c>
      <c r="GE9" s="265">
        <f>SUMIFS('Revenue Tracking'!$F$13:$F$20, 'Revenue Tracking'!$P$13:$P$20, "&gt;="&amp;GE1,'Revenue Tracking'!$P$13:$P$20, "&lt;"&amp;GF1)</f>
        <v>0</v>
      </c>
      <c r="GF9" s="265">
        <f>SUMIFS('Revenue Tracking'!$F$13:$F$20, 'Revenue Tracking'!$P$13:$P$20, "&gt;="&amp;GF1,'Revenue Tracking'!$P$13:$P$20, "&lt;"&amp;GG1)</f>
        <v>0</v>
      </c>
    </row>
    <row r="10" spans="1:666">
      <c r="A10" s="1052"/>
      <c r="B10" s="263" t="s">
        <v>464</v>
      </c>
      <c r="C10" s="264"/>
      <c r="D10" s="264"/>
      <c r="E10" s="251"/>
      <c r="F10" s="265">
        <f>F9</f>
        <v>8971852.9800000004</v>
      </c>
      <c r="G10" s="265">
        <f>F10+G9</f>
        <v>8971852.9800000004</v>
      </c>
      <c r="H10" s="265">
        <f t="shared" ref="H10" si="427">G10+H9</f>
        <v>8971852.9800000004</v>
      </c>
      <c r="I10" s="265">
        <f t="shared" ref="I10" si="428">H10+I9</f>
        <v>8971852.9800000004</v>
      </c>
      <c r="J10" s="265">
        <f t="shared" ref="J10" si="429">I10+J9</f>
        <v>8971852.9800000004</v>
      </c>
      <c r="K10" s="265">
        <f t="shared" ref="K10" si="430">J10+K9</f>
        <v>8971852.9800000004</v>
      </c>
      <c r="L10" s="265">
        <f t="shared" ref="L10" si="431">K10+L9</f>
        <v>8971852.9800000004</v>
      </c>
      <c r="M10" s="265">
        <f t="shared" ref="M10" si="432">L10+M9</f>
        <v>8971852.9800000004</v>
      </c>
      <c r="N10" s="265">
        <f t="shared" ref="N10" si="433">M10+N9</f>
        <v>8971852.9800000004</v>
      </c>
      <c r="O10" s="265">
        <f t="shared" ref="O10" si="434">N10+O9</f>
        <v>8971852.9800000004</v>
      </c>
      <c r="P10" s="265">
        <f t="shared" ref="P10" si="435">O10+P9</f>
        <v>8971852.9800000004</v>
      </c>
      <c r="Q10" s="265">
        <f t="shared" ref="Q10" si="436">P10+Q9</f>
        <v>8971852.9800000004</v>
      </c>
      <c r="R10" s="265">
        <f t="shared" ref="R10" si="437">Q10+R9</f>
        <v>8971852.9800000004</v>
      </c>
      <c r="S10" s="265">
        <f t="shared" ref="S10" si="438">R10+S9</f>
        <v>8971852.9800000004</v>
      </c>
      <c r="T10" s="265">
        <f t="shared" ref="T10" si="439">S10+T9</f>
        <v>8971852.9800000004</v>
      </c>
      <c r="U10" s="265">
        <f t="shared" ref="U10" si="440">T10+U9</f>
        <v>8971852.9800000004</v>
      </c>
      <c r="V10" s="265">
        <f t="shared" ref="V10" si="441">U10+V9</f>
        <v>8971852.9800000004</v>
      </c>
      <c r="W10" s="265">
        <f t="shared" ref="W10" si="442">V10+W9</f>
        <v>8971852.9800000004</v>
      </c>
      <c r="X10" s="265">
        <f t="shared" ref="X10" si="443">W10+X9</f>
        <v>8971852.9800000004</v>
      </c>
      <c r="Y10" s="265">
        <f t="shared" ref="Y10" si="444">X10+Y9</f>
        <v>9269852.9800000004</v>
      </c>
      <c r="Z10" s="265">
        <f t="shared" ref="Z10" si="445">Y10+Z9</f>
        <v>14503433.885000002</v>
      </c>
      <c r="AA10" s="265">
        <f t="shared" ref="AA10" si="446">Z10+AA9</f>
        <v>14503433.885000002</v>
      </c>
      <c r="AB10" s="265">
        <f t="shared" ref="AB10" si="447">AA10+AB9</f>
        <v>14503433.885000002</v>
      </c>
      <c r="AC10" s="265">
        <f t="shared" ref="AC10" si="448">AB10+AC9</f>
        <v>14503433.885000002</v>
      </c>
      <c r="AD10" s="265">
        <f t="shared" ref="AD10" si="449">AC10+AD9</f>
        <v>14503433.885000002</v>
      </c>
      <c r="AE10" s="265">
        <f t="shared" ref="AE10" si="450">AD10+AE9</f>
        <v>14503433.885000002</v>
      </c>
      <c r="AF10" s="265">
        <f t="shared" ref="AF10" si="451">AE10+AF9</f>
        <v>14503433.885000002</v>
      </c>
      <c r="AG10" s="265">
        <f t="shared" ref="AG10" si="452">AF10+AG9</f>
        <v>14503433.885000002</v>
      </c>
      <c r="AH10" s="265">
        <f t="shared" ref="AH10" si="453">AG10+AH9</f>
        <v>14503433.885000002</v>
      </c>
      <c r="AI10" s="265">
        <f t="shared" ref="AI10" si="454">AH10+AI9</f>
        <v>14503433.885000002</v>
      </c>
      <c r="AJ10" s="265">
        <f t="shared" ref="AJ10" si="455">AI10+AJ9</f>
        <v>14503433.885000002</v>
      </c>
      <c r="AK10" s="265">
        <f t="shared" ref="AK10" si="456">AJ10+AK9</f>
        <v>14503433.885000002</v>
      </c>
      <c r="AL10" s="265">
        <f t="shared" ref="AL10" si="457">AK10+AL9</f>
        <v>14503433.885000002</v>
      </c>
      <c r="AM10" s="265">
        <f t="shared" ref="AM10" si="458">AL10+AM9</f>
        <v>14503433.885000002</v>
      </c>
      <c r="AN10" s="265">
        <f t="shared" ref="AN10" si="459">AM10+AN9</f>
        <v>14503433.885000002</v>
      </c>
      <c r="AO10" s="265">
        <f t="shared" ref="AO10" si="460">AN10+AO9</f>
        <v>14503433.885000002</v>
      </c>
      <c r="AP10" s="265">
        <f t="shared" ref="AP10" si="461">AO10+AP9</f>
        <v>14503433.885000002</v>
      </c>
      <c r="AQ10" s="265">
        <f t="shared" ref="AQ10" si="462">AP10+AQ9</f>
        <v>14503433.885000002</v>
      </c>
      <c r="AR10" s="265">
        <f t="shared" ref="AR10" si="463">AQ10+AR9</f>
        <v>14503433.885000002</v>
      </c>
      <c r="AS10" s="265">
        <f t="shared" ref="AS10" si="464">AR10+AS9</f>
        <v>14503433.885000002</v>
      </c>
      <c r="AT10" s="265">
        <f t="shared" ref="AT10" si="465">AS10+AT9</f>
        <v>14503433.885000002</v>
      </c>
      <c r="AU10" s="265">
        <f t="shared" ref="AU10" si="466">AT10+AU9</f>
        <v>14503433.885000002</v>
      </c>
      <c r="AV10" s="265">
        <f t="shared" ref="AV10" si="467">AU10+AV9</f>
        <v>14503433.885000002</v>
      </c>
      <c r="AW10" s="265">
        <f t="shared" ref="AW10" si="468">AV10+AW9</f>
        <v>14503433.885000002</v>
      </c>
      <c r="AX10" s="265">
        <f t="shared" ref="AX10" si="469">AW10+AX9</f>
        <v>14503433.885000002</v>
      </c>
      <c r="AY10" s="265">
        <f t="shared" ref="AY10" si="470">AX10+AY9</f>
        <v>14503433.885000002</v>
      </c>
      <c r="AZ10" s="265">
        <f t="shared" ref="AZ10" si="471">AY10+AZ9</f>
        <v>14503433.885000002</v>
      </c>
      <c r="BA10" s="265">
        <f t="shared" ref="BA10" si="472">AZ10+BA9</f>
        <v>14503433.885000002</v>
      </c>
      <c r="BB10" s="265">
        <f t="shared" ref="BB10" si="473">BA10+BB9</f>
        <v>14503433.885000002</v>
      </c>
      <c r="BC10" s="265">
        <f t="shared" ref="BC10" si="474">BB10+BC9</f>
        <v>14503433.885000002</v>
      </c>
      <c r="BD10" s="265">
        <f t="shared" ref="BD10" si="475">BC10+BD9</f>
        <v>14503433.885000002</v>
      </c>
      <c r="BE10" s="265">
        <f t="shared" ref="BE10" si="476">BD10+BE9</f>
        <v>14503433.885000002</v>
      </c>
      <c r="BF10" s="265">
        <f t="shared" ref="BF10:CK10" si="477">BE10+BF9</f>
        <v>14503433.885000002</v>
      </c>
      <c r="BG10" s="265">
        <f t="shared" si="477"/>
        <v>14503433.885000002</v>
      </c>
      <c r="BH10" s="265">
        <f t="shared" si="477"/>
        <v>14503433.885000002</v>
      </c>
      <c r="BI10" s="265">
        <f t="shared" si="477"/>
        <v>14503433.885000002</v>
      </c>
      <c r="BJ10" s="265">
        <f t="shared" si="477"/>
        <v>14877261.092500001</v>
      </c>
      <c r="BK10" s="265">
        <f t="shared" si="477"/>
        <v>14877261.092500001</v>
      </c>
      <c r="BL10" s="265">
        <f t="shared" si="477"/>
        <v>14877261.092500001</v>
      </c>
      <c r="BM10" s="265">
        <f t="shared" si="477"/>
        <v>14877261.092500001</v>
      </c>
      <c r="BN10" s="265">
        <f t="shared" si="477"/>
        <v>14877261.092500001</v>
      </c>
      <c r="BO10" s="265">
        <f t="shared" si="477"/>
        <v>14877261.092500001</v>
      </c>
      <c r="BP10" s="265">
        <f t="shared" si="477"/>
        <v>14877261.092500001</v>
      </c>
      <c r="BQ10" s="265">
        <f t="shared" si="477"/>
        <v>14877261.092500001</v>
      </c>
      <c r="BR10" s="265">
        <f t="shared" si="477"/>
        <v>14877261.092500001</v>
      </c>
      <c r="BS10" s="265">
        <f t="shared" si="477"/>
        <v>14877261.092500001</v>
      </c>
      <c r="BT10" s="265">
        <f t="shared" si="477"/>
        <v>14877261.092500001</v>
      </c>
      <c r="BU10" s="265">
        <f t="shared" si="477"/>
        <v>14877261.092500001</v>
      </c>
      <c r="BV10" s="265">
        <f t="shared" si="477"/>
        <v>14877261.092500001</v>
      </c>
      <c r="BW10" s="265">
        <f t="shared" si="477"/>
        <v>14877261.092500001</v>
      </c>
      <c r="BX10" s="265">
        <f t="shared" si="477"/>
        <v>14877261.092500001</v>
      </c>
      <c r="BY10" s="265">
        <f t="shared" si="477"/>
        <v>14877261.092500001</v>
      </c>
      <c r="BZ10" s="265">
        <f t="shared" si="477"/>
        <v>14877261.092500001</v>
      </c>
      <c r="CA10" s="265">
        <f t="shared" si="477"/>
        <v>14877261.092500001</v>
      </c>
      <c r="CB10" s="265">
        <f t="shared" si="477"/>
        <v>14877261.092500001</v>
      </c>
      <c r="CC10" s="265">
        <f t="shared" si="477"/>
        <v>14877261.092500001</v>
      </c>
      <c r="CD10" s="265">
        <f t="shared" si="477"/>
        <v>14877261.092500001</v>
      </c>
      <c r="CE10" s="265">
        <f t="shared" si="477"/>
        <v>14877261.092500001</v>
      </c>
      <c r="CF10" s="265">
        <f t="shared" si="477"/>
        <v>14877261.092500001</v>
      </c>
      <c r="CG10" s="265">
        <f t="shared" si="477"/>
        <v>14877261.092500001</v>
      </c>
      <c r="CH10" s="265">
        <f t="shared" si="477"/>
        <v>14877261.092500001</v>
      </c>
      <c r="CI10" s="265">
        <f t="shared" si="477"/>
        <v>14877261.092500001</v>
      </c>
      <c r="CJ10" s="265">
        <f t="shared" si="477"/>
        <v>14877261.092500001</v>
      </c>
      <c r="CK10" s="265">
        <f t="shared" si="477"/>
        <v>14877261.092500001</v>
      </c>
      <c r="CL10" s="265">
        <f t="shared" ref="CL10" si="478">CK10+CL9</f>
        <v>14877261.092500001</v>
      </c>
      <c r="CM10" s="265">
        <f t="shared" ref="CM10" si="479">CL10+CM9</f>
        <v>14877261.092500001</v>
      </c>
      <c r="CN10" s="265">
        <f t="shared" ref="CN10" si="480">CM10+CN9</f>
        <v>14877261.092500001</v>
      </c>
      <c r="CO10" s="265">
        <f t="shared" ref="CO10" si="481">CN10+CO9</f>
        <v>14877261.092500001</v>
      </c>
      <c r="CP10" s="265">
        <f t="shared" ref="CP10" si="482">CO10+CP9</f>
        <v>14877261.092500001</v>
      </c>
      <c r="CQ10" s="265">
        <f t="shared" ref="CQ10" si="483">CP10+CQ9</f>
        <v>14877261.092500001</v>
      </c>
      <c r="CR10" s="265">
        <f t="shared" ref="CR10" si="484">CQ10+CR9</f>
        <v>14877261.092500001</v>
      </c>
      <c r="CS10" s="265">
        <f t="shared" ref="CS10" si="485">CR10+CS9</f>
        <v>14877261.092500001</v>
      </c>
      <c r="CT10" s="265">
        <f t="shared" ref="CT10" si="486">CS10+CT9</f>
        <v>14877261.092500001</v>
      </c>
      <c r="CU10" s="265">
        <f t="shared" ref="CU10" si="487">CT10+CU9</f>
        <v>14877261.092500001</v>
      </c>
      <c r="CV10" s="265">
        <f t="shared" ref="CV10" si="488">CU10+CV9</f>
        <v>14877261.092500001</v>
      </c>
      <c r="CW10" s="265">
        <f t="shared" ref="CW10" si="489">CV10+CW9</f>
        <v>14877261.092500001</v>
      </c>
      <c r="CX10" s="265">
        <f t="shared" ref="CX10" si="490">CW10+CX9</f>
        <v>14877261.092500001</v>
      </c>
      <c r="CY10" s="265">
        <f t="shared" ref="CY10" si="491">CX10+CY9</f>
        <v>14877261.092500001</v>
      </c>
      <c r="CZ10" s="265">
        <f t="shared" ref="CZ10" si="492">CY10+CZ9</f>
        <v>14877261.092500001</v>
      </c>
      <c r="DA10" s="265">
        <f t="shared" ref="DA10" si="493">CZ10+DA9</f>
        <v>14877261.092500001</v>
      </c>
      <c r="DB10" s="265">
        <f t="shared" ref="DB10" si="494">DA10+DB9</f>
        <v>14877261.092500001</v>
      </c>
      <c r="DC10" s="265">
        <f t="shared" ref="DC10" si="495">DB10+DC9</f>
        <v>14877261.092500001</v>
      </c>
      <c r="DD10" s="265">
        <f t="shared" ref="DD10" si="496">DC10+DD9</f>
        <v>14877261.092500001</v>
      </c>
      <c r="DE10" s="265">
        <f t="shared" ref="DE10" si="497">DD10+DE9</f>
        <v>14877261.092500001</v>
      </c>
      <c r="DF10" s="265">
        <f t="shared" ref="DF10" si="498">DE10+DF9</f>
        <v>14877261.092500001</v>
      </c>
      <c r="DG10" s="265">
        <f t="shared" ref="DG10" si="499">DF10+DG9</f>
        <v>14877261.092500001</v>
      </c>
      <c r="DH10" s="265">
        <f t="shared" ref="DH10" si="500">DG10+DH9</f>
        <v>14877261.092500001</v>
      </c>
      <c r="DI10" s="265">
        <f t="shared" ref="DI10" si="501">DH10+DI9</f>
        <v>14877261.092500001</v>
      </c>
      <c r="DJ10" s="265">
        <f t="shared" ref="DJ10" si="502">DI10+DJ9</f>
        <v>14877261.092500001</v>
      </c>
      <c r="DK10" s="265">
        <f t="shared" ref="DK10" si="503">DJ10+DK9</f>
        <v>14877261.092500001</v>
      </c>
      <c r="DL10" s="265">
        <f t="shared" ref="DL10" si="504">DK10+DL9</f>
        <v>14877261.092500001</v>
      </c>
      <c r="DM10" s="265">
        <f t="shared" ref="DM10" si="505">DL10+DM9</f>
        <v>14877261.092500001</v>
      </c>
      <c r="DN10" s="265">
        <f t="shared" ref="DN10" si="506">DM10+DN9</f>
        <v>14877261.092500001</v>
      </c>
      <c r="DO10" s="265">
        <f t="shared" ref="DO10" si="507">DN10+DO9</f>
        <v>14877261.092500001</v>
      </c>
      <c r="DP10" s="265">
        <f t="shared" ref="DP10" si="508">DO10+DP9</f>
        <v>14877261.092500001</v>
      </c>
      <c r="DQ10" s="265">
        <f t="shared" ref="DQ10" si="509">DP10+DQ9</f>
        <v>14877261.092500001</v>
      </c>
      <c r="DR10" s="265">
        <f t="shared" ref="DR10" si="510">DQ10+DR9</f>
        <v>14877261.092500001</v>
      </c>
      <c r="DS10" s="265">
        <f t="shared" ref="DS10" si="511">DR10+DS9</f>
        <v>14877261.092500001</v>
      </c>
      <c r="DT10" s="265">
        <f t="shared" ref="DT10" si="512">DS10+DT9</f>
        <v>14877261.092500001</v>
      </c>
      <c r="DU10" s="265">
        <f t="shared" ref="DU10" si="513">DT10+DU9</f>
        <v>14877261.092500001</v>
      </c>
      <c r="DV10" s="265">
        <f t="shared" ref="DV10" si="514">DU10+DV9</f>
        <v>14877261.092500001</v>
      </c>
      <c r="DW10" s="265">
        <f t="shared" ref="DW10" si="515">DV10+DW9</f>
        <v>14877261.092500001</v>
      </c>
      <c r="DX10" s="265">
        <f t="shared" ref="DX10" si="516">DW10+DX9</f>
        <v>14877261.092500001</v>
      </c>
      <c r="DY10" s="265">
        <f t="shared" ref="DY10" si="517">DX10+DY9</f>
        <v>14877261.092500001</v>
      </c>
      <c r="DZ10" s="265">
        <f t="shared" ref="DZ10" si="518">DY10+DZ9</f>
        <v>14877261.092500001</v>
      </c>
      <c r="EA10" s="265">
        <f t="shared" ref="EA10" si="519">DZ10+EA9</f>
        <v>14877261.092500001</v>
      </c>
      <c r="EB10" s="265">
        <f t="shared" ref="EB10" si="520">EA10+EB9</f>
        <v>14877261.092500001</v>
      </c>
      <c r="EC10" s="265">
        <f t="shared" ref="EC10" si="521">EB10+EC9</f>
        <v>14877261.092500001</v>
      </c>
      <c r="ED10" s="265">
        <f t="shared" ref="ED10" si="522">EC10+ED9</f>
        <v>14877261.092500001</v>
      </c>
      <c r="EE10" s="265">
        <f t="shared" ref="EE10" si="523">ED10+EE9</f>
        <v>14877261.092500001</v>
      </c>
      <c r="EF10" s="265">
        <f t="shared" ref="EF10" si="524">EE10+EF9</f>
        <v>15251088.300000001</v>
      </c>
      <c r="EG10" s="265">
        <f t="shared" ref="EG10" si="525">EF10+EG9</f>
        <v>15251088.300000001</v>
      </c>
      <c r="EH10" s="265">
        <f t="shared" ref="EH10" si="526">EG10+EH9</f>
        <v>15251088.300000001</v>
      </c>
      <c r="EI10" s="265">
        <f t="shared" ref="EI10" si="527">EH10+EI9</f>
        <v>15251088.300000001</v>
      </c>
      <c r="EJ10" s="265">
        <f t="shared" ref="EJ10" si="528">EI10+EJ9</f>
        <v>15251088.300000001</v>
      </c>
      <c r="EK10" s="265">
        <f t="shared" ref="EK10" si="529">EJ10+EK9</f>
        <v>15251088.300000001</v>
      </c>
      <c r="EL10" s="265">
        <f t="shared" ref="EL10" si="530">EK10+EL9</f>
        <v>15251088.300000001</v>
      </c>
      <c r="EM10" s="265">
        <f t="shared" ref="EM10" si="531">EL10+EM9</f>
        <v>15251088.300000001</v>
      </c>
      <c r="EN10" s="265">
        <f t="shared" ref="EN10" si="532">EM10+EN9</f>
        <v>15251088.300000001</v>
      </c>
      <c r="EO10" s="265">
        <f t="shared" ref="EO10" si="533">EN10+EO9</f>
        <v>15251088.300000001</v>
      </c>
      <c r="EP10" s="265">
        <f t="shared" ref="EP10" si="534">EO10+EP9</f>
        <v>15251088.300000001</v>
      </c>
      <c r="EQ10" s="265">
        <f t="shared" ref="EQ10" si="535">EP10+EQ9</f>
        <v>15251088.300000001</v>
      </c>
      <c r="ER10" s="265">
        <f t="shared" ref="ER10" si="536">EQ10+ER9</f>
        <v>15251088.300000001</v>
      </c>
      <c r="ES10" s="265">
        <f t="shared" ref="ES10" si="537">ER10+ES9</f>
        <v>15251088.300000001</v>
      </c>
      <c r="ET10" s="265">
        <f t="shared" ref="ET10" si="538">ES10+ET9</f>
        <v>15251088.300000001</v>
      </c>
      <c r="EU10" s="265">
        <f t="shared" ref="EU10" si="539">ET10+EU9</f>
        <v>15251088.300000001</v>
      </c>
      <c r="EV10" s="265">
        <f t="shared" ref="EV10" si="540">EU10+EV9</f>
        <v>15251088.300000001</v>
      </c>
      <c r="EW10" s="265">
        <f t="shared" ref="EW10" si="541">EV10+EW9</f>
        <v>15251088.300000001</v>
      </c>
      <c r="EX10" s="265">
        <f t="shared" ref="EX10" si="542">EW10+EX9</f>
        <v>15251088.300000001</v>
      </c>
      <c r="EY10" s="265">
        <f t="shared" ref="EY10" si="543">EX10+EY9</f>
        <v>15251088.300000001</v>
      </c>
      <c r="EZ10" s="265">
        <f t="shared" ref="EZ10" si="544">EY10+EZ9</f>
        <v>15251088.300000001</v>
      </c>
      <c r="FA10" s="265">
        <f t="shared" ref="FA10" si="545">EZ10+FA9</f>
        <v>15251088.300000001</v>
      </c>
      <c r="FB10" s="265">
        <f t="shared" ref="FB10" si="546">FA10+FB9</f>
        <v>15251088.300000001</v>
      </c>
      <c r="FC10" s="265">
        <f t="shared" ref="FC10" si="547">FB10+FC9</f>
        <v>15251088.300000001</v>
      </c>
      <c r="FD10" s="265">
        <f t="shared" ref="FD10" si="548">FC10+FD9</f>
        <v>15251088.300000001</v>
      </c>
      <c r="FE10" s="265">
        <f t="shared" ref="FE10" si="549">FD10+FE9</f>
        <v>15251088.300000001</v>
      </c>
      <c r="FF10" s="265">
        <f t="shared" ref="FF10" si="550">FE10+FF9</f>
        <v>15251088.300000001</v>
      </c>
      <c r="FG10" s="265">
        <f t="shared" ref="FG10" si="551">FF10+FG9</f>
        <v>15251088.300000001</v>
      </c>
      <c r="FH10" s="265">
        <f t="shared" ref="FH10" si="552">FG10+FH9</f>
        <v>15251088.300000001</v>
      </c>
      <c r="FI10" s="265">
        <f t="shared" ref="FI10" si="553">FH10+FI9</f>
        <v>15251088.300000001</v>
      </c>
      <c r="FJ10" s="265">
        <f t="shared" ref="FJ10" si="554">FI10+FJ9</f>
        <v>15251088.300000001</v>
      </c>
      <c r="FK10" s="265">
        <f t="shared" ref="FK10" si="555">FJ10+FK9</f>
        <v>15251088.300000001</v>
      </c>
      <c r="FL10" s="265">
        <f t="shared" ref="FL10" si="556">FK10+FL9</f>
        <v>15251088.300000001</v>
      </c>
      <c r="FM10" s="265">
        <f t="shared" ref="FM10" si="557">FL10+FM9</f>
        <v>15251088.300000001</v>
      </c>
      <c r="FN10" s="265">
        <f t="shared" ref="FN10" si="558">FM10+FN9</f>
        <v>15251088.300000001</v>
      </c>
      <c r="FO10" s="265">
        <f t="shared" ref="FO10" si="559">FN10+FO9</f>
        <v>15251088.300000001</v>
      </c>
      <c r="FP10" s="265">
        <f t="shared" ref="FP10" si="560">FO10+FP9</f>
        <v>15251088.300000001</v>
      </c>
      <c r="FQ10" s="265">
        <f t="shared" ref="FQ10" si="561">FP10+FQ9</f>
        <v>15251088.300000001</v>
      </c>
      <c r="FR10" s="265">
        <f t="shared" ref="FR10" si="562">FQ10+FR9</f>
        <v>15251088.300000001</v>
      </c>
      <c r="FS10" s="265">
        <f t="shared" ref="FS10" si="563">FR10+FS9</f>
        <v>15251088.300000001</v>
      </c>
      <c r="FT10" s="265">
        <f t="shared" ref="FT10" si="564">FS10+FT9</f>
        <v>15251088.300000001</v>
      </c>
      <c r="FU10" s="265">
        <f t="shared" ref="FU10" si="565">FT10+FU9</f>
        <v>15251088.300000001</v>
      </c>
      <c r="FV10" s="265">
        <f t="shared" ref="FV10" si="566">FU10+FV9</f>
        <v>15251088.300000001</v>
      </c>
      <c r="FW10" s="265">
        <f t="shared" ref="FW10" si="567">FV10+FW9</f>
        <v>15251088.300000001</v>
      </c>
      <c r="FX10" s="265">
        <f t="shared" ref="FX10" si="568">FW10+FX9</f>
        <v>15251088.300000001</v>
      </c>
      <c r="FY10" s="265">
        <f t="shared" ref="FY10" si="569">FX10+FY9</f>
        <v>15251088.300000001</v>
      </c>
      <c r="FZ10" s="265">
        <f t="shared" ref="FZ10" si="570">FY10+FZ9</f>
        <v>15251088.300000001</v>
      </c>
      <c r="GA10" s="265">
        <f t="shared" ref="GA10" si="571">FZ10+GA9</f>
        <v>15251088.300000001</v>
      </c>
      <c r="GB10" s="265">
        <f t="shared" ref="GB10" si="572">GA10+GB9</f>
        <v>15251088.300000001</v>
      </c>
      <c r="GC10" s="265">
        <f t="shared" ref="GC10" si="573">GB10+GC9</f>
        <v>15251088.300000001</v>
      </c>
      <c r="GD10" s="265">
        <f t="shared" ref="GD10" si="574">GC10+GD9</f>
        <v>15251088.300000001</v>
      </c>
      <c r="GE10" s="265">
        <f t="shared" ref="GE10" si="575">GD10+GE9</f>
        <v>15251088.300000001</v>
      </c>
      <c r="GF10" s="265">
        <f t="shared" ref="GF10" si="576">GE10+GF9</f>
        <v>15251088.300000001</v>
      </c>
    </row>
    <row r="11" spans="1:666" s="257" customFormat="1">
      <c r="A11" s="1052"/>
      <c r="B11" s="266" t="s">
        <v>465</v>
      </c>
      <c r="C11" s="267">
        <f>'Revenue Tracking'!F5</f>
        <v>14161975.548000002</v>
      </c>
      <c r="D11" s="267">
        <f>SUM(F11:BE11)</f>
        <v>13850081.438000001</v>
      </c>
      <c r="E11" s="251"/>
      <c r="F11" s="268">
        <f>SUMIFS('Expenditure Breakdown'!$R$6:$R$138, 'Expenditure Breakdown'!$W$6:$W$138, "&gt;="&amp;F1,'Expenditure Breakdown'!$W$6:$W$138, "&lt;"&amp;G1)</f>
        <v>0</v>
      </c>
      <c r="G11" s="268">
        <f>SUMIFS('Expenditure Breakdown'!$R$6:$R$138, 'Expenditure Breakdown'!$W$6:$W$138, "&gt;="&amp;G1,'Expenditure Breakdown'!$W$6:$W$138, "&lt;"&amp;H1)</f>
        <v>0</v>
      </c>
      <c r="H11" s="268">
        <f>SUMIFS('Expenditure Breakdown'!$R$6:$R$138, 'Expenditure Breakdown'!$W$6:$W$138, "&gt;="&amp;H1,'Expenditure Breakdown'!$W$6:$W$138, "&lt;"&amp;I1)</f>
        <v>0</v>
      </c>
      <c r="I11" s="268">
        <f>SUMIFS('Expenditure Breakdown'!$R$6:$R$138, 'Expenditure Breakdown'!$W$6:$W$138, "&gt;="&amp;I1,'Expenditure Breakdown'!$W$6:$W$138, "&lt;"&amp;J1)</f>
        <v>0</v>
      </c>
      <c r="J11" s="268">
        <f>SUMIFS('Expenditure Breakdown'!$R$6:$R$138, 'Expenditure Breakdown'!$W$6:$W$138, "&gt;="&amp;J1,'Expenditure Breakdown'!$W$6:$W$138, "&lt;"&amp;K1)</f>
        <v>5847.3600000000279</v>
      </c>
      <c r="K11" s="268">
        <f>SUMIFS('Expenditure Breakdown'!$R$6:$R$138, 'Expenditure Breakdown'!$W$6:$W$138, "&gt;="&amp;K1,'Expenditure Breakdown'!$W$6:$W$138, "&lt;"&amp;L1)</f>
        <v>0</v>
      </c>
      <c r="L11" s="268">
        <f>SUMIFS('Expenditure Breakdown'!$R$6:$R$138, 'Expenditure Breakdown'!$W$6:$W$138, "&gt;="&amp;L1,'Expenditure Breakdown'!$W$6:$W$138, "&lt;"&amp;M1)</f>
        <v>0</v>
      </c>
      <c r="M11" s="268">
        <f>SUMIFS('Expenditure Breakdown'!$R$6:$R$138, 'Expenditure Breakdown'!$W$6:$W$138, "&gt;="&amp;M1,'Expenditure Breakdown'!$W$6:$W$138, "&lt;"&amp;N1)</f>
        <v>0</v>
      </c>
      <c r="N11" s="268">
        <f>SUMIFS('Expenditure Breakdown'!$R$6:$R$138, 'Expenditure Breakdown'!$W$6:$W$138, "&gt;="&amp;N1,'Expenditure Breakdown'!$W$6:$W$138, "&lt;"&amp;O1)</f>
        <v>0</v>
      </c>
      <c r="O11" s="268">
        <f>SUMIFS('Expenditure Breakdown'!$R$6:$R$138, 'Expenditure Breakdown'!$W$6:$W$138, "&gt;="&amp;O1,'Expenditure Breakdown'!$W$6:$W$138, "&lt;"&amp;P1)</f>
        <v>875065.21739130444</v>
      </c>
      <c r="P11" s="268">
        <f>SUMIFS('Expenditure Breakdown'!$R$6:$R$138, 'Expenditure Breakdown'!$W$6:$W$138, "&gt;="&amp;P1,'Expenditure Breakdown'!$W$6:$W$138, "&lt;"&amp;Q1)</f>
        <v>0</v>
      </c>
      <c r="Q11" s="268">
        <f>SUMIFS('Expenditure Breakdown'!$R$6:$R$138, 'Expenditure Breakdown'!$W$6:$W$138, "&gt;="&amp;Q1,'Expenditure Breakdown'!$W$6:$W$138, "&lt;"&amp;R1)</f>
        <v>2012954.7826086958</v>
      </c>
      <c r="R11" s="268">
        <f>SUMIFS('Expenditure Breakdown'!$R$6:$R$138, 'Expenditure Breakdown'!$W$6:$W$138, "&gt;="&amp;R1,'Expenditure Breakdown'!$W$6:$W$138, "&lt;"&amp;S1)</f>
        <v>0</v>
      </c>
      <c r="S11" s="268">
        <f>SUMIFS('Expenditure Breakdown'!$R$6:$R$138, 'Expenditure Breakdown'!$W$6:$W$138, "&gt;="&amp;S1,'Expenditure Breakdown'!$W$6:$W$138, "&lt;"&amp;T1)</f>
        <v>434933.60869565222</v>
      </c>
      <c r="T11" s="268">
        <f>SUMIFS('Expenditure Breakdown'!$R$6:$R$138, 'Expenditure Breakdown'!$W$6:$W$138, "&gt;="&amp;T1,'Expenditure Breakdown'!$W$6:$W$138, "&lt;"&amp;U1)</f>
        <v>5029897.3913043477</v>
      </c>
      <c r="U11" s="268">
        <f>SUMIFS('Expenditure Breakdown'!$R$6:$R$138, 'Expenditure Breakdown'!$W$6:$W$138, "&gt;="&amp;U1,'Expenditure Breakdown'!$W$6:$W$138, "&lt;"&amp;V1)</f>
        <v>0</v>
      </c>
      <c r="V11" s="268">
        <f>SUMIFS('Expenditure Breakdown'!$R$6:$R$138, 'Expenditure Breakdown'!$W$6:$W$138, "&gt;="&amp;V1,'Expenditure Breakdown'!$W$6:$W$138, "&lt;"&amp;W1)</f>
        <v>1261200</v>
      </c>
      <c r="W11" s="268">
        <f>SUMIFS('Expenditure Breakdown'!$R$6:$R$138, 'Expenditure Breakdown'!$W$6:$W$138, "&gt;="&amp;W1,'Expenditure Breakdown'!$W$6:$W$138, "&lt;"&amp;X1)</f>
        <v>-21420</v>
      </c>
      <c r="X11" s="268">
        <f>SUMIFS('Expenditure Breakdown'!$R$6:$R$138, 'Expenditure Breakdown'!$W$6:$W$138, "&gt;="&amp;X1,'Expenditure Breakdown'!$W$6:$W$138, "&lt;"&amp;Y1)</f>
        <v>34192</v>
      </c>
      <c r="Y11" s="268">
        <f>SUMIFS('Expenditure Breakdown'!$R$6:$R$138, 'Expenditure Breakdown'!$W$6:$W$138, "&gt;="&amp;Y1,'Expenditure Breakdown'!$W$6:$W$138, "&lt;"&amp;Z1)</f>
        <v>-7550</v>
      </c>
      <c r="Z11" s="268">
        <f>SUMIFS('Expenditure Breakdown'!$R$6:$R$138, 'Expenditure Breakdown'!$W$6:$W$138, "&gt;="&amp;Z1,'Expenditure Breakdown'!$W$6:$W$138, "&lt;"&amp;AA1)</f>
        <v>346421.05499999999</v>
      </c>
      <c r="AA11" s="268">
        <f>SUMIFS('Expenditure Breakdown'!$R$6:$R$138, 'Expenditure Breakdown'!$W$6:$W$138, "&gt;="&amp;AA1,'Expenditure Breakdown'!$W$6:$W$138, "&lt;"&amp;AB1)</f>
        <v>2774.58</v>
      </c>
      <c r="AB11" s="268">
        <f>SUMIFS('Expenditure Breakdown'!$R$6:$R$138, 'Expenditure Breakdown'!$W$6:$W$138, "&gt;="&amp;AB1,'Expenditure Breakdown'!$W$6:$W$138, "&lt;"&amp;AC1)</f>
        <v>0</v>
      </c>
      <c r="AC11" s="268">
        <f>SUMIFS('Expenditure Breakdown'!$R$6:$R$138, 'Expenditure Breakdown'!$W$6:$W$138, "&gt;="&amp;AC1,'Expenditure Breakdown'!$W$6:$W$138, "&lt;"&amp;AD1)</f>
        <v>466231.84999999992</v>
      </c>
      <c r="AD11" s="268">
        <f>SUMIFS('Expenditure Breakdown'!$R$6:$R$138, 'Expenditure Breakdown'!$W$6:$W$138, "&gt;="&amp;AD1,'Expenditure Breakdown'!$W$6:$W$138, "&lt;"&amp;AE1)</f>
        <v>0</v>
      </c>
      <c r="AE11" s="268">
        <f>SUMIFS('Expenditure Breakdown'!$R$6:$R$138, 'Expenditure Breakdown'!$W$6:$W$138, "&gt;="&amp;AE1,'Expenditure Breakdown'!$W$6:$W$138, "&lt;"&amp;AF1)</f>
        <v>756.24</v>
      </c>
      <c r="AF11" s="268">
        <f>SUMIFS('Expenditure Breakdown'!$R$6:$R$138, 'Expenditure Breakdown'!$W$6:$W$138, "&gt;="&amp;AF1,'Expenditure Breakdown'!$W$6:$W$138, "&lt;"&amp;AG1)</f>
        <v>104101.348</v>
      </c>
      <c r="AG11" s="268">
        <f>SUMIFS('Expenditure Breakdown'!$R$6:$R$138, 'Expenditure Breakdown'!$W$6:$W$138, "&gt;="&amp;AG1,'Expenditure Breakdown'!$W$6:$W$138, "&lt;"&amp;AH1)</f>
        <v>17411.809999999998</v>
      </c>
      <c r="AH11" s="268">
        <f>SUMIFS('Expenditure Breakdown'!$R$6:$R$138, 'Expenditure Breakdown'!$W$6:$W$138, "&gt;="&amp;AH1,'Expenditure Breakdown'!$W$6:$W$138, "&lt;"&amp;AI1)</f>
        <v>29187.765217391308</v>
      </c>
      <c r="AI11" s="268">
        <f>SUMIFS('Expenditure Breakdown'!$R$6:$R$138, 'Expenditure Breakdown'!$W$6:$W$138, "&gt;="&amp;AI1,'Expenditure Breakdown'!$W$6:$W$138, "&lt;"&amp;AJ1)</f>
        <v>213996.70478260869</v>
      </c>
      <c r="AJ11" s="268">
        <f>SUMIFS('Expenditure Breakdown'!$R$6:$R$138, 'Expenditure Breakdown'!$W$6:$W$138, "&gt;="&amp;AJ1,'Expenditure Breakdown'!$W$6:$W$138, "&lt;"&amp;AK1)</f>
        <v>456874.8</v>
      </c>
      <c r="AK11" s="268">
        <f>SUMIFS('Expenditure Breakdown'!$R$6:$R$138, 'Expenditure Breakdown'!$W$6:$W$138, "&gt;="&amp;AK1,'Expenditure Breakdown'!$W$6:$W$138, "&lt;"&amp;AL1)</f>
        <v>679.5</v>
      </c>
      <c r="AL11" s="268">
        <f>SUMIFS('Expenditure Breakdown'!$R$6:$R$138, 'Expenditure Breakdown'!$W$6:$W$138, "&gt;="&amp;AL1,'Expenditure Breakdown'!$W$6:$W$138, "&lt;"&amp;AM1)</f>
        <v>0</v>
      </c>
      <c r="AM11" s="268">
        <f>SUMIFS('Expenditure Breakdown'!$R$6:$R$138, 'Expenditure Breakdown'!$W$6:$W$138, "&gt;="&amp;AM1,'Expenditure Breakdown'!$W$6:$W$138, "&lt;"&amp;AN1)</f>
        <v>511381.21499999997</v>
      </c>
      <c r="AN11" s="268">
        <f>SUMIFS('Expenditure Breakdown'!$R$6:$R$138, 'Expenditure Breakdown'!$W$6:$W$138, "&gt;="&amp;AN1,'Expenditure Breakdown'!$W$6:$W$138, "&lt;"&amp;AO1)</f>
        <v>0</v>
      </c>
      <c r="AO11" s="268">
        <f>SUMIFS('Expenditure Breakdown'!$R$6:$R$138, 'Expenditure Breakdown'!$W$6:$W$138, "&gt;="&amp;AO1,'Expenditure Breakdown'!$W$6:$W$138, "&lt;"&amp;AP1)</f>
        <v>1213787.8899999999</v>
      </c>
      <c r="AP11" s="268">
        <f>SUMIFS('Expenditure Breakdown'!$R$6:$R$138, 'Expenditure Breakdown'!$W$6:$W$138, "&gt;="&amp;AP1,'Expenditure Breakdown'!$W$6:$W$138, "&lt;"&amp;AQ1)</f>
        <v>0</v>
      </c>
      <c r="AQ11" s="268">
        <f>SUMIFS('Expenditure Breakdown'!$R$6:$R$138, 'Expenditure Breakdown'!$W$6:$W$138, "&gt;="&amp;AQ1,'Expenditure Breakdown'!$W$6:$W$138, "&lt;"&amp;AR1)</f>
        <v>58300</v>
      </c>
      <c r="AR11" s="268">
        <f>SUMIFS('Expenditure Breakdown'!$R$6:$R$138, 'Expenditure Breakdown'!$W$6:$W$138, "&gt;="&amp;AR1,'Expenditure Breakdown'!$W$6:$W$138, "&lt;"&amp;AS1)</f>
        <v>121025.33700000001</v>
      </c>
      <c r="AS11" s="268">
        <f>SUMIFS('Expenditure Breakdown'!$R$6:$R$138, 'Expenditure Breakdown'!$W$6:$W$138, "&gt;="&amp;AS1,'Expenditure Breakdown'!$W$6:$W$138, "&lt;"&amp;AT1)</f>
        <v>149530.883</v>
      </c>
      <c r="AT11" s="268">
        <f>SUMIFS('Expenditure Breakdown'!$R$6:$R$138, 'Expenditure Breakdown'!$W$6:$W$138, "&gt;="&amp;AT1,'Expenditure Breakdown'!$W$6:$W$138, "&lt;"&amp;AU1)</f>
        <v>20661.089999999997</v>
      </c>
      <c r="AU11" s="268">
        <f>SUMIFS('Expenditure Breakdown'!$R$6:$R$138, 'Expenditure Breakdown'!$W$6:$W$138, "&gt;="&amp;AU1,'Expenditure Breakdown'!$W$6:$W$138, "&lt;"&amp;AV1)</f>
        <v>0</v>
      </c>
      <c r="AV11" s="268">
        <f>SUMIFS('Expenditure Breakdown'!$R$6:$R$138, 'Expenditure Breakdown'!$W$6:$W$138, "&gt;="&amp;AV1,'Expenditure Breakdown'!$W$6:$W$138, "&lt;"&amp;AW1)</f>
        <v>0</v>
      </c>
      <c r="AW11" s="268">
        <f>SUMIFS('Expenditure Breakdown'!$R$6:$R$138, 'Expenditure Breakdown'!$W$6:$W$138, "&gt;="&amp;AW1,'Expenditure Breakdown'!$W$6:$W$138, "&lt;"&amp;AX1)</f>
        <v>403848.42</v>
      </c>
      <c r="AX11" s="268">
        <f>SUMIFS('Expenditure Breakdown'!$R$6:$R$138, 'Expenditure Breakdown'!$W$6:$W$138, "&gt;="&amp;AX1,'Expenditure Breakdown'!$W$6:$W$138, "&lt;"&amp;AY1)</f>
        <v>57018.570000000014</v>
      </c>
      <c r="AY11" s="268">
        <f>SUMIFS('Expenditure Breakdown'!$R$6:$R$138, 'Expenditure Breakdown'!$W$6:$W$138, "&gt;="&amp;AY1,'Expenditure Breakdown'!$W$6:$W$138, "&lt;"&amp;AZ1)</f>
        <v>0</v>
      </c>
      <c r="AZ11" s="268">
        <f>SUMIFS('Expenditure Breakdown'!$R$6:$R$138, 'Expenditure Breakdown'!$W$6:$W$138, "&gt;="&amp;AZ1,'Expenditure Breakdown'!$W$6:$W$138, "&lt;"&amp;BA1)</f>
        <v>0</v>
      </c>
      <c r="BA11" s="268">
        <f>SUMIFS('Expenditure Breakdown'!$R$6:$R$138, 'Expenditure Breakdown'!$W$6:$W$138, "&gt;="&amp;BA1,'Expenditure Breakdown'!$W$6:$W$138, "&lt;"&amp;BB1)</f>
        <v>11604</v>
      </c>
      <c r="BB11" s="268">
        <f>SUMIFS('Expenditure Breakdown'!$R$6:$R$138, 'Expenditure Breakdown'!$W$6:$W$138, "&gt;="&amp;BB1,'Expenditure Breakdown'!$W$6:$W$138, "&lt;"&amp;BC1)</f>
        <v>1339.72</v>
      </c>
      <c r="BC11" s="268">
        <f>SUMIFS('Expenditure Breakdown'!$R$6:$R$138, 'Expenditure Breakdown'!$W$6:$W$138, "&gt;="&amp;BC1,'Expenditure Breakdown'!$W$6:$W$138, "&lt;"&amp;BD1)</f>
        <v>0</v>
      </c>
      <c r="BD11" s="268">
        <f>SUMIFS('Expenditure Breakdown'!$R$6:$R$138, 'Expenditure Breakdown'!$W$6:$W$138, "&gt;="&amp;BD1,'Expenditure Breakdown'!$W$6:$W$138, "&lt;"&amp;BE1)</f>
        <v>16138.3</v>
      </c>
      <c r="BE11" s="268">
        <f>SUMIFS('Expenditure Breakdown'!$R$6:$R$138, 'Expenditure Breakdown'!$W$6:$W$138, "&gt;="&amp;BE1,'Expenditure Breakdown'!$W$6:$W$138, "&lt;"&amp;BF1)</f>
        <v>21890</v>
      </c>
      <c r="BF11" s="268">
        <f>SUMIFS('Expenditure Breakdown'!$R$6:$R$138, 'Expenditure Breakdown'!$W$6:$W$138, "&gt;="&amp;BF1,'Expenditure Breakdown'!$W$6:$W$138, "&lt;"&amp;BG1)</f>
        <v>89490.7</v>
      </c>
      <c r="BG11" s="268">
        <f>SUMIFS('Expenditure Breakdown'!$R$6:$R$138, 'Expenditure Breakdown'!$W$6:$W$138, "&gt;="&amp;BG1,'Expenditure Breakdown'!$W$6:$W$138, "&lt;"&amp;BH1)</f>
        <v>1250.6600000000001</v>
      </c>
      <c r="BH11" s="268">
        <f>SUMIFS('Expenditure Breakdown'!$R$6:$R$138, 'Expenditure Breakdown'!$W$6:$W$138, "&gt;="&amp;BH1,'Expenditure Breakdown'!$W$6:$W$138, "&lt;"&amp;BI1)</f>
        <v>0</v>
      </c>
      <c r="BI11" s="268">
        <f>SUMIFS('Expenditure Breakdown'!$R$6:$R$138, 'Expenditure Breakdown'!$W$6:$W$138, "&gt;="&amp;BI1,'Expenditure Breakdown'!$W$6:$W$138, "&lt;"&amp;BJ1)</f>
        <v>0</v>
      </c>
      <c r="BJ11" s="268">
        <f>SUMIFS('Expenditure Breakdown'!$R$6:$R$138, 'Expenditure Breakdown'!$W$6:$W$138, "&gt;="&amp;BJ1,'Expenditure Breakdown'!$W$6:$W$138, "&lt;"&amp;BK1)</f>
        <v>106877.13</v>
      </c>
      <c r="BK11" s="268">
        <f>SUMIFS('Expenditure Breakdown'!$R$6:$R$138, 'Expenditure Breakdown'!$W$6:$W$138, "&gt;="&amp;BK1,'Expenditure Breakdown'!$W$6:$W$138, "&lt;"&amp;BL1)</f>
        <v>107195.62</v>
      </c>
      <c r="BL11" s="268">
        <f>SUMIFS('Expenditure Breakdown'!$R$6:$R$138, 'Expenditure Breakdown'!$W$6:$W$138, "&gt;="&amp;BL1,'Expenditure Breakdown'!$W$6:$W$138, "&lt;"&amp;BM1)</f>
        <v>0</v>
      </c>
      <c r="BM11" s="268">
        <f>SUMIFS('Expenditure Breakdown'!$R$6:$R$138, 'Expenditure Breakdown'!$W$6:$W$138, "&gt;="&amp;BM1,'Expenditure Breakdown'!$W$6:$W$138, "&lt;"&amp;BN1)</f>
        <v>0</v>
      </c>
      <c r="BN11" s="268">
        <f>SUMIFS('Expenditure Breakdown'!$R$6:$R$138, 'Expenditure Breakdown'!$W$6:$W$138, "&gt;="&amp;BN1,'Expenditure Breakdown'!$W$6:$W$138, "&lt;"&amp;BO1)</f>
        <v>0</v>
      </c>
      <c r="BO11" s="268">
        <f>SUMIFS('Expenditure Breakdown'!$R$6:$R$138, 'Expenditure Breakdown'!$W$6:$W$138, "&gt;="&amp;BO1,'Expenditure Breakdown'!$W$6:$W$138, "&lt;"&amp;BP1)</f>
        <v>0</v>
      </c>
      <c r="BP11" s="268">
        <f>SUMIFS('Expenditure Breakdown'!$R$6:$R$138, 'Expenditure Breakdown'!$W$6:$W$138, "&gt;="&amp;BP1,'Expenditure Breakdown'!$W$6:$W$138, "&lt;"&amp;BQ1)</f>
        <v>0</v>
      </c>
      <c r="BQ11" s="268">
        <f>SUMIFS('Expenditure Breakdown'!$R$6:$R$138, 'Expenditure Breakdown'!$W$6:$W$138, "&gt;="&amp;BQ1,'Expenditure Breakdown'!$W$6:$W$138, "&lt;"&amp;BR1)</f>
        <v>0</v>
      </c>
      <c r="BR11" s="268">
        <f>SUMIFS('Expenditure Breakdown'!$R$6:$R$138, 'Expenditure Breakdown'!$W$6:$W$138, "&gt;="&amp;BR1,'Expenditure Breakdown'!$W$6:$W$138, "&lt;"&amp;BS1)</f>
        <v>0</v>
      </c>
      <c r="BS11" s="268">
        <f>SUMIFS('Expenditure Breakdown'!$R$6:$R$138, 'Expenditure Breakdown'!$W$6:$W$138, "&gt;="&amp;BS1,'Expenditure Breakdown'!$W$6:$W$138, "&lt;"&amp;BT1)</f>
        <v>0</v>
      </c>
      <c r="BT11" s="268">
        <f>SUMIFS('Expenditure Breakdown'!$R$6:$R$138, 'Expenditure Breakdown'!$W$6:$W$138, "&gt;="&amp;BT1,'Expenditure Breakdown'!$W$6:$W$138, "&lt;"&amp;BU1)</f>
        <v>0</v>
      </c>
      <c r="BU11" s="268">
        <f>SUMIFS('Expenditure Breakdown'!$R$6:$R$138, 'Expenditure Breakdown'!$W$6:$W$138, "&gt;="&amp;BU1,'Expenditure Breakdown'!$W$6:$W$138, "&lt;"&amp;BV1)</f>
        <v>0</v>
      </c>
      <c r="BV11" s="268">
        <f>SUMIFS('Expenditure Breakdown'!$R$6:$R$138, 'Expenditure Breakdown'!$W$6:$W$138, "&gt;="&amp;BV1,'Expenditure Breakdown'!$W$6:$W$138, "&lt;"&amp;BW1)</f>
        <v>0</v>
      </c>
      <c r="BW11" s="268">
        <f>SUMIFS('Expenditure Breakdown'!$R$6:$R$138, 'Expenditure Breakdown'!$W$6:$W$138, "&gt;="&amp;BW1,'Expenditure Breakdown'!$W$6:$W$138, "&lt;"&amp;BX1)</f>
        <v>0</v>
      </c>
      <c r="BX11" s="268">
        <f>SUMIFS('Expenditure Breakdown'!$R$6:$R$138, 'Expenditure Breakdown'!$W$6:$W$138, "&gt;="&amp;BX1,'Expenditure Breakdown'!$W$6:$W$138, "&lt;"&amp;BY1)</f>
        <v>0</v>
      </c>
      <c r="BY11" s="268">
        <f>SUMIFS('Expenditure Breakdown'!$R$6:$R$138, 'Expenditure Breakdown'!$W$6:$W$138, "&gt;="&amp;BY1,'Expenditure Breakdown'!$W$6:$W$138, "&lt;"&amp;BZ1)</f>
        <v>0</v>
      </c>
      <c r="BZ11" s="268">
        <f>SUMIFS('Expenditure Breakdown'!$R$6:$R$138, 'Expenditure Breakdown'!$W$6:$W$138, "&gt;="&amp;BZ1,'Expenditure Breakdown'!$W$6:$W$138, "&lt;"&amp;CA1)</f>
        <v>0</v>
      </c>
      <c r="CA11" s="268">
        <f>SUMIFS('Expenditure Breakdown'!$R$6:$R$138, 'Expenditure Breakdown'!$W$6:$W$138, "&gt;="&amp;CA1,'Expenditure Breakdown'!$W$6:$W$138, "&lt;"&amp;CB1)</f>
        <v>0</v>
      </c>
      <c r="CB11" s="268">
        <f>SUMIFS('Expenditure Breakdown'!$R$6:$R$138, 'Expenditure Breakdown'!$W$6:$W$138, "&gt;="&amp;CB1,'Expenditure Breakdown'!$W$6:$W$138, "&lt;"&amp;CC1)</f>
        <v>0</v>
      </c>
      <c r="CC11" s="268">
        <f>SUMIFS('Expenditure Breakdown'!$R$6:$R$138, 'Expenditure Breakdown'!$W$6:$W$138, "&gt;="&amp;CC1,'Expenditure Breakdown'!$W$6:$W$138, "&lt;"&amp;CD1)</f>
        <v>0</v>
      </c>
      <c r="CD11" s="268">
        <f>SUMIFS('Expenditure Breakdown'!$R$6:$R$138, 'Expenditure Breakdown'!$W$6:$W$138, "&gt;="&amp;CD1,'Expenditure Breakdown'!$W$6:$W$138, "&lt;"&amp;CE1)</f>
        <v>0</v>
      </c>
      <c r="CE11" s="268">
        <f>SUMIFS('Expenditure Breakdown'!$R$6:$R$138, 'Expenditure Breakdown'!$W$6:$W$138, "&gt;="&amp;CE1,'Expenditure Breakdown'!$W$6:$W$138, "&lt;"&amp;CF1)</f>
        <v>0</v>
      </c>
      <c r="CF11" s="268">
        <f>SUMIFS('Expenditure Breakdown'!$R$6:$R$138, 'Expenditure Breakdown'!$W$6:$W$138, "&gt;="&amp;CF1,'Expenditure Breakdown'!$W$6:$W$138, "&lt;"&amp;CG1)</f>
        <v>0</v>
      </c>
      <c r="CG11" s="268">
        <f>SUMIFS('Expenditure Breakdown'!$R$6:$R$138, 'Expenditure Breakdown'!$W$6:$W$138, "&gt;="&amp;CG1,'Expenditure Breakdown'!$W$6:$W$138, "&lt;"&amp;CH1)</f>
        <v>0</v>
      </c>
      <c r="CH11" s="268">
        <f>SUMIFS('Expenditure Breakdown'!$R$6:$R$138, 'Expenditure Breakdown'!$W$6:$W$138, "&gt;="&amp;CH1,'Expenditure Breakdown'!$W$6:$W$138, "&lt;"&amp;CI1)</f>
        <v>0</v>
      </c>
      <c r="CI11" s="268">
        <f>SUMIFS('Expenditure Breakdown'!$R$6:$R$138, 'Expenditure Breakdown'!$W$6:$W$138, "&gt;="&amp;CI1,'Expenditure Breakdown'!$W$6:$W$138, "&lt;"&amp;CJ1)</f>
        <v>0</v>
      </c>
      <c r="CJ11" s="268">
        <f>SUMIFS('Expenditure Breakdown'!$R$6:$R$138, 'Expenditure Breakdown'!$W$6:$W$138, "&gt;="&amp;CJ1,'Expenditure Breakdown'!$W$6:$W$138, "&lt;"&amp;CK1)</f>
        <v>0</v>
      </c>
      <c r="CK11" s="268">
        <f>SUMIFS('Expenditure Breakdown'!$R$6:$R$138, 'Expenditure Breakdown'!$W$6:$W$138, "&gt;="&amp;CK1,'Expenditure Breakdown'!$W$6:$W$138, "&lt;"&amp;GG1)</f>
        <v>0</v>
      </c>
      <c r="CL11" s="268">
        <f>SUMIFS('Expenditure Breakdown'!$R$6:$R$138, 'Expenditure Breakdown'!$W$6:$W$138, "&gt;="&amp;CL1,'Expenditure Breakdown'!$W$6:$W$138, "&lt;"&amp;GH1)</f>
        <v>0</v>
      </c>
      <c r="CM11" s="268">
        <f>SUMIFS('Expenditure Breakdown'!$R$6:$R$138, 'Expenditure Breakdown'!$W$6:$W$138, "&gt;="&amp;CM1,'Expenditure Breakdown'!$W$6:$W$138, "&lt;"&amp;GI1)</f>
        <v>0</v>
      </c>
      <c r="CN11" s="268">
        <f>SUMIFS('Expenditure Breakdown'!$R$6:$R$138, 'Expenditure Breakdown'!$W$6:$W$138, "&gt;="&amp;CN1,'Expenditure Breakdown'!$W$6:$W$138, "&lt;"&amp;GJ1)</f>
        <v>0</v>
      </c>
      <c r="CO11" s="268">
        <f>SUMIFS('Expenditure Breakdown'!$R$6:$R$138, 'Expenditure Breakdown'!$W$6:$W$138, "&gt;="&amp;CO1,'Expenditure Breakdown'!$W$6:$W$138, "&lt;"&amp;GK1)</f>
        <v>0</v>
      </c>
      <c r="CP11" s="268">
        <f>SUMIFS('Expenditure Breakdown'!$R$6:$R$138, 'Expenditure Breakdown'!$W$6:$W$138, "&gt;="&amp;CP1,'Expenditure Breakdown'!$W$6:$W$138, "&lt;"&amp;GL1)</f>
        <v>0</v>
      </c>
      <c r="CQ11" s="268">
        <f>SUMIFS('Expenditure Breakdown'!$R$6:$R$138, 'Expenditure Breakdown'!$W$6:$W$138, "&gt;="&amp;CQ1,'Expenditure Breakdown'!$W$6:$W$138, "&lt;"&amp;GM1)</f>
        <v>0</v>
      </c>
      <c r="CR11" s="268">
        <f>SUMIFS('Expenditure Breakdown'!$R$6:$R$138, 'Expenditure Breakdown'!$W$6:$W$138, "&gt;="&amp;CR1,'Expenditure Breakdown'!$W$6:$W$138, "&lt;"&amp;GN1)</f>
        <v>0</v>
      </c>
      <c r="CS11" s="268">
        <f>SUMIFS('Expenditure Breakdown'!$R$6:$R$138, 'Expenditure Breakdown'!$W$6:$W$138, "&gt;="&amp;CS1,'Expenditure Breakdown'!$W$6:$W$138, "&lt;"&amp;GO1)</f>
        <v>0</v>
      </c>
      <c r="CT11" s="268">
        <f>SUMIFS('Expenditure Breakdown'!$R$6:$R$138, 'Expenditure Breakdown'!$W$6:$W$138, "&gt;="&amp;CT1,'Expenditure Breakdown'!$W$6:$W$138, "&lt;"&amp;GP1)</f>
        <v>0</v>
      </c>
      <c r="CU11" s="268">
        <f>SUMIFS('Expenditure Breakdown'!$R$6:$R$138, 'Expenditure Breakdown'!$W$6:$W$138, "&gt;="&amp;CU1,'Expenditure Breakdown'!$W$6:$W$138, "&lt;"&amp;GQ1)</f>
        <v>0</v>
      </c>
      <c r="CV11" s="268">
        <f>SUMIFS('Expenditure Breakdown'!$R$6:$R$138, 'Expenditure Breakdown'!$W$6:$W$138, "&gt;="&amp;CV1,'Expenditure Breakdown'!$W$6:$W$138, "&lt;"&amp;GR1)</f>
        <v>0</v>
      </c>
      <c r="CW11" s="268">
        <f>SUMIFS('Expenditure Breakdown'!$R$6:$R$138, 'Expenditure Breakdown'!$W$6:$W$138, "&gt;="&amp;CW1,'Expenditure Breakdown'!$W$6:$W$138, "&lt;"&amp;GS1)</f>
        <v>0</v>
      </c>
      <c r="CX11" s="268">
        <f>SUMIFS('Expenditure Breakdown'!$R$6:$R$138, 'Expenditure Breakdown'!$W$6:$W$138, "&gt;="&amp;CX1,'Expenditure Breakdown'!$W$6:$W$138, "&lt;"&amp;GT1)</f>
        <v>0</v>
      </c>
      <c r="CY11" s="268">
        <f>SUMIFS('Expenditure Breakdown'!$R$6:$R$138, 'Expenditure Breakdown'!$W$6:$W$138, "&gt;="&amp;CY1,'Expenditure Breakdown'!$W$6:$W$138, "&lt;"&amp;GU1)</f>
        <v>0</v>
      </c>
      <c r="CZ11" s="268">
        <f>SUMIFS('Expenditure Breakdown'!$R$6:$R$138, 'Expenditure Breakdown'!$W$6:$W$138, "&gt;="&amp;CZ1,'Expenditure Breakdown'!$W$6:$W$138, "&lt;"&amp;GV1)</f>
        <v>0</v>
      </c>
      <c r="DA11" s="268">
        <f>SUMIFS('Expenditure Breakdown'!$R$6:$R$138, 'Expenditure Breakdown'!$W$6:$W$138, "&gt;="&amp;DA1,'Expenditure Breakdown'!$W$6:$W$138, "&lt;"&amp;GW1)</f>
        <v>0</v>
      </c>
      <c r="DB11" s="268">
        <f>SUMIFS('Expenditure Breakdown'!$R$6:$R$138, 'Expenditure Breakdown'!$W$6:$W$138, "&gt;="&amp;DB1,'Expenditure Breakdown'!$W$6:$W$138, "&lt;"&amp;GX1)</f>
        <v>0</v>
      </c>
      <c r="DC11" s="268">
        <f>SUMIFS('Expenditure Breakdown'!$R$6:$R$138, 'Expenditure Breakdown'!$W$6:$W$138, "&gt;="&amp;DC1,'Expenditure Breakdown'!$W$6:$W$138, "&lt;"&amp;GY1)</f>
        <v>0</v>
      </c>
      <c r="DD11" s="268">
        <f>SUMIFS('Expenditure Breakdown'!$R$6:$R$138, 'Expenditure Breakdown'!$W$6:$W$138, "&gt;="&amp;DD1,'Expenditure Breakdown'!$W$6:$W$138, "&lt;"&amp;GZ1)</f>
        <v>0</v>
      </c>
      <c r="DE11" s="268">
        <f>SUMIFS('Expenditure Breakdown'!$R$6:$R$138, 'Expenditure Breakdown'!$W$6:$W$138, "&gt;="&amp;DE1,'Expenditure Breakdown'!$W$6:$W$138, "&lt;"&amp;HA1)</f>
        <v>0</v>
      </c>
      <c r="DF11" s="268">
        <f>SUMIFS('Expenditure Breakdown'!$R$6:$R$138, 'Expenditure Breakdown'!$W$6:$W$138, "&gt;="&amp;DF1,'Expenditure Breakdown'!$W$6:$W$138, "&lt;"&amp;HB1)</f>
        <v>0</v>
      </c>
      <c r="DG11" s="268">
        <f>SUMIFS('Expenditure Breakdown'!$R$6:$R$138, 'Expenditure Breakdown'!$W$6:$W$138, "&gt;="&amp;DG1,'Expenditure Breakdown'!$W$6:$W$138, "&lt;"&amp;HC1)</f>
        <v>0</v>
      </c>
      <c r="DH11" s="268">
        <f>SUMIFS('Expenditure Breakdown'!$R$6:$R$138, 'Expenditure Breakdown'!$W$6:$W$138, "&gt;="&amp;DH1,'Expenditure Breakdown'!$W$6:$W$138, "&lt;"&amp;HD1)</f>
        <v>0</v>
      </c>
      <c r="DI11" s="268">
        <f>SUMIFS('Expenditure Breakdown'!$R$6:$R$138, 'Expenditure Breakdown'!$W$6:$W$138, "&gt;="&amp;DI1,'Expenditure Breakdown'!$W$6:$W$138, "&lt;"&amp;HE1)</f>
        <v>0</v>
      </c>
      <c r="DJ11" s="268">
        <f>SUMIFS('Expenditure Breakdown'!$R$6:$R$138, 'Expenditure Breakdown'!$W$6:$W$138, "&gt;="&amp;DJ1,'Expenditure Breakdown'!$W$6:$W$138, "&lt;"&amp;HF1)</f>
        <v>0</v>
      </c>
      <c r="DK11" s="268">
        <f>SUMIFS('Expenditure Breakdown'!$R$6:$R$138, 'Expenditure Breakdown'!$W$6:$W$138, "&gt;="&amp;DK1,'Expenditure Breakdown'!$W$6:$W$138, "&lt;"&amp;HG1)</f>
        <v>0</v>
      </c>
      <c r="DL11" s="268">
        <f>SUMIFS('Expenditure Breakdown'!$R$6:$R$138, 'Expenditure Breakdown'!$W$6:$W$138, "&gt;="&amp;DL1,'Expenditure Breakdown'!$W$6:$W$138, "&lt;"&amp;HH1)</f>
        <v>0</v>
      </c>
      <c r="DM11" s="268">
        <f>SUMIFS('Expenditure Breakdown'!$R$6:$R$138, 'Expenditure Breakdown'!$W$6:$W$138, "&gt;="&amp;DM1,'Expenditure Breakdown'!$W$6:$W$138, "&lt;"&amp;HI1)</f>
        <v>0</v>
      </c>
      <c r="DN11" s="268">
        <f>SUMIFS('Expenditure Breakdown'!$R$6:$R$138, 'Expenditure Breakdown'!$W$6:$W$138, "&gt;="&amp;DN1,'Expenditure Breakdown'!$W$6:$W$138, "&lt;"&amp;HJ1)</f>
        <v>0</v>
      </c>
      <c r="DO11" s="268">
        <f>SUMIFS('Expenditure Breakdown'!$R$6:$R$138, 'Expenditure Breakdown'!$W$6:$W$138, "&gt;="&amp;DO1,'Expenditure Breakdown'!$W$6:$W$138, "&lt;"&amp;HK1)</f>
        <v>0</v>
      </c>
      <c r="DP11" s="268">
        <f>SUMIFS('Expenditure Breakdown'!$R$6:$R$138, 'Expenditure Breakdown'!$W$6:$W$138, "&gt;="&amp;DP1,'Expenditure Breakdown'!$W$6:$W$138, "&lt;"&amp;HL1)</f>
        <v>0</v>
      </c>
      <c r="DQ11" s="268">
        <f>SUMIFS('Expenditure Breakdown'!$R$6:$R$138, 'Expenditure Breakdown'!$W$6:$W$138, "&gt;="&amp;DQ1,'Expenditure Breakdown'!$W$6:$W$138, "&lt;"&amp;HM1)</f>
        <v>0</v>
      </c>
      <c r="DR11" s="268">
        <f>SUMIFS('Expenditure Breakdown'!$R$6:$R$138, 'Expenditure Breakdown'!$W$6:$W$138, "&gt;="&amp;DR1,'Expenditure Breakdown'!$W$6:$W$138, "&lt;"&amp;HN1)</f>
        <v>0</v>
      </c>
      <c r="DS11" s="268">
        <f>SUMIFS('Expenditure Breakdown'!$R$6:$R$138, 'Expenditure Breakdown'!$W$6:$W$138, "&gt;="&amp;DS1,'Expenditure Breakdown'!$W$6:$W$138, "&lt;"&amp;HO1)</f>
        <v>0</v>
      </c>
      <c r="DT11" s="268">
        <f>SUMIFS('Expenditure Breakdown'!$R$6:$R$138, 'Expenditure Breakdown'!$W$6:$W$138, "&gt;="&amp;DT1,'Expenditure Breakdown'!$W$6:$W$138, "&lt;"&amp;HP1)</f>
        <v>0</v>
      </c>
      <c r="DU11" s="268">
        <f>SUMIFS('Expenditure Breakdown'!$R$6:$R$138, 'Expenditure Breakdown'!$W$6:$W$138, "&gt;="&amp;DU1,'Expenditure Breakdown'!$W$6:$W$138, "&lt;"&amp;HQ1)</f>
        <v>0</v>
      </c>
      <c r="DV11" s="268">
        <f>SUMIFS('Expenditure Breakdown'!$R$6:$R$138, 'Expenditure Breakdown'!$W$6:$W$138, "&gt;="&amp;DV1,'Expenditure Breakdown'!$W$6:$W$138, "&lt;"&amp;HR1)</f>
        <v>0</v>
      </c>
      <c r="DW11" s="268">
        <f>SUMIFS('Expenditure Breakdown'!$R$6:$R$138, 'Expenditure Breakdown'!$W$6:$W$138, "&gt;="&amp;DW1,'Expenditure Breakdown'!$W$6:$W$138, "&lt;"&amp;HS1)</f>
        <v>0</v>
      </c>
      <c r="DX11" s="268">
        <f>SUMIFS('Expenditure Breakdown'!$R$6:$R$138, 'Expenditure Breakdown'!$W$6:$W$138, "&gt;="&amp;DX1,'Expenditure Breakdown'!$W$6:$W$138, "&lt;"&amp;HT1)</f>
        <v>0</v>
      </c>
      <c r="DY11" s="268">
        <f>SUMIFS('Expenditure Breakdown'!$R$6:$R$138, 'Expenditure Breakdown'!$W$6:$W$138, "&gt;="&amp;DY1,'Expenditure Breakdown'!$W$6:$W$138, "&lt;"&amp;HU1)</f>
        <v>0</v>
      </c>
      <c r="DZ11" s="268">
        <f>SUMIFS('Expenditure Breakdown'!$R$6:$R$138, 'Expenditure Breakdown'!$W$6:$W$138, "&gt;="&amp;DZ1,'Expenditure Breakdown'!$W$6:$W$138, "&lt;"&amp;HV1)</f>
        <v>0</v>
      </c>
      <c r="EA11" s="268">
        <f>SUMIFS('Expenditure Breakdown'!$R$6:$R$138, 'Expenditure Breakdown'!$W$6:$W$138, "&gt;="&amp;EA1,'Expenditure Breakdown'!$W$6:$W$138, "&lt;"&amp;HW1)</f>
        <v>0</v>
      </c>
      <c r="EB11" s="268">
        <f>SUMIFS('Expenditure Breakdown'!$R$6:$R$138, 'Expenditure Breakdown'!$W$6:$W$138, "&gt;="&amp;EB1,'Expenditure Breakdown'!$W$6:$W$138, "&lt;"&amp;HX1)</f>
        <v>0</v>
      </c>
      <c r="EC11" s="268">
        <f>SUMIFS('Expenditure Breakdown'!$R$6:$R$138, 'Expenditure Breakdown'!$W$6:$W$138, "&gt;="&amp;EC1,'Expenditure Breakdown'!$W$6:$W$138, "&lt;"&amp;HY1)</f>
        <v>0</v>
      </c>
      <c r="ED11" s="268">
        <f>SUMIFS('Expenditure Breakdown'!$R$6:$R$138, 'Expenditure Breakdown'!$W$6:$W$138, "&gt;="&amp;ED1,'Expenditure Breakdown'!$W$6:$W$138, "&lt;"&amp;HZ1)</f>
        <v>0</v>
      </c>
      <c r="EE11" s="268">
        <f>SUMIFS('Expenditure Breakdown'!$R$6:$R$138, 'Expenditure Breakdown'!$W$6:$W$138, "&gt;="&amp;EE1,'Expenditure Breakdown'!$W$6:$W$138, "&lt;"&amp;IA1)</f>
        <v>0</v>
      </c>
      <c r="EF11" s="268">
        <f>SUMIFS('Expenditure Breakdown'!$R$6:$R$138, 'Expenditure Breakdown'!$W$6:$W$138, "&gt;="&amp;EF1,'Expenditure Breakdown'!$W$6:$W$138, "&lt;"&amp;IB1)</f>
        <v>0</v>
      </c>
      <c r="EG11" s="268">
        <f>SUMIFS('Expenditure Breakdown'!$R$6:$R$138, 'Expenditure Breakdown'!$W$6:$W$138, "&gt;="&amp;EG1,'Expenditure Breakdown'!$W$6:$W$138, "&lt;"&amp;IC1)</f>
        <v>0</v>
      </c>
      <c r="EH11" s="268">
        <f>SUMIFS('Expenditure Breakdown'!$R$6:$R$138, 'Expenditure Breakdown'!$W$6:$W$138, "&gt;="&amp;EH1,'Expenditure Breakdown'!$W$6:$W$138, "&lt;"&amp;ID1)</f>
        <v>0</v>
      </c>
      <c r="EI11" s="268">
        <f>SUMIFS('Expenditure Breakdown'!$R$6:$R$138, 'Expenditure Breakdown'!$W$6:$W$138, "&gt;="&amp;EI1,'Expenditure Breakdown'!$W$6:$W$138, "&lt;"&amp;IE1)</f>
        <v>0</v>
      </c>
      <c r="EJ11" s="268">
        <f>SUMIFS('Expenditure Breakdown'!$R$6:$R$138, 'Expenditure Breakdown'!$W$6:$W$138, "&gt;="&amp;EJ1,'Expenditure Breakdown'!$W$6:$W$138, "&lt;"&amp;IF1)</f>
        <v>0</v>
      </c>
      <c r="EK11" s="268">
        <f>SUMIFS('Expenditure Breakdown'!$R$6:$R$138, 'Expenditure Breakdown'!$W$6:$W$138, "&gt;="&amp;EK1,'Expenditure Breakdown'!$W$6:$W$138, "&lt;"&amp;IG1)</f>
        <v>0</v>
      </c>
      <c r="EL11" s="268">
        <f>SUMIFS('Expenditure Breakdown'!$R$6:$R$138, 'Expenditure Breakdown'!$W$6:$W$138, "&gt;="&amp;EL1,'Expenditure Breakdown'!$W$6:$W$138, "&lt;"&amp;IH1)</f>
        <v>0</v>
      </c>
      <c r="EM11" s="268">
        <f>SUMIFS('Expenditure Breakdown'!$R$6:$R$138, 'Expenditure Breakdown'!$W$6:$W$138, "&gt;="&amp;EM1,'Expenditure Breakdown'!$W$6:$W$138, "&lt;"&amp;II1)</f>
        <v>0</v>
      </c>
      <c r="EN11" s="268">
        <f>SUMIFS('Expenditure Breakdown'!$R$6:$R$138, 'Expenditure Breakdown'!$W$6:$W$138, "&gt;="&amp;EN1,'Expenditure Breakdown'!$W$6:$W$138, "&lt;"&amp;IJ1)</f>
        <v>0</v>
      </c>
      <c r="EO11" s="268">
        <f>SUMIFS('Expenditure Breakdown'!$R$6:$R$138, 'Expenditure Breakdown'!$W$6:$W$138, "&gt;="&amp;EO1,'Expenditure Breakdown'!$W$6:$W$138, "&lt;"&amp;IK1)</f>
        <v>0</v>
      </c>
      <c r="EP11" s="268">
        <f>SUMIFS('Expenditure Breakdown'!$R$6:$R$138, 'Expenditure Breakdown'!$W$6:$W$138, "&gt;="&amp;EP1,'Expenditure Breakdown'!$W$6:$W$138, "&lt;"&amp;IL1)</f>
        <v>0</v>
      </c>
      <c r="EQ11" s="268">
        <f>SUMIFS('Expenditure Breakdown'!$R$6:$R$138, 'Expenditure Breakdown'!$W$6:$W$138, "&gt;="&amp;EQ1,'Expenditure Breakdown'!$W$6:$W$138, "&lt;"&amp;IM1)</f>
        <v>0</v>
      </c>
      <c r="ER11" s="268">
        <f>SUMIFS('Expenditure Breakdown'!$R$6:$R$138, 'Expenditure Breakdown'!$W$6:$W$138, "&gt;="&amp;ER1,'Expenditure Breakdown'!$W$6:$W$138, "&lt;"&amp;IN1)</f>
        <v>0</v>
      </c>
      <c r="ES11" s="268">
        <f>SUMIFS('Expenditure Breakdown'!$R$6:$R$138, 'Expenditure Breakdown'!$W$6:$W$138, "&gt;="&amp;ES1,'Expenditure Breakdown'!$W$6:$W$138, "&lt;"&amp;IO1)</f>
        <v>0</v>
      </c>
      <c r="ET11" s="268">
        <f>SUMIFS('Expenditure Breakdown'!$R$6:$R$138, 'Expenditure Breakdown'!$W$6:$W$138, "&gt;="&amp;ET1,'Expenditure Breakdown'!$W$6:$W$138, "&lt;"&amp;IP1)</f>
        <v>0</v>
      </c>
      <c r="EU11" s="268">
        <f>SUMIFS('Expenditure Breakdown'!$R$6:$R$138, 'Expenditure Breakdown'!$W$6:$W$138, "&gt;="&amp;EU1,'Expenditure Breakdown'!$W$6:$W$138, "&lt;"&amp;IQ1)</f>
        <v>0</v>
      </c>
      <c r="EV11" s="268">
        <f>SUMIFS('Expenditure Breakdown'!$R$6:$R$138, 'Expenditure Breakdown'!$W$6:$W$138, "&gt;="&amp;EV1,'Expenditure Breakdown'!$W$6:$W$138, "&lt;"&amp;IR1)</f>
        <v>0</v>
      </c>
      <c r="EW11" s="268">
        <f>SUMIFS('Expenditure Breakdown'!$R$6:$R$138, 'Expenditure Breakdown'!$W$6:$W$138, "&gt;="&amp;EW1,'Expenditure Breakdown'!$W$6:$W$138, "&lt;"&amp;IS1)</f>
        <v>0</v>
      </c>
      <c r="EX11" s="268">
        <f>SUMIFS('Expenditure Breakdown'!$R$6:$R$138, 'Expenditure Breakdown'!$W$6:$W$138, "&gt;="&amp;EX1,'Expenditure Breakdown'!$W$6:$W$138, "&lt;"&amp;IT1)</f>
        <v>0</v>
      </c>
      <c r="EY11" s="268">
        <f>SUMIFS('Expenditure Breakdown'!$R$6:$R$138, 'Expenditure Breakdown'!$W$6:$W$138, "&gt;="&amp;EY1,'Expenditure Breakdown'!$W$6:$W$138, "&lt;"&amp;IU1)</f>
        <v>0</v>
      </c>
      <c r="EZ11" s="268">
        <f>SUMIFS('Expenditure Breakdown'!$R$6:$R$138, 'Expenditure Breakdown'!$W$6:$W$138, "&gt;="&amp;EZ1,'Expenditure Breakdown'!$W$6:$W$138, "&lt;"&amp;IV1)</f>
        <v>0</v>
      </c>
      <c r="FA11" s="268">
        <f>SUMIFS('Expenditure Breakdown'!$R$6:$R$138, 'Expenditure Breakdown'!$W$6:$W$138, "&gt;="&amp;FA1,'Expenditure Breakdown'!$W$6:$W$138, "&lt;"&amp;IW1)</f>
        <v>0</v>
      </c>
      <c r="FB11" s="268">
        <f>SUMIFS('Expenditure Breakdown'!$R$6:$R$138, 'Expenditure Breakdown'!$W$6:$W$138, "&gt;="&amp;FB1,'Expenditure Breakdown'!$W$6:$W$138, "&lt;"&amp;IX1)</f>
        <v>0</v>
      </c>
      <c r="FC11" s="268">
        <f>SUMIFS('Expenditure Breakdown'!$R$6:$R$138, 'Expenditure Breakdown'!$W$6:$W$138, "&gt;="&amp;FC1,'Expenditure Breakdown'!$W$6:$W$138, "&lt;"&amp;IY1)</f>
        <v>0</v>
      </c>
      <c r="FD11" s="268">
        <f>SUMIFS('Expenditure Breakdown'!$R$6:$R$138, 'Expenditure Breakdown'!$W$6:$W$138, "&gt;="&amp;FD1,'Expenditure Breakdown'!$W$6:$W$138, "&lt;"&amp;IZ1)</f>
        <v>0</v>
      </c>
      <c r="FE11" s="268">
        <f>SUMIFS('Expenditure Breakdown'!$R$6:$R$138, 'Expenditure Breakdown'!$W$6:$W$138, "&gt;="&amp;FE1,'Expenditure Breakdown'!$W$6:$W$138, "&lt;"&amp;JA1)</f>
        <v>0</v>
      </c>
      <c r="FF11" s="268">
        <f>SUMIFS('Expenditure Breakdown'!$R$6:$R$138, 'Expenditure Breakdown'!$W$6:$W$138, "&gt;="&amp;FF1,'Expenditure Breakdown'!$W$6:$W$138, "&lt;"&amp;JB1)</f>
        <v>0</v>
      </c>
      <c r="FG11" s="268">
        <f>SUMIFS('Expenditure Breakdown'!$R$6:$R$138, 'Expenditure Breakdown'!$W$6:$W$138, "&gt;="&amp;FG1,'Expenditure Breakdown'!$W$6:$W$138, "&lt;"&amp;JC1)</f>
        <v>0</v>
      </c>
      <c r="FH11" s="268">
        <f>SUMIFS('Expenditure Breakdown'!$R$6:$R$138, 'Expenditure Breakdown'!$W$6:$W$138, "&gt;="&amp;FH1,'Expenditure Breakdown'!$W$6:$W$138, "&lt;"&amp;JD1)</f>
        <v>0</v>
      </c>
      <c r="FI11" s="268">
        <f>SUMIFS('Expenditure Breakdown'!$R$6:$R$138, 'Expenditure Breakdown'!$W$6:$W$138, "&gt;="&amp;FI1,'Expenditure Breakdown'!$W$6:$W$138, "&lt;"&amp;JE1)</f>
        <v>0</v>
      </c>
      <c r="FJ11" s="268">
        <f>SUMIFS('Expenditure Breakdown'!$R$6:$R$138, 'Expenditure Breakdown'!$W$6:$W$138, "&gt;="&amp;FJ1,'Expenditure Breakdown'!$W$6:$W$138, "&lt;"&amp;JF1)</f>
        <v>0</v>
      </c>
      <c r="FK11" s="268">
        <f>SUMIFS('Expenditure Breakdown'!$R$6:$R$138, 'Expenditure Breakdown'!$W$6:$W$138, "&gt;="&amp;FK1,'Expenditure Breakdown'!$W$6:$W$138, "&lt;"&amp;JG1)</f>
        <v>0</v>
      </c>
      <c r="FL11" s="268">
        <f>SUMIFS('Expenditure Breakdown'!$R$6:$R$138, 'Expenditure Breakdown'!$W$6:$W$138, "&gt;="&amp;FL1,'Expenditure Breakdown'!$W$6:$W$138, "&lt;"&amp;JH1)</f>
        <v>0</v>
      </c>
      <c r="FM11" s="268">
        <f>SUMIFS('Expenditure Breakdown'!$R$6:$R$138, 'Expenditure Breakdown'!$W$6:$W$138, "&gt;="&amp;FM1,'Expenditure Breakdown'!$W$6:$W$138, "&lt;"&amp;JI1)</f>
        <v>0</v>
      </c>
      <c r="FN11" s="268">
        <f>SUMIFS('Expenditure Breakdown'!$R$6:$R$138, 'Expenditure Breakdown'!$W$6:$W$138, "&gt;="&amp;FN1,'Expenditure Breakdown'!$W$6:$W$138, "&lt;"&amp;JJ1)</f>
        <v>0</v>
      </c>
      <c r="FO11" s="268">
        <f>SUMIFS('Expenditure Breakdown'!$R$6:$R$138, 'Expenditure Breakdown'!$W$6:$W$138, "&gt;="&amp;FO1,'Expenditure Breakdown'!$W$6:$W$138, "&lt;"&amp;JK1)</f>
        <v>0</v>
      </c>
      <c r="FP11" s="268">
        <f>SUMIFS('Expenditure Breakdown'!$R$6:$R$138, 'Expenditure Breakdown'!$W$6:$W$138, "&gt;="&amp;FP1,'Expenditure Breakdown'!$W$6:$W$138, "&lt;"&amp;JL1)</f>
        <v>0</v>
      </c>
      <c r="FQ11" s="268">
        <f>SUMIFS('Expenditure Breakdown'!$R$6:$R$138, 'Expenditure Breakdown'!$W$6:$W$138, "&gt;="&amp;FQ1,'Expenditure Breakdown'!$W$6:$W$138, "&lt;"&amp;JM1)</f>
        <v>0</v>
      </c>
      <c r="FR11" s="268">
        <f>SUMIFS('Expenditure Breakdown'!$R$6:$R$138, 'Expenditure Breakdown'!$W$6:$W$138, "&gt;="&amp;FR1,'Expenditure Breakdown'!$W$6:$W$138, "&lt;"&amp;JN1)</f>
        <v>0</v>
      </c>
      <c r="FS11" s="268">
        <f>SUMIFS('Expenditure Breakdown'!$R$6:$R$138, 'Expenditure Breakdown'!$W$6:$W$138, "&gt;="&amp;FS1,'Expenditure Breakdown'!$W$6:$W$138, "&lt;"&amp;JO1)</f>
        <v>0</v>
      </c>
      <c r="FT11" s="268">
        <f>SUMIFS('Expenditure Breakdown'!$R$6:$R$138, 'Expenditure Breakdown'!$W$6:$W$138, "&gt;="&amp;FT1,'Expenditure Breakdown'!$W$6:$W$138, "&lt;"&amp;JP1)</f>
        <v>0</v>
      </c>
      <c r="FU11" s="268">
        <f>SUMIFS('Expenditure Breakdown'!$R$6:$R$138, 'Expenditure Breakdown'!$W$6:$W$138, "&gt;="&amp;FU1,'Expenditure Breakdown'!$W$6:$W$138, "&lt;"&amp;JQ1)</f>
        <v>0</v>
      </c>
      <c r="FV11" s="268">
        <f>SUMIFS('Expenditure Breakdown'!$R$6:$R$138, 'Expenditure Breakdown'!$W$6:$W$138, "&gt;="&amp;FV1,'Expenditure Breakdown'!$W$6:$W$138, "&lt;"&amp;JR1)</f>
        <v>0</v>
      </c>
      <c r="FW11" s="268">
        <f>SUMIFS('Expenditure Breakdown'!$R$6:$R$138, 'Expenditure Breakdown'!$W$6:$W$138, "&gt;="&amp;FW1,'Expenditure Breakdown'!$W$6:$W$138, "&lt;"&amp;JS1)</f>
        <v>0</v>
      </c>
      <c r="FX11" s="268">
        <f>SUMIFS('Expenditure Breakdown'!$R$6:$R$138, 'Expenditure Breakdown'!$W$6:$W$138, "&gt;="&amp;FX1,'Expenditure Breakdown'!$W$6:$W$138, "&lt;"&amp;JT1)</f>
        <v>0</v>
      </c>
      <c r="FY11" s="268">
        <f>SUMIFS('Expenditure Breakdown'!$R$6:$R$138, 'Expenditure Breakdown'!$W$6:$W$138, "&gt;="&amp;FY1,'Expenditure Breakdown'!$W$6:$W$138, "&lt;"&amp;JU1)</f>
        <v>0</v>
      </c>
      <c r="FZ11" s="268">
        <f>SUMIFS('Expenditure Breakdown'!$R$6:$R$138, 'Expenditure Breakdown'!$W$6:$W$138, "&gt;="&amp;FZ1,'Expenditure Breakdown'!$W$6:$W$138, "&lt;"&amp;JV1)</f>
        <v>0</v>
      </c>
      <c r="GA11" s="268">
        <f>SUMIFS('Expenditure Breakdown'!$R$6:$R$138, 'Expenditure Breakdown'!$W$6:$W$138, "&gt;="&amp;GA1,'Expenditure Breakdown'!$W$6:$W$138, "&lt;"&amp;JW1)</f>
        <v>0</v>
      </c>
      <c r="GB11" s="268">
        <f>SUMIFS('Expenditure Breakdown'!$R$6:$R$138, 'Expenditure Breakdown'!$W$6:$W$138, "&gt;="&amp;GB1,'Expenditure Breakdown'!$W$6:$W$138, "&lt;"&amp;JX1)</f>
        <v>0</v>
      </c>
      <c r="GC11" s="268">
        <f>SUMIFS('Expenditure Breakdown'!$R$6:$R$138, 'Expenditure Breakdown'!$W$6:$W$138, "&gt;="&amp;GC1,'Expenditure Breakdown'!$W$6:$W$138, "&lt;"&amp;JY1)</f>
        <v>0</v>
      </c>
      <c r="GD11" s="268">
        <f>SUMIFS('Expenditure Breakdown'!$R$6:$R$138, 'Expenditure Breakdown'!$W$6:$W$138, "&gt;="&amp;GD1,'Expenditure Breakdown'!$W$6:$W$138, "&lt;"&amp;JZ1)</f>
        <v>0</v>
      </c>
      <c r="GE11" s="268">
        <f>SUMIFS('Expenditure Breakdown'!$R$6:$R$138, 'Expenditure Breakdown'!$W$6:$W$138, "&gt;="&amp;GE1,'Expenditure Breakdown'!$W$6:$W$138, "&lt;"&amp;KA1)</f>
        <v>0</v>
      </c>
      <c r="GF11" s="268">
        <f>SUMIFS('Expenditure Breakdown'!$R$6:$R$138, 'Expenditure Breakdown'!$W$6:$W$138, "&gt;="&amp;GF1,'Expenditure Breakdown'!$W$6:$W$138, "&lt;"&amp;KB1)</f>
        <v>0</v>
      </c>
      <c r="GG11" s="245"/>
      <c r="GH11" s="256"/>
      <c r="GI11" s="256"/>
    </row>
    <row r="12" spans="1:666" s="257" customFormat="1">
      <c r="A12" s="1052"/>
      <c r="B12" s="266" t="s">
        <v>466</v>
      </c>
      <c r="C12" s="267"/>
      <c r="D12" s="267"/>
      <c r="E12" s="251"/>
      <c r="F12" s="268">
        <f>F11</f>
        <v>0</v>
      </c>
      <c r="G12" s="268">
        <f>F12+G11</f>
        <v>0</v>
      </c>
      <c r="H12" s="268">
        <f t="shared" ref="H12" si="577">G12+H11</f>
        <v>0</v>
      </c>
      <c r="I12" s="268">
        <f t="shared" ref="I12" si="578">H12+I11</f>
        <v>0</v>
      </c>
      <c r="J12" s="268">
        <f t="shared" ref="J12" si="579">I12+J11</f>
        <v>5847.3600000000279</v>
      </c>
      <c r="K12" s="268">
        <f t="shared" ref="K12" si="580">J12+K11</f>
        <v>5847.3600000000279</v>
      </c>
      <c r="L12" s="268">
        <f t="shared" ref="L12" si="581">K12+L11</f>
        <v>5847.3600000000279</v>
      </c>
      <c r="M12" s="268">
        <f t="shared" ref="M12" si="582">L12+M11</f>
        <v>5847.3600000000279</v>
      </c>
      <c r="N12" s="268">
        <f t="shared" ref="N12" si="583">M12+N11</f>
        <v>5847.3600000000279</v>
      </c>
      <c r="O12" s="268">
        <f t="shared" ref="O12" si="584">N12+O11</f>
        <v>880912.57739130442</v>
      </c>
      <c r="P12" s="268">
        <f t="shared" ref="P12" si="585">O12+P11</f>
        <v>880912.57739130442</v>
      </c>
      <c r="Q12" s="268">
        <f t="shared" ref="Q12" si="586">P12+Q11</f>
        <v>2893867.3600000003</v>
      </c>
      <c r="R12" s="268">
        <f t="shared" ref="R12" si="587">Q12+R11</f>
        <v>2893867.3600000003</v>
      </c>
      <c r="S12" s="268">
        <f t="shared" ref="S12" si="588">R12+S11</f>
        <v>3328800.9686956527</v>
      </c>
      <c r="T12" s="268">
        <f t="shared" ref="T12" si="589">S12+T11</f>
        <v>8358698.3600000003</v>
      </c>
      <c r="U12" s="268">
        <f t="shared" ref="U12" si="590">T12+U11</f>
        <v>8358698.3600000003</v>
      </c>
      <c r="V12" s="268">
        <f t="shared" ref="V12" si="591">U12+V11</f>
        <v>9619898.3599999994</v>
      </c>
      <c r="W12" s="268">
        <f t="shared" ref="W12" si="592">V12+W11</f>
        <v>9598478.3599999994</v>
      </c>
      <c r="X12" s="268">
        <f t="shared" ref="X12" si="593">W12+X11</f>
        <v>9632670.3599999994</v>
      </c>
      <c r="Y12" s="268">
        <f t="shared" ref="Y12" si="594">X12+Y11</f>
        <v>9625120.3599999994</v>
      </c>
      <c r="Z12" s="268">
        <f t="shared" ref="Z12" si="595">Y12+Z11</f>
        <v>9971541.4149999991</v>
      </c>
      <c r="AA12" s="268">
        <f t="shared" ref="AA12" si="596">Z12+AA11</f>
        <v>9974315.9949999992</v>
      </c>
      <c r="AB12" s="268">
        <f t="shared" ref="AB12" si="597">AA12+AB11</f>
        <v>9974315.9949999992</v>
      </c>
      <c r="AC12" s="268">
        <f t="shared" ref="AC12" si="598">AB12+AC11</f>
        <v>10440547.844999999</v>
      </c>
      <c r="AD12" s="268">
        <f t="shared" ref="AD12" si="599">AC12+AD11</f>
        <v>10440547.844999999</v>
      </c>
      <c r="AE12" s="268">
        <f t="shared" ref="AE12" si="600">AD12+AE11</f>
        <v>10441304.084999999</v>
      </c>
      <c r="AF12" s="268">
        <f t="shared" ref="AF12" si="601">AE12+AF11</f>
        <v>10545405.432999998</v>
      </c>
      <c r="AG12" s="268">
        <f t="shared" ref="AG12" si="602">AF12+AG11</f>
        <v>10562817.242999999</v>
      </c>
      <c r="AH12" s="268">
        <f t="shared" ref="AH12" si="603">AG12+AH11</f>
        <v>10592005.008217391</v>
      </c>
      <c r="AI12" s="268">
        <f t="shared" ref="AI12" si="604">AH12+AI11</f>
        <v>10806001.713</v>
      </c>
      <c r="AJ12" s="268">
        <f t="shared" ref="AJ12" si="605">AI12+AJ11</f>
        <v>11262876.513</v>
      </c>
      <c r="AK12" s="268">
        <f t="shared" ref="AK12" si="606">AJ12+AK11</f>
        <v>11263556.013</v>
      </c>
      <c r="AL12" s="268">
        <f t="shared" ref="AL12" si="607">AK12+AL11</f>
        <v>11263556.013</v>
      </c>
      <c r="AM12" s="268">
        <f t="shared" ref="AM12" si="608">AL12+AM11</f>
        <v>11774937.228</v>
      </c>
      <c r="AN12" s="268">
        <f t="shared" ref="AN12" si="609">AM12+AN11</f>
        <v>11774937.228</v>
      </c>
      <c r="AO12" s="268">
        <f t="shared" ref="AO12" si="610">AN12+AO11</f>
        <v>12988725.118000001</v>
      </c>
      <c r="AP12" s="268">
        <f t="shared" ref="AP12" si="611">AO12+AP11</f>
        <v>12988725.118000001</v>
      </c>
      <c r="AQ12" s="268">
        <f t="shared" ref="AQ12" si="612">AP12+AQ11</f>
        <v>13047025.118000001</v>
      </c>
      <c r="AR12" s="268">
        <f t="shared" ref="AR12" si="613">AQ12+AR11</f>
        <v>13168050.455</v>
      </c>
      <c r="AS12" s="268">
        <f t="shared" ref="AS12" si="614">AR12+AS11</f>
        <v>13317581.338</v>
      </c>
      <c r="AT12" s="268">
        <f t="shared" ref="AT12" si="615">AS12+AT11</f>
        <v>13338242.427999999</v>
      </c>
      <c r="AU12" s="268">
        <f t="shared" ref="AU12" si="616">AT12+AU11</f>
        <v>13338242.427999999</v>
      </c>
      <c r="AV12" s="268">
        <f t="shared" ref="AV12" si="617">AU12+AV11</f>
        <v>13338242.427999999</v>
      </c>
      <c r="AW12" s="268">
        <f t="shared" ref="AW12" si="618">AV12+AW11</f>
        <v>13742090.847999999</v>
      </c>
      <c r="AX12" s="268">
        <f t="shared" ref="AX12" si="619">AW12+AX11</f>
        <v>13799109.418</v>
      </c>
      <c r="AY12" s="268">
        <f t="shared" ref="AY12" si="620">AX12+AY11</f>
        <v>13799109.418</v>
      </c>
      <c r="AZ12" s="268">
        <f t="shared" ref="AZ12" si="621">AY12+AZ11</f>
        <v>13799109.418</v>
      </c>
      <c r="BA12" s="268">
        <f t="shared" ref="BA12" si="622">AZ12+BA11</f>
        <v>13810713.418</v>
      </c>
      <c r="BB12" s="268">
        <f t="shared" ref="BB12" si="623">BA12+BB11</f>
        <v>13812053.138</v>
      </c>
      <c r="BC12" s="268">
        <f t="shared" ref="BC12" si="624">BB12+BC11</f>
        <v>13812053.138</v>
      </c>
      <c r="BD12" s="268">
        <f t="shared" ref="BD12" si="625">BC12+BD11</f>
        <v>13828191.438000001</v>
      </c>
      <c r="BE12" s="268">
        <f t="shared" ref="BE12" si="626">BD12+BE11</f>
        <v>13850081.438000001</v>
      </c>
      <c r="BF12" s="268">
        <f t="shared" ref="BF12:CK12" si="627">BE12+BF11</f>
        <v>13939572.138</v>
      </c>
      <c r="BG12" s="268">
        <f t="shared" si="627"/>
        <v>13940822.798</v>
      </c>
      <c r="BH12" s="268">
        <f t="shared" si="627"/>
        <v>13940822.798</v>
      </c>
      <c r="BI12" s="268">
        <f t="shared" si="627"/>
        <v>13940822.798</v>
      </c>
      <c r="BJ12" s="268">
        <f t="shared" si="627"/>
        <v>14047699.928000001</v>
      </c>
      <c r="BK12" s="268">
        <f t="shared" si="627"/>
        <v>14154895.548</v>
      </c>
      <c r="BL12" s="268">
        <f t="shared" si="627"/>
        <v>14154895.548</v>
      </c>
      <c r="BM12" s="268">
        <f t="shared" si="627"/>
        <v>14154895.548</v>
      </c>
      <c r="BN12" s="268">
        <f t="shared" si="627"/>
        <v>14154895.548</v>
      </c>
      <c r="BO12" s="268">
        <f t="shared" si="627"/>
        <v>14154895.548</v>
      </c>
      <c r="BP12" s="268">
        <f t="shared" si="627"/>
        <v>14154895.548</v>
      </c>
      <c r="BQ12" s="268">
        <f t="shared" si="627"/>
        <v>14154895.548</v>
      </c>
      <c r="BR12" s="268">
        <f t="shared" si="627"/>
        <v>14154895.548</v>
      </c>
      <c r="BS12" s="268">
        <f t="shared" si="627"/>
        <v>14154895.548</v>
      </c>
      <c r="BT12" s="268">
        <f t="shared" si="627"/>
        <v>14154895.548</v>
      </c>
      <c r="BU12" s="268">
        <f t="shared" si="627"/>
        <v>14154895.548</v>
      </c>
      <c r="BV12" s="268">
        <f t="shared" si="627"/>
        <v>14154895.548</v>
      </c>
      <c r="BW12" s="268">
        <f t="shared" si="627"/>
        <v>14154895.548</v>
      </c>
      <c r="BX12" s="268">
        <f t="shared" si="627"/>
        <v>14154895.548</v>
      </c>
      <c r="BY12" s="268">
        <f t="shared" si="627"/>
        <v>14154895.548</v>
      </c>
      <c r="BZ12" s="268">
        <f t="shared" si="627"/>
        <v>14154895.548</v>
      </c>
      <c r="CA12" s="268">
        <f t="shared" si="627"/>
        <v>14154895.548</v>
      </c>
      <c r="CB12" s="268">
        <f t="shared" si="627"/>
        <v>14154895.548</v>
      </c>
      <c r="CC12" s="268">
        <f t="shared" si="627"/>
        <v>14154895.548</v>
      </c>
      <c r="CD12" s="268">
        <f t="shared" si="627"/>
        <v>14154895.548</v>
      </c>
      <c r="CE12" s="268">
        <f t="shared" si="627"/>
        <v>14154895.548</v>
      </c>
      <c r="CF12" s="268">
        <f t="shared" si="627"/>
        <v>14154895.548</v>
      </c>
      <c r="CG12" s="268">
        <f t="shared" si="627"/>
        <v>14154895.548</v>
      </c>
      <c r="CH12" s="268">
        <f t="shared" si="627"/>
        <v>14154895.548</v>
      </c>
      <c r="CI12" s="268">
        <f t="shared" si="627"/>
        <v>14154895.548</v>
      </c>
      <c r="CJ12" s="268">
        <f t="shared" si="627"/>
        <v>14154895.548</v>
      </c>
      <c r="CK12" s="268">
        <f t="shared" si="627"/>
        <v>14154895.548</v>
      </c>
      <c r="CL12" s="268">
        <f t="shared" ref="CL12" si="628">CK12+CL11</f>
        <v>14154895.548</v>
      </c>
      <c r="CM12" s="268">
        <f t="shared" ref="CM12" si="629">CL12+CM11</f>
        <v>14154895.548</v>
      </c>
      <c r="CN12" s="268">
        <f t="shared" ref="CN12" si="630">CM12+CN11</f>
        <v>14154895.548</v>
      </c>
      <c r="CO12" s="268">
        <f t="shared" ref="CO12" si="631">CN12+CO11</f>
        <v>14154895.548</v>
      </c>
      <c r="CP12" s="268">
        <f t="shared" ref="CP12" si="632">CO12+CP11</f>
        <v>14154895.548</v>
      </c>
      <c r="CQ12" s="268">
        <f t="shared" ref="CQ12" si="633">CP12+CQ11</f>
        <v>14154895.548</v>
      </c>
      <c r="CR12" s="268">
        <f t="shared" ref="CR12" si="634">CQ12+CR11</f>
        <v>14154895.548</v>
      </c>
      <c r="CS12" s="268">
        <f t="shared" ref="CS12" si="635">CR12+CS11</f>
        <v>14154895.548</v>
      </c>
      <c r="CT12" s="268">
        <f t="shared" ref="CT12" si="636">CS12+CT11</f>
        <v>14154895.548</v>
      </c>
      <c r="CU12" s="268">
        <f t="shared" ref="CU12" si="637">CT12+CU11</f>
        <v>14154895.548</v>
      </c>
      <c r="CV12" s="268">
        <f t="shared" ref="CV12" si="638">CU12+CV11</f>
        <v>14154895.548</v>
      </c>
      <c r="CW12" s="268">
        <f t="shared" ref="CW12" si="639">CV12+CW11</f>
        <v>14154895.548</v>
      </c>
      <c r="CX12" s="268">
        <f t="shared" ref="CX12" si="640">CW12+CX11</f>
        <v>14154895.548</v>
      </c>
      <c r="CY12" s="268">
        <f t="shared" ref="CY12" si="641">CX12+CY11</f>
        <v>14154895.548</v>
      </c>
      <c r="CZ12" s="268">
        <f t="shared" ref="CZ12" si="642">CY12+CZ11</f>
        <v>14154895.548</v>
      </c>
      <c r="DA12" s="268">
        <f t="shared" ref="DA12" si="643">CZ12+DA11</f>
        <v>14154895.548</v>
      </c>
      <c r="DB12" s="268">
        <f t="shared" ref="DB12" si="644">DA12+DB11</f>
        <v>14154895.548</v>
      </c>
      <c r="DC12" s="268">
        <f t="shared" ref="DC12" si="645">DB12+DC11</f>
        <v>14154895.548</v>
      </c>
      <c r="DD12" s="268">
        <f t="shared" ref="DD12" si="646">DC12+DD11</f>
        <v>14154895.548</v>
      </c>
      <c r="DE12" s="268">
        <f t="shared" ref="DE12" si="647">DD12+DE11</f>
        <v>14154895.548</v>
      </c>
      <c r="DF12" s="268">
        <f t="shared" ref="DF12" si="648">DE12+DF11</f>
        <v>14154895.548</v>
      </c>
      <c r="DG12" s="268">
        <f t="shared" ref="DG12" si="649">DF12+DG11</f>
        <v>14154895.548</v>
      </c>
      <c r="DH12" s="268">
        <f t="shared" ref="DH12" si="650">DG12+DH11</f>
        <v>14154895.548</v>
      </c>
      <c r="DI12" s="268">
        <f t="shared" ref="DI12" si="651">DH12+DI11</f>
        <v>14154895.548</v>
      </c>
      <c r="DJ12" s="268">
        <f t="shared" ref="DJ12" si="652">DI12+DJ11</f>
        <v>14154895.548</v>
      </c>
      <c r="DK12" s="268">
        <f t="shared" ref="DK12" si="653">DJ12+DK11</f>
        <v>14154895.548</v>
      </c>
      <c r="DL12" s="268">
        <f t="shared" ref="DL12" si="654">DK12+DL11</f>
        <v>14154895.548</v>
      </c>
      <c r="DM12" s="268">
        <f t="shared" ref="DM12" si="655">DL12+DM11</f>
        <v>14154895.548</v>
      </c>
      <c r="DN12" s="268">
        <f t="shared" ref="DN12" si="656">DM12+DN11</f>
        <v>14154895.548</v>
      </c>
      <c r="DO12" s="268">
        <f t="shared" ref="DO12" si="657">DN12+DO11</f>
        <v>14154895.548</v>
      </c>
      <c r="DP12" s="268">
        <f t="shared" ref="DP12" si="658">DO12+DP11</f>
        <v>14154895.548</v>
      </c>
      <c r="DQ12" s="268">
        <f t="shared" ref="DQ12" si="659">DP12+DQ11</f>
        <v>14154895.548</v>
      </c>
      <c r="DR12" s="268">
        <f t="shared" ref="DR12" si="660">DQ12+DR11</f>
        <v>14154895.548</v>
      </c>
      <c r="DS12" s="268">
        <f t="shared" ref="DS12" si="661">DR12+DS11</f>
        <v>14154895.548</v>
      </c>
      <c r="DT12" s="268">
        <f t="shared" ref="DT12" si="662">DS12+DT11</f>
        <v>14154895.548</v>
      </c>
      <c r="DU12" s="268">
        <f t="shared" ref="DU12" si="663">DT12+DU11</f>
        <v>14154895.548</v>
      </c>
      <c r="DV12" s="268">
        <f t="shared" ref="DV12" si="664">DU12+DV11</f>
        <v>14154895.548</v>
      </c>
      <c r="DW12" s="268">
        <f t="shared" ref="DW12" si="665">DV12+DW11</f>
        <v>14154895.548</v>
      </c>
      <c r="DX12" s="268">
        <f t="shared" ref="DX12" si="666">DW12+DX11</f>
        <v>14154895.548</v>
      </c>
      <c r="DY12" s="268">
        <f t="shared" ref="DY12" si="667">DX12+DY11</f>
        <v>14154895.548</v>
      </c>
      <c r="DZ12" s="268">
        <f t="shared" ref="DZ12" si="668">DY12+DZ11</f>
        <v>14154895.548</v>
      </c>
      <c r="EA12" s="268">
        <f t="shared" ref="EA12" si="669">DZ12+EA11</f>
        <v>14154895.548</v>
      </c>
      <c r="EB12" s="268">
        <f t="shared" ref="EB12" si="670">EA12+EB11</f>
        <v>14154895.548</v>
      </c>
      <c r="EC12" s="268">
        <f t="shared" ref="EC12" si="671">EB12+EC11</f>
        <v>14154895.548</v>
      </c>
      <c r="ED12" s="268">
        <f t="shared" ref="ED12" si="672">EC12+ED11</f>
        <v>14154895.548</v>
      </c>
      <c r="EE12" s="268">
        <f t="shared" ref="EE12" si="673">ED12+EE11</f>
        <v>14154895.548</v>
      </c>
      <c r="EF12" s="268">
        <f t="shared" ref="EF12" si="674">EE12+EF11</f>
        <v>14154895.548</v>
      </c>
      <c r="EG12" s="268">
        <f t="shared" ref="EG12" si="675">EF12+EG11</f>
        <v>14154895.548</v>
      </c>
      <c r="EH12" s="268">
        <f t="shared" ref="EH12" si="676">EG12+EH11</f>
        <v>14154895.548</v>
      </c>
      <c r="EI12" s="268">
        <f t="shared" ref="EI12" si="677">EH12+EI11</f>
        <v>14154895.548</v>
      </c>
      <c r="EJ12" s="268">
        <f t="shared" ref="EJ12" si="678">EI12+EJ11</f>
        <v>14154895.548</v>
      </c>
      <c r="EK12" s="268">
        <f t="shared" ref="EK12" si="679">EJ12+EK11</f>
        <v>14154895.548</v>
      </c>
      <c r="EL12" s="268">
        <f t="shared" ref="EL12" si="680">EK12+EL11</f>
        <v>14154895.548</v>
      </c>
      <c r="EM12" s="268">
        <f t="shared" ref="EM12" si="681">EL12+EM11</f>
        <v>14154895.548</v>
      </c>
      <c r="EN12" s="268">
        <f t="shared" ref="EN12" si="682">EM12+EN11</f>
        <v>14154895.548</v>
      </c>
      <c r="EO12" s="268">
        <f t="shared" ref="EO12" si="683">EN12+EO11</f>
        <v>14154895.548</v>
      </c>
      <c r="EP12" s="268">
        <f t="shared" ref="EP12" si="684">EO12+EP11</f>
        <v>14154895.548</v>
      </c>
      <c r="EQ12" s="268">
        <f t="shared" ref="EQ12" si="685">EP12+EQ11</f>
        <v>14154895.548</v>
      </c>
      <c r="ER12" s="268">
        <f t="shared" ref="ER12" si="686">EQ12+ER11</f>
        <v>14154895.548</v>
      </c>
      <c r="ES12" s="268">
        <f t="shared" ref="ES12" si="687">ER12+ES11</f>
        <v>14154895.548</v>
      </c>
      <c r="ET12" s="268">
        <f t="shared" ref="ET12" si="688">ES12+ET11</f>
        <v>14154895.548</v>
      </c>
      <c r="EU12" s="268">
        <f t="shared" ref="EU12" si="689">ET12+EU11</f>
        <v>14154895.548</v>
      </c>
      <c r="EV12" s="268">
        <f t="shared" ref="EV12" si="690">EU12+EV11</f>
        <v>14154895.548</v>
      </c>
      <c r="EW12" s="268">
        <f t="shared" ref="EW12" si="691">EV12+EW11</f>
        <v>14154895.548</v>
      </c>
      <c r="EX12" s="268">
        <f t="shared" ref="EX12" si="692">EW12+EX11</f>
        <v>14154895.548</v>
      </c>
      <c r="EY12" s="268">
        <f t="shared" ref="EY12" si="693">EX12+EY11</f>
        <v>14154895.548</v>
      </c>
      <c r="EZ12" s="268">
        <f t="shared" ref="EZ12" si="694">EY12+EZ11</f>
        <v>14154895.548</v>
      </c>
      <c r="FA12" s="268">
        <f t="shared" ref="FA12" si="695">EZ12+FA11</f>
        <v>14154895.548</v>
      </c>
      <c r="FB12" s="268">
        <f t="shared" ref="FB12" si="696">FA12+FB11</f>
        <v>14154895.548</v>
      </c>
      <c r="FC12" s="268">
        <f t="shared" ref="FC12" si="697">FB12+FC11</f>
        <v>14154895.548</v>
      </c>
      <c r="FD12" s="268">
        <f t="shared" ref="FD12" si="698">FC12+FD11</f>
        <v>14154895.548</v>
      </c>
      <c r="FE12" s="268">
        <f t="shared" ref="FE12" si="699">FD12+FE11</f>
        <v>14154895.548</v>
      </c>
      <c r="FF12" s="268">
        <f t="shared" ref="FF12" si="700">FE12+FF11</f>
        <v>14154895.548</v>
      </c>
      <c r="FG12" s="268">
        <f t="shared" ref="FG12" si="701">FF12+FG11</f>
        <v>14154895.548</v>
      </c>
      <c r="FH12" s="268">
        <f t="shared" ref="FH12" si="702">FG12+FH11</f>
        <v>14154895.548</v>
      </c>
      <c r="FI12" s="268">
        <f t="shared" ref="FI12" si="703">FH12+FI11</f>
        <v>14154895.548</v>
      </c>
      <c r="FJ12" s="268">
        <f t="shared" ref="FJ12" si="704">FI12+FJ11</f>
        <v>14154895.548</v>
      </c>
      <c r="FK12" s="268">
        <f t="shared" ref="FK12" si="705">FJ12+FK11</f>
        <v>14154895.548</v>
      </c>
      <c r="FL12" s="268">
        <f t="shared" ref="FL12" si="706">FK12+FL11</f>
        <v>14154895.548</v>
      </c>
      <c r="FM12" s="268">
        <f t="shared" ref="FM12" si="707">FL12+FM11</f>
        <v>14154895.548</v>
      </c>
      <c r="FN12" s="268">
        <f t="shared" ref="FN12" si="708">FM12+FN11</f>
        <v>14154895.548</v>
      </c>
      <c r="FO12" s="268">
        <f t="shared" ref="FO12" si="709">FN12+FO11</f>
        <v>14154895.548</v>
      </c>
      <c r="FP12" s="268">
        <f t="shared" ref="FP12" si="710">FO12+FP11</f>
        <v>14154895.548</v>
      </c>
      <c r="FQ12" s="268">
        <f t="shared" ref="FQ12" si="711">FP12+FQ11</f>
        <v>14154895.548</v>
      </c>
      <c r="FR12" s="268">
        <f t="shared" ref="FR12" si="712">FQ12+FR11</f>
        <v>14154895.548</v>
      </c>
      <c r="FS12" s="268">
        <f t="shared" ref="FS12" si="713">FR12+FS11</f>
        <v>14154895.548</v>
      </c>
      <c r="FT12" s="268">
        <f t="shared" ref="FT12" si="714">FS12+FT11</f>
        <v>14154895.548</v>
      </c>
      <c r="FU12" s="268">
        <f t="shared" ref="FU12" si="715">FT12+FU11</f>
        <v>14154895.548</v>
      </c>
      <c r="FV12" s="268">
        <f t="shared" ref="FV12" si="716">FU12+FV11</f>
        <v>14154895.548</v>
      </c>
      <c r="FW12" s="268">
        <f t="shared" ref="FW12" si="717">FV12+FW11</f>
        <v>14154895.548</v>
      </c>
      <c r="FX12" s="268">
        <f t="shared" ref="FX12" si="718">FW12+FX11</f>
        <v>14154895.548</v>
      </c>
      <c r="FY12" s="268">
        <f t="shared" ref="FY12" si="719">FX12+FY11</f>
        <v>14154895.548</v>
      </c>
      <c r="FZ12" s="268">
        <f t="shared" ref="FZ12" si="720">FY12+FZ11</f>
        <v>14154895.548</v>
      </c>
      <c r="GA12" s="268">
        <f t="shared" ref="GA12" si="721">FZ12+GA11</f>
        <v>14154895.548</v>
      </c>
      <c r="GB12" s="268">
        <f t="shared" ref="GB12" si="722">GA12+GB11</f>
        <v>14154895.548</v>
      </c>
      <c r="GC12" s="268">
        <f t="shared" ref="GC12" si="723">GB12+GC11</f>
        <v>14154895.548</v>
      </c>
      <c r="GD12" s="268">
        <f t="shared" ref="GD12" si="724">GC12+GD11</f>
        <v>14154895.548</v>
      </c>
      <c r="GE12" s="268">
        <f t="shared" ref="GE12" si="725">GD12+GE11</f>
        <v>14154895.548</v>
      </c>
      <c r="GF12" s="268">
        <f t="shared" ref="GF12" si="726">GE12+GF11</f>
        <v>14154895.548</v>
      </c>
      <c r="GG12" s="245"/>
      <c r="GH12" s="256"/>
    </row>
    <row r="13" spans="1:666" s="245" customFormat="1">
      <c r="A13" s="1052"/>
      <c r="E13" s="251"/>
      <c r="F13" s="262"/>
      <c r="G13" s="262"/>
      <c r="H13" s="262"/>
      <c r="I13" s="262"/>
      <c r="J13" s="262"/>
      <c r="K13" s="262"/>
      <c r="L13" s="262"/>
      <c r="M13" s="262"/>
      <c r="N13" s="262"/>
      <c r="O13" s="262"/>
      <c r="P13" s="262"/>
      <c r="Q13" s="262"/>
      <c r="R13" s="262"/>
      <c r="S13" s="262"/>
      <c r="T13" s="262"/>
      <c r="U13" s="262"/>
      <c r="V13" s="262"/>
      <c r="W13" s="262"/>
      <c r="X13" s="262"/>
      <c r="Y13" s="262"/>
      <c r="Z13" s="262"/>
      <c r="AA13" s="262"/>
      <c r="AB13" s="262"/>
      <c r="AC13" s="262"/>
      <c r="AD13" s="262"/>
      <c r="AE13" s="262"/>
      <c r="AF13" s="262"/>
      <c r="AG13" s="262"/>
      <c r="AH13" s="262"/>
      <c r="AI13" s="262"/>
      <c r="AJ13" s="262"/>
      <c r="AK13" s="262"/>
      <c r="AL13" s="262"/>
      <c r="AM13" s="262"/>
      <c r="AN13" s="262"/>
      <c r="AO13" s="262"/>
      <c r="AP13" s="262"/>
      <c r="AQ13" s="262"/>
      <c r="AR13" s="262"/>
      <c r="AS13" s="262"/>
      <c r="AT13" s="262"/>
      <c r="AU13" s="262"/>
      <c r="AV13" s="262"/>
      <c r="AW13" s="262"/>
      <c r="AX13" s="262"/>
      <c r="AY13" s="262"/>
      <c r="AZ13" s="262"/>
      <c r="BA13" s="262"/>
      <c r="BB13" s="262"/>
      <c r="BC13" s="262"/>
      <c r="BD13" s="262"/>
      <c r="BE13" s="262"/>
      <c r="BF13" s="262"/>
      <c r="BG13" s="262"/>
      <c r="BH13" s="262"/>
      <c r="BI13" s="262"/>
      <c r="BJ13" s="262"/>
      <c r="BK13" s="262"/>
      <c r="BL13" s="262"/>
      <c r="BM13" s="262"/>
      <c r="BN13" s="262"/>
      <c r="BO13" s="262"/>
      <c r="BP13" s="262"/>
      <c r="BQ13" s="262"/>
      <c r="BR13" s="262"/>
      <c r="BS13" s="262"/>
      <c r="BT13" s="262"/>
      <c r="BU13" s="262"/>
      <c r="BV13" s="262"/>
      <c r="BW13" s="262"/>
      <c r="BX13" s="262"/>
      <c r="BY13" s="262"/>
      <c r="BZ13" s="262"/>
      <c r="CA13" s="262"/>
      <c r="CB13" s="262"/>
      <c r="CC13" s="262"/>
      <c r="CD13" s="262"/>
      <c r="CE13" s="262"/>
      <c r="CF13" s="262"/>
      <c r="CG13" s="262"/>
      <c r="CH13" s="262"/>
      <c r="CI13" s="262"/>
      <c r="CJ13" s="262"/>
      <c r="CK13" s="262"/>
      <c r="CL13" s="262"/>
      <c r="CM13" s="262"/>
      <c r="CN13" s="262"/>
      <c r="CO13" s="262"/>
      <c r="CP13" s="262"/>
      <c r="CQ13" s="262"/>
      <c r="CR13" s="262"/>
      <c r="CS13" s="262"/>
      <c r="CT13" s="262"/>
      <c r="CU13" s="262"/>
      <c r="CV13" s="262"/>
      <c r="CW13" s="262"/>
      <c r="CX13" s="262"/>
      <c r="CY13" s="262"/>
      <c r="CZ13" s="262"/>
      <c r="DA13" s="262"/>
      <c r="DB13" s="262"/>
      <c r="DC13" s="262"/>
      <c r="DD13" s="262"/>
      <c r="DE13" s="262"/>
      <c r="DF13" s="262"/>
      <c r="DG13" s="262"/>
      <c r="DH13" s="262"/>
      <c r="DI13" s="262"/>
      <c r="DJ13" s="262"/>
      <c r="DK13" s="262"/>
      <c r="DL13" s="262"/>
      <c r="DM13" s="262"/>
      <c r="DN13" s="262"/>
      <c r="DO13" s="262"/>
      <c r="DP13" s="262"/>
      <c r="DQ13" s="262"/>
      <c r="DR13" s="262"/>
      <c r="DS13" s="262"/>
      <c r="DT13" s="262"/>
      <c r="DU13" s="262"/>
      <c r="DV13" s="262"/>
      <c r="DW13" s="262"/>
      <c r="DX13" s="262"/>
      <c r="DY13" s="262"/>
      <c r="DZ13" s="262"/>
      <c r="EA13" s="262"/>
      <c r="EB13" s="262"/>
      <c r="EC13" s="262"/>
      <c r="ED13" s="262"/>
      <c r="EE13" s="262"/>
      <c r="EF13" s="262"/>
      <c r="EG13" s="262"/>
      <c r="EH13" s="262"/>
      <c r="EI13" s="262"/>
      <c r="EJ13" s="262"/>
      <c r="EK13" s="262"/>
      <c r="EL13" s="262"/>
      <c r="EM13" s="262"/>
      <c r="EN13" s="262"/>
      <c r="EO13" s="262"/>
      <c r="EP13" s="262"/>
      <c r="EQ13" s="262"/>
      <c r="ER13" s="262"/>
      <c r="ES13" s="262"/>
      <c r="ET13" s="262"/>
      <c r="EU13" s="262"/>
      <c r="EV13" s="262"/>
      <c r="EW13" s="262"/>
      <c r="EX13" s="262"/>
      <c r="EY13" s="262"/>
      <c r="EZ13" s="262"/>
      <c r="FA13" s="262"/>
      <c r="FB13" s="262"/>
      <c r="FC13" s="262"/>
      <c r="FD13" s="262"/>
      <c r="FE13" s="262"/>
      <c r="FF13" s="262"/>
      <c r="FG13" s="262"/>
      <c r="FH13" s="262"/>
      <c r="FI13" s="262"/>
      <c r="FJ13" s="262"/>
      <c r="FK13" s="262"/>
      <c r="FL13" s="262"/>
      <c r="FM13" s="262"/>
      <c r="FN13" s="262"/>
      <c r="FO13" s="262"/>
      <c r="FP13" s="262"/>
      <c r="FQ13" s="262"/>
      <c r="FR13" s="262"/>
      <c r="FS13" s="262"/>
      <c r="FT13" s="262"/>
      <c r="FU13" s="262"/>
      <c r="FV13" s="262"/>
      <c r="FW13" s="262"/>
      <c r="FX13" s="262"/>
      <c r="FY13" s="262"/>
      <c r="FZ13" s="262"/>
      <c r="GA13" s="262"/>
      <c r="GB13" s="262"/>
      <c r="GC13" s="262"/>
      <c r="GD13" s="262"/>
      <c r="GE13" s="262"/>
      <c r="GF13" s="262"/>
      <c r="GH13"/>
      <c r="GI13"/>
      <c r="GJ13"/>
      <c r="GK13"/>
      <c r="GL13"/>
      <c r="GM13"/>
      <c r="GN13"/>
      <c r="GO13"/>
      <c r="GP13"/>
      <c r="GQ13"/>
      <c r="GR13"/>
      <c r="GS13"/>
      <c r="GT13"/>
      <c r="GU13"/>
      <c r="GV13"/>
      <c r="GW13"/>
      <c r="GX13"/>
      <c r="GY13"/>
      <c r="GZ13"/>
      <c r="HA13"/>
      <c r="HB13"/>
      <c r="HC13"/>
      <c r="HD13"/>
      <c r="HE13"/>
      <c r="HF13"/>
      <c r="HG13"/>
      <c r="HH13"/>
      <c r="HI13"/>
      <c r="HJ13"/>
      <c r="HK13"/>
      <c r="HL13"/>
      <c r="HM13"/>
      <c r="HN13"/>
      <c r="HO13"/>
      <c r="HP13"/>
      <c r="HQ13"/>
      <c r="HR13"/>
      <c r="HS13"/>
      <c r="HT13"/>
      <c r="HU13"/>
      <c r="HV13"/>
      <c r="HW13"/>
      <c r="HX13"/>
      <c r="HY13"/>
      <c r="HZ13"/>
      <c r="IA13"/>
      <c r="IB13"/>
      <c r="IC13"/>
      <c r="ID13"/>
      <c r="IE13"/>
      <c r="IF13"/>
      <c r="IG13"/>
      <c r="IH13"/>
      <c r="II13"/>
      <c r="IJ13"/>
      <c r="IK13"/>
      <c r="IL13"/>
      <c r="IM13"/>
      <c r="IN13"/>
      <c r="IO13"/>
      <c r="IP13"/>
      <c r="IQ13"/>
      <c r="IR13"/>
      <c r="IS13"/>
      <c r="IT13"/>
      <c r="IU13"/>
      <c r="IV13"/>
      <c r="IW13"/>
      <c r="IX13"/>
      <c r="IY13"/>
      <c r="IZ13"/>
      <c r="JA13"/>
      <c r="JB13"/>
      <c r="JC13"/>
      <c r="JD13"/>
      <c r="JE13"/>
      <c r="JF13"/>
      <c r="JG13"/>
      <c r="JH13"/>
      <c r="JI13"/>
      <c r="JJ13"/>
      <c r="JK13"/>
      <c r="JL13"/>
      <c r="JM13"/>
      <c r="JN13"/>
      <c r="JO13"/>
      <c r="JP13"/>
      <c r="JQ13"/>
      <c r="JR13"/>
      <c r="JS13"/>
      <c r="JT13"/>
      <c r="JU13"/>
      <c r="JV13"/>
      <c r="JW13"/>
      <c r="JX13"/>
      <c r="JY13"/>
      <c r="JZ13"/>
      <c r="KA13"/>
      <c r="KB13"/>
      <c r="KC13"/>
      <c r="KD13"/>
      <c r="KE13"/>
      <c r="KF13"/>
      <c r="KG13"/>
      <c r="KH13"/>
      <c r="KI13"/>
      <c r="KJ13"/>
      <c r="KK13"/>
      <c r="KL13"/>
      <c r="KM13"/>
      <c r="KN13"/>
      <c r="KO13"/>
      <c r="KP13"/>
      <c r="KQ13"/>
      <c r="KR13"/>
      <c r="KS13"/>
      <c r="KT13"/>
      <c r="KU13"/>
      <c r="KV13"/>
      <c r="KW13"/>
      <c r="KX13"/>
      <c r="KY13"/>
      <c r="KZ13"/>
      <c r="LA13"/>
      <c r="LB13"/>
      <c r="LC13"/>
      <c r="LD13"/>
      <c r="LE13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</row>
    <row r="14" spans="1:666">
      <c r="A14" s="1052"/>
      <c r="B14" s="258" t="s">
        <v>467</v>
      </c>
      <c r="C14" s="259"/>
      <c r="D14" s="259"/>
      <c r="E14" s="260"/>
      <c r="F14" s="261">
        <f t="shared" ref="F14:AA14" si="727">F10-F12</f>
        <v>8971852.9800000004</v>
      </c>
      <c r="G14" s="261">
        <f t="shared" si="727"/>
        <v>8971852.9800000004</v>
      </c>
      <c r="H14" s="261">
        <f t="shared" si="727"/>
        <v>8971852.9800000004</v>
      </c>
      <c r="I14" s="261">
        <f t="shared" si="727"/>
        <v>8971852.9800000004</v>
      </c>
      <c r="J14" s="261">
        <f t="shared" si="727"/>
        <v>8966005.620000001</v>
      </c>
      <c r="K14" s="261">
        <f t="shared" si="727"/>
        <v>8966005.620000001</v>
      </c>
      <c r="L14" s="261">
        <f t="shared" si="727"/>
        <v>8966005.620000001</v>
      </c>
      <c r="M14" s="261">
        <f t="shared" si="727"/>
        <v>8966005.620000001</v>
      </c>
      <c r="N14" s="261">
        <f t="shared" si="727"/>
        <v>8966005.620000001</v>
      </c>
      <c r="O14" s="261">
        <f t="shared" si="727"/>
        <v>8090940.4026086964</v>
      </c>
      <c r="P14" s="261">
        <f t="shared" si="727"/>
        <v>8090940.4026086964</v>
      </c>
      <c r="Q14" s="261">
        <f t="shared" si="727"/>
        <v>6077985.6200000001</v>
      </c>
      <c r="R14" s="261">
        <f t="shared" si="727"/>
        <v>6077985.6200000001</v>
      </c>
      <c r="S14" s="261">
        <f t="shared" si="727"/>
        <v>5643052.0113043478</v>
      </c>
      <c r="T14" s="261">
        <f t="shared" si="727"/>
        <v>613154.62000000011</v>
      </c>
      <c r="U14" s="261">
        <f t="shared" si="727"/>
        <v>613154.62000000011</v>
      </c>
      <c r="V14" s="261">
        <f t="shared" si="727"/>
        <v>-648045.37999999896</v>
      </c>
      <c r="W14" s="261">
        <f t="shared" si="727"/>
        <v>-626625.37999999896</v>
      </c>
      <c r="X14" s="261">
        <f t="shared" si="727"/>
        <v>-660817.37999999896</v>
      </c>
      <c r="Y14" s="261">
        <f t="shared" si="727"/>
        <v>-355267.37999999896</v>
      </c>
      <c r="Z14" s="261">
        <f t="shared" si="727"/>
        <v>4531892.4700000025</v>
      </c>
      <c r="AA14" s="261">
        <f t="shared" si="727"/>
        <v>4529117.8900000025</v>
      </c>
      <c r="AB14" s="261">
        <f t="shared" ref="AB14:AT14" si="728">AB10-AB12</f>
        <v>4529117.8900000025</v>
      </c>
      <c r="AC14" s="261">
        <f t="shared" si="728"/>
        <v>4062886.0400000028</v>
      </c>
      <c r="AD14" s="261">
        <f t="shared" si="728"/>
        <v>4062886.0400000028</v>
      </c>
      <c r="AE14" s="261">
        <f t="shared" si="728"/>
        <v>4062129.8000000026</v>
      </c>
      <c r="AF14" s="261">
        <f t="shared" si="728"/>
        <v>3958028.4520000033</v>
      </c>
      <c r="AG14" s="261">
        <f t="shared" si="728"/>
        <v>3940616.6420000028</v>
      </c>
      <c r="AH14" s="261">
        <f t="shared" si="728"/>
        <v>3911428.876782611</v>
      </c>
      <c r="AI14" s="261">
        <f t="shared" si="728"/>
        <v>3697432.1720000021</v>
      </c>
      <c r="AJ14" s="261">
        <f t="shared" si="728"/>
        <v>3240557.3720000014</v>
      </c>
      <c r="AK14" s="261">
        <f t="shared" si="728"/>
        <v>3239877.8720000014</v>
      </c>
      <c r="AL14" s="261">
        <f t="shared" si="728"/>
        <v>3239877.8720000014</v>
      </c>
      <c r="AM14" s="261">
        <f t="shared" si="728"/>
        <v>2728496.6570000015</v>
      </c>
      <c r="AN14" s="261">
        <f t="shared" si="728"/>
        <v>2728496.6570000015</v>
      </c>
      <c r="AO14" s="261">
        <f t="shared" si="728"/>
        <v>1514708.7670000009</v>
      </c>
      <c r="AP14" s="261">
        <f t="shared" si="728"/>
        <v>1514708.7670000009</v>
      </c>
      <c r="AQ14" s="261">
        <f t="shared" si="728"/>
        <v>1456408.7670000009</v>
      </c>
      <c r="AR14" s="261">
        <f t="shared" si="728"/>
        <v>1335383.4300000016</v>
      </c>
      <c r="AS14" s="261">
        <f t="shared" si="728"/>
        <v>1185852.5470000021</v>
      </c>
      <c r="AT14" s="261">
        <f t="shared" si="728"/>
        <v>1165191.4570000023</v>
      </c>
      <c r="AU14" s="261">
        <f t="shared" ref="AU14:BE14" si="729">AU10-AU12</f>
        <v>1165191.4570000023</v>
      </c>
      <c r="AV14" s="261">
        <f t="shared" si="729"/>
        <v>1165191.4570000023</v>
      </c>
      <c r="AW14" s="261">
        <f t="shared" si="729"/>
        <v>761343.03700000234</v>
      </c>
      <c r="AX14" s="261">
        <f t="shared" si="729"/>
        <v>704324.46700000204</v>
      </c>
      <c r="AY14" s="261">
        <f t="shared" si="729"/>
        <v>704324.46700000204</v>
      </c>
      <c r="AZ14" s="261">
        <f t="shared" si="729"/>
        <v>704324.46700000204</v>
      </c>
      <c r="BA14" s="261">
        <f t="shared" si="729"/>
        <v>692720.46700000204</v>
      </c>
      <c r="BB14" s="261">
        <f t="shared" si="729"/>
        <v>691380.74700000137</v>
      </c>
      <c r="BC14" s="261">
        <f t="shared" si="729"/>
        <v>691380.74700000137</v>
      </c>
      <c r="BD14" s="261">
        <f t="shared" si="729"/>
        <v>675242.44700000063</v>
      </c>
      <c r="BE14" s="261">
        <f t="shared" si="729"/>
        <v>653352.44700000063</v>
      </c>
      <c r="BF14" s="261">
        <f t="shared" ref="BF14:CK14" si="730">BF10-BF12</f>
        <v>563861.74700000137</v>
      </c>
      <c r="BG14" s="261">
        <f t="shared" si="730"/>
        <v>562611.08700000122</v>
      </c>
      <c r="BH14" s="261">
        <f t="shared" si="730"/>
        <v>562611.08700000122</v>
      </c>
      <c r="BI14" s="261">
        <f t="shared" si="730"/>
        <v>562611.08700000122</v>
      </c>
      <c r="BJ14" s="261">
        <f t="shared" si="730"/>
        <v>829561.16449999996</v>
      </c>
      <c r="BK14" s="261">
        <f t="shared" si="730"/>
        <v>722365.54450000077</v>
      </c>
      <c r="BL14" s="261">
        <f t="shared" si="730"/>
        <v>722365.54450000077</v>
      </c>
      <c r="BM14" s="261">
        <f t="shared" si="730"/>
        <v>722365.54450000077</v>
      </c>
      <c r="BN14" s="261">
        <f t="shared" si="730"/>
        <v>722365.54450000077</v>
      </c>
      <c r="BO14" s="261">
        <f t="shared" si="730"/>
        <v>722365.54450000077</v>
      </c>
      <c r="BP14" s="261">
        <f t="shared" si="730"/>
        <v>722365.54450000077</v>
      </c>
      <c r="BQ14" s="261">
        <f t="shared" si="730"/>
        <v>722365.54450000077</v>
      </c>
      <c r="BR14" s="261">
        <f t="shared" si="730"/>
        <v>722365.54450000077</v>
      </c>
      <c r="BS14" s="261">
        <f t="shared" si="730"/>
        <v>722365.54450000077</v>
      </c>
      <c r="BT14" s="261">
        <f t="shared" si="730"/>
        <v>722365.54450000077</v>
      </c>
      <c r="BU14" s="261">
        <f t="shared" si="730"/>
        <v>722365.54450000077</v>
      </c>
      <c r="BV14" s="261">
        <f t="shared" si="730"/>
        <v>722365.54450000077</v>
      </c>
      <c r="BW14" s="261">
        <f t="shared" si="730"/>
        <v>722365.54450000077</v>
      </c>
      <c r="BX14" s="261">
        <f t="shared" si="730"/>
        <v>722365.54450000077</v>
      </c>
      <c r="BY14" s="261">
        <f t="shared" si="730"/>
        <v>722365.54450000077</v>
      </c>
      <c r="BZ14" s="261">
        <f t="shared" si="730"/>
        <v>722365.54450000077</v>
      </c>
      <c r="CA14" s="261">
        <f t="shared" si="730"/>
        <v>722365.54450000077</v>
      </c>
      <c r="CB14" s="261">
        <f t="shared" si="730"/>
        <v>722365.54450000077</v>
      </c>
      <c r="CC14" s="261">
        <f t="shared" si="730"/>
        <v>722365.54450000077</v>
      </c>
      <c r="CD14" s="261">
        <f t="shared" si="730"/>
        <v>722365.54450000077</v>
      </c>
      <c r="CE14" s="261">
        <f t="shared" si="730"/>
        <v>722365.54450000077</v>
      </c>
      <c r="CF14" s="261">
        <f t="shared" si="730"/>
        <v>722365.54450000077</v>
      </c>
      <c r="CG14" s="261">
        <f t="shared" si="730"/>
        <v>722365.54450000077</v>
      </c>
      <c r="CH14" s="261">
        <f t="shared" si="730"/>
        <v>722365.54450000077</v>
      </c>
      <c r="CI14" s="261">
        <f t="shared" si="730"/>
        <v>722365.54450000077</v>
      </c>
      <c r="CJ14" s="261">
        <f t="shared" si="730"/>
        <v>722365.54450000077</v>
      </c>
      <c r="CK14" s="261">
        <f t="shared" si="730"/>
        <v>722365.54450000077</v>
      </c>
      <c r="CL14" s="261">
        <f t="shared" ref="CL14:DR14" si="731">CL10-CL12</f>
        <v>722365.54450000077</v>
      </c>
      <c r="CM14" s="261">
        <f t="shared" si="731"/>
        <v>722365.54450000077</v>
      </c>
      <c r="CN14" s="261">
        <f t="shared" si="731"/>
        <v>722365.54450000077</v>
      </c>
      <c r="CO14" s="261">
        <f t="shared" si="731"/>
        <v>722365.54450000077</v>
      </c>
      <c r="CP14" s="261">
        <f t="shared" si="731"/>
        <v>722365.54450000077</v>
      </c>
      <c r="CQ14" s="261">
        <f t="shared" si="731"/>
        <v>722365.54450000077</v>
      </c>
      <c r="CR14" s="261">
        <f t="shared" si="731"/>
        <v>722365.54450000077</v>
      </c>
      <c r="CS14" s="261">
        <f t="shared" si="731"/>
        <v>722365.54450000077</v>
      </c>
      <c r="CT14" s="261">
        <f t="shared" si="731"/>
        <v>722365.54450000077</v>
      </c>
      <c r="CU14" s="261">
        <f t="shared" si="731"/>
        <v>722365.54450000077</v>
      </c>
      <c r="CV14" s="261">
        <f t="shared" si="731"/>
        <v>722365.54450000077</v>
      </c>
      <c r="CW14" s="261">
        <f t="shared" si="731"/>
        <v>722365.54450000077</v>
      </c>
      <c r="CX14" s="261">
        <f t="shared" si="731"/>
        <v>722365.54450000077</v>
      </c>
      <c r="CY14" s="261">
        <f t="shared" si="731"/>
        <v>722365.54450000077</v>
      </c>
      <c r="CZ14" s="261">
        <f t="shared" si="731"/>
        <v>722365.54450000077</v>
      </c>
      <c r="DA14" s="261">
        <f t="shared" si="731"/>
        <v>722365.54450000077</v>
      </c>
      <c r="DB14" s="261">
        <f t="shared" si="731"/>
        <v>722365.54450000077</v>
      </c>
      <c r="DC14" s="261">
        <f t="shared" si="731"/>
        <v>722365.54450000077</v>
      </c>
      <c r="DD14" s="261">
        <f t="shared" si="731"/>
        <v>722365.54450000077</v>
      </c>
      <c r="DE14" s="261">
        <f t="shared" si="731"/>
        <v>722365.54450000077</v>
      </c>
      <c r="DF14" s="261">
        <f t="shared" si="731"/>
        <v>722365.54450000077</v>
      </c>
      <c r="DG14" s="261">
        <f t="shared" si="731"/>
        <v>722365.54450000077</v>
      </c>
      <c r="DH14" s="261">
        <f t="shared" si="731"/>
        <v>722365.54450000077</v>
      </c>
      <c r="DI14" s="261">
        <f t="shared" si="731"/>
        <v>722365.54450000077</v>
      </c>
      <c r="DJ14" s="261">
        <f t="shared" si="731"/>
        <v>722365.54450000077</v>
      </c>
      <c r="DK14" s="261">
        <f t="shared" si="731"/>
        <v>722365.54450000077</v>
      </c>
      <c r="DL14" s="261">
        <f t="shared" si="731"/>
        <v>722365.54450000077</v>
      </c>
      <c r="DM14" s="261">
        <f t="shared" si="731"/>
        <v>722365.54450000077</v>
      </c>
      <c r="DN14" s="261">
        <f t="shared" si="731"/>
        <v>722365.54450000077</v>
      </c>
      <c r="DO14" s="261">
        <f t="shared" si="731"/>
        <v>722365.54450000077</v>
      </c>
      <c r="DP14" s="261">
        <f t="shared" si="731"/>
        <v>722365.54450000077</v>
      </c>
      <c r="DQ14" s="261">
        <f t="shared" si="731"/>
        <v>722365.54450000077</v>
      </c>
      <c r="DR14" s="261">
        <f t="shared" si="731"/>
        <v>722365.54450000077</v>
      </c>
      <c r="DS14" s="261">
        <f t="shared" ref="DS14:GD14" si="732">DS10-DS12</f>
        <v>722365.54450000077</v>
      </c>
      <c r="DT14" s="261">
        <f t="shared" si="732"/>
        <v>722365.54450000077</v>
      </c>
      <c r="DU14" s="261">
        <f t="shared" si="732"/>
        <v>722365.54450000077</v>
      </c>
      <c r="DV14" s="261">
        <f t="shared" si="732"/>
        <v>722365.54450000077</v>
      </c>
      <c r="DW14" s="261">
        <f t="shared" si="732"/>
        <v>722365.54450000077</v>
      </c>
      <c r="DX14" s="261">
        <f t="shared" si="732"/>
        <v>722365.54450000077</v>
      </c>
      <c r="DY14" s="261">
        <f t="shared" si="732"/>
        <v>722365.54450000077</v>
      </c>
      <c r="DZ14" s="261">
        <f t="shared" si="732"/>
        <v>722365.54450000077</v>
      </c>
      <c r="EA14" s="261">
        <f t="shared" si="732"/>
        <v>722365.54450000077</v>
      </c>
      <c r="EB14" s="261">
        <f t="shared" si="732"/>
        <v>722365.54450000077</v>
      </c>
      <c r="EC14" s="261">
        <f t="shared" si="732"/>
        <v>722365.54450000077</v>
      </c>
      <c r="ED14" s="261">
        <f t="shared" si="732"/>
        <v>722365.54450000077</v>
      </c>
      <c r="EE14" s="261">
        <f t="shared" si="732"/>
        <v>722365.54450000077</v>
      </c>
      <c r="EF14" s="261">
        <f t="shared" si="732"/>
        <v>1096192.7520000003</v>
      </c>
      <c r="EG14" s="261">
        <f t="shared" si="732"/>
        <v>1096192.7520000003</v>
      </c>
      <c r="EH14" s="261">
        <f t="shared" si="732"/>
        <v>1096192.7520000003</v>
      </c>
      <c r="EI14" s="261">
        <f t="shared" si="732"/>
        <v>1096192.7520000003</v>
      </c>
      <c r="EJ14" s="261">
        <f t="shared" si="732"/>
        <v>1096192.7520000003</v>
      </c>
      <c r="EK14" s="261">
        <f t="shared" si="732"/>
        <v>1096192.7520000003</v>
      </c>
      <c r="EL14" s="261">
        <f t="shared" si="732"/>
        <v>1096192.7520000003</v>
      </c>
      <c r="EM14" s="261">
        <f t="shared" si="732"/>
        <v>1096192.7520000003</v>
      </c>
      <c r="EN14" s="261">
        <f t="shared" si="732"/>
        <v>1096192.7520000003</v>
      </c>
      <c r="EO14" s="261">
        <f t="shared" si="732"/>
        <v>1096192.7520000003</v>
      </c>
      <c r="EP14" s="261">
        <f t="shared" si="732"/>
        <v>1096192.7520000003</v>
      </c>
      <c r="EQ14" s="261">
        <f t="shared" si="732"/>
        <v>1096192.7520000003</v>
      </c>
      <c r="ER14" s="261">
        <f t="shared" si="732"/>
        <v>1096192.7520000003</v>
      </c>
      <c r="ES14" s="261">
        <f t="shared" si="732"/>
        <v>1096192.7520000003</v>
      </c>
      <c r="ET14" s="261">
        <f t="shared" si="732"/>
        <v>1096192.7520000003</v>
      </c>
      <c r="EU14" s="261">
        <f t="shared" si="732"/>
        <v>1096192.7520000003</v>
      </c>
      <c r="EV14" s="261">
        <f t="shared" si="732"/>
        <v>1096192.7520000003</v>
      </c>
      <c r="EW14" s="261">
        <f t="shared" si="732"/>
        <v>1096192.7520000003</v>
      </c>
      <c r="EX14" s="261">
        <f t="shared" si="732"/>
        <v>1096192.7520000003</v>
      </c>
      <c r="EY14" s="261">
        <f t="shared" si="732"/>
        <v>1096192.7520000003</v>
      </c>
      <c r="EZ14" s="261">
        <f t="shared" si="732"/>
        <v>1096192.7520000003</v>
      </c>
      <c r="FA14" s="261">
        <f t="shared" si="732"/>
        <v>1096192.7520000003</v>
      </c>
      <c r="FB14" s="261">
        <f t="shared" si="732"/>
        <v>1096192.7520000003</v>
      </c>
      <c r="FC14" s="261">
        <f t="shared" si="732"/>
        <v>1096192.7520000003</v>
      </c>
      <c r="FD14" s="261">
        <f t="shared" si="732"/>
        <v>1096192.7520000003</v>
      </c>
      <c r="FE14" s="261">
        <f t="shared" si="732"/>
        <v>1096192.7520000003</v>
      </c>
      <c r="FF14" s="261">
        <f t="shared" si="732"/>
        <v>1096192.7520000003</v>
      </c>
      <c r="FG14" s="261">
        <f t="shared" si="732"/>
        <v>1096192.7520000003</v>
      </c>
      <c r="FH14" s="261">
        <f t="shared" si="732"/>
        <v>1096192.7520000003</v>
      </c>
      <c r="FI14" s="261">
        <f t="shared" si="732"/>
        <v>1096192.7520000003</v>
      </c>
      <c r="FJ14" s="261">
        <f t="shared" si="732"/>
        <v>1096192.7520000003</v>
      </c>
      <c r="FK14" s="261">
        <f t="shared" si="732"/>
        <v>1096192.7520000003</v>
      </c>
      <c r="FL14" s="261">
        <f t="shared" si="732"/>
        <v>1096192.7520000003</v>
      </c>
      <c r="FM14" s="261">
        <f t="shared" si="732"/>
        <v>1096192.7520000003</v>
      </c>
      <c r="FN14" s="261">
        <f t="shared" si="732"/>
        <v>1096192.7520000003</v>
      </c>
      <c r="FO14" s="261">
        <f t="shared" si="732"/>
        <v>1096192.7520000003</v>
      </c>
      <c r="FP14" s="261">
        <f t="shared" si="732"/>
        <v>1096192.7520000003</v>
      </c>
      <c r="FQ14" s="261">
        <f t="shared" si="732"/>
        <v>1096192.7520000003</v>
      </c>
      <c r="FR14" s="261">
        <f t="shared" si="732"/>
        <v>1096192.7520000003</v>
      </c>
      <c r="FS14" s="261">
        <f t="shared" si="732"/>
        <v>1096192.7520000003</v>
      </c>
      <c r="FT14" s="261">
        <f t="shared" si="732"/>
        <v>1096192.7520000003</v>
      </c>
      <c r="FU14" s="261">
        <f t="shared" si="732"/>
        <v>1096192.7520000003</v>
      </c>
      <c r="FV14" s="261">
        <f t="shared" si="732"/>
        <v>1096192.7520000003</v>
      </c>
      <c r="FW14" s="261">
        <f t="shared" si="732"/>
        <v>1096192.7520000003</v>
      </c>
      <c r="FX14" s="261">
        <f t="shared" si="732"/>
        <v>1096192.7520000003</v>
      </c>
      <c r="FY14" s="261">
        <f t="shared" si="732"/>
        <v>1096192.7520000003</v>
      </c>
      <c r="FZ14" s="261">
        <f t="shared" si="732"/>
        <v>1096192.7520000003</v>
      </c>
      <c r="GA14" s="261">
        <f t="shared" si="732"/>
        <v>1096192.7520000003</v>
      </c>
      <c r="GB14" s="261">
        <f t="shared" si="732"/>
        <v>1096192.7520000003</v>
      </c>
      <c r="GC14" s="261">
        <f t="shared" si="732"/>
        <v>1096192.7520000003</v>
      </c>
      <c r="GD14" s="261">
        <f t="shared" si="732"/>
        <v>1096192.7520000003</v>
      </c>
      <c r="GE14" s="261">
        <f t="shared" ref="GE14:GF14" si="733">GE10-GE12</f>
        <v>1096192.7520000003</v>
      </c>
      <c r="GF14" s="261">
        <f t="shared" si="733"/>
        <v>1096192.7520000003</v>
      </c>
    </row>
    <row r="15" spans="1:666" s="245" customFormat="1"/>
    <row r="16" spans="1:666" s="245" customFormat="1">
      <c r="C16" s="247" t="s">
        <v>251</v>
      </c>
      <c r="D16" s="247" t="s">
        <v>251</v>
      </c>
    </row>
    <row r="17" spans="1:188">
      <c r="A17" s="1053"/>
      <c r="B17" s="249" t="s">
        <v>468</v>
      </c>
      <c r="C17" s="568">
        <f>C3-D17</f>
        <v>-243114.9759972766</v>
      </c>
      <c r="D17" s="250">
        <f>SUM(F17:BE17)</f>
        <v>15196203.275997277</v>
      </c>
      <c r="E17" s="260"/>
      <c r="F17" s="268">
        <f>SUMIFS('Expenditure Breakdown'!$U$6:$U$138, 'Expenditure Breakdown'!$T$6:$T$138, "&gt;="&amp;F1,'Expenditure Breakdown'!$T$6:$T$138, "&lt;"&amp;G1)</f>
        <v>0</v>
      </c>
      <c r="G17" s="268">
        <f>SUMIFS('Expenditure Breakdown'!$U$6:$U$138, 'Expenditure Breakdown'!$T$6:$T$138, "&gt;="&amp;G1,'Expenditure Breakdown'!$T$6:$T$138, "&lt;"&amp;H1)</f>
        <v>0</v>
      </c>
      <c r="H17" s="268">
        <f>SUMIFS('Expenditure Breakdown'!$U$6:$U$138, 'Expenditure Breakdown'!$T$6:$T$138, "&gt;="&amp;H1,'Expenditure Breakdown'!$T$6:$T$138, "&lt;"&amp;I1)</f>
        <v>0</v>
      </c>
      <c r="I17" s="268">
        <f>SUMIFS('Expenditure Breakdown'!$U$6:$U$138, 'Expenditure Breakdown'!$T$6:$T$138, "&gt;="&amp;I1,'Expenditure Breakdown'!$T$6:$T$138, "&lt;"&amp;J1)</f>
        <v>0</v>
      </c>
      <c r="J17" s="268">
        <f>SUMIFS('Expenditure Breakdown'!$U$6:$U$138, 'Expenditure Breakdown'!$T$6:$T$138, "&gt;="&amp;J1,'Expenditure Breakdown'!$T$6:$T$138, "&lt;"&amp;K1)</f>
        <v>1680912.4908214733</v>
      </c>
      <c r="K17" s="268">
        <f>SUMIFS('Expenditure Breakdown'!$U$6:$U$138, 'Expenditure Breakdown'!$T$6:$T$138, "&gt;="&amp;K1,'Expenditure Breakdown'!$T$6:$T$138, "&lt;"&amp;L1)</f>
        <v>0</v>
      </c>
      <c r="L17" s="268">
        <f>SUMIFS('Expenditure Breakdown'!$U$6:$U$138, 'Expenditure Breakdown'!$T$6:$T$138, "&gt;="&amp;L1,'Expenditure Breakdown'!$T$6:$T$138, "&lt;"&amp;M1)</f>
        <v>0</v>
      </c>
      <c r="M17" s="268">
        <f>SUMIFS('Expenditure Breakdown'!$U$6:$U$138, 'Expenditure Breakdown'!$T$6:$T$138, "&gt;="&amp;M1,'Expenditure Breakdown'!$T$6:$T$138, "&lt;"&amp;N1)</f>
        <v>0</v>
      </c>
      <c r="N17" s="268">
        <f>SUMIFS('Expenditure Breakdown'!$U$6:$U$138, 'Expenditure Breakdown'!$T$6:$T$138, "&gt;="&amp;N1,'Expenditure Breakdown'!$T$6:$T$138, "&lt;"&amp;O1)</f>
        <v>0</v>
      </c>
      <c r="O17" s="268">
        <f>SUMIFS('Expenditure Breakdown'!$U$6:$U$138, 'Expenditure Breakdown'!$T$6:$T$138, "&gt;="&amp;O1,'Expenditure Breakdown'!$T$6:$T$138, "&lt;"&amp;P1)</f>
        <v>0</v>
      </c>
      <c r="P17" s="268">
        <f>SUMIFS('Expenditure Breakdown'!$U$6:$U$138, 'Expenditure Breakdown'!$T$6:$T$138, "&gt;="&amp;P1,'Expenditure Breakdown'!$T$6:$T$138, "&lt;"&amp;Q1)</f>
        <v>0</v>
      </c>
      <c r="Q17" s="268">
        <f>SUMIFS('Expenditure Breakdown'!$U$6:$U$138, 'Expenditure Breakdown'!$T$6:$T$138, "&gt;="&amp;Q1,'Expenditure Breakdown'!$T$6:$T$138, "&lt;"&amp;R1)</f>
        <v>0</v>
      </c>
      <c r="R17" s="268">
        <f>SUMIFS('Expenditure Breakdown'!$U$6:$U$138, 'Expenditure Breakdown'!$T$6:$T$138, "&gt;="&amp;R1,'Expenditure Breakdown'!$T$6:$T$138, "&lt;"&amp;S1)</f>
        <v>0</v>
      </c>
      <c r="S17" s="268">
        <f>SUMIFS('Expenditure Breakdown'!$U$6:$U$138, 'Expenditure Breakdown'!$T$6:$T$138, "&gt;="&amp;S1,'Expenditure Breakdown'!$T$6:$T$138, "&lt;"&amp;T1)</f>
        <v>8058.5622411893628</v>
      </c>
      <c r="T17" s="268">
        <f>SUMIFS('Expenditure Breakdown'!$U$6:$U$138, 'Expenditure Breakdown'!$T$6:$T$138, "&gt;="&amp;T1,'Expenditure Breakdown'!$T$6:$T$138, "&lt;"&amp;U1)</f>
        <v>0</v>
      </c>
      <c r="U17" s="268">
        <f>SUMIFS('Expenditure Breakdown'!$U$6:$U$138, 'Expenditure Breakdown'!$T$6:$T$138, "&gt;="&amp;U1,'Expenditure Breakdown'!$T$6:$T$138, "&lt;"&amp;V1)</f>
        <v>0</v>
      </c>
      <c r="V17" s="268">
        <f>SUMIFS('Expenditure Breakdown'!$U$6:$U$138, 'Expenditure Breakdown'!$T$6:$T$138, "&gt;="&amp;V1,'Expenditure Breakdown'!$T$6:$T$138, "&lt;"&amp;W1)</f>
        <v>0</v>
      </c>
      <c r="W17" s="268">
        <f>SUMIFS('Expenditure Breakdown'!$U$6:$U$138, 'Expenditure Breakdown'!$T$6:$T$138, "&gt;="&amp;W1,'Expenditure Breakdown'!$T$6:$T$138, "&lt;"&amp;X1)</f>
        <v>11481559.684266716</v>
      </c>
      <c r="X17" s="268">
        <f>SUMIFS('Expenditure Breakdown'!$U$6:$U$138, 'Expenditure Breakdown'!$T$6:$T$138, "&gt;="&amp;X1,'Expenditure Breakdown'!$T$6:$T$138, "&lt;"&amp;Y1)</f>
        <v>0</v>
      </c>
      <c r="Y17" s="268">
        <f>SUMIFS('Expenditure Breakdown'!$U$6:$U$138, 'Expenditure Breakdown'!$T$6:$T$138, "&gt;="&amp;Y1,'Expenditure Breakdown'!$T$6:$T$138, "&lt;"&amp;Z1)</f>
        <v>0</v>
      </c>
      <c r="Z17" s="268">
        <f>SUMIFS('Expenditure Breakdown'!$U$6:$U$138, 'Expenditure Breakdown'!$T$6:$T$138, "&gt;="&amp;Z1,'Expenditure Breakdown'!$T$6:$T$138, "&lt;"&amp;AA1)</f>
        <v>0</v>
      </c>
      <c r="AA17" s="268">
        <f>SUMIFS('Expenditure Breakdown'!$U$6:$U$138, 'Expenditure Breakdown'!$T$6:$T$138, "&gt;="&amp;AA1,'Expenditure Breakdown'!$T$6:$T$138, "&lt;"&amp;AB1)</f>
        <v>581272.00401733618</v>
      </c>
      <c r="AB17" s="268">
        <f>SUMIFS('Expenditure Breakdown'!$U$6:$U$138, 'Expenditure Breakdown'!$T$6:$T$138, "&gt;="&amp;AB1,'Expenditure Breakdown'!$T$6:$T$138, "&lt;"&amp;AC1)</f>
        <v>0</v>
      </c>
      <c r="AC17" s="268">
        <f>SUMIFS('Expenditure Breakdown'!$U$6:$U$138, 'Expenditure Breakdown'!$T$6:$T$138, "&gt;="&amp;AC1,'Expenditure Breakdown'!$T$6:$T$138, "&lt;"&amp;AD1)</f>
        <v>0</v>
      </c>
      <c r="AD17" s="268">
        <f>SUMIFS('Expenditure Breakdown'!$U$6:$U$138, 'Expenditure Breakdown'!$T$6:$T$138, "&gt;="&amp;AD1,'Expenditure Breakdown'!$T$6:$T$138, "&lt;"&amp;AE1)</f>
        <v>0</v>
      </c>
      <c r="AE17" s="268">
        <f>SUMIFS('Expenditure Breakdown'!$U$6:$U$138, 'Expenditure Breakdown'!$T$6:$T$138, "&gt;="&amp;AE1,'Expenditure Breakdown'!$T$6:$T$138, "&lt;"&amp;AF1)</f>
        <v>0</v>
      </c>
      <c r="AF17" s="268">
        <f>SUMIFS('Expenditure Breakdown'!$U$6:$U$138, 'Expenditure Breakdown'!$T$6:$T$138, "&gt;="&amp;AF1,'Expenditure Breakdown'!$T$6:$T$138, "&lt;"&amp;AG1)</f>
        <v>434048.66816597845</v>
      </c>
      <c r="AG17" s="268">
        <f>SUMIFS('Expenditure Breakdown'!$U$6:$U$138, 'Expenditure Breakdown'!$T$6:$T$138, "&gt;="&amp;AG1,'Expenditure Breakdown'!$T$6:$T$138, "&lt;"&amp;AH1)</f>
        <v>0</v>
      </c>
      <c r="AH17" s="268">
        <f>SUMIFS('Expenditure Breakdown'!$U$6:$U$138, 'Expenditure Breakdown'!$T$6:$T$138, "&gt;="&amp;AH1,'Expenditure Breakdown'!$T$6:$T$138, "&lt;"&amp;AI1)</f>
        <v>0</v>
      </c>
      <c r="AI17" s="268">
        <f>SUMIFS('Expenditure Breakdown'!$U$6:$U$138, 'Expenditure Breakdown'!$T$6:$T$138, "&gt;="&amp;AI1,'Expenditure Breakdown'!$T$6:$T$138, "&lt;"&amp;AJ1)</f>
        <v>0</v>
      </c>
      <c r="AJ17" s="268">
        <f>SUMIFS('Expenditure Breakdown'!$U$6:$U$138, 'Expenditure Breakdown'!$T$6:$T$138, "&gt;="&amp;AJ1,'Expenditure Breakdown'!$T$6:$T$138, "&lt;"&amp;AK1)</f>
        <v>43661.113566593107</v>
      </c>
      <c r="AK17" s="268">
        <f>SUMIFS('Expenditure Breakdown'!$U$6:$U$138, 'Expenditure Breakdown'!$T$6:$T$138, "&gt;="&amp;AK1,'Expenditure Breakdown'!$T$6:$T$138, "&lt;"&amp;AL1)</f>
        <v>0</v>
      </c>
      <c r="AL17" s="268">
        <f>SUMIFS('Expenditure Breakdown'!$U$6:$U$138, 'Expenditure Breakdown'!$T$6:$T$138, "&gt;="&amp;AL1,'Expenditure Breakdown'!$T$6:$T$138, "&lt;"&amp;AM1)</f>
        <v>0</v>
      </c>
      <c r="AM17" s="268">
        <f>SUMIFS('Expenditure Breakdown'!$U$6:$U$138, 'Expenditure Breakdown'!$T$6:$T$138, "&gt;="&amp;AM1,'Expenditure Breakdown'!$T$6:$T$138, "&lt;"&amp;AN1)</f>
        <v>0</v>
      </c>
      <c r="AN17" s="268">
        <f>SUMIFS('Expenditure Breakdown'!$U$6:$U$138, 'Expenditure Breakdown'!$T$6:$T$138, "&gt;="&amp;AN1,'Expenditure Breakdown'!$T$6:$T$138, "&lt;"&amp;AO1)</f>
        <v>544857.05236552365</v>
      </c>
      <c r="AO17" s="268">
        <f>SUMIFS('Expenditure Breakdown'!$U$6:$U$138, 'Expenditure Breakdown'!$T$6:$T$138, "&gt;="&amp;AO1,'Expenditure Breakdown'!$T$6:$T$138, "&lt;"&amp;AP1)</f>
        <v>0</v>
      </c>
      <c r="AP17" s="268">
        <f>SUMIFS('Expenditure Breakdown'!$U$6:$U$138, 'Expenditure Breakdown'!$T$6:$T$138, "&gt;="&amp;AP1,'Expenditure Breakdown'!$T$6:$T$138, "&lt;"&amp;AQ1)</f>
        <v>0</v>
      </c>
      <c r="AQ17" s="268">
        <f>SUMIFS('Expenditure Breakdown'!$U$6:$U$138, 'Expenditure Breakdown'!$T$6:$T$138, "&gt;="&amp;AQ1,'Expenditure Breakdown'!$T$6:$T$138, "&lt;"&amp;AR1)</f>
        <v>0</v>
      </c>
      <c r="AR17" s="268">
        <f>SUMIFS('Expenditure Breakdown'!$U$6:$U$138, 'Expenditure Breakdown'!$T$6:$T$138, "&gt;="&amp;AR1,'Expenditure Breakdown'!$T$6:$T$138, "&lt;"&amp;AS1)</f>
        <v>0</v>
      </c>
      <c r="AS17" s="268">
        <f>SUMIFS('Expenditure Breakdown'!$U$6:$U$138, 'Expenditure Breakdown'!$T$6:$T$138, "&gt;="&amp;AS1,'Expenditure Breakdown'!$T$6:$T$138, "&lt;"&amp;AT1)</f>
        <v>388167.46254916437</v>
      </c>
      <c r="AT17" s="268">
        <f>SUMIFS('Expenditure Breakdown'!$U$6:$U$138, 'Expenditure Breakdown'!$T$6:$T$138, "&gt;="&amp;AT1,'Expenditure Breakdown'!$T$6:$T$138, "&lt;"&amp;AU1)</f>
        <v>0</v>
      </c>
      <c r="AU17" s="268">
        <f>SUMIFS('Expenditure Breakdown'!$U$6:$U$138, 'Expenditure Breakdown'!$T$6:$T$138, "&gt;="&amp;AU1,'Expenditure Breakdown'!$T$6:$T$138, "&lt;"&amp;AV1)</f>
        <v>0</v>
      </c>
      <c r="AV17" s="268">
        <f>SUMIFS('Expenditure Breakdown'!$U$6:$U$138, 'Expenditure Breakdown'!$T$6:$T$138, "&gt;="&amp;AV1,'Expenditure Breakdown'!$T$6:$T$138, "&lt;"&amp;AW1)</f>
        <v>0</v>
      </c>
      <c r="AW17" s="268">
        <f>SUMIFS('Expenditure Breakdown'!$U$6:$U$138, 'Expenditure Breakdown'!$T$6:$T$138, "&gt;="&amp;AW1,'Expenditure Breakdown'!$T$6:$T$138, "&lt;"&amp;AX1)</f>
        <v>33666.238003303952</v>
      </c>
      <c r="AX17" s="268">
        <f>SUMIFS('Expenditure Breakdown'!$U$6:$U$138, 'Expenditure Breakdown'!$T$6:$T$138, "&gt;="&amp;AX1,'Expenditure Breakdown'!$T$6:$T$138, "&lt;"&amp;AY1)</f>
        <v>0</v>
      </c>
      <c r="AY17" s="268">
        <f>SUMIFS('Expenditure Breakdown'!$U$6:$U$138, 'Expenditure Breakdown'!$T$6:$T$138, "&gt;="&amp;AY1,'Expenditure Breakdown'!$T$6:$T$138, "&lt;"&amp;AZ1)</f>
        <v>0</v>
      </c>
      <c r="AZ17" s="268">
        <f>SUMIFS('Expenditure Breakdown'!$U$6:$U$138, 'Expenditure Breakdown'!$T$6:$T$138, "&gt;="&amp;AZ1,'Expenditure Breakdown'!$T$6:$T$138, "&lt;"&amp;BA1)</f>
        <v>0</v>
      </c>
      <c r="BA17" s="268">
        <f>SUMIFS('Expenditure Breakdown'!$U$6:$U$138, 'Expenditure Breakdown'!$T$6:$T$138, "&gt;="&amp;BA1,'Expenditure Breakdown'!$T$6:$T$138, "&lt;"&amp;BB1)</f>
        <v>0</v>
      </c>
      <c r="BB17" s="268">
        <f>SUMIFS('Expenditure Breakdown'!$U$6:$U$138, 'Expenditure Breakdown'!$T$6:$T$138, "&gt;="&amp;BB1,'Expenditure Breakdown'!$T$6:$T$138, "&lt;"&amp;BC1)</f>
        <v>0</v>
      </c>
      <c r="BC17" s="268">
        <f>SUMIFS('Expenditure Breakdown'!$U$6:$U$138, 'Expenditure Breakdown'!$T$6:$T$138, "&gt;="&amp;BC1,'Expenditure Breakdown'!$T$6:$T$138, "&lt;"&amp;BD1)</f>
        <v>0</v>
      </c>
      <c r="BD17" s="268">
        <f>SUMIFS('Expenditure Breakdown'!$U$6:$U$138, 'Expenditure Breakdown'!$T$6:$T$138, "&gt;="&amp;BD1,'Expenditure Breakdown'!$T$6:$T$138, "&lt;"&amp;BE1)</f>
        <v>0</v>
      </c>
      <c r="BE17" s="268">
        <f>SUMIFS('Expenditure Breakdown'!$U$6:$U$138, 'Expenditure Breakdown'!$T$6:$T$138, "&gt;="&amp;BE1,'Expenditure Breakdown'!$T$6:$T$138, "&lt;"&amp;GG1)</f>
        <v>0</v>
      </c>
      <c r="BF17" s="268">
        <f>SUMIFS('Expenditure Breakdown'!$U$6:$U$138, 'Expenditure Breakdown'!$T$6:$T$138, "&gt;="&amp;BF1,'Expenditure Breakdown'!$T$6:$T$138, "&lt;"&amp;GH1)</f>
        <v>0</v>
      </c>
      <c r="BG17" s="268">
        <f>SUMIFS('Expenditure Breakdown'!$U$6:$U$138, 'Expenditure Breakdown'!$T$6:$T$138, "&gt;="&amp;BG1,'Expenditure Breakdown'!$T$6:$T$138, "&lt;"&amp;GI1)</f>
        <v>0</v>
      </c>
      <c r="BH17" s="268">
        <f>SUMIFS('Expenditure Breakdown'!$U$6:$U$138, 'Expenditure Breakdown'!$T$6:$T$138, "&gt;="&amp;BH1,'Expenditure Breakdown'!$T$6:$T$138, "&lt;"&amp;GJ1)</f>
        <v>0</v>
      </c>
      <c r="BI17" s="268">
        <f>SUMIFS('Expenditure Breakdown'!$U$6:$U$138, 'Expenditure Breakdown'!$T$6:$T$138, "&gt;="&amp;BI1,'Expenditure Breakdown'!$T$6:$T$138, "&lt;"&amp;GK1)</f>
        <v>0</v>
      </c>
      <c r="BJ17" s="268">
        <f>SUMIFS('Expenditure Breakdown'!$U$6:$U$138, 'Expenditure Breakdown'!$T$6:$T$138, "&gt;="&amp;BJ1,'Expenditure Breakdown'!$T$6:$T$138, "&lt;"&amp;GL1)</f>
        <v>0</v>
      </c>
      <c r="BK17" s="268">
        <f>SUMIFS('Expenditure Breakdown'!$U$6:$U$138, 'Expenditure Breakdown'!$T$6:$T$138, "&gt;="&amp;BK1,'Expenditure Breakdown'!$T$6:$T$138, "&lt;"&amp;GM1)</f>
        <v>0</v>
      </c>
      <c r="BL17" s="268">
        <f>SUMIFS('Expenditure Breakdown'!$U$6:$U$138, 'Expenditure Breakdown'!$T$6:$T$138, "&gt;="&amp;BL1,'Expenditure Breakdown'!$T$6:$T$138, "&lt;"&amp;GN1)</f>
        <v>0</v>
      </c>
      <c r="BM17" s="268">
        <f>SUMIFS('Expenditure Breakdown'!$U$6:$U$138, 'Expenditure Breakdown'!$T$6:$T$138, "&gt;="&amp;BM1,'Expenditure Breakdown'!$T$6:$T$138, "&lt;"&amp;GO1)</f>
        <v>0</v>
      </c>
      <c r="BN17" s="268">
        <f>SUMIFS('Expenditure Breakdown'!$U$6:$U$138, 'Expenditure Breakdown'!$T$6:$T$138, "&gt;="&amp;BN1,'Expenditure Breakdown'!$T$6:$T$138, "&lt;"&amp;GP1)</f>
        <v>0</v>
      </c>
      <c r="BO17" s="268">
        <f>SUMIFS('Expenditure Breakdown'!$U$6:$U$138, 'Expenditure Breakdown'!$T$6:$T$138, "&gt;="&amp;BO1,'Expenditure Breakdown'!$T$6:$T$138, "&lt;"&amp;GQ1)</f>
        <v>0</v>
      </c>
      <c r="BP17" s="268">
        <f>SUMIFS('Expenditure Breakdown'!$U$6:$U$138, 'Expenditure Breakdown'!$T$6:$T$138, "&gt;="&amp;BP1,'Expenditure Breakdown'!$T$6:$T$138, "&lt;"&amp;GR1)</f>
        <v>0</v>
      </c>
      <c r="BQ17" s="268">
        <f>SUMIFS('Expenditure Breakdown'!$U$6:$U$138, 'Expenditure Breakdown'!$T$6:$T$138, "&gt;="&amp;BQ1,'Expenditure Breakdown'!$T$6:$T$138, "&lt;"&amp;GS1)</f>
        <v>0</v>
      </c>
      <c r="BR17" s="268">
        <f>SUMIFS('Expenditure Breakdown'!$U$6:$U$138, 'Expenditure Breakdown'!$T$6:$T$138, "&gt;="&amp;BR1,'Expenditure Breakdown'!$T$6:$T$138, "&lt;"&amp;GT1)</f>
        <v>0</v>
      </c>
      <c r="BS17" s="268">
        <f>SUMIFS('Expenditure Breakdown'!$U$6:$U$138, 'Expenditure Breakdown'!$T$6:$T$138, "&gt;="&amp;BS1,'Expenditure Breakdown'!$T$6:$T$138, "&lt;"&amp;GU1)</f>
        <v>0</v>
      </c>
      <c r="BT17" s="268">
        <f>SUMIFS('Expenditure Breakdown'!$U$6:$U$138, 'Expenditure Breakdown'!$T$6:$T$138, "&gt;="&amp;BT1,'Expenditure Breakdown'!$T$6:$T$138, "&lt;"&amp;GV1)</f>
        <v>0</v>
      </c>
      <c r="BU17" s="268">
        <f>SUMIFS('Expenditure Breakdown'!$U$6:$U$138, 'Expenditure Breakdown'!$T$6:$T$138, "&gt;="&amp;BU1,'Expenditure Breakdown'!$T$6:$T$138, "&lt;"&amp;GW1)</f>
        <v>0</v>
      </c>
      <c r="BV17" s="268">
        <f>SUMIFS('Expenditure Breakdown'!$U$6:$U$138, 'Expenditure Breakdown'!$T$6:$T$138, "&gt;="&amp;BV1,'Expenditure Breakdown'!$T$6:$T$138, "&lt;"&amp;GX1)</f>
        <v>0</v>
      </c>
      <c r="BW17" s="268">
        <f>SUMIFS('Expenditure Breakdown'!$U$6:$U$138, 'Expenditure Breakdown'!$T$6:$T$138, "&gt;="&amp;BW1,'Expenditure Breakdown'!$T$6:$T$138, "&lt;"&amp;GY1)</f>
        <v>0</v>
      </c>
      <c r="BX17" s="268">
        <f>SUMIFS('Expenditure Breakdown'!$U$6:$U$138, 'Expenditure Breakdown'!$T$6:$T$138, "&gt;="&amp;BX1,'Expenditure Breakdown'!$T$6:$T$138, "&lt;"&amp;GZ1)</f>
        <v>0</v>
      </c>
      <c r="BY17" s="268">
        <f>SUMIFS('Expenditure Breakdown'!$U$6:$U$138, 'Expenditure Breakdown'!$T$6:$T$138, "&gt;="&amp;BY1,'Expenditure Breakdown'!$T$6:$T$138, "&lt;"&amp;HA1)</f>
        <v>0</v>
      </c>
      <c r="BZ17" s="268">
        <f>SUMIFS('Expenditure Breakdown'!$U$6:$U$138, 'Expenditure Breakdown'!$T$6:$T$138, "&gt;="&amp;BZ1,'Expenditure Breakdown'!$T$6:$T$138, "&lt;"&amp;HB1)</f>
        <v>0</v>
      </c>
      <c r="CA17" s="268">
        <f>SUMIFS('Expenditure Breakdown'!$U$6:$U$138, 'Expenditure Breakdown'!$T$6:$T$138, "&gt;="&amp;CA1,'Expenditure Breakdown'!$T$6:$T$138, "&lt;"&amp;HC1)</f>
        <v>0</v>
      </c>
      <c r="CB17" s="268">
        <f>SUMIFS('Expenditure Breakdown'!$U$6:$U$138, 'Expenditure Breakdown'!$T$6:$T$138, "&gt;="&amp;CB1,'Expenditure Breakdown'!$T$6:$T$138, "&lt;"&amp;HD1)</f>
        <v>0</v>
      </c>
      <c r="CC17" s="268">
        <f>SUMIFS('Expenditure Breakdown'!$U$6:$U$138, 'Expenditure Breakdown'!$T$6:$T$138, "&gt;="&amp;CC1,'Expenditure Breakdown'!$T$6:$T$138, "&lt;"&amp;HE1)</f>
        <v>0</v>
      </c>
      <c r="CD17" s="268">
        <f>SUMIFS('Expenditure Breakdown'!$U$6:$U$138, 'Expenditure Breakdown'!$T$6:$T$138, "&gt;="&amp;CD1,'Expenditure Breakdown'!$T$6:$T$138, "&lt;"&amp;HF1)</f>
        <v>0</v>
      </c>
      <c r="CE17" s="268">
        <f>SUMIFS('Expenditure Breakdown'!$U$6:$U$138, 'Expenditure Breakdown'!$T$6:$T$138, "&gt;="&amp;CE1,'Expenditure Breakdown'!$T$6:$T$138, "&lt;"&amp;HG1)</f>
        <v>0</v>
      </c>
      <c r="CF17" s="268">
        <f>SUMIFS('Expenditure Breakdown'!$U$6:$U$138, 'Expenditure Breakdown'!$T$6:$T$138, "&gt;="&amp;CF1,'Expenditure Breakdown'!$T$6:$T$138, "&lt;"&amp;HH1)</f>
        <v>0</v>
      </c>
      <c r="CG17" s="268">
        <f>SUMIFS('Expenditure Breakdown'!$U$6:$U$138, 'Expenditure Breakdown'!$T$6:$T$138, "&gt;="&amp;CG1,'Expenditure Breakdown'!$T$6:$T$138, "&lt;"&amp;HI1)</f>
        <v>0</v>
      </c>
      <c r="CH17" s="268">
        <f>SUMIFS('Expenditure Breakdown'!$U$6:$U$138, 'Expenditure Breakdown'!$T$6:$T$138, "&gt;="&amp;CH1,'Expenditure Breakdown'!$T$6:$T$138, "&lt;"&amp;HJ1)</f>
        <v>0</v>
      </c>
      <c r="CI17" s="268">
        <f>SUMIFS('Expenditure Breakdown'!$U$6:$U$138, 'Expenditure Breakdown'!$T$6:$T$138, "&gt;="&amp;CI1,'Expenditure Breakdown'!$T$6:$T$138, "&lt;"&amp;HK1)</f>
        <v>0</v>
      </c>
      <c r="CJ17" s="268">
        <f>SUMIFS('Expenditure Breakdown'!$U$6:$U$138, 'Expenditure Breakdown'!$T$6:$T$138, "&gt;="&amp;CJ1,'Expenditure Breakdown'!$T$6:$T$138, "&lt;"&amp;HL1)</f>
        <v>0</v>
      </c>
      <c r="CK17" s="268">
        <f>SUMIFS('Expenditure Breakdown'!$U$6:$U$138, 'Expenditure Breakdown'!$T$6:$T$138, "&gt;="&amp;CK1,'Expenditure Breakdown'!$T$6:$T$138, "&lt;"&amp;HM1)</f>
        <v>0</v>
      </c>
      <c r="CL17" s="268">
        <f>SUMIFS('Expenditure Breakdown'!$U$6:$U$138, 'Expenditure Breakdown'!$T$6:$T$138, "&gt;="&amp;CL1,'Expenditure Breakdown'!$T$6:$T$138, "&lt;"&amp;HN1)</f>
        <v>0</v>
      </c>
      <c r="CM17" s="268">
        <f>SUMIFS('Expenditure Breakdown'!$U$6:$U$138, 'Expenditure Breakdown'!$T$6:$T$138, "&gt;="&amp;CM1,'Expenditure Breakdown'!$T$6:$T$138, "&lt;"&amp;HO1)</f>
        <v>0</v>
      </c>
      <c r="CN17" s="268">
        <f>SUMIFS('Expenditure Breakdown'!$U$6:$U$138, 'Expenditure Breakdown'!$T$6:$T$138, "&gt;="&amp;CN1,'Expenditure Breakdown'!$T$6:$T$138, "&lt;"&amp;HP1)</f>
        <v>0</v>
      </c>
      <c r="CO17" s="268">
        <f>SUMIFS('Expenditure Breakdown'!$U$6:$U$138, 'Expenditure Breakdown'!$T$6:$T$138, "&gt;="&amp;CO1,'Expenditure Breakdown'!$T$6:$T$138, "&lt;"&amp;HQ1)</f>
        <v>0</v>
      </c>
      <c r="CP17" s="268">
        <f>SUMIFS('Expenditure Breakdown'!$U$6:$U$138, 'Expenditure Breakdown'!$T$6:$T$138, "&gt;="&amp;CP1,'Expenditure Breakdown'!$T$6:$T$138, "&lt;"&amp;HR1)</f>
        <v>0</v>
      </c>
      <c r="CQ17" s="268">
        <f>SUMIFS('Expenditure Breakdown'!$U$6:$U$138, 'Expenditure Breakdown'!$T$6:$T$138, "&gt;="&amp;CQ1,'Expenditure Breakdown'!$T$6:$T$138, "&lt;"&amp;HS1)</f>
        <v>0</v>
      </c>
      <c r="CR17" s="268">
        <f>SUMIFS('Expenditure Breakdown'!$U$6:$U$138, 'Expenditure Breakdown'!$T$6:$T$138, "&gt;="&amp;CR1,'Expenditure Breakdown'!$T$6:$T$138, "&lt;"&amp;HT1)</f>
        <v>0</v>
      </c>
      <c r="CS17" s="268">
        <f>SUMIFS('Expenditure Breakdown'!$U$6:$U$138, 'Expenditure Breakdown'!$T$6:$T$138, "&gt;="&amp;CS1,'Expenditure Breakdown'!$T$6:$T$138, "&lt;"&amp;HU1)</f>
        <v>0</v>
      </c>
      <c r="CT17" s="268">
        <f>SUMIFS('Expenditure Breakdown'!$U$6:$U$138, 'Expenditure Breakdown'!$T$6:$T$138, "&gt;="&amp;CT1,'Expenditure Breakdown'!$T$6:$T$138, "&lt;"&amp;HV1)</f>
        <v>0</v>
      </c>
      <c r="CU17" s="268">
        <f>SUMIFS('Expenditure Breakdown'!$U$6:$U$138, 'Expenditure Breakdown'!$T$6:$T$138, "&gt;="&amp;CU1,'Expenditure Breakdown'!$T$6:$T$138, "&lt;"&amp;HW1)</f>
        <v>0</v>
      </c>
      <c r="CV17" s="268">
        <f>SUMIFS('Expenditure Breakdown'!$U$6:$U$138, 'Expenditure Breakdown'!$T$6:$T$138, "&gt;="&amp;CV1,'Expenditure Breakdown'!$T$6:$T$138, "&lt;"&amp;HX1)</f>
        <v>0</v>
      </c>
      <c r="CW17" s="268">
        <f>SUMIFS('Expenditure Breakdown'!$U$6:$U$138, 'Expenditure Breakdown'!$T$6:$T$138, "&gt;="&amp;CW1,'Expenditure Breakdown'!$T$6:$T$138, "&lt;"&amp;HY1)</f>
        <v>0</v>
      </c>
      <c r="CX17" s="268">
        <f>SUMIFS('Expenditure Breakdown'!$U$6:$U$138, 'Expenditure Breakdown'!$T$6:$T$138, "&gt;="&amp;CX1,'Expenditure Breakdown'!$T$6:$T$138, "&lt;"&amp;HZ1)</f>
        <v>0</v>
      </c>
      <c r="CY17" s="268">
        <f>SUMIFS('Expenditure Breakdown'!$U$6:$U$138, 'Expenditure Breakdown'!$T$6:$T$138, "&gt;="&amp;CY1,'Expenditure Breakdown'!$T$6:$T$138, "&lt;"&amp;IA1)</f>
        <v>0</v>
      </c>
      <c r="CZ17" s="268">
        <f>SUMIFS('Expenditure Breakdown'!$U$6:$U$138, 'Expenditure Breakdown'!$T$6:$T$138, "&gt;="&amp;CZ1,'Expenditure Breakdown'!$T$6:$T$138, "&lt;"&amp;IB1)</f>
        <v>0</v>
      </c>
      <c r="DA17" s="268">
        <f>SUMIFS('Expenditure Breakdown'!$U$6:$U$138, 'Expenditure Breakdown'!$T$6:$T$138, "&gt;="&amp;DA1,'Expenditure Breakdown'!$T$6:$T$138, "&lt;"&amp;IC1)</f>
        <v>0</v>
      </c>
      <c r="DB17" s="268">
        <f>SUMIFS('Expenditure Breakdown'!$U$6:$U$138, 'Expenditure Breakdown'!$T$6:$T$138, "&gt;="&amp;DB1,'Expenditure Breakdown'!$T$6:$T$138, "&lt;"&amp;ID1)</f>
        <v>0</v>
      </c>
      <c r="DC17" s="268">
        <f>SUMIFS('Expenditure Breakdown'!$U$6:$U$138, 'Expenditure Breakdown'!$T$6:$T$138, "&gt;="&amp;DC1,'Expenditure Breakdown'!$T$6:$T$138, "&lt;"&amp;IE1)</f>
        <v>0</v>
      </c>
      <c r="DD17" s="268">
        <f>SUMIFS('Expenditure Breakdown'!$U$6:$U$138, 'Expenditure Breakdown'!$T$6:$T$138, "&gt;="&amp;DD1,'Expenditure Breakdown'!$T$6:$T$138, "&lt;"&amp;IF1)</f>
        <v>0</v>
      </c>
      <c r="DE17" s="268">
        <f>SUMIFS('Expenditure Breakdown'!$U$6:$U$138, 'Expenditure Breakdown'!$T$6:$T$138, "&gt;="&amp;DE1,'Expenditure Breakdown'!$T$6:$T$138, "&lt;"&amp;IG1)</f>
        <v>0</v>
      </c>
      <c r="DF17" s="268">
        <f>SUMIFS('Expenditure Breakdown'!$U$6:$U$138, 'Expenditure Breakdown'!$T$6:$T$138, "&gt;="&amp;DF1,'Expenditure Breakdown'!$T$6:$T$138, "&lt;"&amp;IH1)</f>
        <v>0</v>
      </c>
      <c r="DG17" s="268">
        <f>SUMIFS('Expenditure Breakdown'!$U$6:$U$138, 'Expenditure Breakdown'!$T$6:$T$138, "&gt;="&amp;DG1,'Expenditure Breakdown'!$T$6:$T$138, "&lt;"&amp;II1)</f>
        <v>0</v>
      </c>
      <c r="DH17" s="268">
        <f>SUMIFS('Expenditure Breakdown'!$U$6:$U$138, 'Expenditure Breakdown'!$T$6:$T$138, "&gt;="&amp;DH1,'Expenditure Breakdown'!$T$6:$T$138, "&lt;"&amp;IJ1)</f>
        <v>0</v>
      </c>
      <c r="DI17" s="268">
        <f>SUMIFS('Expenditure Breakdown'!$U$6:$U$138, 'Expenditure Breakdown'!$T$6:$T$138, "&gt;="&amp;DI1,'Expenditure Breakdown'!$T$6:$T$138, "&lt;"&amp;IK1)</f>
        <v>0</v>
      </c>
      <c r="DJ17" s="268">
        <f>SUMIFS('Expenditure Breakdown'!$U$6:$U$138, 'Expenditure Breakdown'!$T$6:$T$138, "&gt;="&amp;DJ1,'Expenditure Breakdown'!$T$6:$T$138, "&lt;"&amp;IL1)</f>
        <v>0</v>
      </c>
      <c r="DK17" s="268">
        <f>SUMIFS('Expenditure Breakdown'!$U$6:$U$138, 'Expenditure Breakdown'!$T$6:$T$138, "&gt;="&amp;DK1,'Expenditure Breakdown'!$T$6:$T$138, "&lt;"&amp;IM1)</f>
        <v>0</v>
      </c>
      <c r="DL17" s="268">
        <f>SUMIFS('Expenditure Breakdown'!$U$6:$U$138, 'Expenditure Breakdown'!$T$6:$T$138, "&gt;="&amp;DL1,'Expenditure Breakdown'!$T$6:$T$138, "&lt;"&amp;IN1)</f>
        <v>0</v>
      </c>
      <c r="DM17" s="268">
        <f>SUMIFS('Expenditure Breakdown'!$U$6:$U$138, 'Expenditure Breakdown'!$T$6:$T$138, "&gt;="&amp;DM1,'Expenditure Breakdown'!$T$6:$T$138, "&lt;"&amp;IO1)</f>
        <v>0</v>
      </c>
      <c r="DN17" s="268">
        <f>SUMIFS('Expenditure Breakdown'!$U$6:$U$138, 'Expenditure Breakdown'!$T$6:$T$138, "&gt;="&amp;DN1,'Expenditure Breakdown'!$T$6:$T$138, "&lt;"&amp;IP1)</f>
        <v>0</v>
      </c>
      <c r="DO17" s="268">
        <f>SUMIFS('Expenditure Breakdown'!$U$6:$U$138, 'Expenditure Breakdown'!$T$6:$T$138, "&gt;="&amp;DO1,'Expenditure Breakdown'!$T$6:$T$138, "&lt;"&amp;IQ1)</f>
        <v>0</v>
      </c>
      <c r="DP17" s="268">
        <f>SUMIFS('Expenditure Breakdown'!$U$6:$U$138, 'Expenditure Breakdown'!$T$6:$T$138, "&gt;="&amp;DP1,'Expenditure Breakdown'!$T$6:$T$138, "&lt;"&amp;IR1)</f>
        <v>0</v>
      </c>
      <c r="DQ17" s="268">
        <f>SUMIFS('Expenditure Breakdown'!$U$6:$U$138, 'Expenditure Breakdown'!$T$6:$T$138, "&gt;="&amp;DQ1,'Expenditure Breakdown'!$T$6:$T$138, "&lt;"&amp;IS1)</f>
        <v>0</v>
      </c>
      <c r="DR17" s="268">
        <f>SUMIFS('Expenditure Breakdown'!$U$6:$U$138, 'Expenditure Breakdown'!$T$6:$T$138, "&gt;="&amp;DR1,'Expenditure Breakdown'!$T$6:$T$138, "&lt;"&amp;IT1)</f>
        <v>0</v>
      </c>
      <c r="DS17" s="268">
        <f>SUMIFS('Expenditure Breakdown'!$U$6:$U$138, 'Expenditure Breakdown'!$T$6:$T$138, "&gt;="&amp;DS1,'Expenditure Breakdown'!$T$6:$T$138, "&lt;"&amp;IU1)</f>
        <v>0</v>
      </c>
      <c r="DT17" s="268">
        <f>SUMIFS('Expenditure Breakdown'!$U$6:$U$138, 'Expenditure Breakdown'!$T$6:$T$138, "&gt;="&amp;DT1,'Expenditure Breakdown'!$T$6:$T$138, "&lt;"&amp;IV1)</f>
        <v>0</v>
      </c>
      <c r="DU17" s="268">
        <f>SUMIFS('Expenditure Breakdown'!$U$6:$U$138, 'Expenditure Breakdown'!$T$6:$T$138, "&gt;="&amp;DU1,'Expenditure Breakdown'!$T$6:$T$138, "&lt;"&amp;IW1)</f>
        <v>0</v>
      </c>
      <c r="DV17" s="268">
        <f>SUMIFS('Expenditure Breakdown'!$U$6:$U$138, 'Expenditure Breakdown'!$T$6:$T$138, "&gt;="&amp;DV1,'Expenditure Breakdown'!$T$6:$T$138, "&lt;"&amp;IX1)</f>
        <v>0</v>
      </c>
      <c r="DW17" s="268">
        <f>SUMIFS('Expenditure Breakdown'!$U$6:$U$138, 'Expenditure Breakdown'!$T$6:$T$138, "&gt;="&amp;DW1,'Expenditure Breakdown'!$T$6:$T$138, "&lt;"&amp;IY1)</f>
        <v>0</v>
      </c>
      <c r="DX17" s="268">
        <f>SUMIFS('Expenditure Breakdown'!$U$6:$U$138, 'Expenditure Breakdown'!$T$6:$T$138, "&gt;="&amp;DX1,'Expenditure Breakdown'!$T$6:$T$138, "&lt;"&amp;IZ1)</f>
        <v>0</v>
      </c>
      <c r="DY17" s="268">
        <f>SUMIFS('Expenditure Breakdown'!$U$6:$U$138, 'Expenditure Breakdown'!$T$6:$T$138, "&gt;="&amp;DY1,'Expenditure Breakdown'!$T$6:$T$138, "&lt;"&amp;JA1)</f>
        <v>0</v>
      </c>
      <c r="DZ17" s="268">
        <f>SUMIFS('Expenditure Breakdown'!$U$6:$U$138, 'Expenditure Breakdown'!$T$6:$T$138, "&gt;="&amp;DZ1,'Expenditure Breakdown'!$T$6:$T$138, "&lt;"&amp;JB1)</f>
        <v>0</v>
      </c>
      <c r="EA17" s="268">
        <f>SUMIFS('Expenditure Breakdown'!$U$6:$U$138, 'Expenditure Breakdown'!$T$6:$T$138, "&gt;="&amp;EA1,'Expenditure Breakdown'!$T$6:$T$138, "&lt;"&amp;JC1)</f>
        <v>0</v>
      </c>
      <c r="EB17" s="268">
        <f>SUMIFS('Expenditure Breakdown'!$U$6:$U$138, 'Expenditure Breakdown'!$T$6:$T$138, "&gt;="&amp;EB1,'Expenditure Breakdown'!$T$6:$T$138, "&lt;"&amp;JD1)</f>
        <v>0</v>
      </c>
      <c r="EC17" s="268">
        <f>SUMIFS('Expenditure Breakdown'!$U$6:$U$138, 'Expenditure Breakdown'!$T$6:$T$138, "&gt;="&amp;EC1,'Expenditure Breakdown'!$T$6:$T$138, "&lt;"&amp;JE1)</f>
        <v>0</v>
      </c>
      <c r="ED17" s="268">
        <f>SUMIFS('Expenditure Breakdown'!$U$6:$U$138, 'Expenditure Breakdown'!$T$6:$T$138, "&gt;="&amp;ED1,'Expenditure Breakdown'!$T$6:$T$138, "&lt;"&amp;JF1)</f>
        <v>0</v>
      </c>
      <c r="EE17" s="268">
        <f>SUMIFS('Expenditure Breakdown'!$U$6:$U$138, 'Expenditure Breakdown'!$T$6:$T$138, "&gt;="&amp;EE1,'Expenditure Breakdown'!$T$6:$T$138, "&lt;"&amp;JG1)</f>
        <v>0</v>
      </c>
      <c r="EF17" s="268">
        <f>SUMIFS('Expenditure Breakdown'!$U$6:$U$138, 'Expenditure Breakdown'!$T$6:$T$138, "&gt;="&amp;EF1,'Expenditure Breakdown'!$T$6:$T$138, "&lt;"&amp;JH1)</f>
        <v>0</v>
      </c>
      <c r="EG17" s="268">
        <f>SUMIFS('Expenditure Breakdown'!$U$6:$U$138, 'Expenditure Breakdown'!$T$6:$T$138, "&gt;="&amp;EG1,'Expenditure Breakdown'!$T$6:$T$138, "&lt;"&amp;JI1)</f>
        <v>0</v>
      </c>
      <c r="EH17" s="268">
        <f>SUMIFS('Expenditure Breakdown'!$U$6:$U$138, 'Expenditure Breakdown'!$T$6:$T$138, "&gt;="&amp;EH1,'Expenditure Breakdown'!$T$6:$T$138, "&lt;"&amp;JJ1)</f>
        <v>0</v>
      </c>
      <c r="EI17" s="268">
        <f>SUMIFS('Expenditure Breakdown'!$U$6:$U$138, 'Expenditure Breakdown'!$T$6:$T$138, "&gt;="&amp;EI1,'Expenditure Breakdown'!$T$6:$T$138, "&lt;"&amp;JK1)</f>
        <v>0</v>
      </c>
      <c r="EJ17" s="268">
        <f>SUMIFS('Expenditure Breakdown'!$U$6:$U$138, 'Expenditure Breakdown'!$T$6:$T$138, "&gt;="&amp;EJ1,'Expenditure Breakdown'!$T$6:$T$138, "&lt;"&amp;JL1)</f>
        <v>0</v>
      </c>
      <c r="EK17" s="268">
        <f>SUMIFS('Expenditure Breakdown'!$U$6:$U$138, 'Expenditure Breakdown'!$T$6:$T$138, "&gt;="&amp;EK1,'Expenditure Breakdown'!$T$6:$T$138, "&lt;"&amp;JM1)</f>
        <v>0</v>
      </c>
      <c r="EL17" s="268">
        <f>SUMIFS('Expenditure Breakdown'!$U$6:$U$138, 'Expenditure Breakdown'!$T$6:$T$138, "&gt;="&amp;EL1,'Expenditure Breakdown'!$T$6:$T$138, "&lt;"&amp;JN1)</f>
        <v>0</v>
      </c>
      <c r="EM17" s="268">
        <f>SUMIFS('Expenditure Breakdown'!$U$6:$U$138, 'Expenditure Breakdown'!$T$6:$T$138, "&gt;="&amp;EM1,'Expenditure Breakdown'!$T$6:$T$138, "&lt;"&amp;JO1)</f>
        <v>0</v>
      </c>
      <c r="EN17" s="268">
        <f>SUMIFS('Expenditure Breakdown'!$U$6:$U$138, 'Expenditure Breakdown'!$T$6:$T$138, "&gt;="&amp;EN1,'Expenditure Breakdown'!$T$6:$T$138, "&lt;"&amp;JP1)</f>
        <v>0</v>
      </c>
      <c r="EO17" s="268">
        <f>SUMIFS('Expenditure Breakdown'!$U$6:$U$138, 'Expenditure Breakdown'!$T$6:$T$138, "&gt;="&amp;EO1,'Expenditure Breakdown'!$T$6:$T$138, "&lt;"&amp;JQ1)</f>
        <v>0</v>
      </c>
      <c r="EP17" s="268">
        <f>SUMIFS('Expenditure Breakdown'!$U$6:$U$138, 'Expenditure Breakdown'!$T$6:$T$138, "&gt;="&amp;EP1,'Expenditure Breakdown'!$T$6:$T$138, "&lt;"&amp;JR1)</f>
        <v>0</v>
      </c>
      <c r="EQ17" s="268">
        <f>SUMIFS('Expenditure Breakdown'!$U$6:$U$138, 'Expenditure Breakdown'!$T$6:$T$138, "&gt;="&amp;EQ1,'Expenditure Breakdown'!$T$6:$T$138, "&lt;"&amp;JS1)</f>
        <v>0</v>
      </c>
      <c r="ER17" s="268">
        <f>SUMIFS('Expenditure Breakdown'!$U$6:$U$138, 'Expenditure Breakdown'!$T$6:$T$138, "&gt;="&amp;ER1,'Expenditure Breakdown'!$T$6:$T$138, "&lt;"&amp;JT1)</f>
        <v>0</v>
      </c>
      <c r="ES17" s="268">
        <f>SUMIFS('Expenditure Breakdown'!$U$6:$U$138, 'Expenditure Breakdown'!$T$6:$T$138, "&gt;="&amp;ES1,'Expenditure Breakdown'!$T$6:$T$138, "&lt;"&amp;JU1)</f>
        <v>0</v>
      </c>
      <c r="ET17" s="268">
        <f>SUMIFS('Expenditure Breakdown'!$U$6:$U$138, 'Expenditure Breakdown'!$T$6:$T$138, "&gt;="&amp;ET1,'Expenditure Breakdown'!$T$6:$T$138, "&lt;"&amp;JV1)</f>
        <v>0</v>
      </c>
      <c r="EU17" s="268">
        <f>SUMIFS('Expenditure Breakdown'!$U$6:$U$138, 'Expenditure Breakdown'!$T$6:$T$138, "&gt;="&amp;EU1,'Expenditure Breakdown'!$T$6:$T$138, "&lt;"&amp;JW1)</f>
        <v>0</v>
      </c>
      <c r="EV17" s="268">
        <f>SUMIFS('Expenditure Breakdown'!$U$6:$U$138, 'Expenditure Breakdown'!$T$6:$T$138, "&gt;="&amp;EV1,'Expenditure Breakdown'!$T$6:$T$138, "&lt;"&amp;JX1)</f>
        <v>0</v>
      </c>
      <c r="EW17" s="268">
        <f>SUMIFS('Expenditure Breakdown'!$U$6:$U$138, 'Expenditure Breakdown'!$T$6:$T$138, "&gt;="&amp;EW1,'Expenditure Breakdown'!$T$6:$T$138, "&lt;"&amp;JY1)</f>
        <v>0</v>
      </c>
      <c r="EX17" s="268">
        <f>SUMIFS('Expenditure Breakdown'!$U$6:$U$138, 'Expenditure Breakdown'!$T$6:$T$138, "&gt;="&amp;EX1,'Expenditure Breakdown'!$T$6:$T$138, "&lt;"&amp;JZ1)</f>
        <v>0</v>
      </c>
      <c r="EY17" s="268">
        <f>SUMIFS('Expenditure Breakdown'!$U$6:$U$138, 'Expenditure Breakdown'!$T$6:$T$138, "&gt;="&amp;EY1,'Expenditure Breakdown'!$T$6:$T$138, "&lt;"&amp;KA1)</f>
        <v>0</v>
      </c>
      <c r="EZ17" s="268">
        <f>SUMIFS('Expenditure Breakdown'!$U$6:$U$138, 'Expenditure Breakdown'!$T$6:$T$138, "&gt;="&amp;EZ1,'Expenditure Breakdown'!$T$6:$T$138, "&lt;"&amp;KB1)</f>
        <v>0</v>
      </c>
      <c r="FA17" s="268">
        <f>SUMIFS('Expenditure Breakdown'!$U$6:$U$138, 'Expenditure Breakdown'!$T$6:$T$138, "&gt;="&amp;FA1,'Expenditure Breakdown'!$T$6:$T$138, "&lt;"&amp;KC1)</f>
        <v>0</v>
      </c>
      <c r="FB17" s="268">
        <f>SUMIFS('Expenditure Breakdown'!$U$6:$U$138, 'Expenditure Breakdown'!$T$6:$T$138, "&gt;="&amp;FB1,'Expenditure Breakdown'!$T$6:$T$138, "&lt;"&amp;KD1)</f>
        <v>0</v>
      </c>
      <c r="FC17" s="268">
        <f>SUMIFS('Expenditure Breakdown'!$U$6:$U$138, 'Expenditure Breakdown'!$T$6:$T$138, "&gt;="&amp;FC1,'Expenditure Breakdown'!$T$6:$T$138, "&lt;"&amp;KE1)</f>
        <v>0</v>
      </c>
      <c r="FD17" s="268">
        <f>SUMIFS('Expenditure Breakdown'!$U$6:$U$138, 'Expenditure Breakdown'!$T$6:$T$138, "&gt;="&amp;FD1,'Expenditure Breakdown'!$T$6:$T$138, "&lt;"&amp;KF1)</f>
        <v>0</v>
      </c>
      <c r="FE17" s="268">
        <f>SUMIFS('Expenditure Breakdown'!$U$6:$U$138, 'Expenditure Breakdown'!$T$6:$T$138, "&gt;="&amp;FE1,'Expenditure Breakdown'!$T$6:$T$138, "&lt;"&amp;KG1)</f>
        <v>0</v>
      </c>
      <c r="FF17" s="268">
        <f>SUMIFS('Expenditure Breakdown'!$U$6:$U$138, 'Expenditure Breakdown'!$T$6:$T$138, "&gt;="&amp;FF1,'Expenditure Breakdown'!$T$6:$T$138, "&lt;"&amp;KH1)</f>
        <v>0</v>
      </c>
      <c r="FG17" s="268">
        <f>SUMIFS('Expenditure Breakdown'!$U$6:$U$138, 'Expenditure Breakdown'!$T$6:$T$138, "&gt;="&amp;FG1,'Expenditure Breakdown'!$T$6:$T$138, "&lt;"&amp;KI1)</f>
        <v>0</v>
      </c>
      <c r="FH17" s="268">
        <f>SUMIFS('Expenditure Breakdown'!$U$6:$U$138, 'Expenditure Breakdown'!$T$6:$T$138, "&gt;="&amp;FH1,'Expenditure Breakdown'!$T$6:$T$138, "&lt;"&amp;KJ1)</f>
        <v>0</v>
      </c>
      <c r="FI17" s="268">
        <f>SUMIFS('Expenditure Breakdown'!$U$6:$U$138, 'Expenditure Breakdown'!$T$6:$T$138, "&gt;="&amp;FI1,'Expenditure Breakdown'!$T$6:$T$138, "&lt;"&amp;KK1)</f>
        <v>0</v>
      </c>
      <c r="FJ17" s="268">
        <f>SUMIFS('Expenditure Breakdown'!$U$6:$U$138, 'Expenditure Breakdown'!$T$6:$T$138, "&gt;="&amp;FJ1,'Expenditure Breakdown'!$T$6:$T$138, "&lt;"&amp;KL1)</f>
        <v>0</v>
      </c>
      <c r="FK17" s="268">
        <f>SUMIFS('Expenditure Breakdown'!$U$6:$U$138, 'Expenditure Breakdown'!$T$6:$T$138, "&gt;="&amp;FK1,'Expenditure Breakdown'!$T$6:$T$138, "&lt;"&amp;KM1)</f>
        <v>0</v>
      </c>
      <c r="FL17" s="268">
        <f>SUMIFS('Expenditure Breakdown'!$U$6:$U$138, 'Expenditure Breakdown'!$T$6:$T$138, "&gt;="&amp;FL1,'Expenditure Breakdown'!$T$6:$T$138, "&lt;"&amp;KN1)</f>
        <v>0</v>
      </c>
      <c r="FM17" s="268">
        <f>SUMIFS('Expenditure Breakdown'!$U$6:$U$138, 'Expenditure Breakdown'!$T$6:$T$138, "&gt;="&amp;FM1,'Expenditure Breakdown'!$T$6:$T$138, "&lt;"&amp;KO1)</f>
        <v>0</v>
      </c>
      <c r="FN17" s="268">
        <f>SUMIFS('Expenditure Breakdown'!$U$6:$U$138, 'Expenditure Breakdown'!$T$6:$T$138, "&gt;="&amp;FN1,'Expenditure Breakdown'!$T$6:$T$138, "&lt;"&amp;KP1)</f>
        <v>0</v>
      </c>
      <c r="FO17" s="268">
        <f>SUMIFS('Expenditure Breakdown'!$U$6:$U$138, 'Expenditure Breakdown'!$T$6:$T$138, "&gt;="&amp;FO1,'Expenditure Breakdown'!$T$6:$T$138, "&lt;"&amp;KQ1)</f>
        <v>0</v>
      </c>
      <c r="FP17" s="268">
        <f>SUMIFS('Expenditure Breakdown'!$U$6:$U$138, 'Expenditure Breakdown'!$T$6:$T$138, "&gt;="&amp;FP1,'Expenditure Breakdown'!$T$6:$T$138, "&lt;"&amp;KR1)</f>
        <v>0</v>
      </c>
      <c r="FQ17" s="268">
        <f>SUMIFS('Expenditure Breakdown'!$U$6:$U$138, 'Expenditure Breakdown'!$T$6:$T$138, "&gt;="&amp;FQ1,'Expenditure Breakdown'!$T$6:$T$138, "&lt;"&amp;KS1)</f>
        <v>0</v>
      </c>
      <c r="FR17" s="268">
        <f>SUMIFS('Expenditure Breakdown'!$U$6:$U$138, 'Expenditure Breakdown'!$T$6:$T$138, "&gt;="&amp;FR1,'Expenditure Breakdown'!$T$6:$T$138, "&lt;"&amp;KT1)</f>
        <v>0</v>
      </c>
      <c r="FS17" s="268">
        <f>SUMIFS('Expenditure Breakdown'!$U$6:$U$138, 'Expenditure Breakdown'!$T$6:$T$138, "&gt;="&amp;FS1,'Expenditure Breakdown'!$T$6:$T$138, "&lt;"&amp;KU1)</f>
        <v>0</v>
      </c>
      <c r="FT17" s="268">
        <f>SUMIFS('Expenditure Breakdown'!$U$6:$U$138, 'Expenditure Breakdown'!$T$6:$T$138, "&gt;="&amp;FT1,'Expenditure Breakdown'!$T$6:$T$138, "&lt;"&amp;KV1)</f>
        <v>0</v>
      </c>
      <c r="FU17" s="268">
        <f>SUMIFS('Expenditure Breakdown'!$U$6:$U$138, 'Expenditure Breakdown'!$T$6:$T$138, "&gt;="&amp;FU1,'Expenditure Breakdown'!$T$6:$T$138, "&lt;"&amp;KW1)</f>
        <v>0</v>
      </c>
      <c r="FV17" s="268">
        <f>SUMIFS('Expenditure Breakdown'!$U$6:$U$138, 'Expenditure Breakdown'!$T$6:$T$138, "&gt;="&amp;FV1,'Expenditure Breakdown'!$T$6:$T$138, "&lt;"&amp;KX1)</f>
        <v>0</v>
      </c>
      <c r="FW17" s="268">
        <f>SUMIFS('Expenditure Breakdown'!$U$6:$U$138, 'Expenditure Breakdown'!$T$6:$T$138, "&gt;="&amp;FW1,'Expenditure Breakdown'!$T$6:$T$138, "&lt;"&amp;KY1)</f>
        <v>0</v>
      </c>
      <c r="FX17" s="268">
        <f>SUMIFS('Expenditure Breakdown'!$U$6:$U$138, 'Expenditure Breakdown'!$T$6:$T$138, "&gt;="&amp;FX1,'Expenditure Breakdown'!$T$6:$T$138, "&lt;"&amp;KZ1)</f>
        <v>0</v>
      </c>
      <c r="FY17" s="268">
        <f>SUMIFS('Expenditure Breakdown'!$U$6:$U$138, 'Expenditure Breakdown'!$T$6:$T$138, "&gt;="&amp;FY1,'Expenditure Breakdown'!$T$6:$T$138, "&lt;"&amp;LA1)</f>
        <v>0</v>
      </c>
      <c r="FZ17" s="268">
        <f>SUMIFS('Expenditure Breakdown'!$U$6:$U$138, 'Expenditure Breakdown'!$T$6:$T$138, "&gt;="&amp;FZ1,'Expenditure Breakdown'!$T$6:$T$138, "&lt;"&amp;LB1)</f>
        <v>0</v>
      </c>
      <c r="GA17" s="268">
        <f>SUMIFS('Expenditure Breakdown'!$U$6:$U$138, 'Expenditure Breakdown'!$T$6:$T$138, "&gt;="&amp;GA1,'Expenditure Breakdown'!$T$6:$T$138, "&lt;"&amp;LC1)</f>
        <v>0</v>
      </c>
      <c r="GB17" s="268">
        <f>SUMIFS('Expenditure Breakdown'!$U$6:$U$138, 'Expenditure Breakdown'!$T$6:$T$138, "&gt;="&amp;GB1,'Expenditure Breakdown'!$T$6:$T$138, "&lt;"&amp;LD1)</f>
        <v>0</v>
      </c>
      <c r="GC17" s="268">
        <f>SUMIFS('Expenditure Breakdown'!$U$6:$U$138, 'Expenditure Breakdown'!$T$6:$T$138, "&gt;="&amp;GC1,'Expenditure Breakdown'!$T$6:$T$138, "&lt;"&amp;LE1)</f>
        <v>0</v>
      </c>
      <c r="GD17" s="268">
        <f>SUMIFS('Expenditure Breakdown'!$U$6:$U$138, 'Expenditure Breakdown'!$T$6:$T$138, "&gt;="&amp;GD1,'Expenditure Breakdown'!$T$6:$T$138, "&lt;"&amp;LF1)</f>
        <v>0</v>
      </c>
      <c r="GE17" s="268">
        <f>SUMIFS('Expenditure Breakdown'!$U$6:$U$138, 'Expenditure Breakdown'!$T$6:$T$138, "&gt;="&amp;GE1,'Expenditure Breakdown'!$T$6:$T$138, "&lt;"&amp;LG1)</f>
        <v>0</v>
      </c>
      <c r="GF17" s="268">
        <f>SUMIFS('Expenditure Breakdown'!$U$6:$U$138, 'Expenditure Breakdown'!$T$6:$T$138, "&gt;="&amp;GF1,'Expenditure Breakdown'!$T$6:$T$138, "&lt;"&amp;LH1)</f>
        <v>0</v>
      </c>
    </row>
    <row r="18" spans="1:188">
      <c r="A18" s="1053"/>
      <c r="B18" s="249" t="s">
        <v>469</v>
      </c>
      <c r="C18" s="568">
        <f>D17-D18</f>
        <v>1010351.8664845843</v>
      </c>
      <c r="D18" s="250">
        <f>MAX(F18:AI18)</f>
        <v>14185851.409512693</v>
      </c>
      <c r="E18" s="260"/>
      <c r="F18" s="268">
        <f>F17</f>
        <v>0</v>
      </c>
      <c r="G18" s="268">
        <f>F18+G17</f>
        <v>0</v>
      </c>
      <c r="H18" s="268">
        <f t="shared" ref="H18" si="734">G18+H17</f>
        <v>0</v>
      </c>
      <c r="I18" s="268">
        <f t="shared" ref="I18" si="735">H18+I17</f>
        <v>0</v>
      </c>
      <c r="J18" s="268">
        <f t="shared" ref="J18" si="736">I18+J17</f>
        <v>1680912.4908214733</v>
      </c>
      <c r="K18" s="268">
        <f t="shared" ref="K18" si="737">J18+K17</f>
        <v>1680912.4908214733</v>
      </c>
      <c r="L18" s="268">
        <f t="shared" ref="L18" si="738">K18+L17</f>
        <v>1680912.4908214733</v>
      </c>
      <c r="M18" s="268">
        <f t="shared" ref="M18" si="739">L18+M17</f>
        <v>1680912.4908214733</v>
      </c>
      <c r="N18" s="268">
        <f t="shared" ref="N18" si="740">M18+N17</f>
        <v>1680912.4908214733</v>
      </c>
      <c r="O18" s="268">
        <f t="shared" ref="O18" si="741">N18+O17</f>
        <v>1680912.4908214733</v>
      </c>
      <c r="P18" s="268">
        <f t="shared" ref="P18" si="742">O18+P17</f>
        <v>1680912.4908214733</v>
      </c>
      <c r="Q18" s="268">
        <f t="shared" ref="Q18" si="743">P18+Q17</f>
        <v>1680912.4908214733</v>
      </c>
      <c r="R18" s="268">
        <f t="shared" ref="R18" si="744">Q18+R17</f>
        <v>1680912.4908214733</v>
      </c>
      <c r="S18" s="268">
        <f t="shared" ref="S18" si="745">R18+S17</f>
        <v>1688971.0530626627</v>
      </c>
      <c r="T18" s="268">
        <f t="shared" ref="T18" si="746">S18+T17</f>
        <v>1688971.0530626627</v>
      </c>
      <c r="U18" s="268">
        <f t="shared" ref="U18" si="747">T18+U17</f>
        <v>1688971.0530626627</v>
      </c>
      <c r="V18" s="268">
        <f t="shared" ref="V18" si="748">U18+V17</f>
        <v>1688971.0530626627</v>
      </c>
      <c r="W18" s="268">
        <f t="shared" ref="W18" si="749">V18+W17</f>
        <v>13170530.737329379</v>
      </c>
      <c r="X18" s="268">
        <f t="shared" ref="X18" si="750">W18+X17</f>
        <v>13170530.737329379</v>
      </c>
      <c r="Y18" s="268">
        <f t="shared" ref="Y18" si="751">X18+Y17</f>
        <v>13170530.737329379</v>
      </c>
      <c r="Z18" s="268">
        <f t="shared" ref="Z18" si="752">Y18+Z17</f>
        <v>13170530.737329379</v>
      </c>
      <c r="AA18" s="268">
        <f t="shared" ref="AA18" si="753">Z18+AA17</f>
        <v>13751802.741346715</v>
      </c>
      <c r="AB18" s="268">
        <f t="shared" ref="AB18" si="754">AA18+AB17</f>
        <v>13751802.741346715</v>
      </c>
      <c r="AC18" s="268">
        <f t="shared" ref="AC18" si="755">AB18+AC17</f>
        <v>13751802.741346715</v>
      </c>
      <c r="AD18" s="268">
        <f t="shared" ref="AD18" si="756">AC18+AD17</f>
        <v>13751802.741346715</v>
      </c>
      <c r="AE18" s="268">
        <f t="shared" ref="AE18" si="757">AD18+AE17</f>
        <v>13751802.741346715</v>
      </c>
      <c r="AF18" s="268">
        <f t="shared" ref="AF18" si="758">AE18+AF17</f>
        <v>14185851.409512693</v>
      </c>
      <c r="AG18" s="268">
        <f t="shared" ref="AG18" si="759">AF18+AG17</f>
        <v>14185851.409512693</v>
      </c>
      <c r="AH18" s="268">
        <f t="shared" ref="AH18" si="760">AG18+AH17</f>
        <v>14185851.409512693</v>
      </c>
      <c r="AI18" s="268">
        <f t="shared" ref="AI18" si="761">AH18+AI17</f>
        <v>14185851.409512693</v>
      </c>
      <c r="AJ18" s="268">
        <f t="shared" ref="AJ18" si="762">AI18+AJ17</f>
        <v>14229512.523079285</v>
      </c>
      <c r="AK18" s="268">
        <f t="shared" ref="AK18" si="763">AJ18+AK17</f>
        <v>14229512.523079285</v>
      </c>
      <c r="AL18" s="268">
        <f t="shared" ref="AL18" si="764">AK18+AL17</f>
        <v>14229512.523079285</v>
      </c>
      <c r="AM18" s="268">
        <f t="shared" ref="AM18" si="765">AL18+AM17</f>
        <v>14229512.523079285</v>
      </c>
      <c r="AN18" s="268">
        <f>AM18+AN17</f>
        <v>14774369.575444808</v>
      </c>
      <c r="AO18" s="268">
        <f>AN18+AO17</f>
        <v>14774369.575444808</v>
      </c>
      <c r="AP18" s="268">
        <f t="shared" ref="AP18" si="766">AO18+AP17</f>
        <v>14774369.575444808</v>
      </c>
      <c r="AQ18" s="268">
        <f t="shared" ref="AQ18" si="767">AP18+AQ17</f>
        <v>14774369.575444808</v>
      </c>
      <c r="AR18" s="268">
        <f t="shared" ref="AR18" si="768">AQ18+AR17</f>
        <v>14774369.575444808</v>
      </c>
      <c r="AS18" s="268">
        <f t="shared" ref="AS18" si="769">AR18+AS17</f>
        <v>15162537.037993973</v>
      </c>
      <c r="AT18" s="268">
        <f t="shared" ref="AT18" si="770">AS18+AT17</f>
        <v>15162537.037993973</v>
      </c>
      <c r="AU18" s="268">
        <f t="shared" ref="AU18" si="771">AT18+AU17</f>
        <v>15162537.037993973</v>
      </c>
      <c r="AV18" s="268">
        <f t="shared" ref="AV18" si="772">AU18+AV17</f>
        <v>15162537.037993973</v>
      </c>
      <c r="AW18" s="268">
        <f t="shared" ref="AW18" si="773">AV18+AW17</f>
        <v>15196203.275997277</v>
      </c>
      <c r="AX18" s="268">
        <f t="shared" ref="AX18" si="774">AW18+AX17</f>
        <v>15196203.275997277</v>
      </c>
      <c r="AY18" s="268">
        <f t="shared" ref="AY18" si="775">AX18+AY17</f>
        <v>15196203.275997277</v>
      </c>
      <c r="AZ18" s="268">
        <f t="shared" ref="AZ18" si="776">AY18+AZ17</f>
        <v>15196203.275997277</v>
      </c>
      <c r="BA18" s="268">
        <f t="shared" ref="BA18" si="777">AZ18+BA17</f>
        <v>15196203.275997277</v>
      </c>
      <c r="BB18" s="268">
        <f t="shared" ref="BB18" si="778">BA18+BB17</f>
        <v>15196203.275997277</v>
      </c>
      <c r="BC18" s="268">
        <f t="shared" ref="BC18" si="779">BB18+BC17</f>
        <v>15196203.275997277</v>
      </c>
      <c r="BD18" s="268">
        <f t="shared" ref="BD18" si="780">BC18+BD17</f>
        <v>15196203.275997277</v>
      </c>
      <c r="BE18" s="268">
        <f t="shared" ref="BE18" si="781">BD18+BE17</f>
        <v>15196203.275997277</v>
      </c>
      <c r="BF18" s="268">
        <f t="shared" ref="BF18:CK18" si="782">BE18+BF17</f>
        <v>15196203.275997277</v>
      </c>
      <c r="BG18" s="268">
        <f t="shared" si="782"/>
        <v>15196203.275997277</v>
      </c>
      <c r="BH18" s="268">
        <f t="shared" si="782"/>
        <v>15196203.275997277</v>
      </c>
      <c r="BI18" s="268">
        <f t="shared" si="782"/>
        <v>15196203.275997277</v>
      </c>
      <c r="BJ18" s="268">
        <f t="shared" si="782"/>
        <v>15196203.275997277</v>
      </c>
      <c r="BK18" s="268">
        <f t="shared" si="782"/>
        <v>15196203.275997277</v>
      </c>
      <c r="BL18" s="268">
        <f t="shared" si="782"/>
        <v>15196203.275997277</v>
      </c>
      <c r="BM18" s="268">
        <f t="shared" si="782"/>
        <v>15196203.275997277</v>
      </c>
      <c r="BN18" s="268">
        <f t="shared" si="782"/>
        <v>15196203.275997277</v>
      </c>
      <c r="BO18" s="268">
        <f t="shared" si="782"/>
        <v>15196203.275997277</v>
      </c>
      <c r="BP18" s="268">
        <f t="shared" si="782"/>
        <v>15196203.275997277</v>
      </c>
      <c r="BQ18" s="268">
        <f t="shared" si="782"/>
        <v>15196203.275997277</v>
      </c>
      <c r="BR18" s="268">
        <f t="shared" si="782"/>
        <v>15196203.275997277</v>
      </c>
      <c r="BS18" s="268">
        <f t="shared" si="782"/>
        <v>15196203.275997277</v>
      </c>
      <c r="BT18" s="268">
        <f t="shared" si="782"/>
        <v>15196203.275997277</v>
      </c>
      <c r="BU18" s="268">
        <f t="shared" si="782"/>
        <v>15196203.275997277</v>
      </c>
      <c r="BV18" s="268">
        <f t="shared" si="782"/>
        <v>15196203.275997277</v>
      </c>
      <c r="BW18" s="268">
        <f t="shared" si="782"/>
        <v>15196203.275997277</v>
      </c>
      <c r="BX18" s="268">
        <f t="shared" si="782"/>
        <v>15196203.275997277</v>
      </c>
      <c r="BY18" s="268">
        <f t="shared" si="782"/>
        <v>15196203.275997277</v>
      </c>
      <c r="BZ18" s="268">
        <f t="shared" si="782"/>
        <v>15196203.275997277</v>
      </c>
      <c r="CA18" s="268">
        <f t="shared" si="782"/>
        <v>15196203.275997277</v>
      </c>
      <c r="CB18" s="268">
        <f t="shared" si="782"/>
        <v>15196203.275997277</v>
      </c>
      <c r="CC18" s="268">
        <f t="shared" si="782"/>
        <v>15196203.275997277</v>
      </c>
      <c r="CD18" s="268">
        <f t="shared" si="782"/>
        <v>15196203.275997277</v>
      </c>
      <c r="CE18" s="268">
        <f t="shared" si="782"/>
        <v>15196203.275997277</v>
      </c>
      <c r="CF18" s="268">
        <f t="shared" si="782"/>
        <v>15196203.275997277</v>
      </c>
      <c r="CG18" s="268">
        <f t="shared" si="782"/>
        <v>15196203.275997277</v>
      </c>
      <c r="CH18" s="268">
        <f t="shared" si="782"/>
        <v>15196203.275997277</v>
      </c>
      <c r="CI18" s="268">
        <f t="shared" si="782"/>
        <v>15196203.275997277</v>
      </c>
      <c r="CJ18" s="268">
        <f t="shared" si="782"/>
        <v>15196203.275997277</v>
      </c>
      <c r="CK18" s="268">
        <f t="shared" si="782"/>
        <v>15196203.275997277</v>
      </c>
      <c r="CL18" s="268">
        <f t="shared" ref="CL18" si="783">CK18+CL17</f>
        <v>15196203.275997277</v>
      </c>
      <c r="CM18" s="268">
        <f t="shared" ref="CM18" si="784">CL18+CM17</f>
        <v>15196203.275997277</v>
      </c>
      <c r="CN18" s="268">
        <f t="shared" ref="CN18" si="785">CM18+CN17</f>
        <v>15196203.275997277</v>
      </c>
      <c r="CO18" s="268">
        <f t="shared" ref="CO18" si="786">CN18+CO17</f>
        <v>15196203.275997277</v>
      </c>
      <c r="CP18" s="268">
        <f t="shared" ref="CP18" si="787">CO18+CP17</f>
        <v>15196203.275997277</v>
      </c>
      <c r="CQ18" s="268">
        <f t="shared" ref="CQ18" si="788">CP18+CQ17</f>
        <v>15196203.275997277</v>
      </c>
      <c r="CR18" s="268">
        <f t="shared" ref="CR18" si="789">CQ18+CR17</f>
        <v>15196203.275997277</v>
      </c>
      <c r="CS18" s="268">
        <f t="shared" ref="CS18" si="790">CR18+CS17</f>
        <v>15196203.275997277</v>
      </c>
      <c r="CT18" s="268">
        <f t="shared" ref="CT18" si="791">CS18+CT17</f>
        <v>15196203.275997277</v>
      </c>
      <c r="CU18" s="268">
        <f t="shared" ref="CU18" si="792">CT18+CU17</f>
        <v>15196203.275997277</v>
      </c>
      <c r="CV18" s="268">
        <f t="shared" ref="CV18" si="793">CU18+CV17</f>
        <v>15196203.275997277</v>
      </c>
      <c r="CW18" s="268">
        <f t="shared" ref="CW18" si="794">CV18+CW17</f>
        <v>15196203.275997277</v>
      </c>
      <c r="CX18" s="268">
        <f t="shared" ref="CX18" si="795">CW18+CX17</f>
        <v>15196203.275997277</v>
      </c>
      <c r="CY18" s="268">
        <f t="shared" ref="CY18" si="796">CX18+CY17</f>
        <v>15196203.275997277</v>
      </c>
      <c r="CZ18" s="268">
        <f t="shared" ref="CZ18" si="797">CY18+CZ17</f>
        <v>15196203.275997277</v>
      </c>
      <c r="DA18" s="268">
        <f t="shared" ref="DA18" si="798">CZ18+DA17</f>
        <v>15196203.275997277</v>
      </c>
      <c r="DB18" s="268">
        <f t="shared" ref="DB18" si="799">DA18+DB17</f>
        <v>15196203.275997277</v>
      </c>
      <c r="DC18" s="268">
        <f t="shared" ref="DC18" si="800">DB18+DC17</f>
        <v>15196203.275997277</v>
      </c>
      <c r="DD18" s="268">
        <f t="shared" ref="DD18" si="801">DC18+DD17</f>
        <v>15196203.275997277</v>
      </c>
      <c r="DE18" s="268">
        <f t="shared" ref="DE18" si="802">DD18+DE17</f>
        <v>15196203.275997277</v>
      </c>
      <c r="DF18" s="268">
        <f t="shared" ref="DF18" si="803">DE18+DF17</f>
        <v>15196203.275997277</v>
      </c>
      <c r="DG18" s="268">
        <f t="shared" ref="DG18" si="804">DF18+DG17</f>
        <v>15196203.275997277</v>
      </c>
      <c r="DH18" s="268">
        <f t="shared" ref="DH18" si="805">DG18+DH17</f>
        <v>15196203.275997277</v>
      </c>
      <c r="DI18" s="268">
        <f t="shared" ref="DI18" si="806">DH18+DI17</f>
        <v>15196203.275997277</v>
      </c>
      <c r="DJ18" s="268">
        <f t="shared" ref="DJ18" si="807">DI18+DJ17</f>
        <v>15196203.275997277</v>
      </c>
      <c r="DK18" s="268">
        <f t="shared" ref="DK18" si="808">DJ18+DK17</f>
        <v>15196203.275997277</v>
      </c>
      <c r="DL18" s="268">
        <f t="shared" ref="DL18" si="809">DK18+DL17</f>
        <v>15196203.275997277</v>
      </c>
      <c r="DM18" s="268">
        <f t="shared" ref="DM18" si="810">DL18+DM17</f>
        <v>15196203.275997277</v>
      </c>
      <c r="DN18" s="268">
        <f t="shared" ref="DN18" si="811">DM18+DN17</f>
        <v>15196203.275997277</v>
      </c>
      <c r="DO18" s="268">
        <f t="shared" ref="DO18" si="812">DN18+DO17</f>
        <v>15196203.275997277</v>
      </c>
      <c r="DP18" s="268">
        <f t="shared" ref="DP18" si="813">DO18+DP17</f>
        <v>15196203.275997277</v>
      </c>
      <c r="DQ18" s="268">
        <f t="shared" ref="DQ18" si="814">DP18+DQ17</f>
        <v>15196203.275997277</v>
      </c>
      <c r="DR18" s="268">
        <f t="shared" ref="DR18" si="815">DQ18+DR17</f>
        <v>15196203.275997277</v>
      </c>
      <c r="DS18" s="268">
        <f t="shared" ref="DS18" si="816">DR18+DS17</f>
        <v>15196203.275997277</v>
      </c>
      <c r="DT18" s="268">
        <f t="shared" ref="DT18" si="817">DS18+DT17</f>
        <v>15196203.275997277</v>
      </c>
      <c r="DU18" s="268">
        <f t="shared" ref="DU18" si="818">DT18+DU17</f>
        <v>15196203.275997277</v>
      </c>
      <c r="DV18" s="268">
        <f t="shared" ref="DV18" si="819">DU18+DV17</f>
        <v>15196203.275997277</v>
      </c>
      <c r="DW18" s="268">
        <f t="shared" ref="DW18" si="820">DV18+DW17</f>
        <v>15196203.275997277</v>
      </c>
      <c r="DX18" s="268">
        <f t="shared" ref="DX18" si="821">DW18+DX17</f>
        <v>15196203.275997277</v>
      </c>
      <c r="DY18" s="268">
        <f t="shared" ref="DY18" si="822">DX18+DY17</f>
        <v>15196203.275997277</v>
      </c>
      <c r="DZ18" s="268">
        <f t="shared" ref="DZ18" si="823">DY18+DZ17</f>
        <v>15196203.275997277</v>
      </c>
      <c r="EA18" s="268">
        <f t="shared" ref="EA18" si="824">DZ18+EA17</f>
        <v>15196203.275997277</v>
      </c>
      <c r="EB18" s="268">
        <f t="shared" ref="EB18" si="825">EA18+EB17</f>
        <v>15196203.275997277</v>
      </c>
      <c r="EC18" s="268">
        <f t="shared" ref="EC18" si="826">EB18+EC17</f>
        <v>15196203.275997277</v>
      </c>
      <c r="ED18" s="268">
        <f t="shared" ref="ED18" si="827">EC18+ED17</f>
        <v>15196203.275997277</v>
      </c>
      <c r="EE18" s="268">
        <f t="shared" ref="EE18" si="828">ED18+EE17</f>
        <v>15196203.275997277</v>
      </c>
      <c r="EF18" s="268">
        <f t="shared" ref="EF18" si="829">EE18+EF17</f>
        <v>15196203.275997277</v>
      </c>
      <c r="EG18" s="268">
        <f t="shared" ref="EG18" si="830">EF18+EG17</f>
        <v>15196203.275997277</v>
      </c>
      <c r="EH18" s="268">
        <f t="shared" ref="EH18" si="831">EG18+EH17</f>
        <v>15196203.275997277</v>
      </c>
      <c r="EI18" s="268">
        <f t="shared" ref="EI18" si="832">EH18+EI17</f>
        <v>15196203.275997277</v>
      </c>
      <c r="EJ18" s="268">
        <f t="shared" ref="EJ18" si="833">EI18+EJ17</f>
        <v>15196203.275997277</v>
      </c>
      <c r="EK18" s="268">
        <f t="shared" ref="EK18" si="834">EJ18+EK17</f>
        <v>15196203.275997277</v>
      </c>
      <c r="EL18" s="268">
        <f t="shared" ref="EL18" si="835">EK18+EL17</f>
        <v>15196203.275997277</v>
      </c>
      <c r="EM18" s="268">
        <f t="shared" ref="EM18" si="836">EL18+EM17</f>
        <v>15196203.275997277</v>
      </c>
      <c r="EN18" s="268">
        <f t="shared" ref="EN18" si="837">EM18+EN17</f>
        <v>15196203.275997277</v>
      </c>
      <c r="EO18" s="268">
        <f t="shared" ref="EO18" si="838">EN18+EO17</f>
        <v>15196203.275997277</v>
      </c>
      <c r="EP18" s="268">
        <f t="shared" ref="EP18" si="839">EO18+EP17</f>
        <v>15196203.275997277</v>
      </c>
      <c r="EQ18" s="268">
        <f t="shared" ref="EQ18" si="840">EP18+EQ17</f>
        <v>15196203.275997277</v>
      </c>
      <c r="ER18" s="268">
        <f t="shared" ref="ER18" si="841">EQ18+ER17</f>
        <v>15196203.275997277</v>
      </c>
      <c r="ES18" s="268">
        <f t="shared" ref="ES18" si="842">ER18+ES17</f>
        <v>15196203.275997277</v>
      </c>
      <c r="ET18" s="268">
        <f t="shared" ref="ET18" si="843">ES18+ET17</f>
        <v>15196203.275997277</v>
      </c>
      <c r="EU18" s="268">
        <f t="shared" ref="EU18" si="844">ET18+EU17</f>
        <v>15196203.275997277</v>
      </c>
      <c r="EV18" s="268">
        <f t="shared" ref="EV18" si="845">EU18+EV17</f>
        <v>15196203.275997277</v>
      </c>
      <c r="EW18" s="268">
        <f t="shared" ref="EW18" si="846">EV18+EW17</f>
        <v>15196203.275997277</v>
      </c>
      <c r="EX18" s="268">
        <f t="shared" ref="EX18" si="847">EW18+EX17</f>
        <v>15196203.275997277</v>
      </c>
      <c r="EY18" s="268">
        <f t="shared" ref="EY18" si="848">EX18+EY17</f>
        <v>15196203.275997277</v>
      </c>
      <c r="EZ18" s="268">
        <f t="shared" ref="EZ18" si="849">EY18+EZ17</f>
        <v>15196203.275997277</v>
      </c>
      <c r="FA18" s="268">
        <f t="shared" ref="FA18" si="850">EZ18+FA17</f>
        <v>15196203.275997277</v>
      </c>
      <c r="FB18" s="268">
        <f t="shared" ref="FB18" si="851">FA18+FB17</f>
        <v>15196203.275997277</v>
      </c>
      <c r="FC18" s="268">
        <f t="shared" ref="FC18" si="852">FB18+FC17</f>
        <v>15196203.275997277</v>
      </c>
      <c r="FD18" s="268">
        <f t="shared" ref="FD18" si="853">FC18+FD17</f>
        <v>15196203.275997277</v>
      </c>
      <c r="FE18" s="268">
        <f t="shared" ref="FE18" si="854">FD18+FE17</f>
        <v>15196203.275997277</v>
      </c>
      <c r="FF18" s="268">
        <f t="shared" ref="FF18" si="855">FE18+FF17</f>
        <v>15196203.275997277</v>
      </c>
      <c r="FG18" s="268">
        <f t="shared" ref="FG18" si="856">FF18+FG17</f>
        <v>15196203.275997277</v>
      </c>
      <c r="FH18" s="268">
        <f t="shared" ref="FH18" si="857">FG18+FH17</f>
        <v>15196203.275997277</v>
      </c>
      <c r="FI18" s="268">
        <f t="shared" ref="FI18" si="858">FH18+FI17</f>
        <v>15196203.275997277</v>
      </c>
      <c r="FJ18" s="268">
        <f t="shared" ref="FJ18" si="859">FI18+FJ17</f>
        <v>15196203.275997277</v>
      </c>
      <c r="FK18" s="268">
        <f t="shared" ref="FK18" si="860">FJ18+FK17</f>
        <v>15196203.275997277</v>
      </c>
      <c r="FL18" s="268">
        <f t="shared" ref="FL18" si="861">FK18+FL17</f>
        <v>15196203.275997277</v>
      </c>
      <c r="FM18" s="268">
        <f t="shared" ref="FM18" si="862">FL18+FM17</f>
        <v>15196203.275997277</v>
      </c>
      <c r="FN18" s="268">
        <f t="shared" ref="FN18" si="863">FM18+FN17</f>
        <v>15196203.275997277</v>
      </c>
      <c r="FO18" s="268">
        <f t="shared" ref="FO18" si="864">FN18+FO17</f>
        <v>15196203.275997277</v>
      </c>
      <c r="FP18" s="268">
        <f t="shared" ref="FP18" si="865">FO18+FP17</f>
        <v>15196203.275997277</v>
      </c>
      <c r="FQ18" s="268">
        <f t="shared" ref="FQ18" si="866">FP18+FQ17</f>
        <v>15196203.275997277</v>
      </c>
      <c r="FR18" s="268">
        <f t="shared" ref="FR18" si="867">FQ18+FR17</f>
        <v>15196203.275997277</v>
      </c>
      <c r="FS18" s="268">
        <f t="shared" ref="FS18" si="868">FR18+FS17</f>
        <v>15196203.275997277</v>
      </c>
      <c r="FT18" s="268">
        <f t="shared" ref="FT18" si="869">FS18+FT17</f>
        <v>15196203.275997277</v>
      </c>
      <c r="FU18" s="268">
        <f t="shared" ref="FU18" si="870">FT18+FU17</f>
        <v>15196203.275997277</v>
      </c>
      <c r="FV18" s="268">
        <f t="shared" ref="FV18" si="871">FU18+FV17</f>
        <v>15196203.275997277</v>
      </c>
      <c r="FW18" s="268">
        <f t="shared" ref="FW18" si="872">FV18+FW17</f>
        <v>15196203.275997277</v>
      </c>
      <c r="FX18" s="268">
        <f t="shared" ref="FX18" si="873">FW18+FX17</f>
        <v>15196203.275997277</v>
      </c>
      <c r="FY18" s="268">
        <f t="shared" ref="FY18" si="874">FX18+FY17</f>
        <v>15196203.275997277</v>
      </c>
      <c r="FZ18" s="268">
        <f t="shared" ref="FZ18" si="875">FY18+FZ17</f>
        <v>15196203.275997277</v>
      </c>
      <c r="GA18" s="268">
        <f t="shared" ref="GA18" si="876">FZ18+GA17</f>
        <v>15196203.275997277</v>
      </c>
      <c r="GB18" s="268">
        <f t="shared" ref="GB18" si="877">GA18+GB17</f>
        <v>15196203.275997277</v>
      </c>
      <c r="GC18" s="268">
        <f t="shared" ref="GC18" si="878">GB18+GC17</f>
        <v>15196203.275997277</v>
      </c>
      <c r="GD18" s="268">
        <f t="shared" ref="GD18" si="879">GC18+GD17</f>
        <v>15196203.275997277</v>
      </c>
      <c r="GE18" s="268">
        <f t="shared" ref="GE18" si="880">GD18+GE17</f>
        <v>15196203.275997277</v>
      </c>
      <c r="GF18" s="268">
        <f t="shared" ref="GF18" si="881">GE18+GF17</f>
        <v>15196203.275997277</v>
      </c>
    </row>
    <row r="19" spans="1:188" s="245" customFormat="1"/>
    <row r="20" spans="1:188">
      <c r="B20" t="s">
        <v>470</v>
      </c>
      <c r="D20" s="791">
        <f>SUM(F20:BE20)</f>
        <v>1484855.1850000001</v>
      </c>
      <c r="E20" s="245"/>
      <c r="F20">
        <f>SUMIFS('Expenditure Breakdown'!$R$30:$R$33, 'Expenditure Breakdown'!$W$30:$W$33, "&gt;="&amp;F1,'Expenditure Breakdown'!$W$30:$W$33, "&lt;"&amp;G1)+SUMIFS('Expenditure Breakdown'!$R$48:$R$54, 'Expenditure Breakdown'!$W$48:$W$54, "&gt;="&amp;F1,'Expenditure Breakdown'!$W$48:$W$54, "&lt;"&amp;G1)+SUMIFS('Expenditure Breakdown'!$R$86:$R$98, 'Expenditure Breakdown'!$W$86:$W$98, "&gt;="&amp;F1,'Expenditure Breakdown'!$W$86:$W$98, "&lt;"&amp;G1)</f>
        <v>0</v>
      </c>
      <c r="G20">
        <f>SUMIFS('Expenditure Breakdown'!$R$30:$R$33, 'Expenditure Breakdown'!$W$30:$W$33, "&gt;="&amp;G1,'Expenditure Breakdown'!$W$30:$W$33, "&lt;"&amp;H1)+SUMIFS('Expenditure Breakdown'!$R$48:$R$54, 'Expenditure Breakdown'!$W$48:$W$54, "&gt;="&amp;G1,'Expenditure Breakdown'!$W$48:$W$54, "&lt;"&amp;H1)+SUMIFS('Expenditure Breakdown'!$R$86:$R$98, 'Expenditure Breakdown'!$W$86:$W$98, "&gt;="&amp;G1,'Expenditure Breakdown'!$W$86:$W$98, "&lt;"&amp;H1)</f>
        <v>0</v>
      </c>
      <c r="H20">
        <f>SUMIFS('Expenditure Breakdown'!$R$30:$R$33, 'Expenditure Breakdown'!$W$30:$W$33, "&gt;="&amp;H1,'Expenditure Breakdown'!$W$30:$W$33, "&lt;"&amp;I1)+SUMIFS('Expenditure Breakdown'!$R$48:$R$54, 'Expenditure Breakdown'!$W$48:$W$54, "&gt;="&amp;H1,'Expenditure Breakdown'!$W$48:$W$54, "&lt;"&amp;I1)+SUMIFS('Expenditure Breakdown'!$R$86:$R$98, 'Expenditure Breakdown'!$W$86:$W$98, "&gt;="&amp;H1,'Expenditure Breakdown'!$W$86:$W$98, "&lt;"&amp;I1)</f>
        <v>0</v>
      </c>
      <c r="I20">
        <f>SUMIFS('Expenditure Breakdown'!$R$30:$R$33, 'Expenditure Breakdown'!$W$30:$W$33, "&gt;="&amp;I1,'Expenditure Breakdown'!$W$30:$W$33, "&lt;"&amp;J1)+SUMIFS('Expenditure Breakdown'!$R$48:$R$54, 'Expenditure Breakdown'!$W$48:$W$54, "&gt;="&amp;I1,'Expenditure Breakdown'!$W$48:$W$54, "&lt;"&amp;J1)+SUMIFS('Expenditure Breakdown'!$R$86:$R$98, 'Expenditure Breakdown'!$W$86:$W$98, "&gt;="&amp;I1,'Expenditure Breakdown'!$W$86:$W$98, "&lt;"&amp;J1)</f>
        <v>0</v>
      </c>
      <c r="J20">
        <f>SUMIFS('Expenditure Breakdown'!$R$30:$R$33, 'Expenditure Breakdown'!$W$30:$W$33, "&gt;="&amp;J1,'Expenditure Breakdown'!$W$30:$W$33, "&lt;"&amp;K1)+SUMIFS('Expenditure Breakdown'!$R$48:$R$54, 'Expenditure Breakdown'!$W$48:$W$54, "&gt;="&amp;J1,'Expenditure Breakdown'!$W$48:$W$54, "&lt;"&amp;K1)+SUMIFS('Expenditure Breakdown'!$R$86:$R$98, 'Expenditure Breakdown'!$W$86:$W$98, "&gt;="&amp;J1,'Expenditure Breakdown'!$W$86:$W$98, "&lt;"&amp;K1)</f>
        <v>0</v>
      </c>
      <c r="K20">
        <f>SUMIFS('Expenditure Breakdown'!$R$30:$R$33, 'Expenditure Breakdown'!$W$30:$W$33, "&gt;="&amp;K1,'Expenditure Breakdown'!$W$30:$W$33, "&lt;"&amp;L1)+SUMIFS('Expenditure Breakdown'!$R$48:$R$54, 'Expenditure Breakdown'!$W$48:$W$54, "&gt;="&amp;K1,'Expenditure Breakdown'!$W$48:$W$54, "&lt;"&amp;L1)+SUMIFS('Expenditure Breakdown'!$R$86:$R$98, 'Expenditure Breakdown'!$W$86:$W$98, "&gt;="&amp;K1,'Expenditure Breakdown'!$W$86:$W$98, "&lt;"&amp;L1)</f>
        <v>0</v>
      </c>
      <c r="L20">
        <f>SUMIFS('Expenditure Breakdown'!$R$30:$R$33, 'Expenditure Breakdown'!$W$30:$W$33, "&gt;="&amp;L1,'Expenditure Breakdown'!$W$30:$W$33, "&lt;"&amp;M1)+SUMIFS('Expenditure Breakdown'!$R$48:$R$54, 'Expenditure Breakdown'!$W$48:$W$54, "&gt;="&amp;L1,'Expenditure Breakdown'!$W$48:$W$54, "&lt;"&amp;M1)+SUMIFS('Expenditure Breakdown'!$R$86:$R$98, 'Expenditure Breakdown'!$W$86:$W$98, "&gt;="&amp;L1,'Expenditure Breakdown'!$W$86:$W$98, "&lt;"&amp;M1)</f>
        <v>0</v>
      </c>
      <c r="M20">
        <f>SUMIFS('Expenditure Breakdown'!$R$30:$R$33, 'Expenditure Breakdown'!$W$30:$W$33, "&gt;="&amp;M1,'Expenditure Breakdown'!$W$30:$W$33, "&lt;"&amp;N1)+SUMIFS('Expenditure Breakdown'!$R$48:$R$54, 'Expenditure Breakdown'!$W$48:$W$54, "&gt;="&amp;M1,'Expenditure Breakdown'!$W$48:$W$54, "&lt;"&amp;N1)+SUMIFS('Expenditure Breakdown'!$R$86:$R$98, 'Expenditure Breakdown'!$W$86:$W$98, "&gt;="&amp;M1,'Expenditure Breakdown'!$W$86:$W$98, "&lt;"&amp;N1)</f>
        <v>0</v>
      </c>
      <c r="N20">
        <f>SUMIFS('Expenditure Breakdown'!$R$30:$R$33, 'Expenditure Breakdown'!$W$30:$W$33, "&gt;="&amp;N1,'Expenditure Breakdown'!$W$30:$W$33, "&lt;"&amp;O1)+SUMIFS('Expenditure Breakdown'!$R$48:$R$54, 'Expenditure Breakdown'!$W$48:$W$54, "&gt;="&amp;N1,'Expenditure Breakdown'!$W$48:$W$54, "&lt;"&amp;O1)+SUMIFS('Expenditure Breakdown'!$R$86:$R$98, 'Expenditure Breakdown'!$W$86:$W$98, "&gt;="&amp;N1,'Expenditure Breakdown'!$W$86:$W$98, "&lt;"&amp;O1)</f>
        <v>0</v>
      </c>
      <c r="O20">
        <f>SUMIFS('Expenditure Breakdown'!$R$30:$R$33, 'Expenditure Breakdown'!$W$30:$W$33, "&gt;="&amp;O1,'Expenditure Breakdown'!$W$30:$W$33, "&lt;"&amp;P1)+SUMIFS('Expenditure Breakdown'!$R$48:$R$54, 'Expenditure Breakdown'!$W$48:$W$54, "&gt;="&amp;O1,'Expenditure Breakdown'!$W$48:$W$54, "&lt;"&amp;P1)+SUMIFS('Expenditure Breakdown'!$R$86:$R$98, 'Expenditure Breakdown'!$W$86:$W$98, "&gt;="&amp;O1,'Expenditure Breakdown'!$W$86:$W$98, "&lt;"&amp;P1)</f>
        <v>0</v>
      </c>
      <c r="P20">
        <f>SUMIFS('Expenditure Breakdown'!$R$30:$R$33, 'Expenditure Breakdown'!$W$30:$W$33, "&gt;="&amp;P1,'Expenditure Breakdown'!$W$30:$W$33, "&lt;"&amp;Q1)+SUMIFS('Expenditure Breakdown'!$R$48:$R$54, 'Expenditure Breakdown'!$W$48:$W$54, "&gt;="&amp;P1,'Expenditure Breakdown'!$W$48:$W$54, "&lt;"&amp;Q1)+SUMIFS('Expenditure Breakdown'!$R$86:$R$98, 'Expenditure Breakdown'!$W$86:$W$98, "&gt;="&amp;P1,'Expenditure Breakdown'!$W$86:$W$98, "&lt;"&amp;Q1)</f>
        <v>0</v>
      </c>
      <c r="Q20">
        <f>SUMIFS('Expenditure Breakdown'!$R$30:$R$33, 'Expenditure Breakdown'!$W$30:$W$33, "&gt;="&amp;Q1,'Expenditure Breakdown'!$W$30:$W$33, "&lt;"&amp;R1)+SUMIFS('Expenditure Breakdown'!$R$48:$R$54, 'Expenditure Breakdown'!$W$48:$W$54, "&gt;="&amp;Q1,'Expenditure Breakdown'!$W$48:$W$54, "&lt;"&amp;R1)+SUMIFS('Expenditure Breakdown'!$R$86:$R$98, 'Expenditure Breakdown'!$W$86:$W$98, "&gt;="&amp;Q1,'Expenditure Breakdown'!$W$86:$W$98, "&lt;"&amp;R1)</f>
        <v>0</v>
      </c>
      <c r="R20">
        <f>SUMIFS('Expenditure Breakdown'!$R$30:$R$33, 'Expenditure Breakdown'!$W$30:$W$33, "&gt;="&amp;R1,'Expenditure Breakdown'!$W$30:$W$33, "&lt;"&amp;S1)+SUMIFS('Expenditure Breakdown'!$R$48:$R$54, 'Expenditure Breakdown'!$W$48:$W$54, "&gt;="&amp;R1,'Expenditure Breakdown'!$W$48:$W$54, "&lt;"&amp;S1)+SUMIFS('Expenditure Breakdown'!$R$86:$R$98, 'Expenditure Breakdown'!$W$86:$W$98, "&gt;="&amp;R1,'Expenditure Breakdown'!$W$86:$W$98, "&lt;"&amp;S1)</f>
        <v>0</v>
      </c>
      <c r="S20">
        <f>SUMIFS('Expenditure Breakdown'!$R$30:$R$33, 'Expenditure Breakdown'!$W$30:$W$33, "&gt;="&amp;S1,'Expenditure Breakdown'!$W$30:$W$33, "&lt;"&amp;T1)+SUMIFS('Expenditure Breakdown'!$R$48:$R$54, 'Expenditure Breakdown'!$W$48:$W$54, "&gt;="&amp;S1,'Expenditure Breakdown'!$W$48:$W$54, "&lt;"&amp;T1)+SUMIFS('Expenditure Breakdown'!$R$86:$R$98, 'Expenditure Breakdown'!$W$86:$W$98, "&gt;="&amp;S1,'Expenditure Breakdown'!$W$86:$W$98, "&lt;"&amp;T1)</f>
        <v>0</v>
      </c>
      <c r="T20">
        <f>SUMIFS('Expenditure Breakdown'!$R$30:$R$33, 'Expenditure Breakdown'!$W$30:$W$33, "&gt;="&amp;T1,'Expenditure Breakdown'!$W$30:$W$33, "&lt;"&amp;U1)+SUMIFS('Expenditure Breakdown'!$R$48:$R$54, 'Expenditure Breakdown'!$W$48:$W$54, "&gt;="&amp;T1,'Expenditure Breakdown'!$W$48:$W$54, "&lt;"&amp;U1)+SUMIFS('Expenditure Breakdown'!$R$86:$R$98, 'Expenditure Breakdown'!$W$86:$W$98, "&gt;="&amp;T1,'Expenditure Breakdown'!$W$86:$W$98, "&lt;"&amp;U1)</f>
        <v>0</v>
      </c>
      <c r="U20">
        <f>SUMIFS('Expenditure Breakdown'!$R$30:$R$33, 'Expenditure Breakdown'!$W$30:$W$33, "&gt;="&amp;U1,'Expenditure Breakdown'!$W$30:$W$33, "&lt;"&amp;V1)+SUMIFS('Expenditure Breakdown'!$R$48:$R$54, 'Expenditure Breakdown'!$W$48:$W$54, "&gt;="&amp;U1,'Expenditure Breakdown'!$W$48:$W$54, "&lt;"&amp;V1)+SUMIFS('Expenditure Breakdown'!$R$86:$R$98, 'Expenditure Breakdown'!$W$86:$W$98, "&gt;="&amp;U1,'Expenditure Breakdown'!$W$86:$W$98, "&lt;"&amp;V1)</f>
        <v>0</v>
      </c>
      <c r="V20">
        <f>SUMIFS('Expenditure Breakdown'!$R$30:$R$33, 'Expenditure Breakdown'!$W$30:$W$33, "&gt;="&amp;V1,'Expenditure Breakdown'!$W$30:$W$33, "&lt;"&amp;W1)+SUMIFS('Expenditure Breakdown'!$R$48:$R$54, 'Expenditure Breakdown'!$W$48:$W$54, "&gt;="&amp;V1,'Expenditure Breakdown'!$W$48:$W$54, "&lt;"&amp;W1)+SUMIFS('Expenditure Breakdown'!$R$86:$R$98, 'Expenditure Breakdown'!$W$86:$W$98, "&gt;="&amp;V1,'Expenditure Breakdown'!$W$86:$W$98, "&lt;"&amp;W1)</f>
        <v>0</v>
      </c>
      <c r="W20">
        <f>SUMIFS('Expenditure Breakdown'!$R$30:$R$33, 'Expenditure Breakdown'!$W$30:$W$33, "&gt;="&amp;W1,'Expenditure Breakdown'!$W$30:$W$33, "&lt;"&amp;X1)+SUMIFS('Expenditure Breakdown'!$R$48:$R$54, 'Expenditure Breakdown'!$W$48:$W$54, "&gt;="&amp;W1,'Expenditure Breakdown'!$W$48:$W$54, "&lt;"&amp;X1)+SUMIFS('Expenditure Breakdown'!$R$86:$R$98, 'Expenditure Breakdown'!$W$86:$W$98, "&gt;="&amp;W1,'Expenditure Breakdown'!$W$86:$W$98, "&lt;"&amp;X1)</f>
        <v>0</v>
      </c>
      <c r="X20">
        <f>SUMIFS('Expenditure Breakdown'!$R$30:$R$33, 'Expenditure Breakdown'!$W$30:$W$33, "&gt;="&amp;X1,'Expenditure Breakdown'!$W$30:$W$33, "&lt;"&amp;Y1)+SUMIFS('Expenditure Breakdown'!$R$48:$R$54, 'Expenditure Breakdown'!$W$48:$W$54, "&gt;="&amp;X1,'Expenditure Breakdown'!$W$48:$W$54, "&lt;"&amp;Y1)+SUMIFS('Expenditure Breakdown'!$R$86:$R$98, 'Expenditure Breakdown'!$W$86:$W$98, "&gt;="&amp;X1,'Expenditure Breakdown'!$W$86:$W$98, "&lt;"&amp;Y1)</f>
        <v>0</v>
      </c>
      <c r="Y20">
        <f>SUMIFS('Expenditure Breakdown'!$R$30:$R$33, 'Expenditure Breakdown'!$W$30:$W$33, "&gt;="&amp;Y1,'Expenditure Breakdown'!$W$30:$W$33, "&lt;"&amp;Z1)+SUMIFS('Expenditure Breakdown'!$R$48:$R$54, 'Expenditure Breakdown'!$W$48:$W$54, "&gt;="&amp;Y1,'Expenditure Breakdown'!$W$48:$W$54, "&lt;"&amp;Z1)+SUMIFS('Expenditure Breakdown'!$R$86:$R$98, 'Expenditure Breakdown'!$W$86:$W$98, "&gt;="&amp;Y1,'Expenditure Breakdown'!$W$86:$W$98, "&lt;"&amp;Z1)</f>
        <v>0</v>
      </c>
      <c r="Z20">
        <f>SUMIFS('Expenditure Breakdown'!$R$30:$R$33, 'Expenditure Breakdown'!$W$30:$W$33, "&gt;="&amp;Z1,'Expenditure Breakdown'!$W$30:$W$33, "&lt;"&amp;AA1)+SUMIFS('Expenditure Breakdown'!$R$48:$R$54, 'Expenditure Breakdown'!$W$48:$W$54, "&gt;="&amp;Z1,'Expenditure Breakdown'!$W$48:$W$54, "&lt;"&amp;AA1)+SUMIFS('Expenditure Breakdown'!$R$86:$R$98, 'Expenditure Breakdown'!$W$86:$W$98, "&gt;="&amp;Z1,'Expenditure Breakdown'!$W$86:$W$98, "&lt;"&amp;AA1)</f>
        <v>265635.94500000001</v>
      </c>
      <c r="AA20">
        <f>SUMIFS('Expenditure Breakdown'!$R$30:$R$33, 'Expenditure Breakdown'!$W$30:$W$33, "&gt;="&amp;AA1,'Expenditure Breakdown'!$W$30:$W$33, "&lt;"&amp;AB1)+SUMIFS('Expenditure Breakdown'!$R$48:$R$54, 'Expenditure Breakdown'!$W$48:$W$54, "&gt;="&amp;AA1,'Expenditure Breakdown'!$W$48:$W$54, "&lt;"&amp;AB1)+SUMIFS('Expenditure Breakdown'!$R$86:$R$98, 'Expenditure Breakdown'!$W$86:$W$98, "&gt;="&amp;AA1,'Expenditure Breakdown'!$W$86:$W$98, "&lt;"&amp;AB1)</f>
        <v>0</v>
      </c>
      <c r="AB20">
        <f>SUMIFS('Expenditure Breakdown'!$R$30:$R$33, 'Expenditure Breakdown'!$W$30:$W$33, "&gt;="&amp;AB1,'Expenditure Breakdown'!$W$30:$W$33, "&lt;"&amp;AC1)+SUMIFS('Expenditure Breakdown'!$R$48:$R$54, 'Expenditure Breakdown'!$W$48:$W$54, "&gt;="&amp;AB1,'Expenditure Breakdown'!$W$48:$W$54, "&lt;"&amp;AC1)+SUMIFS('Expenditure Breakdown'!$R$86:$R$98, 'Expenditure Breakdown'!$W$86:$W$98, "&gt;="&amp;AB1,'Expenditure Breakdown'!$W$86:$W$98, "&lt;"&amp;AC1)</f>
        <v>0</v>
      </c>
      <c r="AC20">
        <f>SUMIFS('Expenditure Breakdown'!$R$30:$R$33, 'Expenditure Breakdown'!$W$30:$W$33, "&gt;="&amp;AC1,'Expenditure Breakdown'!$W$30:$W$33, "&lt;"&amp;AD1)+SUMIFS('Expenditure Breakdown'!$R$48:$R$54, 'Expenditure Breakdown'!$W$48:$W$54, "&gt;="&amp;AC1,'Expenditure Breakdown'!$W$48:$W$54, "&lt;"&amp;AD1)+SUMIFS('Expenditure Breakdown'!$R$86:$R$98, 'Expenditure Breakdown'!$W$86:$W$98, "&gt;="&amp;AC1,'Expenditure Breakdown'!$W$86:$W$98, "&lt;"&amp;AD1)</f>
        <v>466231.84999999992</v>
      </c>
      <c r="AD20">
        <f>SUMIFS('Expenditure Breakdown'!$R$30:$R$33, 'Expenditure Breakdown'!$W$30:$W$33, "&gt;="&amp;AD1,'Expenditure Breakdown'!$W$30:$W$33, "&lt;"&amp;AE1)+SUMIFS('Expenditure Breakdown'!$R$48:$R$54, 'Expenditure Breakdown'!$W$48:$W$54, "&gt;="&amp;AD1,'Expenditure Breakdown'!$W$48:$W$54, "&lt;"&amp;AE1)+SUMIFS('Expenditure Breakdown'!$R$86:$R$98, 'Expenditure Breakdown'!$W$86:$W$98, "&gt;="&amp;AD1,'Expenditure Breakdown'!$W$86:$W$98, "&lt;"&amp;AE1)</f>
        <v>0</v>
      </c>
      <c r="AE20">
        <f>SUMIFS('Expenditure Breakdown'!$R$30:$R$33, 'Expenditure Breakdown'!$W$30:$W$33, "&gt;="&amp;AE1,'Expenditure Breakdown'!$W$30:$W$33, "&lt;"&amp;AF1)+SUMIFS('Expenditure Breakdown'!$R$48:$R$54, 'Expenditure Breakdown'!$W$48:$W$54, "&gt;="&amp;AE1,'Expenditure Breakdown'!$W$48:$W$54, "&lt;"&amp;AF1)+SUMIFS('Expenditure Breakdown'!$R$86:$R$98, 'Expenditure Breakdown'!$W$86:$W$98, "&gt;="&amp;AE1,'Expenditure Breakdown'!$W$86:$W$98, "&lt;"&amp;AF1)</f>
        <v>0</v>
      </c>
      <c r="AF20">
        <f>SUMIFS('Expenditure Breakdown'!$R$30:$R$33, 'Expenditure Breakdown'!$W$30:$W$33, "&gt;="&amp;AF1,'Expenditure Breakdown'!$W$30:$W$33, "&lt;"&amp;AG1)+SUMIFS('Expenditure Breakdown'!$R$48:$R$54, 'Expenditure Breakdown'!$W$48:$W$54, "&gt;="&amp;AF1,'Expenditure Breakdown'!$W$48:$W$54, "&lt;"&amp;AG1)+SUMIFS('Expenditure Breakdown'!$R$86:$R$98, 'Expenditure Breakdown'!$W$86:$W$98, "&gt;="&amp;AF1,'Expenditure Breakdown'!$W$86:$W$98, "&lt;"&amp;AG1)</f>
        <v>53463.66</v>
      </c>
      <c r="AG20">
        <f>SUMIFS('Expenditure Breakdown'!$R$30:$R$33, 'Expenditure Breakdown'!$W$30:$W$33, "&gt;="&amp;AG1,'Expenditure Breakdown'!$W$30:$W$33, "&lt;"&amp;AH1)+SUMIFS('Expenditure Breakdown'!$R$48:$R$54, 'Expenditure Breakdown'!$W$48:$W$54, "&gt;="&amp;AG1,'Expenditure Breakdown'!$W$48:$W$54, "&lt;"&amp;AH1)+SUMIFS('Expenditure Breakdown'!$R$86:$R$98, 'Expenditure Breakdown'!$W$86:$W$98, "&gt;="&amp;AG1,'Expenditure Breakdown'!$W$86:$W$98, "&lt;"&amp;AH1)</f>
        <v>0</v>
      </c>
      <c r="AH20">
        <f>SUMIFS('Expenditure Breakdown'!$R$30:$R$33, 'Expenditure Breakdown'!$W$30:$W$33, "&gt;="&amp;AH1,'Expenditure Breakdown'!$W$30:$W$33, "&lt;"&amp;AI1)+SUMIFS('Expenditure Breakdown'!$R$48:$R$54, 'Expenditure Breakdown'!$W$48:$W$54, "&gt;="&amp;AH1,'Expenditure Breakdown'!$W$48:$W$54, "&lt;"&amp;AI1)+SUMIFS('Expenditure Breakdown'!$R$86:$R$98, 'Expenditure Breakdown'!$W$86:$W$98, "&gt;="&amp;AH1,'Expenditure Breakdown'!$W$86:$W$98, "&lt;"&amp;AI1)</f>
        <v>0</v>
      </c>
      <c r="AI20">
        <f>SUMIFS('Expenditure Breakdown'!$R$30:$R$33, 'Expenditure Breakdown'!$W$30:$W$33, "&gt;="&amp;AI1,'Expenditure Breakdown'!$W$30:$W$33, "&lt;"&amp;AJ1)+SUMIFS('Expenditure Breakdown'!$R$48:$R$54, 'Expenditure Breakdown'!$W$48:$W$54, "&gt;="&amp;AI1,'Expenditure Breakdown'!$W$48:$W$54, "&lt;"&amp;AJ1)+SUMIFS('Expenditure Breakdown'!$R$86:$R$98, 'Expenditure Breakdown'!$W$86:$W$98, "&gt;="&amp;AI1,'Expenditure Breakdown'!$W$86:$W$98, "&lt;"&amp;AJ1)</f>
        <v>0</v>
      </c>
      <c r="AJ20">
        <f>SUMIFS('Expenditure Breakdown'!$R$30:$R$33, 'Expenditure Breakdown'!$W$30:$W$33, "&gt;="&amp;AJ1,'Expenditure Breakdown'!$W$30:$W$33, "&lt;"&amp;AK1)+SUMIFS('Expenditure Breakdown'!$R$48:$R$54, 'Expenditure Breakdown'!$W$48:$W$54, "&gt;="&amp;AJ1,'Expenditure Breakdown'!$W$48:$W$54, "&lt;"&amp;AK1)+SUMIFS('Expenditure Breakdown'!$R$86:$R$98, 'Expenditure Breakdown'!$W$86:$W$98, "&gt;="&amp;AJ1,'Expenditure Breakdown'!$W$86:$W$98, "&lt;"&amp;AK1)</f>
        <v>0</v>
      </c>
      <c r="AK20">
        <f>SUMIFS('Expenditure Breakdown'!$R$30:$R$33, 'Expenditure Breakdown'!$W$30:$W$33, "&gt;="&amp;AK1,'Expenditure Breakdown'!$W$30:$W$33, "&lt;"&amp;AL1)+SUMIFS('Expenditure Breakdown'!$R$48:$R$54, 'Expenditure Breakdown'!$W$48:$W$54, "&gt;="&amp;AK1,'Expenditure Breakdown'!$W$48:$W$54, "&lt;"&amp;AL1)+SUMIFS('Expenditure Breakdown'!$R$86:$R$98, 'Expenditure Breakdown'!$W$86:$W$98, "&gt;="&amp;AK1,'Expenditure Breakdown'!$W$86:$W$98, "&lt;"&amp;AL1)</f>
        <v>0</v>
      </c>
      <c r="AL20">
        <f>SUMIFS('Expenditure Breakdown'!$R$30:$R$33, 'Expenditure Breakdown'!$W$30:$W$33, "&gt;="&amp;AL1,'Expenditure Breakdown'!$W$30:$W$33, "&lt;"&amp;AM1)+SUMIFS('Expenditure Breakdown'!$R$48:$R$54, 'Expenditure Breakdown'!$W$48:$W$54, "&gt;="&amp;AL1,'Expenditure Breakdown'!$W$48:$W$54, "&lt;"&amp;AM1)+SUMIFS('Expenditure Breakdown'!$R$86:$R$98, 'Expenditure Breakdown'!$W$86:$W$98, "&gt;="&amp;AL1,'Expenditure Breakdown'!$W$86:$W$98, "&lt;"&amp;AM1)</f>
        <v>0</v>
      </c>
      <c r="AM20">
        <f>SUMIFS('Expenditure Breakdown'!$R$30:$R$33, 'Expenditure Breakdown'!$W$30:$W$33, "&gt;="&amp;AM1,'Expenditure Breakdown'!$W$30:$W$33, "&lt;"&amp;AN1)+SUMIFS('Expenditure Breakdown'!$R$48:$R$54, 'Expenditure Breakdown'!$W$48:$W$54, "&gt;="&amp;AM1,'Expenditure Breakdown'!$W$48:$W$54, "&lt;"&amp;AN1)+SUMIFS('Expenditure Breakdown'!$R$86:$R$98, 'Expenditure Breakdown'!$W$86:$W$98, "&gt;="&amp;AM1,'Expenditure Breakdown'!$W$86:$W$98, "&lt;"&amp;AN1)</f>
        <v>511381.21499999997</v>
      </c>
      <c r="AN20">
        <f>SUMIFS('Expenditure Breakdown'!$R$30:$R$33, 'Expenditure Breakdown'!$W$30:$W$33, "&gt;="&amp;AN1,'Expenditure Breakdown'!$W$30:$W$33, "&lt;"&amp;AO1)+SUMIFS('Expenditure Breakdown'!$R$48:$R$54, 'Expenditure Breakdown'!$W$48:$W$54, "&gt;="&amp;AN1,'Expenditure Breakdown'!$W$48:$W$54, "&lt;"&amp;AO1)+SUMIFS('Expenditure Breakdown'!$R$86:$R$98, 'Expenditure Breakdown'!$W$86:$W$98, "&gt;="&amp;AN1,'Expenditure Breakdown'!$W$86:$W$98, "&lt;"&amp;AO1)</f>
        <v>0</v>
      </c>
      <c r="AO20">
        <f>SUMIFS('Expenditure Breakdown'!$R$30:$R$33, 'Expenditure Breakdown'!$W$30:$W$33, "&gt;="&amp;AO1,'Expenditure Breakdown'!$W$30:$W$33, "&lt;"&amp;AP1)+SUMIFS('Expenditure Breakdown'!$R$48:$R$54, 'Expenditure Breakdown'!$W$48:$W$54, "&gt;="&amp;AO1,'Expenditure Breakdown'!$W$48:$W$54, "&lt;"&amp;AP1)+SUMIFS('Expenditure Breakdown'!$R$86:$R$98, 'Expenditure Breakdown'!$W$86:$W$98, "&gt;="&amp;AO1,'Expenditure Breakdown'!$W$86:$W$98, "&lt;"&amp;AP1)</f>
        <v>47500</v>
      </c>
      <c r="AP20">
        <f>SUMIFS('Expenditure Breakdown'!$R$30:$R$33, 'Expenditure Breakdown'!$W$30:$W$33, "&gt;="&amp;AP1,'Expenditure Breakdown'!$W$30:$W$33, "&lt;"&amp;AQ1)+SUMIFS('Expenditure Breakdown'!$R$48:$R$54, 'Expenditure Breakdown'!$W$48:$W$54, "&gt;="&amp;AP1,'Expenditure Breakdown'!$W$48:$W$54, "&lt;"&amp;AQ1)+SUMIFS('Expenditure Breakdown'!$R$86:$R$98, 'Expenditure Breakdown'!$W$86:$W$98, "&gt;="&amp;AP1,'Expenditure Breakdown'!$W$86:$W$98, "&lt;"&amp;AQ1)</f>
        <v>0</v>
      </c>
      <c r="AQ20">
        <f>SUMIFS('Expenditure Breakdown'!$R$30:$R$33, 'Expenditure Breakdown'!$W$30:$W$33, "&gt;="&amp;AQ1,'Expenditure Breakdown'!$W$30:$W$33, "&lt;"&amp;AR1)+SUMIFS('Expenditure Breakdown'!$R$48:$R$54, 'Expenditure Breakdown'!$W$48:$W$54, "&gt;="&amp;AQ1,'Expenditure Breakdown'!$W$48:$W$54, "&lt;"&amp;AR1)+SUMIFS('Expenditure Breakdown'!$R$86:$R$98, 'Expenditure Breakdown'!$W$86:$W$98, "&gt;="&amp;AQ1,'Expenditure Breakdown'!$W$86:$W$98, "&lt;"&amp;AR1)</f>
        <v>0</v>
      </c>
      <c r="AR20">
        <f>SUMIFS('Expenditure Breakdown'!$R$30:$R$33, 'Expenditure Breakdown'!$W$30:$W$33, "&gt;="&amp;AR1,'Expenditure Breakdown'!$W$30:$W$33, "&lt;"&amp;AS1)+SUMIFS('Expenditure Breakdown'!$R$48:$R$54, 'Expenditure Breakdown'!$W$48:$W$54, "&gt;="&amp;AR1,'Expenditure Breakdown'!$W$48:$W$54, "&lt;"&amp;AS1)+SUMIFS('Expenditure Breakdown'!$R$86:$R$98, 'Expenditure Breakdown'!$W$86:$W$98, "&gt;="&amp;AR1,'Expenditure Breakdown'!$W$86:$W$98, "&lt;"&amp;AS1)</f>
        <v>108365.91500000001</v>
      </c>
      <c r="AS20">
        <f>SUMIFS('Expenditure Breakdown'!$R$30:$R$33, 'Expenditure Breakdown'!$W$30:$W$33, "&gt;="&amp;AS1,'Expenditure Breakdown'!$W$30:$W$33, "&lt;"&amp;AT1)+SUMIFS('Expenditure Breakdown'!$R$48:$R$54, 'Expenditure Breakdown'!$W$48:$W$54, "&gt;="&amp;AS1,'Expenditure Breakdown'!$W$48:$W$54, "&lt;"&amp;AT1)+SUMIFS('Expenditure Breakdown'!$R$86:$R$98, 'Expenditure Breakdown'!$W$86:$W$98, "&gt;="&amp;AS1,'Expenditure Breakdown'!$W$86:$W$98, "&lt;"&amp;AT1)</f>
        <v>0</v>
      </c>
      <c r="AT20">
        <f>SUMIFS('Expenditure Breakdown'!$R$30:$R$33, 'Expenditure Breakdown'!$W$30:$W$33, "&gt;="&amp;AT1,'Expenditure Breakdown'!$W$30:$W$33, "&lt;"&amp;AU1)+SUMIFS('Expenditure Breakdown'!$R$48:$R$54, 'Expenditure Breakdown'!$W$48:$W$54, "&gt;="&amp;AT1,'Expenditure Breakdown'!$W$48:$W$54, "&lt;"&amp;AU1)+SUMIFS('Expenditure Breakdown'!$R$86:$R$98, 'Expenditure Breakdown'!$W$86:$W$98, "&gt;="&amp;AT1,'Expenditure Breakdown'!$W$86:$W$98, "&lt;"&amp;AU1)</f>
        <v>0</v>
      </c>
      <c r="AU20">
        <f>SUMIFS('Expenditure Breakdown'!$R$30:$R$33, 'Expenditure Breakdown'!$W$30:$W$33, "&gt;="&amp;AU1,'Expenditure Breakdown'!$W$30:$W$33, "&lt;"&amp;AV1)+SUMIFS('Expenditure Breakdown'!$R$48:$R$54, 'Expenditure Breakdown'!$W$48:$W$54, "&gt;="&amp;AU1,'Expenditure Breakdown'!$W$48:$W$54, "&lt;"&amp;AV1)+SUMIFS('Expenditure Breakdown'!$R$86:$R$98, 'Expenditure Breakdown'!$W$86:$W$98, "&gt;="&amp;AU1,'Expenditure Breakdown'!$W$86:$W$98, "&lt;"&amp;AV1)</f>
        <v>0</v>
      </c>
      <c r="AV20">
        <f>SUMIFS('Expenditure Breakdown'!$R$30:$R$33, 'Expenditure Breakdown'!$W$30:$W$33, "&gt;="&amp;AV1,'Expenditure Breakdown'!$W$30:$W$33, "&lt;"&amp;AW1)+SUMIFS('Expenditure Breakdown'!$R$48:$R$54, 'Expenditure Breakdown'!$W$48:$W$54, "&gt;="&amp;AV1,'Expenditure Breakdown'!$W$48:$W$54, "&lt;"&amp;AW1)+SUMIFS('Expenditure Breakdown'!$R$86:$R$98, 'Expenditure Breakdown'!$W$86:$W$98, "&gt;="&amp;AV1,'Expenditure Breakdown'!$W$86:$W$98, "&lt;"&amp;AW1)</f>
        <v>0</v>
      </c>
      <c r="AW20">
        <f>SUMIFS('Expenditure Breakdown'!$R$30:$R$33, 'Expenditure Breakdown'!$W$30:$W$33, "&gt;="&amp;AW1,'Expenditure Breakdown'!$W$30:$W$33, "&lt;"&amp;AX1)+SUMIFS('Expenditure Breakdown'!$R$48:$R$54, 'Expenditure Breakdown'!$W$48:$W$54, "&gt;="&amp;AW1,'Expenditure Breakdown'!$W$48:$W$54, "&lt;"&amp;AX1)+SUMIFS('Expenditure Breakdown'!$R$86:$R$98, 'Expenditure Breakdown'!$W$86:$W$98, "&gt;="&amp;AW1,'Expenditure Breakdown'!$W$86:$W$98, "&lt;"&amp;AX1)</f>
        <v>0</v>
      </c>
      <c r="AX20">
        <f>SUMIFS('Expenditure Breakdown'!$R$30:$R$33, 'Expenditure Breakdown'!$W$30:$W$33, "&gt;="&amp;AX1,'Expenditure Breakdown'!$W$30:$W$33, "&lt;"&amp;AY1)+SUMIFS('Expenditure Breakdown'!$R$48:$R$54, 'Expenditure Breakdown'!$W$48:$W$54, "&gt;="&amp;AX1,'Expenditure Breakdown'!$W$48:$W$54, "&lt;"&amp;AY1)+SUMIFS('Expenditure Breakdown'!$R$86:$R$98, 'Expenditure Breakdown'!$W$86:$W$98, "&gt;="&amp;AX1,'Expenditure Breakdown'!$W$86:$W$98, "&lt;"&amp;AY1)</f>
        <v>16138.3</v>
      </c>
      <c r="AY20">
        <f>SUMIFS('Expenditure Breakdown'!$R$30:$R$33, 'Expenditure Breakdown'!$W$30:$W$33, "&gt;="&amp;AY1,'Expenditure Breakdown'!$W$30:$W$33, "&lt;"&amp;AZ1)+SUMIFS('Expenditure Breakdown'!$R$48:$R$54, 'Expenditure Breakdown'!$W$48:$W$54, "&gt;="&amp;AY1,'Expenditure Breakdown'!$W$48:$W$54, "&lt;"&amp;AZ1)+SUMIFS('Expenditure Breakdown'!$R$86:$R$98, 'Expenditure Breakdown'!$W$86:$W$98, "&gt;="&amp;AY1,'Expenditure Breakdown'!$W$86:$W$98, "&lt;"&amp;AZ1)</f>
        <v>0</v>
      </c>
      <c r="AZ20">
        <f>SUMIFS('Expenditure Breakdown'!$R$30:$R$33, 'Expenditure Breakdown'!$W$30:$W$33, "&gt;="&amp;AZ1,'Expenditure Breakdown'!$W$30:$W$33, "&lt;"&amp;BA1)+SUMIFS('Expenditure Breakdown'!$R$48:$R$54, 'Expenditure Breakdown'!$W$48:$W$54, "&gt;="&amp;AZ1,'Expenditure Breakdown'!$W$48:$W$54, "&lt;"&amp;BA1)+SUMIFS('Expenditure Breakdown'!$R$86:$R$98, 'Expenditure Breakdown'!$W$86:$W$98, "&gt;="&amp;AZ1,'Expenditure Breakdown'!$W$86:$W$98, "&lt;"&amp;BA1)</f>
        <v>0</v>
      </c>
      <c r="BA20">
        <f>SUMIFS('Expenditure Breakdown'!$R$30:$R$33, 'Expenditure Breakdown'!$W$30:$W$33, "&gt;="&amp;BA1,'Expenditure Breakdown'!$W$30:$W$33, "&lt;"&amp;BB1)+SUMIFS('Expenditure Breakdown'!$R$48:$R$54, 'Expenditure Breakdown'!$W$48:$W$54, "&gt;="&amp;BA1,'Expenditure Breakdown'!$W$48:$W$54, "&lt;"&amp;BB1)+SUMIFS('Expenditure Breakdown'!$R$86:$R$98, 'Expenditure Breakdown'!$W$86:$W$98, "&gt;="&amp;BA1,'Expenditure Breakdown'!$W$86:$W$98, "&lt;"&amp;BB1)</f>
        <v>0</v>
      </c>
      <c r="BB20">
        <f>SUMIFS('Expenditure Breakdown'!$R$30:$R$33, 'Expenditure Breakdown'!$W$30:$W$33, "&gt;="&amp;BB1,'Expenditure Breakdown'!$W$30:$W$33, "&lt;"&amp;BC1)+SUMIFS('Expenditure Breakdown'!$R$48:$R$54, 'Expenditure Breakdown'!$W$48:$W$54, "&gt;="&amp;BB1,'Expenditure Breakdown'!$W$48:$W$54, "&lt;"&amp;BC1)+SUMIFS('Expenditure Breakdown'!$R$86:$R$98, 'Expenditure Breakdown'!$W$86:$W$98, "&gt;="&amp;BB1,'Expenditure Breakdown'!$W$86:$W$98, "&lt;"&amp;BC1)</f>
        <v>0</v>
      </c>
      <c r="BC20">
        <f>SUMIFS('Expenditure Breakdown'!$R$30:$R$33, 'Expenditure Breakdown'!$W$30:$W$33, "&gt;="&amp;BC1,'Expenditure Breakdown'!$W$30:$W$33, "&lt;"&amp;BD1)+SUMIFS('Expenditure Breakdown'!$R$48:$R$54, 'Expenditure Breakdown'!$W$48:$W$54, "&gt;="&amp;BC1,'Expenditure Breakdown'!$W$48:$W$54, "&lt;"&amp;BD1)+SUMIFS('Expenditure Breakdown'!$R$86:$R$98, 'Expenditure Breakdown'!$W$86:$W$98, "&gt;="&amp;BC1,'Expenditure Breakdown'!$W$86:$W$98, "&lt;"&amp;BD1)</f>
        <v>0</v>
      </c>
      <c r="BD20">
        <f>SUMIFS('Expenditure Breakdown'!$R$30:$R$33, 'Expenditure Breakdown'!$W$30:$W$33, "&gt;="&amp;BD1,'Expenditure Breakdown'!$W$30:$W$33, "&lt;"&amp;BE1)+SUMIFS('Expenditure Breakdown'!$R$48:$R$54, 'Expenditure Breakdown'!$W$48:$W$54, "&gt;="&amp;BD1,'Expenditure Breakdown'!$W$48:$W$54, "&lt;"&amp;BE1)+SUMIFS('Expenditure Breakdown'!$R$86:$R$98, 'Expenditure Breakdown'!$W$86:$W$98, "&gt;="&amp;BD1,'Expenditure Breakdown'!$W$86:$W$98, "&lt;"&amp;BE1)</f>
        <v>16138.3</v>
      </c>
      <c r="BE20">
        <f>SUMIFS('Expenditure Breakdown'!$R$30:$R$33, 'Expenditure Breakdown'!$W$30:$W$33, "&gt;="&amp;BE1,'Expenditure Breakdown'!$W$30:$W$33, "&lt;"&amp;GG1)+SUMIFS('Expenditure Breakdown'!$R$48:$R$54, 'Expenditure Breakdown'!$W$48:$W$54, "&gt;="&amp;BE1,'Expenditure Breakdown'!$W$48:$W$54, "&lt;"&amp;GG1)+SUMIFS('Expenditure Breakdown'!$R$86:$R$98, 'Expenditure Breakdown'!$W$86:$W$98, "&gt;="&amp;BE1,'Expenditure Breakdown'!$W$86:$W$98, "&lt;"&amp;GG1)</f>
        <v>0</v>
      </c>
      <c r="BF20">
        <f>SUMIFS('Expenditure Breakdown'!$R$30:$R$33, 'Expenditure Breakdown'!$W$30:$W$33, "&gt;="&amp;BF1,'Expenditure Breakdown'!$W$30:$W$33, "&lt;"&amp;GH1)+SUMIFS('Expenditure Breakdown'!$R$48:$R$54, 'Expenditure Breakdown'!$W$48:$W$54, "&gt;="&amp;BF1,'Expenditure Breakdown'!$W$48:$W$54, "&lt;"&amp;GH1)+SUMIFS('Expenditure Breakdown'!$R$86:$R$98, 'Expenditure Breakdown'!$W$86:$W$98, "&gt;="&amp;BF1,'Expenditure Breakdown'!$W$86:$W$98, "&lt;"&amp;GH1)</f>
        <v>0</v>
      </c>
      <c r="BG20">
        <f>SUMIFS('Expenditure Breakdown'!$R$30:$R$33, 'Expenditure Breakdown'!$W$30:$W$33, "&gt;="&amp;BG1,'Expenditure Breakdown'!$W$30:$W$33, "&lt;"&amp;GI1)+SUMIFS('Expenditure Breakdown'!$R$48:$R$54, 'Expenditure Breakdown'!$W$48:$W$54, "&gt;="&amp;BG1,'Expenditure Breakdown'!$W$48:$W$54, "&lt;"&amp;GI1)+SUMIFS('Expenditure Breakdown'!$R$86:$R$98, 'Expenditure Breakdown'!$W$86:$W$98, "&gt;="&amp;BG1,'Expenditure Breakdown'!$W$86:$W$98, "&lt;"&amp;GI1)</f>
        <v>0</v>
      </c>
      <c r="BH20">
        <f>SUMIFS('Expenditure Breakdown'!$R$30:$R$33, 'Expenditure Breakdown'!$W$30:$W$33, "&gt;="&amp;BH1,'Expenditure Breakdown'!$W$30:$W$33, "&lt;"&amp;GJ1)+SUMIFS('Expenditure Breakdown'!$R$48:$R$54, 'Expenditure Breakdown'!$W$48:$W$54, "&gt;="&amp;BH1,'Expenditure Breakdown'!$W$48:$W$54, "&lt;"&amp;GJ1)+SUMIFS('Expenditure Breakdown'!$R$86:$R$98, 'Expenditure Breakdown'!$W$86:$W$98, "&gt;="&amp;BH1,'Expenditure Breakdown'!$W$86:$W$98, "&lt;"&amp;GJ1)</f>
        <v>0</v>
      </c>
      <c r="BI20">
        <f>SUMIFS('Expenditure Breakdown'!$R$30:$R$33, 'Expenditure Breakdown'!$W$30:$W$33, "&gt;="&amp;BI1,'Expenditure Breakdown'!$W$30:$W$33, "&lt;"&amp;GK1)+SUMIFS('Expenditure Breakdown'!$R$48:$R$54, 'Expenditure Breakdown'!$W$48:$W$54, "&gt;="&amp;BI1,'Expenditure Breakdown'!$W$48:$W$54, "&lt;"&amp;GK1)+SUMIFS('Expenditure Breakdown'!$R$86:$R$98, 'Expenditure Breakdown'!$W$86:$W$98, "&gt;="&amp;BI1,'Expenditure Breakdown'!$W$86:$W$98, "&lt;"&amp;GK1)</f>
        <v>0</v>
      </c>
      <c r="BJ20">
        <f>SUMIFS('Expenditure Breakdown'!$R$30:$R$33, 'Expenditure Breakdown'!$W$30:$W$33, "&gt;="&amp;BJ1,'Expenditure Breakdown'!$W$30:$W$33, "&lt;"&amp;GL1)+SUMIFS('Expenditure Breakdown'!$R$48:$R$54, 'Expenditure Breakdown'!$W$48:$W$54, "&gt;="&amp;BJ1,'Expenditure Breakdown'!$W$48:$W$54, "&lt;"&amp;GL1)+SUMIFS('Expenditure Breakdown'!$R$86:$R$98, 'Expenditure Breakdown'!$W$86:$W$98, "&gt;="&amp;BJ1,'Expenditure Breakdown'!$W$86:$W$98, "&lt;"&amp;GL1)</f>
        <v>0</v>
      </c>
      <c r="BK20">
        <f>SUMIFS('Expenditure Breakdown'!$R$30:$R$33, 'Expenditure Breakdown'!$W$30:$W$33, "&gt;="&amp;BK1,'Expenditure Breakdown'!$W$30:$W$33, "&lt;"&amp;GM1)+SUMIFS('Expenditure Breakdown'!$R$48:$R$54, 'Expenditure Breakdown'!$W$48:$W$54, "&gt;="&amp;BK1,'Expenditure Breakdown'!$W$48:$W$54, "&lt;"&amp;GM1)+SUMIFS('Expenditure Breakdown'!$R$86:$R$98, 'Expenditure Breakdown'!$W$86:$W$98, "&gt;="&amp;BK1,'Expenditure Breakdown'!$W$86:$W$98, "&lt;"&amp;GM1)</f>
        <v>0</v>
      </c>
      <c r="BL20">
        <f>SUMIFS('Expenditure Breakdown'!$R$30:$R$33, 'Expenditure Breakdown'!$W$30:$W$33, "&gt;="&amp;BL1,'Expenditure Breakdown'!$W$30:$W$33, "&lt;"&amp;GN1)+SUMIFS('Expenditure Breakdown'!$R$48:$R$54, 'Expenditure Breakdown'!$W$48:$W$54, "&gt;="&amp;BL1,'Expenditure Breakdown'!$W$48:$W$54, "&lt;"&amp;GN1)+SUMIFS('Expenditure Breakdown'!$R$86:$R$98, 'Expenditure Breakdown'!$W$86:$W$98, "&gt;="&amp;BL1,'Expenditure Breakdown'!$W$86:$W$98, "&lt;"&amp;GN1)</f>
        <v>0</v>
      </c>
      <c r="BM20">
        <f>SUMIFS('Expenditure Breakdown'!$R$30:$R$33, 'Expenditure Breakdown'!$W$30:$W$33, "&gt;="&amp;BM1,'Expenditure Breakdown'!$W$30:$W$33, "&lt;"&amp;GO1)+SUMIFS('Expenditure Breakdown'!$R$48:$R$54, 'Expenditure Breakdown'!$W$48:$W$54, "&gt;="&amp;BM1,'Expenditure Breakdown'!$W$48:$W$54, "&lt;"&amp;GO1)+SUMIFS('Expenditure Breakdown'!$R$86:$R$98, 'Expenditure Breakdown'!$W$86:$W$98, "&gt;="&amp;BM1,'Expenditure Breakdown'!$W$86:$W$98, "&lt;"&amp;GO1)</f>
        <v>0</v>
      </c>
      <c r="BN20">
        <f>SUMIFS('Expenditure Breakdown'!$R$30:$R$33, 'Expenditure Breakdown'!$W$30:$W$33, "&gt;="&amp;BN1,'Expenditure Breakdown'!$W$30:$W$33, "&lt;"&amp;GP1)+SUMIFS('Expenditure Breakdown'!$R$48:$R$54, 'Expenditure Breakdown'!$W$48:$W$54, "&gt;="&amp;BN1,'Expenditure Breakdown'!$W$48:$W$54, "&lt;"&amp;GP1)+SUMIFS('Expenditure Breakdown'!$R$86:$R$98, 'Expenditure Breakdown'!$W$86:$W$98, "&gt;="&amp;BN1,'Expenditure Breakdown'!$W$86:$W$98, "&lt;"&amp;GP1)</f>
        <v>0</v>
      </c>
      <c r="BO20">
        <f>SUMIFS('Expenditure Breakdown'!$R$30:$R$33, 'Expenditure Breakdown'!$W$30:$W$33, "&gt;="&amp;BO1,'Expenditure Breakdown'!$W$30:$W$33, "&lt;"&amp;GQ1)+SUMIFS('Expenditure Breakdown'!$R$48:$R$54, 'Expenditure Breakdown'!$W$48:$W$54, "&gt;="&amp;BO1,'Expenditure Breakdown'!$W$48:$W$54, "&lt;"&amp;GQ1)+SUMIFS('Expenditure Breakdown'!$R$86:$R$98, 'Expenditure Breakdown'!$W$86:$W$98, "&gt;="&amp;BO1,'Expenditure Breakdown'!$W$86:$W$98, "&lt;"&amp;GQ1)</f>
        <v>0</v>
      </c>
      <c r="BP20">
        <f>SUMIFS('Expenditure Breakdown'!$R$30:$R$33, 'Expenditure Breakdown'!$W$30:$W$33, "&gt;="&amp;BP1,'Expenditure Breakdown'!$W$30:$W$33, "&lt;"&amp;GR1)+SUMIFS('Expenditure Breakdown'!$R$48:$R$54, 'Expenditure Breakdown'!$W$48:$W$54, "&gt;="&amp;BP1,'Expenditure Breakdown'!$W$48:$W$54, "&lt;"&amp;GR1)+SUMIFS('Expenditure Breakdown'!$R$86:$R$98, 'Expenditure Breakdown'!$W$86:$W$98, "&gt;="&amp;BP1,'Expenditure Breakdown'!$W$86:$W$98, "&lt;"&amp;GR1)</f>
        <v>0</v>
      </c>
      <c r="BQ20">
        <f>SUMIFS('Expenditure Breakdown'!$R$30:$R$33, 'Expenditure Breakdown'!$W$30:$W$33, "&gt;="&amp;BQ1,'Expenditure Breakdown'!$W$30:$W$33, "&lt;"&amp;GS1)+SUMIFS('Expenditure Breakdown'!$R$48:$R$54, 'Expenditure Breakdown'!$W$48:$W$54, "&gt;="&amp;BQ1,'Expenditure Breakdown'!$W$48:$W$54, "&lt;"&amp;GS1)+SUMIFS('Expenditure Breakdown'!$R$86:$R$98, 'Expenditure Breakdown'!$W$86:$W$98, "&gt;="&amp;BQ1,'Expenditure Breakdown'!$W$86:$W$98, "&lt;"&amp;GS1)</f>
        <v>0</v>
      </c>
      <c r="BR20">
        <f>SUMIFS('Expenditure Breakdown'!$R$30:$R$33, 'Expenditure Breakdown'!$W$30:$W$33, "&gt;="&amp;BR1,'Expenditure Breakdown'!$W$30:$W$33, "&lt;"&amp;GT1)+SUMIFS('Expenditure Breakdown'!$R$48:$R$54, 'Expenditure Breakdown'!$W$48:$W$54, "&gt;="&amp;BR1,'Expenditure Breakdown'!$W$48:$W$54, "&lt;"&amp;GT1)+SUMIFS('Expenditure Breakdown'!$R$86:$R$98, 'Expenditure Breakdown'!$W$86:$W$98, "&gt;="&amp;BR1,'Expenditure Breakdown'!$W$86:$W$98, "&lt;"&amp;GT1)</f>
        <v>0</v>
      </c>
      <c r="BS20">
        <f>SUMIFS('Expenditure Breakdown'!$R$30:$R$33, 'Expenditure Breakdown'!$W$30:$W$33, "&gt;="&amp;BS1,'Expenditure Breakdown'!$W$30:$W$33, "&lt;"&amp;GU1)+SUMIFS('Expenditure Breakdown'!$R$48:$R$54, 'Expenditure Breakdown'!$W$48:$W$54, "&gt;="&amp;BS1,'Expenditure Breakdown'!$W$48:$W$54, "&lt;"&amp;GU1)+SUMIFS('Expenditure Breakdown'!$R$86:$R$98, 'Expenditure Breakdown'!$W$86:$W$98, "&gt;="&amp;BS1,'Expenditure Breakdown'!$W$86:$W$98, "&lt;"&amp;GU1)</f>
        <v>0</v>
      </c>
      <c r="BT20">
        <f>SUMIFS('Expenditure Breakdown'!$R$30:$R$33, 'Expenditure Breakdown'!$W$30:$W$33, "&gt;="&amp;BT1,'Expenditure Breakdown'!$W$30:$W$33, "&lt;"&amp;GV1)+SUMIFS('Expenditure Breakdown'!$R$48:$R$54, 'Expenditure Breakdown'!$W$48:$W$54, "&gt;="&amp;BT1,'Expenditure Breakdown'!$W$48:$W$54, "&lt;"&amp;GV1)+SUMIFS('Expenditure Breakdown'!$R$86:$R$98, 'Expenditure Breakdown'!$W$86:$W$98, "&gt;="&amp;BT1,'Expenditure Breakdown'!$W$86:$W$98, "&lt;"&amp;GV1)</f>
        <v>0</v>
      </c>
      <c r="BU20">
        <f>SUMIFS('Expenditure Breakdown'!$R$30:$R$33, 'Expenditure Breakdown'!$W$30:$W$33, "&gt;="&amp;BU1,'Expenditure Breakdown'!$W$30:$W$33, "&lt;"&amp;GW1)+SUMIFS('Expenditure Breakdown'!$R$48:$R$54, 'Expenditure Breakdown'!$W$48:$W$54, "&gt;="&amp;BU1,'Expenditure Breakdown'!$W$48:$W$54, "&lt;"&amp;GW1)+SUMIFS('Expenditure Breakdown'!$R$86:$R$98, 'Expenditure Breakdown'!$W$86:$W$98, "&gt;="&amp;BU1,'Expenditure Breakdown'!$W$86:$W$98, "&lt;"&amp;GW1)</f>
        <v>0</v>
      </c>
      <c r="BV20">
        <f>SUMIFS('Expenditure Breakdown'!$R$30:$R$33, 'Expenditure Breakdown'!$W$30:$W$33, "&gt;="&amp;BV1,'Expenditure Breakdown'!$W$30:$W$33, "&lt;"&amp;GX1)+SUMIFS('Expenditure Breakdown'!$R$48:$R$54, 'Expenditure Breakdown'!$W$48:$W$54, "&gt;="&amp;BV1,'Expenditure Breakdown'!$W$48:$W$54, "&lt;"&amp;GX1)+SUMIFS('Expenditure Breakdown'!$R$86:$R$98, 'Expenditure Breakdown'!$W$86:$W$98, "&gt;="&amp;BV1,'Expenditure Breakdown'!$W$86:$W$98, "&lt;"&amp;GX1)</f>
        <v>0</v>
      </c>
      <c r="BW20">
        <f>SUMIFS('Expenditure Breakdown'!$R$30:$R$33, 'Expenditure Breakdown'!$W$30:$W$33, "&gt;="&amp;BW1,'Expenditure Breakdown'!$W$30:$W$33, "&lt;"&amp;GY1)+SUMIFS('Expenditure Breakdown'!$R$48:$R$54, 'Expenditure Breakdown'!$W$48:$W$54, "&gt;="&amp;BW1,'Expenditure Breakdown'!$W$48:$W$54, "&lt;"&amp;GY1)+SUMIFS('Expenditure Breakdown'!$R$86:$R$98, 'Expenditure Breakdown'!$W$86:$W$98, "&gt;="&amp;BW1,'Expenditure Breakdown'!$W$86:$W$98, "&lt;"&amp;GY1)</f>
        <v>0</v>
      </c>
      <c r="BX20">
        <f>SUMIFS('Expenditure Breakdown'!$R$30:$R$33, 'Expenditure Breakdown'!$W$30:$W$33, "&gt;="&amp;BX1,'Expenditure Breakdown'!$W$30:$W$33, "&lt;"&amp;GZ1)+SUMIFS('Expenditure Breakdown'!$R$48:$R$54, 'Expenditure Breakdown'!$W$48:$W$54, "&gt;="&amp;BX1,'Expenditure Breakdown'!$W$48:$W$54, "&lt;"&amp;GZ1)+SUMIFS('Expenditure Breakdown'!$R$86:$R$98, 'Expenditure Breakdown'!$W$86:$W$98, "&gt;="&amp;BX1,'Expenditure Breakdown'!$W$86:$W$98, "&lt;"&amp;GZ1)</f>
        <v>0</v>
      </c>
      <c r="BY20">
        <f>SUMIFS('Expenditure Breakdown'!$R$30:$R$33, 'Expenditure Breakdown'!$W$30:$W$33, "&gt;="&amp;BY1,'Expenditure Breakdown'!$W$30:$W$33, "&lt;"&amp;HA1)+SUMIFS('Expenditure Breakdown'!$R$48:$R$54, 'Expenditure Breakdown'!$W$48:$W$54, "&gt;="&amp;BY1,'Expenditure Breakdown'!$W$48:$W$54, "&lt;"&amp;HA1)+SUMIFS('Expenditure Breakdown'!$R$86:$R$98, 'Expenditure Breakdown'!$W$86:$W$98, "&gt;="&amp;BY1,'Expenditure Breakdown'!$W$86:$W$98, "&lt;"&amp;HA1)</f>
        <v>0</v>
      </c>
      <c r="BZ20">
        <f>SUMIFS('Expenditure Breakdown'!$R$30:$R$33, 'Expenditure Breakdown'!$W$30:$W$33, "&gt;="&amp;BZ1,'Expenditure Breakdown'!$W$30:$W$33, "&lt;"&amp;HB1)+SUMIFS('Expenditure Breakdown'!$R$48:$R$54, 'Expenditure Breakdown'!$W$48:$W$54, "&gt;="&amp;BZ1,'Expenditure Breakdown'!$W$48:$W$54, "&lt;"&amp;HB1)+SUMIFS('Expenditure Breakdown'!$R$86:$R$98, 'Expenditure Breakdown'!$W$86:$W$98, "&gt;="&amp;BZ1,'Expenditure Breakdown'!$W$86:$W$98, "&lt;"&amp;HB1)</f>
        <v>0</v>
      </c>
      <c r="CA20">
        <f>SUMIFS('Expenditure Breakdown'!$R$30:$R$33, 'Expenditure Breakdown'!$W$30:$W$33, "&gt;="&amp;CA1,'Expenditure Breakdown'!$W$30:$W$33, "&lt;"&amp;HC1)+SUMIFS('Expenditure Breakdown'!$R$48:$R$54, 'Expenditure Breakdown'!$W$48:$W$54, "&gt;="&amp;CA1,'Expenditure Breakdown'!$W$48:$W$54, "&lt;"&amp;HC1)+SUMIFS('Expenditure Breakdown'!$R$86:$R$98, 'Expenditure Breakdown'!$W$86:$W$98, "&gt;="&amp;CA1,'Expenditure Breakdown'!$W$86:$W$98, "&lt;"&amp;HC1)</f>
        <v>0</v>
      </c>
      <c r="CB20">
        <f>SUMIFS('Expenditure Breakdown'!$R$30:$R$33, 'Expenditure Breakdown'!$W$30:$W$33, "&gt;="&amp;CB1,'Expenditure Breakdown'!$W$30:$W$33, "&lt;"&amp;HD1)+SUMIFS('Expenditure Breakdown'!$R$48:$R$54, 'Expenditure Breakdown'!$W$48:$W$54, "&gt;="&amp;CB1,'Expenditure Breakdown'!$W$48:$W$54, "&lt;"&amp;HD1)+SUMIFS('Expenditure Breakdown'!$R$86:$R$98, 'Expenditure Breakdown'!$W$86:$W$98, "&gt;="&amp;CB1,'Expenditure Breakdown'!$W$86:$W$98, "&lt;"&amp;HD1)</f>
        <v>0</v>
      </c>
      <c r="CC20">
        <f>SUMIFS('Expenditure Breakdown'!$R$30:$R$33, 'Expenditure Breakdown'!$W$30:$W$33, "&gt;="&amp;CC1,'Expenditure Breakdown'!$W$30:$W$33, "&lt;"&amp;HE1)+SUMIFS('Expenditure Breakdown'!$R$48:$R$54, 'Expenditure Breakdown'!$W$48:$W$54, "&gt;="&amp;CC1,'Expenditure Breakdown'!$W$48:$W$54, "&lt;"&amp;HE1)+SUMIFS('Expenditure Breakdown'!$R$86:$R$98, 'Expenditure Breakdown'!$W$86:$W$98, "&gt;="&amp;CC1,'Expenditure Breakdown'!$W$86:$W$98, "&lt;"&amp;HE1)</f>
        <v>0</v>
      </c>
      <c r="CD20">
        <f>SUMIFS('Expenditure Breakdown'!$R$30:$R$33, 'Expenditure Breakdown'!$W$30:$W$33, "&gt;="&amp;CD1,'Expenditure Breakdown'!$W$30:$W$33, "&lt;"&amp;HF1)+SUMIFS('Expenditure Breakdown'!$R$48:$R$54, 'Expenditure Breakdown'!$W$48:$W$54, "&gt;="&amp;CD1,'Expenditure Breakdown'!$W$48:$W$54, "&lt;"&amp;HF1)+SUMIFS('Expenditure Breakdown'!$R$86:$R$98, 'Expenditure Breakdown'!$W$86:$W$98, "&gt;="&amp;CD1,'Expenditure Breakdown'!$W$86:$W$98, "&lt;"&amp;HF1)</f>
        <v>0</v>
      </c>
      <c r="CE20">
        <f>SUMIFS('Expenditure Breakdown'!$R$30:$R$33, 'Expenditure Breakdown'!$W$30:$W$33, "&gt;="&amp;CE1,'Expenditure Breakdown'!$W$30:$W$33, "&lt;"&amp;HG1)+SUMIFS('Expenditure Breakdown'!$R$48:$R$54, 'Expenditure Breakdown'!$W$48:$W$54, "&gt;="&amp;CE1,'Expenditure Breakdown'!$W$48:$W$54, "&lt;"&amp;HG1)+SUMIFS('Expenditure Breakdown'!$R$86:$R$98, 'Expenditure Breakdown'!$W$86:$W$98, "&gt;="&amp;CE1,'Expenditure Breakdown'!$W$86:$W$98, "&lt;"&amp;HG1)</f>
        <v>0</v>
      </c>
      <c r="CF20">
        <f>SUMIFS('Expenditure Breakdown'!$R$30:$R$33, 'Expenditure Breakdown'!$W$30:$W$33, "&gt;="&amp;CF1,'Expenditure Breakdown'!$W$30:$W$33, "&lt;"&amp;HH1)+SUMIFS('Expenditure Breakdown'!$R$48:$R$54, 'Expenditure Breakdown'!$W$48:$W$54, "&gt;="&amp;CF1,'Expenditure Breakdown'!$W$48:$W$54, "&lt;"&amp;HH1)+SUMIFS('Expenditure Breakdown'!$R$86:$R$98, 'Expenditure Breakdown'!$W$86:$W$98, "&gt;="&amp;CF1,'Expenditure Breakdown'!$W$86:$W$98, "&lt;"&amp;HH1)</f>
        <v>0</v>
      </c>
      <c r="CG20">
        <f>SUMIFS('Expenditure Breakdown'!$R$30:$R$33, 'Expenditure Breakdown'!$W$30:$W$33, "&gt;="&amp;CG1,'Expenditure Breakdown'!$W$30:$W$33, "&lt;"&amp;HI1)+SUMIFS('Expenditure Breakdown'!$R$48:$R$54, 'Expenditure Breakdown'!$W$48:$W$54, "&gt;="&amp;CG1,'Expenditure Breakdown'!$W$48:$W$54, "&lt;"&amp;HI1)+SUMIFS('Expenditure Breakdown'!$R$86:$R$98, 'Expenditure Breakdown'!$W$86:$W$98, "&gt;="&amp;CG1,'Expenditure Breakdown'!$W$86:$W$98, "&lt;"&amp;HI1)</f>
        <v>0</v>
      </c>
      <c r="CH20">
        <f>SUMIFS('Expenditure Breakdown'!$R$30:$R$33, 'Expenditure Breakdown'!$W$30:$W$33, "&gt;="&amp;CH1,'Expenditure Breakdown'!$W$30:$W$33, "&lt;"&amp;HJ1)+SUMIFS('Expenditure Breakdown'!$R$48:$R$54, 'Expenditure Breakdown'!$W$48:$W$54, "&gt;="&amp;CH1,'Expenditure Breakdown'!$W$48:$W$54, "&lt;"&amp;HJ1)+SUMIFS('Expenditure Breakdown'!$R$86:$R$98, 'Expenditure Breakdown'!$W$86:$W$98, "&gt;="&amp;CH1,'Expenditure Breakdown'!$W$86:$W$98, "&lt;"&amp;HJ1)</f>
        <v>0</v>
      </c>
      <c r="CI20">
        <f>SUMIFS('Expenditure Breakdown'!$R$30:$R$33, 'Expenditure Breakdown'!$W$30:$W$33, "&gt;="&amp;CI1,'Expenditure Breakdown'!$W$30:$W$33, "&lt;"&amp;HK1)+SUMIFS('Expenditure Breakdown'!$R$48:$R$54, 'Expenditure Breakdown'!$W$48:$W$54, "&gt;="&amp;CI1,'Expenditure Breakdown'!$W$48:$W$54, "&lt;"&amp;HK1)+SUMIFS('Expenditure Breakdown'!$R$86:$R$98, 'Expenditure Breakdown'!$W$86:$W$98, "&gt;="&amp;CI1,'Expenditure Breakdown'!$W$86:$W$98, "&lt;"&amp;HK1)</f>
        <v>0</v>
      </c>
      <c r="CJ20">
        <f>SUMIFS('Expenditure Breakdown'!$R$30:$R$33, 'Expenditure Breakdown'!$W$30:$W$33, "&gt;="&amp;CJ1,'Expenditure Breakdown'!$W$30:$W$33, "&lt;"&amp;HL1)+SUMIFS('Expenditure Breakdown'!$R$48:$R$54, 'Expenditure Breakdown'!$W$48:$W$54, "&gt;="&amp;CJ1,'Expenditure Breakdown'!$W$48:$W$54, "&lt;"&amp;HL1)+SUMIFS('Expenditure Breakdown'!$R$86:$R$98, 'Expenditure Breakdown'!$W$86:$W$98, "&gt;="&amp;CJ1,'Expenditure Breakdown'!$W$86:$W$98, "&lt;"&amp;HL1)</f>
        <v>0</v>
      </c>
      <c r="CK20">
        <f>SUMIFS('Expenditure Breakdown'!$R$30:$R$33, 'Expenditure Breakdown'!$W$30:$W$33, "&gt;="&amp;CK1,'Expenditure Breakdown'!$W$30:$W$33, "&lt;"&amp;HM1)+SUMIFS('Expenditure Breakdown'!$R$48:$R$54, 'Expenditure Breakdown'!$W$48:$W$54, "&gt;="&amp;CK1,'Expenditure Breakdown'!$W$48:$W$54, "&lt;"&amp;HM1)+SUMIFS('Expenditure Breakdown'!$R$86:$R$98, 'Expenditure Breakdown'!$W$86:$W$98, "&gt;="&amp;CK1,'Expenditure Breakdown'!$W$86:$W$98, "&lt;"&amp;HM1)</f>
        <v>0</v>
      </c>
      <c r="CL20">
        <f>SUMIFS('Expenditure Breakdown'!$R$30:$R$33, 'Expenditure Breakdown'!$W$30:$W$33, "&gt;="&amp;CL1,'Expenditure Breakdown'!$W$30:$W$33, "&lt;"&amp;HN1)+SUMIFS('Expenditure Breakdown'!$R$48:$R$54, 'Expenditure Breakdown'!$W$48:$W$54, "&gt;="&amp;CL1,'Expenditure Breakdown'!$W$48:$W$54, "&lt;"&amp;HN1)+SUMIFS('Expenditure Breakdown'!$R$86:$R$98, 'Expenditure Breakdown'!$W$86:$W$98, "&gt;="&amp;CL1,'Expenditure Breakdown'!$W$86:$W$98, "&lt;"&amp;HN1)</f>
        <v>0</v>
      </c>
      <c r="CM20">
        <f>SUMIFS('Expenditure Breakdown'!$R$30:$R$33, 'Expenditure Breakdown'!$W$30:$W$33, "&gt;="&amp;CM1,'Expenditure Breakdown'!$W$30:$W$33, "&lt;"&amp;HO1)+SUMIFS('Expenditure Breakdown'!$R$48:$R$54, 'Expenditure Breakdown'!$W$48:$W$54, "&gt;="&amp;CM1,'Expenditure Breakdown'!$W$48:$W$54, "&lt;"&amp;HO1)+SUMIFS('Expenditure Breakdown'!$R$86:$R$98, 'Expenditure Breakdown'!$W$86:$W$98, "&gt;="&amp;CM1,'Expenditure Breakdown'!$W$86:$W$98, "&lt;"&amp;HO1)</f>
        <v>0</v>
      </c>
      <c r="CN20">
        <f>SUMIFS('Expenditure Breakdown'!$R$30:$R$33, 'Expenditure Breakdown'!$W$30:$W$33, "&gt;="&amp;CN1,'Expenditure Breakdown'!$W$30:$W$33, "&lt;"&amp;HP1)+SUMIFS('Expenditure Breakdown'!$R$48:$R$54, 'Expenditure Breakdown'!$W$48:$W$54, "&gt;="&amp;CN1,'Expenditure Breakdown'!$W$48:$W$54, "&lt;"&amp;HP1)+SUMIFS('Expenditure Breakdown'!$R$86:$R$98, 'Expenditure Breakdown'!$W$86:$W$98, "&gt;="&amp;CN1,'Expenditure Breakdown'!$W$86:$W$98, "&lt;"&amp;HP1)</f>
        <v>0</v>
      </c>
      <c r="CO20">
        <f>SUMIFS('Expenditure Breakdown'!$R$30:$R$33, 'Expenditure Breakdown'!$W$30:$W$33, "&gt;="&amp;CO1,'Expenditure Breakdown'!$W$30:$W$33, "&lt;"&amp;HQ1)+SUMIFS('Expenditure Breakdown'!$R$48:$R$54, 'Expenditure Breakdown'!$W$48:$W$54, "&gt;="&amp;CO1,'Expenditure Breakdown'!$W$48:$W$54, "&lt;"&amp;HQ1)+SUMIFS('Expenditure Breakdown'!$R$86:$R$98, 'Expenditure Breakdown'!$W$86:$W$98, "&gt;="&amp;CO1,'Expenditure Breakdown'!$W$86:$W$98, "&lt;"&amp;HQ1)</f>
        <v>0</v>
      </c>
      <c r="CP20">
        <f>SUMIFS('Expenditure Breakdown'!$R$30:$R$33, 'Expenditure Breakdown'!$W$30:$W$33, "&gt;="&amp;CP1,'Expenditure Breakdown'!$W$30:$W$33, "&lt;"&amp;HR1)+SUMIFS('Expenditure Breakdown'!$R$48:$R$54, 'Expenditure Breakdown'!$W$48:$W$54, "&gt;="&amp;CP1,'Expenditure Breakdown'!$W$48:$W$54, "&lt;"&amp;HR1)+SUMIFS('Expenditure Breakdown'!$R$86:$R$98, 'Expenditure Breakdown'!$W$86:$W$98, "&gt;="&amp;CP1,'Expenditure Breakdown'!$W$86:$W$98, "&lt;"&amp;HR1)</f>
        <v>0</v>
      </c>
      <c r="CQ20">
        <f>SUMIFS('Expenditure Breakdown'!$R$30:$R$33, 'Expenditure Breakdown'!$W$30:$W$33, "&gt;="&amp;CQ1,'Expenditure Breakdown'!$W$30:$W$33, "&lt;"&amp;HS1)+SUMIFS('Expenditure Breakdown'!$R$48:$R$54, 'Expenditure Breakdown'!$W$48:$W$54, "&gt;="&amp;CQ1,'Expenditure Breakdown'!$W$48:$W$54, "&lt;"&amp;HS1)+SUMIFS('Expenditure Breakdown'!$R$86:$R$98, 'Expenditure Breakdown'!$W$86:$W$98, "&gt;="&amp;CQ1,'Expenditure Breakdown'!$W$86:$W$98, "&lt;"&amp;HS1)</f>
        <v>0</v>
      </c>
      <c r="CR20">
        <f>SUMIFS('Expenditure Breakdown'!$R$30:$R$33, 'Expenditure Breakdown'!$W$30:$W$33, "&gt;="&amp;CR1,'Expenditure Breakdown'!$W$30:$W$33, "&lt;"&amp;HT1)+SUMIFS('Expenditure Breakdown'!$R$48:$R$54, 'Expenditure Breakdown'!$W$48:$W$54, "&gt;="&amp;CR1,'Expenditure Breakdown'!$W$48:$W$54, "&lt;"&amp;HT1)+SUMIFS('Expenditure Breakdown'!$R$86:$R$98, 'Expenditure Breakdown'!$W$86:$W$98, "&gt;="&amp;CR1,'Expenditure Breakdown'!$W$86:$W$98, "&lt;"&amp;HT1)</f>
        <v>0</v>
      </c>
      <c r="CS20">
        <f>SUMIFS('Expenditure Breakdown'!$R$30:$R$33, 'Expenditure Breakdown'!$W$30:$W$33, "&gt;="&amp;CS1,'Expenditure Breakdown'!$W$30:$W$33, "&lt;"&amp;HU1)+SUMIFS('Expenditure Breakdown'!$R$48:$R$54, 'Expenditure Breakdown'!$W$48:$W$54, "&gt;="&amp;CS1,'Expenditure Breakdown'!$W$48:$W$54, "&lt;"&amp;HU1)+SUMIFS('Expenditure Breakdown'!$R$86:$R$98, 'Expenditure Breakdown'!$W$86:$W$98, "&gt;="&amp;CS1,'Expenditure Breakdown'!$W$86:$W$98, "&lt;"&amp;HU1)</f>
        <v>0</v>
      </c>
      <c r="CT20">
        <f>SUMIFS('Expenditure Breakdown'!$R$30:$R$33, 'Expenditure Breakdown'!$W$30:$W$33, "&gt;="&amp;CT1,'Expenditure Breakdown'!$W$30:$W$33, "&lt;"&amp;HV1)+SUMIFS('Expenditure Breakdown'!$R$48:$R$54, 'Expenditure Breakdown'!$W$48:$W$54, "&gt;="&amp;CT1,'Expenditure Breakdown'!$W$48:$W$54, "&lt;"&amp;HV1)+SUMIFS('Expenditure Breakdown'!$R$86:$R$98, 'Expenditure Breakdown'!$W$86:$W$98, "&gt;="&amp;CT1,'Expenditure Breakdown'!$W$86:$W$98, "&lt;"&amp;HV1)</f>
        <v>0</v>
      </c>
      <c r="CU20">
        <f>SUMIFS('Expenditure Breakdown'!$R$30:$R$33, 'Expenditure Breakdown'!$W$30:$W$33, "&gt;="&amp;CU1,'Expenditure Breakdown'!$W$30:$W$33, "&lt;"&amp;HW1)+SUMIFS('Expenditure Breakdown'!$R$48:$R$54, 'Expenditure Breakdown'!$W$48:$W$54, "&gt;="&amp;CU1,'Expenditure Breakdown'!$W$48:$W$54, "&lt;"&amp;HW1)+SUMIFS('Expenditure Breakdown'!$R$86:$R$98, 'Expenditure Breakdown'!$W$86:$W$98, "&gt;="&amp;CU1,'Expenditure Breakdown'!$W$86:$W$98, "&lt;"&amp;HW1)</f>
        <v>0</v>
      </c>
      <c r="CV20">
        <f>SUMIFS('Expenditure Breakdown'!$R$30:$R$33, 'Expenditure Breakdown'!$W$30:$W$33, "&gt;="&amp;CV1,'Expenditure Breakdown'!$W$30:$W$33, "&lt;"&amp;HX1)+SUMIFS('Expenditure Breakdown'!$R$48:$R$54, 'Expenditure Breakdown'!$W$48:$W$54, "&gt;="&amp;CV1,'Expenditure Breakdown'!$W$48:$W$54, "&lt;"&amp;HX1)+SUMIFS('Expenditure Breakdown'!$R$86:$R$98, 'Expenditure Breakdown'!$W$86:$W$98, "&gt;="&amp;CV1,'Expenditure Breakdown'!$W$86:$W$98, "&lt;"&amp;HX1)</f>
        <v>0</v>
      </c>
      <c r="CW20">
        <f>SUMIFS('Expenditure Breakdown'!$R$30:$R$33, 'Expenditure Breakdown'!$W$30:$W$33, "&gt;="&amp;CW1,'Expenditure Breakdown'!$W$30:$W$33, "&lt;"&amp;HY1)+SUMIFS('Expenditure Breakdown'!$R$48:$R$54, 'Expenditure Breakdown'!$W$48:$W$54, "&gt;="&amp;CW1,'Expenditure Breakdown'!$W$48:$W$54, "&lt;"&amp;HY1)+SUMIFS('Expenditure Breakdown'!$R$86:$R$98, 'Expenditure Breakdown'!$W$86:$W$98, "&gt;="&amp;CW1,'Expenditure Breakdown'!$W$86:$W$98, "&lt;"&amp;HY1)</f>
        <v>0</v>
      </c>
      <c r="CX20">
        <f>SUMIFS('Expenditure Breakdown'!$R$30:$R$33, 'Expenditure Breakdown'!$W$30:$W$33, "&gt;="&amp;CX1,'Expenditure Breakdown'!$W$30:$W$33, "&lt;"&amp;HZ1)+SUMIFS('Expenditure Breakdown'!$R$48:$R$54, 'Expenditure Breakdown'!$W$48:$W$54, "&gt;="&amp;CX1,'Expenditure Breakdown'!$W$48:$W$54, "&lt;"&amp;HZ1)+SUMIFS('Expenditure Breakdown'!$R$86:$R$98, 'Expenditure Breakdown'!$W$86:$W$98, "&gt;="&amp;CX1,'Expenditure Breakdown'!$W$86:$W$98, "&lt;"&amp;HZ1)</f>
        <v>0</v>
      </c>
      <c r="CY20">
        <f>SUMIFS('Expenditure Breakdown'!$R$30:$R$33, 'Expenditure Breakdown'!$W$30:$W$33, "&gt;="&amp;CY1,'Expenditure Breakdown'!$W$30:$W$33, "&lt;"&amp;IA1)+SUMIFS('Expenditure Breakdown'!$R$48:$R$54, 'Expenditure Breakdown'!$W$48:$W$54, "&gt;="&amp;CY1,'Expenditure Breakdown'!$W$48:$W$54, "&lt;"&amp;IA1)+SUMIFS('Expenditure Breakdown'!$R$86:$R$98, 'Expenditure Breakdown'!$W$86:$W$98, "&gt;="&amp;CY1,'Expenditure Breakdown'!$W$86:$W$98, "&lt;"&amp;IA1)</f>
        <v>0</v>
      </c>
      <c r="CZ20">
        <f>SUMIFS('Expenditure Breakdown'!$R$30:$R$33, 'Expenditure Breakdown'!$W$30:$W$33, "&gt;="&amp;CZ1,'Expenditure Breakdown'!$W$30:$W$33, "&lt;"&amp;IB1)+SUMIFS('Expenditure Breakdown'!$R$48:$R$54, 'Expenditure Breakdown'!$W$48:$W$54, "&gt;="&amp;CZ1,'Expenditure Breakdown'!$W$48:$W$54, "&lt;"&amp;IB1)+SUMIFS('Expenditure Breakdown'!$R$86:$R$98, 'Expenditure Breakdown'!$W$86:$W$98, "&gt;="&amp;CZ1,'Expenditure Breakdown'!$W$86:$W$98, "&lt;"&amp;IB1)</f>
        <v>0</v>
      </c>
      <c r="DA20">
        <f>SUMIFS('Expenditure Breakdown'!$R$30:$R$33, 'Expenditure Breakdown'!$W$30:$W$33, "&gt;="&amp;DA1,'Expenditure Breakdown'!$W$30:$W$33, "&lt;"&amp;IC1)+SUMIFS('Expenditure Breakdown'!$R$48:$R$54, 'Expenditure Breakdown'!$W$48:$W$54, "&gt;="&amp;DA1,'Expenditure Breakdown'!$W$48:$W$54, "&lt;"&amp;IC1)+SUMIFS('Expenditure Breakdown'!$R$86:$R$98, 'Expenditure Breakdown'!$W$86:$W$98, "&gt;="&amp;DA1,'Expenditure Breakdown'!$W$86:$W$98, "&lt;"&amp;IC1)</f>
        <v>0</v>
      </c>
      <c r="DB20">
        <f>SUMIFS('Expenditure Breakdown'!$R$30:$R$33, 'Expenditure Breakdown'!$W$30:$W$33, "&gt;="&amp;DB1,'Expenditure Breakdown'!$W$30:$W$33, "&lt;"&amp;ID1)+SUMIFS('Expenditure Breakdown'!$R$48:$R$54, 'Expenditure Breakdown'!$W$48:$W$54, "&gt;="&amp;DB1,'Expenditure Breakdown'!$W$48:$W$54, "&lt;"&amp;ID1)+SUMIFS('Expenditure Breakdown'!$R$86:$R$98, 'Expenditure Breakdown'!$W$86:$W$98, "&gt;="&amp;DB1,'Expenditure Breakdown'!$W$86:$W$98, "&lt;"&amp;ID1)</f>
        <v>0</v>
      </c>
      <c r="DC20">
        <f>SUMIFS('Expenditure Breakdown'!$R$30:$R$33, 'Expenditure Breakdown'!$W$30:$W$33, "&gt;="&amp;DC1,'Expenditure Breakdown'!$W$30:$W$33, "&lt;"&amp;IE1)+SUMIFS('Expenditure Breakdown'!$R$48:$R$54, 'Expenditure Breakdown'!$W$48:$W$54, "&gt;="&amp;DC1,'Expenditure Breakdown'!$W$48:$W$54, "&lt;"&amp;IE1)+SUMIFS('Expenditure Breakdown'!$R$86:$R$98, 'Expenditure Breakdown'!$W$86:$W$98, "&gt;="&amp;DC1,'Expenditure Breakdown'!$W$86:$W$98, "&lt;"&amp;IE1)</f>
        <v>0</v>
      </c>
      <c r="DD20">
        <f>SUMIFS('Expenditure Breakdown'!$R$30:$R$33, 'Expenditure Breakdown'!$W$30:$W$33, "&gt;="&amp;DD1,'Expenditure Breakdown'!$W$30:$W$33, "&lt;"&amp;IF1)+SUMIFS('Expenditure Breakdown'!$R$48:$R$54, 'Expenditure Breakdown'!$W$48:$W$54, "&gt;="&amp;DD1,'Expenditure Breakdown'!$W$48:$W$54, "&lt;"&amp;IF1)+SUMIFS('Expenditure Breakdown'!$R$86:$R$98, 'Expenditure Breakdown'!$W$86:$W$98, "&gt;="&amp;DD1,'Expenditure Breakdown'!$W$86:$W$98, "&lt;"&amp;IF1)</f>
        <v>0</v>
      </c>
      <c r="DE20">
        <f>SUMIFS('Expenditure Breakdown'!$R$30:$R$33, 'Expenditure Breakdown'!$W$30:$W$33, "&gt;="&amp;DE1,'Expenditure Breakdown'!$W$30:$W$33, "&lt;"&amp;IG1)+SUMIFS('Expenditure Breakdown'!$R$48:$R$54, 'Expenditure Breakdown'!$W$48:$W$54, "&gt;="&amp;DE1,'Expenditure Breakdown'!$W$48:$W$54, "&lt;"&amp;IG1)+SUMIFS('Expenditure Breakdown'!$R$86:$R$98, 'Expenditure Breakdown'!$W$86:$W$98, "&gt;="&amp;DE1,'Expenditure Breakdown'!$W$86:$W$98, "&lt;"&amp;IG1)</f>
        <v>0</v>
      </c>
      <c r="DF20">
        <f>SUMIFS('Expenditure Breakdown'!$R$30:$R$33, 'Expenditure Breakdown'!$W$30:$W$33, "&gt;="&amp;DF1,'Expenditure Breakdown'!$W$30:$W$33, "&lt;"&amp;IH1)+SUMIFS('Expenditure Breakdown'!$R$48:$R$54, 'Expenditure Breakdown'!$W$48:$W$54, "&gt;="&amp;DF1,'Expenditure Breakdown'!$W$48:$W$54, "&lt;"&amp;IH1)+SUMIFS('Expenditure Breakdown'!$R$86:$R$98, 'Expenditure Breakdown'!$W$86:$W$98, "&gt;="&amp;DF1,'Expenditure Breakdown'!$W$86:$W$98, "&lt;"&amp;IH1)</f>
        <v>0</v>
      </c>
      <c r="DG20">
        <f>SUMIFS('Expenditure Breakdown'!$R$30:$R$33, 'Expenditure Breakdown'!$W$30:$W$33, "&gt;="&amp;DG1,'Expenditure Breakdown'!$W$30:$W$33, "&lt;"&amp;II1)+SUMIFS('Expenditure Breakdown'!$R$48:$R$54, 'Expenditure Breakdown'!$W$48:$W$54, "&gt;="&amp;DG1,'Expenditure Breakdown'!$W$48:$W$54, "&lt;"&amp;II1)+SUMIFS('Expenditure Breakdown'!$R$86:$R$98, 'Expenditure Breakdown'!$W$86:$W$98, "&gt;="&amp;DG1,'Expenditure Breakdown'!$W$86:$W$98, "&lt;"&amp;II1)</f>
        <v>0</v>
      </c>
      <c r="DH20">
        <f>SUMIFS('Expenditure Breakdown'!$R$30:$R$33, 'Expenditure Breakdown'!$W$30:$W$33, "&gt;="&amp;DH1,'Expenditure Breakdown'!$W$30:$W$33, "&lt;"&amp;IJ1)+SUMIFS('Expenditure Breakdown'!$R$48:$R$54, 'Expenditure Breakdown'!$W$48:$W$54, "&gt;="&amp;DH1,'Expenditure Breakdown'!$W$48:$W$54, "&lt;"&amp;IJ1)+SUMIFS('Expenditure Breakdown'!$R$86:$R$98, 'Expenditure Breakdown'!$W$86:$W$98, "&gt;="&amp;DH1,'Expenditure Breakdown'!$W$86:$W$98, "&lt;"&amp;IJ1)</f>
        <v>0</v>
      </c>
      <c r="DI20">
        <f>SUMIFS('Expenditure Breakdown'!$R$30:$R$33, 'Expenditure Breakdown'!$W$30:$W$33, "&gt;="&amp;DI1,'Expenditure Breakdown'!$W$30:$W$33, "&lt;"&amp;IK1)+SUMIFS('Expenditure Breakdown'!$R$48:$R$54, 'Expenditure Breakdown'!$W$48:$W$54, "&gt;="&amp;DI1,'Expenditure Breakdown'!$W$48:$W$54, "&lt;"&amp;IK1)+SUMIFS('Expenditure Breakdown'!$R$86:$R$98, 'Expenditure Breakdown'!$W$86:$W$98, "&gt;="&amp;DI1,'Expenditure Breakdown'!$W$86:$W$98, "&lt;"&amp;IK1)</f>
        <v>0</v>
      </c>
      <c r="DJ20">
        <f>SUMIFS('Expenditure Breakdown'!$R$30:$R$33, 'Expenditure Breakdown'!$W$30:$W$33, "&gt;="&amp;DJ1,'Expenditure Breakdown'!$W$30:$W$33, "&lt;"&amp;IL1)+SUMIFS('Expenditure Breakdown'!$R$48:$R$54, 'Expenditure Breakdown'!$W$48:$W$54, "&gt;="&amp;DJ1,'Expenditure Breakdown'!$W$48:$W$54, "&lt;"&amp;IL1)+SUMIFS('Expenditure Breakdown'!$R$86:$R$98, 'Expenditure Breakdown'!$W$86:$W$98, "&gt;="&amp;DJ1,'Expenditure Breakdown'!$W$86:$W$98, "&lt;"&amp;IL1)</f>
        <v>0</v>
      </c>
      <c r="DK20">
        <f>SUMIFS('Expenditure Breakdown'!$R$30:$R$33, 'Expenditure Breakdown'!$W$30:$W$33, "&gt;="&amp;DK1,'Expenditure Breakdown'!$W$30:$W$33, "&lt;"&amp;IM1)+SUMIFS('Expenditure Breakdown'!$R$48:$R$54, 'Expenditure Breakdown'!$W$48:$W$54, "&gt;="&amp;DK1,'Expenditure Breakdown'!$W$48:$W$54, "&lt;"&amp;IM1)+SUMIFS('Expenditure Breakdown'!$R$86:$R$98, 'Expenditure Breakdown'!$W$86:$W$98, "&gt;="&amp;DK1,'Expenditure Breakdown'!$W$86:$W$98, "&lt;"&amp;IM1)</f>
        <v>0</v>
      </c>
      <c r="DL20">
        <f>SUMIFS('Expenditure Breakdown'!$R$30:$R$33, 'Expenditure Breakdown'!$W$30:$W$33, "&gt;="&amp;DL1,'Expenditure Breakdown'!$W$30:$W$33, "&lt;"&amp;IN1)+SUMIFS('Expenditure Breakdown'!$R$48:$R$54, 'Expenditure Breakdown'!$W$48:$W$54, "&gt;="&amp;DL1,'Expenditure Breakdown'!$W$48:$W$54, "&lt;"&amp;IN1)+SUMIFS('Expenditure Breakdown'!$R$86:$R$98, 'Expenditure Breakdown'!$W$86:$W$98, "&gt;="&amp;DL1,'Expenditure Breakdown'!$W$86:$W$98, "&lt;"&amp;IN1)</f>
        <v>0</v>
      </c>
      <c r="DM20">
        <f>SUMIFS('Expenditure Breakdown'!$R$30:$R$33, 'Expenditure Breakdown'!$W$30:$W$33, "&gt;="&amp;DM1,'Expenditure Breakdown'!$W$30:$W$33, "&lt;"&amp;IO1)+SUMIFS('Expenditure Breakdown'!$R$48:$R$54, 'Expenditure Breakdown'!$W$48:$W$54, "&gt;="&amp;DM1,'Expenditure Breakdown'!$W$48:$W$54, "&lt;"&amp;IO1)+SUMIFS('Expenditure Breakdown'!$R$86:$R$98, 'Expenditure Breakdown'!$W$86:$W$98, "&gt;="&amp;DM1,'Expenditure Breakdown'!$W$86:$W$98, "&lt;"&amp;IO1)</f>
        <v>0</v>
      </c>
      <c r="DN20">
        <f>SUMIFS('Expenditure Breakdown'!$R$30:$R$33, 'Expenditure Breakdown'!$W$30:$W$33, "&gt;="&amp;DN1,'Expenditure Breakdown'!$W$30:$W$33, "&lt;"&amp;IP1)+SUMIFS('Expenditure Breakdown'!$R$48:$R$54, 'Expenditure Breakdown'!$W$48:$W$54, "&gt;="&amp;DN1,'Expenditure Breakdown'!$W$48:$W$54, "&lt;"&amp;IP1)+SUMIFS('Expenditure Breakdown'!$R$86:$R$98, 'Expenditure Breakdown'!$W$86:$W$98, "&gt;="&amp;DN1,'Expenditure Breakdown'!$W$86:$W$98, "&lt;"&amp;IP1)</f>
        <v>0</v>
      </c>
      <c r="DO20">
        <f>SUMIFS('Expenditure Breakdown'!$R$30:$R$33, 'Expenditure Breakdown'!$W$30:$W$33, "&gt;="&amp;DO1,'Expenditure Breakdown'!$W$30:$W$33, "&lt;"&amp;IQ1)+SUMIFS('Expenditure Breakdown'!$R$48:$R$54, 'Expenditure Breakdown'!$W$48:$W$54, "&gt;="&amp;DO1,'Expenditure Breakdown'!$W$48:$W$54, "&lt;"&amp;IQ1)+SUMIFS('Expenditure Breakdown'!$R$86:$R$98, 'Expenditure Breakdown'!$W$86:$W$98, "&gt;="&amp;DO1,'Expenditure Breakdown'!$W$86:$W$98, "&lt;"&amp;IQ1)</f>
        <v>0</v>
      </c>
      <c r="DP20">
        <f>SUMIFS('Expenditure Breakdown'!$R$30:$R$33, 'Expenditure Breakdown'!$W$30:$W$33, "&gt;="&amp;DP1,'Expenditure Breakdown'!$W$30:$W$33, "&lt;"&amp;IR1)+SUMIFS('Expenditure Breakdown'!$R$48:$R$54, 'Expenditure Breakdown'!$W$48:$W$54, "&gt;="&amp;DP1,'Expenditure Breakdown'!$W$48:$W$54, "&lt;"&amp;IR1)+SUMIFS('Expenditure Breakdown'!$R$86:$R$98, 'Expenditure Breakdown'!$W$86:$W$98, "&gt;="&amp;DP1,'Expenditure Breakdown'!$W$86:$W$98, "&lt;"&amp;IR1)</f>
        <v>0</v>
      </c>
      <c r="DQ20">
        <f>SUMIFS('Expenditure Breakdown'!$R$30:$R$33, 'Expenditure Breakdown'!$W$30:$W$33, "&gt;="&amp;DQ1,'Expenditure Breakdown'!$W$30:$W$33, "&lt;"&amp;IS1)+SUMIFS('Expenditure Breakdown'!$R$48:$R$54, 'Expenditure Breakdown'!$W$48:$W$54, "&gt;="&amp;DQ1,'Expenditure Breakdown'!$W$48:$W$54, "&lt;"&amp;IS1)+SUMIFS('Expenditure Breakdown'!$R$86:$R$98, 'Expenditure Breakdown'!$W$86:$W$98, "&gt;="&amp;DQ1,'Expenditure Breakdown'!$W$86:$W$98, "&lt;"&amp;IS1)</f>
        <v>0</v>
      </c>
      <c r="DR20">
        <f>SUMIFS('Expenditure Breakdown'!$R$30:$R$33, 'Expenditure Breakdown'!$W$30:$W$33, "&gt;="&amp;DR1,'Expenditure Breakdown'!$W$30:$W$33, "&lt;"&amp;IT1)+SUMIFS('Expenditure Breakdown'!$R$48:$R$54, 'Expenditure Breakdown'!$W$48:$W$54, "&gt;="&amp;DR1,'Expenditure Breakdown'!$W$48:$W$54, "&lt;"&amp;IT1)+SUMIFS('Expenditure Breakdown'!$R$86:$R$98, 'Expenditure Breakdown'!$W$86:$W$98, "&gt;="&amp;DR1,'Expenditure Breakdown'!$W$86:$W$98, "&lt;"&amp;IT1)</f>
        <v>0</v>
      </c>
      <c r="DS20">
        <f>SUMIFS('Expenditure Breakdown'!$R$30:$R$33, 'Expenditure Breakdown'!$W$30:$W$33, "&gt;="&amp;DS1,'Expenditure Breakdown'!$W$30:$W$33, "&lt;"&amp;IU1)+SUMIFS('Expenditure Breakdown'!$R$48:$R$54, 'Expenditure Breakdown'!$W$48:$W$54, "&gt;="&amp;DS1,'Expenditure Breakdown'!$W$48:$W$54, "&lt;"&amp;IU1)+SUMIFS('Expenditure Breakdown'!$R$86:$R$98, 'Expenditure Breakdown'!$W$86:$W$98, "&gt;="&amp;DS1,'Expenditure Breakdown'!$W$86:$W$98, "&lt;"&amp;IU1)</f>
        <v>0</v>
      </c>
      <c r="DT20">
        <f>SUMIFS('Expenditure Breakdown'!$R$30:$R$33, 'Expenditure Breakdown'!$W$30:$W$33, "&gt;="&amp;DT1,'Expenditure Breakdown'!$W$30:$W$33, "&lt;"&amp;IV1)+SUMIFS('Expenditure Breakdown'!$R$48:$R$54, 'Expenditure Breakdown'!$W$48:$W$54, "&gt;="&amp;DT1,'Expenditure Breakdown'!$W$48:$W$54, "&lt;"&amp;IV1)+SUMIFS('Expenditure Breakdown'!$R$86:$R$98, 'Expenditure Breakdown'!$W$86:$W$98, "&gt;="&amp;DT1,'Expenditure Breakdown'!$W$86:$W$98, "&lt;"&amp;IV1)</f>
        <v>0</v>
      </c>
      <c r="DU20">
        <f>SUMIFS('Expenditure Breakdown'!$R$30:$R$33, 'Expenditure Breakdown'!$W$30:$W$33, "&gt;="&amp;DU1,'Expenditure Breakdown'!$W$30:$W$33, "&lt;"&amp;IW1)+SUMIFS('Expenditure Breakdown'!$R$48:$R$54, 'Expenditure Breakdown'!$W$48:$W$54, "&gt;="&amp;DU1,'Expenditure Breakdown'!$W$48:$W$54, "&lt;"&amp;IW1)+SUMIFS('Expenditure Breakdown'!$R$86:$R$98, 'Expenditure Breakdown'!$W$86:$W$98, "&gt;="&amp;DU1,'Expenditure Breakdown'!$W$86:$W$98, "&lt;"&amp;IW1)</f>
        <v>0</v>
      </c>
      <c r="DV20">
        <f>SUMIFS('Expenditure Breakdown'!$R$30:$R$33, 'Expenditure Breakdown'!$W$30:$W$33, "&gt;="&amp;DV1,'Expenditure Breakdown'!$W$30:$W$33, "&lt;"&amp;IX1)+SUMIFS('Expenditure Breakdown'!$R$48:$R$54, 'Expenditure Breakdown'!$W$48:$W$54, "&gt;="&amp;DV1,'Expenditure Breakdown'!$W$48:$W$54, "&lt;"&amp;IX1)+SUMIFS('Expenditure Breakdown'!$R$86:$R$98, 'Expenditure Breakdown'!$W$86:$W$98, "&gt;="&amp;DV1,'Expenditure Breakdown'!$W$86:$W$98, "&lt;"&amp;IX1)</f>
        <v>0</v>
      </c>
      <c r="DW20">
        <f>SUMIFS('Expenditure Breakdown'!$R$30:$R$33, 'Expenditure Breakdown'!$W$30:$W$33, "&gt;="&amp;DW1,'Expenditure Breakdown'!$W$30:$W$33, "&lt;"&amp;IY1)+SUMIFS('Expenditure Breakdown'!$R$48:$R$54, 'Expenditure Breakdown'!$W$48:$W$54, "&gt;="&amp;DW1,'Expenditure Breakdown'!$W$48:$W$54, "&lt;"&amp;IY1)+SUMIFS('Expenditure Breakdown'!$R$86:$R$98, 'Expenditure Breakdown'!$W$86:$W$98, "&gt;="&amp;DW1,'Expenditure Breakdown'!$W$86:$W$98, "&lt;"&amp;IY1)</f>
        <v>0</v>
      </c>
      <c r="DX20">
        <f>SUMIFS('Expenditure Breakdown'!$R$30:$R$33, 'Expenditure Breakdown'!$W$30:$W$33, "&gt;="&amp;DX1,'Expenditure Breakdown'!$W$30:$W$33, "&lt;"&amp;IZ1)+SUMIFS('Expenditure Breakdown'!$R$48:$R$54, 'Expenditure Breakdown'!$W$48:$W$54, "&gt;="&amp;DX1,'Expenditure Breakdown'!$W$48:$W$54, "&lt;"&amp;IZ1)+SUMIFS('Expenditure Breakdown'!$R$86:$R$98, 'Expenditure Breakdown'!$W$86:$W$98, "&gt;="&amp;DX1,'Expenditure Breakdown'!$W$86:$W$98, "&lt;"&amp;IZ1)</f>
        <v>0</v>
      </c>
      <c r="DY20">
        <f>SUMIFS('Expenditure Breakdown'!$R$30:$R$33, 'Expenditure Breakdown'!$W$30:$W$33, "&gt;="&amp;DY1,'Expenditure Breakdown'!$W$30:$W$33, "&lt;"&amp;JA1)+SUMIFS('Expenditure Breakdown'!$R$48:$R$54, 'Expenditure Breakdown'!$W$48:$W$54, "&gt;="&amp;DY1,'Expenditure Breakdown'!$W$48:$W$54, "&lt;"&amp;JA1)+SUMIFS('Expenditure Breakdown'!$R$86:$R$98, 'Expenditure Breakdown'!$W$86:$W$98, "&gt;="&amp;DY1,'Expenditure Breakdown'!$W$86:$W$98, "&lt;"&amp;JA1)</f>
        <v>0</v>
      </c>
      <c r="DZ20">
        <f>SUMIFS('Expenditure Breakdown'!$R$30:$R$33, 'Expenditure Breakdown'!$W$30:$W$33, "&gt;="&amp;DZ1,'Expenditure Breakdown'!$W$30:$W$33, "&lt;"&amp;JB1)+SUMIFS('Expenditure Breakdown'!$R$48:$R$54, 'Expenditure Breakdown'!$W$48:$W$54, "&gt;="&amp;DZ1,'Expenditure Breakdown'!$W$48:$W$54, "&lt;"&amp;JB1)+SUMIFS('Expenditure Breakdown'!$R$86:$R$98, 'Expenditure Breakdown'!$W$86:$W$98, "&gt;="&amp;DZ1,'Expenditure Breakdown'!$W$86:$W$98, "&lt;"&amp;JB1)</f>
        <v>0</v>
      </c>
      <c r="EA20">
        <f>SUMIFS('Expenditure Breakdown'!$R$30:$R$33, 'Expenditure Breakdown'!$W$30:$W$33, "&gt;="&amp;EA1,'Expenditure Breakdown'!$W$30:$W$33, "&lt;"&amp;JC1)+SUMIFS('Expenditure Breakdown'!$R$48:$R$54, 'Expenditure Breakdown'!$W$48:$W$54, "&gt;="&amp;EA1,'Expenditure Breakdown'!$W$48:$W$54, "&lt;"&amp;JC1)+SUMIFS('Expenditure Breakdown'!$R$86:$R$98, 'Expenditure Breakdown'!$W$86:$W$98, "&gt;="&amp;EA1,'Expenditure Breakdown'!$W$86:$W$98, "&lt;"&amp;JC1)</f>
        <v>0</v>
      </c>
      <c r="EB20">
        <f>SUMIFS('Expenditure Breakdown'!$R$30:$R$33, 'Expenditure Breakdown'!$W$30:$W$33, "&gt;="&amp;EB1,'Expenditure Breakdown'!$W$30:$W$33, "&lt;"&amp;JD1)+SUMIFS('Expenditure Breakdown'!$R$48:$R$54, 'Expenditure Breakdown'!$W$48:$W$54, "&gt;="&amp;EB1,'Expenditure Breakdown'!$W$48:$W$54, "&lt;"&amp;JD1)+SUMIFS('Expenditure Breakdown'!$R$86:$R$98, 'Expenditure Breakdown'!$W$86:$W$98, "&gt;="&amp;EB1,'Expenditure Breakdown'!$W$86:$W$98, "&lt;"&amp;JD1)</f>
        <v>0</v>
      </c>
      <c r="EC20">
        <f>SUMIFS('Expenditure Breakdown'!$R$30:$R$33, 'Expenditure Breakdown'!$W$30:$W$33, "&gt;="&amp;EC1,'Expenditure Breakdown'!$W$30:$W$33, "&lt;"&amp;JE1)+SUMIFS('Expenditure Breakdown'!$R$48:$R$54, 'Expenditure Breakdown'!$W$48:$W$54, "&gt;="&amp;EC1,'Expenditure Breakdown'!$W$48:$W$54, "&lt;"&amp;JE1)+SUMIFS('Expenditure Breakdown'!$R$86:$R$98, 'Expenditure Breakdown'!$W$86:$W$98, "&gt;="&amp;EC1,'Expenditure Breakdown'!$W$86:$W$98, "&lt;"&amp;JE1)</f>
        <v>0</v>
      </c>
      <c r="ED20">
        <f>SUMIFS('Expenditure Breakdown'!$R$30:$R$33, 'Expenditure Breakdown'!$W$30:$W$33, "&gt;="&amp;ED1,'Expenditure Breakdown'!$W$30:$W$33, "&lt;"&amp;JF1)+SUMIFS('Expenditure Breakdown'!$R$48:$R$54, 'Expenditure Breakdown'!$W$48:$W$54, "&gt;="&amp;ED1,'Expenditure Breakdown'!$W$48:$W$54, "&lt;"&amp;JF1)+SUMIFS('Expenditure Breakdown'!$R$86:$R$98, 'Expenditure Breakdown'!$W$86:$W$98, "&gt;="&amp;ED1,'Expenditure Breakdown'!$W$86:$W$98, "&lt;"&amp;JF1)</f>
        <v>0</v>
      </c>
      <c r="EE20">
        <f>SUMIFS('Expenditure Breakdown'!$R$30:$R$33, 'Expenditure Breakdown'!$W$30:$W$33, "&gt;="&amp;EE1,'Expenditure Breakdown'!$W$30:$W$33, "&lt;"&amp;JG1)+SUMIFS('Expenditure Breakdown'!$R$48:$R$54, 'Expenditure Breakdown'!$W$48:$W$54, "&gt;="&amp;EE1,'Expenditure Breakdown'!$W$48:$W$54, "&lt;"&amp;JG1)+SUMIFS('Expenditure Breakdown'!$R$86:$R$98, 'Expenditure Breakdown'!$W$86:$W$98, "&gt;="&amp;EE1,'Expenditure Breakdown'!$W$86:$W$98, "&lt;"&amp;JG1)</f>
        <v>0</v>
      </c>
      <c r="EF20">
        <f>SUMIFS('Expenditure Breakdown'!$R$30:$R$33, 'Expenditure Breakdown'!$W$30:$W$33, "&gt;="&amp;EF1,'Expenditure Breakdown'!$W$30:$W$33, "&lt;"&amp;JH1)+SUMIFS('Expenditure Breakdown'!$R$48:$R$54, 'Expenditure Breakdown'!$W$48:$W$54, "&gt;="&amp;EF1,'Expenditure Breakdown'!$W$48:$W$54, "&lt;"&amp;JH1)+SUMIFS('Expenditure Breakdown'!$R$86:$R$98, 'Expenditure Breakdown'!$W$86:$W$98, "&gt;="&amp;EF1,'Expenditure Breakdown'!$W$86:$W$98, "&lt;"&amp;JH1)</f>
        <v>0</v>
      </c>
      <c r="EG20">
        <f>SUMIFS('Expenditure Breakdown'!$R$30:$R$33, 'Expenditure Breakdown'!$W$30:$W$33, "&gt;="&amp;EG1,'Expenditure Breakdown'!$W$30:$W$33, "&lt;"&amp;JI1)+SUMIFS('Expenditure Breakdown'!$R$48:$R$54, 'Expenditure Breakdown'!$W$48:$W$54, "&gt;="&amp;EG1,'Expenditure Breakdown'!$W$48:$W$54, "&lt;"&amp;JI1)+SUMIFS('Expenditure Breakdown'!$R$86:$R$98, 'Expenditure Breakdown'!$W$86:$W$98, "&gt;="&amp;EG1,'Expenditure Breakdown'!$W$86:$W$98, "&lt;"&amp;JI1)</f>
        <v>0</v>
      </c>
      <c r="EH20">
        <f>SUMIFS('Expenditure Breakdown'!$R$30:$R$33, 'Expenditure Breakdown'!$W$30:$W$33, "&gt;="&amp;EH1,'Expenditure Breakdown'!$W$30:$W$33, "&lt;"&amp;JJ1)+SUMIFS('Expenditure Breakdown'!$R$48:$R$54, 'Expenditure Breakdown'!$W$48:$W$54, "&gt;="&amp;EH1,'Expenditure Breakdown'!$W$48:$W$54, "&lt;"&amp;JJ1)+SUMIFS('Expenditure Breakdown'!$R$86:$R$98, 'Expenditure Breakdown'!$W$86:$W$98, "&gt;="&amp;EH1,'Expenditure Breakdown'!$W$86:$W$98, "&lt;"&amp;JJ1)</f>
        <v>0</v>
      </c>
      <c r="EI20">
        <f>SUMIFS('Expenditure Breakdown'!$R$30:$R$33, 'Expenditure Breakdown'!$W$30:$W$33, "&gt;="&amp;EI1,'Expenditure Breakdown'!$W$30:$W$33, "&lt;"&amp;JK1)+SUMIFS('Expenditure Breakdown'!$R$48:$R$54, 'Expenditure Breakdown'!$W$48:$W$54, "&gt;="&amp;EI1,'Expenditure Breakdown'!$W$48:$W$54, "&lt;"&amp;JK1)+SUMIFS('Expenditure Breakdown'!$R$86:$R$98, 'Expenditure Breakdown'!$W$86:$W$98, "&gt;="&amp;EI1,'Expenditure Breakdown'!$W$86:$W$98, "&lt;"&amp;JK1)</f>
        <v>0</v>
      </c>
      <c r="EJ20">
        <f>SUMIFS('Expenditure Breakdown'!$R$30:$R$33, 'Expenditure Breakdown'!$W$30:$W$33, "&gt;="&amp;EJ1,'Expenditure Breakdown'!$W$30:$W$33, "&lt;"&amp;JL1)+SUMIFS('Expenditure Breakdown'!$R$48:$R$54, 'Expenditure Breakdown'!$W$48:$W$54, "&gt;="&amp;EJ1,'Expenditure Breakdown'!$W$48:$W$54, "&lt;"&amp;JL1)+SUMIFS('Expenditure Breakdown'!$R$86:$R$98, 'Expenditure Breakdown'!$W$86:$W$98, "&gt;="&amp;EJ1,'Expenditure Breakdown'!$W$86:$W$98, "&lt;"&amp;JL1)</f>
        <v>0</v>
      </c>
      <c r="EK20">
        <f>SUMIFS('Expenditure Breakdown'!$R$30:$R$33, 'Expenditure Breakdown'!$W$30:$W$33, "&gt;="&amp;EK1,'Expenditure Breakdown'!$W$30:$W$33, "&lt;"&amp;JM1)+SUMIFS('Expenditure Breakdown'!$R$48:$R$54, 'Expenditure Breakdown'!$W$48:$W$54, "&gt;="&amp;EK1,'Expenditure Breakdown'!$W$48:$W$54, "&lt;"&amp;JM1)+SUMIFS('Expenditure Breakdown'!$R$86:$R$98, 'Expenditure Breakdown'!$W$86:$W$98, "&gt;="&amp;EK1,'Expenditure Breakdown'!$W$86:$W$98, "&lt;"&amp;JM1)</f>
        <v>0</v>
      </c>
      <c r="EL20">
        <f>SUMIFS('Expenditure Breakdown'!$R$30:$R$33, 'Expenditure Breakdown'!$W$30:$W$33, "&gt;="&amp;EL1,'Expenditure Breakdown'!$W$30:$W$33, "&lt;"&amp;JN1)+SUMIFS('Expenditure Breakdown'!$R$48:$R$54, 'Expenditure Breakdown'!$W$48:$W$54, "&gt;="&amp;EL1,'Expenditure Breakdown'!$W$48:$W$54, "&lt;"&amp;JN1)+SUMIFS('Expenditure Breakdown'!$R$86:$R$98, 'Expenditure Breakdown'!$W$86:$W$98, "&gt;="&amp;EL1,'Expenditure Breakdown'!$W$86:$W$98, "&lt;"&amp;JN1)</f>
        <v>0</v>
      </c>
      <c r="EM20">
        <f>SUMIFS('Expenditure Breakdown'!$R$30:$R$33, 'Expenditure Breakdown'!$W$30:$W$33, "&gt;="&amp;EM1,'Expenditure Breakdown'!$W$30:$W$33, "&lt;"&amp;JO1)+SUMIFS('Expenditure Breakdown'!$R$48:$R$54, 'Expenditure Breakdown'!$W$48:$W$54, "&gt;="&amp;EM1,'Expenditure Breakdown'!$W$48:$W$54, "&lt;"&amp;JO1)+SUMIFS('Expenditure Breakdown'!$R$86:$R$98, 'Expenditure Breakdown'!$W$86:$W$98, "&gt;="&amp;EM1,'Expenditure Breakdown'!$W$86:$W$98, "&lt;"&amp;JO1)</f>
        <v>0</v>
      </c>
      <c r="EN20">
        <f>SUMIFS('Expenditure Breakdown'!$R$30:$R$33, 'Expenditure Breakdown'!$W$30:$W$33, "&gt;="&amp;EN1,'Expenditure Breakdown'!$W$30:$W$33, "&lt;"&amp;JP1)+SUMIFS('Expenditure Breakdown'!$R$48:$R$54, 'Expenditure Breakdown'!$W$48:$W$54, "&gt;="&amp;EN1,'Expenditure Breakdown'!$W$48:$W$54, "&lt;"&amp;JP1)+SUMIFS('Expenditure Breakdown'!$R$86:$R$98, 'Expenditure Breakdown'!$W$86:$W$98, "&gt;="&amp;EN1,'Expenditure Breakdown'!$W$86:$W$98, "&lt;"&amp;JP1)</f>
        <v>0</v>
      </c>
      <c r="EO20">
        <f>SUMIFS('Expenditure Breakdown'!$R$30:$R$33, 'Expenditure Breakdown'!$W$30:$W$33, "&gt;="&amp;EO1,'Expenditure Breakdown'!$W$30:$W$33, "&lt;"&amp;JQ1)+SUMIFS('Expenditure Breakdown'!$R$48:$R$54, 'Expenditure Breakdown'!$W$48:$W$54, "&gt;="&amp;EO1,'Expenditure Breakdown'!$W$48:$W$54, "&lt;"&amp;JQ1)+SUMIFS('Expenditure Breakdown'!$R$86:$R$98, 'Expenditure Breakdown'!$W$86:$W$98, "&gt;="&amp;EO1,'Expenditure Breakdown'!$W$86:$W$98, "&lt;"&amp;JQ1)</f>
        <v>0</v>
      </c>
      <c r="EP20">
        <f>SUMIFS('Expenditure Breakdown'!$R$30:$R$33, 'Expenditure Breakdown'!$W$30:$W$33, "&gt;="&amp;EP1,'Expenditure Breakdown'!$W$30:$W$33, "&lt;"&amp;JR1)+SUMIFS('Expenditure Breakdown'!$R$48:$R$54, 'Expenditure Breakdown'!$W$48:$W$54, "&gt;="&amp;EP1,'Expenditure Breakdown'!$W$48:$W$54, "&lt;"&amp;JR1)+SUMIFS('Expenditure Breakdown'!$R$86:$R$98, 'Expenditure Breakdown'!$W$86:$W$98, "&gt;="&amp;EP1,'Expenditure Breakdown'!$W$86:$W$98, "&lt;"&amp;JR1)</f>
        <v>0</v>
      </c>
      <c r="EQ20">
        <f>SUMIFS('Expenditure Breakdown'!$R$30:$R$33, 'Expenditure Breakdown'!$W$30:$W$33, "&gt;="&amp;EQ1,'Expenditure Breakdown'!$W$30:$W$33, "&lt;"&amp;JS1)+SUMIFS('Expenditure Breakdown'!$R$48:$R$54, 'Expenditure Breakdown'!$W$48:$W$54, "&gt;="&amp;EQ1,'Expenditure Breakdown'!$W$48:$W$54, "&lt;"&amp;JS1)+SUMIFS('Expenditure Breakdown'!$R$86:$R$98, 'Expenditure Breakdown'!$W$86:$W$98, "&gt;="&amp;EQ1,'Expenditure Breakdown'!$W$86:$W$98, "&lt;"&amp;JS1)</f>
        <v>0</v>
      </c>
      <c r="ER20">
        <f>SUMIFS('Expenditure Breakdown'!$R$30:$R$33, 'Expenditure Breakdown'!$W$30:$W$33, "&gt;="&amp;ER1,'Expenditure Breakdown'!$W$30:$W$33, "&lt;"&amp;JT1)+SUMIFS('Expenditure Breakdown'!$R$48:$R$54, 'Expenditure Breakdown'!$W$48:$W$54, "&gt;="&amp;ER1,'Expenditure Breakdown'!$W$48:$W$54, "&lt;"&amp;JT1)+SUMIFS('Expenditure Breakdown'!$R$86:$R$98, 'Expenditure Breakdown'!$W$86:$W$98, "&gt;="&amp;ER1,'Expenditure Breakdown'!$W$86:$W$98, "&lt;"&amp;JT1)</f>
        <v>0</v>
      </c>
      <c r="ES20">
        <f>SUMIFS('Expenditure Breakdown'!$R$30:$R$33, 'Expenditure Breakdown'!$W$30:$W$33, "&gt;="&amp;ES1,'Expenditure Breakdown'!$W$30:$W$33, "&lt;"&amp;JU1)+SUMIFS('Expenditure Breakdown'!$R$48:$R$54, 'Expenditure Breakdown'!$W$48:$W$54, "&gt;="&amp;ES1,'Expenditure Breakdown'!$W$48:$W$54, "&lt;"&amp;JU1)+SUMIFS('Expenditure Breakdown'!$R$86:$R$98, 'Expenditure Breakdown'!$W$86:$W$98, "&gt;="&amp;ES1,'Expenditure Breakdown'!$W$86:$W$98, "&lt;"&amp;JU1)</f>
        <v>0</v>
      </c>
      <c r="ET20">
        <f>SUMIFS('Expenditure Breakdown'!$R$30:$R$33, 'Expenditure Breakdown'!$W$30:$W$33, "&gt;="&amp;ET1,'Expenditure Breakdown'!$W$30:$W$33, "&lt;"&amp;JV1)+SUMIFS('Expenditure Breakdown'!$R$48:$R$54, 'Expenditure Breakdown'!$W$48:$W$54, "&gt;="&amp;ET1,'Expenditure Breakdown'!$W$48:$W$54, "&lt;"&amp;JV1)+SUMIFS('Expenditure Breakdown'!$R$86:$R$98, 'Expenditure Breakdown'!$W$86:$W$98, "&gt;="&amp;ET1,'Expenditure Breakdown'!$W$86:$W$98, "&lt;"&amp;JV1)</f>
        <v>0</v>
      </c>
      <c r="EU20">
        <f>SUMIFS('Expenditure Breakdown'!$R$30:$R$33, 'Expenditure Breakdown'!$W$30:$W$33, "&gt;="&amp;EU1,'Expenditure Breakdown'!$W$30:$W$33, "&lt;"&amp;JW1)+SUMIFS('Expenditure Breakdown'!$R$48:$R$54, 'Expenditure Breakdown'!$W$48:$W$54, "&gt;="&amp;EU1,'Expenditure Breakdown'!$W$48:$W$54, "&lt;"&amp;JW1)+SUMIFS('Expenditure Breakdown'!$R$86:$R$98, 'Expenditure Breakdown'!$W$86:$W$98, "&gt;="&amp;EU1,'Expenditure Breakdown'!$W$86:$W$98, "&lt;"&amp;JW1)</f>
        <v>0</v>
      </c>
      <c r="EV20">
        <f>SUMIFS('Expenditure Breakdown'!$R$30:$R$33, 'Expenditure Breakdown'!$W$30:$W$33, "&gt;="&amp;EV1,'Expenditure Breakdown'!$W$30:$W$33, "&lt;"&amp;JX1)+SUMIFS('Expenditure Breakdown'!$R$48:$R$54, 'Expenditure Breakdown'!$W$48:$W$54, "&gt;="&amp;EV1,'Expenditure Breakdown'!$W$48:$W$54, "&lt;"&amp;JX1)+SUMIFS('Expenditure Breakdown'!$R$86:$R$98, 'Expenditure Breakdown'!$W$86:$W$98, "&gt;="&amp;EV1,'Expenditure Breakdown'!$W$86:$W$98, "&lt;"&amp;JX1)</f>
        <v>0</v>
      </c>
      <c r="EW20">
        <f>SUMIFS('Expenditure Breakdown'!$R$30:$R$33, 'Expenditure Breakdown'!$W$30:$W$33, "&gt;="&amp;EW1,'Expenditure Breakdown'!$W$30:$W$33, "&lt;"&amp;JY1)+SUMIFS('Expenditure Breakdown'!$R$48:$R$54, 'Expenditure Breakdown'!$W$48:$W$54, "&gt;="&amp;EW1,'Expenditure Breakdown'!$W$48:$W$54, "&lt;"&amp;JY1)+SUMIFS('Expenditure Breakdown'!$R$86:$R$98, 'Expenditure Breakdown'!$W$86:$W$98, "&gt;="&amp;EW1,'Expenditure Breakdown'!$W$86:$W$98, "&lt;"&amp;JY1)</f>
        <v>0</v>
      </c>
      <c r="EX20">
        <f>SUMIFS('Expenditure Breakdown'!$R$30:$R$33, 'Expenditure Breakdown'!$W$30:$W$33, "&gt;="&amp;EX1,'Expenditure Breakdown'!$W$30:$W$33, "&lt;"&amp;JZ1)+SUMIFS('Expenditure Breakdown'!$R$48:$R$54, 'Expenditure Breakdown'!$W$48:$W$54, "&gt;="&amp;EX1,'Expenditure Breakdown'!$W$48:$W$54, "&lt;"&amp;JZ1)+SUMIFS('Expenditure Breakdown'!$R$86:$R$98, 'Expenditure Breakdown'!$W$86:$W$98, "&gt;="&amp;EX1,'Expenditure Breakdown'!$W$86:$W$98, "&lt;"&amp;JZ1)</f>
        <v>0</v>
      </c>
      <c r="EY20">
        <f>SUMIFS('Expenditure Breakdown'!$R$30:$R$33, 'Expenditure Breakdown'!$W$30:$W$33, "&gt;="&amp;EY1,'Expenditure Breakdown'!$W$30:$W$33, "&lt;"&amp;KA1)+SUMIFS('Expenditure Breakdown'!$R$48:$R$54, 'Expenditure Breakdown'!$W$48:$W$54, "&gt;="&amp;EY1,'Expenditure Breakdown'!$W$48:$W$54, "&lt;"&amp;KA1)+SUMIFS('Expenditure Breakdown'!$R$86:$R$98, 'Expenditure Breakdown'!$W$86:$W$98, "&gt;="&amp;EY1,'Expenditure Breakdown'!$W$86:$W$98, "&lt;"&amp;KA1)</f>
        <v>0</v>
      </c>
      <c r="EZ20">
        <f>SUMIFS('Expenditure Breakdown'!$R$30:$R$33, 'Expenditure Breakdown'!$W$30:$W$33, "&gt;="&amp;EZ1,'Expenditure Breakdown'!$W$30:$W$33, "&lt;"&amp;KB1)+SUMIFS('Expenditure Breakdown'!$R$48:$R$54, 'Expenditure Breakdown'!$W$48:$W$54, "&gt;="&amp;EZ1,'Expenditure Breakdown'!$W$48:$W$54, "&lt;"&amp;KB1)+SUMIFS('Expenditure Breakdown'!$R$86:$R$98, 'Expenditure Breakdown'!$W$86:$W$98, "&gt;="&amp;EZ1,'Expenditure Breakdown'!$W$86:$W$98, "&lt;"&amp;KB1)</f>
        <v>0</v>
      </c>
      <c r="FA20">
        <f>SUMIFS('Expenditure Breakdown'!$R$30:$R$33, 'Expenditure Breakdown'!$W$30:$W$33, "&gt;="&amp;FA1,'Expenditure Breakdown'!$W$30:$W$33, "&lt;"&amp;KC1)+SUMIFS('Expenditure Breakdown'!$R$48:$R$54, 'Expenditure Breakdown'!$W$48:$W$54, "&gt;="&amp;FA1,'Expenditure Breakdown'!$W$48:$W$54, "&lt;"&amp;KC1)+SUMIFS('Expenditure Breakdown'!$R$86:$R$98, 'Expenditure Breakdown'!$W$86:$W$98, "&gt;="&amp;FA1,'Expenditure Breakdown'!$W$86:$W$98, "&lt;"&amp;KC1)</f>
        <v>0</v>
      </c>
      <c r="FB20">
        <f>SUMIFS('Expenditure Breakdown'!$R$30:$R$33, 'Expenditure Breakdown'!$W$30:$W$33, "&gt;="&amp;FB1,'Expenditure Breakdown'!$W$30:$W$33, "&lt;"&amp;KD1)+SUMIFS('Expenditure Breakdown'!$R$48:$R$54, 'Expenditure Breakdown'!$W$48:$W$54, "&gt;="&amp;FB1,'Expenditure Breakdown'!$W$48:$W$54, "&lt;"&amp;KD1)+SUMIFS('Expenditure Breakdown'!$R$86:$R$98, 'Expenditure Breakdown'!$W$86:$W$98, "&gt;="&amp;FB1,'Expenditure Breakdown'!$W$86:$W$98, "&lt;"&amp;KD1)</f>
        <v>0</v>
      </c>
      <c r="FC20">
        <f>SUMIFS('Expenditure Breakdown'!$R$30:$R$33, 'Expenditure Breakdown'!$W$30:$W$33, "&gt;="&amp;FC1,'Expenditure Breakdown'!$W$30:$W$33, "&lt;"&amp;KE1)+SUMIFS('Expenditure Breakdown'!$R$48:$R$54, 'Expenditure Breakdown'!$W$48:$W$54, "&gt;="&amp;FC1,'Expenditure Breakdown'!$W$48:$W$54, "&lt;"&amp;KE1)+SUMIFS('Expenditure Breakdown'!$R$86:$R$98, 'Expenditure Breakdown'!$W$86:$W$98, "&gt;="&amp;FC1,'Expenditure Breakdown'!$W$86:$W$98, "&lt;"&amp;KE1)</f>
        <v>0</v>
      </c>
      <c r="FD20">
        <f>SUMIFS('Expenditure Breakdown'!$R$30:$R$33, 'Expenditure Breakdown'!$W$30:$W$33, "&gt;="&amp;FD1,'Expenditure Breakdown'!$W$30:$W$33, "&lt;"&amp;KF1)+SUMIFS('Expenditure Breakdown'!$R$48:$R$54, 'Expenditure Breakdown'!$W$48:$W$54, "&gt;="&amp;FD1,'Expenditure Breakdown'!$W$48:$W$54, "&lt;"&amp;KF1)+SUMIFS('Expenditure Breakdown'!$R$86:$R$98, 'Expenditure Breakdown'!$W$86:$W$98, "&gt;="&amp;FD1,'Expenditure Breakdown'!$W$86:$W$98, "&lt;"&amp;KF1)</f>
        <v>0</v>
      </c>
      <c r="FE20">
        <f>SUMIFS('Expenditure Breakdown'!$R$30:$R$33, 'Expenditure Breakdown'!$W$30:$W$33, "&gt;="&amp;FE1,'Expenditure Breakdown'!$W$30:$W$33, "&lt;"&amp;KG1)+SUMIFS('Expenditure Breakdown'!$R$48:$R$54, 'Expenditure Breakdown'!$W$48:$W$54, "&gt;="&amp;FE1,'Expenditure Breakdown'!$W$48:$W$54, "&lt;"&amp;KG1)+SUMIFS('Expenditure Breakdown'!$R$86:$R$98, 'Expenditure Breakdown'!$W$86:$W$98, "&gt;="&amp;FE1,'Expenditure Breakdown'!$W$86:$W$98, "&lt;"&amp;KG1)</f>
        <v>0</v>
      </c>
      <c r="FF20">
        <f>SUMIFS('Expenditure Breakdown'!$R$30:$R$33, 'Expenditure Breakdown'!$W$30:$W$33, "&gt;="&amp;FF1,'Expenditure Breakdown'!$W$30:$W$33, "&lt;"&amp;KH1)+SUMIFS('Expenditure Breakdown'!$R$48:$R$54, 'Expenditure Breakdown'!$W$48:$W$54, "&gt;="&amp;FF1,'Expenditure Breakdown'!$W$48:$W$54, "&lt;"&amp;KH1)+SUMIFS('Expenditure Breakdown'!$R$86:$R$98, 'Expenditure Breakdown'!$W$86:$W$98, "&gt;="&amp;FF1,'Expenditure Breakdown'!$W$86:$W$98, "&lt;"&amp;KH1)</f>
        <v>0</v>
      </c>
      <c r="FG20">
        <f>SUMIFS('Expenditure Breakdown'!$R$30:$R$33, 'Expenditure Breakdown'!$W$30:$W$33, "&gt;="&amp;FG1,'Expenditure Breakdown'!$W$30:$W$33, "&lt;"&amp;KI1)+SUMIFS('Expenditure Breakdown'!$R$48:$R$54, 'Expenditure Breakdown'!$W$48:$W$54, "&gt;="&amp;FG1,'Expenditure Breakdown'!$W$48:$W$54, "&lt;"&amp;KI1)+SUMIFS('Expenditure Breakdown'!$R$86:$R$98, 'Expenditure Breakdown'!$W$86:$W$98, "&gt;="&amp;FG1,'Expenditure Breakdown'!$W$86:$W$98, "&lt;"&amp;KI1)</f>
        <v>0</v>
      </c>
      <c r="FH20">
        <f>SUMIFS('Expenditure Breakdown'!$R$30:$R$33, 'Expenditure Breakdown'!$W$30:$W$33, "&gt;="&amp;FH1,'Expenditure Breakdown'!$W$30:$W$33, "&lt;"&amp;KJ1)+SUMIFS('Expenditure Breakdown'!$R$48:$R$54, 'Expenditure Breakdown'!$W$48:$W$54, "&gt;="&amp;FH1,'Expenditure Breakdown'!$W$48:$W$54, "&lt;"&amp;KJ1)+SUMIFS('Expenditure Breakdown'!$R$86:$R$98, 'Expenditure Breakdown'!$W$86:$W$98, "&gt;="&amp;FH1,'Expenditure Breakdown'!$W$86:$W$98, "&lt;"&amp;KJ1)</f>
        <v>0</v>
      </c>
      <c r="FI20">
        <f>SUMIFS('Expenditure Breakdown'!$R$30:$R$33, 'Expenditure Breakdown'!$W$30:$W$33, "&gt;="&amp;FI1,'Expenditure Breakdown'!$W$30:$W$33, "&lt;"&amp;KK1)+SUMIFS('Expenditure Breakdown'!$R$48:$R$54, 'Expenditure Breakdown'!$W$48:$W$54, "&gt;="&amp;FI1,'Expenditure Breakdown'!$W$48:$W$54, "&lt;"&amp;KK1)+SUMIFS('Expenditure Breakdown'!$R$86:$R$98, 'Expenditure Breakdown'!$W$86:$W$98, "&gt;="&amp;FI1,'Expenditure Breakdown'!$W$86:$W$98, "&lt;"&amp;KK1)</f>
        <v>0</v>
      </c>
      <c r="FJ20">
        <f>SUMIFS('Expenditure Breakdown'!$R$30:$R$33, 'Expenditure Breakdown'!$W$30:$W$33, "&gt;="&amp;FJ1,'Expenditure Breakdown'!$W$30:$W$33, "&lt;"&amp;KL1)+SUMIFS('Expenditure Breakdown'!$R$48:$R$54, 'Expenditure Breakdown'!$W$48:$W$54, "&gt;="&amp;FJ1,'Expenditure Breakdown'!$W$48:$W$54, "&lt;"&amp;KL1)+SUMIFS('Expenditure Breakdown'!$R$86:$R$98, 'Expenditure Breakdown'!$W$86:$W$98, "&gt;="&amp;FJ1,'Expenditure Breakdown'!$W$86:$W$98, "&lt;"&amp;KL1)</f>
        <v>0</v>
      </c>
      <c r="FK20">
        <f>SUMIFS('Expenditure Breakdown'!$R$30:$R$33, 'Expenditure Breakdown'!$W$30:$W$33, "&gt;="&amp;FK1,'Expenditure Breakdown'!$W$30:$W$33, "&lt;"&amp;KM1)+SUMIFS('Expenditure Breakdown'!$R$48:$R$54, 'Expenditure Breakdown'!$W$48:$W$54, "&gt;="&amp;FK1,'Expenditure Breakdown'!$W$48:$W$54, "&lt;"&amp;KM1)+SUMIFS('Expenditure Breakdown'!$R$86:$R$98, 'Expenditure Breakdown'!$W$86:$W$98, "&gt;="&amp;FK1,'Expenditure Breakdown'!$W$86:$W$98, "&lt;"&amp;KM1)</f>
        <v>0</v>
      </c>
      <c r="FL20">
        <f>SUMIFS('Expenditure Breakdown'!$R$30:$R$33, 'Expenditure Breakdown'!$W$30:$W$33, "&gt;="&amp;FL1,'Expenditure Breakdown'!$W$30:$W$33, "&lt;"&amp;KN1)+SUMIFS('Expenditure Breakdown'!$R$48:$R$54, 'Expenditure Breakdown'!$W$48:$W$54, "&gt;="&amp;FL1,'Expenditure Breakdown'!$W$48:$W$54, "&lt;"&amp;KN1)+SUMIFS('Expenditure Breakdown'!$R$86:$R$98, 'Expenditure Breakdown'!$W$86:$W$98, "&gt;="&amp;FL1,'Expenditure Breakdown'!$W$86:$W$98, "&lt;"&amp;KN1)</f>
        <v>0</v>
      </c>
      <c r="FM20">
        <f>SUMIFS('Expenditure Breakdown'!$R$30:$R$33, 'Expenditure Breakdown'!$W$30:$W$33, "&gt;="&amp;FM1,'Expenditure Breakdown'!$W$30:$W$33, "&lt;"&amp;KO1)+SUMIFS('Expenditure Breakdown'!$R$48:$R$54, 'Expenditure Breakdown'!$W$48:$W$54, "&gt;="&amp;FM1,'Expenditure Breakdown'!$W$48:$W$54, "&lt;"&amp;KO1)+SUMIFS('Expenditure Breakdown'!$R$86:$R$98, 'Expenditure Breakdown'!$W$86:$W$98, "&gt;="&amp;FM1,'Expenditure Breakdown'!$W$86:$W$98, "&lt;"&amp;KO1)</f>
        <v>0</v>
      </c>
      <c r="FN20">
        <f>SUMIFS('Expenditure Breakdown'!$R$30:$R$33, 'Expenditure Breakdown'!$W$30:$W$33, "&gt;="&amp;FN1,'Expenditure Breakdown'!$W$30:$W$33, "&lt;"&amp;KP1)+SUMIFS('Expenditure Breakdown'!$R$48:$R$54, 'Expenditure Breakdown'!$W$48:$W$54, "&gt;="&amp;FN1,'Expenditure Breakdown'!$W$48:$W$54, "&lt;"&amp;KP1)+SUMIFS('Expenditure Breakdown'!$R$86:$R$98, 'Expenditure Breakdown'!$W$86:$W$98, "&gt;="&amp;FN1,'Expenditure Breakdown'!$W$86:$W$98, "&lt;"&amp;KP1)</f>
        <v>0</v>
      </c>
      <c r="FO20">
        <f>SUMIFS('Expenditure Breakdown'!$R$30:$R$33, 'Expenditure Breakdown'!$W$30:$W$33, "&gt;="&amp;FO1,'Expenditure Breakdown'!$W$30:$W$33, "&lt;"&amp;KQ1)+SUMIFS('Expenditure Breakdown'!$R$48:$R$54, 'Expenditure Breakdown'!$W$48:$W$54, "&gt;="&amp;FO1,'Expenditure Breakdown'!$W$48:$W$54, "&lt;"&amp;KQ1)+SUMIFS('Expenditure Breakdown'!$R$86:$R$98, 'Expenditure Breakdown'!$W$86:$W$98, "&gt;="&amp;FO1,'Expenditure Breakdown'!$W$86:$W$98, "&lt;"&amp;KQ1)</f>
        <v>0</v>
      </c>
      <c r="FP20">
        <f>SUMIFS('Expenditure Breakdown'!$R$30:$R$33, 'Expenditure Breakdown'!$W$30:$W$33, "&gt;="&amp;FP1,'Expenditure Breakdown'!$W$30:$W$33, "&lt;"&amp;KR1)+SUMIFS('Expenditure Breakdown'!$R$48:$R$54, 'Expenditure Breakdown'!$W$48:$W$54, "&gt;="&amp;FP1,'Expenditure Breakdown'!$W$48:$W$54, "&lt;"&amp;KR1)+SUMIFS('Expenditure Breakdown'!$R$86:$R$98, 'Expenditure Breakdown'!$W$86:$W$98, "&gt;="&amp;FP1,'Expenditure Breakdown'!$W$86:$W$98, "&lt;"&amp;KR1)</f>
        <v>0</v>
      </c>
      <c r="FQ20">
        <f>SUMIFS('Expenditure Breakdown'!$R$30:$R$33, 'Expenditure Breakdown'!$W$30:$W$33, "&gt;="&amp;FQ1,'Expenditure Breakdown'!$W$30:$W$33, "&lt;"&amp;KS1)+SUMIFS('Expenditure Breakdown'!$R$48:$R$54, 'Expenditure Breakdown'!$W$48:$W$54, "&gt;="&amp;FQ1,'Expenditure Breakdown'!$W$48:$W$54, "&lt;"&amp;KS1)+SUMIFS('Expenditure Breakdown'!$R$86:$R$98, 'Expenditure Breakdown'!$W$86:$W$98, "&gt;="&amp;FQ1,'Expenditure Breakdown'!$W$86:$W$98, "&lt;"&amp;KS1)</f>
        <v>0</v>
      </c>
      <c r="FR20">
        <f>SUMIFS('Expenditure Breakdown'!$R$30:$R$33, 'Expenditure Breakdown'!$W$30:$W$33, "&gt;="&amp;FR1,'Expenditure Breakdown'!$W$30:$W$33, "&lt;"&amp;KT1)+SUMIFS('Expenditure Breakdown'!$R$48:$R$54, 'Expenditure Breakdown'!$W$48:$W$54, "&gt;="&amp;FR1,'Expenditure Breakdown'!$W$48:$W$54, "&lt;"&amp;KT1)+SUMIFS('Expenditure Breakdown'!$R$86:$R$98, 'Expenditure Breakdown'!$W$86:$W$98, "&gt;="&amp;FR1,'Expenditure Breakdown'!$W$86:$W$98, "&lt;"&amp;KT1)</f>
        <v>0</v>
      </c>
      <c r="FS20">
        <f>SUMIFS('Expenditure Breakdown'!$R$30:$R$33, 'Expenditure Breakdown'!$W$30:$W$33, "&gt;="&amp;FS1,'Expenditure Breakdown'!$W$30:$W$33, "&lt;"&amp;KU1)+SUMIFS('Expenditure Breakdown'!$R$48:$R$54, 'Expenditure Breakdown'!$W$48:$W$54, "&gt;="&amp;FS1,'Expenditure Breakdown'!$W$48:$W$54, "&lt;"&amp;KU1)+SUMIFS('Expenditure Breakdown'!$R$86:$R$98, 'Expenditure Breakdown'!$W$86:$W$98, "&gt;="&amp;FS1,'Expenditure Breakdown'!$W$86:$W$98, "&lt;"&amp;KU1)</f>
        <v>0</v>
      </c>
      <c r="FT20">
        <f>SUMIFS('Expenditure Breakdown'!$R$30:$R$33, 'Expenditure Breakdown'!$W$30:$W$33, "&gt;="&amp;FT1,'Expenditure Breakdown'!$W$30:$W$33, "&lt;"&amp;KV1)+SUMIFS('Expenditure Breakdown'!$R$48:$R$54, 'Expenditure Breakdown'!$W$48:$W$54, "&gt;="&amp;FT1,'Expenditure Breakdown'!$W$48:$W$54, "&lt;"&amp;KV1)+SUMIFS('Expenditure Breakdown'!$R$86:$R$98, 'Expenditure Breakdown'!$W$86:$W$98, "&gt;="&amp;FT1,'Expenditure Breakdown'!$W$86:$W$98, "&lt;"&amp;KV1)</f>
        <v>0</v>
      </c>
      <c r="FU20">
        <f>SUMIFS('Expenditure Breakdown'!$R$30:$R$33, 'Expenditure Breakdown'!$W$30:$W$33, "&gt;="&amp;FU1,'Expenditure Breakdown'!$W$30:$W$33, "&lt;"&amp;KW1)+SUMIFS('Expenditure Breakdown'!$R$48:$R$54, 'Expenditure Breakdown'!$W$48:$W$54, "&gt;="&amp;FU1,'Expenditure Breakdown'!$W$48:$W$54, "&lt;"&amp;KW1)+SUMIFS('Expenditure Breakdown'!$R$86:$R$98, 'Expenditure Breakdown'!$W$86:$W$98, "&gt;="&amp;FU1,'Expenditure Breakdown'!$W$86:$W$98, "&lt;"&amp;KW1)</f>
        <v>0</v>
      </c>
      <c r="FV20">
        <f>SUMIFS('Expenditure Breakdown'!$R$30:$R$33, 'Expenditure Breakdown'!$W$30:$W$33, "&gt;="&amp;FV1,'Expenditure Breakdown'!$W$30:$W$33, "&lt;"&amp;KX1)+SUMIFS('Expenditure Breakdown'!$R$48:$R$54, 'Expenditure Breakdown'!$W$48:$W$54, "&gt;="&amp;FV1,'Expenditure Breakdown'!$W$48:$W$54, "&lt;"&amp;KX1)+SUMIFS('Expenditure Breakdown'!$R$86:$R$98, 'Expenditure Breakdown'!$W$86:$W$98, "&gt;="&amp;FV1,'Expenditure Breakdown'!$W$86:$W$98, "&lt;"&amp;KX1)</f>
        <v>0</v>
      </c>
      <c r="FW20">
        <f>SUMIFS('Expenditure Breakdown'!$R$30:$R$33, 'Expenditure Breakdown'!$W$30:$W$33, "&gt;="&amp;FW1,'Expenditure Breakdown'!$W$30:$W$33, "&lt;"&amp;KY1)+SUMIFS('Expenditure Breakdown'!$R$48:$R$54, 'Expenditure Breakdown'!$W$48:$W$54, "&gt;="&amp;FW1,'Expenditure Breakdown'!$W$48:$W$54, "&lt;"&amp;KY1)+SUMIFS('Expenditure Breakdown'!$R$86:$R$98, 'Expenditure Breakdown'!$W$86:$W$98, "&gt;="&amp;FW1,'Expenditure Breakdown'!$W$86:$W$98, "&lt;"&amp;KY1)</f>
        <v>0</v>
      </c>
      <c r="FX20">
        <f>SUMIFS('Expenditure Breakdown'!$R$30:$R$33, 'Expenditure Breakdown'!$W$30:$W$33, "&gt;="&amp;FX1,'Expenditure Breakdown'!$W$30:$W$33, "&lt;"&amp;KZ1)+SUMIFS('Expenditure Breakdown'!$R$48:$R$54, 'Expenditure Breakdown'!$W$48:$W$54, "&gt;="&amp;FX1,'Expenditure Breakdown'!$W$48:$W$54, "&lt;"&amp;KZ1)+SUMIFS('Expenditure Breakdown'!$R$86:$R$98, 'Expenditure Breakdown'!$W$86:$W$98, "&gt;="&amp;FX1,'Expenditure Breakdown'!$W$86:$W$98, "&lt;"&amp;KZ1)</f>
        <v>0</v>
      </c>
      <c r="FY20">
        <f>SUMIFS('Expenditure Breakdown'!$R$30:$R$33, 'Expenditure Breakdown'!$W$30:$W$33, "&gt;="&amp;FY1,'Expenditure Breakdown'!$W$30:$W$33, "&lt;"&amp;LA1)+SUMIFS('Expenditure Breakdown'!$R$48:$R$54, 'Expenditure Breakdown'!$W$48:$W$54, "&gt;="&amp;FY1,'Expenditure Breakdown'!$W$48:$W$54, "&lt;"&amp;LA1)+SUMIFS('Expenditure Breakdown'!$R$86:$R$98, 'Expenditure Breakdown'!$W$86:$W$98, "&gt;="&amp;FY1,'Expenditure Breakdown'!$W$86:$W$98, "&lt;"&amp;LA1)</f>
        <v>0</v>
      </c>
      <c r="FZ20">
        <f>SUMIFS('Expenditure Breakdown'!$R$30:$R$33, 'Expenditure Breakdown'!$W$30:$W$33, "&gt;="&amp;FZ1,'Expenditure Breakdown'!$W$30:$W$33, "&lt;"&amp;LB1)+SUMIFS('Expenditure Breakdown'!$R$48:$R$54, 'Expenditure Breakdown'!$W$48:$W$54, "&gt;="&amp;FZ1,'Expenditure Breakdown'!$W$48:$W$54, "&lt;"&amp;LB1)+SUMIFS('Expenditure Breakdown'!$R$86:$R$98, 'Expenditure Breakdown'!$W$86:$W$98, "&gt;="&amp;FZ1,'Expenditure Breakdown'!$W$86:$W$98, "&lt;"&amp;LB1)</f>
        <v>0</v>
      </c>
      <c r="GA20">
        <f>SUMIFS('Expenditure Breakdown'!$R$30:$R$33, 'Expenditure Breakdown'!$W$30:$W$33, "&gt;="&amp;GA1,'Expenditure Breakdown'!$W$30:$W$33, "&lt;"&amp;LC1)+SUMIFS('Expenditure Breakdown'!$R$48:$R$54, 'Expenditure Breakdown'!$W$48:$W$54, "&gt;="&amp;GA1,'Expenditure Breakdown'!$W$48:$W$54, "&lt;"&amp;LC1)+SUMIFS('Expenditure Breakdown'!$R$86:$R$98, 'Expenditure Breakdown'!$W$86:$W$98, "&gt;="&amp;GA1,'Expenditure Breakdown'!$W$86:$W$98, "&lt;"&amp;LC1)</f>
        <v>0</v>
      </c>
      <c r="GB20">
        <f>SUMIFS('Expenditure Breakdown'!$R$30:$R$33, 'Expenditure Breakdown'!$W$30:$W$33, "&gt;="&amp;GB1,'Expenditure Breakdown'!$W$30:$W$33, "&lt;"&amp;LD1)+SUMIFS('Expenditure Breakdown'!$R$48:$R$54, 'Expenditure Breakdown'!$W$48:$W$54, "&gt;="&amp;GB1,'Expenditure Breakdown'!$W$48:$W$54, "&lt;"&amp;LD1)+SUMIFS('Expenditure Breakdown'!$R$86:$R$98, 'Expenditure Breakdown'!$W$86:$W$98, "&gt;="&amp;GB1,'Expenditure Breakdown'!$W$86:$W$98, "&lt;"&amp;LD1)</f>
        <v>0</v>
      </c>
      <c r="GC20">
        <f>SUMIFS('Expenditure Breakdown'!$R$30:$R$33, 'Expenditure Breakdown'!$W$30:$W$33, "&gt;="&amp;GC1,'Expenditure Breakdown'!$W$30:$W$33, "&lt;"&amp;LE1)+SUMIFS('Expenditure Breakdown'!$R$48:$R$54, 'Expenditure Breakdown'!$W$48:$W$54, "&gt;="&amp;GC1,'Expenditure Breakdown'!$W$48:$W$54, "&lt;"&amp;LE1)+SUMIFS('Expenditure Breakdown'!$R$86:$R$98, 'Expenditure Breakdown'!$W$86:$W$98, "&gt;="&amp;GC1,'Expenditure Breakdown'!$W$86:$W$98, "&lt;"&amp;LE1)</f>
        <v>0</v>
      </c>
      <c r="GD20">
        <f>SUMIFS('Expenditure Breakdown'!$R$30:$R$33, 'Expenditure Breakdown'!$W$30:$W$33, "&gt;="&amp;GD1,'Expenditure Breakdown'!$W$30:$W$33, "&lt;"&amp;LF1)+SUMIFS('Expenditure Breakdown'!$R$48:$R$54, 'Expenditure Breakdown'!$W$48:$W$54, "&gt;="&amp;GD1,'Expenditure Breakdown'!$W$48:$W$54, "&lt;"&amp;LF1)+SUMIFS('Expenditure Breakdown'!$R$86:$R$98, 'Expenditure Breakdown'!$W$86:$W$98, "&gt;="&amp;GD1,'Expenditure Breakdown'!$W$86:$W$98, "&lt;"&amp;LF1)</f>
        <v>0</v>
      </c>
      <c r="GE20">
        <f>SUMIFS('Expenditure Breakdown'!$R$30:$R$33, 'Expenditure Breakdown'!$W$30:$W$33, "&gt;="&amp;GE1,'Expenditure Breakdown'!$W$30:$W$33, "&lt;"&amp;LG1)+SUMIFS('Expenditure Breakdown'!$R$48:$R$54, 'Expenditure Breakdown'!$W$48:$W$54, "&gt;="&amp;GE1,'Expenditure Breakdown'!$W$48:$W$54, "&lt;"&amp;LG1)+SUMIFS('Expenditure Breakdown'!$R$86:$R$98, 'Expenditure Breakdown'!$W$86:$W$98, "&gt;="&amp;GE1,'Expenditure Breakdown'!$W$86:$W$98, "&lt;"&amp;LG1)</f>
        <v>0</v>
      </c>
      <c r="GF20">
        <f>SUMIFS('Expenditure Breakdown'!$R$30:$R$33, 'Expenditure Breakdown'!$W$30:$W$33, "&gt;="&amp;GF1,'Expenditure Breakdown'!$W$30:$W$33, "&lt;"&amp;LH1)+SUMIFS('Expenditure Breakdown'!$R$48:$R$54, 'Expenditure Breakdown'!$W$48:$W$54, "&gt;="&amp;GF1,'Expenditure Breakdown'!$W$48:$W$54, "&lt;"&amp;LH1)+SUMIFS('Expenditure Breakdown'!$R$86:$R$98, 'Expenditure Breakdown'!$W$86:$W$98, "&gt;="&amp;GF1,'Expenditure Breakdown'!$W$86:$W$98, "&lt;"&amp;LH1)</f>
        <v>0</v>
      </c>
    </row>
    <row r="21" spans="1:188">
      <c r="B21" t="s">
        <v>471</v>
      </c>
      <c r="E21" s="245"/>
      <c r="F21">
        <f>F20</f>
        <v>0</v>
      </c>
      <c r="G21">
        <f>G20+F21</f>
        <v>0</v>
      </c>
      <c r="H21">
        <f t="shared" ref="H21:AT21" si="882">H20+G21</f>
        <v>0</v>
      </c>
      <c r="I21">
        <f t="shared" si="882"/>
        <v>0</v>
      </c>
      <c r="J21">
        <f t="shared" si="882"/>
        <v>0</v>
      </c>
      <c r="K21">
        <f t="shared" si="882"/>
        <v>0</v>
      </c>
      <c r="L21">
        <f t="shared" si="882"/>
        <v>0</v>
      </c>
      <c r="M21">
        <f t="shared" si="882"/>
        <v>0</v>
      </c>
      <c r="N21">
        <f t="shared" si="882"/>
        <v>0</v>
      </c>
      <c r="O21">
        <f t="shared" si="882"/>
        <v>0</v>
      </c>
      <c r="P21">
        <f t="shared" si="882"/>
        <v>0</v>
      </c>
      <c r="Q21">
        <f t="shared" si="882"/>
        <v>0</v>
      </c>
      <c r="R21">
        <f t="shared" si="882"/>
        <v>0</v>
      </c>
      <c r="S21">
        <f t="shared" si="882"/>
        <v>0</v>
      </c>
      <c r="T21">
        <f t="shared" si="882"/>
        <v>0</v>
      </c>
      <c r="U21">
        <f t="shared" si="882"/>
        <v>0</v>
      </c>
      <c r="V21">
        <f t="shared" si="882"/>
        <v>0</v>
      </c>
      <c r="W21">
        <f t="shared" si="882"/>
        <v>0</v>
      </c>
      <c r="X21">
        <f t="shared" si="882"/>
        <v>0</v>
      </c>
      <c r="Y21">
        <f t="shared" si="882"/>
        <v>0</v>
      </c>
      <c r="Z21">
        <f t="shared" si="882"/>
        <v>265635.94500000001</v>
      </c>
      <c r="AA21">
        <f t="shared" si="882"/>
        <v>265635.94500000001</v>
      </c>
      <c r="AB21">
        <f t="shared" si="882"/>
        <v>265635.94500000001</v>
      </c>
      <c r="AC21">
        <f t="shared" si="882"/>
        <v>731867.79499999993</v>
      </c>
      <c r="AD21">
        <f t="shared" si="882"/>
        <v>731867.79499999993</v>
      </c>
      <c r="AE21">
        <f t="shared" si="882"/>
        <v>731867.79499999993</v>
      </c>
      <c r="AF21">
        <f t="shared" si="882"/>
        <v>785331.45499999996</v>
      </c>
      <c r="AG21">
        <f t="shared" si="882"/>
        <v>785331.45499999996</v>
      </c>
      <c r="AH21">
        <f t="shared" si="882"/>
        <v>785331.45499999996</v>
      </c>
      <c r="AI21">
        <f t="shared" si="882"/>
        <v>785331.45499999996</v>
      </c>
      <c r="AJ21">
        <f t="shared" si="882"/>
        <v>785331.45499999996</v>
      </c>
      <c r="AK21">
        <f t="shared" si="882"/>
        <v>785331.45499999996</v>
      </c>
      <c r="AL21">
        <f t="shared" si="882"/>
        <v>785331.45499999996</v>
      </c>
      <c r="AM21">
        <f t="shared" si="882"/>
        <v>1296712.67</v>
      </c>
      <c r="AN21">
        <f t="shared" si="882"/>
        <v>1296712.67</v>
      </c>
      <c r="AO21">
        <f t="shared" si="882"/>
        <v>1344212.67</v>
      </c>
      <c r="AP21">
        <f t="shared" si="882"/>
        <v>1344212.67</v>
      </c>
      <c r="AQ21">
        <f t="shared" si="882"/>
        <v>1344212.67</v>
      </c>
      <c r="AR21">
        <f t="shared" si="882"/>
        <v>1452578.585</v>
      </c>
      <c r="AS21">
        <f t="shared" si="882"/>
        <v>1452578.585</v>
      </c>
      <c r="AT21">
        <f t="shared" si="882"/>
        <v>1452578.585</v>
      </c>
      <c r="AU21">
        <f t="shared" ref="AU21" si="883">AU20+AT21</f>
        <v>1452578.585</v>
      </c>
      <c r="AV21">
        <f t="shared" ref="AV21" si="884">AV20+AU21</f>
        <v>1452578.585</v>
      </c>
      <c r="AW21">
        <f t="shared" ref="AW21" si="885">AW20+AV21</f>
        <v>1452578.585</v>
      </c>
      <c r="AX21">
        <f t="shared" ref="AX21" si="886">AX20+AW21</f>
        <v>1468716.885</v>
      </c>
      <c r="AY21">
        <f t="shared" ref="AY21" si="887">AY20+AX21</f>
        <v>1468716.885</v>
      </c>
      <c r="AZ21">
        <f t="shared" ref="AZ21" si="888">AZ20+AY21</f>
        <v>1468716.885</v>
      </c>
      <c r="BA21">
        <f t="shared" ref="BA21" si="889">BA20+AZ21</f>
        <v>1468716.885</v>
      </c>
      <c r="BB21">
        <f t="shared" ref="BB21" si="890">BB20+BA21</f>
        <v>1468716.885</v>
      </c>
      <c r="BC21">
        <f t="shared" ref="BC21" si="891">BC20+BB21</f>
        <v>1468716.885</v>
      </c>
      <c r="BD21">
        <f t="shared" ref="BD21" si="892">BD20+BC21</f>
        <v>1484855.1850000001</v>
      </c>
      <c r="BE21">
        <f t="shared" ref="BE21" si="893">BE20+BD21</f>
        <v>1484855.1850000001</v>
      </c>
      <c r="BF21">
        <f t="shared" ref="BF21:CK21" si="894">BF20+BE21</f>
        <v>1484855.1850000001</v>
      </c>
      <c r="BG21">
        <f t="shared" si="894"/>
        <v>1484855.1850000001</v>
      </c>
      <c r="BH21">
        <f t="shared" si="894"/>
        <v>1484855.1850000001</v>
      </c>
      <c r="BI21">
        <f t="shared" si="894"/>
        <v>1484855.1850000001</v>
      </c>
      <c r="BJ21">
        <f t="shared" si="894"/>
        <v>1484855.1850000001</v>
      </c>
      <c r="BK21">
        <f t="shared" si="894"/>
        <v>1484855.1850000001</v>
      </c>
      <c r="BL21">
        <f t="shared" si="894"/>
        <v>1484855.1850000001</v>
      </c>
      <c r="BM21">
        <f t="shared" si="894"/>
        <v>1484855.1850000001</v>
      </c>
      <c r="BN21">
        <f t="shared" si="894"/>
        <v>1484855.1850000001</v>
      </c>
      <c r="BO21">
        <f t="shared" si="894"/>
        <v>1484855.1850000001</v>
      </c>
      <c r="BP21">
        <f t="shared" si="894"/>
        <v>1484855.1850000001</v>
      </c>
      <c r="BQ21">
        <f t="shared" si="894"/>
        <v>1484855.1850000001</v>
      </c>
      <c r="BR21">
        <f t="shared" si="894"/>
        <v>1484855.1850000001</v>
      </c>
      <c r="BS21">
        <f t="shared" si="894"/>
        <v>1484855.1850000001</v>
      </c>
      <c r="BT21">
        <f t="shared" si="894"/>
        <v>1484855.1850000001</v>
      </c>
      <c r="BU21">
        <f t="shared" si="894"/>
        <v>1484855.1850000001</v>
      </c>
      <c r="BV21">
        <f t="shared" si="894"/>
        <v>1484855.1850000001</v>
      </c>
      <c r="BW21">
        <f t="shared" si="894"/>
        <v>1484855.1850000001</v>
      </c>
      <c r="BX21">
        <f t="shared" si="894"/>
        <v>1484855.1850000001</v>
      </c>
      <c r="BY21">
        <f t="shared" si="894"/>
        <v>1484855.1850000001</v>
      </c>
      <c r="BZ21">
        <f t="shared" si="894"/>
        <v>1484855.1850000001</v>
      </c>
      <c r="CA21">
        <f t="shared" si="894"/>
        <v>1484855.1850000001</v>
      </c>
      <c r="CB21">
        <f t="shared" si="894"/>
        <v>1484855.1850000001</v>
      </c>
      <c r="CC21">
        <f t="shared" si="894"/>
        <v>1484855.1850000001</v>
      </c>
      <c r="CD21">
        <f t="shared" si="894"/>
        <v>1484855.1850000001</v>
      </c>
      <c r="CE21">
        <f t="shared" si="894"/>
        <v>1484855.1850000001</v>
      </c>
      <c r="CF21">
        <f t="shared" si="894"/>
        <v>1484855.1850000001</v>
      </c>
      <c r="CG21">
        <f t="shared" si="894"/>
        <v>1484855.1850000001</v>
      </c>
      <c r="CH21">
        <f t="shared" si="894"/>
        <v>1484855.1850000001</v>
      </c>
      <c r="CI21">
        <f t="shared" si="894"/>
        <v>1484855.1850000001</v>
      </c>
      <c r="CJ21">
        <f t="shared" si="894"/>
        <v>1484855.1850000001</v>
      </c>
      <c r="CK21">
        <f t="shared" si="894"/>
        <v>1484855.1850000001</v>
      </c>
      <c r="CL21">
        <f t="shared" ref="CL21" si="895">CL20+CK21</f>
        <v>1484855.1850000001</v>
      </c>
      <c r="CM21">
        <f t="shared" ref="CM21" si="896">CM20+CL21</f>
        <v>1484855.1850000001</v>
      </c>
      <c r="CN21">
        <f t="shared" ref="CN21" si="897">CN20+CM21</f>
        <v>1484855.1850000001</v>
      </c>
      <c r="CO21">
        <f t="shared" ref="CO21" si="898">CO20+CN21</f>
        <v>1484855.1850000001</v>
      </c>
      <c r="CP21">
        <f t="shared" ref="CP21" si="899">CP20+CO21</f>
        <v>1484855.1850000001</v>
      </c>
      <c r="CQ21">
        <f t="shared" ref="CQ21" si="900">CQ20+CP21</f>
        <v>1484855.1850000001</v>
      </c>
      <c r="CR21">
        <f t="shared" ref="CR21" si="901">CR20+CQ21</f>
        <v>1484855.1850000001</v>
      </c>
      <c r="CS21">
        <f t="shared" ref="CS21" si="902">CS20+CR21</f>
        <v>1484855.1850000001</v>
      </c>
      <c r="CT21">
        <f t="shared" ref="CT21" si="903">CT20+CS21</f>
        <v>1484855.1850000001</v>
      </c>
      <c r="CU21">
        <f t="shared" ref="CU21" si="904">CU20+CT21</f>
        <v>1484855.1850000001</v>
      </c>
      <c r="CV21">
        <f t="shared" ref="CV21" si="905">CV20+CU21</f>
        <v>1484855.1850000001</v>
      </c>
      <c r="CW21">
        <f t="shared" ref="CW21" si="906">CW20+CV21</f>
        <v>1484855.1850000001</v>
      </c>
      <c r="CX21">
        <f t="shared" ref="CX21" si="907">CX20+CW21</f>
        <v>1484855.1850000001</v>
      </c>
      <c r="CY21">
        <f t="shared" ref="CY21" si="908">CY20+CX21</f>
        <v>1484855.1850000001</v>
      </c>
      <c r="CZ21">
        <f t="shared" ref="CZ21" si="909">CZ20+CY21</f>
        <v>1484855.1850000001</v>
      </c>
      <c r="DA21">
        <f t="shared" ref="DA21" si="910">DA20+CZ21</f>
        <v>1484855.1850000001</v>
      </c>
      <c r="DB21">
        <f t="shared" ref="DB21" si="911">DB20+DA21</f>
        <v>1484855.1850000001</v>
      </c>
      <c r="DC21">
        <f t="shared" ref="DC21" si="912">DC20+DB21</f>
        <v>1484855.1850000001</v>
      </c>
      <c r="DD21">
        <f t="shared" ref="DD21" si="913">DD20+DC21</f>
        <v>1484855.1850000001</v>
      </c>
      <c r="DE21">
        <f t="shared" ref="DE21" si="914">DE20+DD21</f>
        <v>1484855.1850000001</v>
      </c>
      <c r="DF21">
        <f t="shared" ref="DF21" si="915">DF20+DE21</f>
        <v>1484855.1850000001</v>
      </c>
      <c r="DG21">
        <f t="shared" ref="DG21" si="916">DG20+DF21</f>
        <v>1484855.1850000001</v>
      </c>
      <c r="DH21">
        <f t="shared" ref="DH21" si="917">DH20+DG21</f>
        <v>1484855.1850000001</v>
      </c>
      <c r="DI21">
        <f t="shared" ref="DI21" si="918">DI20+DH21</f>
        <v>1484855.1850000001</v>
      </c>
      <c r="DJ21">
        <f t="shared" ref="DJ21" si="919">DJ20+DI21</f>
        <v>1484855.1850000001</v>
      </c>
      <c r="DK21">
        <f t="shared" ref="DK21" si="920">DK20+DJ21</f>
        <v>1484855.1850000001</v>
      </c>
      <c r="DL21">
        <f t="shared" ref="DL21" si="921">DL20+DK21</f>
        <v>1484855.1850000001</v>
      </c>
      <c r="DM21">
        <f t="shared" ref="DM21" si="922">DM20+DL21</f>
        <v>1484855.1850000001</v>
      </c>
      <c r="DN21">
        <f t="shared" ref="DN21" si="923">DN20+DM21</f>
        <v>1484855.1850000001</v>
      </c>
      <c r="DO21">
        <f t="shared" ref="DO21" si="924">DO20+DN21</f>
        <v>1484855.1850000001</v>
      </c>
      <c r="DP21">
        <f t="shared" ref="DP21" si="925">DP20+DO21</f>
        <v>1484855.1850000001</v>
      </c>
      <c r="DQ21">
        <f t="shared" ref="DQ21" si="926">DQ20+DP21</f>
        <v>1484855.1850000001</v>
      </c>
      <c r="DR21">
        <f t="shared" ref="DR21" si="927">DR20+DQ21</f>
        <v>1484855.1850000001</v>
      </c>
      <c r="DS21">
        <f t="shared" ref="DS21" si="928">DS20+DR21</f>
        <v>1484855.1850000001</v>
      </c>
      <c r="DT21">
        <f t="shared" ref="DT21" si="929">DT20+DS21</f>
        <v>1484855.1850000001</v>
      </c>
      <c r="DU21">
        <f t="shared" ref="DU21" si="930">DU20+DT21</f>
        <v>1484855.1850000001</v>
      </c>
      <c r="DV21">
        <f t="shared" ref="DV21" si="931">DV20+DU21</f>
        <v>1484855.1850000001</v>
      </c>
      <c r="DW21">
        <f t="shared" ref="DW21" si="932">DW20+DV21</f>
        <v>1484855.1850000001</v>
      </c>
      <c r="DX21">
        <f t="shared" ref="DX21" si="933">DX20+DW21</f>
        <v>1484855.1850000001</v>
      </c>
      <c r="DY21">
        <f t="shared" ref="DY21" si="934">DY20+DX21</f>
        <v>1484855.1850000001</v>
      </c>
      <c r="DZ21">
        <f t="shared" ref="DZ21" si="935">DZ20+DY21</f>
        <v>1484855.1850000001</v>
      </c>
      <c r="EA21">
        <f t="shared" ref="EA21" si="936">EA20+DZ21</f>
        <v>1484855.1850000001</v>
      </c>
      <c r="EB21">
        <f t="shared" ref="EB21" si="937">EB20+EA21</f>
        <v>1484855.1850000001</v>
      </c>
      <c r="EC21">
        <f t="shared" ref="EC21" si="938">EC20+EB21</f>
        <v>1484855.1850000001</v>
      </c>
      <c r="ED21">
        <f t="shared" ref="ED21" si="939">ED20+EC21</f>
        <v>1484855.1850000001</v>
      </c>
      <c r="EE21">
        <f t="shared" ref="EE21" si="940">EE20+ED21</f>
        <v>1484855.1850000001</v>
      </c>
      <c r="EF21">
        <f t="shared" ref="EF21" si="941">EF20+EE21</f>
        <v>1484855.1850000001</v>
      </c>
      <c r="EG21">
        <f t="shared" ref="EG21" si="942">EG20+EF21</f>
        <v>1484855.1850000001</v>
      </c>
      <c r="EH21">
        <f t="shared" ref="EH21" si="943">EH20+EG21</f>
        <v>1484855.1850000001</v>
      </c>
      <c r="EI21">
        <f t="shared" ref="EI21" si="944">EI20+EH21</f>
        <v>1484855.1850000001</v>
      </c>
      <c r="EJ21">
        <f t="shared" ref="EJ21" si="945">EJ20+EI21</f>
        <v>1484855.1850000001</v>
      </c>
      <c r="EK21">
        <f t="shared" ref="EK21" si="946">EK20+EJ21</f>
        <v>1484855.1850000001</v>
      </c>
      <c r="EL21">
        <f t="shared" ref="EL21" si="947">EL20+EK21</f>
        <v>1484855.1850000001</v>
      </c>
      <c r="EM21">
        <f t="shared" ref="EM21" si="948">EM20+EL21</f>
        <v>1484855.1850000001</v>
      </c>
      <c r="EN21">
        <f t="shared" ref="EN21" si="949">EN20+EM21</f>
        <v>1484855.1850000001</v>
      </c>
      <c r="EO21">
        <f t="shared" ref="EO21" si="950">EO20+EN21</f>
        <v>1484855.1850000001</v>
      </c>
      <c r="EP21">
        <f t="shared" ref="EP21" si="951">EP20+EO21</f>
        <v>1484855.1850000001</v>
      </c>
      <c r="EQ21">
        <f t="shared" ref="EQ21" si="952">EQ20+EP21</f>
        <v>1484855.1850000001</v>
      </c>
      <c r="ER21">
        <f t="shared" ref="ER21" si="953">ER20+EQ21</f>
        <v>1484855.1850000001</v>
      </c>
      <c r="ES21">
        <f t="shared" ref="ES21" si="954">ES20+ER21</f>
        <v>1484855.1850000001</v>
      </c>
      <c r="ET21">
        <f t="shared" ref="ET21" si="955">ET20+ES21</f>
        <v>1484855.1850000001</v>
      </c>
      <c r="EU21">
        <f t="shared" ref="EU21" si="956">EU20+ET21</f>
        <v>1484855.1850000001</v>
      </c>
      <c r="EV21">
        <f t="shared" ref="EV21" si="957">EV20+EU21</f>
        <v>1484855.1850000001</v>
      </c>
      <c r="EW21">
        <f t="shared" ref="EW21" si="958">EW20+EV21</f>
        <v>1484855.1850000001</v>
      </c>
      <c r="EX21">
        <f t="shared" ref="EX21" si="959">EX20+EW21</f>
        <v>1484855.1850000001</v>
      </c>
      <c r="EY21">
        <f t="shared" ref="EY21" si="960">EY20+EX21</f>
        <v>1484855.1850000001</v>
      </c>
      <c r="EZ21">
        <f t="shared" ref="EZ21" si="961">EZ20+EY21</f>
        <v>1484855.1850000001</v>
      </c>
      <c r="FA21">
        <f t="shared" ref="FA21" si="962">FA20+EZ21</f>
        <v>1484855.1850000001</v>
      </c>
      <c r="FB21">
        <f t="shared" ref="FB21" si="963">FB20+FA21</f>
        <v>1484855.1850000001</v>
      </c>
      <c r="FC21">
        <f t="shared" ref="FC21" si="964">FC20+FB21</f>
        <v>1484855.1850000001</v>
      </c>
      <c r="FD21">
        <f t="shared" ref="FD21" si="965">FD20+FC21</f>
        <v>1484855.1850000001</v>
      </c>
      <c r="FE21">
        <f t="shared" ref="FE21" si="966">FE20+FD21</f>
        <v>1484855.1850000001</v>
      </c>
      <c r="FF21">
        <f t="shared" ref="FF21" si="967">FF20+FE21</f>
        <v>1484855.1850000001</v>
      </c>
      <c r="FG21">
        <f t="shared" ref="FG21" si="968">FG20+FF21</f>
        <v>1484855.1850000001</v>
      </c>
      <c r="FH21">
        <f t="shared" ref="FH21" si="969">FH20+FG21</f>
        <v>1484855.1850000001</v>
      </c>
      <c r="FI21">
        <f t="shared" ref="FI21" si="970">FI20+FH21</f>
        <v>1484855.1850000001</v>
      </c>
      <c r="FJ21">
        <f t="shared" ref="FJ21" si="971">FJ20+FI21</f>
        <v>1484855.1850000001</v>
      </c>
      <c r="FK21">
        <f t="shared" ref="FK21" si="972">FK20+FJ21</f>
        <v>1484855.1850000001</v>
      </c>
      <c r="FL21">
        <f t="shared" ref="FL21" si="973">FL20+FK21</f>
        <v>1484855.1850000001</v>
      </c>
      <c r="FM21">
        <f t="shared" ref="FM21" si="974">FM20+FL21</f>
        <v>1484855.1850000001</v>
      </c>
      <c r="FN21">
        <f t="shared" ref="FN21" si="975">FN20+FM21</f>
        <v>1484855.1850000001</v>
      </c>
      <c r="FO21">
        <f t="shared" ref="FO21" si="976">FO20+FN21</f>
        <v>1484855.1850000001</v>
      </c>
      <c r="FP21">
        <f t="shared" ref="FP21" si="977">FP20+FO21</f>
        <v>1484855.1850000001</v>
      </c>
      <c r="FQ21">
        <f t="shared" ref="FQ21" si="978">FQ20+FP21</f>
        <v>1484855.1850000001</v>
      </c>
      <c r="FR21">
        <f t="shared" ref="FR21" si="979">FR20+FQ21</f>
        <v>1484855.1850000001</v>
      </c>
      <c r="FS21">
        <f t="shared" ref="FS21" si="980">FS20+FR21</f>
        <v>1484855.1850000001</v>
      </c>
      <c r="FT21">
        <f t="shared" ref="FT21" si="981">FT20+FS21</f>
        <v>1484855.1850000001</v>
      </c>
      <c r="FU21">
        <f t="shared" ref="FU21" si="982">FU20+FT21</f>
        <v>1484855.1850000001</v>
      </c>
      <c r="FV21">
        <f t="shared" ref="FV21" si="983">FV20+FU21</f>
        <v>1484855.1850000001</v>
      </c>
      <c r="FW21">
        <f t="shared" ref="FW21" si="984">FW20+FV21</f>
        <v>1484855.1850000001</v>
      </c>
      <c r="FX21">
        <f t="shared" ref="FX21" si="985">FX20+FW21</f>
        <v>1484855.1850000001</v>
      </c>
      <c r="FY21">
        <f t="shared" ref="FY21" si="986">FY20+FX21</f>
        <v>1484855.1850000001</v>
      </c>
      <c r="FZ21">
        <f t="shared" ref="FZ21" si="987">FZ20+FY21</f>
        <v>1484855.1850000001</v>
      </c>
      <c r="GA21">
        <f t="shared" ref="GA21" si="988">GA20+FZ21</f>
        <v>1484855.1850000001</v>
      </c>
      <c r="GB21">
        <f t="shared" ref="GB21" si="989">GB20+GA21</f>
        <v>1484855.1850000001</v>
      </c>
      <c r="GC21">
        <f t="shared" ref="GC21" si="990">GC20+GB21</f>
        <v>1484855.1850000001</v>
      </c>
      <c r="GD21">
        <f t="shared" ref="GD21" si="991">GD20+GC21</f>
        <v>1484855.1850000001</v>
      </c>
      <c r="GE21">
        <f t="shared" ref="GE21" si="992">GE20+GD21</f>
        <v>1484855.1850000001</v>
      </c>
      <c r="GF21">
        <f t="shared" ref="GF21" si="993">GF20+GE21</f>
        <v>1484855.1850000001</v>
      </c>
    </row>
    <row r="22" spans="1:188" s="245" customFormat="1"/>
    <row r="24" spans="1:188">
      <c r="C24" s="555"/>
    </row>
    <row r="26" spans="1:188">
      <c r="D26" s="555">
        <f>C11-D11</f>
        <v>311894.11000000127</v>
      </c>
    </row>
  </sheetData>
  <mergeCells count="3">
    <mergeCell ref="A2:A7"/>
    <mergeCell ref="A8:A14"/>
    <mergeCell ref="A17:A18"/>
  </mergeCells>
  <conditionalFormatting sqref="C17">
    <cfRule type="cellIs" dxfId="19" priority="1" operator="greaterThan">
      <formula>0.1</formula>
    </cfRule>
  </conditionalFormatting>
  <conditionalFormatting sqref="D3">
    <cfRule type="cellIs" dxfId="18" priority="10" operator="notEqual">
      <formula>$C$3</formula>
    </cfRule>
  </conditionalFormatting>
  <conditionalFormatting sqref="D5">
    <cfRule type="cellIs" dxfId="17" priority="8" operator="notEqual">
      <formula>$C$5</formula>
    </cfRule>
  </conditionalFormatting>
  <conditionalFormatting sqref="D9">
    <cfRule type="cellIs" dxfId="16" priority="9" operator="notEqual">
      <formula>$C$9</formula>
    </cfRule>
  </conditionalFormatting>
  <conditionalFormatting sqref="D11">
    <cfRule type="cellIs" dxfId="15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80"/>
  <sheetViews>
    <sheetView topLeftCell="B1" zoomScale="85" zoomScaleNormal="85" workbookViewId="0">
      <selection activeCell="C14" sqref="C14:N22"/>
    </sheetView>
  </sheetViews>
  <sheetFormatPr defaultColWidth="8.26953125" defaultRowHeight="14.5"/>
  <cols>
    <col min="1" max="1" width="36.7265625" style="530" bestFit="1" customWidth="1"/>
    <col min="2" max="2" width="14.7265625" style="531" bestFit="1" customWidth="1"/>
    <col min="3" max="4" width="11.1796875" style="530" bestFit="1" customWidth="1"/>
    <col min="5" max="5" width="15.7265625" style="530" bestFit="1" customWidth="1"/>
    <col min="6" max="7" width="13" style="530" bestFit="1" customWidth="1"/>
    <col min="8" max="8" width="11.7265625" style="530" bestFit="1" customWidth="1"/>
    <col min="9" max="10" width="13" style="530" bestFit="1" customWidth="1"/>
    <col min="11" max="11" width="11.7265625" style="530" bestFit="1" customWidth="1"/>
    <col min="12" max="12" width="6.7265625" style="530" bestFit="1" customWidth="1"/>
    <col min="13" max="13" width="11.1796875" style="530" bestFit="1" customWidth="1"/>
    <col min="14" max="14" width="11.7265625" style="530" bestFit="1" customWidth="1"/>
    <col min="15" max="17" width="11.1796875" style="530" bestFit="1" customWidth="1"/>
    <col min="18" max="18" width="15.7265625" style="530" bestFit="1" customWidth="1"/>
    <col min="19" max="19" width="8.26953125" style="530" bestFit="1" customWidth="1"/>
    <col min="20" max="20" width="10.26953125" style="530" bestFit="1" customWidth="1"/>
    <col min="21" max="16384" width="8.26953125" style="530"/>
  </cols>
  <sheetData>
    <row r="1" spans="1:20">
      <c r="A1" s="553" t="s">
        <v>250</v>
      </c>
      <c r="B1" t="s">
        <v>472</v>
      </c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553" t="s">
        <v>473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/>
      <c r="B4" s="765">
        <v>45169</v>
      </c>
      <c r="C4" s="765">
        <v>45199</v>
      </c>
      <c r="D4" s="765">
        <v>45230</v>
      </c>
      <c r="E4" s="765">
        <v>45260</v>
      </c>
      <c r="F4" s="765">
        <v>45291</v>
      </c>
      <c r="G4" s="765">
        <v>45322</v>
      </c>
      <c r="H4" s="765">
        <v>45351</v>
      </c>
      <c r="I4" s="765">
        <v>45382</v>
      </c>
      <c r="J4" s="765">
        <v>45412</v>
      </c>
      <c r="K4" s="765">
        <v>45443</v>
      </c>
      <c r="L4" t="s">
        <v>474</v>
      </c>
      <c r="M4" s="765">
        <v>45473</v>
      </c>
      <c r="N4" s="765">
        <v>45504</v>
      </c>
      <c r="O4" s="765">
        <v>45535</v>
      </c>
      <c r="P4" s="765">
        <v>45716</v>
      </c>
      <c r="Q4" s="765">
        <v>45991</v>
      </c>
      <c r="R4" t="s">
        <v>475</v>
      </c>
      <c r="S4"/>
      <c r="T4"/>
    </row>
    <row r="5" spans="1:20">
      <c r="A5" s="554" t="s">
        <v>474</v>
      </c>
      <c r="B5" s="555"/>
      <c r="C5" s="555"/>
      <c r="D5" s="555"/>
      <c r="E5" s="555"/>
      <c r="F5" s="555"/>
      <c r="G5" s="555"/>
      <c r="H5" s="555"/>
      <c r="I5" s="555"/>
      <c r="J5" s="555"/>
      <c r="K5" s="555"/>
      <c r="L5" s="555">
        <v>0</v>
      </c>
      <c r="M5" s="555"/>
      <c r="N5" s="555"/>
      <c r="O5" s="555">
        <v>0</v>
      </c>
      <c r="P5" s="555"/>
      <c r="Q5" s="555"/>
      <c r="R5" s="555">
        <v>0</v>
      </c>
      <c r="S5"/>
      <c r="T5"/>
    </row>
    <row r="6" spans="1:20">
      <c r="A6" s="554" t="s">
        <v>257</v>
      </c>
      <c r="B6" s="555">
        <v>1675592.1640855954</v>
      </c>
      <c r="C6" s="555"/>
      <c r="D6" s="555"/>
      <c r="E6" s="555"/>
      <c r="F6" s="555"/>
      <c r="G6" s="555"/>
      <c r="H6" s="555"/>
      <c r="I6" s="555">
        <v>0</v>
      </c>
      <c r="J6" s="555"/>
      <c r="K6" s="555"/>
      <c r="L6" s="555">
        <v>0</v>
      </c>
      <c r="M6" s="555"/>
      <c r="N6" s="555"/>
      <c r="O6" s="555"/>
      <c r="P6" s="555"/>
      <c r="Q6" s="555"/>
      <c r="R6" s="555">
        <v>1675592.1640855954</v>
      </c>
      <c r="S6"/>
      <c r="T6"/>
    </row>
    <row r="7" spans="1:20">
      <c r="A7" s="554" t="s">
        <v>271</v>
      </c>
      <c r="B7" s="555"/>
      <c r="C7" s="555"/>
      <c r="D7" s="555"/>
      <c r="E7" s="555"/>
      <c r="F7" s="555">
        <v>240948.52260873845</v>
      </c>
      <c r="G7" s="555"/>
      <c r="H7" s="555"/>
      <c r="I7" s="555">
        <v>298000</v>
      </c>
      <c r="J7" s="555"/>
      <c r="K7" s="555"/>
      <c r="L7" s="555">
        <v>0</v>
      </c>
      <c r="M7" s="555"/>
      <c r="N7" s="555"/>
      <c r="O7" s="555"/>
      <c r="P7" s="555"/>
      <c r="Q7" s="555"/>
      <c r="R7" s="555">
        <v>538948.52260873839</v>
      </c>
      <c r="S7"/>
      <c r="T7"/>
    </row>
    <row r="8" spans="1:20">
      <c r="A8" s="554" t="s">
        <v>279</v>
      </c>
      <c r="B8" s="555"/>
      <c r="C8" s="555"/>
      <c r="D8" s="555"/>
      <c r="E8" s="555"/>
      <c r="F8" s="555"/>
      <c r="G8" s="555">
        <v>148213.45996970023</v>
      </c>
      <c r="H8" s="555"/>
      <c r="I8" s="555"/>
      <c r="J8" s="555"/>
      <c r="K8" s="555"/>
      <c r="L8" s="555"/>
      <c r="M8" s="555"/>
      <c r="N8" s="555"/>
      <c r="O8" s="555"/>
      <c r="P8" s="555"/>
      <c r="Q8" s="555"/>
      <c r="R8" s="555">
        <v>148213.45996970023</v>
      </c>
      <c r="S8"/>
      <c r="T8"/>
    </row>
    <row r="9" spans="1:20">
      <c r="A9" s="554" t="s">
        <v>296</v>
      </c>
      <c r="B9" s="555"/>
      <c r="C9" s="555"/>
      <c r="D9" s="555"/>
      <c r="E9" s="555"/>
      <c r="F9" s="555">
        <v>62006.029506439168</v>
      </c>
      <c r="G9" s="555">
        <v>281515.68876272172</v>
      </c>
      <c r="H9" s="555">
        <v>43661.113566593107</v>
      </c>
      <c r="I9" s="555"/>
      <c r="J9" s="555">
        <v>3485.6383916482764</v>
      </c>
      <c r="K9" s="555"/>
      <c r="L9" s="555"/>
      <c r="M9" s="555"/>
      <c r="N9" s="555"/>
      <c r="O9" s="555"/>
      <c r="P9" s="555"/>
      <c r="Q9" s="555"/>
      <c r="R9" s="555">
        <v>390668.47022740229</v>
      </c>
      <c r="S9"/>
      <c r="T9"/>
    </row>
    <row r="10" spans="1:20">
      <c r="A10" s="554" t="s">
        <v>317</v>
      </c>
      <c r="B10" s="555"/>
      <c r="C10" s="555"/>
      <c r="D10" s="555"/>
      <c r="E10" s="555"/>
      <c r="F10" s="555">
        <v>313.91037958599668</v>
      </c>
      <c r="G10" s="555">
        <v>2382.9855422849751</v>
      </c>
      <c r="H10" s="555"/>
      <c r="I10" s="555"/>
      <c r="J10" s="555">
        <v>50730.330284535703</v>
      </c>
      <c r="K10" s="555">
        <v>1232.3901786683045</v>
      </c>
      <c r="L10" s="555">
        <v>0</v>
      </c>
      <c r="M10" s="555"/>
      <c r="N10" s="555">
        <v>0</v>
      </c>
      <c r="O10" s="555"/>
      <c r="P10" s="555"/>
      <c r="Q10" s="555"/>
      <c r="R10" s="555">
        <v>54659.61638507498</v>
      </c>
      <c r="S10"/>
      <c r="T10"/>
    </row>
    <row r="11" spans="1:20">
      <c r="A11" s="554" t="s">
        <v>351</v>
      </c>
      <c r="B11" s="555"/>
      <c r="C11" s="555"/>
      <c r="D11" s="555"/>
      <c r="E11" s="555"/>
      <c r="F11" s="555">
        <v>139624.88189138117</v>
      </c>
      <c r="G11" s="555"/>
      <c r="H11" s="555"/>
      <c r="I11" s="555">
        <v>118824.59774652853</v>
      </c>
      <c r="J11" s="555"/>
      <c r="K11" s="555"/>
      <c r="L11" s="555">
        <v>0</v>
      </c>
      <c r="M11" s="555"/>
      <c r="N11" s="555">
        <v>20800.284144852649</v>
      </c>
      <c r="O11" s="555"/>
      <c r="P11" s="555"/>
      <c r="Q11" s="555"/>
      <c r="R11" s="555">
        <v>279249.76378276234</v>
      </c>
      <c r="S11"/>
      <c r="T11"/>
    </row>
    <row r="12" spans="1:20">
      <c r="A12" s="554" t="s">
        <v>362</v>
      </c>
      <c r="B12" s="555"/>
      <c r="C12" s="555"/>
      <c r="D12" s="555"/>
      <c r="E12" s="555">
        <v>11481559.684266716</v>
      </c>
      <c r="F12" s="555">
        <v>33269.43213119133</v>
      </c>
      <c r="G12" s="555"/>
      <c r="H12" s="555"/>
      <c r="I12" s="555"/>
      <c r="J12" s="555">
        <v>64802.52</v>
      </c>
      <c r="K12" s="555"/>
      <c r="L12" s="555">
        <v>0</v>
      </c>
      <c r="M12" s="555"/>
      <c r="N12" s="555"/>
      <c r="O12" s="555"/>
      <c r="P12" s="555"/>
      <c r="Q12" s="555"/>
      <c r="R12" s="555">
        <v>11579631.636397908</v>
      </c>
      <c r="S12"/>
      <c r="T12"/>
    </row>
    <row r="13" spans="1:20">
      <c r="A13" s="554" t="s">
        <v>389</v>
      </c>
      <c r="B13" s="555"/>
      <c r="C13" s="555"/>
      <c r="D13" s="555"/>
      <c r="E13" s="555"/>
      <c r="F13" s="555"/>
      <c r="G13" s="555">
        <v>0</v>
      </c>
      <c r="H13" s="555">
        <v>0</v>
      </c>
      <c r="I13" s="555"/>
      <c r="J13" s="555">
        <v>0</v>
      </c>
      <c r="K13" s="555">
        <v>0</v>
      </c>
      <c r="L13" s="555"/>
      <c r="M13" s="555"/>
      <c r="N13" s="555">
        <v>0</v>
      </c>
      <c r="O13" s="555"/>
      <c r="P13" s="555"/>
      <c r="Q13" s="555"/>
      <c r="R13" s="555">
        <v>0</v>
      </c>
      <c r="S13"/>
      <c r="T13"/>
    </row>
    <row r="14" spans="1:20">
      <c r="A14" s="554" t="s">
        <v>435</v>
      </c>
      <c r="B14" s="555"/>
      <c r="C14" s="555"/>
      <c r="D14" s="555">
        <v>7916.6666666666661</v>
      </c>
      <c r="E14" s="555"/>
      <c r="F14" s="555"/>
      <c r="G14" s="555"/>
      <c r="H14" s="555"/>
      <c r="I14" s="555"/>
      <c r="J14" s="555"/>
      <c r="K14" s="555">
        <v>15833.33763413323</v>
      </c>
      <c r="L14" s="555"/>
      <c r="M14" s="555"/>
      <c r="N14" s="555"/>
      <c r="O14" s="555"/>
      <c r="P14" s="555"/>
      <c r="Q14" s="555"/>
      <c r="R14" s="555">
        <v>23750.004300799897</v>
      </c>
      <c r="S14"/>
      <c r="T14"/>
    </row>
    <row r="15" spans="1:20">
      <c r="A15" s="554" t="s">
        <v>442</v>
      </c>
      <c r="B15" s="555"/>
      <c r="C15" s="555"/>
      <c r="D15" s="555"/>
      <c r="E15" s="555"/>
      <c r="F15" s="555"/>
      <c r="G15" s="555"/>
      <c r="H15" s="555"/>
      <c r="I15" s="555"/>
      <c r="J15" s="555"/>
      <c r="K15" s="555"/>
      <c r="L15" s="555">
        <v>0</v>
      </c>
      <c r="M15" s="555"/>
      <c r="N15" s="555"/>
      <c r="O15" s="555"/>
      <c r="P15" s="555"/>
      <c r="Q15" s="555"/>
      <c r="R15" s="555">
        <v>0</v>
      </c>
      <c r="S15"/>
      <c r="T15"/>
    </row>
    <row r="16" spans="1:20">
      <c r="A16" s="554" t="s">
        <v>445</v>
      </c>
      <c r="B16" s="555">
        <v>3721.013155201988</v>
      </c>
      <c r="C16" s="555">
        <v>0</v>
      </c>
      <c r="D16" s="555">
        <v>0</v>
      </c>
      <c r="E16" s="555">
        <v>0</v>
      </c>
      <c r="F16" s="555">
        <v>0</v>
      </c>
      <c r="G16" s="555">
        <v>1936.5338912715267</v>
      </c>
      <c r="H16" s="555"/>
      <c r="I16" s="555"/>
      <c r="J16" s="555">
        <v>213594.73530219973</v>
      </c>
      <c r="K16" s="555"/>
      <c r="L16" s="555"/>
      <c r="M16" s="555"/>
      <c r="N16" s="555"/>
      <c r="O16" s="555"/>
      <c r="P16" s="555"/>
      <c r="Q16" s="555"/>
      <c r="R16" s="555">
        <v>219252.28234867324</v>
      </c>
      <c r="S16"/>
      <c r="T16"/>
    </row>
    <row r="17" spans="1:20">
      <c r="A17" s="554" t="s">
        <v>455</v>
      </c>
      <c r="B17" s="555">
        <v>1599.3135806759924</v>
      </c>
      <c r="C17" s="555">
        <v>0</v>
      </c>
      <c r="D17" s="555">
        <v>141.89557452269659</v>
      </c>
      <c r="E17" s="555">
        <v>0</v>
      </c>
      <c r="F17" s="555">
        <v>1758.79</v>
      </c>
      <c r="G17" s="555">
        <v>0</v>
      </c>
      <c r="H17" s="555">
        <v>0</v>
      </c>
      <c r="I17" s="555">
        <v>0</v>
      </c>
      <c r="J17" s="555"/>
      <c r="K17" s="555"/>
      <c r="L17" s="555"/>
      <c r="M17" s="555"/>
      <c r="N17" s="555"/>
      <c r="O17" s="555"/>
      <c r="P17" s="555"/>
      <c r="Q17" s="555"/>
      <c r="R17" s="555">
        <v>3499.9991551986886</v>
      </c>
      <c r="S17"/>
      <c r="T17"/>
    </row>
    <row r="18" spans="1:20">
      <c r="A18" s="554" t="s">
        <v>458</v>
      </c>
      <c r="B18" s="555"/>
      <c r="C18" s="555"/>
      <c r="D18" s="555"/>
      <c r="E18" s="555"/>
      <c r="F18" s="555"/>
      <c r="G18" s="555"/>
      <c r="H18" s="555"/>
      <c r="I18" s="555"/>
      <c r="J18" s="555"/>
      <c r="K18" s="555"/>
      <c r="L18" s="555">
        <v>0</v>
      </c>
      <c r="M18" s="555"/>
      <c r="N18" s="555"/>
      <c r="O18" s="555"/>
      <c r="P18" s="555"/>
      <c r="Q18" s="555"/>
      <c r="R18" s="555">
        <v>0</v>
      </c>
      <c r="S18"/>
      <c r="T18"/>
    </row>
    <row r="19" spans="1:20">
      <c r="A19" s="554" t="s">
        <v>425</v>
      </c>
      <c r="B19" s="555"/>
      <c r="C19" s="555"/>
      <c r="D19" s="555"/>
      <c r="E19" s="555"/>
      <c r="F19" s="555">
        <v>4420.4436935846279</v>
      </c>
      <c r="G19" s="555"/>
      <c r="H19" s="555"/>
      <c r="I19" s="555">
        <v>3536.3549548677024</v>
      </c>
      <c r="J19" s="555"/>
      <c r="K19" s="555"/>
      <c r="L19" s="555"/>
      <c r="M19" s="555"/>
      <c r="N19" s="555">
        <v>884.0887387169256</v>
      </c>
      <c r="O19" s="555"/>
      <c r="P19" s="555"/>
      <c r="Q19" s="555"/>
      <c r="R19" s="555">
        <v>8840.8873871692558</v>
      </c>
      <c r="S19"/>
      <c r="T19"/>
    </row>
    <row r="20" spans="1:20">
      <c r="A20" s="554" t="s">
        <v>430</v>
      </c>
      <c r="B20" s="555"/>
      <c r="C20" s="555"/>
      <c r="D20" s="555"/>
      <c r="E20" s="555"/>
      <c r="F20" s="555">
        <v>33469.056306415376</v>
      </c>
      <c r="G20" s="555"/>
      <c r="H20" s="555"/>
      <c r="I20" s="555">
        <v>26775.245045132298</v>
      </c>
      <c r="J20" s="555">
        <v>6693.8112612830746</v>
      </c>
      <c r="K20" s="555"/>
      <c r="L20" s="555"/>
      <c r="M20" s="555"/>
      <c r="N20" s="555"/>
      <c r="O20" s="555"/>
      <c r="P20" s="555"/>
      <c r="Q20" s="555"/>
      <c r="R20" s="555">
        <v>66938.112612830751</v>
      </c>
      <c r="S20"/>
      <c r="T20"/>
    </row>
    <row r="21" spans="1:20">
      <c r="A21" s="554" t="s">
        <v>409</v>
      </c>
      <c r="B21" s="555"/>
      <c r="C21" s="555"/>
      <c r="D21" s="555"/>
      <c r="E21" s="555"/>
      <c r="F21" s="555">
        <v>16600.510190502417</v>
      </c>
      <c r="G21" s="555"/>
      <c r="H21" s="555"/>
      <c r="I21" s="555"/>
      <c r="J21" s="555"/>
      <c r="K21" s="555">
        <v>16600.510190502417</v>
      </c>
      <c r="L21" s="555"/>
      <c r="M21" s="555"/>
      <c r="N21" s="555">
        <v>33201.020381004833</v>
      </c>
      <c r="O21" s="555"/>
      <c r="P21" s="555"/>
      <c r="Q21" s="555"/>
      <c r="R21" s="555">
        <v>66402.040762009667</v>
      </c>
      <c r="S21"/>
      <c r="T21"/>
    </row>
    <row r="22" spans="1:20">
      <c r="A22" s="554" t="s">
        <v>419</v>
      </c>
      <c r="B22" s="555"/>
      <c r="C22" s="555"/>
      <c r="D22" s="555"/>
      <c r="E22" s="555"/>
      <c r="F22" s="555">
        <v>48860.42730949758</v>
      </c>
      <c r="G22" s="555"/>
      <c r="H22" s="555"/>
      <c r="I22" s="555">
        <v>97720.854618995159</v>
      </c>
      <c r="J22" s="555">
        <v>48860.42730949758</v>
      </c>
      <c r="K22" s="555"/>
      <c r="L22" s="555"/>
      <c r="M22" s="555"/>
      <c r="N22" s="555"/>
      <c r="O22" s="555"/>
      <c r="P22" s="555"/>
      <c r="Q22" s="555"/>
      <c r="R22" s="555">
        <v>195441.70923799032</v>
      </c>
      <c r="S22"/>
      <c r="T22"/>
    </row>
    <row r="23" spans="1:20">
      <c r="A23" s="554" t="s">
        <v>475</v>
      </c>
      <c r="B23" s="555">
        <v>1680912.4908214733</v>
      </c>
      <c r="C23" s="555">
        <v>0</v>
      </c>
      <c r="D23" s="555">
        <v>8058.5622411893628</v>
      </c>
      <c r="E23" s="555">
        <v>11481559.684266716</v>
      </c>
      <c r="F23" s="555">
        <v>581272.00401733606</v>
      </c>
      <c r="G23" s="555">
        <v>434048.66816597839</v>
      </c>
      <c r="H23" s="555">
        <v>43661.113566593107</v>
      </c>
      <c r="I23" s="555">
        <v>544857.05236552365</v>
      </c>
      <c r="J23" s="555">
        <v>388167.46254916431</v>
      </c>
      <c r="K23" s="555">
        <v>33666.238003303952</v>
      </c>
      <c r="L23" s="555">
        <v>0</v>
      </c>
      <c r="M23" s="555"/>
      <c r="N23" s="555">
        <v>54885.393264574406</v>
      </c>
      <c r="O23" s="555">
        <v>0</v>
      </c>
      <c r="P23" s="555"/>
      <c r="Q23" s="555"/>
      <c r="R23" s="555">
        <v>15251088.669261852</v>
      </c>
      <c r="S23"/>
      <c r="T23"/>
    </row>
    <row r="24" spans="1:20">
      <c r="A24" s="554"/>
      <c r="B24" s="555">
        <v>1669614.47</v>
      </c>
      <c r="C24" s="555"/>
      <c r="D24" s="555"/>
      <c r="E24" s="555">
        <v>11489618.24</v>
      </c>
      <c r="F24" s="555">
        <v>581272</v>
      </c>
      <c r="G24" s="555">
        <v>434048.67</v>
      </c>
      <c r="H24" s="555">
        <v>43661.11</v>
      </c>
      <c r="I24" s="555"/>
      <c r="J24" s="555"/>
      <c r="K24" s="555"/>
      <c r="L24" s="555"/>
      <c r="M24" s="555"/>
      <c r="N24"/>
      <c r="O24"/>
      <c r="P24"/>
      <c r="Q24"/>
      <c r="R24"/>
      <c r="S24"/>
      <c r="T24"/>
    </row>
    <row r="25" spans="1:20">
      <c r="A25" s="554"/>
      <c r="B25" s="555">
        <f>GETPIVOTDATA("REVENUE RECOGNITION AMOUNT",$A$3,"INVOICE RAISED DATE",DATE(2023,8,31))-B24</f>
        <v>11298.020821473328</v>
      </c>
      <c r="C25" s="555">
        <f>GETPIVOTDATA("REVENUE RECOGNITION AMOUNT",$A$3,"INVOICE RAISED DATE",DATE(2023,9,30))-C24</f>
        <v>0</v>
      </c>
      <c r="D25" s="555">
        <f>GETPIVOTDATA("REVENUE RECOGNITION AMOUNT",$A$3,"INVOICE RAISED DATE",DATE(2023,10,31))-D24</f>
        <v>8058.5622411893628</v>
      </c>
      <c r="E25" s="555">
        <f>GETPIVOTDATA("REVENUE RECOGNITION AMOUNT",$A$3,"INVOICE RAISED DATE",DATE(2023,11,30))-E24</f>
        <v>-8058.5557332839817</v>
      </c>
      <c r="F25" s="555">
        <f>GETPIVOTDATA("REVENUE RECOGNITION AMOUNT",$A$3,"INVOICE RAISED DATE",DATE(2023,12,31))-F24</f>
        <v>4.0173360612243414E-3</v>
      </c>
      <c r="G25" s="555">
        <f>GETPIVOTDATA("REVENUE RECOGNITION AMOUNT",$A$3,"INVOICE RAISED DATE",DATE(2024,1,31))-G24</f>
        <v>-1.8340215901844203E-3</v>
      </c>
      <c r="H25" s="555">
        <f>GETPIVOTDATA("REVENUE RECOGNITION AMOUNT",$A$3,"INVOICE RAISED DATE",DATE(2024,2,29))-H24</f>
        <v>3.5665931063704193E-3</v>
      </c>
      <c r="I25" s="555"/>
      <c r="J25" s="555"/>
      <c r="K25" s="555"/>
      <c r="L25" s="555"/>
      <c r="M25" s="555"/>
      <c r="N25"/>
      <c r="O25"/>
      <c r="P25"/>
      <c r="Q25"/>
      <c r="R25"/>
      <c r="S25"/>
      <c r="T25"/>
    </row>
    <row r="26" spans="1:20" ht="39.75" customHeight="1">
      <c r="A26"/>
      <c r="B26"/>
      <c r="C26" s="555">
        <f>SUM(C23:P23)</f>
        <v>13570176.178440379</v>
      </c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</row>
    <row r="27" spans="1:20">
      <c r="A27" s="554" t="s">
        <v>476</v>
      </c>
      <c r="B27" s="555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</row>
    <row r="28" spans="1:20">
      <c r="A28"/>
      <c r="B28" s="555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>
      <c r="A29"/>
      <c r="B29" s="555">
        <f>'Revenue Tracking'!F4-'Finance - Rev'!B24</f>
        <v>13581473.829999998</v>
      </c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 s="555">
        <f>C26</f>
        <v>13570176.178440379</v>
      </c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 s="940">
        <f>B29-B30</f>
        <v>11297.651559619233</v>
      </c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</row>
    <row r="40" spans="1:20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</row>
    <row r="41" spans="1:20" ht="27" customHeight="1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  <row r="79" spans="1:8">
      <c r="A79"/>
      <c r="B79"/>
      <c r="C79"/>
      <c r="D79"/>
      <c r="E79"/>
      <c r="F79"/>
      <c r="G79"/>
      <c r="H79"/>
    </row>
    <row r="80" spans="1:8">
      <c r="A80"/>
      <c r="B80"/>
      <c r="C80"/>
      <c r="D80"/>
      <c r="E80"/>
      <c r="F80"/>
      <c r="G80"/>
      <c r="H80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5B8E31-D443-430F-BF3D-B465CDC21B42}">
  <sheetPr codeName="Sheet10"/>
  <dimension ref="A3:R23"/>
  <sheetViews>
    <sheetView zoomScale="85" zoomScaleNormal="85" workbookViewId="0">
      <selection activeCell="N28" sqref="N28"/>
    </sheetView>
  </sheetViews>
  <sheetFormatPr defaultColWidth="8.7265625" defaultRowHeight="14.5"/>
  <cols>
    <col min="1" max="1" width="20.1796875" bestFit="1" customWidth="1"/>
    <col min="2" max="2" width="15.7265625" bestFit="1" customWidth="1"/>
    <col min="3" max="4" width="11.1796875" bestFit="1" customWidth="1"/>
    <col min="5" max="6" width="14.7265625" bestFit="1" customWidth="1"/>
    <col min="7" max="7" width="13" bestFit="1" customWidth="1"/>
    <col min="8" max="8" width="11.7265625" bestFit="1" customWidth="1"/>
    <col min="9" max="10" width="13" bestFit="1" customWidth="1"/>
    <col min="11" max="11" width="11.7265625" bestFit="1" customWidth="1"/>
    <col min="12" max="12" width="6.7265625" bestFit="1" customWidth="1"/>
    <col min="13" max="13" width="11.1796875" bestFit="1" customWidth="1"/>
    <col min="14" max="14" width="13" bestFit="1" customWidth="1"/>
    <col min="15" max="17" width="11.1796875" bestFit="1" customWidth="1"/>
    <col min="18" max="18" width="15.7265625" bestFit="1" customWidth="1"/>
    <col min="19" max="19" width="11.26953125" bestFit="1" customWidth="1"/>
    <col min="20" max="20" width="10.26953125" bestFit="1" customWidth="1"/>
    <col min="21" max="21" width="14.26953125" bestFit="1" customWidth="1"/>
  </cols>
  <sheetData>
    <row r="3" spans="1:18">
      <c r="A3" s="553" t="s">
        <v>477</v>
      </c>
      <c r="B3" s="553" t="s">
        <v>478</v>
      </c>
    </row>
    <row r="4" spans="1:18">
      <c r="A4" s="553" t="s">
        <v>479</v>
      </c>
      <c r="B4" s="765">
        <v>45169</v>
      </c>
      <c r="C4" s="765">
        <v>45199</v>
      </c>
      <c r="D4" s="765">
        <v>45230</v>
      </c>
      <c r="E4" s="765">
        <v>45260</v>
      </c>
      <c r="F4" s="765">
        <v>45291</v>
      </c>
      <c r="G4" s="765">
        <v>45322</v>
      </c>
      <c r="H4" s="765">
        <v>45351</v>
      </c>
      <c r="I4" s="765">
        <v>45382</v>
      </c>
      <c r="J4" s="765">
        <v>45412</v>
      </c>
      <c r="K4" s="765">
        <v>45443</v>
      </c>
      <c r="L4" t="s">
        <v>474</v>
      </c>
      <c r="M4" s="765">
        <v>45473</v>
      </c>
      <c r="N4" s="765">
        <v>45504</v>
      </c>
      <c r="O4" s="765">
        <v>45535</v>
      </c>
      <c r="P4" s="765">
        <v>45716</v>
      </c>
      <c r="Q4" s="765">
        <v>45991</v>
      </c>
      <c r="R4" t="s">
        <v>475</v>
      </c>
    </row>
    <row r="5" spans="1:18">
      <c r="A5" s="554" t="s">
        <v>257</v>
      </c>
      <c r="B5" s="555">
        <v>1165914.24</v>
      </c>
      <c r="C5" s="555"/>
      <c r="D5" s="555"/>
      <c r="E5" s="555"/>
      <c r="F5" s="555"/>
      <c r="G5" s="555"/>
      <c r="H5" s="555"/>
      <c r="I5" s="555"/>
      <c r="J5" s="555"/>
      <c r="K5" s="555"/>
      <c r="L5" s="555"/>
      <c r="M5" s="555"/>
      <c r="N5" s="555"/>
      <c r="O5" s="555"/>
      <c r="P5" s="555"/>
      <c r="Q5" s="555"/>
      <c r="R5" s="555">
        <v>1165914.24</v>
      </c>
    </row>
    <row r="6" spans="1:18">
      <c r="A6" s="554" t="s">
        <v>425</v>
      </c>
      <c r="B6" s="555"/>
      <c r="C6" s="555"/>
      <c r="D6" s="555"/>
      <c r="E6" s="555"/>
      <c r="F6" s="555">
        <v>8360</v>
      </c>
      <c r="G6" s="555"/>
      <c r="H6" s="555"/>
      <c r="I6" s="555">
        <v>6688</v>
      </c>
      <c r="J6" s="555"/>
      <c r="K6" s="555"/>
      <c r="L6" s="555"/>
      <c r="M6" s="555"/>
      <c r="N6" s="555">
        <v>1672</v>
      </c>
      <c r="O6" s="555"/>
      <c r="P6" s="555"/>
      <c r="Q6" s="555"/>
      <c r="R6" s="555">
        <v>16720</v>
      </c>
    </row>
    <row r="7" spans="1:18">
      <c r="A7" s="554" t="s">
        <v>430</v>
      </c>
      <c r="B7" s="555"/>
      <c r="C7" s="555"/>
      <c r="D7" s="555"/>
      <c r="E7" s="555"/>
      <c r="F7" s="555">
        <v>63297.11</v>
      </c>
      <c r="G7" s="555"/>
      <c r="H7" s="555"/>
      <c r="I7" s="555">
        <v>50637.688000000002</v>
      </c>
      <c r="J7" s="555">
        <v>12659.422</v>
      </c>
      <c r="K7" s="555"/>
      <c r="L7" s="555"/>
      <c r="M7" s="555"/>
      <c r="N7" s="555"/>
      <c r="O7" s="555"/>
      <c r="P7" s="555"/>
      <c r="Q7" s="555"/>
      <c r="R7" s="555">
        <v>126594.22000000002</v>
      </c>
    </row>
    <row r="8" spans="1:18">
      <c r="A8" s="554" t="s">
        <v>435</v>
      </c>
      <c r="B8" s="555"/>
      <c r="C8" s="555"/>
      <c r="D8" s="555">
        <v>5500</v>
      </c>
      <c r="E8" s="555"/>
      <c r="F8" s="555"/>
      <c r="G8" s="555"/>
      <c r="H8" s="555"/>
      <c r="I8" s="555"/>
      <c r="J8" s="555"/>
      <c r="K8" s="555">
        <v>6183.16</v>
      </c>
      <c r="L8" s="555"/>
      <c r="M8" s="555"/>
      <c r="N8" s="555"/>
      <c r="O8" s="555"/>
      <c r="P8" s="555"/>
      <c r="Q8" s="555"/>
      <c r="R8" s="555">
        <v>11683.16</v>
      </c>
    </row>
    <row r="9" spans="1:18">
      <c r="A9" s="554" t="s">
        <v>442</v>
      </c>
      <c r="B9" s="555"/>
      <c r="C9" s="555"/>
      <c r="D9" s="555"/>
      <c r="E9" s="555"/>
      <c r="F9" s="555"/>
      <c r="G9" s="555"/>
      <c r="H9" s="555"/>
      <c r="I9" s="555"/>
      <c r="J9" s="555"/>
      <c r="K9" s="555"/>
      <c r="L9" s="555">
        <v>0</v>
      </c>
      <c r="M9" s="555"/>
      <c r="N9" s="555"/>
      <c r="O9" s="555"/>
      <c r="P9" s="555"/>
      <c r="Q9" s="555"/>
      <c r="R9" s="555">
        <v>0</v>
      </c>
    </row>
    <row r="10" spans="1:18">
      <c r="A10" s="554" t="s">
        <v>445</v>
      </c>
      <c r="B10" s="555">
        <v>3761.29</v>
      </c>
      <c r="C10" s="555">
        <v>0</v>
      </c>
      <c r="D10" s="555">
        <v>0</v>
      </c>
      <c r="E10" s="555">
        <v>0</v>
      </c>
      <c r="F10" s="555">
        <v>0</v>
      </c>
      <c r="G10" s="555">
        <v>756.24</v>
      </c>
      <c r="H10" s="555"/>
      <c r="I10" s="555"/>
      <c r="J10" s="555">
        <v>149530.883</v>
      </c>
      <c r="K10" s="555"/>
      <c r="L10" s="555"/>
      <c r="M10" s="555"/>
      <c r="N10" s="555"/>
      <c r="O10" s="555"/>
      <c r="P10" s="555"/>
      <c r="Q10" s="555"/>
      <c r="R10" s="555">
        <v>154048.413</v>
      </c>
    </row>
    <row r="11" spans="1:18">
      <c r="A11" s="554" t="s">
        <v>455</v>
      </c>
      <c r="B11" s="555">
        <v>2086.0700000000279</v>
      </c>
      <c r="C11" s="555">
        <v>0</v>
      </c>
      <c r="D11" s="555">
        <v>151</v>
      </c>
      <c r="E11" s="555">
        <v>0</v>
      </c>
      <c r="F11" s="555">
        <v>2774.58</v>
      </c>
      <c r="G11" s="555">
        <v>1366.01</v>
      </c>
      <c r="H11" s="555">
        <v>679.5</v>
      </c>
      <c r="I11" s="555">
        <v>373.65</v>
      </c>
      <c r="J11" s="555">
        <v>20535.429999999997</v>
      </c>
      <c r="K11" s="555">
        <v>1573.48</v>
      </c>
      <c r="L11" s="555"/>
      <c r="M11" s="555">
        <v>1339.72</v>
      </c>
      <c r="N11" s="555"/>
      <c r="O11" s="555"/>
      <c r="P11" s="555"/>
      <c r="Q11" s="555"/>
      <c r="R11" s="555">
        <v>30879.440000000024</v>
      </c>
    </row>
    <row r="12" spans="1:18">
      <c r="A12" s="554" t="s">
        <v>458</v>
      </c>
      <c r="B12" s="555"/>
      <c r="C12" s="555"/>
      <c r="D12" s="555"/>
      <c r="E12" s="555"/>
      <c r="F12" s="555"/>
      <c r="G12" s="555"/>
      <c r="H12" s="555"/>
      <c r="I12" s="555"/>
      <c r="J12" s="555"/>
      <c r="K12" s="555"/>
      <c r="L12" s="555">
        <v>0</v>
      </c>
      <c r="M12" s="555"/>
      <c r="N12" s="555"/>
      <c r="O12" s="555"/>
      <c r="P12" s="555"/>
      <c r="Q12" s="555"/>
      <c r="R12" s="555">
        <v>0</v>
      </c>
    </row>
    <row r="13" spans="1:18">
      <c r="A13" s="554" t="s">
        <v>271</v>
      </c>
      <c r="B13" s="555"/>
      <c r="C13" s="555"/>
      <c r="D13" s="555"/>
      <c r="E13" s="555"/>
      <c r="F13" s="555">
        <v>243184.47</v>
      </c>
      <c r="G13" s="555"/>
      <c r="H13" s="555"/>
      <c r="I13" s="555"/>
      <c r="J13" s="555"/>
      <c r="K13" s="555"/>
      <c r="L13" s="555"/>
      <c r="M13" s="555"/>
      <c r="N13" s="555"/>
      <c r="O13" s="555"/>
      <c r="P13" s="555"/>
      <c r="Q13" s="555"/>
      <c r="R13" s="555">
        <v>243184.47</v>
      </c>
    </row>
    <row r="14" spans="1:18">
      <c r="A14" s="554" t="s">
        <v>279</v>
      </c>
      <c r="B14" s="555"/>
      <c r="C14" s="555"/>
      <c r="D14" s="555"/>
      <c r="E14" s="555"/>
      <c r="F14" s="555"/>
      <c r="G14" s="555">
        <v>78280</v>
      </c>
      <c r="H14" s="555"/>
      <c r="I14" s="555"/>
      <c r="J14" s="555"/>
      <c r="K14" s="555"/>
      <c r="L14" s="555"/>
      <c r="M14" s="555"/>
      <c r="N14" s="555"/>
      <c r="O14" s="555"/>
      <c r="P14" s="555"/>
      <c r="Q14" s="555"/>
      <c r="R14" s="555">
        <v>78280</v>
      </c>
    </row>
    <row r="15" spans="1:18">
      <c r="A15" s="554" t="s">
        <v>296</v>
      </c>
      <c r="B15" s="555"/>
      <c r="C15" s="555"/>
      <c r="D15" s="555"/>
      <c r="E15" s="555"/>
      <c r="F15" s="555">
        <v>66829.570000000007</v>
      </c>
      <c r="G15" s="555">
        <v>344720</v>
      </c>
      <c r="H15" s="555">
        <v>53463.66</v>
      </c>
      <c r="I15" s="555"/>
      <c r="J15" s="555">
        <v>13365.915000000001</v>
      </c>
      <c r="K15" s="555"/>
      <c r="L15" s="555"/>
      <c r="M15" s="555"/>
      <c r="N15" s="555"/>
      <c r="O15" s="555"/>
      <c r="P15" s="555"/>
      <c r="Q15" s="555"/>
      <c r="R15" s="555">
        <v>478379.14499999996</v>
      </c>
    </row>
    <row r="16" spans="1:18">
      <c r="A16" s="554" t="s">
        <v>317</v>
      </c>
      <c r="B16" s="555"/>
      <c r="C16" s="555"/>
      <c r="D16" s="555"/>
      <c r="E16" s="555"/>
      <c r="F16" s="555">
        <v>2388</v>
      </c>
      <c r="G16" s="555">
        <v>18829</v>
      </c>
      <c r="H16" s="555"/>
      <c r="I16" s="555"/>
      <c r="J16" s="555">
        <v>403974.07999999996</v>
      </c>
      <c r="K16" s="555">
        <v>11604</v>
      </c>
      <c r="L16" s="555"/>
      <c r="M16" s="555"/>
      <c r="N16" s="555">
        <v>-11604</v>
      </c>
      <c r="O16" s="555">
        <v>5782.43</v>
      </c>
      <c r="P16" s="555"/>
      <c r="Q16" s="555">
        <v>7080</v>
      </c>
      <c r="R16" s="555">
        <v>438053.50999999995</v>
      </c>
    </row>
    <row r="17" spans="1:18">
      <c r="A17" s="554" t="s">
        <v>351</v>
      </c>
      <c r="B17" s="555"/>
      <c r="C17" s="555"/>
      <c r="D17" s="555"/>
      <c r="E17" s="555"/>
      <c r="F17" s="555">
        <v>593039.92499999993</v>
      </c>
      <c r="G17" s="555"/>
      <c r="H17" s="555"/>
      <c r="I17" s="555">
        <v>504693.21499999997</v>
      </c>
      <c r="J17" s="555"/>
      <c r="K17" s="555"/>
      <c r="L17" s="555"/>
      <c r="M17" s="555"/>
      <c r="N17" s="555">
        <v>88346.709999999992</v>
      </c>
      <c r="O17" s="555"/>
      <c r="P17" s="555"/>
      <c r="Q17" s="555"/>
      <c r="R17" s="555">
        <v>1186079.8499999999</v>
      </c>
    </row>
    <row r="18" spans="1:18">
      <c r="A18" s="554" t="s">
        <v>362</v>
      </c>
      <c r="B18" s="555"/>
      <c r="C18" s="555"/>
      <c r="D18" s="555"/>
      <c r="E18" s="555">
        <v>9608400</v>
      </c>
      <c r="F18" s="555">
        <v>20322</v>
      </c>
      <c r="G18" s="555"/>
      <c r="H18" s="555"/>
      <c r="I18" s="555"/>
      <c r="J18" s="555">
        <v>55500</v>
      </c>
      <c r="K18" s="555"/>
      <c r="L18" s="555"/>
      <c r="M18" s="555"/>
      <c r="N18" s="555"/>
      <c r="O18" s="555"/>
      <c r="P18" s="555"/>
      <c r="Q18" s="555"/>
      <c r="R18" s="555">
        <v>9684222</v>
      </c>
    </row>
    <row r="19" spans="1:18">
      <c r="A19" s="554" t="s">
        <v>389</v>
      </c>
      <c r="B19" s="555"/>
      <c r="C19" s="555"/>
      <c r="D19" s="555"/>
      <c r="E19" s="555"/>
      <c r="F19" s="555"/>
      <c r="G19" s="555">
        <v>16045.8</v>
      </c>
      <c r="H19" s="555">
        <v>15045.8</v>
      </c>
      <c r="I19" s="555"/>
      <c r="J19" s="555">
        <v>2800</v>
      </c>
      <c r="K19" s="555">
        <v>33123.630000000005</v>
      </c>
      <c r="L19" s="555"/>
      <c r="M19" s="555"/>
      <c r="N19" s="555">
        <v>224079.4</v>
      </c>
      <c r="O19" s="555"/>
      <c r="P19" s="555"/>
      <c r="Q19" s="555"/>
      <c r="R19" s="555">
        <v>291094.63</v>
      </c>
    </row>
    <row r="20" spans="1:18">
      <c r="A20" s="554" t="s">
        <v>409</v>
      </c>
      <c r="B20" s="555"/>
      <c r="C20" s="555"/>
      <c r="D20" s="555"/>
      <c r="E20" s="555"/>
      <c r="F20" s="555">
        <v>16138.3</v>
      </c>
      <c r="G20" s="555"/>
      <c r="H20" s="555"/>
      <c r="I20" s="555"/>
      <c r="J20" s="555"/>
      <c r="K20" s="555">
        <v>16138.3</v>
      </c>
      <c r="L20" s="555"/>
      <c r="M20" s="555"/>
      <c r="N20" s="555">
        <v>32276.6</v>
      </c>
      <c r="O20" s="555"/>
      <c r="P20" s="555"/>
      <c r="Q20" s="555"/>
      <c r="R20" s="555">
        <v>64553.2</v>
      </c>
    </row>
    <row r="21" spans="1:18">
      <c r="A21" s="554" t="s">
        <v>419</v>
      </c>
      <c r="B21" s="555"/>
      <c r="C21" s="555"/>
      <c r="D21" s="555"/>
      <c r="E21" s="555"/>
      <c r="F21" s="555">
        <v>47500</v>
      </c>
      <c r="G21" s="555"/>
      <c r="H21" s="555"/>
      <c r="I21" s="555">
        <v>95000</v>
      </c>
      <c r="J21" s="555">
        <v>47500</v>
      </c>
      <c r="K21" s="555"/>
      <c r="L21" s="555"/>
      <c r="M21" s="555"/>
      <c r="N21" s="555"/>
      <c r="O21" s="555"/>
      <c r="P21" s="555"/>
      <c r="Q21" s="555"/>
      <c r="R21" s="555">
        <v>190000</v>
      </c>
    </row>
    <row r="22" spans="1:18">
      <c r="A22" s="554" t="s">
        <v>474</v>
      </c>
      <c r="B22" s="555"/>
      <c r="C22" s="555"/>
      <c r="D22" s="555"/>
      <c r="E22" s="555"/>
      <c r="F22" s="555"/>
      <c r="G22" s="555"/>
      <c r="H22" s="555"/>
      <c r="I22" s="555"/>
      <c r="J22" s="555"/>
      <c r="K22" s="555"/>
      <c r="L22" s="555">
        <v>0</v>
      </c>
      <c r="M22" s="555"/>
      <c r="N22" s="555">
        <v>1250.6600000000001</v>
      </c>
      <c r="O22" s="555">
        <v>1038.6099999999999</v>
      </c>
      <c r="P22" s="555"/>
      <c r="Q22" s="555"/>
      <c r="R22" s="555">
        <v>2289.27</v>
      </c>
    </row>
    <row r="23" spans="1:18">
      <c r="A23" s="554" t="s">
        <v>475</v>
      </c>
      <c r="B23" s="555">
        <v>1171761.6000000001</v>
      </c>
      <c r="C23" s="555">
        <v>0</v>
      </c>
      <c r="D23" s="555">
        <v>5651</v>
      </c>
      <c r="E23" s="555">
        <v>9608400</v>
      </c>
      <c r="F23" s="555">
        <v>1063833.9550000001</v>
      </c>
      <c r="G23" s="555">
        <v>459997.05</v>
      </c>
      <c r="H23" s="555">
        <v>69188.960000000006</v>
      </c>
      <c r="I23" s="555">
        <v>657392.55299999996</v>
      </c>
      <c r="J23" s="555">
        <v>705865.73</v>
      </c>
      <c r="K23" s="555">
        <v>68622.570000000007</v>
      </c>
      <c r="L23" s="555">
        <v>0</v>
      </c>
      <c r="M23" s="555">
        <v>1339.72</v>
      </c>
      <c r="N23" s="555">
        <v>336021.36999999994</v>
      </c>
      <c r="O23" s="555">
        <v>6821.04</v>
      </c>
      <c r="P23" s="555"/>
      <c r="Q23" s="555">
        <v>7080</v>
      </c>
      <c r="R23" s="555">
        <v>14161975.547999999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944AA-AC80-4245-B772-DFC5D7AFECA2}">
  <sheetPr codeName="Sheet11"/>
  <dimension ref="A1:D6"/>
  <sheetViews>
    <sheetView workbookViewId="0">
      <selection activeCell="E15" sqref="E15"/>
    </sheetView>
  </sheetViews>
  <sheetFormatPr defaultColWidth="8.26953125" defaultRowHeight="14.5"/>
  <cols>
    <col min="4" max="4" width="9" customWidth="1"/>
  </cols>
  <sheetData>
    <row r="1" spans="1:4">
      <c r="A1" s="111" t="s">
        <v>480</v>
      </c>
    </row>
    <row r="2" spans="1:4">
      <c r="A2" s="1055"/>
      <c r="B2" s="1055"/>
      <c r="C2" s="1055"/>
      <c r="D2" s="71"/>
    </row>
    <row r="3" spans="1:4">
      <c r="A3" s="1054" t="s">
        <v>481</v>
      </c>
      <c r="B3" s="1054"/>
      <c r="C3" s="1054"/>
      <c r="D3" s="112">
        <v>0.32</v>
      </c>
    </row>
    <row r="4" spans="1:4">
      <c r="A4" s="1054" t="s">
        <v>482</v>
      </c>
      <c r="B4" s="1054"/>
      <c r="C4" s="1054"/>
      <c r="D4" s="112">
        <v>0.5</v>
      </c>
    </row>
    <row r="5" spans="1:4">
      <c r="A5" s="1054" t="s">
        <v>483</v>
      </c>
      <c r="B5" s="1054"/>
      <c r="C5" s="1054"/>
      <c r="D5" s="112">
        <v>0.15</v>
      </c>
    </row>
    <row r="6" spans="1:4">
      <c r="A6" s="1054" t="s">
        <v>484</v>
      </c>
      <c r="B6" s="1054"/>
      <c r="C6" s="1054"/>
      <c r="D6" s="112">
        <v>0.2</v>
      </c>
    </row>
  </sheetData>
  <mergeCells count="5">
    <mergeCell ref="A3:C3"/>
    <mergeCell ref="A4:C4"/>
    <mergeCell ref="A5:C5"/>
    <mergeCell ref="A6:C6"/>
    <mergeCell ref="A2:C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2775C-CD1B-418B-9C5A-09037C718515}">
  <sheetPr codeName="Sheet12"/>
  <dimension ref="B2:N47"/>
  <sheetViews>
    <sheetView showGridLines="0" zoomScale="115" zoomScaleNormal="115" workbookViewId="0">
      <selection activeCell="B2" sqref="B2:O2"/>
    </sheetView>
  </sheetViews>
  <sheetFormatPr defaultColWidth="9.26953125" defaultRowHeight="12.5"/>
  <cols>
    <col min="1" max="1" width="9.26953125" style="88"/>
    <col min="2" max="2" width="22.26953125" style="88" customWidth="1"/>
    <col min="3" max="3" width="4.26953125" style="88" customWidth="1"/>
    <col min="4" max="4" width="14.26953125" style="88" bestFit="1" customWidth="1"/>
    <col min="5" max="5" width="3.26953125" style="88" customWidth="1"/>
    <col min="6" max="6" width="15.26953125" style="88" customWidth="1"/>
    <col min="7" max="7" width="2.26953125" style="88" customWidth="1"/>
    <col min="8" max="8" width="16.26953125" style="88" bestFit="1" customWidth="1"/>
    <col min="9" max="9" width="6.26953125" style="88" customWidth="1"/>
    <col min="10" max="10" width="13.26953125" style="88" bestFit="1" customWidth="1"/>
    <col min="11" max="11" width="2.26953125" style="88" customWidth="1"/>
    <col min="12" max="12" width="14.26953125" style="88" bestFit="1" customWidth="1"/>
    <col min="13" max="13" width="3" style="88" customWidth="1"/>
    <col min="14" max="14" width="45.26953125" style="88" customWidth="1"/>
    <col min="15" max="16384" width="9.26953125" style="88"/>
  </cols>
  <sheetData>
    <row r="2" spans="2:14" s="94" customFormat="1" ht="18">
      <c r="B2" s="1056" t="s">
        <v>485</v>
      </c>
      <c r="C2" s="1056"/>
      <c r="D2" s="1056"/>
      <c r="E2" s="1056"/>
      <c r="F2" s="1056"/>
      <c r="G2" s="1056"/>
      <c r="H2" s="1056"/>
      <c r="I2" s="1056"/>
      <c r="J2" s="1056"/>
      <c r="K2" s="1056"/>
      <c r="L2" s="1056"/>
      <c r="M2" s="1056"/>
      <c r="N2" s="1056"/>
    </row>
    <row r="4" spans="2:14" ht="13">
      <c r="B4" s="92" t="s">
        <v>486</v>
      </c>
      <c r="C4" s="86"/>
      <c r="D4" s="90" t="s">
        <v>487</v>
      </c>
      <c r="E4" s="95"/>
      <c r="F4" s="90" t="s">
        <v>488</v>
      </c>
      <c r="H4" s="90" t="s">
        <v>489</v>
      </c>
      <c r="I4" s="95"/>
      <c r="J4" s="90" t="s">
        <v>490</v>
      </c>
      <c r="L4" s="90" t="s">
        <v>489</v>
      </c>
      <c r="M4" s="90"/>
      <c r="N4" s="90" t="s">
        <v>491</v>
      </c>
    </row>
    <row r="5" spans="2:14" ht="4.5" customHeight="1">
      <c r="B5" s="97"/>
      <c r="C5" s="86"/>
      <c r="D5" s="97"/>
      <c r="E5" s="98"/>
      <c r="F5" s="97"/>
      <c r="H5" s="97"/>
      <c r="I5" s="98"/>
      <c r="J5" s="97"/>
      <c r="L5" s="97"/>
      <c r="M5" s="86"/>
      <c r="N5" s="97"/>
    </row>
    <row r="6" spans="2:14" ht="6.75" customHeight="1">
      <c r="B6" s="86"/>
      <c r="C6" s="86"/>
      <c r="D6" s="89"/>
      <c r="E6" s="95"/>
      <c r="F6" s="89"/>
      <c r="H6" s="99"/>
      <c r="I6" s="95"/>
      <c r="J6" s="89"/>
      <c r="L6" s="99"/>
      <c r="M6" s="99"/>
    </row>
    <row r="7" spans="2:14" ht="13">
      <c r="B7" s="86"/>
      <c r="C7" s="86"/>
      <c r="D7" s="89"/>
      <c r="E7" s="95"/>
      <c r="F7" s="107" t="s">
        <v>492</v>
      </c>
      <c r="H7" s="99"/>
      <c r="I7" s="95"/>
      <c r="J7" s="107" t="s">
        <v>492</v>
      </c>
      <c r="L7" s="99"/>
      <c r="M7" s="99"/>
    </row>
    <row r="8" spans="2:14" ht="6" customHeight="1">
      <c r="B8" s="86"/>
      <c r="C8" s="86"/>
      <c r="D8" s="89"/>
      <c r="E8" s="95"/>
      <c r="F8" s="89"/>
      <c r="H8" s="99"/>
      <c r="I8" s="95"/>
      <c r="J8" s="89"/>
      <c r="L8" s="99"/>
      <c r="M8" s="99"/>
    </row>
    <row r="9" spans="2:14" s="105" customFormat="1" ht="13">
      <c r="B9" s="92" t="s">
        <v>269</v>
      </c>
      <c r="C9" s="92"/>
      <c r="D9" s="90">
        <f>SUM(D10:D11)</f>
        <v>216000</v>
      </c>
      <c r="E9" s="95"/>
      <c r="F9" s="90">
        <f>SUM(F10:F13)</f>
        <v>0</v>
      </c>
      <c r="H9" s="106">
        <f>$D$9-F9</f>
        <v>216000</v>
      </c>
      <c r="I9" s="95"/>
      <c r="J9" s="90">
        <f>SUM(J10:J13)</f>
        <v>0</v>
      </c>
      <c r="L9" s="106">
        <f>$D$9-J9</f>
        <v>216000</v>
      </c>
      <c r="M9" s="106"/>
    </row>
    <row r="10" spans="2:14" ht="13">
      <c r="B10" s="108" t="s">
        <v>269</v>
      </c>
      <c r="C10" s="86"/>
      <c r="D10" s="89">
        <f>'Expenditure Breakdown'!G13</f>
        <v>216000</v>
      </c>
      <c r="E10" s="95"/>
      <c r="F10" s="89"/>
      <c r="H10" s="99"/>
      <c r="I10" s="95"/>
      <c r="J10" s="89"/>
      <c r="L10" s="99"/>
      <c r="M10" s="99"/>
    </row>
    <row r="11" spans="2:14" ht="13">
      <c r="B11" s="108" t="s">
        <v>493</v>
      </c>
      <c r="C11" s="86"/>
      <c r="D11" s="89">
        <f>'Expenditure Breakdown'!G14</f>
        <v>0</v>
      </c>
      <c r="E11" s="95"/>
      <c r="F11" s="89"/>
      <c r="H11" s="99"/>
      <c r="I11" s="95"/>
      <c r="J11" s="89"/>
      <c r="L11" s="99"/>
      <c r="M11" s="99"/>
    </row>
    <row r="12" spans="2:14" ht="13">
      <c r="B12" s="108" t="s">
        <v>494</v>
      </c>
      <c r="C12" s="86"/>
      <c r="D12" s="89"/>
      <c r="E12" s="95"/>
      <c r="F12" s="89"/>
      <c r="H12" s="99"/>
      <c r="I12" s="95"/>
      <c r="J12" s="89"/>
      <c r="L12" s="99"/>
      <c r="M12" s="99"/>
    </row>
    <row r="13" spans="2:14" ht="13">
      <c r="B13" s="108" t="s">
        <v>495</v>
      </c>
      <c r="C13" s="86"/>
      <c r="D13" s="89"/>
      <c r="E13" s="95"/>
      <c r="F13" s="89"/>
      <c r="H13" s="99"/>
      <c r="I13" s="95"/>
      <c r="J13" s="89"/>
      <c r="L13" s="99"/>
      <c r="M13" s="99"/>
    </row>
    <row r="14" spans="2:14" ht="13">
      <c r="B14" s="86"/>
      <c r="C14" s="86"/>
      <c r="D14" s="89"/>
      <c r="E14" s="95"/>
      <c r="F14" s="89"/>
      <c r="H14" s="99"/>
      <c r="I14" s="95"/>
      <c r="J14" s="89"/>
      <c r="L14" s="99"/>
      <c r="M14" s="99"/>
    </row>
    <row r="15" spans="2:14" ht="13">
      <c r="B15" s="86"/>
      <c r="C15" s="86"/>
      <c r="D15" s="89"/>
      <c r="E15" s="95"/>
      <c r="F15" s="107" t="s">
        <v>492</v>
      </c>
      <c r="H15" s="99"/>
      <c r="I15" s="95"/>
      <c r="J15" s="107" t="s">
        <v>492</v>
      </c>
      <c r="L15" s="99"/>
      <c r="M15" s="99"/>
    </row>
    <row r="16" spans="2:14" ht="6" customHeight="1">
      <c r="B16" s="86"/>
      <c r="C16" s="86"/>
      <c r="D16" s="89"/>
      <c r="E16" s="95"/>
      <c r="F16" s="89"/>
      <c r="H16" s="99"/>
      <c r="I16" s="95"/>
      <c r="J16" s="89"/>
      <c r="L16" s="99"/>
      <c r="M16" s="99"/>
    </row>
    <row r="17" spans="2:13" s="105" customFormat="1" ht="13">
      <c r="B17" s="92" t="s">
        <v>496</v>
      </c>
      <c r="C17" s="92"/>
      <c r="D17" s="90">
        <f>SUM(D18:D19)</f>
        <v>132867</v>
      </c>
      <c r="E17" s="95"/>
      <c r="F17" s="90">
        <f>SUM(F18:F20)</f>
        <v>0</v>
      </c>
      <c r="H17" s="106">
        <f>$D$17- F17</f>
        <v>132867</v>
      </c>
      <c r="I17" s="95"/>
      <c r="J17" s="90">
        <f>SUM(J18:J20)</f>
        <v>0</v>
      </c>
      <c r="L17" s="106">
        <f>$D$17- J17</f>
        <v>132867</v>
      </c>
      <c r="M17" s="106"/>
    </row>
    <row r="18" spans="2:13">
      <c r="B18" s="108" t="s">
        <v>496</v>
      </c>
      <c r="C18" s="86"/>
      <c r="D18" s="89">
        <f>'Expenditure Breakdown'!G18</f>
        <v>132867</v>
      </c>
      <c r="E18" s="98"/>
      <c r="F18" s="89"/>
      <c r="H18" s="99"/>
      <c r="I18" s="98"/>
      <c r="J18" s="89"/>
      <c r="L18" s="99"/>
      <c r="M18" s="99"/>
    </row>
    <row r="19" spans="2:13">
      <c r="B19" s="108" t="s">
        <v>495</v>
      </c>
      <c r="C19" s="86"/>
      <c r="D19" s="89"/>
      <c r="E19" s="98"/>
      <c r="F19" s="89"/>
      <c r="H19" s="99"/>
      <c r="I19" s="98"/>
      <c r="J19" s="89"/>
      <c r="L19" s="99"/>
      <c r="M19" s="99"/>
    </row>
    <row r="20" spans="2:13">
      <c r="B20" s="86"/>
      <c r="C20" s="86"/>
      <c r="D20" s="89"/>
      <c r="E20" s="98"/>
      <c r="F20" s="89"/>
      <c r="H20" s="99"/>
      <c r="I20" s="98"/>
      <c r="J20" s="89"/>
      <c r="L20" s="99"/>
      <c r="M20" s="99"/>
    </row>
    <row r="21" spans="2:13" ht="13">
      <c r="B21" s="86"/>
      <c r="C21" s="86"/>
      <c r="D21" s="89"/>
      <c r="E21" s="95"/>
      <c r="F21" s="107" t="s">
        <v>492</v>
      </c>
      <c r="H21" s="99"/>
      <c r="I21" s="95"/>
      <c r="J21" s="107" t="s">
        <v>492</v>
      </c>
      <c r="L21" s="99"/>
      <c r="M21" s="99"/>
    </row>
    <row r="22" spans="2:13" ht="6" customHeight="1">
      <c r="B22" s="86"/>
      <c r="C22" s="86"/>
      <c r="D22" s="89"/>
      <c r="E22" s="95"/>
      <c r="F22" s="89"/>
      <c r="H22" s="99"/>
      <c r="I22" s="95"/>
      <c r="J22" s="89"/>
      <c r="L22" s="99"/>
      <c r="M22" s="99"/>
    </row>
    <row r="23" spans="2:13" s="105" customFormat="1" ht="13">
      <c r="B23" s="92" t="s">
        <v>497</v>
      </c>
      <c r="C23" s="92"/>
      <c r="D23" s="90">
        <f>SUM(D24:D25)</f>
        <v>154882</v>
      </c>
      <c r="E23" s="95"/>
      <c r="F23" s="90">
        <f>SUM(F24:F25)</f>
        <v>0</v>
      </c>
      <c r="H23" s="106">
        <f>$D$23- F23</f>
        <v>154882</v>
      </c>
      <c r="I23" s="95"/>
      <c r="J23" s="90">
        <f>SUM(J24:J25)</f>
        <v>0</v>
      </c>
      <c r="L23" s="106">
        <f>$D$23- J23</f>
        <v>154882</v>
      </c>
      <c r="M23" s="106"/>
    </row>
    <row r="24" spans="2:13">
      <c r="B24" s="108" t="s">
        <v>497</v>
      </c>
      <c r="C24" s="86"/>
      <c r="D24" s="89">
        <f>'Expenditure Breakdown'!G25</f>
        <v>154882</v>
      </c>
      <c r="E24" s="98"/>
      <c r="F24" s="89"/>
      <c r="H24" s="99"/>
      <c r="I24" s="98"/>
      <c r="J24" s="89"/>
      <c r="L24" s="99"/>
      <c r="M24" s="99"/>
    </row>
    <row r="25" spans="2:13" s="105" customFormat="1" ht="13">
      <c r="B25" s="108" t="s">
        <v>495</v>
      </c>
      <c r="C25" s="92"/>
      <c r="D25" s="90"/>
      <c r="E25" s="95"/>
      <c r="F25" s="90"/>
      <c r="H25" s="106"/>
      <c r="I25" s="95"/>
      <c r="J25" s="90"/>
      <c r="L25" s="106"/>
      <c r="M25" s="106"/>
    </row>
    <row r="26" spans="2:13">
      <c r="B26" s="86"/>
      <c r="C26" s="86"/>
      <c r="D26" s="89"/>
      <c r="E26" s="98"/>
      <c r="F26" s="89"/>
      <c r="H26" s="99"/>
      <c r="I26" s="98"/>
      <c r="J26" s="89"/>
      <c r="L26" s="99"/>
      <c r="M26" s="99"/>
    </row>
    <row r="27" spans="2:13" ht="13">
      <c r="B27" s="86"/>
      <c r="C27" s="86"/>
      <c r="D27" s="89"/>
      <c r="E27" s="98"/>
      <c r="F27" s="107" t="s">
        <v>492</v>
      </c>
      <c r="H27" s="99"/>
      <c r="I27" s="95"/>
      <c r="J27" s="107" t="s">
        <v>492</v>
      </c>
      <c r="L27" s="99"/>
      <c r="M27" s="99"/>
    </row>
    <row r="28" spans="2:13" ht="6" customHeight="1">
      <c r="B28" s="86"/>
      <c r="C28" s="86"/>
      <c r="D28" s="89"/>
      <c r="E28" s="95"/>
      <c r="F28" s="89"/>
      <c r="H28" s="99"/>
      <c r="I28" s="95"/>
      <c r="J28" s="89"/>
      <c r="L28" s="99"/>
      <c r="M28" s="99"/>
    </row>
    <row r="29" spans="2:13" s="105" customFormat="1" ht="13">
      <c r="B29" s="92" t="s">
        <v>498</v>
      </c>
      <c r="C29" s="92"/>
      <c r="D29" s="90" t="e">
        <f>SUM(D30:D32)</f>
        <v>#REF!</v>
      </c>
      <c r="E29" s="95"/>
      <c r="F29" s="90">
        <f>SUM(F30:F42)</f>
        <v>0</v>
      </c>
      <c r="H29" s="106" t="e">
        <f>$D$29-F29</f>
        <v>#REF!</v>
      </c>
      <c r="I29" s="95"/>
      <c r="J29" s="90">
        <f>SUM(J30:J32)</f>
        <v>0</v>
      </c>
      <c r="L29" s="106" t="e">
        <f>$D$29-J29</f>
        <v>#REF!</v>
      </c>
      <c r="M29" s="106"/>
    </row>
    <row r="30" spans="2:13">
      <c r="B30" s="108" t="str">
        <f>'Expenditure Breakdown'!D34</f>
        <v>Solarlog</v>
      </c>
      <c r="C30" s="86"/>
      <c r="D30" s="89">
        <f>'Expenditure Breakdown'!G34</f>
        <v>26000</v>
      </c>
      <c r="E30" s="98"/>
      <c r="F30" s="89"/>
      <c r="H30" s="99"/>
      <c r="I30" s="98"/>
      <c r="J30" s="89"/>
      <c r="L30" s="99"/>
      <c r="M30" s="99"/>
    </row>
    <row r="31" spans="2:13">
      <c r="B31" s="108" t="e">
        <f>'Expenditure Breakdown'!#REF!</f>
        <v>#REF!</v>
      </c>
      <c r="C31" s="86"/>
      <c r="D31" s="89" t="e">
        <f>'Expenditure Breakdown'!#REF!</f>
        <v>#REF!</v>
      </c>
      <c r="E31" s="98"/>
      <c r="F31" s="89"/>
      <c r="H31" s="99"/>
      <c r="I31" s="98"/>
      <c r="J31" s="89"/>
      <c r="L31" s="99"/>
      <c r="M31" s="99"/>
    </row>
    <row r="32" spans="2:13">
      <c r="B32" s="108" t="s">
        <v>495</v>
      </c>
      <c r="C32" s="86"/>
      <c r="D32" s="89"/>
      <c r="E32" s="98"/>
      <c r="F32" s="89"/>
      <c r="H32" s="99"/>
      <c r="I32" s="98"/>
      <c r="J32" s="89"/>
      <c r="L32" s="99"/>
      <c r="M32" s="99"/>
    </row>
    <row r="33" spans="2:13">
      <c r="B33" s="108"/>
      <c r="C33" s="86"/>
      <c r="D33" s="89"/>
      <c r="E33" s="98"/>
      <c r="F33" s="89"/>
      <c r="H33" s="99"/>
      <c r="I33" s="98"/>
      <c r="J33" s="89"/>
      <c r="L33" s="99"/>
      <c r="M33" s="99"/>
    </row>
    <row r="34" spans="2:13" ht="13">
      <c r="B34" s="86"/>
      <c r="C34" s="86"/>
      <c r="D34" s="89"/>
      <c r="E34" s="98"/>
      <c r="F34" s="107" t="s">
        <v>492</v>
      </c>
      <c r="H34" s="99"/>
      <c r="I34" s="95"/>
      <c r="J34" s="107" t="s">
        <v>492</v>
      </c>
      <c r="L34" s="99"/>
      <c r="M34" s="99"/>
    </row>
    <row r="35" spans="2:13" ht="13">
      <c r="B35" s="86"/>
      <c r="C35" s="86"/>
      <c r="D35" s="89"/>
      <c r="E35" s="95"/>
      <c r="F35" s="89"/>
      <c r="H35" s="99"/>
      <c r="I35" s="95"/>
      <c r="J35" s="89"/>
      <c r="L35" s="99"/>
      <c r="M35" s="99"/>
    </row>
    <row r="36" spans="2:13" s="105" customFormat="1" ht="13">
      <c r="B36" s="92" t="s">
        <v>499</v>
      </c>
      <c r="C36" s="92"/>
      <c r="D36" s="90">
        <f>SUM(D37:D41)</f>
        <v>0</v>
      </c>
      <c r="E36" s="95"/>
      <c r="F36" s="90">
        <f>SUM(F37:F41)</f>
        <v>0</v>
      </c>
      <c r="H36" s="106" t="e">
        <f>$D$29-F36</f>
        <v>#REF!</v>
      </c>
      <c r="I36" s="95"/>
      <c r="J36" s="90">
        <f>SUM(J37:J41)</f>
        <v>0</v>
      </c>
      <c r="L36" s="106" t="e">
        <f>$D$29-J36</f>
        <v>#REF!</v>
      </c>
      <c r="M36" s="106"/>
    </row>
    <row r="37" spans="2:13">
      <c r="B37" s="108" t="s">
        <v>500</v>
      </c>
      <c r="C37" s="86"/>
      <c r="D37" s="89">
        <f>'Expenditure Breakdown'!G76</f>
        <v>0</v>
      </c>
      <c r="E37" s="98"/>
      <c r="F37" s="89"/>
      <c r="H37" s="99"/>
      <c r="I37" s="98"/>
      <c r="J37" s="89"/>
      <c r="L37" s="99"/>
      <c r="M37" s="99"/>
    </row>
    <row r="38" spans="2:13">
      <c r="B38" s="108" t="s">
        <v>501</v>
      </c>
      <c r="C38" s="86"/>
      <c r="D38" s="89"/>
      <c r="E38" s="98"/>
      <c r="F38" s="89"/>
      <c r="H38" s="99"/>
      <c r="I38" s="98"/>
      <c r="J38" s="89"/>
      <c r="L38" s="99"/>
      <c r="M38" s="99"/>
    </row>
    <row r="39" spans="2:13">
      <c r="B39" s="108" t="s">
        <v>502</v>
      </c>
      <c r="C39" s="86"/>
      <c r="D39" s="89"/>
      <c r="E39" s="98"/>
      <c r="F39" s="89"/>
      <c r="H39" s="99"/>
      <c r="I39" s="98"/>
      <c r="J39" s="89"/>
      <c r="L39" s="99"/>
      <c r="M39" s="99"/>
    </row>
    <row r="40" spans="2:13">
      <c r="B40" s="108" t="s">
        <v>503</v>
      </c>
      <c r="C40" s="86"/>
      <c r="D40" s="89"/>
      <c r="E40" s="98"/>
      <c r="F40" s="89"/>
      <c r="H40" s="99"/>
      <c r="I40" s="98"/>
      <c r="J40" s="89"/>
      <c r="L40" s="99"/>
      <c r="M40" s="99"/>
    </row>
    <row r="41" spans="2:13">
      <c r="B41" s="108" t="s">
        <v>504</v>
      </c>
      <c r="C41" s="86"/>
      <c r="D41" s="89"/>
      <c r="E41" s="98"/>
      <c r="F41" s="89"/>
      <c r="H41" s="99"/>
      <c r="I41" s="98"/>
      <c r="J41" s="89"/>
      <c r="L41" s="99"/>
      <c r="M41" s="99"/>
    </row>
    <row r="42" spans="2:13" ht="13">
      <c r="B42" s="100"/>
      <c r="C42" s="86"/>
      <c r="D42" s="97"/>
      <c r="E42" s="98"/>
      <c r="F42" s="97"/>
      <c r="I42" s="98"/>
      <c r="J42" s="97"/>
    </row>
    <row r="43" spans="2:13" ht="13">
      <c r="B43" s="92" t="s">
        <v>505</v>
      </c>
      <c r="C43" s="92"/>
      <c r="D43" s="90" t="e">
        <f>D36+D29+D23+D17+D9</f>
        <v>#REF!</v>
      </c>
      <c r="E43" s="95"/>
      <c r="F43" s="90"/>
      <c r="H43" s="101" t="e">
        <f>SUM(H7:H42)</f>
        <v>#REF!</v>
      </c>
      <c r="I43" s="95"/>
      <c r="J43" s="90"/>
      <c r="L43" s="101" t="e">
        <f>SUM(L7:L42)</f>
        <v>#REF!</v>
      </c>
      <c r="M43" s="90"/>
    </row>
    <row r="47" spans="2:13">
      <c r="B47" s="86" t="s">
        <v>506</v>
      </c>
    </row>
  </sheetData>
  <mergeCells count="1">
    <mergeCell ref="B2:N2"/>
  </mergeCells>
  <conditionalFormatting sqref="H6:H41">
    <cfRule type="cellIs" dxfId="14" priority="1" operator="greaterThan">
      <formula>0</formula>
    </cfRule>
    <cfRule type="cellIs" dxfId="13" priority="2" operator="lessThan">
      <formula>0</formula>
    </cfRule>
  </conditionalFormatting>
  <conditionalFormatting sqref="L6:M41">
    <cfRule type="cellIs" dxfId="12" priority="3" operator="greaterThan">
      <formula>0</formula>
    </cfRule>
    <cfRule type="cellIs" dxfId="11" priority="4" operator="less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A8C13-28E6-419F-BEEC-BBA854EA5F65}">
  <sheetPr codeName="Sheet13"/>
  <dimension ref="B2:O47"/>
  <sheetViews>
    <sheetView showGridLines="0" zoomScale="115" zoomScaleNormal="115" workbookViewId="0">
      <selection activeCell="K44" sqref="K44"/>
    </sheetView>
  </sheetViews>
  <sheetFormatPr defaultColWidth="9.26953125" defaultRowHeight="12.5"/>
  <cols>
    <col min="1" max="1" width="9.26953125" style="88"/>
    <col min="2" max="2" width="22.26953125" style="88" customWidth="1"/>
    <col min="3" max="3" width="4.26953125" style="88" customWidth="1"/>
    <col min="4" max="4" width="14.26953125" style="88" bestFit="1" customWidth="1"/>
    <col min="5" max="5" width="7" style="88" customWidth="1"/>
    <col min="6" max="6" width="3.26953125" style="88" customWidth="1"/>
    <col min="7" max="7" width="18.26953125" style="88" customWidth="1"/>
    <col min="8" max="8" width="9.26953125" style="88" bestFit="1" customWidth="1"/>
    <col min="9" max="9" width="2" style="88" customWidth="1"/>
    <col min="10" max="10" width="14.26953125" style="88" bestFit="1" customWidth="1"/>
    <col min="11" max="11" width="2.26953125" style="88" customWidth="1"/>
    <col min="12" max="12" width="20.26953125" style="88" customWidth="1"/>
    <col min="13" max="13" width="9.26953125" style="88" bestFit="1" customWidth="1"/>
    <col min="14" max="14" width="1" style="88" customWidth="1"/>
    <col min="15" max="15" width="14.26953125" style="88" bestFit="1" customWidth="1"/>
    <col min="16" max="16384" width="9.26953125" style="88"/>
  </cols>
  <sheetData>
    <row r="2" spans="2:15" s="94" customFormat="1" ht="18">
      <c r="B2" s="1056" t="s">
        <v>507</v>
      </c>
      <c r="C2" s="1056"/>
      <c r="D2" s="1056"/>
      <c r="E2" s="1056"/>
      <c r="F2" s="1056"/>
      <c r="G2" s="1056"/>
      <c r="H2" s="1056"/>
      <c r="I2" s="1056"/>
      <c r="J2" s="1056"/>
      <c r="K2" s="1056"/>
      <c r="L2" s="1056"/>
      <c r="M2" s="1056"/>
      <c r="N2" s="1056"/>
      <c r="O2" s="1056"/>
    </row>
    <row r="4" spans="2:15" ht="13">
      <c r="B4" s="92" t="s">
        <v>486</v>
      </c>
      <c r="C4" s="86"/>
      <c r="D4" s="90" t="s">
        <v>487</v>
      </c>
      <c r="E4" s="95"/>
      <c r="F4" s="95"/>
      <c r="G4" s="90" t="s">
        <v>508</v>
      </c>
      <c r="H4" s="96"/>
      <c r="J4" s="90" t="s">
        <v>489</v>
      </c>
      <c r="L4" s="90" t="s">
        <v>509</v>
      </c>
      <c r="M4" s="96"/>
      <c r="O4" s="90" t="s">
        <v>489</v>
      </c>
    </row>
    <row r="5" spans="2:15" ht="5.25" customHeight="1">
      <c r="B5" s="97"/>
      <c r="C5" s="86"/>
      <c r="D5" s="97"/>
      <c r="E5" s="98"/>
      <c r="F5" s="98"/>
      <c r="G5" s="97"/>
      <c r="H5" s="87"/>
      <c r="J5" s="97"/>
      <c r="L5" s="97"/>
      <c r="M5" s="87"/>
      <c r="O5" s="97"/>
    </row>
    <row r="6" spans="2:15" ht="13">
      <c r="B6" s="86" t="s">
        <v>510</v>
      </c>
      <c r="C6" s="86"/>
      <c r="D6" s="89">
        <f>'Expenditure Breakdown'!C87</f>
        <v>0</v>
      </c>
      <c r="E6" s="95">
        <f>D6/(1000*'Project Plan'!$E$3)</f>
        <v>0</v>
      </c>
      <c r="F6" s="95"/>
      <c r="G6" s="89"/>
      <c r="H6" s="96">
        <f>G6/('Project Plan'!$E$3*1000)</f>
        <v>0</v>
      </c>
      <c r="J6" s="99">
        <f>D6-G6</f>
        <v>0</v>
      </c>
      <c r="L6" s="89"/>
      <c r="M6" s="96">
        <f>L6/('Project Plan'!$E$3*1000)</f>
        <v>0</v>
      </c>
      <c r="O6" s="99">
        <f>D6-L6</f>
        <v>0</v>
      </c>
    </row>
    <row r="7" spans="2:15" ht="13">
      <c r="B7" s="86" t="s">
        <v>511</v>
      </c>
      <c r="C7" s="86"/>
      <c r="D7" s="89">
        <f>'Expenditure Breakdown'!C88</f>
        <v>209475</v>
      </c>
      <c r="E7" s="95">
        <f>D7/(1000*'Project Plan'!$E$3)</f>
        <v>0.59850000000000003</v>
      </c>
      <c r="F7" s="95"/>
      <c r="G7" s="89"/>
      <c r="H7" s="96">
        <f>G7/('Project Plan'!$E$3*1000)</f>
        <v>0</v>
      </c>
      <c r="J7" s="99">
        <f t="shared" ref="J7:J12" si="0">D7-G7</f>
        <v>209475</v>
      </c>
      <c r="L7" s="89"/>
      <c r="M7" s="96">
        <f>L7/('Project Plan'!$E$3*1000)</f>
        <v>0</v>
      </c>
      <c r="O7" s="99">
        <f t="shared" ref="O7:O12" si="1">D7-L7</f>
        <v>209475</v>
      </c>
    </row>
    <row r="8" spans="2:15" ht="13">
      <c r="B8" s="86" t="s">
        <v>512</v>
      </c>
      <c r="C8" s="86"/>
      <c r="D8" s="89">
        <f>'Expenditure Breakdown'!C53</f>
        <v>0</v>
      </c>
      <c r="E8" s="95">
        <f>D8/(1000*'Project Plan'!$E$3)</f>
        <v>0</v>
      </c>
      <c r="F8" s="95"/>
      <c r="G8" s="89"/>
      <c r="H8" s="96">
        <f>G8/('Project Plan'!$E$3*1000)</f>
        <v>0</v>
      </c>
      <c r="J8" s="99">
        <f t="shared" si="0"/>
        <v>0</v>
      </c>
      <c r="L8" s="89"/>
      <c r="M8" s="96">
        <f>L8/('Project Plan'!$E$3*1000)</f>
        <v>0</v>
      </c>
      <c r="O8" s="99">
        <f t="shared" si="1"/>
        <v>0</v>
      </c>
    </row>
    <row r="9" spans="2:15" ht="13">
      <c r="B9" s="86" t="s">
        <v>513</v>
      </c>
      <c r="C9" s="86"/>
      <c r="D9" s="89">
        <f>SUM('Expenditure Breakdown'!G30:G31)</f>
        <v>142285.5</v>
      </c>
      <c r="E9" s="95">
        <f>D9/(1000*'Project Plan'!$E$3)</f>
        <v>0.40653</v>
      </c>
      <c r="F9" s="95"/>
      <c r="G9" s="89"/>
      <c r="H9" s="96">
        <f>G9/('Project Plan'!$E$3*1000)</f>
        <v>0</v>
      </c>
      <c r="J9" s="99">
        <f t="shared" si="0"/>
        <v>142285.5</v>
      </c>
      <c r="L9" s="89"/>
      <c r="M9" s="96">
        <f>L9/('Project Plan'!$E$3*1000)</f>
        <v>0</v>
      </c>
      <c r="O9" s="99">
        <f t="shared" si="1"/>
        <v>142285.5</v>
      </c>
    </row>
    <row r="10" spans="2:15">
      <c r="B10" s="86" t="s">
        <v>514</v>
      </c>
      <c r="C10" s="86"/>
      <c r="D10" s="89">
        <f>'Expenditure Breakdown'!G108</f>
        <v>0</v>
      </c>
      <c r="E10" s="98"/>
      <c r="F10" s="98"/>
      <c r="G10" s="89"/>
      <c r="H10" s="91"/>
      <c r="J10" s="99">
        <f t="shared" si="0"/>
        <v>0</v>
      </c>
      <c r="L10" s="89"/>
      <c r="M10" s="91"/>
      <c r="O10" s="99">
        <f t="shared" si="1"/>
        <v>0</v>
      </c>
    </row>
    <row r="11" spans="2:15">
      <c r="B11" s="86" t="s">
        <v>515</v>
      </c>
      <c r="C11" s="86"/>
      <c r="D11" s="89">
        <f>SUM('Expenditure Breakdown'!G95:G100)</f>
        <v>60622.9</v>
      </c>
      <c r="E11" s="98"/>
      <c r="F11" s="98"/>
      <c r="G11" s="89"/>
      <c r="H11" s="91"/>
      <c r="J11" s="99">
        <f t="shared" si="0"/>
        <v>60622.9</v>
      </c>
      <c r="L11" s="89"/>
      <c r="M11" s="91"/>
      <c r="O11" s="99">
        <f t="shared" si="1"/>
        <v>60622.9</v>
      </c>
    </row>
    <row r="12" spans="2:15">
      <c r="B12" s="86" t="s">
        <v>268</v>
      </c>
      <c r="C12" s="86"/>
      <c r="D12" s="89">
        <f>'Expenditure Breakdown'!G102</f>
        <v>0</v>
      </c>
      <c r="E12" s="98"/>
      <c r="F12" s="98"/>
      <c r="G12" s="89"/>
      <c r="H12" s="91"/>
      <c r="J12" s="99">
        <f t="shared" si="0"/>
        <v>0</v>
      </c>
      <c r="L12" s="89"/>
      <c r="M12" s="91"/>
      <c r="O12" s="99">
        <f t="shared" si="1"/>
        <v>0</v>
      </c>
    </row>
    <row r="13" spans="2:15">
      <c r="B13" s="86"/>
      <c r="C13" s="86"/>
      <c r="D13" s="89"/>
      <c r="E13" s="98"/>
      <c r="F13" s="98"/>
      <c r="G13" s="89"/>
      <c r="H13" s="91"/>
      <c r="J13" s="99"/>
      <c r="L13" s="89"/>
      <c r="M13" s="91"/>
      <c r="O13" s="99"/>
    </row>
    <row r="14" spans="2:15" ht="13">
      <c r="B14" s="100"/>
      <c r="C14" s="86"/>
      <c r="D14" s="97"/>
      <c r="E14" s="98"/>
      <c r="F14" s="98"/>
      <c r="G14" s="97"/>
      <c r="H14" s="87"/>
      <c r="L14" s="97"/>
      <c r="M14" s="87"/>
    </row>
    <row r="15" spans="2:15" ht="13">
      <c r="B15" s="92" t="s">
        <v>505</v>
      </c>
      <c r="C15" s="92"/>
      <c r="D15" s="90">
        <f>SUM(D6:D13)</f>
        <v>412383.4</v>
      </c>
      <c r="E15" s="95"/>
      <c r="F15" s="95"/>
      <c r="G15" s="90">
        <f>SUM(G6:G13)</f>
        <v>0</v>
      </c>
      <c r="H15" s="96"/>
      <c r="J15" s="101">
        <f>SUM(J6:J14)</f>
        <v>412383.4</v>
      </c>
      <c r="L15" s="90">
        <f>SUM(L6:L13)</f>
        <v>0</v>
      </c>
      <c r="M15" s="96"/>
      <c r="O15" s="101">
        <f>SUM(O6:O14)</f>
        <v>412383.4</v>
      </c>
    </row>
    <row r="16" spans="2:15" ht="13">
      <c r="B16" s="92"/>
      <c r="C16" s="92"/>
      <c r="D16" s="90"/>
      <c r="E16" s="95"/>
      <c r="F16" s="95"/>
      <c r="G16" s="90"/>
      <c r="H16" s="96"/>
      <c r="J16" s="90"/>
      <c r="L16" s="90"/>
      <c r="M16" s="96"/>
      <c r="O16" s="90"/>
    </row>
    <row r="17" spans="2:15" ht="13">
      <c r="B17" s="92"/>
      <c r="C17" s="92"/>
      <c r="D17" s="90"/>
      <c r="E17" s="95"/>
      <c r="F17" s="95"/>
      <c r="G17" s="90"/>
      <c r="H17" s="96"/>
      <c r="J17" s="90"/>
      <c r="L17" s="90"/>
      <c r="M17" s="96"/>
      <c r="O17" s="90"/>
    </row>
    <row r="18" spans="2:15" ht="13">
      <c r="B18" s="92" t="s">
        <v>486</v>
      </c>
      <c r="C18" s="86"/>
      <c r="D18" s="90" t="s">
        <v>487</v>
      </c>
      <c r="E18" s="95"/>
      <c r="F18" s="95"/>
      <c r="G18" s="90" t="s">
        <v>516</v>
      </c>
      <c r="H18" s="96"/>
      <c r="J18" s="90" t="s">
        <v>489</v>
      </c>
      <c r="L18" s="90" t="s">
        <v>517</v>
      </c>
      <c r="M18" s="96"/>
      <c r="O18" s="90" t="s">
        <v>489</v>
      </c>
    </row>
    <row r="19" spans="2:15" ht="7.5" customHeight="1">
      <c r="B19" s="97"/>
      <c r="C19" s="86"/>
      <c r="D19" s="97"/>
      <c r="E19" s="98"/>
      <c r="F19" s="98"/>
      <c r="G19" s="97"/>
      <c r="H19" s="87"/>
      <c r="J19" s="97"/>
      <c r="L19" s="97"/>
      <c r="M19" s="87"/>
      <c r="O19" s="97"/>
    </row>
    <row r="20" spans="2:15" ht="13">
      <c r="B20" s="86" t="s">
        <v>510</v>
      </c>
      <c r="C20" s="86"/>
      <c r="D20" s="89">
        <f>'Expenditure Breakdown'!C87</f>
        <v>0</v>
      </c>
      <c r="E20" s="95">
        <f>D20/(1000*'Project Plan'!$E$3)</f>
        <v>0</v>
      </c>
      <c r="F20" s="95"/>
      <c r="G20" s="89"/>
      <c r="H20" s="96">
        <f>G20/(1000*'Project Plan'!$E$3)</f>
        <v>0</v>
      </c>
      <c r="J20" s="99">
        <f>D20-G20</f>
        <v>0</v>
      </c>
      <c r="L20" s="89"/>
      <c r="M20" s="96">
        <f>L20/(1000*'Project Plan'!$E$3)</f>
        <v>0</v>
      </c>
      <c r="O20" s="99">
        <f>D6-L20</f>
        <v>0</v>
      </c>
    </row>
    <row r="21" spans="2:15" ht="13">
      <c r="B21" s="86" t="s">
        <v>511</v>
      </c>
      <c r="C21" s="86"/>
      <c r="D21" s="89">
        <f>'Expenditure Breakdown'!C53</f>
        <v>0</v>
      </c>
      <c r="E21" s="95">
        <f>D21/(1000*'Project Plan'!$E$3)</f>
        <v>0</v>
      </c>
      <c r="F21" s="95"/>
      <c r="G21" s="89"/>
      <c r="H21" s="96"/>
      <c r="J21" s="99">
        <f t="shared" ref="J21:J26" si="2">D21-G21</f>
        <v>0</v>
      </c>
      <c r="L21" s="89"/>
      <c r="M21" s="96">
        <f>L21/(1000*'Project Plan'!$E$3)</f>
        <v>0</v>
      </c>
      <c r="O21" s="99">
        <f t="shared" ref="O21:O26" si="3">D7-L21</f>
        <v>209475</v>
      </c>
    </row>
    <row r="22" spans="2:15" ht="13">
      <c r="B22" s="86" t="s">
        <v>512</v>
      </c>
      <c r="C22" s="86"/>
      <c r="D22" s="89">
        <f>'Expenditure Breakdown'!C88</f>
        <v>209475</v>
      </c>
      <c r="E22" s="95">
        <f>D22/(1000*'Project Plan'!$E$3)</f>
        <v>0.59850000000000003</v>
      </c>
      <c r="F22" s="95"/>
      <c r="G22" s="89"/>
      <c r="H22" s="96">
        <f>G22/(1000*'Project Plan'!$E$3)</f>
        <v>0</v>
      </c>
      <c r="J22" s="99">
        <f t="shared" si="2"/>
        <v>209475</v>
      </c>
      <c r="L22" s="89"/>
      <c r="M22" s="96">
        <f>L22/(1000*'Project Plan'!$E$3)</f>
        <v>0</v>
      </c>
      <c r="O22" s="99">
        <f t="shared" si="3"/>
        <v>0</v>
      </c>
    </row>
    <row r="23" spans="2:15" ht="13">
      <c r="B23" s="86" t="s">
        <v>513</v>
      </c>
      <c r="C23" s="86"/>
      <c r="D23" s="89">
        <f>SUM('Expenditure Breakdown'!G30:G31)</f>
        <v>142285.5</v>
      </c>
      <c r="E23" s="95">
        <f>D23/(1000*'Project Plan'!$E$3)</f>
        <v>0.40653</v>
      </c>
      <c r="F23" s="95"/>
      <c r="G23" s="89"/>
      <c r="H23" s="96"/>
      <c r="J23" s="99">
        <f t="shared" si="2"/>
        <v>142285.5</v>
      </c>
      <c r="L23" s="89"/>
      <c r="M23" s="96"/>
      <c r="O23" s="99">
        <f t="shared" si="3"/>
        <v>142285.5</v>
      </c>
    </row>
    <row r="24" spans="2:15">
      <c r="B24" s="86" t="s">
        <v>514</v>
      </c>
      <c r="C24" s="86"/>
      <c r="D24" s="89">
        <f>'Expenditure Breakdown'!G108</f>
        <v>0</v>
      </c>
      <c r="E24" s="98"/>
      <c r="F24" s="98"/>
      <c r="G24" s="89"/>
      <c r="H24" s="91"/>
      <c r="J24" s="99">
        <f t="shared" si="2"/>
        <v>0</v>
      </c>
      <c r="L24" s="89"/>
      <c r="M24" s="91"/>
      <c r="O24" s="99">
        <f t="shared" si="3"/>
        <v>0</v>
      </c>
    </row>
    <row r="25" spans="2:15">
      <c r="B25" s="86" t="s">
        <v>515</v>
      </c>
      <c r="C25" s="86"/>
      <c r="D25" s="89">
        <f>SUM('Expenditure Breakdown'!G95:G100)</f>
        <v>60622.9</v>
      </c>
      <c r="E25" s="98"/>
      <c r="F25" s="98"/>
      <c r="G25" s="89"/>
      <c r="H25" s="91"/>
      <c r="J25" s="99">
        <f t="shared" si="2"/>
        <v>60622.9</v>
      </c>
      <c r="L25" s="89"/>
      <c r="M25" s="91"/>
      <c r="O25" s="99">
        <f t="shared" si="3"/>
        <v>60622.9</v>
      </c>
    </row>
    <row r="26" spans="2:15">
      <c r="B26" s="86" t="s">
        <v>268</v>
      </c>
      <c r="C26" s="86"/>
      <c r="D26" s="89">
        <f>'Expenditure Breakdown'!G102</f>
        <v>0</v>
      </c>
      <c r="E26" s="98"/>
      <c r="F26" s="98"/>
      <c r="G26" s="89"/>
      <c r="H26" s="91"/>
      <c r="J26" s="99">
        <f t="shared" si="2"/>
        <v>0</v>
      </c>
      <c r="L26" s="89"/>
      <c r="M26" s="91"/>
      <c r="O26" s="99">
        <f t="shared" si="3"/>
        <v>0</v>
      </c>
    </row>
    <row r="27" spans="2:15">
      <c r="B27" s="86"/>
      <c r="C27" s="86"/>
      <c r="D27" s="89"/>
      <c r="E27" s="98"/>
      <c r="F27" s="98"/>
      <c r="G27" s="89"/>
      <c r="H27" s="91"/>
      <c r="J27" s="99"/>
      <c r="L27" s="89"/>
      <c r="M27" s="91"/>
      <c r="O27" s="99"/>
    </row>
    <row r="28" spans="2:15" ht="13">
      <c r="B28" s="100"/>
      <c r="C28" s="86"/>
      <c r="D28" s="97"/>
      <c r="E28" s="98"/>
      <c r="F28" s="98"/>
      <c r="G28" s="97"/>
      <c r="H28" s="87"/>
      <c r="L28" s="97"/>
      <c r="M28" s="87"/>
    </row>
    <row r="29" spans="2:15" ht="13">
      <c r="B29" s="92" t="s">
        <v>505</v>
      </c>
      <c r="C29" s="92"/>
      <c r="D29" s="90">
        <f>SUM(D20:D27)</f>
        <v>412383.4</v>
      </c>
      <c r="E29" s="95"/>
      <c r="F29" s="95"/>
      <c r="G29" s="90">
        <f>SUM(G20:G27)</f>
        <v>0</v>
      </c>
      <c r="H29" s="96"/>
      <c r="J29" s="101">
        <f>SUM(J20:J28)</f>
        <v>412383.4</v>
      </c>
      <c r="L29" s="90">
        <f>SUM(L20:L27)</f>
        <v>0</v>
      </c>
      <c r="M29" s="96"/>
      <c r="O29" s="101">
        <f>SUM(O20:O28)</f>
        <v>412383.4</v>
      </c>
    </row>
    <row r="32" spans="2:15" ht="13.5" thickBot="1">
      <c r="B32" s="102" t="s">
        <v>518</v>
      </c>
      <c r="C32" s="103"/>
      <c r="D32" s="103"/>
    </row>
    <row r="33" spans="2:10" ht="13" thickTop="1"/>
    <row r="34" spans="2:10">
      <c r="B34" s="88" t="s">
        <v>487</v>
      </c>
      <c r="D34" s="99">
        <f>D15</f>
        <v>412383.4</v>
      </c>
    </row>
    <row r="35" spans="2:10">
      <c r="B35" s="99" t="str">
        <f>G4</f>
        <v>Cosmic Sun</v>
      </c>
      <c r="D35" s="99">
        <f>G15</f>
        <v>0</v>
      </c>
    </row>
    <row r="36" spans="2:10">
      <c r="B36" s="99" t="str">
        <f>L4</f>
        <v>&gt;Installer Name 2&lt;</v>
      </c>
      <c r="D36" s="99">
        <f>L15</f>
        <v>0</v>
      </c>
    </row>
    <row r="37" spans="2:10">
      <c r="B37" s="99" t="str">
        <f>G18</f>
        <v>&gt;Installer Name 3&lt;</v>
      </c>
      <c r="D37" s="99">
        <f>G29</f>
        <v>0</v>
      </c>
    </row>
    <row r="38" spans="2:10">
      <c r="B38" s="99" t="str">
        <f>L18</f>
        <v>&gt;Installer Name 4&lt;</v>
      </c>
      <c r="D38" s="99">
        <f>L29</f>
        <v>0</v>
      </c>
    </row>
    <row r="39" spans="2:10" ht="13" thickBot="1">
      <c r="B39" s="104"/>
      <c r="C39" s="103"/>
      <c r="D39" s="103"/>
    </row>
    <row r="40" spans="2:10" ht="13.5" thickTop="1">
      <c r="B40" s="105" t="str">
        <f>IF(D40&lt;D34,"Saving","Loss")</f>
        <v>Loss</v>
      </c>
      <c r="C40" s="105"/>
      <c r="D40" s="106">
        <f>D34-MIN(D35:D38)</f>
        <v>412383.4</v>
      </c>
    </row>
    <row r="41" spans="2:10" ht="13">
      <c r="B41" s="105"/>
      <c r="C41" s="105"/>
      <c r="D41" s="106"/>
    </row>
    <row r="42" spans="2:10">
      <c r="B42" s="86" t="s">
        <v>519</v>
      </c>
    </row>
    <row r="45" spans="2:10">
      <c r="G45" s="88" t="s">
        <v>520</v>
      </c>
      <c r="H45" s="88" t="s">
        <v>521</v>
      </c>
      <c r="J45" s="88" t="s">
        <v>520</v>
      </c>
    </row>
    <row r="46" spans="2:10">
      <c r="G46" s="88" t="s">
        <v>522</v>
      </c>
      <c r="H46" s="88" t="s">
        <v>523</v>
      </c>
      <c r="J46" s="88" t="s">
        <v>524</v>
      </c>
    </row>
    <row r="47" spans="2:10">
      <c r="G47" s="88">
        <f>1815/550</f>
        <v>3.3</v>
      </c>
      <c r="H47" s="88">
        <f>(987483.75/674)/555</f>
        <v>2.6398367952522253</v>
      </c>
      <c r="J47" s="88">
        <f>1487.4/555</f>
        <v>2.68</v>
      </c>
    </row>
  </sheetData>
  <mergeCells count="1">
    <mergeCell ref="B2:O2"/>
  </mergeCells>
  <conditionalFormatting sqref="D35:D38">
    <cfRule type="cellIs" dxfId="10" priority="1" operator="lessThan">
      <formula>$D$22</formula>
    </cfRule>
    <cfRule type="cellIs" dxfId="9" priority="2" operator="greaterThan">
      <formula>$D$22</formula>
    </cfRule>
    <cfRule type="cellIs" dxfId="8" priority="3" operator="lessThan">
      <formula>$D$24</formula>
    </cfRule>
    <cfRule type="cellIs" dxfId="7" priority="4" operator="greaterThan">
      <formula>$D$24</formula>
    </cfRule>
  </conditionalFormatting>
  <conditionalFormatting sqref="J6:J13 O6:O13 J20:J27 O20:O27">
    <cfRule type="cellIs" dxfId="6" priority="21" operator="lessThan">
      <formula>0</formula>
    </cfRule>
    <cfRule type="cellIs" dxfId="5" priority="22" operator="greater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D83A89-1F3E-4543-85C5-EE5FB435DEE5}">
  <sheetPr codeName="Sheet14">
    <pageSetUpPr fitToPage="1"/>
  </sheetPr>
  <dimension ref="A1:AB231"/>
  <sheetViews>
    <sheetView zoomScale="110" zoomScaleNormal="110" workbookViewId="0">
      <selection activeCell="B10" sqref="B10:G62"/>
    </sheetView>
  </sheetViews>
  <sheetFormatPr defaultColWidth="8.26953125" defaultRowHeight="14"/>
  <cols>
    <col min="1" max="1" width="1.26953125" style="114" customWidth="1"/>
    <col min="2" max="2" width="6.26953125" style="191" bestFit="1" customWidth="1"/>
    <col min="3" max="3" width="41.26953125" style="24" customWidth="1"/>
    <col min="4" max="4" width="3.26953125" style="114" customWidth="1"/>
    <col min="5" max="5" width="14.26953125" style="24" customWidth="1"/>
    <col min="6" max="6" width="13.26953125" style="188" customWidth="1"/>
    <col min="7" max="7" width="13.26953125" style="64" customWidth="1"/>
    <col min="8" max="8" width="5.26953125" style="114" customWidth="1"/>
    <col min="9" max="9" width="13.26953125" style="114" customWidth="1"/>
    <col min="10" max="10" width="13.26953125" style="115" customWidth="1"/>
    <col min="11" max="11" width="14.26953125" style="114" customWidth="1"/>
    <col min="12" max="12" width="2.26953125" style="114" customWidth="1"/>
    <col min="13" max="13" width="12.26953125" style="114" customWidth="1"/>
    <col min="14" max="14" width="2.26953125" style="114" customWidth="1"/>
    <col min="15" max="15" width="33.26953125" style="114" bestFit="1" customWidth="1"/>
    <col min="16" max="16" width="1.26953125" style="114" customWidth="1"/>
    <col min="17" max="17" width="5.26953125" style="3" customWidth="1"/>
    <col min="18" max="25" width="8.26953125" style="114"/>
    <col min="26" max="16384" width="8.26953125" style="24"/>
  </cols>
  <sheetData>
    <row r="1" spans="2:28" s="114" customFormat="1" ht="4.5" customHeight="1">
      <c r="B1" s="187"/>
      <c r="F1" s="188"/>
      <c r="G1" s="115"/>
      <c r="J1" s="115"/>
      <c r="N1" s="709">
        <f ca="1">TODAY()</f>
        <v>46063</v>
      </c>
      <c r="O1" s="709">
        <f ca="1">TODAY()</f>
        <v>46063</v>
      </c>
      <c r="Q1" s="3"/>
    </row>
    <row r="2" spans="2:28">
      <c r="B2" s="230"/>
      <c r="C2" s="231" t="s">
        <v>0</v>
      </c>
      <c r="D2" s="232"/>
      <c r="E2" s="1040" t="s">
        <v>525</v>
      </c>
      <c r="F2" s="1041"/>
      <c r="G2" s="1041"/>
      <c r="H2" s="1042"/>
      <c r="N2" s="710">
        <v>0</v>
      </c>
      <c r="O2" s="710">
        <v>1</v>
      </c>
    </row>
    <row r="3" spans="2:28" s="114" customFormat="1">
      <c r="B3" s="233"/>
      <c r="C3" s="234" t="s">
        <v>156</v>
      </c>
      <c r="D3" s="232"/>
      <c r="E3" s="898">
        <v>350</v>
      </c>
      <c r="F3" s="235" t="s">
        <v>157</v>
      </c>
      <c r="G3" s="236"/>
      <c r="H3" s="237"/>
      <c r="J3" s="115"/>
      <c r="Q3" s="3"/>
    </row>
    <row r="4" spans="2:28" s="114" customFormat="1">
      <c r="B4" s="233"/>
      <c r="C4" s="234" t="s">
        <v>158</v>
      </c>
      <c r="D4" s="232"/>
      <c r="E4" s="1043" t="s">
        <v>155</v>
      </c>
      <c r="F4" s="1044"/>
      <c r="G4" s="1044"/>
      <c r="H4" s="1045"/>
      <c r="J4" s="115"/>
      <c r="Q4" s="3"/>
    </row>
    <row r="5" spans="2:28" s="114" customFormat="1">
      <c r="B5" s="233"/>
      <c r="C5" s="234" t="s">
        <v>159</v>
      </c>
      <c r="D5" s="232"/>
      <c r="E5" s="1043" t="s">
        <v>160</v>
      </c>
      <c r="F5" s="1044"/>
      <c r="G5" s="1044"/>
      <c r="H5" s="1045"/>
      <c r="J5" s="115"/>
      <c r="Q5" s="3"/>
    </row>
    <row r="6" spans="2:28" s="114" customFormat="1">
      <c r="B6" s="233"/>
      <c r="C6" s="234" t="s">
        <v>161</v>
      </c>
      <c r="D6" s="232"/>
      <c r="E6" s="1043" t="s">
        <v>526</v>
      </c>
      <c r="F6" s="1044"/>
      <c r="G6" s="1044"/>
      <c r="H6" s="1045"/>
      <c r="J6" s="115"/>
      <c r="Q6" s="3"/>
    </row>
    <row r="7" spans="2:28" s="114" customFormat="1">
      <c r="B7" s="233"/>
      <c r="C7" s="234" t="s">
        <v>163</v>
      </c>
      <c r="D7" s="232"/>
      <c r="E7" s="898" t="s">
        <v>164</v>
      </c>
      <c r="F7" s="235"/>
      <c r="G7" s="899"/>
      <c r="H7" s="900"/>
      <c r="J7" s="115"/>
      <c r="Q7" s="3"/>
    </row>
    <row r="8" spans="2:28">
      <c r="B8" s="238"/>
      <c r="C8" s="239" t="s">
        <v>165</v>
      </c>
      <c r="D8" s="232"/>
      <c r="E8" s="1046">
        <v>14953088.300000001</v>
      </c>
      <c r="F8" s="1047"/>
      <c r="G8" s="1047"/>
      <c r="H8" s="1048"/>
    </row>
    <row r="9" spans="2:28" s="114" customFormat="1" ht="9" customHeight="1">
      <c r="B9" s="187"/>
      <c r="C9" s="116"/>
      <c r="E9" s="116"/>
      <c r="F9" s="188"/>
      <c r="G9" s="240"/>
      <c r="J9" s="115"/>
      <c r="Q9" s="3"/>
    </row>
    <row r="10" spans="2:28" ht="30" customHeight="1">
      <c r="B10" s="1035" t="s">
        <v>114</v>
      </c>
      <c r="C10" s="1036" t="s">
        <v>167</v>
      </c>
      <c r="D10" s="269"/>
      <c r="E10" s="1038" t="s">
        <v>168</v>
      </c>
      <c r="F10" s="291" t="s">
        <v>169</v>
      </c>
      <c r="G10" s="1038" t="s">
        <v>170</v>
      </c>
      <c r="H10" s="292"/>
      <c r="I10" s="1038" t="s">
        <v>171</v>
      </c>
      <c r="J10" s="291" t="s">
        <v>169</v>
      </c>
      <c r="K10" s="1038" t="s">
        <v>172</v>
      </c>
      <c r="M10" s="897" t="s">
        <v>89</v>
      </c>
      <c r="O10" s="1033" t="s">
        <v>173</v>
      </c>
      <c r="Z10" s="114"/>
      <c r="AA10" s="114"/>
      <c r="AB10" s="114"/>
    </row>
    <row r="11" spans="2:28">
      <c r="B11" s="1036"/>
      <c r="C11" s="1037"/>
      <c r="D11" s="269"/>
      <c r="E11" s="1039"/>
      <c r="F11" s="128">
        <f>G50-E26</f>
        <v>25</v>
      </c>
      <c r="G11" s="1039"/>
      <c r="H11" s="292"/>
      <c r="I11" s="1039"/>
      <c r="J11" s="129">
        <f>K50-I26</f>
        <v>102</v>
      </c>
      <c r="K11" s="1039"/>
      <c r="M11" s="524">
        <f>AVERAGE(M13,M25,M28,M35,M44,M48,M56,M53,M18)</f>
        <v>0.90476190476190466</v>
      </c>
      <c r="N11" s="570"/>
      <c r="O11" s="1034"/>
      <c r="Z11" s="114"/>
      <c r="AA11" s="114"/>
      <c r="AB11" s="114"/>
    </row>
    <row r="12" spans="2:28" s="114" customFormat="1" ht="4.5" customHeight="1">
      <c r="B12" s="907"/>
      <c r="C12" s="269"/>
      <c r="D12" s="269"/>
      <c r="E12" s="294"/>
      <c r="F12" s="294"/>
      <c r="G12" s="295"/>
      <c r="H12" s="292"/>
      <c r="I12" s="296"/>
      <c r="J12" s="296"/>
      <c r="K12" s="297"/>
      <c r="N12" s="232"/>
      <c r="Q12" s="3"/>
    </row>
    <row r="13" spans="2:28" s="116" customFormat="1" hidden="1">
      <c r="B13" s="908">
        <v>1</v>
      </c>
      <c r="C13" s="299" t="s">
        <v>174</v>
      </c>
      <c r="D13" s="273"/>
      <c r="E13" s="300">
        <f>MIN(E14:E17)</f>
        <v>45138</v>
      </c>
      <c r="F13" s="301">
        <f>G13-E13</f>
        <v>38</v>
      </c>
      <c r="G13" s="300">
        <f>MAX(G14:G17)</f>
        <v>45176</v>
      </c>
      <c r="H13" s="274"/>
      <c r="I13" s="300">
        <f>MIN(I14:I17)</f>
        <v>45138</v>
      </c>
      <c r="J13" s="301">
        <f>K13-I13</f>
        <v>126</v>
      </c>
      <c r="K13" s="300">
        <f>MAX(K14:K17)</f>
        <v>45264</v>
      </c>
      <c r="M13" s="523">
        <f>(J14*M14+J15*M15+J16*M16+J17*M17)/SUM(J14:J17)</f>
        <v>1</v>
      </c>
      <c r="N13" s="571">
        <f>M13*J13</f>
        <v>126</v>
      </c>
      <c r="O13" s="121"/>
      <c r="P13" s="114"/>
      <c r="Q13" s="122"/>
    </row>
    <row r="14" spans="2:28" s="114" customFormat="1" hidden="1">
      <c r="B14" s="847" t="s">
        <v>175</v>
      </c>
      <c r="C14" s="303" t="s">
        <v>176</v>
      </c>
      <c r="D14" s="269"/>
      <c r="E14" s="304">
        <v>45138</v>
      </c>
      <c r="F14" s="305">
        <v>1</v>
      </c>
      <c r="G14" s="304">
        <f>WORKDAY.INTL(E14,F14,1,Data!$C$3:$C$14)</f>
        <v>45139</v>
      </c>
      <c r="H14" s="292"/>
      <c r="I14" s="304">
        <v>45138</v>
      </c>
      <c r="J14" s="305">
        <v>1</v>
      </c>
      <c r="K14" s="304">
        <f>WORKDAY.INTL(I14,J14,1,Data!$C$3:$C$14)</f>
        <v>45139</v>
      </c>
      <c r="M14" s="309">
        <v>1</v>
      </c>
      <c r="N14" s="573"/>
      <c r="O14" s="124"/>
      <c r="Q14" s="3"/>
    </row>
    <row r="15" spans="2:28" s="114" customFormat="1" hidden="1">
      <c r="B15" s="847" t="s">
        <v>177</v>
      </c>
      <c r="C15" s="303" t="s">
        <v>178</v>
      </c>
      <c r="D15" s="269"/>
      <c r="E15" s="304">
        <f>E14+14</f>
        <v>45152</v>
      </c>
      <c r="F15" s="305">
        <v>1</v>
      </c>
      <c r="G15" s="304">
        <f>WORKDAY.INTL(E15,F15,1,Data!$C$3:$C$14)</f>
        <v>45153</v>
      </c>
      <c r="H15" s="292"/>
      <c r="I15" s="304">
        <f>I14+14</f>
        <v>45152</v>
      </c>
      <c r="J15" s="305">
        <v>1</v>
      </c>
      <c r="K15" s="304">
        <f>WORKDAY.INTL(I15,J15,1,Data!$C$3:$C$14)</f>
        <v>45153</v>
      </c>
      <c r="M15" s="309">
        <v>1</v>
      </c>
      <c r="N15" s="572"/>
      <c r="O15" s="124"/>
      <c r="Q15" s="3"/>
    </row>
    <row r="16" spans="2:28" s="114" customFormat="1" hidden="1">
      <c r="B16" s="847">
        <v>1.3</v>
      </c>
      <c r="C16" s="303" t="s">
        <v>179</v>
      </c>
      <c r="D16" s="269"/>
      <c r="E16" s="304">
        <f>G15+21</f>
        <v>45174</v>
      </c>
      <c r="F16" s="305">
        <v>1</v>
      </c>
      <c r="G16" s="304">
        <f>WORKDAY.INTL(E16,F16,1,Data!$C$3:$C$14)</f>
        <v>45175</v>
      </c>
      <c r="H16" s="292"/>
      <c r="I16" s="304">
        <v>45261</v>
      </c>
      <c r="J16" s="305">
        <v>1</v>
      </c>
      <c r="K16" s="304">
        <f>WORKDAY.INTL(I16,J16,1,Data!$C$3:$C$14)</f>
        <v>45264</v>
      </c>
      <c r="M16" s="309">
        <v>1</v>
      </c>
      <c r="N16" s="572"/>
      <c r="O16" s="124"/>
      <c r="Q16" s="3"/>
    </row>
    <row r="17" spans="2:28" s="114" customFormat="1" hidden="1">
      <c r="B17" s="847">
        <v>1.4</v>
      </c>
      <c r="C17" s="303" t="s">
        <v>180</v>
      </c>
      <c r="D17" s="269"/>
      <c r="E17" s="304">
        <f>E16+1</f>
        <v>45175</v>
      </c>
      <c r="F17" s="305">
        <v>1</v>
      </c>
      <c r="G17" s="304">
        <f>WORKDAY.INTL(E17,F17,1,Data!$C$3:$C$14)</f>
        <v>45176</v>
      </c>
      <c r="H17" s="292"/>
      <c r="I17" s="304">
        <f>I16+1</f>
        <v>45262</v>
      </c>
      <c r="J17" s="305">
        <v>1</v>
      </c>
      <c r="K17" s="304">
        <f>WORKDAY.INTL(I17,J17,1,Data!$C$3:$C$14)</f>
        <v>45264</v>
      </c>
      <c r="M17" s="309">
        <v>1</v>
      </c>
      <c r="N17" s="572"/>
      <c r="O17" s="124"/>
      <c r="Q17" s="3"/>
    </row>
    <row r="18" spans="2:28" s="116" customFormat="1">
      <c r="B18" s="908">
        <v>2</v>
      </c>
      <c r="C18" s="299" t="s">
        <v>527</v>
      </c>
      <c r="D18" s="273"/>
      <c r="E18" s="300">
        <f>MIN(E19:E23)</f>
        <v>45474</v>
      </c>
      <c r="F18" s="301">
        <f>G18-E18</f>
        <v>9</v>
      </c>
      <c r="G18" s="300">
        <f>MAX(G19:G23)</f>
        <v>45483</v>
      </c>
      <c r="H18" s="274"/>
      <c r="I18" s="300">
        <f>MIN(I19:I23)</f>
        <v>45152</v>
      </c>
      <c r="J18" s="301">
        <f>K18-I18</f>
        <v>114</v>
      </c>
      <c r="K18" s="300">
        <f>MAX(K19:K23)</f>
        <v>45266</v>
      </c>
      <c r="M18" s="523">
        <f>(J19*M19+J20*M20+J21*M21+J22*M22+J23*M23)/SUM(J19:J23)</f>
        <v>1</v>
      </c>
      <c r="N18" s="571">
        <f>J18*M18</f>
        <v>114</v>
      </c>
      <c r="O18" s="121"/>
      <c r="P18" s="114"/>
      <c r="Q18" s="125"/>
      <c r="R18" s="120"/>
      <c r="S18" s="120"/>
      <c r="T18" s="120"/>
      <c r="U18" s="120"/>
      <c r="V18" s="120"/>
      <c r="W18" s="120"/>
      <c r="X18" s="120"/>
      <c r="Y18" s="120"/>
      <c r="Z18" s="120"/>
      <c r="AA18" s="120"/>
      <c r="AB18" s="120"/>
    </row>
    <row r="19" spans="2:28" s="114" customFormat="1">
      <c r="B19" s="847">
        <v>2.1</v>
      </c>
      <c r="C19" s="303" t="s">
        <v>182</v>
      </c>
      <c r="D19" s="269"/>
      <c r="E19" s="304">
        <v>45474</v>
      </c>
      <c r="F19" s="305">
        <v>2</v>
      </c>
      <c r="G19" s="304">
        <f>WORKDAY.INTL(E19,F19,1,Data!$C$3:$C$14)</f>
        <v>45476</v>
      </c>
      <c r="H19" s="292"/>
      <c r="I19" s="304">
        <f>WORKDAY.INTL(I15,0,1,Data!$C$3:$C$14)</f>
        <v>45152</v>
      </c>
      <c r="J19" s="305">
        <v>10</v>
      </c>
      <c r="K19" s="304">
        <f>WORKDAY.INTL(I19,J19,1,Data!$C$3:$C$14)</f>
        <v>45166</v>
      </c>
      <c r="M19" s="309">
        <v>1</v>
      </c>
      <c r="N19" s="573"/>
      <c r="O19" s="124"/>
      <c r="Q19" s="126"/>
      <c r="R19" s="123"/>
      <c r="S19" s="123"/>
      <c r="T19" s="123"/>
      <c r="U19" s="123"/>
      <c r="V19" s="123"/>
      <c r="W19" s="123"/>
      <c r="X19" s="123"/>
      <c r="Y19" s="123"/>
      <c r="Z19" s="123"/>
      <c r="AA19" s="123"/>
      <c r="AB19" s="123"/>
    </row>
    <row r="20" spans="2:28" s="114" customFormat="1">
      <c r="B20" s="847">
        <v>2.2000000000000002</v>
      </c>
      <c r="C20" s="303" t="s">
        <v>183</v>
      </c>
      <c r="D20" s="269"/>
      <c r="E20" s="304">
        <f>WORKDAY.INTL(G19,0,1,Data!$C$3:$C$14)</f>
        <v>45476</v>
      </c>
      <c r="F20" s="305">
        <v>5</v>
      </c>
      <c r="G20" s="304">
        <f>WORKDAY.INTL(E20,F20,1,Data!$C$3:$C$14)</f>
        <v>45483</v>
      </c>
      <c r="H20" s="292"/>
      <c r="I20" s="304">
        <f>WORKDAY.INTL(K19,0,1,Data!$C$3:$C$14)</f>
        <v>45166</v>
      </c>
      <c r="J20" s="305">
        <v>10</v>
      </c>
      <c r="K20" s="304">
        <f>WORKDAY.INTL(I20,J20,1,Data!$C$3:$C$14)</f>
        <v>45180</v>
      </c>
      <c r="M20" s="309">
        <v>1</v>
      </c>
      <c r="N20" s="573"/>
      <c r="O20" s="124"/>
      <c r="Q20" s="126"/>
      <c r="R20" s="123"/>
      <c r="S20" s="123"/>
      <c r="T20" s="123"/>
      <c r="U20" s="123"/>
      <c r="V20" s="123"/>
      <c r="W20" s="123"/>
      <c r="X20" s="123"/>
      <c r="Y20" s="123"/>
      <c r="Z20" s="123"/>
      <c r="AA20" s="123"/>
      <c r="AB20" s="123"/>
    </row>
    <row r="21" spans="2:28" s="114" customFormat="1">
      <c r="B21" s="847">
        <v>2.2999999999999998</v>
      </c>
      <c r="C21" s="303" t="s">
        <v>184</v>
      </c>
      <c r="D21" s="269"/>
      <c r="E21" s="304">
        <f>WORKDAY.INTL(E19,0,1,Data!$C$3:$C$14)</f>
        <v>45474</v>
      </c>
      <c r="F21" s="305">
        <v>7</v>
      </c>
      <c r="G21" s="304">
        <f>WORKDAY.INTL(E21,F21,1,Data!$C$3:$C$14)</f>
        <v>45483</v>
      </c>
      <c r="H21" s="292"/>
      <c r="I21" s="304">
        <f>WORKDAY.INTL(I19,0,1,Data!$C$3:$C$14)</f>
        <v>45152</v>
      </c>
      <c r="J21" s="305">
        <v>36</v>
      </c>
      <c r="K21" s="304">
        <f>WORKDAY.INTL(I21,J21,1,Data!$C$3:$C$14)</f>
        <v>45202</v>
      </c>
      <c r="M21" s="309">
        <v>1</v>
      </c>
      <c r="N21" s="573"/>
      <c r="O21" s="124"/>
      <c r="Q21" s="126"/>
      <c r="R21" s="123"/>
      <c r="S21" s="123"/>
      <c r="T21" s="123"/>
      <c r="U21" s="123"/>
      <c r="V21" s="123"/>
      <c r="W21" s="123"/>
      <c r="X21" s="123"/>
      <c r="Y21" s="123"/>
      <c r="Z21" s="123"/>
      <c r="AA21" s="123"/>
      <c r="AB21" s="123"/>
    </row>
    <row r="22" spans="2:28" s="114" customFormat="1">
      <c r="B22" s="847">
        <v>2.4</v>
      </c>
      <c r="C22" s="303" t="s">
        <v>185</v>
      </c>
      <c r="D22" s="269"/>
      <c r="E22" s="304">
        <f>WORKDAY.INTL(G21,0,1,Data!$C$3:$C$14)-2</f>
        <v>45481</v>
      </c>
      <c r="F22" s="305">
        <v>1</v>
      </c>
      <c r="G22" s="304">
        <f>WORKDAY.INTL(E22,F22,1,Data!$C$3:$C$14)</f>
        <v>45482</v>
      </c>
      <c r="H22" s="292"/>
      <c r="I22" s="304">
        <f>WORKDAY.INTL(K21,0,1,Data!$C$3:$C$14)</f>
        <v>45202</v>
      </c>
      <c r="J22" s="305">
        <v>3</v>
      </c>
      <c r="K22" s="304">
        <f>WORKDAY.INTL(I22,J22,1,Data!$C$3:$C$14)</f>
        <v>45205</v>
      </c>
      <c r="M22" s="309">
        <v>1</v>
      </c>
      <c r="N22" s="573"/>
      <c r="O22" s="124"/>
      <c r="Q22" s="126"/>
      <c r="R22" s="123"/>
      <c r="S22" s="123"/>
      <c r="T22" s="123"/>
      <c r="U22" s="123"/>
      <c r="V22" s="123"/>
      <c r="W22" s="123"/>
      <c r="X22" s="123"/>
      <c r="Y22" s="123"/>
      <c r="Z22" s="123"/>
      <c r="AA22" s="123"/>
      <c r="AB22" s="123"/>
    </row>
    <row r="23" spans="2:28" s="114" customFormat="1">
      <c r="B23" s="847">
        <v>2.5</v>
      </c>
      <c r="C23" s="303" t="s">
        <v>186</v>
      </c>
      <c r="D23" s="269"/>
      <c r="E23" s="308">
        <f>WORKDAY.INTL(G22,0,1,Data!$C$3:$C$14)</f>
        <v>45482</v>
      </c>
      <c r="F23" s="305">
        <v>1</v>
      </c>
      <c r="G23" s="304">
        <f>WORKDAY.INTL(E23,F23,1,Data!$C$3:$C$14)</f>
        <v>45483</v>
      </c>
      <c r="H23" s="292"/>
      <c r="I23" s="308">
        <f>WORKDAY.INTL(K22,0,1,Data!$C$3:$C$14)</f>
        <v>45205</v>
      </c>
      <c r="J23" s="305">
        <v>43</v>
      </c>
      <c r="K23" s="304">
        <f>WORKDAY.INTL(I23,J23,1,Data!$C$3:$C$14)</f>
        <v>45266</v>
      </c>
      <c r="M23" s="309">
        <v>1</v>
      </c>
      <c r="N23" s="572"/>
      <c r="O23" s="124"/>
      <c r="Q23" s="126"/>
      <c r="R23" s="123"/>
      <c r="S23" s="123"/>
      <c r="T23" s="123"/>
      <c r="U23" s="123"/>
      <c r="V23" s="123"/>
      <c r="W23" s="123"/>
      <c r="X23" s="123"/>
      <c r="Y23" s="123"/>
      <c r="Z23" s="123"/>
      <c r="AA23" s="123"/>
      <c r="AB23" s="123"/>
    </row>
    <row r="24" spans="2:28" s="114" customFormat="1" ht="3.75" customHeight="1">
      <c r="B24" s="907"/>
      <c r="C24" s="269"/>
      <c r="D24" s="269"/>
      <c r="E24" s="294"/>
      <c r="F24" s="294"/>
      <c r="G24" s="294"/>
      <c r="H24" s="292"/>
      <c r="I24" s="294"/>
      <c r="J24" s="294"/>
      <c r="K24" s="294"/>
      <c r="N24" s="232"/>
      <c r="Q24" s="3"/>
    </row>
    <row r="25" spans="2:28" s="116" customFormat="1">
      <c r="B25" s="908">
        <v>3</v>
      </c>
      <c r="C25" s="299" t="s">
        <v>187</v>
      </c>
      <c r="D25" s="273"/>
      <c r="E25" s="300">
        <f>MIN(E26:E27)</f>
        <v>45474</v>
      </c>
      <c r="F25" s="301">
        <f>G25-E25</f>
        <v>1</v>
      </c>
      <c r="G25" s="300">
        <f>MAX(G26)</f>
        <v>45475</v>
      </c>
      <c r="H25" s="274"/>
      <c r="I25" s="300">
        <f>MIN(I26:I27)</f>
        <v>45299</v>
      </c>
      <c r="J25" s="301">
        <f>K25-I25</f>
        <v>1</v>
      </c>
      <c r="K25" s="300">
        <f>MAX(K26)</f>
        <v>45300</v>
      </c>
      <c r="M25" s="523">
        <f>(J26*M26)/J25</f>
        <v>1</v>
      </c>
      <c r="N25" s="571">
        <f>J25*M25</f>
        <v>1</v>
      </c>
      <c r="O25" s="121"/>
      <c r="P25" s="114"/>
      <c r="Q25" s="125"/>
      <c r="R25" s="120"/>
      <c r="S25" s="120"/>
      <c r="T25" s="120"/>
      <c r="U25" s="120"/>
      <c r="V25" s="120"/>
      <c r="W25" s="120"/>
      <c r="X25" s="120"/>
      <c r="Y25" s="123"/>
      <c r="Z25" s="120"/>
      <c r="AA25" s="120"/>
      <c r="AB25" s="120"/>
    </row>
    <row r="26" spans="2:28" s="114" customFormat="1">
      <c r="B26" s="847">
        <v>3.1</v>
      </c>
      <c r="C26" s="303" t="s">
        <v>188</v>
      </c>
      <c r="D26" s="269"/>
      <c r="E26" s="879">
        <v>45474</v>
      </c>
      <c r="F26" s="305">
        <v>1</v>
      </c>
      <c r="G26" s="304">
        <f>WORKDAY.INTL(E26,F26,1,Data!$C$3:$C$14)</f>
        <v>45475</v>
      </c>
      <c r="H26" s="292"/>
      <c r="I26" s="569">
        <v>45299</v>
      </c>
      <c r="J26" s="305">
        <v>1</v>
      </c>
      <c r="K26" s="304">
        <f>WORKDAY.INTL(I26,J26,1,Data!$C$3:$C$14)</f>
        <v>45300</v>
      </c>
      <c r="M26" s="309">
        <v>1</v>
      </c>
      <c r="N26" s="573"/>
      <c r="O26" s="124"/>
      <c r="Q26" s="126"/>
      <c r="R26" s="123"/>
      <c r="S26" s="123"/>
      <c r="T26" s="123"/>
      <c r="U26" s="123"/>
      <c r="V26" s="123"/>
      <c r="W26" s="123"/>
      <c r="X26" s="123"/>
      <c r="Z26" s="123"/>
      <c r="AA26" s="123"/>
      <c r="AB26" s="123"/>
    </row>
    <row r="27" spans="2:28" s="114" customFormat="1" ht="6" customHeight="1">
      <c r="B27" s="909"/>
      <c r="C27" s="271"/>
      <c r="D27" s="269"/>
      <c r="E27" s="304"/>
      <c r="F27" s="305"/>
      <c r="G27" s="304"/>
      <c r="H27" s="292"/>
      <c r="I27" s="304"/>
      <c r="J27" s="305"/>
      <c r="K27" s="304"/>
      <c r="M27" s="127"/>
      <c r="N27" s="572"/>
      <c r="O27" s="121"/>
      <c r="Q27" s="126"/>
      <c r="R27" s="123"/>
      <c r="S27" s="123"/>
      <c r="T27" s="123"/>
      <c r="U27" s="123"/>
      <c r="V27" s="123"/>
      <c r="W27" s="123"/>
      <c r="X27" s="123"/>
      <c r="Y27" s="123"/>
      <c r="Z27" s="123"/>
      <c r="AA27" s="123"/>
      <c r="AB27" s="123"/>
    </row>
    <row r="28" spans="2:28" s="116" customFormat="1">
      <c r="B28" s="908">
        <v>4</v>
      </c>
      <c r="C28" s="299" t="s">
        <v>189</v>
      </c>
      <c r="D28" s="273"/>
      <c r="E28" s="300">
        <f>MIN(E29:E33)</f>
        <v>45467</v>
      </c>
      <c r="F28" s="301">
        <f>G28-E28</f>
        <v>30</v>
      </c>
      <c r="G28" s="300">
        <f>MAX(G29:G33)</f>
        <v>45497</v>
      </c>
      <c r="H28" s="307"/>
      <c r="I28" s="300">
        <f>MIN(I29:I33)</f>
        <v>45299</v>
      </c>
      <c r="J28" s="301">
        <f>K28-I28</f>
        <v>78</v>
      </c>
      <c r="K28" s="300">
        <f>MAX(K29:K33)</f>
        <v>45377</v>
      </c>
      <c r="M28" s="523">
        <f>(J29*M29+J30*M30+J31*M31+J32*M32+J33*M33)/SUM(J29:J33)</f>
        <v>1</v>
      </c>
      <c r="N28" s="571">
        <f>J28*M28</f>
        <v>78</v>
      </c>
      <c r="O28" s="121"/>
      <c r="P28" s="114"/>
      <c r="Q28" s="125"/>
      <c r="R28" s="120"/>
      <c r="S28" s="120"/>
      <c r="T28" s="120"/>
      <c r="U28" s="120"/>
      <c r="V28" s="120"/>
      <c r="W28" s="120"/>
      <c r="X28" s="120"/>
      <c r="Y28" s="120"/>
      <c r="Z28" s="120"/>
      <c r="AA28" s="120"/>
      <c r="AB28" s="120"/>
    </row>
    <row r="29" spans="2:28" s="114" customFormat="1">
      <c r="B29" s="847">
        <v>4.0999999999999996</v>
      </c>
      <c r="C29" s="303" t="s">
        <v>190</v>
      </c>
      <c r="D29" s="269"/>
      <c r="E29" s="304">
        <f>E26</f>
        <v>45474</v>
      </c>
      <c r="F29" s="305">
        <v>1</v>
      </c>
      <c r="G29" s="304">
        <f>WORKDAY.INTL(E29,F29,1,Data!$C$3:$C$14)</f>
        <v>45475</v>
      </c>
      <c r="H29" s="292"/>
      <c r="I29" s="304">
        <f>I26</f>
        <v>45299</v>
      </c>
      <c r="J29" s="305">
        <v>1</v>
      </c>
      <c r="K29" s="304">
        <f>WORKDAY.INTL(I29,J29,1,Data!$C$3:$C$14)</f>
        <v>45300</v>
      </c>
      <c r="M29" s="309">
        <v>1</v>
      </c>
      <c r="N29" s="574"/>
      <c r="O29" s="124"/>
      <c r="Q29" s="126"/>
      <c r="R29" s="123"/>
      <c r="S29" s="123"/>
      <c r="T29" s="123"/>
      <c r="U29" s="123"/>
      <c r="V29" s="123"/>
      <c r="W29" s="123"/>
      <c r="X29" s="123"/>
      <c r="Y29" s="123"/>
      <c r="Z29" s="123"/>
      <c r="AA29" s="123"/>
      <c r="AB29" s="123"/>
    </row>
    <row r="30" spans="2:28" s="114" customFormat="1">
      <c r="B30" s="847">
        <v>4.2</v>
      </c>
      <c r="C30" s="303" t="s">
        <v>191</v>
      </c>
      <c r="D30" s="269"/>
      <c r="E30" s="304">
        <f>WORKDAY.INTL(G29,0,1,Data!$C$3:$C$14)</f>
        <v>45475</v>
      </c>
      <c r="F30" s="305">
        <v>1</v>
      </c>
      <c r="G30" s="304">
        <f>WORKDAY.INTL(E30,F30,1,Data!$C$3:$C$14)</f>
        <v>45476</v>
      </c>
      <c r="H30" s="292"/>
      <c r="I30" s="304">
        <f>I31+4</f>
        <v>45303</v>
      </c>
      <c r="J30" s="305">
        <v>1</v>
      </c>
      <c r="K30" s="304">
        <f>WORKDAY.INTL(I30,J30,1,Data!$C$3:$C$14)</f>
        <v>45306</v>
      </c>
      <c r="M30" s="309">
        <v>1</v>
      </c>
      <c r="N30" s="572"/>
      <c r="O30" s="124"/>
      <c r="Q30" s="126"/>
      <c r="R30" s="123"/>
      <c r="S30" s="123"/>
      <c r="T30" s="123"/>
      <c r="U30" s="123"/>
      <c r="V30" s="123"/>
      <c r="W30" s="123"/>
      <c r="X30" s="123"/>
      <c r="Y30" s="123"/>
      <c r="Z30" s="123"/>
      <c r="AA30" s="123"/>
      <c r="AB30" s="123"/>
    </row>
    <row r="31" spans="2:28" s="114" customFormat="1">
      <c r="B31" s="847">
        <v>4.3</v>
      </c>
      <c r="C31" s="303" t="s">
        <v>192</v>
      </c>
      <c r="D31" s="269"/>
      <c r="E31" s="304">
        <f>WORKDAY.INTL(E26,0,1,Data!$C$3:$C$14)-7</f>
        <v>45467</v>
      </c>
      <c r="F31" s="305">
        <v>20</v>
      </c>
      <c r="G31" s="304">
        <f>WORKDAY.INTL(E31,F31,1,Data!$C$3:$C$14)</f>
        <v>45495</v>
      </c>
      <c r="H31" s="292"/>
      <c r="I31" s="304">
        <f>WORKDAY.INTL(I26,0,1,Data!$C$3:$C$14)</f>
        <v>45299</v>
      </c>
      <c r="J31" s="305">
        <v>35</v>
      </c>
      <c r="K31" s="304">
        <f>WORKDAY.INTL(I31,J31,1,Data!$C$3:$C$14)+5</f>
        <v>45353</v>
      </c>
      <c r="M31" s="309">
        <v>1</v>
      </c>
      <c r="N31" s="572"/>
      <c r="O31" s="124"/>
      <c r="Q31" s="126"/>
      <c r="R31" s="123"/>
      <c r="S31" s="123"/>
      <c r="T31" s="123"/>
      <c r="U31" s="123"/>
      <c r="V31" s="123"/>
      <c r="W31" s="123"/>
      <c r="X31" s="123"/>
      <c r="Y31" s="123"/>
      <c r="Z31" s="123"/>
      <c r="AA31" s="123"/>
      <c r="AB31" s="123"/>
    </row>
    <row r="32" spans="2:28" s="114" customFormat="1">
      <c r="B32" s="847">
        <v>4.4000000000000004</v>
      </c>
      <c r="C32" s="848" t="s">
        <v>40</v>
      </c>
      <c r="D32" s="849"/>
      <c r="E32" s="850">
        <f>WORKDAY.INTL(G31,0,1,Data!$C$3:$C$14)-7</f>
        <v>45488</v>
      </c>
      <c r="F32" s="851">
        <v>5</v>
      </c>
      <c r="G32" s="850">
        <f>WORKDAY.INTL(E32,F32,1,Data!$C$3:$C$14)</f>
        <v>45495</v>
      </c>
      <c r="H32" s="852"/>
      <c r="I32" s="850">
        <f>WORKDAY.INTL(I31,0,1,Data!$C$3:$C$14)+7</f>
        <v>45306</v>
      </c>
      <c r="J32" s="851">
        <v>30</v>
      </c>
      <c r="K32" s="850">
        <f>WORKDAY.INTL(I32,J32,1,Data!$C$3:$C$14)+28</f>
        <v>45376</v>
      </c>
      <c r="L32" s="311"/>
      <c r="M32" s="853">
        <v>1</v>
      </c>
      <c r="N32" s="854"/>
      <c r="O32" s="855"/>
      <c r="Q32" s="126"/>
      <c r="R32" s="123"/>
      <c r="S32" s="123"/>
      <c r="T32" s="123"/>
      <c r="U32" s="123"/>
      <c r="V32" s="123"/>
      <c r="W32" s="123"/>
      <c r="X32" s="123"/>
      <c r="Y32" s="123"/>
      <c r="Z32" s="123"/>
      <c r="AA32" s="123"/>
      <c r="AB32" s="123"/>
    </row>
    <row r="33" spans="2:28" s="114" customFormat="1">
      <c r="B33" s="847">
        <v>4.5</v>
      </c>
      <c r="C33" s="303" t="s">
        <v>193</v>
      </c>
      <c r="D33" s="269"/>
      <c r="E33" s="304">
        <f>WORKDAY.INTL(G31,0,1,Data!$C$3:$C$14)</f>
        <v>45495</v>
      </c>
      <c r="F33" s="305">
        <v>2</v>
      </c>
      <c r="G33" s="304">
        <f>WORKDAY.INTL(E33,F33,1,Data!$C$3:$C$14)</f>
        <v>45497</v>
      </c>
      <c r="H33" s="292"/>
      <c r="I33" s="304">
        <v>45374</v>
      </c>
      <c r="J33" s="305">
        <v>2</v>
      </c>
      <c r="K33" s="304">
        <f>WORKDAY.INTL(I33,J33,1,Data!$C$3:$C$14)</f>
        <v>45377</v>
      </c>
      <c r="M33" s="309">
        <v>1</v>
      </c>
      <c r="N33" s="572"/>
      <c r="O33" s="124"/>
      <c r="Q33" s="126"/>
      <c r="R33" s="123"/>
      <c r="S33" s="123"/>
      <c r="T33" s="123"/>
      <c r="U33" s="123"/>
      <c r="V33" s="123"/>
      <c r="W33" s="123"/>
      <c r="X33" s="123"/>
      <c r="Y33" s="123"/>
      <c r="Z33" s="123"/>
      <c r="AA33" s="123"/>
      <c r="AB33" s="123"/>
    </row>
    <row r="34" spans="2:28" s="114" customFormat="1" ht="4.5" customHeight="1">
      <c r="B34" s="909"/>
      <c r="C34" s="271"/>
      <c r="D34" s="269"/>
      <c r="E34" s="304"/>
      <c r="F34" s="305"/>
      <c r="G34" s="304"/>
      <c r="H34" s="292"/>
      <c r="I34" s="304"/>
      <c r="J34" s="305"/>
      <c r="K34" s="304"/>
      <c r="M34" s="127"/>
      <c r="N34" s="572"/>
      <c r="O34" s="121"/>
      <c r="Q34" s="126"/>
      <c r="R34" s="123"/>
      <c r="S34" s="123"/>
      <c r="T34" s="123"/>
      <c r="U34" s="123"/>
      <c r="V34" s="123"/>
      <c r="W34" s="123"/>
      <c r="X34" s="123"/>
      <c r="Y34" s="123"/>
      <c r="Z34" s="123"/>
      <c r="AA34" s="123"/>
      <c r="AB34" s="123"/>
    </row>
    <row r="35" spans="2:28" s="116" customFormat="1">
      <c r="B35" s="908">
        <v>5</v>
      </c>
      <c r="C35" s="299" t="s">
        <v>34</v>
      </c>
      <c r="D35" s="273"/>
      <c r="E35" s="300">
        <f>MIN(E36:E42)</f>
        <v>45474</v>
      </c>
      <c r="F35" s="301">
        <f>G35-E35</f>
        <v>18</v>
      </c>
      <c r="G35" s="300">
        <f>MAX(G36:G42)</f>
        <v>45492</v>
      </c>
      <c r="H35" s="307"/>
      <c r="I35" s="300">
        <f>MIN(I36:I42)</f>
        <v>45271</v>
      </c>
      <c r="J35" s="301">
        <f>K35-I35</f>
        <v>63</v>
      </c>
      <c r="K35" s="300">
        <f>MAX(K36:K42)</f>
        <v>45334</v>
      </c>
      <c r="M35" s="523">
        <f>(J36*M36+J37*M37+J38*M38+J39*M39+J40*M40+J41*M41+J42*M42)/SUM(J36:J42)</f>
        <v>1</v>
      </c>
      <c r="N35" s="571">
        <f>J35*M35</f>
        <v>63</v>
      </c>
      <c r="O35" s="121"/>
      <c r="P35" s="114"/>
      <c r="Q35" s="125"/>
      <c r="R35" s="120"/>
      <c r="S35" s="120"/>
      <c r="T35" s="120"/>
      <c r="U35" s="120"/>
      <c r="V35" s="120"/>
      <c r="W35" s="120"/>
      <c r="X35" s="120"/>
      <c r="Y35" s="120"/>
      <c r="Z35" s="120"/>
      <c r="AA35" s="120"/>
      <c r="AB35" s="120"/>
    </row>
    <row r="36" spans="2:28" s="114" customFormat="1">
      <c r="B36" s="847">
        <v>5.0999999999999996</v>
      </c>
      <c r="C36" s="303" t="s">
        <v>194</v>
      </c>
      <c r="D36" s="269"/>
      <c r="E36" s="304">
        <f>WORKDAY.INTL(E26,0,1,Data!$C$3:$C$14)</f>
        <v>45474</v>
      </c>
      <c r="F36" s="305">
        <v>1</v>
      </c>
      <c r="G36" s="304">
        <f>WORKDAY.INTL(E36,F36,1,Data!$C$3:$C$14)</f>
        <v>45475</v>
      </c>
      <c r="H36" s="292"/>
      <c r="I36" s="304">
        <v>45301</v>
      </c>
      <c r="J36" s="305">
        <v>1</v>
      </c>
      <c r="K36" s="304">
        <f>WORKDAY.INTL(I36,J36,1,Data!$C$3:$C$14)</f>
        <v>45302</v>
      </c>
      <c r="M36" s="309">
        <v>1</v>
      </c>
      <c r="N36" s="573"/>
      <c r="O36" s="124"/>
      <c r="Q36" s="126"/>
      <c r="R36" s="123"/>
      <c r="S36" s="123"/>
      <c r="T36" s="123"/>
      <c r="U36" s="123"/>
      <c r="V36" s="123"/>
      <c r="W36" s="123"/>
      <c r="X36" s="123"/>
      <c r="Y36" s="123"/>
      <c r="Z36" s="123"/>
      <c r="AA36" s="123"/>
      <c r="AB36" s="123"/>
    </row>
    <row r="37" spans="2:28" s="114" customFormat="1">
      <c r="B37" s="847">
        <v>5.2</v>
      </c>
      <c r="C37" s="303" t="s">
        <v>195</v>
      </c>
      <c r="D37" s="269"/>
      <c r="E37" s="304">
        <f>WORKDAY.INTL(G36,0,1,Data!$C$3:$C$14)</f>
        <v>45475</v>
      </c>
      <c r="F37" s="305">
        <v>6</v>
      </c>
      <c r="G37" s="304">
        <f>WORKDAY.INTL(E37,F37,1,Data!$C$3:$C$14)</f>
        <v>45483</v>
      </c>
      <c r="H37" s="292"/>
      <c r="I37" s="304">
        <f>WORKDAY.INTL(K36,0,1,Data!$C$3:$C$14)</f>
        <v>45302</v>
      </c>
      <c r="J37" s="305">
        <v>3</v>
      </c>
      <c r="K37" s="304">
        <f>WORKDAY.INTL(I37,J37,1,Data!$C$3:$C$14)</f>
        <v>45307</v>
      </c>
      <c r="M37" s="309">
        <v>1</v>
      </c>
      <c r="N37" s="572"/>
      <c r="O37" s="124"/>
      <c r="Q37" s="126"/>
      <c r="R37" s="123"/>
      <c r="S37" s="123"/>
      <c r="T37" s="123"/>
      <c r="U37" s="123"/>
      <c r="V37" s="123"/>
      <c r="W37" s="123"/>
      <c r="X37" s="123"/>
      <c r="Y37" s="123"/>
      <c r="Z37" s="123"/>
      <c r="AA37" s="123"/>
      <c r="AB37" s="123"/>
    </row>
    <row r="38" spans="2:28" s="114" customFormat="1">
      <c r="B38" s="847">
        <v>5.3</v>
      </c>
      <c r="C38" s="303" t="s">
        <v>196</v>
      </c>
      <c r="D38" s="269"/>
      <c r="E38" s="304">
        <f>WORKDAY.INTL(G23,0,1,Data!$C$3:$C$14)</f>
        <v>45483</v>
      </c>
      <c r="F38" s="305">
        <v>1</v>
      </c>
      <c r="G38" s="304">
        <f>WORKDAY.INTL(E38,F38,1,Data!$C$3:$C$14)</f>
        <v>45484</v>
      </c>
      <c r="H38" s="292"/>
      <c r="I38" s="304">
        <v>45271</v>
      </c>
      <c r="J38" s="305">
        <v>1</v>
      </c>
      <c r="K38" s="304">
        <f>WORKDAY.INTL(I38,J38,1,Data!$C$3:$C$14)</f>
        <v>45272</v>
      </c>
      <c r="M38" s="309">
        <v>1</v>
      </c>
      <c r="N38" s="572"/>
      <c r="O38" s="124"/>
      <c r="Q38" s="126"/>
      <c r="R38" s="123"/>
      <c r="S38" s="123"/>
      <c r="T38" s="123"/>
      <c r="U38" s="123"/>
      <c r="V38" s="123"/>
      <c r="W38" s="123"/>
      <c r="X38" s="123"/>
      <c r="Y38" s="123"/>
      <c r="Z38" s="123"/>
      <c r="AA38" s="123"/>
      <c r="AB38" s="123"/>
    </row>
    <row r="39" spans="2:28" s="114" customFormat="1">
      <c r="B39" s="847">
        <v>5.4</v>
      </c>
      <c r="C39" s="303" t="s">
        <v>197</v>
      </c>
      <c r="D39" s="269"/>
      <c r="E39" s="304">
        <f>WORKDAY.INTL(G38,0,1,Data!$C$3:$C$14)</f>
        <v>45484</v>
      </c>
      <c r="F39" s="305">
        <v>5</v>
      </c>
      <c r="G39" s="304">
        <f>WORKDAY.INTL(E39,F39,1,Data!$C$3:$C$14)</f>
        <v>45491</v>
      </c>
      <c r="H39" s="292"/>
      <c r="I39" s="304">
        <f>WORKDAY.INTL(K38,0,1,Data!$C$3:$C$14)</f>
        <v>45272</v>
      </c>
      <c r="J39" s="305">
        <v>35</v>
      </c>
      <c r="K39" s="304">
        <f>WORKDAY.INTL(I39,J39,1,Data!$C$3:$C$14)</f>
        <v>45321</v>
      </c>
      <c r="M39" s="309">
        <v>1</v>
      </c>
      <c r="N39" s="572"/>
      <c r="O39" s="124"/>
      <c r="Q39" s="126"/>
      <c r="R39" s="123"/>
      <c r="S39" s="123"/>
      <c r="T39" s="123"/>
      <c r="U39" s="123"/>
      <c r="V39" s="123"/>
      <c r="W39" s="123"/>
      <c r="X39" s="123"/>
      <c r="Y39" s="123"/>
      <c r="Z39" s="123"/>
      <c r="AA39" s="123"/>
      <c r="AB39" s="123"/>
    </row>
    <row r="40" spans="2:28" s="114" customFormat="1">
      <c r="B40" s="847">
        <v>5.5</v>
      </c>
      <c r="C40" s="303" t="s">
        <v>198</v>
      </c>
      <c r="D40" s="269"/>
      <c r="E40" s="304">
        <f>WORKDAY.INTL(E26,0,1,Data!$C$3:$C$14)</f>
        <v>45474</v>
      </c>
      <c r="F40" s="305">
        <v>1</v>
      </c>
      <c r="G40" s="304">
        <f>WORKDAY.INTL(E40,F40,1,Data!$C$3:$C$14)</f>
        <v>45475</v>
      </c>
      <c r="H40" s="292"/>
      <c r="I40" s="304">
        <v>45307</v>
      </c>
      <c r="J40" s="305">
        <v>1</v>
      </c>
      <c r="K40" s="304">
        <f>WORKDAY.INTL(I40,J40,1,Data!$C$3:$C$14)</f>
        <v>45308</v>
      </c>
      <c r="M40" s="309">
        <v>1</v>
      </c>
      <c r="N40" s="572"/>
      <c r="O40" s="124"/>
      <c r="Q40" s="126"/>
      <c r="R40" s="123"/>
      <c r="S40" s="123"/>
      <c r="T40" s="123"/>
      <c r="U40" s="123"/>
      <c r="V40" s="123"/>
      <c r="W40" s="123"/>
      <c r="X40" s="123"/>
      <c r="Y40" s="123"/>
      <c r="Z40" s="123"/>
      <c r="AA40" s="123"/>
      <c r="AB40" s="123"/>
    </row>
    <row r="41" spans="2:28" s="114" customFormat="1">
      <c r="B41" s="847">
        <v>5.6</v>
      </c>
      <c r="C41" s="303" t="s">
        <v>199</v>
      </c>
      <c r="D41" s="269"/>
      <c r="E41" s="304">
        <f>WORKDAY.INTL(E37,0,1,Data!$C$3:$C$14)</f>
        <v>45475</v>
      </c>
      <c r="F41" s="305">
        <v>6</v>
      </c>
      <c r="G41" s="304">
        <f>WORKDAY.INTL(E41,F41,1,Data!$C$3:$C$14)</f>
        <v>45483</v>
      </c>
      <c r="H41" s="292"/>
      <c r="I41" s="304">
        <f>+K37</f>
        <v>45307</v>
      </c>
      <c r="J41" s="305">
        <v>7</v>
      </c>
      <c r="K41" s="304">
        <f>WORKDAY.INTL(I41,J41,1,Data!$C$3:$C$14)</f>
        <v>45316</v>
      </c>
      <c r="M41" s="309">
        <v>1</v>
      </c>
      <c r="N41" s="572"/>
      <c r="O41" s="124"/>
      <c r="Q41" s="126"/>
      <c r="R41" s="123"/>
      <c r="S41" s="123"/>
      <c r="T41" s="123"/>
      <c r="U41" s="123"/>
      <c r="V41" s="123"/>
      <c r="W41" s="123"/>
      <c r="X41" s="123"/>
      <c r="Y41" s="123"/>
      <c r="Z41" s="123"/>
      <c r="AA41" s="123"/>
      <c r="AB41" s="123"/>
    </row>
    <row r="42" spans="2:28" s="114" customFormat="1">
      <c r="B42" s="847">
        <v>5.7</v>
      </c>
      <c r="C42" s="303" t="s">
        <v>200</v>
      </c>
      <c r="D42" s="269"/>
      <c r="E42" s="304">
        <f>WORKDAY.INTL(G37,0,1,Data!$C$3:$C$14)</f>
        <v>45483</v>
      </c>
      <c r="F42" s="305">
        <v>7</v>
      </c>
      <c r="G42" s="304">
        <f>WORKDAY.INTL(E42,F42,1,Data!$C$3:$C$14)</f>
        <v>45492</v>
      </c>
      <c r="H42" s="292"/>
      <c r="I42" s="304">
        <f>+K41</f>
        <v>45316</v>
      </c>
      <c r="J42" s="305">
        <v>10</v>
      </c>
      <c r="K42" s="304">
        <f>WORKDAY.INTL(I42,J42,1,Data!$C$3:$C$14)+4</f>
        <v>45334</v>
      </c>
      <c r="M42" s="309">
        <v>1</v>
      </c>
      <c r="N42" s="572"/>
      <c r="O42" s="124"/>
      <c r="Q42" s="126"/>
      <c r="R42" s="123"/>
      <c r="S42" s="123"/>
      <c r="T42" s="123"/>
      <c r="U42" s="123"/>
      <c r="V42" s="123"/>
      <c r="W42" s="123"/>
      <c r="X42" s="123"/>
      <c r="Y42" s="123"/>
      <c r="Z42" s="123"/>
      <c r="AA42" s="123"/>
      <c r="AB42" s="123"/>
    </row>
    <row r="43" spans="2:28" s="114" customFormat="1" ht="4.5" customHeight="1">
      <c r="B43" s="909"/>
      <c r="C43" s="271"/>
      <c r="D43" s="269"/>
      <c r="E43" s="304"/>
      <c r="F43" s="305"/>
      <c r="G43" s="304"/>
      <c r="H43" s="292"/>
      <c r="I43" s="304"/>
      <c r="J43" s="305"/>
      <c r="K43" s="304"/>
      <c r="M43" s="725"/>
      <c r="N43" s="572"/>
      <c r="O43" s="121"/>
      <c r="Q43" s="126"/>
      <c r="R43" s="123"/>
      <c r="S43" s="123"/>
      <c r="T43" s="123"/>
      <c r="U43" s="123"/>
      <c r="V43" s="123"/>
      <c r="W43" s="123"/>
      <c r="X43" s="123"/>
      <c r="Y43" s="123"/>
      <c r="Z43" s="123"/>
      <c r="AA43" s="123"/>
      <c r="AB43" s="123"/>
    </row>
    <row r="44" spans="2:28" s="116" customFormat="1">
      <c r="B44" s="908">
        <v>6</v>
      </c>
      <c r="C44" s="299" t="s">
        <v>201</v>
      </c>
      <c r="D44" s="273"/>
      <c r="E44" s="300">
        <f>MIN(E45:E46)</f>
        <v>45481</v>
      </c>
      <c r="F44" s="301">
        <f>G44-E44</f>
        <v>10</v>
      </c>
      <c r="G44" s="300">
        <f>MAX(G45:G46)</f>
        <v>45491</v>
      </c>
      <c r="H44" s="274"/>
      <c r="I44" s="300">
        <f>MIN(I45:I46)</f>
        <v>45355</v>
      </c>
      <c r="J44" s="301">
        <f>K44-I44</f>
        <v>17</v>
      </c>
      <c r="K44" s="300">
        <f>MAX(K45:K46)</f>
        <v>45372</v>
      </c>
      <c r="M44" s="523">
        <f>(J45*M45+J46*M46)/SUM(J45:J46)</f>
        <v>1</v>
      </c>
      <c r="N44" s="571">
        <f>J44*M44</f>
        <v>17</v>
      </c>
      <c r="O44" s="121"/>
      <c r="P44" s="114"/>
      <c r="Q44" s="125"/>
      <c r="R44" s="120"/>
      <c r="S44" s="120"/>
      <c r="T44" s="120"/>
      <c r="U44" s="120"/>
      <c r="V44" s="120"/>
      <c r="W44" s="120"/>
      <c r="X44" s="120"/>
      <c r="Y44" s="120"/>
      <c r="Z44" s="120"/>
      <c r="AA44" s="120"/>
      <c r="AB44" s="120"/>
    </row>
    <row r="45" spans="2:28" s="114" customFormat="1">
      <c r="B45" s="847">
        <v>6.1</v>
      </c>
      <c r="C45" s="303" t="s">
        <v>202</v>
      </c>
      <c r="D45" s="269"/>
      <c r="E45" s="304">
        <f>WORKDAY.INTL(G37,0,1,Data!$C$3:$C$14)-2</f>
        <v>45481</v>
      </c>
      <c r="F45" s="305">
        <v>1</v>
      </c>
      <c r="G45" s="304">
        <f>WORKDAY.INTL(E45,F45,1,Data!$C$3:$C$14)</f>
        <v>45482</v>
      </c>
      <c r="H45" s="292"/>
      <c r="I45" s="308">
        <v>45355</v>
      </c>
      <c r="J45" s="305">
        <v>1</v>
      </c>
      <c r="K45" s="304">
        <f>WORKDAY.INTL(I45,J45,1,Data!$C$3:$C$14)</f>
        <v>45356</v>
      </c>
      <c r="M45" s="309">
        <v>1</v>
      </c>
      <c r="N45" s="573"/>
      <c r="O45" s="124"/>
      <c r="Q45" s="126"/>
      <c r="R45" s="123"/>
      <c r="S45" s="123"/>
      <c r="T45" s="123"/>
      <c r="U45" s="123"/>
      <c r="V45" s="123"/>
      <c r="W45" s="123"/>
      <c r="X45" s="123"/>
      <c r="Y45" s="123"/>
      <c r="Z45" s="123"/>
      <c r="AA45" s="123"/>
      <c r="AB45" s="123"/>
    </row>
    <row r="46" spans="2:28" s="114" customFormat="1">
      <c r="B46" s="847">
        <v>6.2</v>
      </c>
      <c r="C46" s="303" t="s">
        <v>203</v>
      </c>
      <c r="D46" s="269"/>
      <c r="E46" s="308">
        <f>WORKDAY.INTL(G45,0,1,Data!$C$3:$C$14)</f>
        <v>45482</v>
      </c>
      <c r="F46" s="305">
        <v>7</v>
      </c>
      <c r="G46" s="304">
        <f>WORKDAY.INTL(E46,F46,1,Data!$C$3:$C$14)</f>
        <v>45491</v>
      </c>
      <c r="H46" s="292"/>
      <c r="I46" s="308">
        <f>WORKDAY.INTL(K45,0,1,Data!$C$3:$C$14)</f>
        <v>45356</v>
      </c>
      <c r="J46" s="305">
        <v>12</v>
      </c>
      <c r="K46" s="304">
        <f>WORKDAY.INTL(I46,J46,1,Data!$C$3:$C$14)</f>
        <v>45372</v>
      </c>
      <c r="M46" s="309">
        <v>1</v>
      </c>
      <c r="N46" s="572"/>
      <c r="O46" s="124" t="s">
        <v>204</v>
      </c>
      <c r="Q46" s="126"/>
      <c r="R46" s="123"/>
      <c r="S46" s="123"/>
      <c r="T46" s="123"/>
      <c r="U46" s="123"/>
      <c r="V46" s="123"/>
      <c r="W46" s="123"/>
      <c r="X46" s="123"/>
      <c r="Y46" s="123"/>
      <c r="Z46" s="123"/>
      <c r="AA46" s="123"/>
      <c r="AB46" s="123"/>
    </row>
    <row r="47" spans="2:28" s="114" customFormat="1" ht="4.5" customHeight="1">
      <c r="B47" s="907"/>
      <c r="C47" s="269"/>
      <c r="D47" s="269"/>
      <c r="E47" s="305"/>
      <c r="F47" s="294"/>
      <c r="G47" s="305"/>
      <c r="H47" s="292"/>
      <c r="I47" s="305"/>
      <c r="J47" s="294"/>
      <c r="K47" s="305"/>
      <c r="L47" s="123"/>
      <c r="M47" s="123"/>
      <c r="N47" s="572"/>
      <c r="O47" s="123"/>
      <c r="Q47" s="126"/>
      <c r="R47" s="123"/>
      <c r="S47" s="123"/>
      <c r="T47" s="123"/>
      <c r="U47" s="123"/>
      <c r="V47" s="123"/>
      <c r="W47" s="123"/>
      <c r="X47" s="123"/>
      <c r="Y47" s="123"/>
      <c r="Z47" s="123"/>
      <c r="AA47" s="123"/>
      <c r="AB47" s="123"/>
    </row>
    <row r="48" spans="2:28" s="116" customFormat="1">
      <c r="B48" s="908">
        <v>7</v>
      </c>
      <c r="C48" s="299" t="s">
        <v>205</v>
      </c>
      <c r="D48" s="273"/>
      <c r="E48" s="300">
        <f>MIN(E49:E50)</f>
        <v>45497</v>
      </c>
      <c r="F48" s="301">
        <f>G48-E48</f>
        <v>2</v>
      </c>
      <c r="G48" s="300">
        <f>MAX(G49:G50)</f>
        <v>45499</v>
      </c>
      <c r="H48" s="274"/>
      <c r="I48" s="300">
        <f>MIN(I49:I50)</f>
        <v>45391</v>
      </c>
      <c r="J48" s="301">
        <f>K48-I48</f>
        <v>10</v>
      </c>
      <c r="K48" s="300">
        <f>MAX(K49:K50)</f>
        <v>45401</v>
      </c>
      <c r="M48" s="523">
        <f>(J49*M49+J50*M50)/SUM(J49:J50)</f>
        <v>1</v>
      </c>
      <c r="N48" s="571">
        <f>J48*M48</f>
        <v>10</v>
      </c>
      <c r="O48" s="121"/>
      <c r="P48" s="114"/>
      <c r="Q48" s="125"/>
      <c r="R48" s="120"/>
      <c r="S48" s="120"/>
      <c r="T48" s="120"/>
      <c r="U48" s="120"/>
      <c r="V48" s="120"/>
      <c r="W48" s="120"/>
      <c r="X48" s="120"/>
      <c r="Y48" s="120"/>
      <c r="Z48" s="120"/>
      <c r="AA48" s="120"/>
      <c r="AB48" s="120"/>
    </row>
    <row r="49" spans="2:28" s="114" customFormat="1">
      <c r="B49" s="847">
        <v>7.1</v>
      </c>
      <c r="C49" s="297" t="s">
        <v>206</v>
      </c>
      <c r="D49" s="269"/>
      <c r="E49" s="308">
        <f>WORKDAY.INTL(MAX(G28,G35,G44),0,1,Data!$C$3:$C$14)</f>
        <v>45497</v>
      </c>
      <c r="F49" s="305">
        <v>1</v>
      </c>
      <c r="G49" s="304">
        <f>WORKDAY.INTL(E49,F49,1,Data!$C$3:$C$14)</f>
        <v>45498</v>
      </c>
      <c r="H49" s="292"/>
      <c r="I49" s="308">
        <f>WORKDAY.INTL(MAX(K28,K35,K44),0,1,Data!$C$3:$C$14)+14</f>
        <v>45391</v>
      </c>
      <c r="J49" s="305">
        <v>3</v>
      </c>
      <c r="K49" s="304">
        <f>WORKDAY.INTL(I49,J49,1,Data!$C$3:$C$14)</f>
        <v>45394</v>
      </c>
      <c r="M49" s="309">
        <v>1</v>
      </c>
      <c r="N49" s="573"/>
      <c r="O49" s="124"/>
      <c r="Q49" s="126"/>
      <c r="R49" s="123"/>
      <c r="S49" s="123"/>
      <c r="T49" s="123"/>
      <c r="U49" s="123"/>
      <c r="V49" s="123"/>
      <c r="W49" s="123"/>
      <c r="X49" s="123"/>
      <c r="Y49" s="123"/>
      <c r="Z49" s="123"/>
      <c r="AA49" s="123"/>
      <c r="AB49" s="123"/>
    </row>
    <row r="50" spans="2:28" s="114" customFormat="1">
      <c r="B50" s="847">
        <v>7.2</v>
      </c>
      <c r="C50" s="297" t="s">
        <v>207</v>
      </c>
      <c r="D50" s="269"/>
      <c r="E50" s="308">
        <f>WORKDAY.INTL(G49,0,1,Data!$C$3:$C$14)</f>
        <v>45498</v>
      </c>
      <c r="F50" s="305">
        <v>1</v>
      </c>
      <c r="G50" s="304">
        <f>WORKDAY.INTL(E50,F50,1,Data!$C$3:$C$14)</f>
        <v>45499</v>
      </c>
      <c r="H50" s="292"/>
      <c r="I50" s="308">
        <f>WORKDAY.INTL(K49,0,1,Data!$C$3:$C$14)</f>
        <v>45394</v>
      </c>
      <c r="J50" s="305">
        <v>5</v>
      </c>
      <c r="K50" s="879">
        <f>WORKDAY.INTL(I50,J50,1,Data!$C$3:$C$14)</f>
        <v>45401</v>
      </c>
      <c r="M50" s="309">
        <v>1</v>
      </c>
      <c r="N50" s="572"/>
      <c r="O50" s="124"/>
      <c r="Q50" s="126"/>
      <c r="R50" s="123"/>
      <c r="S50" s="123"/>
      <c r="T50" s="123"/>
      <c r="U50" s="123"/>
      <c r="V50" s="123"/>
      <c r="W50" s="123"/>
      <c r="X50" s="123"/>
      <c r="Y50" s="123"/>
      <c r="Z50" s="123"/>
      <c r="AA50" s="123"/>
      <c r="AB50" s="123"/>
    </row>
    <row r="51" spans="2:28" s="114" customFormat="1">
      <c r="B51" s="847">
        <v>7.3</v>
      </c>
      <c r="C51" s="297" t="s">
        <v>208</v>
      </c>
      <c r="D51" s="269"/>
      <c r="E51" s="308">
        <f>WORKDAY.INTL(G50,0,1,Data!$C$3:$C$14)</f>
        <v>45499</v>
      </c>
      <c r="F51" s="305">
        <v>2</v>
      </c>
      <c r="G51" s="304">
        <f>WORKDAY.INTL(E51,F51,1,Data!$C$3:$C$14)</f>
        <v>45503</v>
      </c>
      <c r="H51" s="292"/>
      <c r="I51" s="308">
        <v>45446</v>
      </c>
      <c r="J51" s="305">
        <v>15</v>
      </c>
      <c r="K51" s="846">
        <f>WORKDAY.INTL(I51,J51,1,Data!$C$3:$C$14)</f>
        <v>45467</v>
      </c>
      <c r="M51" s="309">
        <v>0.8</v>
      </c>
      <c r="N51" s="572"/>
      <c r="O51" s="124" t="s">
        <v>528</v>
      </c>
      <c r="Q51" s="126"/>
      <c r="R51" s="123"/>
      <c r="S51" s="123"/>
      <c r="T51" s="123"/>
      <c r="U51" s="123"/>
      <c r="V51" s="123"/>
      <c r="W51" s="123"/>
      <c r="X51" s="123"/>
      <c r="Y51" s="123"/>
      <c r="Z51" s="123"/>
      <c r="AA51" s="123"/>
      <c r="AB51" s="123"/>
    </row>
    <row r="52" spans="2:28" s="114" customFormat="1" ht="4.5" customHeight="1">
      <c r="B52" s="907"/>
      <c r="C52" s="269"/>
      <c r="D52" s="269"/>
      <c r="E52" s="305"/>
      <c r="F52" s="294"/>
      <c r="G52" s="305"/>
      <c r="H52" s="292"/>
      <c r="I52" s="305"/>
      <c r="J52" s="294"/>
      <c r="K52" s="305"/>
      <c r="L52" s="123"/>
      <c r="M52" s="123"/>
      <c r="N52" s="572"/>
      <c r="O52" s="123"/>
      <c r="Q52" s="126"/>
      <c r="R52" s="123"/>
      <c r="S52" s="123"/>
      <c r="T52" s="123"/>
      <c r="U52" s="123"/>
      <c r="V52" s="123"/>
      <c r="W52" s="123"/>
      <c r="X52" s="123"/>
      <c r="Y52" s="123"/>
      <c r="Z52" s="123"/>
      <c r="AA52" s="123"/>
      <c r="AB52" s="123"/>
    </row>
    <row r="53" spans="2:28" s="116" customFormat="1">
      <c r="B53" s="908">
        <v>8</v>
      </c>
      <c r="C53" s="299" t="s">
        <v>210</v>
      </c>
      <c r="D53" s="273"/>
      <c r="E53" s="300">
        <f>MIN(E54)</f>
        <v>45504</v>
      </c>
      <c r="F53" s="301">
        <f>G53-E53</f>
        <v>5</v>
      </c>
      <c r="G53" s="300">
        <f>MAX(G54)</f>
        <v>45509</v>
      </c>
      <c r="H53" s="274"/>
      <c r="I53" s="300">
        <f>MIN(I54)</f>
        <v>45467</v>
      </c>
      <c r="J53" s="301">
        <f>K53-I53</f>
        <v>3</v>
      </c>
      <c r="K53" s="300">
        <f>MAX(K54)</f>
        <v>45470</v>
      </c>
      <c r="M53" s="523">
        <f>(J54*M54)/SUM(J54)</f>
        <v>0.9</v>
      </c>
      <c r="N53" s="571">
        <f>J53*M53</f>
        <v>2.7</v>
      </c>
      <c r="O53" s="121"/>
      <c r="P53" s="114"/>
      <c r="Q53" s="125"/>
      <c r="R53" s="120"/>
      <c r="S53" s="120"/>
      <c r="T53" s="120"/>
      <c r="U53" s="120"/>
      <c r="V53" s="120"/>
      <c r="W53" s="120"/>
      <c r="X53" s="120"/>
      <c r="Y53" s="120"/>
      <c r="Z53" s="120"/>
      <c r="AA53" s="120"/>
      <c r="AB53" s="120"/>
    </row>
    <row r="54" spans="2:28">
      <c r="B54" s="847">
        <v>8.1</v>
      </c>
      <c r="C54" s="297" t="s">
        <v>211</v>
      </c>
      <c r="D54" s="269"/>
      <c r="E54" s="308">
        <f>WORKDAY.INTL(G50,0,1,Data!$C$3:$C$14)+5</f>
        <v>45504</v>
      </c>
      <c r="F54" s="305">
        <v>3</v>
      </c>
      <c r="G54" s="308">
        <f>WORKDAY.INTL(E54,F54,1,Data!$C$3:$C$14)</f>
        <v>45509</v>
      </c>
      <c r="H54" s="292"/>
      <c r="I54" s="308">
        <f>WORKDAY.INTL(K51,0,1,Data!$C$3:$C$14)</f>
        <v>45467</v>
      </c>
      <c r="J54" s="305">
        <v>3</v>
      </c>
      <c r="K54" s="308">
        <f>WORKDAY.INTL(I54,J54,1,Data!$C$3:$C$14)</f>
        <v>45470</v>
      </c>
      <c r="M54" s="309">
        <v>0.9</v>
      </c>
      <c r="N54" s="573"/>
      <c r="O54" s="124"/>
      <c r="Y54" s="24"/>
    </row>
    <row r="55" spans="2:28" s="114" customFormat="1" ht="4.5" customHeight="1">
      <c r="B55" s="907"/>
      <c r="C55" s="269"/>
      <c r="D55" s="269"/>
      <c r="E55" s="305"/>
      <c r="F55" s="294"/>
      <c r="G55" s="305"/>
      <c r="H55" s="292"/>
      <c r="I55" s="305"/>
      <c r="J55" s="294"/>
      <c r="K55" s="305"/>
      <c r="L55" s="123"/>
      <c r="M55" s="123"/>
      <c r="N55" s="572"/>
      <c r="O55" s="123"/>
      <c r="Q55" s="126"/>
      <c r="R55" s="123"/>
      <c r="S55" s="123"/>
      <c r="T55" s="123"/>
      <c r="U55" s="123"/>
      <c r="V55" s="123"/>
      <c r="W55" s="123"/>
      <c r="X55" s="123"/>
      <c r="Y55" s="123"/>
      <c r="Z55" s="123"/>
      <c r="AA55" s="123"/>
      <c r="AB55" s="123"/>
    </row>
    <row r="56" spans="2:28" s="116" customFormat="1">
      <c r="B56" s="908">
        <v>9</v>
      </c>
      <c r="C56" s="299" t="s">
        <v>212</v>
      </c>
      <c r="D56" s="273"/>
      <c r="E56" s="300">
        <f>MIN(E57:E62)</f>
        <v>45498</v>
      </c>
      <c r="F56" s="301">
        <f>G56-E56</f>
        <v>26</v>
      </c>
      <c r="G56" s="300">
        <f>MAX(G57:G62)</f>
        <v>45524</v>
      </c>
      <c r="H56" s="274"/>
      <c r="I56" s="300">
        <f>MIN(I57:I62)</f>
        <v>45394</v>
      </c>
      <c r="J56" s="301">
        <f>K56-I56</f>
        <v>83</v>
      </c>
      <c r="K56" s="300">
        <f>MAX(K57:K62)</f>
        <v>45477</v>
      </c>
      <c r="M56" s="523">
        <f>(J57*M57+J58*M58+J59*M59+J60*M60+J61*M61+J62*M62)/SUM(J57:J62)</f>
        <v>0.24285714285714288</v>
      </c>
      <c r="N56" s="571">
        <f>J56*M56</f>
        <v>20.157142857142858</v>
      </c>
      <c r="O56" s="121"/>
      <c r="P56" s="114"/>
      <c r="Q56" s="125"/>
      <c r="R56" s="120"/>
      <c r="S56" s="120"/>
      <c r="T56" s="120"/>
      <c r="U56" s="120"/>
      <c r="V56" s="120"/>
      <c r="W56" s="120"/>
      <c r="X56" s="120"/>
      <c r="Y56" s="120"/>
      <c r="Z56" s="120"/>
      <c r="AA56" s="120"/>
      <c r="AB56" s="120"/>
    </row>
    <row r="57" spans="2:28" s="114" customFormat="1">
      <c r="B57" s="847">
        <v>9.1</v>
      </c>
      <c r="C57" s="297" t="s">
        <v>213</v>
      </c>
      <c r="D57" s="269"/>
      <c r="E57" s="308">
        <f>WORKDAY.INTL(E50,0,1,Data!$C$3:$C$14)</f>
        <v>45498</v>
      </c>
      <c r="F57" s="305">
        <v>1</v>
      </c>
      <c r="G57" s="308">
        <f>WORKDAY.INTL(E57,F57,1,Data!$C$3:$C$14)</f>
        <v>45499</v>
      </c>
      <c r="H57" s="292"/>
      <c r="I57" s="308">
        <f>WORKDAY.INTL(I50,0,1,Data!$C$3:$C$14)</f>
        <v>45394</v>
      </c>
      <c r="J57" s="305">
        <v>1</v>
      </c>
      <c r="K57" s="308">
        <f>WORKDAY.INTL(I57,J57,1,Data!$C$3:$C$14)</f>
        <v>45397</v>
      </c>
      <c r="M57" s="309">
        <v>1</v>
      </c>
      <c r="N57" s="573"/>
      <c r="O57" s="124"/>
      <c r="Q57" s="126"/>
      <c r="R57" s="123"/>
      <c r="S57" s="123"/>
      <c r="T57" s="123"/>
      <c r="U57" s="123"/>
      <c r="V57" s="123"/>
      <c r="W57" s="123"/>
      <c r="X57" s="123"/>
      <c r="Y57" s="123"/>
      <c r="Z57" s="123"/>
      <c r="AA57" s="123"/>
      <c r="AB57" s="123"/>
    </row>
    <row r="58" spans="2:28" s="114" customFormat="1">
      <c r="B58" s="847">
        <v>9.1999999999999993</v>
      </c>
      <c r="C58" s="297" t="s">
        <v>214</v>
      </c>
      <c r="D58" s="269"/>
      <c r="E58" s="308">
        <f>WORKDAY.INTL(G54,0,1,Data!$C$3:$C$14)</f>
        <v>45509</v>
      </c>
      <c r="F58" s="305">
        <v>5</v>
      </c>
      <c r="G58" s="308">
        <f>WORKDAY.INTL(E58,F58,1,Data!$C$3:$C$14)</f>
        <v>45516</v>
      </c>
      <c r="H58" s="292"/>
      <c r="I58" s="308">
        <f>WORKDAY.INTL(K51,0,1,Data!$C$3:$C$14)</f>
        <v>45467</v>
      </c>
      <c r="J58" s="305">
        <v>3</v>
      </c>
      <c r="K58" s="308">
        <f>WORKDAY.INTL(I58,J58,1,Data!$C$3:$C$14)</f>
        <v>45470</v>
      </c>
      <c r="M58" s="309">
        <v>0.8</v>
      </c>
      <c r="N58" s="572"/>
      <c r="O58" s="124"/>
      <c r="Q58" s="126"/>
      <c r="R58" s="123"/>
      <c r="S58" s="123"/>
      <c r="T58" s="123"/>
      <c r="U58" s="123"/>
      <c r="V58" s="123"/>
      <c r="W58" s="123"/>
      <c r="X58" s="123"/>
      <c r="Y58" s="123"/>
      <c r="Z58" s="123"/>
      <c r="AA58" s="123"/>
      <c r="AB58" s="123"/>
    </row>
    <row r="59" spans="2:28" s="114" customFormat="1">
      <c r="B59" s="847">
        <v>9.3000000000000007</v>
      </c>
      <c r="C59" s="297" t="s">
        <v>215</v>
      </c>
      <c r="D59" s="269"/>
      <c r="E59" s="308">
        <f>WORKDAY.INTL(G58,0,1,Data!$C$3:$C$14)</f>
        <v>45516</v>
      </c>
      <c r="F59" s="305">
        <v>4</v>
      </c>
      <c r="G59" s="308">
        <f>WORKDAY.INTL(E59,F59,1,Data!$C$3:$C$14)</f>
        <v>45520</v>
      </c>
      <c r="H59" s="292"/>
      <c r="I59" s="308">
        <f>WORKDAY.INTL(K51,0,1,Data!$C$3:$C$14)</f>
        <v>45467</v>
      </c>
      <c r="J59" s="305">
        <v>5</v>
      </c>
      <c r="K59" s="308">
        <f>WORKDAY.INTL(I59,J59,1,Data!$C$3:$C$14)</f>
        <v>45474</v>
      </c>
      <c r="M59" s="309">
        <v>0</v>
      </c>
      <c r="N59" s="572"/>
      <c r="O59" s="124"/>
      <c r="Q59" s="126"/>
      <c r="R59" s="123"/>
      <c r="S59" s="123"/>
      <c r="T59" s="123"/>
      <c r="U59" s="123"/>
      <c r="V59" s="123"/>
      <c r="W59" s="123"/>
      <c r="X59" s="123"/>
      <c r="Y59" s="123"/>
      <c r="Z59" s="123"/>
      <c r="AA59" s="123"/>
      <c r="AB59" s="123"/>
    </row>
    <row r="60" spans="2:28" s="114" customFormat="1">
      <c r="B60" s="847">
        <v>9.4</v>
      </c>
      <c r="C60" s="297" t="s">
        <v>216</v>
      </c>
      <c r="D60" s="269"/>
      <c r="E60" s="308">
        <f>WORKDAY.INTL(G58,0,1,Data!$C$3:$C$14)</f>
        <v>45516</v>
      </c>
      <c r="F60" s="305">
        <v>5</v>
      </c>
      <c r="G60" s="308">
        <f>WORKDAY.INTL(E60,F60,1,Data!$C$3:$C$14)</f>
        <v>45523</v>
      </c>
      <c r="H60" s="292"/>
      <c r="I60" s="308">
        <f>WORKDAY.INTL(K58,0,1,Data!$C$3:$C$14)</f>
        <v>45470</v>
      </c>
      <c r="J60" s="305">
        <v>3</v>
      </c>
      <c r="K60" s="308">
        <f>WORKDAY.INTL(I60,J60,1,Data!$C$3:$C$14)</f>
        <v>45475</v>
      </c>
      <c r="M60" s="309">
        <v>0</v>
      </c>
      <c r="N60" s="572"/>
      <c r="O60" s="124"/>
      <c r="Q60" s="126"/>
      <c r="R60" s="123"/>
      <c r="S60" s="123"/>
      <c r="T60" s="123"/>
      <c r="U60" s="123"/>
      <c r="V60" s="123"/>
      <c r="W60" s="123"/>
      <c r="X60" s="123"/>
      <c r="Y60" s="123"/>
      <c r="Z60" s="123"/>
      <c r="AA60" s="123"/>
      <c r="AB60" s="123"/>
    </row>
    <row r="61" spans="2:28" s="114" customFormat="1">
      <c r="B61" s="847">
        <v>9.5</v>
      </c>
      <c r="C61" s="297" t="s">
        <v>217</v>
      </c>
      <c r="D61" s="269"/>
      <c r="E61" s="308">
        <f>WORKDAY.INTL(G60,0,1,Data!$C$3:$C$14)</f>
        <v>45523</v>
      </c>
      <c r="F61" s="305">
        <v>1</v>
      </c>
      <c r="G61" s="308">
        <f>WORKDAY.INTL(E61,F61,1,Data!$C$3:$C$14)</f>
        <v>45524</v>
      </c>
      <c r="H61" s="292"/>
      <c r="I61" s="308">
        <f>WORKDAY.INTL(K60,0,1,Data!$C$3:$C$14)</f>
        <v>45475</v>
      </c>
      <c r="J61" s="305">
        <v>1</v>
      </c>
      <c r="K61" s="308">
        <f>WORKDAY.INTL(I61,J61,1,Data!$C$3:$C$14)</f>
        <v>45476</v>
      </c>
      <c r="M61" s="309">
        <v>0</v>
      </c>
      <c r="N61" s="572"/>
      <c r="O61" s="124"/>
      <c r="Q61" s="126"/>
      <c r="R61" s="123"/>
      <c r="S61" s="123"/>
      <c r="T61" s="123"/>
      <c r="U61" s="123"/>
      <c r="V61" s="123"/>
      <c r="W61" s="123"/>
      <c r="X61" s="123"/>
      <c r="Y61" s="123"/>
      <c r="Z61" s="123"/>
      <c r="AA61" s="123"/>
      <c r="AB61" s="123"/>
    </row>
    <row r="62" spans="2:28" s="114" customFormat="1">
      <c r="B62" s="847">
        <v>9.6</v>
      </c>
      <c r="C62" s="297" t="s">
        <v>218</v>
      </c>
      <c r="D62" s="269"/>
      <c r="E62" s="308">
        <f>WORKDAY.INTL(G58,0,1,Data!$C$3:$C$14)</f>
        <v>45516</v>
      </c>
      <c r="F62" s="305">
        <v>1</v>
      </c>
      <c r="G62" s="308">
        <f>WORKDAY.INTL(E62,F62,1,Data!$C$3:$C$14)</f>
        <v>45517</v>
      </c>
      <c r="H62" s="292"/>
      <c r="I62" s="308">
        <f>WORKDAY.INTL(K61,0,1,Data!$C$3:$C$14)</f>
        <v>45476</v>
      </c>
      <c r="J62" s="305">
        <v>1</v>
      </c>
      <c r="K62" s="308">
        <f>WORKDAY.INTL(I62,J62,1,Data!$C$3:$C$14)</f>
        <v>45477</v>
      </c>
      <c r="M62" s="309">
        <v>0</v>
      </c>
      <c r="N62" s="572"/>
      <c r="O62" s="124"/>
      <c r="Q62" s="126"/>
      <c r="R62" s="123"/>
      <c r="S62" s="123"/>
      <c r="T62" s="123"/>
      <c r="U62" s="123"/>
      <c r="V62" s="123"/>
      <c r="W62" s="123"/>
      <c r="X62" s="123"/>
      <c r="Y62" s="123"/>
      <c r="Z62" s="123"/>
      <c r="AA62" s="123"/>
      <c r="AB62" s="123"/>
    </row>
    <row r="63" spans="2:28" s="114" customFormat="1" ht="4.5" customHeight="1">
      <c r="B63" s="293"/>
      <c r="C63" s="269"/>
      <c r="D63" s="269"/>
      <c r="E63" s="269"/>
      <c r="F63" s="269"/>
      <c r="G63" s="269"/>
      <c r="H63" s="269"/>
      <c r="I63" s="269"/>
      <c r="J63" s="269"/>
      <c r="K63" s="269"/>
      <c r="L63" s="269"/>
      <c r="M63" s="269"/>
      <c r="N63" s="269"/>
      <c r="O63" s="269"/>
      <c r="Q63" s="126"/>
      <c r="R63" s="123"/>
      <c r="S63" s="123"/>
      <c r="T63" s="123"/>
      <c r="U63" s="123"/>
      <c r="V63" s="123"/>
      <c r="W63" s="123"/>
      <c r="X63" s="123"/>
      <c r="Y63" s="123"/>
      <c r="Z63" s="123"/>
      <c r="AA63" s="123"/>
      <c r="AB63" s="123"/>
    </row>
    <row r="64" spans="2:28" s="3" customFormat="1">
      <c r="B64" s="189"/>
      <c r="E64" s="190"/>
      <c r="F64" s="109"/>
      <c r="J64" s="109"/>
    </row>
    <row r="65" spans="2:28" s="114" customFormat="1">
      <c r="B65" s="187"/>
      <c r="F65" s="188"/>
      <c r="G65" s="115"/>
      <c r="J65" s="115"/>
      <c r="Q65" s="3"/>
      <c r="Z65" s="24"/>
      <c r="AA65" s="24"/>
      <c r="AB65" s="24"/>
    </row>
    <row r="66" spans="2:28" s="114" customFormat="1">
      <c r="B66" s="187"/>
      <c r="F66" s="188"/>
      <c r="G66" s="115"/>
      <c r="J66" s="115"/>
      <c r="Q66" s="3"/>
      <c r="Z66" s="24"/>
      <c r="AA66" s="24"/>
      <c r="AB66" s="24"/>
    </row>
    <row r="67" spans="2:28" s="114" customFormat="1">
      <c r="B67" s="187"/>
      <c r="F67" s="188"/>
      <c r="G67" s="115"/>
      <c r="J67" s="115"/>
      <c r="Q67" s="3"/>
      <c r="Z67" s="24"/>
      <c r="AA67" s="24"/>
      <c r="AB67" s="24"/>
    </row>
    <row r="68" spans="2:28" s="114" customFormat="1">
      <c r="B68" s="187"/>
      <c r="F68" s="188"/>
      <c r="G68" s="115"/>
      <c r="J68" s="115"/>
      <c r="Q68" s="3"/>
      <c r="Z68" s="24"/>
      <c r="AA68" s="24"/>
      <c r="AB68" s="24"/>
    </row>
    <row r="69" spans="2:28" s="114" customFormat="1">
      <c r="B69" s="187"/>
      <c r="F69" s="188"/>
      <c r="G69" s="115"/>
      <c r="J69" s="115"/>
      <c r="Q69" s="3"/>
      <c r="Z69" s="24"/>
      <c r="AA69" s="24"/>
      <c r="AB69" s="24"/>
    </row>
    <row r="70" spans="2:28" s="114" customFormat="1">
      <c r="B70" s="187"/>
      <c r="F70" s="188"/>
      <c r="G70" s="115"/>
      <c r="J70" s="115"/>
      <c r="Q70" s="3"/>
      <c r="Z70" s="24"/>
      <c r="AA70" s="24"/>
      <c r="AB70" s="24"/>
    </row>
    <row r="71" spans="2:28" s="114" customFormat="1">
      <c r="B71" s="187"/>
      <c r="F71" s="188"/>
      <c r="G71" s="115"/>
      <c r="J71" s="115"/>
      <c r="Q71" s="3"/>
      <c r="Z71" s="24"/>
      <c r="AA71" s="24"/>
      <c r="AB71" s="24"/>
    </row>
    <row r="72" spans="2:28" s="114" customFormat="1">
      <c r="B72" s="187"/>
      <c r="F72" s="188"/>
      <c r="G72" s="115"/>
      <c r="J72" s="115"/>
      <c r="Q72" s="3"/>
      <c r="Z72" s="24"/>
      <c r="AA72" s="24"/>
      <c r="AB72" s="24"/>
    </row>
    <row r="73" spans="2:28" s="114" customFormat="1">
      <c r="B73" s="187"/>
      <c r="F73" s="188"/>
      <c r="G73" s="115"/>
      <c r="J73" s="115"/>
      <c r="Q73" s="3"/>
      <c r="Z73" s="24"/>
      <c r="AA73" s="24"/>
      <c r="AB73" s="24"/>
    </row>
    <row r="74" spans="2:28" s="114" customFormat="1">
      <c r="B74" s="187"/>
      <c r="F74" s="188"/>
      <c r="G74" s="115"/>
      <c r="J74" s="115"/>
      <c r="Q74" s="3"/>
      <c r="Z74" s="24"/>
      <c r="AA74" s="24"/>
      <c r="AB74" s="24"/>
    </row>
    <row r="75" spans="2:28" s="114" customFormat="1">
      <c r="B75" s="187"/>
      <c r="F75" s="188"/>
      <c r="G75" s="115"/>
      <c r="J75" s="115"/>
      <c r="Q75" s="3"/>
      <c r="Z75" s="24"/>
      <c r="AA75" s="24"/>
      <c r="AB75" s="24"/>
    </row>
    <row r="76" spans="2:28" s="114" customFormat="1">
      <c r="B76" s="187"/>
      <c r="F76" s="188"/>
      <c r="G76" s="115"/>
      <c r="J76" s="115"/>
      <c r="Q76" s="3"/>
      <c r="Z76" s="24"/>
      <c r="AA76" s="24"/>
      <c r="AB76" s="24"/>
    </row>
    <row r="77" spans="2:28" s="114" customFormat="1">
      <c r="B77" s="187"/>
      <c r="F77" s="188"/>
      <c r="G77" s="115"/>
      <c r="J77" s="115"/>
      <c r="Q77" s="3"/>
      <c r="Z77" s="24"/>
      <c r="AA77" s="24"/>
      <c r="AB77" s="24"/>
    </row>
    <row r="78" spans="2:28" s="114" customFormat="1">
      <c r="B78" s="187"/>
      <c r="F78" s="188"/>
      <c r="G78" s="115"/>
      <c r="J78" s="115"/>
      <c r="Q78" s="3"/>
      <c r="Z78" s="24"/>
      <c r="AA78" s="24"/>
      <c r="AB78" s="24"/>
    </row>
    <row r="79" spans="2:28" s="114" customFormat="1">
      <c r="B79" s="187"/>
      <c r="F79" s="188"/>
      <c r="G79" s="115"/>
      <c r="J79" s="115"/>
      <c r="Q79" s="3"/>
      <c r="Z79" s="24"/>
      <c r="AA79" s="24"/>
      <c r="AB79" s="24"/>
    </row>
    <row r="80" spans="2:28" s="114" customFormat="1">
      <c r="B80" s="187"/>
      <c r="F80" s="188"/>
      <c r="G80" s="115"/>
      <c r="J80" s="115"/>
      <c r="Q80" s="3"/>
      <c r="Z80" s="24"/>
      <c r="AA80" s="24"/>
      <c r="AB80" s="24"/>
    </row>
    <row r="81" spans="2:28" s="114" customFormat="1">
      <c r="B81" s="187"/>
      <c r="F81" s="188"/>
      <c r="G81" s="115"/>
      <c r="J81" s="115"/>
      <c r="Q81" s="3"/>
      <c r="Z81" s="24"/>
      <c r="AA81" s="24"/>
      <c r="AB81" s="24"/>
    </row>
    <row r="82" spans="2:28" s="114" customFormat="1">
      <c r="B82" s="187"/>
      <c r="F82" s="188"/>
      <c r="G82" s="115"/>
      <c r="J82" s="115"/>
      <c r="Q82" s="3"/>
      <c r="Z82" s="24"/>
      <c r="AA82" s="24"/>
      <c r="AB82" s="24"/>
    </row>
    <row r="83" spans="2:28" s="114" customFormat="1">
      <c r="B83" s="187"/>
      <c r="F83" s="188"/>
      <c r="G83" s="115"/>
      <c r="J83" s="115"/>
      <c r="Q83" s="3"/>
      <c r="Z83" s="24"/>
      <c r="AA83" s="24"/>
      <c r="AB83" s="24"/>
    </row>
    <row r="84" spans="2:28" s="114" customFormat="1">
      <c r="B84" s="187"/>
      <c r="F84" s="188"/>
      <c r="G84" s="115"/>
      <c r="J84" s="115"/>
      <c r="Q84" s="3"/>
      <c r="Z84" s="24"/>
      <c r="AA84" s="24"/>
      <c r="AB84" s="24"/>
    </row>
    <row r="85" spans="2:28" s="114" customFormat="1">
      <c r="B85" s="187"/>
      <c r="F85" s="188"/>
      <c r="G85" s="115"/>
      <c r="J85" s="115"/>
      <c r="Q85" s="3"/>
      <c r="Z85" s="24"/>
      <c r="AA85" s="24"/>
      <c r="AB85" s="24"/>
    </row>
    <row r="86" spans="2:28" s="114" customFormat="1">
      <c r="B86" s="187"/>
      <c r="F86" s="188"/>
      <c r="G86" s="115"/>
      <c r="J86" s="115"/>
      <c r="Q86" s="3"/>
      <c r="Z86" s="24"/>
      <c r="AA86" s="24"/>
      <c r="AB86" s="24"/>
    </row>
    <row r="87" spans="2:28" s="114" customFormat="1">
      <c r="B87" s="187"/>
      <c r="F87" s="188"/>
      <c r="G87" s="115"/>
      <c r="J87" s="115"/>
      <c r="Q87" s="3"/>
      <c r="Z87" s="24"/>
      <c r="AA87" s="24"/>
      <c r="AB87" s="24"/>
    </row>
    <row r="88" spans="2:28" s="114" customFormat="1">
      <c r="B88" s="187"/>
      <c r="F88" s="188"/>
      <c r="G88" s="115"/>
      <c r="J88" s="115"/>
      <c r="Q88" s="3"/>
      <c r="Z88" s="24"/>
      <c r="AA88" s="24"/>
      <c r="AB88" s="24"/>
    </row>
    <row r="89" spans="2:28" s="114" customFormat="1">
      <c r="B89" s="187"/>
      <c r="F89" s="188"/>
      <c r="G89" s="115"/>
      <c r="J89" s="115"/>
      <c r="Q89" s="3"/>
      <c r="Z89" s="24"/>
      <c r="AA89" s="24"/>
      <c r="AB89" s="24"/>
    </row>
    <row r="90" spans="2:28" s="114" customFormat="1">
      <c r="B90" s="187"/>
      <c r="F90" s="188"/>
      <c r="G90" s="115"/>
      <c r="J90" s="115"/>
      <c r="Q90" s="3"/>
      <c r="Z90" s="24"/>
      <c r="AA90" s="24"/>
      <c r="AB90" s="24"/>
    </row>
    <row r="91" spans="2:28" s="114" customFormat="1">
      <c r="B91" s="187"/>
      <c r="F91" s="188"/>
      <c r="G91" s="115"/>
      <c r="J91" s="115"/>
      <c r="Q91" s="3"/>
      <c r="Z91" s="24"/>
      <c r="AA91" s="24"/>
      <c r="AB91" s="24"/>
    </row>
    <row r="92" spans="2:28" s="114" customFormat="1">
      <c r="B92" s="187"/>
      <c r="F92" s="188"/>
      <c r="G92" s="115"/>
      <c r="J92" s="115"/>
      <c r="Q92" s="3"/>
      <c r="Z92" s="24"/>
      <c r="AA92" s="24"/>
      <c r="AB92" s="24"/>
    </row>
    <row r="93" spans="2:28" s="114" customFormat="1">
      <c r="B93" s="187"/>
      <c r="F93" s="188"/>
      <c r="G93" s="115"/>
      <c r="J93" s="115"/>
      <c r="Q93" s="3"/>
      <c r="Z93" s="24"/>
      <c r="AA93" s="24"/>
      <c r="AB93" s="24"/>
    </row>
    <row r="94" spans="2:28" s="114" customFormat="1">
      <c r="B94" s="187"/>
      <c r="F94" s="188"/>
      <c r="G94" s="115"/>
      <c r="J94" s="115"/>
      <c r="Q94" s="3"/>
      <c r="Z94" s="24"/>
      <c r="AA94" s="24"/>
      <c r="AB94" s="24"/>
    </row>
    <row r="95" spans="2:28" s="114" customFormat="1">
      <c r="B95" s="187"/>
      <c r="F95" s="188"/>
      <c r="G95" s="115"/>
      <c r="J95" s="115"/>
      <c r="Q95" s="3"/>
      <c r="Z95" s="24"/>
      <c r="AA95" s="24"/>
      <c r="AB95" s="24"/>
    </row>
    <row r="96" spans="2:28" s="114" customFormat="1">
      <c r="B96" s="187"/>
      <c r="F96" s="188"/>
      <c r="G96" s="115"/>
      <c r="J96" s="115"/>
      <c r="Q96" s="3"/>
      <c r="Z96" s="24"/>
      <c r="AA96" s="24"/>
      <c r="AB96" s="24"/>
    </row>
    <row r="97" spans="2:28" s="114" customFormat="1">
      <c r="B97" s="187"/>
      <c r="F97" s="188"/>
      <c r="G97" s="115"/>
      <c r="J97" s="115"/>
      <c r="Q97" s="3"/>
      <c r="Z97" s="24"/>
      <c r="AA97" s="24"/>
      <c r="AB97" s="24"/>
    </row>
    <row r="98" spans="2:28" s="114" customFormat="1">
      <c r="B98" s="187"/>
      <c r="F98" s="188"/>
      <c r="G98" s="115"/>
      <c r="J98" s="115"/>
      <c r="Q98" s="3"/>
      <c r="Z98" s="24"/>
      <c r="AA98" s="24"/>
      <c r="AB98" s="24"/>
    </row>
    <row r="99" spans="2:28" s="114" customFormat="1">
      <c r="B99" s="187"/>
      <c r="F99" s="188"/>
      <c r="G99" s="115"/>
      <c r="J99" s="115"/>
      <c r="Q99" s="3"/>
      <c r="Z99" s="24"/>
      <c r="AA99" s="24"/>
      <c r="AB99" s="24"/>
    </row>
    <row r="100" spans="2:28" s="114" customFormat="1">
      <c r="B100" s="187"/>
      <c r="F100" s="188"/>
      <c r="G100" s="115"/>
      <c r="J100" s="115"/>
      <c r="Q100" s="3"/>
      <c r="Z100" s="24"/>
      <c r="AA100" s="24"/>
      <c r="AB100" s="24"/>
    </row>
    <row r="101" spans="2:28" s="114" customFormat="1">
      <c r="B101" s="187"/>
      <c r="F101" s="188"/>
      <c r="G101" s="115"/>
      <c r="J101" s="115"/>
      <c r="Q101" s="3"/>
      <c r="Z101" s="24"/>
      <c r="AA101" s="24"/>
      <c r="AB101" s="24"/>
    </row>
    <row r="102" spans="2:28" s="114" customFormat="1">
      <c r="B102" s="187"/>
      <c r="F102" s="188"/>
      <c r="G102" s="115"/>
      <c r="J102" s="115"/>
      <c r="Q102" s="3"/>
      <c r="Z102" s="24"/>
      <c r="AA102" s="24"/>
      <c r="AB102" s="24"/>
    </row>
    <row r="103" spans="2:28" s="114" customFormat="1">
      <c r="B103" s="187"/>
      <c r="F103" s="188"/>
      <c r="G103" s="115"/>
      <c r="J103" s="115"/>
      <c r="Q103" s="3"/>
      <c r="Z103" s="24"/>
      <c r="AA103" s="24"/>
      <c r="AB103" s="24"/>
    </row>
    <row r="104" spans="2:28" s="114" customFormat="1">
      <c r="B104" s="187"/>
      <c r="F104" s="188"/>
      <c r="G104" s="115"/>
      <c r="J104" s="115"/>
      <c r="Q104" s="3"/>
      <c r="Z104" s="24"/>
      <c r="AA104" s="24"/>
      <c r="AB104" s="24"/>
    </row>
    <row r="105" spans="2:28" s="114" customFormat="1">
      <c r="B105" s="187"/>
      <c r="F105" s="188"/>
      <c r="G105" s="115"/>
      <c r="J105" s="115"/>
      <c r="Q105" s="3"/>
      <c r="Z105" s="24"/>
      <c r="AA105" s="24"/>
      <c r="AB105" s="24"/>
    </row>
    <row r="106" spans="2:28" s="114" customFormat="1">
      <c r="B106" s="187"/>
      <c r="F106" s="188"/>
      <c r="G106" s="115"/>
      <c r="J106" s="115"/>
      <c r="Q106" s="3"/>
      <c r="Z106" s="24"/>
      <c r="AA106" s="24"/>
      <c r="AB106" s="24"/>
    </row>
    <row r="107" spans="2:28" s="114" customFormat="1">
      <c r="B107" s="187"/>
      <c r="F107" s="188"/>
      <c r="G107" s="115"/>
      <c r="J107" s="115"/>
      <c r="Q107" s="3"/>
      <c r="Z107" s="24"/>
      <c r="AA107" s="24"/>
      <c r="AB107" s="24"/>
    </row>
    <row r="108" spans="2:28" s="114" customFormat="1">
      <c r="B108" s="187"/>
      <c r="F108" s="188"/>
      <c r="G108" s="115"/>
      <c r="J108" s="115"/>
      <c r="Q108" s="3"/>
      <c r="Z108" s="24"/>
      <c r="AA108" s="24"/>
      <c r="AB108" s="24"/>
    </row>
    <row r="109" spans="2:28" s="114" customFormat="1">
      <c r="B109" s="187"/>
      <c r="F109" s="188"/>
      <c r="G109" s="115"/>
      <c r="J109" s="115"/>
      <c r="Q109" s="3"/>
      <c r="Z109" s="24"/>
      <c r="AA109" s="24"/>
      <c r="AB109" s="24"/>
    </row>
    <row r="110" spans="2:28" s="114" customFormat="1">
      <c r="B110" s="187"/>
      <c r="F110" s="188"/>
      <c r="G110" s="115"/>
      <c r="J110" s="115"/>
      <c r="Q110" s="3"/>
      <c r="Z110" s="24"/>
      <c r="AA110" s="24"/>
      <c r="AB110" s="24"/>
    </row>
    <row r="111" spans="2:28" s="114" customFormat="1">
      <c r="B111" s="187"/>
      <c r="F111" s="188"/>
      <c r="G111" s="115"/>
      <c r="J111" s="115"/>
      <c r="Q111" s="3"/>
      <c r="Z111" s="24"/>
      <c r="AA111" s="24"/>
      <c r="AB111" s="24"/>
    </row>
    <row r="112" spans="2:28" s="114" customFormat="1">
      <c r="B112" s="187"/>
      <c r="F112" s="188"/>
      <c r="G112" s="115"/>
      <c r="J112" s="115"/>
      <c r="Q112" s="3"/>
      <c r="Z112" s="24"/>
      <c r="AA112" s="24"/>
      <c r="AB112" s="24"/>
    </row>
    <row r="113" spans="2:28" s="114" customFormat="1">
      <c r="B113" s="187"/>
      <c r="F113" s="188"/>
      <c r="G113" s="115"/>
      <c r="J113" s="115"/>
      <c r="Q113" s="3"/>
      <c r="Z113" s="24"/>
      <c r="AA113" s="24"/>
      <c r="AB113" s="24"/>
    </row>
    <row r="114" spans="2:28" s="114" customFormat="1">
      <c r="B114" s="187"/>
      <c r="F114" s="188"/>
      <c r="G114" s="115"/>
      <c r="J114" s="115"/>
      <c r="Q114" s="3"/>
      <c r="Z114" s="24"/>
      <c r="AA114" s="24"/>
      <c r="AB114" s="24"/>
    </row>
    <row r="115" spans="2:28" s="114" customFormat="1">
      <c r="B115" s="187"/>
      <c r="F115" s="188"/>
      <c r="G115" s="115"/>
      <c r="J115" s="115"/>
      <c r="Q115" s="3"/>
      <c r="Z115" s="24"/>
      <c r="AA115" s="24"/>
      <c r="AB115" s="24"/>
    </row>
    <row r="116" spans="2:28" s="114" customFormat="1">
      <c r="B116" s="187"/>
      <c r="F116" s="188"/>
      <c r="G116" s="115"/>
      <c r="J116" s="115"/>
      <c r="Q116" s="3"/>
      <c r="Z116" s="24"/>
      <c r="AA116" s="24"/>
      <c r="AB116" s="24"/>
    </row>
    <row r="117" spans="2:28" s="114" customFormat="1">
      <c r="B117" s="187"/>
      <c r="F117" s="188"/>
      <c r="G117" s="115"/>
      <c r="J117" s="115"/>
      <c r="Q117" s="3"/>
      <c r="Z117" s="24"/>
      <c r="AA117" s="24"/>
      <c r="AB117" s="24"/>
    </row>
    <row r="118" spans="2:28" s="114" customFormat="1">
      <c r="B118" s="187"/>
      <c r="F118" s="188"/>
      <c r="G118" s="115"/>
      <c r="J118" s="115"/>
      <c r="Q118" s="3"/>
      <c r="Z118" s="24"/>
      <c r="AA118" s="24"/>
      <c r="AB118" s="24"/>
    </row>
    <row r="119" spans="2:28" s="114" customFormat="1">
      <c r="B119" s="187"/>
      <c r="F119" s="188"/>
      <c r="G119" s="115"/>
      <c r="J119" s="115"/>
      <c r="Q119" s="3"/>
      <c r="Z119" s="24"/>
      <c r="AA119" s="24"/>
      <c r="AB119" s="24"/>
    </row>
    <row r="120" spans="2:28" s="114" customFormat="1">
      <c r="B120" s="187"/>
      <c r="F120" s="188"/>
      <c r="G120" s="115"/>
      <c r="J120" s="115"/>
      <c r="Q120" s="3"/>
      <c r="Z120" s="24"/>
      <c r="AA120" s="24"/>
      <c r="AB120" s="24"/>
    </row>
    <row r="121" spans="2:28" s="114" customFormat="1">
      <c r="B121" s="187"/>
      <c r="F121" s="188"/>
      <c r="G121" s="115"/>
      <c r="J121" s="115"/>
      <c r="Q121" s="3"/>
      <c r="Z121" s="24"/>
      <c r="AA121" s="24"/>
      <c r="AB121" s="24"/>
    </row>
    <row r="122" spans="2:28" s="114" customFormat="1">
      <c r="B122" s="187"/>
      <c r="F122" s="188"/>
      <c r="G122" s="115"/>
      <c r="J122" s="115"/>
      <c r="Q122" s="3"/>
      <c r="Z122" s="24"/>
      <c r="AA122" s="24"/>
      <c r="AB122" s="24"/>
    </row>
    <row r="123" spans="2:28" s="114" customFormat="1">
      <c r="B123" s="187"/>
      <c r="F123" s="188"/>
      <c r="G123" s="115"/>
      <c r="J123" s="115"/>
      <c r="Q123" s="3"/>
      <c r="Z123" s="24"/>
      <c r="AA123" s="24"/>
      <c r="AB123" s="24"/>
    </row>
    <row r="124" spans="2:28" s="114" customFormat="1">
      <c r="B124" s="187"/>
      <c r="F124" s="188"/>
      <c r="G124" s="115"/>
      <c r="J124" s="115"/>
      <c r="Q124" s="3"/>
      <c r="Z124" s="24"/>
      <c r="AA124" s="24"/>
      <c r="AB124" s="24"/>
    </row>
    <row r="125" spans="2:28" s="114" customFormat="1">
      <c r="B125" s="187"/>
      <c r="F125" s="188"/>
      <c r="G125" s="115"/>
      <c r="J125" s="115"/>
      <c r="Q125" s="3"/>
      <c r="Z125" s="24"/>
      <c r="AA125" s="24"/>
      <c r="AB125" s="24"/>
    </row>
    <row r="126" spans="2:28" s="114" customFormat="1">
      <c r="B126" s="187"/>
      <c r="F126" s="188"/>
      <c r="G126" s="115"/>
      <c r="J126" s="115"/>
      <c r="Q126" s="3"/>
      <c r="Z126" s="24"/>
      <c r="AA126" s="24"/>
      <c r="AB126" s="24"/>
    </row>
    <row r="127" spans="2:28" s="114" customFormat="1">
      <c r="B127" s="187"/>
      <c r="F127" s="188"/>
      <c r="G127" s="115"/>
      <c r="J127" s="115"/>
      <c r="Q127" s="3"/>
      <c r="Z127" s="24"/>
      <c r="AA127" s="24"/>
      <c r="AB127" s="24"/>
    </row>
    <row r="128" spans="2:28" s="114" customFormat="1">
      <c r="B128" s="187"/>
      <c r="F128" s="188"/>
      <c r="G128" s="115"/>
      <c r="J128" s="115"/>
      <c r="Q128" s="3"/>
      <c r="Z128" s="24"/>
      <c r="AA128" s="24"/>
      <c r="AB128" s="24"/>
    </row>
    <row r="129" spans="2:28" s="114" customFormat="1">
      <c r="B129" s="187"/>
      <c r="F129" s="188"/>
      <c r="G129" s="115"/>
      <c r="J129" s="115"/>
      <c r="Q129" s="3"/>
      <c r="Z129" s="24"/>
      <c r="AA129" s="24"/>
      <c r="AB129" s="24"/>
    </row>
    <row r="130" spans="2:28" s="114" customFormat="1">
      <c r="B130" s="187"/>
      <c r="F130" s="188"/>
      <c r="G130" s="115"/>
      <c r="J130" s="115"/>
      <c r="Q130" s="3"/>
      <c r="Z130" s="24"/>
      <c r="AA130" s="24"/>
      <c r="AB130" s="24"/>
    </row>
    <row r="131" spans="2:28" s="114" customFormat="1">
      <c r="B131" s="187"/>
      <c r="F131" s="188"/>
      <c r="G131" s="115"/>
      <c r="J131" s="115"/>
      <c r="Q131" s="3"/>
      <c r="Z131" s="24"/>
      <c r="AA131" s="24"/>
      <c r="AB131" s="24"/>
    </row>
    <row r="132" spans="2:28" s="114" customFormat="1">
      <c r="B132" s="187"/>
      <c r="F132" s="188"/>
      <c r="G132" s="115"/>
      <c r="J132" s="115"/>
      <c r="Q132" s="3"/>
      <c r="Z132" s="24"/>
      <c r="AA132" s="24"/>
      <c r="AB132" s="24"/>
    </row>
    <row r="133" spans="2:28" s="114" customFormat="1">
      <c r="B133" s="187"/>
      <c r="F133" s="188"/>
      <c r="G133" s="115"/>
      <c r="J133" s="115"/>
      <c r="Q133" s="3"/>
      <c r="Z133" s="24"/>
      <c r="AA133" s="24"/>
      <c r="AB133" s="24"/>
    </row>
    <row r="134" spans="2:28" s="114" customFormat="1">
      <c r="B134" s="187"/>
      <c r="F134" s="188"/>
      <c r="G134" s="115"/>
      <c r="J134" s="115"/>
      <c r="Q134" s="3"/>
      <c r="Z134" s="24"/>
      <c r="AA134" s="24"/>
      <c r="AB134" s="24"/>
    </row>
    <row r="135" spans="2:28" s="114" customFormat="1">
      <c r="B135" s="187"/>
      <c r="F135" s="188"/>
      <c r="G135" s="115"/>
      <c r="J135" s="115"/>
      <c r="Q135" s="3"/>
      <c r="Z135" s="24"/>
      <c r="AA135" s="24"/>
      <c r="AB135" s="24"/>
    </row>
    <row r="136" spans="2:28" s="114" customFormat="1">
      <c r="B136" s="187"/>
      <c r="F136" s="188"/>
      <c r="G136" s="115"/>
      <c r="J136" s="115"/>
      <c r="Q136" s="3"/>
      <c r="Z136" s="24"/>
      <c r="AA136" s="24"/>
      <c r="AB136" s="24"/>
    </row>
    <row r="137" spans="2:28" s="114" customFormat="1">
      <c r="B137" s="187"/>
      <c r="F137" s="188"/>
      <c r="G137" s="115"/>
      <c r="J137" s="115"/>
      <c r="Q137" s="3"/>
      <c r="Z137" s="24"/>
      <c r="AA137" s="24"/>
      <c r="AB137" s="24"/>
    </row>
    <row r="138" spans="2:28" s="114" customFormat="1">
      <c r="B138" s="187"/>
      <c r="F138" s="188"/>
      <c r="G138" s="115"/>
      <c r="J138" s="115"/>
      <c r="Q138" s="3"/>
      <c r="Z138" s="24"/>
      <c r="AA138" s="24"/>
      <c r="AB138" s="24"/>
    </row>
    <row r="139" spans="2:28" s="114" customFormat="1">
      <c r="B139" s="187"/>
      <c r="F139" s="188"/>
      <c r="G139" s="115"/>
      <c r="J139" s="115"/>
      <c r="Q139" s="3"/>
      <c r="Z139" s="24"/>
      <c r="AA139" s="24"/>
      <c r="AB139" s="24"/>
    </row>
    <row r="140" spans="2:28" s="114" customFormat="1">
      <c r="B140" s="187"/>
      <c r="F140" s="188"/>
      <c r="G140" s="115"/>
      <c r="J140" s="115"/>
      <c r="Q140" s="3"/>
      <c r="Z140" s="24"/>
      <c r="AA140" s="24"/>
      <c r="AB140" s="24"/>
    </row>
    <row r="141" spans="2:28" s="114" customFormat="1">
      <c r="B141" s="187"/>
      <c r="F141" s="188"/>
      <c r="G141" s="115"/>
      <c r="J141" s="115"/>
      <c r="Q141" s="3"/>
      <c r="Z141" s="24"/>
      <c r="AA141" s="24"/>
      <c r="AB141" s="24"/>
    </row>
    <row r="142" spans="2:28" s="114" customFormat="1">
      <c r="B142" s="187"/>
      <c r="F142" s="188"/>
      <c r="G142" s="115"/>
      <c r="J142" s="115"/>
      <c r="Q142" s="3"/>
      <c r="Z142" s="24"/>
      <c r="AA142" s="24"/>
      <c r="AB142" s="24"/>
    </row>
    <row r="143" spans="2:28" s="114" customFormat="1">
      <c r="B143" s="187"/>
      <c r="F143" s="188"/>
      <c r="G143" s="115"/>
      <c r="J143" s="115"/>
      <c r="Q143" s="3"/>
      <c r="Z143" s="24"/>
      <c r="AA143" s="24"/>
      <c r="AB143" s="24"/>
    </row>
    <row r="144" spans="2:28" s="114" customFormat="1">
      <c r="B144" s="187"/>
      <c r="F144" s="188"/>
      <c r="G144" s="115"/>
      <c r="J144" s="115"/>
      <c r="Q144" s="3"/>
      <c r="Z144" s="24"/>
      <c r="AA144" s="24"/>
      <c r="AB144" s="24"/>
    </row>
    <row r="145" spans="2:28" s="114" customFormat="1">
      <c r="B145" s="187"/>
      <c r="F145" s="188"/>
      <c r="G145" s="115"/>
      <c r="J145" s="115"/>
      <c r="Q145" s="3"/>
      <c r="Z145" s="24"/>
      <c r="AA145" s="24"/>
      <c r="AB145" s="24"/>
    </row>
    <row r="146" spans="2:28" s="114" customFormat="1">
      <c r="B146" s="187"/>
      <c r="F146" s="188"/>
      <c r="G146" s="115"/>
      <c r="J146" s="115"/>
      <c r="Q146" s="3"/>
      <c r="Z146" s="24"/>
      <c r="AA146" s="24"/>
      <c r="AB146" s="24"/>
    </row>
    <row r="147" spans="2:28" s="114" customFormat="1">
      <c r="B147" s="187"/>
      <c r="F147" s="188"/>
      <c r="G147" s="115"/>
      <c r="J147" s="115"/>
      <c r="Q147" s="3"/>
      <c r="Z147" s="24"/>
      <c r="AA147" s="24"/>
      <c r="AB147" s="24"/>
    </row>
    <row r="148" spans="2:28" s="114" customFormat="1">
      <c r="B148" s="187"/>
      <c r="F148" s="188"/>
      <c r="G148" s="115"/>
      <c r="J148" s="115"/>
      <c r="Q148" s="3"/>
      <c r="Z148" s="24"/>
      <c r="AA148" s="24"/>
      <c r="AB148" s="24"/>
    </row>
    <row r="149" spans="2:28" s="114" customFormat="1">
      <c r="B149" s="187"/>
      <c r="F149" s="188"/>
      <c r="G149" s="115"/>
      <c r="J149" s="115"/>
      <c r="Q149" s="3"/>
      <c r="Z149" s="24"/>
      <c r="AA149" s="24"/>
      <c r="AB149" s="24"/>
    </row>
    <row r="150" spans="2:28" s="114" customFormat="1">
      <c r="B150" s="187"/>
      <c r="F150" s="188"/>
      <c r="G150" s="115"/>
      <c r="J150" s="115"/>
      <c r="Q150" s="3"/>
      <c r="Z150" s="24"/>
      <c r="AA150" s="24"/>
      <c r="AB150" s="24"/>
    </row>
    <row r="151" spans="2:28" s="114" customFormat="1">
      <c r="B151" s="187"/>
      <c r="F151" s="188"/>
      <c r="G151" s="115"/>
      <c r="J151" s="115"/>
      <c r="Q151" s="3"/>
      <c r="Z151" s="24"/>
      <c r="AA151" s="24"/>
      <c r="AB151" s="24"/>
    </row>
    <row r="152" spans="2:28" s="114" customFormat="1">
      <c r="B152" s="187"/>
      <c r="F152" s="188"/>
      <c r="G152" s="115"/>
      <c r="J152" s="115"/>
      <c r="Q152" s="3"/>
      <c r="Z152" s="24"/>
      <c r="AA152" s="24"/>
      <c r="AB152" s="24"/>
    </row>
    <row r="153" spans="2:28" s="114" customFormat="1">
      <c r="B153" s="187"/>
      <c r="F153" s="188"/>
      <c r="G153" s="115"/>
      <c r="J153" s="115"/>
      <c r="Q153" s="3"/>
      <c r="Z153" s="24"/>
      <c r="AA153" s="24"/>
      <c r="AB153" s="24"/>
    </row>
    <row r="154" spans="2:28" s="114" customFormat="1">
      <c r="B154" s="187"/>
      <c r="F154" s="188"/>
      <c r="G154" s="115"/>
      <c r="J154" s="115"/>
      <c r="Q154" s="3"/>
      <c r="Z154" s="24"/>
      <c r="AA154" s="24"/>
      <c r="AB154" s="24"/>
    </row>
    <row r="155" spans="2:28" s="114" customFormat="1">
      <c r="B155" s="187"/>
      <c r="F155" s="188"/>
      <c r="G155" s="115"/>
      <c r="J155" s="115"/>
      <c r="Q155" s="3"/>
      <c r="Z155" s="24"/>
      <c r="AA155" s="24"/>
      <c r="AB155" s="24"/>
    </row>
    <row r="156" spans="2:28" s="114" customFormat="1">
      <c r="B156" s="187"/>
      <c r="F156" s="188"/>
      <c r="G156" s="115"/>
      <c r="J156" s="115"/>
      <c r="Q156" s="3"/>
      <c r="Z156" s="24"/>
      <c r="AA156" s="24"/>
      <c r="AB156" s="24"/>
    </row>
    <row r="157" spans="2:28" s="114" customFormat="1">
      <c r="B157" s="187"/>
      <c r="F157" s="188"/>
      <c r="G157" s="115"/>
      <c r="J157" s="115"/>
      <c r="Q157" s="3"/>
      <c r="Z157" s="24"/>
      <c r="AA157" s="24"/>
      <c r="AB157" s="24"/>
    </row>
    <row r="158" spans="2:28" s="114" customFormat="1">
      <c r="B158" s="187"/>
      <c r="F158" s="188"/>
      <c r="G158" s="115"/>
      <c r="J158" s="115"/>
      <c r="Q158" s="3"/>
      <c r="Z158" s="24"/>
      <c r="AA158" s="24"/>
      <c r="AB158" s="24"/>
    </row>
    <row r="159" spans="2:28" s="114" customFormat="1">
      <c r="B159" s="187"/>
      <c r="F159" s="188"/>
      <c r="G159" s="115"/>
      <c r="J159" s="115"/>
      <c r="Q159" s="3"/>
      <c r="Z159" s="24"/>
      <c r="AA159" s="24"/>
      <c r="AB159" s="24"/>
    </row>
    <row r="160" spans="2:28" s="114" customFormat="1">
      <c r="B160" s="187"/>
      <c r="F160" s="188"/>
      <c r="G160" s="115"/>
      <c r="J160" s="115"/>
      <c r="Q160" s="3"/>
      <c r="Z160" s="24"/>
      <c r="AA160" s="24"/>
      <c r="AB160" s="24"/>
    </row>
    <row r="161" spans="2:28" s="114" customFormat="1">
      <c r="B161" s="187"/>
      <c r="F161" s="188"/>
      <c r="G161" s="115"/>
      <c r="J161" s="115"/>
      <c r="Q161" s="3"/>
      <c r="Z161" s="24"/>
      <c r="AA161" s="24"/>
      <c r="AB161" s="24"/>
    </row>
    <row r="162" spans="2:28" s="114" customFormat="1">
      <c r="B162" s="187"/>
      <c r="F162" s="188"/>
      <c r="G162" s="115"/>
      <c r="J162" s="115"/>
      <c r="Q162" s="3"/>
      <c r="Z162" s="24"/>
      <c r="AA162" s="24"/>
      <c r="AB162" s="24"/>
    </row>
    <row r="163" spans="2:28" s="114" customFormat="1">
      <c r="B163" s="187"/>
      <c r="F163" s="188"/>
      <c r="G163" s="115"/>
      <c r="J163" s="115"/>
      <c r="Q163" s="3"/>
      <c r="Z163" s="24"/>
      <c r="AA163" s="24"/>
      <c r="AB163" s="24"/>
    </row>
    <row r="164" spans="2:28" s="114" customFormat="1">
      <c r="B164" s="187"/>
      <c r="F164" s="188"/>
      <c r="G164" s="115"/>
      <c r="J164" s="115"/>
      <c r="Q164" s="3"/>
      <c r="Z164" s="24"/>
      <c r="AA164" s="24"/>
      <c r="AB164" s="24"/>
    </row>
    <row r="165" spans="2:28" s="114" customFormat="1">
      <c r="B165" s="187"/>
      <c r="F165" s="188"/>
      <c r="G165" s="115"/>
      <c r="J165" s="115"/>
      <c r="Q165" s="3"/>
      <c r="Z165" s="24"/>
      <c r="AA165" s="24"/>
      <c r="AB165" s="24"/>
    </row>
    <row r="166" spans="2:28" s="114" customFormat="1">
      <c r="B166" s="187"/>
      <c r="F166" s="188"/>
      <c r="G166" s="115"/>
      <c r="J166" s="115"/>
      <c r="Q166" s="3"/>
      <c r="Z166" s="24"/>
      <c r="AA166" s="24"/>
      <c r="AB166" s="24"/>
    </row>
    <row r="167" spans="2:28" s="114" customFormat="1">
      <c r="B167" s="187"/>
      <c r="F167" s="188"/>
      <c r="G167" s="115"/>
      <c r="J167" s="115"/>
      <c r="Q167" s="3"/>
      <c r="Z167" s="24"/>
      <c r="AA167" s="24"/>
      <c r="AB167" s="24"/>
    </row>
    <row r="168" spans="2:28" s="114" customFormat="1">
      <c r="B168" s="187"/>
      <c r="F168" s="188"/>
      <c r="G168" s="115"/>
      <c r="J168" s="115"/>
      <c r="Q168" s="3"/>
      <c r="Z168" s="24"/>
      <c r="AA168" s="24"/>
      <c r="AB168" s="24"/>
    </row>
    <row r="169" spans="2:28" s="114" customFormat="1">
      <c r="B169" s="187"/>
      <c r="F169" s="188"/>
      <c r="G169" s="115"/>
      <c r="J169" s="115"/>
      <c r="Q169" s="3"/>
      <c r="Z169" s="24"/>
      <c r="AA169" s="24"/>
      <c r="AB169" s="24"/>
    </row>
    <row r="170" spans="2:28" s="114" customFormat="1">
      <c r="B170" s="187"/>
      <c r="F170" s="188"/>
      <c r="G170" s="115"/>
      <c r="J170" s="115"/>
      <c r="Q170" s="3"/>
      <c r="Z170" s="24"/>
      <c r="AA170" s="24"/>
      <c r="AB170" s="24"/>
    </row>
    <row r="171" spans="2:28" s="114" customFormat="1">
      <c r="B171" s="187"/>
      <c r="F171" s="188"/>
      <c r="G171" s="115"/>
      <c r="J171" s="115"/>
      <c r="Q171" s="3"/>
      <c r="Z171" s="24"/>
      <c r="AA171" s="24"/>
      <c r="AB171" s="24"/>
    </row>
    <row r="172" spans="2:28" s="114" customFormat="1">
      <c r="B172" s="187"/>
      <c r="F172" s="188"/>
      <c r="G172" s="115"/>
      <c r="J172" s="115"/>
      <c r="Q172" s="3"/>
      <c r="Z172" s="24"/>
      <c r="AA172" s="24"/>
      <c r="AB172" s="24"/>
    </row>
    <row r="173" spans="2:28" s="114" customFormat="1">
      <c r="B173" s="187"/>
      <c r="F173" s="188"/>
      <c r="G173" s="115"/>
      <c r="J173" s="115"/>
      <c r="Q173" s="3"/>
      <c r="Z173" s="24"/>
      <c r="AA173" s="24"/>
      <c r="AB173" s="24"/>
    </row>
    <row r="174" spans="2:28" s="114" customFormat="1">
      <c r="B174" s="187"/>
      <c r="F174" s="188"/>
      <c r="G174" s="115"/>
      <c r="J174" s="115"/>
      <c r="Q174" s="3"/>
      <c r="Z174" s="24"/>
      <c r="AA174" s="24"/>
      <c r="AB174" s="24"/>
    </row>
    <row r="175" spans="2:28" s="114" customFormat="1">
      <c r="B175" s="187"/>
      <c r="F175" s="188"/>
      <c r="G175" s="115"/>
      <c r="J175" s="115"/>
      <c r="Q175" s="3"/>
      <c r="Z175" s="24"/>
      <c r="AA175" s="24"/>
      <c r="AB175" s="24"/>
    </row>
    <row r="176" spans="2:28" s="114" customFormat="1">
      <c r="B176" s="187"/>
      <c r="F176" s="188"/>
      <c r="G176" s="115"/>
      <c r="J176" s="115"/>
      <c r="Q176" s="3"/>
      <c r="Z176" s="24"/>
      <c r="AA176" s="24"/>
      <c r="AB176" s="24"/>
    </row>
    <row r="177" spans="2:28" s="114" customFormat="1">
      <c r="B177" s="187"/>
      <c r="F177" s="188"/>
      <c r="G177" s="115"/>
      <c r="J177" s="115"/>
      <c r="Q177" s="3"/>
      <c r="Z177" s="24"/>
      <c r="AA177" s="24"/>
      <c r="AB177" s="24"/>
    </row>
    <row r="178" spans="2:28" s="114" customFormat="1">
      <c r="B178" s="187"/>
      <c r="F178" s="188"/>
      <c r="G178" s="115"/>
      <c r="J178" s="115"/>
      <c r="Q178" s="3"/>
      <c r="Z178" s="24"/>
      <c r="AA178" s="24"/>
      <c r="AB178" s="24"/>
    </row>
    <row r="179" spans="2:28" s="114" customFormat="1">
      <c r="B179" s="187"/>
      <c r="F179" s="188"/>
      <c r="G179" s="115"/>
      <c r="J179" s="115"/>
      <c r="Q179" s="3"/>
      <c r="Z179" s="24"/>
      <c r="AA179" s="24"/>
      <c r="AB179" s="24"/>
    </row>
    <row r="180" spans="2:28" s="114" customFormat="1">
      <c r="B180" s="187"/>
      <c r="F180" s="188"/>
      <c r="G180" s="115"/>
      <c r="J180" s="115"/>
      <c r="Q180" s="3"/>
      <c r="Z180" s="24"/>
      <c r="AA180" s="24"/>
      <c r="AB180" s="24"/>
    </row>
    <row r="181" spans="2:28" s="114" customFormat="1">
      <c r="B181" s="187"/>
      <c r="F181" s="188"/>
      <c r="G181" s="115"/>
      <c r="J181" s="115"/>
      <c r="Q181" s="3"/>
      <c r="Z181" s="24"/>
      <c r="AA181" s="24"/>
      <c r="AB181" s="24"/>
    </row>
    <row r="182" spans="2:28" s="114" customFormat="1">
      <c r="B182" s="187"/>
      <c r="F182" s="188"/>
      <c r="G182" s="115"/>
      <c r="J182" s="115"/>
      <c r="Q182" s="3"/>
      <c r="Z182" s="24"/>
      <c r="AA182" s="24"/>
      <c r="AB182" s="24"/>
    </row>
    <row r="183" spans="2:28" s="114" customFormat="1">
      <c r="B183" s="187"/>
      <c r="F183" s="188"/>
      <c r="G183" s="115"/>
      <c r="J183" s="115"/>
      <c r="Q183" s="3"/>
      <c r="Z183" s="24"/>
      <c r="AA183" s="24"/>
      <c r="AB183" s="24"/>
    </row>
    <row r="184" spans="2:28" s="114" customFormat="1">
      <c r="B184" s="187"/>
      <c r="F184" s="188"/>
      <c r="G184" s="115"/>
      <c r="J184" s="115"/>
      <c r="Q184" s="3"/>
      <c r="Z184" s="24"/>
      <c r="AA184" s="24"/>
      <c r="AB184" s="24"/>
    </row>
    <row r="185" spans="2:28" s="114" customFormat="1">
      <c r="B185" s="187"/>
      <c r="F185" s="188"/>
      <c r="G185" s="115"/>
      <c r="J185" s="115"/>
      <c r="Q185" s="3"/>
      <c r="Z185" s="24"/>
      <c r="AA185" s="24"/>
      <c r="AB185" s="24"/>
    </row>
    <row r="186" spans="2:28" s="114" customFormat="1">
      <c r="B186" s="187"/>
      <c r="F186" s="188"/>
      <c r="G186" s="115"/>
      <c r="J186" s="115"/>
      <c r="Q186" s="3"/>
      <c r="Z186" s="24"/>
      <c r="AA186" s="24"/>
      <c r="AB186" s="24"/>
    </row>
    <row r="187" spans="2:28" s="114" customFormat="1">
      <c r="B187" s="187"/>
      <c r="F187" s="188"/>
      <c r="G187" s="115"/>
      <c r="J187" s="115"/>
      <c r="Q187" s="3"/>
      <c r="Z187" s="24"/>
      <c r="AA187" s="24"/>
      <c r="AB187" s="24"/>
    </row>
    <row r="188" spans="2:28" s="114" customFormat="1">
      <c r="B188" s="187"/>
      <c r="F188" s="188"/>
      <c r="G188" s="115"/>
      <c r="J188" s="115"/>
      <c r="Q188" s="3"/>
      <c r="Z188" s="24"/>
      <c r="AA188" s="24"/>
      <c r="AB188" s="24"/>
    </row>
    <row r="189" spans="2:28" s="114" customFormat="1">
      <c r="B189" s="187"/>
      <c r="F189" s="188"/>
      <c r="G189" s="115"/>
      <c r="J189" s="115"/>
      <c r="Q189" s="3"/>
      <c r="Z189" s="24"/>
      <c r="AA189" s="24"/>
      <c r="AB189" s="24"/>
    </row>
    <row r="190" spans="2:28" s="114" customFormat="1">
      <c r="B190" s="187"/>
      <c r="F190" s="188"/>
      <c r="G190" s="115"/>
      <c r="J190" s="115"/>
      <c r="Q190" s="3"/>
      <c r="Z190" s="24"/>
      <c r="AA190" s="24"/>
      <c r="AB190" s="24"/>
    </row>
    <row r="191" spans="2:28" s="114" customFormat="1">
      <c r="B191" s="187"/>
      <c r="F191" s="188"/>
      <c r="G191" s="115"/>
      <c r="J191" s="115"/>
      <c r="Q191" s="3"/>
      <c r="Z191" s="24"/>
      <c r="AA191" s="24"/>
      <c r="AB191" s="24"/>
    </row>
    <row r="192" spans="2:28" s="114" customFormat="1">
      <c r="B192" s="187"/>
      <c r="F192" s="188"/>
      <c r="G192" s="115"/>
      <c r="J192" s="115"/>
      <c r="Q192" s="3"/>
      <c r="Z192" s="24"/>
      <c r="AA192" s="24"/>
      <c r="AB192" s="24"/>
    </row>
    <row r="193" spans="2:28" s="114" customFormat="1">
      <c r="B193" s="187"/>
      <c r="F193" s="188"/>
      <c r="G193" s="115"/>
      <c r="J193" s="115"/>
      <c r="Q193" s="3"/>
      <c r="Z193" s="24"/>
      <c r="AA193" s="24"/>
      <c r="AB193" s="24"/>
    </row>
    <row r="194" spans="2:28" s="114" customFormat="1">
      <c r="B194" s="187"/>
      <c r="F194" s="188"/>
      <c r="G194" s="115"/>
      <c r="J194" s="115"/>
      <c r="Q194" s="3"/>
      <c r="Z194" s="24"/>
      <c r="AA194" s="24"/>
      <c r="AB194" s="24"/>
    </row>
    <row r="195" spans="2:28" s="114" customFormat="1">
      <c r="B195" s="187"/>
      <c r="F195" s="188"/>
      <c r="G195" s="115"/>
      <c r="J195" s="115"/>
      <c r="Q195" s="3"/>
      <c r="Z195" s="24"/>
      <c r="AA195" s="24"/>
      <c r="AB195" s="24"/>
    </row>
    <row r="196" spans="2:28" s="114" customFormat="1">
      <c r="B196" s="187"/>
      <c r="F196" s="188"/>
      <c r="G196" s="115"/>
      <c r="J196" s="115"/>
      <c r="Q196" s="3"/>
      <c r="Z196" s="24"/>
      <c r="AA196" s="24"/>
      <c r="AB196" s="24"/>
    </row>
    <row r="197" spans="2:28" s="114" customFormat="1">
      <c r="B197" s="187"/>
      <c r="F197" s="188"/>
      <c r="G197" s="115"/>
      <c r="J197" s="115"/>
      <c r="Q197" s="3"/>
      <c r="Z197" s="24"/>
      <c r="AA197" s="24"/>
      <c r="AB197" s="24"/>
    </row>
    <row r="198" spans="2:28" s="114" customFormat="1">
      <c r="B198" s="187"/>
      <c r="F198" s="188"/>
      <c r="G198" s="115"/>
      <c r="J198" s="115"/>
      <c r="Q198" s="3"/>
      <c r="Z198" s="24"/>
      <c r="AA198" s="24"/>
      <c r="AB198" s="24"/>
    </row>
    <row r="199" spans="2:28" s="114" customFormat="1">
      <c r="B199" s="187"/>
      <c r="F199" s="188"/>
      <c r="G199" s="115"/>
      <c r="J199" s="115"/>
      <c r="Q199" s="3"/>
      <c r="Z199" s="24"/>
      <c r="AA199" s="24"/>
      <c r="AB199" s="24"/>
    </row>
    <row r="200" spans="2:28" s="114" customFormat="1">
      <c r="B200" s="187"/>
      <c r="F200" s="188"/>
      <c r="G200" s="115"/>
      <c r="J200" s="115"/>
      <c r="Q200" s="3"/>
      <c r="Z200" s="24"/>
      <c r="AA200" s="24"/>
      <c r="AB200" s="24"/>
    </row>
    <row r="201" spans="2:28" s="114" customFormat="1">
      <c r="B201" s="187"/>
      <c r="F201" s="188"/>
      <c r="G201" s="115"/>
      <c r="J201" s="115"/>
      <c r="Q201" s="3"/>
      <c r="Z201" s="24"/>
      <c r="AA201" s="24"/>
      <c r="AB201" s="24"/>
    </row>
    <row r="202" spans="2:28" s="114" customFormat="1">
      <c r="B202" s="187"/>
      <c r="F202" s="188"/>
      <c r="G202" s="115"/>
      <c r="J202" s="115"/>
      <c r="Q202" s="3"/>
      <c r="Z202" s="24"/>
      <c r="AA202" s="24"/>
      <c r="AB202" s="24"/>
    </row>
    <row r="203" spans="2:28" s="114" customFormat="1">
      <c r="B203" s="187"/>
      <c r="F203" s="188"/>
      <c r="G203" s="115"/>
      <c r="J203" s="115"/>
      <c r="Q203" s="3"/>
      <c r="Z203" s="24"/>
      <c r="AA203" s="24"/>
      <c r="AB203" s="24"/>
    </row>
    <row r="204" spans="2:28" s="114" customFormat="1">
      <c r="B204" s="187"/>
      <c r="F204" s="188"/>
      <c r="G204" s="115"/>
      <c r="J204" s="115"/>
      <c r="Q204" s="3"/>
      <c r="Z204" s="24"/>
      <c r="AA204" s="24"/>
      <c r="AB204" s="24"/>
    </row>
    <row r="205" spans="2:28" s="114" customFormat="1">
      <c r="B205" s="187"/>
      <c r="F205" s="188"/>
      <c r="G205" s="115"/>
      <c r="J205" s="115"/>
      <c r="Q205" s="3"/>
      <c r="Z205" s="24"/>
      <c r="AA205" s="24"/>
      <c r="AB205" s="24"/>
    </row>
    <row r="206" spans="2:28" s="114" customFormat="1">
      <c r="B206" s="187"/>
      <c r="F206" s="188"/>
      <c r="G206" s="115"/>
      <c r="J206" s="115"/>
      <c r="Q206" s="3"/>
      <c r="Z206" s="24"/>
      <c r="AA206" s="24"/>
      <c r="AB206" s="24"/>
    </row>
    <row r="207" spans="2:28" s="114" customFormat="1">
      <c r="B207" s="187"/>
      <c r="F207" s="188"/>
      <c r="G207" s="115"/>
      <c r="J207" s="115"/>
      <c r="Q207" s="3"/>
      <c r="Z207" s="24"/>
      <c r="AA207" s="24"/>
      <c r="AB207" s="24"/>
    </row>
    <row r="208" spans="2:28" s="114" customFormat="1">
      <c r="B208" s="187"/>
      <c r="F208" s="188"/>
      <c r="G208" s="115"/>
      <c r="J208" s="115"/>
      <c r="Q208" s="3"/>
      <c r="Z208" s="24"/>
      <c r="AA208" s="24"/>
      <c r="AB208" s="24"/>
    </row>
    <row r="209" spans="2:28" s="114" customFormat="1">
      <c r="B209" s="187"/>
      <c r="F209" s="188"/>
      <c r="G209" s="115"/>
      <c r="J209" s="115"/>
      <c r="Q209" s="3"/>
      <c r="Z209" s="24"/>
      <c r="AA209" s="24"/>
      <c r="AB209" s="24"/>
    </row>
    <row r="210" spans="2:28" s="114" customFormat="1">
      <c r="B210" s="187"/>
      <c r="F210" s="188"/>
      <c r="G210" s="115"/>
      <c r="J210" s="115"/>
      <c r="Q210" s="3"/>
      <c r="Z210" s="24"/>
      <c r="AA210" s="24"/>
      <c r="AB210" s="24"/>
    </row>
    <row r="211" spans="2:28" s="114" customFormat="1">
      <c r="B211" s="187"/>
      <c r="F211" s="188"/>
      <c r="G211" s="115"/>
      <c r="J211" s="115"/>
      <c r="Q211" s="3"/>
      <c r="Z211" s="24"/>
      <c r="AA211" s="24"/>
      <c r="AB211" s="24"/>
    </row>
    <row r="212" spans="2:28" s="114" customFormat="1">
      <c r="B212" s="187"/>
      <c r="F212" s="188"/>
      <c r="G212" s="115"/>
      <c r="J212" s="115"/>
      <c r="Q212" s="3"/>
      <c r="Z212" s="24"/>
      <c r="AA212" s="24"/>
      <c r="AB212" s="24"/>
    </row>
    <row r="213" spans="2:28" s="114" customFormat="1">
      <c r="B213" s="187"/>
      <c r="F213" s="188"/>
      <c r="G213" s="115"/>
      <c r="J213" s="115"/>
      <c r="Q213" s="3"/>
      <c r="Z213" s="24"/>
      <c r="AA213" s="24"/>
      <c r="AB213" s="24"/>
    </row>
    <row r="214" spans="2:28" s="114" customFormat="1">
      <c r="B214" s="187"/>
      <c r="F214" s="188"/>
      <c r="G214" s="115"/>
      <c r="J214" s="115"/>
      <c r="Q214" s="3"/>
      <c r="Z214" s="24"/>
      <c r="AA214" s="24"/>
      <c r="AB214" s="24"/>
    </row>
    <row r="215" spans="2:28" s="114" customFormat="1">
      <c r="B215" s="187"/>
      <c r="F215" s="188"/>
      <c r="G215" s="115"/>
      <c r="J215" s="115"/>
      <c r="Q215" s="3"/>
      <c r="Z215" s="24"/>
      <c r="AA215" s="24"/>
      <c r="AB215" s="24"/>
    </row>
    <row r="216" spans="2:28" s="114" customFormat="1">
      <c r="B216" s="187"/>
      <c r="F216" s="188"/>
      <c r="G216" s="115"/>
      <c r="J216" s="115"/>
      <c r="Q216" s="3"/>
      <c r="Z216" s="24"/>
      <c r="AA216" s="24"/>
      <c r="AB216" s="24"/>
    </row>
    <row r="217" spans="2:28" s="114" customFormat="1">
      <c r="B217" s="187"/>
      <c r="F217" s="188"/>
      <c r="G217" s="115"/>
      <c r="J217" s="115"/>
      <c r="Q217" s="3"/>
      <c r="Z217" s="24"/>
      <c r="AA217" s="24"/>
      <c r="AB217" s="24"/>
    </row>
    <row r="218" spans="2:28" s="114" customFormat="1">
      <c r="B218" s="187"/>
      <c r="F218" s="188"/>
      <c r="G218" s="115"/>
      <c r="J218" s="115"/>
      <c r="Q218" s="3"/>
      <c r="Z218" s="24"/>
      <c r="AA218" s="24"/>
      <c r="AB218" s="24"/>
    </row>
    <row r="219" spans="2:28" s="114" customFormat="1">
      <c r="B219" s="187"/>
      <c r="F219" s="188"/>
      <c r="G219" s="115"/>
      <c r="J219" s="115"/>
      <c r="Q219" s="3"/>
      <c r="Z219" s="24"/>
      <c r="AA219" s="24"/>
      <c r="AB219" s="24"/>
    </row>
    <row r="220" spans="2:28" s="114" customFormat="1">
      <c r="B220" s="187"/>
      <c r="F220" s="188"/>
      <c r="G220" s="115"/>
      <c r="J220" s="115"/>
      <c r="Q220" s="3"/>
      <c r="Z220" s="24"/>
      <c r="AA220" s="24"/>
      <c r="AB220" s="24"/>
    </row>
    <row r="221" spans="2:28" s="114" customFormat="1">
      <c r="B221" s="187"/>
      <c r="F221" s="188"/>
      <c r="G221" s="115"/>
      <c r="J221" s="115"/>
      <c r="Q221" s="3"/>
      <c r="Z221" s="24"/>
      <c r="AA221" s="24"/>
      <c r="AB221" s="24"/>
    </row>
    <row r="222" spans="2:28" s="114" customFormat="1">
      <c r="B222" s="187"/>
      <c r="F222" s="188"/>
      <c r="G222" s="115"/>
      <c r="J222" s="115"/>
      <c r="Q222" s="3"/>
      <c r="Z222" s="24"/>
      <c r="AA222" s="24"/>
      <c r="AB222" s="24"/>
    </row>
    <row r="223" spans="2:28" s="114" customFormat="1">
      <c r="B223" s="187"/>
      <c r="F223" s="188"/>
      <c r="G223" s="115"/>
      <c r="J223" s="115"/>
      <c r="Q223" s="3"/>
      <c r="Z223" s="24"/>
      <c r="AA223" s="24"/>
      <c r="AB223" s="24"/>
    </row>
    <row r="224" spans="2:28" s="114" customFormat="1">
      <c r="B224" s="187"/>
      <c r="F224" s="188"/>
      <c r="G224" s="115"/>
      <c r="J224" s="115"/>
      <c r="Q224" s="3"/>
      <c r="Z224" s="24"/>
      <c r="AA224" s="24"/>
      <c r="AB224" s="24"/>
    </row>
    <row r="225" spans="2:28" s="114" customFormat="1">
      <c r="B225" s="187"/>
      <c r="F225" s="188"/>
      <c r="G225" s="115"/>
      <c r="J225" s="115"/>
      <c r="Q225" s="3"/>
      <c r="Z225" s="24"/>
      <c r="AA225" s="24"/>
      <c r="AB225" s="24"/>
    </row>
    <row r="226" spans="2:28" s="114" customFormat="1">
      <c r="B226" s="187"/>
      <c r="F226" s="188"/>
      <c r="G226" s="115"/>
      <c r="J226" s="115"/>
      <c r="Q226" s="3"/>
      <c r="Z226" s="24"/>
      <c r="AA226" s="24"/>
      <c r="AB226" s="24"/>
    </row>
    <row r="227" spans="2:28" s="114" customFormat="1">
      <c r="B227" s="187"/>
      <c r="F227" s="188"/>
      <c r="G227" s="115"/>
      <c r="J227" s="115"/>
      <c r="Q227" s="3"/>
      <c r="Z227" s="24"/>
      <c r="AA227" s="24"/>
      <c r="AB227" s="24"/>
    </row>
    <row r="228" spans="2:28" s="114" customFormat="1">
      <c r="B228" s="187"/>
      <c r="F228" s="188"/>
      <c r="G228" s="115"/>
      <c r="J228" s="115"/>
      <c r="Q228" s="3"/>
      <c r="Z228" s="24"/>
      <c r="AA228" s="24"/>
      <c r="AB228" s="24"/>
    </row>
    <row r="229" spans="2:28" s="114" customFormat="1">
      <c r="B229" s="187"/>
      <c r="F229" s="188"/>
      <c r="G229" s="115"/>
      <c r="J229" s="115"/>
      <c r="Q229" s="3"/>
      <c r="Z229" s="24"/>
      <c r="AA229" s="24"/>
      <c r="AB229" s="24"/>
    </row>
    <row r="230" spans="2:28" s="114" customFormat="1">
      <c r="B230" s="187"/>
      <c r="F230" s="188"/>
      <c r="G230" s="115"/>
      <c r="J230" s="115"/>
      <c r="Q230" s="3"/>
      <c r="Z230" s="24"/>
      <c r="AA230" s="24"/>
      <c r="AB230" s="24"/>
    </row>
    <row r="231" spans="2:28" s="114" customFormat="1">
      <c r="B231" s="187"/>
      <c r="F231" s="188"/>
      <c r="G231" s="115"/>
      <c r="J231" s="115"/>
      <c r="Q231" s="3"/>
      <c r="Z231" s="24"/>
      <c r="AA231" s="24"/>
      <c r="AB231" s="24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P63 M64:P1048576 M1:P62" name="Range1"/>
  </protectedRanges>
  <mergeCells count="12">
    <mergeCell ref="K10:K11"/>
    <mergeCell ref="O10:O11"/>
    <mergeCell ref="E2:H2"/>
    <mergeCell ref="E4:H4"/>
    <mergeCell ref="E5:H5"/>
    <mergeCell ref="E6:H6"/>
    <mergeCell ref="E8:H8"/>
    <mergeCell ref="B10:B11"/>
    <mergeCell ref="C10:C11"/>
    <mergeCell ref="E10:E11"/>
    <mergeCell ref="G10:G11"/>
    <mergeCell ref="I10:I11"/>
  </mergeCells>
  <conditionalFormatting sqref="M57:M62 M26:M27 M54:M55 M45:M47 M19:M24 M14:M17 M36:M43 M29:M34 M49:M52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scale="94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5"/>
  <dimension ref="B1:N15"/>
  <sheetViews>
    <sheetView showGridLines="0" zoomScale="130" zoomScaleNormal="130" workbookViewId="0">
      <selection activeCell="D22" sqref="D22"/>
    </sheetView>
  </sheetViews>
  <sheetFormatPr defaultColWidth="9.26953125" defaultRowHeight="14.5"/>
  <cols>
    <col min="1" max="1" width="1" customWidth="1"/>
    <col min="2" max="2" width="8.26953125" bestFit="1" customWidth="1"/>
    <col min="3" max="3" width="45" customWidth="1"/>
    <col min="4" max="4" width="34.26953125" customWidth="1"/>
    <col min="5" max="5" width="15.26953125" customWidth="1"/>
    <col min="6" max="6" width="12" bestFit="1" customWidth="1"/>
    <col min="7" max="7" width="9.26953125" bestFit="1" customWidth="1"/>
    <col min="8" max="8" width="12.26953125" bestFit="1" customWidth="1"/>
    <col min="9" max="9" width="10.26953125" customWidth="1"/>
    <col min="10" max="10" width="19.26953125" bestFit="1" customWidth="1"/>
  </cols>
  <sheetData>
    <row r="1" spans="2:14">
      <c r="B1" s="1058" t="str">
        <f>D15</f>
        <v>BMG World, 28 Droste Crescent, JHB</v>
      </c>
      <c r="C1" s="1058"/>
      <c r="D1" s="1058"/>
      <c r="E1" s="1057" t="s">
        <v>529</v>
      </c>
      <c r="F1" s="1057"/>
      <c r="G1" s="1057"/>
      <c r="H1" s="1057"/>
      <c r="I1" s="1057"/>
      <c r="J1" s="1057"/>
      <c r="K1" s="77"/>
      <c r="L1" s="77"/>
      <c r="M1" s="77"/>
      <c r="N1" s="77"/>
    </row>
    <row r="2" spans="2:14" ht="6.75" customHeight="1"/>
    <row r="3" spans="2:14">
      <c r="B3" s="72" t="s">
        <v>530</v>
      </c>
      <c r="C3" s="72" t="s">
        <v>531</v>
      </c>
      <c r="D3" s="72" t="s">
        <v>532</v>
      </c>
      <c r="E3" s="78" t="s">
        <v>533</v>
      </c>
      <c r="F3" s="78" t="s">
        <v>534</v>
      </c>
      <c r="G3" s="78" t="s">
        <v>89</v>
      </c>
      <c r="H3" s="78" t="s">
        <v>90</v>
      </c>
      <c r="I3" s="78" t="s">
        <v>83</v>
      </c>
      <c r="J3" s="78" t="s">
        <v>91</v>
      </c>
    </row>
    <row r="4" spans="2:14">
      <c r="B4" s="76" t="s">
        <v>535</v>
      </c>
      <c r="C4" s="74"/>
      <c r="D4" s="74"/>
      <c r="E4" s="74"/>
      <c r="F4" s="74"/>
      <c r="G4" s="76"/>
      <c r="H4" s="76"/>
      <c r="I4" s="76"/>
      <c r="J4" s="71"/>
    </row>
    <row r="5" spans="2:14">
      <c r="B5" s="76" t="s">
        <v>536</v>
      </c>
      <c r="C5" s="74"/>
      <c r="D5" s="74"/>
      <c r="E5" s="74"/>
      <c r="F5" s="74"/>
      <c r="G5" s="76"/>
      <c r="H5" s="76"/>
      <c r="I5" s="76"/>
      <c r="J5" s="71"/>
    </row>
    <row r="6" spans="2:14">
      <c r="B6" s="76" t="s">
        <v>537</v>
      </c>
      <c r="C6" s="74"/>
      <c r="D6" s="74"/>
      <c r="E6" s="74"/>
      <c r="F6" s="74"/>
      <c r="G6" s="76"/>
      <c r="H6" s="76"/>
      <c r="I6" s="76"/>
      <c r="J6" s="71"/>
    </row>
    <row r="7" spans="2:14">
      <c r="B7" s="76" t="s">
        <v>538</v>
      </c>
      <c r="C7" s="74"/>
      <c r="D7" s="74"/>
      <c r="E7" s="74"/>
      <c r="F7" s="74"/>
      <c r="G7" s="76"/>
      <c r="H7" s="76"/>
      <c r="I7" s="76"/>
      <c r="J7" s="71"/>
    </row>
    <row r="8" spans="2:14">
      <c r="B8" s="76" t="s">
        <v>539</v>
      </c>
      <c r="C8" s="75"/>
      <c r="D8" s="75"/>
      <c r="E8" s="75"/>
      <c r="F8" s="75"/>
      <c r="G8" s="75"/>
      <c r="H8" s="75"/>
      <c r="I8" s="75"/>
      <c r="J8" s="71"/>
    </row>
    <row r="9" spans="2:14">
      <c r="B9" s="76" t="s">
        <v>540</v>
      </c>
      <c r="C9" s="75"/>
      <c r="D9" s="75"/>
      <c r="E9" s="75"/>
      <c r="F9" s="75"/>
      <c r="G9" s="75"/>
      <c r="H9" s="75"/>
      <c r="I9" s="75"/>
      <c r="J9" s="71"/>
    </row>
    <row r="10" spans="2:14">
      <c r="B10" s="76" t="s">
        <v>541</v>
      </c>
      <c r="C10" s="75"/>
      <c r="D10" s="75"/>
      <c r="E10" s="75"/>
      <c r="F10" s="75"/>
      <c r="G10" s="75"/>
      <c r="H10" s="75"/>
      <c r="I10" s="75"/>
      <c r="J10" s="71"/>
    </row>
    <row r="11" spans="2:14">
      <c r="B11" s="76" t="s">
        <v>542</v>
      </c>
      <c r="C11" s="75"/>
      <c r="D11" s="75"/>
      <c r="E11" s="75"/>
      <c r="F11" s="75"/>
      <c r="G11" s="75"/>
      <c r="H11" s="75"/>
      <c r="I11" s="75"/>
      <c r="J11" s="71"/>
    </row>
    <row r="12" spans="2:14">
      <c r="B12" s="76" t="s">
        <v>543</v>
      </c>
      <c r="C12" s="75"/>
      <c r="D12" s="75"/>
      <c r="E12" s="75"/>
      <c r="F12" s="75"/>
      <c r="G12" s="75"/>
      <c r="H12" s="75"/>
      <c r="I12" s="75"/>
      <c r="J12" s="71"/>
    </row>
    <row r="13" spans="2:14">
      <c r="B13" s="76" t="s">
        <v>544</v>
      </c>
      <c r="C13" s="75"/>
      <c r="D13" s="75"/>
      <c r="E13" s="75"/>
      <c r="F13" s="75"/>
      <c r="G13" s="75"/>
      <c r="H13" s="75"/>
      <c r="I13" s="75"/>
      <c r="J13" s="71"/>
    </row>
    <row r="15" spans="2:14">
      <c r="D15" s="84" t="str" cm="1">
        <f t="array" ref="D15:G15">'Project Plan'!E2:H2</f>
        <v>BMG World, 28 Droste Crescent, JHB</v>
      </c>
      <c r="E15" s="84">
        <v>0</v>
      </c>
      <c r="F15" s="84">
        <v>0</v>
      </c>
      <c r="G15" s="84">
        <v>0</v>
      </c>
      <c r="H15" s="84"/>
    </row>
  </sheetData>
  <mergeCells count="2">
    <mergeCell ref="E1:J1"/>
    <mergeCell ref="B1:D1"/>
  </mergeCells>
  <conditionalFormatting sqref="G4:G13">
    <cfRule type="containsText" dxfId="4" priority="1" operator="containsText" text="Pending">
      <formula>NOT(ISERROR(SEARCH("Pending",G4)))</formula>
    </cfRule>
    <cfRule type="containsText" dxfId="3" priority="2" operator="containsText" text="Declined">
      <formula>NOT(ISERROR(SEARCH("Declined",G4)))</formula>
    </cfRule>
    <cfRule type="containsText" dxfId="2" priority="3" operator="containsText" text="Abanded">
      <formula>NOT(ISERROR(SEARCH("Abanded",G4)))</formula>
    </cfRule>
    <cfRule type="containsText" dxfId="1" priority="4" operator="containsText" text="Declined">
      <formula>NOT(ISERROR(SEARCH("Declined",G4)))</formula>
    </cfRule>
    <cfRule type="containsText" dxfId="0" priority="5" operator="containsText" text="Approved">
      <formula>NOT(ISERROR(SEARCH("Approved",G4)))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5E30BC4B-BD35-4127-B867-FC0C1DA067A9}">
          <x14:formula1>
            <xm:f>Data!$F$3:$F$6</xm:f>
          </x14:formula1>
          <xm:sqref>G4:G13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C079553-2ACA-4106-8B6F-B96BDFA66E8F}">
  <ds:schemaRefs>
    <ds:schemaRef ds:uri="http://schemas.microsoft.com/office/2006/metadata/properties"/>
    <ds:schemaRef ds:uri="http://schemas.microsoft.com/office/infopath/2007/PartnerControls"/>
    <ds:schemaRef ds:uri="ab964f2b-203c-4425-a556-91316bb05fea"/>
    <ds:schemaRef ds:uri="9acfecf2-4047-4d7b-9ec8-592b51a52bf7"/>
  </ds:schemaRefs>
</ds:datastoreItem>
</file>

<file path=customXml/itemProps2.xml><?xml version="1.0" encoding="utf-8"?>
<ds:datastoreItem xmlns:ds="http://schemas.openxmlformats.org/officeDocument/2006/customXml" ds:itemID="{3152A8A3-345E-453C-94C9-D6C1168FC90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0532DC5-7E3B-428B-8421-F83CD2B4CBE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964f2b-203c-4425-a556-91316bb05fea"/>
    <ds:schemaRef ds:uri="9acfecf2-4047-4d7b-9ec8-592b51a52bf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16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4</vt:i4>
      </vt:variant>
    </vt:vector>
  </HeadingPairs>
  <TitlesOfParts>
    <vt:vector size="21" baseType="lpstr">
      <vt:lpstr>Sheet1</vt:lpstr>
      <vt:lpstr>Certificate - Financial Close</vt:lpstr>
      <vt:lpstr>Compliance</vt:lpstr>
      <vt:lpstr>Revenue Tracking</vt:lpstr>
      <vt:lpstr>Data</vt:lpstr>
      <vt:lpstr>Project Plan</vt:lpstr>
      <vt:lpstr>Expenditure Tracking</vt:lpstr>
      <vt:lpstr>Expenditure Breakdown</vt:lpstr>
      <vt:lpstr>Cashflow</vt:lpstr>
      <vt:lpstr>Finance - Rev</vt:lpstr>
      <vt:lpstr>Finance - COS</vt:lpstr>
      <vt:lpstr>Project Margins</vt:lpstr>
      <vt:lpstr>Equipment Quotes</vt:lpstr>
      <vt:lpstr>Installer Quotes</vt:lpstr>
      <vt:lpstr>Project Plan-Volvo</vt:lpstr>
      <vt:lpstr>Decision Register</vt:lpstr>
      <vt:lpstr>Chart1</vt:lpstr>
      <vt:lpstr>'Certificate - Financial Close'!Print_Area</vt:lpstr>
      <vt:lpstr>'Project Plan'!Print_Area</vt:lpstr>
      <vt:lpstr>'Project Plan-Volvo'!Print_Area</vt:lpstr>
      <vt:lpstr>Projectsize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Roedolph Venter</cp:lastModifiedBy>
  <cp:revision/>
  <dcterms:created xsi:type="dcterms:W3CDTF">2020-08-09T08:25:30Z</dcterms:created>
  <dcterms:modified xsi:type="dcterms:W3CDTF">2026-02-10T19:15:36Z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Order">
    <vt:r8>4400</vt:r8>
  </property>
  <property fmtid="{D5CDD505-2E9C-101B-9397-08002B2CF9AE}" pid="4" name="MediaServiceImageTags">
    <vt:lpwstr/>
  </property>
</Properties>
</file>