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4" documentId="13_ncr:1_{CDEA10F9-77C5-44A1-9473-92107CACD0EC}" xr6:coauthVersionLast="47" xr6:coauthVersionMax="47" xr10:uidLastSave="{8F308A9C-5FA6-46F6-AB23-1E5072CCF7C9}"/>
  <bookViews>
    <workbookView xWindow="11412" yWindow="132" windowWidth="11496" windowHeight="11712" tabRatio="675" firstSheet="1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 calcCompleted="0"/>
  <pivotCaches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8" l="1"/>
  <c r="I46" i="2"/>
  <c r="I45" i="2"/>
  <c r="W23" i="18"/>
  <c r="H6" i="5"/>
  <c r="Q29" i="18"/>
  <c r="W151" i="18"/>
  <c r="Q151" i="18"/>
  <c r="W125" i="18"/>
  <c r="W128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61" i="18"/>
  <c r="H101" i="18"/>
  <c r="H100" i="18"/>
  <c r="H37" i="18" s="1"/>
  <c r="H59" i="18"/>
  <c r="H99" i="18"/>
  <c r="H58" i="18" s="1"/>
  <c r="H98" i="18"/>
  <c r="H57" i="18"/>
  <c r="H88" i="18"/>
  <c r="H87" i="18"/>
  <c r="H56" i="18"/>
  <c r="H55" i="18"/>
  <c r="H54" i="18"/>
  <c r="H34" i="18"/>
  <c r="H32" i="18"/>
  <c r="H14" i="18"/>
  <c r="H35" i="18"/>
  <c r="H38" i="18"/>
  <c r="H60" i="18"/>
  <c r="X44" i="18"/>
  <c r="U44" i="18"/>
  <c r="W44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67" i="18"/>
  <c r="T55" i="18"/>
  <c r="GL17" i="6" s="1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/>
  <c r="X6" i="18"/>
  <c r="H9" i="3" s="1"/>
  <c r="Q28" i="18"/>
  <c r="I26" i="2"/>
  <c r="K26" i="2"/>
  <c r="E14" i="2"/>
  <c r="E11" i="2"/>
  <c r="I14" i="2"/>
  <c r="Z38" i="18"/>
  <c r="Z39" i="18"/>
  <c r="AD34" i="18"/>
  <c r="AC34" i="18"/>
  <c r="AD33" i="18"/>
  <c r="AD38" i="18" s="1"/>
  <c r="AD39" i="18" s="1"/>
  <c r="AC33" i="18"/>
  <c r="AC32" i="18"/>
  <c r="AC31" i="18"/>
  <c r="AC30" i="18"/>
  <c r="AC28" i="18"/>
  <c r="M18" i="2"/>
  <c r="Q82" i="18"/>
  <c r="Q83" i="18"/>
  <c r="Q84" i="18"/>
  <c r="Q85" i="18"/>
  <c r="Q81" i="18"/>
  <c r="T86" i="18"/>
  <c r="Q134" i="18"/>
  <c r="U134" i="18" s="1"/>
  <c r="Q150" i="18"/>
  <c r="X141" i="18" s="1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/>
  <c r="G44" i="18"/>
  <c r="I44" i="18"/>
  <c r="F13" i="3" s="1"/>
  <c r="K13" i="2"/>
  <c r="N13" i="2"/>
  <c r="O32" i="18"/>
  <c r="Q32" i="18" s="1"/>
  <c r="O54" i="18"/>
  <c r="Q60" i="18"/>
  <c r="O95" i="18"/>
  <c r="Q95" i="18" s="1"/>
  <c r="Q100" i="18"/>
  <c r="Z17" i="18"/>
  <c r="Z16" i="18"/>
  <c r="Z15" i="18"/>
  <c r="Z14" i="18"/>
  <c r="Z13" i="18"/>
  <c r="Z12" i="18"/>
  <c r="Z22" i="18" s="1"/>
  <c r="Z23" i="18" s="1"/>
  <c r="Z24" i="18" s="1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7" i="18"/>
  <c r="T156" i="18"/>
  <c r="T155" i="18"/>
  <c r="T143" i="18"/>
  <c r="T62" i="18"/>
  <c r="T63" i="18"/>
  <c r="T165" i="18"/>
  <c r="T154" i="18"/>
  <c r="T153" i="18"/>
  <c r="T152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HY17" i="6" s="1"/>
  <c r="T18" i="18"/>
  <c r="T17" i="18"/>
  <c r="T16" i="18"/>
  <c r="T12" i="18"/>
  <c r="T11" i="18"/>
  <c r="T10" i="18"/>
  <c r="T9" i="18"/>
  <c r="JW17" i="6"/>
  <c r="T163" i="18"/>
  <c r="T160" i="18"/>
  <c r="T162" i="18"/>
  <c r="T159" i="18"/>
  <c r="T158" i="18"/>
  <c r="T161" i="18"/>
  <c r="T164" i="18"/>
  <c r="J141" i="18"/>
  <c r="J134" i="18"/>
  <c r="J125" i="18"/>
  <c r="J94" i="18"/>
  <c r="J52" i="18"/>
  <c r="J44" i="18"/>
  <c r="J28" i="18"/>
  <c r="J21" i="18"/>
  <c r="V21" i="18"/>
  <c r="J13" i="18"/>
  <c r="J6" i="18"/>
  <c r="J2" i="18" s="1"/>
  <c r="J4" i="18" s="1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/>
  <c r="I28" i="18"/>
  <c r="F12" i="3"/>
  <c r="X21" i="18"/>
  <c r="H11" i="3" s="1"/>
  <c r="J11" i="3" s="1"/>
  <c r="I21" i="18"/>
  <c r="F11" i="3"/>
  <c r="I13" i="18"/>
  <c r="F10" i="3"/>
  <c r="I6" i="18"/>
  <c r="F9" i="3"/>
  <c r="I75" i="18"/>
  <c r="F16" i="3"/>
  <c r="I134" i="18"/>
  <c r="F21" i="3"/>
  <c r="U50" i="18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30" i="2"/>
  <c r="M9" i="2" s="1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98" i="18"/>
  <c r="Q34" i="18"/>
  <c r="Q101" i="18"/>
  <c r="Q33" i="18"/>
  <c r="Q99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X75" i="18"/>
  <c r="U80" i="18" s="1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76" i="18"/>
  <c r="U86" i="18"/>
  <c r="U138" i="18"/>
  <c r="U136" i="18"/>
  <c r="U137" i="18"/>
  <c r="U139" i="18"/>
  <c r="U75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/>
  <c r="T134" i="18"/>
  <c r="W136" i="18"/>
  <c r="T136" i="18" s="1"/>
  <c r="W135" i="18"/>
  <c r="T135" i="18" s="1"/>
  <c r="W138" i="18"/>
  <c r="T138" i="18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G25" i="14"/>
  <c r="U48" i="18"/>
  <c r="V44" i="18" s="1"/>
  <c r="J40" i="2"/>
  <c r="W66" i="2"/>
  <c r="I49" i="2"/>
  <c r="I48" i="2" s="1"/>
  <c r="V68" i="2" s="1"/>
  <c r="K45" i="2"/>
  <c r="K49" i="2"/>
  <c r="I53" i="2"/>
  <c r="K48" i="2"/>
  <c r="I52" i="2"/>
  <c r="K46" i="2"/>
  <c r="I54" i="2" s="1"/>
  <c r="I44" i="2"/>
  <c r="V67" i="2" s="1"/>
  <c r="K54" i="2" l="1"/>
  <c r="I55" i="2" s="1"/>
  <c r="K44" i="2"/>
  <c r="N46" i="2"/>
  <c r="J9" i="2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BK17" i="6" s="1"/>
  <c r="U107" i="18"/>
  <c r="V107" i="18" s="1"/>
  <c r="U117" i="18"/>
  <c r="U110" i="18"/>
  <c r="U109" i="18"/>
  <c r="U108" i="18"/>
  <c r="U125" i="18"/>
  <c r="U129" i="18"/>
  <c r="BH5" i="6"/>
  <c r="J22" i="3"/>
  <c r="Y5" i="6"/>
  <c r="U119" i="18"/>
  <c r="X94" i="18"/>
  <c r="J16" i="3"/>
  <c r="G5" i="6"/>
  <c r="FH17" i="6"/>
  <c r="IK17" i="6"/>
  <c r="HJ17" i="6"/>
  <c r="EB17" i="6"/>
  <c r="HN17" i="6"/>
  <c r="U120" i="18"/>
  <c r="U19" i="18"/>
  <c r="U18" i="18"/>
  <c r="U17" i="18"/>
  <c r="V13" i="18" s="1"/>
  <c r="H10" i="3"/>
  <c r="H22" i="3"/>
  <c r="U150" i="18"/>
  <c r="U151" i="18"/>
  <c r="U152" i="18"/>
  <c r="X52" i="18"/>
  <c r="V134" i="18"/>
  <c r="KV5" i="6"/>
  <c r="KF5" i="6"/>
  <c r="JH5" i="6"/>
  <c r="IB5" i="6"/>
  <c r="GE5" i="6"/>
  <c r="GB5" i="6"/>
  <c r="FP5" i="6"/>
  <c r="FK5" i="6"/>
  <c r="EZ5" i="6"/>
  <c r="ER5" i="6"/>
  <c r="EM5" i="6"/>
  <c r="EB5" i="6"/>
  <c r="DL5" i="6"/>
  <c r="CV5" i="6"/>
  <c r="CQ5" i="6"/>
  <c r="BX5" i="6"/>
  <c r="AM5" i="6"/>
  <c r="AI5" i="6"/>
  <c r="JP5" i="6"/>
  <c r="IJ5" i="6"/>
  <c r="GN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Q97" i="18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X28" i="18" s="1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U4" i="5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BP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BT17" i="6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X67" i="2"/>
  <c r="W99" i="18"/>
  <c r="J44" i="2"/>
  <c r="W67" i="2" s="1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N44" i="2" l="1"/>
  <c r="N54" i="2"/>
  <c r="K55" i="2"/>
  <c r="I56" i="2" s="1"/>
  <c r="U41" i="18"/>
  <c r="U42" i="18"/>
  <c r="H12" i="3"/>
  <c r="U31" i="18"/>
  <c r="U40" i="18"/>
  <c r="U30" i="18"/>
  <c r="X2" i="18"/>
  <c r="U103" i="18"/>
  <c r="U105" i="18"/>
  <c r="U98" i="18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V52" i="18" s="1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W58" i="18"/>
  <c r="W117" i="18"/>
  <c r="J30" i="2"/>
  <c r="W65" i="2" s="1"/>
  <c r="W98" i="18"/>
  <c r="X65" i="2"/>
  <c r="K56" i="2" l="1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<sst xmlns="http://schemas.openxmlformats.org/spreadsheetml/2006/main" count="906" uniqueCount="498">
  <si>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</si>
  <si>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</si>
  <si>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</si>
  <si>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</si>
  <si>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</si>
  <si>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</si>
  <si>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</si>
  <si>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</si>
  <si>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</si>
  <si>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</si>
  <si>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</si>
  <si>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</si>
  <si>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</si>
  <si>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</si>
  <si>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</si>
  <si>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</si>
  <si>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</si>
  <si>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</si>
  <si>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</si>
  <si>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</si>
  <si>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</si>
  <si>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</si>
  <si>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</si>
  <si>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</si>
  <si>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</si>
  <si>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</si>
  <si>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</si>
  <si>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</si>
  <si>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</si>
  <si>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</si>
  <si>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</si>
  <si>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</si>
  <si>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</si>
  <si>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</si>
  <si>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</si>
  <si>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</si>
  <si>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</si>
  <si>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</si>
  <si>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</si>
  <si>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</si>
  <si>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</si>
  <si>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</si>
  <si>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</si>
  <si>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</si>
  <si>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</si>
  <si>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</si>
  <si>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</si>
  <si>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</si>
  <si>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</si>
  <si>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</si>
  <si>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</si>
  <si>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</si>
  <si>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</si>
  <si>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</si>
  <si>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</si>
  <si>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</si>
  <si>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</si>
  <si>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</si>
  <si>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</si>
  <si>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</si>
  <si>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</si>
  <si>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</si>
  <si>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</si>
  <si>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</si>
  <si>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</si>
  <si>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</si>
  <si>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</si>
  <si>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</si>
  <si>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</si>
  <si>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</si>
  <si>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</si>
  <si>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</si>
  <si>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</si>
  <si>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</si>
  <si>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</si>
  <si>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</si>
  <si>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</si>
  <si>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</si>
  <si>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</si>
  <si>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</si>
  <si>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</si>
  <si>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</si>
  <si>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</si>
  <si>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</si>
  <si>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</si>
  <si>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</si>
  <si>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</si>
  <si>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</si>
  <si>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</si>
  <si>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</si>
  <si>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</si>
  <si>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</si>
  <si>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</si>
  <si>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Roof 1 (20 Nov)</t>
  </si>
  <si>
    <t>2.3</t>
  </si>
  <si>
    <t>Anchor Point Install</t>
  </si>
  <si>
    <t>Subject to Roof Sign-off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</si>
  <si>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</si>
  <si>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</si>
  <si>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</si>
  <si>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</si>
  <si>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</si>
  <si>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</si>
  <si>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</si>
  <si>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</si>
  <si>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</si>
  <si>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</si>
  <si>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</si>
  <si>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</si>
  <si>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</si>
  <si>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</si>
  <si>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</si>
  <si>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DC stringing pushed to 21 Feb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</si>
  <si>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</si>
  <si>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</si>
  <si>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</si>
  <si>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</si>
  <si>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</si>
  <si>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</si>
  <si>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</si>
  <si>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</si>
  <si>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</si>
  <si>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</si>
  <si>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</si>
  <si>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</si>
  <si>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</si>
  <si>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</si>
  <si>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</si>
  <si>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</si>
  <si>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</si>
  <si>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Pushed out because of delayed stringing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</si>
  <si>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</si>
  <si>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</si>
  <si>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</si>
  <si>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</si>
  <si>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</si>
  <si>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</si>
  <si>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</si>
  <si>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</si>
  <si>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</si>
  <si>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</si>
  <si>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</si>
  <si>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</si>
  <si>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</si>
  <si>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</si>
  <si>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</si>
  <si>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</si>
  <si>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</si>
  <si>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</si>
  <si>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</si>
  <si>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</si>
  <si>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</si>
  <si>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</si>
  <si>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</si>
  <si>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</si>
  <si>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</si>
  <si>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</si>
  <si>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</si>
  <si>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</si>
  <si>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</si>
  <si>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</si>
  <si>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</si>
  <si>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</si>
  <si>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</si>
  <si>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</si>
  <si>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</si>
  <si>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</si>
  <si>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</si>
  <si>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</si>
  <si>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</si>
  <si>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</si>
  <si>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</si>
  <si>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</si>
  <si>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</si>
  <si>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</si>
  <si>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</si>
  <si>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</si>
  <si>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</si>
  <si>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</si>
  <si>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</si>
  <si>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</si>
  <si>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</si>
  <si>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</si>
  <si>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</si>
  <si>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</si>
  <si>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</si>
  <si>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</si>
  <si>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</si>
  <si>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</si>
  <si>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</si>
  <si>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</si>
  <si>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</si>
  <si>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</si>
  <si>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</si>
  <si>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</si>
  <si>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</si>
  <si>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</si>
  <si>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</si>
  <si>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</si>
  <si>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</si>
  <si>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</si>
  <si>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</si>
  <si>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</si>
  <si>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</si>
  <si>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</si>
  <si>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</si>
  <si>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</si>
  <si>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</si>
  <si>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</si>
  <si>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</si>
  <si>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</si>
  <si>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</si>
  <si>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</si>
  <si>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</si>
  <si>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</si>
  <si>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</si>
  <si>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</si>
  <si>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</si>
  <si>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</si>
  <si>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</si>
  <si>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</si>
  <si>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</si>
  <si>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</si>
  <si>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</si>
  <si>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</si>
  <si>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</si>
  <si>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</si>
  <si>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</si>
  <si>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</si>
  <si>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</si>
  <si>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</si>
  <si>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</si>
  <si>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</si>
  <si>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</si>
  <si>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</si>
  <si>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</si>
  <si>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</si>
  <si>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</si>
  <si>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</si>
  <si>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</si>
  <si>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</si>
  <si>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</si>
  <si>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</si>
  <si>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</si>
  <si>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</si>
  <si>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</si>
  <si>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</si>
  <si>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</si>
  <si>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</si>
  <si>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</si>
  <si>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</si>
  <si>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</si>
  <si>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</si>
  <si>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</si>
  <si>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</si>
  <si>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</si>
  <si>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</si>
  <si>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</si>
  <si>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</si>
  <si>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</si>
  <si>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</si>
  <si>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</si>
  <si>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</si>
  <si>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</si>
  <si>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</si>
  <si>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</si>
  <si>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</si>
  <si>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</si>
  <si>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</si>
  <si>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</si>
  <si>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</si>
  <si>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</si>
  <si>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</si>
  <si>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</si>
  <si>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</si>
  <si>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</si>
  <si>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</si>
  <si>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</si>
  <si>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</si>
  <si>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</si>
  <si>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</si>
  <si>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</si>
  <si>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</si>
  <si>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</si>
  <si>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</si>
  <si>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</si>
  <si>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</si>
  <si>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</si>
  <si>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</si>
  <si>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</si>
  <si>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</si>
  <si>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</si>
  <si>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</si>
  <si>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</si>
  <si>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</si>
  <si>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</si>
  <si>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</si>
  <si>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</si>
  <si>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</si>
  <si>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</si>
  <si>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</si>
  <si>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</si>
  <si>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</si>
  <si>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</si>
  <si>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</si>
  <si>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</si>
  <si>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</si>
  <si>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</si>
  <si>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</si>
  <si>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</si>
  <si>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</si>
  <si>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</si>
  <si>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</si>
  <si>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</si>
  <si>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</si>
  <si>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</si>
  <si>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</si>
  <si>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</si>
  <si>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</si>
  <si>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</si>
  <si>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</si>
  <si>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</si>
  <si>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</si>
  <si>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</si>
  <si>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</si>
  <si>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</si>
  <si>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</si>
  <si>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</si>
  <si>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</si>
  <si>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</si>
  <si>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</si>
  <si>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</si>
  <si>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</si>
  <si>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</si>
  <si>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</si>
  <si>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</si>
  <si>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</si>
  <si>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</si>
  <si>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</si>
  <si>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</si>
  <si>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</si>
  <si>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</si>
  <si>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</si>
  <si>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</si>
  <si>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</si>
  <si>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</si>
  <si>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</si>
  <si>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</si>
  <si>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</si>
  <si>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</si>
  <si>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</si>
  <si>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</si>
  <si>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</si>
  <si>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</si>
  <si>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</si>
  <si>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</si>
  <si>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</si>
  <si>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</si>
  <si>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</si>
  <si>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</si>
  <si>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</si>
  <si>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</si>
  <si>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</si>
  <si>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</si>
  <si>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</si>
  <si>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</si>
  <si>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</si>
  <si>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</si>
  <si>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</si>
  <si>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</si>
  <si>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</si>
  <si>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</si>
  <si>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</si>
  <si>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</si>
  <si>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</si>
  <si>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</si>
  <si>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</si>
  <si>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</si>
  <si>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</si>
  <si>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</si>
  <si>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</si>
  <si>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</si>
  <si>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</si>
  <si>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</si>
  <si>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</si>
  <si>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</si>
  <si>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</si>
  <si>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</si>
  <si>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</si>
  <si>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</si>
  <si>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</si>
  <si>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</si>
  <si>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</si>
  <si>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</si>
  <si>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</si>
  <si>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</si>
  <si>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</si>
  <si>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</si>
  <si>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</si>
  <si>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</si>
  <si>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</si>
  <si>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</si>
  <si>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</si>
  <si>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</si>
  <si>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</si>
  <si>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</si>
  <si>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</si>
  <si>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</si>
  <si>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</si>
  <si>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</si>
  <si>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</si>
  <si>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</si>
  <si>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</si>
  <si>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</si>
  <si>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</si>
  <si>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</si>
  <si>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</si>
  <si>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</si>
  <si>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</si>
  <si>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</si>
  <si>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</si>
  <si>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</si>
  <si>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</si>
  <si>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</si>
  <si>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</si>
  <si>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</si>
  <si>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</si>
  <si>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</si>
  <si>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</si>
  <si>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</si>
  <si>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</si>
  <si>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</si>
  <si>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</si>
  <si>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</si>
  <si>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</si>
  <si>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</si>
  <si>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</si>
  <si>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</si>
  <si>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</si>
  <si>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</si>
  <si>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</si>
  <si>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</si>
  <si>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</si>
  <si>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</si>
  <si>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</si>
  <si>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</si>
  <si>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</si>
  <si>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</si>
  <si>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</si>
  <si>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</si>
  <si>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</si>
  <si>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</si>
  <si>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</si>
  <si>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</si>
  <si>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</si>
  <si>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</si>
  <si>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</si>
  <si>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</si>
  <si>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</si>
  <si>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</si>
  <si>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</si>
  <si>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</si>
  <si>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</si>
  <si>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</si>
  <si>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</si>
  <si>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</si>
  <si>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</si>
  <si>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</si>
  <si>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</si>
  <si>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</si>
  <si>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</si>
  <si>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</si>
  <si>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</si>
  <si>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</si>
  <si>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</si>
  <si>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</si>
  <si>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</si>
  <si>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</si>
  <si>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</si>
  <si>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</si>
  <si>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</si>
  <si>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</si>
  <si>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</si>
  <si>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</si>
  <si>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</si>
  <si>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</si>
  <si>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</si>
  <si>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</si>
  <si>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</si>
  <si>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</si>
  <si>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</si>
  <si>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</si>
  <si>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</si>
  <si>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</si>
  <si>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</si>
  <si>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Replacement panels</t>
  </si>
  <si>
    <t>Transport</t>
  </si>
  <si>
    <t>MSA Energy INV0003593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</si>
</sst>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46074</c:v>
                </c:pt>
                <c:pt idx="6">
                  <c:v>46074</c:v>
                </c:pt>
                <c:pt idx="7">
                  <c:v>46076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204</c:v>
                </c:pt>
                <c:pt idx="4">
                  <c:v>84</c:v>
                </c:pt>
                <c:pt idx="5">
                  <c:v>4</c:v>
                </c:pt>
                <c:pt idx="6">
                  <c:v>2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7022748.9349999996</c:v>
                </c:pt>
                <c:pt idx="55">
                  <c:v>7022748.9349999996</c:v>
                </c:pt>
                <c:pt idx="56">
                  <c:v>7022748.9349999996</c:v>
                </c:pt>
                <c:pt idx="57">
                  <c:v>7697891.5334999999</c:v>
                </c:pt>
                <c:pt idx="58">
                  <c:v>7811187.4835000001</c:v>
                </c:pt>
                <c:pt idx="59">
                  <c:v>7979961.4084999999</c:v>
                </c:pt>
                <c:pt idx="60">
                  <c:v>7979961.4084999999</c:v>
                </c:pt>
                <c:pt idx="61">
                  <c:v>7979961.4084999999</c:v>
                </c:pt>
                <c:pt idx="62">
                  <c:v>8072543.8234999999</c:v>
                </c:pt>
                <c:pt idx="63">
                  <c:v>8075244.8234999999</c:v>
                </c:pt>
                <c:pt idx="64">
                  <c:v>8075244.8234999999</c:v>
                </c:pt>
                <c:pt idx="65">
                  <c:v>8075244.8234999999</c:v>
                </c:pt>
                <c:pt idx="66">
                  <c:v>8075244.8234999999</c:v>
                </c:pt>
                <c:pt idx="67">
                  <c:v>8075244.8234999999</c:v>
                </c:pt>
                <c:pt idx="68">
                  <c:v>8075244.8234999999</c:v>
                </c:pt>
                <c:pt idx="69">
                  <c:v>8075244.8234999999</c:v>
                </c:pt>
                <c:pt idx="70">
                  <c:v>8075244.8234999999</c:v>
                </c:pt>
                <c:pt idx="71">
                  <c:v>8075244.8234999999</c:v>
                </c:pt>
                <c:pt idx="72">
                  <c:v>8075244.8234999999</c:v>
                </c:pt>
                <c:pt idx="73">
                  <c:v>8075244.8234999999</c:v>
                </c:pt>
                <c:pt idx="74">
                  <c:v>8075244.8234999999</c:v>
                </c:pt>
                <c:pt idx="75">
                  <c:v>8075244.8234999999</c:v>
                </c:pt>
                <c:pt idx="76">
                  <c:v>8075244.8234999999</c:v>
                </c:pt>
                <c:pt idx="77">
                  <c:v>8075244.8234999999</c:v>
                </c:pt>
                <c:pt idx="78">
                  <c:v>8075244.8234999999</c:v>
                </c:pt>
                <c:pt idx="79">
                  <c:v>8075244.8234999999</c:v>
                </c:pt>
                <c:pt idx="80">
                  <c:v>8075244.8234999999</c:v>
                </c:pt>
                <c:pt idx="81">
                  <c:v>8075244.8234999999</c:v>
                </c:pt>
                <c:pt idx="82">
                  <c:v>8075244.8234999999</c:v>
                </c:pt>
                <c:pt idx="83">
                  <c:v>8075244.8234999999</c:v>
                </c:pt>
                <c:pt idx="84">
                  <c:v>8075244.8234999999</c:v>
                </c:pt>
                <c:pt idx="85">
                  <c:v>8075244.8234999999</c:v>
                </c:pt>
                <c:pt idx="86">
                  <c:v>8075244.8234999999</c:v>
                </c:pt>
                <c:pt idx="87">
                  <c:v>8075244.8234999999</c:v>
                </c:pt>
                <c:pt idx="88">
                  <c:v>8075244.8234999999</c:v>
                </c:pt>
                <c:pt idx="89">
                  <c:v>8075244.8234999999</c:v>
                </c:pt>
                <c:pt idx="90">
                  <c:v>8075244.8234999999</c:v>
                </c:pt>
                <c:pt idx="91">
                  <c:v>8075244.8234999999</c:v>
                </c:pt>
                <c:pt idx="92">
                  <c:v>8075244.8234999999</c:v>
                </c:pt>
                <c:pt idx="93">
                  <c:v>8075244.8234999999</c:v>
                </c:pt>
                <c:pt idx="94">
                  <c:v>8075244.8234999999</c:v>
                </c:pt>
                <c:pt idx="95">
                  <c:v>8075244.8234999999</c:v>
                </c:pt>
                <c:pt idx="96">
                  <c:v>8075244.8234999999</c:v>
                </c:pt>
                <c:pt idx="97">
                  <c:v>8075244.8234999999</c:v>
                </c:pt>
                <c:pt idx="98">
                  <c:v>8075244.8234999999</c:v>
                </c:pt>
                <c:pt idx="99">
                  <c:v>8075244.8234999999</c:v>
                </c:pt>
                <c:pt idx="100">
                  <c:v>8075244.8234999999</c:v>
                </c:pt>
                <c:pt idx="101">
                  <c:v>8075244.8234999999</c:v>
                </c:pt>
                <c:pt idx="102">
                  <c:v>8075244.8234999999</c:v>
                </c:pt>
                <c:pt idx="103">
                  <c:v>8075244.8234999999</c:v>
                </c:pt>
                <c:pt idx="104">
                  <c:v>8075244.8234999999</c:v>
                </c:pt>
                <c:pt idx="105">
                  <c:v>8075244.8234999999</c:v>
                </c:pt>
                <c:pt idx="106">
                  <c:v>8075244.8234999999</c:v>
                </c:pt>
                <c:pt idx="107">
                  <c:v>8075244.8234999999</c:v>
                </c:pt>
                <c:pt idx="108">
                  <c:v>8075244.8234999999</c:v>
                </c:pt>
                <c:pt idx="109">
                  <c:v>8075244.8234999999</c:v>
                </c:pt>
                <c:pt idx="110">
                  <c:v>8075244.8234999999</c:v>
                </c:pt>
                <c:pt idx="111">
                  <c:v>8075244.8234999999</c:v>
                </c:pt>
                <c:pt idx="112">
                  <c:v>8075244.8234999999</c:v>
                </c:pt>
                <c:pt idx="113">
                  <c:v>8075244.8234999999</c:v>
                </c:pt>
                <c:pt idx="114">
                  <c:v>8075244.8234999999</c:v>
                </c:pt>
                <c:pt idx="115">
                  <c:v>8075244.8234999999</c:v>
                </c:pt>
                <c:pt idx="116">
                  <c:v>8075244.8234999999</c:v>
                </c:pt>
                <c:pt idx="117">
                  <c:v>8075244.8234999999</c:v>
                </c:pt>
                <c:pt idx="118">
                  <c:v>8075244.8234999999</c:v>
                </c:pt>
                <c:pt idx="119">
                  <c:v>8075244.8234999999</c:v>
                </c:pt>
                <c:pt idx="120">
                  <c:v>8075244.8234999999</c:v>
                </c:pt>
                <c:pt idx="121">
                  <c:v>8075244.8234999999</c:v>
                </c:pt>
                <c:pt idx="122">
                  <c:v>8075244.8234999999</c:v>
                </c:pt>
                <c:pt idx="123">
                  <c:v>8075244.8234999999</c:v>
                </c:pt>
                <c:pt idx="124">
                  <c:v>8075244.8234999999</c:v>
                </c:pt>
                <c:pt idx="125">
                  <c:v>8075244.8234999999</c:v>
                </c:pt>
                <c:pt idx="126">
                  <c:v>8075244.8234999999</c:v>
                </c:pt>
                <c:pt idx="127">
                  <c:v>8075244.8234999999</c:v>
                </c:pt>
                <c:pt idx="128">
                  <c:v>8075244.8234999999</c:v>
                </c:pt>
                <c:pt idx="129">
                  <c:v>8075244.8234999999</c:v>
                </c:pt>
                <c:pt idx="130">
                  <c:v>8075244.8234999999</c:v>
                </c:pt>
                <c:pt idx="131">
                  <c:v>8075244.8234999999</c:v>
                </c:pt>
                <c:pt idx="132">
                  <c:v>8075244.8234999999</c:v>
                </c:pt>
                <c:pt idx="133">
                  <c:v>8075244.8234999999</c:v>
                </c:pt>
                <c:pt idx="134">
                  <c:v>8075244.8234999999</c:v>
                </c:pt>
                <c:pt idx="135">
                  <c:v>8075244.8234999999</c:v>
                </c:pt>
                <c:pt idx="136">
                  <c:v>8075244.8234999999</c:v>
                </c:pt>
                <c:pt idx="137">
                  <c:v>8075244.8234999999</c:v>
                </c:pt>
                <c:pt idx="138">
                  <c:v>8075244.8234999999</c:v>
                </c:pt>
                <c:pt idx="139">
                  <c:v>8075244.8234999999</c:v>
                </c:pt>
                <c:pt idx="140">
                  <c:v>8075244.8234999999</c:v>
                </c:pt>
                <c:pt idx="141">
                  <c:v>8075244.8234999999</c:v>
                </c:pt>
                <c:pt idx="142">
                  <c:v>8075244.8234999999</c:v>
                </c:pt>
                <c:pt idx="143">
                  <c:v>8075244.8234999999</c:v>
                </c:pt>
                <c:pt idx="144">
                  <c:v>8075244.8234999999</c:v>
                </c:pt>
                <c:pt idx="145">
                  <c:v>8075244.8234999999</c:v>
                </c:pt>
                <c:pt idx="146">
                  <c:v>8075244.8234999999</c:v>
                </c:pt>
                <c:pt idx="147">
                  <c:v>8075244.8234999999</c:v>
                </c:pt>
                <c:pt idx="148">
                  <c:v>8075244.8234999999</c:v>
                </c:pt>
                <c:pt idx="149">
                  <c:v>8075244.8234999999</c:v>
                </c:pt>
                <c:pt idx="150">
                  <c:v>8075244.8234999999</c:v>
                </c:pt>
                <c:pt idx="151">
                  <c:v>8075244.8234999999</c:v>
                </c:pt>
                <c:pt idx="152">
                  <c:v>8075244.8234999999</c:v>
                </c:pt>
                <c:pt idx="153">
                  <c:v>8075244.8234999999</c:v>
                </c:pt>
                <c:pt idx="154">
                  <c:v>8075244.8234999999</c:v>
                </c:pt>
                <c:pt idx="155">
                  <c:v>8075244.8234999999</c:v>
                </c:pt>
                <c:pt idx="156">
                  <c:v>8075244.8234999999</c:v>
                </c:pt>
                <c:pt idx="157">
                  <c:v>8075244.8234999999</c:v>
                </c:pt>
                <c:pt idx="158">
                  <c:v>8075244.8234999999</c:v>
                </c:pt>
                <c:pt idx="159">
                  <c:v>8075244.8234999999</c:v>
                </c:pt>
                <c:pt idx="160">
                  <c:v>8075244.8234999999</c:v>
                </c:pt>
                <c:pt idx="161">
                  <c:v>8075244.8234999999</c:v>
                </c:pt>
                <c:pt idx="162">
                  <c:v>8075244.8234999999</c:v>
                </c:pt>
                <c:pt idx="163">
                  <c:v>8075244.8234999999</c:v>
                </c:pt>
                <c:pt idx="164">
                  <c:v>8075244.8234999999</c:v>
                </c:pt>
                <c:pt idx="165">
                  <c:v>8075244.8234999999</c:v>
                </c:pt>
                <c:pt idx="166">
                  <c:v>8075244.8234999999</c:v>
                </c:pt>
                <c:pt idx="167">
                  <c:v>8075244.8234999999</c:v>
                </c:pt>
                <c:pt idx="168">
                  <c:v>8075244.8234999999</c:v>
                </c:pt>
                <c:pt idx="169">
                  <c:v>8075244.8234999999</c:v>
                </c:pt>
                <c:pt idx="170">
                  <c:v>8075244.8234999999</c:v>
                </c:pt>
                <c:pt idx="171">
                  <c:v>8075244.8234999999</c:v>
                </c:pt>
                <c:pt idx="172">
                  <c:v>8075244.8234999999</c:v>
                </c:pt>
                <c:pt idx="173">
                  <c:v>8075244.8234999999</c:v>
                </c:pt>
                <c:pt idx="174">
                  <c:v>8075244.8234999999</c:v>
                </c:pt>
                <c:pt idx="175">
                  <c:v>8075244.8234999999</c:v>
                </c:pt>
                <c:pt idx="176">
                  <c:v>8075244.8234999999</c:v>
                </c:pt>
                <c:pt idx="177">
                  <c:v>8075244.8234999999</c:v>
                </c:pt>
                <c:pt idx="178">
                  <c:v>8075244.8234999999</c:v>
                </c:pt>
                <c:pt idx="179">
                  <c:v>8075244.8234999999</c:v>
                </c:pt>
                <c:pt idx="180">
                  <c:v>8075244.8234999999</c:v>
                </c:pt>
                <c:pt idx="181">
                  <c:v>8075244.8234999999</c:v>
                </c:pt>
                <c:pt idx="182">
                  <c:v>8075244.8234999999</c:v>
                </c:pt>
                <c:pt idx="183">
                  <c:v>8075244.8234999999</c:v>
                </c:pt>
                <c:pt idx="184">
                  <c:v>8075244.8234999999</c:v>
                </c:pt>
                <c:pt idx="185">
                  <c:v>8075244.8234999999</c:v>
                </c:pt>
                <c:pt idx="186">
                  <c:v>8075244.8234999999</c:v>
                </c:pt>
                <c:pt idx="187">
                  <c:v>8075244.8234999999</c:v>
                </c:pt>
                <c:pt idx="188">
                  <c:v>8075244.8234999999</c:v>
                </c:pt>
                <c:pt idx="189">
                  <c:v>8075244.8234999999</c:v>
                </c:pt>
                <c:pt idx="190">
                  <c:v>8075244.8234999999</c:v>
                </c:pt>
                <c:pt idx="191">
                  <c:v>8075244.8234999999</c:v>
                </c:pt>
                <c:pt idx="192">
                  <c:v>8075244.8234999999</c:v>
                </c:pt>
                <c:pt idx="193">
                  <c:v>8075244.8234999999</c:v>
                </c:pt>
                <c:pt idx="194">
                  <c:v>8075244.8234999999</c:v>
                </c:pt>
                <c:pt idx="195">
                  <c:v>8075244.8234999999</c:v>
                </c:pt>
                <c:pt idx="196">
                  <c:v>8075244.8234999999</c:v>
                </c:pt>
                <c:pt idx="197">
                  <c:v>8075244.8234999999</c:v>
                </c:pt>
                <c:pt idx="198">
                  <c:v>8075244.8234999999</c:v>
                </c:pt>
                <c:pt idx="199">
                  <c:v>8075244.8234999999</c:v>
                </c:pt>
                <c:pt idx="200">
                  <c:v>8075244.8234999999</c:v>
                </c:pt>
                <c:pt idx="201">
                  <c:v>8075244.8234999999</c:v>
                </c:pt>
                <c:pt idx="202">
                  <c:v>8075244.8234999999</c:v>
                </c:pt>
                <c:pt idx="203">
                  <c:v>8075244.8234999999</c:v>
                </c:pt>
                <c:pt idx="204">
                  <c:v>8075244.8234999999</c:v>
                </c:pt>
                <c:pt idx="205">
                  <c:v>8075244.8234999999</c:v>
                </c:pt>
                <c:pt idx="206">
                  <c:v>8075244.8234999999</c:v>
                </c:pt>
                <c:pt idx="207">
                  <c:v>8075244.8234999999</c:v>
                </c:pt>
                <c:pt idx="208">
                  <c:v>8075244.8234999999</c:v>
                </c:pt>
                <c:pt idx="209">
                  <c:v>8075244.8234999999</c:v>
                </c:pt>
                <c:pt idx="210">
                  <c:v>8075244.8234999999</c:v>
                </c:pt>
                <c:pt idx="211">
                  <c:v>8075244.8234999999</c:v>
                </c:pt>
                <c:pt idx="212">
                  <c:v>8075244.8234999999</c:v>
                </c:pt>
                <c:pt idx="213">
                  <c:v>8075244.8234999999</c:v>
                </c:pt>
                <c:pt idx="214">
                  <c:v>8075244.8234999999</c:v>
                </c:pt>
                <c:pt idx="215">
                  <c:v>8075244.8234999999</c:v>
                </c:pt>
                <c:pt idx="216">
                  <c:v>8075244.8234999999</c:v>
                </c:pt>
                <c:pt idx="217">
                  <c:v>8075244.8234999999</c:v>
                </c:pt>
                <c:pt idx="218">
                  <c:v>8075244.8234999999</c:v>
                </c:pt>
                <c:pt idx="219">
                  <c:v>8075244.8234999999</c:v>
                </c:pt>
                <c:pt idx="220">
                  <c:v>8075244.8234999999</c:v>
                </c:pt>
                <c:pt idx="221">
                  <c:v>8075244.8234999999</c:v>
                </c:pt>
                <c:pt idx="222">
                  <c:v>8075244.8234999999</c:v>
                </c:pt>
                <c:pt idx="223">
                  <c:v>8075244.8234999999</c:v>
                </c:pt>
                <c:pt idx="224">
                  <c:v>8075244.8234999999</c:v>
                </c:pt>
                <c:pt idx="225">
                  <c:v>8075244.8234999999</c:v>
                </c:pt>
                <c:pt idx="226">
                  <c:v>8075244.8234999999</c:v>
                </c:pt>
                <c:pt idx="227">
                  <c:v>8075244.8234999999</c:v>
                </c:pt>
                <c:pt idx="228">
                  <c:v>8075244.8234999999</c:v>
                </c:pt>
                <c:pt idx="229">
                  <c:v>8075244.8234999999</c:v>
                </c:pt>
                <c:pt idx="230">
                  <c:v>8075244.8234999999</c:v>
                </c:pt>
                <c:pt idx="231">
                  <c:v>8075244.8234999999</c:v>
                </c:pt>
                <c:pt idx="232">
                  <c:v>8075244.8234999999</c:v>
                </c:pt>
                <c:pt idx="233">
                  <c:v>8075244.8234999999</c:v>
                </c:pt>
                <c:pt idx="234">
                  <c:v>8075244.8234999999</c:v>
                </c:pt>
                <c:pt idx="235">
                  <c:v>8075244.8234999999</c:v>
                </c:pt>
                <c:pt idx="236">
                  <c:v>8075244.8234999999</c:v>
                </c:pt>
                <c:pt idx="237">
                  <c:v>8075244.8234999999</c:v>
                </c:pt>
                <c:pt idx="238">
                  <c:v>8075244.8234999999</c:v>
                </c:pt>
                <c:pt idx="239">
                  <c:v>8075244.8234999999</c:v>
                </c:pt>
                <c:pt idx="240">
                  <c:v>8075244.8234999999</c:v>
                </c:pt>
                <c:pt idx="241">
                  <c:v>8075244.8234999999</c:v>
                </c:pt>
                <c:pt idx="242">
                  <c:v>8075244.8234999999</c:v>
                </c:pt>
                <c:pt idx="243">
                  <c:v>8075244.8234999999</c:v>
                </c:pt>
                <c:pt idx="244">
                  <c:v>8075244.8234999999</c:v>
                </c:pt>
                <c:pt idx="245">
                  <c:v>8075244.8234999999</c:v>
                </c:pt>
                <c:pt idx="246">
                  <c:v>8075244.8234999999</c:v>
                </c:pt>
                <c:pt idx="247">
                  <c:v>8075244.8234999999</c:v>
                </c:pt>
                <c:pt idx="248">
                  <c:v>8075244.8234999999</c:v>
                </c:pt>
                <c:pt idx="249">
                  <c:v>8075244.8234999999</c:v>
                </c:pt>
                <c:pt idx="250">
                  <c:v>8075244.8234999999</c:v>
                </c:pt>
                <c:pt idx="251">
                  <c:v>8075244.8234999999</c:v>
                </c:pt>
                <c:pt idx="252">
                  <c:v>8075244.8234999999</c:v>
                </c:pt>
                <c:pt idx="253">
                  <c:v>8075244.8234999999</c:v>
                </c:pt>
                <c:pt idx="254">
                  <c:v>8075244.8234999999</c:v>
                </c:pt>
                <c:pt idx="255">
                  <c:v>8075244.8234999999</c:v>
                </c:pt>
                <c:pt idx="256">
                  <c:v>8075244.8234999999</c:v>
                </c:pt>
                <c:pt idx="257">
                  <c:v>8075244.8234999999</c:v>
                </c:pt>
                <c:pt idx="258">
                  <c:v>8075244.8234999999</c:v>
                </c:pt>
                <c:pt idx="259">
                  <c:v>8075244.8234999999</c:v>
                </c:pt>
                <c:pt idx="260">
                  <c:v>8075244.8234999999</c:v>
                </c:pt>
                <c:pt idx="261">
                  <c:v>8075244.8234999999</c:v>
                </c:pt>
                <c:pt idx="262">
                  <c:v>8075244.8234999999</c:v>
                </c:pt>
                <c:pt idx="263">
                  <c:v>8075244.8234999999</c:v>
                </c:pt>
                <c:pt idx="264">
                  <c:v>8075244.8234999999</c:v>
                </c:pt>
                <c:pt idx="265">
                  <c:v>8075244.8234999999</c:v>
                </c:pt>
                <c:pt idx="266">
                  <c:v>8075244.8234999999</c:v>
                </c:pt>
                <c:pt idx="267">
                  <c:v>8075244.8234999999</c:v>
                </c:pt>
                <c:pt idx="268">
                  <c:v>8075244.8234999999</c:v>
                </c:pt>
                <c:pt idx="269">
                  <c:v>8075244.8234999999</c:v>
                </c:pt>
                <c:pt idx="270">
                  <c:v>8075244.8234999999</c:v>
                </c:pt>
                <c:pt idx="271">
                  <c:v>8075244.8234999999</c:v>
                </c:pt>
                <c:pt idx="272">
                  <c:v>8075244.8234999999</c:v>
                </c:pt>
                <c:pt idx="273">
                  <c:v>8075244.8234999999</c:v>
                </c:pt>
                <c:pt idx="274">
                  <c:v>8075244.8234999999</c:v>
                </c:pt>
                <c:pt idx="275">
                  <c:v>8075244.8234999999</c:v>
                </c:pt>
                <c:pt idx="276">
                  <c:v>8075244.8234999999</c:v>
                </c:pt>
                <c:pt idx="277">
                  <c:v>8075244.8234999999</c:v>
                </c:pt>
                <c:pt idx="278">
                  <c:v>8075244.8234999999</c:v>
                </c:pt>
                <c:pt idx="279">
                  <c:v>8075244.8234999999</c:v>
                </c:pt>
                <c:pt idx="280">
                  <c:v>8075244.8234999999</c:v>
                </c:pt>
                <c:pt idx="281">
                  <c:v>8075244.8234999999</c:v>
                </c:pt>
                <c:pt idx="282">
                  <c:v>8075244.8234999999</c:v>
                </c:pt>
                <c:pt idx="283">
                  <c:v>8075244.8234999999</c:v>
                </c:pt>
                <c:pt idx="284">
                  <c:v>8075244.8234999999</c:v>
                </c:pt>
                <c:pt idx="285">
                  <c:v>8075244.8234999999</c:v>
                </c:pt>
                <c:pt idx="286">
                  <c:v>8075244.8234999999</c:v>
                </c:pt>
                <c:pt idx="287">
                  <c:v>8075244.8234999999</c:v>
                </c:pt>
                <c:pt idx="288">
                  <c:v>8075244.8234999999</c:v>
                </c:pt>
                <c:pt idx="289">
                  <c:v>8075244.8234999999</c:v>
                </c:pt>
                <c:pt idx="290">
                  <c:v>8075244.8234999999</c:v>
                </c:pt>
                <c:pt idx="291">
                  <c:v>8075244.8234999999</c:v>
                </c:pt>
                <c:pt idx="292">
                  <c:v>8075244.8234999999</c:v>
                </c:pt>
                <c:pt idx="293">
                  <c:v>8075244.8234999999</c:v>
                </c:pt>
                <c:pt idx="294">
                  <c:v>8075244.8234999999</c:v>
                </c:pt>
                <c:pt idx="295">
                  <c:v>8075244.8234999999</c:v>
                </c:pt>
                <c:pt idx="296">
                  <c:v>8075244.8234999999</c:v>
                </c:pt>
                <c:pt idx="297">
                  <c:v>8075244.8234999999</c:v>
                </c:pt>
                <c:pt idx="298">
                  <c:v>8075244.8234999999</c:v>
                </c:pt>
                <c:pt idx="299">
                  <c:v>8075244.8234999999</c:v>
                </c:pt>
                <c:pt idx="300">
                  <c:v>8075244.8234999999</c:v>
                </c:pt>
                <c:pt idx="301">
                  <c:v>8075244.8234999999</c:v>
                </c:pt>
                <c:pt idx="302">
                  <c:v>8075244.8234999999</c:v>
                </c:pt>
                <c:pt idx="303">
                  <c:v>8075244.8234999999</c:v>
                </c:pt>
                <c:pt idx="304">
                  <c:v>8075244.8234999999</c:v>
                </c:pt>
                <c:pt idx="305">
                  <c:v>8075244.8234999999</c:v>
                </c:pt>
                <c:pt idx="306">
                  <c:v>8075244.8234999999</c:v>
                </c:pt>
                <c:pt idx="307">
                  <c:v>8075244.8234999999</c:v>
                </c:pt>
                <c:pt idx="308">
                  <c:v>8075244.8234999999</c:v>
                </c:pt>
                <c:pt idx="309">
                  <c:v>8075244.8234999999</c:v>
                </c:pt>
                <c:pt idx="310">
                  <c:v>8075244.8234999999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4599051.6866521733</c:v>
                </c:pt>
                <c:pt idx="55">
                  <c:v>4599051.6866521733</c:v>
                </c:pt>
                <c:pt idx="56">
                  <c:v>4599051.6866521733</c:v>
                </c:pt>
                <c:pt idx="57">
                  <c:v>3923909.088152173</c:v>
                </c:pt>
                <c:pt idx="58">
                  <c:v>3810613.1381521728</c:v>
                </c:pt>
                <c:pt idx="59">
                  <c:v>3641839.213152173</c:v>
                </c:pt>
                <c:pt idx="60">
                  <c:v>3641839.213152173</c:v>
                </c:pt>
                <c:pt idx="61">
                  <c:v>3641839.213152173</c:v>
                </c:pt>
                <c:pt idx="62">
                  <c:v>3549256.7981521729</c:v>
                </c:pt>
                <c:pt idx="63">
                  <c:v>3546555.7981521729</c:v>
                </c:pt>
                <c:pt idx="64">
                  <c:v>3546555.7981521729</c:v>
                </c:pt>
                <c:pt idx="65">
                  <c:v>3546555.7981521729</c:v>
                </c:pt>
                <c:pt idx="66">
                  <c:v>3546555.7981521729</c:v>
                </c:pt>
                <c:pt idx="67">
                  <c:v>3546555.7981521729</c:v>
                </c:pt>
                <c:pt idx="68">
                  <c:v>3546555.7981521729</c:v>
                </c:pt>
                <c:pt idx="69">
                  <c:v>3546555.7981521729</c:v>
                </c:pt>
                <c:pt idx="70">
                  <c:v>3546555.7981521729</c:v>
                </c:pt>
                <c:pt idx="71">
                  <c:v>3546555.7981521729</c:v>
                </c:pt>
                <c:pt idx="72">
                  <c:v>3546555.7981521729</c:v>
                </c:pt>
                <c:pt idx="73">
                  <c:v>3546555.7981521729</c:v>
                </c:pt>
                <c:pt idx="74">
                  <c:v>3546555.7981521729</c:v>
                </c:pt>
                <c:pt idx="75">
                  <c:v>3546555.7981521729</c:v>
                </c:pt>
                <c:pt idx="76">
                  <c:v>3546555.7981521729</c:v>
                </c:pt>
                <c:pt idx="77">
                  <c:v>3546555.7981521729</c:v>
                </c:pt>
                <c:pt idx="78">
                  <c:v>3546555.7981521729</c:v>
                </c:pt>
                <c:pt idx="79">
                  <c:v>3546555.7981521729</c:v>
                </c:pt>
                <c:pt idx="80">
                  <c:v>3546555.7981521729</c:v>
                </c:pt>
                <c:pt idx="81">
                  <c:v>3546555.7981521729</c:v>
                </c:pt>
                <c:pt idx="82">
                  <c:v>3546555.7981521729</c:v>
                </c:pt>
                <c:pt idx="83">
                  <c:v>3546555.7981521729</c:v>
                </c:pt>
                <c:pt idx="84">
                  <c:v>3546555.7981521729</c:v>
                </c:pt>
                <c:pt idx="85">
                  <c:v>3546555.7981521729</c:v>
                </c:pt>
                <c:pt idx="86">
                  <c:v>3546555.7981521729</c:v>
                </c:pt>
                <c:pt idx="87">
                  <c:v>3546555.7981521729</c:v>
                </c:pt>
                <c:pt idx="88">
                  <c:v>3546555.7981521729</c:v>
                </c:pt>
                <c:pt idx="89">
                  <c:v>3546555.7981521729</c:v>
                </c:pt>
                <c:pt idx="90">
                  <c:v>3546555.7981521729</c:v>
                </c:pt>
                <c:pt idx="91">
                  <c:v>3546555.7981521729</c:v>
                </c:pt>
                <c:pt idx="92">
                  <c:v>3546555.7981521729</c:v>
                </c:pt>
                <c:pt idx="93">
                  <c:v>3546555.7981521729</c:v>
                </c:pt>
                <c:pt idx="94">
                  <c:v>3546555.7981521729</c:v>
                </c:pt>
                <c:pt idx="95">
                  <c:v>3546555.7981521729</c:v>
                </c:pt>
                <c:pt idx="96">
                  <c:v>3546555.7981521729</c:v>
                </c:pt>
                <c:pt idx="97">
                  <c:v>3546555.7981521729</c:v>
                </c:pt>
                <c:pt idx="98">
                  <c:v>3546555.7981521729</c:v>
                </c:pt>
                <c:pt idx="99">
                  <c:v>3546555.7981521729</c:v>
                </c:pt>
                <c:pt idx="100">
                  <c:v>3546555.7981521729</c:v>
                </c:pt>
                <c:pt idx="101">
                  <c:v>3546555.7981521729</c:v>
                </c:pt>
                <c:pt idx="102">
                  <c:v>3546555.7981521729</c:v>
                </c:pt>
                <c:pt idx="103">
                  <c:v>3546555.7981521729</c:v>
                </c:pt>
                <c:pt idx="104">
                  <c:v>3546555.7981521729</c:v>
                </c:pt>
                <c:pt idx="105">
                  <c:v>3546555.7981521729</c:v>
                </c:pt>
                <c:pt idx="106">
                  <c:v>3546555.7981521729</c:v>
                </c:pt>
                <c:pt idx="107">
                  <c:v>3546555.7981521729</c:v>
                </c:pt>
                <c:pt idx="108">
                  <c:v>3546555.7981521729</c:v>
                </c:pt>
                <c:pt idx="109">
                  <c:v>3546555.7981521729</c:v>
                </c:pt>
                <c:pt idx="110">
                  <c:v>3546555.7981521729</c:v>
                </c:pt>
                <c:pt idx="111">
                  <c:v>3546555.7981521729</c:v>
                </c:pt>
                <c:pt idx="112">
                  <c:v>3546555.7981521729</c:v>
                </c:pt>
                <c:pt idx="113">
                  <c:v>3546555.7981521729</c:v>
                </c:pt>
                <c:pt idx="114">
                  <c:v>3546555.7981521729</c:v>
                </c:pt>
                <c:pt idx="115">
                  <c:v>3546555.7981521729</c:v>
                </c:pt>
                <c:pt idx="116">
                  <c:v>3546555.7981521729</c:v>
                </c:pt>
                <c:pt idx="117">
                  <c:v>3546555.7981521729</c:v>
                </c:pt>
                <c:pt idx="118">
                  <c:v>3546555.7981521729</c:v>
                </c:pt>
                <c:pt idx="119">
                  <c:v>3546555.7981521729</c:v>
                </c:pt>
                <c:pt idx="120">
                  <c:v>3546555.7981521729</c:v>
                </c:pt>
                <c:pt idx="121">
                  <c:v>3546555.7981521729</c:v>
                </c:pt>
                <c:pt idx="122">
                  <c:v>3546555.7981521729</c:v>
                </c:pt>
                <c:pt idx="123">
                  <c:v>3546555.7981521729</c:v>
                </c:pt>
                <c:pt idx="124">
                  <c:v>3546555.7981521729</c:v>
                </c:pt>
                <c:pt idx="125">
                  <c:v>3546555.7981521729</c:v>
                </c:pt>
                <c:pt idx="126">
                  <c:v>3546555.7981521729</c:v>
                </c:pt>
                <c:pt idx="127">
                  <c:v>3546555.7981521729</c:v>
                </c:pt>
                <c:pt idx="128">
                  <c:v>3546555.7981521729</c:v>
                </c:pt>
                <c:pt idx="129">
                  <c:v>3546555.7981521729</c:v>
                </c:pt>
                <c:pt idx="130">
                  <c:v>3546555.7981521729</c:v>
                </c:pt>
                <c:pt idx="131">
                  <c:v>3546555.7981521729</c:v>
                </c:pt>
                <c:pt idx="132">
                  <c:v>3546555.7981521729</c:v>
                </c:pt>
                <c:pt idx="133">
                  <c:v>3546555.7981521729</c:v>
                </c:pt>
                <c:pt idx="134">
                  <c:v>3546555.7981521729</c:v>
                </c:pt>
                <c:pt idx="135">
                  <c:v>3546555.7981521729</c:v>
                </c:pt>
                <c:pt idx="136">
                  <c:v>3546555.7981521729</c:v>
                </c:pt>
                <c:pt idx="137">
                  <c:v>3546555.7981521729</c:v>
                </c:pt>
                <c:pt idx="138">
                  <c:v>3546555.7981521729</c:v>
                </c:pt>
                <c:pt idx="139">
                  <c:v>3546555.7981521729</c:v>
                </c:pt>
                <c:pt idx="140">
                  <c:v>3546555.7981521729</c:v>
                </c:pt>
                <c:pt idx="141">
                  <c:v>3546555.7981521729</c:v>
                </c:pt>
                <c:pt idx="142">
                  <c:v>3546555.7981521729</c:v>
                </c:pt>
                <c:pt idx="143">
                  <c:v>3546555.7981521729</c:v>
                </c:pt>
                <c:pt idx="144">
                  <c:v>3546555.7981521729</c:v>
                </c:pt>
                <c:pt idx="145">
                  <c:v>3546555.7981521729</c:v>
                </c:pt>
                <c:pt idx="146">
                  <c:v>3546555.7981521729</c:v>
                </c:pt>
                <c:pt idx="147">
                  <c:v>3546555.7981521729</c:v>
                </c:pt>
                <c:pt idx="148">
                  <c:v>3546555.7981521729</c:v>
                </c:pt>
                <c:pt idx="149">
                  <c:v>3546555.7981521729</c:v>
                </c:pt>
                <c:pt idx="150">
                  <c:v>3546555.7981521729</c:v>
                </c:pt>
                <c:pt idx="151">
                  <c:v>3546555.7981521729</c:v>
                </c:pt>
                <c:pt idx="152">
                  <c:v>3546555.7981521729</c:v>
                </c:pt>
                <c:pt idx="153">
                  <c:v>3546555.7981521729</c:v>
                </c:pt>
                <c:pt idx="154">
                  <c:v>3546555.7981521729</c:v>
                </c:pt>
                <c:pt idx="155">
                  <c:v>3546555.7981521729</c:v>
                </c:pt>
                <c:pt idx="156">
                  <c:v>3546555.7981521729</c:v>
                </c:pt>
                <c:pt idx="157">
                  <c:v>3546555.7981521729</c:v>
                </c:pt>
                <c:pt idx="158">
                  <c:v>3546555.7981521729</c:v>
                </c:pt>
                <c:pt idx="159">
                  <c:v>3546555.7981521729</c:v>
                </c:pt>
                <c:pt idx="160">
                  <c:v>3546555.7981521729</c:v>
                </c:pt>
                <c:pt idx="161">
                  <c:v>3546555.7981521729</c:v>
                </c:pt>
                <c:pt idx="162">
                  <c:v>3546555.7981521729</c:v>
                </c:pt>
                <c:pt idx="163">
                  <c:v>3546555.7981521729</c:v>
                </c:pt>
                <c:pt idx="164">
                  <c:v>3546555.7981521729</c:v>
                </c:pt>
                <c:pt idx="165">
                  <c:v>3546555.7981521729</c:v>
                </c:pt>
                <c:pt idx="166">
                  <c:v>3546555.7981521729</c:v>
                </c:pt>
                <c:pt idx="167">
                  <c:v>3546555.7981521729</c:v>
                </c:pt>
                <c:pt idx="168">
                  <c:v>3546555.7981521729</c:v>
                </c:pt>
                <c:pt idx="169">
                  <c:v>3546555.7981521729</c:v>
                </c:pt>
                <c:pt idx="170">
                  <c:v>3546555.7981521729</c:v>
                </c:pt>
                <c:pt idx="171">
                  <c:v>3546555.7981521729</c:v>
                </c:pt>
                <c:pt idx="172">
                  <c:v>3546555.7981521729</c:v>
                </c:pt>
                <c:pt idx="173">
                  <c:v>3546555.7981521729</c:v>
                </c:pt>
                <c:pt idx="174">
                  <c:v>3546555.7981521729</c:v>
                </c:pt>
                <c:pt idx="175">
                  <c:v>3546555.7981521729</c:v>
                </c:pt>
                <c:pt idx="176">
                  <c:v>3546555.7981521729</c:v>
                </c:pt>
                <c:pt idx="177">
                  <c:v>3546555.7981521729</c:v>
                </c:pt>
                <c:pt idx="178">
                  <c:v>3546555.7981521729</c:v>
                </c:pt>
                <c:pt idx="179">
                  <c:v>3546555.7981521729</c:v>
                </c:pt>
                <c:pt idx="180">
                  <c:v>3546555.7981521729</c:v>
                </c:pt>
                <c:pt idx="181">
                  <c:v>3546555.7981521729</c:v>
                </c:pt>
                <c:pt idx="182">
                  <c:v>3546555.7981521729</c:v>
                </c:pt>
                <c:pt idx="183">
                  <c:v>3546555.7981521729</c:v>
                </c:pt>
                <c:pt idx="184">
                  <c:v>3546555.7981521729</c:v>
                </c:pt>
                <c:pt idx="185">
                  <c:v>3546555.7981521729</c:v>
                </c:pt>
                <c:pt idx="186">
                  <c:v>3546555.7981521729</c:v>
                </c:pt>
                <c:pt idx="187">
                  <c:v>3546555.7981521729</c:v>
                </c:pt>
                <c:pt idx="188">
                  <c:v>3546555.7981521729</c:v>
                </c:pt>
                <c:pt idx="189">
                  <c:v>3546555.7981521729</c:v>
                </c:pt>
                <c:pt idx="190">
                  <c:v>3546555.7981521729</c:v>
                </c:pt>
                <c:pt idx="191">
                  <c:v>3546555.7981521729</c:v>
                </c:pt>
                <c:pt idx="192">
                  <c:v>3546555.7981521729</c:v>
                </c:pt>
                <c:pt idx="193">
                  <c:v>3546555.7981521729</c:v>
                </c:pt>
                <c:pt idx="194">
                  <c:v>3546555.7981521729</c:v>
                </c:pt>
                <c:pt idx="195">
                  <c:v>3546555.7981521729</c:v>
                </c:pt>
                <c:pt idx="196">
                  <c:v>3546555.7981521729</c:v>
                </c:pt>
                <c:pt idx="197">
                  <c:v>3546555.7981521729</c:v>
                </c:pt>
                <c:pt idx="198">
                  <c:v>3546555.7981521729</c:v>
                </c:pt>
                <c:pt idx="199">
                  <c:v>3546555.7981521729</c:v>
                </c:pt>
                <c:pt idx="200">
                  <c:v>3546555.7981521729</c:v>
                </c:pt>
                <c:pt idx="201">
                  <c:v>3546555.7981521729</c:v>
                </c:pt>
                <c:pt idx="202">
                  <c:v>3546555.7981521729</c:v>
                </c:pt>
                <c:pt idx="203">
                  <c:v>3546555.7981521729</c:v>
                </c:pt>
                <c:pt idx="204">
                  <c:v>3546555.7981521729</c:v>
                </c:pt>
                <c:pt idx="205">
                  <c:v>3546555.7981521729</c:v>
                </c:pt>
                <c:pt idx="206">
                  <c:v>3546555.7981521729</c:v>
                </c:pt>
                <c:pt idx="207">
                  <c:v>3546555.7981521729</c:v>
                </c:pt>
                <c:pt idx="208">
                  <c:v>3546555.7981521729</c:v>
                </c:pt>
                <c:pt idx="209">
                  <c:v>3546555.7981521729</c:v>
                </c:pt>
                <c:pt idx="210">
                  <c:v>3546555.7981521729</c:v>
                </c:pt>
                <c:pt idx="211">
                  <c:v>3546555.7981521729</c:v>
                </c:pt>
                <c:pt idx="212">
                  <c:v>3546555.7981521729</c:v>
                </c:pt>
                <c:pt idx="213">
                  <c:v>3546555.7981521729</c:v>
                </c:pt>
                <c:pt idx="214">
                  <c:v>3546555.7981521729</c:v>
                </c:pt>
                <c:pt idx="215">
                  <c:v>3546555.7981521729</c:v>
                </c:pt>
                <c:pt idx="216">
                  <c:v>3546555.7981521729</c:v>
                </c:pt>
                <c:pt idx="217">
                  <c:v>3546555.7981521729</c:v>
                </c:pt>
                <c:pt idx="218">
                  <c:v>3546555.7981521729</c:v>
                </c:pt>
                <c:pt idx="219">
                  <c:v>3546555.7981521729</c:v>
                </c:pt>
                <c:pt idx="220">
                  <c:v>3546555.7981521729</c:v>
                </c:pt>
                <c:pt idx="221">
                  <c:v>3546555.7981521729</c:v>
                </c:pt>
                <c:pt idx="222">
                  <c:v>3546555.7981521729</c:v>
                </c:pt>
                <c:pt idx="223">
                  <c:v>3546555.7981521729</c:v>
                </c:pt>
                <c:pt idx="224">
                  <c:v>3546555.7981521729</c:v>
                </c:pt>
                <c:pt idx="225">
                  <c:v>3546555.7981521729</c:v>
                </c:pt>
                <c:pt idx="226">
                  <c:v>3546555.7981521729</c:v>
                </c:pt>
                <c:pt idx="227">
                  <c:v>3546555.7981521729</c:v>
                </c:pt>
                <c:pt idx="228">
                  <c:v>3546555.7981521729</c:v>
                </c:pt>
                <c:pt idx="229">
                  <c:v>3546555.7981521729</c:v>
                </c:pt>
                <c:pt idx="230">
                  <c:v>3546555.7981521729</c:v>
                </c:pt>
                <c:pt idx="231">
                  <c:v>3546555.7981521729</c:v>
                </c:pt>
                <c:pt idx="232">
                  <c:v>3546555.7981521729</c:v>
                </c:pt>
                <c:pt idx="233">
                  <c:v>3546555.7981521729</c:v>
                </c:pt>
                <c:pt idx="234">
                  <c:v>3546555.7981521729</c:v>
                </c:pt>
                <c:pt idx="235">
                  <c:v>3546555.7981521729</c:v>
                </c:pt>
                <c:pt idx="236">
                  <c:v>3546555.7981521729</c:v>
                </c:pt>
                <c:pt idx="237">
                  <c:v>3546555.7981521729</c:v>
                </c:pt>
                <c:pt idx="238">
                  <c:v>3546555.7981521729</c:v>
                </c:pt>
                <c:pt idx="239">
                  <c:v>3546555.7981521729</c:v>
                </c:pt>
                <c:pt idx="240">
                  <c:v>3546555.7981521729</c:v>
                </c:pt>
                <c:pt idx="241">
                  <c:v>3546555.7981521729</c:v>
                </c:pt>
                <c:pt idx="242">
                  <c:v>3546555.7981521729</c:v>
                </c:pt>
                <c:pt idx="243">
                  <c:v>3546555.7981521729</c:v>
                </c:pt>
                <c:pt idx="244">
                  <c:v>3546555.7981521729</c:v>
                </c:pt>
                <c:pt idx="245">
                  <c:v>3546555.7981521729</c:v>
                </c:pt>
                <c:pt idx="246">
                  <c:v>3546555.7981521729</c:v>
                </c:pt>
                <c:pt idx="247">
                  <c:v>3546555.7981521729</c:v>
                </c:pt>
                <c:pt idx="248">
                  <c:v>3546555.7981521729</c:v>
                </c:pt>
                <c:pt idx="249">
                  <c:v>3546555.7981521729</c:v>
                </c:pt>
                <c:pt idx="250">
                  <c:v>3546555.7981521729</c:v>
                </c:pt>
                <c:pt idx="251">
                  <c:v>3546555.7981521729</c:v>
                </c:pt>
                <c:pt idx="252">
                  <c:v>3546555.7981521729</c:v>
                </c:pt>
                <c:pt idx="253">
                  <c:v>3546555.7981521729</c:v>
                </c:pt>
                <c:pt idx="254">
                  <c:v>3546555.7981521729</c:v>
                </c:pt>
                <c:pt idx="255">
                  <c:v>3546555.7981521729</c:v>
                </c:pt>
                <c:pt idx="256">
                  <c:v>3546555.7981521729</c:v>
                </c:pt>
                <c:pt idx="257">
                  <c:v>3546555.7981521729</c:v>
                </c:pt>
                <c:pt idx="258">
                  <c:v>3546555.7981521729</c:v>
                </c:pt>
                <c:pt idx="259">
                  <c:v>3546555.7981521729</c:v>
                </c:pt>
                <c:pt idx="260">
                  <c:v>3546555.7981521729</c:v>
                </c:pt>
                <c:pt idx="261">
                  <c:v>3546555.7981521729</c:v>
                </c:pt>
                <c:pt idx="262">
                  <c:v>3546555.7981521729</c:v>
                </c:pt>
                <c:pt idx="263">
                  <c:v>3546555.7981521729</c:v>
                </c:pt>
                <c:pt idx="264">
                  <c:v>3546555.7981521729</c:v>
                </c:pt>
                <c:pt idx="265">
                  <c:v>3546555.7981521729</c:v>
                </c:pt>
                <c:pt idx="266">
                  <c:v>3546555.7981521729</c:v>
                </c:pt>
                <c:pt idx="267">
                  <c:v>3546555.7981521729</c:v>
                </c:pt>
                <c:pt idx="268">
                  <c:v>3546555.7981521729</c:v>
                </c:pt>
                <c:pt idx="269">
                  <c:v>3546555.7981521729</c:v>
                </c:pt>
                <c:pt idx="270">
                  <c:v>3546555.7981521729</c:v>
                </c:pt>
                <c:pt idx="271">
                  <c:v>3546555.7981521729</c:v>
                </c:pt>
                <c:pt idx="272">
                  <c:v>3546555.7981521729</c:v>
                </c:pt>
                <c:pt idx="273">
                  <c:v>3546555.7981521729</c:v>
                </c:pt>
                <c:pt idx="274">
                  <c:v>3546555.7981521729</c:v>
                </c:pt>
                <c:pt idx="275">
                  <c:v>3546555.7981521729</c:v>
                </c:pt>
                <c:pt idx="276">
                  <c:v>3546555.7981521729</c:v>
                </c:pt>
                <c:pt idx="277">
                  <c:v>3546555.7981521729</c:v>
                </c:pt>
                <c:pt idx="278">
                  <c:v>3546555.7981521729</c:v>
                </c:pt>
                <c:pt idx="279">
                  <c:v>3546555.7981521729</c:v>
                </c:pt>
                <c:pt idx="280">
                  <c:v>3546555.7981521729</c:v>
                </c:pt>
                <c:pt idx="281">
                  <c:v>3546555.7981521729</c:v>
                </c:pt>
                <c:pt idx="282">
                  <c:v>3546555.7981521729</c:v>
                </c:pt>
                <c:pt idx="283">
                  <c:v>3546555.7981521729</c:v>
                </c:pt>
                <c:pt idx="284">
                  <c:v>3546555.7981521729</c:v>
                </c:pt>
                <c:pt idx="285">
                  <c:v>3546555.7981521729</c:v>
                </c:pt>
                <c:pt idx="286">
                  <c:v>3546555.7981521729</c:v>
                </c:pt>
                <c:pt idx="287">
                  <c:v>3546555.7981521729</c:v>
                </c:pt>
                <c:pt idx="288">
                  <c:v>3546555.7981521729</c:v>
                </c:pt>
                <c:pt idx="289">
                  <c:v>3546555.7981521729</c:v>
                </c:pt>
                <c:pt idx="290">
                  <c:v>3546555.7981521729</c:v>
                </c:pt>
                <c:pt idx="291">
                  <c:v>3546555.7981521729</c:v>
                </c:pt>
                <c:pt idx="292">
                  <c:v>3546555.7981521729</c:v>
                </c:pt>
                <c:pt idx="293">
                  <c:v>3546555.7981521729</c:v>
                </c:pt>
                <c:pt idx="294">
                  <c:v>3546555.7981521729</c:v>
                </c:pt>
                <c:pt idx="295">
                  <c:v>3546555.7981521729</c:v>
                </c:pt>
                <c:pt idx="296">
                  <c:v>3546555.7981521729</c:v>
                </c:pt>
                <c:pt idx="297">
                  <c:v>3546555.7981521729</c:v>
                </c:pt>
                <c:pt idx="298">
                  <c:v>3546555.7981521729</c:v>
                </c:pt>
                <c:pt idx="299">
                  <c:v>3546555.7981521729</c:v>
                </c:pt>
                <c:pt idx="300">
                  <c:v>3546555.7981521729</c:v>
                </c:pt>
                <c:pt idx="301">
                  <c:v>3546555.7981521729</c:v>
                </c:pt>
                <c:pt idx="302">
                  <c:v>3546555.7981521729</c:v>
                </c:pt>
                <c:pt idx="303">
                  <c:v>3546555.7981521729</c:v>
                </c:pt>
                <c:pt idx="304">
                  <c:v>3546555.7981521729</c:v>
                </c:pt>
                <c:pt idx="305">
                  <c:v>3546555.7981521729</c:v>
                </c:pt>
                <c:pt idx="306">
                  <c:v>3546555.7981521729</c:v>
                </c:pt>
                <c:pt idx="307">
                  <c:v>3546555.7981521729</c:v>
                </c:pt>
                <c:pt idx="308">
                  <c:v>3546555.7981521729</c:v>
                </c:pt>
                <c:pt idx="309">
                  <c:v>3546555.7981521729</c:v>
                </c:pt>
                <c:pt idx="310">
                  <c:v>3546555.7981521729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8011333.7802976361</c:v>
                </c:pt>
                <c:pt idx="54">
                  <c:v>8011333.7802976361</c:v>
                </c:pt>
                <c:pt idx="55">
                  <c:v>8011333.7802976361</c:v>
                </c:pt>
                <c:pt idx="56">
                  <c:v>8011333.7802976361</c:v>
                </c:pt>
                <c:pt idx="57">
                  <c:v>8632645.2302115336</c:v>
                </c:pt>
                <c:pt idx="58">
                  <c:v>8632645.2302115336</c:v>
                </c:pt>
                <c:pt idx="59">
                  <c:v>8632645.2302115336</c:v>
                </c:pt>
                <c:pt idx="60">
                  <c:v>8632645.2302115336</c:v>
                </c:pt>
                <c:pt idx="61">
                  <c:v>8632645.2302115336</c:v>
                </c:pt>
                <c:pt idx="62">
                  <c:v>8632645.2302115336</c:v>
                </c:pt>
                <c:pt idx="63">
                  <c:v>8632645.2302115336</c:v>
                </c:pt>
                <c:pt idx="64">
                  <c:v>8632645.2302115336</c:v>
                </c:pt>
                <c:pt idx="65">
                  <c:v>8632645.2302115336</c:v>
                </c:pt>
                <c:pt idx="66">
                  <c:v>8632645.2302115336</c:v>
                </c:pt>
                <c:pt idx="67">
                  <c:v>8632645.2302115336</c:v>
                </c:pt>
                <c:pt idx="68">
                  <c:v>8632645.2302115336</c:v>
                </c:pt>
                <c:pt idx="69">
                  <c:v>8632645.2302115336</c:v>
                </c:pt>
                <c:pt idx="70">
                  <c:v>8632645.2302115336</c:v>
                </c:pt>
                <c:pt idx="71">
                  <c:v>8632645.2302115336</c:v>
                </c:pt>
                <c:pt idx="72">
                  <c:v>8632645.2302115336</c:v>
                </c:pt>
                <c:pt idx="73">
                  <c:v>8632645.2302115336</c:v>
                </c:pt>
                <c:pt idx="74">
                  <c:v>8632645.2302115336</c:v>
                </c:pt>
                <c:pt idx="75">
                  <c:v>8632645.2302115336</c:v>
                </c:pt>
                <c:pt idx="76">
                  <c:v>8632645.2302115336</c:v>
                </c:pt>
                <c:pt idx="77">
                  <c:v>8632645.2302115336</c:v>
                </c:pt>
                <c:pt idx="78">
                  <c:v>8632645.2302115336</c:v>
                </c:pt>
                <c:pt idx="79">
                  <c:v>8632645.2302115336</c:v>
                </c:pt>
                <c:pt idx="80">
                  <c:v>8632645.2302115336</c:v>
                </c:pt>
                <c:pt idx="81">
                  <c:v>8632645.2302115336</c:v>
                </c:pt>
                <c:pt idx="82">
                  <c:v>8632645.2302115336</c:v>
                </c:pt>
                <c:pt idx="83">
                  <c:v>8632645.2302115336</c:v>
                </c:pt>
                <c:pt idx="84">
                  <c:v>8632645.2302115336</c:v>
                </c:pt>
                <c:pt idx="85">
                  <c:v>8632645.2302115336</c:v>
                </c:pt>
                <c:pt idx="86">
                  <c:v>8632645.2302115336</c:v>
                </c:pt>
                <c:pt idx="87">
                  <c:v>8632645.2302115336</c:v>
                </c:pt>
                <c:pt idx="88">
                  <c:v>8632645.2302115336</c:v>
                </c:pt>
                <c:pt idx="89">
                  <c:v>8632645.2302115336</c:v>
                </c:pt>
                <c:pt idx="90">
                  <c:v>8632645.2302115336</c:v>
                </c:pt>
                <c:pt idx="91">
                  <c:v>8632645.2302115336</c:v>
                </c:pt>
                <c:pt idx="92">
                  <c:v>8632645.2302115336</c:v>
                </c:pt>
                <c:pt idx="93">
                  <c:v>8632645.2302115336</c:v>
                </c:pt>
                <c:pt idx="94">
                  <c:v>8632645.2302115336</c:v>
                </c:pt>
                <c:pt idx="95">
                  <c:v>8632645.2302115336</c:v>
                </c:pt>
                <c:pt idx="96">
                  <c:v>8632645.2302115336</c:v>
                </c:pt>
                <c:pt idx="97">
                  <c:v>8632645.2302115336</c:v>
                </c:pt>
                <c:pt idx="98">
                  <c:v>8632645.2302115336</c:v>
                </c:pt>
                <c:pt idx="99">
                  <c:v>8632645.2302115336</c:v>
                </c:pt>
                <c:pt idx="100">
                  <c:v>8632645.2302115336</c:v>
                </c:pt>
                <c:pt idx="101">
                  <c:v>8632645.2302115336</c:v>
                </c:pt>
                <c:pt idx="102">
                  <c:v>8632645.2302115336</c:v>
                </c:pt>
                <c:pt idx="103">
                  <c:v>8632645.2302115336</c:v>
                </c:pt>
                <c:pt idx="104">
                  <c:v>8632645.2302115336</c:v>
                </c:pt>
                <c:pt idx="105">
                  <c:v>8632645.2302115336</c:v>
                </c:pt>
                <c:pt idx="106">
                  <c:v>8632645.2302115336</c:v>
                </c:pt>
                <c:pt idx="107">
                  <c:v>8632645.2302115336</c:v>
                </c:pt>
                <c:pt idx="108">
                  <c:v>8632645.2302115336</c:v>
                </c:pt>
                <c:pt idx="109">
                  <c:v>8632645.2302115336</c:v>
                </c:pt>
                <c:pt idx="110">
                  <c:v>8632645.2302115336</c:v>
                </c:pt>
                <c:pt idx="111">
                  <c:v>8632645.2302115336</c:v>
                </c:pt>
                <c:pt idx="112">
                  <c:v>8632645.2302115336</c:v>
                </c:pt>
                <c:pt idx="113">
                  <c:v>8632645.2302115336</c:v>
                </c:pt>
                <c:pt idx="114">
                  <c:v>8632645.2302115336</c:v>
                </c:pt>
                <c:pt idx="115">
                  <c:v>8632645.2302115336</c:v>
                </c:pt>
                <c:pt idx="116">
                  <c:v>8632645.2302115336</c:v>
                </c:pt>
                <c:pt idx="117">
                  <c:v>8632645.2302115336</c:v>
                </c:pt>
                <c:pt idx="118">
                  <c:v>8632645.2302115336</c:v>
                </c:pt>
                <c:pt idx="119">
                  <c:v>8632645.2302115336</c:v>
                </c:pt>
                <c:pt idx="120">
                  <c:v>8632645.2302115336</c:v>
                </c:pt>
                <c:pt idx="121">
                  <c:v>8632645.2302115336</c:v>
                </c:pt>
                <c:pt idx="122">
                  <c:v>8632645.2302115336</c:v>
                </c:pt>
                <c:pt idx="123">
                  <c:v>8632645.2302115336</c:v>
                </c:pt>
                <c:pt idx="124">
                  <c:v>8632645.2302115336</c:v>
                </c:pt>
                <c:pt idx="125">
                  <c:v>8632645.2302115336</c:v>
                </c:pt>
                <c:pt idx="126">
                  <c:v>8632645.2302115336</c:v>
                </c:pt>
                <c:pt idx="127">
                  <c:v>8632645.2302115336</c:v>
                </c:pt>
                <c:pt idx="128">
                  <c:v>8632645.2302115336</c:v>
                </c:pt>
                <c:pt idx="129">
                  <c:v>8632645.2302115336</c:v>
                </c:pt>
                <c:pt idx="130">
                  <c:v>8632645.2302115336</c:v>
                </c:pt>
                <c:pt idx="131">
                  <c:v>8632645.2302115336</c:v>
                </c:pt>
                <c:pt idx="132">
                  <c:v>8632645.2302115336</c:v>
                </c:pt>
                <c:pt idx="133">
                  <c:v>8632645.2302115336</c:v>
                </c:pt>
                <c:pt idx="134">
                  <c:v>8632645.2302115336</c:v>
                </c:pt>
                <c:pt idx="135">
                  <c:v>8632645.2302115336</c:v>
                </c:pt>
                <c:pt idx="136">
                  <c:v>8632645.2302115336</c:v>
                </c:pt>
                <c:pt idx="137">
                  <c:v>8632645.2302115336</c:v>
                </c:pt>
                <c:pt idx="138">
                  <c:v>8632645.2302115336</c:v>
                </c:pt>
                <c:pt idx="139">
                  <c:v>8632645.2302115336</c:v>
                </c:pt>
                <c:pt idx="140">
                  <c:v>8632645.2302115336</c:v>
                </c:pt>
                <c:pt idx="141">
                  <c:v>8632645.2302115336</c:v>
                </c:pt>
                <c:pt idx="142">
                  <c:v>8632645.2302115336</c:v>
                </c:pt>
                <c:pt idx="143">
                  <c:v>8632645.2302115336</c:v>
                </c:pt>
                <c:pt idx="144">
                  <c:v>8632645.2302115336</c:v>
                </c:pt>
                <c:pt idx="145">
                  <c:v>8632645.2302115336</c:v>
                </c:pt>
                <c:pt idx="146">
                  <c:v>8632645.2302115336</c:v>
                </c:pt>
                <c:pt idx="147">
                  <c:v>8632645.2302115336</c:v>
                </c:pt>
                <c:pt idx="148">
                  <c:v>8632645.2302115336</c:v>
                </c:pt>
                <c:pt idx="149">
                  <c:v>8632645.2302115336</c:v>
                </c:pt>
                <c:pt idx="150">
                  <c:v>8632645.2302115336</c:v>
                </c:pt>
                <c:pt idx="151">
                  <c:v>8632645.2302115336</c:v>
                </c:pt>
                <c:pt idx="152">
                  <c:v>8632645.2302115336</c:v>
                </c:pt>
                <c:pt idx="153">
                  <c:v>8632645.2302115336</c:v>
                </c:pt>
                <c:pt idx="154">
                  <c:v>8632645.2302115336</c:v>
                </c:pt>
                <c:pt idx="155">
                  <c:v>8632645.2302115336</c:v>
                </c:pt>
                <c:pt idx="156">
                  <c:v>8632645.2302115336</c:v>
                </c:pt>
                <c:pt idx="157">
                  <c:v>8632645.2302115336</c:v>
                </c:pt>
                <c:pt idx="158">
                  <c:v>8632645.2302115336</c:v>
                </c:pt>
                <c:pt idx="159">
                  <c:v>8632645.2302115336</c:v>
                </c:pt>
                <c:pt idx="160">
                  <c:v>8632645.2302115336</c:v>
                </c:pt>
                <c:pt idx="161">
                  <c:v>8632645.2302115336</c:v>
                </c:pt>
                <c:pt idx="162">
                  <c:v>8632645.2302115336</c:v>
                </c:pt>
                <c:pt idx="163">
                  <c:v>8632645.2302115336</c:v>
                </c:pt>
                <c:pt idx="164">
                  <c:v>8632645.2302115336</c:v>
                </c:pt>
                <c:pt idx="165">
                  <c:v>8632645.2302115336</c:v>
                </c:pt>
                <c:pt idx="166">
                  <c:v>8632645.2302115336</c:v>
                </c:pt>
                <c:pt idx="167">
                  <c:v>8632645.2302115336</c:v>
                </c:pt>
                <c:pt idx="168">
                  <c:v>8632645.2302115336</c:v>
                </c:pt>
                <c:pt idx="169">
                  <c:v>8632645.2302115336</c:v>
                </c:pt>
                <c:pt idx="170">
                  <c:v>8632645.2302115336</c:v>
                </c:pt>
                <c:pt idx="171">
                  <c:v>8632645.2302115336</c:v>
                </c:pt>
                <c:pt idx="172">
                  <c:v>8632645.2302115336</c:v>
                </c:pt>
                <c:pt idx="173">
                  <c:v>8632645.2302115336</c:v>
                </c:pt>
                <c:pt idx="174">
                  <c:v>8632645.2302115336</c:v>
                </c:pt>
                <c:pt idx="175">
                  <c:v>8632645.2302115336</c:v>
                </c:pt>
                <c:pt idx="176">
                  <c:v>8632645.2302115336</c:v>
                </c:pt>
                <c:pt idx="177">
                  <c:v>8632645.2302115336</c:v>
                </c:pt>
                <c:pt idx="178">
                  <c:v>8632645.2302115336</c:v>
                </c:pt>
                <c:pt idx="179">
                  <c:v>8632645.2302115336</c:v>
                </c:pt>
                <c:pt idx="180">
                  <c:v>8632645.2302115336</c:v>
                </c:pt>
                <c:pt idx="181">
                  <c:v>8632645.2302115336</c:v>
                </c:pt>
                <c:pt idx="182">
                  <c:v>8632645.2302115336</c:v>
                </c:pt>
                <c:pt idx="183">
                  <c:v>8632645.2302115336</c:v>
                </c:pt>
                <c:pt idx="184">
                  <c:v>8632645.2302115336</c:v>
                </c:pt>
                <c:pt idx="185">
                  <c:v>8632645.2302115336</c:v>
                </c:pt>
                <c:pt idx="186">
                  <c:v>8632645.2302115336</c:v>
                </c:pt>
                <c:pt idx="187">
                  <c:v>8632645.2302115336</c:v>
                </c:pt>
                <c:pt idx="188">
                  <c:v>8632645.2302115336</c:v>
                </c:pt>
                <c:pt idx="189">
                  <c:v>8632645.2302115336</c:v>
                </c:pt>
                <c:pt idx="190">
                  <c:v>8632645.2302115336</c:v>
                </c:pt>
                <c:pt idx="191">
                  <c:v>8632645.2302115336</c:v>
                </c:pt>
                <c:pt idx="192">
                  <c:v>8632645.2302115336</c:v>
                </c:pt>
                <c:pt idx="193">
                  <c:v>8632645.2302115336</c:v>
                </c:pt>
                <c:pt idx="194">
                  <c:v>8632645.2302115336</c:v>
                </c:pt>
                <c:pt idx="195">
                  <c:v>8632645.2302115336</c:v>
                </c:pt>
                <c:pt idx="196">
                  <c:v>8632645.2302115336</c:v>
                </c:pt>
                <c:pt idx="197">
                  <c:v>8632645.2302115336</c:v>
                </c:pt>
                <c:pt idx="198">
                  <c:v>8632645.2302115336</c:v>
                </c:pt>
                <c:pt idx="199">
                  <c:v>8632645.2302115336</c:v>
                </c:pt>
                <c:pt idx="200">
                  <c:v>8632645.2302115336</c:v>
                </c:pt>
                <c:pt idx="201">
                  <c:v>8632645.2302115336</c:v>
                </c:pt>
                <c:pt idx="202">
                  <c:v>8632645.2302115336</c:v>
                </c:pt>
                <c:pt idx="203">
                  <c:v>8632645.2302115336</c:v>
                </c:pt>
                <c:pt idx="204">
                  <c:v>8632645.2302115336</c:v>
                </c:pt>
                <c:pt idx="205">
                  <c:v>8632645.2302115336</c:v>
                </c:pt>
                <c:pt idx="206">
                  <c:v>8632645.2302115336</c:v>
                </c:pt>
                <c:pt idx="207">
                  <c:v>8632645.2302115336</c:v>
                </c:pt>
                <c:pt idx="208">
                  <c:v>8632645.2302115336</c:v>
                </c:pt>
                <c:pt idx="209">
                  <c:v>8632645.2302115336</c:v>
                </c:pt>
                <c:pt idx="210">
                  <c:v>8632645.2302115336</c:v>
                </c:pt>
                <c:pt idx="211">
                  <c:v>8632645.2302115336</c:v>
                </c:pt>
                <c:pt idx="212">
                  <c:v>8632645.2302115336</c:v>
                </c:pt>
                <c:pt idx="213">
                  <c:v>8632645.2302115336</c:v>
                </c:pt>
                <c:pt idx="214">
                  <c:v>8632645.2302115336</c:v>
                </c:pt>
                <c:pt idx="215">
                  <c:v>8632645.2302115336</c:v>
                </c:pt>
                <c:pt idx="216">
                  <c:v>8632645.2302115336</c:v>
                </c:pt>
                <c:pt idx="217">
                  <c:v>8632645.2302115336</c:v>
                </c:pt>
                <c:pt idx="218">
                  <c:v>8632645.2302115336</c:v>
                </c:pt>
                <c:pt idx="219">
                  <c:v>8632645.2302115336</c:v>
                </c:pt>
                <c:pt idx="220">
                  <c:v>8632645.2302115336</c:v>
                </c:pt>
                <c:pt idx="221">
                  <c:v>8632645.2302115336</c:v>
                </c:pt>
                <c:pt idx="222">
                  <c:v>8632645.2302115336</c:v>
                </c:pt>
                <c:pt idx="223">
                  <c:v>8632645.2302115336</c:v>
                </c:pt>
                <c:pt idx="224">
                  <c:v>8632645.2302115336</c:v>
                </c:pt>
                <c:pt idx="225">
                  <c:v>8632645.2302115336</c:v>
                </c:pt>
                <c:pt idx="226">
                  <c:v>8632645.2302115336</c:v>
                </c:pt>
                <c:pt idx="227">
                  <c:v>8632645.2302115336</c:v>
                </c:pt>
                <c:pt idx="228">
                  <c:v>8632645.2302115336</c:v>
                </c:pt>
                <c:pt idx="229">
                  <c:v>8632645.2302115336</c:v>
                </c:pt>
                <c:pt idx="230">
                  <c:v>8632645.2302115336</c:v>
                </c:pt>
                <c:pt idx="231">
                  <c:v>8632645.2302115336</c:v>
                </c:pt>
                <c:pt idx="232">
                  <c:v>8632645.2302115336</c:v>
                </c:pt>
                <c:pt idx="233">
                  <c:v>8632645.2302115336</c:v>
                </c:pt>
                <c:pt idx="234">
                  <c:v>8632645.2302115336</c:v>
                </c:pt>
                <c:pt idx="235">
                  <c:v>8632645.2302115336</c:v>
                </c:pt>
                <c:pt idx="236">
                  <c:v>8632645.2302115336</c:v>
                </c:pt>
                <c:pt idx="237">
                  <c:v>8632645.2302115336</c:v>
                </c:pt>
                <c:pt idx="238">
                  <c:v>8632645.2302115336</c:v>
                </c:pt>
                <c:pt idx="239">
                  <c:v>8632645.2302115336</c:v>
                </c:pt>
                <c:pt idx="240">
                  <c:v>8632645.2302115336</c:v>
                </c:pt>
                <c:pt idx="241">
                  <c:v>8632645.2302115336</c:v>
                </c:pt>
                <c:pt idx="242">
                  <c:v>8632645.2302115336</c:v>
                </c:pt>
                <c:pt idx="243">
                  <c:v>8632645.2302115336</c:v>
                </c:pt>
                <c:pt idx="244">
                  <c:v>8632645.2302115336</c:v>
                </c:pt>
                <c:pt idx="245">
                  <c:v>8632645.2302115336</c:v>
                </c:pt>
                <c:pt idx="246">
                  <c:v>8632645.2302115336</c:v>
                </c:pt>
                <c:pt idx="247">
                  <c:v>8632645.2302115336</c:v>
                </c:pt>
                <c:pt idx="248">
                  <c:v>8632645.2302115336</c:v>
                </c:pt>
                <c:pt idx="249">
                  <c:v>8632645.2302115336</c:v>
                </c:pt>
                <c:pt idx="250">
                  <c:v>8632645.2302115336</c:v>
                </c:pt>
                <c:pt idx="251">
                  <c:v>8632645.2302115336</c:v>
                </c:pt>
                <c:pt idx="252">
                  <c:v>8632645.2302115336</c:v>
                </c:pt>
                <c:pt idx="253">
                  <c:v>8632645.2302115336</c:v>
                </c:pt>
                <c:pt idx="254">
                  <c:v>8632645.2302115336</c:v>
                </c:pt>
                <c:pt idx="255">
                  <c:v>8632645.2302115336</c:v>
                </c:pt>
                <c:pt idx="256">
                  <c:v>8632645.2302115336</c:v>
                </c:pt>
                <c:pt idx="257">
                  <c:v>8632645.2302115336</c:v>
                </c:pt>
                <c:pt idx="258">
                  <c:v>8632645.2302115336</c:v>
                </c:pt>
                <c:pt idx="259">
                  <c:v>8632645.2302115336</c:v>
                </c:pt>
                <c:pt idx="260">
                  <c:v>8632645.2302115336</c:v>
                </c:pt>
                <c:pt idx="261">
                  <c:v>8632645.2302115336</c:v>
                </c:pt>
                <c:pt idx="262">
                  <c:v>8632645.2302115336</c:v>
                </c:pt>
                <c:pt idx="263">
                  <c:v>8632645.2302115336</c:v>
                </c:pt>
                <c:pt idx="264">
                  <c:v>8632645.2302115336</c:v>
                </c:pt>
                <c:pt idx="265">
                  <c:v>8632645.2302115336</c:v>
                </c:pt>
                <c:pt idx="266">
                  <c:v>8632645.2302115336</c:v>
                </c:pt>
                <c:pt idx="267">
                  <c:v>8632645.2302115336</c:v>
                </c:pt>
                <c:pt idx="268">
                  <c:v>8632645.2302115336</c:v>
                </c:pt>
                <c:pt idx="269">
                  <c:v>8632645.2302115336</c:v>
                </c:pt>
                <c:pt idx="270">
                  <c:v>8632645.2302115336</c:v>
                </c:pt>
                <c:pt idx="271">
                  <c:v>8632645.2302115336</c:v>
                </c:pt>
                <c:pt idx="272">
                  <c:v>8632645.2302115336</c:v>
                </c:pt>
                <c:pt idx="273">
                  <c:v>8632645.2302115336</c:v>
                </c:pt>
                <c:pt idx="274">
                  <c:v>8632645.2302115336</c:v>
                </c:pt>
                <c:pt idx="275">
                  <c:v>8632645.2302115336</c:v>
                </c:pt>
                <c:pt idx="276">
                  <c:v>8632645.2302115336</c:v>
                </c:pt>
                <c:pt idx="277">
                  <c:v>8632645.2302115336</c:v>
                </c:pt>
                <c:pt idx="278">
                  <c:v>8632645.2302115336</c:v>
                </c:pt>
                <c:pt idx="279">
                  <c:v>8632645.2302115336</c:v>
                </c:pt>
                <c:pt idx="280">
                  <c:v>8632645.2302115336</c:v>
                </c:pt>
                <c:pt idx="281">
                  <c:v>8632645.2302115336</c:v>
                </c:pt>
                <c:pt idx="282">
                  <c:v>8632645.2302115336</c:v>
                </c:pt>
                <c:pt idx="283">
                  <c:v>8632645.2302115336</c:v>
                </c:pt>
                <c:pt idx="284">
                  <c:v>8632645.2302115336</c:v>
                </c:pt>
                <c:pt idx="285">
                  <c:v>8632645.2302115336</c:v>
                </c:pt>
                <c:pt idx="286">
                  <c:v>8632645.2302115336</c:v>
                </c:pt>
                <c:pt idx="287">
                  <c:v>8632645.2302115336</c:v>
                </c:pt>
                <c:pt idx="288">
                  <c:v>8632645.2302115336</c:v>
                </c:pt>
                <c:pt idx="289">
                  <c:v>8632645.2302115336</c:v>
                </c:pt>
                <c:pt idx="290">
                  <c:v>8632645.2302115336</c:v>
                </c:pt>
                <c:pt idx="291">
                  <c:v>8632645.2302115336</c:v>
                </c:pt>
                <c:pt idx="292">
                  <c:v>8632645.2302115336</c:v>
                </c:pt>
                <c:pt idx="293">
                  <c:v>8632645.2302115336</c:v>
                </c:pt>
                <c:pt idx="294">
                  <c:v>8632645.2302115336</c:v>
                </c:pt>
                <c:pt idx="295">
                  <c:v>8632645.2302115336</c:v>
                </c:pt>
                <c:pt idx="296">
                  <c:v>8632645.2302115336</c:v>
                </c:pt>
                <c:pt idx="297">
                  <c:v>8632645.2302115336</c:v>
                </c:pt>
                <c:pt idx="298">
                  <c:v>8632645.2302115336</c:v>
                </c:pt>
                <c:pt idx="299">
                  <c:v>8632645.2302115336</c:v>
                </c:pt>
                <c:pt idx="300">
                  <c:v>8632645.2302115336</c:v>
                </c:pt>
                <c:pt idx="301">
                  <c:v>8632645.2302115336</c:v>
                </c:pt>
                <c:pt idx="302">
                  <c:v>8632645.2302115336</c:v>
                </c:pt>
                <c:pt idx="303">
                  <c:v>8632645.2302115336</c:v>
                </c:pt>
                <c:pt idx="304">
                  <c:v>8632645.2302115336</c:v>
                </c:pt>
                <c:pt idx="305">
                  <c:v>8632645.2302115336</c:v>
                </c:pt>
                <c:pt idx="306">
                  <c:v>8632645.2302115336</c:v>
                </c:pt>
                <c:pt idx="307">
                  <c:v>8632645.2302115336</c:v>
                </c:pt>
                <c:pt idx="308">
                  <c:v>8632645.2302115336</c:v>
                </c:pt>
                <c:pt idx="309">
                  <c:v>8632645.2302115336</c:v>
                </c:pt>
                <c:pt idx="310">
                  <c:v>8632645.2302115336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23952314816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4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8-31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6-02-28T00:00:00"/>
        <d v="2025-04-30T00:00:00"/>
        <d v="2025-12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3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5885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MA Core 2 - 110kVA"/>
    <n v="4"/>
    <n v="53700.89"/>
    <n v="214803.56"/>
    <s v="PO4153-UES-20250723 - RV Approved"/>
    <s v="Krannich INV15-10013383"/>
    <x v="3"/>
    <n v="484689.4815102109"/>
    <n v="0"/>
    <d v="2025-09-26T00:00:00"/>
    <n v="216421.11"/>
  </r>
  <r>
    <n v="2"/>
    <x v="2"/>
    <s v="EPR"/>
    <m/>
    <m/>
    <n v="396.44"/>
    <m/>
    <s v="Krannich INV15-10013383"/>
    <x v="3"/>
    <n v="894.53963449166304"/>
    <m/>
    <d v="2025-09-26T00:00:00"/>
    <m/>
  </r>
  <r>
    <n v="2"/>
    <x v="2"/>
    <s v="Freight"/>
    <m/>
    <m/>
    <n v="1221.1099999999999"/>
    <m/>
    <s v="Krannich INV15-10013383"/>
    <x v="3"/>
    <n v="2755.3508552974336"/>
    <m/>
    <d v="2025-09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22040.5"/>
    <s v="PO4150-UES-20250722 - RV Approved"/>
    <s v="Schletter - INV1994"/>
    <x v="3"/>
    <n v="221686.54130000001"/>
    <n v="0"/>
    <d v="2025-08-30T00:00:00"/>
    <n v="122040.5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18000"/>
    <n v="13.5"/>
    <n v="243000"/>
    <m/>
    <s v="Rubicon INVWCRE-0069676"/>
    <x v="3"/>
    <n v="308594.28851123527"/>
    <n v="0"/>
    <d v="2025-08-31T00:00:00"/>
    <n v="505372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3"/>
    <n v="33319.547598876474"/>
    <m/>
    <d v="2025-08-14T00:00:00"/>
    <m/>
  </r>
  <r>
    <n v="4"/>
    <x v="4"/>
    <s v="Site Establishment"/>
    <m/>
    <n v="0.15"/>
    <n v="39355.799999999996"/>
    <m/>
    <s v="Cosmic Sun - CS_UES_002"/>
    <x v="3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04T00:00:00"/>
    <m/>
  </r>
  <r>
    <n v="4"/>
    <x v="4"/>
    <s v="Commissioning Complete"/>
    <m/>
    <n v="0.1"/>
    <n v="26237.200000000001"/>
    <m/>
    <s v="Cosmic Sun - CS_UES_003"/>
    <x v="1"/>
    <n v="33319.547598876474"/>
    <m/>
    <d v="2026-02-09T00:00:00"/>
    <m/>
  </r>
  <r>
    <n v="4"/>
    <x v="4"/>
    <s v="Site De-establisment"/>
    <m/>
    <n v="0.1"/>
    <n v="26237.200000000001"/>
    <m/>
    <s v="Cosmic Sun - CS_UES_003"/>
    <x v="1"/>
    <n v="33319.547598876474"/>
    <m/>
    <d v="2026-02-12T00:00:00"/>
    <m/>
  </r>
  <r>
    <n v="4"/>
    <x v="4"/>
    <s v="Handover Document Complete"/>
    <m/>
    <n v="0.05"/>
    <n v="13118.6"/>
    <m/>
    <s v="Cosmic Sun - CS_UES_003"/>
    <x v="1"/>
    <n v="16659.773799438237"/>
    <m/>
    <d v="2026-02-12T00:00:00"/>
    <m/>
  </r>
  <r>
    <n v="4"/>
    <x v="4"/>
    <s v="End of Defects Period"/>
    <m/>
    <n v="0.05"/>
    <n v="13118.6"/>
    <m/>
    <s v="Cosmic Sun - CS_UES_003"/>
    <x v="1"/>
    <n v="16659.773799438237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Data Manager"/>
    <m/>
    <m/>
    <n v="36324.44"/>
    <s v="PO4261-UESH-20250821 - RV Approved"/>
    <m/>
    <x v="4"/>
    <n v="47453.8580247629"/>
    <n v="1021.3366127788613"/>
    <d v="2026-03-02T00:00:00"/>
    <n v="124261.44"/>
  </r>
  <r>
    <n v="5"/>
    <x v="5"/>
    <s v="CTs &amp; Meters"/>
    <m/>
    <m/>
    <n v="22768"/>
    <s v="PO4061-UES-20250630 - RV Approved"/>
    <s v="AccuEnergy ASAI-005840"/>
    <x v="5"/>
    <n v="41886.51580509232"/>
    <m/>
    <d v="2025-07-29T00:00:00"/>
    <m/>
  </r>
  <r>
    <n v="5"/>
    <x v="5"/>
    <s v="Techsitter"/>
    <m/>
    <m/>
    <n v="11169"/>
    <m/>
    <s v="Matriarch - INV-4742"/>
    <x v="3"/>
    <n v="20823.825129055531"/>
    <m/>
    <d v="2025-07-31T00:00:00"/>
    <m/>
  </r>
  <r>
    <n v="5"/>
    <x v="5"/>
    <s v="APEX"/>
    <m/>
    <m/>
    <n v="54000"/>
    <s v="PO4076-UES-20250630 - RV Approved"/>
    <s v="Rubicon INVWCRE-0069106"/>
    <x v="3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35040"/>
  </r>
  <r>
    <n v="6"/>
    <x v="6"/>
    <m/>
    <m/>
    <m/>
    <m/>
    <m/>
    <m/>
    <x v="2"/>
    <n v="0"/>
    <m/>
    <m/>
    <m/>
  </r>
  <r>
    <n v="6"/>
    <x v="6"/>
    <s v="Project Kick Off"/>
    <n v="235040"/>
    <n v="0.1"/>
    <n v="23504"/>
    <m/>
    <s v="Cosmic Sun - CS_UES_001"/>
    <x v="3"/>
    <n v="69264.504460000011"/>
    <m/>
    <d v="2025-08-14T00:00:00"/>
    <m/>
  </r>
  <r>
    <n v="6"/>
    <x v="6"/>
    <s v="Site Establishment"/>
    <m/>
    <n v="0.15"/>
    <n v="35256"/>
    <m/>
    <s v="Cosmic Sun - CS_UES_002"/>
    <x v="3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04T00:00:00"/>
    <m/>
  </r>
  <r>
    <n v="6"/>
    <x v="6"/>
    <s v="Commissioning Complete"/>
    <m/>
    <n v="0.1"/>
    <n v="23504"/>
    <m/>
    <s v="Cosmic Sun - CS_UES_003"/>
    <x v="1"/>
    <n v="69264.504460000011"/>
    <m/>
    <d v="2026-02-09T00:00:00"/>
    <m/>
  </r>
  <r>
    <n v="6"/>
    <x v="6"/>
    <s v="Site De-establisment"/>
    <m/>
    <n v="0.1"/>
    <n v="23504"/>
    <m/>
    <s v="Cosmic Sun - CS_UES_003"/>
    <x v="1"/>
    <n v="69264.504460000011"/>
    <m/>
    <d v="2026-02-12T00:00:00"/>
    <m/>
  </r>
  <r>
    <n v="6"/>
    <x v="6"/>
    <s v="Handover Document Complete"/>
    <m/>
    <n v="0.05"/>
    <n v="11752"/>
    <m/>
    <s v="Cosmic Sun - CS_UES_003"/>
    <x v="1"/>
    <n v="34632.252230000006"/>
    <m/>
    <d v="2026-02-12T00:00:00"/>
    <m/>
  </r>
  <r>
    <n v="6"/>
    <x v="6"/>
    <s v="End of Defects Period"/>
    <m/>
    <n v="0.05"/>
    <n v="11752"/>
    <m/>
    <s v="Cosmic Sun - CS_UES_003"/>
    <x v="1"/>
    <n v="34632.252230000006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1993368.6954089673"/>
    <m/>
    <n v="4913552.3600000003"/>
  </r>
  <r>
    <n v="8"/>
    <x v="8"/>
    <m/>
    <m/>
    <m/>
    <m/>
    <m/>
    <m/>
    <x v="2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6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6"/>
    <n v="-1027779.9272249884"/>
    <m/>
    <d v="2025-05-28T00:00:00"/>
    <m/>
  </r>
  <r>
    <n v="8"/>
    <x v="8"/>
    <m/>
    <m/>
    <m/>
    <m/>
    <m/>
    <m/>
    <x v="2"/>
    <n v="0"/>
    <m/>
    <m/>
    <m/>
  </r>
  <r>
    <n v="8"/>
    <x v="8"/>
    <s v="Roof Replacement - Deposit"/>
    <n v="2500000"/>
    <n v="0.25"/>
    <n v="625000"/>
    <m/>
    <s v="FMS Property - INV21346"/>
    <x v="3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2"/>
    <n v="0"/>
    <m/>
    <m/>
    <m/>
  </r>
  <r>
    <n v="8"/>
    <x v="8"/>
    <s v="Anchor Points"/>
    <n v="120203.36"/>
    <n v="0.5"/>
    <n v="60101.68"/>
    <s v="PO4378-UESH-20251017 - RV Approved"/>
    <s v="INV000336"/>
    <x v="7"/>
    <n v="0"/>
    <m/>
    <d v="2025-10-24T00:00:00"/>
    <m/>
  </r>
  <r>
    <n v="8"/>
    <x v="8"/>
    <m/>
    <m/>
    <n v="0.5"/>
    <n v="60101.68"/>
    <m/>
    <s v="INV000336"/>
    <x v="7"/>
    <n v="0"/>
    <m/>
    <d v="2025-11-07T00:00:00"/>
    <m/>
  </r>
  <r>
    <n v="8"/>
    <x v="8"/>
    <s v="Lithium Battery"/>
    <m/>
    <m/>
    <n v="975"/>
    <m/>
    <s v="Red Pole - SO-35912"/>
    <x v="8"/>
    <n v="0"/>
    <m/>
    <d v="2025-10-09T00:00:00"/>
    <m/>
  </r>
  <r>
    <n v="8"/>
    <x v="8"/>
    <s v="Additional Roof Capex"/>
    <m/>
    <m/>
    <m/>
    <m/>
    <m/>
    <x v="9"/>
    <m/>
    <m/>
    <d v="2025-11-30T00:00:00"/>
    <m/>
  </r>
  <r>
    <n v="8"/>
    <x v="8"/>
    <m/>
    <m/>
    <m/>
    <n v="2292374"/>
    <m/>
    <s v="FMS Property - INV22455"/>
    <x v="9"/>
    <n v="1993368.6956521741"/>
    <m/>
    <d v="2025-12-18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6700"/>
  </r>
  <r>
    <n v="9"/>
    <x v="9"/>
    <s v="Project Kick Off"/>
    <n v="476700"/>
    <n v="0.1"/>
    <n v="47670"/>
    <m/>
    <s v="Cosmic Sun - CS_UES_001"/>
    <x v="3"/>
    <n v="43707.058830000002"/>
    <m/>
    <d v="2025-08-14T00:00:00"/>
    <m/>
  </r>
  <r>
    <n v="9"/>
    <x v="9"/>
    <s v="Site Establishment"/>
    <m/>
    <n v="0.15"/>
    <n v="71505"/>
    <m/>
    <s v="Cosmic Sun - CS_UES_002"/>
    <x v="3"/>
    <n v="65560.588244999992"/>
    <m/>
    <d v="2025-07-31T00:00:00"/>
    <m/>
  </r>
  <r>
    <n v="9"/>
    <x v="9"/>
    <s v="AC Installation Complete"/>
    <m/>
    <n v="0.2"/>
    <n v="95340"/>
    <m/>
    <s v="Cosmic Sun - CS_UES_003"/>
    <x v="9"/>
    <n v="87414.117660000004"/>
    <m/>
    <d v="2025-12-18T00:00:00"/>
    <m/>
  </r>
  <r>
    <n v="9"/>
    <x v="9"/>
    <s v="DC Installation Complete"/>
    <m/>
    <n v="0.25"/>
    <n v="119175"/>
    <m/>
    <s v="Cosmic Sun - CS_UES_003"/>
    <x v="4"/>
    <n v="109267.647075"/>
    <m/>
    <d v="2026-02-04T00:00:00"/>
    <m/>
  </r>
  <r>
    <n v="9"/>
    <x v="9"/>
    <s v="Commissioning Complete"/>
    <m/>
    <n v="0.1"/>
    <n v="47670"/>
    <m/>
    <s v="Cosmic Sun - CS_UES_003"/>
    <x v="4"/>
    <n v="43707.058830000002"/>
    <m/>
    <d v="2026-02-09T00:00:00"/>
    <m/>
  </r>
  <r>
    <n v="9"/>
    <x v="9"/>
    <s v="Site De-establisment"/>
    <m/>
    <n v="0.1"/>
    <n v="47670"/>
    <m/>
    <s v="Cosmic Sun - CS_UES_003"/>
    <x v="4"/>
    <n v="43707.058830000002"/>
    <m/>
    <d v="2026-02-12T00:00:00"/>
    <m/>
  </r>
  <r>
    <n v="9"/>
    <x v="9"/>
    <s v="Handover Document Complete"/>
    <m/>
    <n v="0.05"/>
    <n v="23835"/>
    <m/>
    <s v="Cosmic Sun - CS_UES_003"/>
    <x v="4"/>
    <n v="21853.529415000001"/>
    <m/>
    <d v="2026-02-12T00:00:00"/>
    <m/>
  </r>
  <r>
    <n v="9"/>
    <x v="9"/>
    <s v="End of Defects Period"/>
    <m/>
    <n v="0.05"/>
    <n v="23835"/>
    <m/>
    <s v="Cosmic Sun - CS_UES_003"/>
    <x v="4"/>
    <n v="21853.529415000001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51047.5"/>
    <n v="0.1"/>
    <n v="15104.75"/>
    <m/>
    <s v="Cosmic Sun - CS_UES_001"/>
    <x v="3"/>
    <n v="6836.0588235000005"/>
    <m/>
    <d v="2025-08-14T00:00:00"/>
    <m/>
  </r>
  <r>
    <n v="10"/>
    <x v="10"/>
    <s v="Site Establishment"/>
    <m/>
    <n v="0.15"/>
    <n v="22657.125"/>
    <m/>
    <s v="Cosmic Sun - CS_UES_002"/>
    <x v="3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9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4"/>
    <n v="17090.149321634108"/>
    <m/>
    <d v="2026-02-04T00:00:00"/>
    <m/>
  </r>
  <r>
    <n v="10"/>
    <x v="10"/>
    <s v="Commissioning Complete"/>
    <m/>
    <n v="0.1"/>
    <n v="15104.75"/>
    <m/>
    <s v="Cosmic Sun - CS_UES_003"/>
    <x v="4"/>
    <n v="6836.0597286536413"/>
    <m/>
    <d v="2026-02-09T00:00:00"/>
    <m/>
  </r>
  <r>
    <n v="10"/>
    <x v="10"/>
    <s v="Site De-establisment"/>
    <m/>
    <n v="0.1"/>
    <n v="15104.75"/>
    <m/>
    <s v="Cosmic Sun - CS_UES_003"/>
    <x v="4"/>
    <n v="6836.0597286536413"/>
    <m/>
    <d v="2026-02-12T00:00:00"/>
    <m/>
  </r>
  <r>
    <n v="10"/>
    <x v="10"/>
    <s v="Handover Document Complete"/>
    <m/>
    <n v="0.05"/>
    <n v="7552.375"/>
    <m/>
    <s v="Cosmic Sun - CS_UES_003"/>
    <x v="4"/>
    <n v="3418.0298643268206"/>
    <m/>
    <d v="2026-02-12T00:00:00"/>
    <m/>
  </r>
  <r>
    <n v="10"/>
    <x v="10"/>
    <s v="End of Defects Period"/>
    <m/>
    <n v="0.05"/>
    <n v="7552.375"/>
    <m/>
    <s v="Cosmic Sun - CS_UES_003"/>
    <x v="4"/>
    <n v="3418.029864326820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349"/>
    <m/>
    <m/>
    <x v="10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7"/>
    <n v="66714.991470210472"/>
    <m/>
    <d v="2025-10-24T00:00:00"/>
    <m/>
  </r>
  <r>
    <n v="11"/>
    <x v="11"/>
    <s v="Red Team"/>
    <m/>
    <m/>
    <n v="8000"/>
    <m/>
    <m/>
    <x v="10"/>
    <n v="3620.6145635796111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8003.7235"/>
    <m/>
    <m/>
    <x v="10"/>
    <n v="62427.395663677111"/>
    <n v="0"/>
    <d v="2026-02-28T00:00:00"/>
    <n v="247203.72349999999"/>
  </r>
  <r>
    <n v="13"/>
    <x v="13"/>
    <s v="Management"/>
    <m/>
    <m/>
    <n v="32000"/>
    <m/>
    <m/>
    <x v="10"/>
    <n v="34440.490035741714"/>
    <m/>
    <d v="2026-02-28T00:00:00"/>
    <m/>
  </r>
  <r>
    <n v="13"/>
    <x v="13"/>
    <s v="Project manager "/>
    <m/>
    <m/>
    <n v="81600"/>
    <m/>
    <m/>
    <x v="10"/>
    <n v="87823.249591141372"/>
    <m/>
    <d v="2026-02-28T00:00:00"/>
    <m/>
  </r>
  <r>
    <n v="13"/>
    <x v="13"/>
    <s v="Planner time"/>
    <m/>
    <m/>
    <n v="41600"/>
    <m/>
    <m/>
    <x v="10"/>
    <n v="44772.637046464231"/>
    <m/>
    <d v="2026-02-28T00:00:00"/>
    <m/>
  </r>
  <r>
    <n v="13"/>
    <x v="13"/>
    <s v="De Snagging"/>
    <m/>
    <m/>
    <n v="34000"/>
    <m/>
    <m/>
    <x v="10"/>
    <n v="36593.02066297557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19"/>
    <m/>
    <s v="Expense Claim"/>
    <x v="11"/>
    <n v="154.43339402689452"/>
    <n v="-2.9834420383849647E-3"/>
    <d v="2025-05-08T00:00:00"/>
    <n v="2312.0799999999626"/>
  </r>
  <r>
    <n v="14"/>
    <x v="14"/>
    <s v="Travel"/>
    <m/>
    <m/>
    <n v="199.91999999996273"/>
    <m/>
    <s v="Expense Claim"/>
    <x v="6"/>
    <n v="282.39405266859563"/>
    <m/>
    <d v="2025-06-09T00:00:00"/>
    <m/>
  </r>
  <r>
    <n v="14"/>
    <x v="14"/>
    <s v="Travel"/>
    <m/>
    <m/>
    <n v="0"/>
    <m/>
    <s v="Expense Claim"/>
    <x v="5"/>
    <n v="0"/>
    <m/>
    <d v="2025-06-30T00:00:00"/>
    <m/>
  </r>
  <r>
    <n v="14"/>
    <x v="14"/>
    <s v="Travel"/>
    <m/>
    <m/>
    <n v="233.24"/>
    <m/>
    <s v="Expense Claim"/>
    <x v="3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95.2"/>
    <m/>
    <s v="Expense Claim"/>
    <x v="7"/>
    <n v="295.24"/>
    <m/>
    <d v="2025-11-06T00:00:00"/>
    <m/>
  </r>
  <r>
    <n v="14"/>
    <x v="14"/>
    <s v="Travel"/>
    <m/>
    <m/>
    <n v="0"/>
    <m/>
    <s v="Expense Claim"/>
    <x v="9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780"/>
    <m/>
    <m/>
    <x v="4"/>
    <n v="3847.5979177018603"/>
    <m/>
    <d v="2026-02-06T00:00:00"/>
    <m/>
  </r>
  <r>
    <n v="14"/>
    <x v="14"/>
    <m/>
    <m/>
    <m/>
    <n v="780"/>
    <m/>
    <m/>
    <x v="10"/>
    <n v="3724.5279177018601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1"/>
        <item x="6"/>
        <item x="5"/>
        <item x="3"/>
        <item x="1"/>
        <item x="8"/>
        <item x="7"/>
        <item x="9"/>
        <item x="12"/>
        <item x="2"/>
        <item m="1" x="15"/>
        <item x="4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1"/>
        <item x="6"/>
        <item x="5"/>
        <item x="3"/>
        <item x="1"/>
        <item x="8"/>
        <item x="7"/>
        <item x="9"/>
        <item x="12"/>
        <item x="2"/>
        <item m="1" x="15"/>
        <item x="4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8.88671875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4" t="s">
        <v>57</v>
      </c>
      <c r="E47" s="774"/>
      <c r="F47" s="775"/>
      <c r="G47" s="67"/>
      <c r="I47" s="68"/>
      <c r="J47" s="68"/>
    </row>
    <row r="48" spans="1:49" ht="14.4" thickBot="1">
      <c r="C48" s="69">
        <v>44014</v>
      </c>
      <c r="D48" s="776"/>
      <c r="E48" s="776"/>
      <c r="F48" s="77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7" zoomScaleNormal="100" workbookViewId="0">
      <selection activeCell="K30" sqref="K30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.109375" style="111" customWidth="1"/>
    <col min="5" max="5" width="14.5546875" style="24" customWidth="1"/>
    <col min="6" max="6" width="10.109375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0.88671875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.109375" style="111" customWidth="1"/>
    <col min="23" max="23" width="19.109375" style="690" customWidth="1"/>
    <col min="24" max="24" width="19.109375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46064</v>
      </c>
      <c r="O1" s="404">
        <f ca="1">TODAY()</f>
        <v>46064</v>
      </c>
      <c r="Q1" s="3"/>
      <c r="W1" s="690"/>
    </row>
    <row r="2" spans="2:28">
      <c r="B2" s="175"/>
      <c r="C2" s="176" t="s">
        <v>0</v>
      </c>
      <c r="D2" s="177"/>
      <c r="E2" s="781" t="s">
        <v>58</v>
      </c>
      <c r="F2" s="782"/>
      <c r="G2" s="782"/>
      <c r="H2" s="783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84" t="s">
        <v>61</v>
      </c>
      <c r="F4" s="785"/>
      <c r="G4" s="785"/>
      <c r="H4" s="786"/>
      <c r="J4" s="112"/>
      <c r="Q4" s="3"/>
      <c r="W4" s="690"/>
    </row>
    <row r="5" spans="2:28" s="111" customFormat="1">
      <c r="B5" s="178"/>
      <c r="C5" s="179" t="s">
        <v>62</v>
      </c>
      <c r="D5" s="177"/>
      <c r="E5" s="784" t="s">
        <v>63</v>
      </c>
      <c r="F5" s="785"/>
      <c r="G5" s="785"/>
      <c r="H5" s="786"/>
      <c r="J5" s="112"/>
      <c r="Q5" s="3"/>
      <c r="W5" s="690"/>
    </row>
    <row r="6" spans="2:28">
      <c r="B6" s="183"/>
      <c r="C6" s="184" t="s">
        <v>64</v>
      </c>
      <c r="D6" s="177"/>
      <c r="E6" s="787">
        <v>6640297.8799999999</v>
      </c>
      <c r="F6" s="788"/>
      <c r="G6" s="788"/>
      <c r="H6" s="789"/>
    </row>
    <row r="7" spans="2:28" s="111" customFormat="1">
      <c r="B7" s="166"/>
      <c r="C7" s="711" t="s">
        <v>65</v>
      </c>
      <c r="E7" s="711" t="s">
        <v>66</v>
      </c>
      <c r="F7" s="167"/>
      <c r="G7" s="185"/>
      <c r="I7" s="111" t="s">
        <v>29</v>
      </c>
      <c r="J7" s="112"/>
      <c r="Q7" s="3"/>
      <c r="W7" s="690"/>
    </row>
    <row r="8" spans="2:28" ht="30" customHeight="1">
      <c r="B8" s="778" t="s">
        <v>67</v>
      </c>
      <c r="C8" s="779" t="s">
        <v>68</v>
      </c>
      <c r="D8" s="214"/>
      <c r="E8" s="780" t="s">
        <v>69</v>
      </c>
      <c r="F8" s="236" t="s">
        <v>70</v>
      </c>
      <c r="G8" s="780" t="s">
        <v>71</v>
      </c>
      <c r="H8" s="237"/>
      <c r="I8" s="780" t="s">
        <v>72</v>
      </c>
      <c r="J8" s="236" t="s">
        <v>70</v>
      </c>
      <c r="K8" s="780" t="s">
        <v>73</v>
      </c>
      <c r="M8" s="411" t="s">
        <v>74</v>
      </c>
      <c r="N8" s="675" t="s">
        <v>75</v>
      </c>
      <c r="O8" s="790" t="s">
        <v>76</v>
      </c>
      <c r="Z8" s="111"/>
      <c r="AA8" s="111"/>
      <c r="AB8" s="111"/>
    </row>
    <row r="9" spans="2:28">
      <c r="B9" s="778"/>
      <c r="C9" s="779"/>
      <c r="D9" s="214"/>
      <c r="E9" s="780"/>
      <c r="F9" s="125">
        <f>G46-E19</f>
        <v>101</v>
      </c>
      <c r="G9" s="780"/>
      <c r="H9" s="237"/>
      <c r="I9" s="780"/>
      <c r="J9" s="126">
        <f>K46-I19</f>
        <v>211</v>
      </c>
      <c r="K9" s="780"/>
      <c r="M9" s="361">
        <f>AVERAGE(M11,M18,M23,M30,M40,M44,M51,M48)</f>
        <v>0.52195796460176991</v>
      </c>
      <c r="N9" s="361">
        <f ca="1">AVERAGE(N11,N18,N23,N30,N40,N44,N51,N48)</f>
        <v>0.53683193509685068</v>
      </c>
      <c r="O9" s="791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 t="s">
        <v>93</v>
      </c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94</v>
      </c>
      <c r="C21" s="689" t="s">
        <v>95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 t="s">
        <v>96</v>
      </c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97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98</v>
      </c>
      <c r="C24" s="248" t="s">
        <v>99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100</v>
      </c>
      <c r="C25" s="248" t="s">
        <v>101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102</v>
      </c>
      <c r="C26" s="248" t="s">
        <v>103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104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105</v>
      </c>
      <c r="C28" s="248" t="s">
        <v>106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204</v>
      </c>
      <c r="K30" s="245">
        <f>MAX(K32:K38)</f>
        <v>46073</v>
      </c>
      <c r="L30" s="113"/>
      <c r="M30" s="360">
        <f>(J32*M32+J33*M33+J38*M38)/SUM(J32:J38)</f>
        <v>0.17566371681415929</v>
      </c>
      <c r="N30" s="360">
        <f ca="1">(K32*N32+K33*N33+K38*N38)/SUM(K32:K38)</f>
        <v>0.29465548077480591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107</v>
      </c>
      <c r="C31" s="248" t="s">
        <v>108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107</v>
      </c>
      <c r="C32" s="248" t="s">
        <v>109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110</v>
      </c>
      <c r="C33" s="689" t="s">
        <v>111</v>
      </c>
      <c r="D33" s="714"/>
      <c r="E33" s="715">
        <f>G20-14</f>
        <v>45940</v>
      </c>
      <c r="F33" s="716">
        <v>15</v>
      </c>
      <c r="G33" s="715">
        <f>WORKDAY.INTL(E33,F33,1,Data!$C$3:$C$41)</f>
        <v>45961</v>
      </c>
      <c r="H33" s="717"/>
      <c r="I33" s="715">
        <v>46034</v>
      </c>
      <c r="J33" s="716">
        <v>29</v>
      </c>
      <c r="K33" s="715">
        <f>WORKDAY.INTL(I33,J33,1,Data!$C$3:$C$41)</f>
        <v>46073</v>
      </c>
      <c r="M33" s="253">
        <v>0.65</v>
      </c>
      <c r="N33" s="253">
        <f t="shared" ca="1" si="3"/>
        <v>0.76923076923076927</v>
      </c>
      <c r="O33" s="121" t="s">
        <v>112</v>
      </c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113</v>
      </c>
      <c r="C34" s="248" t="s">
        <v>114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115</v>
      </c>
      <c r="C35" s="248" t="s">
        <v>116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117</v>
      </c>
      <c r="C36" s="248" t="s">
        <v>118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119</v>
      </c>
      <c r="C37" s="248" t="s">
        <v>120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121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122</v>
      </c>
      <c r="C41" s="248" t="s">
        <v>123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124</v>
      </c>
      <c r="C42" s="248" t="s">
        <v>125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126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46074</v>
      </c>
      <c r="J44" s="246">
        <f>K44-I44</f>
        <v>4</v>
      </c>
      <c r="K44" s="245">
        <f>MAX(K45:K46)</f>
        <v>46078</v>
      </c>
      <c r="L44" s="113"/>
      <c r="M44" s="360">
        <f>(J45*M45+J46*M46)/SUM(J45:J46)</f>
        <v>0</v>
      </c>
      <c r="N44" s="360">
        <f ca="1">(K45*N45+K46*N46)/SUM(K45:K46)</f>
        <v>0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127</v>
      </c>
      <c r="C45" s="242" t="s">
        <v>126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f>K33+1</f>
        <v>46074</v>
      </c>
      <c r="J45" s="250">
        <v>1</v>
      </c>
      <c r="K45" s="252">
        <f>WORKDAY.INTL(I45,J45,1,Data!$C$3:$C$41)</f>
        <v>46076</v>
      </c>
      <c r="M45" s="253">
        <v>0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121"/>
      <c r="Y45" s="24"/>
    </row>
    <row r="46" spans="2:28">
      <c r="B46" s="247" t="s">
        <v>128</v>
      </c>
      <c r="C46" s="242" t="s">
        <v>129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f>K45</f>
        <v>46076</v>
      </c>
      <c r="J46" s="250">
        <v>2</v>
      </c>
      <c r="K46" s="252">
        <f>WORKDAY.INTL(I46,J46,1,Data!$C$3:$C$41)</f>
        <v>46078</v>
      </c>
      <c r="M46" s="253">
        <v>0</v>
      </c>
      <c r="N46" s="253">
        <f t="shared" ca="1" si="5"/>
        <v>0</v>
      </c>
      <c r="O46" s="121" t="s">
        <v>130</v>
      </c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131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46074</v>
      </c>
      <c r="J48" s="246">
        <f>K48-I48</f>
        <v>2</v>
      </c>
      <c r="K48" s="245">
        <f>MAX(K49)</f>
        <v>46076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132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f>WORKDAY.INTL(I45,0,1,Data!$C$3:$C$41)</f>
        <v>46074</v>
      </c>
      <c r="J49" s="250">
        <v>1</v>
      </c>
      <c r="K49" s="252">
        <f>WORKDAY.INTL(I49,J49,1,Data!$C$3:$C$41)</f>
        <v>46076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133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46076</v>
      </c>
      <c r="J51" s="246">
        <f>K51-I51</f>
        <v>17</v>
      </c>
      <c r="K51" s="245">
        <f>MAX(K52:K57)</f>
        <v>46093</v>
      </c>
      <c r="L51" s="113"/>
      <c r="M51" s="360">
        <f>(J52*M52+J53*M53+J54*M54+J55*M55+J56*M56+J57*M57)/SUM(J52:J57)</f>
        <v>0</v>
      </c>
      <c r="N51" s="360">
        <f ca="1">(K52*N52+K53*N53+K54*N54+K55*N55+K56*N56+K57*N57)/SUM(K52:K57)</f>
        <v>0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134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46076</v>
      </c>
      <c r="J52" s="250">
        <v>2</v>
      </c>
      <c r="K52" s="252">
        <f>WORKDAY.INTL(I52,J52,1,Data!$C$3:$C$41)</f>
        <v>46078</v>
      </c>
      <c r="M52" s="253">
        <v>0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>
      <c r="B53" s="247">
        <v>8.1999999999999993</v>
      </c>
      <c r="C53" s="242" t="s">
        <v>135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f>K49</f>
        <v>46076</v>
      </c>
      <c r="J53" s="250">
        <v>5</v>
      </c>
      <c r="K53" s="252">
        <f>WORKDAY.INTL(I53,J53,1,Data!$C$3:$C$41)</f>
        <v>46083</v>
      </c>
      <c r="M53" s="253">
        <v>0</v>
      </c>
      <c r="N53" s="253">
        <f t="shared" ca="1" si="6"/>
        <v>0</v>
      </c>
      <c r="O53" s="121"/>
      <c r="Y53" s="24"/>
    </row>
    <row r="54" spans="2:28">
      <c r="B54" s="247">
        <v>8.3000000000000007</v>
      </c>
      <c r="C54" s="242" t="s">
        <v>136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46078</v>
      </c>
      <c r="J54" s="250">
        <v>5</v>
      </c>
      <c r="K54" s="252">
        <f>WORKDAY.INTL(I54,J54,1,Data!$C$3:$C$41)</f>
        <v>46085</v>
      </c>
      <c r="M54" s="253">
        <v>0</v>
      </c>
      <c r="N54" s="253">
        <f t="shared" ca="1" si="6"/>
        <v>0</v>
      </c>
      <c r="O54" s="121"/>
      <c r="Y54" s="24"/>
    </row>
    <row r="55" spans="2:28">
      <c r="B55" s="247">
        <v>8.4</v>
      </c>
      <c r="C55" s="242" t="s">
        <v>137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f>WORKDAY.INTL(K54,0,1,Data!$C$3:$C$41)</f>
        <v>46085</v>
      </c>
      <c r="J55" s="250">
        <v>5</v>
      </c>
      <c r="K55" s="252">
        <f>WORKDAY.INTL(I55,J55,1,Data!$C$3:$C$41)</f>
        <v>46092</v>
      </c>
      <c r="M55" s="253">
        <v>0</v>
      </c>
      <c r="N55" s="253">
        <f t="shared" ca="1" si="6"/>
        <v>0</v>
      </c>
      <c r="O55" s="121"/>
      <c r="Y55" s="24"/>
    </row>
    <row r="56" spans="2:28">
      <c r="B56" s="247">
        <v>8.5</v>
      </c>
      <c r="C56" s="242" t="s">
        <v>138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f>WORKDAY.INTL(K55,0,1,Data!$C$3:$C$41)</f>
        <v>46092</v>
      </c>
      <c r="J56" s="250">
        <v>1</v>
      </c>
      <c r="K56" s="252">
        <f>WORKDAY.INTL(I56,J56,1,Data!$C$3:$C$41)</f>
        <v>46093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139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46085</v>
      </c>
      <c r="J57" s="250">
        <v>5</v>
      </c>
      <c r="K57" s="252">
        <f>WORKDAY.INTL(I57,J57,1,Data!$C$3:$C$41)</f>
        <v>46092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204</v>
      </c>
      <c r="X65" s="696">
        <f t="shared" si="10"/>
        <v>46073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46074</v>
      </c>
      <c r="W67" s="697">
        <f t="shared" ref="W67:X67" si="12">J44</f>
        <v>4</v>
      </c>
      <c r="X67" s="696">
        <f t="shared" si="12"/>
        <v>46078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46074</v>
      </c>
      <c r="W68" s="697">
        <f t="shared" ref="W68:X68" si="13">J48</f>
        <v>2</v>
      </c>
      <c r="X68" s="696">
        <f t="shared" si="13"/>
        <v>46076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46076</v>
      </c>
      <c r="W69" s="697">
        <f t="shared" ref="W69:X69" si="14">J51</f>
        <v>17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.109375" customWidth="1"/>
    <col min="2" max="2" width="37.6640625" customWidth="1"/>
    <col min="3" max="3" width="9.44140625" bestFit="1" customWidth="1"/>
    <col min="4" max="4" width="12.109375" bestFit="1" customWidth="1"/>
    <col min="5" max="5" width="10.109375" customWidth="1"/>
    <col min="6" max="6" width="33.88671875" customWidth="1"/>
  </cols>
  <sheetData>
    <row r="1" spans="2:10" ht="15" thickBot="1"/>
    <row r="2" spans="2:10" ht="15.6" thickTop="1" thickBot="1">
      <c r="B2" s="792" t="s">
        <v>83</v>
      </c>
      <c r="C2" s="793"/>
      <c r="D2" s="793"/>
      <c r="E2" s="793"/>
      <c r="F2" s="794"/>
      <c r="G2" s="77"/>
      <c r="H2" s="77"/>
      <c r="I2" s="77"/>
      <c r="J2" s="77"/>
    </row>
    <row r="3" spans="2:10" ht="6.75" customHeight="1" thickTop="1"/>
    <row r="4" spans="2:10">
      <c r="B4" s="72" t="s">
        <v>140</v>
      </c>
      <c r="C4" s="78" t="s">
        <v>74</v>
      </c>
      <c r="D4" s="78" t="s">
        <v>141</v>
      </c>
      <c r="E4" s="78" t="s">
        <v>142</v>
      </c>
      <c r="F4" s="78" t="s">
        <v>143</v>
      </c>
    </row>
    <row r="5" spans="2:10">
      <c r="B5" s="74" t="s">
        <v>144</v>
      </c>
      <c r="C5" s="76"/>
      <c r="D5" s="76"/>
      <c r="E5" s="76"/>
      <c r="F5" s="71"/>
    </row>
    <row r="6" spans="2:10">
      <c r="B6" s="74" t="s">
        <v>145</v>
      </c>
      <c r="C6" s="76"/>
      <c r="D6" s="76"/>
      <c r="E6" s="76"/>
      <c r="F6" s="71"/>
    </row>
    <row r="7" spans="2:10">
      <c r="B7" s="74" t="s">
        <v>146</v>
      </c>
      <c r="C7" s="76"/>
      <c r="D7" s="76"/>
      <c r="E7" s="76"/>
      <c r="F7" s="71"/>
    </row>
    <row r="8" spans="2:10">
      <c r="B8" s="74" t="s">
        <v>147</v>
      </c>
      <c r="C8" s="76"/>
      <c r="D8" s="76"/>
      <c r="E8" s="76"/>
      <c r="F8" s="71"/>
    </row>
    <row r="9" spans="2:10">
      <c r="B9" s="75" t="s">
        <v>148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92" t="s">
        <v>149</v>
      </c>
      <c r="C16" s="793"/>
      <c r="D16" s="793"/>
      <c r="E16" s="793"/>
      <c r="F16" s="794"/>
    </row>
    <row r="17" spans="2:6" ht="15" thickTop="1"/>
    <row r="18" spans="2:6">
      <c r="B18" s="72" t="s">
        <v>140</v>
      </c>
      <c r="C18" s="78" t="s">
        <v>74</v>
      </c>
      <c r="D18" s="78" t="s">
        <v>141</v>
      </c>
      <c r="E18" s="78" t="s">
        <v>142</v>
      </c>
      <c r="F18" s="78" t="s">
        <v>143</v>
      </c>
    </row>
    <row r="19" spans="2:6">
      <c r="B19" s="74" t="s">
        <v>150</v>
      </c>
      <c r="C19" s="76"/>
      <c r="D19" s="76"/>
      <c r="E19" s="76"/>
      <c r="F19" s="71"/>
    </row>
    <row r="20" spans="2:6">
      <c r="B20" s="74" t="s">
        <v>151</v>
      </c>
      <c r="C20" s="76"/>
      <c r="D20" s="76"/>
      <c r="E20" s="76"/>
      <c r="F20" s="71"/>
    </row>
    <row r="21" spans="2:6">
      <c r="B21" s="74" t="s">
        <v>152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.109375" style="128" customWidth="1"/>
    <col min="5" max="5" width="6.5546875" style="128" customWidth="1"/>
    <col min="6" max="6" width="16.109375" style="128" customWidth="1"/>
    <col min="7" max="7" width="12.109375" style="128" bestFit="1" customWidth="1"/>
    <col min="8" max="8" width="24.88671875" style="128" bestFit="1" customWidth="1"/>
    <col min="9" max="9" width="1.44140625" style="128" customWidth="1"/>
    <col min="10" max="10" width="3.109375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.109375" style="128" bestFit="1" customWidth="1"/>
    <col min="17" max="17" width="15.109375" style="128" bestFit="1" customWidth="1"/>
    <col min="18" max="18" width="20.44140625" style="128" customWidth="1"/>
    <col min="19" max="19" width="16.109375" style="92" bestFit="1" customWidth="1"/>
    <col min="20" max="20" width="19.109375" style="128" bestFit="1" customWidth="1"/>
    <col min="21" max="21" width="15.109375" style="92" bestFit="1" customWidth="1"/>
    <col min="22" max="23" width="8.44140625" style="92"/>
    <col min="24" max="24" width="5.5546875" style="92" bestFit="1" customWidth="1"/>
    <col min="25" max="25" width="14.109375" style="92" bestFit="1" customWidth="1"/>
    <col min="26" max="26" width="8.44140625" style="92"/>
    <col min="27" max="27" width="14.109375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153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154</v>
      </c>
      <c r="F3" s="124" t="s">
        <v>155</v>
      </c>
      <c r="J3" s="140"/>
      <c r="L3" s="409" t="s">
        <v>156</v>
      </c>
      <c r="N3" s="409" t="s">
        <v>157</v>
      </c>
      <c r="P3" s="679" t="s">
        <v>158</v>
      </c>
      <c r="Q3" s="679" t="s">
        <v>159</v>
      </c>
      <c r="R3" s="679" t="s">
        <v>160</v>
      </c>
      <c r="S3" s="679" t="s">
        <v>161</v>
      </c>
      <c r="T3" s="679" t="s">
        <v>162</v>
      </c>
      <c r="U3" s="679" t="s">
        <v>163</v>
      </c>
    </row>
    <row r="4" spans="1:21" s="92" customFormat="1" ht="13.2">
      <c r="B4" s="351">
        <v>1</v>
      </c>
      <c r="C4" s="352" t="s">
        <v>164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165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2787043.82422968</v>
      </c>
      <c r="S4" s="680">
        <f>SUMIFS('Expenditure Breakdown'!$Q:$Q,
        'Expenditure Breakdown'!$T:$T, "&gt;"&amp;DATE(2025,8,31),
        'Expenditure Breakdown'!$T:$T, "&lt;="&amp;DATE(2026,8,31))</f>
        <v>3354410.1984999999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166</v>
      </c>
      <c r="D5" s="353">
        <f>+'Expenditure Tracking'!F5</f>
        <v>5836403.2100000009</v>
      </c>
      <c r="E5" s="354"/>
      <c r="F5" s="353">
        <f>+'Expenditure Tracking'!H5</f>
        <v>8075244.8235000009</v>
      </c>
      <c r="G5" s="712" t="s">
        <v>167</v>
      </c>
      <c r="H5" s="712" t="s">
        <v>168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169</v>
      </c>
      <c r="D6" s="353">
        <f>+D4-D5</f>
        <v>803894.66999999899</v>
      </c>
      <c r="E6" s="354"/>
      <c r="F6" s="353">
        <f>+F4-F5</f>
        <v>558421.75215217378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170</v>
      </c>
    </row>
    <row r="7" spans="1:21" s="92" customFormat="1" ht="15" customHeight="1" thickBot="1">
      <c r="B7" s="351">
        <v>4</v>
      </c>
      <c r="C7" s="352" t="s">
        <v>171</v>
      </c>
      <c r="D7" s="355">
        <f>+D6/D4</f>
        <v>0.12106304333443532</v>
      </c>
      <c r="E7" s="354"/>
      <c r="F7" s="355">
        <f>+F6/F4</f>
        <v>6.4679559635413816E-2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172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173</v>
      </c>
      <c r="D12" s="132"/>
      <c r="E12" s="130" t="s">
        <v>174</v>
      </c>
      <c r="F12" s="130" t="s">
        <v>175</v>
      </c>
      <c r="H12" s="356" t="s">
        <v>176</v>
      </c>
      <c r="J12" s="140"/>
      <c r="L12" s="165" t="s">
        <v>177</v>
      </c>
      <c r="M12" s="133"/>
      <c r="N12" s="165" t="s">
        <v>178</v>
      </c>
      <c r="O12" s="128"/>
      <c r="P12" s="165" t="s">
        <v>179</v>
      </c>
      <c r="R12" s="378" t="s">
        <v>180</v>
      </c>
    </row>
    <row r="13" spans="1:21" s="92" customFormat="1" ht="13.2">
      <c r="B13" s="351">
        <v>1</v>
      </c>
      <c r="C13" s="795" t="s">
        <v>181</v>
      </c>
      <c r="D13" s="796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182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795" t="s">
        <v>183</v>
      </c>
      <c r="D14" s="796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182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795" t="s">
        <v>184</v>
      </c>
      <c r="D15" s="796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182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795" t="s">
        <v>185</v>
      </c>
      <c r="D16" s="796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182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797" t="s">
        <v>186</v>
      </c>
      <c r="D17" s="798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182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795" t="s">
        <v>187</v>
      </c>
      <c r="D18" s="796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188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795" t="s">
        <v>189</v>
      </c>
      <c r="D19" s="796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190</v>
      </c>
      <c r="C23" s="144" t="s">
        <v>191</v>
      </c>
      <c r="D23" s="144"/>
      <c r="F23" s="145"/>
    </row>
    <row r="24" spans="2:18" s="92" customFormat="1" ht="13.2">
      <c r="C24" s="146" t="s">
        <v>192</v>
      </c>
      <c r="D24" s="147"/>
      <c r="F24" s="148"/>
      <c r="L24" s="700"/>
    </row>
    <row r="25" spans="2:18" s="92" customFormat="1" ht="13.2">
      <c r="C25" s="146" t="s">
        <v>193</v>
      </c>
      <c r="D25" s="147"/>
    </row>
    <row r="26" spans="2:18" s="92" customFormat="1" ht="13.2">
      <c r="C26" s="149" t="s">
        <v>194</v>
      </c>
      <c r="D26" s="150"/>
    </row>
    <row r="27" spans="2:18" s="92" customFormat="1" ht="13.2">
      <c r="C27" s="151" t="s">
        <v>195</v>
      </c>
      <c r="D27" s="147"/>
    </row>
    <row r="28" spans="2:18" s="92" customFormat="1" ht="13.2">
      <c r="B28" s="116"/>
      <c r="C28" s="151" t="s">
        <v>196</v>
      </c>
      <c r="D28" s="147"/>
    </row>
    <row r="29" spans="2:18" s="92" customFormat="1" ht="13.2">
      <c r="B29" s="116"/>
      <c r="C29" s="92" t="s">
        <v>197</v>
      </c>
    </row>
    <row r="30" spans="2:18" s="92" customFormat="1" ht="27.75" customHeight="1">
      <c r="B30" s="116"/>
      <c r="C30" s="152" t="s">
        <v>198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173</v>
      </c>
      <c r="D40" s="132"/>
      <c r="E40" s="130" t="s">
        <v>174</v>
      </c>
      <c r="F40" s="130" t="s">
        <v>175</v>
      </c>
    </row>
    <row r="41" spans="2:6" s="92" customFormat="1" ht="12.75" hidden="1" customHeight="1">
      <c r="B41" s="153">
        <v>1</v>
      </c>
      <c r="C41" s="154" t="s">
        <v>199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183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184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200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201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202</v>
      </c>
      <c r="F2" s="83" t="s">
        <v>203</v>
      </c>
    </row>
    <row r="3" spans="3:6">
      <c r="C3" s="79">
        <v>45658</v>
      </c>
      <c r="D3" s="73" t="s">
        <v>204</v>
      </c>
      <c r="F3" s="81" t="s">
        <v>205</v>
      </c>
    </row>
    <row r="4" spans="3:6">
      <c r="C4" s="79">
        <v>45737</v>
      </c>
      <c r="D4" s="73" t="s">
        <v>206</v>
      </c>
      <c r="F4" s="81" t="s">
        <v>207</v>
      </c>
    </row>
    <row r="5" spans="3:6">
      <c r="C5" s="79">
        <v>45765</v>
      </c>
      <c r="D5" s="73" t="s">
        <v>208</v>
      </c>
      <c r="F5" s="81" t="s">
        <v>209</v>
      </c>
    </row>
    <row r="6" spans="3:6" ht="13.8" thickBot="1">
      <c r="C6" s="79">
        <v>45768</v>
      </c>
      <c r="D6" s="73" t="s">
        <v>210</v>
      </c>
      <c r="F6" s="82" t="s">
        <v>211</v>
      </c>
    </row>
    <row r="7" spans="3:6">
      <c r="C7" s="79">
        <v>45774</v>
      </c>
      <c r="D7" s="73" t="s">
        <v>212</v>
      </c>
    </row>
    <row r="8" spans="3:6">
      <c r="C8" s="79">
        <v>45765</v>
      </c>
      <c r="D8" s="73" t="s">
        <v>213</v>
      </c>
    </row>
    <row r="9" spans="3:6">
      <c r="C9" s="79">
        <v>45778</v>
      </c>
      <c r="D9" s="73" t="s">
        <v>214</v>
      </c>
    </row>
    <row r="10" spans="3:6">
      <c r="C10" s="79">
        <v>45824</v>
      </c>
      <c r="D10" s="73" t="s">
        <v>215</v>
      </c>
    </row>
    <row r="11" spans="3:6">
      <c r="C11" s="79">
        <v>45878</v>
      </c>
      <c r="D11" s="73" t="s">
        <v>216</v>
      </c>
    </row>
    <row r="12" spans="3:6">
      <c r="C12" s="79">
        <v>45924</v>
      </c>
      <c r="D12" s="73" t="s">
        <v>217</v>
      </c>
    </row>
    <row r="13" spans="3:6">
      <c r="C13" s="79">
        <v>46007</v>
      </c>
      <c r="D13" s="73" t="s">
        <v>218</v>
      </c>
    </row>
    <row r="14" spans="3:6">
      <c r="C14" s="79">
        <v>46008</v>
      </c>
      <c r="D14" s="73" t="s">
        <v>219</v>
      </c>
    </row>
    <row r="15" spans="3:6">
      <c r="C15" s="79">
        <v>46009</v>
      </c>
      <c r="D15" s="73" t="s">
        <v>219</v>
      </c>
    </row>
    <row r="16" spans="3:6">
      <c r="C16" s="79">
        <v>46010</v>
      </c>
      <c r="D16" s="73" t="s">
        <v>219</v>
      </c>
    </row>
    <row r="17" spans="3:4">
      <c r="C17" s="79">
        <v>46011</v>
      </c>
      <c r="D17" s="73" t="s">
        <v>219</v>
      </c>
    </row>
    <row r="18" spans="3:4">
      <c r="C18" s="79">
        <v>46012</v>
      </c>
      <c r="D18" s="73" t="s">
        <v>219</v>
      </c>
    </row>
    <row r="19" spans="3:4">
      <c r="C19" s="79">
        <v>46013</v>
      </c>
      <c r="D19" s="73" t="s">
        <v>219</v>
      </c>
    </row>
    <row r="20" spans="3:4">
      <c r="C20" s="79">
        <v>46014</v>
      </c>
      <c r="D20" s="73" t="s">
        <v>219</v>
      </c>
    </row>
    <row r="21" spans="3:4">
      <c r="C21" s="79">
        <v>46015</v>
      </c>
      <c r="D21" s="73" t="s">
        <v>219</v>
      </c>
    </row>
    <row r="22" spans="3:4">
      <c r="C22" s="79">
        <v>46016</v>
      </c>
      <c r="D22" s="73" t="s">
        <v>219</v>
      </c>
    </row>
    <row r="23" spans="3:4">
      <c r="C23" s="79">
        <v>46017</v>
      </c>
      <c r="D23" s="73" t="s">
        <v>219</v>
      </c>
    </row>
    <row r="24" spans="3:4">
      <c r="C24" s="79">
        <v>46018</v>
      </c>
      <c r="D24" s="73" t="s">
        <v>219</v>
      </c>
    </row>
    <row r="25" spans="3:4">
      <c r="C25" s="79">
        <v>46019</v>
      </c>
      <c r="D25" s="73" t="s">
        <v>219</v>
      </c>
    </row>
    <row r="26" spans="3:4">
      <c r="C26" s="79">
        <v>46020</v>
      </c>
      <c r="D26" s="73" t="s">
        <v>219</v>
      </c>
    </row>
    <row r="27" spans="3:4">
      <c r="C27" s="79">
        <v>46021</v>
      </c>
      <c r="D27" s="73" t="s">
        <v>219</v>
      </c>
    </row>
    <row r="28" spans="3:4">
      <c r="C28" s="79">
        <v>46022</v>
      </c>
      <c r="D28" s="73" t="s">
        <v>219</v>
      </c>
    </row>
    <row r="29" spans="3:4">
      <c r="C29" s="79">
        <v>46023</v>
      </c>
      <c r="D29" s="73" t="s">
        <v>219</v>
      </c>
    </row>
    <row r="30" spans="3:4">
      <c r="C30" s="79">
        <v>46024</v>
      </c>
      <c r="D30" s="73" t="s">
        <v>219</v>
      </c>
    </row>
    <row r="31" spans="3:4">
      <c r="C31" s="79">
        <v>46025</v>
      </c>
      <c r="D31" s="73" t="s">
        <v>219</v>
      </c>
    </row>
    <row r="32" spans="3:4">
      <c r="C32" s="79">
        <v>46026</v>
      </c>
      <c r="D32" s="73" t="s">
        <v>219</v>
      </c>
    </row>
    <row r="33" spans="3:4">
      <c r="C33" s="79">
        <v>46027</v>
      </c>
      <c r="D33" s="73" t="s">
        <v>219</v>
      </c>
    </row>
    <row r="34" spans="3:4">
      <c r="C34" s="79">
        <v>46028</v>
      </c>
      <c r="D34" s="73" t="s">
        <v>219</v>
      </c>
    </row>
    <row r="35" spans="3:4">
      <c r="C35" s="79">
        <v>46029</v>
      </c>
      <c r="D35" s="73" t="s">
        <v>219</v>
      </c>
    </row>
    <row r="36" spans="3:4">
      <c r="C36" s="79">
        <v>46030</v>
      </c>
      <c r="D36" s="73" t="s">
        <v>219</v>
      </c>
    </row>
    <row r="37" spans="3:4">
      <c r="C37" s="79">
        <v>46031</v>
      </c>
      <c r="D37" s="73" t="s">
        <v>219</v>
      </c>
    </row>
    <row r="38" spans="3:4">
      <c r="C38" s="79">
        <v>46032</v>
      </c>
      <c r="D38" s="73" t="s">
        <v>219</v>
      </c>
    </row>
    <row r="39" spans="3:4">
      <c r="C39" s="79">
        <v>46033</v>
      </c>
      <c r="D39" s="73" t="s">
        <v>219</v>
      </c>
    </row>
    <row r="40" spans="3:4">
      <c r="C40" s="79">
        <v>46034</v>
      </c>
      <c r="D40" s="73" t="s">
        <v>219</v>
      </c>
    </row>
    <row r="41" spans="3:4">
      <c r="C41" s="79">
        <v>46016</v>
      </c>
      <c r="D41" s="73" t="s">
        <v>220</v>
      </c>
    </row>
    <row r="42" spans="3:4" ht="13.8" thickBot="1">
      <c r="C42" s="80">
        <v>46017</v>
      </c>
      <c r="D42" s="73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222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799"/>
      <c r="C4" s="799"/>
      <c r="D4" s="799"/>
      <c r="E4" s="413"/>
      <c r="F4" s="219" t="s">
        <v>154</v>
      </c>
      <c r="G4" s="214"/>
      <c r="H4" s="219" t="s">
        <v>155</v>
      </c>
      <c r="I4" s="214"/>
      <c r="J4" s="220" t="s">
        <v>223</v>
      </c>
      <c r="K4" s="111"/>
      <c r="L4" s="111"/>
    </row>
    <row r="5" spans="1:12" ht="14.4" thickBot="1">
      <c r="A5" s="214"/>
      <c r="B5" s="800" t="s">
        <v>224</v>
      </c>
      <c r="C5" s="800"/>
      <c r="D5" s="800"/>
      <c r="E5" s="413"/>
      <c r="F5" s="221">
        <f>SUM(F9:F23)</f>
        <v>5836403.2100000009</v>
      </c>
      <c r="G5" s="216"/>
      <c r="H5" s="221">
        <f>SUM(H9:H23)</f>
        <v>8075244.8235000009</v>
      </c>
      <c r="I5" s="214"/>
      <c r="J5" s="222">
        <f>SUM(J9:J23)</f>
        <v>-2238841.6135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225</v>
      </c>
      <c r="E7" s="225"/>
      <c r="F7" s="226" t="s">
        <v>226</v>
      </c>
      <c r="G7" s="227"/>
      <c r="H7" s="226" t="s">
        <v>227</v>
      </c>
      <c r="I7" s="227"/>
      <c r="J7" s="226" t="s">
        <v>228</v>
      </c>
      <c r="K7" s="171"/>
      <c r="L7" s="114" t="s">
        <v>229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247203.72349999999</v>
      </c>
      <c r="I21" s="88"/>
      <c r="J21" s="231">
        <f t="shared" si="0"/>
        <v>-13073.743499999982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2312.0799999999626</v>
      </c>
      <c r="I22" s="88"/>
      <c r="J22" s="231">
        <f t="shared" si="0"/>
        <v>5562.9200000000374</v>
      </c>
      <c r="K22" s="172"/>
      <c r="L22" s="254"/>
    </row>
    <row r="23" spans="1:12">
      <c r="A23" s="214"/>
      <c r="B23" s="228">
        <f>'Expenditure Breakdown'!L154</f>
        <v>15</v>
      </c>
      <c r="C23" s="217"/>
      <c r="D23" s="229" t="str">
        <f>'Expenditure Breakdown'!M154</f>
        <v>15. Service Add On</v>
      </c>
      <c r="E23" s="85"/>
      <c r="F23" s="230">
        <f>'Expenditure Breakdown'!I154</f>
        <v>0</v>
      </c>
      <c r="G23" s="85"/>
      <c r="H23" s="230">
        <f>'Expenditure Breakdown'!X154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230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S1" zoomScale="80" zoomScaleNormal="80" workbookViewId="0">
      <pane ySplit="4" topLeftCell="A5" activePane="bottomLeft" state="frozen"/>
      <selection activeCell="X33" sqref="X33"/>
      <selection pane="bottomLeft" activeCell="T7" sqref="T7:T8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.109375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.109375" style="111" bestFit="1" customWidth="1"/>
    <col min="19" max="19" width="32.664062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.109375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0" t="s">
        <v>231</v>
      </c>
      <c r="C2" s="731"/>
      <c r="D2" s="731"/>
      <c r="E2" s="731"/>
      <c r="F2" s="731"/>
      <c r="G2" s="731"/>
      <c r="H2" s="674"/>
      <c r="I2" s="257">
        <f>SUM(I6:I166)</f>
        <v>5836403.2100000009</v>
      </c>
      <c r="J2" s="257">
        <f>SUM(J6:J166)</f>
        <v>6640297.8750170004</v>
      </c>
      <c r="L2" s="732" t="s">
        <v>232</v>
      </c>
      <c r="M2" s="733"/>
      <c r="N2" s="733"/>
      <c r="O2" s="733"/>
      <c r="P2" s="733"/>
      <c r="Q2" s="733"/>
      <c r="R2" s="737" t="s">
        <v>233</v>
      </c>
      <c r="S2" s="738"/>
      <c r="T2" s="738"/>
      <c r="U2" s="738"/>
      <c r="V2" s="738"/>
      <c r="W2" s="739"/>
      <c r="X2" s="478">
        <f>SUM(X6:X166)</f>
        <v>8075244.8235000009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234</v>
      </c>
      <c r="C4" s="259" t="s">
        <v>235</v>
      </c>
      <c r="D4" s="259" t="s">
        <v>236</v>
      </c>
      <c r="E4" s="259" t="s">
        <v>237</v>
      </c>
      <c r="F4" s="465" t="s">
        <v>238</v>
      </c>
      <c r="G4" s="260" t="s">
        <v>239</v>
      </c>
      <c r="H4" s="371" t="s">
        <v>240</v>
      </c>
      <c r="I4" s="261" t="s">
        <v>241</v>
      </c>
      <c r="J4" s="261" t="str">
        <f>IF(J2-'Revenue Tracking'!D4&gt;=0, "Total Revenue", "ERROR on REV" )</f>
        <v>ERROR on REV</v>
      </c>
      <c r="K4" s="164"/>
      <c r="L4" s="258" t="s">
        <v>234</v>
      </c>
      <c r="M4" s="259" t="s">
        <v>242</v>
      </c>
      <c r="N4" s="259" t="s">
        <v>236</v>
      </c>
      <c r="O4" s="259" t="s">
        <v>237</v>
      </c>
      <c r="P4" s="465" t="s">
        <v>238</v>
      </c>
      <c r="Q4" s="373" t="s">
        <v>243</v>
      </c>
      <c r="R4" s="620" t="s">
        <v>244</v>
      </c>
      <c r="S4" s="621" t="s">
        <v>177</v>
      </c>
      <c r="T4" s="371" t="s">
        <v>178</v>
      </c>
      <c r="U4" s="372" t="s">
        <v>245</v>
      </c>
      <c r="V4" s="373" t="s">
        <v>246</v>
      </c>
      <c r="W4" s="371" t="s">
        <v>240</v>
      </c>
      <c r="X4" s="480" t="s">
        <v>241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247</v>
      </c>
      <c r="D6" s="281" t="s">
        <v>248</v>
      </c>
      <c r="E6" s="282"/>
      <c r="F6" s="437"/>
      <c r="G6" s="391">
        <v>1222111.8400000001</v>
      </c>
      <c r="H6" s="570">
        <f>H13</f>
        <v>45926</v>
      </c>
      <c r="I6" s="734">
        <f>SUM(G6:G11)</f>
        <v>1222111.8400000001</v>
      </c>
      <c r="J6" s="734">
        <f>D167</f>
        <v>1492013.321</v>
      </c>
      <c r="K6" s="388"/>
      <c r="L6" s="280">
        <v>1</v>
      </c>
      <c r="M6" s="417" t="s">
        <v>249</v>
      </c>
      <c r="N6" s="281" t="s">
        <v>250</v>
      </c>
      <c r="O6" s="547">
        <v>770</v>
      </c>
      <c r="P6" s="437">
        <f>1.95*590</f>
        <v>1150.5</v>
      </c>
      <c r="Q6" s="391">
        <f>O6*P6</f>
        <v>885885</v>
      </c>
      <c r="R6" s="586" t="s">
        <v>251</v>
      </c>
      <c r="S6" s="623" t="s">
        <v>252</v>
      </c>
      <c r="T6" s="669">
        <v>45900</v>
      </c>
      <c r="U6" s="671">
        <v>1492013.321</v>
      </c>
      <c r="V6" s="721">
        <f>J6-SUM(U6:U11)</f>
        <v>0</v>
      </c>
      <c r="W6" s="687">
        <v>45954</v>
      </c>
      <c r="X6" s="718">
        <f>SUM(Q6:Q11)</f>
        <v>888586</v>
      </c>
      <c r="Y6" s="482"/>
    </row>
    <row r="7" spans="1:76" ht="15" customHeight="1">
      <c r="B7" s="310">
        <v>1</v>
      </c>
      <c r="C7" s="418"/>
      <c r="D7" s="389" t="s">
        <v>253</v>
      </c>
      <c r="E7" s="390"/>
      <c r="F7" s="459"/>
      <c r="G7" s="314"/>
      <c r="H7" s="571"/>
      <c r="I7" s="735"/>
      <c r="J7" s="735"/>
      <c r="K7" s="287"/>
      <c r="L7" s="310">
        <v>1</v>
      </c>
      <c r="M7" s="312" t="s">
        <v>249</v>
      </c>
      <c r="N7" s="389" t="s">
        <v>495</v>
      </c>
      <c r="O7" s="548">
        <v>2</v>
      </c>
      <c r="P7" s="444">
        <v>1150.5</v>
      </c>
      <c r="Q7" s="314">
        <f>O7*P7</f>
        <v>2301</v>
      </c>
      <c r="R7" s="587"/>
      <c r="S7" s="624" t="s">
        <v>497</v>
      </c>
      <c r="T7" s="640">
        <v>46081</v>
      </c>
      <c r="U7" s="651">
        <v>0</v>
      </c>
      <c r="V7" s="722"/>
      <c r="W7" s="571">
        <v>46118</v>
      </c>
      <c r="X7" s="719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35"/>
      <c r="J8" s="735"/>
      <c r="K8" s="287"/>
      <c r="L8" s="310">
        <v>1</v>
      </c>
      <c r="M8" s="312" t="s">
        <v>249</v>
      </c>
      <c r="N8" s="485" t="s">
        <v>496</v>
      </c>
      <c r="O8" s="549"/>
      <c r="P8" s="444"/>
      <c r="Q8" s="314">
        <v>400</v>
      </c>
      <c r="R8" s="587"/>
      <c r="S8" s="624" t="s">
        <v>497</v>
      </c>
      <c r="T8" s="640">
        <v>46081</v>
      </c>
      <c r="U8" s="651">
        <v>0</v>
      </c>
      <c r="V8" s="722"/>
      <c r="W8" s="571">
        <v>46118</v>
      </c>
      <c r="X8" s="719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35"/>
      <c r="J9" s="735"/>
      <c r="K9" s="287"/>
      <c r="L9" s="310">
        <v>1</v>
      </c>
      <c r="M9" s="312" t="s">
        <v>249</v>
      </c>
      <c r="N9" s="485"/>
      <c r="O9" s="549"/>
      <c r="P9" s="444"/>
      <c r="Q9" s="386"/>
      <c r="R9" s="588"/>
      <c r="S9" s="625"/>
      <c r="T9" s="519" t="str">
        <f t="shared" ref="T7:T71" si="0">IF(W9&gt;1,EOMONTH(W9,0),"")</f>
        <v/>
      </c>
      <c r="U9" s="667">
        <v>0</v>
      </c>
      <c r="V9" s="722"/>
      <c r="W9" s="572"/>
      <c r="X9" s="719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35"/>
      <c r="J10" s="735"/>
      <c r="K10" s="287"/>
      <c r="L10" s="310">
        <v>1</v>
      </c>
      <c r="M10" s="312" t="s">
        <v>249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22"/>
      <c r="W10" s="572"/>
      <c r="X10" s="719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36"/>
      <c r="J11" s="736"/>
      <c r="K11" s="288"/>
      <c r="L11" s="315">
        <v>1</v>
      </c>
      <c r="M11" s="419" t="s">
        <v>249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23"/>
      <c r="W11" s="573"/>
      <c r="X11" s="720"/>
      <c r="Y11" s="604" t="s">
        <v>254</v>
      </c>
      <c r="Z11" s="605" t="s">
        <v>255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256</v>
      </c>
      <c r="Z12" s="607">
        <f>G52</f>
        <v>567347.29</v>
      </c>
    </row>
    <row r="13" spans="1:76" ht="14.25" customHeight="1">
      <c r="B13" s="292">
        <v>2</v>
      </c>
      <c r="C13" s="318" t="s">
        <v>257</v>
      </c>
      <c r="D13" s="318" t="s">
        <v>258</v>
      </c>
      <c r="E13" s="364"/>
      <c r="F13" s="457"/>
      <c r="G13" s="295">
        <v>400000</v>
      </c>
      <c r="H13" s="575">
        <v>45926</v>
      </c>
      <c r="I13" s="740">
        <f>SUM(G13:G19)</f>
        <v>400000</v>
      </c>
      <c r="J13" s="740">
        <f>D168</f>
        <v>488339.37199999997</v>
      </c>
      <c r="K13" s="296"/>
      <c r="L13" s="292">
        <v>2</v>
      </c>
      <c r="M13" s="420" t="s">
        <v>259</v>
      </c>
      <c r="N13" s="318" t="s">
        <v>260</v>
      </c>
      <c r="O13" s="552">
        <v>4</v>
      </c>
      <c r="P13" s="457">
        <v>53700.89</v>
      </c>
      <c r="Q13" s="295">
        <f>O13*P13</f>
        <v>214803.56</v>
      </c>
      <c r="R13" s="743" t="s">
        <v>261</v>
      </c>
      <c r="S13" s="660" t="s">
        <v>262</v>
      </c>
      <c r="T13" s="657">
        <v>45869</v>
      </c>
      <c r="U13" s="664">
        <v>484689.4815102109</v>
      </c>
      <c r="V13" s="724">
        <f>J13-SUM(U13:U19)</f>
        <v>0</v>
      </c>
      <c r="W13" s="701">
        <v>45926</v>
      </c>
      <c r="X13" s="727">
        <f>SUM(Q13:Q19)</f>
        <v>216421.11</v>
      </c>
      <c r="Y13" s="606" t="s">
        <v>263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1"/>
      <c r="J14" s="741"/>
      <c r="K14" s="300"/>
      <c r="L14" s="297">
        <v>2</v>
      </c>
      <c r="M14" s="426" t="s">
        <v>259</v>
      </c>
      <c r="N14" s="408" t="s">
        <v>264</v>
      </c>
      <c r="O14" s="553"/>
      <c r="P14" s="453"/>
      <c r="Q14" s="477">
        <v>396.44</v>
      </c>
      <c r="R14" s="744"/>
      <c r="S14" s="660" t="s">
        <v>262</v>
      </c>
      <c r="T14" s="658">
        <v>45869</v>
      </c>
      <c r="U14" s="665">
        <v>894.53963449166304</v>
      </c>
      <c r="V14" s="725"/>
      <c r="W14" s="702">
        <f>W13</f>
        <v>45926</v>
      </c>
      <c r="X14" s="728"/>
      <c r="Y14" s="606" t="s">
        <v>265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1"/>
      <c r="J15" s="741"/>
      <c r="K15" s="300"/>
      <c r="L15" s="297">
        <v>2</v>
      </c>
      <c r="M15" s="426" t="s">
        <v>259</v>
      </c>
      <c r="N15" s="408" t="s">
        <v>266</v>
      </c>
      <c r="O15" s="553"/>
      <c r="P15" s="453"/>
      <c r="Q15" s="477">
        <v>1221.1099999999999</v>
      </c>
      <c r="R15" s="592"/>
      <c r="S15" s="660" t="s">
        <v>262</v>
      </c>
      <c r="T15" s="658">
        <v>45869</v>
      </c>
      <c r="U15" s="665">
        <v>2755.3508552974336</v>
      </c>
      <c r="V15" s="725"/>
      <c r="W15" s="702">
        <v>45926</v>
      </c>
      <c r="X15" s="728"/>
      <c r="Y15" s="606" t="s">
        <v>267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1"/>
      <c r="J16" s="741"/>
      <c r="K16" s="300"/>
      <c r="L16" s="297">
        <v>2</v>
      </c>
      <c r="M16" s="426" t="s">
        <v>259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25"/>
      <c r="W16" s="576"/>
      <c r="X16" s="728"/>
      <c r="Y16" s="606" t="s">
        <v>268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1"/>
      <c r="J17" s="741"/>
      <c r="K17" s="300"/>
      <c r="L17" s="297">
        <v>2</v>
      </c>
      <c r="M17" s="426" t="s">
        <v>259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25"/>
      <c r="W17" s="576"/>
      <c r="X17" s="728"/>
      <c r="Y17" s="606" t="s">
        <v>269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1"/>
      <c r="J18" s="741"/>
      <c r="K18" s="300"/>
      <c r="L18" s="297">
        <v>2</v>
      </c>
      <c r="M18" s="426" t="s">
        <v>259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25"/>
      <c r="W18" s="576"/>
      <c r="X18" s="728"/>
      <c r="Y18" s="606" t="s">
        <v>270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42"/>
      <c r="J19" s="742"/>
      <c r="K19" s="305"/>
      <c r="L19" s="395">
        <v>2</v>
      </c>
      <c r="M19" s="421" t="s">
        <v>259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26"/>
      <c r="W19" s="577"/>
      <c r="X19" s="729"/>
      <c r="Y19" s="606" t="s">
        <v>271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272</v>
      </c>
      <c r="D21" s="326" t="s">
        <v>273</v>
      </c>
      <c r="E21" s="282"/>
      <c r="F21" s="437"/>
      <c r="G21" s="283">
        <v>181584</v>
      </c>
      <c r="H21" s="537">
        <v>45899</v>
      </c>
      <c r="I21" s="734">
        <f>SUM(G21:G26)</f>
        <v>181584</v>
      </c>
      <c r="J21" s="734">
        <f>D169</f>
        <v>221686.54130000001</v>
      </c>
      <c r="K21" s="284"/>
      <c r="L21" s="280">
        <v>3</v>
      </c>
      <c r="M21" s="422" t="s">
        <v>274</v>
      </c>
      <c r="N21" s="326" t="s">
        <v>275</v>
      </c>
      <c r="O21" s="547"/>
      <c r="P21" s="437"/>
      <c r="Q21" s="283">
        <v>122040.5</v>
      </c>
      <c r="R21" s="594" t="s">
        <v>276</v>
      </c>
      <c r="S21" s="631" t="s">
        <v>277</v>
      </c>
      <c r="T21" s="655">
        <v>45869</v>
      </c>
      <c r="U21" s="666">
        <v>221686.54130000001</v>
      </c>
      <c r="V21" s="721">
        <f>J21-SUM(U21:U26)</f>
        <v>0</v>
      </c>
      <c r="W21" s="537">
        <v>45899</v>
      </c>
      <c r="X21" s="718">
        <f>SUM(Q21:Q26)</f>
        <v>123340.5</v>
      </c>
      <c r="Y21" s="606" t="s">
        <v>278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35"/>
      <c r="J22" s="735"/>
      <c r="K22" s="287"/>
      <c r="L22" s="310">
        <v>3</v>
      </c>
      <c r="M22" s="423" t="s">
        <v>274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22"/>
      <c r="W22" s="571"/>
      <c r="X22" s="719"/>
      <c r="Y22" s="606" t="s">
        <v>201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35"/>
      <c r="J23" s="735"/>
      <c r="K23" s="287"/>
      <c r="L23" s="310">
        <v>3</v>
      </c>
      <c r="M23" s="423" t="s">
        <v>274</v>
      </c>
      <c r="N23" s="327" t="s">
        <v>279</v>
      </c>
      <c r="O23" s="548"/>
      <c r="P23" s="459"/>
      <c r="Q23" s="314">
        <v>1300</v>
      </c>
      <c r="R23" s="587" t="s">
        <v>280</v>
      </c>
      <c r="S23" s="624"/>
      <c r="T23" s="518">
        <v>46081</v>
      </c>
      <c r="U23" s="651">
        <v>0</v>
      </c>
      <c r="V23" s="722"/>
      <c r="W23" s="571">
        <f>T23</f>
        <v>46081</v>
      </c>
      <c r="X23" s="719"/>
      <c r="Y23" s="606" t="s">
        <v>281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35"/>
      <c r="J24" s="735"/>
      <c r="K24" s="287"/>
      <c r="L24" s="310">
        <v>3</v>
      </c>
      <c r="M24" s="423" t="s">
        <v>274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22"/>
      <c r="W24" s="572"/>
      <c r="X24" s="719"/>
      <c r="Y24" s="611" t="s">
        <v>282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35"/>
      <c r="J25" s="735"/>
      <c r="K25" s="287"/>
      <c r="L25" s="310">
        <v>3</v>
      </c>
      <c r="M25" s="423" t="s">
        <v>274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22"/>
      <c r="W25" s="572"/>
      <c r="X25" s="719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36"/>
      <c r="J26" s="736"/>
      <c r="K26" s="288"/>
      <c r="L26" s="315">
        <v>3</v>
      </c>
      <c r="M26" s="424" t="s">
        <v>274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23"/>
      <c r="W26" s="573"/>
      <c r="X26" s="720"/>
      <c r="Y26" s="612" t="s">
        <v>283</v>
      </c>
      <c r="Z26" s="613" t="s">
        <v>284</v>
      </c>
      <c r="AC26" s="612" t="s">
        <v>285</v>
      </c>
      <c r="AD26" s="613" t="s">
        <v>284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256</v>
      </c>
      <c r="AD27" s="615">
        <v>267902.5</v>
      </c>
    </row>
    <row r="28" spans="1:30" ht="14.25" customHeight="1">
      <c r="B28" s="292">
        <v>4</v>
      </c>
      <c r="C28" s="293" t="s">
        <v>263</v>
      </c>
      <c r="D28" s="293" t="s">
        <v>286</v>
      </c>
      <c r="E28" s="364"/>
      <c r="F28" s="457"/>
      <c r="G28" s="295">
        <v>233240</v>
      </c>
      <c r="H28" s="575">
        <v>45900</v>
      </c>
      <c r="I28" s="740">
        <f>SUM(G28:G42)</f>
        <v>525691.6</v>
      </c>
      <c r="J28" s="740">
        <f>D170</f>
        <v>641789.76450000005</v>
      </c>
      <c r="K28" s="296"/>
      <c r="L28" s="292">
        <v>4</v>
      </c>
      <c r="M28" s="425" t="s">
        <v>287</v>
      </c>
      <c r="N28" s="293" t="s">
        <v>288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289</v>
      </c>
      <c r="T28" s="656">
        <v>45869</v>
      </c>
      <c r="U28" s="664">
        <v>308594.28851123527</v>
      </c>
      <c r="V28" s="724">
        <f>J28-SUM(U28:U42)</f>
        <v>0</v>
      </c>
      <c r="W28" s="701">
        <v>45900</v>
      </c>
      <c r="X28" s="727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290</v>
      </c>
      <c r="E29" s="394"/>
      <c r="F29" s="453"/>
      <c r="G29" s="545">
        <v>292451.59999999998</v>
      </c>
      <c r="H29" s="575">
        <v>45900</v>
      </c>
      <c r="I29" s="741"/>
      <c r="J29" s="741"/>
      <c r="K29" s="300"/>
      <c r="L29" s="297">
        <v>4</v>
      </c>
      <c r="M29" s="426" t="s">
        <v>287</v>
      </c>
      <c r="N29" s="408" t="s">
        <v>288</v>
      </c>
      <c r="O29" s="544">
        <v>9000</v>
      </c>
      <c r="P29" s="453">
        <v>14</v>
      </c>
      <c r="Q29" s="299">
        <f>O29*P29</f>
        <v>126000</v>
      </c>
      <c r="R29" s="592" t="s">
        <v>291</v>
      </c>
      <c r="S29" s="629" t="s">
        <v>292</v>
      </c>
      <c r="T29" s="645">
        <v>46053</v>
      </c>
      <c r="U29" s="507">
        <v>0</v>
      </c>
      <c r="V29" s="725"/>
      <c r="W29" s="576">
        <v>46081</v>
      </c>
      <c r="X29" s="728"/>
      <c r="Y29" s="614" t="str">
        <f t="shared" si="1"/>
        <v>AC Labour</v>
      </c>
      <c r="Z29" s="615">
        <v>136200</v>
      </c>
      <c r="AC29" s="614" t="s">
        <v>265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1"/>
      <c r="J30" s="741"/>
      <c r="K30" s="300"/>
      <c r="L30" s="297">
        <v>4</v>
      </c>
      <c r="M30" s="426" t="s">
        <v>287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25"/>
      <c r="W30" s="576"/>
      <c r="X30" s="728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1"/>
      <c r="J31" s="741"/>
      <c r="K31" s="300"/>
      <c r="L31" s="297">
        <v>4</v>
      </c>
      <c r="M31" s="426" t="s">
        <v>287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25"/>
      <c r="W31" s="576"/>
      <c r="X31" s="728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1"/>
      <c r="J32" s="741"/>
      <c r="K32" s="300"/>
      <c r="L32" s="297">
        <v>4</v>
      </c>
      <c r="M32" s="426" t="s">
        <v>287</v>
      </c>
      <c r="N32" s="408" t="s">
        <v>293</v>
      </c>
      <c r="O32" s="564">
        <f>Z28</f>
        <v>262372</v>
      </c>
      <c r="P32" s="565">
        <v>0.1</v>
      </c>
      <c r="Q32" s="299">
        <f>$O$32*P32</f>
        <v>26237.200000000001</v>
      </c>
      <c r="R32" s="745" t="s">
        <v>294</v>
      </c>
      <c r="S32" s="629" t="s">
        <v>295</v>
      </c>
      <c r="T32" s="645">
        <v>45869</v>
      </c>
      <c r="U32" s="665">
        <v>33319.547598876474</v>
      </c>
      <c r="V32" s="725"/>
      <c r="W32" s="536">
        <f>W95</f>
        <v>45883</v>
      </c>
      <c r="X32" s="728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1"/>
      <c r="J33" s="741"/>
      <c r="K33" s="300"/>
      <c r="L33" s="297">
        <v>4</v>
      </c>
      <c r="M33" s="426" t="s">
        <v>287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46"/>
      <c r="S33" s="629" t="s">
        <v>296</v>
      </c>
      <c r="T33" s="645">
        <v>45869</v>
      </c>
      <c r="U33" s="665">
        <v>49979.321398314707</v>
      </c>
      <c r="V33" s="725"/>
      <c r="W33" s="536">
        <v>45869</v>
      </c>
      <c r="X33" s="728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1"/>
      <c r="J34" s="741"/>
      <c r="K34" s="300"/>
      <c r="L34" s="297">
        <v>4</v>
      </c>
      <c r="M34" s="426" t="s">
        <v>287</v>
      </c>
      <c r="N34" s="408" t="s">
        <v>297</v>
      </c>
      <c r="O34" s="709"/>
      <c r="P34" s="565">
        <v>0.2</v>
      </c>
      <c r="Q34" s="299">
        <f t="shared" si="6"/>
        <v>52474.400000000001</v>
      </c>
      <c r="R34" s="746"/>
      <c r="S34" s="629" t="s">
        <v>298</v>
      </c>
      <c r="T34" s="645">
        <v>45900</v>
      </c>
      <c r="U34" s="665">
        <v>66639.095197752948</v>
      </c>
      <c r="V34" s="725"/>
      <c r="W34" s="702">
        <v>46009</v>
      </c>
      <c r="X34" s="728"/>
      <c r="Y34" s="614" t="s">
        <v>299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1"/>
      <c r="J35" s="741"/>
      <c r="K35" s="300"/>
      <c r="L35" s="297">
        <v>4</v>
      </c>
      <c r="M35" s="426" t="s">
        <v>287</v>
      </c>
      <c r="N35" s="408" t="s">
        <v>300</v>
      </c>
      <c r="O35" s="553"/>
      <c r="P35" s="565">
        <v>0.25</v>
      </c>
      <c r="Q35" s="299">
        <f t="shared" si="6"/>
        <v>65593</v>
      </c>
      <c r="R35" s="746"/>
      <c r="S35" s="629" t="s">
        <v>298</v>
      </c>
      <c r="T35" s="645">
        <v>45900</v>
      </c>
      <c r="U35" s="665">
        <v>83298.868997191181</v>
      </c>
      <c r="V35" s="725"/>
      <c r="W35" s="576">
        <f t="shared" ref="W35:W39" si="10">W98</f>
        <v>46080</v>
      </c>
      <c r="X35" s="728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1"/>
      <c r="J36" s="741"/>
      <c r="K36" s="300"/>
      <c r="L36" s="297">
        <v>4</v>
      </c>
      <c r="M36" s="426" t="s">
        <v>287</v>
      </c>
      <c r="N36" s="408" t="s">
        <v>186</v>
      </c>
      <c r="O36" s="553"/>
      <c r="P36" s="565">
        <v>0.1</v>
      </c>
      <c r="Q36" s="299">
        <f t="shared" si="6"/>
        <v>26237.200000000001</v>
      </c>
      <c r="R36" s="746"/>
      <c r="S36" s="629" t="s">
        <v>298</v>
      </c>
      <c r="T36" s="645">
        <v>45900</v>
      </c>
      <c r="U36" s="665">
        <v>33319.547598876474</v>
      </c>
      <c r="V36" s="725"/>
      <c r="W36" s="576">
        <f t="shared" si="10"/>
        <v>46085</v>
      </c>
      <c r="X36" s="728"/>
      <c r="Y36" s="614" t="s">
        <v>278</v>
      </c>
      <c r="Z36" s="615">
        <v>0</v>
      </c>
      <c r="AC36" s="614" t="s">
        <v>278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1"/>
      <c r="J37" s="741"/>
      <c r="K37" s="300"/>
      <c r="L37" s="297">
        <v>4</v>
      </c>
      <c r="M37" s="426" t="s">
        <v>287</v>
      </c>
      <c r="N37" s="408" t="s">
        <v>301</v>
      </c>
      <c r="O37" s="553"/>
      <c r="P37" s="565">
        <v>0.1</v>
      </c>
      <c r="Q37" s="299">
        <f t="shared" si="6"/>
        <v>26237.200000000001</v>
      </c>
      <c r="R37" s="746"/>
      <c r="S37" s="629" t="s">
        <v>298</v>
      </c>
      <c r="T37" s="645">
        <v>45900</v>
      </c>
      <c r="U37" s="665">
        <v>33319.547598876474</v>
      </c>
      <c r="V37" s="725"/>
      <c r="W37" s="576">
        <f t="shared" si="10"/>
        <v>46090</v>
      </c>
      <c r="X37" s="728"/>
      <c r="Y37" s="614" t="s">
        <v>278</v>
      </c>
      <c r="Z37" s="616">
        <v>0</v>
      </c>
      <c r="AC37" s="614" t="s">
        <v>278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1"/>
      <c r="J38" s="741"/>
      <c r="K38" s="300"/>
      <c r="L38" s="297">
        <v>4</v>
      </c>
      <c r="M38" s="426" t="s">
        <v>287</v>
      </c>
      <c r="N38" s="408" t="s">
        <v>302</v>
      </c>
      <c r="O38" s="553"/>
      <c r="P38" s="565">
        <v>0.05</v>
      </c>
      <c r="Q38" s="299">
        <f t="shared" si="6"/>
        <v>13118.6</v>
      </c>
      <c r="R38" s="746"/>
      <c r="S38" s="629" t="s">
        <v>298</v>
      </c>
      <c r="T38" s="645">
        <v>45900</v>
      </c>
      <c r="U38" s="665">
        <v>16659.773799438237</v>
      </c>
      <c r="V38" s="725"/>
      <c r="W38" s="576">
        <f t="shared" si="10"/>
        <v>46090</v>
      </c>
      <c r="X38" s="728"/>
      <c r="Y38" s="614" t="s">
        <v>201</v>
      </c>
      <c r="Z38" s="615">
        <f>SUM(Z27:Z37)</f>
        <v>1125159.5</v>
      </c>
      <c r="AC38" s="614" t="s">
        <v>201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1"/>
      <c r="J39" s="741"/>
      <c r="K39" s="300"/>
      <c r="L39" s="297">
        <v>4</v>
      </c>
      <c r="M39" s="426" t="s">
        <v>287</v>
      </c>
      <c r="N39" s="408" t="s">
        <v>303</v>
      </c>
      <c r="O39" s="553"/>
      <c r="P39" s="565">
        <v>0.05</v>
      </c>
      <c r="Q39" s="299">
        <f t="shared" si="6"/>
        <v>13118.6</v>
      </c>
      <c r="R39" s="747"/>
      <c r="S39" s="629" t="s">
        <v>298</v>
      </c>
      <c r="T39" s="645">
        <v>45900</v>
      </c>
      <c r="U39" s="665">
        <v>16659.773799438237</v>
      </c>
      <c r="V39" s="725"/>
      <c r="W39" s="576">
        <f t="shared" si="10"/>
        <v>46113</v>
      </c>
      <c r="X39" s="728"/>
      <c r="Y39" s="617" t="s">
        <v>282</v>
      </c>
      <c r="Z39" s="616">
        <f>Z38/'Project Plan'!$E$3/1000</f>
        <v>2.4783248898678414</v>
      </c>
      <c r="AC39" s="617" t="s">
        <v>282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1"/>
      <c r="J40" s="741"/>
      <c r="K40" s="300"/>
      <c r="L40" s="297">
        <v>4</v>
      </c>
      <c r="M40" s="426" t="s">
        <v>287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25"/>
      <c r="W40" s="576"/>
      <c r="X40" s="728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1"/>
      <c r="J41" s="741"/>
      <c r="K41" s="300"/>
      <c r="L41" s="297">
        <v>4</v>
      </c>
      <c r="M41" s="426" t="s">
        <v>287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25"/>
      <c r="W41" s="576"/>
      <c r="X41" s="728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42"/>
      <c r="J42" s="742"/>
      <c r="K42" s="305"/>
      <c r="L42" s="301">
        <v>4</v>
      </c>
      <c r="M42" s="427" t="s">
        <v>287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26"/>
      <c r="W42" s="577"/>
      <c r="X42" s="729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304</v>
      </c>
      <c r="D44" s="326" t="s">
        <v>305</v>
      </c>
      <c r="E44" s="282"/>
      <c r="F44" s="437"/>
      <c r="G44" s="283">
        <f>174000-G45</f>
        <v>159000</v>
      </c>
      <c r="H44" s="661">
        <v>45866</v>
      </c>
      <c r="I44" s="734">
        <f>SUM(G44:G50)</f>
        <v>174000</v>
      </c>
      <c r="J44" s="734">
        <f>D172</f>
        <v>212427.6268</v>
      </c>
      <c r="K44" s="284"/>
      <c r="L44" s="280">
        <v>5</v>
      </c>
      <c r="M44" s="422" t="s">
        <v>306</v>
      </c>
      <c r="N44" s="326" t="s">
        <v>307</v>
      </c>
      <c r="O44" s="547"/>
      <c r="P44" s="437"/>
      <c r="Q44" s="283">
        <v>36324.44</v>
      </c>
      <c r="R44" s="594" t="s">
        <v>308</v>
      </c>
      <c r="S44" s="631"/>
      <c r="T44" s="525">
        <v>46081</v>
      </c>
      <c r="U44" s="510">
        <f>(Q44/$X$44*$J$44)-14643.56</f>
        <v>47453.8580247629</v>
      </c>
      <c r="V44" s="721">
        <f>J44-SUM(U44:U50)</f>
        <v>1021.3366127788613</v>
      </c>
      <c r="W44" s="578">
        <f>T44+30</f>
        <v>46111</v>
      </c>
      <c r="X44" s="718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309</v>
      </c>
      <c r="E45" s="451"/>
      <c r="F45" s="452"/>
      <c r="G45" s="314">
        <v>15000</v>
      </c>
      <c r="H45" s="661">
        <v>45867</v>
      </c>
      <c r="I45" s="735"/>
      <c r="J45" s="735"/>
      <c r="K45" s="287"/>
      <c r="L45" s="285">
        <v>5</v>
      </c>
      <c r="M45" s="428" t="s">
        <v>306</v>
      </c>
      <c r="N45" s="286" t="s">
        <v>310</v>
      </c>
      <c r="O45" s="555"/>
      <c r="P45" s="452"/>
      <c r="Q45" s="314">
        <v>22768</v>
      </c>
      <c r="R45" s="587" t="s">
        <v>311</v>
      </c>
      <c r="S45" s="624" t="s">
        <v>312</v>
      </c>
      <c r="T45" s="640">
        <v>45838</v>
      </c>
      <c r="U45" s="651">
        <v>41886.51580509232</v>
      </c>
      <c r="V45" s="722"/>
      <c r="W45" s="661">
        <v>45867</v>
      </c>
      <c r="X45" s="719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35"/>
      <c r="J46" s="735"/>
      <c r="K46" s="287"/>
      <c r="L46" s="285">
        <v>5</v>
      </c>
      <c r="M46" s="428" t="s">
        <v>306</v>
      </c>
      <c r="N46" s="312" t="s">
        <v>313</v>
      </c>
      <c r="O46" s="548"/>
      <c r="P46" s="459"/>
      <c r="Q46" s="314">
        <v>11169</v>
      </c>
      <c r="R46" s="587"/>
      <c r="S46" s="624" t="s">
        <v>314</v>
      </c>
      <c r="T46" s="640">
        <v>45869</v>
      </c>
      <c r="U46" s="651">
        <v>20823.825129055531</v>
      </c>
      <c r="V46" s="722"/>
      <c r="W46" s="534">
        <v>45869</v>
      </c>
      <c r="X46" s="719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35"/>
      <c r="J47" s="735"/>
      <c r="K47" s="287"/>
      <c r="L47" s="310">
        <v>5</v>
      </c>
      <c r="M47" s="428" t="s">
        <v>306</v>
      </c>
      <c r="N47" s="312" t="s">
        <v>315</v>
      </c>
      <c r="O47" s="548"/>
      <c r="P47" s="459"/>
      <c r="Q47" s="314">
        <v>54000</v>
      </c>
      <c r="R47" s="587" t="s">
        <v>316</v>
      </c>
      <c r="S47" s="624" t="s">
        <v>317</v>
      </c>
      <c r="T47" s="640">
        <v>45869</v>
      </c>
      <c r="U47" s="651">
        <v>101242.09122831037</v>
      </c>
      <c r="V47" s="722"/>
      <c r="W47" s="534">
        <v>45900</v>
      </c>
      <c r="X47" s="719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35"/>
      <c r="J48" s="735"/>
      <c r="K48" s="287"/>
      <c r="L48" s="310">
        <v>5</v>
      </c>
      <c r="M48" s="428" t="s">
        <v>306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22"/>
      <c r="W48" s="704"/>
      <c r="X48" s="719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35"/>
      <c r="J49" s="735"/>
      <c r="K49" s="287"/>
      <c r="L49" s="310">
        <v>5</v>
      </c>
      <c r="M49" s="428" t="s">
        <v>306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22"/>
      <c r="W49" s="572"/>
      <c r="X49" s="719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36"/>
      <c r="J50" s="736"/>
      <c r="K50" s="288"/>
      <c r="L50" s="315">
        <v>5</v>
      </c>
      <c r="M50" s="424" t="s">
        <v>306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23"/>
      <c r="W50" s="573"/>
      <c r="X50" s="720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256</v>
      </c>
      <c r="D52" s="294" t="s">
        <v>318</v>
      </c>
      <c r="E52" s="475"/>
      <c r="F52" s="457"/>
      <c r="G52" s="295">
        <v>567347.29</v>
      </c>
      <c r="H52" s="575">
        <v>45900</v>
      </c>
      <c r="I52" s="740">
        <f>SUM(G52:G64)</f>
        <v>567347.29</v>
      </c>
      <c r="J52" s="740">
        <f>D171</f>
        <v>692645.04460000002</v>
      </c>
      <c r="K52" s="296"/>
      <c r="L52" s="292">
        <v>6</v>
      </c>
      <c r="M52" s="431" t="s">
        <v>319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24">
        <f>J52-SUM(U52:U64)</f>
        <v>0</v>
      </c>
      <c r="W52" s="575"/>
      <c r="X52" s="727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1"/>
      <c r="J53" s="741"/>
      <c r="K53" s="300"/>
      <c r="L53" s="297">
        <v>6</v>
      </c>
      <c r="M53" s="429" t="s">
        <v>319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25"/>
      <c r="W53" s="576"/>
      <c r="X53" s="728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1"/>
      <c r="J54" s="741"/>
      <c r="K54" s="300"/>
      <c r="L54" s="297">
        <v>6</v>
      </c>
      <c r="M54" s="429" t="s">
        <v>319</v>
      </c>
      <c r="N54" s="408" t="s">
        <v>293</v>
      </c>
      <c r="O54" s="564">
        <f>Z27</f>
        <v>235040</v>
      </c>
      <c r="P54" s="565">
        <v>0.1</v>
      </c>
      <c r="Q54" s="299">
        <f>$O$54*P54</f>
        <v>23504</v>
      </c>
      <c r="R54" s="745"/>
      <c r="S54" s="629" t="s">
        <v>295</v>
      </c>
      <c r="T54" s="645">
        <f t="shared" ref="T54:T61" si="11">T32</f>
        <v>45869</v>
      </c>
      <c r="U54" s="665">
        <v>69264.504460000011</v>
      </c>
      <c r="V54" s="725"/>
      <c r="W54" s="536">
        <f>W95</f>
        <v>45883</v>
      </c>
      <c r="X54" s="728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1"/>
      <c r="J55" s="741"/>
      <c r="K55" s="300"/>
      <c r="L55" s="297">
        <v>6</v>
      </c>
      <c r="M55" s="430" t="s">
        <v>319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46"/>
      <c r="S55" s="629" t="s">
        <v>296</v>
      </c>
      <c r="T55" s="645">
        <f>T33</f>
        <v>45869</v>
      </c>
      <c r="U55" s="665">
        <v>103896.75668999999</v>
      </c>
      <c r="V55" s="725"/>
      <c r="W55" s="536">
        <f t="shared" ref="W55:W61" si="14">W96</f>
        <v>45869</v>
      </c>
      <c r="X55" s="728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1"/>
      <c r="J56" s="741"/>
      <c r="K56" s="300"/>
      <c r="L56" s="297">
        <v>6</v>
      </c>
      <c r="M56" s="430" t="s">
        <v>319</v>
      </c>
      <c r="N56" s="408" t="s">
        <v>297</v>
      </c>
      <c r="O56" s="553"/>
      <c r="P56" s="565">
        <v>0.2</v>
      </c>
      <c r="Q56" s="299">
        <f t="shared" si="13"/>
        <v>47008</v>
      </c>
      <c r="R56" s="746"/>
      <c r="S56" s="629" t="s">
        <v>298</v>
      </c>
      <c r="T56" s="645">
        <f t="shared" si="11"/>
        <v>45900</v>
      </c>
      <c r="U56" s="665">
        <v>138529.00892000002</v>
      </c>
      <c r="V56" s="725"/>
      <c r="W56" s="702">
        <v>46009</v>
      </c>
      <c r="X56" s="728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1"/>
      <c r="J57" s="741"/>
      <c r="K57" s="300"/>
      <c r="L57" s="297">
        <v>6</v>
      </c>
      <c r="M57" s="430" t="s">
        <v>319</v>
      </c>
      <c r="N57" s="408" t="s">
        <v>300</v>
      </c>
      <c r="O57" s="553"/>
      <c r="P57" s="565">
        <v>0.25</v>
      </c>
      <c r="Q57" s="299">
        <f t="shared" si="13"/>
        <v>58760</v>
      </c>
      <c r="R57" s="746"/>
      <c r="S57" s="629" t="s">
        <v>298</v>
      </c>
      <c r="T57" s="645">
        <f t="shared" si="11"/>
        <v>45900</v>
      </c>
      <c r="U57" s="665">
        <v>173161.26115000001</v>
      </c>
      <c r="V57" s="725"/>
      <c r="W57" s="576">
        <f t="shared" si="14"/>
        <v>46080</v>
      </c>
      <c r="X57" s="728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1"/>
      <c r="J58" s="741"/>
      <c r="K58" s="300"/>
      <c r="L58" s="297">
        <v>6</v>
      </c>
      <c r="M58" s="430" t="s">
        <v>319</v>
      </c>
      <c r="N58" s="408" t="s">
        <v>186</v>
      </c>
      <c r="O58" s="553"/>
      <c r="P58" s="565">
        <v>0.1</v>
      </c>
      <c r="Q58" s="299">
        <f t="shared" si="13"/>
        <v>23504</v>
      </c>
      <c r="R58" s="746"/>
      <c r="S58" s="629" t="s">
        <v>298</v>
      </c>
      <c r="T58" s="645">
        <f t="shared" si="11"/>
        <v>45900</v>
      </c>
      <c r="U58" s="665">
        <v>69264.504460000011</v>
      </c>
      <c r="V58" s="725"/>
      <c r="W58" s="576">
        <f t="shared" si="14"/>
        <v>46085</v>
      </c>
      <c r="X58" s="728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1"/>
      <c r="J59" s="741"/>
      <c r="K59" s="300"/>
      <c r="L59" s="297">
        <v>6</v>
      </c>
      <c r="M59" s="430" t="s">
        <v>319</v>
      </c>
      <c r="N59" s="408" t="s">
        <v>301</v>
      </c>
      <c r="O59" s="553"/>
      <c r="P59" s="565">
        <v>0.1</v>
      </c>
      <c r="Q59" s="299">
        <f t="shared" si="13"/>
        <v>23504</v>
      </c>
      <c r="R59" s="746"/>
      <c r="S59" s="633" t="s">
        <v>298</v>
      </c>
      <c r="T59" s="645">
        <f t="shared" si="11"/>
        <v>45900</v>
      </c>
      <c r="U59" s="672">
        <v>69264.504460000011</v>
      </c>
      <c r="V59" s="725"/>
      <c r="W59" s="576">
        <f t="shared" si="14"/>
        <v>46090</v>
      </c>
      <c r="X59" s="728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1"/>
      <c r="J60" s="741"/>
      <c r="K60" s="300"/>
      <c r="L60" s="297">
        <v>6</v>
      </c>
      <c r="M60" s="430" t="s">
        <v>319</v>
      </c>
      <c r="N60" s="408" t="s">
        <v>302</v>
      </c>
      <c r="O60" s="553"/>
      <c r="P60" s="565">
        <v>0.05</v>
      </c>
      <c r="Q60" s="299">
        <f t="shared" si="13"/>
        <v>11752</v>
      </c>
      <c r="R60" s="746"/>
      <c r="S60" s="633" t="s">
        <v>298</v>
      </c>
      <c r="T60" s="645">
        <f t="shared" si="11"/>
        <v>45900</v>
      </c>
      <c r="U60" s="672">
        <v>34632.252230000006</v>
      </c>
      <c r="V60" s="725"/>
      <c r="W60" s="576">
        <f t="shared" si="14"/>
        <v>46090</v>
      </c>
      <c r="X60" s="728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1"/>
      <c r="J61" s="741"/>
      <c r="K61" s="300"/>
      <c r="L61" s="297">
        <v>6</v>
      </c>
      <c r="M61" s="430" t="s">
        <v>319</v>
      </c>
      <c r="N61" s="408" t="s">
        <v>303</v>
      </c>
      <c r="O61" s="553"/>
      <c r="P61" s="565">
        <v>0.05</v>
      </c>
      <c r="Q61" s="299">
        <f t="shared" si="13"/>
        <v>11752</v>
      </c>
      <c r="R61" s="747"/>
      <c r="S61" s="633" t="s">
        <v>298</v>
      </c>
      <c r="T61" s="645">
        <f t="shared" si="11"/>
        <v>45900</v>
      </c>
      <c r="U61" s="672">
        <v>34632.252230000006</v>
      </c>
      <c r="V61" s="725"/>
      <c r="W61" s="576">
        <f t="shared" si="14"/>
        <v>46113</v>
      </c>
      <c r="X61" s="728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1"/>
      <c r="J62" s="741"/>
      <c r="K62" s="300"/>
      <c r="L62" s="297">
        <v>6</v>
      </c>
      <c r="M62" s="430" t="s">
        <v>319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25"/>
      <c r="W62" s="579"/>
      <c r="X62" s="728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1"/>
      <c r="J63" s="741"/>
      <c r="K63" s="300"/>
      <c r="L63" s="297">
        <v>6</v>
      </c>
      <c r="M63" s="430" t="s">
        <v>319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25"/>
      <c r="W63" s="579"/>
      <c r="X63" s="728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42"/>
      <c r="J64" s="742"/>
      <c r="K64" s="305"/>
      <c r="L64" s="301">
        <v>6</v>
      </c>
      <c r="M64" s="432" t="s">
        <v>319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26"/>
      <c r="W64" s="577"/>
      <c r="X64" s="729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320</v>
      </c>
      <c r="D66" s="381"/>
      <c r="E66" s="462"/>
      <c r="F66" s="468"/>
      <c r="G66" s="382"/>
      <c r="H66" s="581"/>
      <c r="I66" s="734">
        <f>SUM(G66:G73)</f>
        <v>0</v>
      </c>
      <c r="J66" s="734">
        <v>0</v>
      </c>
      <c r="K66" s="284"/>
      <c r="L66" s="380">
        <v>7</v>
      </c>
      <c r="M66" s="308" t="s">
        <v>321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48">
        <f>J66-SUM(U66:U73)</f>
        <v>0</v>
      </c>
      <c r="W66" s="581"/>
      <c r="X66" s="718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35"/>
      <c r="J67" s="735"/>
      <c r="K67" s="287"/>
      <c r="L67" s="383">
        <v>7</v>
      </c>
      <c r="M67" s="384" t="s">
        <v>321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49"/>
      <c r="W67" s="572"/>
      <c r="X67" s="719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35"/>
      <c r="J68" s="735"/>
      <c r="K68" s="287"/>
      <c r="L68" s="383">
        <v>7</v>
      </c>
      <c r="M68" s="384" t="s">
        <v>321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49"/>
      <c r="W68" s="572"/>
      <c r="X68" s="719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35"/>
      <c r="J69" s="735"/>
      <c r="K69" s="287"/>
      <c r="L69" s="383">
        <v>7</v>
      </c>
      <c r="M69" s="384" t="s">
        <v>321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49"/>
      <c r="W69" s="572"/>
      <c r="X69" s="719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35"/>
      <c r="J70" s="735"/>
      <c r="K70" s="287"/>
      <c r="L70" s="383">
        <v>7</v>
      </c>
      <c r="M70" s="384" t="s">
        <v>321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49"/>
      <c r="W70" s="572"/>
      <c r="X70" s="719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35"/>
      <c r="J71" s="735"/>
      <c r="K71" s="287"/>
      <c r="L71" s="383">
        <v>7</v>
      </c>
      <c r="M71" s="384" t="s">
        <v>321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49"/>
      <c r="W71" s="572"/>
      <c r="X71" s="719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35"/>
      <c r="J72" s="735"/>
      <c r="K72" s="287"/>
      <c r="L72" s="383">
        <v>7</v>
      </c>
      <c r="M72" s="384" t="s">
        <v>321</v>
      </c>
      <c r="N72" s="385"/>
      <c r="O72" s="549"/>
      <c r="P72" s="444"/>
      <c r="Q72" s="386"/>
      <c r="R72" s="588"/>
      <c r="S72" s="625"/>
      <c r="T72" s="519" t="str">
        <f t="shared" ref="T72:T165" si="15">IF(W72&gt;1,EOMONTH(W72,0),"")</f>
        <v/>
      </c>
      <c r="U72" s="503"/>
      <c r="V72" s="749"/>
      <c r="W72" s="572"/>
      <c r="X72" s="719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36"/>
      <c r="J73" s="736"/>
      <c r="K73" s="288"/>
      <c r="L73" s="315">
        <v>7</v>
      </c>
      <c r="M73" s="336" t="s">
        <v>321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0"/>
      <c r="W73" s="573"/>
      <c r="X73" s="720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322</v>
      </c>
      <c r="D75" s="332"/>
      <c r="E75" s="463"/>
      <c r="F75" s="416"/>
      <c r="G75" s="333"/>
      <c r="H75" s="575"/>
      <c r="I75" s="740">
        <f>SUM(G75:G92)</f>
        <v>2000000</v>
      </c>
      <c r="J75" s="740">
        <v>2000000</v>
      </c>
      <c r="K75" s="296"/>
      <c r="L75" s="331">
        <v>8</v>
      </c>
      <c r="M75" s="425" t="s">
        <v>323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66">
        <f>J75-SUM(U75:U92)</f>
        <v>-1993368.6954089673</v>
      </c>
      <c r="W75" s="575"/>
      <c r="X75" s="727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1"/>
      <c r="J76" s="741"/>
      <c r="K76" s="300"/>
      <c r="L76" s="321">
        <v>8</v>
      </c>
      <c r="M76" s="433" t="s">
        <v>323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67"/>
      <c r="W76" s="576"/>
      <c r="X76" s="728"/>
      <c r="Y76" s="482"/>
    </row>
    <row r="77" spans="1:25" ht="14.25" customHeight="1">
      <c r="B77" s="321">
        <v>8</v>
      </c>
      <c r="C77" s="322"/>
      <c r="D77" s="334" t="s">
        <v>324</v>
      </c>
      <c r="E77" s="415"/>
      <c r="F77" s="461"/>
      <c r="G77" s="323">
        <v>2000000</v>
      </c>
      <c r="H77" s="536">
        <v>45792</v>
      </c>
      <c r="I77" s="741"/>
      <c r="J77" s="741"/>
      <c r="K77" s="300"/>
      <c r="L77" s="321">
        <v>8</v>
      </c>
      <c r="M77" s="433" t="s">
        <v>323</v>
      </c>
      <c r="N77" s="334" t="s">
        <v>325</v>
      </c>
      <c r="O77" s="556"/>
      <c r="P77" s="461">
        <v>2642000</v>
      </c>
      <c r="Q77" s="323">
        <v>1329750</v>
      </c>
      <c r="R77" s="745" t="s">
        <v>326</v>
      </c>
      <c r="S77" s="629" t="s">
        <v>327</v>
      </c>
      <c r="T77" s="645">
        <v>45808</v>
      </c>
      <c r="U77" s="665">
        <v>1027779.9272249884</v>
      </c>
      <c r="V77" s="767"/>
      <c r="W77" s="536">
        <v>45792</v>
      </c>
      <c r="X77" s="728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1"/>
      <c r="J78" s="741"/>
      <c r="K78" s="300"/>
      <c r="L78" s="321">
        <v>8</v>
      </c>
      <c r="M78" s="433" t="s">
        <v>323</v>
      </c>
      <c r="N78" s="334"/>
      <c r="O78" s="556"/>
      <c r="P78" s="461"/>
      <c r="Q78" s="323"/>
      <c r="R78" s="747"/>
      <c r="S78" s="629"/>
      <c r="T78" s="523"/>
      <c r="U78" s="665">
        <v>0</v>
      </c>
      <c r="V78" s="767"/>
      <c r="W78" s="576"/>
      <c r="X78" s="728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1"/>
      <c r="J79" s="741"/>
      <c r="K79" s="300"/>
      <c r="L79" s="321">
        <v>8</v>
      </c>
      <c r="M79" s="433" t="s">
        <v>323</v>
      </c>
      <c r="N79" s="334" t="s">
        <v>328</v>
      </c>
      <c r="O79" s="556"/>
      <c r="P79" s="461"/>
      <c r="Q79" s="323">
        <v>-1329750</v>
      </c>
      <c r="R79" s="592"/>
      <c r="S79" s="629" t="s">
        <v>329</v>
      </c>
      <c r="T79" s="645">
        <v>45808</v>
      </c>
      <c r="U79" s="665">
        <v>-1027779.9272249884</v>
      </c>
      <c r="V79" s="767"/>
      <c r="W79" s="536">
        <v>45805</v>
      </c>
      <c r="X79" s="728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1"/>
      <c r="J80" s="741"/>
      <c r="K80" s="300"/>
      <c r="L80" s="321">
        <v>8</v>
      </c>
      <c r="M80" s="433" t="s">
        <v>323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67"/>
      <c r="W80" s="576"/>
      <c r="X80" s="728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1"/>
      <c r="J81" s="741"/>
      <c r="K81" s="300"/>
      <c r="L81" s="321">
        <v>8</v>
      </c>
      <c r="M81" s="433" t="s">
        <v>323</v>
      </c>
      <c r="N81" s="334" t="s">
        <v>325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330</v>
      </c>
      <c r="T81" s="645">
        <v>45869</v>
      </c>
      <c r="U81" s="665">
        <v>471698.11320754717</v>
      </c>
      <c r="V81" s="767"/>
      <c r="W81" s="536">
        <v>45869</v>
      </c>
      <c r="X81" s="728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1"/>
      <c r="J82" s="741"/>
      <c r="K82" s="300"/>
      <c r="L82" s="321">
        <v>8</v>
      </c>
      <c r="M82" s="433" t="s">
        <v>323</v>
      </c>
      <c r="N82" s="334" t="s">
        <v>331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330</v>
      </c>
      <c r="T82" s="663">
        <v>45900</v>
      </c>
      <c r="U82" s="672">
        <v>341245.41130984924</v>
      </c>
      <c r="V82" s="767"/>
      <c r="W82" s="538">
        <v>45869</v>
      </c>
      <c r="X82" s="728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1"/>
      <c r="J83" s="741"/>
      <c r="K83" s="300"/>
      <c r="L83" s="321">
        <v>8</v>
      </c>
      <c r="M83" s="433" t="s">
        <v>323</v>
      </c>
      <c r="N83" s="334" t="s">
        <v>331</v>
      </c>
      <c r="O83" s="556"/>
      <c r="P83" s="648">
        <v>0.15</v>
      </c>
      <c r="Q83" s="323">
        <f t="shared" si="16"/>
        <v>375000</v>
      </c>
      <c r="R83" s="596"/>
      <c r="S83" s="633" t="s">
        <v>330</v>
      </c>
      <c r="T83" s="663">
        <v>45900</v>
      </c>
      <c r="U83" s="672">
        <v>341045.40130984923</v>
      </c>
      <c r="V83" s="767"/>
      <c r="W83" s="538">
        <v>45869</v>
      </c>
      <c r="X83" s="728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1"/>
      <c r="J84" s="741"/>
      <c r="K84" s="300"/>
      <c r="L84" s="321">
        <v>8</v>
      </c>
      <c r="M84" s="433" t="s">
        <v>323</v>
      </c>
      <c r="N84" s="334" t="s">
        <v>331</v>
      </c>
      <c r="O84" s="556"/>
      <c r="P84" s="648">
        <v>0.15</v>
      </c>
      <c r="Q84" s="323">
        <f t="shared" si="16"/>
        <v>375000</v>
      </c>
      <c r="R84" s="670"/>
      <c r="S84" s="633" t="s">
        <v>330</v>
      </c>
      <c r="T84" s="663">
        <v>45900</v>
      </c>
      <c r="U84" s="672">
        <v>163720.25130984926</v>
      </c>
      <c r="V84" s="767"/>
      <c r="W84" s="538">
        <v>45869</v>
      </c>
      <c r="X84" s="728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1"/>
      <c r="J85" s="741"/>
      <c r="K85" s="300"/>
      <c r="L85" s="321">
        <v>8</v>
      </c>
      <c r="M85" s="433" t="s">
        <v>323</v>
      </c>
      <c r="N85" s="334" t="s">
        <v>332</v>
      </c>
      <c r="O85" s="556"/>
      <c r="P85" s="648">
        <v>0.3</v>
      </c>
      <c r="Q85" s="323">
        <f t="shared" si="16"/>
        <v>750000</v>
      </c>
      <c r="R85" s="596"/>
      <c r="S85" s="633" t="s">
        <v>330</v>
      </c>
      <c r="T85" s="663">
        <v>45900</v>
      </c>
      <c r="U85" s="672">
        <v>682290.82261969848</v>
      </c>
      <c r="V85" s="767"/>
      <c r="W85" s="538">
        <v>45869</v>
      </c>
      <c r="X85" s="728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1"/>
      <c r="J86" s="741"/>
      <c r="K86" s="300"/>
      <c r="L86" s="321">
        <v>8</v>
      </c>
      <c r="M86" s="433" t="s">
        <v>323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67"/>
      <c r="W86" s="579"/>
      <c r="X86" s="728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1"/>
      <c r="J87" s="741"/>
      <c r="K87" s="300"/>
      <c r="L87" s="321">
        <v>8</v>
      </c>
      <c r="M87" s="433" t="s">
        <v>323</v>
      </c>
      <c r="N87" s="334" t="s">
        <v>333</v>
      </c>
      <c r="O87" s="653">
        <v>120203.36</v>
      </c>
      <c r="P87" s="654">
        <v>0.5</v>
      </c>
      <c r="Q87" s="323">
        <f>O87*P87</f>
        <v>60101.68</v>
      </c>
      <c r="R87" s="745" t="s">
        <v>334</v>
      </c>
      <c r="S87" s="633" t="s">
        <v>335</v>
      </c>
      <c r="T87" s="673">
        <v>45961</v>
      </c>
      <c r="U87" s="512">
        <v>0</v>
      </c>
      <c r="V87" s="767"/>
      <c r="W87" s="538">
        <v>45954</v>
      </c>
      <c r="X87" s="728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1"/>
      <c r="J88" s="741"/>
      <c r="K88" s="300"/>
      <c r="L88" s="321">
        <v>8</v>
      </c>
      <c r="M88" s="433" t="s">
        <v>323</v>
      </c>
      <c r="N88" s="334"/>
      <c r="O88" s="556"/>
      <c r="P88" s="648">
        <v>0.5</v>
      </c>
      <c r="Q88" s="323">
        <f>O87*P88</f>
        <v>60101.68</v>
      </c>
      <c r="R88" s="747"/>
      <c r="S88" s="633" t="s">
        <v>335</v>
      </c>
      <c r="T88" s="673">
        <v>45961</v>
      </c>
      <c r="U88" s="512">
        <v>0</v>
      </c>
      <c r="V88" s="767"/>
      <c r="W88" s="703">
        <f>W87+14</f>
        <v>45968</v>
      </c>
      <c r="X88" s="728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1"/>
      <c r="J89" s="741"/>
      <c r="K89" s="300"/>
      <c r="L89" s="321">
        <v>8</v>
      </c>
      <c r="M89" s="433" t="s">
        <v>323</v>
      </c>
      <c r="N89" s="334" t="s">
        <v>336</v>
      </c>
      <c r="O89" s="556"/>
      <c r="P89" s="461"/>
      <c r="Q89" s="323">
        <v>975</v>
      </c>
      <c r="R89" s="596"/>
      <c r="S89" s="633" t="s">
        <v>337</v>
      </c>
      <c r="T89" s="673">
        <v>45930</v>
      </c>
      <c r="U89" s="512">
        <v>0</v>
      </c>
      <c r="V89" s="767"/>
      <c r="W89" s="703">
        <v>45939</v>
      </c>
      <c r="X89" s="728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1"/>
      <c r="J90" s="741"/>
      <c r="K90" s="300"/>
      <c r="L90" s="321">
        <v>8</v>
      </c>
      <c r="M90" s="433" t="s">
        <v>323</v>
      </c>
      <c r="N90" s="334" t="s">
        <v>338</v>
      </c>
      <c r="O90" s="556"/>
      <c r="P90" s="461"/>
      <c r="Q90" s="323"/>
      <c r="R90" s="596"/>
      <c r="S90" s="633"/>
      <c r="T90" s="663">
        <v>45991</v>
      </c>
      <c r="U90" s="512"/>
      <c r="V90" s="767"/>
      <c r="W90" s="703">
        <v>45991</v>
      </c>
      <c r="X90" s="728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1"/>
      <c r="J91" s="741"/>
      <c r="K91" s="300"/>
      <c r="L91" s="321">
        <v>8</v>
      </c>
      <c r="M91" s="433" t="s">
        <v>323</v>
      </c>
      <c r="N91" s="334"/>
      <c r="O91" s="556"/>
      <c r="P91" s="461"/>
      <c r="Q91" s="323">
        <v>2292374</v>
      </c>
      <c r="R91" s="596"/>
      <c r="S91" s="633" t="s">
        <v>339</v>
      </c>
      <c r="T91" s="663">
        <v>45991</v>
      </c>
      <c r="U91" s="710">
        <v>1993368.6956521741</v>
      </c>
      <c r="V91" s="767"/>
      <c r="W91" s="703">
        <v>46009</v>
      </c>
      <c r="X91" s="728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42"/>
      <c r="J92" s="742"/>
      <c r="K92" s="305"/>
      <c r="L92" s="301">
        <v>8</v>
      </c>
      <c r="M92" s="432" t="s">
        <v>323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68"/>
      <c r="W92" s="577"/>
      <c r="X92" s="729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340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341</v>
      </c>
      <c r="D94" s="326" t="s">
        <v>342</v>
      </c>
      <c r="E94" s="313"/>
      <c r="F94" s="437"/>
      <c r="G94" s="619">
        <v>113490</v>
      </c>
      <c r="H94" s="578">
        <v>45883</v>
      </c>
      <c r="I94" s="757">
        <f>SUM(G94:G105)</f>
        <v>371510</v>
      </c>
      <c r="J94" s="734">
        <f>D180+D181</f>
        <v>437070.5883</v>
      </c>
      <c r="K94" s="287"/>
      <c r="L94" s="310">
        <v>9</v>
      </c>
      <c r="M94" s="423" t="s">
        <v>343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1">
        <f>J94-SUM(U94:U105)</f>
        <v>0</v>
      </c>
      <c r="W94" s="578"/>
      <c r="X94" s="760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344</v>
      </c>
      <c r="E95" s="313"/>
      <c r="F95" s="459"/>
      <c r="G95" s="619">
        <v>258020</v>
      </c>
      <c r="H95" s="534">
        <v>45883</v>
      </c>
      <c r="I95" s="758"/>
      <c r="J95" s="735"/>
      <c r="K95" s="287"/>
      <c r="L95" s="310">
        <v>9</v>
      </c>
      <c r="M95" s="423" t="s">
        <v>343</v>
      </c>
      <c r="N95" s="327" t="s">
        <v>293</v>
      </c>
      <c r="O95" s="567">
        <f>Z30+Z29</f>
        <v>476700</v>
      </c>
      <c r="P95" s="568">
        <v>0.1</v>
      </c>
      <c r="Q95" s="314">
        <f>$O$95*P95</f>
        <v>47670</v>
      </c>
      <c r="R95" s="769"/>
      <c r="S95" s="624" t="s">
        <v>295</v>
      </c>
      <c r="T95" s="640">
        <v>45869</v>
      </c>
      <c r="U95" s="651">
        <v>43707.058830000002</v>
      </c>
      <c r="V95" s="722"/>
      <c r="W95" s="534">
        <v>45883</v>
      </c>
      <c r="X95" s="761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58"/>
      <c r="J96" s="735"/>
      <c r="K96" s="287"/>
      <c r="L96" s="383">
        <v>9</v>
      </c>
      <c r="M96" s="501" t="s">
        <v>343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0"/>
      <c r="S96" s="625" t="s">
        <v>296</v>
      </c>
      <c r="T96" s="662">
        <v>45869</v>
      </c>
      <c r="U96" s="667">
        <v>65560.588244999992</v>
      </c>
      <c r="V96" s="722"/>
      <c r="W96" s="535">
        <v>45869</v>
      </c>
      <c r="X96" s="761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58"/>
      <c r="J97" s="735"/>
      <c r="K97" s="287"/>
      <c r="L97" s="383">
        <v>9</v>
      </c>
      <c r="M97" s="501" t="s">
        <v>343</v>
      </c>
      <c r="N97" s="385" t="s">
        <v>297</v>
      </c>
      <c r="O97" s="549"/>
      <c r="P97" s="566">
        <v>0.2</v>
      </c>
      <c r="Q97" s="314">
        <f t="shared" si="18"/>
        <v>95340</v>
      </c>
      <c r="R97" s="770"/>
      <c r="S97" s="625" t="s">
        <v>298</v>
      </c>
      <c r="T97" s="707">
        <v>45991</v>
      </c>
      <c r="U97" s="708">
        <v>87414.117660000004</v>
      </c>
      <c r="V97" s="722"/>
      <c r="W97" s="704">
        <v>46009</v>
      </c>
      <c r="X97" s="761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58"/>
      <c r="J98" s="735"/>
      <c r="K98" s="287"/>
      <c r="L98" s="383">
        <v>9</v>
      </c>
      <c r="M98" s="501" t="s">
        <v>343</v>
      </c>
      <c r="N98" s="385" t="s">
        <v>300</v>
      </c>
      <c r="O98" s="549"/>
      <c r="P98" s="566">
        <v>0.25</v>
      </c>
      <c r="Q98" s="314">
        <f t="shared" si="18"/>
        <v>119175</v>
      </c>
      <c r="R98" s="770"/>
      <c r="S98" s="625" t="s">
        <v>298</v>
      </c>
      <c r="T98" s="519">
        <v>46081</v>
      </c>
      <c r="U98" s="503">
        <f t="shared" ref="U98:U105" si="19">(Q98/$X$94*$J$94)</f>
        <v>109267.647075</v>
      </c>
      <c r="V98" s="722"/>
      <c r="W98" s="572">
        <f>'Project Plan'!K30+7</f>
        <v>46080</v>
      </c>
      <c r="X98" s="761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58"/>
      <c r="J99" s="735"/>
      <c r="K99" s="287"/>
      <c r="L99" s="383">
        <v>9</v>
      </c>
      <c r="M99" s="501" t="s">
        <v>343</v>
      </c>
      <c r="N99" s="385" t="s">
        <v>186</v>
      </c>
      <c r="O99" s="549"/>
      <c r="P99" s="566">
        <v>0.1</v>
      </c>
      <c r="Q99" s="314">
        <f t="shared" si="18"/>
        <v>47670</v>
      </c>
      <c r="R99" s="770"/>
      <c r="S99" s="625" t="s">
        <v>298</v>
      </c>
      <c r="T99" s="519">
        <v>46081</v>
      </c>
      <c r="U99" s="503">
        <f t="shared" si="19"/>
        <v>43707.058830000002</v>
      </c>
      <c r="V99" s="722"/>
      <c r="W99" s="572">
        <f>'Project Plan'!K44+7</f>
        <v>46085</v>
      </c>
      <c r="X99" s="761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58"/>
      <c r="J100" s="735"/>
      <c r="K100" s="287"/>
      <c r="L100" s="383">
        <v>9</v>
      </c>
      <c r="M100" s="501" t="s">
        <v>343</v>
      </c>
      <c r="N100" s="385" t="s">
        <v>301</v>
      </c>
      <c r="O100" s="549"/>
      <c r="P100" s="566">
        <v>0.1</v>
      </c>
      <c r="Q100" s="314">
        <f t="shared" si="18"/>
        <v>47670</v>
      </c>
      <c r="R100" s="770"/>
      <c r="S100" s="625" t="s">
        <v>298</v>
      </c>
      <c r="T100" s="519">
        <v>46081</v>
      </c>
      <c r="U100" s="503">
        <f t="shared" si="19"/>
        <v>43707.058830000002</v>
      </c>
      <c r="V100" s="722"/>
      <c r="W100" s="572">
        <f>'Project Plan'!K53+7</f>
        <v>46090</v>
      </c>
      <c r="X100" s="761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58"/>
      <c r="J101" s="735"/>
      <c r="K101" s="287"/>
      <c r="L101" s="383">
        <v>9</v>
      </c>
      <c r="M101" s="501" t="s">
        <v>343</v>
      </c>
      <c r="N101" s="385" t="s">
        <v>302</v>
      </c>
      <c r="O101" s="549"/>
      <c r="P101" s="566">
        <v>0.05</v>
      </c>
      <c r="Q101" s="314">
        <f t="shared" si="18"/>
        <v>23835</v>
      </c>
      <c r="R101" s="770"/>
      <c r="S101" s="625" t="s">
        <v>298</v>
      </c>
      <c r="T101" s="519">
        <v>46081</v>
      </c>
      <c r="U101" s="503">
        <f t="shared" si="19"/>
        <v>21853.529415000001</v>
      </c>
      <c r="V101" s="722"/>
      <c r="W101" s="572">
        <f>'Project Plan'!K53+7</f>
        <v>46090</v>
      </c>
      <c r="X101" s="761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58"/>
      <c r="J102" s="735"/>
      <c r="K102" s="287"/>
      <c r="L102" s="383">
        <v>9</v>
      </c>
      <c r="M102" s="501" t="s">
        <v>343</v>
      </c>
      <c r="N102" s="385" t="s">
        <v>303</v>
      </c>
      <c r="O102" s="549"/>
      <c r="P102" s="566">
        <v>0.05</v>
      </c>
      <c r="Q102" s="314">
        <f t="shared" si="18"/>
        <v>23835</v>
      </c>
      <c r="R102" s="771"/>
      <c r="S102" s="625" t="s">
        <v>298</v>
      </c>
      <c r="T102" s="519">
        <v>46081</v>
      </c>
      <c r="U102" s="503">
        <f t="shared" si="19"/>
        <v>21853.529415000001</v>
      </c>
      <c r="V102" s="722"/>
      <c r="W102" s="572">
        <f>'Project Plan'!K53+30</f>
        <v>46113</v>
      </c>
      <c r="X102" s="761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58"/>
      <c r="J103" s="735"/>
      <c r="K103" s="287"/>
      <c r="L103" s="383">
        <v>9</v>
      </c>
      <c r="M103" s="501" t="s">
        <v>343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22"/>
      <c r="W103" s="572"/>
      <c r="X103" s="761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58"/>
      <c r="J104" s="735"/>
      <c r="K104" s="287"/>
      <c r="L104" s="383">
        <v>9</v>
      </c>
      <c r="M104" s="501" t="s">
        <v>343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22"/>
      <c r="W104" s="572"/>
      <c r="X104" s="761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59"/>
      <c r="J105" s="736"/>
      <c r="K105" s="363"/>
      <c r="L105" s="315">
        <v>9</v>
      </c>
      <c r="M105" s="441" t="s">
        <v>343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23"/>
      <c r="W105" s="573"/>
      <c r="X105" s="762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345</v>
      </c>
      <c r="D107" s="269" t="s">
        <v>268</v>
      </c>
      <c r="E107" s="270"/>
      <c r="F107" s="470"/>
      <c r="G107" s="337">
        <v>8500</v>
      </c>
      <c r="H107" s="582">
        <v>45883</v>
      </c>
      <c r="I107" s="751">
        <f>SUM(G107:G123)</f>
        <v>58106.5</v>
      </c>
      <c r="J107" s="751">
        <f>D184+D187+D188+D186</f>
        <v>68360.588235000003</v>
      </c>
      <c r="K107" s="338"/>
      <c r="L107" s="268">
        <v>10</v>
      </c>
      <c r="M107" s="434" t="s">
        <v>346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63">
        <f>J107-SUM(U107:U123)</f>
        <v>3.211347691831179E-3</v>
      </c>
      <c r="W107" s="582"/>
      <c r="X107" s="754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269</v>
      </c>
      <c r="E108" s="341"/>
      <c r="F108" s="471"/>
      <c r="G108" s="342">
        <v>44056.5</v>
      </c>
      <c r="H108" s="583">
        <v>45883</v>
      </c>
      <c r="I108" s="752"/>
      <c r="J108" s="752"/>
      <c r="K108" s="271"/>
      <c r="L108" s="339">
        <v>10</v>
      </c>
      <c r="M108" s="435" t="s">
        <v>346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64"/>
      <c r="W108" s="583"/>
      <c r="X108" s="755"/>
      <c r="Y108" s="482"/>
    </row>
    <row r="109" spans="1:25" ht="14.25" customHeight="1">
      <c r="B109" s="339">
        <v>10</v>
      </c>
      <c r="C109" s="340"/>
      <c r="D109" s="340" t="s">
        <v>347</v>
      </c>
      <c r="E109" s="341"/>
      <c r="F109" s="471"/>
      <c r="G109" s="342">
        <v>0</v>
      </c>
      <c r="H109" s="583">
        <v>45883</v>
      </c>
      <c r="I109" s="752"/>
      <c r="J109" s="752"/>
      <c r="K109" s="271"/>
      <c r="L109" s="339">
        <v>10</v>
      </c>
      <c r="M109" s="435" t="s">
        <v>346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64"/>
      <c r="W109" s="583"/>
      <c r="X109" s="755"/>
      <c r="Y109" s="482"/>
    </row>
    <row r="110" spans="1:25" ht="14.25" customHeight="1">
      <c r="B110" s="339">
        <v>10</v>
      </c>
      <c r="C110" s="340"/>
      <c r="D110" s="340" t="s">
        <v>270</v>
      </c>
      <c r="E110" s="341"/>
      <c r="F110" s="471"/>
      <c r="G110" s="342">
        <v>5550</v>
      </c>
      <c r="H110" s="583">
        <v>45883</v>
      </c>
      <c r="I110" s="752"/>
      <c r="J110" s="752"/>
      <c r="K110" s="271"/>
      <c r="L110" s="339">
        <v>10</v>
      </c>
      <c r="M110" s="435" t="s">
        <v>346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64"/>
      <c r="W110" s="583"/>
      <c r="X110" s="755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52"/>
      <c r="J111" s="752"/>
      <c r="K111" s="271"/>
      <c r="L111" s="339">
        <v>10</v>
      </c>
      <c r="M111" s="435" t="s">
        <v>346</v>
      </c>
      <c r="N111" s="340" t="s">
        <v>293</v>
      </c>
      <c r="O111" s="618">
        <f>SUM(Z31:Z37)</f>
        <v>151047.5</v>
      </c>
      <c r="P111" s="569">
        <v>0.1</v>
      </c>
      <c r="Q111" s="342">
        <f>$O$111*P111</f>
        <v>15104.75</v>
      </c>
      <c r="R111" s="745"/>
      <c r="S111" s="638" t="s">
        <v>295</v>
      </c>
      <c r="T111" s="649">
        <f>T95</f>
        <v>45869</v>
      </c>
      <c r="U111" s="650">
        <v>6836.0588235000005</v>
      </c>
      <c r="V111" s="764"/>
      <c r="W111" s="540">
        <f>W95</f>
        <v>45883</v>
      </c>
      <c r="X111" s="755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52"/>
      <c r="J112" s="752"/>
      <c r="K112" s="271"/>
      <c r="L112" s="339">
        <v>10</v>
      </c>
      <c r="M112" s="435" t="s">
        <v>346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46"/>
      <c r="S112" s="638" t="s">
        <v>296</v>
      </c>
      <c r="T112" s="649">
        <f t="shared" ref="T112" si="21">T96</f>
        <v>45869</v>
      </c>
      <c r="U112" s="650">
        <v>10254.088235249999</v>
      </c>
      <c r="V112" s="764"/>
      <c r="W112" s="540">
        <f t="shared" ref="W112" si="22">W96</f>
        <v>45869</v>
      </c>
      <c r="X112" s="755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52"/>
      <c r="J113" s="752"/>
      <c r="K113" s="271"/>
      <c r="L113" s="339">
        <v>10</v>
      </c>
      <c r="M113" s="435" t="s">
        <v>346</v>
      </c>
      <c r="N113" s="340"/>
      <c r="O113" s="562"/>
      <c r="P113" s="569"/>
      <c r="Q113" s="342">
        <v>-0.01</v>
      </c>
      <c r="R113" s="746"/>
      <c r="S113" s="638" t="s">
        <v>296</v>
      </c>
      <c r="T113" s="649">
        <v>45900</v>
      </c>
      <c r="U113" s="650">
        <v>0</v>
      </c>
      <c r="V113" s="764"/>
      <c r="W113" s="540">
        <v>45900</v>
      </c>
      <c r="X113" s="755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52"/>
      <c r="J114" s="752"/>
      <c r="K114" s="271"/>
      <c r="L114" s="339">
        <v>10</v>
      </c>
      <c r="M114" s="435" t="s">
        <v>346</v>
      </c>
      <c r="N114" s="340" t="s">
        <v>297</v>
      </c>
      <c r="O114" s="562"/>
      <c r="P114" s="569">
        <v>0.2</v>
      </c>
      <c r="Q114" s="342">
        <f t="shared" si="20"/>
        <v>30209.5</v>
      </c>
      <c r="R114" s="746"/>
      <c r="S114" s="638" t="s">
        <v>298</v>
      </c>
      <c r="T114" s="676">
        <f>T97</f>
        <v>45991</v>
      </c>
      <c r="U114" s="677">
        <v>13672.109457307282</v>
      </c>
      <c r="V114" s="764"/>
      <c r="W114" s="678">
        <f>W97</f>
        <v>46009</v>
      </c>
      <c r="X114" s="755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52"/>
      <c r="J115" s="752"/>
      <c r="K115" s="271"/>
      <c r="L115" s="339">
        <v>10</v>
      </c>
      <c r="M115" s="435" t="s">
        <v>346</v>
      </c>
      <c r="N115" s="340"/>
      <c r="O115" s="562"/>
      <c r="P115" s="569"/>
      <c r="Q115" s="342">
        <v>-0.01</v>
      </c>
      <c r="R115" s="746"/>
      <c r="S115" s="638" t="s">
        <v>298</v>
      </c>
      <c r="T115" s="649">
        <v>45900</v>
      </c>
      <c r="U115" s="516">
        <v>0</v>
      </c>
      <c r="V115" s="764"/>
      <c r="W115" s="540">
        <v>45900</v>
      </c>
      <c r="X115" s="755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52"/>
      <c r="J116" s="752"/>
      <c r="K116" s="271"/>
      <c r="L116" s="339">
        <v>10</v>
      </c>
      <c r="M116" s="435" t="s">
        <v>346</v>
      </c>
      <c r="N116" s="340" t="s">
        <v>300</v>
      </c>
      <c r="O116" s="562"/>
      <c r="P116" s="569">
        <v>0.25</v>
      </c>
      <c r="Q116" s="342">
        <f t="shared" si="20"/>
        <v>37761.875</v>
      </c>
      <c r="R116" s="746"/>
      <c r="S116" s="638" t="s">
        <v>298</v>
      </c>
      <c r="T116" s="532">
        <v>46081</v>
      </c>
      <c r="U116" s="516">
        <f t="shared" ref="U116:U123" si="23">(Q116/$X$107*$J$107)</f>
        <v>17090.149321634108</v>
      </c>
      <c r="V116" s="764"/>
      <c r="W116" s="584">
        <f>W98</f>
        <v>46080</v>
      </c>
      <c r="X116" s="755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52"/>
      <c r="J117" s="752"/>
      <c r="K117" s="271"/>
      <c r="L117" s="339">
        <v>10</v>
      </c>
      <c r="M117" s="435" t="s">
        <v>346</v>
      </c>
      <c r="N117" s="340" t="s">
        <v>186</v>
      </c>
      <c r="O117" s="562"/>
      <c r="P117" s="569">
        <v>0.1</v>
      </c>
      <c r="Q117" s="342">
        <f t="shared" si="20"/>
        <v>15104.75</v>
      </c>
      <c r="R117" s="746"/>
      <c r="S117" s="638" t="s">
        <v>298</v>
      </c>
      <c r="T117" s="532">
        <v>46081</v>
      </c>
      <c r="U117" s="516">
        <f t="shared" si="23"/>
        <v>6836.0597286536413</v>
      </c>
      <c r="V117" s="764"/>
      <c r="W117" s="584">
        <f>W99</f>
        <v>46085</v>
      </c>
      <c r="X117" s="755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52"/>
      <c r="J118" s="752"/>
      <c r="K118" s="271"/>
      <c r="L118" s="339">
        <v>10</v>
      </c>
      <c r="M118" s="435" t="s">
        <v>346</v>
      </c>
      <c r="N118" s="340" t="s">
        <v>301</v>
      </c>
      <c r="O118" s="562"/>
      <c r="P118" s="569">
        <v>0.1</v>
      </c>
      <c r="Q118" s="342">
        <f t="shared" si="20"/>
        <v>15104.75</v>
      </c>
      <c r="R118" s="746"/>
      <c r="S118" s="638" t="s">
        <v>298</v>
      </c>
      <c r="T118" s="532">
        <v>46081</v>
      </c>
      <c r="U118" s="516">
        <f t="shared" si="23"/>
        <v>6836.0597286536413</v>
      </c>
      <c r="V118" s="764"/>
      <c r="W118" s="584">
        <f>W100</f>
        <v>46090</v>
      </c>
      <c r="X118" s="755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52"/>
      <c r="J119" s="752"/>
      <c r="K119" s="271"/>
      <c r="L119" s="339">
        <v>10</v>
      </c>
      <c r="M119" s="435" t="s">
        <v>346</v>
      </c>
      <c r="N119" s="340" t="s">
        <v>302</v>
      </c>
      <c r="O119" s="562"/>
      <c r="P119" s="569">
        <v>0.05</v>
      </c>
      <c r="Q119" s="342">
        <f t="shared" si="20"/>
        <v>7552.375</v>
      </c>
      <c r="R119" s="746"/>
      <c r="S119" s="638" t="s">
        <v>298</v>
      </c>
      <c r="T119" s="532">
        <v>46081</v>
      </c>
      <c r="U119" s="516">
        <f t="shared" si="23"/>
        <v>3418.0298643268206</v>
      </c>
      <c r="V119" s="764"/>
      <c r="W119" s="584">
        <f>W101</f>
        <v>46090</v>
      </c>
      <c r="X119" s="755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52"/>
      <c r="J120" s="752"/>
      <c r="K120" s="271"/>
      <c r="L120" s="339">
        <v>10</v>
      </c>
      <c r="M120" s="435" t="s">
        <v>346</v>
      </c>
      <c r="N120" s="340" t="s">
        <v>303</v>
      </c>
      <c r="O120" s="562"/>
      <c r="P120" s="569">
        <v>0.05</v>
      </c>
      <c r="Q120" s="342">
        <f t="shared" si="20"/>
        <v>7552.375</v>
      </c>
      <c r="R120" s="747"/>
      <c r="S120" s="638" t="s">
        <v>298</v>
      </c>
      <c r="T120" s="532">
        <v>46081</v>
      </c>
      <c r="U120" s="516">
        <f t="shared" si="23"/>
        <v>3418.0298643268206</v>
      </c>
      <c r="V120" s="764"/>
      <c r="W120" s="584">
        <f>W102</f>
        <v>46113</v>
      </c>
      <c r="X120" s="755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52"/>
      <c r="J121" s="752"/>
      <c r="K121" s="271"/>
      <c r="L121" s="339">
        <v>10</v>
      </c>
      <c r="M121" s="435" t="s">
        <v>346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64"/>
      <c r="W121" s="584"/>
      <c r="X121" s="755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52"/>
      <c r="J122" s="752"/>
      <c r="K122" s="271"/>
      <c r="L122" s="339">
        <v>10</v>
      </c>
      <c r="M122" s="435" t="s">
        <v>346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64"/>
      <c r="W122" s="584"/>
      <c r="X122" s="755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53"/>
      <c r="J123" s="753"/>
      <c r="K123" s="274"/>
      <c r="L123" s="272">
        <v>10</v>
      </c>
      <c r="M123" s="436" t="s">
        <v>346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65"/>
      <c r="W123" s="585"/>
      <c r="X123" s="756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348</v>
      </c>
      <c r="D125" s="350" t="s">
        <v>349</v>
      </c>
      <c r="E125" s="282"/>
      <c r="F125" s="437"/>
      <c r="G125" s="283">
        <v>11349</v>
      </c>
      <c r="H125" s="578">
        <v>45862</v>
      </c>
      <c r="I125" s="734">
        <f>SUM(G125:G129)</f>
        <v>94047</v>
      </c>
      <c r="J125" s="734">
        <f>D183</f>
        <v>110643.5294</v>
      </c>
      <c r="K125" s="284"/>
      <c r="L125" s="280">
        <v>11</v>
      </c>
      <c r="M125" s="350" t="s">
        <v>350</v>
      </c>
      <c r="N125" s="350" t="s">
        <v>349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21">
        <f>J125-SUM(U125:U129)</f>
        <v>3.3737495396053419E-3</v>
      </c>
      <c r="W125" s="578">
        <f>T125</f>
        <v>46081</v>
      </c>
      <c r="X125" s="718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35"/>
      <c r="J126" s="735"/>
      <c r="K126" s="287"/>
      <c r="L126" s="310">
        <v>11</v>
      </c>
      <c r="M126" s="389" t="s">
        <v>350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22"/>
      <c r="W126" s="534">
        <v>45862</v>
      </c>
      <c r="X126" s="719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35"/>
      <c r="J127" s="735"/>
      <c r="K127" s="287"/>
      <c r="L127" s="310">
        <v>11</v>
      </c>
      <c r="M127" s="389" t="s">
        <v>350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22"/>
      <c r="W127" s="534">
        <v>45954</v>
      </c>
      <c r="X127" s="719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35"/>
      <c r="J128" s="735"/>
      <c r="K128" s="287"/>
      <c r="L128" s="310">
        <v>11</v>
      </c>
      <c r="M128" s="389" t="s">
        <v>350</v>
      </c>
      <c r="N128" s="387" t="s">
        <v>357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22"/>
      <c r="W128" s="572">
        <f>T128</f>
        <v>46081</v>
      </c>
      <c r="X128" s="719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36"/>
      <c r="J129" s="736"/>
      <c r="K129" s="288"/>
      <c r="L129" s="315">
        <v>11</v>
      </c>
      <c r="M129" s="419" t="s">
        <v>350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23"/>
      <c r="W129" s="573"/>
      <c r="X129" s="720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358</v>
      </c>
      <c r="D131" s="269"/>
      <c r="E131" s="270"/>
      <c r="F131" s="470"/>
      <c r="G131" s="337"/>
      <c r="H131" s="582"/>
      <c r="I131" s="751">
        <v>0</v>
      </c>
      <c r="J131" s="751">
        <v>0</v>
      </c>
      <c r="K131" s="772"/>
      <c r="L131" s="268">
        <v>12</v>
      </c>
      <c r="M131" s="269" t="s">
        <v>359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54">
        <f>SUM(Q131:Q132)</f>
        <v>0</v>
      </c>
      <c r="Y131" s="482"/>
    </row>
    <row r="132" spans="1:25" ht="15" customHeight="1" thickBot="1">
      <c r="B132" s="272">
        <v>12</v>
      </c>
      <c r="C132" s="343" t="s">
        <v>358</v>
      </c>
      <c r="D132" s="343"/>
      <c r="E132" s="344"/>
      <c r="F132" s="472"/>
      <c r="G132" s="273"/>
      <c r="H132" s="585"/>
      <c r="I132" s="753"/>
      <c r="J132" s="753"/>
      <c r="K132" s="773"/>
      <c r="L132" s="272">
        <v>12</v>
      </c>
      <c r="M132" s="343" t="s">
        <v>359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56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360</v>
      </c>
      <c r="D134" s="350" t="s">
        <v>361</v>
      </c>
      <c r="E134" s="282"/>
      <c r="F134" s="437"/>
      <c r="G134" s="283">
        <v>44929.98</v>
      </c>
      <c r="H134" s="578">
        <v>45900</v>
      </c>
      <c r="I134" s="734">
        <f>SUM(G134:G138)</f>
        <v>234129.98</v>
      </c>
      <c r="J134" s="734">
        <f>D182</f>
        <v>266056.79300000001</v>
      </c>
      <c r="K134" s="284"/>
      <c r="L134" s="280">
        <v>13</v>
      </c>
      <c r="M134" s="350" t="s">
        <v>362</v>
      </c>
      <c r="N134" s="350" t="s">
        <v>363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46081</v>
      </c>
      <c r="U134" s="510">
        <f t="shared" ref="U134:U139" si="24">(Q134/$X$134*$J$134)</f>
        <v>62427.395663677111</v>
      </c>
      <c r="V134" s="721">
        <f>J134-SUM(U134:U139)</f>
        <v>0</v>
      </c>
      <c r="W134" s="578">
        <v>46081</v>
      </c>
      <c r="X134" s="718">
        <f>SUM(Q134:Q139)</f>
        <v>247203.72349999999</v>
      </c>
      <c r="Y134" s="482"/>
    </row>
    <row r="135" spans="1:25" ht="15.75" customHeight="1">
      <c r="B135" s="310">
        <v>13</v>
      </c>
      <c r="C135" s="312"/>
      <c r="D135" s="312" t="s">
        <v>364</v>
      </c>
      <c r="E135" s="313"/>
      <c r="F135" s="459"/>
      <c r="G135" s="314">
        <v>32000</v>
      </c>
      <c r="H135" s="571">
        <v>45900</v>
      </c>
      <c r="I135" s="735"/>
      <c r="J135" s="735"/>
      <c r="K135" s="287"/>
      <c r="L135" s="310">
        <v>13</v>
      </c>
      <c r="M135" s="389" t="s">
        <v>362</v>
      </c>
      <c r="N135" s="312" t="s">
        <v>364</v>
      </c>
      <c r="O135" s="548"/>
      <c r="P135" s="459"/>
      <c r="Q135" s="314">
        <v>32000</v>
      </c>
      <c r="R135" s="587"/>
      <c r="S135" s="624"/>
      <c r="T135" s="518">
        <f t="shared" si="15"/>
        <v>46081</v>
      </c>
      <c r="U135" s="502">
        <f t="shared" si="24"/>
        <v>34440.490035741714</v>
      </c>
      <c r="V135" s="722"/>
      <c r="W135" s="571">
        <f>W134</f>
        <v>46081</v>
      </c>
      <c r="X135" s="719"/>
      <c r="Y135" s="482"/>
    </row>
    <row r="136" spans="1:25" ht="15.75" customHeight="1">
      <c r="B136" s="310">
        <v>13</v>
      </c>
      <c r="C136" s="312"/>
      <c r="D136" s="312" t="s">
        <v>365</v>
      </c>
      <c r="E136" s="313"/>
      <c r="F136" s="459"/>
      <c r="G136" s="314">
        <v>81600</v>
      </c>
      <c r="H136" s="571">
        <v>45900</v>
      </c>
      <c r="I136" s="735"/>
      <c r="J136" s="735"/>
      <c r="K136" s="287"/>
      <c r="L136" s="310">
        <v>13</v>
      </c>
      <c r="M136" s="389" t="s">
        <v>362</v>
      </c>
      <c r="N136" s="312" t="s">
        <v>365</v>
      </c>
      <c r="O136" s="548"/>
      <c r="P136" s="459"/>
      <c r="Q136" s="314">
        <v>81600</v>
      </c>
      <c r="R136" s="587"/>
      <c r="S136" s="624"/>
      <c r="T136" s="518">
        <f t="shared" si="15"/>
        <v>46081</v>
      </c>
      <c r="U136" s="502">
        <f t="shared" si="24"/>
        <v>87823.249591141372</v>
      </c>
      <c r="V136" s="722"/>
      <c r="W136" s="571">
        <f>W134</f>
        <v>46081</v>
      </c>
      <c r="X136" s="719"/>
      <c r="Y136" s="482"/>
    </row>
    <row r="137" spans="1:25" ht="15.75" customHeight="1">
      <c r="B137" s="310">
        <v>13</v>
      </c>
      <c r="C137" s="312"/>
      <c r="D137" s="312" t="s">
        <v>366</v>
      </c>
      <c r="E137" s="313"/>
      <c r="F137" s="459"/>
      <c r="G137" s="314">
        <v>41600</v>
      </c>
      <c r="H137" s="571">
        <v>45900</v>
      </c>
      <c r="I137" s="735"/>
      <c r="J137" s="735"/>
      <c r="K137" s="287"/>
      <c r="L137" s="310">
        <v>13</v>
      </c>
      <c r="M137" s="389" t="s">
        <v>362</v>
      </c>
      <c r="N137" s="312" t="s">
        <v>366</v>
      </c>
      <c r="O137" s="548"/>
      <c r="P137" s="459"/>
      <c r="Q137" s="314">
        <v>41600</v>
      </c>
      <c r="R137" s="587"/>
      <c r="S137" s="624"/>
      <c r="T137" s="518">
        <f t="shared" si="15"/>
        <v>46081</v>
      </c>
      <c r="U137" s="502">
        <f t="shared" si="24"/>
        <v>44772.637046464231</v>
      </c>
      <c r="V137" s="722"/>
      <c r="W137" s="571">
        <f>W134</f>
        <v>46081</v>
      </c>
      <c r="X137" s="719"/>
      <c r="Y137" s="482"/>
    </row>
    <row r="138" spans="1:25" ht="15.75" customHeight="1">
      <c r="B138" s="310">
        <v>13</v>
      </c>
      <c r="C138" s="312"/>
      <c r="D138" s="312" t="s">
        <v>367</v>
      </c>
      <c r="E138" s="313"/>
      <c r="F138" s="459"/>
      <c r="G138" s="314">
        <v>34000</v>
      </c>
      <c r="H138" s="571">
        <v>45900</v>
      </c>
      <c r="I138" s="735"/>
      <c r="J138" s="735"/>
      <c r="K138" s="287"/>
      <c r="L138" s="310">
        <v>13</v>
      </c>
      <c r="M138" s="389" t="s">
        <v>362</v>
      </c>
      <c r="N138" s="312" t="s">
        <v>367</v>
      </c>
      <c r="O138" s="548"/>
      <c r="P138" s="459"/>
      <c r="Q138" s="314">
        <v>34000</v>
      </c>
      <c r="R138" s="587"/>
      <c r="S138" s="624"/>
      <c r="T138" s="518">
        <f t="shared" si="15"/>
        <v>46081</v>
      </c>
      <c r="U138" s="502">
        <f t="shared" si="24"/>
        <v>36593.02066297557</v>
      </c>
      <c r="V138" s="722"/>
      <c r="W138" s="571">
        <f>W134</f>
        <v>46081</v>
      </c>
      <c r="X138" s="719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36"/>
      <c r="J139" s="736"/>
      <c r="K139" s="363"/>
      <c r="L139" s="315">
        <v>13</v>
      </c>
      <c r="M139" s="419" t="s">
        <v>362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23"/>
      <c r="W139" s="573"/>
      <c r="X139" s="720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368</v>
      </c>
      <c r="D141" s="269" t="s">
        <v>369</v>
      </c>
      <c r="E141" s="270"/>
      <c r="F141" s="470"/>
      <c r="G141" s="337">
        <v>7875</v>
      </c>
      <c r="H141" s="642">
        <v>45785</v>
      </c>
      <c r="I141" s="751">
        <f>SUM(G141:G152)</f>
        <v>7875</v>
      </c>
      <c r="J141" s="751">
        <f>D193</f>
        <v>9264.7058820000002</v>
      </c>
      <c r="K141" s="338"/>
      <c r="L141" s="268">
        <v>14</v>
      </c>
      <c r="M141" s="434" t="s">
        <v>370</v>
      </c>
      <c r="N141" s="269" t="s">
        <v>371</v>
      </c>
      <c r="O141" s="561"/>
      <c r="P141" s="470"/>
      <c r="Q141" s="337">
        <v>119</v>
      </c>
      <c r="R141" s="600"/>
      <c r="S141" s="636" t="s">
        <v>372</v>
      </c>
      <c r="T141" s="641">
        <v>45777</v>
      </c>
      <c r="U141" s="643">
        <v>154.43339402689452</v>
      </c>
      <c r="V141" s="763">
        <f>J141-SUM(U141:U152)</f>
        <v>-2.9834420383849647E-3</v>
      </c>
      <c r="W141" s="642">
        <v>45785</v>
      </c>
      <c r="X141" s="754">
        <f>SUM(Q141:Q152)</f>
        <v>2312.0799999999626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52"/>
      <c r="J142" s="752"/>
      <c r="K142" s="271"/>
      <c r="L142" s="339">
        <v>14</v>
      </c>
      <c r="M142" s="435" t="s">
        <v>370</v>
      </c>
      <c r="N142" s="340" t="s">
        <v>371</v>
      </c>
      <c r="O142" s="562"/>
      <c r="P142" s="471"/>
      <c r="Q142" s="342">
        <v>199.91999999996273</v>
      </c>
      <c r="R142" s="602"/>
      <c r="S142" s="636" t="s">
        <v>372</v>
      </c>
      <c r="T142" s="649">
        <v>45808</v>
      </c>
      <c r="U142" s="650">
        <v>282.39405266859563</v>
      </c>
      <c r="V142" s="764"/>
      <c r="W142" s="540">
        <v>45817</v>
      </c>
      <c r="X142" s="755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52"/>
      <c r="J143" s="752"/>
      <c r="K143" s="271"/>
      <c r="L143" s="339">
        <v>14</v>
      </c>
      <c r="M143" s="435" t="s">
        <v>370</v>
      </c>
      <c r="N143" s="340" t="s">
        <v>371</v>
      </c>
      <c r="O143" s="562"/>
      <c r="P143" s="471"/>
      <c r="Q143" s="342">
        <v>0</v>
      </c>
      <c r="R143" s="602"/>
      <c r="S143" s="636" t="s">
        <v>372</v>
      </c>
      <c r="T143" s="649">
        <f t="shared" ref="T143" si="25">IF(W143&gt;1,EOMONTH(W143,0),"")</f>
        <v>45838</v>
      </c>
      <c r="U143" s="650">
        <v>0</v>
      </c>
      <c r="V143" s="764"/>
      <c r="W143" s="540">
        <v>45838</v>
      </c>
      <c r="X143" s="755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52"/>
      <c r="J144" s="752"/>
      <c r="K144" s="271"/>
      <c r="L144" s="339">
        <v>14</v>
      </c>
      <c r="M144" s="435" t="s">
        <v>370</v>
      </c>
      <c r="N144" s="340" t="s">
        <v>371</v>
      </c>
      <c r="O144" s="562"/>
      <c r="P144" s="471"/>
      <c r="Q144" s="342">
        <v>233.24</v>
      </c>
      <c r="R144" s="602"/>
      <c r="S144" s="636" t="s">
        <v>372</v>
      </c>
      <c r="T144" s="649">
        <v>45869</v>
      </c>
      <c r="U144" s="650">
        <v>540.89342495598294</v>
      </c>
      <c r="V144" s="764"/>
      <c r="W144" s="540">
        <v>45876</v>
      </c>
      <c r="X144" s="755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52"/>
      <c r="J145" s="752"/>
      <c r="K145" s="271"/>
      <c r="L145" s="339">
        <v>14</v>
      </c>
      <c r="M145" s="435" t="s">
        <v>370</v>
      </c>
      <c r="N145" s="340" t="s">
        <v>371</v>
      </c>
      <c r="O145" s="562"/>
      <c r="P145" s="471"/>
      <c r="Q145" s="342">
        <v>0</v>
      </c>
      <c r="R145" s="602"/>
      <c r="S145" s="636" t="s">
        <v>372</v>
      </c>
      <c r="T145" s="649">
        <v>45900</v>
      </c>
      <c r="U145" s="650">
        <v>0</v>
      </c>
      <c r="V145" s="764"/>
      <c r="W145" s="540">
        <v>45900</v>
      </c>
      <c r="X145" s="755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52"/>
      <c r="J146" s="752"/>
      <c r="K146" s="271"/>
      <c r="L146" s="339">
        <v>14</v>
      </c>
      <c r="M146" s="435" t="s">
        <v>370</v>
      </c>
      <c r="N146" s="340" t="s">
        <v>371</v>
      </c>
      <c r="O146" s="562"/>
      <c r="P146" s="471"/>
      <c r="Q146" s="342">
        <v>0</v>
      </c>
      <c r="R146" s="602"/>
      <c r="S146" s="636" t="s">
        <v>372</v>
      </c>
      <c r="T146" s="676">
        <v>45930</v>
      </c>
      <c r="U146" s="677">
        <v>0</v>
      </c>
      <c r="V146" s="764"/>
      <c r="W146" s="678">
        <v>45930</v>
      </c>
      <c r="X146" s="755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52"/>
      <c r="J147" s="752"/>
      <c r="K147" s="271"/>
      <c r="L147" s="339">
        <v>14</v>
      </c>
      <c r="M147" s="435" t="s">
        <v>370</v>
      </c>
      <c r="N147" s="340" t="s">
        <v>371</v>
      </c>
      <c r="O147" s="562"/>
      <c r="P147" s="471"/>
      <c r="Q147" s="342">
        <v>95.2</v>
      </c>
      <c r="R147" s="602"/>
      <c r="S147" s="636" t="s">
        <v>372</v>
      </c>
      <c r="T147" s="676">
        <v>45961</v>
      </c>
      <c r="U147" s="677">
        <v>295.24</v>
      </c>
      <c r="V147" s="764"/>
      <c r="W147" s="678">
        <v>45967</v>
      </c>
      <c r="X147" s="755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52"/>
      <c r="J148" s="752"/>
      <c r="K148" s="271"/>
      <c r="L148" s="339">
        <v>14</v>
      </c>
      <c r="M148" s="435" t="s">
        <v>370</v>
      </c>
      <c r="N148" s="340" t="s">
        <v>371</v>
      </c>
      <c r="O148" s="562"/>
      <c r="P148" s="471"/>
      <c r="Q148" s="342">
        <v>0</v>
      </c>
      <c r="R148" s="699"/>
      <c r="S148" s="636" t="s">
        <v>372</v>
      </c>
      <c r="T148" s="676">
        <v>45991</v>
      </c>
      <c r="U148" s="677">
        <v>0</v>
      </c>
      <c r="V148" s="764"/>
      <c r="W148" s="678">
        <v>45991</v>
      </c>
      <c r="X148" s="755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52"/>
      <c r="J149" s="752"/>
      <c r="K149" s="271"/>
      <c r="L149" s="339">
        <v>14</v>
      </c>
      <c r="M149" s="435" t="s">
        <v>370</v>
      </c>
      <c r="N149" s="340" t="s">
        <v>371</v>
      </c>
      <c r="O149" s="562"/>
      <c r="P149" s="471"/>
      <c r="Q149" s="342">
        <v>104.72</v>
      </c>
      <c r="R149" s="602"/>
      <c r="S149" s="636" t="s">
        <v>372</v>
      </c>
      <c r="T149" s="676">
        <v>46022</v>
      </c>
      <c r="U149" s="677">
        <v>419.6221583868446</v>
      </c>
      <c r="V149" s="764"/>
      <c r="W149" s="678">
        <v>46030</v>
      </c>
      <c r="X149" s="755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52"/>
      <c r="J150" s="752"/>
      <c r="K150" s="271"/>
      <c r="L150" s="339">
        <v>14</v>
      </c>
      <c r="M150" s="435" t="s">
        <v>370</v>
      </c>
      <c r="N150" s="340" t="s">
        <v>371</v>
      </c>
      <c r="O150" s="562"/>
      <c r="P150" s="471"/>
      <c r="Q150" s="342">
        <f t="shared" ref="Q150:Q151" si="26">7800/10</f>
        <v>780</v>
      </c>
      <c r="R150" s="602"/>
      <c r="S150" s="636"/>
      <c r="T150" s="532">
        <v>46053</v>
      </c>
      <c r="U150" s="516">
        <f>(Q150/$X$141*$J$141)+106.44+138.46+477.17</f>
        <v>3847.5979177018603</v>
      </c>
      <c r="V150" s="764"/>
      <c r="W150" s="584">
        <v>46059</v>
      </c>
      <c r="X150" s="755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52"/>
      <c r="J151" s="752"/>
      <c r="K151" s="271"/>
      <c r="L151" s="339">
        <v>14</v>
      </c>
      <c r="M151" s="435" t="s">
        <v>370</v>
      </c>
      <c r="N151" s="340"/>
      <c r="O151" s="562"/>
      <c r="P151" s="471"/>
      <c r="Q151" s="342">
        <f t="shared" si="26"/>
        <v>780</v>
      </c>
      <c r="R151" s="602"/>
      <c r="S151" s="638"/>
      <c r="T151" s="532">
        <v>46081</v>
      </c>
      <c r="U151" s="516">
        <f>(Q151/$X$141*$J$141)+599</f>
        <v>3724.5279177018601</v>
      </c>
      <c r="V151" s="764"/>
      <c r="W151" s="584">
        <f>T151+7</f>
        <v>46088</v>
      </c>
      <c r="X151" s="755"/>
      <c r="Y151" s="482"/>
    </row>
    <row r="152" spans="1:25" ht="15" customHeight="1" thickBot="1">
      <c r="B152" s="272">
        <v>14</v>
      </c>
      <c r="C152" s="343"/>
      <c r="D152" s="343"/>
      <c r="E152" s="344"/>
      <c r="F152" s="472"/>
      <c r="G152" s="273"/>
      <c r="H152" s="585"/>
      <c r="I152" s="753"/>
      <c r="J152" s="753"/>
      <c r="K152" s="274"/>
      <c r="L152" s="272">
        <v>14</v>
      </c>
      <c r="M152" s="436" t="s">
        <v>370</v>
      </c>
      <c r="N152" s="343"/>
      <c r="O152" s="563"/>
      <c r="P152" s="472"/>
      <c r="Q152" s="273"/>
      <c r="R152" s="603"/>
      <c r="S152" s="639"/>
      <c r="T152" s="533" t="str">
        <f t="shared" si="15"/>
        <v/>
      </c>
      <c r="U152" s="517">
        <f>(Q152/$X$141*$J$141)</f>
        <v>0</v>
      </c>
      <c r="V152" s="765"/>
      <c r="W152" s="585"/>
      <c r="X152" s="756"/>
      <c r="Y152" s="482"/>
    </row>
    <row r="153" spans="1:25" ht="14.4" thickBot="1">
      <c r="A153" s="24"/>
      <c r="B153" s="289"/>
      <c r="C153" s="276"/>
      <c r="D153" s="276"/>
      <c r="E153" s="290"/>
      <c r="F153" s="456"/>
      <c r="G153" s="291"/>
      <c r="H153" s="574"/>
      <c r="I153" s="345"/>
      <c r="J153" s="345"/>
      <c r="K153" s="24"/>
      <c r="L153" s="289"/>
      <c r="M153" s="276"/>
      <c r="N153" s="276"/>
      <c r="O153" s="551"/>
      <c r="P153" s="456"/>
      <c r="Q153" s="291"/>
      <c r="R153" s="590"/>
      <c r="S153" s="627"/>
      <c r="T153" s="521" t="str">
        <f t="shared" si="15"/>
        <v/>
      </c>
      <c r="U153" s="509"/>
      <c r="V153" s="492"/>
      <c r="W153" s="574"/>
      <c r="X153" s="489"/>
      <c r="Y153" s="482"/>
    </row>
    <row r="154" spans="1:25">
      <c r="B154" s="280">
        <v>15</v>
      </c>
      <c r="C154" s="281" t="s">
        <v>373</v>
      </c>
      <c r="D154" s="281"/>
      <c r="E154" s="282"/>
      <c r="F154" s="437"/>
      <c r="G154" s="283"/>
      <c r="H154" s="578"/>
      <c r="I154" s="734">
        <f>SUM(G154:G165)</f>
        <v>0</v>
      </c>
      <c r="J154" s="734">
        <v>0</v>
      </c>
      <c r="K154" s="284"/>
      <c r="L154" s="280">
        <v>15</v>
      </c>
      <c r="M154" s="350" t="s">
        <v>374</v>
      </c>
      <c r="N154" s="281"/>
      <c r="O154" s="547"/>
      <c r="P154" s="437"/>
      <c r="Q154" s="283"/>
      <c r="R154" s="594"/>
      <c r="S154" s="631"/>
      <c r="T154" s="525" t="str">
        <f t="shared" si="15"/>
        <v/>
      </c>
      <c r="U154" s="510"/>
      <c r="V154" s="721">
        <v>0</v>
      </c>
      <c r="W154" s="578"/>
      <c r="X154" s="718">
        <f>SUM(Q154:Q165)</f>
        <v>0</v>
      </c>
      <c r="Y154" s="482"/>
    </row>
    <row r="155" spans="1:25">
      <c r="B155" s="310">
        <v>15</v>
      </c>
      <c r="C155" s="312"/>
      <c r="D155" s="312"/>
      <c r="E155" s="313"/>
      <c r="F155" s="459"/>
      <c r="G155" s="314"/>
      <c r="H155" s="571"/>
      <c r="I155" s="735"/>
      <c r="J155" s="735"/>
      <c r="K155" s="287"/>
      <c r="L155" s="310">
        <v>15</v>
      </c>
      <c r="M155" s="389" t="s">
        <v>374</v>
      </c>
      <c r="N155" s="312"/>
      <c r="O155" s="548"/>
      <c r="P155" s="459"/>
      <c r="Q155" s="314"/>
      <c r="R155" s="587"/>
      <c r="S155" s="624"/>
      <c r="T155" s="518" t="str">
        <f>IF(W155&gt;1,EOMONTH(W155,0),"")</f>
        <v/>
      </c>
      <c r="U155" s="502"/>
      <c r="V155" s="722"/>
      <c r="W155" s="571"/>
      <c r="X155" s="719"/>
      <c r="Y155" s="482"/>
    </row>
    <row r="156" spans="1:25">
      <c r="B156" s="310">
        <v>15</v>
      </c>
      <c r="C156" s="312"/>
      <c r="D156" s="312"/>
      <c r="E156" s="313"/>
      <c r="F156" s="459"/>
      <c r="G156" s="314"/>
      <c r="H156" s="571"/>
      <c r="I156" s="735"/>
      <c r="J156" s="735"/>
      <c r="K156" s="287"/>
      <c r="L156" s="310">
        <v>15</v>
      </c>
      <c r="M156" s="389" t="s">
        <v>374</v>
      </c>
      <c r="N156" s="312"/>
      <c r="O156" s="548"/>
      <c r="P156" s="459"/>
      <c r="Q156" s="314"/>
      <c r="R156" s="587"/>
      <c r="S156" s="624"/>
      <c r="T156" s="518" t="str">
        <f>IF(W156&gt;1,EOMONTH(W156,0),"")</f>
        <v/>
      </c>
      <c r="U156" s="502"/>
      <c r="V156" s="722"/>
      <c r="W156" s="571"/>
      <c r="X156" s="719"/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35"/>
      <c r="J157" s="735"/>
      <c r="K157" s="287"/>
      <c r="L157" s="310">
        <v>15</v>
      </c>
      <c r="M157" s="389" t="s">
        <v>374</v>
      </c>
      <c r="N157" s="312"/>
      <c r="O157" s="548"/>
      <c r="P157" s="459"/>
      <c r="Q157" s="314"/>
      <c r="R157" s="587"/>
      <c r="S157" s="624"/>
      <c r="T157" s="518" t="str">
        <f t="shared" ref="T157:T164" si="27">IF(W157&gt;1,EOMONTH(W157,0),"")</f>
        <v/>
      </c>
      <c r="U157" s="502"/>
      <c r="V157" s="722"/>
      <c r="W157" s="571"/>
      <c r="X157" s="719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35"/>
      <c r="J158" s="735"/>
      <c r="K158" s="287"/>
      <c r="L158" s="310">
        <v>15</v>
      </c>
      <c r="M158" s="389" t="s">
        <v>374</v>
      </c>
      <c r="N158" s="312"/>
      <c r="O158" s="548"/>
      <c r="P158" s="459"/>
      <c r="Q158" s="314"/>
      <c r="R158" s="587"/>
      <c r="S158" s="624"/>
      <c r="T158" s="518" t="str">
        <f t="shared" si="27"/>
        <v/>
      </c>
      <c r="U158" s="502"/>
      <c r="V158" s="722"/>
      <c r="W158" s="571"/>
      <c r="X158" s="719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35"/>
      <c r="J159" s="735"/>
      <c r="K159" s="287"/>
      <c r="L159" s="310">
        <v>15</v>
      </c>
      <c r="M159" s="389" t="s">
        <v>374</v>
      </c>
      <c r="N159" s="312"/>
      <c r="O159" s="548"/>
      <c r="P159" s="459"/>
      <c r="Q159" s="314"/>
      <c r="R159" s="587"/>
      <c r="S159" s="624"/>
      <c r="T159" s="518" t="str">
        <f t="shared" si="27"/>
        <v/>
      </c>
      <c r="U159" s="502"/>
      <c r="V159" s="722"/>
      <c r="W159" s="571"/>
      <c r="X159" s="719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35"/>
      <c r="J160" s="735"/>
      <c r="K160" s="287"/>
      <c r="L160" s="310">
        <v>15</v>
      </c>
      <c r="M160" s="389" t="s">
        <v>374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22"/>
      <c r="W160" s="571"/>
      <c r="X160" s="719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35"/>
      <c r="J161" s="735"/>
      <c r="K161" s="287"/>
      <c r="L161" s="310">
        <v>15</v>
      </c>
      <c r="M161" s="389" t="s">
        <v>374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22"/>
      <c r="W161" s="571"/>
      <c r="X161" s="719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35"/>
      <c r="J162" s="735"/>
      <c r="K162" s="287"/>
      <c r="L162" s="310">
        <v>15</v>
      </c>
      <c r="M162" s="389" t="s">
        <v>374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22"/>
      <c r="W162" s="571"/>
      <c r="X162" s="719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35"/>
      <c r="J163" s="735"/>
      <c r="K163" s="287"/>
      <c r="L163" s="310">
        <v>15</v>
      </c>
      <c r="M163" s="389" t="s">
        <v>374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22"/>
      <c r="W163" s="571"/>
      <c r="X163" s="719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35"/>
      <c r="J164" s="735"/>
      <c r="K164" s="287"/>
      <c r="L164" s="310">
        <v>15</v>
      </c>
      <c r="M164" s="389" t="s">
        <v>374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22"/>
      <c r="W164" s="571"/>
      <c r="X164" s="719"/>
      <c r="Y164" s="482"/>
    </row>
    <row r="165" spans="2:25" ht="15" customHeight="1" thickBot="1">
      <c r="B165" s="315">
        <v>15</v>
      </c>
      <c r="C165" s="316"/>
      <c r="D165" s="316"/>
      <c r="E165" s="317"/>
      <c r="F165" s="460"/>
      <c r="G165" s="329"/>
      <c r="H165" s="573"/>
      <c r="I165" s="736"/>
      <c r="J165" s="736"/>
      <c r="K165" s="288"/>
      <c r="L165" s="315">
        <v>15</v>
      </c>
      <c r="M165" s="419" t="s">
        <v>374</v>
      </c>
      <c r="N165" s="316"/>
      <c r="O165" s="550"/>
      <c r="P165" s="460"/>
      <c r="Q165" s="329"/>
      <c r="R165" s="589"/>
      <c r="S165" s="626"/>
      <c r="T165" s="520" t="str">
        <f t="shared" si="15"/>
        <v/>
      </c>
      <c r="U165" s="504"/>
      <c r="V165" s="723"/>
      <c r="W165" s="573"/>
      <c r="X165" s="720"/>
      <c r="Y165" s="482"/>
    </row>
    <row r="166" spans="2:25" s="3" customFormat="1">
      <c r="B166" s="108"/>
      <c r="E166" s="4"/>
      <c r="F166" s="473"/>
      <c r="G166" s="5"/>
      <c r="H166" s="347"/>
      <c r="I166" s="346"/>
      <c r="J166" s="346"/>
      <c r="L166" s="108"/>
      <c r="O166" s="4"/>
      <c r="P166" s="473"/>
      <c r="Q166" s="347"/>
      <c r="R166" s="347"/>
      <c r="S166" s="347"/>
      <c r="T166" s="347"/>
      <c r="U166" s="347"/>
      <c r="V166" s="347"/>
      <c r="W166" s="347"/>
      <c r="X166" s="347"/>
    </row>
    <row r="167" spans="2:25">
      <c r="B167" s="111"/>
      <c r="C167" s="546" t="s">
        <v>375</v>
      </c>
      <c r="D167" s="546">
        <v>1492013.321</v>
      </c>
      <c r="E167" s="164">
        <v>1492013.3211764772</v>
      </c>
      <c r="F167" s="464">
        <f t="shared" ref="F167:F193" si="28">D167-E167</f>
        <v>-1.7647724598646164E-4</v>
      </c>
      <c r="G167" s="111"/>
      <c r="I167" s="111"/>
      <c r="J167" s="111"/>
    </row>
    <row r="168" spans="2:25">
      <c r="B168" s="111"/>
      <c r="C168" s="546" t="s">
        <v>376</v>
      </c>
      <c r="D168" s="546">
        <v>488339.37199999997</v>
      </c>
      <c r="E168" s="164">
        <v>488339.37200918607</v>
      </c>
      <c r="F168" s="464">
        <f t="shared" si="28"/>
        <v>-9.1861002147197723E-6</v>
      </c>
      <c r="G168" s="111"/>
      <c r="I168" s="255"/>
      <c r="J168" s="255"/>
    </row>
    <row r="169" spans="2:25">
      <c r="B169" s="111"/>
      <c r="C169" s="546" t="s">
        <v>377</v>
      </c>
      <c r="D169" s="546">
        <v>221686.54130000001</v>
      </c>
      <c r="E169" s="164">
        <v>221686.5413172901</v>
      </c>
      <c r="F169" s="464">
        <f t="shared" si="28"/>
        <v>-1.7290090909227729E-5</v>
      </c>
      <c r="G169" s="111"/>
      <c r="I169" s="348"/>
      <c r="J169" s="348"/>
    </row>
    <row r="170" spans="2:25">
      <c r="B170" s="111"/>
      <c r="C170" s="546" t="s">
        <v>290</v>
      </c>
      <c r="D170" s="546">
        <v>641789.76450000005</v>
      </c>
      <c r="E170" s="164">
        <v>641789.76453626063</v>
      </c>
      <c r="F170" s="464">
        <f t="shared" si="28"/>
        <v>-3.6260578781366348E-5</v>
      </c>
      <c r="G170" s="111"/>
      <c r="I170" s="255"/>
      <c r="J170" s="255"/>
    </row>
    <row r="171" spans="2:25">
      <c r="B171" s="111"/>
      <c r="C171" s="546" t="s">
        <v>318</v>
      </c>
      <c r="D171" s="546">
        <v>692645.04460000002</v>
      </c>
      <c r="E171" s="164">
        <v>692645.04455865838</v>
      </c>
      <c r="F171" s="464">
        <f t="shared" si="28"/>
        <v>4.1341641917824745E-5</v>
      </c>
      <c r="G171" s="111"/>
      <c r="I171" s="348"/>
      <c r="J171" s="348"/>
    </row>
    <row r="172" spans="2:25">
      <c r="B172" s="111"/>
      <c r="C172" s="546" t="s">
        <v>305</v>
      </c>
      <c r="D172" s="546">
        <v>212427.6268</v>
      </c>
      <c r="E172" s="164">
        <v>212427.62682399593</v>
      </c>
      <c r="F172" s="464">
        <f t="shared" si="28"/>
        <v>-2.3995933588594198E-5</v>
      </c>
      <c r="G172" s="111"/>
      <c r="I172" s="255"/>
      <c r="J172" s="255"/>
    </row>
    <row r="173" spans="2:25">
      <c r="B173" s="111"/>
      <c r="C173" s="546" t="s">
        <v>378</v>
      </c>
      <c r="D173" s="546">
        <v>0</v>
      </c>
      <c r="E173" s="164">
        <v>0</v>
      </c>
      <c r="F173" s="464">
        <f t="shared" si="28"/>
        <v>0</v>
      </c>
      <c r="G173" s="111"/>
      <c r="I173" s="255"/>
      <c r="J173" s="255"/>
    </row>
    <row r="174" spans="2:25">
      <c r="B174" s="111"/>
      <c r="C174" s="546" t="s">
        <v>379</v>
      </c>
      <c r="D174" s="546">
        <v>0</v>
      </c>
      <c r="E174" s="164">
        <v>0</v>
      </c>
      <c r="F174" s="464">
        <f t="shared" si="28"/>
        <v>0</v>
      </c>
      <c r="G174" s="111"/>
      <c r="I174" s="255"/>
      <c r="J174" s="255"/>
    </row>
    <row r="175" spans="2:25">
      <c r="B175" s="111"/>
      <c r="C175" s="546" t="s">
        <v>380</v>
      </c>
      <c r="D175" s="546">
        <v>2500000</v>
      </c>
      <c r="E175" s="164">
        <v>2000000</v>
      </c>
      <c r="F175" s="464">
        <f t="shared" si="28"/>
        <v>500000</v>
      </c>
      <c r="G175" s="111"/>
      <c r="I175" s="255"/>
      <c r="J175" s="255"/>
    </row>
    <row r="176" spans="2:25">
      <c r="B176" s="111"/>
      <c r="C176" s="546" t="s">
        <v>381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382</v>
      </c>
      <c r="D177" s="546">
        <v>0</v>
      </c>
      <c r="E177" s="164">
        <v>0</v>
      </c>
      <c r="F177" s="464">
        <f t="shared" si="28"/>
        <v>0</v>
      </c>
      <c r="G177" s="111"/>
      <c r="I177" s="255"/>
      <c r="J177" s="255"/>
    </row>
    <row r="178" spans="2:10">
      <c r="B178" s="111"/>
      <c r="C178" s="546" t="s">
        <v>383</v>
      </c>
      <c r="D178" s="546"/>
      <c r="E178" s="164"/>
      <c r="F178" s="464">
        <f t="shared" si="28"/>
        <v>0</v>
      </c>
      <c r="G178" s="111"/>
      <c r="I178" s="255"/>
      <c r="J178" s="255"/>
    </row>
    <row r="179" spans="2:10">
      <c r="B179" s="111"/>
      <c r="C179" s="546"/>
      <c r="D179" s="546"/>
      <c r="E179" s="164"/>
      <c r="F179" s="464">
        <f t="shared" si="28"/>
        <v>0</v>
      </c>
      <c r="G179" s="111"/>
      <c r="I179" s="255"/>
      <c r="J179" s="255"/>
    </row>
    <row r="180" spans="2:10" s="111" customFormat="1">
      <c r="C180" s="546" t="s">
        <v>384</v>
      </c>
      <c r="D180" s="546">
        <v>133517.6471</v>
      </c>
      <c r="E180" s="164">
        <v>133517.64705882352</v>
      </c>
      <c r="F180" s="464">
        <f t="shared" si="28"/>
        <v>4.1176477679982781E-5</v>
      </c>
      <c r="I180" s="255"/>
      <c r="J180" s="255"/>
    </row>
    <row r="181" spans="2:10" s="111" customFormat="1">
      <c r="C181" s="546" t="s">
        <v>385</v>
      </c>
      <c r="D181" s="546">
        <v>303552.9412</v>
      </c>
      <c r="E181" s="164">
        <v>303552.9411764706</v>
      </c>
      <c r="F181" s="464">
        <f t="shared" si="28"/>
        <v>2.3529399186372757E-5</v>
      </c>
      <c r="I181" s="255"/>
      <c r="J181" s="255"/>
    </row>
    <row r="182" spans="2:10" s="111" customFormat="1">
      <c r="C182" s="546" t="s">
        <v>386</v>
      </c>
      <c r="D182" s="546">
        <v>266056.79300000001</v>
      </c>
      <c r="E182" s="164">
        <v>266056.79299654148</v>
      </c>
      <c r="F182" s="464">
        <f t="shared" si="28"/>
        <v>3.4585245884954929E-6</v>
      </c>
      <c r="I182" s="255"/>
      <c r="J182" s="255"/>
    </row>
    <row r="183" spans="2:10" s="111" customFormat="1">
      <c r="C183" s="546" t="s">
        <v>387</v>
      </c>
      <c r="D183" s="546">
        <v>110643.5294</v>
      </c>
      <c r="E183" s="164">
        <v>110643.5294117647</v>
      </c>
      <c r="F183" s="464">
        <f t="shared" si="28"/>
        <v>-1.1764699593186378E-5</v>
      </c>
      <c r="I183" s="255"/>
      <c r="J183" s="255"/>
    </row>
    <row r="184" spans="2:10" s="111" customFormat="1">
      <c r="C184" s="546" t="s">
        <v>388</v>
      </c>
      <c r="D184" s="546">
        <v>10000</v>
      </c>
      <c r="E184" s="164">
        <v>10000</v>
      </c>
      <c r="F184" s="464">
        <f t="shared" si="28"/>
        <v>0</v>
      </c>
      <c r="I184" s="255"/>
      <c r="J184" s="255"/>
    </row>
    <row r="185" spans="2:10" s="111" customFormat="1">
      <c r="C185" s="546" t="s">
        <v>389</v>
      </c>
      <c r="D185" s="546">
        <v>0</v>
      </c>
      <c r="E185" s="164">
        <v>0</v>
      </c>
      <c r="F185" s="464">
        <f t="shared" si="28"/>
        <v>0</v>
      </c>
      <c r="I185" s="255"/>
      <c r="J185" s="255"/>
    </row>
    <row r="186" spans="2:10" s="111" customFormat="1">
      <c r="C186" s="546" t="s">
        <v>390</v>
      </c>
      <c r="D186" s="546">
        <v>6529.4117649999998</v>
      </c>
      <c r="E186" s="164">
        <v>6529.4117647058829</v>
      </c>
      <c r="F186" s="464">
        <f t="shared" si="28"/>
        <v>2.941169441328384E-7</v>
      </c>
      <c r="I186" s="255"/>
      <c r="J186" s="255"/>
    </row>
    <row r="187" spans="2:10" s="111" customFormat="1">
      <c r="C187" s="546" t="s">
        <v>391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392</v>
      </c>
      <c r="D188" s="546">
        <v>51831.176469999999</v>
      </c>
      <c r="E188" s="164">
        <v>51831.176470588238</v>
      </c>
      <c r="F188" s="464">
        <f t="shared" si="28"/>
        <v>-5.8823934523388743E-7</v>
      </c>
      <c r="I188" s="255"/>
      <c r="J188" s="255"/>
    </row>
    <row r="189" spans="2:10" s="111" customFormat="1">
      <c r="C189" s="546" t="s">
        <v>393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380</v>
      </c>
      <c r="D190" s="546">
        <v>0</v>
      </c>
      <c r="E190" s="164">
        <v>0</v>
      </c>
      <c r="F190" s="464">
        <f t="shared" si="28"/>
        <v>0</v>
      </c>
      <c r="I190" s="255"/>
      <c r="J190" s="255"/>
    </row>
    <row r="191" spans="2:10" s="111" customFormat="1">
      <c r="C191" s="546"/>
      <c r="D191" s="546"/>
      <c r="E191" s="164"/>
      <c r="F191" s="464">
        <f t="shared" si="28"/>
        <v>0</v>
      </c>
      <c r="I191" s="255"/>
      <c r="J191" s="255"/>
    </row>
    <row r="192" spans="2:10" s="111" customFormat="1">
      <c r="C192" s="546" t="s">
        <v>394</v>
      </c>
      <c r="D192" s="546"/>
      <c r="E192" s="164"/>
      <c r="F192" s="464">
        <f t="shared" si="28"/>
        <v>0</v>
      </c>
      <c r="I192" s="255"/>
      <c r="J192" s="255"/>
    </row>
    <row r="193" spans="3:10" s="111" customFormat="1">
      <c r="C193" s="546" t="s">
        <v>395</v>
      </c>
      <c r="D193" s="546">
        <v>9264.7058820000002</v>
      </c>
      <c r="E193" s="164">
        <v>9264.7058823529405</v>
      </c>
      <c r="F193" s="464">
        <f t="shared" si="28"/>
        <v>-3.5294033295940608E-7</v>
      </c>
      <c r="I193" s="255"/>
      <c r="J193" s="255"/>
    </row>
    <row r="194" spans="3:10" s="111" customFormat="1">
      <c r="C194" s="546"/>
      <c r="D194" s="546"/>
      <c r="E194" s="164"/>
      <c r="F194" s="464"/>
      <c r="I194" s="255"/>
      <c r="J194" s="255"/>
    </row>
    <row r="195" spans="3:10" s="111" customFormat="1">
      <c r="E195" s="164"/>
      <c r="F195" s="464"/>
      <c r="I195" s="255"/>
      <c r="J195" s="255"/>
    </row>
    <row r="196" spans="3:10" s="111" customFormat="1"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396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1" t="s">
        <v>397</v>
      </c>
      <c r="B2" s="191"/>
      <c r="C2" s="192" t="s">
        <v>246</v>
      </c>
      <c r="D2" s="192" t="s">
        <v>246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4" t="s">
        <v>164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2"/>
      <c r="B4" s="194" t="s">
        <v>398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02"/>
      <c r="B5" s="198" t="s">
        <v>166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Breakdown'!$G$6:$G$200, 'Expenditure Breakdown'!$H$6:$H$200, "&gt;="&amp;F1,'Expenditure Breakdown'!$H$6:$H$200, "&lt;"&amp;G1)</f>
        <v>0</v>
      </c>
      <c r="G5" s="200">
        <f>SUMIFS('Expenditure Breakdown'!$G$6:$G$200, 'Expenditure Breakdown'!$H$6:$H$200, "&gt;="&amp;G1,'Expenditure Breakdown'!$H$6:$H$200, "&lt;"&amp;H1)</f>
        <v>0</v>
      </c>
      <c r="H5" s="200">
        <f>SUMIFS('Expenditure Breakdown'!$G$6:$G$200, 'Expenditure Breakdown'!$H$6:$H$200, "&gt;="&amp;H1,'Expenditure Breakdown'!$H$6:$H$200, "&lt;"&amp;I1)</f>
        <v>0</v>
      </c>
      <c r="I5" s="200">
        <f>SUMIFS('Expenditure Breakdown'!$G$6:$G$200, 'Expenditure Breakdown'!$H$6:$H$200, "&gt;="&amp;I1,'Expenditure Breakdown'!$H$6:$H$200, "&lt;"&amp;J1)</f>
        <v>0</v>
      </c>
      <c r="J5" s="200">
        <f>SUMIFS('Expenditure Breakdown'!$G$6:$G$200, 'Expenditure Breakdown'!$H$6:$H$200, "&gt;="&amp;J1,'Expenditure Breakdown'!$H$6:$H$200, "&lt;"&amp;K1)</f>
        <v>0</v>
      </c>
      <c r="K5" s="200">
        <f>SUMIFS('Expenditure Breakdown'!$G$6:$G$200, 'Expenditure Breakdown'!$H$6:$H$200, "&gt;="&amp;K1,'Expenditure Breakdown'!$H$6:$H$200, "&lt;"&amp;L1)</f>
        <v>0</v>
      </c>
      <c r="L5" s="200">
        <f>SUMIFS('Expenditure Breakdown'!$G$6:$G$200, 'Expenditure Breakdown'!$H$6:$H$200, "&gt;="&amp;L1,'Expenditure Breakdown'!$H$6:$H$200, "&lt;"&amp;M1)</f>
        <v>0</v>
      </c>
      <c r="M5" s="200">
        <f>SUMIFS('Expenditure Breakdown'!$G$6:$G$200, 'Expenditure Breakdown'!$H$6:$H$200, "&gt;="&amp;M1,'Expenditure Breakdown'!$H$6:$H$200, "&lt;"&amp;N1)</f>
        <v>0</v>
      </c>
      <c r="N5" s="200">
        <f>SUMIFS('Expenditure Breakdown'!$G$6:$G$200, 'Expenditure Breakdown'!$H$6:$H$200, "&gt;="&amp;N1,'Expenditure Breakdown'!$H$6:$H$200, "&lt;"&amp;O1)</f>
        <v>0</v>
      </c>
      <c r="O5" s="200">
        <f>SUMIFS('Expenditure Breakdown'!$G$6:$G$200, 'Expenditure Breakdown'!$H$6:$H$200, "&gt;="&amp;O1,'Expenditure Breakdown'!$H$6:$H$200, "&lt;"&amp;P1)</f>
        <v>0</v>
      </c>
      <c r="P5" s="200">
        <f>SUMIFS('Expenditure Breakdown'!$G$6:$G$200, 'Expenditure Breakdown'!$H$6:$H$200, "&gt;="&amp;P1,'Expenditure Breakdown'!$H$6:$H$200, "&lt;"&amp;Q1)</f>
        <v>0</v>
      </c>
      <c r="Q5" s="200">
        <f>SUMIFS('Expenditure Breakdown'!$G$6:$G$200, 'Expenditure Breakdown'!$H$6:$H$200, "&gt;="&amp;Q1,'Expenditure Breakdown'!$H$6:$H$200, "&lt;"&amp;R1)</f>
        <v>0</v>
      </c>
      <c r="R5" s="200">
        <f>SUMIFS('Expenditure Breakdown'!$G$6:$G$200, 'Expenditure Breakdown'!$H$6:$H$200, "&gt;="&amp;R1,'Expenditure Breakdown'!$H$6:$H$200, "&lt;"&amp;S1)</f>
        <v>0</v>
      </c>
      <c r="S5" s="200">
        <f>SUMIFS('Expenditure Breakdown'!$G$6:$G$200, 'Expenditure Breakdown'!$H$6:$H$200, "&gt;="&amp;S1,'Expenditure Breakdown'!$H$6:$H$200, "&lt;"&amp;T1)</f>
        <v>0</v>
      </c>
      <c r="T5" s="200">
        <f>SUMIFS('Expenditure Breakdown'!$G$6:$G$200, 'Expenditure Breakdown'!$H$6:$H$200, "&gt;="&amp;T1,'Expenditure Breakdown'!$H$6:$H$200, "&lt;"&amp;U1)</f>
        <v>0</v>
      </c>
      <c r="U5" s="200">
        <f>SUMIFS('Expenditure Breakdown'!$G$6:$G$200, 'Expenditure Breakdown'!$H$6:$H$200, "&gt;="&amp;U1,'Expenditure Breakdown'!$H$6:$H$200, "&lt;"&amp;V1)</f>
        <v>7875</v>
      </c>
      <c r="V5" s="200">
        <f>SUMIFS('Expenditure Breakdown'!$G$6:$G$200, 'Expenditure Breakdown'!$H$6:$H$200, "&gt;="&amp;V1,'Expenditure Breakdown'!$H$6:$H$200, "&lt;"&amp;W1)</f>
        <v>2000000</v>
      </c>
      <c r="W5" s="200">
        <f>SUMIFS('Expenditure Breakdown'!$G$6:$G$200, 'Expenditure Breakdown'!$H$6:$H$200, "&gt;="&amp;W1,'Expenditure Breakdown'!$H$6:$H$200, "&lt;"&amp;X1)</f>
        <v>0</v>
      </c>
      <c r="X5" s="200">
        <f>SUMIFS('Expenditure Breakdown'!$G$6:$G$200, 'Expenditure Breakdown'!$H$6:$H$200, "&gt;="&amp;X1,'Expenditure Breakdown'!$H$6:$H$200, "&lt;"&amp;Y1)</f>
        <v>0</v>
      </c>
      <c r="Y5" s="200">
        <f>SUMIFS('Expenditure Breakdown'!$G$6:$G$200, 'Expenditure Breakdown'!$H$6:$H$200, "&gt;="&amp;Y1,'Expenditure Breakdown'!$H$6:$H$200, "&lt;"&amp;Z1)</f>
        <v>0</v>
      </c>
      <c r="Z5" s="200">
        <f>SUMIFS('Expenditure Breakdown'!$G$6:$G$200, 'Expenditure Breakdown'!$H$6:$H$200, "&gt;="&amp;Z1,'Expenditure Breakdown'!$H$6:$H$200, "&lt;"&amp;AA1)</f>
        <v>0</v>
      </c>
      <c r="AA5" s="200">
        <f>SUMIFS('Expenditure Breakdown'!$G$6:$G$200, 'Expenditure Breakdown'!$H$6:$H$200, "&gt;="&amp;AA1,'Expenditure Breakdown'!$H$6:$H$200, "&lt;"&amp;AB1)</f>
        <v>0</v>
      </c>
      <c r="AB5" s="200">
        <f>SUMIFS('Expenditure Breakdown'!$G$6:$G$200, 'Expenditure Breakdown'!$H$6:$H$200, "&gt;="&amp;AB1,'Expenditure Breakdown'!$H$6:$H$200, "&lt;"&amp;AC1)</f>
        <v>0</v>
      </c>
      <c r="AC5" s="200">
        <f>SUMIFS('Expenditure Breakdown'!$G$6:$G$200, 'Expenditure Breakdown'!$H$6:$H$200, "&gt;="&amp;AC1,'Expenditure Breakdown'!$H$6:$H$200, "&lt;"&amp;AD1)</f>
        <v>0</v>
      </c>
      <c r="AD5" s="200">
        <f>SUMIFS('Expenditure Breakdown'!$G$6:$G$200, 'Expenditure Breakdown'!$H$6:$H$200, "&gt;="&amp;AD1,'Expenditure Breakdown'!$H$6:$H$200, "&lt;"&amp;AE1)</f>
        <v>0</v>
      </c>
      <c r="AE5" s="200">
        <f>SUMIFS('Expenditure Breakdown'!$G$6:$G$200, 'Expenditure Breakdown'!$H$6:$H$200, "&gt;="&amp;AE1,'Expenditure Breakdown'!$H$6:$H$200, "&lt;"&amp;AF1)</f>
        <v>0</v>
      </c>
      <c r="AF5" s="200">
        <f>SUMIFS('Expenditure Breakdown'!$G$6:$G$200, 'Expenditure Breakdown'!$H$6:$H$200, "&gt;="&amp;AF1,'Expenditure Breakdown'!$H$6:$H$200, "&lt;"&amp;AG1)</f>
        <v>94047</v>
      </c>
      <c r="AG5" s="200">
        <f>SUMIFS('Expenditure Breakdown'!$G$6:$G$200, 'Expenditure Breakdown'!$H$6:$H$200, "&gt;="&amp;AG1,'Expenditure Breakdown'!$H$6:$H$200, "&lt;"&amp;AH1)</f>
        <v>174000</v>
      </c>
      <c r="AH5" s="200">
        <f>SUMIFS('Expenditure Breakdown'!$G$6:$G$200, 'Expenditure Breakdown'!$H$6:$H$200, "&gt;="&amp;AH1,'Expenditure Breakdown'!$H$6:$H$200, "&lt;"&amp;AI1)</f>
        <v>0</v>
      </c>
      <c r="AI5" s="200">
        <f>SUMIFS('Expenditure Breakdown'!$G$6:$G$200, 'Expenditure Breakdown'!$H$6:$H$200, "&gt;="&amp;AI1,'Expenditure Breakdown'!$H$6:$H$200, "&lt;"&amp;AJ1)</f>
        <v>429616.5</v>
      </c>
      <c r="AJ5" s="200">
        <f>SUMIFS('Expenditure Breakdown'!$G$6:$G$200, 'Expenditure Breakdown'!$H$6:$H$200, "&gt;="&amp;AJ1,'Expenditure Breakdown'!$H$6:$H$200, "&lt;"&amp;AK1)</f>
        <v>0</v>
      </c>
      <c r="AK5" s="200">
        <f>SUMIFS('Expenditure Breakdown'!$G$6:$G$200, 'Expenditure Breakdown'!$H$6:$H$200, "&gt;="&amp;AK1,'Expenditure Breakdown'!$H$6:$H$200, "&lt;"&amp;AL1)</f>
        <v>1508752.87</v>
      </c>
      <c r="AL5" s="200">
        <f>SUMIFS('Expenditure Breakdown'!$G$6:$G$200, 'Expenditure Breakdown'!$H$6:$H$200, "&gt;="&amp;AL1,'Expenditure Breakdown'!$H$6:$H$200, "&lt;"&amp;AM1)</f>
        <v>0</v>
      </c>
      <c r="AM5" s="200">
        <f>SUMIFS('Expenditure Breakdown'!$G$6:$G$200, 'Expenditure Breakdown'!$H$6:$H$200, "&gt;="&amp;AM1,'Expenditure Breakdown'!$H$6:$H$200, "&lt;"&amp;AN1)</f>
        <v>0</v>
      </c>
      <c r="AN5" s="200">
        <f>SUMIFS('Expenditure Breakdown'!$G$6:$G$200, 'Expenditure Breakdown'!$H$6:$H$200, "&gt;="&amp;AN1,'Expenditure Breakdown'!$H$6:$H$200, "&lt;"&amp;AO1)</f>
        <v>0</v>
      </c>
      <c r="AO5" s="200">
        <f>SUMIFS('Expenditure Breakdown'!$G$6:$G$200, 'Expenditure Breakdown'!$H$6:$H$200, "&gt;="&amp;AO1,'Expenditure Breakdown'!$H$6:$H$200, "&lt;"&amp;AP1)</f>
        <v>1622111.84</v>
      </c>
      <c r="AP5" s="200">
        <f>SUMIFS('Expenditure Breakdown'!$G$6:$G$200, 'Expenditure Breakdown'!$H$6:$H$200, "&gt;="&amp;AP1,'Expenditure Breakdown'!$H$6:$H$200, "&lt;"&amp;AQ1)</f>
        <v>0</v>
      </c>
      <c r="AQ5" s="200">
        <f>SUMIFS('Expenditure Breakdown'!$G$6:$G$200, 'Expenditure Breakdown'!$H$6:$H$200, "&gt;="&amp;AQ1,'Expenditure Breakdown'!$H$6:$H$200, "&lt;"&amp;AR1)</f>
        <v>0</v>
      </c>
      <c r="AR5" s="200">
        <f>SUMIFS('Expenditure Breakdown'!$G$6:$G$200, 'Expenditure Breakdown'!$H$6:$H$200, "&gt;="&amp;AR1,'Expenditure Breakdown'!$H$6:$H$200, "&lt;"&amp;AS1)</f>
        <v>0</v>
      </c>
      <c r="AS5" s="200">
        <f>SUMIFS('Expenditure Breakdown'!$G$6:$G$200, 'Expenditure Breakdown'!$H$6:$H$200, "&gt;="&amp;AS1,'Expenditure Breakdown'!$H$6:$H$200, "&lt;"&amp;AT1)</f>
        <v>0</v>
      </c>
      <c r="AT5" s="200">
        <f>SUMIFS('Expenditure Breakdown'!$G$6:$G$200, 'Expenditure Breakdown'!$H$6:$H$200, "&gt;="&amp;AT1,'Expenditure Breakdown'!$H$6:$H$200, "&lt;"&amp;AU1)</f>
        <v>0</v>
      </c>
      <c r="AU5" s="200">
        <f>SUMIFS('Expenditure Breakdown'!$G$6:$G$200, 'Expenditure Breakdown'!$H$6:$H$200, "&gt;="&amp;AU1,'Expenditure Breakdown'!$H$6:$H$200, "&lt;"&amp;AV1)</f>
        <v>0</v>
      </c>
      <c r="AV5" s="200">
        <f>SUMIFS('Expenditure Breakdown'!$G$6:$G$200, 'Expenditure Breakdown'!$H$6:$H$200, "&gt;="&amp;AV1,'Expenditure Breakdown'!$H$6:$H$200, "&lt;"&amp;AW1)</f>
        <v>0</v>
      </c>
      <c r="AW5" s="200">
        <f>SUMIFS('Expenditure Breakdown'!$G$6:$G$200, 'Expenditure Breakdown'!$H$6:$H$200, "&gt;="&amp;AW1,'Expenditure Breakdown'!$H$6:$H$200, "&lt;"&amp;AX1)</f>
        <v>0</v>
      </c>
      <c r="AX5" s="200">
        <f>SUMIFS('Expenditure Breakdown'!$G$6:$G$200, 'Expenditure Breakdown'!$H$6:$H$200, "&gt;="&amp;AX1,'Expenditure Breakdown'!$H$6:$H$200, "&lt;"&amp;AY1)</f>
        <v>0</v>
      </c>
      <c r="AY5" s="200">
        <f>SUMIFS('Expenditure Breakdown'!$G$6:$G$200, 'Expenditure Breakdown'!$H$6:$H$200, "&gt;="&amp;AY1,'Expenditure Breakdown'!$H$6:$H$200, "&lt;"&amp;AZ1)</f>
        <v>0</v>
      </c>
      <c r="AZ5" s="200">
        <f>SUMIFS('Expenditure Breakdown'!$G$6:$G$200, 'Expenditure Breakdown'!$H$6:$H$200, "&gt;="&amp;AZ1,'Expenditure Breakdown'!$H$6:$H$200, "&lt;"&amp;BA1)</f>
        <v>0</v>
      </c>
      <c r="BA5" s="200">
        <f>SUMIFS('Expenditure Breakdown'!$G$6:$G$200, 'Expenditure Breakdown'!$H$6:$H$200, "&gt;="&amp;BA1,'Expenditure Breakdown'!$H$6:$H$200, "&lt;"&amp;BB1)</f>
        <v>0</v>
      </c>
      <c r="BB5" s="200">
        <f>SUMIFS('Expenditure Breakdown'!$G$6:$G$200, 'Expenditure Breakdown'!$H$6:$H$200, "&gt;="&amp;BB1,'Expenditure Breakdown'!$H$6:$H$200, "&lt;"&amp;BC1)</f>
        <v>0</v>
      </c>
      <c r="BC5" s="200">
        <f>SUMIFS('Expenditure Breakdown'!$G$6:$G$200, 'Expenditure Breakdown'!$H$6:$H$200, "&gt;="&amp;BC1,'Expenditure Breakdown'!$H$6:$H$200, "&lt;"&amp;BD1)</f>
        <v>0</v>
      </c>
      <c r="BD5" s="200">
        <f>SUMIFS('Expenditure Breakdown'!$G$6:$G$200, 'Expenditure Breakdown'!$H$6:$H$200, "&gt;="&amp;BD1,'Expenditure Breakdown'!$H$6:$H$200, "&lt;"&amp;BE1)</f>
        <v>0</v>
      </c>
      <c r="BE5" s="200">
        <f>SUMIFS('Expenditure Breakdown'!$G$6:$G$200, 'Expenditure Breakdown'!$H$6:$H$200, "&gt;="&amp;BE1,'Expenditure Breakdown'!$H$6:$H$200, "&lt;"&amp;BF1)</f>
        <v>0</v>
      </c>
      <c r="BF5" s="200">
        <f>SUMIFS('Expenditure Breakdown'!$G$6:$G$200, 'Expenditure Breakdown'!$H$6:$H$200, "&gt;="&amp;BF1,'Expenditure Breakdown'!$H$6:$H$200, "&lt;"&amp;BG1)</f>
        <v>0</v>
      </c>
      <c r="BG5" s="200">
        <f>SUMIFS('Expenditure Breakdown'!$G$6:$G$200, 'Expenditure Breakdown'!$H$6:$H$200, "&gt;="&amp;BG1,'Expenditure Breakdown'!$H$6:$H$200, "&lt;"&amp;BH1)</f>
        <v>0</v>
      </c>
      <c r="BH5" s="200">
        <f>SUMIFS('Expenditure Breakdown'!$G$6:$G$200, 'Expenditure Breakdown'!$H$6:$H$200, "&gt;="&amp;BH1,'Expenditure Breakdown'!$H$6:$H$200, "&lt;"&amp;BI1)</f>
        <v>0</v>
      </c>
      <c r="BI5" s="200">
        <f>SUMIFS('Expenditure Breakdown'!$G$6:$G$200, 'Expenditure Breakdown'!$H$6:$H$200, "&gt;="&amp;BI1,'Expenditure Breakdown'!$H$6:$H$200, "&lt;"&amp;BJ1)</f>
        <v>0</v>
      </c>
      <c r="BJ5" s="200">
        <f>SUMIFS('Expenditure Breakdown'!$G$6:$G$200, 'Expenditure Breakdown'!$H$6:$H$200, "&gt;="&amp;BJ1,'Expenditure Breakdown'!$H$6:$H$200, "&lt;"&amp;BK1)</f>
        <v>0</v>
      </c>
      <c r="BK5" s="200">
        <f>SUMIFS('Expenditure Breakdown'!$G$6:$G$200, 'Expenditure Breakdown'!$H$6:$H$200, "&gt;="&amp;BK1,'Expenditure Breakdown'!$H$6:$H$200, "&lt;"&amp;BL1)</f>
        <v>0</v>
      </c>
      <c r="BL5" s="200">
        <f>SUMIFS('Expenditure Breakdown'!$G$6:$G$200, 'Expenditure Breakdown'!$H$6:$H$200, "&gt;="&amp;BL1,'Expenditure Breakdown'!$H$6:$H$200, "&lt;"&amp;BM1)</f>
        <v>0</v>
      </c>
      <c r="BM5" s="200">
        <f>SUMIFS('Expenditure Breakdown'!$G$6:$G$200, 'Expenditure Breakdown'!$H$6:$H$200, "&gt;="&amp;BM1,'Expenditure Breakdown'!$H$6:$H$200, "&lt;"&amp;BN1)</f>
        <v>0</v>
      </c>
      <c r="BN5" s="200">
        <f>SUMIFS('Expenditure Breakdown'!$G$6:$G$200, 'Expenditure Breakdown'!$H$6:$H$200, "&gt;="&amp;BN1,'Expenditure Breakdown'!$H$6:$H$200, "&lt;"&amp;BO1)</f>
        <v>0</v>
      </c>
      <c r="BO5" s="200">
        <f>SUMIFS('Expenditure Breakdown'!$G$6:$G$200, 'Expenditure Breakdown'!$H$6:$H$200, "&gt;="&amp;BO1,'Expenditure Breakdown'!$H$6:$H$200, "&lt;"&amp;BP1)</f>
        <v>0</v>
      </c>
      <c r="BP5" s="200">
        <f>SUMIFS('Expenditure Breakdown'!$G$6:$G$200, 'Expenditure Breakdown'!$H$6:$H$200, "&gt;="&amp;BP1,'Expenditure Breakdown'!$H$6:$H$200, "&lt;"&amp;BQ1)</f>
        <v>0</v>
      </c>
      <c r="BQ5" s="200">
        <f>SUMIFS('Expenditure Breakdown'!$G$6:$G$200, 'Expenditure Breakdown'!$H$6:$H$200, "&gt;="&amp;BQ1,'Expenditure Breakdown'!$H$6:$H$200, "&lt;"&amp;BR1)</f>
        <v>0</v>
      </c>
      <c r="BR5" s="200">
        <f>SUMIFS('Expenditure Breakdown'!$G$6:$G$200, 'Expenditure Breakdown'!$H$6:$H$200, "&gt;="&amp;BR1,'Expenditure Breakdown'!$H$6:$H$200, "&lt;"&amp;BS1)</f>
        <v>0</v>
      </c>
      <c r="BS5" s="200">
        <f>SUMIFS('Expenditure Breakdown'!$G$6:$G$200, 'Expenditure Breakdown'!$H$6:$H$200, "&gt;="&amp;BS1,'Expenditure Breakdown'!$H$6:$H$200, "&lt;"&amp;BT1)</f>
        <v>0</v>
      </c>
      <c r="BT5" s="200">
        <f>SUMIFS('Expenditure Breakdown'!$G$6:$G$200, 'Expenditure Breakdown'!$H$6:$H$200, "&gt;="&amp;BT1,'Expenditure Breakdown'!$H$6:$H$200, "&lt;"&amp;BU1)</f>
        <v>0</v>
      </c>
      <c r="BU5" s="200">
        <f>SUMIFS('Expenditure Breakdown'!$G$6:$G$200, 'Expenditure Breakdown'!$H$6:$H$200, "&gt;="&amp;BU1,'Expenditure Breakdown'!$H$6:$H$200, "&lt;"&amp;BV1)</f>
        <v>0</v>
      </c>
      <c r="BV5" s="200">
        <f>SUMIFS('Expenditure Breakdown'!$G$6:$G$200, 'Expenditure Breakdown'!$H$6:$H$200, "&gt;="&amp;BV1,'Expenditure Breakdown'!$H$6:$H$200, "&lt;"&amp;BW1)</f>
        <v>0</v>
      </c>
      <c r="BW5" s="200">
        <f>SUMIFS('Expenditure Breakdown'!$G$6:$G$200, 'Expenditure Breakdown'!$H$6:$H$200, "&gt;="&amp;BW1,'Expenditure Breakdown'!$H$6:$H$200, "&lt;"&amp;BX1)</f>
        <v>0</v>
      </c>
      <c r="BX5" s="200">
        <f>SUMIFS('Expenditure Breakdown'!$G$6:$G$200, 'Expenditure Breakdown'!$H$6:$H$200, "&gt;="&amp;BX1,'Expenditure Breakdown'!$H$6:$H$200, "&lt;"&amp;BY1)</f>
        <v>0</v>
      </c>
      <c r="BY5" s="200">
        <f>SUMIFS('Expenditure Breakdown'!$G$6:$G$200, 'Expenditure Breakdown'!$H$6:$H$200, "&gt;="&amp;BY1,'Expenditure Breakdown'!$H$6:$H$200, "&lt;"&amp;BZ1)</f>
        <v>0</v>
      </c>
      <c r="BZ5" s="200">
        <f>SUMIFS('Expenditure Breakdown'!$G$6:$G$200, 'Expenditure Breakdown'!$H$6:$H$200, "&gt;="&amp;BZ1,'Expenditure Breakdown'!$H$6:$H$200, "&lt;"&amp;CA1)</f>
        <v>0</v>
      </c>
      <c r="CA5" s="200">
        <f>SUMIFS('Expenditure Breakdown'!$G$6:$G$200, 'Expenditure Breakdown'!$H$6:$H$200, "&gt;="&amp;CA1,'Expenditure Breakdown'!$H$6:$H$200, "&lt;"&amp;CB1)</f>
        <v>0</v>
      </c>
      <c r="CB5" s="200">
        <f>SUMIFS('Expenditure Breakdown'!$G$6:$G$200, 'Expenditure Breakdown'!$H$6:$H$200, "&gt;="&amp;CB1,'Expenditure Breakdown'!$H$6:$H$200, "&lt;"&amp;CC1)</f>
        <v>0</v>
      </c>
      <c r="CC5" s="200">
        <f>SUMIFS('Expenditure Breakdown'!$G$6:$G$200, 'Expenditure Breakdown'!$H$6:$H$200, "&gt;="&amp;CC1,'Expenditure Breakdown'!$H$6:$H$200, "&lt;"&amp;CD1)</f>
        <v>0</v>
      </c>
      <c r="CD5" s="200">
        <f>SUMIFS('Expenditure Breakdown'!$G$6:$G$200, 'Expenditure Breakdown'!$H$6:$H$200, "&gt;="&amp;CD1,'Expenditure Breakdown'!$H$6:$H$200, "&lt;"&amp;CE1)</f>
        <v>0</v>
      </c>
      <c r="CE5" s="200">
        <f>SUMIFS('Expenditure Breakdown'!$G$6:$G$200, 'Expenditure Breakdown'!$H$6:$H$200, "&gt;="&amp;CE1,'Expenditure Breakdown'!$H$6:$H$200, "&lt;"&amp;CF1)</f>
        <v>0</v>
      </c>
      <c r="CF5" s="200">
        <f>SUMIFS('Expenditure Breakdown'!$G$6:$G$200, 'Expenditure Breakdown'!$H$6:$H$200, "&gt;="&amp;CF1,'Expenditure Breakdown'!$H$6:$H$200, "&lt;"&amp;CG1)</f>
        <v>0</v>
      </c>
      <c r="CG5" s="200">
        <f>SUMIFS('Expenditure Breakdown'!$G$6:$G$200, 'Expenditure Breakdown'!$H$6:$H$200, "&gt;="&amp;CG1,'Expenditure Breakdown'!$H$6:$H$200, "&lt;"&amp;CH1)</f>
        <v>0</v>
      </c>
      <c r="CH5" s="200">
        <f>SUMIFS('Expenditure Breakdown'!$G$6:$G$200, 'Expenditure Breakdown'!$H$6:$H$200, "&gt;="&amp;CH1,'Expenditure Breakdown'!$H$6:$H$200, "&lt;"&amp;CI1)</f>
        <v>0</v>
      </c>
      <c r="CI5" s="200">
        <f>SUMIFS('Expenditure Breakdown'!$G$6:$G$200, 'Expenditure Breakdown'!$H$6:$H$200, "&gt;="&amp;CI1,'Expenditure Breakdown'!$H$6:$H$200, "&lt;"&amp;CJ1)</f>
        <v>0</v>
      </c>
      <c r="CJ5" s="200">
        <f>SUMIFS('Expenditure Breakdown'!$G$6:$G$200, 'Expenditure Breakdown'!$H$6:$H$200, "&gt;="&amp;CJ1,'Expenditure Breakdown'!$H$6:$H$200, "&lt;"&amp;CK1)</f>
        <v>0</v>
      </c>
      <c r="CK5" s="200">
        <f>SUMIFS('Expenditure Breakdown'!$G$6:$G$200, 'Expenditure Breakdown'!$H$6:$H$200, "&gt;="&amp;CK1,'Expenditure Breakdown'!$H$6:$H$200, "&lt;"&amp;CL1)</f>
        <v>0</v>
      </c>
      <c r="CL5" s="200">
        <f>SUMIFS('Expenditure Breakdown'!$G$6:$G$200, 'Expenditure Breakdown'!$H$6:$H$200, "&gt;="&amp;CL1,'Expenditure Breakdown'!$H$6:$H$200, "&lt;"&amp;CM1)</f>
        <v>0</v>
      </c>
      <c r="CM5" s="200">
        <f>SUMIFS('Expenditure Breakdown'!$G$6:$G$200, 'Expenditure Breakdown'!$H$6:$H$200, "&gt;="&amp;CM1,'Expenditure Breakdown'!$H$6:$H$200, "&lt;"&amp;CN1)</f>
        <v>0</v>
      </c>
      <c r="CN5" s="200">
        <f>SUMIFS('Expenditure Breakdown'!$G$6:$G$200, 'Expenditure Breakdown'!$H$6:$H$200, "&gt;="&amp;CN1,'Expenditure Breakdown'!$H$6:$H$200, "&lt;"&amp;CO1)</f>
        <v>0</v>
      </c>
      <c r="CO5" s="200">
        <f>SUMIFS('Expenditure Breakdown'!$G$6:$G$200, 'Expenditure Breakdown'!$H$6:$H$200, "&gt;="&amp;CO1,'Expenditure Breakdown'!$H$6:$H$200, "&lt;"&amp;CP1)</f>
        <v>0</v>
      </c>
      <c r="CP5" s="200">
        <f>SUMIFS('Expenditure Breakdown'!$G$6:$G$200, 'Expenditure Breakdown'!$H$6:$H$200, "&gt;="&amp;CP1,'Expenditure Breakdown'!$H$6:$H$200, "&lt;"&amp;CQ1)</f>
        <v>0</v>
      </c>
      <c r="CQ5" s="200">
        <f>SUMIFS('Expenditure Breakdown'!$G$6:$G$200, 'Expenditure Breakdown'!$H$6:$H$200, "&gt;="&amp;CQ1,'Expenditure Breakdown'!$H$6:$H$200, "&lt;"&amp;CR1)</f>
        <v>0</v>
      </c>
      <c r="CR5" s="200">
        <f>SUMIFS('Expenditure Breakdown'!$G$6:$G$200, 'Expenditure Breakdown'!$H$6:$H$200, "&gt;="&amp;CR1,'Expenditure Breakdown'!$H$6:$H$200, "&lt;"&amp;CS1)</f>
        <v>0</v>
      </c>
      <c r="CS5" s="200">
        <f>SUMIFS('Expenditure Breakdown'!$G$6:$G$200, 'Expenditure Breakdown'!$H$6:$H$200, "&gt;="&amp;CS1,'Expenditure Breakdown'!$H$6:$H$200, "&lt;"&amp;CT1)</f>
        <v>0</v>
      </c>
      <c r="CT5" s="200">
        <f>SUMIFS('Expenditure Breakdown'!$G$6:$G$200, 'Expenditure Breakdown'!$H$6:$H$200, "&gt;="&amp;CT1,'Expenditure Breakdown'!$H$6:$H$200, "&lt;"&amp;CU1)</f>
        <v>0</v>
      </c>
      <c r="CU5" s="200">
        <f>SUMIFS('Expenditure Breakdown'!$G$6:$G$200, 'Expenditure Breakdown'!$H$6:$H$200, "&gt;="&amp;CU1,'Expenditure Breakdown'!$H$6:$H$200, "&lt;"&amp;CV1)</f>
        <v>0</v>
      </c>
      <c r="CV5" s="200">
        <f>SUMIFS('Expenditure Breakdown'!$G$6:$G$200, 'Expenditure Breakdown'!$H$6:$H$200, "&gt;="&amp;CV1,'Expenditure Breakdown'!$H$6:$H$200, "&lt;"&amp;CW1)</f>
        <v>0</v>
      </c>
      <c r="CW5" s="200">
        <f>SUMIFS('Expenditure Breakdown'!$G$6:$G$200, 'Expenditure Breakdown'!$H$6:$H$200, "&gt;="&amp;CW1,'Expenditure Breakdown'!$H$6:$H$200, "&lt;"&amp;CX1)</f>
        <v>0</v>
      </c>
      <c r="CX5" s="200">
        <f>SUMIFS('Expenditure Breakdown'!$G$6:$G$200, 'Expenditure Breakdown'!$H$6:$H$200, "&gt;="&amp;CX1,'Expenditure Breakdown'!$H$6:$H$200, "&lt;"&amp;CY1)</f>
        <v>0</v>
      </c>
      <c r="CY5" s="200">
        <f>SUMIFS('Expenditure Breakdown'!$G$6:$G$200, 'Expenditure Breakdown'!$H$6:$H$200, "&gt;="&amp;CY1,'Expenditure Breakdown'!$H$6:$H$200, "&lt;"&amp;CZ1)</f>
        <v>0</v>
      </c>
      <c r="CZ5" s="200">
        <f>SUMIFS('Expenditure Breakdown'!$G$6:$G$200, 'Expenditure Breakdown'!$H$6:$H$200, "&gt;="&amp;CZ1,'Expenditure Breakdown'!$H$6:$H$200, "&lt;"&amp;DA1)</f>
        <v>0</v>
      </c>
      <c r="DA5" s="200">
        <f>SUMIFS('Expenditure Breakdown'!$G$6:$G$200, 'Expenditure Breakdown'!$H$6:$H$200, "&gt;="&amp;DA1,'Expenditure Breakdown'!$H$6:$H$200, "&lt;"&amp;DB1)</f>
        <v>0</v>
      </c>
      <c r="DB5" s="200">
        <f>SUMIFS('Expenditure Breakdown'!$G$6:$G$200, 'Expenditure Breakdown'!$H$6:$H$200, "&gt;="&amp;DB1,'Expenditure Breakdown'!$H$6:$H$200, "&lt;"&amp;DC1)</f>
        <v>0</v>
      </c>
      <c r="DC5" s="200">
        <f>SUMIFS('Expenditure Breakdown'!$G$6:$G$200, 'Expenditure Breakdown'!$H$6:$H$200, "&gt;="&amp;DC1,'Expenditure Breakdown'!$H$6:$H$200, "&lt;"&amp;DD1)</f>
        <v>0</v>
      </c>
      <c r="DD5" s="200">
        <f>SUMIFS('Expenditure Breakdown'!$G$6:$G$200, 'Expenditure Breakdown'!$H$6:$H$200, "&gt;="&amp;DD1,'Expenditure Breakdown'!$H$6:$H$200, "&lt;"&amp;DE1)</f>
        <v>0</v>
      </c>
      <c r="DE5" s="200">
        <f>SUMIFS('Expenditure Breakdown'!$G$6:$G$200, 'Expenditure Breakdown'!$H$6:$H$200, "&gt;="&amp;DE1,'Expenditure Breakdown'!$H$6:$H$200, "&lt;"&amp;DF1)</f>
        <v>0</v>
      </c>
      <c r="DF5" s="200">
        <f>SUMIFS('Expenditure Breakdown'!$G$6:$G$200, 'Expenditure Breakdown'!$H$6:$H$200, "&gt;="&amp;DF1,'Expenditure Breakdown'!$H$6:$H$200, "&lt;"&amp;DG1)</f>
        <v>0</v>
      </c>
      <c r="DG5" s="200">
        <f>SUMIFS('Expenditure Breakdown'!$G$6:$G$200, 'Expenditure Breakdown'!$H$6:$H$200, "&gt;="&amp;DG1,'Expenditure Breakdown'!$H$6:$H$200, "&lt;"&amp;DH1)</f>
        <v>0</v>
      </c>
      <c r="DH5" s="200">
        <f>SUMIFS('Expenditure Breakdown'!$G$6:$G$200, 'Expenditure Breakdown'!$H$6:$H$200, "&gt;="&amp;DH1,'Expenditure Breakdown'!$H$6:$H$200, "&lt;"&amp;DI1)</f>
        <v>0</v>
      </c>
      <c r="DI5" s="200">
        <f>SUMIFS('Expenditure Breakdown'!$G$6:$G$200, 'Expenditure Breakdown'!$H$6:$H$200, "&gt;="&amp;DI1,'Expenditure Breakdown'!$H$6:$H$200, "&lt;"&amp;DJ1)</f>
        <v>0</v>
      </c>
      <c r="DJ5" s="200">
        <f>SUMIFS('Expenditure Breakdown'!$G$6:$G$200, 'Expenditure Breakdown'!$H$6:$H$200, "&gt;="&amp;DJ1,'Expenditure Breakdown'!$H$6:$H$200, "&lt;"&amp;DK1)</f>
        <v>0</v>
      </c>
      <c r="DK5" s="200">
        <f>SUMIFS('Expenditure Breakdown'!$G$6:$G$200, 'Expenditure Breakdown'!$H$6:$H$200, "&gt;="&amp;DK1,'Expenditure Breakdown'!$H$6:$H$200, "&lt;"&amp;DL1)</f>
        <v>0</v>
      </c>
      <c r="DL5" s="200">
        <f>SUMIFS('Expenditure Breakdown'!$G$6:$G$200, 'Expenditure Breakdown'!$H$6:$H$200, "&gt;="&amp;DL1,'Expenditure Breakdown'!$H$6:$H$200, "&lt;"&amp;DM1)</f>
        <v>0</v>
      </c>
      <c r="DM5" s="200">
        <f>SUMIFS('Expenditure Breakdown'!$G$6:$G$200, 'Expenditure Breakdown'!$H$6:$H$200, "&gt;="&amp;DM1,'Expenditure Breakdown'!$H$6:$H$200, "&lt;"&amp;DN1)</f>
        <v>0</v>
      </c>
      <c r="DN5" s="200">
        <f>SUMIFS('Expenditure Breakdown'!$G$6:$G$200, 'Expenditure Breakdown'!$H$6:$H$200, "&gt;="&amp;DN1,'Expenditure Breakdown'!$H$6:$H$200, "&lt;"&amp;DO1)</f>
        <v>0</v>
      </c>
      <c r="DO5" s="200">
        <f>SUMIFS('Expenditure Breakdown'!$G$6:$G$200, 'Expenditure Breakdown'!$H$6:$H$200, "&gt;="&amp;DO1,'Expenditure Breakdown'!$H$6:$H$200, "&lt;"&amp;DP1)</f>
        <v>0</v>
      </c>
      <c r="DP5" s="200">
        <f>SUMIFS('Expenditure Breakdown'!$G$6:$G$200, 'Expenditure Breakdown'!$H$6:$H$200, "&gt;="&amp;DP1,'Expenditure Breakdown'!$H$6:$H$200, "&lt;"&amp;DQ1)</f>
        <v>0</v>
      </c>
      <c r="DQ5" s="200">
        <f>SUMIFS('Expenditure Breakdown'!$G$6:$G$200, 'Expenditure Breakdown'!$H$6:$H$200, "&gt;="&amp;DQ1,'Expenditure Breakdown'!$H$6:$H$200, "&lt;"&amp;DR1)</f>
        <v>0</v>
      </c>
      <c r="DR5" s="200">
        <f>SUMIFS('Expenditure Breakdown'!$G$6:$G$200, 'Expenditure Breakdown'!$H$6:$H$200, "&gt;="&amp;DR1,'Expenditure Breakdown'!$H$6:$H$200, "&lt;"&amp;DS1)</f>
        <v>0</v>
      </c>
      <c r="DS5" s="200">
        <f>SUMIFS('Expenditure Breakdown'!$G$6:$G$200, 'Expenditure Breakdown'!$H$6:$H$200, "&gt;="&amp;DS1,'Expenditure Breakdown'!$H$6:$H$200, "&lt;"&amp;DT1)</f>
        <v>0</v>
      </c>
      <c r="DT5" s="200">
        <f>SUMIFS('Expenditure Breakdown'!$G$6:$G$200, 'Expenditure Breakdown'!$H$6:$H$200, "&gt;="&amp;DT1,'Expenditure Breakdown'!$H$6:$H$200, "&lt;"&amp;DU1)</f>
        <v>0</v>
      </c>
      <c r="DU5" s="200">
        <f>SUMIFS('Expenditure Breakdown'!$G$6:$G$200, 'Expenditure Breakdown'!$H$6:$H$200, "&gt;="&amp;DU1,'Expenditure Breakdown'!$H$6:$H$200, "&lt;"&amp;DV1)</f>
        <v>0</v>
      </c>
      <c r="DV5" s="200">
        <f>SUMIFS('Expenditure Breakdown'!$G$6:$G$200, 'Expenditure Breakdown'!$H$6:$H$200, "&gt;="&amp;DV1,'Expenditure Breakdown'!$H$6:$H$200, "&lt;"&amp;DW1)</f>
        <v>0</v>
      </c>
      <c r="DW5" s="200">
        <f>SUMIFS('Expenditure Breakdown'!$G$6:$G$200, 'Expenditure Breakdown'!$H$6:$H$200, "&gt;="&amp;DW1,'Expenditure Breakdown'!$H$6:$H$200, "&lt;"&amp;DX1)</f>
        <v>0</v>
      </c>
      <c r="DX5" s="200">
        <f>SUMIFS('Expenditure Breakdown'!$G$6:$G$200, 'Expenditure Breakdown'!$H$6:$H$200, "&gt;="&amp;DX1,'Expenditure Breakdown'!$H$6:$H$200, "&lt;"&amp;DY1)</f>
        <v>0</v>
      </c>
      <c r="DY5" s="200">
        <f>SUMIFS('Expenditure Breakdown'!$G$6:$G$200, 'Expenditure Breakdown'!$H$6:$H$200, "&gt;="&amp;DY1,'Expenditure Breakdown'!$H$6:$H$200, "&lt;"&amp;DZ1)</f>
        <v>0</v>
      </c>
      <c r="DZ5" s="200">
        <f>SUMIFS('Expenditure Breakdown'!$G$6:$G$200, 'Expenditure Breakdown'!$H$6:$H$200, "&gt;="&amp;DZ1,'Expenditure Breakdown'!$H$6:$H$200, "&lt;"&amp;EA1)</f>
        <v>0</v>
      </c>
      <c r="EA5" s="200">
        <f>SUMIFS('Expenditure Breakdown'!$G$6:$G$200, 'Expenditure Breakdown'!$H$6:$H$200, "&gt;="&amp;EA1,'Expenditure Breakdown'!$H$6:$H$200, "&lt;"&amp;EB1)</f>
        <v>0</v>
      </c>
      <c r="EB5" s="200">
        <f>SUMIFS('Expenditure Breakdown'!$G$6:$G$200, 'Expenditure Breakdown'!$H$6:$H$200, "&gt;="&amp;EB1,'Expenditure Breakdown'!$H$6:$H$200, "&lt;"&amp;EC1)</f>
        <v>0</v>
      </c>
      <c r="EC5" s="200">
        <f>SUMIFS('Expenditure Breakdown'!$G$6:$G$200, 'Expenditure Breakdown'!$H$6:$H$200, "&gt;="&amp;EC1,'Expenditure Breakdown'!$H$6:$H$200, "&lt;"&amp;ED1)</f>
        <v>0</v>
      </c>
      <c r="ED5" s="200">
        <f>SUMIFS('Expenditure Breakdown'!$G$6:$G$200, 'Expenditure Breakdown'!$H$6:$H$200, "&gt;="&amp;ED1,'Expenditure Breakdown'!$H$6:$H$200, "&lt;"&amp;EE1)</f>
        <v>0</v>
      </c>
      <c r="EE5" s="200">
        <f>SUMIFS('Expenditure Breakdown'!$G$6:$G$200, 'Expenditure Breakdown'!$H$6:$H$200, "&gt;="&amp;EE1,'Expenditure Breakdown'!$H$6:$H$200, "&lt;"&amp;EF1)</f>
        <v>0</v>
      </c>
      <c r="EF5" s="200">
        <f>SUMIFS('Expenditure Breakdown'!$G$6:$G$200, 'Expenditure Breakdown'!$H$6:$H$200, "&gt;="&amp;EF1,'Expenditure Breakdown'!$H$6:$H$200, "&lt;"&amp;EG1)</f>
        <v>0</v>
      </c>
      <c r="EG5" s="200">
        <f>SUMIFS('Expenditure Breakdown'!$G$6:$G$200, 'Expenditure Breakdown'!$H$6:$H$200, "&gt;="&amp;EG1,'Expenditure Breakdown'!$H$6:$H$200, "&lt;"&amp;EH1)</f>
        <v>0</v>
      </c>
      <c r="EH5" s="200">
        <f>SUMIFS('Expenditure Breakdown'!$G$6:$G$200, 'Expenditure Breakdown'!$H$6:$H$200, "&gt;="&amp;EH1,'Expenditure Breakdown'!$H$6:$H$200, "&lt;"&amp;EI1)</f>
        <v>0</v>
      </c>
      <c r="EI5" s="200">
        <f>SUMIFS('Expenditure Breakdown'!$G$6:$G$200, 'Expenditure Breakdown'!$H$6:$H$200, "&gt;="&amp;EI1,'Expenditure Breakdown'!$H$6:$H$200, "&lt;"&amp;EJ1)</f>
        <v>0</v>
      </c>
      <c r="EJ5" s="200">
        <f>SUMIFS('Expenditure Breakdown'!$G$6:$G$200, 'Expenditure Breakdown'!$H$6:$H$200, "&gt;="&amp;EJ1,'Expenditure Breakdown'!$H$6:$H$200, "&lt;"&amp;EK1)</f>
        <v>0</v>
      </c>
      <c r="EK5" s="200">
        <f>SUMIFS('Expenditure Breakdown'!$G$6:$G$200, 'Expenditure Breakdown'!$H$6:$H$200, "&gt;="&amp;EK1,'Expenditure Breakdown'!$H$6:$H$200, "&lt;"&amp;EL1)</f>
        <v>0</v>
      </c>
      <c r="EL5" s="200">
        <f>SUMIFS('Expenditure Breakdown'!$G$6:$G$200, 'Expenditure Breakdown'!$H$6:$H$200, "&gt;="&amp;EL1,'Expenditure Breakdown'!$H$6:$H$200, "&lt;"&amp;EM1)</f>
        <v>0</v>
      </c>
      <c r="EM5" s="200">
        <f>SUMIFS('Expenditure Breakdown'!$G$6:$G$200, 'Expenditure Breakdown'!$H$6:$H$200, "&gt;="&amp;EM1,'Expenditure Breakdown'!$H$6:$H$200, "&lt;"&amp;EN1)</f>
        <v>0</v>
      </c>
      <c r="EN5" s="200">
        <f>SUMIFS('Expenditure Breakdown'!$G$6:$G$200, 'Expenditure Breakdown'!$H$6:$H$200, "&gt;="&amp;EN1,'Expenditure Breakdown'!$H$6:$H$200, "&lt;"&amp;EO1)</f>
        <v>0</v>
      </c>
      <c r="EO5" s="200">
        <f>SUMIFS('Expenditure Breakdown'!$G$6:$G$200, 'Expenditure Breakdown'!$H$6:$H$200, "&gt;="&amp;EO1,'Expenditure Breakdown'!$H$6:$H$200, "&lt;"&amp;EP1)</f>
        <v>0</v>
      </c>
      <c r="EP5" s="200">
        <f>SUMIFS('Expenditure Breakdown'!$G$6:$G$200, 'Expenditure Breakdown'!$H$6:$H$200, "&gt;="&amp;EP1,'Expenditure Breakdown'!$H$6:$H$200, "&lt;"&amp;EQ1)</f>
        <v>0</v>
      </c>
      <c r="EQ5" s="200">
        <f>SUMIFS('Expenditure Breakdown'!$G$6:$G$200, 'Expenditure Breakdown'!$H$6:$H$200, "&gt;="&amp;EQ1,'Expenditure Breakdown'!$H$6:$H$200, "&lt;"&amp;ER1)</f>
        <v>0</v>
      </c>
      <c r="ER5" s="200">
        <f>SUMIFS('Expenditure Breakdown'!$G$6:$G$200, 'Expenditure Breakdown'!$H$6:$H$200, "&gt;="&amp;ER1,'Expenditure Breakdown'!$H$6:$H$200, "&lt;"&amp;ES1)</f>
        <v>0</v>
      </c>
      <c r="ES5" s="200">
        <f>SUMIFS('Expenditure Breakdown'!$G$6:$G$200, 'Expenditure Breakdown'!$H$6:$H$200, "&gt;="&amp;ES1,'Expenditure Breakdown'!$H$6:$H$200, "&lt;"&amp;ET1)</f>
        <v>0</v>
      </c>
      <c r="ET5" s="200">
        <f>SUMIFS('Expenditure Breakdown'!$G$6:$G$200, 'Expenditure Breakdown'!$H$6:$H$200, "&gt;="&amp;ET1,'Expenditure Breakdown'!$H$6:$H$200, "&lt;"&amp;EU1)</f>
        <v>0</v>
      </c>
      <c r="EU5" s="200">
        <f>SUMIFS('Expenditure Breakdown'!$G$6:$G$200, 'Expenditure Breakdown'!$H$6:$H$200, "&gt;="&amp;EU1,'Expenditure Breakdown'!$H$6:$H$200, "&lt;"&amp;EV1)</f>
        <v>0</v>
      </c>
      <c r="EV5" s="200">
        <f>SUMIFS('Expenditure Breakdown'!$G$6:$G$200, 'Expenditure Breakdown'!$H$6:$H$200, "&gt;="&amp;EV1,'Expenditure Breakdown'!$H$6:$H$200, "&lt;"&amp;EW1)</f>
        <v>0</v>
      </c>
      <c r="EW5" s="200">
        <f>SUMIFS('Expenditure Breakdown'!$G$6:$G$200, 'Expenditure Breakdown'!$H$6:$H$200, "&gt;="&amp;EW1,'Expenditure Breakdown'!$H$6:$H$200, "&lt;"&amp;EX1)</f>
        <v>0</v>
      </c>
      <c r="EX5" s="200">
        <f>SUMIFS('Expenditure Breakdown'!$G$6:$G$200, 'Expenditure Breakdown'!$H$6:$H$200, "&gt;="&amp;EX1,'Expenditure Breakdown'!$H$6:$H$200, "&lt;"&amp;EY1)</f>
        <v>0</v>
      </c>
      <c r="EY5" s="200">
        <f>SUMIFS('Expenditure Breakdown'!$G$6:$G$200, 'Expenditure Breakdown'!$H$6:$H$200, "&gt;="&amp;EY1,'Expenditure Breakdown'!$H$6:$H$200, "&lt;"&amp;EZ1)</f>
        <v>0</v>
      </c>
      <c r="EZ5" s="200">
        <f>SUMIFS('Expenditure Breakdown'!$G$6:$G$200, 'Expenditure Breakdown'!$H$6:$H$200, "&gt;="&amp;EZ1,'Expenditure Breakdown'!$H$6:$H$200, "&lt;"&amp;FA1)</f>
        <v>0</v>
      </c>
      <c r="FA5" s="200">
        <f>SUMIFS('Expenditure Breakdown'!$G$6:$G$200, 'Expenditure Breakdown'!$H$6:$H$200, "&gt;="&amp;FA1,'Expenditure Breakdown'!$H$6:$H$200, "&lt;"&amp;FB1)</f>
        <v>0</v>
      </c>
      <c r="FB5" s="200">
        <f>SUMIFS('Expenditure Breakdown'!$G$6:$G$200, 'Expenditure Breakdown'!$H$6:$H$200, "&gt;="&amp;FB1,'Expenditure Breakdown'!$H$6:$H$200, "&lt;"&amp;FC1)</f>
        <v>0</v>
      </c>
      <c r="FC5" s="200">
        <f>SUMIFS('Expenditure Breakdown'!$G$6:$G$200, 'Expenditure Breakdown'!$H$6:$H$200, "&gt;="&amp;FC1,'Expenditure Breakdown'!$H$6:$H$200, "&lt;"&amp;FD1)</f>
        <v>0</v>
      </c>
      <c r="FD5" s="200">
        <f>SUMIFS('Expenditure Breakdown'!$G$6:$G$200, 'Expenditure Breakdown'!$H$6:$H$200, "&gt;="&amp;FD1,'Expenditure Breakdown'!$H$6:$H$200, "&lt;"&amp;FE1)</f>
        <v>0</v>
      </c>
      <c r="FE5" s="200">
        <f>SUMIFS('Expenditure Breakdown'!$G$6:$G$200, 'Expenditure Breakdown'!$H$6:$H$200, "&gt;="&amp;FE1,'Expenditure Breakdown'!$H$6:$H$200, "&lt;"&amp;FF1)</f>
        <v>0</v>
      </c>
      <c r="FF5" s="200">
        <f>SUMIFS('Expenditure Breakdown'!$G$6:$G$200, 'Expenditure Breakdown'!$H$6:$H$200, "&gt;="&amp;FF1,'Expenditure Breakdown'!$H$6:$H$200, "&lt;"&amp;FG1)</f>
        <v>0</v>
      </c>
      <c r="FG5" s="200">
        <f>SUMIFS('Expenditure Breakdown'!$G$6:$G$200, 'Expenditure Breakdown'!$H$6:$H$200, "&gt;="&amp;FG1,'Expenditure Breakdown'!$H$6:$H$200, "&lt;"&amp;FH1)</f>
        <v>0</v>
      </c>
      <c r="FH5" s="200">
        <f>SUMIFS('Expenditure Breakdown'!$G$6:$G$200, 'Expenditure Breakdown'!$H$6:$H$200, "&gt;="&amp;FH1,'Expenditure Breakdown'!$H$6:$H$200, "&lt;"&amp;FI1)</f>
        <v>0</v>
      </c>
      <c r="FI5" s="200">
        <f>SUMIFS('Expenditure Breakdown'!$G$6:$G$200, 'Expenditure Breakdown'!$H$6:$H$200, "&gt;="&amp;FI1,'Expenditure Breakdown'!$H$6:$H$200, "&lt;"&amp;FJ1)</f>
        <v>0</v>
      </c>
      <c r="FJ5" s="200">
        <f>SUMIFS('Expenditure Breakdown'!$G$6:$G$200, 'Expenditure Breakdown'!$H$6:$H$200, "&gt;="&amp;FJ1,'Expenditure Breakdown'!$H$6:$H$200, "&lt;"&amp;FK1)</f>
        <v>0</v>
      </c>
      <c r="FK5" s="200">
        <f>SUMIFS('Expenditure Breakdown'!$G$6:$G$200, 'Expenditure Breakdown'!$H$6:$H$200, "&gt;="&amp;FK1,'Expenditure Breakdown'!$H$6:$H$200, "&lt;"&amp;FL1)</f>
        <v>0</v>
      </c>
      <c r="FL5" s="200">
        <f>SUMIFS('Expenditure Breakdown'!$G$6:$G$200, 'Expenditure Breakdown'!$H$6:$H$200, "&gt;="&amp;FL1,'Expenditure Breakdown'!$H$6:$H$200, "&lt;"&amp;FM1)</f>
        <v>0</v>
      </c>
      <c r="FM5" s="200">
        <f>SUMIFS('Expenditure Breakdown'!$G$6:$G$200, 'Expenditure Breakdown'!$H$6:$H$200, "&gt;="&amp;FM1,'Expenditure Breakdown'!$H$6:$H$200, "&lt;"&amp;FN1)</f>
        <v>0</v>
      </c>
      <c r="FN5" s="200">
        <f>SUMIFS('Expenditure Breakdown'!$G$6:$G$200, 'Expenditure Breakdown'!$H$6:$H$200, "&gt;="&amp;FN1,'Expenditure Breakdown'!$H$6:$H$200, "&lt;"&amp;FO1)</f>
        <v>0</v>
      </c>
      <c r="FO5" s="200">
        <f>SUMIFS('Expenditure Breakdown'!$G$6:$G$200, 'Expenditure Breakdown'!$H$6:$H$200, "&gt;="&amp;FO1,'Expenditure Breakdown'!$H$6:$H$200, "&lt;"&amp;FP1)</f>
        <v>0</v>
      </c>
      <c r="FP5" s="200">
        <f>SUMIFS('Expenditure Breakdown'!$G$6:$G$200, 'Expenditure Breakdown'!$H$6:$H$200, "&gt;="&amp;FP1,'Expenditure Breakdown'!$H$6:$H$200, "&lt;"&amp;FQ1)</f>
        <v>0</v>
      </c>
      <c r="FQ5" s="200">
        <f>SUMIFS('Expenditure Breakdown'!$G$6:$G$200, 'Expenditure Breakdown'!$H$6:$H$200, "&gt;="&amp;FQ1,'Expenditure Breakdown'!$H$6:$H$200, "&lt;"&amp;FR1)</f>
        <v>0</v>
      </c>
      <c r="FR5" s="200">
        <f>SUMIFS('Expenditure Breakdown'!$G$6:$G$200, 'Expenditure Breakdown'!$H$6:$H$200, "&gt;="&amp;FR1,'Expenditure Breakdown'!$H$6:$H$200, "&lt;"&amp;FS1)</f>
        <v>0</v>
      </c>
      <c r="FS5" s="200">
        <f>SUMIFS('Expenditure Breakdown'!$G$6:$G$200, 'Expenditure Breakdown'!$H$6:$H$200, "&gt;="&amp;FS1,'Expenditure Breakdown'!$H$6:$H$200, "&lt;"&amp;FT1)</f>
        <v>0</v>
      </c>
      <c r="FT5" s="200">
        <f>SUMIFS('Expenditure Breakdown'!$G$6:$G$200, 'Expenditure Breakdown'!$H$6:$H$200, "&gt;="&amp;FT1,'Expenditure Breakdown'!$H$6:$H$200, "&lt;"&amp;FU1)</f>
        <v>0</v>
      </c>
      <c r="FU5" s="200">
        <f>SUMIFS('Expenditure Breakdown'!$G$6:$G$200, 'Expenditure Breakdown'!$H$6:$H$200, "&gt;="&amp;FU1,'Expenditure Breakdown'!$H$6:$H$200, "&lt;"&amp;FV1)</f>
        <v>0</v>
      </c>
      <c r="FV5" s="200">
        <f>SUMIFS('Expenditure Breakdown'!$G$6:$G$200, 'Expenditure Breakdown'!$H$6:$H$200, "&gt;="&amp;FV1,'Expenditure Breakdown'!$H$6:$H$200, "&lt;"&amp;FW1)</f>
        <v>0</v>
      </c>
      <c r="FW5" s="200">
        <f>SUMIFS('Expenditure Breakdown'!$G$6:$G$200, 'Expenditure Breakdown'!$H$6:$H$200, "&gt;="&amp;FW1,'Expenditure Breakdown'!$H$6:$H$200, "&lt;"&amp;FX1)</f>
        <v>0</v>
      </c>
      <c r="FX5" s="200">
        <f>SUMIFS('Expenditure Breakdown'!$G$6:$G$200, 'Expenditure Breakdown'!$H$6:$H$200, "&gt;="&amp;FX1,'Expenditure Breakdown'!$H$6:$H$200, "&lt;"&amp;FY1)</f>
        <v>0</v>
      </c>
      <c r="FY5" s="200">
        <f>SUMIFS('Expenditure Breakdown'!$G$6:$G$200, 'Expenditure Breakdown'!$H$6:$H$200, "&gt;="&amp;FY1,'Expenditure Breakdown'!$H$6:$H$200, "&lt;"&amp;FZ1)</f>
        <v>0</v>
      </c>
      <c r="FZ5" s="200">
        <f>SUMIFS('Expenditure Breakdown'!$G$6:$G$200, 'Expenditure Breakdown'!$H$6:$H$200, "&gt;="&amp;FZ1,'Expenditure Breakdown'!$H$6:$H$200, "&lt;"&amp;GA1)</f>
        <v>0</v>
      </c>
      <c r="GA5" s="200">
        <f>SUMIFS('Expenditure Breakdown'!$G$6:$G$200, 'Expenditure Breakdown'!$H$6:$H$200, "&gt;="&amp;GA1,'Expenditure Breakdown'!$H$6:$H$200, "&lt;"&amp;GB1)</f>
        <v>0</v>
      </c>
      <c r="GB5" s="200">
        <f>SUMIFS('Expenditure Breakdown'!$G$6:$G$200, 'Expenditure Breakdown'!$H$6:$H$200, "&gt;="&amp;GB1,'Expenditure Breakdown'!$H$6:$H$200, "&lt;"&amp;GC1)</f>
        <v>0</v>
      </c>
      <c r="GC5" s="200">
        <f>SUMIFS('Expenditure Breakdown'!$G$6:$G$200, 'Expenditure Breakdown'!$H$6:$H$200, "&gt;="&amp;GC1,'Expenditure Breakdown'!$H$6:$H$200, "&lt;"&amp;GD1)</f>
        <v>0</v>
      </c>
      <c r="GD5" s="200">
        <f>SUMIFS('Expenditure Breakdown'!$G$6:$G$200, 'Expenditure Breakdown'!$H$6:$H$200, "&gt;="&amp;GD1,'Expenditure Breakdown'!$H$6:$H$200, "&lt;"&amp;GE1)</f>
        <v>0</v>
      </c>
      <c r="GE5" s="200">
        <f>SUMIFS('Expenditure Breakdown'!$G$6:$G$200, 'Expenditure Breakdown'!$H$6:$H$200, "&gt;="&amp;GE1,'Expenditure Breakdown'!$H$6:$H$200, "&lt;"&amp;GF1)</f>
        <v>0</v>
      </c>
      <c r="GF5" s="200">
        <f>SUMIFS('Expenditure Breakdown'!$G$6:$G$200, 'Expenditure Breakdown'!$H$6:$H$200, "&gt;="&amp;GF1,'Expenditure Breakdown'!$H$6:$H$200, "&lt;"&amp;GG1)</f>
        <v>0</v>
      </c>
      <c r="GG5" s="200">
        <f>SUMIFS('Expenditure Breakdown'!$G$6:$G$200, 'Expenditure Breakdown'!$H$6:$H$200, "&gt;="&amp;GG1,'Expenditure Breakdown'!$H$6:$H$200, "&lt;"&amp;GH1)</f>
        <v>0</v>
      </c>
      <c r="GH5" s="200">
        <f>SUMIFS('Expenditure Breakdown'!$G$6:$G$200, 'Expenditure Breakdown'!$H$6:$H$200, "&gt;="&amp;GH1,'Expenditure Breakdown'!$H$6:$H$200, "&lt;"&amp;GI1)</f>
        <v>0</v>
      </c>
      <c r="GI5" s="200">
        <f>SUMIFS('Expenditure Breakdown'!$G$6:$G$200, 'Expenditure Breakdown'!$H$6:$H$200, "&gt;="&amp;GI1,'Expenditure Breakdown'!$H$6:$H$200, "&lt;"&amp;GJ1)</f>
        <v>0</v>
      </c>
      <c r="GJ5" s="200">
        <f>SUMIFS('Expenditure Breakdown'!$G$6:$G$200, 'Expenditure Breakdown'!$H$6:$H$200, "&gt;="&amp;GJ1,'Expenditure Breakdown'!$H$6:$H$200, "&lt;"&amp;GK1)</f>
        <v>0</v>
      </c>
      <c r="GK5" s="200">
        <f>SUMIFS('Expenditure Breakdown'!$G$6:$G$200, 'Expenditure Breakdown'!$H$6:$H$200, "&gt;="&amp;GK1,'Expenditure Breakdown'!$H$6:$H$200, "&lt;"&amp;GL1)</f>
        <v>0</v>
      </c>
      <c r="GL5" s="200">
        <f>SUMIFS('Expenditure Breakdown'!$G$6:$G$200, 'Expenditure Breakdown'!$H$6:$H$200, "&gt;="&amp;GL1,'Expenditure Breakdown'!$H$6:$H$200, "&lt;"&amp;GM1)</f>
        <v>0</v>
      </c>
      <c r="GM5" s="200">
        <f>SUMIFS('Expenditure Breakdown'!$G$6:$G$200, 'Expenditure Breakdown'!$H$6:$H$200, "&gt;="&amp;GM1,'Expenditure Breakdown'!$H$6:$H$200, "&lt;"&amp;GN1)</f>
        <v>0</v>
      </c>
      <c r="GN5" s="200">
        <f>SUMIFS('Expenditure Breakdown'!$G$6:$G$200, 'Expenditure Breakdown'!$H$6:$H$200, "&gt;="&amp;GN1,'Expenditure Breakdown'!$H$6:$H$200, "&lt;"&amp;GO1)</f>
        <v>0</v>
      </c>
      <c r="GO5" s="200">
        <f>SUMIFS('Expenditure Breakdown'!$G$6:$G$200, 'Expenditure Breakdown'!$H$6:$H$200, "&gt;="&amp;GO1,'Expenditure Breakdown'!$H$6:$H$200, "&lt;"&amp;GP1)</f>
        <v>0</v>
      </c>
      <c r="GP5" s="200">
        <f>SUMIFS('Expenditure Breakdown'!$G$6:$G$200, 'Expenditure Breakdown'!$H$6:$H$200, "&gt;="&amp;GP1,'Expenditure Breakdown'!$H$6:$H$200, "&lt;"&amp;GQ1)</f>
        <v>0</v>
      </c>
      <c r="GQ5" s="200">
        <f>SUMIFS('Expenditure Breakdown'!$G$6:$G$200, 'Expenditure Breakdown'!$H$6:$H$200, "&gt;="&amp;GQ1,'Expenditure Breakdown'!$H$6:$H$200, "&lt;"&amp;GR1)</f>
        <v>0</v>
      </c>
      <c r="GR5" s="200">
        <f>SUMIFS('Expenditure Breakdown'!$G$6:$G$200, 'Expenditure Breakdown'!$H$6:$H$200, "&gt;="&amp;GR1,'Expenditure Breakdown'!$H$6:$H$200, "&lt;"&amp;GS1)</f>
        <v>0</v>
      </c>
      <c r="GS5" s="200">
        <f>SUMIFS('Expenditure Breakdown'!$G$6:$G$200, 'Expenditure Breakdown'!$H$6:$H$200, "&gt;="&amp;GS1,'Expenditure Breakdown'!$H$6:$H$200, "&lt;"&amp;GT1)</f>
        <v>0</v>
      </c>
      <c r="GT5" s="200">
        <f>SUMIFS('Expenditure Breakdown'!$G$6:$G$200, 'Expenditure Breakdown'!$H$6:$H$200, "&gt;="&amp;GT1,'Expenditure Breakdown'!$H$6:$H$200, "&lt;"&amp;GU1)</f>
        <v>0</v>
      </c>
      <c r="GU5" s="200">
        <f>SUMIFS('Expenditure Breakdown'!$G$6:$G$200, 'Expenditure Breakdown'!$H$6:$H$200, "&gt;="&amp;GU1,'Expenditure Breakdown'!$H$6:$H$200, "&lt;"&amp;GV1)</f>
        <v>0</v>
      </c>
      <c r="GV5" s="200">
        <f>SUMIFS('Expenditure Breakdown'!$G$6:$G$200, 'Expenditure Breakdown'!$H$6:$H$200, "&gt;="&amp;GV1,'Expenditure Breakdown'!$H$6:$H$200, "&lt;"&amp;GW1)</f>
        <v>0</v>
      </c>
      <c r="GW5" s="200">
        <f>SUMIFS('Expenditure Breakdown'!$G$6:$G$200, 'Expenditure Breakdown'!$H$6:$H$200, "&gt;="&amp;GW1,'Expenditure Breakdown'!$H$6:$H$200, "&lt;"&amp;GX1)</f>
        <v>0</v>
      </c>
      <c r="GX5" s="200">
        <f>SUMIFS('Expenditure Breakdown'!$G$6:$G$200, 'Expenditure Breakdown'!$H$6:$H$200, "&gt;="&amp;GX1,'Expenditure Breakdown'!$H$6:$H$200, "&lt;"&amp;GY1)</f>
        <v>0</v>
      </c>
      <c r="GY5" s="200">
        <f>SUMIFS('Expenditure Breakdown'!$G$6:$G$200, 'Expenditure Breakdown'!$H$6:$H$200, "&gt;="&amp;GY1,'Expenditure Breakdown'!$H$6:$H$200, "&lt;"&amp;GZ1)</f>
        <v>0</v>
      </c>
      <c r="GZ5" s="200">
        <f>SUMIFS('Expenditure Breakdown'!$G$6:$G$200, 'Expenditure Breakdown'!$H$6:$H$200, "&gt;="&amp;GZ1,'Expenditure Breakdown'!$H$6:$H$200, "&lt;"&amp;HA1)</f>
        <v>0</v>
      </c>
      <c r="HA5" s="200">
        <f>SUMIFS('Expenditure Breakdown'!$G$6:$G$200, 'Expenditure Breakdown'!$H$6:$H$200, "&gt;="&amp;HA1,'Expenditure Breakdown'!$H$6:$H$200, "&lt;"&amp;HB1)</f>
        <v>0</v>
      </c>
      <c r="HB5" s="200">
        <f>SUMIFS('Expenditure Breakdown'!$G$6:$G$200, 'Expenditure Breakdown'!$H$6:$H$200, "&gt;="&amp;HB1,'Expenditure Breakdown'!$H$6:$H$200, "&lt;"&amp;HC1)</f>
        <v>0</v>
      </c>
      <c r="HC5" s="200">
        <f>SUMIFS('Expenditure Breakdown'!$G$6:$G$200, 'Expenditure Breakdown'!$H$6:$H$200, "&gt;="&amp;HC1,'Expenditure Breakdown'!$H$6:$H$200, "&lt;"&amp;HD1)</f>
        <v>0</v>
      </c>
      <c r="HD5" s="200">
        <f>SUMIFS('Expenditure Breakdown'!$G$6:$G$200, 'Expenditure Breakdown'!$H$6:$H$200, "&gt;="&amp;HD1,'Expenditure Breakdown'!$H$6:$H$200, "&lt;"&amp;HE1)</f>
        <v>0</v>
      </c>
      <c r="HE5" s="200">
        <f>SUMIFS('Expenditure Breakdown'!$G$6:$G$200, 'Expenditure Breakdown'!$H$6:$H$200, "&gt;="&amp;HE1,'Expenditure Breakdown'!$H$6:$H$200, "&lt;"&amp;HF1)</f>
        <v>0</v>
      </c>
      <c r="HF5" s="200">
        <f>SUMIFS('Expenditure Breakdown'!$G$6:$G$200, 'Expenditure Breakdown'!$H$6:$H$200, "&gt;="&amp;HF1,'Expenditure Breakdown'!$H$6:$H$200, "&lt;"&amp;HG1)</f>
        <v>0</v>
      </c>
      <c r="HG5" s="200">
        <f>SUMIFS('Expenditure Breakdown'!$G$6:$G$200, 'Expenditure Breakdown'!$H$6:$H$200, "&gt;="&amp;HG1,'Expenditure Breakdown'!$H$6:$H$200, "&lt;"&amp;HH1)</f>
        <v>0</v>
      </c>
      <c r="HH5" s="200">
        <f>SUMIFS('Expenditure Breakdown'!$G$6:$G$200, 'Expenditure Breakdown'!$H$6:$H$200, "&gt;="&amp;HH1,'Expenditure Breakdown'!$H$6:$H$200, "&lt;"&amp;HI1)</f>
        <v>0</v>
      </c>
      <c r="HI5" s="200">
        <f>SUMIFS('Expenditure Breakdown'!$G$6:$G$200, 'Expenditure Breakdown'!$H$6:$H$200, "&gt;="&amp;HI1,'Expenditure Breakdown'!$H$6:$H$200, "&lt;"&amp;HJ1)</f>
        <v>0</v>
      </c>
      <c r="HJ5" s="200">
        <f>SUMIFS('Expenditure Breakdown'!$G$6:$G$200, 'Expenditure Breakdown'!$H$6:$H$200, "&gt;="&amp;HJ1,'Expenditure Breakdown'!$H$6:$H$200, "&lt;"&amp;HK1)</f>
        <v>0</v>
      </c>
      <c r="HK5" s="200">
        <f>SUMIFS('Expenditure Breakdown'!$G$6:$G$200, 'Expenditure Breakdown'!$H$6:$H$200, "&gt;="&amp;HK1,'Expenditure Breakdown'!$H$6:$H$200, "&lt;"&amp;HL1)</f>
        <v>0</v>
      </c>
      <c r="HL5" s="200">
        <f>SUMIFS('Expenditure Breakdown'!$G$6:$G$200, 'Expenditure Breakdown'!$H$6:$H$200, "&gt;="&amp;HL1,'Expenditure Breakdown'!$H$6:$H$200, "&lt;"&amp;HM1)</f>
        <v>0</v>
      </c>
      <c r="HM5" s="200">
        <f>SUMIFS('Expenditure Breakdown'!$G$6:$G$200, 'Expenditure Breakdown'!$H$6:$H$200, "&gt;="&amp;HM1,'Expenditure Breakdown'!$H$6:$H$200, "&lt;"&amp;HN1)</f>
        <v>0</v>
      </c>
      <c r="HN5" s="200">
        <f>SUMIFS('Expenditure Breakdown'!$G$6:$G$200, 'Expenditure Breakdown'!$H$6:$H$200, "&gt;="&amp;HN1,'Expenditure Breakdown'!$H$6:$H$200, "&lt;"&amp;HO1)</f>
        <v>0</v>
      </c>
      <c r="HO5" s="200">
        <f>SUMIFS('Expenditure Breakdown'!$G$6:$G$200, 'Expenditure Breakdown'!$H$6:$H$200, "&gt;="&amp;HO1,'Expenditure Breakdown'!$H$6:$H$200, "&lt;"&amp;HP1)</f>
        <v>0</v>
      </c>
      <c r="HP5" s="200">
        <f>SUMIFS('Expenditure Breakdown'!$G$6:$G$200, 'Expenditure Breakdown'!$H$6:$H$200, "&gt;="&amp;HP1,'Expenditure Breakdown'!$H$6:$H$200, "&lt;"&amp;HQ1)</f>
        <v>0</v>
      </c>
      <c r="HQ5" s="200">
        <f>SUMIFS('Expenditure Breakdown'!$G$6:$G$200, 'Expenditure Breakdown'!$H$6:$H$200, "&gt;="&amp;HQ1,'Expenditure Breakdown'!$H$6:$H$200, "&lt;"&amp;HR1)</f>
        <v>0</v>
      </c>
      <c r="HR5" s="200">
        <f>SUMIFS('Expenditure Breakdown'!$G$6:$G$200, 'Expenditure Breakdown'!$H$6:$H$200, "&gt;="&amp;HR1,'Expenditure Breakdown'!$H$6:$H$200, "&lt;"&amp;HS1)</f>
        <v>0</v>
      </c>
      <c r="HS5" s="200">
        <f>SUMIFS('Expenditure Breakdown'!$G$6:$G$200, 'Expenditure Breakdown'!$H$6:$H$200, "&gt;="&amp;HS1,'Expenditure Breakdown'!$H$6:$H$200, "&lt;"&amp;HT1)</f>
        <v>0</v>
      </c>
      <c r="HT5" s="200">
        <f>SUMIFS('Expenditure Breakdown'!$G$6:$G$200, 'Expenditure Breakdown'!$H$6:$H$200, "&gt;="&amp;HT1,'Expenditure Breakdown'!$H$6:$H$200, "&lt;"&amp;HU1)</f>
        <v>0</v>
      </c>
      <c r="HU5" s="200">
        <f>SUMIFS('Expenditure Breakdown'!$G$6:$G$200, 'Expenditure Breakdown'!$H$6:$H$200, "&gt;="&amp;HU1,'Expenditure Breakdown'!$H$6:$H$200, "&lt;"&amp;HV1)</f>
        <v>0</v>
      </c>
      <c r="HV5" s="200">
        <f>SUMIFS('Expenditure Breakdown'!$G$6:$G$200, 'Expenditure Breakdown'!$H$6:$H$200, "&gt;="&amp;HV1,'Expenditure Breakdown'!$H$6:$H$200, "&lt;"&amp;HW1)</f>
        <v>0</v>
      </c>
      <c r="HW5" s="200">
        <f>SUMIFS('Expenditure Breakdown'!$G$6:$G$200, 'Expenditure Breakdown'!$H$6:$H$200, "&gt;="&amp;HW1,'Expenditure Breakdown'!$H$6:$H$200, "&lt;"&amp;HX1)</f>
        <v>0</v>
      </c>
      <c r="HX5" s="200">
        <f>SUMIFS('Expenditure Breakdown'!$G$6:$G$200, 'Expenditure Breakdown'!$H$6:$H$200, "&gt;="&amp;HX1,'Expenditure Breakdown'!$H$6:$H$200, "&lt;"&amp;HY1)</f>
        <v>0</v>
      </c>
      <c r="HY5" s="200">
        <f>SUMIFS('Expenditure Breakdown'!$G$6:$G$200, 'Expenditure Breakdown'!$H$6:$H$200, "&gt;="&amp;HY1,'Expenditure Breakdown'!$H$6:$H$200, "&lt;"&amp;HZ1)</f>
        <v>0</v>
      </c>
      <c r="HZ5" s="200">
        <f>SUMIFS('Expenditure Breakdown'!$G$6:$G$200, 'Expenditure Breakdown'!$H$6:$H$200, "&gt;="&amp;HZ1,'Expenditure Breakdown'!$H$6:$H$200, "&lt;"&amp;IA1)</f>
        <v>0</v>
      </c>
      <c r="IA5" s="200">
        <f>SUMIFS('Expenditure Breakdown'!$G$6:$G$200, 'Expenditure Breakdown'!$H$6:$H$200, "&gt;="&amp;IA1,'Expenditure Breakdown'!$H$6:$H$200, "&lt;"&amp;IB1)</f>
        <v>0</v>
      </c>
      <c r="IB5" s="200">
        <f>SUMIFS('Expenditure Breakdown'!$G$6:$G$200, 'Expenditure Breakdown'!$H$6:$H$200, "&gt;="&amp;IB1,'Expenditure Breakdown'!$H$6:$H$200, "&lt;"&amp;IC1)</f>
        <v>0</v>
      </c>
      <c r="IC5" s="200">
        <f>SUMIFS('Expenditure Breakdown'!$G$6:$G$200, 'Expenditure Breakdown'!$H$6:$H$200, "&gt;="&amp;IC1,'Expenditure Breakdown'!$H$6:$H$200, "&lt;"&amp;ID1)</f>
        <v>0</v>
      </c>
      <c r="ID5" s="200">
        <f>SUMIFS('Expenditure Breakdown'!$G$6:$G$200, 'Expenditure Breakdown'!$H$6:$H$200, "&gt;="&amp;ID1,'Expenditure Breakdown'!$H$6:$H$200, "&lt;"&amp;IE1)</f>
        <v>0</v>
      </c>
      <c r="IE5" s="200">
        <f>SUMIFS('Expenditure Breakdown'!$G$6:$G$200, 'Expenditure Breakdown'!$H$6:$H$200, "&gt;="&amp;IE1,'Expenditure Breakdown'!$H$6:$H$200, "&lt;"&amp;IF1)</f>
        <v>0</v>
      </c>
      <c r="IF5" s="200">
        <f>SUMIFS('Expenditure Breakdown'!$G$6:$G$200, 'Expenditure Breakdown'!$H$6:$H$200, "&gt;="&amp;IF1,'Expenditure Breakdown'!$H$6:$H$200, "&lt;"&amp;IG1)</f>
        <v>0</v>
      </c>
      <c r="IG5" s="200">
        <f>SUMIFS('Expenditure Breakdown'!$G$6:$G$200, 'Expenditure Breakdown'!$H$6:$H$200, "&gt;="&amp;IG1,'Expenditure Breakdown'!$H$6:$H$200, "&lt;"&amp;IH1)</f>
        <v>0</v>
      </c>
      <c r="IH5" s="200">
        <f>SUMIFS('Expenditure Breakdown'!$G$6:$G$200, 'Expenditure Breakdown'!$H$6:$H$200, "&gt;="&amp;IH1,'Expenditure Breakdown'!$H$6:$H$200, "&lt;"&amp;II1)</f>
        <v>0</v>
      </c>
      <c r="II5" s="200">
        <f>SUMIFS('Expenditure Breakdown'!$G$6:$G$200, 'Expenditure Breakdown'!$H$6:$H$200, "&gt;="&amp;II1,'Expenditure Breakdown'!$H$6:$H$200, "&lt;"&amp;IJ1)</f>
        <v>0</v>
      </c>
      <c r="IJ5" s="200">
        <f>SUMIFS('Expenditure Breakdown'!$G$6:$G$200, 'Expenditure Breakdown'!$H$6:$H$200, "&gt;="&amp;IJ1,'Expenditure Breakdown'!$H$6:$H$200, "&lt;"&amp;IK1)</f>
        <v>0</v>
      </c>
      <c r="IK5" s="200">
        <f>SUMIFS('Expenditure Breakdown'!$G$6:$G$200, 'Expenditure Breakdown'!$H$6:$H$200, "&gt;="&amp;IK1,'Expenditure Breakdown'!$H$6:$H$200, "&lt;"&amp;IL1)</f>
        <v>0</v>
      </c>
      <c r="IL5" s="200">
        <f>SUMIFS('Expenditure Breakdown'!$G$6:$G$200, 'Expenditure Breakdown'!$H$6:$H$200, "&gt;="&amp;IL1,'Expenditure Breakdown'!$H$6:$H$200, "&lt;"&amp;IM1)</f>
        <v>0</v>
      </c>
      <c r="IM5" s="200">
        <f>SUMIFS('Expenditure Breakdown'!$G$6:$G$200, 'Expenditure Breakdown'!$H$6:$H$200, "&gt;="&amp;IM1,'Expenditure Breakdown'!$H$6:$H$200, "&lt;"&amp;IN1)</f>
        <v>0</v>
      </c>
      <c r="IN5" s="200">
        <f>SUMIFS('Expenditure Breakdown'!$G$6:$G$200, 'Expenditure Breakdown'!$H$6:$H$200, "&gt;="&amp;IN1,'Expenditure Breakdown'!$H$6:$H$200, "&lt;"&amp;IO1)</f>
        <v>0</v>
      </c>
      <c r="IO5" s="200">
        <f>SUMIFS('Expenditure Breakdown'!$G$6:$G$200, 'Expenditure Breakdown'!$H$6:$H$200, "&gt;="&amp;IO1,'Expenditure Breakdown'!$H$6:$H$200, "&lt;"&amp;IP1)</f>
        <v>0</v>
      </c>
      <c r="IP5" s="200">
        <f>SUMIFS('Expenditure Breakdown'!$G$6:$G$200, 'Expenditure Breakdown'!$H$6:$H$200, "&gt;="&amp;IP1,'Expenditure Breakdown'!$H$6:$H$200, "&lt;"&amp;IQ1)</f>
        <v>0</v>
      </c>
      <c r="IQ5" s="200">
        <f>SUMIFS('Expenditure Breakdown'!$G$6:$G$200, 'Expenditure Breakdown'!$H$6:$H$200, "&gt;="&amp;IQ1,'Expenditure Breakdown'!$H$6:$H$200, "&lt;"&amp;IR1)</f>
        <v>0</v>
      </c>
      <c r="IR5" s="200">
        <f>SUMIFS('Expenditure Breakdown'!$G$6:$G$200, 'Expenditure Breakdown'!$H$6:$H$200, "&gt;="&amp;IR1,'Expenditure Breakdown'!$H$6:$H$200, "&lt;"&amp;IS1)</f>
        <v>0</v>
      </c>
      <c r="IS5" s="200">
        <f>SUMIFS('Expenditure Breakdown'!$G$6:$G$200, 'Expenditure Breakdown'!$H$6:$H$200, "&gt;="&amp;IS1,'Expenditure Breakdown'!$H$6:$H$200, "&lt;"&amp;IT1)</f>
        <v>0</v>
      </c>
      <c r="IT5" s="200">
        <f>SUMIFS('Expenditure Breakdown'!$G$6:$G$200, 'Expenditure Breakdown'!$H$6:$H$200, "&gt;="&amp;IT1,'Expenditure Breakdown'!$H$6:$H$200, "&lt;"&amp;IU1)</f>
        <v>0</v>
      </c>
      <c r="IU5" s="200">
        <f>SUMIFS('Expenditure Breakdown'!$G$6:$G$200, 'Expenditure Breakdown'!$H$6:$H$200, "&gt;="&amp;IU1,'Expenditure Breakdown'!$H$6:$H$200, "&lt;"&amp;IV1)</f>
        <v>0</v>
      </c>
      <c r="IV5" s="200">
        <f>SUMIFS('Expenditure Breakdown'!$G$6:$G$200, 'Expenditure Breakdown'!$H$6:$H$200, "&gt;="&amp;IV1,'Expenditure Breakdown'!$H$6:$H$200, "&lt;"&amp;IW1)</f>
        <v>0</v>
      </c>
      <c r="IW5" s="200">
        <f>SUMIFS('Expenditure Breakdown'!$G$6:$G$200, 'Expenditure Breakdown'!$H$6:$H$200, "&gt;="&amp;IW1,'Expenditure Breakdown'!$H$6:$H$200, "&lt;"&amp;IX1)</f>
        <v>0</v>
      </c>
      <c r="IX5" s="200">
        <f>SUMIFS('Expenditure Breakdown'!$G$6:$G$200, 'Expenditure Breakdown'!$H$6:$H$200, "&gt;="&amp;IX1,'Expenditure Breakdown'!$H$6:$H$200, "&lt;"&amp;IY1)</f>
        <v>0</v>
      </c>
      <c r="IY5" s="200">
        <f>SUMIFS('Expenditure Breakdown'!$G$6:$G$200, 'Expenditure Breakdown'!$H$6:$H$200, "&gt;="&amp;IY1,'Expenditure Breakdown'!$H$6:$H$200, "&lt;"&amp;IZ1)</f>
        <v>0</v>
      </c>
      <c r="IZ5" s="200">
        <f>SUMIFS('Expenditure Breakdown'!$G$6:$G$200, 'Expenditure Breakdown'!$H$6:$H$200, "&gt;="&amp;IZ1,'Expenditure Breakdown'!$H$6:$H$200, "&lt;"&amp;JA1)</f>
        <v>0</v>
      </c>
      <c r="JA5" s="200">
        <f>SUMIFS('Expenditure Breakdown'!$G$6:$G$200, 'Expenditure Breakdown'!$H$6:$H$200, "&gt;="&amp;JA1,'Expenditure Breakdown'!$H$6:$H$200, "&lt;"&amp;JB1)</f>
        <v>0</v>
      </c>
      <c r="JB5" s="200">
        <f>SUMIFS('Expenditure Breakdown'!$G$6:$G$200, 'Expenditure Breakdown'!$H$6:$H$200, "&gt;="&amp;JB1,'Expenditure Breakdown'!$H$6:$H$200, "&lt;"&amp;JC1)</f>
        <v>0</v>
      </c>
      <c r="JC5" s="200">
        <f>SUMIFS('Expenditure Breakdown'!$G$6:$G$200, 'Expenditure Breakdown'!$H$6:$H$200, "&gt;="&amp;JC1,'Expenditure Breakdown'!$H$6:$H$200, "&lt;"&amp;JD1)</f>
        <v>0</v>
      </c>
      <c r="JD5" s="200">
        <f>SUMIFS('Expenditure Breakdown'!$G$6:$G$200, 'Expenditure Breakdown'!$H$6:$H$200, "&gt;="&amp;JD1,'Expenditure Breakdown'!$H$6:$H$200, "&lt;"&amp;JE1)</f>
        <v>0</v>
      </c>
      <c r="JE5" s="200">
        <f>SUMIFS('Expenditure Breakdown'!$G$6:$G$200, 'Expenditure Breakdown'!$H$6:$H$200, "&gt;="&amp;JE1,'Expenditure Breakdown'!$H$6:$H$200, "&lt;"&amp;JF1)</f>
        <v>0</v>
      </c>
      <c r="JF5" s="200">
        <f>SUMIFS('Expenditure Breakdown'!$G$6:$G$200, 'Expenditure Breakdown'!$H$6:$H$200, "&gt;="&amp;JF1,'Expenditure Breakdown'!$H$6:$H$200, "&lt;"&amp;JG1)</f>
        <v>0</v>
      </c>
      <c r="JG5" s="200">
        <f>SUMIFS('Expenditure Breakdown'!$G$6:$G$200, 'Expenditure Breakdown'!$H$6:$H$200, "&gt;="&amp;JG1,'Expenditure Breakdown'!$H$6:$H$200, "&lt;"&amp;JH1)</f>
        <v>0</v>
      </c>
      <c r="JH5" s="200">
        <f>SUMIFS('Expenditure Breakdown'!$G$6:$G$200, 'Expenditure Breakdown'!$H$6:$H$200, "&gt;="&amp;JH1,'Expenditure Breakdown'!$H$6:$H$200, "&lt;"&amp;JI1)</f>
        <v>0</v>
      </c>
      <c r="JI5" s="200">
        <f>SUMIFS('Expenditure Breakdown'!$G$6:$G$200, 'Expenditure Breakdown'!$H$6:$H$200, "&gt;="&amp;JI1,'Expenditure Breakdown'!$H$6:$H$200, "&lt;"&amp;JJ1)</f>
        <v>0</v>
      </c>
      <c r="JJ5" s="200">
        <f>SUMIFS('Expenditure Breakdown'!$G$6:$G$200, 'Expenditure Breakdown'!$H$6:$H$200, "&gt;="&amp;JJ1,'Expenditure Breakdown'!$H$6:$H$200, "&lt;"&amp;JK1)</f>
        <v>0</v>
      </c>
      <c r="JK5" s="200">
        <f>SUMIFS('Expenditure Breakdown'!$G$6:$G$200, 'Expenditure Breakdown'!$H$6:$H$200, "&gt;="&amp;JK1,'Expenditure Breakdown'!$H$6:$H$200, "&lt;"&amp;JL1)</f>
        <v>0</v>
      </c>
      <c r="JL5" s="200">
        <f>SUMIFS('Expenditure Breakdown'!$G$6:$G$200, 'Expenditure Breakdown'!$H$6:$H$200, "&gt;="&amp;JL1,'Expenditure Breakdown'!$H$6:$H$200, "&lt;"&amp;JM1)</f>
        <v>0</v>
      </c>
      <c r="JM5" s="200">
        <f>SUMIFS('Expenditure Breakdown'!$G$6:$G$200, 'Expenditure Breakdown'!$H$6:$H$200, "&gt;="&amp;JM1,'Expenditure Breakdown'!$H$6:$H$200, "&lt;"&amp;JN1)</f>
        <v>0</v>
      </c>
      <c r="JN5" s="200">
        <f>SUMIFS('Expenditure Breakdown'!$G$6:$G$200, 'Expenditure Breakdown'!$H$6:$H$200, "&gt;="&amp;JN1,'Expenditure Breakdown'!$H$6:$H$200, "&lt;"&amp;JO1)</f>
        <v>0</v>
      </c>
      <c r="JO5" s="200">
        <f>SUMIFS('Expenditure Breakdown'!$G$6:$G$200, 'Expenditure Breakdown'!$H$6:$H$200, "&gt;="&amp;JO1,'Expenditure Breakdown'!$H$6:$H$200, "&lt;"&amp;JP1)</f>
        <v>0</v>
      </c>
      <c r="JP5" s="200">
        <f>SUMIFS('Expenditure Breakdown'!$G$6:$G$200, 'Expenditure Breakdown'!$H$6:$H$200, "&gt;="&amp;JP1,'Expenditure Breakdown'!$H$6:$H$200, "&lt;"&amp;JQ1)</f>
        <v>0</v>
      </c>
      <c r="JQ5" s="200">
        <f>SUMIFS('Expenditure Breakdown'!$G$6:$G$200, 'Expenditure Breakdown'!$H$6:$H$200, "&gt;="&amp;JQ1,'Expenditure Breakdown'!$H$6:$H$200, "&lt;"&amp;JR1)</f>
        <v>0</v>
      </c>
      <c r="JR5" s="200">
        <f>SUMIFS('Expenditure Breakdown'!$G$6:$G$200, 'Expenditure Breakdown'!$H$6:$H$200, "&gt;="&amp;JR1,'Expenditure Breakdown'!$H$6:$H$200, "&lt;"&amp;JS1)</f>
        <v>0</v>
      </c>
      <c r="JS5" s="200">
        <f>SUMIFS('Expenditure Breakdown'!$G$6:$G$200, 'Expenditure Breakdown'!$H$6:$H$200, "&gt;="&amp;JS1,'Expenditure Breakdown'!$H$6:$H$200, "&lt;"&amp;JT1)</f>
        <v>0</v>
      </c>
      <c r="JT5" s="200">
        <f>SUMIFS('Expenditure Breakdown'!$G$6:$G$200, 'Expenditure Breakdown'!$H$6:$H$200, "&gt;="&amp;JT1,'Expenditure Breakdown'!$H$6:$H$200, "&lt;"&amp;JU1)</f>
        <v>0</v>
      </c>
      <c r="JU5" s="200">
        <f>SUMIFS('Expenditure Breakdown'!$G$6:$G$200, 'Expenditure Breakdown'!$H$6:$H$200, "&gt;="&amp;JU1,'Expenditure Breakdown'!$H$6:$H$200, "&lt;"&amp;JV1)</f>
        <v>0</v>
      </c>
      <c r="JV5" s="200">
        <f>SUMIFS('Expenditure Breakdown'!$G$6:$G$200, 'Expenditure Breakdown'!$H$6:$H$200, "&gt;="&amp;JV1,'Expenditure Breakdown'!$H$6:$H$200, "&lt;"&amp;JW1)</f>
        <v>0</v>
      </c>
      <c r="JW5" s="200">
        <f>SUMIFS('Expenditure Breakdown'!$G$6:$G$200, 'Expenditure Breakdown'!$H$6:$H$200, "&gt;="&amp;JW1,'Expenditure Breakdown'!$H$6:$H$200, "&lt;"&amp;JX1)</f>
        <v>0</v>
      </c>
      <c r="JX5" s="200">
        <f>SUMIFS('Expenditure Breakdown'!$G$6:$G$200, 'Expenditure Breakdown'!$H$6:$H$200, "&gt;="&amp;JX1,'Expenditure Breakdown'!$H$6:$H$200, "&lt;"&amp;JY1)</f>
        <v>0</v>
      </c>
      <c r="JY5" s="200">
        <f>SUMIFS('Expenditure Breakdown'!$G$6:$G$200, 'Expenditure Breakdown'!$H$6:$H$200, "&gt;="&amp;JY1,'Expenditure Breakdown'!$H$6:$H$200, "&lt;"&amp;JZ1)</f>
        <v>0</v>
      </c>
      <c r="JZ5" s="200">
        <f>SUMIFS('Expenditure Breakdown'!$G$6:$G$200, 'Expenditure Breakdown'!$H$6:$H$200, "&gt;="&amp;JZ1,'Expenditure Breakdown'!$H$6:$H$200, "&lt;"&amp;KA1)</f>
        <v>0</v>
      </c>
      <c r="KA5" s="200">
        <f>SUMIFS('Expenditure Breakdown'!$G$6:$G$200, 'Expenditure Breakdown'!$H$6:$H$200, "&gt;="&amp;KA1,'Expenditure Breakdown'!$H$6:$H$200, "&lt;"&amp;KB1)</f>
        <v>0</v>
      </c>
      <c r="KB5" s="200">
        <f>SUMIFS('Expenditure Breakdown'!$G$6:$G$200, 'Expenditure Breakdown'!$H$6:$H$200, "&gt;="&amp;KB1,'Expenditure Breakdown'!$H$6:$H$200, "&lt;"&amp;KC1)</f>
        <v>0</v>
      </c>
      <c r="KC5" s="200">
        <f>SUMIFS('Expenditure Breakdown'!$G$6:$G$200, 'Expenditure Breakdown'!$H$6:$H$200, "&gt;="&amp;KC1,'Expenditure Breakdown'!$H$6:$H$200, "&lt;"&amp;KD1)</f>
        <v>0</v>
      </c>
      <c r="KD5" s="200">
        <f>SUMIFS('Expenditure Breakdown'!$G$6:$G$200, 'Expenditure Breakdown'!$H$6:$H$200, "&gt;="&amp;KD1,'Expenditure Breakdown'!$H$6:$H$200, "&lt;"&amp;KE1)</f>
        <v>0</v>
      </c>
      <c r="KE5" s="200">
        <f>SUMIFS('Expenditure Breakdown'!$G$6:$G$200, 'Expenditure Breakdown'!$H$6:$H$200, "&gt;="&amp;KE1,'Expenditure Breakdown'!$H$6:$H$200, "&lt;"&amp;KF1)</f>
        <v>0</v>
      </c>
      <c r="KF5" s="200">
        <f>SUMIFS('Expenditure Breakdown'!$G$6:$G$200, 'Expenditure Breakdown'!$H$6:$H$200, "&gt;="&amp;KF1,'Expenditure Breakdown'!$H$6:$H$200, "&lt;"&amp;KG1)</f>
        <v>0</v>
      </c>
      <c r="KG5" s="200">
        <f>SUMIFS('Expenditure Breakdown'!$G$6:$G$200, 'Expenditure Breakdown'!$H$6:$H$200, "&gt;="&amp;KG1,'Expenditure Breakdown'!$H$6:$H$200, "&lt;"&amp;KH1)</f>
        <v>0</v>
      </c>
      <c r="KH5" s="200">
        <f>SUMIFS('Expenditure Breakdown'!$G$6:$G$200, 'Expenditure Breakdown'!$H$6:$H$200, "&gt;="&amp;KH1,'Expenditure Breakdown'!$H$6:$H$200, "&lt;"&amp;KI1)</f>
        <v>0</v>
      </c>
      <c r="KI5" s="200">
        <f>SUMIFS('Expenditure Breakdown'!$G$6:$G$200, 'Expenditure Breakdown'!$H$6:$H$200, "&gt;="&amp;KI1,'Expenditure Breakdown'!$H$6:$H$200, "&lt;"&amp;KJ1)</f>
        <v>0</v>
      </c>
      <c r="KJ5" s="200">
        <f>SUMIFS('Expenditure Breakdown'!$G$6:$G$200, 'Expenditure Breakdown'!$H$6:$H$200, "&gt;="&amp;KJ1,'Expenditure Breakdown'!$H$6:$H$200, "&lt;"&amp;KK1)</f>
        <v>0</v>
      </c>
      <c r="KK5" s="200">
        <f>SUMIFS('Expenditure Breakdown'!$G$6:$G$200, 'Expenditure Breakdown'!$H$6:$H$200, "&gt;="&amp;KK1,'Expenditure Breakdown'!$H$6:$H$200, "&lt;"&amp;KL1)</f>
        <v>0</v>
      </c>
      <c r="KL5" s="200">
        <f>SUMIFS('Expenditure Breakdown'!$G$6:$G$200, 'Expenditure Breakdown'!$H$6:$H$200, "&gt;="&amp;KL1,'Expenditure Breakdown'!$H$6:$H$200, "&lt;"&amp;KM1)</f>
        <v>0</v>
      </c>
      <c r="KM5" s="200">
        <f>SUMIFS('Expenditure Breakdown'!$G$6:$G$200, 'Expenditure Breakdown'!$H$6:$H$200, "&gt;="&amp;KM1,'Expenditure Breakdown'!$H$6:$H$200, "&lt;"&amp;KN1)</f>
        <v>0</v>
      </c>
      <c r="KN5" s="200">
        <f>SUMIFS('Expenditure Breakdown'!$G$6:$G$200, 'Expenditure Breakdown'!$H$6:$H$200, "&gt;="&amp;KN1,'Expenditure Breakdown'!$H$6:$H$200, "&lt;"&amp;KO1)</f>
        <v>0</v>
      </c>
      <c r="KO5" s="200">
        <f>SUMIFS('Expenditure Breakdown'!$G$6:$G$200, 'Expenditure Breakdown'!$H$6:$H$200, "&gt;="&amp;KO1,'Expenditure Breakdown'!$H$6:$H$200, "&lt;"&amp;KP1)</f>
        <v>0</v>
      </c>
      <c r="KP5" s="200">
        <f>SUMIFS('Expenditure Breakdown'!$G$6:$G$200, 'Expenditure Breakdown'!$H$6:$H$200, "&gt;="&amp;KP1,'Expenditure Breakdown'!$H$6:$H$200, "&lt;"&amp;KQ1)</f>
        <v>0</v>
      </c>
      <c r="KQ5" s="200">
        <f>SUMIFS('Expenditure Breakdown'!$G$6:$G$200, 'Expenditure Breakdown'!$H$6:$H$200, "&gt;="&amp;KQ1,'Expenditure Breakdown'!$H$6:$H$200, "&lt;"&amp;KR1)</f>
        <v>0</v>
      </c>
      <c r="KR5" s="200">
        <f>SUMIFS('Expenditure Breakdown'!$G$6:$G$200, 'Expenditure Breakdown'!$H$6:$H$200, "&gt;="&amp;KR1,'Expenditure Breakdown'!$H$6:$H$200, "&lt;"&amp;KS1)</f>
        <v>0</v>
      </c>
      <c r="KS5" s="200">
        <f>SUMIFS('Expenditure Breakdown'!$G$6:$G$200, 'Expenditure Breakdown'!$H$6:$H$200, "&gt;="&amp;KS1,'Expenditure Breakdown'!$H$6:$H$200, "&lt;"&amp;KT1)</f>
        <v>0</v>
      </c>
      <c r="KT5" s="200">
        <f>SUMIFS('Expenditure Breakdown'!$G$6:$G$200, 'Expenditure Breakdown'!$H$6:$H$200, "&gt;="&amp;KT1,'Expenditure Breakdown'!$H$6:$H$200, "&lt;"&amp;KU1)</f>
        <v>0</v>
      </c>
      <c r="KU5" s="200">
        <f>SUMIFS('Expenditure Breakdown'!$G$6:$G$200, 'Expenditure Breakdown'!$H$6:$H$200, "&gt;="&amp;KU1,'Expenditure Breakdown'!$H$6:$H$200, "&lt;"&amp;KV1)</f>
        <v>0</v>
      </c>
      <c r="KV5" s="200">
        <f>SUMIFS('Expenditure Breakdown'!$G$6:$G$200, 'Expenditure Breakdown'!$H$6:$H$200, "&gt;="&amp;KV1,'Expenditure Breakdown'!$H$6:$H$200, "&lt;"&amp;KW1)</f>
        <v>0</v>
      </c>
      <c r="KW5" s="200">
        <f>SUMIFS('Expenditure Breakdown'!$G$6:$G$200, 'Expenditure Breakdown'!$H$6:$H$200, "&gt;="&amp;KW1,'Expenditure Breakdown'!$H$6:$H$200, "&lt;"&amp;KX1)</f>
        <v>0</v>
      </c>
      <c r="KX5" s="200">
        <f>SUMIFS('Expenditure Breakdown'!$G$6:$G$200, 'Expenditure Breakdown'!$H$6:$H$200, "&gt;="&amp;KX1,'Expenditure Breakdown'!$H$6:$H$200, "&lt;"&amp;KY1)</f>
        <v>0</v>
      </c>
      <c r="KY5" s="200">
        <f>SUMIFS('Expenditure Breakdown'!$G$6:$G$200, 'Expenditure Breakdown'!$H$6:$H$200, "&gt;="&amp;KY1,'Expenditure Breakdown'!$H$6:$H$200, "&lt;"&amp;KZ1)</f>
        <v>0</v>
      </c>
      <c r="KZ5" s="200">
        <f>SUMIFS('Expenditure Breakdown'!$G$6:$G$200, 'Expenditure Breakdown'!$H$6:$H$200, "&gt;="&amp;KZ1,'Expenditure Breakdown'!$H$6:$H$200, "&lt;"&amp;LA1)</f>
        <v>0</v>
      </c>
      <c r="LA5" s="200">
        <f>SUMIFS('Expenditure Breakdown'!$G$6:$G$200, 'Expenditure Breakdown'!$H$6:$H$200, "&gt;="&amp;LA1,'Expenditure Breakdown'!$H$6:$H$200, "&lt;"&amp;LB1)</f>
        <v>0</v>
      </c>
      <c r="LB5" s="200">
        <f>SUMIFS('Expenditure Breakdown'!$G$6:$G$200, 'Expenditure Breakdown'!$H$6:$H$200, "&gt;="&amp;LB1,'Expenditure Breakdown'!$H$6:$H$200, "&lt;"&amp;LC1)</f>
        <v>0</v>
      </c>
      <c r="LC5" s="200">
        <f>SUMIFS('Expenditure Breakdown'!$G$6:$G$200, 'Expenditure Breakdown'!$H$6:$H$200, "&gt;="&amp;LC1,'Expenditure Breakdown'!$H$6:$H$200, "&lt;"&amp;LD1)</f>
        <v>0</v>
      </c>
      <c r="LD5" s="200">
        <f>SUMIFS('Expenditure Breakdown'!$G$6:$G$200, 'Expenditure Breakdown'!$H$6:$H$200, "&gt;="&amp;LD1,'Expenditure Breakdown'!$H$6:$H$200, "&lt;"&amp;#REF!)</f>
        <v>0</v>
      </c>
      <c r="LE5" s="190"/>
      <c r="LF5" s="201"/>
      <c r="LG5" s="201"/>
    </row>
    <row r="6" spans="1:794" s="202" customFormat="1">
      <c r="A6" s="802"/>
      <c r="B6" s="198" t="s">
        <v>399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02"/>
      <c r="B7" s="203" t="s">
        <v>400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1" t="s">
        <v>155</v>
      </c>
      <c r="B8" s="191"/>
      <c r="C8" s="192" t="s">
        <v>246</v>
      </c>
      <c r="D8" s="192" t="s">
        <v>246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8" t="s">
        <v>401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2"/>
      <c r="B10" s="208" t="s">
        <v>402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02"/>
      <c r="B11" s="211" t="s">
        <v>403</v>
      </c>
      <c r="C11" s="212">
        <f>'Revenue Tracking'!F5</f>
        <v>8075244.8235000009</v>
      </c>
      <c r="D11" s="212">
        <f>SUM(F11:LD11)</f>
        <v>8075244.8234999999</v>
      </c>
      <c r="E11" s="196"/>
      <c r="F11" s="213">
        <f>SUMIFS('Expenditure Breakdown'!$Q$6:$Q$173, 'Expenditure Breakdown'!$W$6:$W$173, "&gt;="&amp;F1,'Expenditure Breakdown'!$W$6:$W$173, "&lt;"&amp;G1)</f>
        <v>0</v>
      </c>
      <c r="G11" s="213">
        <f>SUMIFS('Expenditure Breakdown'!$Q$6:$Q$173, 'Expenditure Breakdown'!$W$6:$W$173, "&gt;="&amp;G1,'Expenditure Breakdown'!$W$6:$W$173, "&lt;"&amp;H1)</f>
        <v>0</v>
      </c>
      <c r="H11" s="213">
        <f>SUMIFS('Expenditure Breakdown'!$Q$6:$Q$173, 'Expenditure Breakdown'!$W$6:$W$173, "&gt;="&amp;H1,'Expenditure Breakdown'!$W$6:$W$173, "&lt;"&amp;I1)</f>
        <v>0</v>
      </c>
      <c r="I11" s="213">
        <f>SUMIFS('Expenditure Breakdown'!$Q$6:$Q$173, 'Expenditure Breakdown'!$W$6:$W$173, "&gt;="&amp;I1,'Expenditure Breakdown'!$W$6:$W$173, "&lt;"&amp;J1)</f>
        <v>0</v>
      </c>
      <c r="J11" s="213">
        <f>SUMIFS('Expenditure Breakdown'!$Q$6:$Q$173, 'Expenditure Breakdown'!$W$6:$W$173, "&gt;="&amp;J1,'Expenditure Breakdown'!$W$6:$W$173, "&lt;"&amp;K1)</f>
        <v>0</v>
      </c>
      <c r="K11" s="213">
        <f>SUMIFS('Expenditure Breakdown'!$Q$6:$Q$173, 'Expenditure Breakdown'!$W$6:$W$173, "&gt;="&amp;K1,'Expenditure Breakdown'!$W$6:$W$173, "&lt;"&amp;L1)</f>
        <v>0</v>
      </c>
      <c r="L11" s="213">
        <f>SUMIFS('Expenditure Breakdown'!$Q$6:$Q$173, 'Expenditure Breakdown'!$W$6:$W$173, "&gt;="&amp;L1,'Expenditure Breakdown'!$W$6:$W$173, "&lt;"&amp;M1)</f>
        <v>0</v>
      </c>
      <c r="M11" s="213">
        <f>SUMIFS('Expenditure Breakdown'!$Q$6:$Q$173, 'Expenditure Breakdown'!$W$6:$W$173, "&gt;="&amp;M1,'Expenditure Breakdown'!$W$6:$W$173, "&lt;"&amp;N1)</f>
        <v>0</v>
      </c>
      <c r="N11" s="213">
        <f>SUMIFS('Expenditure Breakdown'!$Q$6:$Q$173, 'Expenditure Breakdown'!$W$6:$W$173, "&gt;="&amp;N1,'Expenditure Breakdown'!$W$6:$W$173, "&lt;"&amp;O1)</f>
        <v>0</v>
      </c>
      <c r="O11" s="213">
        <f>SUMIFS('Expenditure Breakdown'!$Q$6:$Q$173, 'Expenditure Breakdown'!$W$6:$W$173, "&gt;="&amp;O1,'Expenditure Breakdown'!$W$6:$W$173, "&lt;"&amp;P1)</f>
        <v>0</v>
      </c>
      <c r="P11" s="213">
        <f>SUMIFS('Expenditure Breakdown'!$Q$6:$Q$173, 'Expenditure Breakdown'!$W$6:$W$173, "&gt;="&amp;P1,'Expenditure Breakdown'!$W$6:$W$173, "&lt;"&amp;Q1)</f>
        <v>0</v>
      </c>
      <c r="Q11" s="213">
        <f>SUMIFS('Expenditure Breakdown'!$Q$6:$Q$173, 'Expenditure Breakdown'!$W$6:$W$173, "&gt;="&amp;Q1,'Expenditure Breakdown'!$W$6:$W$173, "&lt;"&amp;R1)</f>
        <v>0</v>
      </c>
      <c r="R11" s="213">
        <f>SUMIFS('Expenditure Breakdown'!$Q$6:$Q$173, 'Expenditure Breakdown'!$W$6:$W$173, "&gt;="&amp;R1,'Expenditure Breakdown'!$W$6:$W$173, "&lt;"&amp;S1)</f>
        <v>0</v>
      </c>
      <c r="S11" s="213">
        <f>SUMIFS('Expenditure Breakdown'!$Q$6:$Q$173, 'Expenditure Breakdown'!$W$6:$W$173, "&gt;="&amp;S1,'Expenditure Breakdown'!$W$6:$W$173, "&lt;"&amp;T1)</f>
        <v>0</v>
      </c>
      <c r="T11" s="213">
        <f>SUMIFS('Expenditure Breakdown'!$Q$6:$Q$173, 'Expenditure Breakdown'!$W$6:$W$173, "&gt;="&amp;T1,'Expenditure Breakdown'!$W$6:$W$173, "&lt;"&amp;U1)</f>
        <v>0</v>
      </c>
      <c r="U11" s="213">
        <f>SUMIFS('Expenditure Breakdown'!$Q$6:$Q$173, 'Expenditure Breakdown'!$W$6:$W$173, "&gt;="&amp;U1,'Expenditure Breakdown'!$W$6:$W$173, "&lt;"&amp;V1)</f>
        <v>119</v>
      </c>
      <c r="V11" s="213">
        <f>SUMIFS('Expenditure Breakdown'!$Q$6:$Q$173, 'Expenditure Breakdown'!$W$6:$W$173, "&gt;="&amp;V1,'Expenditure Breakdown'!$W$6:$W$173, "&lt;"&amp;W1)</f>
        <v>1329750</v>
      </c>
      <c r="W11" s="213">
        <f>SUMIFS('Expenditure Breakdown'!$Q$6:$Q$173, 'Expenditure Breakdown'!$W$6:$W$173, "&gt;="&amp;W1,'Expenditure Breakdown'!$W$6:$W$173, "&lt;"&amp;X1)</f>
        <v>0</v>
      </c>
      <c r="X11" s="213">
        <f>SUMIFS('Expenditure Breakdown'!$Q$6:$Q$173, 'Expenditure Breakdown'!$W$6:$W$173, "&gt;="&amp;X1,'Expenditure Breakdown'!$W$6:$W$173, "&lt;"&amp;Y1)</f>
        <v>-1329750</v>
      </c>
      <c r="Y11" s="213">
        <f>SUMIFS('Expenditure Breakdown'!$Q$6:$Q$173, 'Expenditure Breakdown'!$W$6:$W$173, "&gt;="&amp;Y1,'Expenditure Breakdown'!$W$6:$W$173, "&lt;"&amp;Z1)</f>
        <v>0</v>
      </c>
      <c r="Z11" s="213">
        <f>SUMIFS('Expenditure Breakdown'!$Q$6:$Q$173, 'Expenditure Breakdown'!$W$6:$W$173, "&gt;="&amp;Z1,'Expenditure Breakdown'!$W$6:$W$173, "&lt;"&amp;AA1)</f>
        <v>199.91999999996273</v>
      </c>
      <c r="AA11" s="213">
        <f>SUMIFS('Expenditure Breakdown'!$Q$6:$Q$173, 'Expenditure Breakdown'!$W$6:$W$173, "&gt;="&amp;AA1,'Expenditure Breakdown'!$W$6:$W$173, "&lt;"&amp;AB1)</f>
        <v>0</v>
      </c>
      <c r="AB11" s="213">
        <f>SUMIFS('Expenditure Breakdown'!$Q$6:$Q$173, 'Expenditure Breakdown'!$W$6:$W$173, "&gt;="&amp;AB1,'Expenditure Breakdown'!$W$6:$W$173, "&lt;"&amp;AC1)</f>
        <v>0</v>
      </c>
      <c r="AC11" s="213">
        <f>SUMIFS('Expenditure Breakdown'!$Q$6:$Q$173, 'Expenditure Breakdown'!$W$6:$W$173, "&gt;="&amp;AC1,'Expenditure Breakdown'!$W$6:$W$173, "&lt;"&amp;AD1)</f>
        <v>0</v>
      </c>
      <c r="AD11" s="213">
        <f>SUMIFS('Expenditure Breakdown'!$Q$6:$Q$173, 'Expenditure Breakdown'!$W$6:$W$173, "&gt;="&amp;AD1,'Expenditure Breakdown'!$W$6:$W$173, "&lt;"&amp;AE1)</f>
        <v>0</v>
      </c>
      <c r="AE11" s="213">
        <f>SUMIFS('Expenditure Breakdown'!$Q$6:$Q$173, 'Expenditure Breakdown'!$W$6:$W$173, "&gt;="&amp;AE1,'Expenditure Breakdown'!$W$6:$W$173, "&lt;"&amp;AF1)</f>
        <v>0</v>
      </c>
      <c r="AF11" s="213">
        <f>SUMIFS('Expenditure Breakdown'!$Q$6:$Q$173, 'Expenditure Breakdown'!$W$6:$W$173, "&gt;="&amp;AF1,'Expenditure Breakdown'!$W$6:$W$173, "&lt;"&amp;AG1)</f>
        <v>10650</v>
      </c>
      <c r="AG11" s="213">
        <f>SUMIFS('Expenditure Breakdown'!$Q$6:$Q$173, 'Expenditure Breakdown'!$W$6:$W$173, "&gt;="&amp;AG1,'Expenditure Breakdown'!$W$6:$W$173, "&lt;"&amp;AH1)</f>
        <v>2702710.9249999998</v>
      </c>
      <c r="AH11" s="213">
        <f>SUMIFS('Expenditure Breakdown'!$Q$6:$Q$173, 'Expenditure Breakdown'!$W$6:$W$173, "&gt;="&amp;AH1,'Expenditure Breakdown'!$W$6:$W$173, "&lt;"&amp;AI1)</f>
        <v>233.24</v>
      </c>
      <c r="AI11" s="213">
        <f>SUMIFS('Expenditure Breakdown'!$Q$6:$Q$173, 'Expenditure Breakdown'!$W$6:$W$173, "&gt;="&amp;AI1,'Expenditure Breakdown'!$W$6:$W$173, "&lt;"&amp;AJ1)</f>
        <v>112515.95</v>
      </c>
      <c r="AJ11" s="213">
        <f>SUMIFS('Expenditure Breakdown'!$Q$6:$Q$173, 'Expenditure Breakdown'!$W$6:$W$173, "&gt;="&amp;AJ1,'Expenditure Breakdown'!$W$6:$W$173, "&lt;"&amp;AK1)</f>
        <v>0</v>
      </c>
      <c r="AK11" s="213">
        <f>SUMIFS('Expenditure Breakdown'!$Q$6:$Q$173, 'Expenditure Breakdown'!$W$6:$W$173, "&gt;="&amp;AK1,'Expenditure Breakdown'!$W$6:$W$173, "&lt;"&amp;AL1)</f>
        <v>419040.48</v>
      </c>
      <c r="AL11" s="213">
        <f>SUMIFS('Expenditure Breakdown'!$Q$6:$Q$173, 'Expenditure Breakdown'!$W$6:$W$173, "&gt;="&amp;AL1,'Expenditure Breakdown'!$W$6:$W$173, "&lt;"&amp;AM1)</f>
        <v>0</v>
      </c>
      <c r="AM11" s="213">
        <f>SUMIFS('Expenditure Breakdown'!$Q$6:$Q$173, 'Expenditure Breakdown'!$W$6:$W$173, "&gt;="&amp;AM1,'Expenditure Breakdown'!$W$6:$W$173, "&lt;"&amp;AN1)</f>
        <v>0</v>
      </c>
      <c r="AN11" s="213">
        <f>SUMIFS('Expenditure Breakdown'!$Q$6:$Q$173, 'Expenditure Breakdown'!$W$6:$W$173, "&gt;="&amp;AN1,'Expenditure Breakdown'!$W$6:$W$173, "&lt;"&amp;AO1)</f>
        <v>0</v>
      </c>
      <c r="AO11" s="213">
        <f>SUMIFS('Expenditure Breakdown'!$Q$6:$Q$173, 'Expenditure Breakdown'!$W$6:$W$173, "&gt;="&amp;AO1,'Expenditure Breakdown'!$W$6:$W$173, "&lt;"&amp;AP1)</f>
        <v>216421.11</v>
      </c>
      <c r="AP11" s="213">
        <f>SUMIFS('Expenditure Breakdown'!$Q$6:$Q$173, 'Expenditure Breakdown'!$W$6:$W$173, "&gt;="&amp;AP1,'Expenditure Breakdown'!$W$6:$W$173, "&lt;"&amp;AQ1)</f>
        <v>0</v>
      </c>
      <c r="AQ11" s="213">
        <f>SUMIFS('Expenditure Breakdown'!$Q$6:$Q$173, 'Expenditure Breakdown'!$W$6:$W$173, "&gt;="&amp;AQ1,'Expenditure Breakdown'!$W$6:$W$173, "&lt;"&amp;AR1)</f>
        <v>975</v>
      </c>
      <c r="AR11" s="213">
        <f>SUMIFS('Expenditure Breakdown'!$Q$6:$Q$173, 'Expenditure Breakdown'!$W$6:$W$173, "&gt;="&amp;AR1,'Expenditure Breakdown'!$W$6:$W$173, "&lt;"&amp;AS1)</f>
        <v>0</v>
      </c>
      <c r="AS11" s="213">
        <f>SUMIFS('Expenditure Breakdown'!$Q$6:$Q$173, 'Expenditure Breakdown'!$W$6:$W$173, "&gt;="&amp;AS1,'Expenditure Breakdown'!$W$6:$W$173, "&lt;"&amp;AT1)</f>
        <v>981395.81</v>
      </c>
      <c r="AT11" s="213">
        <f>SUMIFS('Expenditure Breakdown'!$Q$6:$Q$173, 'Expenditure Breakdown'!$W$6:$W$173, "&gt;="&amp;AT1,'Expenditure Breakdown'!$W$6:$W$173, "&lt;"&amp;AU1)</f>
        <v>0</v>
      </c>
      <c r="AU11" s="213">
        <f>SUMIFS('Expenditure Breakdown'!$Q$6:$Q$173, 'Expenditure Breakdown'!$W$6:$W$173, "&gt;="&amp;AU1,'Expenditure Breakdown'!$W$6:$W$173, "&lt;"&amp;AV1)</f>
        <v>60196.88</v>
      </c>
      <c r="AV11" s="213">
        <f>SUMIFS('Expenditure Breakdown'!$Q$6:$Q$173, 'Expenditure Breakdown'!$W$6:$W$173, "&gt;="&amp;AV1,'Expenditure Breakdown'!$W$6:$W$173, "&lt;"&amp;AW1)</f>
        <v>0</v>
      </c>
      <c r="AW11" s="213">
        <f>SUMIFS('Expenditure Breakdown'!$Q$6:$Q$173, 'Expenditure Breakdown'!$W$6:$W$173, "&gt;="&amp;AW1,'Expenditure Breakdown'!$W$6:$W$173, "&lt;"&amp;AX1)</f>
        <v>0</v>
      </c>
      <c r="AX11" s="213">
        <f>SUMIFS('Expenditure Breakdown'!$Q$6:$Q$173, 'Expenditure Breakdown'!$W$6:$W$173, "&gt;="&amp;AX1,'Expenditure Breakdown'!$W$6:$W$173, "&lt;"&amp;AY1)</f>
        <v>0</v>
      </c>
      <c r="AY11" s="213">
        <f>SUMIFS('Expenditure Breakdown'!$Q$6:$Q$173, 'Expenditure Breakdown'!$W$6:$W$173, "&gt;="&amp;AY1,'Expenditure Breakdown'!$W$6:$W$173, "&lt;"&amp;AZ1)</f>
        <v>0</v>
      </c>
      <c r="AZ11" s="213">
        <f>SUMIFS('Expenditure Breakdown'!$Q$6:$Q$173, 'Expenditure Breakdown'!$W$6:$W$173, "&gt;="&amp;AZ1,'Expenditure Breakdown'!$W$6:$W$173, "&lt;"&amp;BA1)</f>
        <v>0</v>
      </c>
      <c r="BA11" s="213">
        <f>SUMIFS('Expenditure Breakdown'!$Q$6:$Q$173, 'Expenditure Breakdown'!$W$6:$W$173, "&gt;="&amp;BA1,'Expenditure Breakdown'!$W$6:$W$173, "&lt;"&amp;BB1)</f>
        <v>2517405.9</v>
      </c>
      <c r="BB11" s="213">
        <f>SUMIFS('Expenditure Breakdown'!$Q$6:$Q$173, 'Expenditure Breakdown'!$W$6:$W$173, "&gt;="&amp;BB1,'Expenditure Breakdown'!$W$6:$W$173, "&lt;"&amp;BC1)</f>
        <v>0</v>
      </c>
      <c r="BC11" s="213">
        <f>SUMIFS('Expenditure Breakdown'!$Q$6:$Q$173, 'Expenditure Breakdown'!$W$6:$W$173, "&gt;="&amp;BC1,'Expenditure Breakdown'!$W$6:$W$173, "&lt;"&amp;BD1)</f>
        <v>0</v>
      </c>
      <c r="BD11" s="213">
        <f>SUMIFS('Expenditure Breakdown'!$Q$6:$Q$173, 'Expenditure Breakdown'!$W$6:$W$173, "&gt;="&amp;BD1,'Expenditure Breakdown'!$W$6:$W$173, "&lt;"&amp;BE1)</f>
        <v>104.72</v>
      </c>
      <c r="BE11" s="213">
        <f>SUMIFS('Expenditure Breakdown'!$Q$6:$Q$173, 'Expenditure Breakdown'!$W$6:$W$173, "&gt;="&amp;BE1,'Expenditure Breakdown'!$W$6:$W$173, "&lt;"&amp;BF1)</f>
        <v>0</v>
      </c>
      <c r="BF11" s="213">
        <f>SUMIFS('Expenditure Breakdown'!$Q$6:$Q$173, 'Expenditure Breakdown'!$W$6:$W$173, "&gt;="&amp;BF1,'Expenditure Breakdown'!$W$6:$W$173, "&lt;"&amp;BG1)</f>
        <v>0</v>
      </c>
      <c r="BG11" s="213">
        <f>SUMIFS('Expenditure Breakdown'!$Q$6:$Q$173, 'Expenditure Breakdown'!$W$6:$W$173, "&gt;="&amp;BG1,'Expenditure Breakdown'!$W$6:$W$173, "&lt;"&amp;BH1)</f>
        <v>0</v>
      </c>
      <c r="BH11" s="213">
        <f>SUMIFS('Expenditure Breakdown'!$Q$6:$Q$173, 'Expenditure Breakdown'!$W$6:$W$173, "&gt;="&amp;BH1,'Expenditure Breakdown'!$W$6:$W$173, "&lt;"&amp;BI1)</f>
        <v>780</v>
      </c>
      <c r="BI11" s="213">
        <f>SUMIFS('Expenditure Breakdown'!$Q$6:$Q$173, 'Expenditure Breakdown'!$W$6:$W$173, "&gt;="&amp;BI1,'Expenditure Breakdown'!$W$6:$W$173, "&lt;"&amp;BJ1)</f>
        <v>0</v>
      </c>
      <c r="BJ11" s="213">
        <f>SUMIFS('Expenditure Breakdown'!$Q$6:$Q$173, 'Expenditure Breakdown'!$W$6:$W$173, "&gt;="&amp;BJ1,'Expenditure Breakdown'!$W$6:$W$173, "&lt;"&amp;BK1)</f>
        <v>0</v>
      </c>
      <c r="BK11" s="213">
        <f>SUMIFS('Expenditure Breakdown'!$Q$6:$Q$173, 'Expenditure Breakdown'!$W$6:$W$173, "&gt;="&amp;BK1,'Expenditure Breakdown'!$W$6:$W$173, "&lt;"&amp;BL1)</f>
        <v>675142.59850000008</v>
      </c>
      <c r="BL11" s="213">
        <f>SUMIFS('Expenditure Breakdown'!$Q$6:$Q$173, 'Expenditure Breakdown'!$W$6:$W$173, "&gt;="&amp;BL1,'Expenditure Breakdown'!$W$6:$W$173, "&lt;"&amp;BM1)</f>
        <v>113295.95</v>
      </c>
      <c r="BM11" s="213">
        <f>SUMIFS('Expenditure Breakdown'!$Q$6:$Q$173, 'Expenditure Breakdown'!$W$6:$W$173, "&gt;="&amp;BM1,'Expenditure Breakdown'!$W$6:$W$173, "&lt;"&amp;BN1)</f>
        <v>168773.92499999999</v>
      </c>
      <c r="BN11" s="213">
        <f>SUMIFS('Expenditure Breakdown'!$Q$6:$Q$173, 'Expenditure Breakdown'!$W$6:$W$173, "&gt;="&amp;BN1,'Expenditure Breakdown'!$W$6:$W$173, "&lt;"&amp;BO1)</f>
        <v>0</v>
      </c>
      <c r="BO11" s="213">
        <f>SUMIFS('Expenditure Breakdown'!$Q$6:$Q$173, 'Expenditure Breakdown'!$W$6:$W$173, "&gt;="&amp;BO1,'Expenditure Breakdown'!$W$6:$W$173, "&lt;"&amp;BP1)</f>
        <v>0</v>
      </c>
      <c r="BP11" s="213">
        <f>SUMIFS('Expenditure Breakdown'!$Q$6:$Q$173, 'Expenditure Breakdown'!$W$6:$W$173, "&gt;="&amp;BP1,'Expenditure Breakdown'!$W$6:$W$173, "&lt;"&amp;BQ1)</f>
        <v>92582.415000000008</v>
      </c>
      <c r="BQ11" s="213">
        <f>SUMIFS('Expenditure Breakdown'!$Q$6:$Q$173, 'Expenditure Breakdown'!$W$6:$W$173, "&gt;="&amp;BQ1,'Expenditure Breakdown'!$W$6:$W$173, "&lt;"&amp;BR1)</f>
        <v>2701</v>
      </c>
      <c r="BR11" s="213">
        <f>SUMIFS('Expenditure Breakdown'!$Q$6:$Q$173, 'Expenditure Breakdown'!$W$6:$W$173, "&gt;="&amp;BR1,'Expenditure Breakdown'!$W$6:$W$173, "&lt;"&amp;BS1)</f>
        <v>0</v>
      </c>
      <c r="BS11" s="213">
        <f>SUMIFS('Expenditure Breakdown'!$Q$6:$Q$173, 'Expenditure Breakdown'!$W$6:$W$173, "&gt;="&amp;BS1,'Expenditure Breakdown'!$W$6:$W$173, "&lt;"&amp;BT1)</f>
        <v>0</v>
      </c>
      <c r="BT11" s="213">
        <f>SUMIFS('Expenditure Breakdown'!$Q$6:$Q$173, 'Expenditure Breakdown'!$W$6:$W$173, "&gt;="&amp;BT1,'Expenditure Breakdown'!$W$6:$W$173, "&lt;"&amp;BU1)</f>
        <v>0</v>
      </c>
      <c r="BU11" s="213">
        <f>SUMIFS('Expenditure Breakdown'!$Q$6:$Q$173, 'Expenditure Breakdown'!$W$6:$W$173, "&gt;="&amp;BU1,'Expenditure Breakdown'!$W$6:$W$173, "&lt;"&amp;BV1)</f>
        <v>0</v>
      </c>
      <c r="BV11" s="213">
        <f>SUMIFS('Expenditure Breakdown'!$Q$6:$Q$173, 'Expenditure Breakdown'!$W$6:$W$173, "&gt;="&amp;BV1,'Expenditure Breakdown'!$W$6:$W$173, "&lt;"&amp;BW1)</f>
        <v>0</v>
      </c>
      <c r="BW11" s="213">
        <f>SUMIFS('Expenditure Breakdown'!$Q$6:$Q$173, 'Expenditure Breakdown'!$W$6:$W$173, "&gt;="&amp;BW1,'Expenditure Breakdown'!$W$6:$W$173, "&lt;"&amp;BX1)</f>
        <v>0</v>
      </c>
      <c r="BX11" s="213">
        <f>SUMIFS('Expenditure Breakdown'!$Q$6:$Q$173, 'Expenditure Breakdown'!$W$6:$W$173, "&gt;="&amp;BX1,'Expenditure Breakdown'!$W$6:$W$173, "&lt;"&amp;BY1)</f>
        <v>0</v>
      </c>
      <c r="BY11" s="213">
        <f>SUMIFS('Expenditure Breakdown'!$Q$6:$Q$173, 'Expenditure Breakdown'!$W$6:$W$173, "&gt;="&amp;BY1,'Expenditure Breakdown'!$W$6:$W$173, "&lt;"&amp;BZ1)</f>
        <v>0</v>
      </c>
      <c r="BZ11" s="213">
        <f>SUMIFS('Expenditure Breakdown'!$Q$6:$Q$173, 'Expenditure Breakdown'!$W$6:$W$173, "&gt;="&amp;BZ1,'Expenditure Breakdown'!$W$6:$W$173, "&lt;"&amp;CA1)</f>
        <v>0</v>
      </c>
      <c r="CA11" s="213">
        <f>SUMIFS('Expenditure Breakdown'!$Q$6:$Q$173, 'Expenditure Breakdown'!$W$6:$W$173, "&gt;="&amp;CA1,'Expenditure Breakdown'!$W$6:$W$173, "&lt;"&amp;CB1)</f>
        <v>0</v>
      </c>
      <c r="CB11" s="213">
        <f>SUMIFS('Expenditure Breakdown'!$Q$6:$Q$173, 'Expenditure Breakdown'!$W$6:$W$173, "&gt;="&amp;CB1,'Expenditure Breakdown'!$W$6:$W$173, "&lt;"&amp;CC1)</f>
        <v>0</v>
      </c>
      <c r="CC11" s="213">
        <f>SUMIFS('Expenditure Breakdown'!$Q$6:$Q$173, 'Expenditure Breakdown'!$W$6:$W$173, "&gt;="&amp;CC1,'Expenditure Breakdown'!$W$6:$W$173, "&lt;"&amp;CD1)</f>
        <v>0</v>
      </c>
      <c r="CD11" s="213">
        <f>SUMIFS('Expenditure Breakdown'!$Q$6:$Q$173, 'Expenditure Breakdown'!$W$6:$W$173, "&gt;="&amp;CD1,'Expenditure Breakdown'!$W$6:$W$173, "&lt;"&amp;CE1)</f>
        <v>0</v>
      </c>
      <c r="CE11" s="213">
        <f>SUMIFS('Expenditure Breakdown'!$Q$6:$Q$173, 'Expenditure Breakdown'!$W$6:$W$173, "&gt;="&amp;CE1,'Expenditure Breakdown'!$W$6:$W$173, "&lt;"&amp;CF1)</f>
        <v>0</v>
      </c>
      <c r="CF11" s="213">
        <f>SUMIFS('Expenditure Breakdown'!$Q$6:$Q$173, 'Expenditure Breakdown'!$W$6:$W$173, "&gt;="&amp;CF1,'Expenditure Breakdown'!$W$6:$W$173, "&lt;"&amp;CG1)</f>
        <v>0</v>
      </c>
      <c r="CG11" s="213">
        <f>SUMIFS('Expenditure Breakdown'!$Q$6:$Q$173, 'Expenditure Breakdown'!$W$6:$W$173, "&gt;="&amp;CG1,'Expenditure Breakdown'!$W$6:$W$173, "&lt;"&amp;CH1)</f>
        <v>0</v>
      </c>
      <c r="CH11" s="213">
        <f>SUMIFS('Expenditure Breakdown'!$Q$6:$Q$173, 'Expenditure Breakdown'!$W$6:$W$173, "&gt;="&amp;CH1,'Expenditure Breakdown'!$W$6:$W$173, "&lt;"&amp;CI1)</f>
        <v>0</v>
      </c>
      <c r="CI11" s="213">
        <f>SUMIFS('Expenditure Breakdown'!$Q$6:$Q$173, 'Expenditure Breakdown'!$W$6:$W$173, "&gt;="&amp;CI1,'Expenditure Breakdown'!$W$6:$W$173, "&lt;"&amp;CJ1)</f>
        <v>0</v>
      </c>
      <c r="CJ11" s="213">
        <f>SUMIFS('Expenditure Breakdown'!$Q$6:$Q$173, 'Expenditure Breakdown'!$W$6:$W$173, "&gt;="&amp;CJ1,'Expenditure Breakdown'!$W$6:$W$173, "&lt;"&amp;CK1)</f>
        <v>0</v>
      </c>
      <c r="CK11" s="213">
        <f>SUMIFS('Expenditure Breakdown'!$Q$6:$Q$173, 'Expenditure Breakdown'!$W$6:$W$173, "&gt;="&amp;CK1,'Expenditure Breakdown'!$W$6:$W$173, "&lt;"&amp;CL1)</f>
        <v>0</v>
      </c>
      <c r="CL11" s="213">
        <f>SUMIFS('Expenditure Breakdown'!$Q$6:$Q$173, 'Expenditure Breakdown'!$W$6:$W$173, "&gt;="&amp;CL1,'Expenditure Breakdown'!$W$6:$W$173, "&lt;"&amp;CM1)</f>
        <v>0</v>
      </c>
      <c r="CM11" s="213">
        <f>SUMIFS('Expenditure Breakdown'!$Q$6:$Q$173, 'Expenditure Breakdown'!$W$6:$W$173, "&gt;="&amp;CM1,'Expenditure Breakdown'!$W$6:$W$173, "&lt;"&amp;CN1)</f>
        <v>0</v>
      </c>
      <c r="CN11" s="213">
        <f>SUMIFS('Expenditure Breakdown'!$Q$6:$Q$173, 'Expenditure Breakdown'!$W$6:$W$173, "&gt;="&amp;CN1,'Expenditure Breakdown'!$W$6:$W$173, "&lt;"&amp;CO1)</f>
        <v>0</v>
      </c>
      <c r="CO11" s="213">
        <f>SUMIFS('Expenditure Breakdown'!$Q$6:$Q$173, 'Expenditure Breakdown'!$W$6:$W$173, "&gt;="&amp;CO1,'Expenditure Breakdown'!$W$6:$W$173, "&lt;"&amp;CP1)</f>
        <v>0</v>
      </c>
      <c r="CP11" s="213">
        <f>SUMIFS('Expenditure Breakdown'!$Q$6:$Q$173, 'Expenditure Breakdown'!$W$6:$W$173, "&gt;="&amp;CP1,'Expenditure Breakdown'!$W$6:$W$173, "&lt;"&amp;CQ1)</f>
        <v>0</v>
      </c>
      <c r="CQ11" s="213">
        <f>SUMIFS('Expenditure Breakdown'!$Q$6:$Q$173, 'Expenditure Breakdown'!$W$6:$W$173, "&gt;="&amp;CQ1,'Expenditure Breakdown'!$W$6:$W$173, "&lt;"&amp;CR1)</f>
        <v>0</v>
      </c>
      <c r="CR11" s="213">
        <f>SUMIFS('Expenditure Breakdown'!$Q$6:$Q$173, 'Expenditure Breakdown'!$W$6:$W$173, "&gt;="&amp;CR1,'Expenditure Breakdown'!$W$6:$W$173, "&lt;"&amp;CS1)</f>
        <v>0</v>
      </c>
      <c r="CS11" s="213">
        <f>SUMIFS('Expenditure Breakdown'!$Q$6:$Q$173, 'Expenditure Breakdown'!$W$6:$W$173, "&gt;="&amp;CS1,'Expenditure Breakdown'!$W$6:$W$173, "&lt;"&amp;CT1)</f>
        <v>0</v>
      </c>
      <c r="CT11" s="213">
        <f>SUMIFS('Expenditure Breakdown'!$Q$6:$Q$173, 'Expenditure Breakdown'!$W$6:$W$173, "&gt;="&amp;CT1,'Expenditure Breakdown'!$W$6:$W$173, "&lt;"&amp;CU1)</f>
        <v>0</v>
      </c>
      <c r="CU11" s="213">
        <f>SUMIFS('Expenditure Breakdown'!$Q$6:$Q$173, 'Expenditure Breakdown'!$W$6:$W$173, "&gt;="&amp;CU1,'Expenditure Breakdown'!$W$6:$W$173, "&lt;"&amp;CV1)</f>
        <v>0</v>
      </c>
      <c r="CV11" s="213">
        <f>SUMIFS('Expenditure Breakdown'!$Q$6:$Q$173, 'Expenditure Breakdown'!$W$6:$W$173, "&gt;="&amp;CV1,'Expenditure Breakdown'!$W$6:$W$173, "&lt;"&amp;CW1)</f>
        <v>0</v>
      </c>
      <c r="CW11" s="213">
        <f>SUMIFS('Expenditure Breakdown'!$Q$6:$Q$173, 'Expenditure Breakdown'!$W$6:$W$173, "&gt;="&amp;CW1,'Expenditure Breakdown'!$W$6:$W$173, "&lt;"&amp;CX1)</f>
        <v>0</v>
      </c>
      <c r="CX11" s="213">
        <f>SUMIFS('Expenditure Breakdown'!$Q$6:$Q$173, 'Expenditure Breakdown'!$W$6:$W$173, "&gt;="&amp;CX1,'Expenditure Breakdown'!$W$6:$W$173, "&lt;"&amp;CY1)</f>
        <v>0</v>
      </c>
      <c r="CY11" s="213">
        <f>SUMIFS('Expenditure Breakdown'!$Q$6:$Q$173, 'Expenditure Breakdown'!$W$6:$W$173, "&gt;="&amp;CY1,'Expenditure Breakdown'!$W$6:$W$173, "&lt;"&amp;CZ1)</f>
        <v>0</v>
      </c>
      <c r="CZ11" s="213">
        <f>SUMIFS('Expenditure Breakdown'!$Q$6:$Q$173, 'Expenditure Breakdown'!$W$6:$W$173, "&gt;="&amp;CZ1,'Expenditure Breakdown'!$W$6:$W$173, "&lt;"&amp;DA1)</f>
        <v>0</v>
      </c>
      <c r="DA11" s="213">
        <f>SUMIFS('Expenditure Breakdown'!$Q$6:$Q$173, 'Expenditure Breakdown'!$W$6:$W$173, "&gt;="&amp;DA1,'Expenditure Breakdown'!$W$6:$W$173, "&lt;"&amp;DB1)</f>
        <v>0</v>
      </c>
      <c r="DB11" s="213">
        <f>SUMIFS('Expenditure Breakdown'!$Q$6:$Q$173, 'Expenditure Breakdown'!$W$6:$W$173, "&gt;="&amp;DB1,'Expenditure Breakdown'!$W$6:$W$173, "&lt;"&amp;DC1)</f>
        <v>0</v>
      </c>
      <c r="DC11" s="213">
        <f>SUMIFS('Expenditure Breakdown'!$Q$6:$Q$173, 'Expenditure Breakdown'!$W$6:$W$173, "&gt;="&amp;DC1,'Expenditure Breakdown'!$W$6:$W$173, "&lt;"&amp;DD1)</f>
        <v>0</v>
      </c>
      <c r="DD11" s="213">
        <f>SUMIFS('Expenditure Breakdown'!$Q$6:$Q$173, 'Expenditure Breakdown'!$W$6:$W$173, "&gt;="&amp;DD1,'Expenditure Breakdown'!$W$6:$W$173, "&lt;"&amp;DE1)</f>
        <v>0</v>
      </c>
      <c r="DE11" s="213">
        <f>SUMIFS('Expenditure Breakdown'!$Q$6:$Q$173, 'Expenditure Breakdown'!$W$6:$W$173, "&gt;="&amp;DE1,'Expenditure Breakdown'!$W$6:$W$173, "&lt;"&amp;DF1)</f>
        <v>0</v>
      </c>
      <c r="DF11" s="213">
        <f>SUMIFS('Expenditure Breakdown'!$Q$6:$Q$173, 'Expenditure Breakdown'!$W$6:$W$173, "&gt;="&amp;DF1,'Expenditure Breakdown'!$W$6:$W$173, "&lt;"&amp;DG1)</f>
        <v>0</v>
      </c>
      <c r="DG11" s="213">
        <f>SUMIFS('Expenditure Breakdown'!$Q$6:$Q$173, 'Expenditure Breakdown'!$W$6:$W$173, "&gt;="&amp;DG1,'Expenditure Breakdown'!$W$6:$W$173, "&lt;"&amp;DH1)</f>
        <v>0</v>
      </c>
      <c r="DH11" s="213">
        <f>SUMIFS('Expenditure Breakdown'!$Q$6:$Q$173, 'Expenditure Breakdown'!$W$6:$W$173, "&gt;="&amp;DH1,'Expenditure Breakdown'!$W$6:$W$173, "&lt;"&amp;DI1)</f>
        <v>0</v>
      </c>
      <c r="DI11" s="213">
        <f>SUMIFS('Expenditure Breakdown'!$Q$6:$Q$173, 'Expenditure Breakdown'!$W$6:$W$173, "&gt;="&amp;DI1,'Expenditure Breakdown'!$W$6:$W$173, "&lt;"&amp;DJ1)</f>
        <v>0</v>
      </c>
      <c r="DJ11" s="213">
        <f>SUMIFS('Expenditure Breakdown'!$Q$6:$Q$173, 'Expenditure Breakdown'!$W$6:$W$173, "&gt;="&amp;DJ1,'Expenditure Breakdown'!$W$6:$W$173, "&lt;"&amp;DK1)</f>
        <v>0</v>
      </c>
      <c r="DK11" s="213">
        <f>SUMIFS('Expenditure Breakdown'!$Q$6:$Q$173, 'Expenditure Breakdown'!$W$6:$W$173, "&gt;="&amp;DK1,'Expenditure Breakdown'!$W$6:$W$173, "&lt;"&amp;DL1)</f>
        <v>0</v>
      </c>
      <c r="DL11" s="213">
        <f>SUMIFS('Expenditure Breakdown'!$Q$6:$Q$173, 'Expenditure Breakdown'!$W$6:$W$173, "&gt;="&amp;DL1,'Expenditure Breakdown'!$W$6:$W$173, "&lt;"&amp;DM1)</f>
        <v>0</v>
      </c>
      <c r="DM11" s="213">
        <f>SUMIFS('Expenditure Breakdown'!$Q$6:$Q$173, 'Expenditure Breakdown'!$W$6:$W$173, "&gt;="&amp;DM1,'Expenditure Breakdown'!$W$6:$W$173, "&lt;"&amp;DN1)</f>
        <v>0</v>
      </c>
      <c r="DN11" s="213">
        <f>SUMIFS('Expenditure Breakdown'!$Q$6:$Q$173, 'Expenditure Breakdown'!$W$6:$W$173, "&gt;="&amp;DN1,'Expenditure Breakdown'!$W$6:$W$173, "&lt;"&amp;DO1)</f>
        <v>0</v>
      </c>
      <c r="DO11" s="213">
        <f>SUMIFS('Expenditure Breakdown'!$Q$6:$Q$173, 'Expenditure Breakdown'!$W$6:$W$173, "&gt;="&amp;DO1,'Expenditure Breakdown'!$W$6:$W$173, "&lt;"&amp;DP1)</f>
        <v>0</v>
      </c>
      <c r="DP11" s="213">
        <f>SUMIFS('Expenditure Breakdown'!$Q$6:$Q$173, 'Expenditure Breakdown'!$W$6:$W$173, "&gt;="&amp;DP1,'Expenditure Breakdown'!$W$6:$W$173, "&lt;"&amp;DQ1)</f>
        <v>0</v>
      </c>
      <c r="DQ11" s="213">
        <f>SUMIFS('Expenditure Breakdown'!$Q$6:$Q$173, 'Expenditure Breakdown'!$W$6:$W$173, "&gt;="&amp;DQ1,'Expenditure Breakdown'!$W$6:$W$173, "&lt;"&amp;DR1)</f>
        <v>0</v>
      </c>
      <c r="DR11" s="213">
        <f>SUMIFS('Expenditure Breakdown'!$Q$6:$Q$173, 'Expenditure Breakdown'!$W$6:$W$173, "&gt;="&amp;DR1,'Expenditure Breakdown'!$W$6:$W$173, "&lt;"&amp;DS1)</f>
        <v>0</v>
      </c>
      <c r="DS11" s="213">
        <f>SUMIFS('Expenditure Breakdown'!$Q$6:$Q$173, 'Expenditure Breakdown'!$W$6:$W$173, "&gt;="&amp;DS1,'Expenditure Breakdown'!$W$6:$W$173, "&lt;"&amp;DT1)</f>
        <v>0</v>
      </c>
      <c r="DT11" s="213">
        <f>SUMIFS('Expenditure Breakdown'!$Q$6:$Q$173, 'Expenditure Breakdown'!$W$6:$W$173, "&gt;="&amp;DT1,'Expenditure Breakdown'!$W$6:$W$173, "&lt;"&amp;DU1)</f>
        <v>0</v>
      </c>
      <c r="DU11" s="213">
        <f>SUMIFS('Expenditure Breakdown'!$Q$6:$Q$173, 'Expenditure Breakdown'!$W$6:$W$173, "&gt;="&amp;DU1,'Expenditure Breakdown'!$W$6:$W$173, "&lt;"&amp;DV1)</f>
        <v>0</v>
      </c>
      <c r="DV11" s="213">
        <f>SUMIFS('Expenditure Breakdown'!$Q$6:$Q$173, 'Expenditure Breakdown'!$W$6:$W$173, "&gt;="&amp;DV1,'Expenditure Breakdown'!$W$6:$W$173, "&lt;"&amp;DW1)</f>
        <v>0</v>
      </c>
      <c r="DW11" s="213">
        <f>SUMIFS('Expenditure Breakdown'!$Q$6:$Q$173, 'Expenditure Breakdown'!$W$6:$W$173, "&gt;="&amp;DW1,'Expenditure Breakdown'!$W$6:$W$173, "&lt;"&amp;DX1)</f>
        <v>0</v>
      </c>
      <c r="DX11" s="213">
        <f>SUMIFS('Expenditure Breakdown'!$Q$6:$Q$173, 'Expenditure Breakdown'!$W$6:$W$173, "&gt;="&amp;DX1,'Expenditure Breakdown'!$W$6:$W$173, "&lt;"&amp;DY1)</f>
        <v>0</v>
      </c>
      <c r="DY11" s="213">
        <f>SUMIFS('Expenditure Breakdown'!$Q$6:$Q$173, 'Expenditure Breakdown'!$W$6:$W$173, "&gt;="&amp;DY1,'Expenditure Breakdown'!$W$6:$W$173, "&lt;"&amp;DZ1)</f>
        <v>0</v>
      </c>
      <c r="DZ11" s="213">
        <f>SUMIFS('Expenditure Breakdown'!$Q$6:$Q$173, 'Expenditure Breakdown'!$W$6:$W$173, "&gt;="&amp;DZ1,'Expenditure Breakdown'!$W$6:$W$173, "&lt;"&amp;EA1)</f>
        <v>0</v>
      </c>
      <c r="EA11" s="213">
        <f>SUMIFS('Expenditure Breakdown'!$Q$6:$Q$173, 'Expenditure Breakdown'!$W$6:$W$173, "&gt;="&amp;EA1,'Expenditure Breakdown'!$W$6:$W$173, "&lt;"&amp;EB1)</f>
        <v>0</v>
      </c>
      <c r="EB11" s="213">
        <f>SUMIFS('Expenditure Breakdown'!$Q$6:$Q$173, 'Expenditure Breakdown'!$W$6:$W$173, "&gt;="&amp;EB1,'Expenditure Breakdown'!$W$6:$W$173, "&lt;"&amp;EC1)</f>
        <v>0</v>
      </c>
      <c r="EC11" s="213">
        <f>SUMIFS('Expenditure Breakdown'!$Q$6:$Q$173, 'Expenditure Breakdown'!$W$6:$W$173, "&gt;="&amp;EC1,'Expenditure Breakdown'!$W$6:$W$173, "&lt;"&amp;ED1)</f>
        <v>0</v>
      </c>
      <c r="ED11" s="213">
        <f>SUMIFS('Expenditure Breakdown'!$Q$6:$Q$173, 'Expenditure Breakdown'!$W$6:$W$173, "&gt;="&amp;ED1,'Expenditure Breakdown'!$W$6:$W$173, "&lt;"&amp;EE1)</f>
        <v>0</v>
      </c>
      <c r="EE11" s="213">
        <f>SUMIFS('Expenditure Breakdown'!$Q$6:$Q$173, 'Expenditure Breakdown'!$W$6:$W$173, "&gt;="&amp;EE1,'Expenditure Breakdown'!$W$6:$W$173, "&lt;"&amp;EF1)</f>
        <v>0</v>
      </c>
      <c r="EF11" s="213">
        <f>SUMIFS('Expenditure Breakdown'!$Q$6:$Q$173, 'Expenditure Breakdown'!$W$6:$W$173, "&gt;="&amp;EF1,'Expenditure Breakdown'!$W$6:$W$173, "&lt;"&amp;EG1)</f>
        <v>0</v>
      </c>
      <c r="EG11" s="213">
        <f>SUMIFS('Expenditure Breakdown'!$Q$6:$Q$173, 'Expenditure Breakdown'!$W$6:$W$173, "&gt;="&amp;EG1,'Expenditure Breakdown'!$W$6:$W$173, "&lt;"&amp;EH1)</f>
        <v>0</v>
      </c>
      <c r="EH11" s="213">
        <f>SUMIFS('Expenditure Breakdown'!$Q$6:$Q$173, 'Expenditure Breakdown'!$W$6:$W$173, "&gt;="&amp;EH1,'Expenditure Breakdown'!$W$6:$W$173, "&lt;"&amp;EI1)</f>
        <v>0</v>
      </c>
      <c r="EI11" s="213">
        <f>SUMIFS('Expenditure Breakdown'!$Q$6:$Q$173, 'Expenditure Breakdown'!$W$6:$W$173, "&gt;="&amp;EI1,'Expenditure Breakdown'!$W$6:$W$173, "&lt;"&amp;EJ1)</f>
        <v>0</v>
      </c>
      <c r="EJ11" s="213">
        <f>SUMIFS('Expenditure Breakdown'!$Q$6:$Q$173, 'Expenditure Breakdown'!$W$6:$W$173, "&gt;="&amp;EJ1,'Expenditure Breakdown'!$W$6:$W$173, "&lt;"&amp;EK1)</f>
        <v>0</v>
      </c>
      <c r="EK11" s="213">
        <f>SUMIFS('Expenditure Breakdown'!$Q$6:$Q$173, 'Expenditure Breakdown'!$W$6:$W$173, "&gt;="&amp;EK1,'Expenditure Breakdown'!$W$6:$W$173, "&lt;"&amp;EL1)</f>
        <v>0</v>
      </c>
      <c r="EL11" s="213">
        <f>SUMIFS('Expenditure Breakdown'!$Q$6:$Q$173, 'Expenditure Breakdown'!$W$6:$W$173, "&gt;="&amp;EL1,'Expenditure Breakdown'!$W$6:$W$173, "&lt;"&amp;EM1)</f>
        <v>0</v>
      </c>
      <c r="EM11" s="213">
        <f>SUMIFS('Expenditure Breakdown'!$Q$6:$Q$173, 'Expenditure Breakdown'!$W$6:$W$173, "&gt;="&amp;EM1,'Expenditure Breakdown'!$W$6:$W$173, "&lt;"&amp;EN1)</f>
        <v>0</v>
      </c>
      <c r="EN11" s="213">
        <f>SUMIFS('Expenditure Breakdown'!$Q$6:$Q$173, 'Expenditure Breakdown'!$W$6:$W$173, "&gt;="&amp;EN1,'Expenditure Breakdown'!$W$6:$W$173, "&lt;"&amp;EO1)</f>
        <v>0</v>
      </c>
      <c r="EO11" s="213">
        <f>SUMIFS('Expenditure Breakdown'!$Q$6:$Q$173, 'Expenditure Breakdown'!$W$6:$W$173, "&gt;="&amp;EO1,'Expenditure Breakdown'!$W$6:$W$173, "&lt;"&amp;EP1)</f>
        <v>0</v>
      </c>
      <c r="EP11" s="213">
        <f>SUMIFS('Expenditure Breakdown'!$Q$6:$Q$173, 'Expenditure Breakdown'!$W$6:$W$173, "&gt;="&amp;EP1,'Expenditure Breakdown'!$W$6:$W$173, "&lt;"&amp;EQ1)</f>
        <v>0</v>
      </c>
      <c r="EQ11" s="213">
        <f>SUMIFS('Expenditure Breakdown'!$Q$6:$Q$173, 'Expenditure Breakdown'!$W$6:$W$173, "&gt;="&amp;EQ1,'Expenditure Breakdown'!$W$6:$W$173, "&lt;"&amp;ER1)</f>
        <v>0</v>
      </c>
      <c r="ER11" s="213">
        <f>SUMIFS('Expenditure Breakdown'!$Q$6:$Q$173, 'Expenditure Breakdown'!$W$6:$W$173, "&gt;="&amp;ER1,'Expenditure Breakdown'!$W$6:$W$173, "&lt;"&amp;ES1)</f>
        <v>0</v>
      </c>
      <c r="ES11" s="213">
        <f>SUMIFS('Expenditure Breakdown'!$Q$6:$Q$173, 'Expenditure Breakdown'!$W$6:$W$173, "&gt;="&amp;ES1,'Expenditure Breakdown'!$W$6:$W$173, "&lt;"&amp;ET1)</f>
        <v>0</v>
      </c>
      <c r="ET11" s="213">
        <f>SUMIFS('Expenditure Breakdown'!$Q$6:$Q$173, 'Expenditure Breakdown'!$W$6:$W$173, "&gt;="&amp;ET1,'Expenditure Breakdown'!$W$6:$W$173, "&lt;"&amp;EU1)</f>
        <v>0</v>
      </c>
      <c r="EU11" s="213">
        <f>SUMIFS('Expenditure Breakdown'!$Q$6:$Q$173, 'Expenditure Breakdown'!$W$6:$W$173, "&gt;="&amp;EU1,'Expenditure Breakdown'!$W$6:$W$173, "&lt;"&amp;EV1)</f>
        <v>0</v>
      </c>
      <c r="EV11" s="213">
        <f>SUMIFS('Expenditure Breakdown'!$Q$6:$Q$173, 'Expenditure Breakdown'!$W$6:$W$173, "&gt;="&amp;EV1,'Expenditure Breakdown'!$W$6:$W$173, "&lt;"&amp;EW1)</f>
        <v>0</v>
      </c>
      <c r="EW11" s="213">
        <f>SUMIFS('Expenditure Breakdown'!$Q$6:$Q$173, 'Expenditure Breakdown'!$W$6:$W$173, "&gt;="&amp;EW1,'Expenditure Breakdown'!$W$6:$W$173, "&lt;"&amp;EX1)</f>
        <v>0</v>
      </c>
      <c r="EX11" s="213">
        <f>SUMIFS('Expenditure Breakdown'!$Q$6:$Q$173, 'Expenditure Breakdown'!$W$6:$W$173, "&gt;="&amp;EX1,'Expenditure Breakdown'!$W$6:$W$173, "&lt;"&amp;EY1)</f>
        <v>0</v>
      </c>
      <c r="EY11" s="213">
        <f>SUMIFS('Expenditure Breakdown'!$Q$6:$Q$173, 'Expenditure Breakdown'!$W$6:$W$173, "&gt;="&amp;EY1,'Expenditure Breakdown'!$W$6:$W$173, "&lt;"&amp;EZ1)</f>
        <v>0</v>
      </c>
      <c r="EZ11" s="213">
        <f>SUMIFS('Expenditure Breakdown'!$Q$6:$Q$173, 'Expenditure Breakdown'!$W$6:$W$173, "&gt;="&amp;EZ1,'Expenditure Breakdown'!$W$6:$W$173, "&lt;"&amp;FA1)</f>
        <v>0</v>
      </c>
      <c r="FA11" s="213">
        <f>SUMIFS('Expenditure Breakdown'!$Q$6:$Q$173, 'Expenditure Breakdown'!$W$6:$W$173, "&gt;="&amp;FA1,'Expenditure Breakdown'!$W$6:$W$173, "&lt;"&amp;FB1)</f>
        <v>0</v>
      </c>
      <c r="FB11" s="213">
        <f>SUMIFS('Expenditure Breakdown'!$Q$6:$Q$173, 'Expenditure Breakdown'!$W$6:$W$173, "&gt;="&amp;FB1,'Expenditure Breakdown'!$W$6:$W$173, "&lt;"&amp;FC1)</f>
        <v>0</v>
      </c>
      <c r="FC11" s="213">
        <f>SUMIFS('Expenditure Breakdown'!$Q$6:$Q$173, 'Expenditure Breakdown'!$W$6:$W$173, "&gt;="&amp;FC1,'Expenditure Breakdown'!$W$6:$W$173, "&lt;"&amp;FD1)</f>
        <v>0</v>
      </c>
      <c r="FD11" s="213">
        <f>SUMIFS('Expenditure Breakdown'!$Q$6:$Q$173, 'Expenditure Breakdown'!$W$6:$W$173, "&gt;="&amp;FD1,'Expenditure Breakdown'!$W$6:$W$173, "&lt;"&amp;FE1)</f>
        <v>0</v>
      </c>
      <c r="FE11" s="213">
        <f>SUMIFS('Expenditure Breakdown'!$Q$6:$Q$173, 'Expenditure Breakdown'!$W$6:$W$173, "&gt;="&amp;FE1,'Expenditure Breakdown'!$W$6:$W$173, "&lt;"&amp;FF1)</f>
        <v>0</v>
      </c>
      <c r="FF11" s="213">
        <f>SUMIFS('Expenditure Breakdown'!$Q$6:$Q$173, 'Expenditure Breakdown'!$W$6:$W$173, "&gt;="&amp;FF1,'Expenditure Breakdown'!$W$6:$W$173, "&lt;"&amp;FG1)</f>
        <v>0</v>
      </c>
      <c r="FG11" s="213">
        <f>SUMIFS('Expenditure Breakdown'!$Q$6:$Q$173, 'Expenditure Breakdown'!$W$6:$W$173, "&gt;="&amp;FG1,'Expenditure Breakdown'!$W$6:$W$173, "&lt;"&amp;FH1)</f>
        <v>0</v>
      </c>
      <c r="FH11" s="213">
        <f>SUMIFS('Expenditure Breakdown'!$Q$6:$Q$173, 'Expenditure Breakdown'!$W$6:$W$173, "&gt;="&amp;FH1,'Expenditure Breakdown'!$W$6:$W$173, "&lt;"&amp;FI1)</f>
        <v>0</v>
      </c>
      <c r="FI11" s="213">
        <f>SUMIFS('Expenditure Breakdown'!$Q$6:$Q$173, 'Expenditure Breakdown'!$W$6:$W$173, "&gt;="&amp;FI1,'Expenditure Breakdown'!$W$6:$W$173, "&lt;"&amp;FJ1)</f>
        <v>0</v>
      </c>
      <c r="FJ11" s="213">
        <f>SUMIFS('Expenditure Breakdown'!$Q$6:$Q$173, 'Expenditure Breakdown'!$W$6:$W$173, "&gt;="&amp;FJ1,'Expenditure Breakdown'!$W$6:$W$173, "&lt;"&amp;FK1)</f>
        <v>0</v>
      </c>
      <c r="FK11" s="213">
        <f>SUMIFS('Expenditure Breakdown'!$Q$6:$Q$173, 'Expenditure Breakdown'!$W$6:$W$173, "&gt;="&amp;FK1,'Expenditure Breakdown'!$W$6:$W$173, "&lt;"&amp;FL1)</f>
        <v>0</v>
      </c>
      <c r="FL11" s="213">
        <f>SUMIFS('Expenditure Breakdown'!$Q$6:$Q$173, 'Expenditure Breakdown'!$W$6:$W$173, "&gt;="&amp;FL1,'Expenditure Breakdown'!$W$6:$W$173, "&lt;"&amp;FM1)</f>
        <v>0</v>
      </c>
      <c r="FM11" s="213">
        <f>SUMIFS('Expenditure Breakdown'!$Q$6:$Q$173, 'Expenditure Breakdown'!$W$6:$W$173, "&gt;="&amp;FM1,'Expenditure Breakdown'!$W$6:$W$173, "&lt;"&amp;FN1)</f>
        <v>0</v>
      </c>
      <c r="FN11" s="213">
        <f>SUMIFS('Expenditure Breakdown'!$Q$6:$Q$173, 'Expenditure Breakdown'!$W$6:$W$173, "&gt;="&amp;FN1,'Expenditure Breakdown'!$W$6:$W$173, "&lt;"&amp;FO1)</f>
        <v>0</v>
      </c>
      <c r="FO11" s="213">
        <f>SUMIFS('Expenditure Breakdown'!$Q$6:$Q$173, 'Expenditure Breakdown'!$W$6:$W$173, "&gt;="&amp;FO1,'Expenditure Breakdown'!$W$6:$W$173, "&lt;"&amp;FP1)</f>
        <v>0</v>
      </c>
      <c r="FP11" s="213">
        <f>SUMIFS('Expenditure Breakdown'!$Q$6:$Q$173, 'Expenditure Breakdown'!$W$6:$W$173, "&gt;="&amp;FP1,'Expenditure Breakdown'!$W$6:$W$173, "&lt;"&amp;FQ1)</f>
        <v>0</v>
      </c>
      <c r="FQ11" s="213">
        <f>SUMIFS('Expenditure Breakdown'!$Q$6:$Q$173, 'Expenditure Breakdown'!$W$6:$W$173, "&gt;="&amp;FQ1,'Expenditure Breakdown'!$W$6:$W$173, "&lt;"&amp;FR1)</f>
        <v>0</v>
      </c>
      <c r="FR11" s="213">
        <f>SUMIFS('Expenditure Breakdown'!$Q$6:$Q$173, 'Expenditure Breakdown'!$W$6:$W$173, "&gt;="&amp;FR1,'Expenditure Breakdown'!$W$6:$W$173, "&lt;"&amp;FS1)</f>
        <v>0</v>
      </c>
      <c r="FS11" s="213">
        <f>SUMIFS('Expenditure Breakdown'!$Q$6:$Q$173, 'Expenditure Breakdown'!$W$6:$W$173, "&gt;="&amp;FS1,'Expenditure Breakdown'!$W$6:$W$173, "&lt;"&amp;FT1)</f>
        <v>0</v>
      </c>
      <c r="FT11" s="213">
        <f>SUMIFS('Expenditure Breakdown'!$Q$6:$Q$173, 'Expenditure Breakdown'!$W$6:$W$173, "&gt;="&amp;FT1,'Expenditure Breakdown'!$W$6:$W$173, "&lt;"&amp;FU1)</f>
        <v>0</v>
      </c>
      <c r="FU11" s="213">
        <f>SUMIFS('Expenditure Breakdown'!$Q$6:$Q$173, 'Expenditure Breakdown'!$W$6:$W$173, "&gt;="&amp;FU1,'Expenditure Breakdown'!$W$6:$W$173, "&lt;"&amp;FV1)</f>
        <v>0</v>
      </c>
      <c r="FV11" s="213">
        <f>SUMIFS('Expenditure Breakdown'!$Q$6:$Q$173, 'Expenditure Breakdown'!$W$6:$W$173, "&gt;="&amp;FV1,'Expenditure Breakdown'!$W$6:$W$173, "&lt;"&amp;FW1)</f>
        <v>0</v>
      </c>
      <c r="FW11" s="213">
        <f>SUMIFS('Expenditure Breakdown'!$Q$6:$Q$173, 'Expenditure Breakdown'!$W$6:$W$173, "&gt;="&amp;FW1,'Expenditure Breakdown'!$W$6:$W$173, "&lt;"&amp;FX1)</f>
        <v>0</v>
      </c>
      <c r="FX11" s="213">
        <f>SUMIFS('Expenditure Breakdown'!$Q$6:$Q$173, 'Expenditure Breakdown'!$W$6:$W$173, "&gt;="&amp;FX1,'Expenditure Breakdown'!$W$6:$W$173, "&lt;"&amp;FY1)</f>
        <v>0</v>
      </c>
      <c r="FY11" s="213">
        <f>SUMIFS('Expenditure Breakdown'!$Q$6:$Q$173, 'Expenditure Breakdown'!$W$6:$W$173, "&gt;="&amp;FY1,'Expenditure Breakdown'!$W$6:$W$173, "&lt;"&amp;FZ1)</f>
        <v>0</v>
      </c>
      <c r="FZ11" s="213">
        <f>SUMIFS('Expenditure Breakdown'!$Q$6:$Q$173, 'Expenditure Breakdown'!$W$6:$W$173, "&gt;="&amp;FZ1,'Expenditure Breakdown'!$W$6:$W$173, "&lt;"&amp;GA1)</f>
        <v>0</v>
      </c>
      <c r="GA11" s="213">
        <f>SUMIFS('Expenditure Breakdown'!$Q$6:$Q$173, 'Expenditure Breakdown'!$W$6:$W$173, "&gt;="&amp;GA1,'Expenditure Breakdown'!$W$6:$W$173, "&lt;"&amp;GB1)</f>
        <v>0</v>
      </c>
      <c r="GB11" s="213">
        <f>SUMIFS('Expenditure Breakdown'!$Q$6:$Q$173, 'Expenditure Breakdown'!$W$6:$W$173, "&gt;="&amp;GB1,'Expenditure Breakdown'!$W$6:$W$173, "&lt;"&amp;GC1)</f>
        <v>0</v>
      </c>
      <c r="GC11" s="213">
        <f>SUMIFS('Expenditure Breakdown'!$Q$6:$Q$173, 'Expenditure Breakdown'!$W$6:$W$173, "&gt;="&amp;GC1,'Expenditure Breakdown'!$W$6:$W$173, "&lt;"&amp;GD1)</f>
        <v>0</v>
      </c>
      <c r="GD11" s="213">
        <f>SUMIFS('Expenditure Breakdown'!$Q$6:$Q$173, 'Expenditure Breakdown'!$W$6:$W$173, "&gt;="&amp;GD1,'Expenditure Breakdown'!$W$6:$W$173, "&lt;"&amp;GE1)</f>
        <v>0</v>
      </c>
      <c r="GE11" s="213">
        <f>SUMIFS('Expenditure Breakdown'!$Q$6:$Q$173, 'Expenditure Breakdown'!$W$6:$W$173, "&gt;="&amp;GE1,'Expenditure Breakdown'!$W$6:$W$173, "&lt;"&amp;GF1)</f>
        <v>0</v>
      </c>
      <c r="GF11" s="213">
        <f>SUMIFS('Expenditure Breakdown'!$Q$6:$Q$173, 'Expenditure Breakdown'!$W$6:$W$173, "&gt;="&amp;GF1,'Expenditure Breakdown'!$W$6:$W$173, "&lt;"&amp;GG1)</f>
        <v>0</v>
      </c>
      <c r="GG11" s="213">
        <f>SUMIFS('Expenditure Breakdown'!$Q$6:$Q$173, 'Expenditure Breakdown'!$W$6:$W$173, "&gt;="&amp;GG1,'Expenditure Breakdown'!$W$6:$W$173, "&lt;"&amp;GH1)</f>
        <v>0</v>
      </c>
      <c r="GH11" s="213">
        <f>SUMIFS('Expenditure Breakdown'!$Q$6:$Q$173, 'Expenditure Breakdown'!$W$6:$W$173, "&gt;="&amp;GH1,'Expenditure Breakdown'!$W$6:$W$173, "&lt;"&amp;GI1)</f>
        <v>0</v>
      </c>
      <c r="GI11" s="213">
        <f>SUMIFS('Expenditure Breakdown'!$Q$6:$Q$173, 'Expenditure Breakdown'!$W$6:$W$173, "&gt;="&amp;GI1,'Expenditure Breakdown'!$W$6:$W$173, "&lt;"&amp;GJ1)</f>
        <v>0</v>
      </c>
      <c r="GJ11" s="213">
        <f>SUMIFS('Expenditure Breakdown'!$Q$6:$Q$173, 'Expenditure Breakdown'!$W$6:$W$173, "&gt;="&amp;GJ1,'Expenditure Breakdown'!$W$6:$W$173, "&lt;"&amp;GK1)</f>
        <v>0</v>
      </c>
      <c r="GK11" s="213">
        <f>SUMIFS('Expenditure Breakdown'!$Q$6:$Q$173, 'Expenditure Breakdown'!$W$6:$W$173, "&gt;="&amp;GK1,'Expenditure Breakdown'!$W$6:$W$173, "&lt;"&amp;GL1)</f>
        <v>0</v>
      </c>
      <c r="GL11" s="213">
        <f>SUMIFS('Expenditure Breakdown'!$Q$6:$Q$173, 'Expenditure Breakdown'!$W$6:$W$173, "&gt;="&amp;GL1,'Expenditure Breakdown'!$W$6:$W$173, "&lt;"&amp;GM1)</f>
        <v>0</v>
      </c>
      <c r="GM11" s="213">
        <f>SUMIFS('Expenditure Breakdown'!$Q$6:$Q$173, 'Expenditure Breakdown'!$W$6:$W$173, "&gt;="&amp;GM1,'Expenditure Breakdown'!$W$6:$W$173, "&lt;"&amp;GN1)</f>
        <v>0</v>
      </c>
      <c r="GN11" s="213">
        <f>SUMIFS('Expenditure Breakdown'!$Q$6:$Q$173, 'Expenditure Breakdown'!$W$6:$W$173, "&gt;="&amp;GN1,'Expenditure Breakdown'!$W$6:$W$173, "&lt;"&amp;GO1)</f>
        <v>0</v>
      </c>
      <c r="GO11" s="213">
        <f>SUMIFS('Expenditure Breakdown'!$Q$6:$Q$173, 'Expenditure Breakdown'!$W$6:$W$173, "&gt;="&amp;GO1,'Expenditure Breakdown'!$W$6:$W$173, "&lt;"&amp;GP1)</f>
        <v>0</v>
      </c>
      <c r="GP11" s="213">
        <f>SUMIFS('Expenditure Breakdown'!$Q$6:$Q$173, 'Expenditure Breakdown'!$W$6:$W$173, "&gt;="&amp;GP1,'Expenditure Breakdown'!$W$6:$W$173, "&lt;"&amp;GQ1)</f>
        <v>0</v>
      </c>
      <c r="GQ11" s="213">
        <f>SUMIFS('Expenditure Breakdown'!$Q$6:$Q$173, 'Expenditure Breakdown'!$W$6:$W$173, "&gt;="&amp;GQ1,'Expenditure Breakdown'!$W$6:$W$173, "&lt;"&amp;GR1)</f>
        <v>0</v>
      </c>
      <c r="GR11" s="213">
        <f>SUMIFS('Expenditure Breakdown'!$Q$6:$Q$173, 'Expenditure Breakdown'!$W$6:$W$173, "&gt;="&amp;GR1,'Expenditure Breakdown'!$W$6:$W$173, "&lt;"&amp;GS1)</f>
        <v>0</v>
      </c>
      <c r="GS11" s="213">
        <f>SUMIFS('Expenditure Breakdown'!$Q$6:$Q$173, 'Expenditure Breakdown'!$W$6:$W$173, "&gt;="&amp;GS1,'Expenditure Breakdown'!$W$6:$W$173, "&lt;"&amp;GT1)</f>
        <v>0</v>
      </c>
      <c r="GT11" s="213">
        <f>SUMIFS('Expenditure Breakdown'!$Q$6:$Q$173, 'Expenditure Breakdown'!$W$6:$W$173, "&gt;="&amp;GT1,'Expenditure Breakdown'!$W$6:$W$173, "&lt;"&amp;GU1)</f>
        <v>0</v>
      </c>
      <c r="GU11" s="213">
        <f>SUMIFS('Expenditure Breakdown'!$Q$6:$Q$173, 'Expenditure Breakdown'!$W$6:$W$173, "&gt;="&amp;GU1,'Expenditure Breakdown'!$W$6:$W$173, "&lt;"&amp;GV1)</f>
        <v>0</v>
      </c>
      <c r="GV11" s="213">
        <f>SUMIFS('Expenditure Breakdown'!$Q$6:$Q$173, 'Expenditure Breakdown'!$W$6:$W$173, "&gt;="&amp;GV1,'Expenditure Breakdown'!$W$6:$W$173, "&lt;"&amp;GW1)</f>
        <v>0</v>
      </c>
      <c r="GW11" s="213">
        <f>SUMIFS('Expenditure Breakdown'!$Q$6:$Q$173, 'Expenditure Breakdown'!$W$6:$W$173, "&gt;="&amp;GW1,'Expenditure Breakdown'!$W$6:$W$173, "&lt;"&amp;GX1)</f>
        <v>0</v>
      </c>
      <c r="GX11" s="213">
        <f>SUMIFS('Expenditure Breakdown'!$Q$6:$Q$173, 'Expenditure Breakdown'!$W$6:$W$173, "&gt;="&amp;GX1,'Expenditure Breakdown'!$W$6:$W$173, "&lt;"&amp;GY1)</f>
        <v>0</v>
      </c>
      <c r="GY11" s="213">
        <f>SUMIFS('Expenditure Breakdown'!$Q$6:$Q$173, 'Expenditure Breakdown'!$W$6:$W$173, "&gt;="&amp;GY1,'Expenditure Breakdown'!$W$6:$W$173, "&lt;"&amp;GZ1)</f>
        <v>0</v>
      </c>
      <c r="GZ11" s="213">
        <f>SUMIFS('Expenditure Breakdown'!$Q$6:$Q$173, 'Expenditure Breakdown'!$W$6:$W$173, "&gt;="&amp;GZ1,'Expenditure Breakdown'!$W$6:$W$173, "&lt;"&amp;HA1)</f>
        <v>0</v>
      </c>
      <c r="HA11" s="213">
        <f>SUMIFS('Expenditure Breakdown'!$Q$6:$Q$173, 'Expenditure Breakdown'!$W$6:$W$173, "&gt;="&amp;HA1,'Expenditure Breakdown'!$W$6:$W$173, "&lt;"&amp;HB1)</f>
        <v>0</v>
      </c>
      <c r="HB11" s="213">
        <f>SUMIFS('Expenditure Breakdown'!$Q$6:$Q$173, 'Expenditure Breakdown'!$W$6:$W$173, "&gt;="&amp;HB1,'Expenditure Breakdown'!$W$6:$W$173, "&lt;"&amp;HC1)</f>
        <v>0</v>
      </c>
      <c r="HC11" s="213">
        <f>SUMIFS('Expenditure Breakdown'!$Q$6:$Q$173, 'Expenditure Breakdown'!$W$6:$W$173, "&gt;="&amp;HC1,'Expenditure Breakdown'!$W$6:$W$173, "&lt;"&amp;HD1)</f>
        <v>0</v>
      </c>
      <c r="HD11" s="213">
        <f>SUMIFS('Expenditure Breakdown'!$Q$6:$Q$173, 'Expenditure Breakdown'!$W$6:$W$173, "&gt;="&amp;HD1,'Expenditure Breakdown'!$W$6:$W$173, "&lt;"&amp;HE1)</f>
        <v>0</v>
      </c>
      <c r="HE11" s="213">
        <f>SUMIFS('Expenditure Breakdown'!$Q$6:$Q$173, 'Expenditure Breakdown'!$W$6:$W$173, "&gt;="&amp;HE1,'Expenditure Breakdown'!$W$6:$W$173, "&lt;"&amp;HF1)</f>
        <v>0</v>
      </c>
      <c r="HF11" s="213">
        <f>SUMIFS('Expenditure Breakdown'!$Q$6:$Q$173, 'Expenditure Breakdown'!$W$6:$W$173, "&gt;="&amp;HF1,'Expenditure Breakdown'!$W$6:$W$173, "&lt;"&amp;HG1)</f>
        <v>0</v>
      </c>
      <c r="HG11" s="213">
        <f>SUMIFS('Expenditure Breakdown'!$Q$6:$Q$173, 'Expenditure Breakdown'!$W$6:$W$173, "&gt;="&amp;HG1,'Expenditure Breakdown'!$W$6:$W$173, "&lt;"&amp;HH1)</f>
        <v>0</v>
      </c>
      <c r="HH11" s="213">
        <f>SUMIFS('Expenditure Breakdown'!$Q$6:$Q$173, 'Expenditure Breakdown'!$W$6:$W$173, "&gt;="&amp;HH1,'Expenditure Breakdown'!$W$6:$W$173, "&lt;"&amp;HI1)</f>
        <v>0</v>
      </c>
      <c r="HI11" s="213">
        <f>SUMIFS('Expenditure Breakdown'!$Q$6:$Q$173, 'Expenditure Breakdown'!$W$6:$W$173, "&gt;="&amp;HI1,'Expenditure Breakdown'!$W$6:$W$173, "&lt;"&amp;HJ1)</f>
        <v>0</v>
      </c>
      <c r="HJ11" s="213">
        <f>SUMIFS('Expenditure Breakdown'!$Q$6:$Q$173, 'Expenditure Breakdown'!$W$6:$W$173, "&gt;="&amp;HJ1,'Expenditure Breakdown'!$W$6:$W$173, "&lt;"&amp;HK1)</f>
        <v>0</v>
      </c>
      <c r="HK11" s="213">
        <f>SUMIFS('Expenditure Breakdown'!$Q$6:$Q$173, 'Expenditure Breakdown'!$W$6:$W$173, "&gt;="&amp;HK1,'Expenditure Breakdown'!$W$6:$W$173, "&lt;"&amp;HL1)</f>
        <v>0</v>
      </c>
      <c r="HL11" s="213">
        <f>SUMIFS('Expenditure Breakdown'!$Q$6:$Q$173, 'Expenditure Breakdown'!$W$6:$W$173, "&gt;="&amp;HL1,'Expenditure Breakdown'!$W$6:$W$173, "&lt;"&amp;HM1)</f>
        <v>0</v>
      </c>
      <c r="HM11" s="213">
        <f>SUMIFS('Expenditure Breakdown'!$Q$6:$Q$173, 'Expenditure Breakdown'!$W$6:$W$173, "&gt;="&amp;HM1,'Expenditure Breakdown'!$W$6:$W$173, "&lt;"&amp;HN1)</f>
        <v>0</v>
      </c>
      <c r="HN11" s="213">
        <f>SUMIFS('Expenditure Breakdown'!$Q$6:$Q$173, 'Expenditure Breakdown'!$W$6:$W$173, "&gt;="&amp;HN1,'Expenditure Breakdown'!$W$6:$W$173, "&lt;"&amp;HO1)</f>
        <v>0</v>
      </c>
      <c r="HO11" s="213">
        <f>SUMIFS('Expenditure Breakdown'!$Q$6:$Q$173, 'Expenditure Breakdown'!$W$6:$W$173, "&gt;="&amp;HO1,'Expenditure Breakdown'!$W$6:$W$173, "&lt;"&amp;HP1)</f>
        <v>0</v>
      </c>
      <c r="HP11" s="213">
        <f>SUMIFS('Expenditure Breakdown'!$Q$6:$Q$173, 'Expenditure Breakdown'!$W$6:$W$173, "&gt;="&amp;HP1,'Expenditure Breakdown'!$W$6:$W$173, "&lt;"&amp;HQ1)</f>
        <v>0</v>
      </c>
      <c r="HQ11" s="213">
        <f>SUMIFS('Expenditure Breakdown'!$Q$6:$Q$173, 'Expenditure Breakdown'!$W$6:$W$173, "&gt;="&amp;HQ1,'Expenditure Breakdown'!$W$6:$W$173, "&lt;"&amp;HR1)</f>
        <v>0</v>
      </c>
      <c r="HR11" s="213">
        <f>SUMIFS('Expenditure Breakdown'!$Q$6:$Q$173, 'Expenditure Breakdown'!$W$6:$W$173, "&gt;="&amp;HR1,'Expenditure Breakdown'!$W$6:$W$173, "&lt;"&amp;HS1)</f>
        <v>0</v>
      </c>
      <c r="HS11" s="213">
        <f>SUMIFS('Expenditure Breakdown'!$Q$6:$Q$173, 'Expenditure Breakdown'!$W$6:$W$173, "&gt;="&amp;HS1,'Expenditure Breakdown'!$W$6:$W$173, "&lt;"&amp;HT1)</f>
        <v>0</v>
      </c>
      <c r="HT11" s="213">
        <f>SUMIFS('Expenditure Breakdown'!$Q$6:$Q$173, 'Expenditure Breakdown'!$W$6:$W$173, "&gt;="&amp;HT1,'Expenditure Breakdown'!$W$6:$W$173, "&lt;"&amp;HU1)</f>
        <v>0</v>
      </c>
      <c r="HU11" s="213">
        <f>SUMIFS('Expenditure Breakdown'!$Q$6:$Q$173, 'Expenditure Breakdown'!$W$6:$W$173, "&gt;="&amp;HU1,'Expenditure Breakdown'!$W$6:$W$173, "&lt;"&amp;HV1)</f>
        <v>0</v>
      </c>
      <c r="HV11" s="213">
        <f>SUMIFS('Expenditure Breakdown'!$Q$6:$Q$173, 'Expenditure Breakdown'!$W$6:$W$173, "&gt;="&amp;HV1,'Expenditure Breakdown'!$W$6:$W$173, "&lt;"&amp;HW1)</f>
        <v>0</v>
      </c>
      <c r="HW11" s="213">
        <f>SUMIFS('Expenditure Breakdown'!$Q$6:$Q$173, 'Expenditure Breakdown'!$W$6:$W$173, "&gt;="&amp;HW1,'Expenditure Breakdown'!$W$6:$W$173, "&lt;"&amp;HX1)</f>
        <v>0</v>
      </c>
      <c r="HX11" s="213">
        <f>SUMIFS('Expenditure Breakdown'!$Q$6:$Q$173, 'Expenditure Breakdown'!$W$6:$W$173, "&gt;="&amp;HX1,'Expenditure Breakdown'!$W$6:$W$173, "&lt;"&amp;HY1)</f>
        <v>0</v>
      </c>
      <c r="HY11" s="213">
        <f>SUMIFS('Expenditure Breakdown'!$Q$6:$Q$173, 'Expenditure Breakdown'!$W$6:$W$173, "&gt;="&amp;HY1,'Expenditure Breakdown'!$W$6:$W$173, "&lt;"&amp;HZ1)</f>
        <v>0</v>
      </c>
      <c r="HZ11" s="213">
        <f>SUMIFS('Expenditure Breakdown'!$Q$6:$Q$173, 'Expenditure Breakdown'!$W$6:$W$173, "&gt;="&amp;HZ1,'Expenditure Breakdown'!$W$6:$W$173, "&lt;"&amp;IA1)</f>
        <v>0</v>
      </c>
      <c r="IA11" s="213">
        <f>SUMIFS('Expenditure Breakdown'!$Q$6:$Q$173, 'Expenditure Breakdown'!$W$6:$W$173, "&gt;="&amp;IA1,'Expenditure Breakdown'!$W$6:$W$173, "&lt;"&amp;IB1)</f>
        <v>0</v>
      </c>
      <c r="IB11" s="213">
        <f>SUMIFS('Expenditure Breakdown'!$Q$6:$Q$173, 'Expenditure Breakdown'!$W$6:$W$173, "&gt;="&amp;IB1,'Expenditure Breakdown'!$W$6:$W$173, "&lt;"&amp;IC1)</f>
        <v>0</v>
      </c>
      <c r="IC11" s="213">
        <f>SUMIFS('Expenditure Breakdown'!$Q$6:$Q$173, 'Expenditure Breakdown'!$W$6:$W$173, "&gt;="&amp;IC1,'Expenditure Breakdown'!$W$6:$W$173, "&lt;"&amp;ID1)</f>
        <v>0</v>
      </c>
      <c r="ID11" s="213">
        <f>SUMIFS('Expenditure Breakdown'!$Q$6:$Q$173, 'Expenditure Breakdown'!$W$6:$W$173, "&gt;="&amp;ID1,'Expenditure Breakdown'!$W$6:$W$173, "&lt;"&amp;IE1)</f>
        <v>0</v>
      </c>
      <c r="IE11" s="213">
        <f>SUMIFS('Expenditure Breakdown'!$Q$6:$Q$173, 'Expenditure Breakdown'!$W$6:$W$173, "&gt;="&amp;IE1,'Expenditure Breakdown'!$W$6:$W$173, "&lt;"&amp;IF1)</f>
        <v>0</v>
      </c>
      <c r="IF11" s="213">
        <f>SUMIFS('Expenditure Breakdown'!$Q$6:$Q$173, 'Expenditure Breakdown'!$W$6:$W$173, "&gt;="&amp;IF1,'Expenditure Breakdown'!$W$6:$W$173, "&lt;"&amp;IG1)</f>
        <v>0</v>
      </c>
      <c r="IG11" s="213">
        <f>SUMIFS('Expenditure Breakdown'!$Q$6:$Q$173, 'Expenditure Breakdown'!$W$6:$W$173, "&gt;="&amp;IG1,'Expenditure Breakdown'!$W$6:$W$173, "&lt;"&amp;IH1)</f>
        <v>0</v>
      </c>
      <c r="IH11" s="213">
        <f>SUMIFS('Expenditure Breakdown'!$Q$6:$Q$173, 'Expenditure Breakdown'!$W$6:$W$173, "&gt;="&amp;IH1,'Expenditure Breakdown'!$W$6:$W$173, "&lt;"&amp;II1)</f>
        <v>0</v>
      </c>
      <c r="II11" s="213">
        <f>SUMIFS('Expenditure Breakdown'!$Q$6:$Q$173, 'Expenditure Breakdown'!$W$6:$W$173, "&gt;="&amp;II1,'Expenditure Breakdown'!$W$6:$W$173, "&lt;"&amp;IJ1)</f>
        <v>0</v>
      </c>
      <c r="IJ11" s="213">
        <f>SUMIFS('Expenditure Breakdown'!$Q$6:$Q$173, 'Expenditure Breakdown'!$W$6:$W$173, "&gt;="&amp;IJ1,'Expenditure Breakdown'!$W$6:$W$173, "&lt;"&amp;IK1)</f>
        <v>0</v>
      </c>
      <c r="IK11" s="213">
        <f>SUMIFS('Expenditure Breakdown'!$Q$6:$Q$173, 'Expenditure Breakdown'!$W$6:$W$173, "&gt;="&amp;IK1,'Expenditure Breakdown'!$W$6:$W$173, "&lt;"&amp;IL1)</f>
        <v>0</v>
      </c>
      <c r="IL11" s="213">
        <f>SUMIFS('Expenditure Breakdown'!$Q$6:$Q$173, 'Expenditure Breakdown'!$W$6:$W$173, "&gt;="&amp;IL1,'Expenditure Breakdown'!$W$6:$W$173, "&lt;"&amp;IM1)</f>
        <v>0</v>
      </c>
      <c r="IM11" s="213">
        <f>SUMIFS('Expenditure Breakdown'!$Q$6:$Q$173, 'Expenditure Breakdown'!$W$6:$W$173, "&gt;="&amp;IM1,'Expenditure Breakdown'!$W$6:$W$173, "&lt;"&amp;IN1)</f>
        <v>0</v>
      </c>
      <c r="IN11" s="213">
        <f>SUMIFS('Expenditure Breakdown'!$Q$6:$Q$173, 'Expenditure Breakdown'!$W$6:$W$173, "&gt;="&amp;IN1,'Expenditure Breakdown'!$W$6:$W$173, "&lt;"&amp;IO1)</f>
        <v>0</v>
      </c>
      <c r="IO11" s="213">
        <f>SUMIFS('Expenditure Breakdown'!$Q$6:$Q$173, 'Expenditure Breakdown'!$W$6:$W$173, "&gt;="&amp;IO1,'Expenditure Breakdown'!$W$6:$W$173, "&lt;"&amp;IP1)</f>
        <v>0</v>
      </c>
      <c r="IP11" s="213">
        <f>SUMIFS('Expenditure Breakdown'!$Q$6:$Q$173, 'Expenditure Breakdown'!$W$6:$W$173, "&gt;="&amp;IP1,'Expenditure Breakdown'!$W$6:$W$173, "&lt;"&amp;IQ1)</f>
        <v>0</v>
      </c>
      <c r="IQ11" s="213">
        <f>SUMIFS('Expenditure Breakdown'!$Q$6:$Q$173, 'Expenditure Breakdown'!$W$6:$W$173, "&gt;="&amp;IQ1,'Expenditure Breakdown'!$W$6:$W$173, "&lt;"&amp;IR1)</f>
        <v>0</v>
      </c>
      <c r="IR11" s="213">
        <f>SUMIFS('Expenditure Breakdown'!$Q$6:$Q$173, 'Expenditure Breakdown'!$W$6:$W$173, "&gt;="&amp;IR1,'Expenditure Breakdown'!$W$6:$W$173, "&lt;"&amp;IS1)</f>
        <v>0</v>
      </c>
      <c r="IS11" s="213">
        <f>SUMIFS('Expenditure Breakdown'!$Q$6:$Q$173, 'Expenditure Breakdown'!$W$6:$W$173, "&gt;="&amp;IS1,'Expenditure Breakdown'!$W$6:$W$173, "&lt;"&amp;IT1)</f>
        <v>0</v>
      </c>
      <c r="IT11" s="213">
        <f>SUMIFS('Expenditure Breakdown'!$Q$6:$Q$173, 'Expenditure Breakdown'!$W$6:$W$173, "&gt;="&amp;IT1,'Expenditure Breakdown'!$W$6:$W$173, "&lt;"&amp;IU1)</f>
        <v>0</v>
      </c>
      <c r="IU11" s="213">
        <f>SUMIFS('Expenditure Breakdown'!$Q$6:$Q$173, 'Expenditure Breakdown'!$W$6:$W$173, "&gt;="&amp;IU1,'Expenditure Breakdown'!$W$6:$W$173, "&lt;"&amp;IV1)</f>
        <v>0</v>
      </c>
      <c r="IV11" s="213">
        <f>SUMIFS('Expenditure Breakdown'!$Q$6:$Q$173, 'Expenditure Breakdown'!$W$6:$W$173, "&gt;="&amp;IV1,'Expenditure Breakdown'!$W$6:$W$173, "&lt;"&amp;IW1)</f>
        <v>0</v>
      </c>
      <c r="IW11" s="213">
        <f>SUMIFS('Expenditure Breakdown'!$Q$6:$Q$173, 'Expenditure Breakdown'!$W$6:$W$173, "&gt;="&amp;IW1,'Expenditure Breakdown'!$W$6:$W$173, "&lt;"&amp;IX1)</f>
        <v>0</v>
      </c>
      <c r="IX11" s="213">
        <f>SUMIFS('Expenditure Breakdown'!$Q$6:$Q$173, 'Expenditure Breakdown'!$W$6:$W$173, "&gt;="&amp;IX1,'Expenditure Breakdown'!$W$6:$W$173, "&lt;"&amp;IY1)</f>
        <v>0</v>
      </c>
      <c r="IY11" s="213">
        <f>SUMIFS('Expenditure Breakdown'!$Q$6:$Q$173, 'Expenditure Breakdown'!$W$6:$W$173, "&gt;="&amp;IY1,'Expenditure Breakdown'!$W$6:$W$173, "&lt;"&amp;IZ1)</f>
        <v>0</v>
      </c>
      <c r="IZ11" s="213">
        <f>SUMIFS('Expenditure Breakdown'!$Q$6:$Q$173, 'Expenditure Breakdown'!$W$6:$W$173, "&gt;="&amp;IZ1,'Expenditure Breakdown'!$W$6:$W$173, "&lt;"&amp;JA1)</f>
        <v>0</v>
      </c>
      <c r="JA11" s="213">
        <f>SUMIFS('Expenditure Breakdown'!$Q$6:$Q$173, 'Expenditure Breakdown'!$W$6:$W$173, "&gt;="&amp;JA1,'Expenditure Breakdown'!$W$6:$W$173, "&lt;"&amp;JB1)</f>
        <v>0</v>
      </c>
      <c r="JB11" s="213">
        <f>SUMIFS('Expenditure Breakdown'!$Q$6:$Q$173, 'Expenditure Breakdown'!$W$6:$W$173, "&gt;="&amp;JB1,'Expenditure Breakdown'!$W$6:$W$173, "&lt;"&amp;JC1)</f>
        <v>0</v>
      </c>
      <c r="JC11" s="213">
        <f>SUMIFS('Expenditure Breakdown'!$Q$6:$Q$173, 'Expenditure Breakdown'!$W$6:$W$173, "&gt;="&amp;JC1,'Expenditure Breakdown'!$W$6:$W$173, "&lt;"&amp;JD1)</f>
        <v>0</v>
      </c>
      <c r="JD11" s="213">
        <f>SUMIFS('Expenditure Breakdown'!$Q$6:$Q$173, 'Expenditure Breakdown'!$W$6:$W$173, "&gt;="&amp;JD1,'Expenditure Breakdown'!$W$6:$W$173, "&lt;"&amp;JE1)</f>
        <v>0</v>
      </c>
      <c r="JE11" s="213">
        <f>SUMIFS('Expenditure Breakdown'!$Q$6:$Q$173, 'Expenditure Breakdown'!$W$6:$W$173, "&gt;="&amp;JE1,'Expenditure Breakdown'!$W$6:$W$173, "&lt;"&amp;JF1)</f>
        <v>0</v>
      </c>
      <c r="JF11" s="213">
        <f>SUMIFS('Expenditure Breakdown'!$Q$6:$Q$173, 'Expenditure Breakdown'!$W$6:$W$173, "&gt;="&amp;JF1,'Expenditure Breakdown'!$W$6:$W$173, "&lt;"&amp;JG1)</f>
        <v>0</v>
      </c>
      <c r="JG11" s="213">
        <f>SUMIFS('Expenditure Breakdown'!$Q$6:$Q$173, 'Expenditure Breakdown'!$W$6:$W$173, "&gt;="&amp;JG1,'Expenditure Breakdown'!$W$6:$W$173, "&lt;"&amp;JH1)</f>
        <v>0</v>
      </c>
      <c r="JH11" s="213">
        <f>SUMIFS('Expenditure Breakdown'!$Q$6:$Q$173, 'Expenditure Breakdown'!$W$6:$W$173, "&gt;="&amp;JH1,'Expenditure Breakdown'!$W$6:$W$173, "&lt;"&amp;JI1)</f>
        <v>0</v>
      </c>
      <c r="JI11" s="213">
        <f>SUMIFS('Expenditure Breakdown'!$Q$6:$Q$173, 'Expenditure Breakdown'!$W$6:$W$173, "&gt;="&amp;JI1,'Expenditure Breakdown'!$W$6:$W$173, "&lt;"&amp;JJ1)</f>
        <v>0</v>
      </c>
      <c r="JJ11" s="213">
        <f>SUMIFS('Expenditure Breakdown'!$Q$6:$Q$173, 'Expenditure Breakdown'!$W$6:$W$173, "&gt;="&amp;JJ1,'Expenditure Breakdown'!$W$6:$W$173, "&lt;"&amp;JK1)</f>
        <v>0</v>
      </c>
      <c r="JK11" s="213">
        <f>SUMIFS('Expenditure Breakdown'!$Q$6:$Q$173, 'Expenditure Breakdown'!$W$6:$W$173, "&gt;="&amp;JK1,'Expenditure Breakdown'!$W$6:$W$173, "&lt;"&amp;JL1)</f>
        <v>0</v>
      </c>
      <c r="JL11" s="213">
        <f>SUMIFS('Expenditure Breakdown'!$Q$6:$Q$173, 'Expenditure Breakdown'!$W$6:$W$173, "&gt;="&amp;JL1,'Expenditure Breakdown'!$W$6:$W$173, "&lt;"&amp;JM1)</f>
        <v>0</v>
      </c>
      <c r="JM11" s="213">
        <f>SUMIFS('Expenditure Breakdown'!$Q$6:$Q$173, 'Expenditure Breakdown'!$W$6:$W$173, "&gt;="&amp;JM1,'Expenditure Breakdown'!$W$6:$W$173, "&lt;"&amp;JN1)</f>
        <v>0</v>
      </c>
      <c r="JN11" s="213">
        <f>SUMIFS('Expenditure Breakdown'!$Q$6:$Q$173, 'Expenditure Breakdown'!$W$6:$W$173, "&gt;="&amp;JN1,'Expenditure Breakdown'!$W$6:$W$173, "&lt;"&amp;JO1)</f>
        <v>0</v>
      </c>
      <c r="JO11" s="213">
        <f>SUMIFS('Expenditure Breakdown'!$Q$6:$Q$173, 'Expenditure Breakdown'!$W$6:$W$173, "&gt;="&amp;JO1,'Expenditure Breakdown'!$W$6:$W$173, "&lt;"&amp;JP1)</f>
        <v>0</v>
      </c>
      <c r="JP11" s="213">
        <f>SUMIFS('Expenditure Breakdown'!$Q$6:$Q$173, 'Expenditure Breakdown'!$W$6:$W$173, "&gt;="&amp;JP1,'Expenditure Breakdown'!$W$6:$W$173, "&lt;"&amp;JQ1)</f>
        <v>0</v>
      </c>
      <c r="JQ11" s="213">
        <f>SUMIFS('Expenditure Breakdown'!$Q$6:$Q$173, 'Expenditure Breakdown'!$W$6:$W$173, "&gt;="&amp;JQ1,'Expenditure Breakdown'!$W$6:$W$173, "&lt;"&amp;JR1)</f>
        <v>0</v>
      </c>
      <c r="JR11" s="213">
        <f>SUMIFS('Expenditure Breakdown'!$Q$6:$Q$173, 'Expenditure Breakdown'!$W$6:$W$173, "&gt;="&amp;JR1,'Expenditure Breakdown'!$W$6:$W$173, "&lt;"&amp;JS1)</f>
        <v>0</v>
      </c>
      <c r="JS11" s="213">
        <f>SUMIFS('Expenditure Breakdown'!$Q$6:$Q$173, 'Expenditure Breakdown'!$W$6:$W$173, "&gt;="&amp;JS1,'Expenditure Breakdown'!$W$6:$W$173, "&lt;"&amp;JT1)</f>
        <v>0</v>
      </c>
      <c r="JT11" s="213">
        <f>SUMIFS('Expenditure Breakdown'!$Q$6:$Q$173, 'Expenditure Breakdown'!$W$6:$W$173, "&gt;="&amp;JT1,'Expenditure Breakdown'!$W$6:$W$173, "&lt;"&amp;JU1)</f>
        <v>0</v>
      </c>
      <c r="JU11" s="213">
        <f>SUMIFS('Expenditure Breakdown'!$Q$6:$Q$173, 'Expenditure Breakdown'!$W$6:$W$173, "&gt;="&amp;JU1,'Expenditure Breakdown'!$W$6:$W$173, "&lt;"&amp;JV1)</f>
        <v>0</v>
      </c>
      <c r="JV11" s="213">
        <f>SUMIFS('Expenditure Breakdown'!$Q$6:$Q$173, 'Expenditure Breakdown'!$W$6:$W$173, "&gt;="&amp;JV1,'Expenditure Breakdown'!$W$6:$W$173, "&lt;"&amp;JW1)</f>
        <v>0</v>
      </c>
      <c r="JW11" s="213">
        <f>SUMIFS('Expenditure Breakdown'!$Q$6:$Q$173, 'Expenditure Breakdown'!$W$6:$W$173, "&gt;="&amp;JW1,'Expenditure Breakdown'!$W$6:$W$173, "&lt;"&amp;JX1)</f>
        <v>0</v>
      </c>
      <c r="JX11" s="213">
        <f>SUMIFS('Expenditure Breakdown'!$Q$6:$Q$173, 'Expenditure Breakdown'!$W$6:$W$173, "&gt;="&amp;JX1,'Expenditure Breakdown'!$W$6:$W$173, "&lt;"&amp;JY1)</f>
        <v>0</v>
      </c>
      <c r="JY11" s="213">
        <f>SUMIFS('Expenditure Breakdown'!$Q$6:$Q$173, 'Expenditure Breakdown'!$W$6:$W$173, "&gt;="&amp;JY1,'Expenditure Breakdown'!$W$6:$W$173, "&lt;"&amp;JZ1)</f>
        <v>0</v>
      </c>
      <c r="JZ11" s="213">
        <f>SUMIFS('Expenditure Breakdown'!$Q$6:$Q$173, 'Expenditure Breakdown'!$W$6:$W$173, "&gt;="&amp;JZ1,'Expenditure Breakdown'!$W$6:$W$173, "&lt;"&amp;KA1)</f>
        <v>0</v>
      </c>
      <c r="KA11" s="213">
        <f>SUMIFS('Expenditure Breakdown'!$Q$6:$Q$173, 'Expenditure Breakdown'!$W$6:$W$173, "&gt;="&amp;KA1,'Expenditure Breakdown'!$W$6:$W$173, "&lt;"&amp;KB1)</f>
        <v>0</v>
      </c>
      <c r="KB11" s="213">
        <f>SUMIFS('Expenditure Breakdown'!$Q$6:$Q$173, 'Expenditure Breakdown'!$W$6:$W$173, "&gt;="&amp;KB1,'Expenditure Breakdown'!$W$6:$W$173, "&lt;"&amp;KC1)</f>
        <v>0</v>
      </c>
      <c r="KC11" s="213">
        <f>SUMIFS('Expenditure Breakdown'!$Q$6:$Q$173, 'Expenditure Breakdown'!$W$6:$W$173, "&gt;="&amp;KC1,'Expenditure Breakdown'!$W$6:$W$173, "&lt;"&amp;KD1)</f>
        <v>0</v>
      </c>
      <c r="KD11" s="213">
        <f>SUMIFS('Expenditure Breakdown'!$Q$6:$Q$173, 'Expenditure Breakdown'!$W$6:$W$173, "&gt;="&amp;KD1,'Expenditure Breakdown'!$W$6:$W$173, "&lt;"&amp;KE1)</f>
        <v>0</v>
      </c>
      <c r="KE11" s="213">
        <f>SUMIFS('Expenditure Breakdown'!$Q$6:$Q$173, 'Expenditure Breakdown'!$W$6:$W$173, "&gt;="&amp;KE1,'Expenditure Breakdown'!$W$6:$W$173, "&lt;"&amp;KF1)</f>
        <v>0</v>
      </c>
      <c r="KF11" s="213">
        <f>SUMIFS('Expenditure Breakdown'!$Q$6:$Q$173, 'Expenditure Breakdown'!$W$6:$W$173, "&gt;="&amp;KF1,'Expenditure Breakdown'!$W$6:$W$173, "&lt;"&amp;KG1)</f>
        <v>0</v>
      </c>
      <c r="KG11" s="213">
        <f>SUMIFS('Expenditure Breakdown'!$Q$6:$Q$173, 'Expenditure Breakdown'!$W$6:$W$173, "&gt;="&amp;KG1,'Expenditure Breakdown'!$W$6:$W$173, "&lt;"&amp;KH1)</f>
        <v>0</v>
      </c>
      <c r="KH11" s="213">
        <f>SUMIFS('Expenditure Breakdown'!$Q$6:$Q$173, 'Expenditure Breakdown'!$W$6:$W$173, "&gt;="&amp;KH1,'Expenditure Breakdown'!$W$6:$W$173, "&lt;"&amp;KI1)</f>
        <v>0</v>
      </c>
      <c r="KI11" s="213">
        <f>SUMIFS('Expenditure Breakdown'!$Q$6:$Q$173, 'Expenditure Breakdown'!$W$6:$W$173, "&gt;="&amp;KI1,'Expenditure Breakdown'!$W$6:$W$173, "&lt;"&amp;KJ1)</f>
        <v>0</v>
      </c>
      <c r="KJ11" s="213">
        <f>SUMIFS('Expenditure Breakdown'!$Q$6:$Q$173, 'Expenditure Breakdown'!$W$6:$W$173, "&gt;="&amp;KJ1,'Expenditure Breakdown'!$W$6:$W$173, "&lt;"&amp;KK1)</f>
        <v>0</v>
      </c>
      <c r="KK11" s="213">
        <f>SUMIFS('Expenditure Breakdown'!$Q$6:$Q$173, 'Expenditure Breakdown'!$W$6:$W$173, "&gt;="&amp;KK1,'Expenditure Breakdown'!$W$6:$W$173, "&lt;"&amp;KL1)</f>
        <v>0</v>
      </c>
      <c r="KL11" s="213">
        <f>SUMIFS('Expenditure Breakdown'!$Q$6:$Q$173, 'Expenditure Breakdown'!$W$6:$W$173, "&gt;="&amp;KL1,'Expenditure Breakdown'!$W$6:$W$173, "&lt;"&amp;KM1)</f>
        <v>0</v>
      </c>
      <c r="KM11" s="213">
        <f>SUMIFS('Expenditure Breakdown'!$Q$6:$Q$173, 'Expenditure Breakdown'!$W$6:$W$173, "&gt;="&amp;KM1,'Expenditure Breakdown'!$W$6:$W$173, "&lt;"&amp;KN1)</f>
        <v>0</v>
      </c>
      <c r="KN11" s="213">
        <f>SUMIFS('Expenditure Breakdown'!$Q$6:$Q$173, 'Expenditure Breakdown'!$W$6:$W$173, "&gt;="&amp;KN1,'Expenditure Breakdown'!$W$6:$W$173, "&lt;"&amp;KO1)</f>
        <v>0</v>
      </c>
      <c r="KO11" s="213">
        <f>SUMIFS('Expenditure Breakdown'!$Q$6:$Q$173, 'Expenditure Breakdown'!$W$6:$W$173, "&gt;="&amp;KO1,'Expenditure Breakdown'!$W$6:$W$173, "&lt;"&amp;KP1)</f>
        <v>0</v>
      </c>
      <c r="KP11" s="213">
        <f>SUMIFS('Expenditure Breakdown'!$Q$6:$Q$173, 'Expenditure Breakdown'!$W$6:$W$173, "&gt;="&amp;KP1,'Expenditure Breakdown'!$W$6:$W$173, "&lt;"&amp;KQ1)</f>
        <v>0</v>
      </c>
      <c r="KQ11" s="213">
        <f>SUMIFS('Expenditure Breakdown'!$Q$6:$Q$173, 'Expenditure Breakdown'!$W$6:$W$173, "&gt;="&amp;KQ1,'Expenditure Breakdown'!$W$6:$W$173, "&lt;"&amp;KR1)</f>
        <v>0</v>
      </c>
      <c r="KR11" s="213">
        <f>SUMIFS('Expenditure Breakdown'!$Q$6:$Q$173, 'Expenditure Breakdown'!$W$6:$W$173, "&gt;="&amp;KR1,'Expenditure Breakdown'!$W$6:$W$173, "&lt;"&amp;KS1)</f>
        <v>0</v>
      </c>
      <c r="KS11" s="213">
        <f>SUMIFS('Expenditure Breakdown'!$Q$6:$Q$173, 'Expenditure Breakdown'!$W$6:$W$173, "&gt;="&amp;KS1,'Expenditure Breakdown'!$W$6:$W$173, "&lt;"&amp;KT1)</f>
        <v>0</v>
      </c>
      <c r="KT11" s="213">
        <f>SUMIFS('Expenditure Breakdown'!$Q$6:$Q$173, 'Expenditure Breakdown'!$W$6:$W$173, "&gt;="&amp;KT1,'Expenditure Breakdown'!$W$6:$W$173, "&lt;"&amp;KU1)</f>
        <v>0</v>
      </c>
      <c r="KU11" s="213">
        <f>SUMIFS('Expenditure Breakdown'!$Q$6:$Q$173, 'Expenditure Breakdown'!$W$6:$W$173, "&gt;="&amp;KU1,'Expenditure Breakdown'!$W$6:$W$173, "&lt;"&amp;KV1)</f>
        <v>0</v>
      </c>
      <c r="KV11" s="213">
        <f>SUMIFS('Expenditure Breakdown'!$Q$6:$Q$173, 'Expenditure Breakdown'!$W$6:$W$173, "&gt;="&amp;KV1,'Expenditure Breakdown'!$W$6:$W$173, "&lt;"&amp;KW1)</f>
        <v>0</v>
      </c>
      <c r="KW11" s="213">
        <f>SUMIFS('Expenditure Breakdown'!$Q$6:$Q$173, 'Expenditure Breakdown'!$W$6:$W$173, "&gt;="&amp;KW1,'Expenditure Breakdown'!$W$6:$W$173, "&lt;"&amp;KX1)</f>
        <v>0</v>
      </c>
      <c r="KX11" s="213">
        <f>SUMIFS('Expenditure Breakdown'!$Q$6:$Q$173, 'Expenditure Breakdown'!$W$6:$W$173, "&gt;="&amp;KX1,'Expenditure Breakdown'!$W$6:$W$173, "&lt;"&amp;KY1)</f>
        <v>0</v>
      </c>
      <c r="KY11" s="213">
        <f>SUMIFS('Expenditure Breakdown'!$Q$6:$Q$173, 'Expenditure Breakdown'!$W$6:$W$173, "&gt;="&amp;KY1,'Expenditure Breakdown'!$W$6:$W$173, "&lt;"&amp;KZ1)</f>
        <v>0</v>
      </c>
      <c r="KZ11" s="213">
        <f>SUMIFS('Expenditure Breakdown'!$Q$6:$Q$173, 'Expenditure Breakdown'!$W$6:$W$173, "&gt;="&amp;KZ1,'Expenditure Breakdown'!$W$6:$W$173, "&lt;"&amp;LA1)</f>
        <v>0</v>
      </c>
      <c r="LA11" s="213">
        <f>SUMIFS('Expenditure Breakdown'!$Q$6:$Q$173, 'Expenditure Breakdown'!$W$6:$W$173, "&gt;="&amp;LA1,'Expenditure Breakdown'!$W$6:$W$173, "&lt;"&amp;LB1)</f>
        <v>0</v>
      </c>
      <c r="LB11" s="213">
        <f>SUMIFS('Expenditure Breakdown'!$Q$6:$Q$173, 'Expenditure Breakdown'!$W$6:$W$173, "&gt;="&amp;LB1,'Expenditure Breakdown'!$W$6:$W$173, "&lt;"&amp;LC1)</f>
        <v>0</v>
      </c>
      <c r="LC11" s="213">
        <f>SUMIFS('Expenditure Breakdown'!$Q$6:$Q$173, 'Expenditure Breakdown'!$W$6:$W$173, "&gt;="&amp;LC1,'Expenditure Breakdown'!$W$6:$W$173, "&lt;"&amp;LD1)</f>
        <v>0</v>
      </c>
      <c r="LD11" s="213">
        <f>SUMIFS('Expenditure Breakdown'!$Q$6:$Q$173, 'Expenditure Breakdown'!$W$6:$W$173, "&gt;="&amp;LD1,'Expenditure Breakdown'!$W$6:$W$173, "&lt;"&amp;#REF!)</f>
        <v>0</v>
      </c>
      <c r="LE11" s="190"/>
      <c r="LF11" s="201"/>
      <c r="LG11" s="201"/>
    </row>
    <row r="12" spans="1:794" s="202" customFormat="1">
      <c r="A12" s="802"/>
      <c r="B12" s="211" t="s">
        <v>404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7022748.9349999996</v>
      </c>
      <c r="BI12" s="213">
        <f t="shared" si="26"/>
        <v>7022748.9349999996</v>
      </c>
      <c r="BJ12" s="213">
        <f t="shared" si="26"/>
        <v>7022748.9349999996</v>
      </c>
      <c r="BK12" s="213">
        <f t="shared" si="26"/>
        <v>7697891.5334999999</v>
      </c>
      <c r="BL12" s="213">
        <f t="shared" si="26"/>
        <v>7811187.4835000001</v>
      </c>
      <c r="BM12" s="213">
        <f t="shared" si="26"/>
        <v>7979961.4084999999</v>
      </c>
      <c r="BN12" s="213">
        <f t="shared" si="26"/>
        <v>7979961.4084999999</v>
      </c>
      <c r="BO12" s="213">
        <f t="shared" si="26"/>
        <v>7979961.4084999999</v>
      </c>
      <c r="BP12" s="213">
        <f t="shared" si="26"/>
        <v>8072543.8234999999</v>
      </c>
      <c r="BQ12" s="213">
        <f t="shared" si="26"/>
        <v>8075244.8234999999</v>
      </c>
      <c r="BR12" s="213">
        <f t="shared" si="26"/>
        <v>8075244.8234999999</v>
      </c>
      <c r="BS12" s="213">
        <f t="shared" si="26"/>
        <v>8075244.8234999999</v>
      </c>
      <c r="BT12" s="213">
        <f t="shared" si="26"/>
        <v>8075244.8234999999</v>
      </c>
      <c r="BU12" s="213">
        <f t="shared" ref="BU12:EF12" si="27">BT12+BU11</f>
        <v>8075244.8234999999</v>
      </c>
      <c r="BV12" s="213">
        <f t="shared" si="27"/>
        <v>8075244.8234999999</v>
      </c>
      <c r="BW12" s="213">
        <f t="shared" si="27"/>
        <v>8075244.8234999999</v>
      </c>
      <c r="BX12" s="213">
        <f t="shared" si="27"/>
        <v>8075244.8234999999</v>
      </c>
      <c r="BY12" s="213">
        <f t="shared" si="27"/>
        <v>8075244.8234999999</v>
      </c>
      <c r="BZ12" s="213">
        <f t="shared" si="27"/>
        <v>8075244.8234999999</v>
      </c>
      <c r="CA12" s="213">
        <f t="shared" si="27"/>
        <v>8075244.8234999999</v>
      </c>
      <c r="CB12" s="213">
        <f t="shared" si="27"/>
        <v>8075244.8234999999</v>
      </c>
      <c r="CC12" s="213">
        <f t="shared" si="27"/>
        <v>8075244.8234999999</v>
      </c>
      <c r="CD12" s="213">
        <f t="shared" si="27"/>
        <v>8075244.8234999999</v>
      </c>
      <c r="CE12" s="213">
        <f t="shared" si="27"/>
        <v>8075244.8234999999</v>
      </c>
      <c r="CF12" s="213">
        <f t="shared" si="27"/>
        <v>8075244.8234999999</v>
      </c>
      <c r="CG12" s="213">
        <f t="shared" si="27"/>
        <v>8075244.8234999999</v>
      </c>
      <c r="CH12" s="213">
        <f t="shared" si="27"/>
        <v>8075244.8234999999</v>
      </c>
      <c r="CI12" s="213">
        <f t="shared" si="27"/>
        <v>8075244.8234999999</v>
      </c>
      <c r="CJ12" s="213">
        <f t="shared" si="27"/>
        <v>8075244.8234999999</v>
      </c>
      <c r="CK12" s="213">
        <f t="shared" si="27"/>
        <v>8075244.8234999999</v>
      </c>
      <c r="CL12" s="213">
        <f t="shared" si="27"/>
        <v>8075244.8234999999</v>
      </c>
      <c r="CM12" s="213">
        <f t="shared" si="27"/>
        <v>8075244.8234999999</v>
      </c>
      <c r="CN12" s="213">
        <f t="shared" si="27"/>
        <v>8075244.8234999999</v>
      </c>
      <c r="CO12" s="213">
        <f t="shared" si="27"/>
        <v>8075244.8234999999</v>
      </c>
      <c r="CP12" s="213">
        <f t="shared" si="27"/>
        <v>8075244.8234999999</v>
      </c>
      <c r="CQ12" s="213">
        <f t="shared" si="27"/>
        <v>8075244.8234999999</v>
      </c>
      <c r="CR12" s="213">
        <f t="shared" si="27"/>
        <v>8075244.8234999999</v>
      </c>
      <c r="CS12" s="213">
        <f t="shared" si="27"/>
        <v>8075244.8234999999</v>
      </c>
      <c r="CT12" s="213">
        <f t="shared" si="27"/>
        <v>8075244.8234999999</v>
      </c>
      <c r="CU12" s="213">
        <f t="shared" si="27"/>
        <v>8075244.8234999999</v>
      </c>
      <c r="CV12" s="213">
        <f t="shared" si="27"/>
        <v>8075244.8234999999</v>
      </c>
      <c r="CW12" s="213">
        <f t="shared" si="27"/>
        <v>8075244.8234999999</v>
      </c>
      <c r="CX12" s="213">
        <f t="shared" si="27"/>
        <v>8075244.8234999999</v>
      </c>
      <c r="CY12" s="213">
        <f t="shared" si="27"/>
        <v>8075244.8234999999</v>
      </c>
      <c r="CZ12" s="213">
        <f t="shared" si="27"/>
        <v>8075244.8234999999</v>
      </c>
      <c r="DA12" s="213">
        <f t="shared" si="27"/>
        <v>8075244.8234999999</v>
      </c>
      <c r="DB12" s="213">
        <f t="shared" si="27"/>
        <v>8075244.8234999999</v>
      </c>
      <c r="DC12" s="213">
        <f t="shared" si="27"/>
        <v>8075244.8234999999</v>
      </c>
      <c r="DD12" s="213">
        <f t="shared" si="27"/>
        <v>8075244.8234999999</v>
      </c>
      <c r="DE12" s="213">
        <f t="shared" si="27"/>
        <v>8075244.8234999999</v>
      </c>
      <c r="DF12" s="213">
        <f t="shared" si="27"/>
        <v>8075244.8234999999</v>
      </c>
      <c r="DG12" s="213">
        <f t="shared" si="27"/>
        <v>8075244.8234999999</v>
      </c>
      <c r="DH12" s="213">
        <f t="shared" si="27"/>
        <v>8075244.8234999999</v>
      </c>
      <c r="DI12" s="213">
        <f t="shared" si="27"/>
        <v>8075244.8234999999</v>
      </c>
      <c r="DJ12" s="213">
        <f t="shared" si="27"/>
        <v>8075244.8234999999</v>
      </c>
      <c r="DK12" s="213">
        <f t="shared" si="27"/>
        <v>8075244.8234999999</v>
      </c>
      <c r="DL12" s="213">
        <f t="shared" si="27"/>
        <v>8075244.8234999999</v>
      </c>
      <c r="DM12" s="213">
        <f t="shared" si="27"/>
        <v>8075244.8234999999</v>
      </c>
      <c r="DN12" s="213">
        <f t="shared" si="27"/>
        <v>8075244.8234999999</v>
      </c>
      <c r="DO12" s="213">
        <f t="shared" si="27"/>
        <v>8075244.8234999999</v>
      </c>
      <c r="DP12" s="213">
        <f t="shared" si="27"/>
        <v>8075244.8234999999</v>
      </c>
      <c r="DQ12" s="213">
        <f t="shared" si="27"/>
        <v>8075244.8234999999</v>
      </c>
      <c r="DR12" s="213">
        <f t="shared" si="27"/>
        <v>8075244.8234999999</v>
      </c>
      <c r="DS12" s="213">
        <f t="shared" si="27"/>
        <v>8075244.8234999999</v>
      </c>
      <c r="DT12" s="213">
        <f t="shared" si="27"/>
        <v>8075244.8234999999</v>
      </c>
      <c r="DU12" s="213">
        <f t="shared" si="27"/>
        <v>8075244.8234999999</v>
      </c>
      <c r="DV12" s="213">
        <f t="shared" si="27"/>
        <v>8075244.8234999999</v>
      </c>
      <c r="DW12" s="213">
        <f t="shared" si="27"/>
        <v>8075244.8234999999</v>
      </c>
      <c r="DX12" s="213">
        <f t="shared" si="27"/>
        <v>8075244.8234999999</v>
      </c>
      <c r="DY12" s="213">
        <f t="shared" si="27"/>
        <v>8075244.8234999999</v>
      </c>
      <c r="DZ12" s="213">
        <f t="shared" si="27"/>
        <v>8075244.8234999999</v>
      </c>
      <c r="EA12" s="213">
        <f t="shared" si="27"/>
        <v>8075244.8234999999</v>
      </c>
      <c r="EB12" s="213">
        <f t="shared" si="27"/>
        <v>8075244.8234999999</v>
      </c>
      <c r="EC12" s="213">
        <f t="shared" si="27"/>
        <v>8075244.8234999999</v>
      </c>
      <c r="ED12" s="213">
        <f t="shared" si="27"/>
        <v>8075244.8234999999</v>
      </c>
      <c r="EE12" s="213">
        <f t="shared" si="27"/>
        <v>8075244.8234999999</v>
      </c>
      <c r="EF12" s="213">
        <f t="shared" si="27"/>
        <v>8075244.8234999999</v>
      </c>
      <c r="EG12" s="213">
        <f t="shared" ref="EG12:GR12" si="28">EF12+EG11</f>
        <v>8075244.8234999999</v>
      </c>
      <c r="EH12" s="213">
        <f t="shared" si="28"/>
        <v>8075244.8234999999</v>
      </c>
      <c r="EI12" s="213">
        <f t="shared" si="28"/>
        <v>8075244.8234999999</v>
      </c>
      <c r="EJ12" s="213">
        <f t="shared" si="28"/>
        <v>8075244.8234999999</v>
      </c>
      <c r="EK12" s="213">
        <f t="shared" si="28"/>
        <v>8075244.8234999999</v>
      </c>
      <c r="EL12" s="213">
        <f t="shared" si="28"/>
        <v>8075244.8234999999</v>
      </c>
      <c r="EM12" s="213">
        <f t="shared" si="28"/>
        <v>8075244.8234999999</v>
      </c>
      <c r="EN12" s="213">
        <f t="shared" si="28"/>
        <v>8075244.8234999999</v>
      </c>
      <c r="EO12" s="213">
        <f t="shared" si="28"/>
        <v>8075244.8234999999</v>
      </c>
      <c r="EP12" s="213">
        <f t="shared" si="28"/>
        <v>8075244.8234999999</v>
      </c>
      <c r="EQ12" s="213">
        <f t="shared" si="28"/>
        <v>8075244.8234999999</v>
      </c>
      <c r="ER12" s="213">
        <f t="shared" si="28"/>
        <v>8075244.8234999999</v>
      </c>
      <c r="ES12" s="213">
        <f t="shared" si="28"/>
        <v>8075244.8234999999</v>
      </c>
      <c r="ET12" s="213">
        <f t="shared" si="28"/>
        <v>8075244.8234999999</v>
      </c>
      <c r="EU12" s="213">
        <f t="shared" si="28"/>
        <v>8075244.8234999999</v>
      </c>
      <c r="EV12" s="213">
        <f t="shared" si="28"/>
        <v>8075244.8234999999</v>
      </c>
      <c r="EW12" s="213">
        <f t="shared" si="28"/>
        <v>8075244.8234999999</v>
      </c>
      <c r="EX12" s="213">
        <f t="shared" si="28"/>
        <v>8075244.8234999999</v>
      </c>
      <c r="EY12" s="213">
        <f t="shared" si="28"/>
        <v>8075244.8234999999</v>
      </c>
      <c r="EZ12" s="213">
        <f t="shared" si="28"/>
        <v>8075244.8234999999</v>
      </c>
      <c r="FA12" s="213">
        <f t="shared" si="28"/>
        <v>8075244.8234999999</v>
      </c>
      <c r="FB12" s="213">
        <f t="shared" si="28"/>
        <v>8075244.8234999999</v>
      </c>
      <c r="FC12" s="213">
        <f t="shared" si="28"/>
        <v>8075244.8234999999</v>
      </c>
      <c r="FD12" s="213">
        <f t="shared" si="28"/>
        <v>8075244.8234999999</v>
      </c>
      <c r="FE12" s="213">
        <f t="shared" si="28"/>
        <v>8075244.8234999999</v>
      </c>
      <c r="FF12" s="213">
        <f t="shared" si="28"/>
        <v>8075244.8234999999</v>
      </c>
      <c r="FG12" s="213">
        <f t="shared" si="28"/>
        <v>8075244.8234999999</v>
      </c>
      <c r="FH12" s="213">
        <f t="shared" si="28"/>
        <v>8075244.8234999999</v>
      </c>
      <c r="FI12" s="213">
        <f t="shared" si="28"/>
        <v>8075244.8234999999</v>
      </c>
      <c r="FJ12" s="213">
        <f t="shared" si="28"/>
        <v>8075244.8234999999</v>
      </c>
      <c r="FK12" s="213">
        <f t="shared" si="28"/>
        <v>8075244.8234999999</v>
      </c>
      <c r="FL12" s="213">
        <f t="shared" si="28"/>
        <v>8075244.8234999999</v>
      </c>
      <c r="FM12" s="213">
        <f t="shared" si="28"/>
        <v>8075244.8234999999</v>
      </c>
      <c r="FN12" s="213">
        <f t="shared" si="28"/>
        <v>8075244.8234999999</v>
      </c>
      <c r="FO12" s="213">
        <f t="shared" si="28"/>
        <v>8075244.8234999999</v>
      </c>
      <c r="FP12" s="213">
        <f t="shared" si="28"/>
        <v>8075244.8234999999</v>
      </c>
      <c r="FQ12" s="213">
        <f t="shared" si="28"/>
        <v>8075244.8234999999</v>
      </c>
      <c r="FR12" s="213">
        <f t="shared" si="28"/>
        <v>8075244.8234999999</v>
      </c>
      <c r="FS12" s="213">
        <f t="shared" si="28"/>
        <v>8075244.8234999999</v>
      </c>
      <c r="FT12" s="213">
        <f t="shared" si="28"/>
        <v>8075244.8234999999</v>
      </c>
      <c r="FU12" s="213">
        <f t="shared" si="28"/>
        <v>8075244.8234999999</v>
      </c>
      <c r="FV12" s="213">
        <f t="shared" si="28"/>
        <v>8075244.8234999999</v>
      </c>
      <c r="FW12" s="213">
        <f t="shared" si="28"/>
        <v>8075244.8234999999</v>
      </c>
      <c r="FX12" s="213">
        <f t="shared" si="28"/>
        <v>8075244.8234999999</v>
      </c>
      <c r="FY12" s="213">
        <f t="shared" si="28"/>
        <v>8075244.8234999999</v>
      </c>
      <c r="FZ12" s="213">
        <f t="shared" si="28"/>
        <v>8075244.8234999999</v>
      </c>
      <c r="GA12" s="213">
        <f t="shared" si="28"/>
        <v>8075244.8234999999</v>
      </c>
      <c r="GB12" s="213">
        <f t="shared" si="28"/>
        <v>8075244.8234999999</v>
      </c>
      <c r="GC12" s="213">
        <f t="shared" si="28"/>
        <v>8075244.8234999999</v>
      </c>
      <c r="GD12" s="213">
        <f t="shared" si="28"/>
        <v>8075244.8234999999</v>
      </c>
      <c r="GE12" s="213">
        <f t="shared" si="28"/>
        <v>8075244.8234999999</v>
      </c>
      <c r="GF12" s="213">
        <f t="shared" si="28"/>
        <v>8075244.8234999999</v>
      </c>
      <c r="GG12" s="213">
        <f t="shared" si="28"/>
        <v>8075244.8234999999</v>
      </c>
      <c r="GH12" s="213">
        <f t="shared" si="28"/>
        <v>8075244.8234999999</v>
      </c>
      <c r="GI12" s="213">
        <f t="shared" si="28"/>
        <v>8075244.8234999999</v>
      </c>
      <c r="GJ12" s="213">
        <f t="shared" si="28"/>
        <v>8075244.8234999999</v>
      </c>
      <c r="GK12" s="213">
        <f t="shared" si="28"/>
        <v>8075244.8234999999</v>
      </c>
      <c r="GL12" s="213">
        <f t="shared" si="28"/>
        <v>8075244.8234999999</v>
      </c>
      <c r="GM12" s="213">
        <f t="shared" si="28"/>
        <v>8075244.8234999999</v>
      </c>
      <c r="GN12" s="213">
        <f t="shared" si="28"/>
        <v>8075244.8234999999</v>
      </c>
      <c r="GO12" s="213">
        <f t="shared" si="28"/>
        <v>8075244.8234999999</v>
      </c>
      <c r="GP12" s="213">
        <f t="shared" si="28"/>
        <v>8075244.8234999999</v>
      </c>
      <c r="GQ12" s="213">
        <f t="shared" si="28"/>
        <v>8075244.8234999999</v>
      </c>
      <c r="GR12" s="213">
        <f t="shared" si="28"/>
        <v>8075244.8234999999</v>
      </c>
      <c r="GS12" s="213">
        <f t="shared" ref="GS12:JD12" si="29">GR12+GS11</f>
        <v>8075244.8234999999</v>
      </c>
      <c r="GT12" s="213">
        <f t="shared" si="29"/>
        <v>8075244.8234999999</v>
      </c>
      <c r="GU12" s="213">
        <f t="shared" si="29"/>
        <v>8075244.8234999999</v>
      </c>
      <c r="GV12" s="213">
        <f t="shared" si="29"/>
        <v>8075244.8234999999</v>
      </c>
      <c r="GW12" s="213">
        <f t="shared" si="29"/>
        <v>8075244.8234999999</v>
      </c>
      <c r="GX12" s="213">
        <f t="shared" si="29"/>
        <v>8075244.8234999999</v>
      </c>
      <c r="GY12" s="213">
        <f t="shared" si="29"/>
        <v>8075244.8234999999</v>
      </c>
      <c r="GZ12" s="213">
        <f t="shared" si="29"/>
        <v>8075244.8234999999</v>
      </c>
      <c r="HA12" s="213">
        <f t="shared" si="29"/>
        <v>8075244.8234999999</v>
      </c>
      <c r="HB12" s="213">
        <f t="shared" si="29"/>
        <v>8075244.8234999999</v>
      </c>
      <c r="HC12" s="213">
        <f t="shared" si="29"/>
        <v>8075244.8234999999</v>
      </c>
      <c r="HD12" s="213">
        <f t="shared" si="29"/>
        <v>8075244.8234999999</v>
      </c>
      <c r="HE12" s="213">
        <f t="shared" si="29"/>
        <v>8075244.8234999999</v>
      </c>
      <c r="HF12" s="213">
        <f t="shared" si="29"/>
        <v>8075244.8234999999</v>
      </c>
      <c r="HG12" s="213">
        <f t="shared" si="29"/>
        <v>8075244.8234999999</v>
      </c>
      <c r="HH12" s="213">
        <f t="shared" si="29"/>
        <v>8075244.8234999999</v>
      </c>
      <c r="HI12" s="213">
        <f t="shared" si="29"/>
        <v>8075244.8234999999</v>
      </c>
      <c r="HJ12" s="213">
        <f t="shared" si="29"/>
        <v>8075244.8234999999</v>
      </c>
      <c r="HK12" s="213">
        <f t="shared" si="29"/>
        <v>8075244.8234999999</v>
      </c>
      <c r="HL12" s="213">
        <f t="shared" si="29"/>
        <v>8075244.8234999999</v>
      </c>
      <c r="HM12" s="213">
        <f t="shared" si="29"/>
        <v>8075244.8234999999</v>
      </c>
      <c r="HN12" s="213">
        <f t="shared" si="29"/>
        <v>8075244.8234999999</v>
      </c>
      <c r="HO12" s="213">
        <f t="shared" si="29"/>
        <v>8075244.8234999999</v>
      </c>
      <c r="HP12" s="213">
        <f t="shared" si="29"/>
        <v>8075244.8234999999</v>
      </c>
      <c r="HQ12" s="213">
        <f t="shared" si="29"/>
        <v>8075244.8234999999</v>
      </c>
      <c r="HR12" s="213">
        <f t="shared" si="29"/>
        <v>8075244.8234999999</v>
      </c>
      <c r="HS12" s="213">
        <f t="shared" si="29"/>
        <v>8075244.8234999999</v>
      </c>
      <c r="HT12" s="213">
        <f t="shared" si="29"/>
        <v>8075244.8234999999</v>
      </c>
      <c r="HU12" s="213">
        <f t="shared" si="29"/>
        <v>8075244.8234999999</v>
      </c>
      <c r="HV12" s="213">
        <f t="shared" si="29"/>
        <v>8075244.8234999999</v>
      </c>
      <c r="HW12" s="213">
        <f t="shared" si="29"/>
        <v>8075244.8234999999</v>
      </c>
      <c r="HX12" s="213">
        <f t="shared" si="29"/>
        <v>8075244.8234999999</v>
      </c>
      <c r="HY12" s="213">
        <f t="shared" si="29"/>
        <v>8075244.8234999999</v>
      </c>
      <c r="HZ12" s="213">
        <f t="shared" si="29"/>
        <v>8075244.8234999999</v>
      </c>
      <c r="IA12" s="213">
        <f t="shared" si="29"/>
        <v>8075244.8234999999</v>
      </c>
      <c r="IB12" s="213">
        <f t="shared" si="29"/>
        <v>8075244.8234999999</v>
      </c>
      <c r="IC12" s="213">
        <f t="shared" si="29"/>
        <v>8075244.8234999999</v>
      </c>
      <c r="ID12" s="213">
        <f t="shared" si="29"/>
        <v>8075244.8234999999</v>
      </c>
      <c r="IE12" s="213">
        <f t="shared" si="29"/>
        <v>8075244.8234999999</v>
      </c>
      <c r="IF12" s="213">
        <f t="shared" si="29"/>
        <v>8075244.8234999999</v>
      </c>
      <c r="IG12" s="213">
        <f t="shared" si="29"/>
        <v>8075244.8234999999</v>
      </c>
      <c r="IH12" s="213">
        <f t="shared" si="29"/>
        <v>8075244.8234999999</v>
      </c>
      <c r="II12" s="213">
        <f t="shared" si="29"/>
        <v>8075244.8234999999</v>
      </c>
      <c r="IJ12" s="213">
        <f t="shared" si="29"/>
        <v>8075244.8234999999</v>
      </c>
      <c r="IK12" s="213">
        <f t="shared" si="29"/>
        <v>8075244.8234999999</v>
      </c>
      <c r="IL12" s="213">
        <f t="shared" si="29"/>
        <v>8075244.8234999999</v>
      </c>
      <c r="IM12" s="213">
        <f t="shared" si="29"/>
        <v>8075244.8234999999</v>
      </c>
      <c r="IN12" s="213">
        <f t="shared" si="29"/>
        <v>8075244.8234999999</v>
      </c>
      <c r="IO12" s="213">
        <f t="shared" si="29"/>
        <v>8075244.8234999999</v>
      </c>
      <c r="IP12" s="213">
        <f t="shared" si="29"/>
        <v>8075244.8234999999</v>
      </c>
      <c r="IQ12" s="213">
        <f t="shared" si="29"/>
        <v>8075244.8234999999</v>
      </c>
      <c r="IR12" s="213">
        <f t="shared" si="29"/>
        <v>8075244.8234999999</v>
      </c>
      <c r="IS12" s="213">
        <f t="shared" si="29"/>
        <v>8075244.8234999999</v>
      </c>
      <c r="IT12" s="213">
        <f t="shared" si="29"/>
        <v>8075244.8234999999</v>
      </c>
      <c r="IU12" s="213">
        <f t="shared" si="29"/>
        <v>8075244.8234999999</v>
      </c>
      <c r="IV12" s="213">
        <f t="shared" si="29"/>
        <v>8075244.8234999999</v>
      </c>
      <c r="IW12" s="213">
        <f t="shared" si="29"/>
        <v>8075244.8234999999</v>
      </c>
      <c r="IX12" s="213">
        <f t="shared" si="29"/>
        <v>8075244.8234999999</v>
      </c>
      <c r="IY12" s="213">
        <f t="shared" si="29"/>
        <v>8075244.8234999999</v>
      </c>
      <c r="IZ12" s="213">
        <f t="shared" si="29"/>
        <v>8075244.8234999999</v>
      </c>
      <c r="JA12" s="213">
        <f t="shared" si="29"/>
        <v>8075244.8234999999</v>
      </c>
      <c r="JB12" s="213">
        <f t="shared" si="29"/>
        <v>8075244.8234999999</v>
      </c>
      <c r="JC12" s="213">
        <f t="shared" si="29"/>
        <v>8075244.8234999999</v>
      </c>
      <c r="JD12" s="213">
        <f t="shared" si="29"/>
        <v>8075244.8234999999</v>
      </c>
      <c r="JE12" s="213">
        <f t="shared" ref="JE12:LD12" si="30">JD12+JE11</f>
        <v>8075244.8234999999</v>
      </c>
      <c r="JF12" s="213">
        <f t="shared" si="30"/>
        <v>8075244.8234999999</v>
      </c>
      <c r="JG12" s="213">
        <f t="shared" si="30"/>
        <v>8075244.8234999999</v>
      </c>
      <c r="JH12" s="213">
        <f t="shared" si="30"/>
        <v>8075244.8234999999</v>
      </c>
      <c r="JI12" s="213">
        <f t="shared" si="30"/>
        <v>8075244.8234999999</v>
      </c>
      <c r="JJ12" s="213">
        <f t="shared" si="30"/>
        <v>8075244.8234999999</v>
      </c>
      <c r="JK12" s="213">
        <f t="shared" si="30"/>
        <v>8075244.8234999999</v>
      </c>
      <c r="JL12" s="213">
        <f t="shared" si="30"/>
        <v>8075244.8234999999</v>
      </c>
      <c r="JM12" s="213">
        <f t="shared" si="30"/>
        <v>8075244.8234999999</v>
      </c>
      <c r="JN12" s="213">
        <f t="shared" si="30"/>
        <v>8075244.8234999999</v>
      </c>
      <c r="JO12" s="213">
        <f t="shared" si="30"/>
        <v>8075244.8234999999</v>
      </c>
      <c r="JP12" s="213">
        <f t="shared" si="30"/>
        <v>8075244.8234999999</v>
      </c>
      <c r="JQ12" s="213">
        <f t="shared" si="30"/>
        <v>8075244.8234999999</v>
      </c>
      <c r="JR12" s="213">
        <f t="shared" si="30"/>
        <v>8075244.8234999999</v>
      </c>
      <c r="JS12" s="213">
        <f t="shared" si="30"/>
        <v>8075244.8234999999</v>
      </c>
      <c r="JT12" s="213">
        <f t="shared" si="30"/>
        <v>8075244.8234999999</v>
      </c>
      <c r="JU12" s="213">
        <f t="shared" si="30"/>
        <v>8075244.8234999999</v>
      </c>
      <c r="JV12" s="213">
        <f t="shared" si="30"/>
        <v>8075244.8234999999</v>
      </c>
      <c r="JW12" s="213">
        <f t="shared" si="30"/>
        <v>8075244.8234999999</v>
      </c>
      <c r="JX12" s="213">
        <f t="shared" si="30"/>
        <v>8075244.8234999999</v>
      </c>
      <c r="JY12" s="213">
        <f t="shared" si="30"/>
        <v>8075244.8234999999</v>
      </c>
      <c r="JZ12" s="213">
        <f t="shared" si="30"/>
        <v>8075244.8234999999</v>
      </c>
      <c r="KA12" s="213">
        <f t="shared" si="30"/>
        <v>8075244.8234999999</v>
      </c>
      <c r="KB12" s="213">
        <f t="shared" si="30"/>
        <v>8075244.8234999999</v>
      </c>
      <c r="KC12" s="213">
        <f t="shared" si="30"/>
        <v>8075244.8234999999</v>
      </c>
      <c r="KD12" s="213">
        <f t="shared" si="30"/>
        <v>8075244.8234999999</v>
      </c>
      <c r="KE12" s="213">
        <f t="shared" si="30"/>
        <v>8075244.8234999999</v>
      </c>
      <c r="KF12" s="213">
        <f t="shared" si="30"/>
        <v>8075244.8234999999</v>
      </c>
      <c r="KG12" s="213">
        <f t="shared" si="30"/>
        <v>8075244.8234999999</v>
      </c>
      <c r="KH12" s="213">
        <f t="shared" si="30"/>
        <v>8075244.8234999999</v>
      </c>
      <c r="KI12" s="213">
        <f t="shared" si="30"/>
        <v>8075244.8234999999</v>
      </c>
      <c r="KJ12" s="213">
        <f t="shared" si="30"/>
        <v>8075244.8234999999</v>
      </c>
      <c r="KK12" s="213">
        <f t="shared" si="30"/>
        <v>8075244.8234999999</v>
      </c>
      <c r="KL12" s="213">
        <f t="shared" si="30"/>
        <v>8075244.8234999999</v>
      </c>
      <c r="KM12" s="213">
        <f t="shared" si="30"/>
        <v>8075244.8234999999</v>
      </c>
      <c r="KN12" s="213">
        <f t="shared" si="30"/>
        <v>8075244.8234999999</v>
      </c>
      <c r="KO12" s="213">
        <f t="shared" si="30"/>
        <v>8075244.8234999999</v>
      </c>
      <c r="KP12" s="213">
        <f t="shared" si="30"/>
        <v>8075244.8234999999</v>
      </c>
      <c r="KQ12" s="213">
        <f t="shared" si="30"/>
        <v>8075244.8234999999</v>
      </c>
      <c r="KR12" s="213">
        <f t="shared" si="30"/>
        <v>8075244.8234999999</v>
      </c>
      <c r="KS12" s="213">
        <f t="shared" si="30"/>
        <v>8075244.8234999999</v>
      </c>
      <c r="KT12" s="213">
        <f t="shared" si="30"/>
        <v>8075244.8234999999</v>
      </c>
      <c r="KU12" s="213">
        <f t="shared" si="30"/>
        <v>8075244.8234999999</v>
      </c>
      <c r="KV12" s="213">
        <f t="shared" si="30"/>
        <v>8075244.8234999999</v>
      </c>
      <c r="KW12" s="213">
        <f t="shared" si="30"/>
        <v>8075244.8234999999</v>
      </c>
      <c r="KX12" s="213">
        <f t="shared" si="30"/>
        <v>8075244.8234999999</v>
      </c>
      <c r="KY12" s="213">
        <f t="shared" si="30"/>
        <v>8075244.8234999999</v>
      </c>
      <c r="KZ12" s="213">
        <f t="shared" si="30"/>
        <v>8075244.8234999999</v>
      </c>
      <c r="LA12" s="213">
        <f t="shared" si="30"/>
        <v>8075244.8234999999</v>
      </c>
      <c r="LB12" s="213">
        <f t="shared" si="30"/>
        <v>8075244.8234999999</v>
      </c>
      <c r="LC12" s="213">
        <f t="shared" si="30"/>
        <v>8075244.8234999999</v>
      </c>
      <c r="LD12" s="213">
        <f t="shared" si="30"/>
        <v>8075244.8234999999</v>
      </c>
      <c r="LE12" s="190"/>
      <c r="LF12" s="201"/>
    </row>
    <row r="13" spans="1:794" s="190" customFormat="1">
      <c r="A13" s="80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3" t="s">
        <v>405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4599051.6866521733</v>
      </c>
      <c r="BI14" s="206">
        <f t="shared" si="32"/>
        <v>4599051.6866521733</v>
      </c>
      <c r="BJ14" s="206">
        <f t="shared" si="32"/>
        <v>4599051.6866521733</v>
      </c>
      <c r="BK14" s="206">
        <f t="shared" si="32"/>
        <v>3923909.088152173</v>
      </c>
      <c r="BL14" s="206">
        <f t="shared" si="32"/>
        <v>3810613.1381521728</v>
      </c>
      <c r="BM14" s="206">
        <f t="shared" si="32"/>
        <v>3641839.213152173</v>
      </c>
      <c r="BN14" s="206">
        <f t="shared" si="32"/>
        <v>3641839.213152173</v>
      </c>
      <c r="BO14" s="206">
        <f t="shared" si="32"/>
        <v>3641839.213152173</v>
      </c>
      <c r="BP14" s="206">
        <f t="shared" si="32"/>
        <v>3549256.7981521729</v>
      </c>
      <c r="BQ14" s="206">
        <f t="shared" si="32"/>
        <v>3546555.7981521729</v>
      </c>
      <c r="BR14" s="206">
        <f t="shared" si="32"/>
        <v>3546555.7981521729</v>
      </c>
      <c r="BS14" s="206">
        <f t="shared" si="32"/>
        <v>3546555.7981521729</v>
      </c>
      <c r="BT14" s="206">
        <f t="shared" si="32"/>
        <v>3546555.7981521729</v>
      </c>
      <c r="BU14" s="206">
        <f t="shared" ref="BU14:EF14" si="33">BU10-BU12</f>
        <v>3546555.7981521729</v>
      </c>
      <c r="BV14" s="206">
        <f t="shared" si="33"/>
        <v>3546555.7981521729</v>
      </c>
      <c r="BW14" s="206">
        <f t="shared" si="33"/>
        <v>3546555.7981521729</v>
      </c>
      <c r="BX14" s="206">
        <f t="shared" si="33"/>
        <v>3546555.7981521729</v>
      </c>
      <c r="BY14" s="206">
        <f t="shared" si="33"/>
        <v>3546555.7981521729</v>
      </c>
      <c r="BZ14" s="206">
        <f t="shared" si="33"/>
        <v>3546555.7981521729</v>
      </c>
      <c r="CA14" s="206">
        <f t="shared" si="33"/>
        <v>3546555.7981521729</v>
      </c>
      <c r="CB14" s="206">
        <f t="shared" si="33"/>
        <v>3546555.7981521729</v>
      </c>
      <c r="CC14" s="206">
        <f t="shared" si="33"/>
        <v>3546555.7981521729</v>
      </c>
      <c r="CD14" s="206">
        <f t="shared" si="33"/>
        <v>3546555.7981521729</v>
      </c>
      <c r="CE14" s="206">
        <f t="shared" si="33"/>
        <v>3546555.7981521729</v>
      </c>
      <c r="CF14" s="206">
        <f t="shared" si="33"/>
        <v>3546555.7981521729</v>
      </c>
      <c r="CG14" s="206">
        <f t="shared" si="33"/>
        <v>3546555.7981521729</v>
      </c>
      <c r="CH14" s="206">
        <f t="shared" si="33"/>
        <v>3546555.7981521729</v>
      </c>
      <c r="CI14" s="206">
        <f t="shared" si="33"/>
        <v>3546555.7981521729</v>
      </c>
      <c r="CJ14" s="206">
        <f t="shared" si="33"/>
        <v>3546555.7981521729</v>
      </c>
      <c r="CK14" s="206">
        <f t="shared" si="33"/>
        <v>3546555.7981521729</v>
      </c>
      <c r="CL14" s="206">
        <f t="shared" si="33"/>
        <v>3546555.7981521729</v>
      </c>
      <c r="CM14" s="206">
        <f t="shared" si="33"/>
        <v>3546555.7981521729</v>
      </c>
      <c r="CN14" s="206">
        <f t="shared" si="33"/>
        <v>3546555.7981521729</v>
      </c>
      <c r="CO14" s="206">
        <f t="shared" si="33"/>
        <v>3546555.7981521729</v>
      </c>
      <c r="CP14" s="206">
        <f t="shared" si="33"/>
        <v>3546555.7981521729</v>
      </c>
      <c r="CQ14" s="206">
        <f t="shared" si="33"/>
        <v>3546555.7981521729</v>
      </c>
      <c r="CR14" s="206">
        <f t="shared" si="33"/>
        <v>3546555.7981521729</v>
      </c>
      <c r="CS14" s="206">
        <f t="shared" si="33"/>
        <v>3546555.7981521729</v>
      </c>
      <c r="CT14" s="206">
        <f t="shared" si="33"/>
        <v>3546555.7981521729</v>
      </c>
      <c r="CU14" s="206">
        <f t="shared" si="33"/>
        <v>3546555.7981521729</v>
      </c>
      <c r="CV14" s="206">
        <f t="shared" si="33"/>
        <v>3546555.7981521729</v>
      </c>
      <c r="CW14" s="206">
        <f t="shared" si="33"/>
        <v>3546555.7981521729</v>
      </c>
      <c r="CX14" s="206">
        <f t="shared" si="33"/>
        <v>3546555.7981521729</v>
      </c>
      <c r="CY14" s="206">
        <f t="shared" si="33"/>
        <v>3546555.7981521729</v>
      </c>
      <c r="CZ14" s="206">
        <f t="shared" si="33"/>
        <v>3546555.7981521729</v>
      </c>
      <c r="DA14" s="206">
        <f t="shared" si="33"/>
        <v>3546555.7981521729</v>
      </c>
      <c r="DB14" s="206">
        <f t="shared" si="33"/>
        <v>3546555.7981521729</v>
      </c>
      <c r="DC14" s="206">
        <f t="shared" si="33"/>
        <v>3546555.7981521729</v>
      </c>
      <c r="DD14" s="206">
        <f t="shared" si="33"/>
        <v>3546555.7981521729</v>
      </c>
      <c r="DE14" s="206">
        <f t="shared" si="33"/>
        <v>3546555.7981521729</v>
      </c>
      <c r="DF14" s="206">
        <f t="shared" si="33"/>
        <v>3546555.7981521729</v>
      </c>
      <c r="DG14" s="206">
        <f t="shared" si="33"/>
        <v>3546555.7981521729</v>
      </c>
      <c r="DH14" s="206">
        <f t="shared" si="33"/>
        <v>3546555.7981521729</v>
      </c>
      <c r="DI14" s="206">
        <f t="shared" si="33"/>
        <v>3546555.7981521729</v>
      </c>
      <c r="DJ14" s="206">
        <f t="shared" si="33"/>
        <v>3546555.7981521729</v>
      </c>
      <c r="DK14" s="206">
        <f t="shared" si="33"/>
        <v>3546555.7981521729</v>
      </c>
      <c r="DL14" s="206">
        <f t="shared" si="33"/>
        <v>3546555.7981521729</v>
      </c>
      <c r="DM14" s="206">
        <f t="shared" si="33"/>
        <v>3546555.7981521729</v>
      </c>
      <c r="DN14" s="206">
        <f t="shared" si="33"/>
        <v>3546555.7981521729</v>
      </c>
      <c r="DO14" s="206">
        <f t="shared" si="33"/>
        <v>3546555.7981521729</v>
      </c>
      <c r="DP14" s="206">
        <f t="shared" si="33"/>
        <v>3546555.7981521729</v>
      </c>
      <c r="DQ14" s="206">
        <f t="shared" si="33"/>
        <v>3546555.7981521729</v>
      </c>
      <c r="DR14" s="206">
        <f t="shared" si="33"/>
        <v>3546555.7981521729</v>
      </c>
      <c r="DS14" s="206">
        <f t="shared" si="33"/>
        <v>3546555.7981521729</v>
      </c>
      <c r="DT14" s="206">
        <f t="shared" si="33"/>
        <v>3546555.7981521729</v>
      </c>
      <c r="DU14" s="206">
        <f t="shared" si="33"/>
        <v>3546555.7981521729</v>
      </c>
      <c r="DV14" s="206">
        <f t="shared" si="33"/>
        <v>3546555.7981521729</v>
      </c>
      <c r="DW14" s="206">
        <f t="shared" si="33"/>
        <v>3546555.7981521729</v>
      </c>
      <c r="DX14" s="206">
        <f t="shared" si="33"/>
        <v>3546555.7981521729</v>
      </c>
      <c r="DY14" s="206">
        <f t="shared" si="33"/>
        <v>3546555.7981521729</v>
      </c>
      <c r="DZ14" s="206">
        <f t="shared" si="33"/>
        <v>3546555.7981521729</v>
      </c>
      <c r="EA14" s="206">
        <f t="shared" si="33"/>
        <v>3546555.7981521729</v>
      </c>
      <c r="EB14" s="206">
        <f t="shared" si="33"/>
        <v>3546555.7981521729</v>
      </c>
      <c r="EC14" s="206">
        <f t="shared" si="33"/>
        <v>3546555.7981521729</v>
      </c>
      <c r="ED14" s="206">
        <f t="shared" si="33"/>
        <v>3546555.7981521729</v>
      </c>
      <c r="EE14" s="206">
        <f t="shared" si="33"/>
        <v>3546555.7981521729</v>
      </c>
      <c r="EF14" s="206">
        <f t="shared" si="33"/>
        <v>3546555.7981521729</v>
      </c>
      <c r="EG14" s="206">
        <f t="shared" ref="EG14:GR14" si="34">EG10-EG12</f>
        <v>3546555.7981521729</v>
      </c>
      <c r="EH14" s="206">
        <f t="shared" si="34"/>
        <v>3546555.7981521729</v>
      </c>
      <c r="EI14" s="206">
        <f t="shared" si="34"/>
        <v>3546555.7981521729</v>
      </c>
      <c r="EJ14" s="206">
        <f t="shared" si="34"/>
        <v>3546555.7981521729</v>
      </c>
      <c r="EK14" s="206">
        <f t="shared" si="34"/>
        <v>3546555.7981521729</v>
      </c>
      <c r="EL14" s="206">
        <f t="shared" si="34"/>
        <v>3546555.7981521729</v>
      </c>
      <c r="EM14" s="206">
        <f t="shared" si="34"/>
        <v>3546555.7981521729</v>
      </c>
      <c r="EN14" s="206">
        <f t="shared" si="34"/>
        <v>3546555.7981521729</v>
      </c>
      <c r="EO14" s="206">
        <f t="shared" si="34"/>
        <v>3546555.7981521729</v>
      </c>
      <c r="EP14" s="206">
        <f t="shared" si="34"/>
        <v>3546555.7981521729</v>
      </c>
      <c r="EQ14" s="206">
        <f t="shared" si="34"/>
        <v>3546555.7981521729</v>
      </c>
      <c r="ER14" s="206">
        <f t="shared" si="34"/>
        <v>3546555.7981521729</v>
      </c>
      <c r="ES14" s="206">
        <f t="shared" si="34"/>
        <v>3546555.7981521729</v>
      </c>
      <c r="ET14" s="206">
        <f t="shared" si="34"/>
        <v>3546555.7981521729</v>
      </c>
      <c r="EU14" s="206">
        <f t="shared" si="34"/>
        <v>3546555.7981521729</v>
      </c>
      <c r="EV14" s="206">
        <f t="shared" si="34"/>
        <v>3546555.7981521729</v>
      </c>
      <c r="EW14" s="206">
        <f t="shared" si="34"/>
        <v>3546555.7981521729</v>
      </c>
      <c r="EX14" s="206">
        <f t="shared" si="34"/>
        <v>3546555.7981521729</v>
      </c>
      <c r="EY14" s="206">
        <f t="shared" si="34"/>
        <v>3546555.7981521729</v>
      </c>
      <c r="EZ14" s="206">
        <f t="shared" si="34"/>
        <v>3546555.7981521729</v>
      </c>
      <c r="FA14" s="206">
        <f t="shared" si="34"/>
        <v>3546555.7981521729</v>
      </c>
      <c r="FB14" s="206">
        <f t="shared" si="34"/>
        <v>3546555.7981521729</v>
      </c>
      <c r="FC14" s="206">
        <f t="shared" si="34"/>
        <v>3546555.7981521729</v>
      </c>
      <c r="FD14" s="206">
        <f t="shared" si="34"/>
        <v>3546555.7981521729</v>
      </c>
      <c r="FE14" s="206">
        <f t="shared" si="34"/>
        <v>3546555.7981521729</v>
      </c>
      <c r="FF14" s="206">
        <f t="shared" si="34"/>
        <v>3546555.7981521729</v>
      </c>
      <c r="FG14" s="206">
        <f t="shared" si="34"/>
        <v>3546555.7981521729</v>
      </c>
      <c r="FH14" s="206">
        <f t="shared" si="34"/>
        <v>3546555.7981521729</v>
      </c>
      <c r="FI14" s="206">
        <f t="shared" si="34"/>
        <v>3546555.7981521729</v>
      </c>
      <c r="FJ14" s="206">
        <f t="shared" si="34"/>
        <v>3546555.7981521729</v>
      </c>
      <c r="FK14" s="206">
        <f t="shared" si="34"/>
        <v>3546555.7981521729</v>
      </c>
      <c r="FL14" s="206">
        <f t="shared" si="34"/>
        <v>3546555.7981521729</v>
      </c>
      <c r="FM14" s="206">
        <f t="shared" si="34"/>
        <v>3546555.7981521729</v>
      </c>
      <c r="FN14" s="206">
        <f t="shared" si="34"/>
        <v>3546555.7981521729</v>
      </c>
      <c r="FO14" s="206">
        <f t="shared" si="34"/>
        <v>3546555.7981521729</v>
      </c>
      <c r="FP14" s="206">
        <f t="shared" si="34"/>
        <v>3546555.7981521729</v>
      </c>
      <c r="FQ14" s="206">
        <f t="shared" si="34"/>
        <v>3546555.7981521729</v>
      </c>
      <c r="FR14" s="206">
        <f t="shared" si="34"/>
        <v>3546555.7981521729</v>
      </c>
      <c r="FS14" s="206">
        <f t="shared" si="34"/>
        <v>3546555.7981521729</v>
      </c>
      <c r="FT14" s="206">
        <f t="shared" si="34"/>
        <v>3546555.7981521729</v>
      </c>
      <c r="FU14" s="206">
        <f t="shared" si="34"/>
        <v>3546555.7981521729</v>
      </c>
      <c r="FV14" s="206">
        <f t="shared" si="34"/>
        <v>3546555.7981521729</v>
      </c>
      <c r="FW14" s="206">
        <f t="shared" si="34"/>
        <v>3546555.7981521729</v>
      </c>
      <c r="FX14" s="206">
        <f t="shared" si="34"/>
        <v>3546555.7981521729</v>
      </c>
      <c r="FY14" s="206">
        <f t="shared" si="34"/>
        <v>3546555.7981521729</v>
      </c>
      <c r="FZ14" s="206">
        <f t="shared" si="34"/>
        <v>3546555.7981521729</v>
      </c>
      <c r="GA14" s="206">
        <f t="shared" si="34"/>
        <v>3546555.7981521729</v>
      </c>
      <c r="GB14" s="206">
        <f t="shared" si="34"/>
        <v>3546555.7981521729</v>
      </c>
      <c r="GC14" s="206">
        <f t="shared" si="34"/>
        <v>3546555.7981521729</v>
      </c>
      <c r="GD14" s="206">
        <f t="shared" si="34"/>
        <v>3546555.7981521729</v>
      </c>
      <c r="GE14" s="206">
        <f t="shared" si="34"/>
        <v>3546555.7981521729</v>
      </c>
      <c r="GF14" s="206">
        <f t="shared" si="34"/>
        <v>3546555.7981521729</v>
      </c>
      <c r="GG14" s="206">
        <f t="shared" si="34"/>
        <v>3546555.7981521729</v>
      </c>
      <c r="GH14" s="206">
        <f t="shared" si="34"/>
        <v>3546555.7981521729</v>
      </c>
      <c r="GI14" s="206">
        <f t="shared" si="34"/>
        <v>3546555.7981521729</v>
      </c>
      <c r="GJ14" s="206">
        <f t="shared" si="34"/>
        <v>3546555.7981521729</v>
      </c>
      <c r="GK14" s="206">
        <f t="shared" si="34"/>
        <v>3546555.7981521729</v>
      </c>
      <c r="GL14" s="206">
        <f t="shared" si="34"/>
        <v>3546555.7981521729</v>
      </c>
      <c r="GM14" s="206">
        <f t="shared" si="34"/>
        <v>3546555.7981521729</v>
      </c>
      <c r="GN14" s="206">
        <f t="shared" si="34"/>
        <v>3546555.7981521729</v>
      </c>
      <c r="GO14" s="206">
        <f t="shared" si="34"/>
        <v>3546555.7981521729</v>
      </c>
      <c r="GP14" s="206">
        <f t="shared" si="34"/>
        <v>3546555.7981521729</v>
      </c>
      <c r="GQ14" s="206">
        <f t="shared" si="34"/>
        <v>3546555.7981521729</v>
      </c>
      <c r="GR14" s="206">
        <f t="shared" si="34"/>
        <v>3546555.7981521729</v>
      </c>
      <c r="GS14" s="206">
        <f t="shared" ref="GS14:JD14" si="35">GS10-GS12</f>
        <v>3546555.7981521729</v>
      </c>
      <c r="GT14" s="206">
        <f t="shared" si="35"/>
        <v>3546555.7981521729</v>
      </c>
      <c r="GU14" s="206">
        <f t="shared" si="35"/>
        <v>3546555.7981521729</v>
      </c>
      <c r="GV14" s="206">
        <f t="shared" si="35"/>
        <v>3546555.7981521729</v>
      </c>
      <c r="GW14" s="206">
        <f t="shared" si="35"/>
        <v>3546555.7981521729</v>
      </c>
      <c r="GX14" s="206">
        <f t="shared" si="35"/>
        <v>3546555.7981521729</v>
      </c>
      <c r="GY14" s="206">
        <f t="shared" si="35"/>
        <v>3546555.7981521729</v>
      </c>
      <c r="GZ14" s="206">
        <f t="shared" si="35"/>
        <v>3546555.7981521729</v>
      </c>
      <c r="HA14" s="206">
        <f t="shared" si="35"/>
        <v>3546555.7981521729</v>
      </c>
      <c r="HB14" s="206">
        <f t="shared" si="35"/>
        <v>3546555.7981521729</v>
      </c>
      <c r="HC14" s="206">
        <f t="shared" si="35"/>
        <v>3546555.7981521729</v>
      </c>
      <c r="HD14" s="206">
        <f t="shared" si="35"/>
        <v>3546555.7981521729</v>
      </c>
      <c r="HE14" s="206">
        <f t="shared" si="35"/>
        <v>3546555.7981521729</v>
      </c>
      <c r="HF14" s="206">
        <f t="shared" si="35"/>
        <v>3546555.7981521729</v>
      </c>
      <c r="HG14" s="206">
        <f t="shared" si="35"/>
        <v>3546555.7981521729</v>
      </c>
      <c r="HH14" s="206">
        <f t="shared" si="35"/>
        <v>3546555.7981521729</v>
      </c>
      <c r="HI14" s="206">
        <f t="shared" si="35"/>
        <v>3546555.7981521729</v>
      </c>
      <c r="HJ14" s="206">
        <f t="shared" si="35"/>
        <v>3546555.7981521729</v>
      </c>
      <c r="HK14" s="206">
        <f t="shared" si="35"/>
        <v>3546555.7981521729</v>
      </c>
      <c r="HL14" s="206">
        <f t="shared" si="35"/>
        <v>3546555.7981521729</v>
      </c>
      <c r="HM14" s="206">
        <f t="shared" si="35"/>
        <v>3546555.7981521729</v>
      </c>
      <c r="HN14" s="206">
        <f t="shared" si="35"/>
        <v>3546555.7981521729</v>
      </c>
      <c r="HO14" s="206">
        <f t="shared" si="35"/>
        <v>3546555.7981521729</v>
      </c>
      <c r="HP14" s="206">
        <f t="shared" si="35"/>
        <v>3546555.7981521729</v>
      </c>
      <c r="HQ14" s="206">
        <f t="shared" si="35"/>
        <v>3546555.7981521729</v>
      </c>
      <c r="HR14" s="206">
        <f t="shared" si="35"/>
        <v>3546555.7981521729</v>
      </c>
      <c r="HS14" s="206">
        <f t="shared" si="35"/>
        <v>3546555.7981521729</v>
      </c>
      <c r="HT14" s="206">
        <f t="shared" si="35"/>
        <v>3546555.7981521729</v>
      </c>
      <c r="HU14" s="206">
        <f t="shared" si="35"/>
        <v>3546555.7981521729</v>
      </c>
      <c r="HV14" s="206">
        <f t="shared" si="35"/>
        <v>3546555.7981521729</v>
      </c>
      <c r="HW14" s="206">
        <f t="shared" si="35"/>
        <v>3546555.7981521729</v>
      </c>
      <c r="HX14" s="206">
        <f t="shared" si="35"/>
        <v>3546555.7981521729</v>
      </c>
      <c r="HY14" s="206">
        <f t="shared" si="35"/>
        <v>3546555.7981521729</v>
      </c>
      <c r="HZ14" s="206">
        <f t="shared" si="35"/>
        <v>3546555.7981521729</v>
      </c>
      <c r="IA14" s="206">
        <f t="shared" si="35"/>
        <v>3546555.7981521729</v>
      </c>
      <c r="IB14" s="206">
        <f t="shared" si="35"/>
        <v>3546555.7981521729</v>
      </c>
      <c r="IC14" s="206">
        <f t="shared" si="35"/>
        <v>3546555.7981521729</v>
      </c>
      <c r="ID14" s="206">
        <f t="shared" si="35"/>
        <v>3546555.7981521729</v>
      </c>
      <c r="IE14" s="206">
        <f t="shared" si="35"/>
        <v>3546555.7981521729</v>
      </c>
      <c r="IF14" s="206">
        <f t="shared" si="35"/>
        <v>3546555.7981521729</v>
      </c>
      <c r="IG14" s="206">
        <f t="shared" si="35"/>
        <v>3546555.7981521729</v>
      </c>
      <c r="IH14" s="206">
        <f t="shared" si="35"/>
        <v>3546555.7981521729</v>
      </c>
      <c r="II14" s="206">
        <f t="shared" si="35"/>
        <v>3546555.7981521729</v>
      </c>
      <c r="IJ14" s="206">
        <f t="shared" si="35"/>
        <v>3546555.7981521729</v>
      </c>
      <c r="IK14" s="206">
        <f t="shared" si="35"/>
        <v>3546555.7981521729</v>
      </c>
      <c r="IL14" s="206">
        <f t="shared" si="35"/>
        <v>3546555.7981521729</v>
      </c>
      <c r="IM14" s="206">
        <f t="shared" si="35"/>
        <v>3546555.7981521729</v>
      </c>
      <c r="IN14" s="206">
        <f t="shared" si="35"/>
        <v>3546555.7981521729</v>
      </c>
      <c r="IO14" s="206">
        <f t="shared" si="35"/>
        <v>3546555.7981521729</v>
      </c>
      <c r="IP14" s="206">
        <f t="shared" si="35"/>
        <v>3546555.7981521729</v>
      </c>
      <c r="IQ14" s="206">
        <f t="shared" si="35"/>
        <v>3546555.7981521729</v>
      </c>
      <c r="IR14" s="206">
        <f t="shared" si="35"/>
        <v>3546555.7981521729</v>
      </c>
      <c r="IS14" s="206">
        <f t="shared" si="35"/>
        <v>3546555.7981521729</v>
      </c>
      <c r="IT14" s="206">
        <f t="shared" si="35"/>
        <v>3546555.7981521729</v>
      </c>
      <c r="IU14" s="206">
        <f t="shared" si="35"/>
        <v>3546555.7981521729</v>
      </c>
      <c r="IV14" s="206">
        <f t="shared" si="35"/>
        <v>3546555.7981521729</v>
      </c>
      <c r="IW14" s="206">
        <f t="shared" si="35"/>
        <v>3546555.7981521729</v>
      </c>
      <c r="IX14" s="206">
        <f t="shared" si="35"/>
        <v>3546555.7981521729</v>
      </c>
      <c r="IY14" s="206">
        <f t="shared" si="35"/>
        <v>3546555.7981521729</v>
      </c>
      <c r="IZ14" s="206">
        <f t="shared" si="35"/>
        <v>3546555.7981521729</v>
      </c>
      <c r="JA14" s="206">
        <f t="shared" si="35"/>
        <v>3546555.7981521729</v>
      </c>
      <c r="JB14" s="206">
        <f t="shared" si="35"/>
        <v>3546555.7981521729</v>
      </c>
      <c r="JC14" s="206">
        <f t="shared" si="35"/>
        <v>3546555.7981521729</v>
      </c>
      <c r="JD14" s="206">
        <f t="shared" si="35"/>
        <v>3546555.7981521729</v>
      </c>
      <c r="JE14" s="206">
        <f t="shared" ref="JE14:LD14" si="36">JE10-JE12</f>
        <v>3546555.7981521729</v>
      </c>
      <c r="JF14" s="206">
        <f t="shared" si="36"/>
        <v>3546555.7981521729</v>
      </c>
      <c r="JG14" s="206">
        <f t="shared" si="36"/>
        <v>3546555.7981521729</v>
      </c>
      <c r="JH14" s="206">
        <f t="shared" si="36"/>
        <v>3546555.7981521729</v>
      </c>
      <c r="JI14" s="206">
        <f t="shared" si="36"/>
        <v>3546555.7981521729</v>
      </c>
      <c r="JJ14" s="206">
        <f t="shared" si="36"/>
        <v>3546555.7981521729</v>
      </c>
      <c r="JK14" s="206">
        <f t="shared" si="36"/>
        <v>3546555.7981521729</v>
      </c>
      <c r="JL14" s="206">
        <f t="shared" si="36"/>
        <v>3546555.7981521729</v>
      </c>
      <c r="JM14" s="206">
        <f t="shared" si="36"/>
        <v>3546555.7981521729</v>
      </c>
      <c r="JN14" s="206">
        <f t="shared" si="36"/>
        <v>3546555.7981521729</v>
      </c>
      <c r="JO14" s="206">
        <f t="shared" si="36"/>
        <v>3546555.7981521729</v>
      </c>
      <c r="JP14" s="206">
        <f t="shared" si="36"/>
        <v>3546555.7981521729</v>
      </c>
      <c r="JQ14" s="206">
        <f t="shared" si="36"/>
        <v>3546555.7981521729</v>
      </c>
      <c r="JR14" s="206">
        <f t="shared" si="36"/>
        <v>3546555.7981521729</v>
      </c>
      <c r="JS14" s="206">
        <f t="shared" si="36"/>
        <v>3546555.7981521729</v>
      </c>
      <c r="JT14" s="206">
        <f t="shared" si="36"/>
        <v>3546555.7981521729</v>
      </c>
      <c r="JU14" s="206">
        <f t="shared" si="36"/>
        <v>3546555.7981521729</v>
      </c>
      <c r="JV14" s="206">
        <f t="shared" si="36"/>
        <v>3546555.7981521729</v>
      </c>
      <c r="JW14" s="206">
        <f t="shared" si="36"/>
        <v>3546555.7981521729</v>
      </c>
      <c r="JX14" s="206">
        <f t="shared" si="36"/>
        <v>3546555.7981521729</v>
      </c>
      <c r="JY14" s="206">
        <f t="shared" si="36"/>
        <v>3546555.7981521729</v>
      </c>
      <c r="JZ14" s="206">
        <f t="shared" si="36"/>
        <v>3546555.7981521729</v>
      </c>
      <c r="KA14" s="206">
        <f t="shared" si="36"/>
        <v>3546555.7981521729</v>
      </c>
      <c r="KB14" s="206">
        <f t="shared" si="36"/>
        <v>3546555.7981521729</v>
      </c>
      <c r="KC14" s="206">
        <f t="shared" si="36"/>
        <v>3546555.7981521729</v>
      </c>
      <c r="KD14" s="206">
        <f t="shared" si="36"/>
        <v>3546555.7981521729</v>
      </c>
      <c r="KE14" s="206">
        <f t="shared" si="36"/>
        <v>3546555.7981521729</v>
      </c>
      <c r="KF14" s="206">
        <f t="shared" si="36"/>
        <v>3546555.7981521729</v>
      </c>
      <c r="KG14" s="206">
        <f t="shared" si="36"/>
        <v>3546555.7981521729</v>
      </c>
      <c r="KH14" s="206">
        <f t="shared" si="36"/>
        <v>3546555.7981521729</v>
      </c>
      <c r="KI14" s="206">
        <f t="shared" si="36"/>
        <v>3546555.7981521729</v>
      </c>
      <c r="KJ14" s="206">
        <f t="shared" si="36"/>
        <v>3546555.7981521729</v>
      </c>
      <c r="KK14" s="206">
        <f t="shared" si="36"/>
        <v>3546555.7981521729</v>
      </c>
      <c r="KL14" s="206">
        <f t="shared" si="36"/>
        <v>3546555.7981521729</v>
      </c>
      <c r="KM14" s="206">
        <f t="shared" si="36"/>
        <v>3546555.7981521729</v>
      </c>
      <c r="KN14" s="206">
        <f t="shared" si="36"/>
        <v>3546555.7981521729</v>
      </c>
      <c r="KO14" s="206">
        <f t="shared" si="36"/>
        <v>3546555.7981521729</v>
      </c>
      <c r="KP14" s="206">
        <f t="shared" si="36"/>
        <v>3546555.7981521729</v>
      </c>
      <c r="KQ14" s="206">
        <f t="shared" si="36"/>
        <v>3546555.7981521729</v>
      </c>
      <c r="KR14" s="206">
        <f t="shared" si="36"/>
        <v>3546555.7981521729</v>
      </c>
      <c r="KS14" s="206">
        <f t="shared" si="36"/>
        <v>3546555.7981521729</v>
      </c>
      <c r="KT14" s="206">
        <f t="shared" si="36"/>
        <v>3546555.7981521729</v>
      </c>
      <c r="KU14" s="206">
        <f t="shared" si="36"/>
        <v>3546555.7981521729</v>
      </c>
      <c r="KV14" s="206">
        <f t="shared" si="36"/>
        <v>3546555.7981521729</v>
      </c>
      <c r="KW14" s="206">
        <f t="shared" si="36"/>
        <v>3546555.7981521729</v>
      </c>
      <c r="KX14" s="206">
        <f t="shared" si="36"/>
        <v>3546555.7981521729</v>
      </c>
      <c r="KY14" s="206">
        <f t="shared" si="36"/>
        <v>3546555.7981521729</v>
      </c>
      <c r="KZ14" s="206">
        <f t="shared" si="36"/>
        <v>3546555.7981521729</v>
      </c>
      <c r="LA14" s="206">
        <f t="shared" si="36"/>
        <v>3546555.7981521729</v>
      </c>
      <c r="LB14" s="206">
        <f t="shared" si="36"/>
        <v>3546555.7981521729</v>
      </c>
      <c r="LC14" s="206">
        <f t="shared" si="36"/>
        <v>3546555.7981521729</v>
      </c>
      <c r="LD14" s="206">
        <f t="shared" si="36"/>
        <v>3546555.7981521729</v>
      </c>
    </row>
    <row r="15" spans="1:794" s="190" customFormat="1"/>
    <row r="16" spans="1:794" s="190" customFormat="1">
      <c r="C16" s="192" t="s">
        <v>246</v>
      </c>
      <c r="D16" s="192" t="s">
        <v>246</v>
      </c>
    </row>
    <row r="17" spans="1:316">
      <c r="A17" s="803"/>
      <c r="B17" s="194" t="s">
        <v>406</v>
      </c>
      <c r="C17" s="374">
        <f>C3-D17</f>
        <v>-1992347.3502115337</v>
      </c>
      <c r="D17" s="195">
        <f>SUM(F17:LD17)</f>
        <v>8632645.2302115336</v>
      </c>
      <c r="E17" s="205"/>
      <c r="F17" s="213">
        <f>SUMIFS('Expenditure Breakdown'!$U$6:$U$173, 'Expenditure Breakdown'!$T$6:$T$173, "&gt;="&amp;F1,'Expenditure Breakdown'!$T$6:$T$173, "&lt;"&amp;G1)</f>
        <v>0</v>
      </c>
      <c r="G17" s="213">
        <f>SUMIFS('Expenditure Breakdown'!$U$6:$U$173, 'Expenditure Breakdown'!$T$6:$T$173, "&gt;="&amp;G1,'Expenditure Breakdown'!$T$6:$T$173, "&lt;"&amp;H1)</f>
        <v>0</v>
      </c>
      <c r="H17" s="213">
        <f>SUMIFS('Expenditure Breakdown'!$U$6:$U$173, 'Expenditure Breakdown'!$T$6:$T$173, "&gt;="&amp;H1,'Expenditure Breakdown'!$T$6:$T$173, "&lt;"&amp;I1)</f>
        <v>0</v>
      </c>
      <c r="I17" s="213">
        <f>SUMIFS('Expenditure Breakdown'!$U$6:$U$173, 'Expenditure Breakdown'!$T$6:$T$173, "&gt;="&amp;I1,'Expenditure Breakdown'!$T$6:$T$173, "&lt;"&amp;J1)</f>
        <v>0</v>
      </c>
      <c r="J17" s="213">
        <f>SUMIFS('Expenditure Breakdown'!$U$6:$U$173, 'Expenditure Breakdown'!$T$6:$T$173, "&gt;="&amp;J1,'Expenditure Breakdown'!$T$6:$T$173, "&lt;"&amp;K1)</f>
        <v>0</v>
      </c>
      <c r="K17" s="213">
        <f>SUMIFS('Expenditure Breakdown'!$U$6:$U$173, 'Expenditure Breakdown'!$T$6:$T$173, "&gt;="&amp;K1,'Expenditure Breakdown'!$T$6:$T$173, "&lt;"&amp;L1)</f>
        <v>0</v>
      </c>
      <c r="L17" s="213">
        <f>SUMIFS('Expenditure Breakdown'!$U$6:$U$173, 'Expenditure Breakdown'!$T$6:$T$173, "&gt;="&amp;L1,'Expenditure Breakdown'!$T$6:$T$173, "&lt;"&amp;M1)</f>
        <v>0</v>
      </c>
      <c r="M17" s="213">
        <f>SUMIFS('Expenditure Breakdown'!$U$6:$U$173, 'Expenditure Breakdown'!$T$6:$T$173, "&gt;="&amp;M1,'Expenditure Breakdown'!$T$6:$T$173, "&lt;"&amp;N1)</f>
        <v>0</v>
      </c>
      <c r="N17" s="213">
        <f>SUMIFS('Expenditure Breakdown'!$U$6:$U$173, 'Expenditure Breakdown'!$T$6:$T$173, "&gt;="&amp;N1,'Expenditure Breakdown'!$T$6:$T$173, "&lt;"&amp;O1)</f>
        <v>0</v>
      </c>
      <c r="O17" s="213">
        <f>SUMIFS('Expenditure Breakdown'!$U$6:$U$173, 'Expenditure Breakdown'!$T$6:$T$173, "&gt;="&amp;O1,'Expenditure Breakdown'!$T$6:$T$173, "&lt;"&amp;P1)</f>
        <v>0</v>
      </c>
      <c r="P17" s="213">
        <f>SUMIFS('Expenditure Breakdown'!$U$6:$U$173, 'Expenditure Breakdown'!$T$6:$T$173, "&gt;="&amp;P1,'Expenditure Breakdown'!$T$6:$T$173, "&lt;"&amp;Q1)</f>
        <v>0</v>
      </c>
      <c r="Q17" s="213">
        <f>SUMIFS('Expenditure Breakdown'!$U$6:$U$173, 'Expenditure Breakdown'!$T$6:$T$173, "&gt;="&amp;Q1,'Expenditure Breakdown'!$T$6:$T$173, "&lt;"&amp;R1)</f>
        <v>0</v>
      </c>
      <c r="R17" s="213">
        <f>SUMIFS('Expenditure Breakdown'!$U$6:$U$173, 'Expenditure Breakdown'!$T$6:$T$173, "&gt;="&amp;R1,'Expenditure Breakdown'!$T$6:$T$173, "&lt;"&amp;S1)</f>
        <v>0</v>
      </c>
      <c r="S17" s="213">
        <f>SUMIFS('Expenditure Breakdown'!$U$6:$U$173, 'Expenditure Breakdown'!$T$6:$T$173, "&gt;="&amp;S1,'Expenditure Breakdown'!$T$6:$T$173, "&lt;"&amp;T1)</f>
        <v>0</v>
      </c>
      <c r="T17" s="213">
        <f>SUMIFS('Expenditure Breakdown'!$U$6:$U$173, 'Expenditure Breakdown'!$T$6:$T$173, "&gt;="&amp;T1,'Expenditure Breakdown'!$T$6:$T$173, "&lt;"&amp;U1)</f>
        <v>17993.849051229146</v>
      </c>
      <c r="U17" s="213">
        <f>SUMIFS('Expenditure Breakdown'!$U$6:$U$173, 'Expenditure Breakdown'!$T$6:$T$173, "&gt;="&amp;U1,'Expenditure Breakdown'!$T$6:$T$173, "&lt;"&amp;V1)</f>
        <v>0</v>
      </c>
      <c r="V17" s="213">
        <f>SUMIFS('Expenditure Breakdown'!$U$6:$U$173, 'Expenditure Breakdown'!$T$6:$T$173, "&gt;="&amp;V1,'Expenditure Breakdown'!$T$6:$T$173, "&lt;"&amp;W1)</f>
        <v>0</v>
      </c>
      <c r="W17" s="213">
        <f>SUMIFS('Expenditure Breakdown'!$U$6:$U$173, 'Expenditure Breakdown'!$T$6:$T$173, "&gt;="&amp;W1,'Expenditure Breakdown'!$T$6:$T$173, "&lt;"&amp;X1)</f>
        <v>0</v>
      </c>
      <c r="X17" s="213">
        <f>SUMIFS('Expenditure Breakdown'!$U$6:$U$173, 'Expenditure Breakdown'!$T$6:$T$173, "&gt;="&amp;X1,'Expenditure Breakdown'!$T$6:$T$173, "&lt;"&amp;Y1)</f>
        <v>282.39405266859563</v>
      </c>
      <c r="Y17" s="213">
        <f>SUMIFS('Expenditure Breakdown'!$U$6:$U$173, 'Expenditure Breakdown'!$T$6:$T$173, "&gt;="&amp;Y1,'Expenditure Breakdown'!$T$6:$T$173, "&lt;"&amp;Z1)</f>
        <v>0</v>
      </c>
      <c r="Z17" s="213">
        <f>SUMIFS('Expenditure Breakdown'!$U$6:$U$173, 'Expenditure Breakdown'!$T$6:$T$173, "&gt;="&amp;Z1,'Expenditure Breakdown'!$T$6:$T$173, "&lt;"&amp;AA1)</f>
        <v>0</v>
      </c>
      <c r="AA17" s="213">
        <f>SUMIFS('Expenditure Breakdown'!$U$6:$U$173, 'Expenditure Breakdown'!$T$6:$T$173, "&gt;="&amp;AA1,'Expenditure Breakdown'!$T$6:$T$173, "&lt;"&amp;AB1)</f>
        <v>0</v>
      </c>
      <c r="AB17" s="213">
        <f>SUMIFS('Expenditure Breakdown'!$U$6:$U$173, 'Expenditure Breakdown'!$T$6:$T$173, "&gt;="&amp;AB1,'Expenditure Breakdown'!$T$6:$T$173, "&lt;"&amp;AC1)</f>
        <v>0</v>
      </c>
      <c r="AC17" s="213">
        <f>SUMIFS('Expenditure Breakdown'!$U$6:$U$173, 'Expenditure Breakdown'!$T$6:$T$173, "&gt;="&amp;AC1,'Expenditure Breakdown'!$T$6:$T$173, "&lt;"&amp;AD1)</f>
        <v>41886.51580509232</v>
      </c>
      <c r="AD17" s="213">
        <f>SUMIFS('Expenditure Breakdown'!$U$6:$U$173, 'Expenditure Breakdown'!$T$6:$T$173, "&gt;="&amp;AD1,'Expenditure Breakdown'!$T$6:$T$173, "&lt;"&amp;AE1)</f>
        <v>0</v>
      </c>
      <c r="AE17" s="213">
        <f>SUMIFS('Expenditure Breakdown'!$U$6:$U$173, 'Expenditure Breakdown'!$T$6:$T$173, "&gt;="&amp;AE1,'Expenditure Breakdown'!$T$6:$T$173, "&lt;"&amp;AF1)</f>
        <v>0</v>
      </c>
      <c r="AF17" s="213">
        <f>SUMIFS('Expenditure Breakdown'!$U$6:$U$173, 'Expenditure Breakdown'!$T$6:$T$173, "&gt;="&amp;AF1,'Expenditure Breakdown'!$T$6:$T$173, "&lt;"&amp;AG1)</f>
        <v>0</v>
      </c>
      <c r="AG17" s="213">
        <f>SUMIFS('Expenditure Breakdown'!$U$6:$U$173, 'Expenditure Breakdown'!$T$6:$T$173, "&gt;="&amp;AG1,'Expenditure Breakdown'!$T$6:$T$173, "&lt;"&amp;AH1)</f>
        <v>1995743.0490820454</v>
      </c>
      <c r="AH17" s="213">
        <f>SUMIFS('Expenditure Breakdown'!$U$6:$U$173, 'Expenditure Breakdown'!$T$6:$T$173, "&gt;="&amp;AH1,'Expenditure Breakdown'!$T$6:$T$173, "&lt;"&amp;AI1)</f>
        <v>0</v>
      </c>
      <c r="AI17" s="213">
        <f>SUMIFS('Expenditure Breakdown'!$U$6:$U$173, 'Expenditure Breakdown'!$T$6:$T$173, "&gt;="&amp;AI1,'Expenditure Breakdown'!$T$6:$T$173, "&lt;"&amp;AJ1)</f>
        <v>0</v>
      </c>
      <c r="AJ17" s="213">
        <f>SUMIFS('Expenditure Breakdown'!$U$6:$U$173, 'Expenditure Breakdown'!$T$6:$T$173, "&gt;="&amp;AJ1,'Expenditure Breakdown'!$T$6:$T$173, "&lt;"&amp;AK1)</f>
        <v>0</v>
      </c>
      <c r="AK17" s="213">
        <f>SUMIFS('Expenditure Breakdown'!$U$6:$U$173, 'Expenditure Breakdown'!$T$6:$T$173, "&gt;="&amp;AK1,'Expenditure Breakdown'!$T$6:$T$173, "&lt;"&amp;AL1)</f>
        <v>3789695.5979908202</v>
      </c>
      <c r="AL17" s="213">
        <f>SUMIFS('Expenditure Breakdown'!$U$6:$U$173, 'Expenditure Breakdown'!$T$6:$T$173, "&gt;="&amp;AL1,'Expenditure Breakdown'!$T$6:$T$173, "&lt;"&amp;AM1)</f>
        <v>0</v>
      </c>
      <c r="AM17" s="213">
        <f>SUMIFS('Expenditure Breakdown'!$U$6:$U$173, 'Expenditure Breakdown'!$T$6:$T$173, "&gt;="&amp;AM1,'Expenditure Breakdown'!$T$6:$T$173, "&lt;"&amp;AN1)</f>
        <v>0</v>
      </c>
      <c r="AN17" s="213">
        <f>SUMIFS('Expenditure Breakdown'!$U$6:$U$173, 'Expenditure Breakdown'!$T$6:$T$173, "&gt;="&amp;AN1,'Expenditure Breakdown'!$T$6:$T$173, "&lt;"&amp;AO1)</f>
        <v>0</v>
      </c>
      <c r="AO17" s="213">
        <f>SUMIFS('Expenditure Breakdown'!$U$6:$U$173, 'Expenditure Breakdown'!$T$6:$T$173, "&gt;="&amp;AO1,'Expenditure Breakdown'!$T$6:$T$173, "&lt;"&amp;AP1)</f>
        <v>0</v>
      </c>
      <c r="AP17" s="213">
        <f>SUMIFS('Expenditure Breakdown'!$U$6:$U$173, 'Expenditure Breakdown'!$T$6:$T$173, "&gt;="&amp;AP1,'Expenditure Breakdown'!$T$6:$T$173, "&lt;"&amp;AQ1)</f>
        <v>0</v>
      </c>
      <c r="AQ17" s="213">
        <f>SUMIFS('Expenditure Breakdown'!$U$6:$U$173, 'Expenditure Breakdown'!$T$6:$T$173, "&gt;="&amp;AQ1,'Expenditure Breakdown'!$T$6:$T$173, "&lt;"&amp;AR1)</f>
        <v>0</v>
      </c>
      <c r="AR17" s="213">
        <f>SUMIFS('Expenditure Breakdown'!$U$6:$U$173, 'Expenditure Breakdown'!$T$6:$T$173, "&gt;="&amp;AR1,'Expenditure Breakdown'!$T$6:$T$173, "&lt;"&amp;AS1)</f>
        <v>0</v>
      </c>
      <c r="AS17" s="213">
        <f>SUMIFS('Expenditure Breakdown'!$U$6:$U$173, 'Expenditure Breakdown'!$T$6:$T$173, "&gt;="&amp;AS1,'Expenditure Breakdown'!$T$6:$T$173, "&lt;"&amp;AT1)</f>
        <v>0</v>
      </c>
      <c r="AT17" s="213">
        <f>SUMIFS('Expenditure Breakdown'!$U$6:$U$173, 'Expenditure Breakdown'!$T$6:$T$173, "&gt;="&amp;AT1,'Expenditure Breakdown'!$T$6:$T$173, "&lt;"&amp;AU1)</f>
        <v>67010.231470210478</v>
      </c>
      <c r="AU17" s="213">
        <f>SUMIFS('Expenditure Breakdown'!$U$6:$U$173, 'Expenditure Breakdown'!$T$6:$T$173, "&gt;="&amp;AU1,'Expenditure Breakdown'!$T$6:$T$173, "&lt;"&amp;AV1)</f>
        <v>0</v>
      </c>
      <c r="AV17" s="213">
        <f>SUMIFS('Expenditure Breakdown'!$U$6:$U$173, 'Expenditure Breakdown'!$T$6:$T$173, "&gt;="&amp;AV1,'Expenditure Breakdown'!$T$6:$T$173, "&lt;"&amp;AW1)</f>
        <v>0</v>
      </c>
      <c r="AW17" s="213">
        <f>SUMIFS('Expenditure Breakdown'!$U$6:$U$173, 'Expenditure Breakdown'!$T$6:$T$173, "&gt;="&amp;AW1,'Expenditure Breakdown'!$T$6:$T$173, "&lt;"&amp;AX1)</f>
        <v>0</v>
      </c>
      <c r="AX17" s="213">
        <f>SUMIFS('Expenditure Breakdown'!$U$6:$U$173, 'Expenditure Breakdown'!$T$6:$T$173, "&gt;="&amp;AX1,'Expenditure Breakdown'!$T$6:$T$173, "&lt;"&amp;AY1)</f>
        <v>2094454.9227694813</v>
      </c>
      <c r="AY17" s="213">
        <f>SUMIFS('Expenditure Breakdown'!$U$6:$U$173, 'Expenditure Breakdown'!$T$6:$T$173, "&gt;="&amp;AY1,'Expenditure Breakdown'!$T$6:$T$173, "&lt;"&amp;AZ1)</f>
        <v>0</v>
      </c>
      <c r="AZ17" s="213">
        <f>SUMIFS('Expenditure Breakdown'!$U$6:$U$173, 'Expenditure Breakdown'!$T$6:$T$173, "&gt;="&amp;AZ1,'Expenditure Breakdown'!$T$6:$T$173, "&lt;"&amp;BA1)</f>
        <v>0</v>
      </c>
      <c r="BA17" s="213">
        <f>SUMIFS('Expenditure Breakdown'!$U$6:$U$173, 'Expenditure Breakdown'!$T$6:$T$173, "&gt;="&amp;BA1,'Expenditure Breakdown'!$T$6:$T$173, "&lt;"&amp;BB1)</f>
        <v>0</v>
      </c>
      <c r="BB17" s="213">
        <f>SUMIFS('Expenditure Breakdown'!$U$6:$U$173, 'Expenditure Breakdown'!$T$6:$T$173, "&gt;="&amp;BB1,'Expenditure Breakdown'!$T$6:$T$173, "&lt;"&amp;BC1)</f>
        <v>0</v>
      </c>
      <c r="BC17" s="213">
        <f>SUMIFS('Expenditure Breakdown'!$U$6:$U$173, 'Expenditure Breakdown'!$T$6:$T$173, "&gt;="&amp;BC1,'Expenditure Breakdown'!$T$6:$T$173, "&lt;"&amp;BD1)</f>
        <v>419.6221583868446</v>
      </c>
      <c r="BD17" s="213">
        <f>SUMIFS('Expenditure Breakdown'!$U$6:$U$173, 'Expenditure Breakdown'!$T$6:$T$173, "&gt;="&amp;BD1,'Expenditure Breakdown'!$T$6:$T$173, "&lt;"&amp;BE1)</f>
        <v>0</v>
      </c>
      <c r="BE17" s="213">
        <f>SUMIFS('Expenditure Breakdown'!$U$6:$U$173, 'Expenditure Breakdown'!$T$6:$T$173, "&gt;="&amp;BE1,'Expenditure Breakdown'!$T$6:$T$173, "&lt;"&amp;BF1)</f>
        <v>0</v>
      </c>
      <c r="BF17" s="213">
        <f>SUMIFS('Expenditure Breakdown'!$U$6:$U$173, 'Expenditure Breakdown'!$T$6:$T$173, "&gt;="&amp;BF1,'Expenditure Breakdown'!$T$6:$T$173, "&lt;"&amp;BG1)</f>
        <v>0</v>
      </c>
      <c r="BG17" s="213">
        <f>SUMIFS('Expenditure Breakdown'!$U$6:$U$173, 'Expenditure Breakdown'!$T$6:$T$173, "&gt;="&amp;BG1,'Expenditure Breakdown'!$T$6:$T$173, "&lt;"&amp;BH1)</f>
        <v>3847.5979177018603</v>
      </c>
      <c r="BH17" s="213">
        <f>SUMIFS('Expenditure Breakdown'!$U$6:$U$173, 'Expenditure Breakdown'!$T$6:$T$173, "&gt;="&amp;BH1,'Expenditure Breakdown'!$T$6:$T$173, "&lt;"&amp;BI1)</f>
        <v>0</v>
      </c>
      <c r="BI17" s="213">
        <f>SUMIFS('Expenditure Breakdown'!$U$6:$U$173, 'Expenditure Breakdown'!$T$6:$T$173, "&gt;="&amp;BI1,'Expenditure Breakdown'!$T$6:$T$173, "&lt;"&amp;BJ1)</f>
        <v>0</v>
      </c>
      <c r="BJ17" s="213">
        <f>SUMIFS('Expenditure Breakdown'!$U$6:$U$173, 'Expenditure Breakdown'!$T$6:$T$173, "&gt;="&amp;BJ1,'Expenditure Breakdown'!$T$6:$T$173, "&lt;"&amp;BK1)</f>
        <v>0</v>
      </c>
      <c r="BK17" s="213">
        <f>SUMIFS('Expenditure Breakdown'!$U$6:$U$173, 'Expenditure Breakdown'!$T$6:$T$173, "&gt;="&amp;BK1,'Expenditure Breakdown'!$T$6:$T$173, "&lt;"&amp;BL1)</f>
        <v>621311.44991389767</v>
      </c>
      <c r="BL17" s="213">
        <f>SUMIFS('Expenditure Breakdown'!$U$6:$U$173, 'Expenditure Breakdown'!$T$6:$T$173, "&gt;="&amp;BL1,'Expenditure Breakdown'!$T$6:$T$173, "&lt;"&amp;BM1)</f>
        <v>0</v>
      </c>
      <c r="BM17" s="213">
        <f>SUMIFS('Expenditure Breakdown'!$U$6:$U$173, 'Expenditure Breakdown'!$T$6:$T$173, "&gt;="&amp;BM1,'Expenditure Breakdown'!$T$6:$T$173, "&lt;"&amp;BN1)</f>
        <v>0</v>
      </c>
      <c r="BN17" s="213">
        <f>SUMIFS('Expenditure Breakdown'!$U$6:$U$173, 'Expenditure Breakdown'!$T$6:$T$173, "&gt;="&amp;BN1,'Expenditure Breakdown'!$T$6:$T$173, "&lt;"&amp;BO1)</f>
        <v>0</v>
      </c>
      <c r="BO17" s="213">
        <f>SUMIFS('Expenditure Breakdown'!$U$6:$U$173, 'Expenditure Breakdown'!$T$6:$T$173, "&gt;="&amp;BO1,'Expenditure Breakdown'!$T$6:$T$173, "&lt;"&amp;BP1)</f>
        <v>0</v>
      </c>
      <c r="BP17" s="213">
        <f>SUMIFS('Expenditure Breakdown'!$U$6:$U$173, 'Expenditure Breakdown'!$T$6:$T$173, "&gt;="&amp;BP1,'Expenditure Breakdown'!$T$6:$T$173, "&lt;"&amp;BQ1)</f>
        <v>0</v>
      </c>
      <c r="BQ17" s="213">
        <f>SUMIFS('Expenditure Breakdown'!$U$6:$U$173, 'Expenditure Breakdown'!$T$6:$T$173, "&gt;="&amp;BQ1,'Expenditure Breakdown'!$T$6:$T$173, "&lt;"&amp;BR1)</f>
        <v>0</v>
      </c>
      <c r="BR17" s="213">
        <f>SUMIFS('Expenditure Breakdown'!$U$6:$U$173, 'Expenditure Breakdown'!$T$6:$T$173, "&gt;="&amp;BR1,'Expenditure Breakdown'!$T$6:$T$173, "&lt;"&amp;BS1)</f>
        <v>0</v>
      </c>
      <c r="BS17" s="213">
        <f>SUMIFS('Expenditure Breakdown'!$U$6:$U$173, 'Expenditure Breakdown'!$T$6:$T$173, "&gt;="&amp;BS1,'Expenditure Breakdown'!$T$6:$T$173, "&lt;"&amp;BT1)</f>
        <v>0</v>
      </c>
      <c r="BT17" s="213">
        <f>SUMIFS('Expenditure Breakdown'!$U$6:$U$173, 'Expenditure Breakdown'!$T$6:$T$173, "&gt;="&amp;BT1,'Expenditure Breakdown'!$T$6:$T$173, "&lt;"&amp;BU1)</f>
        <v>0</v>
      </c>
      <c r="BU17" s="213">
        <f>SUMIFS('Expenditure Breakdown'!$U$6:$U$173, 'Expenditure Breakdown'!$T$6:$T$173, "&gt;="&amp;BU1,'Expenditure Breakdown'!$T$6:$T$173, "&lt;"&amp;BV1)</f>
        <v>0</v>
      </c>
      <c r="BV17" s="213">
        <f>SUMIFS('Expenditure Breakdown'!$U$6:$U$173, 'Expenditure Breakdown'!$T$6:$T$173, "&gt;="&amp;BV1,'Expenditure Breakdown'!$T$6:$T$173, "&lt;"&amp;BW1)</f>
        <v>0</v>
      </c>
      <c r="BW17" s="213">
        <f>SUMIFS('Expenditure Breakdown'!$U$6:$U$173, 'Expenditure Breakdown'!$T$6:$T$173, "&gt;="&amp;BW1,'Expenditure Breakdown'!$T$6:$T$173, "&lt;"&amp;BX1)</f>
        <v>0</v>
      </c>
      <c r="BX17" s="213">
        <f>SUMIFS('Expenditure Breakdown'!$U$6:$U$173, 'Expenditure Breakdown'!$T$6:$T$173, "&gt;="&amp;BX1,'Expenditure Breakdown'!$T$6:$T$173, "&lt;"&amp;BY1)</f>
        <v>0</v>
      </c>
      <c r="BY17" s="213">
        <f>SUMIFS('Expenditure Breakdown'!$U$6:$U$173, 'Expenditure Breakdown'!$T$6:$T$173, "&gt;="&amp;BY1,'Expenditure Breakdown'!$T$6:$T$173, "&lt;"&amp;BZ1)</f>
        <v>0</v>
      </c>
      <c r="BZ17" s="213">
        <f>SUMIFS('Expenditure Breakdown'!$U$6:$U$173, 'Expenditure Breakdown'!$T$6:$T$173, "&gt;="&amp;BZ1,'Expenditure Breakdown'!$T$6:$T$173, "&lt;"&amp;CA1)</f>
        <v>0</v>
      </c>
      <c r="CA17" s="213">
        <f>SUMIFS('Expenditure Breakdown'!$U$6:$U$173, 'Expenditure Breakdown'!$T$6:$T$173, "&gt;="&amp;CA1,'Expenditure Breakdown'!$T$6:$T$173, "&lt;"&amp;CB1)</f>
        <v>0</v>
      </c>
      <c r="CB17" s="213">
        <f>SUMIFS('Expenditure Breakdown'!$U$6:$U$173, 'Expenditure Breakdown'!$T$6:$T$173, "&gt;="&amp;CB1,'Expenditure Breakdown'!$T$6:$T$173, "&lt;"&amp;CC1)</f>
        <v>0</v>
      </c>
      <c r="CC17" s="213">
        <f>SUMIFS('Expenditure Breakdown'!$U$6:$U$173, 'Expenditure Breakdown'!$T$6:$T$173, "&gt;="&amp;CC1,'Expenditure Breakdown'!$T$6:$T$173, "&lt;"&amp;CD1)</f>
        <v>0</v>
      </c>
      <c r="CD17" s="213">
        <f>SUMIFS('Expenditure Breakdown'!$U$6:$U$173, 'Expenditure Breakdown'!$T$6:$T$173, "&gt;="&amp;CD1,'Expenditure Breakdown'!$T$6:$T$173, "&lt;"&amp;CE1)</f>
        <v>0</v>
      </c>
      <c r="CE17" s="213">
        <f>SUMIFS('Expenditure Breakdown'!$U$6:$U$173, 'Expenditure Breakdown'!$T$6:$T$173, "&gt;="&amp;CE1,'Expenditure Breakdown'!$T$6:$T$173, "&lt;"&amp;CF1)</f>
        <v>0</v>
      </c>
      <c r="CF17" s="213">
        <f>SUMIFS('Expenditure Breakdown'!$U$6:$U$173, 'Expenditure Breakdown'!$T$6:$T$173, "&gt;="&amp;CF1,'Expenditure Breakdown'!$T$6:$T$173, "&lt;"&amp;CG1)</f>
        <v>0</v>
      </c>
      <c r="CG17" s="213">
        <f>SUMIFS('Expenditure Breakdown'!$U$6:$U$173, 'Expenditure Breakdown'!$T$6:$T$173, "&gt;="&amp;CG1,'Expenditure Breakdown'!$T$6:$T$173, "&lt;"&amp;CH1)</f>
        <v>0</v>
      </c>
      <c r="CH17" s="213">
        <f>SUMIFS('Expenditure Breakdown'!$U$6:$U$173, 'Expenditure Breakdown'!$T$6:$T$173, "&gt;="&amp;CH1,'Expenditure Breakdown'!$T$6:$T$173, "&lt;"&amp;CI1)</f>
        <v>0</v>
      </c>
      <c r="CI17" s="213">
        <f>SUMIFS('Expenditure Breakdown'!$U$6:$U$173, 'Expenditure Breakdown'!$T$6:$T$173, "&gt;="&amp;CI1,'Expenditure Breakdown'!$T$6:$T$173, "&lt;"&amp;CJ1)</f>
        <v>0</v>
      </c>
      <c r="CJ17" s="213">
        <f>SUMIFS('Expenditure Breakdown'!$U$6:$U$173, 'Expenditure Breakdown'!$T$6:$T$173, "&gt;="&amp;CJ1,'Expenditure Breakdown'!$T$6:$T$173, "&lt;"&amp;CK1)</f>
        <v>0</v>
      </c>
      <c r="CK17" s="213">
        <f>SUMIFS('Expenditure Breakdown'!$U$6:$U$173, 'Expenditure Breakdown'!$T$6:$T$173, "&gt;="&amp;CK1,'Expenditure Breakdown'!$T$6:$T$173, "&lt;"&amp;CL1)</f>
        <v>0</v>
      </c>
      <c r="CL17" s="213">
        <f>SUMIFS('Expenditure Breakdown'!$U$6:$U$173, 'Expenditure Breakdown'!$T$6:$T$173, "&gt;="&amp;CL1,'Expenditure Breakdown'!$T$6:$T$173, "&lt;"&amp;CM1)</f>
        <v>0</v>
      </c>
      <c r="CM17" s="213">
        <f>SUMIFS('Expenditure Breakdown'!$U$6:$U$173, 'Expenditure Breakdown'!$T$6:$T$173, "&gt;="&amp;CM1,'Expenditure Breakdown'!$T$6:$T$173, "&lt;"&amp;CN1)</f>
        <v>0</v>
      </c>
      <c r="CN17" s="213">
        <f>SUMIFS('Expenditure Breakdown'!$U$6:$U$173, 'Expenditure Breakdown'!$T$6:$T$173, "&gt;="&amp;CN1,'Expenditure Breakdown'!$T$6:$T$173, "&lt;"&amp;CO1)</f>
        <v>0</v>
      </c>
      <c r="CO17" s="213">
        <f>SUMIFS('Expenditure Breakdown'!$U$6:$U$173, 'Expenditure Breakdown'!$T$6:$T$173, "&gt;="&amp;CO1,'Expenditure Breakdown'!$T$6:$T$173, "&lt;"&amp;CP1)</f>
        <v>0</v>
      </c>
      <c r="CP17" s="213">
        <f>SUMIFS('Expenditure Breakdown'!$U$6:$U$173, 'Expenditure Breakdown'!$T$6:$T$173, "&gt;="&amp;CP1,'Expenditure Breakdown'!$T$6:$T$173, "&lt;"&amp;CQ1)</f>
        <v>0</v>
      </c>
      <c r="CQ17" s="213">
        <f>SUMIFS('Expenditure Breakdown'!$U$6:$U$173, 'Expenditure Breakdown'!$T$6:$T$173, "&gt;="&amp;CQ1,'Expenditure Breakdown'!$T$6:$T$173, "&lt;"&amp;CR1)</f>
        <v>0</v>
      </c>
      <c r="CR17" s="213">
        <f>SUMIFS('Expenditure Breakdown'!$U$6:$U$173, 'Expenditure Breakdown'!$T$6:$T$173, "&gt;="&amp;CR1,'Expenditure Breakdown'!$T$6:$T$173, "&lt;"&amp;CS1)</f>
        <v>0</v>
      </c>
      <c r="CS17" s="213">
        <f>SUMIFS('Expenditure Breakdown'!$U$6:$U$173, 'Expenditure Breakdown'!$T$6:$T$173, "&gt;="&amp;CS1,'Expenditure Breakdown'!$T$6:$T$173, "&lt;"&amp;CT1)</f>
        <v>0</v>
      </c>
      <c r="CT17" s="213">
        <f>SUMIFS('Expenditure Breakdown'!$U$6:$U$173, 'Expenditure Breakdown'!$T$6:$T$173, "&gt;="&amp;CT1,'Expenditure Breakdown'!$T$6:$T$173, "&lt;"&amp;CU1)</f>
        <v>0</v>
      </c>
      <c r="CU17" s="213">
        <f>SUMIFS('Expenditure Breakdown'!$U$6:$U$173, 'Expenditure Breakdown'!$T$6:$T$173, "&gt;="&amp;CU1,'Expenditure Breakdown'!$T$6:$T$173, "&lt;"&amp;CV1)</f>
        <v>0</v>
      </c>
      <c r="CV17" s="213">
        <f>SUMIFS('Expenditure Breakdown'!$U$6:$U$173, 'Expenditure Breakdown'!$T$6:$T$173, "&gt;="&amp;CV1,'Expenditure Breakdown'!$T$6:$T$173, "&lt;"&amp;CW1)</f>
        <v>0</v>
      </c>
      <c r="CW17" s="213">
        <f>SUMIFS('Expenditure Breakdown'!$U$6:$U$173, 'Expenditure Breakdown'!$T$6:$T$173, "&gt;="&amp;CW1,'Expenditure Breakdown'!$T$6:$T$173, "&lt;"&amp;CX1)</f>
        <v>0</v>
      </c>
      <c r="CX17" s="213">
        <f>SUMIFS('Expenditure Breakdown'!$U$6:$U$173, 'Expenditure Breakdown'!$T$6:$T$173, "&gt;="&amp;CX1,'Expenditure Breakdown'!$T$6:$T$173, "&lt;"&amp;CY1)</f>
        <v>0</v>
      </c>
      <c r="CY17" s="213">
        <f>SUMIFS('Expenditure Breakdown'!$U$6:$U$173, 'Expenditure Breakdown'!$T$6:$T$173, "&gt;="&amp;CY1,'Expenditure Breakdown'!$T$6:$T$173, "&lt;"&amp;CZ1)</f>
        <v>0</v>
      </c>
      <c r="CZ17" s="213">
        <f>SUMIFS('Expenditure Breakdown'!$U$6:$U$173, 'Expenditure Breakdown'!$T$6:$T$173, "&gt;="&amp;CZ1,'Expenditure Breakdown'!$T$6:$T$173, "&lt;"&amp;DA1)</f>
        <v>0</v>
      </c>
      <c r="DA17" s="213">
        <f>SUMIFS('Expenditure Breakdown'!$U$6:$U$173, 'Expenditure Breakdown'!$T$6:$T$173, "&gt;="&amp;DA1,'Expenditure Breakdown'!$T$6:$T$173, "&lt;"&amp;DB1)</f>
        <v>0</v>
      </c>
      <c r="DB17" s="213">
        <f>SUMIFS('Expenditure Breakdown'!$U$6:$U$173, 'Expenditure Breakdown'!$T$6:$T$173, "&gt;="&amp;DB1,'Expenditure Breakdown'!$T$6:$T$173, "&lt;"&amp;DC1)</f>
        <v>0</v>
      </c>
      <c r="DC17" s="213">
        <f>SUMIFS('Expenditure Breakdown'!$U$6:$U$173, 'Expenditure Breakdown'!$T$6:$T$173, "&gt;="&amp;DC1,'Expenditure Breakdown'!$T$6:$T$173, "&lt;"&amp;DD1)</f>
        <v>0</v>
      </c>
      <c r="DD17" s="213">
        <f>SUMIFS('Expenditure Breakdown'!$U$6:$U$173, 'Expenditure Breakdown'!$T$6:$T$173, "&gt;="&amp;DD1,'Expenditure Breakdown'!$T$6:$T$173, "&lt;"&amp;DE1)</f>
        <v>0</v>
      </c>
      <c r="DE17" s="213">
        <f>SUMIFS('Expenditure Breakdown'!$U$6:$U$173, 'Expenditure Breakdown'!$T$6:$T$173, "&gt;="&amp;DE1,'Expenditure Breakdown'!$T$6:$T$173, "&lt;"&amp;DF1)</f>
        <v>0</v>
      </c>
      <c r="DF17" s="213">
        <f>SUMIFS('Expenditure Breakdown'!$U$6:$U$173, 'Expenditure Breakdown'!$T$6:$T$173, "&gt;="&amp;DF1,'Expenditure Breakdown'!$T$6:$T$173, "&lt;"&amp;DG1)</f>
        <v>0</v>
      </c>
      <c r="DG17" s="213">
        <f>SUMIFS('Expenditure Breakdown'!$U$6:$U$173, 'Expenditure Breakdown'!$T$6:$T$173, "&gt;="&amp;DG1,'Expenditure Breakdown'!$T$6:$T$173, "&lt;"&amp;DH1)</f>
        <v>0</v>
      </c>
      <c r="DH17" s="213">
        <f>SUMIFS('Expenditure Breakdown'!$U$6:$U$173, 'Expenditure Breakdown'!$T$6:$T$173, "&gt;="&amp;DH1,'Expenditure Breakdown'!$T$6:$T$173, "&lt;"&amp;DI1)</f>
        <v>0</v>
      </c>
      <c r="DI17" s="213">
        <f>SUMIFS('Expenditure Breakdown'!$U$6:$U$173, 'Expenditure Breakdown'!$T$6:$T$173, "&gt;="&amp;DI1,'Expenditure Breakdown'!$T$6:$T$173, "&lt;"&amp;DJ1)</f>
        <v>0</v>
      </c>
      <c r="DJ17" s="213">
        <f>SUMIFS('Expenditure Breakdown'!$U$6:$U$173, 'Expenditure Breakdown'!$T$6:$T$173, "&gt;="&amp;DJ1,'Expenditure Breakdown'!$T$6:$T$173, "&lt;"&amp;DK1)</f>
        <v>0</v>
      </c>
      <c r="DK17" s="213">
        <f>SUMIFS('Expenditure Breakdown'!$U$6:$U$173, 'Expenditure Breakdown'!$T$6:$T$173, "&gt;="&amp;DK1,'Expenditure Breakdown'!$T$6:$T$173, "&lt;"&amp;DL1)</f>
        <v>0</v>
      </c>
      <c r="DL17" s="213">
        <f>SUMIFS('Expenditure Breakdown'!$U$6:$U$173, 'Expenditure Breakdown'!$T$6:$T$173, "&gt;="&amp;DL1,'Expenditure Breakdown'!$T$6:$T$173, "&lt;"&amp;DM1)</f>
        <v>0</v>
      </c>
      <c r="DM17" s="213">
        <f>SUMIFS('Expenditure Breakdown'!$U$6:$U$173, 'Expenditure Breakdown'!$T$6:$T$173, "&gt;="&amp;DM1,'Expenditure Breakdown'!$T$6:$T$173, "&lt;"&amp;DN1)</f>
        <v>0</v>
      </c>
      <c r="DN17" s="213">
        <f>SUMIFS('Expenditure Breakdown'!$U$6:$U$173, 'Expenditure Breakdown'!$T$6:$T$173, "&gt;="&amp;DN1,'Expenditure Breakdown'!$T$6:$T$173, "&lt;"&amp;DO1)</f>
        <v>0</v>
      </c>
      <c r="DO17" s="213">
        <f>SUMIFS('Expenditure Breakdown'!$U$6:$U$173, 'Expenditure Breakdown'!$T$6:$T$173, "&gt;="&amp;DO1,'Expenditure Breakdown'!$T$6:$T$173, "&lt;"&amp;DP1)</f>
        <v>0</v>
      </c>
      <c r="DP17" s="213">
        <f>SUMIFS('Expenditure Breakdown'!$U$6:$U$173, 'Expenditure Breakdown'!$T$6:$T$173, "&gt;="&amp;DP1,'Expenditure Breakdown'!$T$6:$T$173, "&lt;"&amp;DQ1)</f>
        <v>0</v>
      </c>
      <c r="DQ17" s="213">
        <f>SUMIFS('Expenditure Breakdown'!$U$6:$U$173, 'Expenditure Breakdown'!$T$6:$T$173, "&gt;="&amp;DQ1,'Expenditure Breakdown'!$T$6:$T$173, "&lt;"&amp;DR1)</f>
        <v>0</v>
      </c>
      <c r="DR17" s="213">
        <f>SUMIFS('Expenditure Breakdown'!$U$6:$U$173, 'Expenditure Breakdown'!$T$6:$T$173, "&gt;="&amp;DR1,'Expenditure Breakdown'!$T$6:$T$173, "&lt;"&amp;DS1)</f>
        <v>0</v>
      </c>
      <c r="DS17" s="213">
        <f>SUMIFS('Expenditure Breakdown'!$U$6:$U$173, 'Expenditure Breakdown'!$T$6:$T$173, "&gt;="&amp;DS1,'Expenditure Breakdown'!$T$6:$T$173, "&lt;"&amp;DT1)</f>
        <v>0</v>
      </c>
      <c r="DT17" s="213">
        <f>SUMIFS('Expenditure Breakdown'!$U$6:$U$173, 'Expenditure Breakdown'!$T$6:$T$173, "&gt;="&amp;DT1,'Expenditure Breakdown'!$T$6:$T$173, "&lt;"&amp;DU1)</f>
        <v>0</v>
      </c>
      <c r="DU17" s="213">
        <f>SUMIFS('Expenditure Breakdown'!$U$6:$U$173, 'Expenditure Breakdown'!$T$6:$T$173, "&gt;="&amp;DU1,'Expenditure Breakdown'!$T$6:$T$173, "&lt;"&amp;DV1)</f>
        <v>0</v>
      </c>
      <c r="DV17" s="213">
        <f>SUMIFS('Expenditure Breakdown'!$U$6:$U$173, 'Expenditure Breakdown'!$T$6:$T$173, "&gt;="&amp;DV1,'Expenditure Breakdown'!$T$6:$T$173, "&lt;"&amp;DW1)</f>
        <v>0</v>
      </c>
      <c r="DW17" s="213">
        <f>SUMIFS('Expenditure Breakdown'!$U$6:$U$173, 'Expenditure Breakdown'!$T$6:$T$173, "&gt;="&amp;DW1,'Expenditure Breakdown'!$T$6:$T$173, "&lt;"&amp;DX1)</f>
        <v>0</v>
      </c>
      <c r="DX17" s="213">
        <f>SUMIFS('Expenditure Breakdown'!$U$6:$U$173, 'Expenditure Breakdown'!$T$6:$T$173, "&gt;="&amp;DX1,'Expenditure Breakdown'!$T$6:$T$173, "&lt;"&amp;DY1)</f>
        <v>0</v>
      </c>
      <c r="DY17" s="213">
        <f>SUMIFS('Expenditure Breakdown'!$U$6:$U$173, 'Expenditure Breakdown'!$T$6:$T$173, "&gt;="&amp;DY1,'Expenditure Breakdown'!$T$6:$T$173, "&lt;"&amp;DZ1)</f>
        <v>0</v>
      </c>
      <c r="DZ17" s="213">
        <f>SUMIFS('Expenditure Breakdown'!$U$6:$U$173, 'Expenditure Breakdown'!$T$6:$T$173, "&gt;="&amp;DZ1,'Expenditure Breakdown'!$T$6:$T$173, "&lt;"&amp;EA1)</f>
        <v>0</v>
      </c>
      <c r="EA17" s="213">
        <f>SUMIFS('Expenditure Breakdown'!$U$6:$U$173, 'Expenditure Breakdown'!$T$6:$T$173, "&gt;="&amp;EA1,'Expenditure Breakdown'!$T$6:$T$173, "&lt;"&amp;EB1)</f>
        <v>0</v>
      </c>
      <c r="EB17" s="213">
        <f>SUMIFS('Expenditure Breakdown'!$U$6:$U$173, 'Expenditure Breakdown'!$T$6:$T$173, "&gt;="&amp;EB1,'Expenditure Breakdown'!$T$6:$T$173, "&lt;"&amp;EC1)</f>
        <v>0</v>
      </c>
      <c r="EC17" s="213">
        <f>SUMIFS('Expenditure Breakdown'!$U$6:$U$173, 'Expenditure Breakdown'!$T$6:$T$173, "&gt;="&amp;EC1,'Expenditure Breakdown'!$T$6:$T$173, "&lt;"&amp;ED1)</f>
        <v>0</v>
      </c>
      <c r="ED17" s="213">
        <f>SUMIFS('Expenditure Breakdown'!$U$6:$U$173, 'Expenditure Breakdown'!$T$6:$T$173, "&gt;="&amp;ED1,'Expenditure Breakdown'!$T$6:$T$173, "&lt;"&amp;EE1)</f>
        <v>0</v>
      </c>
      <c r="EE17" s="213">
        <f>SUMIFS('Expenditure Breakdown'!$U$6:$U$173, 'Expenditure Breakdown'!$T$6:$T$173, "&gt;="&amp;EE1,'Expenditure Breakdown'!$T$6:$T$173, "&lt;"&amp;EF1)</f>
        <v>0</v>
      </c>
      <c r="EF17" s="213">
        <f>SUMIFS('Expenditure Breakdown'!$U$6:$U$173, 'Expenditure Breakdown'!$T$6:$T$173, "&gt;="&amp;EF1,'Expenditure Breakdown'!$T$6:$T$173, "&lt;"&amp;EG1)</f>
        <v>0</v>
      </c>
      <c r="EG17" s="213">
        <f>SUMIFS('Expenditure Breakdown'!$U$6:$U$173, 'Expenditure Breakdown'!$T$6:$T$173, "&gt;="&amp;EG1,'Expenditure Breakdown'!$T$6:$T$173, "&lt;"&amp;EH1)</f>
        <v>0</v>
      </c>
      <c r="EH17" s="213">
        <f>SUMIFS('Expenditure Breakdown'!$U$6:$U$173, 'Expenditure Breakdown'!$T$6:$T$173, "&gt;="&amp;EH1,'Expenditure Breakdown'!$T$6:$T$173, "&lt;"&amp;EI1)</f>
        <v>0</v>
      </c>
      <c r="EI17" s="213">
        <f>SUMIFS('Expenditure Breakdown'!$U$6:$U$173, 'Expenditure Breakdown'!$T$6:$T$173, "&gt;="&amp;EI1,'Expenditure Breakdown'!$T$6:$T$173, "&lt;"&amp;EJ1)</f>
        <v>0</v>
      </c>
      <c r="EJ17" s="213">
        <f>SUMIFS('Expenditure Breakdown'!$U$6:$U$173, 'Expenditure Breakdown'!$T$6:$T$173, "&gt;="&amp;EJ1,'Expenditure Breakdown'!$T$6:$T$173, "&lt;"&amp;EK1)</f>
        <v>0</v>
      </c>
      <c r="EK17" s="213">
        <f>SUMIFS('Expenditure Breakdown'!$U$6:$U$173, 'Expenditure Breakdown'!$T$6:$T$173, "&gt;="&amp;EK1,'Expenditure Breakdown'!$T$6:$T$173, "&lt;"&amp;EL1)</f>
        <v>0</v>
      </c>
      <c r="EL17" s="213">
        <f>SUMIFS('Expenditure Breakdown'!$U$6:$U$173, 'Expenditure Breakdown'!$T$6:$T$173, "&gt;="&amp;EL1,'Expenditure Breakdown'!$T$6:$T$173, "&lt;"&amp;EM1)</f>
        <v>0</v>
      </c>
      <c r="EM17" s="213">
        <f>SUMIFS('Expenditure Breakdown'!$U$6:$U$173, 'Expenditure Breakdown'!$T$6:$T$173, "&gt;="&amp;EM1,'Expenditure Breakdown'!$T$6:$T$173, "&lt;"&amp;EN1)</f>
        <v>0</v>
      </c>
      <c r="EN17" s="213">
        <f>SUMIFS('Expenditure Breakdown'!$U$6:$U$173, 'Expenditure Breakdown'!$T$6:$T$173, "&gt;="&amp;EN1,'Expenditure Breakdown'!$T$6:$T$173, "&lt;"&amp;EO1)</f>
        <v>0</v>
      </c>
      <c r="EO17" s="213">
        <f>SUMIFS('Expenditure Breakdown'!$U$6:$U$173, 'Expenditure Breakdown'!$T$6:$T$173, "&gt;="&amp;EO1,'Expenditure Breakdown'!$T$6:$T$173, "&lt;"&amp;EP1)</f>
        <v>0</v>
      </c>
      <c r="EP17" s="213">
        <f>SUMIFS('Expenditure Breakdown'!$U$6:$U$173, 'Expenditure Breakdown'!$T$6:$T$173, "&gt;="&amp;EP1,'Expenditure Breakdown'!$T$6:$T$173, "&lt;"&amp;EQ1)</f>
        <v>0</v>
      </c>
      <c r="EQ17" s="213">
        <f>SUMIFS('Expenditure Breakdown'!$U$6:$U$173, 'Expenditure Breakdown'!$T$6:$T$173, "&gt;="&amp;EQ1,'Expenditure Breakdown'!$T$6:$T$173, "&lt;"&amp;ER1)</f>
        <v>0</v>
      </c>
      <c r="ER17" s="213">
        <f>SUMIFS('Expenditure Breakdown'!$U$6:$U$173, 'Expenditure Breakdown'!$T$6:$T$173, "&gt;="&amp;ER1,'Expenditure Breakdown'!$T$6:$T$173, "&lt;"&amp;ES1)</f>
        <v>0</v>
      </c>
      <c r="ES17" s="213">
        <f>SUMIFS('Expenditure Breakdown'!$U$6:$U$173, 'Expenditure Breakdown'!$T$6:$T$173, "&gt;="&amp;ES1,'Expenditure Breakdown'!$T$6:$T$173, "&lt;"&amp;ET1)</f>
        <v>0</v>
      </c>
      <c r="ET17" s="213">
        <f>SUMIFS('Expenditure Breakdown'!$U$6:$U$173, 'Expenditure Breakdown'!$T$6:$T$173, "&gt;="&amp;ET1,'Expenditure Breakdown'!$T$6:$T$173, "&lt;"&amp;EU1)</f>
        <v>0</v>
      </c>
      <c r="EU17" s="213">
        <f>SUMIFS('Expenditure Breakdown'!$U$6:$U$173, 'Expenditure Breakdown'!$T$6:$T$173, "&gt;="&amp;EU1,'Expenditure Breakdown'!$T$6:$T$173, "&lt;"&amp;EV1)</f>
        <v>0</v>
      </c>
      <c r="EV17" s="213">
        <f>SUMIFS('Expenditure Breakdown'!$U$6:$U$173, 'Expenditure Breakdown'!$T$6:$T$173, "&gt;="&amp;EV1,'Expenditure Breakdown'!$T$6:$T$173, "&lt;"&amp;EW1)</f>
        <v>0</v>
      </c>
      <c r="EW17" s="213">
        <f>SUMIFS('Expenditure Breakdown'!$U$6:$U$173, 'Expenditure Breakdown'!$T$6:$T$173, "&gt;="&amp;EW1,'Expenditure Breakdown'!$T$6:$T$173, "&lt;"&amp;EX1)</f>
        <v>0</v>
      </c>
      <c r="EX17" s="213">
        <f>SUMIFS('Expenditure Breakdown'!$U$6:$U$173, 'Expenditure Breakdown'!$T$6:$T$173, "&gt;="&amp;EX1,'Expenditure Breakdown'!$T$6:$T$173, "&lt;"&amp;EY1)</f>
        <v>0</v>
      </c>
      <c r="EY17" s="213">
        <f>SUMIFS('Expenditure Breakdown'!$U$6:$U$173, 'Expenditure Breakdown'!$T$6:$T$173, "&gt;="&amp;EY1,'Expenditure Breakdown'!$T$6:$T$173, "&lt;"&amp;EZ1)</f>
        <v>0</v>
      </c>
      <c r="EZ17" s="213">
        <f>SUMIFS('Expenditure Breakdown'!$U$6:$U$173, 'Expenditure Breakdown'!$T$6:$T$173, "&gt;="&amp;EZ1,'Expenditure Breakdown'!$T$6:$T$173, "&lt;"&amp;FA1)</f>
        <v>0</v>
      </c>
      <c r="FA17" s="213">
        <f>SUMIFS('Expenditure Breakdown'!$U$6:$U$173, 'Expenditure Breakdown'!$T$6:$T$173, "&gt;="&amp;FA1,'Expenditure Breakdown'!$T$6:$T$173, "&lt;"&amp;FB1)</f>
        <v>0</v>
      </c>
      <c r="FB17" s="213">
        <f>SUMIFS('Expenditure Breakdown'!$U$6:$U$173, 'Expenditure Breakdown'!$T$6:$T$173, "&gt;="&amp;FB1,'Expenditure Breakdown'!$T$6:$T$173, "&lt;"&amp;FC1)</f>
        <v>0</v>
      </c>
      <c r="FC17" s="213">
        <f>SUMIFS('Expenditure Breakdown'!$U$6:$U$173, 'Expenditure Breakdown'!$T$6:$T$173, "&gt;="&amp;FC1,'Expenditure Breakdown'!$T$6:$T$173, "&lt;"&amp;FD1)</f>
        <v>0</v>
      </c>
      <c r="FD17" s="213">
        <f>SUMIFS('Expenditure Breakdown'!$U$6:$U$173, 'Expenditure Breakdown'!$T$6:$T$173, "&gt;="&amp;FD1,'Expenditure Breakdown'!$T$6:$T$173, "&lt;"&amp;FE1)</f>
        <v>0</v>
      </c>
      <c r="FE17" s="213">
        <f>SUMIFS('Expenditure Breakdown'!$U$6:$U$173, 'Expenditure Breakdown'!$T$6:$T$173, "&gt;="&amp;FE1,'Expenditure Breakdown'!$T$6:$T$173, "&lt;"&amp;FF1)</f>
        <v>0</v>
      </c>
      <c r="FF17" s="213">
        <f>SUMIFS('Expenditure Breakdown'!$U$6:$U$173, 'Expenditure Breakdown'!$T$6:$T$173, "&gt;="&amp;FF1,'Expenditure Breakdown'!$T$6:$T$173, "&lt;"&amp;FG1)</f>
        <v>0</v>
      </c>
      <c r="FG17" s="213">
        <f>SUMIFS('Expenditure Breakdown'!$U$6:$U$173, 'Expenditure Breakdown'!$T$6:$T$173, "&gt;="&amp;FG1,'Expenditure Breakdown'!$T$6:$T$173, "&lt;"&amp;FH1)</f>
        <v>0</v>
      </c>
      <c r="FH17" s="213">
        <f>SUMIFS('Expenditure Breakdown'!$U$6:$U$173, 'Expenditure Breakdown'!$T$6:$T$173, "&gt;="&amp;FH1,'Expenditure Breakdown'!$T$6:$T$173, "&lt;"&amp;FI1)</f>
        <v>0</v>
      </c>
      <c r="FI17" s="213">
        <f>SUMIFS('Expenditure Breakdown'!$U$6:$U$173, 'Expenditure Breakdown'!$T$6:$T$173, "&gt;="&amp;FI1,'Expenditure Breakdown'!$T$6:$T$173, "&lt;"&amp;FJ1)</f>
        <v>0</v>
      </c>
      <c r="FJ17" s="213">
        <f>SUMIFS('Expenditure Breakdown'!$U$6:$U$173, 'Expenditure Breakdown'!$T$6:$T$173, "&gt;="&amp;FJ1,'Expenditure Breakdown'!$T$6:$T$173, "&lt;"&amp;FK1)</f>
        <v>0</v>
      </c>
      <c r="FK17" s="213">
        <f>SUMIFS('Expenditure Breakdown'!$U$6:$U$173, 'Expenditure Breakdown'!$T$6:$T$173, "&gt;="&amp;FK1,'Expenditure Breakdown'!$T$6:$T$173, "&lt;"&amp;FL1)</f>
        <v>0</v>
      </c>
      <c r="FL17" s="213">
        <f>SUMIFS('Expenditure Breakdown'!$U$6:$U$173, 'Expenditure Breakdown'!$T$6:$T$173, "&gt;="&amp;FL1,'Expenditure Breakdown'!$T$6:$T$173, "&lt;"&amp;FM1)</f>
        <v>0</v>
      </c>
      <c r="FM17" s="213">
        <f>SUMIFS('Expenditure Breakdown'!$U$6:$U$173, 'Expenditure Breakdown'!$T$6:$T$173, "&gt;="&amp;FM1,'Expenditure Breakdown'!$T$6:$T$173, "&lt;"&amp;FN1)</f>
        <v>0</v>
      </c>
      <c r="FN17" s="213">
        <f>SUMIFS('Expenditure Breakdown'!$U$6:$U$173, 'Expenditure Breakdown'!$T$6:$T$173, "&gt;="&amp;FN1,'Expenditure Breakdown'!$T$6:$T$173, "&lt;"&amp;FO1)</f>
        <v>0</v>
      </c>
      <c r="FO17" s="213">
        <f>SUMIFS('Expenditure Breakdown'!$U$6:$U$173, 'Expenditure Breakdown'!$T$6:$T$173, "&gt;="&amp;FO1,'Expenditure Breakdown'!$T$6:$T$173, "&lt;"&amp;FP1)</f>
        <v>0</v>
      </c>
      <c r="FP17" s="213">
        <f>SUMIFS('Expenditure Breakdown'!$U$6:$U$173, 'Expenditure Breakdown'!$T$6:$T$173, "&gt;="&amp;FP1,'Expenditure Breakdown'!$T$6:$T$173, "&lt;"&amp;FQ1)</f>
        <v>0</v>
      </c>
      <c r="FQ17" s="213">
        <f>SUMIFS('Expenditure Breakdown'!$U$6:$U$173, 'Expenditure Breakdown'!$T$6:$T$173, "&gt;="&amp;FQ1,'Expenditure Breakdown'!$T$6:$T$173, "&lt;"&amp;FR1)</f>
        <v>0</v>
      </c>
      <c r="FR17" s="213">
        <f>SUMIFS('Expenditure Breakdown'!$U$6:$U$173, 'Expenditure Breakdown'!$T$6:$T$173, "&gt;="&amp;FR1,'Expenditure Breakdown'!$T$6:$T$173, "&lt;"&amp;FS1)</f>
        <v>0</v>
      </c>
      <c r="FS17" s="213">
        <f>SUMIFS('Expenditure Breakdown'!$U$6:$U$173, 'Expenditure Breakdown'!$T$6:$T$173, "&gt;="&amp;FS1,'Expenditure Breakdown'!$T$6:$T$173, "&lt;"&amp;FT1)</f>
        <v>0</v>
      </c>
      <c r="FT17" s="213">
        <f>SUMIFS('Expenditure Breakdown'!$U$6:$U$173, 'Expenditure Breakdown'!$T$6:$T$173, "&gt;="&amp;FT1,'Expenditure Breakdown'!$T$6:$T$173, "&lt;"&amp;FU1)</f>
        <v>0</v>
      </c>
      <c r="FU17" s="213">
        <f>SUMIFS('Expenditure Breakdown'!$U$6:$U$173, 'Expenditure Breakdown'!$T$6:$T$173, "&gt;="&amp;FU1,'Expenditure Breakdown'!$T$6:$T$173, "&lt;"&amp;FV1)</f>
        <v>0</v>
      </c>
      <c r="FV17" s="213">
        <f>SUMIFS('Expenditure Breakdown'!$U$6:$U$173, 'Expenditure Breakdown'!$T$6:$T$173, "&gt;="&amp;FV1,'Expenditure Breakdown'!$T$6:$T$173, "&lt;"&amp;FW1)</f>
        <v>0</v>
      </c>
      <c r="FW17" s="213">
        <f>SUMIFS('Expenditure Breakdown'!$U$6:$U$173, 'Expenditure Breakdown'!$T$6:$T$173, "&gt;="&amp;FW1,'Expenditure Breakdown'!$T$6:$T$173, "&lt;"&amp;FX1)</f>
        <v>0</v>
      </c>
      <c r="FX17" s="213">
        <f>SUMIFS('Expenditure Breakdown'!$U$6:$U$173, 'Expenditure Breakdown'!$T$6:$T$173, "&gt;="&amp;FX1,'Expenditure Breakdown'!$T$6:$T$173, "&lt;"&amp;FY1)</f>
        <v>0</v>
      </c>
      <c r="FY17" s="213">
        <f>SUMIFS('Expenditure Breakdown'!$U$6:$U$173, 'Expenditure Breakdown'!$T$6:$T$173, "&gt;="&amp;FY1,'Expenditure Breakdown'!$T$6:$T$173, "&lt;"&amp;FZ1)</f>
        <v>0</v>
      </c>
      <c r="FZ17" s="213">
        <f>SUMIFS('Expenditure Breakdown'!$U$6:$U$173, 'Expenditure Breakdown'!$T$6:$T$173, "&gt;="&amp;FZ1,'Expenditure Breakdown'!$T$6:$T$173, "&lt;"&amp;GA1)</f>
        <v>0</v>
      </c>
      <c r="GA17" s="213">
        <f>SUMIFS('Expenditure Breakdown'!$U$6:$U$173, 'Expenditure Breakdown'!$T$6:$T$173, "&gt;="&amp;GA1,'Expenditure Breakdown'!$T$6:$T$173, "&lt;"&amp;GB1)</f>
        <v>0</v>
      </c>
      <c r="GB17" s="213">
        <f>SUMIFS('Expenditure Breakdown'!$U$6:$U$173, 'Expenditure Breakdown'!$T$6:$T$173, "&gt;="&amp;GB1,'Expenditure Breakdown'!$T$6:$T$173, "&lt;"&amp;GC1)</f>
        <v>0</v>
      </c>
      <c r="GC17" s="213">
        <f>SUMIFS('Expenditure Breakdown'!$U$6:$U$173, 'Expenditure Breakdown'!$T$6:$T$173, "&gt;="&amp;GC1,'Expenditure Breakdown'!$T$6:$T$173, "&lt;"&amp;GD1)</f>
        <v>0</v>
      </c>
      <c r="GD17" s="213">
        <f>SUMIFS('Expenditure Breakdown'!$U$6:$U$173, 'Expenditure Breakdown'!$T$6:$T$173, "&gt;="&amp;GD1,'Expenditure Breakdown'!$T$6:$T$173, "&lt;"&amp;GE1)</f>
        <v>0</v>
      </c>
      <c r="GE17" s="213">
        <f>SUMIFS('Expenditure Breakdown'!$U$6:$U$173, 'Expenditure Breakdown'!$T$6:$T$173, "&gt;="&amp;GE1,'Expenditure Breakdown'!$T$6:$T$173, "&lt;"&amp;GF1)</f>
        <v>0</v>
      </c>
      <c r="GF17" s="213">
        <f>SUMIFS('Expenditure Breakdown'!$U$6:$U$173, 'Expenditure Breakdown'!$T$6:$T$173, "&gt;="&amp;GF1,'Expenditure Breakdown'!$T$6:$T$173, "&lt;"&amp;GG1)</f>
        <v>0</v>
      </c>
      <c r="GG17" s="213">
        <f>SUMIFS('Expenditure Breakdown'!$U$6:$U$173, 'Expenditure Breakdown'!$T$6:$T$173, "&gt;="&amp;GG1,'Expenditure Breakdown'!$T$6:$T$173, "&lt;"&amp;GH1)</f>
        <v>0</v>
      </c>
      <c r="GH17" s="213">
        <f>SUMIFS('Expenditure Breakdown'!$U$6:$U$173, 'Expenditure Breakdown'!$T$6:$T$173, "&gt;="&amp;GH1,'Expenditure Breakdown'!$T$6:$T$173, "&lt;"&amp;GI1)</f>
        <v>0</v>
      </c>
      <c r="GI17" s="213">
        <f>SUMIFS('Expenditure Breakdown'!$U$6:$U$173, 'Expenditure Breakdown'!$T$6:$T$173, "&gt;="&amp;GI1,'Expenditure Breakdown'!$T$6:$T$173, "&lt;"&amp;GJ1)</f>
        <v>0</v>
      </c>
      <c r="GJ17" s="213">
        <f>SUMIFS('Expenditure Breakdown'!$U$6:$U$173, 'Expenditure Breakdown'!$T$6:$T$173, "&gt;="&amp;GJ1,'Expenditure Breakdown'!$T$6:$T$173, "&lt;"&amp;GK1)</f>
        <v>0</v>
      </c>
      <c r="GK17" s="213">
        <f>SUMIFS('Expenditure Breakdown'!$U$6:$U$173, 'Expenditure Breakdown'!$T$6:$T$173, "&gt;="&amp;GK1,'Expenditure Breakdown'!$T$6:$T$173, "&lt;"&amp;GL1)</f>
        <v>0</v>
      </c>
      <c r="GL17" s="213">
        <f>SUMIFS('Expenditure Breakdown'!$U$6:$U$173, 'Expenditure Breakdown'!$T$6:$T$173, "&gt;="&amp;GL1,'Expenditure Breakdown'!$T$6:$T$173, "&lt;"&amp;GM1)</f>
        <v>0</v>
      </c>
      <c r="GM17" s="213">
        <f>SUMIFS('Expenditure Breakdown'!$U$6:$U$173, 'Expenditure Breakdown'!$T$6:$T$173, "&gt;="&amp;GM1,'Expenditure Breakdown'!$T$6:$T$173, "&lt;"&amp;GN1)</f>
        <v>0</v>
      </c>
      <c r="GN17" s="213">
        <f>SUMIFS('Expenditure Breakdown'!$U$6:$U$173, 'Expenditure Breakdown'!$T$6:$T$173, "&gt;="&amp;GN1,'Expenditure Breakdown'!$T$6:$T$173, "&lt;"&amp;GO1)</f>
        <v>0</v>
      </c>
      <c r="GO17" s="213">
        <f>SUMIFS('Expenditure Breakdown'!$U$6:$U$173, 'Expenditure Breakdown'!$T$6:$T$173, "&gt;="&amp;GO1,'Expenditure Breakdown'!$T$6:$T$173, "&lt;"&amp;GP1)</f>
        <v>0</v>
      </c>
      <c r="GP17" s="213">
        <f>SUMIFS('Expenditure Breakdown'!$U$6:$U$173, 'Expenditure Breakdown'!$T$6:$T$173, "&gt;="&amp;GP1,'Expenditure Breakdown'!$T$6:$T$173, "&lt;"&amp;GQ1)</f>
        <v>0</v>
      </c>
      <c r="GQ17" s="213">
        <f>SUMIFS('Expenditure Breakdown'!$U$6:$U$173, 'Expenditure Breakdown'!$T$6:$T$173, "&gt;="&amp;GQ1,'Expenditure Breakdown'!$T$6:$T$173, "&lt;"&amp;GR1)</f>
        <v>0</v>
      </c>
      <c r="GR17" s="213">
        <f>SUMIFS('Expenditure Breakdown'!$U$6:$U$173, 'Expenditure Breakdown'!$T$6:$T$173, "&gt;="&amp;GR1,'Expenditure Breakdown'!$T$6:$T$173, "&lt;"&amp;GS1)</f>
        <v>0</v>
      </c>
      <c r="GS17" s="213">
        <f>SUMIFS('Expenditure Breakdown'!$U$6:$U$173, 'Expenditure Breakdown'!$T$6:$T$173, "&gt;="&amp;GS1,'Expenditure Breakdown'!$T$6:$T$173, "&lt;"&amp;GT1)</f>
        <v>0</v>
      </c>
      <c r="GT17" s="213">
        <f>SUMIFS('Expenditure Breakdown'!$U$6:$U$173, 'Expenditure Breakdown'!$T$6:$T$173, "&gt;="&amp;GT1,'Expenditure Breakdown'!$T$6:$T$173, "&lt;"&amp;GU1)</f>
        <v>0</v>
      </c>
      <c r="GU17" s="213">
        <f>SUMIFS('Expenditure Breakdown'!$U$6:$U$173, 'Expenditure Breakdown'!$T$6:$T$173, "&gt;="&amp;GU1,'Expenditure Breakdown'!$T$6:$T$173, "&lt;"&amp;GV1)</f>
        <v>0</v>
      </c>
      <c r="GV17" s="213">
        <f>SUMIFS('Expenditure Breakdown'!$U$6:$U$173, 'Expenditure Breakdown'!$T$6:$T$173, "&gt;="&amp;GV1,'Expenditure Breakdown'!$T$6:$T$173, "&lt;"&amp;GW1)</f>
        <v>0</v>
      </c>
      <c r="GW17" s="213">
        <f>SUMIFS('Expenditure Breakdown'!$U$6:$U$173, 'Expenditure Breakdown'!$T$6:$T$173, "&gt;="&amp;GW1,'Expenditure Breakdown'!$T$6:$T$173, "&lt;"&amp;GX1)</f>
        <v>0</v>
      </c>
      <c r="GX17" s="213">
        <f>SUMIFS('Expenditure Breakdown'!$U$6:$U$173, 'Expenditure Breakdown'!$T$6:$T$173, "&gt;="&amp;GX1,'Expenditure Breakdown'!$T$6:$T$173, "&lt;"&amp;GY1)</f>
        <v>0</v>
      </c>
      <c r="GY17" s="213">
        <f>SUMIFS('Expenditure Breakdown'!$U$6:$U$173, 'Expenditure Breakdown'!$T$6:$T$173, "&gt;="&amp;GY1,'Expenditure Breakdown'!$T$6:$T$173, "&lt;"&amp;GZ1)</f>
        <v>0</v>
      </c>
      <c r="GZ17" s="213">
        <f>SUMIFS('Expenditure Breakdown'!$U$6:$U$173, 'Expenditure Breakdown'!$T$6:$T$173, "&gt;="&amp;GZ1,'Expenditure Breakdown'!$T$6:$T$173, "&lt;"&amp;HA1)</f>
        <v>0</v>
      </c>
      <c r="HA17" s="213">
        <f>SUMIFS('Expenditure Breakdown'!$U$6:$U$173, 'Expenditure Breakdown'!$T$6:$T$173, "&gt;="&amp;HA1,'Expenditure Breakdown'!$T$6:$T$173, "&lt;"&amp;HB1)</f>
        <v>0</v>
      </c>
      <c r="HB17" s="213">
        <f>SUMIFS('Expenditure Breakdown'!$U$6:$U$173, 'Expenditure Breakdown'!$T$6:$T$173, "&gt;="&amp;HB1,'Expenditure Breakdown'!$T$6:$T$173, "&lt;"&amp;HC1)</f>
        <v>0</v>
      </c>
      <c r="HC17" s="213">
        <f>SUMIFS('Expenditure Breakdown'!$U$6:$U$173, 'Expenditure Breakdown'!$T$6:$T$173, "&gt;="&amp;HC1,'Expenditure Breakdown'!$T$6:$T$173, "&lt;"&amp;HD1)</f>
        <v>0</v>
      </c>
      <c r="HD17" s="213">
        <f>SUMIFS('Expenditure Breakdown'!$U$6:$U$173, 'Expenditure Breakdown'!$T$6:$T$173, "&gt;="&amp;HD1,'Expenditure Breakdown'!$T$6:$T$173, "&lt;"&amp;HE1)</f>
        <v>0</v>
      </c>
      <c r="HE17" s="213">
        <f>SUMIFS('Expenditure Breakdown'!$U$6:$U$173, 'Expenditure Breakdown'!$T$6:$T$173, "&gt;="&amp;HE1,'Expenditure Breakdown'!$T$6:$T$173, "&lt;"&amp;HF1)</f>
        <v>0</v>
      </c>
      <c r="HF17" s="213">
        <f>SUMIFS('Expenditure Breakdown'!$U$6:$U$173, 'Expenditure Breakdown'!$T$6:$T$173, "&gt;="&amp;HF1,'Expenditure Breakdown'!$T$6:$T$173, "&lt;"&amp;HG1)</f>
        <v>0</v>
      </c>
      <c r="HG17" s="213">
        <f>SUMIFS('Expenditure Breakdown'!$U$6:$U$173, 'Expenditure Breakdown'!$T$6:$T$173, "&gt;="&amp;HG1,'Expenditure Breakdown'!$T$6:$T$173, "&lt;"&amp;HH1)</f>
        <v>0</v>
      </c>
      <c r="HH17" s="213">
        <f>SUMIFS('Expenditure Breakdown'!$U$6:$U$173, 'Expenditure Breakdown'!$T$6:$T$173, "&gt;="&amp;HH1,'Expenditure Breakdown'!$T$6:$T$173, "&lt;"&amp;HI1)</f>
        <v>0</v>
      </c>
      <c r="HI17" s="213">
        <f>SUMIFS('Expenditure Breakdown'!$U$6:$U$173, 'Expenditure Breakdown'!$T$6:$T$173, "&gt;="&amp;HI1,'Expenditure Breakdown'!$T$6:$T$173, "&lt;"&amp;HJ1)</f>
        <v>0</v>
      </c>
      <c r="HJ17" s="213">
        <f>SUMIFS('Expenditure Breakdown'!$U$6:$U$173, 'Expenditure Breakdown'!$T$6:$T$173, "&gt;="&amp;HJ1,'Expenditure Breakdown'!$T$6:$T$173, "&lt;"&amp;HK1)</f>
        <v>0</v>
      </c>
      <c r="HK17" s="213">
        <f>SUMIFS('Expenditure Breakdown'!$U$6:$U$173, 'Expenditure Breakdown'!$T$6:$T$173, "&gt;="&amp;HK1,'Expenditure Breakdown'!$T$6:$T$173, "&lt;"&amp;HL1)</f>
        <v>0</v>
      </c>
      <c r="HL17" s="213">
        <f>SUMIFS('Expenditure Breakdown'!$U$6:$U$173, 'Expenditure Breakdown'!$T$6:$T$173, "&gt;="&amp;HL1,'Expenditure Breakdown'!$T$6:$T$173, "&lt;"&amp;HM1)</f>
        <v>0</v>
      </c>
      <c r="HM17" s="213">
        <f>SUMIFS('Expenditure Breakdown'!$U$6:$U$173, 'Expenditure Breakdown'!$T$6:$T$173, "&gt;="&amp;HM1,'Expenditure Breakdown'!$T$6:$T$173, "&lt;"&amp;HN1)</f>
        <v>0</v>
      </c>
      <c r="HN17" s="213">
        <f>SUMIFS('Expenditure Breakdown'!$U$6:$U$173, 'Expenditure Breakdown'!$T$6:$T$173, "&gt;="&amp;HN1,'Expenditure Breakdown'!$T$6:$T$173, "&lt;"&amp;HO1)</f>
        <v>0</v>
      </c>
      <c r="HO17" s="213">
        <f>SUMIFS('Expenditure Breakdown'!$U$6:$U$173, 'Expenditure Breakdown'!$T$6:$T$173, "&gt;="&amp;HO1,'Expenditure Breakdown'!$T$6:$T$173, "&lt;"&amp;HP1)</f>
        <v>0</v>
      </c>
      <c r="HP17" s="213">
        <f>SUMIFS('Expenditure Breakdown'!$U$6:$U$173, 'Expenditure Breakdown'!$T$6:$T$173, "&gt;="&amp;HP1,'Expenditure Breakdown'!$T$6:$T$173, "&lt;"&amp;HQ1)</f>
        <v>0</v>
      </c>
      <c r="HQ17" s="213">
        <f>SUMIFS('Expenditure Breakdown'!$U$6:$U$173, 'Expenditure Breakdown'!$T$6:$T$173, "&gt;="&amp;HQ1,'Expenditure Breakdown'!$T$6:$T$173, "&lt;"&amp;HR1)</f>
        <v>0</v>
      </c>
      <c r="HR17" s="213">
        <f>SUMIFS('Expenditure Breakdown'!$U$6:$U$173, 'Expenditure Breakdown'!$T$6:$T$173, "&gt;="&amp;HR1,'Expenditure Breakdown'!$T$6:$T$173, "&lt;"&amp;HS1)</f>
        <v>0</v>
      </c>
      <c r="HS17" s="213">
        <f>SUMIFS('Expenditure Breakdown'!$U$6:$U$173, 'Expenditure Breakdown'!$T$6:$T$173, "&gt;="&amp;HS1,'Expenditure Breakdown'!$T$6:$T$173, "&lt;"&amp;HT1)</f>
        <v>0</v>
      </c>
      <c r="HT17" s="213">
        <f>SUMIFS('Expenditure Breakdown'!$U$6:$U$173, 'Expenditure Breakdown'!$T$6:$T$173, "&gt;="&amp;HT1,'Expenditure Breakdown'!$T$6:$T$173, "&lt;"&amp;HU1)</f>
        <v>0</v>
      </c>
      <c r="HU17" s="213">
        <f>SUMIFS('Expenditure Breakdown'!$U$6:$U$173, 'Expenditure Breakdown'!$T$6:$T$173, "&gt;="&amp;HU1,'Expenditure Breakdown'!$T$6:$T$173, "&lt;"&amp;HV1)</f>
        <v>0</v>
      </c>
      <c r="HV17" s="213">
        <f>SUMIFS('Expenditure Breakdown'!$U$6:$U$173, 'Expenditure Breakdown'!$T$6:$T$173, "&gt;="&amp;HV1,'Expenditure Breakdown'!$T$6:$T$173, "&lt;"&amp;HW1)</f>
        <v>0</v>
      </c>
      <c r="HW17" s="213">
        <f>SUMIFS('Expenditure Breakdown'!$U$6:$U$173, 'Expenditure Breakdown'!$T$6:$T$173, "&gt;="&amp;HW1,'Expenditure Breakdown'!$T$6:$T$173, "&lt;"&amp;HX1)</f>
        <v>0</v>
      </c>
      <c r="HX17" s="213">
        <f>SUMIFS('Expenditure Breakdown'!$U$6:$U$173, 'Expenditure Breakdown'!$T$6:$T$173, "&gt;="&amp;HX1,'Expenditure Breakdown'!$T$6:$T$173, "&lt;"&amp;HY1)</f>
        <v>0</v>
      </c>
      <c r="HY17" s="213">
        <f>SUMIFS('Expenditure Breakdown'!$U$6:$U$173, 'Expenditure Breakdown'!$T$6:$T$173, "&gt;="&amp;HY1,'Expenditure Breakdown'!$T$6:$T$173, "&lt;"&amp;HZ1)</f>
        <v>0</v>
      </c>
      <c r="HZ17" s="213">
        <f>SUMIFS('Expenditure Breakdown'!$U$6:$U$173, 'Expenditure Breakdown'!$T$6:$T$173, "&gt;="&amp;HZ1,'Expenditure Breakdown'!$T$6:$T$173, "&lt;"&amp;IA1)</f>
        <v>0</v>
      </c>
      <c r="IA17" s="213">
        <f>SUMIFS('Expenditure Breakdown'!$U$6:$U$173, 'Expenditure Breakdown'!$T$6:$T$173, "&gt;="&amp;IA1,'Expenditure Breakdown'!$T$6:$T$173, "&lt;"&amp;IB1)</f>
        <v>0</v>
      </c>
      <c r="IB17" s="213">
        <f>SUMIFS('Expenditure Breakdown'!$U$6:$U$173, 'Expenditure Breakdown'!$T$6:$T$173, "&gt;="&amp;IB1,'Expenditure Breakdown'!$T$6:$T$173, "&lt;"&amp;IC1)</f>
        <v>0</v>
      </c>
      <c r="IC17" s="213">
        <f>SUMIFS('Expenditure Breakdown'!$U$6:$U$173, 'Expenditure Breakdown'!$T$6:$T$173, "&gt;="&amp;IC1,'Expenditure Breakdown'!$T$6:$T$173, "&lt;"&amp;ID1)</f>
        <v>0</v>
      </c>
      <c r="ID17" s="213">
        <f>SUMIFS('Expenditure Breakdown'!$U$6:$U$173, 'Expenditure Breakdown'!$T$6:$T$173, "&gt;="&amp;ID1,'Expenditure Breakdown'!$T$6:$T$173, "&lt;"&amp;IE1)</f>
        <v>0</v>
      </c>
      <c r="IE17" s="213">
        <f>SUMIFS('Expenditure Breakdown'!$U$6:$U$173, 'Expenditure Breakdown'!$T$6:$T$173, "&gt;="&amp;IE1,'Expenditure Breakdown'!$T$6:$T$173, "&lt;"&amp;IF1)</f>
        <v>0</v>
      </c>
      <c r="IF17" s="213">
        <f>SUMIFS('Expenditure Breakdown'!$U$6:$U$173, 'Expenditure Breakdown'!$T$6:$T$173, "&gt;="&amp;IF1,'Expenditure Breakdown'!$T$6:$T$173, "&lt;"&amp;IG1)</f>
        <v>0</v>
      </c>
      <c r="IG17" s="213">
        <f>SUMIFS('Expenditure Breakdown'!$U$6:$U$173, 'Expenditure Breakdown'!$T$6:$T$173, "&gt;="&amp;IG1,'Expenditure Breakdown'!$T$6:$T$173, "&lt;"&amp;IH1)</f>
        <v>0</v>
      </c>
      <c r="IH17" s="213">
        <f>SUMIFS('Expenditure Breakdown'!$U$6:$U$173, 'Expenditure Breakdown'!$T$6:$T$173, "&gt;="&amp;IH1,'Expenditure Breakdown'!$T$6:$T$173, "&lt;"&amp;II1)</f>
        <v>0</v>
      </c>
      <c r="II17" s="213">
        <f>SUMIFS('Expenditure Breakdown'!$U$6:$U$173, 'Expenditure Breakdown'!$T$6:$T$173, "&gt;="&amp;II1,'Expenditure Breakdown'!$T$6:$T$173, "&lt;"&amp;IJ1)</f>
        <v>0</v>
      </c>
      <c r="IJ17" s="213">
        <f>SUMIFS('Expenditure Breakdown'!$U$6:$U$173, 'Expenditure Breakdown'!$T$6:$T$173, "&gt;="&amp;IJ1,'Expenditure Breakdown'!$T$6:$T$173, "&lt;"&amp;IK1)</f>
        <v>0</v>
      </c>
      <c r="IK17" s="213">
        <f>SUMIFS('Expenditure Breakdown'!$U$6:$U$173, 'Expenditure Breakdown'!$T$6:$T$173, "&gt;="&amp;IK1,'Expenditure Breakdown'!$T$6:$T$173, "&lt;"&amp;IL1)</f>
        <v>0</v>
      </c>
      <c r="IL17" s="213">
        <f>SUMIFS('Expenditure Breakdown'!$U$6:$U$173, 'Expenditure Breakdown'!$T$6:$T$173, "&gt;="&amp;IL1,'Expenditure Breakdown'!$T$6:$T$173, "&lt;"&amp;IM1)</f>
        <v>0</v>
      </c>
      <c r="IM17" s="213">
        <f>SUMIFS('Expenditure Breakdown'!$U$6:$U$173, 'Expenditure Breakdown'!$T$6:$T$173, "&gt;="&amp;IM1,'Expenditure Breakdown'!$T$6:$T$173, "&lt;"&amp;IN1)</f>
        <v>0</v>
      </c>
      <c r="IN17" s="213">
        <f>SUMIFS('Expenditure Breakdown'!$U$6:$U$173, 'Expenditure Breakdown'!$T$6:$T$173, "&gt;="&amp;IN1,'Expenditure Breakdown'!$T$6:$T$173, "&lt;"&amp;IO1)</f>
        <v>0</v>
      </c>
      <c r="IO17" s="213">
        <f>SUMIFS('Expenditure Breakdown'!$U$6:$U$173, 'Expenditure Breakdown'!$T$6:$T$173, "&gt;="&amp;IO1,'Expenditure Breakdown'!$T$6:$T$173, "&lt;"&amp;IP1)</f>
        <v>0</v>
      </c>
      <c r="IP17" s="213">
        <f>SUMIFS('Expenditure Breakdown'!$U$6:$U$173, 'Expenditure Breakdown'!$T$6:$T$173, "&gt;="&amp;IP1,'Expenditure Breakdown'!$T$6:$T$173, "&lt;"&amp;IQ1)</f>
        <v>0</v>
      </c>
      <c r="IQ17" s="213">
        <f>SUMIFS('Expenditure Breakdown'!$U$6:$U$173, 'Expenditure Breakdown'!$T$6:$T$173, "&gt;="&amp;IQ1,'Expenditure Breakdown'!$T$6:$T$173, "&lt;"&amp;IR1)</f>
        <v>0</v>
      </c>
      <c r="IR17" s="213">
        <f>SUMIFS('Expenditure Breakdown'!$U$6:$U$173, 'Expenditure Breakdown'!$T$6:$T$173, "&gt;="&amp;IR1,'Expenditure Breakdown'!$T$6:$T$173, "&lt;"&amp;IS1)</f>
        <v>0</v>
      </c>
      <c r="IS17" s="213">
        <f>SUMIFS('Expenditure Breakdown'!$U$6:$U$173, 'Expenditure Breakdown'!$T$6:$T$173, "&gt;="&amp;IS1,'Expenditure Breakdown'!$T$6:$T$173, "&lt;"&amp;IT1)</f>
        <v>0</v>
      </c>
      <c r="IT17" s="213">
        <f>SUMIFS('Expenditure Breakdown'!$U$6:$U$173, 'Expenditure Breakdown'!$T$6:$T$173, "&gt;="&amp;IT1,'Expenditure Breakdown'!$T$6:$T$173, "&lt;"&amp;IU1)</f>
        <v>0</v>
      </c>
      <c r="IU17" s="213">
        <f>SUMIFS('Expenditure Breakdown'!$U$6:$U$173, 'Expenditure Breakdown'!$T$6:$T$173, "&gt;="&amp;IU1,'Expenditure Breakdown'!$T$6:$T$173, "&lt;"&amp;IV1)</f>
        <v>0</v>
      </c>
      <c r="IV17" s="213">
        <f>SUMIFS('Expenditure Breakdown'!$U$6:$U$173, 'Expenditure Breakdown'!$T$6:$T$173, "&gt;="&amp;IV1,'Expenditure Breakdown'!$T$6:$T$173, "&lt;"&amp;IW1)</f>
        <v>0</v>
      </c>
      <c r="IW17" s="213">
        <f>SUMIFS('Expenditure Breakdown'!$U$6:$U$173, 'Expenditure Breakdown'!$T$6:$T$173, "&gt;="&amp;IW1,'Expenditure Breakdown'!$T$6:$T$173, "&lt;"&amp;IX1)</f>
        <v>0</v>
      </c>
      <c r="IX17" s="213">
        <f>SUMIFS('Expenditure Breakdown'!$U$6:$U$173, 'Expenditure Breakdown'!$T$6:$T$173, "&gt;="&amp;IX1,'Expenditure Breakdown'!$T$6:$T$173, "&lt;"&amp;IY1)</f>
        <v>0</v>
      </c>
      <c r="IY17" s="213">
        <f>SUMIFS('Expenditure Breakdown'!$U$6:$U$173, 'Expenditure Breakdown'!$T$6:$T$173, "&gt;="&amp;IY1,'Expenditure Breakdown'!$T$6:$T$173, "&lt;"&amp;IZ1)</f>
        <v>0</v>
      </c>
      <c r="IZ17" s="213">
        <f>SUMIFS('Expenditure Breakdown'!$U$6:$U$173, 'Expenditure Breakdown'!$T$6:$T$173, "&gt;="&amp;IZ1,'Expenditure Breakdown'!$T$6:$T$173, "&lt;"&amp;JA1)</f>
        <v>0</v>
      </c>
      <c r="JA17" s="213">
        <f>SUMIFS('Expenditure Breakdown'!$U$6:$U$173, 'Expenditure Breakdown'!$T$6:$T$173, "&gt;="&amp;JA1,'Expenditure Breakdown'!$T$6:$T$173, "&lt;"&amp;JB1)</f>
        <v>0</v>
      </c>
      <c r="JB17" s="213">
        <f>SUMIFS('Expenditure Breakdown'!$U$6:$U$173, 'Expenditure Breakdown'!$T$6:$T$173, "&gt;="&amp;JB1,'Expenditure Breakdown'!$T$6:$T$173, "&lt;"&amp;JC1)</f>
        <v>0</v>
      </c>
      <c r="JC17" s="213">
        <f>SUMIFS('Expenditure Breakdown'!$U$6:$U$173, 'Expenditure Breakdown'!$T$6:$T$173, "&gt;="&amp;JC1,'Expenditure Breakdown'!$T$6:$T$173, "&lt;"&amp;JD1)</f>
        <v>0</v>
      </c>
      <c r="JD17" s="213">
        <f>SUMIFS('Expenditure Breakdown'!$U$6:$U$173, 'Expenditure Breakdown'!$T$6:$T$173, "&gt;="&amp;JD1,'Expenditure Breakdown'!$T$6:$T$173, "&lt;"&amp;JE1)</f>
        <v>0</v>
      </c>
      <c r="JE17" s="213">
        <f>SUMIFS('Expenditure Breakdown'!$U$6:$U$173, 'Expenditure Breakdown'!$T$6:$T$173, "&gt;="&amp;JE1,'Expenditure Breakdown'!$T$6:$T$173, "&lt;"&amp;JF1)</f>
        <v>0</v>
      </c>
      <c r="JF17" s="213">
        <f>SUMIFS('Expenditure Breakdown'!$U$6:$U$173, 'Expenditure Breakdown'!$T$6:$T$173, "&gt;="&amp;JF1,'Expenditure Breakdown'!$T$6:$T$173, "&lt;"&amp;JG1)</f>
        <v>0</v>
      </c>
      <c r="JG17" s="213">
        <f>SUMIFS('Expenditure Breakdown'!$U$6:$U$173, 'Expenditure Breakdown'!$T$6:$T$173, "&gt;="&amp;JG1,'Expenditure Breakdown'!$T$6:$T$173, "&lt;"&amp;JH1)</f>
        <v>0</v>
      </c>
      <c r="JH17" s="213">
        <f>SUMIFS('Expenditure Breakdown'!$U$6:$U$173, 'Expenditure Breakdown'!$T$6:$T$173, "&gt;="&amp;JH1,'Expenditure Breakdown'!$T$6:$T$173, "&lt;"&amp;JI1)</f>
        <v>0</v>
      </c>
      <c r="JI17" s="213">
        <f>SUMIFS('Expenditure Breakdown'!$U$6:$U$173, 'Expenditure Breakdown'!$T$6:$T$173, "&gt;="&amp;JI1,'Expenditure Breakdown'!$T$6:$T$173, "&lt;"&amp;JJ1)</f>
        <v>0</v>
      </c>
      <c r="JJ17" s="213">
        <f>SUMIFS('Expenditure Breakdown'!$U$6:$U$173, 'Expenditure Breakdown'!$T$6:$T$173, "&gt;="&amp;JJ1,'Expenditure Breakdown'!$T$6:$T$173, "&lt;"&amp;JK1)</f>
        <v>0</v>
      </c>
      <c r="JK17" s="213">
        <f>SUMIFS('Expenditure Breakdown'!$U$6:$U$173, 'Expenditure Breakdown'!$T$6:$T$173, "&gt;="&amp;JK1,'Expenditure Breakdown'!$T$6:$T$173, "&lt;"&amp;JL1)</f>
        <v>0</v>
      </c>
      <c r="JL17" s="213">
        <f>SUMIFS('Expenditure Breakdown'!$U$6:$U$173, 'Expenditure Breakdown'!$T$6:$T$173, "&gt;="&amp;JL1,'Expenditure Breakdown'!$T$6:$T$173, "&lt;"&amp;JM1)</f>
        <v>0</v>
      </c>
      <c r="JM17" s="213">
        <f>SUMIFS('Expenditure Breakdown'!$U$6:$U$173, 'Expenditure Breakdown'!$T$6:$T$173, "&gt;="&amp;JM1,'Expenditure Breakdown'!$T$6:$T$173, "&lt;"&amp;JN1)</f>
        <v>0</v>
      </c>
      <c r="JN17" s="213">
        <f>SUMIFS('Expenditure Breakdown'!$U$6:$U$173, 'Expenditure Breakdown'!$T$6:$T$173, "&gt;="&amp;JN1,'Expenditure Breakdown'!$T$6:$T$173, "&lt;"&amp;JO1)</f>
        <v>0</v>
      </c>
      <c r="JO17" s="213">
        <f>SUMIFS('Expenditure Breakdown'!$U$6:$U$173, 'Expenditure Breakdown'!$T$6:$T$173, "&gt;="&amp;JO1,'Expenditure Breakdown'!$T$6:$T$173, "&lt;"&amp;JP1)</f>
        <v>0</v>
      </c>
      <c r="JP17" s="213">
        <f>SUMIFS('Expenditure Breakdown'!$U$6:$U$173, 'Expenditure Breakdown'!$T$6:$T$173, "&gt;="&amp;JP1,'Expenditure Breakdown'!$T$6:$T$173, "&lt;"&amp;JQ1)</f>
        <v>0</v>
      </c>
      <c r="JQ17" s="213">
        <f>SUMIFS('Expenditure Breakdown'!$U$6:$U$173, 'Expenditure Breakdown'!$T$6:$T$173, "&gt;="&amp;JQ1,'Expenditure Breakdown'!$T$6:$T$173, "&lt;"&amp;JR1)</f>
        <v>0</v>
      </c>
      <c r="JR17" s="213">
        <f>SUMIFS('Expenditure Breakdown'!$U$6:$U$173, 'Expenditure Breakdown'!$T$6:$T$173, "&gt;="&amp;JR1,'Expenditure Breakdown'!$T$6:$T$173, "&lt;"&amp;JS1)</f>
        <v>0</v>
      </c>
      <c r="JS17" s="213">
        <f>SUMIFS('Expenditure Breakdown'!$U$6:$U$173, 'Expenditure Breakdown'!$T$6:$T$173, "&gt;="&amp;JS1,'Expenditure Breakdown'!$T$6:$T$173, "&lt;"&amp;JT1)</f>
        <v>0</v>
      </c>
      <c r="JT17" s="213">
        <f>SUMIFS('Expenditure Breakdown'!$U$6:$U$173, 'Expenditure Breakdown'!$T$6:$T$173, "&gt;="&amp;JT1,'Expenditure Breakdown'!$T$6:$T$173, "&lt;"&amp;JU1)</f>
        <v>0</v>
      </c>
      <c r="JU17" s="213">
        <f>SUMIFS('Expenditure Breakdown'!$U$6:$U$173, 'Expenditure Breakdown'!$T$6:$T$173, "&gt;="&amp;JU1,'Expenditure Breakdown'!$T$6:$T$173, "&lt;"&amp;JV1)</f>
        <v>0</v>
      </c>
      <c r="JV17" s="213">
        <f>SUMIFS('Expenditure Breakdown'!$U$6:$U$173, 'Expenditure Breakdown'!$T$6:$T$173, "&gt;="&amp;JV1,'Expenditure Breakdown'!$T$6:$T$173, "&lt;"&amp;JW1)</f>
        <v>0</v>
      </c>
      <c r="JW17" s="213">
        <f>SUMIFS('Expenditure Breakdown'!$U$6:$U$173, 'Expenditure Breakdown'!$T$6:$T$173, "&gt;="&amp;JW1,'Expenditure Breakdown'!$T$6:$T$173, "&lt;"&amp;JX1)</f>
        <v>0</v>
      </c>
      <c r="JX17" s="213">
        <f>SUMIFS('Expenditure Breakdown'!$U$6:$U$173, 'Expenditure Breakdown'!$T$6:$T$173, "&gt;="&amp;JX1,'Expenditure Breakdown'!$T$6:$T$173, "&lt;"&amp;JY1)</f>
        <v>0</v>
      </c>
      <c r="JY17" s="213">
        <f>SUMIFS('Expenditure Breakdown'!$U$6:$U$173, 'Expenditure Breakdown'!$T$6:$T$173, "&gt;="&amp;JY1,'Expenditure Breakdown'!$T$6:$T$173, "&lt;"&amp;JZ1)</f>
        <v>0</v>
      </c>
      <c r="JZ17" s="213">
        <f>SUMIFS('Expenditure Breakdown'!$U$6:$U$173, 'Expenditure Breakdown'!$T$6:$T$173, "&gt;="&amp;JZ1,'Expenditure Breakdown'!$T$6:$T$173, "&lt;"&amp;KA1)</f>
        <v>0</v>
      </c>
      <c r="KA17" s="213">
        <f>SUMIFS('Expenditure Breakdown'!$U$6:$U$173, 'Expenditure Breakdown'!$T$6:$T$173, "&gt;="&amp;KA1,'Expenditure Breakdown'!$T$6:$T$173, "&lt;"&amp;KB1)</f>
        <v>0</v>
      </c>
      <c r="KB17" s="213">
        <f>SUMIFS('Expenditure Breakdown'!$U$6:$U$173, 'Expenditure Breakdown'!$T$6:$T$173, "&gt;="&amp;KB1,'Expenditure Breakdown'!$T$6:$T$173, "&lt;"&amp;KC1)</f>
        <v>0</v>
      </c>
      <c r="KC17" s="213">
        <f>SUMIFS('Expenditure Breakdown'!$U$6:$U$173, 'Expenditure Breakdown'!$T$6:$T$173, "&gt;="&amp;KC1,'Expenditure Breakdown'!$T$6:$T$173, "&lt;"&amp;KD1)</f>
        <v>0</v>
      </c>
      <c r="KD17" s="213">
        <f>SUMIFS('Expenditure Breakdown'!$U$6:$U$173, 'Expenditure Breakdown'!$T$6:$T$173, "&gt;="&amp;KD1,'Expenditure Breakdown'!$T$6:$T$173, "&lt;"&amp;KE1)</f>
        <v>0</v>
      </c>
      <c r="KE17" s="213">
        <f>SUMIFS('Expenditure Breakdown'!$U$6:$U$173, 'Expenditure Breakdown'!$T$6:$T$173, "&gt;="&amp;KE1,'Expenditure Breakdown'!$T$6:$T$173, "&lt;"&amp;KF1)</f>
        <v>0</v>
      </c>
      <c r="KF17" s="213">
        <f>SUMIFS('Expenditure Breakdown'!$U$6:$U$173, 'Expenditure Breakdown'!$T$6:$T$173, "&gt;="&amp;KF1,'Expenditure Breakdown'!$T$6:$T$173, "&lt;"&amp;KG1)</f>
        <v>0</v>
      </c>
      <c r="KG17" s="213">
        <f>SUMIFS('Expenditure Breakdown'!$U$6:$U$173, 'Expenditure Breakdown'!$T$6:$T$173, "&gt;="&amp;KG1,'Expenditure Breakdown'!$T$6:$T$173, "&lt;"&amp;KH1)</f>
        <v>0</v>
      </c>
      <c r="KH17" s="213">
        <f>SUMIFS('Expenditure Breakdown'!$U$6:$U$173, 'Expenditure Breakdown'!$T$6:$T$173, "&gt;="&amp;KH1,'Expenditure Breakdown'!$T$6:$T$173, "&lt;"&amp;KI1)</f>
        <v>0</v>
      </c>
      <c r="KI17" s="213">
        <f>SUMIFS('Expenditure Breakdown'!$U$6:$U$173, 'Expenditure Breakdown'!$T$6:$T$173, "&gt;="&amp;KI1,'Expenditure Breakdown'!$T$6:$T$173, "&lt;"&amp;KJ1)</f>
        <v>0</v>
      </c>
      <c r="KJ17" s="213">
        <f>SUMIFS('Expenditure Breakdown'!$U$6:$U$173, 'Expenditure Breakdown'!$T$6:$T$173, "&gt;="&amp;KJ1,'Expenditure Breakdown'!$T$6:$T$173, "&lt;"&amp;KK1)</f>
        <v>0</v>
      </c>
      <c r="KK17" s="213">
        <f>SUMIFS('Expenditure Breakdown'!$U$6:$U$173, 'Expenditure Breakdown'!$T$6:$T$173, "&gt;="&amp;KK1,'Expenditure Breakdown'!$T$6:$T$173, "&lt;"&amp;KL1)</f>
        <v>0</v>
      </c>
      <c r="KL17" s="213">
        <f>SUMIFS('Expenditure Breakdown'!$U$6:$U$173, 'Expenditure Breakdown'!$T$6:$T$173, "&gt;="&amp;KL1,'Expenditure Breakdown'!$T$6:$T$173, "&lt;"&amp;KM1)</f>
        <v>0</v>
      </c>
      <c r="KM17" s="213">
        <f>SUMIFS('Expenditure Breakdown'!$U$6:$U$173, 'Expenditure Breakdown'!$T$6:$T$173, "&gt;="&amp;KM1,'Expenditure Breakdown'!$T$6:$T$173, "&lt;"&amp;KN1)</f>
        <v>0</v>
      </c>
      <c r="KN17" s="213">
        <f>SUMIFS('Expenditure Breakdown'!$U$6:$U$173, 'Expenditure Breakdown'!$T$6:$T$173, "&gt;="&amp;KN1,'Expenditure Breakdown'!$T$6:$T$173, "&lt;"&amp;KO1)</f>
        <v>0</v>
      </c>
      <c r="KO17" s="213">
        <f>SUMIFS('Expenditure Breakdown'!$U$6:$U$173, 'Expenditure Breakdown'!$T$6:$T$173, "&gt;="&amp;KO1,'Expenditure Breakdown'!$T$6:$T$173, "&lt;"&amp;KP1)</f>
        <v>0</v>
      </c>
      <c r="KP17" s="213">
        <f>SUMIFS('Expenditure Breakdown'!$U$6:$U$173, 'Expenditure Breakdown'!$T$6:$T$173, "&gt;="&amp;KP1,'Expenditure Breakdown'!$T$6:$T$173, "&lt;"&amp;KQ1)</f>
        <v>0</v>
      </c>
      <c r="KQ17" s="213">
        <f>SUMIFS('Expenditure Breakdown'!$U$6:$U$173, 'Expenditure Breakdown'!$T$6:$T$173, "&gt;="&amp;KQ1,'Expenditure Breakdown'!$T$6:$T$173, "&lt;"&amp;KR1)</f>
        <v>0</v>
      </c>
      <c r="KR17" s="213">
        <f>SUMIFS('Expenditure Breakdown'!$U$6:$U$173, 'Expenditure Breakdown'!$T$6:$T$173, "&gt;="&amp;KR1,'Expenditure Breakdown'!$T$6:$T$173, "&lt;"&amp;KS1)</f>
        <v>0</v>
      </c>
      <c r="KS17" s="213">
        <f>SUMIFS('Expenditure Breakdown'!$U$6:$U$173, 'Expenditure Breakdown'!$T$6:$T$173, "&gt;="&amp;KS1,'Expenditure Breakdown'!$T$6:$T$173, "&lt;"&amp;KT1)</f>
        <v>0</v>
      </c>
      <c r="KT17" s="213">
        <f>SUMIFS('Expenditure Breakdown'!$U$6:$U$173, 'Expenditure Breakdown'!$T$6:$T$173, "&gt;="&amp;KT1,'Expenditure Breakdown'!$T$6:$T$173, "&lt;"&amp;KU1)</f>
        <v>0</v>
      </c>
      <c r="KU17" s="213">
        <f>SUMIFS('Expenditure Breakdown'!$U$6:$U$173, 'Expenditure Breakdown'!$T$6:$T$173, "&gt;="&amp;KU1,'Expenditure Breakdown'!$T$6:$T$173, "&lt;"&amp;KV1)</f>
        <v>0</v>
      </c>
      <c r="KV17" s="213">
        <f>SUMIFS('Expenditure Breakdown'!$U$6:$U$173, 'Expenditure Breakdown'!$T$6:$T$173, "&gt;="&amp;KV1,'Expenditure Breakdown'!$T$6:$T$173, "&lt;"&amp;KW1)</f>
        <v>0</v>
      </c>
      <c r="KW17" s="213">
        <f>SUMIFS('Expenditure Breakdown'!$U$6:$U$173, 'Expenditure Breakdown'!$T$6:$T$173, "&gt;="&amp;KW1,'Expenditure Breakdown'!$T$6:$T$173, "&lt;"&amp;KX1)</f>
        <v>0</v>
      </c>
      <c r="KX17" s="213">
        <f>SUMIFS('Expenditure Breakdown'!$U$6:$U$173, 'Expenditure Breakdown'!$T$6:$T$173, "&gt;="&amp;KX1,'Expenditure Breakdown'!$T$6:$T$173, "&lt;"&amp;KY1)</f>
        <v>0</v>
      </c>
      <c r="KY17" s="213">
        <f>SUMIFS('Expenditure Breakdown'!$U$6:$U$173, 'Expenditure Breakdown'!$T$6:$T$173, "&gt;="&amp;KY1,'Expenditure Breakdown'!$T$6:$T$173, "&lt;"&amp;KZ1)</f>
        <v>0</v>
      </c>
      <c r="KZ17" s="213">
        <f>SUMIFS('Expenditure Breakdown'!$U$6:$U$173, 'Expenditure Breakdown'!$T$6:$T$173, "&gt;="&amp;KZ1,'Expenditure Breakdown'!$T$6:$T$173, "&lt;"&amp;LA1)</f>
        <v>0</v>
      </c>
      <c r="LA17" s="213">
        <f>SUMIFS('Expenditure Breakdown'!$U$6:$U$173, 'Expenditure Breakdown'!$T$6:$T$173, "&gt;="&amp;LA1,'Expenditure Breakdown'!$T$6:$T$173, "&lt;"&amp;LB1)</f>
        <v>0</v>
      </c>
      <c r="LB17" s="213">
        <f>SUMIFS('Expenditure Breakdown'!$U$6:$U$173, 'Expenditure Breakdown'!$T$6:$T$173, "&gt;="&amp;LB1,'Expenditure Breakdown'!$T$6:$T$173, "&lt;"&amp;LC1)</f>
        <v>0</v>
      </c>
      <c r="LC17" s="213">
        <f>SUMIFS('Expenditure Breakdown'!$U$6:$U$173, 'Expenditure Breakdown'!$T$6:$T$173, "&gt;="&amp;LC1,'Expenditure Breakdown'!$T$6:$T$173, "&lt;"&amp;LD1)</f>
        <v>0</v>
      </c>
      <c r="LD17" s="213">
        <f>SUMIFS('Expenditure Breakdown'!$U$6:$U$173, 'Expenditure Breakdown'!$T$6:$T$173, "&gt;="&amp;LD1,'Expenditure Breakdown'!$T$6:$T$173, "&lt;"&amp;#REF!)</f>
        <v>0</v>
      </c>
    </row>
    <row r="18" spans="1:316">
      <c r="A18" s="803"/>
      <c r="B18" s="194" t="s">
        <v>407</v>
      </c>
      <c r="C18" s="374">
        <f>D17-D18</f>
        <v>0</v>
      </c>
      <c r="D18" s="195">
        <f>MAX(F18:LD18)</f>
        <v>8632645.2302115336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8011333.7802976361</v>
      </c>
      <c r="BH18" s="213">
        <f t="shared" si="37"/>
        <v>8011333.7802976361</v>
      </c>
      <c r="BI18" s="213">
        <f t="shared" si="37"/>
        <v>8011333.7802976361</v>
      </c>
      <c r="BJ18" s="213">
        <f t="shared" si="37"/>
        <v>8011333.7802976361</v>
      </c>
      <c r="BK18" s="213">
        <f t="shared" si="37"/>
        <v>8632645.2302115336</v>
      </c>
      <c r="BL18" s="213">
        <f t="shared" si="37"/>
        <v>8632645.2302115336</v>
      </c>
      <c r="BM18" s="213">
        <f t="shared" si="37"/>
        <v>8632645.2302115336</v>
      </c>
      <c r="BN18" s="213">
        <f t="shared" si="37"/>
        <v>8632645.2302115336</v>
      </c>
      <c r="BO18" s="213">
        <f t="shared" si="37"/>
        <v>8632645.2302115336</v>
      </c>
      <c r="BP18" s="213">
        <f t="shared" si="37"/>
        <v>8632645.2302115336</v>
      </c>
      <c r="BQ18" s="213">
        <f t="shared" si="37"/>
        <v>8632645.2302115336</v>
      </c>
      <c r="BR18" s="213">
        <f t="shared" si="37"/>
        <v>8632645.2302115336</v>
      </c>
      <c r="BS18" s="213">
        <f t="shared" si="37"/>
        <v>8632645.2302115336</v>
      </c>
      <c r="BT18" s="213">
        <f t="shared" si="37"/>
        <v>8632645.2302115336</v>
      </c>
      <c r="BU18" s="213">
        <f t="shared" ref="BU18:EF18" si="38">BT18+BU17</f>
        <v>8632645.2302115336</v>
      </c>
      <c r="BV18" s="213">
        <f t="shared" si="38"/>
        <v>8632645.2302115336</v>
      </c>
      <c r="BW18" s="213">
        <f t="shared" si="38"/>
        <v>8632645.2302115336</v>
      </c>
      <c r="BX18" s="213">
        <f t="shared" si="38"/>
        <v>8632645.2302115336</v>
      </c>
      <c r="BY18" s="213">
        <f t="shared" si="38"/>
        <v>8632645.2302115336</v>
      </c>
      <c r="BZ18" s="213">
        <f t="shared" si="38"/>
        <v>8632645.2302115336</v>
      </c>
      <c r="CA18" s="213">
        <f t="shared" si="38"/>
        <v>8632645.2302115336</v>
      </c>
      <c r="CB18" s="213">
        <f t="shared" si="38"/>
        <v>8632645.2302115336</v>
      </c>
      <c r="CC18" s="213">
        <f t="shared" si="38"/>
        <v>8632645.2302115336</v>
      </c>
      <c r="CD18" s="213">
        <f t="shared" si="38"/>
        <v>8632645.2302115336</v>
      </c>
      <c r="CE18" s="213">
        <f t="shared" si="38"/>
        <v>8632645.2302115336</v>
      </c>
      <c r="CF18" s="213">
        <f t="shared" si="38"/>
        <v>8632645.2302115336</v>
      </c>
      <c r="CG18" s="213">
        <f t="shared" si="38"/>
        <v>8632645.2302115336</v>
      </c>
      <c r="CH18" s="213">
        <f t="shared" si="38"/>
        <v>8632645.2302115336</v>
      </c>
      <c r="CI18" s="213">
        <f t="shared" si="38"/>
        <v>8632645.2302115336</v>
      </c>
      <c r="CJ18" s="213">
        <f t="shared" si="38"/>
        <v>8632645.2302115336</v>
      </c>
      <c r="CK18" s="213">
        <f t="shared" si="38"/>
        <v>8632645.2302115336</v>
      </c>
      <c r="CL18" s="213">
        <f t="shared" si="38"/>
        <v>8632645.2302115336</v>
      </c>
      <c r="CM18" s="213">
        <f t="shared" si="38"/>
        <v>8632645.2302115336</v>
      </c>
      <c r="CN18" s="213">
        <f t="shared" si="38"/>
        <v>8632645.2302115336</v>
      </c>
      <c r="CO18" s="213">
        <f t="shared" si="38"/>
        <v>8632645.2302115336</v>
      </c>
      <c r="CP18" s="213">
        <f t="shared" si="38"/>
        <v>8632645.2302115336</v>
      </c>
      <c r="CQ18" s="213">
        <f t="shared" si="38"/>
        <v>8632645.2302115336</v>
      </c>
      <c r="CR18" s="213">
        <f t="shared" si="38"/>
        <v>8632645.2302115336</v>
      </c>
      <c r="CS18" s="213">
        <f t="shared" si="38"/>
        <v>8632645.2302115336</v>
      </c>
      <c r="CT18" s="213">
        <f t="shared" si="38"/>
        <v>8632645.2302115336</v>
      </c>
      <c r="CU18" s="213">
        <f t="shared" si="38"/>
        <v>8632645.2302115336</v>
      </c>
      <c r="CV18" s="213">
        <f t="shared" si="38"/>
        <v>8632645.2302115336</v>
      </c>
      <c r="CW18" s="213">
        <f t="shared" si="38"/>
        <v>8632645.2302115336</v>
      </c>
      <c r="CX18" s="213">
        <f t="shared" si="38"/>
        <v>8632645.2302115336</v>
      </c>
      <c r="CY18" s="213">
        <f t="shared" si="38"/>
        <v>8632645.2302115336</v>
      </c>
      <c r="CZ18" s="213">
        <f t="shared" si="38"/>
        <v>8632645.2302115336</v>
      </c>
      <c r="DA18" s="213">
        <f t="shared" si="38"/>
        <v>8632645.2302115336</v>
      </c>
      <c r="DB18" s="213">
        <f t="shared" si="38"/>
        <v>8632645.2302115336</v>
      </c>
      <c r="DC18" s="213">
        <f t="shared" si="38"/>
        <v>8632645.2302115336</v>
      </c>
      <c r="DD18" s="213">
        <f t="shared" si="38"/>
        <v>8632645.2302115336</v>
      </c>
      <c r="DE18" s="213">
        <f t="shared" si="38"/>
        <v>8632645.2302115336</v>
      </c>
      <c r="DF18" s="213">
        <f t="shared" si="38"/>
        <v>8632645.2302115336</v>
      </c>
      <c r="DG18" s="213">
        <f t="shared" si="38"/>
        <v>8632645.2302115336</v>
      </c>
      <c r="DH18" s="213">
        <f t="shared" si="38"/>
        <v>8632645.2302115336</v>
      </c>
      <c r="DI18" s="213">
        <f t="shared" si="38"/>
        <v>8632645.2302115336</v>
      </c>
      <c r="DJ18" s="213">
        <f t="shared" si="38"/>
        <v>8632645.2302115336</v>
      </c>
      <c r="DK18" s="213">
        <f t="shared" si="38"/>
        <v>8632645.2302115336</v>
      </c>
      <c r="DL18" s="213">
        <f t="shared" si="38"/>
        <v>8632645.2302115336</v>
      </c>
      <c r="DM18" s="213">
        <f t="shared" si="38"/>
        <v>8632645.2302115336</v>
      </c>
      <c r="DN18" s="213">
        <f t="shared" si="38"/>
        <v>8632645.2302115336</v>
      </c>
      <c r="DO18" s="213">
        <f t="shared" si="38"/>
        <v>8632645.2302115336</v>
      </c>
      <c r="DP18" s="213">
        <f t="shared" si="38"/>
        <v>8632645.2302115336</v>
      </c>
      <c r="DQ18" s="213">
        <f t="shared" si="38"/>
        <v>8632645.2302115336</v>
      </c>
      <c r="DR18" s="213">
        <f t="shared" si="38"/>
        <v>8632645.2302115336</v>
      </c>
      <c r="DS18" s="213">
        <f t="shared" si="38"/>
        <v>8632645.2302115336</v>
      </c>
      <c r="DT18" s="213">
        <f t="shared" si="38"/>
        <v>8632645.2302115336</v>
      </c>
      <c r="DU18" s="213">
        <f t="shared" si="38"/>
        <v>8632645.2302115336</v>
      </c>
      <c r="DV18" s="213">
        <f t="shared" si="38"/>
        <v>8632645.2302115336</v>
      </c>
      <c r="DW18" s="213">
        <f t="shared" si="38"/>
        <v>8632645.2302115336</v>
      </c>
      <c r="DX18" s="213">
        <f t="shared" si="38"/>
        <v>8632645.2302115336</v>
      </c>
      <c r="DY18" s="213">
        <f t="shared" si="38"/>
        <v>8632645.2302115336</v>
      </c>
      <c r="DZ18" s="213">
        <f t="shared" si="38"/>
        <v>8632645.2302115336</v>
      </c>
      <c r="EA18" s="213">
        <f t="shared" si="38"/>
        <v>8632645.2302115336</v>
      </c>
      <c r="EB18" s="213">
        <f t="shared" si="38"/>
        <v>8632645.2302115336</v>
      </c>
      <c r="EC18" s="213">
        <f t="shared" si="38"/>
        <v>8632645.2302115336</v>
      </c>
      <c r="ED18" s="213">
        <f t="shared" si="38"/>
        <v>8632645.2302115336</v>
      </c>
      <c r="EE18" s="213">
        <f t="shared" si="38"/>
        <v>8632645.2302115336</v>
      </c>
      <c r="EF18" s="213">
        <f t="shared" si="38"/>
        <v>8632645.2302115336</v>
      </c>
      <c r="EG18" s="213">
        <f t="shared" ref="EG18:GR18" si="39">EF18+EG17</f>
        <v>8632645.2302115336</v>
      </c>
      <c r="EH18" s="213">
        <f t="shared" si="39"/>
        <v>8632645.2302115336</v>
      </c>
      <c r="EI18" s="213">
        <f t="shared" si="39"/>
        <v>8632645.2302115336</v>
      </c>
      <c r="EJ18" s="213">
        <f t="shared" si="39"/>
        <v>8632645.2302115336</v>
      </c>
      <c r="EK18" s="213">
        <f t="shared" si="39"/>
        <v>8632645.2302115336</v>
      </c>
      <c r="EL18" s="213">
        <f t="shared" si="39"/>
        <v>8632645.2302115336</v>
      </c>
      <c r="EM18" s="213">
        <f t="shared" si="39"/>
        <v>8632645.2302115336</v>
      </c>
      <c r="EN18" s="213">
        <f t="shared" si="39"/>
        <v>8632645.2302115336</v>
      </c>
      <c r="EO18" s="213">
        <f t="shared" si="39"/>
        <v>8632645.2302115336</v>
      </c>
      <c r="EP18" s="213">
        <f t="shared" si="39"/>
        <v>8632645.2302115336</v>
      </c>
      <c r="EQ18" s="213">
        <f t="shared" si="39"/>
        <v>8632645.2302115336</v>
      </c>
      <c r="ER18" s="213">
        <f t="shared" si="39"/>
        <v>8632645.2302115336</v>
      </c>
      <c r="ES18" s="213">
        <f t="shared" si="39"/>
        <v>8632645.2302115336</v>
      </c>
      <c r="ET18" s="213">
        <f t="shared" si="39"/>
        <v>8632645.2302115336</v>
      </c>
      <c r="EU18" s="213">
        <f t="shared" si="39"/>
        <v>8632645.2302115336</v>
      </c>
      <c r="EV18" s="213">
        <f t="shared" si="39"/>
        <v>8632645.2302115336</v>
      </c>
      <c r="EW18" s="213">
        <f t="shared" si="39"/>
        <v>8632645.2302115336</v>
      </c>
      <c r="EX18" s="213">
        <f t="shared" si="39"/>
        <v>8632645.2302115336</v>
      </c>
      <c r="EY18" s="213">
        <f t="shared" si="39"/>
        <v>8632645.2302115336</v>
      </c>
      <c r="EZ18" s="213">
        <f t="shared" si="39"/>
        <v>8632645.2302115336</v>
      </c>
      <c r="FA18" s="213">
        <f t="shared" si="39"/>
        <v>8632645.2302115336</v>
      </c>
      <c r="FB18" s="213">
        <f t="shared" si="39"/>
        <v>8632645.2302115336</v>
      </c>
      <c r="FC18" s="213">
        <f t="shared" si="39"/>
        <v>8632645.2302115336</v>
      </c>
      <c r="FD18" s="213">
        <f t="shared" si="39"/>
        <v>8632645.2302115336</v>
      </c>
      <c r="FE18" s="213">
        <f t="shared" si="39"/>
        <v>8632645.2302115336</v>
      </c>
      <c r="FF18" s="213">
        <f t="shared" si="39"/>
        <v>8632645.2302115336</v>
      </c>
      <c r="FG18" s="213">
        <f t="shared" si="39"/>
        <v>8632645.2302115336</v>
      </c>
      <c r="FH18" s="213">
        <f t="shared" si="39"/>
        <v>8632645.2302115336</v>
      </c>
      <c r="FI18" s="213">
        <f t="shared" si="39"/>
        <v>8632645.2302115336</v>
      </c>
      <c r="FJ18" s="213">
        <f t="shared" si="39"/>
        <v>8632645.2302115336</v>
      </c>
      <c r="FK18" s="213">
        <f t="shared" si="39"/>
        <v>8632645.2302115336</v>
      </c>
      <c r="FL18" s="213">
        <f t="shared" si="39"/>
        <v>8632645.2302115336</v>
      </c>
      <c r="FM18" s="213">
        <f t="shared" si="39"/>
        <v>8632645.2302115336</v>
      </c>
      <c r="FN18" s="213">
        <f t="shared" si="39"/>
        <v>8632645.2302115336</v>
      </c>
      <c r="FO18" s="213">
        <f t="shared" si="39"/>
        <v>8632645.2302115336</v>
      </c>
      <c r="FP18" s="213">
        <f t="shared" si="39"/>
        <v>8632645.2302115336</v>
      </c>
      <c r="FQ18" s="213">
        <f t="shared" si="39"/>
        <v>8632645.2302115336</v>
      </c>
      <c r="FR18" s="213">
        <f t="shared" si="39"/>
        <v>8632645.2302115336</v>
      </c>
      <c r="FS18" s="213">
        <f t="shared" si="39"/>
        <v>8632645.2302115336</v>
      </c>
      <c r="FT18" s="213">
        <f t="shared" si="39"/>
        <v>8632645.2302115336</v>
      </c>
      <c r="FU18" s="213">
        <f t="shared" si="39"/>
        <v>8632645.2302115336</v>
      </c>
      <c r="FV18" s="213">
        <f t="shared" si="39"/>
        <v>8632645.2302115336</v>
      </c>
      <c r="FW18" s="213">
        <f t="shared" si="39"/>
        <v>8632645.2302115336</v>
      </c>
      <c r="FX18" s="213">
        <f t="shared" si="39"/>
        <v>8632645.2302115336</v>
      </c>
      <c r="FY18" s="213">
        <f t="shared" si="39"/>
        <v>8632645.2302115336</v>
      </c>
      <c r="FZ18" s="213">
        <f t="shared" si="39"/>
        <v>8632645.2302115336</v>
      </c>
      <c r="GA18" s="213">
        <f t="shared" si="39"/>
        <v>8632645.2302115336</v>
      </c>
      <c r="GB18" s="213">
        <f t="shared" si="39"/>
        <v>8632645.2302115336</v>
      </c>
      <c r="GC18" s="213">
        <f t="shared" si="39"/>
        <v>8632645.2302115336</v>
      </c>
      <c r="GD18" s="213">
        <f t="shared" si="39"/>
        <v>8632645.2302115336</v>
      </c>
      <c r="GE18" s="213">
        <f t="shared" si="39"/>
        <v>8632645.2302115336</v>
      </c>
      <c r="GF18" s="213">
        <f t="shared" si="39"/>
        <v>8632645.2302115336</v>
      </c>
      <c r="GG18" s="213">
        <f t="shared" si="39"/>
        <v>8632645.2302115336</v>
      </c>
      <c r="GH18" s="213">
        <f t="shared" si="39"/>
        <v>8632645.2302115336</v>
      </c>
      <c r="GI18" s="213">
        <f t="shared" si="39"/>
        <v>8632645.2302115336</v>
      </c>
      <c r="GJ18" s="213">
        <f t="shared" si="39"/>
        <v>8632645.2302115336</v>
      </c>
      <c r="GK18" s="213">
        <f t="shared" si="39"/>
        <v>8632645.2302115336</v>
      </c>
      <c r="GL18" s="213">
        <f t="shared" si="39"/>
        <v>8632645.2302115336</v>
      </c>
      <c r="GM18" s="213">
        <f t="shared" si="39"/>
        <v>8632645.2302115336</v>
      </c>
      <c r="GN18" s="213">
        <f t="shared" si="39"/>
        <v>8632645.2302115336</v>
      </c>
      <c r="GO18" s="213">
        <f t="shared" si="39"/>
        <v>8632645.2302115336</v>
      </c>
      <c r="GP18" s="213">
        <f t="shared" si="39"/>
        <v>8632645.2302115336</v>
      </c>
      <c r="GQ18" s="213">
        <f t="shared" si="39"/>
        <v>8632645.2302115336</v>
      </c>
      <c r="GR18" s="213">
        <f t="shared" si="39"/>
        <v>8632645.2302115336</v>
      </c>
      <c r="GS18" s="213">
        <f t="shared" ref="GS18:JD18" si="40">GR18+GS17</f>
        <v>8632645.2302115336</v>
      </c>
      <c r="GT18" s="213">
        <f t="shared" si="40"/>
        <v>8632645.2302115336</v>
      </c>
      <c r="GU18" s="213">
        <f t="shared" si="40"/>
        <v>8632645.2302115336</v>
      </c>
      <c r="GV18" s="213">
        <f t="shared" si="40"/>
        <v>8632645.2302115336</v>
      </c>
      <c r="GW18" s="213">
        <f t="shared" si="40"/>
        <v>8632645.2302115336</v>
      </c>
      <c r="GX18" s="213">
        <f t="shared" si="40"/>
        <v>8632645.2302115336</v>
      </c>
      <c r="GY18" s="213">
        <f t="shared" si="40"/>
        <v>8632645.2302115336</v>
      </c>
      <c r="GZ18" s="213">
        <f t="shared" si="40"/>
        <v>8632645.2302115336</v>
      </c>
      <c r="HA18" s="213">
        <f t="shared" si="40"/>
        <v>8632645.2302115336</v>
      </c>
      <c r="HB18" s="213">
        <f t="shared" si="40"/>
        <v>8632645.2302115336</v>
      </c>
      <c r="HC18" s="213">
        <f t="shared" si="40"/>
        <v>8632645.2302115336</v>
      </c>
      <c r="HD18" s="213">
        <f t="shared" si="40"/>
        <v>8632645.2302115336</v>
      </c>
      <c r="HE18" s="213">
        <f t="shared" si="40"/>
        <v>8632645.2302115336</v>
      </c>
      <c r="HF18" s="213">
        <f t="shared" si="40"/>
        <v>8632645.2302115336</v>
      </c>
      <c r="HG18" s="213">
        <f t="shared" si="40"/>
        <v>8632645.2302115336</v>
      </c>
      <c r="HH18" s="213">
        <f t="shared" si="40"/>
        <v>8632645.2302115336</v>
      </c>
      <c r="HI18" s="213">
        <f t="shared" si="40"/>
        <v>8632645.2302115336</v>
      </c>
      <c r="HJ18" s="213">
        <f t="shared" si="40"/>
        <v>8632645.2302115336</v>
      </c>
      <c r="HK18" s="213">
        <f t="shared" si="40"/>
        <v>8632645.2302115336</v>
      </c>
      <c r="HL18" s="213">
        <f t="shared" si="40"/>
        <v>8632645.2302115336</v>
      </c>
      <c r="HM18" s="213">
        <f t="shared" si="40"/>
        <v>8632645.2302115336</v>
      </c>
      <c r="HN18" s="213">
        <f t="shared" si="40"/>
        <v>8632645.2302115336</v>
      </c>
      <c r="HO18" s="213">
        <f t="shared" si="40"/>
        <v>8632645.2302115336</v>
      </c>
      <c r="HP18" s="213">
        <f t="shared" si="40"/>
        <v>8632645.2302115336</v>
      </c>
      <c r="HQ18" s="213">
        <f t="shared" si="40"/>
        <v>8632645.2302115336</v>
      </c>
      <c r="HR18" s="213">
        <f t="shared" si="40"/>
        <v>8632645.2302115336</v>
      </c>
      <c r="HS18" s="213">
        <f t="shared" si="40"/>
        <v>8632645.2302115336</v>
      </c>
      <c r="HT18" s="213">
        <f t="shared" si="40"/>
        <v>8632645.2302115336</v>
      </c>
      <c r="HU18" s="213">
        <f t="shared" si="40"/>
        <v>8632645.2302115336</v>
      </c>
      <c r="HV18" s="213">
        <f t="shared" si="40"/>
        <v>8632645.2302115336</v>
      </c>
      <c r="HW18" s="213">
        <f t="shared" si="40"/>
        <v>8632645.2302115336</v>
      </c>
      <c r="HX18" s="213">
        <f t="shared" si="40"/>
        <v>8632645.2302115336</v>
      </c>
      <c r="HY18" s="213">
        <f t="shared" si="40"/>
        <v>8632645.2302115336</v>
      </c>
      <c r="HZ18" s="213">
        <f t="shared" si="40"/>
        <v>8632645.2302115336</v>
      </c>
      <c r="IA18" s="213">
        <f t="shared" si="40"/>
        <v>8632645.2302115336</v>
      </c>
      <c r="IB18" s="213">
        <f t="shared" si="40"/>
        <v>8632645.2302115336</v>
      </c>
      <c r="IC18" s="213">
        <f t="shared" si="40"/>
        <v>8632645.2302115336</v>
      </c>
      <c r="ID18" s="213">
        <f t="shared" si="40"/>
        <v>8632645.2302115336</v>
      </c>
      <c r="IE18" s="213">
        <f t="shared" si="40"/>
        <v>8632645.2302115336</v>
      </c>
      <c r="IF18" s="213">
        <f t="shared" si="40"/>
        <v>8632645.2302115336</v>
      </c>
      <c r="IG18" s="213">
        <f t="shared" si="40"/>
        <v>8632645.2302115336</v>
      </c>
      <c r="IH18" s="213">
        <f t="shared" si="40"/>
        <v>8632645.2302115336</v>
      </c>
      <c r="II18" s="213">
        <f t="shared" si="40"/>
        <v>8632645.2302115336</v>
      </c>
      <c r="IJ18" s="213">
        <f t="shared" si="40"/>
        <v>8632645.2302115336</v>
      </c>
      <c r="IK18" s="213">
        <f t="shared" si="40"/>
        <v>8632645.2302115336</v>
      </c>
      <c r="IL18" s="213">
        <f t="shared" si="40"/>
        <v>8632645.2302115336</v>
      </c>
      <c r="IM18" s="213">
        <f t="shared" si="40"/>
        <v>8632645.2302115336</v>
      </c>
      <c r="IN18" s="213">
        <f t="shared" si="40"/>
        <v>8632645.2302115336</v>
      </c>
      <c r="IO18" s="213">
        <f t="shared" si="40"/>
        <v>8632645.2302115336</v>
      </c>
      <c r="IP18" s="213">
        <f t="shared" si="40"/>
        <v>8632645.2302115336</v>
      </c>
      <c r="IQ18" s="213">
        <f t="shared" si="40"/>
        <v>8632645.2302115336</v>
      </c>
      <c r="IR18" s="213">
        <f t="shared" si="40"/>
        <v>8632645.2302115336</v>
      </c>
      <c r="IS18" s="213">
        <f t="shared" si="40"/>
        <v>8632645.2302115336</v>
      </c>
      <c r="IT18" s="213">
        <f t="shared" si="40"/>
        <v>8632645.2302115336</v>
      </c>
      <c r="IU18" s="213">
        <f t="shared" si="40"/>
        <v>8632645.2302115336</v>
      </c>
      <c r="IV18" s="213">
        <f t="shared" si="40"/>
        <v>8632645.2302115336</v>
      </c>
      <c r="IW18" s="213">
        <f t="shared" si="40"/>
        <v>8632645.2302115336</v>
      </c>
      <c r="IX18" s="213">
        <f t="shared" si="40"/>
        <v>8632645.2302115336</v>
      </c>
      <c r="IY18" s="213">
        <f t="shared" si="40"/>
        <v>8632645.2302115336</v>
      </c>
      <c r="IZ18" s="213">
        <f t="shared" si="40"/>
        <v>8632645.2302115336</v>
      </c>
      <c r="JA18" s="213">
        <f t="shared" si="40"/>
        <v>8632645.2302115336</v>
      </c>
      <c r="JB18" s="213">
        <f t="shared" si="40"/>
        <v>8632645.2302115336</v>
      </c>
      <c r="JC18" s="213">
        <f t="shared" si="40"/>
        <v>8632645.2302115336</v>
      </c>
      <c r="JD18" s="213">
        <f t="shared" si="40"/>
        <v>8632645.2302115336</v>
      </c>
      <c r="JE18" s="213">
        <f t="shared" ref="JE18:LD18" si="41">JD18+JE17</f>
        <v>8632645.2302115336</v>
      </c>
      <c r="JF18" s="213">
        <f t="shared" si="41"/>
        <v>8632645.2302115336</v>
      </c>
      <c r="JG18" s="213">
        <f t="shared" si="41"/>
        <v>8632645.2302115336</v>
      </c>
      <c r="JH18" s="213">
        <f t="shared" si="41"/>
        <v>8632645.2302115336</v>
      </c>
      <c r="JI18" s="213">
        <f t="shared" si="41"/>
        <v>8632645.2302115336</v>
      </c>
      <c r="JJ18" s="213">
        <f t="shared" si="41"/>
        <v>8632645.2302115336</v>
      </c>
      <c r="JK18" s="213">
        <f t="shared" si="41"/>
        <v>8632645.2302115336</v>
      </c>
      <c r="JL18" s="213">
        <f t="shared" si="41"/>
        <v>8632645.2302115336</v>
      </c>
      <c r="JM18" s="213">
        <f t="shared" si="41"/>
        <v>8632645.2302115336</v>
      </c>
      <c r="JN18" s="213">
        <f t="shared" si="41"/>
        <v>8632645.2302115336</v>
      </c>
      <c r="JO18" s="213">
        <f t="shared" si="41"/>
        <v>8632645.2302115336</v>
      </c>
      <c r="JP18" s="213">
        <f t="shared" si="41"/>
        <v>8632645.2302115336</v>
      </c>
      <c r="JQ18" s="213">
        <f t="shared" si="41"/>
        <v>8632645.2302115336</v>
      </c>
      <c r="JR18" s="213">
        <f t="shared" si="41"/>
        <v>8632645.2302115336</v>
      </c>
      <c r="JS18" s="213">
        <f t="shared" si="41"/>
        <v>8632645.2302115336</v>
      </c>
      <c r="JT18" s="213">
        <f t="shared" si="41"/>
        <v>8632645.2302115336</v>
      </c>
      <c r="JU18" s="213">
        <f t="shared" si="41"/>
        <v>8632645.2302115336</v>
      </c>
      <c r="JV18" s="213">
        <f t="shared" si="41"/>
        <v>8632645.2302115336</v>
      </c>
      <c r="JW18" s="213">
        <f t="shared" si="41"/>
        <v>8632645.2302115336</v>
      </c>
      <c r="JX18" s="213">
        <f t="shared" si="41"/>
        <v>8632645.2302115336</v>
      </c>
      <c r="JY18" s="213">
        <f t="shared" si="41"/>
        <v>8632645.2302115336</v>
      </c>
      <c r="JZ18" s="213">
        <f t="shared" si="41"/>
        <v>8632645.2302115336</v>
      </c>
      <c r="KA18" s="213">
        <f t="shared" si="41"/>
        <v>8632645.2302115336</v>
      </c>
      <c r="KB18" s="213">
        <f t="shared" si="41"/>
        <v>8632645.2302115336</v>
      </c>
      <c r="KC18" s="213">
        <f t="shared" si="41"/>
        <v>8632645.2302115336</v>
      </c>
      <c r="KD18" s="213">
        <f t="shared" si="41"/>
        <v>8632645.2302115336</v>
      </c>
      <c r="KE18" s="213">
        <f t="shared" si="41"/>
        <v>8632645.2302115336</v>
      </c>
      <c r="KF18" s="213">
        <f t="shared" si="41"/>
        <v>8632645.2302115336</v>
      </c>
      <c r="KG18" s="213">
        <f t="shared" si="41"/>
        <v>8632645.2302115336</v>
      </c>
      <c r="KH18" s="213">
        <f t="shared" si="41"/>
        <v>8632645.2302115336</v>
      </c>
      <c r="KI18" s="213">
        <f t="shared" si="41"/>
        <v>8632645.2302115336</v>
      </c>
      <c r="KJ18" s="213">
        <f t="shared" si="41"/>
        <v>8632645.2302115336</v>
      </c>
      <c r="KK18" s="213">
        <f t="shared" si="41"/>
        <v>8632645.2302115336</v>
      </c>
      <c r="KL18" s="213">
        <f t="shared" si="41"/>
        <v>8632645.2302115336</v>
      </c>
      <c r="KM18" s="213">
        <f t="shared" si="41"/>
        <v>8632645.2302115336</v>
      </c>
      <c r="KN18" s="213">
        <f t="shared" si="41"/>
        <v>8632645.2302115336</v>
      </c>
      <c r="KO18" s="213">
        <f t="shared" si="41"/>
        <v>8632645.2302115336</v>
      </c>
      <c r="KP18" s="213">
        <f t="shared" si="41"/>
        <v>8632645.2302115336</v>
      </c>
      <c r="KQ18" s="213">
        <f t="shared" si="41"/>
        <v>8632645.2302115336</v>
      </c>
      <c r="KR18" s="213">
        <f t="shared" si="41"/>
        <v>8632645.2302115336</v>
      </c>
      <c r="KS18" s="213">
        <f t="shared" si="41"/>
        <v>8632645.2302115336</v>
      </c>
      <c r="KT18" s="213">
        <f t="shared" si="41"/>
        <v>8632645.2302115336</v>
      </c>
      <c r="KU18" s="213">
        <f t="shared" si="41"/>
        <v>8632645.2302115336</v>
      </c>
      <c r="KV18" s="213">
        <f t="shared" si="41"/>
        <v>8632645.2302115336</v>
      </c>
      <c r="KW18" s="213">
        <f t="shared" si="41"/>
        <v>8632645.2302115336</v>
      </c>
      <c r="KX18" s="213">
        <f t="shared" si="41"/>
        <v>8632645.2302115336</v>
      </c>
      <c r="KY18" s="213">
        <f t="shared" si="41"/>
        <v>8632645.2302115336</v>
      </c>
      <c r="KZ18" s="213">
        <f t="shared" si="41"/>
        <v>8632645.2302115336</v>
      </c>
      <c r="LA18" s="213">
        <f t="shared" si="41"/>
        <v>8632645.2302115336</v>
      </c>
      <c r="LB18" s="213">
        <f t="shared" si="41"/>
        <v>8632645.2302115336</v>
      </c>
      <c r="LC18" s="213">
        <f t="shared" si="41"/>
        <v>8632645.2302115336</v>
      </c>
      <c r="LD18" s="213">
        <f t="shared" si="41"/>
        <v>8632645.2302115336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9.44140625" style="365" bestFit="1" customWidth="1"/>
    <col min="2" max="2" width="17.109375" style="366" bestFit="1" customWidth="1"/>
    <col min="3" max="3" width="12" style="365" bestFit="1" customWidth="1"/>
    <col min="4" max="4" width="10.44140625" style="365" bestFit="1" customWidth="1"/>
    <col min="5" max="5" width="12" style="365" bestFit="1" customWidth="1"/>
    <col min="6" max="7" width="14.88671875" style="365" bestFit="1" customWidth="1"/>
    <col min="8" max="8" width="10.44140625" style="365" bestFit="1" customWidth="1"/>
    <col min="9" max="9" width="12" style="365" bestFit="1" customWidth="1"/>
    <col min="10" max="10" width="14.88671875" style="365" bestFit="1" customWidth="1"/>
    <col min="11" max="11" width="11.88671875" style="365" bestFit="1" customWidth="1"/>
    <col min="12" max="12" width="4.88671875" style="365" bestFit="1" customWidth="1"/>
    <col min="13" max="14" width="13.33203125" style="365" bestFit="1" customWidth="1"/>
    <col min="15" max="15" width="14.88671875" style="365" bestFit="1" customWidth="1"/>
    <col min="16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408</v>
      </c>
      <c r="B3" s="446" t="s">
        <v>409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412</v>
      </c>
      <c r="P4"/>
      <c r="Q4"/>
      <c r="R4"/>
      <c r="S4"/>
      <c r="T4"/>
    </row>
    <row r="5" spans="1:20">
      <c r="A5" s="447" t="s">
        <v>411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249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/>
      <c r="O6" s="370">
        <v>1492013.321</v>
      </c>
      <c r="P6" s="370"/>
      <c r="Q6"/>
      <c r="R6"/>
      <c r="S6"/>
      <c r="T6"/>
    </row>
    <row r="7" spans="1:20">
      <c r="A7" s="447" t="s">
        <v>259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>
        <v>488339.37199999997</v>
      </c>
      <c r="P7" s="370"/>
      <c r="Q7"/>
      <c r="R7"/>
      <c r="S7"/>
      <c r="T7"/>
    </row>
    <row r="8" spans="1:20">
      <c r="A8" s="447" t="s">
        <v>274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221686.54130000001</v>
      </c>
      <c r="P8" s="370"/>
      <c r="Q8"/>
      <c r="R8"/>
      <c r="S8"/>
      <c r="T8"/>
    </row>
    <row r="9" spans="1:20">
      <c r="A9" s="447" t="s">
        <v>287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/>
      <c r="N9" s="370"/>
      <c r="O9" s="370">
        <v>641789.76450000005</v>
      </c>
      <c r="P9" s="370"/>
      <c r="Q9"/>
      <c r="R9"/>
      <c r="S9"/>
      <c r="T9"/>
    </row>
    <row r="10" spans="1:20">
      <c r="A10" s="447" t="s">
        <v>306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>
        <v>47453.8580247629</v>
      </c>
      <c r="N10" s="370"/>
      <c r="O10" s="370">
        <v>211406.29018722114</v>
      </c>
      <c r="P10" s="370"/>
      <c r="Q10"/>
      <c r="R10"/>
      <c r="S10"/>
      <c r="T10"/>
    </row>
    <row r="11" spans="1:20">
      <c r="A11" s="447" t="s">
        <v>319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>
        <v>692645.04460000002</v>
      </c>
      <c r="P11" s="370"/>
      <c r="Q11"/>
      <c r="R11"/>
      <c r="S11"/>
      <c r="T11"/>
    </row>
    <row r="12" spans="1:20">
      <c r="A12" s="447" t="s">
        <v>323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>
        <v>3993368.6954089673</v>
      </c>
      <c r="P12" s="370"/>
      <c r="Q12" s="370"/>
      <c r="R12"/>
      <c r="S12"/>
      <c r="T12"/>
    </row>
    <row r="13" spans="1:20">
      <c r="A13" s="447" t="s">
        <v>343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>
        <v>240388.823565</v>
      </c>
      <c r="N13" s="370"/>
      <c r="O13" s="370">
        <v>437070.58829999994</v>
      </c>
      <c r="P13" s="370"/>
      <c r="Q13"/>
      <c r="R13"/>
      <c r="S13"/>
      <c r="T13"/>
    </row>
    <row r="14" spans="1:20">
      <c r="A14" s="447" t="s">
        <v>346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>
        <v>37598.328507595026</v>
      </c>
      <c r="N14" s="370"/>
      <c r="O14" s="370">
        <v>68360.585023652311</v>
      </c>
      <c r="P14" s="370"/>
      <c r="Q14"/>
      <c r="R14"/>
      <c r="S14"/>
      <c r="T14"/>
    </row>
    <row r="15" spans="1:20">
      <c r="A15" s="447" t="s">
        <v>350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>
        <v>110643.52602625046</v>
      </c>
      <c r="P15" s="370"/>
      <c r="Q15"/>
      <c r="R15"/>
      <c r="S15"/>
      <c r="T15"/>
    </row>
    <row r="16" spans="1:20">
      <c r="A16" s="447" t="s">
        <v>362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>
        <v>266056.79300000001</v>
      </c>
      <c r="P16" s="370"/>
      <c r="Q16"/>
      <c r="R16"/>
      <c r="S16"/>
      <c r="T16"/>
    </row>
    <row r="17" spans="1:20">
      <c r="A17" s="447" t="s">
        <v>370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3847.5979177018603</v>
      </c>
      <c r="N17" s="370">
        <v>3724.5279177018601</v>
      </c>
      <c r="O17" s="370">
        <v>9264.7088654420386</v>
      </c>
      <c r="P17" s="370"/>
      <c r="Q17"/>
      <c r="R17"/>
      <c r="S17"/>
      <c r="T17"/>
    </row>
    <row r="18" spans="1:20">
      <c r="A18" s="447" t="s">
        <v>374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/>
      <c r="R18"/>
      <c r="S18"/>
      <c r="T18"/>
    </row>
    <row r="19" spans="1:20">
      <c r="A19" s="447" t="s">
        <v>359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321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412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329288.60801505978</v>
      </c>
      <c r="N21" s="370">
        <v>295870.43981653964</v>
      </c>
      <c r="O21" s="370">
        <v>8632645.2302115336</v>
      </c>
      <c r="P21" s="370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85" zoomScaleNormal="85" workbookViewId="0">
      <selection activeCell="K14" sqref="K14"/>
    </sheetView>
  </sheetViews>
  <sheetFormatPr defaultColWidth="8.44140625" defaultRowHeight="14.4"/>
  <cols>
    <col min="1" max="1" width="21.88671875" bestFit="1" customWidth="1"/>
    <col min="2" max="2" width="17.109375" style="407" bestFit="1" customWidth="1"/>
    <col min="3" max="3" width="12" style="407" bestFit="1" customWidth="1"/>
    <col min="4" max="4" width="10.44140625" style="407" bestFit="1" customWidth="1"/>
    <col min="5" max="5" width="12" style="407" bestFit="1" customWidth="1"/>
    <col min="6" max="7" width="14.88671875" style="407" bestFit="1" customWidth="1"/>
    <col min="8" max="8" width="10.44140625" style="407" bestFit="1" customWidth="1"/>
    <col min="9" max="9" width="13.33203125" style="407" bestFit="1" customWidth="1"/>
    <col min="10" max="10" width="14.88671875" bestFit="1" customWidth="1"/>
    <col min="11" max="11" width="11.88671875" bestFit="1" customWidth="1"/>
    <col min="12" max="12" width="13.88671875" bestFit="1" customWidth="1"/>
    <col min="13" max="14" width="13.33203125" bestFit="1" customWidth="1"/>
    <col min="15" max="15" width="14.88671875" bestFit="1" customWidth="1"/>
    <col min="16" max="16" width="14.109375" bestFit="1" customWidth="1"/>
    <col min="17" max="18" width="11.5546875" bestFit="1" customWidth="1"/>
    <col min="19" max="19" width="13.44140625" bestFit="1" customWidth="1"/>
  </cols>
  <sheetData>
    <row r="3" spans="1:16">
      <c r="A3" s="446" t="s">
        <v>413</v>
      </c>
      <c r="B3" s="446" t="s">
        <v>409</v>
      </c>
      <c r="C3"/>
      <c r="D3"/>
      <c r="E3"/>
      <c r="F3"/>
      <c r="G3"/>
      <c r="H3"/>
      <c r="I3"/>
    </row>
    <row r="4" spans="1:16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412</v>
      </c>
    </row>
    <row r="5" spans="1:16">
      <c r="A5" s="447" t="s">
        <v>411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249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/>
      <c r="O6" s="449">
        <v>885885</v>
      </c>
    </row>
    <row r="7" spans="1:16">
      <c r="A7" s="447" t="s">
        <v>259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>
        <v>216421.11</v>
      </c>
    </row>
    <row r="8" spans="1:16">
      <c r="A8" s="447" t="s">
        <v>274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/>
      <c r="O8" s="449">
        <v>122040.5</v>
      </c>
    </row>
    <row r="9" spans="1:16">
      <c r="A9" s="447" t="s">
        <v>287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/>
      <c r="N9" s="449"/>
      <c r="O9" s="449">
        <v>505372</v>
      </c>
    </row>
    <row r="10" spans="1:16">
      <c r="A10" s="447" t="s">
        <v>306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>
        <v>36324.44</v>
      </c>
      <c r="N10" s="449"/>
      <c r="O10" s="449">
        <v>124261.44</v>
      </c>
    </row>
    <row r="11" spans="1:16">
      <c r="A11" s="447" t="s">
        <v>319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>
        <v>235040</v>
      </c>
    </row>
    <row r="12" spans="1:16">
      <c r="A12" s="447" t="s">
        <v>323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>
        <v>4913552.3599999994</v>
      </c>
      <c r="P12" s="449"/>
    </row>
    <row r="13" spans="1:16">
      <c r="A13" s="447" t="s">
        <v>343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>
        <v>262185</v>
      </c>
      <c r="N13" s="449"/>
      <c r="O13" s="449">
        <v>476700</v>
      </c>
    </row>
    <row r="14" spans="1:16">
      <c r="A14" s="447" t="s">
        <v>346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>
        <v>83076.125</v>
      </c>
      <c r="N14" s="449"/>
      <c r="O14" s="449">
        <v>151047.48000000001</v>
      </c>
    </row>
    <row r="15" spans="1:16">
      <c r="A15" s="447" t="s">
        <v>350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>
        <v>65408.13</v>
      </c>
    </row>
    <row r="16" spans="1:16">
      <c r="A16" s="447" t="s">
        <v>362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>
        <v>247203.72349999999</v>
      </c>
    </row>
    <row r="17" spans="1:15">
      <c r="A17" s="447" t="s">
        <v>370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780</v>
      </c>
      <c r="N17" s="449">
        <v>780</v>
      </c>
      <c r="O17" s="449">
        <v>2312.0799999999626</v>
      </c>
    </row>
    <row r="18" spans="1:15">
      <c r="A18" s="447" t="s">
        <v>374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</row>
    <row r="19" spans="1:15">
      <c r="A19" s="447" t="s">
        <v>359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412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382365.565</v>
      </c>
      <c r="N21" s="449">
        <v>267332.72349999996</v>
      </c>
      <c r="O21" s="449">
        <v>7945243.8234999999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05" t="s">
        <v>414</v>
      </c>
      <c r="C2" s="805"/>
      <c r="D2" s="805"/>
      <c r="E2" s="805"/>
      <c r="H2" s="806" t="s">
        <v>415</v>
      </c>
      <c r="I2" s="807"/>
      <c r="J2" s="807"/>
      <c r="K2" s="807"/>
      <c r="L2" s="807"/>
      <c r="M2" s="807"/>
      <c r="N2" s="807"/>
      <c r="O2" s="808"/>
    </row>
    <row r="3" spans="2:15">
      <c r="B3" s="681"/>
      <c r="H3" s="809"/>
      <c r="I3" s="810"/>
      <c r="J3" s="810"/>
      <c r="K3" s="810"/>
      <c r="L3" s="810"/>
      <c r="M3" s="810"/>
      <c r="N3" s="810"/>
      <c r="O3" s="811"/>
    </row>
    <row r="4" spans="2:15">
      <c r="B4" s="682" t="s">
        <v>416</v>
      </c>
      <c r="C4" s="683" t="str">
        <f>'Project Plan'!E2</f>
        <v>Upper East Side Hotel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2" t="s">
        <v>417</v>
      </c>
      <c r="C5" s="683" t="s">
        <v>418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2" t="s">
        <v>419</v>
      </c>
      <c r="C6" s="683" t="s">
        <v>420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2" t="s">
        <v>421</v>
      </c>
      <c r="C7" s="683" t="s">
        <v>422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1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423</v>
      </c>
      <c r="C9" s="815"/>
      <c r="D9" s="815"/>
      <c r="E9" s="8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424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4" t="s">
        <v>425</v>
      </c>
      <c r="C11" s="804" t="s">
        <v>426</v>
      </c>
      <c r="D11" s="804"/>
      <c r="E11" s="804"/>
    </row>
    <row r="12" spans="2:15">
      <c r="B12" s="684" t="s">
        <v>427</v>
      </c>
      <c r="C12" s="804" t="s">
        <v>426</v>
      </c>
      <c r="D12" s="804"/>
      <c r="E12" s="804"/>
    </row>
    <row r="13" spans="2:15">
      <c r="B13" s="684" t="s">
        <v>428</v>
      </c>
      <c r="C13" s="804" t="s">
        <v>426</v>
      </c>
      <c r="D13" s="804"/>
      <c r="E13" s="804"/>
    </row>
    <row r="14" spans="2:15">
      <c r="B14" s="684" t="s">
        <v>429</v>
      </c>
      <c r="C14" s="804" t="s">
        <v>430</v>
      </c>
      <c r="D14" s="804"/>
      <c r="E14" s="804"/>
    </row>
    <row r="15" spans="2:15">
      <c r="B15" s="684" t="s">
        <v>431</v>
      </c>
      <c r="C15" s="804" t="s">
        <v>432</v>
      </c>
      <c r="D15" s="804"/>
      <c r="E15" s="804"/>
    </row>
    <row r="16" spans="2:15" ht="15" customHeight="1">
      <c r="B16" s="684" t="s">
        <v>433</v>
      </c>
      <c r="C16" s="804" t="s">
        <v>434</v>
      </c>
      <c r="D16" s="804"/>
      <c r="E16" s="804"/>
    </row>
    <row r="17" spans="2:5">
      <c r="B17" s="681"/>
    </row>
    <row r="18" spans="2:5">
      <c r="B18" s="816" t="s">
        <v>435</v>
      </c>
      <c r="C18" s="816"/>
      <c r="D18" s="816"/>
      <c r="E18" s="816"/>
    </row>
    <row r="19" spans="2:5">
      <c r="B19" s="684" t="s">
        <v>436</v>
      </c>
      <c r="C19" s="684" t="s">
        <v>437</v>
      </c>
      <c r="D19" s="684" t="s">
        <v>438</v>
      </c>
      <c r="E19" s="684" t="s">
        <v>142</v>
      </c>
    </row>
    <row r="20" spans="2:5" ht="15" customHeight="1">
      <c r="B20" s="684" t="s">
        <v>439</v>
      </c>
      <c r="C20" s="684" t="s">
        <v>440</v>
      </c>
      <c r="D20" s="685" t="s">
        <v>441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442</v>
      </c>
    </row>
    <row r="2" spans="1:4">
      <c r="A2" s="818"/>
      <c r="B2" s="818"/>
      <c r="C2" s="818"/>
      <c r="D2" s="71"/>
    </row>
    <row r="3" spans="1:4">
      <c r="A3" s="817" t="s">
        <v>443</v>
      </c>
      <c r="B3" s="817"/>
      <c r="C3" s="817"/>
      <c r="D3" s="110">
        <v>0.32</v>
      </c>
    </row>
    <row r="4" spans="1:4">
      <c r="A4" s="817" t="s">
        <v>383</v>
      </c>
      <c r="B4" s="817"/>
      <c r="C4" s="817"/>
      <c r="D4" s="110">
        <v>0.5</v>
      </c>
    </row>
    <row r="5" spans="1:4">
      <c r="A5" s="817" t="s">
        <v>394</v>
      </c>
      <c r="B5" s="817"/>
      <c r="C5" s="817"/>
      <c r="D5" s="110">
        <v>0.15</v>
      </c>
    </row>
    <row r="6" spans="1:4">
      <c r="A6" s="817" t="s">
        <v>444</v>
      </c>
      <c r="B6" s="817"/>
      <c r="C6" s="817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109375" style="87" bestFit="1" customWidth="1"/>
    <col min="5" max="5" width="3.109375" style="87" customWidth="1"/>
    <col min="6" max="6" width="15.44140625" style="87" customWidth="1"/>
    <col min="7" max="7" width="2.44140625" style="87" customWidth="1"/>
    <col min="8" max="8" width="16.109375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.109375" style="87" bestFit="1" customWidth="1"/>
    <col min="13" max="13" width="2.88671875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19" t="s">
        <v>445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>
      <c r="B4" s="91" t="s">
        <v>446</v>
      </c>
      <c r="C4" s="85"/>
      <c r="D4" s="89" t="s">
        <v>447</v>
      </c>
      <c r="E4" s="94"/>
      <c r="F4" s="89" t="s">
        <v>448</v>
      </c>
      <c r="H4" s="89" t="s">
        <v>449</v>
      </c>
      <c r="I4" s="94"/>
      <c r="J4" s="89" t="s">
        <v>450</v>
      </c>
      <c r="L4" s="89" t="s">
        <v>449</v>
      </c>
      <c r="M4" s="89"/>
      <c r="N4" s="89" t="s">
        <v>451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452</v>
      </c>
      <c r="H7" s="98"/>
      <c r="I7" s="94"/>
      <c r="J7" s="106" t="s">
        <v>452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257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257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453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454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455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452</v>
      </c>
      <c r="H15" s="98"/>
      <c r="I15" s="94"/>
      <c r="J15" s="106" t="s">
        <v>452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456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456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455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452</v>
      </c>
      <c r="H21" s="98"/>
      <c r="I21" s="94"/>
      <c r="J21" s="106" t="s">
        <v>452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455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452</v>
      </c>
      <c r="H27" s="98"/>
      <c r="I27" s="94"/>
      <c r="J27" s="106" t="s">
        <v>452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457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455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452</v>
      </c>
      <c r="H34" s="98"/>
      <c r="I34" s="94"/>
      <c r="J34" s="106" t="s">
        <v>452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458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459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460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461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462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463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464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109375" style="87" bestFit="1" customWidth="1"/>
    <col min="5" max="5" width="7" style="87" customWidth="1"/>
    <col min="6" max="6" width="3.109375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.109375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6640625" style="87" customWidth="1"/>
    <col min="15" max="15" width="14.109375" style="87" bestFit="1" customWidth="1"/>
    <col min="16" max="16384" width="9.44140625" style="87"/>
  </cols>
  <sheetData>
    <row r="2" spans="2:15" s="93" customFormat="1" ht="17.399999999999999">
      <c r="B2" s="819" t="s">
        <v>466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>
      <c r="B4" s="91" t="s">
        <v>446</v>
      </c>
      <c r="C4" s="85"/>
      <c r="D4" s="89" t="s">
        <v>447</v>
      </c>
      <c r="E4" s="94"/>
      <c r="F4" s="94"/>
      <c r="G4" s="89" t="s">
        <v>467</v>
      </c>
      <c r="H4" s="95"/>
      <c r="J4" s="89" t="s">
        <v>449</v>
      </c>
      <c r="L4" s="89" t="s">
        <v>468</v>
      </c>
      <c r="M4" s="95"/>
      <c r="O4" s="89" t="s">
        <v>449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256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469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270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464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446</v>
      </c>
      <c r="C18" s="85"/>
      <c r="D18" s="89" t="s">
        <v>447</v>
      </c>
      <c r="E18" s="94"/>
      <c r="F18" s="94"/>
      <c r="G18" s="89" t="s">
        <v>470</v>
      </c>
      <c r="H18" s="95"/>
      <c r="J18" s="89" t="s">
        <v>449</v>
      </c>
      <c r="L18" s="89" t="s">
        <v>471</v>
      </c>
      <c r="M18" s="95"/>
      <c r="O18" s="89" t="s">
        <v>449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472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473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474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475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270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476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464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477</v>
      </c>
      <c r="C32" s="102"/>
      <c r="D32" s="102"/>
    </row>
    <row r="33" spans="2:4" ht="13.8" thickTop="1"/>
    <row r="34" spans="2:4">
      <c r="B34" s="87" t="s">
        <v>447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109375" customWidth="1"/>
    <col min="10" max="10" width="19.5546875" bestFit="1" customWidth="1"/>
  </cols>
  <sheetData>
    <row r="1" spans="2:14">
      <c r="B1" s="821" t="str">
        <f>D15</f>
        <v>Upper East Side Hotel</v>
      </c>
      <c r="C1" s="821"/>
      <c r="D1" s="821"/>
      <c r="E1" s="820" t="s">
        <v>479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74</v>
      </c>
      <c r="H3" s="78" t="s">
        <v>141</v>
      </c>
      <c r="I3" s="78" t="s">
        <v>142</v>
      </c>
      <c r="J3" s="78" t="s">
        <v>143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2026-02-11T08:28:28Z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