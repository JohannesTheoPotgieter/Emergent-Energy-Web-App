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3" documentId="6_{E157CBFA-00D7-4F4F-B939-4A387270890B}" xr6:coauthVersionLast="47" xr6:coauthVersionMax="47" xr10:uidLastSave="{26FF8639-F3EF-497D-A130-93726C5ED5FB}"/>
  <bookViews>
    <workbookView xWindow="-110" yWindow="-110" windowWidth="19420" windowHeight="11500" tabRatio="878" firstSheet="4" activeTab="4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<sst xmlns="http://schemas.openxmlformats.org/spreadsheetml/2006/main" count="871" uniqueCount="500">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</sst>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26953125" style="24" bestFit="1" customWidth="1"/>
    <col min="8" max="8" width="20.453125" style="24" bestFit="1" customWidth="1"/>
    <col min="9" max="9" width="3.269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34" t="s">
        <v>73</v>
      </c>
      <c r="C2" s="734"/>
      <c r="D2" s="734"/>
      <c r="E2" s="734"/>
      <c r="H2" s="735" t="s">
        <v>74</v>
      </c>
      <c r="I2" s="736"/>
      <c r="J2" s="736"/>
      <c r="K2" s="736"/>
      <c r="L2" s="736"/>
      <c r="M2" s="736"/>
      <c r="N2" s="736"/>
      <c r="O2" s="737"/>
    </row>
    <row r="3" spans="2:15">
      <c r="B3" s="679"/>
      <c r="H3" s="738"/>
      <c r="I3" s="739"/>
      <c r="J3" s="739"/>
      <c r="K3" s="739"/>
      <c r="L3" s="739"/>
      <c r="M3" s="739"/>
      <c r="N3" s="739"/>
      <c r="O3" s="740"/>
    </row>
    <row r="4" spans="2:15">
      <c r="B4" s="680" t="s">
        <v>75</v>
      </c>
      <c r="C4" s="681" t="str">
        <f>'Project Plan'!E2</f>
        <v>Marikana Old Church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80" t="s">
        <v>76</v>
      </c>
      <c r="C5" s="681" t="s">
        <v>77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80" t="s">
        <v>78</v>
      </c>
      <c r="C6" s="681" t="s">
        <v>79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80" t="s">
        <v>80</v>
      </c>
      <c r="C7" s="681" t="s">
        <v>81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79"/>
      <c r="H8" s="738"/>
      <c r="I8" s="739"/>
      <c r="J8" s="739"/>
      <c r="K8" s="739"/>
      <c r="L8" s="739"/>
      <c r="M8" s="739"/>
      <c r="N8" s="739"/>
      <c r="O8" s="740"/>
    </row>
    <row r="9" spans="2:15">
      <c r="B9" s="744" t="s">
        <v>82</v>
      </c>
      <c r="C9" s="744"/>
      <c r="D9" s="744"/>
      <c r="E9" s="74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38"/>
      <c r="I9" s="739"/>
      <c r="J9" s="739"/>
      <c r="K9" s="739"/>
      <c r="L9" s="739"/>
      <c r="M9" s="739"/>
      <c r="N9" s="739"/>
      <c r="O9" s="740"/>
    </row>
    <row r="10" spans="2:15" ht="15" thickBot="1">
      <c r="B10" s="744" t="s">
        <v>83</v>
      </c>
      <c r="C10" s="744"/>
      <c r="D10" s="744"/>
      <c r="E10" s="744"/>
      <c r="H10" s="741"/>
      <c r="I10" s="742"/>
      <c r="J10" s="742"/>
      <c r="K10" s="742"/>
      <c r="L10" s="742"/>
      <c r="M10" s="742"/>
      <c r="N10" s="742"/>
      <c r="O10" s="743"/>
    </row>
    <row r="11" spans="2:15">
      <c r="B11" s="682" t="s">
        <v>84</v>
      </c>
      <c r="C11" s="732" t="s">
        <v>85</v>
      </c>
      <c r="D11" s="732"/>
      <c r="E11" s="732"/>
    </row>
    <row r="12" spans="2:15">
      <c r="B12" s="682" t="s">
        <v>86</v>
      </c>
      <c r="C12" s="732" t="s">
        <v>85</v>
      </c>
      <c r="D12" s="732"/>
      <c r="E12" s="732"/>
    </row>
    <row r="13" spans="2:15">
      <c r="B13" s="682" t="s">
        <v>87</v>
      </c>
      <c r="C13" s="732" t="s">
        <v>85</v>
      </c>
      <c r="D13" s="732"/>
      <c r="E13" s="732"/>
    </row>
    <row r="14" spans="2:15">
      <c r="B14" s="682" t="s">
        <v>88</v>
      </c>
      <c r="C14" s="732" t="s">
        <v>89</v>
      </c>
      <c r="D14" s="732"/>
      <c r="E14" s="732"/>
    </row>
    <row r="15" spans="2:15">
      <c r="B15" s="682" t="s">
        <v>90</v>
      </c>
      <c r="C15" s="732" t="s">
        <v>91</v>
      </c>
      <c r="D15" s="732"/>
      <c r="E15" s="732"/>
    </row>
    <row r="16" spans="2:15" ht="15" customHeight="1">
      <c r="B16" s="682" t="s">
        <v>92</v>
      </c>
      <c r="C16" s="732" t="s">
        <v>93</v>
      </c>
      <c r="D16" s="732"/>
      <c r="E16" s="732"/>
    </row>
    <row r="17" spans="2:5">
      <c r="B17" s="679"/>
    </row>
    <row r="18" spans="2:5">
      <c r="B18" s="733" t="s">
        <v>94</v>
      </c>
      <c r="C18" s="733"/>
      <c r="D18" s="733"/>
      <c r="E18" s="733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53125" defaultRowHeight="14.5"/>
  <cols>
    <col min="1" max="1" width="5.26953125" style="93" customWidth="1"/>
    <col min="2" max="2" width="5.2695312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7265625" style="129" bestFit="1" customWidth="1"/>
    <col min="8" max="8" width="15.453125" style="129" customWidth="1"/>
    <col min="9" max="9" width="1.7265625" style="129" customWidth="1"/>
    <col min="10" max="10" width="3.7265625" style="93" customWidth="1"/>
    <col min="11" max="11" width="1.7265625" style="175" customWidth="1"/>
    <col min="12" max="12" width="29.453125" style="93" customWidth="1"/>
    <col min="13" max="13" width="1.7265625" style="129" customWidth="1"/>
    <col min="14" max="14" width="29.453125" style="129" customWidth="1"/>
    <col min="15" max="15" width="1.453125" style="93" customWidth="1"/>
    <col min="16" max="16" width="18.26953125" style="129" bestFit="1" customWidth="1"/>
    <col min="17" max="17" width="14.7265625" style="129" bestFit="1" customWidth="1"/>
    <col min="18" max="18" width="19" style="129" customWidth="1"/>
    <col min="19" max="19" width="15.54296875" style="93" bestFit="1" customWidth="1"/>
    <col min="20" max="20" width="18.26953125" style="129" bestFit="1" customWidth="1"/>
    <col min="21" max="21" width="14.7265625" style="93" bestFit="1" customWidth="1"/>
    <col min="22" max="23" width="8.453125" style="93"/>
    <col min="24" max="24" width="5.269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2695312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3">
      <c r="B13" s="352">
        <v>1</v>
      </c>
      <c r="C13" s="747" t="s">
        <v>130</v>
      </c>
      <c r="D13" s="748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47" t="s">
        <v>132</v>
      </c>
      <c r="D14" s="748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2.5">
      <c r="B15" s="352">
        <v>3</v>
      </c>
      <c r="C15" s="747" t="s">
        <v>133</v>
      </c>
      <c r="D15" s="748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2.5">
      <c r="B16" s="352">
        <v>4</v>
      </c>
      <c r="C16" s="745" t="s">
        <v>134</v>
      </c>
      <c r="D16" s="746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2.5">
      <c r="B17" s="352">
        <v>5</v>
      </c>
      <c r="C17" s="745" t="s">
        <v>135</v>
      </c>
      <c r="D17" s="746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2.5">
      <c r="B18" s="352">
        <v>6</v>
      </c>
      <c r="C18" s="745" t="s">
        <v>54</v>
      </c>
      <c r="D18" s="746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2.5">
      <c r="B19" s="352">
        <v>7</v>
      </c>
      <c r="C19" s="747" t="s">
        <v>136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2.5">
      <c r="C24" s="147" t="s">
        <v>139</v>
      </c>
      <c r="D24" s="148"/>
      <c r="F24" s="149"/>
    </row>
    <row r="25" spans="2:18" s="93" customFormat="1" ht="12.5">
      <c r="C25" s="147" t="s">
        <v>140</v>
      </c>
      <c r="D25" s="148"/>
    </row>
    <row r="26" spans="2:18" s="93" customFormat="1" ht="12.5">
      <c r="C26" s="150" t="s">
        <v>141</v>
      </c>
      <c r="D26" s="151"/>
    </row>
    <row r="27" spans="2:18" s="93" customFormat="1" ht="12.5">
      <c r="C27" s="152" t="s">
        <v>142</v>
      </c>
      <c r="D27" s="148"/>
    </row>
    <row r="28" spans="2:18" s="93" customFormat="1" ht="12.5">
      <c r="B28" s="117"/>
      <c r="C28" s="152" t="s">
        <v>143</v>
      </c>
      <c r="D28" s="148"/>
    </row>
    <row r="29" spans="2:18" s="93" customFormat="1" ht="12.5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5" zoomScale="72" zoomScaleNormal="100" workbookViewId="0">
      <selection activeCell="H49" sqref="H49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269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26953125" style="112" customWidth="1"/>
    <col min="14" max="14" width="10.7265625" style="112" bestFit="1" customWidth="1"/>
    <col min="15" max="15" width="39.453125" style="112" bestFit="1" customWidth="1"/>
    <col min="16" max="16" width="1.453125" style="112" customWidth="1"/>
    <col min="17" max="17" width="5.2695312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>
      <c r="B2" s="176"/>
      <c r="C2" s="177" t="s">
        <v>0</v>
      </c>
      <c r="D2" s="178"/>
      <c r="E2" s="711" t="s">
        <v>149</v>
      </c>
      <c r="F2" s="712"/>
      <c r="G2" s="712"/>
      <c r="H2" s="713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14" t="s">
        <v>81</v>
      </c>
      <c r="F4" s="715"/>
      <c r="G4" s="715"/>
      <c r="H4" s="716"/>
      <c r="J4" s="113"/>
      <c r="Q4" s="3"/>
    </row>
    <row r="5" spans="2:28" s="112" customFormat="1">
      <c r="B5" s="179"/>
      <c r="C5" s="180" t="s">
        <v>152</v>
      </c>
      <c r="D5" s="178"/>
      <c r="E5" s="714" t="s">
        <v>153</v>
      </c>
      <c r="F5" s="715"/>
      <c r="G5" s="715"/>
      <c r="H5" s="716"/>
      <c r="J5" s="113"/>
      <c r="Q5" s="3"/>
    </row>
    <row r="6" spans="2:28">
      <c r="B6" s="184"/>
      <c r="C6" s="185" t="s">
        <v>154</v>
      </c>
      <c r="D6" s="178"/>
      <c r="E6" s="717">
        <v>2037106</v>
      </c>
      <c r="F6" s="718"/>
      <c r="G6" s="718"/>
      <c r="H6" s="719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23" t="s">
        <v>121</v>
      </c>
      <c r="C8" s="724" t="s">
        <v>156</v>
      </c>
      <c r="D8" s="215"/>
      <c r="E8" s="722" t="s">
        <v>157</v>
      </c>
      <c r="F8" s="237" t="s">
        <v>158</v>
      </c>
      <c r="G8" s="722" t="s">
        <v>159</v>
      </c>
      <c r="H8" s="238"/>
      <c r="I8" s="722" t="s">
        <v>160</v>
      </c>
      <c r="J8" s="237" t="s">
        <v>158</v>
      </c>
      <c r="K8" s="722" t="s">
        <v>161</v>
      </c>
      <c r="M8" s="412" t="s">
        <v>60</v>
      </c>
      <c r="N8" s="674" t="s">
        <v>162</v>
      </c>
      <c r="O8" s="720" t="s">
        <v>163</v>
      </c>
      <c r="Z8" s="112"/>
      <c r="AA8" s="112"/>
      <c r="AB8" s="112"/>
    </row>
    <row r="9" spans="2:28">
      <c r="B9" s="723"/>
      <c r="C9" s="724"/>
      <c r="D9" s="215"/>
      <c r="E9" s="722"/>
      <c r="F9" s="126">
        <f>G41-E19</f>
        <v>33</v>
      </c>
      <c r="G9" s="722"/>
      <c r="H9" s="238"/>
      <c r="I9" s="722"/>
      <c r="J9" s="127">
        <f>K41-I19</f>
        <v>77</v>
      </c>
      <c r="K9" s="722"/>
      <c r="M9" s="362">
        <f>AVERAGE(M11,M18,M21,M28,M35,M39,M46,M43)</f>
        <v>1</v>
      </c>
      <c r="N9" s="362">
        <f ca="1">AVERAGE(N11,N18,N21,N28,N35,N39,N46,N43)</f>
        <v>1</v>
      </c>
      <c r="O9" s="72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269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3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3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H7" sqref="H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72656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5" thickBot="1">
      <c r="A5" s="215"/>
      <c r="B5" s="750" t="s">
        <v>239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S152" sqref="S15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1.54296875" style="70" hidden="1" customWidth="1"/>
    <col min="6" max="6" width="16.54296875" style="475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26953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6" width="17.7265625" style="112" customWidth="1"/>
    <col min="17" max="17" width="17.453125" style="112" customWidth="1"/>
    <col min="18" max="18" width="49.7265625" style="112" bestFit="1" customWidth="1"/>
    <col min="19" max="19" width="38" style="112" bestFit="1" customWidth="1"/>
    <col min="20" max="23" width="17.453125" style="112" customWidth="1"/>
    <col min="24" max="24" width="21.26953125" style="112" customWidth="1"/>
    <col min="25" max="25" width="29.453125" style="112" bestFit="1" customWidth="1"/>
    <col min="26" max="26" width="24.7265625" style="112" bestFit="1" customWidth="1"/>
    <col min="27" max="76" width="17.72656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1" t="s">
        <v>246</v>
      </c>
      <c r="C2" s="792"/>
      <c r="D2" s="792"/>
      <c r="E2" s="792"/>
      <c r="F2" s="792"/>
      <c r="G2" s="792"/>
      <c r="H2" s="673"/>
      <c r="I2" s="258">
        <f>SUM(I6:I166)</f>
        <v>1814310.4740773505</v>
      </c>
      <c r="J2" s="258">
        <f>SUM(J6:J166)</f>
        <v>2037105.6725337615</v>
      </c>
      <c r="L2" s="793" t="s">
        <v>247</v>
      </c>
      <c r="M2" s="794"/>
      <c r="N2" s="794"/>
      <c r="O2" s="794"/>
      <c r="P2" s="794"/>
      <c r="Q2" s="794"/>
      <c r="R2" s="795" t="s">
        <v>248</v>
      </c>
      <c r="S2" s="796"/>
      <c r="T2" s="796"/>
      <c r="U2" s="796"/>
      <c r="V2" s="796"/>
      <c r="W2" s="797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51">
        <f>SUM(G6:G11)</f>
        <v>388725.5</v>
      </c>
      <c r="J6" s="751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63">
        <f>J6-SUM(U6:U11)</f>
        <v>0</v>
      </c>
      <c r="W6" s="534">
        <v>45867</v>
      </c>
      <c r="X6" s="754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52"/>
      <c r="J7" s="752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64"/>
      <c r="W7" s="572"/>
      <c r="X7" s="755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52"/>
      <c r="J8" s="752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64"/>
      <c r="W8" s="572"/>
      <c r="X8" s="755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52"/>
      <c r="J9" s="752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64"/>
      <c r="W9" s="573"/>
      <c r="X9" s="755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52"/>
      <c r="J10" s="752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64"/>
      <c r="W10" s="573"/>
      <c r="X10" s="75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53"/>
      <c r="J11" s="753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65"/>
      <c r="W11" s="574"/>
      <c r="X11" s="756"/>
      <c r="Y11" s="604" t="s">
        <v>269</v>
      </c>
      <c r="Z11" s="605" t="s">
        <v>270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82">
        <f>SUM(G13:G19)</f>
        <v>160000</v>
      </c>
      <c r="J13" s="782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773">
        <f>J13-SUM(U13:U19)</f>
        <v>0</v>
      </c>
      <c r="W13" s="537">
        <v>45867</v>
      </c>
      <c r="X13" s="785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83"/>
      <c r="J14" s="783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74"/>
      <c r="W14" s="577"/>
      <c r="X14" s="786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83"/>
      <c r="J15" s="783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74"/>
      <c r="W15" s="577"/>
      <c r="X15" s="786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83"/>
      <c r="J16" s="783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74"/>
      <c r="W16" s="577"/>
      <c r="X16" s="786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83"/>
      <c r="J17" s="783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74"/>
      <c r="W17" s="577"/>
      <c r="X17" s="786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83"/>
      <c r="J18" s="783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74"/>
      <c r="W18" s="577"/>
      <c r="X18" s="786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84"/>
      <c r="J19" s="784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75"/>
      <c r="W19" s="578"/>
      <c r="X19" s="787"/>
      <c r="Y19" s="606" t="s">
        <v>282</v>
      </c>
      <c r="Z19" s="607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51">
        <f>SUM(G21:G26)</f>
        <v>142681.5</v>
      </c>
      <c r="J21" s="751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63">
        <f>J21-SUM(U21:U26)</f>
        <v>-2.078571415040642E-3</v>
      </c>
      <c r="W21" s="539">
        <v>45867</v>
      </c>
      <c r="X21" s="754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52"/>
      <c r="J22" s="752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64"/>
      <c r="W22" s="572"/>
      <c r="X22" s="755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52"/>
      <c r="J23" s="752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64"/>
      <c r="W23" s="572"/>
      <c r="X23" s="755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52"/>
      <c r="J24" s="752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64"/>
      <c r="W24" s="573"/>
      <c r="X24" s="755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52"/>
      <c r="J25" s="752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64"/>
      <c r="W25" s="573"/>
      <c r="X25" s="75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53"/>
      <c r="J26" s="753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65"/>
      <c r="W26" s="574"/>
      <c r="X26" s="756"/>
      <c r="Y26" s="612" t="s">
        <v>103</v>
      </c>
      <c r="Z26" s="613" t="s">
        <v>292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82">
        <f>SUM(G28:G42)</f>
        <v>145542.5</v>
      </c>
      <c r="J28" s="782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773">
        <f>J28-SUM(U28:U42)</f>
        <v>0</v>
      </c>
      <c r="W28" s="537">
        <v>45867</v>
      </c>
      <c r="X28" s="78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83"/>
      <c r="J29" s="783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74"/>
      <c r="W29" s="577"/>
      <c r="X29" s="78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83"/>
      <c r="J30" s="783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74"/>
      <c r="W30" s="577"/>
      <c r="X30" s="78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83"/>
      <c r="J31" s="783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74"/>
      <c r="W31" s="577"/>
      <c r="X31" s="786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83"/>
      <c r="J32" s="783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76" t="s">
        <v>299</v>
      </c>
      <c r="S32" s="628" t="s">
        <v>300</v>
      </c>
      <c r="T32" s="653">
        <v>45808</v>
      </c>
      <c r="U32" s="657">
        <v>7235.668940379328</v>
      </c>
      <c r="V32" s="774"/>
      <c r="W32" s="538">
        <f>W91</f>
        <v>45813</v>
      </c>
      <c r="X32" s="786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83"/>
      <c r="J33" s="783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77"/>
      <c r="S33" s="628" t="s">
        <v>302</v>
      </c>
      <c r="T33" s="653">
        <v>45838</v>
      </c>
      <c r="U33" s="657">
        <v>10853.50341056899</v>
      </c>
      <c r="V33" s="774"/>
      <c r="W33" s="538">
        <f t="shared" ref="W33:W39" si="4">W92</f>
        <v>45869</v>
      </c>
      <c r="X33" s="786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83"/>
      <c r="J34" s="783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77"/>
      <c r="S34" s="628" t="s">
        <v>305</v>
      </c>
      <c r="T34" s="653">
        <v>45869</v>
      </c>
      <c r="U34" s="657">
        <v>14471.337880758656</v>
      </c>
      <c r="V34" s="774"/>
      <c r="W34" s="538">
        <f t="shared" si="4"/>
        <v>45954</v>
      </c>
      <c r="X34" s="78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83"/>
      <c r="J35" s="783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77"/>
      <c r="S35" s="628" t="s">
        <v>305</v>
      </c>
      <c r="T35" s="653">
        <v>45869</v>
      </c>
      <c r="U35" s="657">
        <v>18089.17235094832</v>
      </c>
      <c r="V35" s="774"/>
      <c r="W35" s="538">
        <f t="shared" si="4"/>
        <v>45954</v>
      </c>
      <c r="X35" s="78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83"/>
      <c r="J36" s="783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77"/>
      <c r="S36" s="628" t="s">
        <v>305</v>
      </c>
      <c r="T36" s="653">
        <v>45869</v>
      </c>
      <c r="U36" s="657">
        <v>7235.668940379328</v>
      </c>
      <c r="V36" s="774"/>
      <c r="W36" s="689">
        <f t="shared" si="4"/>
        <v>45960</v>
      </c>
      <c r="X36" s="786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83"/>
      <c r="J37" s="783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77"/>
      <c r="S37" s="628" t="s">
        <v>305</v>
      </c>
      <c r="T37" s="653">
        <v>45869</v>
      </c>
      <c r="U37" s="657">
        <v>7235.668940379328</v>
      </c>
      <c r="V37" s="774"/>
      <c r="W37" s="538">
        <v>46051</v>
      </c>
      <c r="X37" s="786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83"/>
      <c r="J38" s="783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77"/>
      <c r="S38" s="628" t="s">
        <v>305</v>
      </c>
      <c r="T38" s="653">
        <v>45869</v>
      </c>
      <c r="U38" s="657">
        <v>3617.834470189664</v>
      </c>
      <c r="V38" s="774"/>
      <c r="W38" s="538">
        <f t="shared" si="4"/>
        <v>46058</v>
      </c>
      <c r="X38" s="786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83"/>
      <c r="J39" s="783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78"/>
      <c r="S39" s="628" t="s">
        <v>305</v>
      </c>
      <c r="T39" s="653">
        <v>45869</v>
      </c>
      <c r="U39" s="657">
        <v>3617.834470189664</v>
      </c>
      <c r="V39" s="774"/>
      <c r="W39" s="577">
        <f t="shared" si="4"/>
        <v>46088</v>
      </c>
      <c r="X39" s="786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83"/>
      <c r="J40" s="783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74"/>
      <c r="W40" s="577"/>
      <c r="X40" s="78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83"/>
      <c r="J41" s="783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74"/>
      <c r="W41" s="577"/>
      <c r="X41" s="78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84"/>
      <c r="J42" s="784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75"/>
      <c r="W42" s="578"/>
      <c r="X42" s="787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51">
        <f>SUM(G44:G51)</f>
        <v>49000</v>
      </c>
      <c r="J44" s="751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63">
        <f>J44-SUM(U44:U51)</f>
        <v>-5.4447088768938556E-4</v>
      </c>
      <c r="W44" s="539">
        <v>45855</v>
      </c>
      <c r="X44" s="754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52"/>
      <c r="J45" s="752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64"/>
      <c r="W45" s="535">
        <v>45806</v>
      </c>
      <c r="X45" s="755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52"/>
      <c r="J46" s="752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64"/>
      <c r="W46" s="669">
        <v>45867</v>
      </c>
      <c r="X46" s="755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52"/>
      <c r="J47" s="752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64"/>
      <c r="W47" s="535">
        <f>T47</f>
        <v>45838</v>
      </c>
      <c r="X47" s="755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52"/>
      <c r="J48" s="752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64"/>
      <c r="W48" s="535">
        <v>45799</v>
      </c>
      <c r="X48" s="755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52"/>
      <c r="J49" s="752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64"/>
      <c r="W49" s="573"/>
      <c r="X49" s="75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52"/>
      <c r="J50" s="752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64"/>
      <c r="W50" s="573"/>
      <c r="X50" s="755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53"/>
      <c r="J51" s="753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65"/>
      <c r="W51" s="574"/>
      <c r="X51" s="756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82">
        <f>SUM(G53:G69)</f>
        <v>282181.81739130436</v>
      </c>
      <c r="J53" s="782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73">
        <f>J53-SUM(U53:U69)</f>
        <v>-2.4396576918661594E-4</v>
      </c>
      <c r="W53" s="576"/>
      <c r="X53" s="78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83"/>
      <c r="J54" s="783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774"/>
      <c r="W54" s="538">
        <v>45899</v>
      </c>
      <c r="X54" s="78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83"/>
      <c r="J55" s="783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74"/>
      <c r="W55" s="577"/>
      <c r="X55" s="78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83"/>
      <c r="J56" s="783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74"/>
      <c r="W56" s="577"/>
      <c r="X56" s="78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83"/>
      <c r="J57" s="783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74"/>
      <c r="W57" s="577"/>
      <c r="X57" s="78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83"/>
      <c r="J58" s="783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74"/>
      <c r="W58" s="577"/>
      <c r="X58" s="78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83"/>
      <c r="J59" s="783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76" t="s">
        <v>299</v>
      </c>
      <c r="S59" s="628" t="s">
        <v>300</v>
      </c>
      <c r="T59" s="653">
        <v>45808</v>
      </c>
      <c r="U59" s="657">
        <v>21761.295102978322</v>
      </c>
      <c r="V59" s="774"/>
      <c r="W59" s="538">
        <f>W91</f>
        <v>45813</v>
      </c>
      <c r="X59" s="78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83"/>
      <c r="J60" s="783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77"/>
      <c r="S60" s="628" t="s">
        <v>302</v>
      </c>
      <c r="T60" s="653">
        <v>45838</v>
      </c>
      <c r="U60" s="657">
        <v>32641.942654467482</v>
      </c>
      <c r="V60" s="774"/>
      <c r="W60" s="538">
        <f t="shared" ref="W60:W66" si="8">W92</f>
        <v>45869</v>
      </c>
      <c r="X60" s="78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83"/>
      <c r="J61" s="783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77"/>
      <c r="S61" s="628" t="s">
        <v>305</v>
      </c>
      <c r="T61" s="653">
        <v>45869</v>
      </c>
      <c r="U61" s="657">
        <v>43133.054010784013</v>
      </c>
      <c r="V61" s="774"/>
      <c r="W61" s="538">
        <f t="shared" si="8"/>
        <v>45954</v>
      </c>
      <c r="X61" s="78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83"/>
      <c r="J62" s="783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77"/>
      <c r="S62" s="628" t="s">
        <v>305</v>
      </c>
      <c r="T62" s="653">
        <v>45869</v>
      </c>
      <c r="U62" s="657">
        <v>53916.317513480011</v>
      </c>
      <c r="V62" s="774"/>
      <c r="W62" s="538">
        <f t="shared" si="8"/>
        <v>45954</v>
      </c>
      <c r="X62" s="78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83"/>
      <c r="J63" s="783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77"/>
      <c r="S63" s="628" t="s">
        <v>305</v>
      </c>
      <c r="T63" s="653">
        <v>45869</v>
      </c>
      <c r="U63" s="657">
        <v>21566.527005392007</v>
      </c>
      <c r="V63" s="774"/>
      <c r="W63" s="689">
        <f t="shared" si="8"/>
        <v>45960</v>
      </c>
      <c r="X63" s="78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83"/>
      <c r="J64" s="783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77"/>
      <c r="S64" s="632" t="s">
        <v>305</v>
      </c>
      <c r="T64" s="653">
        <v>45869</v>
      </c>
      <c r="U64" s="670">
        <v>21566.527005392007</v>
      </c>
      <c r="V64" s="774"/>
      <c r="W64" s="538">
        <v>46051</v>
      </c>
      <c r="X64" s="78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83"/>
      <c r="J65" s="783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77"/>
      <c r="S65" s="632" t="s">
        <v>305</v>
      </c>
      <c r="T65" s="653">
        <v>45869</v>
      </c>
      <c r="U65" s="670">
        <v>10783.263502696003</v>
      </c>
      <c r="V65" s="774"/>
      <c r="W65" s="538">
        <f t="shared" si="8"/>
        <v>46058</v>
      </c>
      <c r="X65" s="78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83"/>
      <c r="J66" s="783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78"/>
      <c r="S66" s="632" t="s">
        <v>305</v>
      </c>
      <c r="T66" s="653">
        <v>45869</v>
      </c>
      <c r="U66" s="670">
        <v>10783.263502696003</v>
      </c>
      <c r="V66" s="774"/>
      <c r="W66" s="577">
        <f t="shared" si="8"/>
        <v>46088</v>
      </c>
      <c r="X66" s="78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83"/>
      <c r="J67" s="783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74"/>
      <c r="W67" s="580"/>
      <c r="X67" s="78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83"/>
      <c r="J68" s="783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74"/>
      <c r="W68" s="580"/>
      <c r="X68" s="78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84"/>
      <c r="J69" s="784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75"/>
      <c r="W69" s="578"/>
      <c r="X69" s="787"/>
      <c r="Y69" s="483"/>
    </row>
    <row r="70" spans="1:25" ht="14.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51">
        <f>SUM(G71:G78)</f>
        <v>0</v>
      </c>
      <c r="J71" s="751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88">
        <f>J71-SUM(U71:U78)</f>
        <v>0</v>
      </c>
      <c r="W71" s="582"/>
      <c r="X71" s="754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52"/>
      <c r="J72" s="752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89"/>
      <c r="W72" s="573"/>
      <c r="X72" s="755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52"/>
      <c r="J73" s="752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89"/>
      <c r="W73" s="573"/>
      <c r="X73" s="755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52"/>
      <c r="J74" s="752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89"/>
      <c r="W74" s="573"/>
      <c r="X74" s="75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52"/>
      <c r="J75" s="752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89"/>
      <c r="W75" s="573"/>
      <c r="X75" s="75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52"/>
      <c r="J76" s="752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89"/>
      <c r="W76" s="573"/>
      <c r="X76" s="75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52"/>
      <c r="J77" s="752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89"/>
      <c r="W77" s="573"/>
      <c r="X77" s="755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53"/>
      <c r="J78" s="753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90"/>
      <c r="W78" s="574"/>
      <c r="X78" s="756"/>
      <c r="Y78" s="483"/>
    </row>
    <row r="79" spans="1:25" ht="14.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82">
        <f>D174</f>
        <v>0</v>
      </c>
      <c r="J80" s="782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804">
        <f>J80-SUM(U80:U88)</f>
        <v>0</v>
      </c>
      <c r="W80" s="690">
        <f>T80</f>
        <v>45961</v>
      </c>
      <c r="X80" s="78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83"/>
      <c r="J81" s="783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805"/>
      <c r="W81" s="577"/>
      <c r="X81" s="78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83"/>
      <c r="J82" s="783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805"/>
      <c r="W82" s="538">
        <v>45869</v>
      </c>
      <c r="X82" s="78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83"/>
      <c r="J83" s="783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805"/>
      <c r="W83" s="577"/>
      <c r="X83" s="78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83"/>
      <c r="J84" s="783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76" t="s">
        <v>341</v>
      </c>
      <c r="S84" s="628" t="s">
        <v>342</v>
      </c>
      <c r="T84" s="653">
        <v>45930</v>
      </c>
      <c r="U84" s="508"/>
      <c r="V84" s="805"/>
      <c r="W84" s="538">
        <v>45932</v>
      </c>
      <c r="X84" s="78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83"/>
      <c r="J85" s="783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78"/>
      <c r="S85" s="628" t="s">
        <v>343</v>
      </c>
      <c r="T85" s="686">
        <v>45961</v>
      </c>
      <c r="U85" s="508"/>
      <c r="V85" s="805"/>
      <c r="W85" s="689">
        <v>45961</v>
      </c>
      <c r="X85" s="78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83"/>
      <c r="J86" s="783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805"/>
      <c r="W86" s="689">
        <v>45943</v>
      </c>
      <c r="X86" s="78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83"/>
      <c r="J87" s="783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805"/>
      <c r="W87" s="692">
        <f>T87</f>
        <v>45961</v>
      </c>
      <c r="X87" s="78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84"/>
      <c r="J88" s="784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806"/>
      <c r="W88" s="578">
        <v>46081</v>
      </c>
      <c r="X88" s="78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98">
        <f>SUM(G90:G101)</f>
        <v>138375</v>
      </c>
      <c r="J90" s="751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63">
        <f>J90-SUM(U90:U101)</f>
        <v>0</v>
      </c>
      <c r="W90" s="579"/>
      <c r="X90" s="801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99"/>
      <c r="J91" s="752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71" t="s">
        <v>299</v>
      </c>
      <c r="S91" s="623" t="s">
        <v>300</v>
      </c>
      <c r="T91" s="641">
        <v>45808</v>
      </c>
      <c r="U91" s="659">
        <v>16279.411764705883</v>
      </c>
      <c r="V91" s="764"/>
      <c r="W91" s="535">
        <v>45813</v>
      </c>
      <c r="X91" s="80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99"/>
      <c r="J92" s="752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807"/>
      <c r="S92" s="624" t="s">
        <v>302</v>
      </c>
      <c r="T92" s="656">
        <v>45838</v>
      </c>
      <c r="U92" s="665">
        <v>24419.117647058822</v>
      </c>
      <c r="V92" s="764"/>
      <c r="W92" s="536">
        <v>45869</v>
      </c>
      <c r="X92" s="80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99"/>
      <c r="J93" s="752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807"/>
      <c r="S93" s="624" t="s">
        <v>305</v>
      </c>
      <c r="T93" s="656">
        <v>45900</v>
      </c>
      <c r="U93" s="665">
        <v>32558.823529411766</v>
      </c>
      <c r="V93" s="764"/>
      <c r="W93" s="536">
        <v>45954</v>
      </c>
      <c r="X93" s="80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99"/>
      <c r="J94" s="752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807"/>
      <c r="S94" s="624" t="s">
        <v>305</v>
      </c>
      <c r="T94" s="693">
        <v>45961</v>
      </c>
      <c r="U94" s="694">
        <v>40698.529411764706</v>
      </c>
      <c r="V94" s="764"/>
      <c r="W94" s="536">
        <v>45954</v>
      </c>
      <c r="X94" s="80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99"/>
      <c r="J95" s="752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807"/>
      <c r="S95" s="624" t="s">
        <v>305</v>
      </c>
      <c r="T95" s="693">
        <v>45961</v>
      </c>
      <c r="U95" s="694">
        <v>16279.411764705883</v>
      </c>
      <c r="V95" s="764"/>
      <c r="W95" s="688">
        <v>45960</v>
      </c>
      <c r="X95" s="80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99"/>
      <c r="J96" s="752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807"/>
      <c r="S96" s="624" t="s">
        <v>305</v>
      </c>
      <c r="T96" s="693">
        <v>45961</v>
      </c>
      <c r="U96" s="694">
        <v>16279.411764705883</v>
      </c>
      <c r="V96" s="764"/>
      <c r="W96" s="536">
        <v>46051</v>
      </c>
      <c r="X96" s="80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99"/>
      <c r="J97" s="752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807"/>
      <c r="S97" s="624" t="s">
        <v>305</v>
      </c>
      <c r="T97" s="693">
        <v>45961</v>
      </c>
      <c r="U97" s="694">
        <v>8139.7058823529414</v>
      </c>
      <c r="V97" s="764"/>
      <c r="W97" s="536">
        <f>W96+7</f>
        <v>46058</v>
      </c>
      <c r="X97" s="80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99"/>
      <c r="J98" s="752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72"/>
      <c r="S98" s="624" t="s">
        <v>305</v>
      </c>
      <c r="T98" s="693">
        <v>45961</v>
      </c>
      <c r="U98" s="694">
        <v>8139.7058823529414</v>
      </c>
      <c r="V98" s="764"/>
      <c r="W98" s="573">
        <f>W97+30</f>
        <v>46088</v>
      </c>
      <c r="X98" s="80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99"/>
      <c r="J99" s="752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64"/>
      <c r="W99" s="573"/>
      <c r="X99" s="80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99"/>
      <c r="J100" s="752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64"/>
      <c r="W100" s="573"/>
      <c r="X100" s="80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800"/>
      <c r="J101" s="753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65"/>
      <c r="W101" s="574"/>
      <c r="X101" s="803"/>
      <c r="Y101" s="483"/>
    </row>
    <row r="102" spans="1:25" ht="14.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68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66"/>
      <c r="J104" s="766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69"/>
      <c r="W104" s="583"/>
      <c r="X104" s="767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66"/>
      <c r="J105" s="766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69"/>
      <c r="W105" s="583"/>
      <c r="X105" s="767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66"/>
      <c r="J106" s="766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69"/>
      <c r="W106" s="583"/>
      <c r="X106" s="767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66"/>
      <c r="J107" s="766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69"/>
      <c r="W107" s="541">
        <v>45932</v>
      </c>
      <c r="X107" s="767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66"/>
      <c r="J108" s="766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69"/>
      <c r="W108" s="699">
        <v>45967</v>
      </c>
      <c r="X108" s="767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66"/>
      <c r="J109" s="766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69"/>
      <c r="W109" s="699">
        <v>45989</v>
      </c>
      <c r="X109" s="767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66"/>
      <c r="J110" s="766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69"/>
      <c r="W110" s="704">
        <v>46031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66"/>
      <c r="J111" s="766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69"/>
      <c r="W111" s="542">
        <v>46051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66"/>
      <c r="J112" s="766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69"/>
      <c r="W112" s="584"/>
      <c r="X112" s="767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66"/>
      <c r="J113" s="766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79" t="s">
        <v>299</v>
      </c>
      <c r="S113" s="637" t="s">
        <v>300</v>
      </c>
      <c r="T113" s="654">
        <v>45808</v>
      </c>
      <c r="U113" s="660">
        <v>1610.0536441471907</v>
      </c>
      <c r="V113" s="769"/>
      <c r="W113" s="542">
        <f t="shared" ref="W113:W120" si="14">W91</f>
        <v>45813</v>
      </c>
      <c r="X113" s="767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66"/>
      <c r="J114" s="766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80"/>
      <c r="S114" s="637" t="s">
        <v>302</v>
      </c>
      <c r="T114" s="654">
        <v>45838</v>
      </c>
      <c r="U114" s="660">
        <v>5938.9575196664427</v>
      </c>
      <c r="V114" s="769"/>
      <c r="W114" s="542">
        <f t="shared" si="14"/>
        <v>45869</v>
      </c>
      <c r="X114" s="767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66"/>
      <c r="J115" s="766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80"/>
      <c r="S115" s="637" t="s">
        <v>305</v>
      </c>
      <c r="T115" s="653">
        <v>45869</v>
      </c>
      <c r="U115" s="660">
        <v>6039.2100262219237</v>
      </c>
      <c r="V115" s="769"/>
      <c r="W115" s="542">
        <f t="shared" si="14"/>
        <v>45954</v>
      </c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66"/>
      <c r="J116" s="766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80"/>
      <c r="S116" s="637" t="s">
        <v>305</v>
      </c>
      <c r="T116" s="653">
        <v>45869</v>
      </c>
      <c r="U116" s="660">
        <v>7549.012532777404</v>
      </c>
      <c r="V116" s="769"/>
      <c r="W116" s="542">
        <f t="shared" si="14"/>
        <v>45954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66"/>
      <c r="J117" s="766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80"/>
      <c r="S117" s="637" t="s">
        <v>305</v>
      </c>
      <c r="T117" s="653">
        <v>45869</v>
      </c>
      <c r="U117" s="660">
        <v>3019.6050131109619</v>
      </c>
      <c r="V117" s="769"/>
      <c r="W117" s="647">
        <f t="shared" si="14"/>
        <v>45960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66"/>
      <c r="J118" s="766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80"/>
      <c r="S118" s="637" t="s">
        <v>305</v>
      </c>
      <c r="T118" s="653">
        <v>45869</v>
      </c>
      <c r="U118" s="660">
        <v>3019.6050131109619</v>
      </c>
      <c r="V118" s="769"/>
      <c r="W118" s="542">
        <f t="shared" si="14"/>
        <v>46051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66"/>
      <c r="J119" s="766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80"/>
      <c r="S119" s="637" t="s">
        <v>305</v>
      </c>
      <c r="T119" s="653">
        <v>45869</v>
      </c>
      <c r="U119" s="660">
        <v>1509.8025065554809</v>
      </c>
      <c r="V119" s="769"/>
      <c r="W119" s="542">
        <f t="shared" si="14"/>
        <v>46058</v>
      </c>
      <c r="X119" s="767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66"/>
      <c r="J120" s="766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81"/>
      <c r="S120" s="637" t="s">
        <v>305</v>
      </c>
      <c r="T120" s="653">
        <v>45869</v>
      </c>
      <c r="U120" s="660">
        <v>1509.8025065554809</v>
      </c>
      <c r="V120" s="769"/>
      <c r="W120" s="584">
        <f t="shared" si="14"/>
        <v>46088</v>
      </c>
      <c r="X120" s="767"/>
      <c r="Y120" s="483"/>
    </row>
    <row r="121" spans="1:25" ht="14.15" customHeight="1">
      <c r="B121" s="340">
        <v>10</v>
      </c>
      <c r="C121" s="341"/>
      <c r="D121" s="341"/>
      <c r="E121" s="342"/>
      <c r="F121" s="472"/>
      <c r="G121" s="343"/>
      <c r="H121" s="584"/>
      <c r="I121" s="766"/>
      <c r="J121" s="766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69"/>
      <c r="W121" s="584"/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66"/>
      <c r="J122" s="766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69"/>
      <c r="W122" s="584"/>
      <c r="X122" s="767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8"/>
      <c r="J123" s="758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0"/>
      <c r="W123" s="585"/>
      <c r="X123" s="762"/>
      <c r="Y123" s="483"/>
    </row>
    <row r="124" spans="1:25" ht="14.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51">
        <f>SUM(G125:G129)</f>
        <v>29000</v>
      </c>
      <c r="J125" s="751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63">
        <f>J125-SUM(U125:U129)</f>
        <v>-4.3605987593764439E-3</v>
      </c>
      <c r="W125" s="539">
        <v>45991</v>
      </c>
      <c r="X125" s="754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52"/>
      <c r="J126" s="752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64"/>
      <c r="W126" s="649">
        <v>45757</v>
      </c>
      <c r="X126" s="755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52"/>
      <c r="J127" s="752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64"/>
      <c r="W127" s="649">
        <v>45989</v>
      </c>
      <c r="X127" s="755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52"/>
      <c r="J128" s="752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64"/>
      <c r="W128" s="573"/>
      <c r="X128" s="755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53"/>
      <c r="J129" s="753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65"/>
      <c r="W129" s="574"/>
      <c r="X129" s="756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759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58"/>
      <c r="J132" s="758"/>
      <c r="K132" s="760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51">
        <f>SUM(G134:G138)</f>
        <v>81274.293610248453</v>
      </c>
      <c r="J134" s="751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63">
        <f>J134-SUM(U134:U139)</f>
        <v>0</v>
      </c>
      <c r="W134" s="705">
        <v>45989</v>
      </c>
      <c r="X134" s="754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52"/>
      <c r="J135" s="752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64"/>
      <c r="W135" s="572"/>
      <c r="X135" s="755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52"/>
      <c r="J136" s="752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64"/>
      <c r="W136" s="572"/>
      <c r="X136" s="755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52"/>
      <c r="J137" s="752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64"/>
      <c r="W137" s="572"/>
      <c r="X137" s="755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52"/>
      <c r="J138" s="752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64"/>
      <c r="W138" s="572"/>
      <c r="X138" s="755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53"/>
      <c r="J139" s="753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65"/>
      <c r="W139" s="574"/>
      <c r="X139" s="756"/>
      <c r="Y139" s="483"/>
    </row>
    <row r="140" spans="1:25" ht="14.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68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66"/>
      <c r="J142" s="766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69"/>
      <c r="W142" s="647">
        <v>45777</v>
      </c>
      <c r="X142" s="767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66"/>
      <c r="J143" s="766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69"/>
      <c r="W143" s="542">
        <v>45808</v>
      </c>
      <c r="X143" s="767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66"/>
      <c r="J144" s="766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69"/>
      <c r="W144" s="542">
        <v>45842</v>
      </c>
      <c r="X144" s="767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66"/>
      <c r="J145" s="766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69"/>
      <c r="W145" s="542">
        <v>45869</v>
      </c>
      <c r="X145" s="767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66"/>
      <c r="J146" s="766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69"/>
      <c r="W146" s="542">
        <v>45905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66"/>
      <c r="J147" s="766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69"/>
      <c r="W147" s="647">
        <v>45930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66"/>
      <c r="J148" s="766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69"/>
      <c r="W148" s="647">
        <v>45961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66"/>
      <c r="J149" s="766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69"/>
      <c r="W149" s="647">
        <v>45996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66"/>
      <c r="J150" s="766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69"/>
      <c r="W150" s="584"/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66"/>
      <c r="J151" s="766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69"/>
      <c r="W151" s="584"/>
      <c r="X151" s="767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8"/>
      <c r="J152" s="758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0"/>
      <c r="W152" s="585"/>
      <c r="X152" s="762"/>
      <c r="Y152" s="483"/>
    </row>
    <row r="153" spans="1:25" ht="14.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51">
        <f>SUM(G154:G165)</f>
        <v>300000</v>
      </c>
      <c r="J154" s="751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63">
        <f>J154-SUM(U154:U165)</f>
        <v>0</v>
      </c>
      <c r="W154" s="579"/>
      <c r="X154" s="754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52"/>
      <c r="J155" s="752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64"/>
      <c r="W155" s="572"/>
      <c r="X155" s="755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52"/>
      <c r="J156" s="752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64"/>
      <c r="W156" s="572"/>
      <c r="X156" s="755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52"/>
      <c r="J157" s="752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64"/>
      <c r="W157" s="572"/>
      <c r="X157" s="755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52"/>
      <c r="J158" s="752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64"/>
      <c r="W158" s="572"/>
      <c r="X158" s="755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52"/>
      <c r="J159" s="752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64"/>
      <c r="W159" s="572"/>
      <c r="X159" s="75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52"/>
      <c r="J160" s="752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64"/>
      <c r="W160" s="572"/>
      <c r="X160" s="75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52"/>
      <c r="J161" s="752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64"/>
      <c r="W161" s="572"/>
      <c r="X161" s="75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52"/>
      <c r="J162" s="752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71" t="s">
        <v>405</v>
      </c>
      <c r="S162" s="623" t="s">
        <v>406</v>
      </c>
      <c r="T162" s="641">
        <v>45961</v>
      </c>
      <c r="U162" s="503"/>
      <c r="V162" s="764"/>
      <c r="W162" s="535">
        <v>45967</v>
      </c>
      <c r="X162" s="75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52"/>
      <c r="J163" s="752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72"/>
      <c r="S163" s="623" t="s">
        <v>406</v>
      </c>
      <c r="T163" s="641">
        <v>45961</v>
      </c>
      <c r="U163" s="503"/>
      <c r="V163" s="764"/>
      <c r="W163" s="572">
        <f>W98</f>
        <v>46088</v>
      </c>
      <c r="X163" s="75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52"/>
      <c r="J164" s="752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64"/>
      <c r="W164" s="572"/>
      <c r="X164" s="755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53"/>
      <c r="J165" s="753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65"/>
      <c r="W165" s="574"/>
      <c r="X165" s="756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I125:I129"/>
    <mergeCell ref="J125:J129"/>
    <mergeCell ref="X125:X129"/>
    <mergeCell ref="I131:I132"/>
    <mergeCell ref="J131:J132"/>
    <mergeCell ref="K131:K132"/>
    <mergeCell ref="X131:X132"/>
    <mergeCell ref="V125:V1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AX35" sqref="AX3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6953125" defaultRowHeight="14.5"/>
  <cols>
    <col min="1" max="1" width="39.453125" style="366" bestFit="1" customWidth="1"/>
    <col min="2" max="2" width="17.26953125" style="367" bestFit="1" customWidth="1"/>
    <col min="3" max="4" width="12" style="366" bestFit="1" customWidth="1"/>
    <col min="5" max="5" width="14.81640625" style="366" bestFit="1" customWidth="1"/>
    <col min="6" max="7" width="13.26953125" style="366" bestFit="1" customWidth="1"/>
    <col min="8" max="8" width="12" style="366" bestFit="1" customWidth="1"/>
    <col min="9" max="9" width="13.26953125" style="366" bestFit="1" customWidth="1"/>
    <col min="10" max="11" width="11.7265625" style="366" bestFit="1" customWidth="1"/>
    <col min="12" max="12" width="4.81640625" style="366" bestFit="1" customWidth="1"/>
    <col min="13" max="13" width="10.54296875" style="366" bestFit="1" customWidth="1"/>
    <col min="14" max="14" width="14.81640625" style="366" bestFit="1" customWidth="1"/>
    <col min="15" max="15" width="14.7265625" style="366" bestFit="1" customWidth="1"/>
    <col min="16" max="18" width="11.453125" style="366" bestFit="1" customWidth="1"/>
    <col min="19" max="19" width="13.54296875" style="366" bestFit="1" customWidth="1"/>
    <col min="20" max="16384" width="12.269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4" width="12" style="408" bestFit="1" customWidth="1"/>
    <col min="5" max="6" width="13.26953125" style="408" bestFit="1" customWidth="1"/>
    <col min="7" max="8" width="12" style="408" bestFit="1" customWidth="1"/>
    <col min="9" max="9" width="13.26953125" style="408" bestFit="1" customWidth="1"/>
    <col min="10" max="11" width="12" bestFit="1" customWidth="1"/>
    <col min="12" max="12" width="10.7265625" bestFit="1" customWidth="1"/>
    <col min="13" max="13" width="12" bestFit="1" customWidth="1"/>
    <col min="14" max="14" width="14.81640625" bestFit="1" customWidth="1"/>
    <col min="15" max="15" width="14.7265625" bestFit="1" customWidth="1"/>
    <col min="16" max="16" width="10.72656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26953125" bestFit="1" customWidth="1"/>
    <col min="9" max="9" width="10.26953125" customWidth="1"/>
    <col min="10" max="10" width="19.2695312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9F1D31-CCCC-4408-A6B1-D31C49C31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2026-02-24T16:09:07Z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