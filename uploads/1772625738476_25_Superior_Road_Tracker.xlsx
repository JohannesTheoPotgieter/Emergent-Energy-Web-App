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" documentId="13_ncr:1_{E7D990DC-B8E2-4FF0-90FD-F16D977317D3}" xr6:coauthVersionLast="47" xr6:coauthVersionMax="47" xr10:uidLastSave="{10390B53-EC36-420C-90B9-A22EC53BF390}"/>
  <bookViews>
    <workbookView xWindow="-98" yWindow="-98" windowWidth="21795" windowHeight="12975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<sst xmlns="http://schemas.openxmlformats.org/spreadsheetml/2006/main" count="753" uniqueCount="422">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</sst>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34" t="s">
        <v>0</v>
      </c>
      <c r="C2" s="634"/>
      <c r="D2" s="634"/>
      <c r="E2" s="634"/>
      <c r="H2" s="635" t="s">
        <v>1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25 Superior Road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3</v>
      </c>
      <c r="C5" s="616" t="s">
        <v>4</v>
      </c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7</v>
      </c>
      <c r="C7" s="616" t="s">
        <v>8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4"/>
      <c r="H8" s="638"/>
      <c r="I8" s="639"/>
      <c r="J8" s="639"/>
      <c r="K8" s="639"/>
      <c r="L8" s="639"/>
      <c r="M8" s="639"/>
      <c r="N8" s="639"/>
      <c r="O8" s="640"/>
    </row>
    <row r="9" spans="2:15">
      <c r="B9" s="644" t="s">
        <v>9</v>
      </c>
      <c r="C9" s="644"/>
      <c r="D9" s="644"/>
      <c r="E9" s="644"/>
      <c r="H9" s="638"/>
      <c r="I9" s="639"/>
      <c r="J9" s="639"/>
      <c r="K9" s="639"/>
      <c r="L9" s="639"/>
      <c r="M9" s="639"/>
      <c r="N9" s="639"/>
      <c r="O9" s="640"/>
    </row>
    <row r="10" spans="2:15" ht="14.65" thickBot="1">
      <c r="B10" s="644" t="s">
        <v>10</v>
      </c>
      <c r="C10" s="644"/>
      <c r="D10" s="644"/>
      <c r="E10" s="644"/>
      <c r="H10" s="641"/>
      <c r="I10" s="642"/>
      <c r="J10" s="642"/>
      <c r="K10" s="642"/>
      <c r="L10" s="642"/>
      <c r="M10" s="642"/>
      <c r="N10" s="642"/>
      <c r="O10" s="643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45" t="s">
        <v>17</v>
      </c>
      <c r="C18" s="645"/>
      <c r="D18" s="645"/>
      <c r="E18" s="645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34" t="s">
        <v>22</v>
      </c>
      <c r="C2" s="634"/>
      <c r="D2" s="634"/>
      <c r="E2" s="634"/>
      <c r="H2" s="635" t="s">
        <v>23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25 Superior Road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24</v>
      </c>
      <c r="C5" s="616"/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25</v>
      </c>
      <c r="C7" s="616" t="str">
        <f>'Project Plan'!E5</f>
        <v>JT Moorosi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5" t="s">
        <v>26</v>
      </c>
      <c r="C8" s="616"/>
      <c r="H8" s="638"/>
      <c r="I8" s="639"/>
      <c r="J8" s="639"/>
      <c r="K8" s="639"/>
      <c r="L8" s="639"/>
      <c r="M8" s="639"/>
      <c r="N8" s="639"/>
      <c r="O8" s="640"/>
    </row>
    <row r="9" spans="2:15">
      <c r="B9" s="614"/>
      <c r="H9" s="638"/>
      <c r="I9" s="639"/>
      <c r="J9" s="639"/>
      <c r="K9" s="639"/>
      <c r="L9" s="639"/>
      <c r="M9" s="639"/>
      <c r="N9" s="639"/>
      <c r="O9" s="640"/>
    </row>
    <row r="10" spans="2:15">
      <c r="B10" s="644" t="s">
        <v>9</v>
      </c>
      <c r="C10" s="644"/>
      <c r="D10" s="644"/>
      <c r="E10" s="644"/>
      <c r="H10" s="638"/>
      <c r="I10" s="639"/>
      <c r="J10" s="639"/>
      <c r="K10" s="639"/>
      <c r="L10" s="639"/>
      <c r="M10" s="639"/>
      <c r="N10" s="639"/>
      <c r="O10" s="640"/>
    </row>
    <row r="11" spans="2:15" ht="14.65" thickBot="1">
      <c r="B11" s="644" t="s">
        <v>10</v>
      </c>
      <c r="C11" s="644"/>
      <c r="D11" s="644"/>
      <c r="E11" s="644"/>
      <c r="H11" s="641"/>
      <c r="I11" s="642"/>
      <c r="J11" s="642"/>
      <c r="K11" s="642"/>
      <c r="L11" s="642"/>
      <c r="M11" s="642"/>
      <c r="N11" s="642"/>
      <c r="O11" s="643"/>
    </row>
    <row r="12" spans="2:15" ht="25.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5.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45" t="s">
        <v>17</v>
      </c>
      <c r="C24" s="645"/>
      <c r="D24" s="645"/>
      <c r="E24" s="645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710937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50" t="s">
        <v>111</v>
      </c>
      <c r="C16" s="651"/>
      <c r="D16" s="651"/>
      <c r="E16" s="651"/>
      <c r="F16" s="652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90" zoomScaleNormal="90" workbookViewId="0">
      <selection activeCell="N11" sqref="N11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25" thickBot="1">
      <c r="B3" s="91"/>
      <c r="C3" s="92" t="s">
        <v>117</v>
      </c>
      <c r="D3" s="90"/>
      <c r="E3" s="312">
        <v>120</v>
      </c>
      <c r="F3" s="93"/>
      <c r="G3" s="94"/>
      <c r="H3" s="94"/>
      <c r="I3" s="653" t="s">
        <v>118</v>
      </c>
      <c r="J3" s="654"/>
      <c r="K3" s="587">
        <f>K2/5</f>
        <v>4.8</v>
      </c>
      <c r="Q3" s="1"/>
    </row>
    <row r="4" spans="2:28" s="26" customFormat="1" ht="14.2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25</v>
      </c>
      <c r="Q4" s="1"/>
    </row>
    <row r="5" spans="2:28" s="26" customFormat="1" ht="13.9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 ht="13.9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65" customHeight="1">
      <c r="B7" s="79"/>
      <c r="C7" s="630" t="s">
        <v>125</v>
      </c>
      <c r="E7" s="631" t="s">
        <v>126</v>
      </c>
      <c r="F7" s="632"/>
      <c r="G7" s="97"/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 ht="13.9">
      <c r="B9" s="657"/>
      <c r="C9" s="658"/>
      <c r="D9" s="126"/>
      <c r="E9" s="659"/>
      <c r="F9" s="40">
        <f>G40-E20</f>
        <v>35</v>
      </c>
      <c r="G9" s="659"/>
      <c r="H9" s="149"/>
      <c r="I9" s="659"/>
      <c r="J9" s="41">
        <f>K40-I20</f>
        <v>35</v>
      </c>
      <c r="K9" s="659"/>
      <c r="M9" s="265">
        <f>AVERAGE(M11,M19,M22,M29,M36,M40,M49,M45)</f>
        <v>1.953125E-3</v>
      </c>
      <c r="N9" s="265">
        <f ca="1">AVERAGE(N11,N19,N22,N29,N36,N40,N49,N45)</f>
        <v>1.953125E-3</v>
      </c>
      <c r="O9" s="656"/>
      <c r="S9" s="586">
        <f ca="1">TODAY()</f>
        <v>46084</v>
      </c>
      <c r="T9" s="586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 ht="13.9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 ht="13.9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 ht="13.9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 ht="13.9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 ht="13.9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 ht="13.9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 ht="13.9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 ht="13.9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 ht="13.9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I13" sqref="I13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9.28515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5703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.1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.15">
      <c r="B13" s="589">
        <v>1</v>
      </c>
      <c r="C13" s="662" t="s">
        <v>222</v>
      </c>
      <c r="D13" s="663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.15">
      <c r="B14" s="599">
        <v>2</v>
      </c>
      <c r="C14" s="662" t="s">
        <v>223</v>
      </c>
      <c r="D14" s="663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.15">
      <c r="B15" s="589">
        <v>3</v>
      </c>
      <c r="C15" s="662" t="s">
        <v>224</v>
      </c>
      <c r="D15" s="663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.15">
      <c r="B16" s="589">
        <v>4</v>
      </c>
      <c r="C16" s="660" t="s">
        <v>182</v>
      </c>
      <c r="D16" s="661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.15">
      <c r="B17" s="589">
        <v>5</v>
      </c>
      <c r="C17" s="660" t="s">
        <v>225</v>
      </c>
      <c r="D17" s="661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.15">
      <c r="B18" s="589">
        <v>6</v>
      </c>
      <c r="C18" s="660" t="s">
        <v>226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.15">
      <c r="B19" s="589">
        <v>7</v>
      </c>
      <c r="C19" s="662" t="s">
        <v>226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75">
      <c r="C24" s="59" t="s">
        <v>229</v>
      </c>
      <c r="D24" s="60"/>
      <c r="F24" s="61"/>
    </row>
    <row r="25" spans="2:20" s="24" customFormat="1" ht="12.75">
      <c r="C25" s="59" t="s">
        <v>230</v>
      </c>
      <c r="D25" s="60"/>
    </row>
    <row r="26" spans="2:20" s="24" customFormat="1" ht="12.75">
      <c r="C26" s="62" t="s">
        <v>231</v>
      </c>
      <c r="D26" s="63"/>
    </row>
    <row r="27" spans="2:20" s="24" customFormat="1" ht="12.75">
      <c r="C27" s="64" t="s">
        <v>232</v>
      </c>
      <c r="D27" s="60"/>
    </row>
    <row r="28" spans="2:20" s="24" customFormat="1" ht="12.75">
      <c r="B28" s="31"/>
      <c r="C28" s="64" t="s">
        <v>233</v>
      </c>
      <c r="D28" s="60"/>
    </row>
    <row r="29" spans="2:20" s="24" customFormat="1" ht="12.7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75">
      <c r="B31" s="31"/>
      <c r="F31" s="58"/>
      <c r="N31" s="543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25" thickBot="1">
      <c r="A5" s="126"/>
      <c r="B5" s="665" t="s">
        <v>241</v>
      </c>
      <c r="C5" s="665"/>
      <c r="D5" s="665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85" zoomScaleNormal="85" workbookViewId="0">
      <pane ySplit="4" topLeftCell="A5" activePane="bottomLeft" state="frozen"/>
      <selection pane="bottomLeft" activeCell="T21" sqref="T21"/>
      <selection activeCell="X33" sqref="X33"/>
    </sheetView>
  </sheetViews>
  <sheetFormatPr defaultColWidth="9.42578125" defaultRowHeight="13.5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3" t="s">
        <v>247</v>
      </c>
      <c r="C2" s="714"/>
      <c r="D2" s="714"/>
      <c r="E2" s="714"/>
      <c r="F2" s="714"/>
      <c r="G2" s="714"/>
      <c r="H2" s="395"/>
      <c r="I2" s="162">
        <f>SUM(I6:I159)</f>
        <v>2528912.5701168482</v>
      </c>
      <c r="J2" s="162">
        <f>SUM(J6:J159)</f>
        <v>2899774.6540018991</v>
      </c>
      <c r="L2" s="715" t="s">
        <v>248</v>
      </c>
      <c r="M2" s="716"/>
      <c r="N2" s="716"/>
      <c r="O2" s="716"/>
      <c r="P2" s="716"/>
      <c r="Q2" s="716"/>
      <c r="R2" s="717" t="s">
        <v>249</v>
      </c>
      <c r="S2" s="718"/>
      <c r="T2" s="718"/>
      <c r="U2" s="718"/>
      <c r="V2" s="718"/>
      <c r="W2" s="719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6">
        <f>SUM(G6:G11)</f>
        <v>263738.00499999995</v>
      </c>
      <c r="J6" s="669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78">
        <f>J6-SUM(U6:U11)</f>
        <v>0</v>
      </c>
      <c r="W6" s="453">
        <f>'Project Plan'!K37+60</f>
        <v>46195</v>
      </c>
      <c r="X6" s="666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7"/>
      <c r="J7" s="670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7"/>
      <c r="J8" s="670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7"/>
      <c r="J9" s="670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7"/>
      <c r="J10" s="670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8"/>
      <c r="J11" s="671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0"/>
      <c r="W11" s="456"/>
      <c r="X11" s="668"/>
      <c r="Y11" s="606" t="s">
        <v>270</v>
      </c>
      <c r="Z11" s="487" t="s">
        <v>271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95">
        <f>SUM(G13:G19)</f>
        <v>0</v>
      </c>
      <c r="J13" s="698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710">
        <f>J13-SUM(U13:U19)</f>
        <v>0</v>
      </c>
      <c r="W13" s="458"/>
      <c r="X13" s="695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6"/>
      <c r="J14" s="699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711"/>
      <c r="W14" s="459"/>
      <c r="X14" s="696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6"/>
      <c r="J15" s="699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711"/>
      <c r="W15" s="459"/>
      <c r="X15" s="696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6"/>
      <c r="J16" s="699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711"/>
      <c r="W16" s="459"/>
      <c r="X16" s="696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6"/>
      <c r="J17" s="699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711"/>
      <c r="W17" s="459"/>
      <c r="X17" s="696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6"/>
      <c r="J18" s="699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711"/>
      <c r="W18" s="459"/>
      <c r="X18" s="696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7"/>
      <c r="J19" s="700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712"/>
      <c r="W19" s="460"/>
      <c r="X19" s="697"/>
      <c r="Y19" s="607" t="s">
        <v>282</v>
      </c>
      <c r="Z19" s="488">
        <v>0</v>
      </c>
      <c r="AA19" s="527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6">
        <f>SUM(G21:G26)</f>
        <v>53802</v>
      </c>
      <c r="J21" s="669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78">
        <f>J21-SUM(U21:U26)</f>
        <v>0</v>
      </c>
      <c r="W21" s="461">
        <v>46142</v>
      </c>
      <c r="X21" s="666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7"/>
      <c r="J22" s="670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79"/>
      <c r="W22" s="454"/>
      <c r="X22" s="667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7"/>
      <c r="J23" s="670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79"/>
      <c r="W23" s="454"/>
      <c r="X23" s="667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7"/>
      <c r="J24" s="670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79"/>
      <c r="W24" s="455"/>
      <c r="X24" s="667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7"/>
      <c r="J25" s="670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79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8"/>
      <c r="J26" s="671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80"/>
      <c r="W26" s="456"/>
      <c r="X26" s="668"/>
      <c r="Y26" s="609" t="s">
        <v>203</v>
      </c>
      <c r="Z26" s="492" t="s">
        <v>291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95">
        <f>SUM(G28:G42)</f>
        <v>125191.1</v>
      </c>
      <c r="J28" s="698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710">
        <f>J28-SUM(U28:U42)</f>
        <v>0</v>
      </c>
      <c r="W28" s="458">
        <f>W6</f>
        <v>46195</v>
      </c>
      <c r="X28" s="695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96"/>
      <c r="J29" s="699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711"/>
      <c r="W29" s="459"/>
      <c r="X29" s="696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6"/>
      <c r="J30" s="699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711"/>
      <c r="W30" s="459"/>
      <c r="X30" s="696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6"/>
      <c r="J31" s="699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711"/>
      <c r="W31" s="459"/>
      <c r="X31" s="696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6"/>
      <c r="J32" s="699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2"/>
      <c r="S32" s="506"/>
      <c r="T32" s="416">
        <f>T90</f>
        <v>46142</v>
      </c>
      <c r="U32" s="401">
        <f t="shared" si="3"/>
        <v>9242.1190311850223</v>
      </c>
      <c r="V32" s="711"/>
      <c r="W32" s="459">
        <f>W90</f>
        <v>46134</v>
      </c>
      <c r="X32" s="696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6"/>
      <c r="J33" s="699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3"/>
      <c r="S33" s="506"/>
      <c r="T33" s="416">
        <f t="shared" ref="T33:T39" si="7">T91</f>
        <v>46142</v>
      </c>
      <c r="U33" s="401">
        <f t="shared" si="3"/>
        <v>13863.178546777535</v>
      </c>
      <c r="V33" s="711"/>
      <c r="W33" s="459">
        <f t="shared" ref="W33:W39" si="8">W91</f>
        <v>46134</v>
      </c>
      <c r="X33" s="696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6"/>
      <c r="J34" s="699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3"/>
      <c r="S34" s="506"/>
      <c r="T34" s="416">
        <f t="shared" si="7"/>
        <v>46173</v>
      </c>
      <c r="U34" s="401">
        <f t="shared" si="3"/>
        <v>18484.238062370045</v>
      </c>
      <c r="V34" s="711"/>
      <c r="W34" s="459">
        <f t="shared" si="8"/>
        <v>46167</v>
      </c>
      <c r="X34" s="696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6"/>
      <c r="J35" s="699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3"/>
      <c r="S35" s="506"/>
      <c r="T35" s="416">
        <f t="shared" si="7"/>
        <v>46173</v>
      </c>
      <c r="U35" s="401">
        <f t="shared" si="3"/>
        <v>23105.297577962559</v>
      </c>
      <c r="V35" s="711"/>
      <c r="W35" s="459">
        <f t="shared" si="8"/>
        <v>46163</v>
      </c>
      <c r="X35" s="696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6"/>
      <c r="J36" s="699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3"/>
      <c r="S36" s="506"/>
      <c r="T36" s="416">
        <f t="shared" si="7"/>
        <v>46203</v>
      </c>
      <c r="U36" s="401">
        <f t="shared" si="3"/>
        <v>9242.1190311850223</v>
      </c>
      <c r="V36" s="711"/>
      <c r="W36" s="459">
        <f t="shared" si="8"/>
        <v>46176</v>
      </c>
      <c r="X36" s="696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6"/>
      <c r="J37" s="699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3"/>
      <c r="S37" s="506"/>
      <c r="T37" s="416">
        <f t="shared" si="7"/>
        <v>46203</v>
      </c>
      <c r="U37" s="401">
        <f t="shared" si="3"/>
        <v>9242.1190311850223</v>
      </c>
      <c r="V37" s="711"/>
      <c r="W37" s="459">
        <f t="shared" si="8"/>
        <v>46177</v>
      </c>
      <c r="X37" s="696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6"/>
      <c r="J38" s="699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3"/>
      <c r="S38" s="506"/>
      <c r="T38" s="416">
        <f t="shared" si="7"/>
        <v>46203</v>
      </c>
      <c r="U38" s="401">
        <f t="shared" si="3"/>
        <v>4621.0595155925112</v>
      </c>
      <c r="V38" s="711"/>
      <c r="W38" s="459">
        <f t="shared" si="8"/>
        <v>46177</v>
      </c>
      <c r="X38" s="696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6"/>
      <c r="J39" s="699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4"/>
      <c r="S39" s="506"/>
      <c r="T39" s="416">
        <f t="shared" si="7"/>
        <v>46203</v>
      </c>
      <c r="U39" s="401">
        <f t="shared" si="3"/>
        <v>4621.0595155925112</v>
      </c>
      <c r="V39" s="711"/>
      <c r="W39" s="459">
        <f t="shared" si="8"/>
        <v>46200</v>
      </c>
      <c r="X39" s="696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6"/>
      <c r="J40" s="699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711"/>
      <c r="W40" s="459"/>
      <c r="X40" s="69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6"/>
      <c r="J41" s="699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711"/>
      <c r="W41" s="459"/>
      <c r="X41" s="69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7"/>
      <c r="J42" s="700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2"/>
      <c r="W42" s="460"/>
      <c r="X42" s="697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6">
        <f>D165</f>
        <v>0</v>
      </c>
      <c r="J44" s="669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78">
        <f>J44-SUM(U44:U50)</f>
        <v>0</v>
      </c>
      <c r="W44" s="461">
        <f>T44</f>
        <v>46142</v>
      </c>
      <c r="X44" s="666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7"/>
      <c r="J45" s="670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79"/>
      <c r="W45" s="454">
        <f>W44</f>
        <v>46142</v>
      </c>
      <c r="X45" s="667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7"/>
      <c r="J46" s="670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79"/>
      <c r="W46" s="454">
        <f>W45</f>
        <v>46142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7"/>
      <c r="J47" s="670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7"/>
      <c r="J48" s="670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7"/>
      <c r="J49" s="670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8"/>
      <c r="J50" s="671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80"/>
      <c r="W50" s="456"/>
      <c r="X50" s="668"/>
    </row>
    <row r="51" spans="1:24" ht="14.2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95">
        <f>SUM(G52:G68)</f>
        <v>0</v>
      </c>
      <c r="J52" s="698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710">
        <f>J52-SUM(U52:U68)</f>
        <v>0</v>
      </c>
      <c r="W52" s="458"/>
      <c r="X52" s="695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6"/>
      <c r="J53" s="699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711"/>
      <c r="W53" s="459"/>
      <c r="X53" s="69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6"/>
      <c r="J54" s="699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711"/>
      <c r="W54" s="459"/>
      <c r="X54" s="69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6"/>
      <c r="J55" s="699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711"/>
      <c r="W55" s="459"/>
      <c r="X55" s="69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6"/>
      <c r="J56" s="699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711"/>
      <c r="W56" s="459"/>
      <c r="X56" s="69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6"/>
      <c r="J57" s="699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711"/>
      <c r="W57" s="459"/>
      <c r="X57" s="69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6"/>
      <c r="J58" s="699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2"/>
      <c r="S58" s="506"/>
      <c r="T58" s="419">
        <f>T90</f>
        <v>46142</v>
      </c>
      <c r="U58" s="401"/>
      <c r="V58" s="711"/>
      <c r="W58" s="459">
        <f>W90</f>
        <v>46134</v>
      </c>
      <c r="X58" s="69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6"/>
      <c r="J59" s="699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3"/>
      <c r="S59" s="506"/>
      <c r="T59" s="419">
        <f t="shared" si="0"/>
        <v>46142</v>
      </c>
      <c r="U59" s="401"/>
      <c r="V59" s="711"/>
      <c r="W59" s="459">
        <f t="shared" ref="W59:W65" si="11">W91</f>
        <v>46134</v>
      </c>
      <c r="X59" s="69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6"/>
      <c r="J60" s="699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3"/>
      <c r="S60" s="506"/>
      <c r="T60" s="419">
        <f t="shared" si="0"/>
        <v>46173</v>
      </c>
      <c r="U60" s="401"/>
      <c r="V60" s="711"/>
      <c r="W60" s="459">
        <f t="shared" si="11"/>
        <v>46167</v>
      </c>
      <c r="X60" s="69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6"/>
      <c r="J61" s="699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3"/>
      <c r="S61" s="506"/>
      <c r="T61" s="419">
        <f t="shared" si="0"/>
        <v>46173</v>
      </c>
      <c r="U61" s="401"/>
      <c r="V61" s="711"/>
      <c r="W61" s="459">
        <f t="shared" si="11"/>
        <v>46163</v>
      </c>
      <c r="X61" s="69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6"/>
      <c r="J62" s="699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3"/>
      <c r="S62" s="506"/>
      <c r="T62" s="419">
        <f t="shared" si="0"/>
        <v>46203</v>
      </c>
      <c r="U62" s="401"/>
      <c r="V62" s="711"/>
      <c r="W62" s="459">
        <f t="shared" si="11"/>
        <v>46176</v>
      </c>
      <c r="X62" s="69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6"/>
      <c r="J63" s="699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3"/>
      <c r="S63" s="510"/>
      <c r="T63" s="419">
        <f t="shared" si="0"/>
        <v>46203</v>
      </c>
      <c r="U63" s="406"/>
      <c r="V63" s="711"/>
      <c r="W63" s="459">
        <f t="shared" si="11"/>
        <v>46177</v>
      </c>
      <c r="X63" s="69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6"/>
      <c r="J64" s="699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3"/>
      <c r="S64" s="510"/>
      <c r="T64" s="419">
        <f t="shared" si="0"/>
        <v>46203</v>
      </c>
      <c r="U64" s="406"/>
      <c r="V64" s="711"/>
      <c r="W64" s="459">
        <f t="shared" si="11"/>
        <v>46177</v>
      </c>
      <c r="X64" s="69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6"/>
      <c r="J65" s="699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4"/>
      <c r="S65" s="510"/>
      <c r="T65" s="419">
        <f t="shared" si="0"/>
        <v>46203</v>
      </c>
      <c r="U65" s="406"/>
      <c r="V65" s="711"/>
      <c r="W65" s="459">
        <f t="shared" si="11"/>
        <v>46200</v>
      </c>
      <c r="X65" s="69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6"/>
      <c r="J66" s="699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711"/>
      <c r="W66" s="462"/>
      <c r="X66" s="69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6"/>
      <c r="J67" s="699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711"/>
      <c r="W67" s="462"/>
      <c r="X67" s="69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7"/>
      <c r="J68" s="700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712"/>
      <c r="W68" s="460"/>
      <c r="X68" s="697"/>
    </row>
    <row r="69" spans="1:24" ht="13.9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6">
        <f>SUM(G70:G77)</f>
        <v>1211692.6086956521</v>
      </c>
      <c r="J70" s="669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707">
        <f>J70-SUM(U70:U77)</f>
        <v>0</v>
      </c>
      <c r="W70" s="464">
        <v>46142</v>
      </c>
      <c r="X70" s="666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7"/>
      <c r="J71" s="670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708"/>
      <c r="W71" s="455">
        <v>46142</v>
      </c>
      <c r="X71" s="667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7"/>
      <c r="J72" s="670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708"/>
      <c r="W72" s="455">
        <v>46142</v>
      </c>
      <c r="X72" s="667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7"/>
      <c r="J73" s="670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708"/>
      <c r="W73" s="455">
        <v>46142</v>
      </c>
      <c r="X73" s="667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7"/>
      <c r="J74" s="670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708"/>
      <c r="W74" s="455">
        <v>46142</v>
      </c>
      <c r="X74" s="667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7"/>
      <c r="J75" s="670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708"/>
      <c r="W75" s="455">
        <v>46142</v>
      </c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7"/>
      <c r="J76" s="670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70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8"/>
      <c r="J77" s="671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709"/>
      <c r="W77" s="456"/>
      <c r="X77" s="668"/>
    </row>
    <row r="78" spans="1:24" ht="13.9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95">
        <f>SUM(G79:G87)</f>
        <v>693148.4</v>
      </c>
      <c r="J79" s="698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4">
        <f>J79-SUM(U79:U87)</f>
        <v>0</v>
      </c>
      <c r="W79" s="458"/>
      <c r="X79" s="695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96"/>
      <c r="J80" s="699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5"/>
      <c r="W80" s="458">
        <v>46142</v>
      </c>
      <c r="X80" s="696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96"/>
      <c r="J81" s="699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5"/>
      <c r="W81" s="458">
        <v>46142</v>
      </c>
      <c r="X81" s="696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96"/>
      <c r="J82" s="699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5"/>
      <c r="W82" s="458">
        <v>46142</v>
      </c>
      <c r="X82" s="69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6"/>
      <c r="J83" s="699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5"/>
      <c r="W83" s="459"/>
      <c r="X83" s="69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6"/>
      <c r="J84" s="699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5"/>
      <c r="W84" s="459"/>
      <c r="X84" s="69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6"/>
      <c r="J85" s="699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5"/>
      <c r="W85" s="459"/>
      <c r="X85" s="69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6"/>
      <c r="J86" s="699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5"/>
      <c r="W86" s="462"/>
      <c r="X86" s="69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7"/>
      <c r="J87" s="700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6"/>
      <c r="W87" s="460"/>
      <c r="X87" s="69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701">
        <f>SUM(G89:G100)</f>
        <v>95060</v>
      </c>
      <c r="J89" s="669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78">
        <f>J89-SUM(U89:U100)</f>
        <v>0</v>
      </c>
      <c r="W89" s="461"/>
      <c r="X89" s="666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2"/>
      <c r="J90" s="670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7"/>
      <c r="S90" s="501"/>
      <c r="T90" s="412">
        <f t="shared" si="12"/>
        <v>46142</v>
      </c>
      <c r="U90" s="397">
        <f t="shared" si="15"/>
        <v>10562.222222222223</v>
      </c>
      <c r="V90" s="679"/>
      <c r="W90" s="454">
        <f>'Project Plan'!I20</f>
        <v>46134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0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8"/>
      <c r="S91" s="502"/>
      <c r="T91" s="412">
        <f t="shared" si="12"/>
        <v>46142</v>
      </c>
      <c r="U91" s="397">
        <f t="shared" si="15"/>
        <v>15843.333333333332</v>
      </c>
      <c r="V91" s="679"/>
      <c r="W91" s="455">
        <f>'Project Plan'!I20</f>
        <v>46134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0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8"/>
      <c r="S92" s="502"/>
      <c r="T92" s="412">
        <f t="shared" si="12"/>
        <v>46173</v>
      </c>
      <c r="U92" s="397">
        <f t="shared" si="15"/>
        <v>21124.444444444445</v>
      </c>
      <c r="V92" s="679"/>
      <c r="W92" s="455">
        <f>'Project Plan'!K22+7</f>
        <v>46167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0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8"/>
      <c r="S93" s="502"/>
      <c r="T93" s="412">
        <f t="shared" si="12"/>
        <v>46173</v>
      </c>
      <c r="U93" s="397">
        <f t="shared" si="15"/>
        <v>26405.555555555555</v>
      </c>
      <c r="V93" s="679"/>
      <c r="W93" s="455">
        <f>'Project Plan'!K29+7</f>
        <v>46163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0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8"/>
      <c r="S94" s="502"/>
      <c r="T94" s="412">
        <f t="shared" si="12"/>
        <v>46203</v>
      </c>
      <c r="U94" s="397">
        <f t="shared" si="15"/>
        <v>10562.222222222223</v>
      </c>
      <c r="V94" s="679"/>
      <c r="W94" s="455">
        <f>'Project Plan'!K40+7</f>
        <v>46176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0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8"/>
      <c r="S95" s="502"/>
      <c r="T95" s="412">
        <f t="shared" si="12"/>
        <v>46203</v>
      </c>
      <c r="U95" s="397">
        <f t="shared" si="15"/>
        <v>10562.222222222223</v>
      </c>
      <c r="V95" s="679"/>
      <c r="W95" s="455">
        <f>'Project Plan'!K47+7</f>
        <v>46177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0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8"/>
      <c r="S96" s="502"/>
      <c r="T96" s="412">
        <f t="shared" si="12"/>
        <v>46203</v>
      </c>
      <c r="U96" s="397">
        <f t="shared" si="15"/>
        <v>5281.1111111111113</v>
      </c>
      <c r="V96" s="679"/>
      <c r="W96" s="455">
        <f>'Project Plan'!K47+7</f>
        <v>46177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0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9"/>
      <c r="S97" s="502"/>
      <c r="T97" s="412">
        <f t="shared" si="12"/>
        <v>46203</v>
      </c>
      <c r="U97" s="397">
        <f t="shared" si="15"/>
        <v>5281.1111111111113</v>
      </c>
      <c r="V97" s="679"/>
      <c r="W97" s="455">
        <f>'Project Plan'!K47+30</f>
        <v>46200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0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79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0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79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1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80"/>
      <c r="W100" s="456"/>
      <c r="X100" s="668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72">
        <f>SUM(G102:G116)</f>
        <v>32715.466666666667</v>
      </c>
      <c r="J102" s="675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81">
        <f>J102-SUM(U102:U116)</f>
        <v>0</v>
      </c>
      <c r="W102" s="465">
        <f>W108</f>
        <v>46167</v>
      </c>
      <c r="X102" s="672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73"/>
      <c r="J103" s="676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82"/>
      <c r="W103" s="466"/>
      <c r="X103" s="673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73"/>
      <c r="J104" s="676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82"/>
      <c r="W104" s="466"/>
      <c r="X104" s="67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73"/>
      <c r="J105" s="676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82"/>
      <c r="W105" s="466"/>
      <c r="X105" s="67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3"/>
      <c r="J106" s="676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84"/>
      <c r="S106" s="515"/>
      <c r="T106" s="425">
        <f>T90</f>
        <v>46142</v>
      </c>
      <c r="U106" s="409">
        <f t="shared" si="17"/>
        <v>2024.253940139617</v>
      </c>
      <c r="V106" s="682"/>
      <c r="W106" s="467">
        <f>W90</f>
        <v>46134</v>
      </c>
      <c r="X106" s="67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3"/>
      <c r="J107" s="676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5"/>
      <c r="S107" s="520"/>
      <c r="T107" s="425">
        <f t="shared" ref="T107:T113" si="19">T91</f>
        <v>46142</v>
      </c>
      <c r="U107" s="409">
        <f t="shared" si="17"/>
        <v>3036.380910209426</v>
      </c>
      <c r="V107" s="682"/>
      <c r="W107" s="467">
        <f t="shared" ref="W107:W113" si="20">W91</f>
        <v>46134</v>
      </c>
      <c r="X107" s="67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3"/>
      <c r="J108" s="676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5"/>
      <c r="S108" s="515"/>
      <c r="T108" s="425">
        <f t="shared" si="19"/>
        <v>46173</v>
      </c>
      <c r="U108" s="409">
        <f t="shared" si="17"/>
        <v>4048.5078802792341</v>
      </c>
      <c r="V108" s="682"/>
      <c r="W108" s="467">
        <f t="shared" si="20"/>
        <v>46167</v>
      </c>
      <c r="X108" s="67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3"/>
      <c r="J109" s="676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5"/>
      <c r="S109" s="515"/>
      <c r="T109" s="425">
        <f t="shared" si="19"/>
        <v>46173</v>
      </c>
      <c r="U109" s="409">
        <f t="shared" si="17"/>
        <v>5060.6348503490426</v>
      </c>
      <c r="V109" s="682"/>
      <c r="W109" s="467">
        <f t="shared" si="20"/>
        <v>46163</v>
      </c>
      <c r="X109" s="67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3"/>
      <c r="J110" s="676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5"/>
      <c r="S110" s="515"/>
      <c r="T110" s="425">
        <f t="shared" si="19"/>
        <v>46203</v>
      </c>
      <c r="U110" s="409">
        <f t="shared" si="17"/>
        <v>2024.253940139617</v>
      </c>
      <c r="V110" s="682"/>
      <c r="W110" s="467">
        <f t="shared" si="20"/>
        <v>46176</v>
      </c>
      <c r="X110" s="67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3"/>
      <c r="J111" s="676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5"/>
      <c r="S111" s="515"/>
      <c r="T111" s="425">
        <f t="shared" si="19"/>
        <v>46203</v>
      </c>
      <c r="U111" s="409">
        <f t="shared" si="17"/>
        <v>2024.253940139617</v>
      </c>
      <c r="V111" s="682"/>
      <c r="W111" s="467">
        <f t="shared" si="20"/>
        <v>46177</v>
      </c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3"/>
      <c r="J112" s="676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5"/>
      <c r="S112" s="515"/>
      <c r="T112" s="425">
        <f t="shared" si="19"/>
        <v>46203</v>
      </c>
      <c r="U112" s="409">
        <f t="shared" si="17"/>
        <v>1012.1269700698085</v>
      </c>
      <c r="V112" s="682"/>
      <c r="W112" s="467">
        <f t="shared" si="20"/>
        <v>46177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3"/>
      <c r="J113" s="676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6"/>
      <c r="S113" s="515"/>
      <c r="T113" s="425">
        <f t="shared" si="19"/>
        <v>46203</v>
      </c>
      <c r="U113" s="409">
        <f t="shared" si="17"/>
        <v>1012.1269700698085</v>
      </c>
      <c r="V113" s="682"/>
      <c r="W113" s="467">
        <f t="shared" si="20"/>
        <v>46200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3"/>
      <c r="J114" s="676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82"/>
      <c r="W114" s="467"/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3"/>
      <c r="J115" s="676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82"/>
      <c r="W115" s="467"/>
      <c r="X115" s="67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4"/>
      <c r="J116" s="677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83"/>
      <c r="W116" s="468"/>
      <c r="X116" s="674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6">
        <f>SUM(G118:G122)</f>
        <v>29000</v>
      </c>
      <c r="J118" s="669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78">
        <f>J118-SUM(U118:U122)</f>
        <v>0</v>
      </c>
      <c r="W118" s="461">
        <f>'Project Plan'!K40+14</f>
        <v>46183</v>
      </c>
      <c r="X118" s="666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7"/>
      <c r="J119" s="670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79"/>
      <c r="W119" s="461">
        <f>'Project Plan'!K41+14</f>
        <v>46175</v>
      </c>
      <c r="X119" s="667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7"/>
      <c r="J120" s="670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79"/>
      <c r="W120" s="454"/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7"/>
      <c r="J121" s="670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79"/>
      <c r="W121" s="455">
        <f>'Project Plan'!K40</f>
        <v>46169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8"/>
      <c r="J122" s="671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80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72">
        <f>SUM(G124:G125)</f>
        <v>0</v>
      </c>
      <c r="J124" s="675">
        <v>0</v>
      </c>
      <c r="K124" s="690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72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4"/>
      <c r="J125" s="677"/>
      <c r="K125" s="691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74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6">
        <f>SUM(G127:G131)</f>
        <v>22639.989754528986</v>
      </c>
      <c r="J127" s="669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78">
        <f>J127-SUM(U127:U132)</f>
        <v>0</v>
      </c>
      <c r="W127" s="461">
        <f>'Project Plan'!K40</f>
        <v>46169</v>
      </c>
      <c r="X127" s="666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7"/>
      <c r="J128" s="670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79"/>
      <c r="W128" s="454">
        <f>W127</f>
        <v>46169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7"/>
      <c r="J129" s="670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79"/>
      <c r="W129" s="454">
        <f t="shared" ref="W129:W131" si="22">W128</f>
        <v>46169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7"/>
      <c r="J130" s="670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79"/>
      <c r="W130" s="454">
        <f t="shared" si="22"/>
        <v>46169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7"/>
      <c r="J131" s="670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79"/>
      <c r="W131" s="454">
        <f t="shared" si="22"/>
        <v>46169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8"/>
      <c r="J132" s="671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80"/>
      <c r="W132" s="456"/>
      <c r="X132" s="668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72">
        <f>SUM(G134:G145)</f>
        <v>1925</v>
      </c>
      <c r="J134" s="675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81">
        <f>J134-SUM(U134:U145)</f>
        <v>0</v>
      </c>
      <c r="W134" s="467">
        <f>T134+7</f>
        <v>46119</v>
      </c>
      <c r="X134" s="67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3"/>
      <c r="J135" s="676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82"/>
      <c r="W135" s="467">
        <f>T135+7</f>
        <v>46149</v>
      </c>
      <c r="X135" s="67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3"/>
      <c r="J136" s="676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82"/>
      <c r="W136" s="467">
        <f>T136+7</f>
        <v>46180</v>
      </c>
      <c r="X136" s="67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3"/>
      <c r="J137" s="676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82"/>
      <c r="W137" s="467">
        <f>T137+7</f>
        <v>46210</v>
      </c>
      <c r="X137" s="67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3"/>
      <c r="J138" s="676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82"/>
      <c r="W138" s="467"/>
      <c r="X138" s="67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3"/>
      <c r="J139" s="676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82"/>
      <c r="W139" s="467"/>
      <c r="X139" s="67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3"/>
      <c r="J140" s="676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82"/>
      <c r="W140" s="467"/>
      <c r="X140" s="67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3"/>
      <c r="J141" s="676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82"/>
      <c r="W141" s="467"/>
      <c r="X141" s="67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3"/>
      <c r="J142" s="676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82"/>
      <c r="W142" s="467"/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3"/>
      <c r="J143" s="676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82"/>
      <c r="W143" s="467"/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3"/>
      <c r="J144" s="676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82"/>
      <c r="W144" s="467"/>
      <c r="X144" s="67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4"/>
      <c r="J145" s="677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3"/>
      <c r="W145" s="468"/>
      <c r="X145" s="674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6">
        <f>SUM(G147:G158)</f>
        <v>0</v>
      </c>
      <c r="J147" s="669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8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7"/>
      <c r="J148" s="670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9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7"/>
      <c r="J149" s="670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7"/>
      <c r="J150" s="670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7"/>
      <c r="J151" s="670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7"/>
      <c r="J152" s="670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7"/>
      <c r="J153" s="670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7"/>
      <c r="J154" s="670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7"/>
      <c r="J155" s="670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7"/>
      <c r="J156" s="670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7"/>
      <c r="J157" s="670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9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8"/>
      <c r="J158" s="671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0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21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21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20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21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2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2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2.85546875" style="269" bestFit="1" customWidth="1"/>
    <col min="6" max="6" width="14.5703125" style="269" bestFit="1" customWidth="1"/>
    <col min="7" max="8" width="11.8554687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2578125" defaultRowHeight="14.2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2.85546875" style="308" bestFit="1" customWidth="1"/>
    <col min="6" max="6" width="14.5703125" style="308" bestFit="1" customWidth="1"/>
    <col min="7" max="8" width="11.85546875" style="308" bestFit="1" customWidth="1"/>
    <col min="9" max="9" width="14.57031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.15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.15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F1963D3D-7391-4C2D-8D3E-39B3856F197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2026-03-03T10:27:08Z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