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5" documentId="13_ncr:1_{2473AA54-0E02-4422-B2AA-DE31959F4533}" xr6:coauthVersionLast="47" xr6:coauthVersionMax="47" xr10:uidLastSave="{2E0BB131-54D4-41C7-B368-51840245FB77}"/>
  <bookViews>
    <workbookView xWindow="-110" yWindow="-110" windowWidth="19420" windowHeight="11500" tabRatio="576" firstSheet="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68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8" l="1"/>
  <c r="M1" i="6"/>
  <c r="I1" i="6"/>
  <c r="J1" i="6"/>
  <c r="K1" i="6" s="1"/>
  <c r="L1" i="6" s="1"/>
  <c r="W74" i="18" l="1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C9" i="6" l="1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Z12" i="6" s="1"/>
  <c r="P4" i="6"/>
  <c r="O7" i="6"/>
  <c r="Z6" i="6" l="1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L12" i="6" s="1"/>
  <c r="AA14" i="6"/>
  <c r="AB10" i="6"/>
  <c r="AL5" i="6" l="1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N18" i="6" s="1"/>
  <c r="AM11" i="6"/>
  <c r="AM12" i="6" s="1"/>
  <c r="AN12" i="6" s="1"/>
  <c r="AM3" i="6"/>
  <c r="AC14" i="6"/>
  <c r="AD10" i="6"/>
  <c r="AN3" i="6" l="1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2" i="6" s="1"/>
  <c r="AQ17" i="6"/>
  <c r="AQ18" i="6" s="1"/>
  <c r="AQ5" i="6"/>
  <c r="AQ6" i="6" s="1"/>
  <c r="AR1" i="6"/>
  <c r="AQ3" i="6" s="1"/>
  <c r="AH4" i="6" l="1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12" i="6" s="1"/>
  <c r="AS3" i="6"/>
  <c r="AS5" i="6"/>
  <c r="AS6" i="6" s="1"/>
  <c r="AS9" i="6"/>
  <c r="AT1" i="6"/>
  <c r="AS17" i="6" s="1"/>
  <c r="AS18" i="6" s="1"/>
  <c r="AJ4" i="6" l="1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V12" i="6" s="1"/>
  <c r="AU5" i="6"/>
  <c r="AU6" i="6" s="1"/>
  <c r="AK7" i="6"/>
  <c r="AL4" i="6"/>
  <c r="AL10" i="6"/>
  <c r="AK14" i="6"/>
  <c r="AU3" i="6"/>
  <c r="AU9" i="6"/>
  <c r="AX1" i="6" l="1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X18" i="6" s="1"/>
  <c r="AN4" i="6"/>
  <c r="AM7" i="6"/>
  <c r="AN10" i="6"/>
  <c r="AM14" i="6"/>
  <c r="AN14" i="6" l="1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18" i="6" s="1"/>
  <c r="AZ3" i="6"/>
  <c r="AZ5" i="6"/>
  <c r="AZ6" i="6" s="1"/>
  <c r="BA1" i="6"/>
  <c r="AZ9" i="6" s="1"/>
  <c r="AZ11" i="6" l="1"/>
  <c r="AZ12" i="6" s="1"/>
  <c r="AP14" i="6"/>
  <c r="AQ10" i="6"/>
  <c r="AP7" i="6"/>
  <c r="AQ4" i="6"/>
  <c r="BB1" i="6"/>
  <c r="BA11" i="6" s="1"/>
  <c r="BA12" i="6" s="1"/>
  <c r="BA9" i="6" l="1"/>
  <c r="BA17" i="6"/>
  <c r="BA18" i="6" s="1"/>
  <c r="BA5" i="6"/>
  <c r="BA6" i="6" s="1"/>
  <c r="BA3" i="6"/>
  <c r="AR4" i="6"/>
  <c r="AQ7" i="6"/>
  <c r="AQ14" i="6"/>
  <c r="AR10" i="6"/>
  <c r="BB17" i="6"/>
  <c r="BB18" i="6" s="1"/>
  <c r="BB5" i="6"/>
  <c r="BB3" i="6"/>
  <c r="BC1" i="6"/>
  <c r="BB9" i="6" s="1"/>
  <c r="BB6" i="6" l="1"/>
  <c r="BB11" i="6"/>
  <c r="BB12" i="6" s="1"/>
  <c r="AS10" i="6"/>
  <c r="AR14" i="6"/>
  <c r="AS4" i="6"/>
  <c r="AR7" i="6"/>
  <c r="BC11" i="6"/>
  <c r="BC12" i="6" s="1"/>
  <c r="BC9" i="6"/>
  <c r="BD1" i="6"/>
  <c r="BC17" i="6" s="1"/>
  <c r="BC18" i="6" s="1"/>
  <c r="BC5" i="6" l="1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BH12" i="6" s="1"/>
  <c r="AX4" i="6"/>
  <c r="AW7" i="6"/>
  <c r="BJ1" i="6" l="1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Q18" i="6" s="1"/>
  <c r="BG4" i="6"/>
  <c r="BF7" i="6"/>
  <c r="BP9" i="6"/>
  <c r="BP5" i="6"/>
  <c r="BP6" i="6" s="1"/>
  <c r="BP11" i="6"/>
  <c r="BP12" i="6" s="1"/>
  <c r="BF14" i="6"/>
  <c r="BG10" i="6"/>
  <c r="BS1" i="6" l="1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Z18" i="6" s="1"/>
  <c r="BY11" i="6"/>
  <c r="BY12" i="6" s="1"/>
  <c r="BZ12" i="6" s="1"/>
  <c r="BP10" i="6"/>
  <c r="BO14" i="6"/>
  <c r="BQ4" i="6" l="1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s="1"/>
  <c r="CD1" i="6" l="1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D18" i="6" s="1"/>
  <c r="CC3" i="6"/>
  <c r="CC9" i="6"/>
  <c r="CC11" i="6"/>
  <c r="CC12" i="6" s="1"/>
  <c r="CD12" i="6" s="1"/>
  <c r="CC5" i="6"/>
  <c r="CC6" i="6" s="1"/>
  <c r="BT10" i="6"/>
  <c r="BS14" i="6"/>
  <c r="CF1" i="6" l="1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T18" i="6" s="1"/>
  <c r="CS5" i="6"/>
  <c r="CS6" i="6" s="1"/>
  <c r="CT6" i="6" s="1"/>
  <c r="CS11" i="6"/>
  <c r="CS12" i="6" s="1"/>
  <c r="CT12" i="6" s="1"/>
  <c r="CJ10" i="6"/>
  <c r="CI14" i="6"/>
  <c r="CV1" i="6" l="1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17" i="6"/>
  <c r="DK18" i="6" s="1"/>
  <c r="DK3" i="6"/>
  <c r="DK9" i="6"/>
  <c r="DA7" i="6"/>
  <c r="DB4" i="6"/>
  <c r="DA14" i="6"/>
  <c r="DB10" i="6"/>
  <c r="DK6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P18" i="6" s="1"/>
  <c r="DO9" i="6"/>
  <c r="DO3" i="6"/>
  <c r="DG10" i="6" l="1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Y12" i="6" s="1"/>
  <c r="DZ1" i="6"/>
  <c r="DY3" i="6" s="1"/>
  <c r="DX5" i="6"/>
  <c r="DX6" i="6" s="1"/>
  <c r="DN14" i="6"/>
  <c r="DO10" i="6"/>
  <c r="DN7" i="6"/>
  <c r="DO4" i="6"/>
  <c r="DX9" i="6"/>
  <c r="DX17" i="6"/>
  <c r="DX18" i="6" s="1"/>
  <c r="DP4" i="6" l="1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EB18" i="6" s="1"/>
  <c r="DR10" i="6"/>
  <c r="DQ14" i="6"/>
  <c r="EA12" i="6"/>
  <c r="EB12" i="6" s="1"/>
  <c r="DQ7" i="6"/>
  <c r="DR4" i="6"/>
  <c r="EA3" i="6"/>
  <c r="EA5" i="6"/>
  <c r="EA6" i="6" s="1"/>
  <c r="DR7" i="6" l="1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18" i="6" s="1"/>
  <c r="ED5" i="6"/>
  <c r="DT7" i="6" l="1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O18" i="6" s="1"/>
  <c r="EN11" i="6"/>
  <c r="EN12" i="6" s="1"/>
  <c r="EN9" i="6"/>
  <c r="EO12" i="6" l="1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T18" i="6" s="1"/>
  <c r="EJ4" i="6"/>
  <c r="EI7" i="6"/>
  <c r="EK4" i="6" l="1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2" i="6" s="1"/>
  <c r="EW17" i="6"/>
  <c r="EW3" i="6"/>
  <c r="EW5" i="6"/>
  <c r="EX1" i="6"/>
  <c r="EW9" i="6" s="1"/>
  <c r="EV5" i="6"/>
  <c r="EV6" i="6" s="1"/>
  <c r="EW6" i="6" l="1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Y12" i="6" s="1"/>
  <c r="EX18" i="6"/>
  <c r="EN7" i="6"/>
  <c r="EO4" i="6"/>
  <c r="EX9" i="6"/>
  <c r="EY18" i="6" l="1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J18" i="6" s="1"/>
  <c r="FI3" i="6"/>
  <c r="FI9" i="6"/>
  <c r="EZ10" i="6"/>
  <c r="EY14" i="6"/>
  <c r="FL1" i="6" l="1"/>
  <c r="FK11" i="6" s="1"/>
  <c r="FK9" i="6"/>
  <c r="FJ11" i="6"/>
  <c r="FJ12" i="6" s="1"/>
  <c r="EZ14" i="6"/>
  <c r="FA10" i="6"/>
  <c r="FA4" i="6"/>
  <c r="EZ7" i="6"/>
  <c r="FJ6" i="6"/>
  <c r="FK5" i="6" l="1"/>
  <c r="FK12" i="6"/>
  <c r="FA7" i="6"/>
  <c r="FB4" i="6"/>
  <c r="FB10" i="6"/>
  <c r="FA14" i="6"/>
  <c r="FK3" i="6"/>
  <c r="FM1" i="6"/>
  <c r="FL11" i="6" s="1"/>
  <c r="FK17" i="6"/>
  <c r="FK18" i="6" s="1"/>
  <c r="FK6" i="6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R12" i="6" s="1"/>
  <c r="FQ9" i="6"/>
  <c r="FH4" i="6"/>
  <c r="FG7" i="6"/>
  <c r="FH10" i="6"/>
  <c r="FG14" i="6"/>
  <c r="FH7" i="6" l="1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W12" i="6" s="1"/>
  <c r="FL14" i="6"/>
  <c r="FM10" i="6"/>
  <c r="FW3" i="6" l="1"/>
  <c r="FW18" i="6"/>
  <c r="FY1" i="6"/>
  <c r="FX9" i="6" s="1"/>
  <c r="FW5" i="6"/>
  <c r="FW6" i="6" s="1"/>
  <c r="FN10" i="6"/>
  <c r="FM14" i="6"/>
  <c r="FN4" i="6"/>
  <c r="FM7" i="6"/>
  <c r="FX17" i="6" l="1"/>
  <c r="FN7" i="6"/>
  <c r="FO4" i="6"/>
  <c r="FO10" i="6"/>
  <c r="FN14" i="6"/>
  <c r="FZ1" i="6"/>
  <c r="FY17" i="6" s="1"/>
  <c r="FX5" i="6"/>
  <c r="FX6" i="6" s="1"/>
  <c r="FX11" i="6"/>
  <c r="FX12" i="6" s="1"/>
  <c r="FX3" i="6"/>
  <c r="FX18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18" i="6" s="1"/>
  <c r="GI5" i="6"/>
  <c r="GI6" i="6" s="1"/>
  <c r="GI3" i="6"/>
  <c r="GI9" i="6"/>
  <c r="GJ1" i="6"/>
  <c r="GI12" i="6" l="1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s="1"/>
  <c r="GK3" i="6" l="1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T18" i="6" s="1"/>
  <c r="GJ4" i="6"/>
  <c r="GI7" i="6"/>
  <c r="GI14" i="6"/>
  <c r="GJ10" i="6"/>
  <c r="GK4" i="6" l="1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18" i="6" s="1"/>
  <c r="GV3" i="6"/>
  <c r="GV5" i="6"/>
  <c r="GV6" i="6" s="1"/>
  <c r="GV9" i="6"/>
  <c r="GW1" i="6"/>
  <c r="GV11" i="6" s="1"/>
  <c r="GL7" i="6" l="1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18" i="6" s="1"/>
  <c r="GX5" i="6"/>
  <c r="GY1" i="6"/>
  <c r="GX3" i="6" s="1"/>
  <c r="GX6" i="6" l="1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18" i="6" s="1"/>
  <c r="HA5" i="6"/>
  <c r="HA9" i="6"/>
  <c r="HA3" i="6"/>
  <c r="HB1" i="6"/>
  <c r="HA6" i="6" l="1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18" i="6" s="1"/>
  <c r="HC5" i="6"/>
  <c r="HC6" i="6" s="1"/>
  <c r="HC3" i="6"/>
  <c r="HC9" i="6"/>
  <c r="HD1" i="6"/>
  <c r="HC12" i="6" l="1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L12" i="6" s="1"/>
  <c r="HK3" i="6"/>
  <c r="HA14" i="6"/>
  <c r="HB10" i="6"/>
  <c r="HB4" i="6"/>
  <c r="HA7" i="6"/>
  <c r="HK9" i="6"/>
  <c r="HK18" i="6"/>
  <c r="HC10" i="6" l="1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Q12" i="6" s="1"/>
  <c r="HF14" i="6"/>
  <c r="HG10" i="6"/>
  <c r="HG4" i="6"/>
  <c r="HF7" i="6"/>
  <c r="HH4" i="6" l="1"/>
  <c r="HG7" i="6"/>
  <c r="HS1" i="6"/>
  <c r="HR11" i="6"/>
  <c r="HR12" i="6" s="1"/>
  <c r="HR17" i="6"/>
  <c r="HR3" i="6"/>
  <c r="HR5" i="6"/>
  <c r="HQ9" i="6"/>
  <c r="HQ3" i="6"/>
  <c r="HQ17" i="6"/>
  <c r="HQ18" i="6" s="1"/>
  <c r="HR18" i="6" s="1"/>
  <c r="HH10" i="6"/>
  <c r="HG14" i="6"/>
  <c r="HQ6" i="6"/>
  <c r="HT1" i="6" l="1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Y18" i="6" s="1"/>
  <c r="HO10" i="6"/>
  <c r="HN14" i="6"/>
  <c r="HX11" i="6"/>
  <c r="HX12" i="6" s="1"/>
  <c r="HX5" i="6"/>
  <c r="HX6" i="6" s="1"/>
  <c r="HN7" i="6"/>
  <c r="HO4" i="6"/>
  <c r="HY9" i="6" l="1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IG18" i="6" s="1"/>
  <c r="HW10" i="6"/>
  <c r="HV14" i="6"/>
  <c r="HW4" i="6"/>
  <c r="HV7" i="6"/>
  <c r="IF3" i="6"/>
  <c r="HW14" i="6" l="1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N12" i="6" s="1"/>
  <c r="IC7" i="6"/>
  <c r="ID4" i="6"/>
  <c r="IN9" i="6" l="1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R12" i="6" s="1"/>
  <c r="IS1" i="6"/>
  <c r="IR17" i="6" s="1"/>
  <c r="IR18" i="6" s="1"/>
  <c r="II10" i="6" l="1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V12" i="6" s="1"/>
  <c r="IK14" i="6"/>
  <c r="IL10" i="6"/>
  <c r="IL4" i="6"/>
  <c r="IK7" i="6"/>
  <c r="IU3" i="6"/>
  <c r="IU17" i="6"/>
  <c r="IU18" i="6" s="1"/>
  <c r="IV6" i="6" l="1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B12" i="6" s="1"/>
  <c r="JA9" i="6"/>
  <c r="JA3" i="6"/>
  <c r="IR4" i="6"/>
  <c r="IQ7" i="6"/>
  <c r="JD1" i="6" l="1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N18" i="6" s="1"/>
  <c r="JM3" i="6"/>
  <c r="JM5" i="6"/>
  <c r="JM6" i="6" s="1"/>
  <c r="JD4" i="6"/>
  <c r="JC7" i="6"/>
  <c r="JE10" i="6" l="1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S12" i="6" s="1"/>
  <c r="JH14" i="6"/>
  <c r="JI10" i="6"/>
  <c r="JU1" i="6" l="1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18" i="6" s="1"/>
  <c r="JY5" i="6"/>
  <c r="JZ1" i="6"/>
  <c r="JY9" i="6" s="1"/>
  <c r="JY3" i="6" l="1"/>
  <c r="JO14" i="6"/>
  <c r="JP10" i="6"/>
  <c r="JP4" i="6"/>
  <c r="JO7" i="6"/>
  <c r="JY12" i="6"/>
  <c r="JY6" i="6"/>
  <c r="KA1" i="6"/>
  <c r="JZ5" i="6" s="1"/>
  <c r="JZ11" i="6" l="1"/>
  <c r="JZ17" i="6"/>
  <c r="JZ18" i="6" s="1"/>
  <c r="JZ9" i="6"/>
  <c r="JZ3" i="6"/>
  <c r="JZ12" i="6"/>
  <c r="JQ10" i="6"/>
  <c r="JP14" i="6"/>
  <c r="JZ6" i="6"/>
  <c r="JQ4" i="6"/>
  <c r="JP7" i="6"/>
  <c r="KA3" i="6"/>
  <c r="KA9" i="6"/>
  <c r="KA17" i="6"/>
  <c r="KA18" i="6" s="1"/>
  <c r="KA5" i="6"/>
  <c r="KB1" i="6"/>
  <c r="KA11" i="6" s="1"/>
  <c r="JR4" i="6" l="1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C18" i="6" s="1"/>
  <c r="KD1" i="6"/>
  <c r="KC5" i="6" s="1"/>
  <c r="KC9" i="6" l="1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<sst xmlns="http://schemas.openxmlformats.org/spreadsheetml/2006/main" count="815" uniqueCount="469">
  <si>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</si>
  <si>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</si>
  <si>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</si>
  <si>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</si>
  <si>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</si>
  <si>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</si>
  <si>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</si>
  <si>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</si>
  <si>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</si>
  <si>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</si>
  <si>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</si>
  <si>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</si>
  <si>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</si>
  <si>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</si>
  <si>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</si>
  <si>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</si>
  <si>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</si>
  <si>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</si>
  <si>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</si>
  <si>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</si>
  <si>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</si>
  <si>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</si>
  <si>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</si>
  <si>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</si>
  <si>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</si>
  <si>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</si>
  <si>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</si>
  <si>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</si>
  <si>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</si>
  <si>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</si>
  <si>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</si>
  <si>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</si>
  <si>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</si>
  <si>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</si>
  <si>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</si>
  <si>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</si>
  <si>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</si>
  <si>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</si>
  <si>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</si>
  <si>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</si>
  <si>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</si>
  <si>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</si>
  <si>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</si>
  <si>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</si>
  <si>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</si>
  <si>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</si>
  <si>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</si>
  <si>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</si>
  <si>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</si>
  <si>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</si>
  <si>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</si>
  <si>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</si>
  <si>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</si>
  <si>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</si>
  <si>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</si>
  <si>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</si>
  <si>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</si>
  <si>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</si>
  <si>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</si>
  <si>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</si>
  <si>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</si>
  <si>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</si>
  <si>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</si>
  <si>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</si>
  <si>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</si>
  <si>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</si>
  <si>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</si>
  <si>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</si>
  <si>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</si>
  <si>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</si>
  <si>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</si>
  <si>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</si>
  <si>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</si>
  <si>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</si>
  <si>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</si>
  <si>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</si>
  <si>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</si>
  <si>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</si>
  <si>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</si>
  <si>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</si>
  <si>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</si>
  <si>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</si>
  <si>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</si>
  <si>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</si>
  <si>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</si>
  <si>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</si>
  <si>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</si>
  <si>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</si>
  <si>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</si>
  <si>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</si>
  <si>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</si>
  <si>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</si>
  <si>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</si>
  <si>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</si>
  <si>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</si>
  <si>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</si>
  <si>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</si>
  <si>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</si>
  <si>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</si>
  <si>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</si>
  <si>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</si>
  <si>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</si>
  <si>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</si>
  <si>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</si>
  <si>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</si>
  <si>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</si>
  <si>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</si>
  <si>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</si>
  <si>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</si>
  <si>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</si>
  <si>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</si>
  <si>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</si>
  <si>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</si>
  <si>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</si>
  <si>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</si>
  <si>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</si>
  <si>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</si>
  <si>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</si>
  <si>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</si>
  <si>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</si>
  <si>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</si>
  <si>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</si>
  <si>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</si>
  <si>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</si>
  <si>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</si>
  <si>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</si>
  <si>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</si>
  <si>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</si>
  <si>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</si>
  <si>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</si>
  <si>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</si>
  <si>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</si>
  <si>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</si>
  <si>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</si>
  <si>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</si>
  <si>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</si>
  <si>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</si>
  <si>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</si>
  <si>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</si>
  <si>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</si>
  <si>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</si>
  <si>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</si>
  <si>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</si>
  <si>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</si>
  <si>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</si>
  <si>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</si>
  <si>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</si>
  <si>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</si>
  <si>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</si>
  <si>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</si>
  <si>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</si>
  <si>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</si>
  <si>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</si>
  <si>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</si>
  <si>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</si>
  <si>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</si>
  <si>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</si>
  <si>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</si>
  <si>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</si>
  <si>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</si>
  <si>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</si>
  <si>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</si>
  <si>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</si>
  <si>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</si>
  <si>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</si>
  <si>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</si>
  <si>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</si>
  <si>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</si>
  <si>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</si>
  <si>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</si>
  <si>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</si>
  <si>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</si>
  <si>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</si>
  <si>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</si>
  <si>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</si>
  <si>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</si>
  <si>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</si>
  <si>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</si>
  <si>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</si>
  <si>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</si>
  <si>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</si>
  <si>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</si>
  <si>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</si>
  <si>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</si>
  <si>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</si>
  <si>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</si>
  <si>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</si>
  <si>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</si>
  <si>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</si>
  <si>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</si>
  <si>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</si>
  <si>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</si>
  <si>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</si>
  <si>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</si>
  <si>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</si>
  <si>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</si>
  <si>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</si>
  <si>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</si>
  <si>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</si>
  <si>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</si>
  <si>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</si>
  <si>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</si>
  <si>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</si>
  <si>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</si>
  <si>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</si>
  <si>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</si>
  <si>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</si>
  <si>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</si>
  <si>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</si>
  <si>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</si>
  <si>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</si>
  <si>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</si>
  <si>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</si>
  <si>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</si>
  <si>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</si>
  <si>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</si>
  <si>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</si>
  <si>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</si>
  <si>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</si>
  <si>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</si>
  <si>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</si>
  <si>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</si>
  <si>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</si>
  <si>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</si>
  <si>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</si>
  <si>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</si>
  <si>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</si>
  <si>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</si>
  <si>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</si>
  <si>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</si>
  <si>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</si>
  <si>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</si>
  <si>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</si>
  <si>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</si>
  <si>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</si>
  <si>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</si>
  <si>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</si>
  <si>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</si>
  <si>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</si>
  <si>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</si>
  <si>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</si>
  <si>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</si>
  <si>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</si>
  <si>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</si>
  <si>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</si>
  <si>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</si>
  <si>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</si>
  <si>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</si>
  <si>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</si>
  <si>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</si>
  <si>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</si>
  <si>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</si>
  <si>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</si>
  <si>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</si>
  <si>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</si>
  <si>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</si>
  <si>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</si>
  <si>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</si>
  <si>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</si>
  <si>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</si>
  <si>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</si>
  <si>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</si>
  <si>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</si>
  <si>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</si>
  <si>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</si>
  <si>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</si>
  <si>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</si>
  <si>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</si>
  <si>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</si>
  <si>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</si>
  <si>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</si>
  <si>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</si>
  <si>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</si>
  <si>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</si>
  <si>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</si>
  <si>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</si>
  <si>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</si>
  <si>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</si>
  <si>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</si>
  <si>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</si>
  <si>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</si>
  <si>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</si>
  <si>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</si>
  <si>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</si>
  <si>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</si>
  <si>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</si>
  <si>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</si>
  <si>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</si>
  <si>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</si>
  <si>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</si>
  <si>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</si>
  <si>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</si>
  <si>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</si>
  <si>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</si>
  <si>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</si>
  <si>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TBC - 610W as placeholder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</si>
  <si>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</si>
  <si>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</si>
  <si>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</si>
  <si>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</si>
  <si>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</si>
  <si>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</si>
  <si>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</si>
  <si>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</si>
  <si>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</si>
  <si>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</si>
  <si>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</si>
  <si>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</si>
  <si>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</si>
  <si>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</si>
  <si>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</si>
  <si>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</si>
  <si>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</si>
  <si>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</si>
  <si>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</si>
  <si>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</si>
  <si>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</si>
  <si>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</si>
  <si>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</si>
  <si>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</si>
  <si>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</si>
  <si>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</si>
  <si>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</si>
  <si>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</si>
  <si>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</si>
  <si>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</si>
  <si>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</si>
  <si>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</si>
  <si>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</si>
  <si>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</si>
  <si>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</si>
  <si>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</si>
  <si>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</si>
  <si>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</si>
  <si>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</si>
  <si>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</si>
  <si>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</si>
  <si>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</si>
  <si>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</si>
  <si>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</si>
  <si>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</si>
  <si>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</si>
  <si>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</si>
  <si>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</si>
  <si>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APEX Controller</t>
  </si>
  <si>
    <t>AC Equipment Budget</t>
  </si>
  <si>
    <t>6. AC Equipment</t>
  </si>
  <si>
    <t>Auto Change over Switch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</si>
  <si>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</si>
  <si>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</si>
  <si>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</si>
  <si>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</si>
  <si>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</si>
  <si>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</si>
  <si>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</si>
  <si>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</si>
  <si>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</si>
  <si>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</si>
  <si>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</si>
  <si>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</si>
  <si>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</si>
  <si>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</si>
  <si>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</si>
  <si>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</si>
  <si>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</si>
  <si>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</si>
  <si>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</si>
  <si>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</si>
  <si>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</si>
  <si>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</si>
  <si>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</si>
  <si>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</si>
  <si>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</si>
  <si>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</si>
  <si>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</si>
  <si>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</si>
  <si>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</si>
  <si>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</si>
  <si>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</si>
  <si>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</si>
  <si>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</si>
  <si>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</si>
  <si>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</si>
  <si>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</si>
  <si>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</si>
  <si>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</si>
  <si>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</si>
  <si>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 - Outside of CoCT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</si>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</sst>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3501665.8285581507</c:v>
                </c:pt>
                <c:pt idx="8">
                  <c:v>3501665.8285581507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3707646.1714145127</c:v>
                </c:pt>
                <c:pt idx="12">
                  <c:v>3810636.3428426934</c:v>
                </c:pt>
                <c:pt idx="13">
                  <c:v>3810636.3428426934</c:v>
                </c:pt>
                <c:pt idx="14">
                  <c:v>4119606.8571272362</c:v>
                </c:pt>
                <c:pt idx="15">
                  <c:v>4119606.8571272362</c:v>
                </c:pt>
                <c:pt idx="16">
                  <c:v>4119606.8571272362</c:v>
                </c:pt>
                <c:pt idx="17">
                  <c:v>4119606.8571272362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3412165.8285581507</c:v>
                </c:pt>
                <c:pt idx="8">
                  <c:v>3412165.8285581507</c:v>
                </c:pt>
                <c:pt idx="9">
                  <c:v>3285905.0285581509</c:v>
                </c:pt>
                <c:pt idx="10">
                  <c:v>2868289.0285581509</c:v>
                </c:pt>
                <c:pt idx="11">
                  <c:v>2288512.2603034014</c:v>
                </c:pt>
                <c:pt idx="12">
                  <c:v>1772121.7056446257</c:v>
                </c:pt>
                <c:pt idx="13">
                  <c:v>1772121.7056446257</c:v>
                </c:pt>
                <c:pt idx="14">
                  <c:v>799706.46905114921</c:v>
                </c:pt>
                <c:pt idx="15">
                  <c:v>657491.95600767108</c:v>
                </c:pt>
                <c:pt idx="16">
                  <c:v>657491.95600767108</c:v>
                </c:pt>
                <c:pt idx="17">
                  <c:v>657491.95600767108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2059803.4285636181</c:v>
                </c:pt>
                <c:pt idx="10">
                  <c:v>2883724.7999890652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62400</c:v>
                </c:pt>
                <c:pt idx="10">
                  <c:v>220812.41263285038</c:v>
                </c:pt>
                <c:pt idx="11">
                  <c:v>430307.49834694085</c:v>
                </c:pt>
                <c:pt idx="12">
                  <c:v>431707.49834694085</c:v>
                </c:pt>
                <c:pt idx="13">
                  <c:v>431707.49834694085</c:v>
                </c:pt>
                <c:pt idx="14">
                  <c:v>590119.9109797912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1997403.4285636181</c:v>
                </c:pt>
                <c:pt idx="10">
                  <c:v>2662912.3873562147</c:v>
                </c:pt>
                <c:pt idx="11">
                  <c:v>3071358.3302112101</c:v>
                </c:pt>
                <c:pt idx="12">
                  <c:v>3069958.3302112101</c:v>
                </c:pt>
                <c:pt idx="13">
                  <c:v>3069958.3302112101</c:v>
                </c:pt>
                <c:pt idx="14">
                  <c:v>2911545.9175783596</c:v>
                </c:pt>
                <c:pt idx="15">
                  <c:v>1382900.380328441</c:v>
                </c:pt>
                <c:pt idx="16">
                  <c:v>1484490.5517566218</c:v>
                </c:pt>
                <c:pt idx="17">
                  <c:v>1484490.5517566218</c:v>
                </c:pt>
                <c:pt idx="18">
                  <c:v>339078.13912377134</c:v>
                </c:pt>
                <c:pt idx="19">
                  <c:v>623471.1534083141</c:v>
                </c:pt>
                <c:pt idx="20">
                  <c:v>622071.1534083141</c:v>
                </c:pt>
                <c:pt idx="21">
                  <c:v>590388.67088174401</c:v>
                </c:pt>
                <c:pt idx="22">
                  <c:v>590388.67088174401</c:v>
                </c:pt>
                <c:pt idx="23">
                  <c:v>590388.67088174401</c:v>
                </c:pt>
                <c:pt idx="24">
                  <c:v>590388.67088174401</c:v>
                </c:pt>
                <c:pt idx="25">
                  <c:v>590388.67088174401</c:v>
                </c:pt>
                <c:pt idx="26">
                  <c:v>590388.67088174401</c:v>
                </c:pt>
                <c:pt idx="27">
                  <c:v>590388.67088174401</c:v>
                </c:pt>
                <c:pt idx="28">
                  <c:v>590388.67088174401</c:v>
                </c:pt>
                <c:pt idx="29">
                  <c:v>590388.67088174401</c:v>
                </c:pt>
                <c:pt idx="30">
                  <c:v>590388.67088174401</c:v>
                </c:pt>
                <c:pt idx="31">
                  <c:v>590388.67088174401</c:v>
                </c:pt>
                <c:pt idx="32">
                  <c:v>590388.67088174401</c:v>
                </c:pt>
                <c:pt idx="33">
                  <c:v>590388.67088174401</c:v>
                </c:pt>
                <c:pt idx="34">
                  <c:v>590388.67088174401</c:v>
                </c:pt>
                <c:pt idx="35">
                  <c:v>590388.67088174401</c:v>
                </c:pt>
                <c:pt idx="36">
                  <c:v>590388.67088174401</c:v>
                </c:pt>
                <c:pt idx="37">
                  <c:v>590388.67088174401</c:v>
                </c:pt>
                <c:pt idx="38">
                  <c:v>590388.67088174401</c:v>
                </c:pt>
                <c:pt idx="39">
                  <c:v>590388.67088174401</c:v>
                </c:pt>
                <c:pt idx="40">
                  <c:v>590388.67088174401</c:v>
                </c:pt>
                <c:pt idx="41">
                  <c:v>590388.67088174401</c:v>
                </c:pt>
                <c:pt idx="42">
                  <c:v>590388.67088174401</c:v>
                </c:pt>
                <c:pt idx="43">
                  <c:v>590388.67088174401</c:v>
                </c:pt>
                <c:pt idx="44">
                  <c:v>590388.67088174401</c:v>
                </c:pt>
                <c:pt idx="45">
                  <c:v>590388.67088174401</c:v>
                </c:pt>
                <c:pt idx="46">
                  <c:v>590388.67088174401</c:v>
                </c:pt>
                <c:pt idx="47">
                  <c:v>590388.67088174401</c:v>
                </c:pt>
                <c:pt idx="48">
                  <c:v>590388.67088174401</c:v>
                </c:pt>
                <c:pt idx="49">
                  <c:v>590388.67088174401</c:v>
                </c:pt>
                <c:pt idx="50">
                  <c:v>590388.67088174401</c:v>
                </c:pt>
                <c:pt idx="51">
                  <c:v>590388.67088174401</c:v>
                </c:pt>
                <c:pt idx="52">
                  <c:v>590388.67088174401</c:v>
                </c:pt>
                <c:pt idx="53">
                  <c:v>590388.67088174401</c:v>
                </c:pt>
                <c:pt idx="54">
                  <c:v>590388.67088174401</c:v>
                </c:pt>
                <c:pt idx="55">
                  <c:v>590388.67088174401</c:v>
                </c:pt>
                <c:pt idx="56">
                  <c:v>590388.67088174401</c:v>
                </c:pt>
                <c:pt idx="57">
                  <c:v>590388.67088174401</c:v>
                </c:pt>
                <c:pt idx="58">
                  <c:v>590388.67088174401</c:v>
                </c:pt>
                <c:pt idx="59">
                  <c:v>590388.67088174401</c:v>
                </c:pt>
                <c:pt idx="60">
                  <c:v>590388.67088174401</c:v>
                </c:pt>
                <c:pt idx="61">
                  <c:v>590388.67088174401</c:v>
                </c:pt>
                <c:pt idx="62">
                  <c:v>590388.67088174401</c:v>
                </c:pt>
                <c:pt idx="63">
                  <c:v>590388.67088174401</c:v>
                </c:pt>
                <c:pt idx="64">
                  <c:v>590388.67088174401</c:v>
                </c:pt>
                <c:pt idx="65">
                  <c:v>590388.67088174401</c:v>
                </c:pt>
                <c:pt idx="66">
                  <c:v>590388.67088174401</c:v>
                </c:pt>
                <c:pt idx="67">
                  <c:v>590388.67088174401</c:v>
                </c:pt>
                <c:pt idx="68">
                  <c:v>590388.67088174401</c:v>
                </c:pt>
                <c:pt idx="69">
                  <c:v>590388.67088174401</c:v>
                </c:pt>
                <c:pt idx="70">
                  <c:v>590388.67088174401</c:v>
                </c:pt>
                <c:pt idx="71">
                  <c:v>590388.67088174401</c:v>
                </c:pt>
                <c:pt idx="72">
                  <c:v>590388.67088174401</c:v>
                </c:pt>
                <c:pt idx="73">
                  <c:v>590388.67088174401</c:v>
                </c:pt>
                <c:pt idx="74">
                  <c:v>590388.67088174401</c:v>
                </c:pt>
                <c:pt idx="75">
                  <c:v>590388.67088174401</c:v>
                </c:pt>
                <c:pt idx="76">
                  <c:v>590388.67088174401</c:v>
                </c:pt>
                <c:pt idx="77">
                  <c:v>590388.67088174401</c:v>
                </c:pt>
                <c:pt idx="78">
                  <c:v>590388.67088174401</c:v>
                </c:pt>
                <c:pt idx="79">
                  <c:v>590388.67088174401</c:v>
                </c:pt>
                <c:pt idx="80">
                  <c:v>590388.67088174401</c:v>
                </c:pt>
                <c:pt idx="81">
                  <c:v>590388.67088174401</c:v>
                </c:pt>
                <c:pt idx="82">
                  <c:v>590388.67088174401</c:v>
                </c:pt>
                <c:pt idx="83">
                  <c:v>590388.67088174401</c:v>
                </c:pt>
                <c:pt idx="84">
                  <c:v>590388.67088174401</c:v>
                </c:pt>
                <c:pt idx="85">
                  <c:v>590388.67088174401</c:v>
                </c:pt>
                <c:pt idx="86">
                  <c:v>590388.67088174401</c:v>
                </c:pt>
                <c:pt idx="87">
                  <c:v>590388.67088174401</c:v>
                </c:pt>
                <c:pt idx="88">
                  <c:v>590388.67088174401</c:v>
                </c:pt>
                <c:pt idx="89">
                  <c:v>590388.67088174401</c:v>
                </c:pt>
                <c:pt idx="90">
                  <c:v>590388.67088174401</c:v>
                </c:pt>
                <c:pt idx="91">
                  <c:v>590388.67088174401</c:v>
                </c:pt>
                <c:pt idx="92">
                  <c:v>590388.67088174401</c:v>
                </c:pt>
                <c:pt idx="93">
                  <c:v>590388.67088174401</c:v>
                </c:pt>
                <c:pt idx="94">
                  <c:v>590388.67088174401</c:v>
                </c:pt>
                <c:pt idx="95">
                  <c:v>590388.67088174401</c:v>
                </c:pt>
                <c:pt idx="96">
                  <c:v>590388.67088174401</c:v>
                </c:pt>
                <c:pt idx="97">
                  <c:v>590388.67088174401</c:v>
                </c:pt>
                <c:pt idx="98">
                  <c:v>590388.67088174401</c:v>
                </c:pt>
                <c:pt idx="99">
                  <c:v>590388.67088174401</c:v>
                </c:pt>
                <c:pt idx="100">
                  <c:v>590388.67088174401</c:v>
                </c:pt>
                <c:pt idx="101">
                  <c:v>590388.67088174401</c:v>
                </c:pt>
                <c:pt idx="102">
                  <c:v>590388.67088174401</c:v>
                </c:pt>
                <c:pt idx="103">
                  <c:v>590388.67088174401</c:v>
                </c:pt>
                <c:pt idx="104">
                  <c:v>590388.67088174401</c:v>
                </c:pt>
                <c:pt idx="105">
                  <c:v>590388.67088174401</c:v>
                </c:pt>
                <c:pt idx="106">
                  <c:v>590388.67088174401</c:v>
                </c:pt>
                <c:pt idx="107">
                  <c:v>590388.67088174401</c:v>
                </c:pt>
                <c:pt idx="108">
                  <c:v>590388.67088174401</c:v>
                </c:pt>
                <c:pt idx="109">
                  <c:v>590388.67088174401</c:v>
                </c:pt>
                <c:pt idx="110">
                  <c:v>590388.67088174401</c:v>
                </c:pt>
                <c:pt idx="111">
                  <c:v>590388.67088174401</c:v>
                </c:pt>
                <c:pt idx="112">
                  <c:v>590388.67088174401</c:v>
                </c:pt>
                <c:pt idx="113">
                  <c:v>590388.67088174401</c:v>
                </c:pt>
                <c:pt idx="114">
                  <c:v>590388.67088174401</c:v>
                </c:pt>
                <c:pt idx="115">
                  <c:v>590388.67088174401</c:v>
                </c:pt>
                <c:pt idx="116">
                  <c:v>590388.67088174401</c:v>
                </c:pt>
                <c:pt idx="117">
                  <c:v>590388.67088174401</c:v>
                </c:pt>
                <c:pt idx="118">
                  <c:v>590388.67088174401</c:v>
                </c:pt>
                <c:pt idx="119">
                  <c:v>590388.67088174401</c:v>
                </c:pt>
                <c:pt idx="120">
                  <c:v>590388.67088174401</c:v>
                </c:pt>
                <c:pt idx="121">
                  <c:v>590388.67088174401</c:v>
                </c:pt>
                <c:pt idx="122">
                  <c:v>590388.67088174401</c:v>
                </c:pt>
                <c:pt idx="123">
                  <c:v>590388.67088174401</c:v>
                </c:pt>
                <c:pt idx="124">
                  <c:v>590388.67088174401</c:v>
                </c:pt>
                <c:pt idx="125">
                  <c:v>590388.67088174401</c:v>
                </c:pt>
                <c:pt idx="126">
                  <c:v>590388.67088174401</c:v>
                </c:pt>
                <c:pt idx="127">
                  <c:v>590388.67088174401</c:v>
                </c:pt>
                <c:pt idx="128">
                  <c:v>590388.67088174401</c:v>
                </c:pt>
                <c:pt idx="129">
                  <c:v>590388.67088174401</c:v>
                </c:pt>
                <c:pt idx="130">
                  <c:v>590388.67088174401</c:v>
                </c:pt>
                <c:pt idx="131">
                  <c:v>590388.67088174401</c:v>
                </c:pt>
                <c:pt idx="132">
                  <c:v>590388.67088174401</c:v>
                </c:pt>
                <c:pt idx="133">
                  <c:v>590388.67088174401</c:v>
                </c:pt>
                <c:pt idx="134">
                  <c:v>590388.67088174401</c:v>
                </c:pt>
                <c:pt idx="135">
                  <c:v>590388.67088174401</c:v>
                </c:pt>
                <c:pt idx="136">
                  <c:v>590388.67088174401</c:v>
                </c:pt>
                <c:pt idx="137">
                  <c:v>590388.67088174401</c:v>
                </c:pt>
                <c:pt idx="138">
                  <c:v>590388.67088174401</c:v>
                </c:pt>
                <c:pt idx="139">
                  <c:v>590388.67088174401</c:v>
                </c:pt>
                <c:pt idx="140">
                  <c:v>590388.67088174401</c:v>
                </c:pt>
                <c:pt idx="141">
                  <c:v>590388.67088174401</c:v>
                </c:pt>
                <c:pt idx="142">
                  <c:v>590388.67088174401</c:v>
                </c:pt>
                <c:pt idx="143">
                  <c:v>590388.67088174401</c:v>
                </c:pt>
                <c:pt idx="144">
                  <c:v>590388.67088174401</c:v>
                </c:pt>
                <c:pt idx="145">
                  <c:v>590388.67088174401</c:v>
                </c:pt>
                <c:pt idx="146">
                  <c:v>590388.67088174401</c:v>
                </c:pt>
                <c:pt idx="147">
                  <c:v>590388.67088174401</c:v>
                </c:pt>
                <c:pt idx="148">
                  <c:v>590388.67088174401</c:v>
                </c:pt>
                <c:pt idx="149">
                  <c:v>590388.67088174401</c:v>
                </c:pt>
                <c:pt idx="150">
                  <c:v>590388.67088174401</c:v>
                </c:pt>
                <c:pt idx="151">
                  <c:v>590388.67088174401</c:v>
                </c:pt>
                <c:pt idx="152">
                  <c:v>590388.67088174401</c:v>
                </c:pt>
                <c:pt idx="153">
                  <c:v>590388.67088174401</c:v>
                </c:pt>
                <c:pt idx="154">
                  <c:v>590388.67088174401</c:v>
                </c:pt>
                <c:pt idx="155">
                  <c:v>590388.67088174401</c:v>
                </c:pt>
                <c:pt idx="156">
                  <c:v>590388.67088174401</c:v>
                </c:pt>
                <c:pt idx="157">
                  <c:v>590388.67088174401</c:v>
                </c:pt>
                <c:pt idx="158">
                  <c:v>590388.67088174401</c:v>
                </c:pt>
                <c:pt idx="159">
                  <c:v>590388.67088174401</c:v>
                </c:pt>
                <c:pt idx="160">
                  <c:v>590388.67088174401</c:v>
                </c:pt>
                <c:pt idx="161">
                  <c:v>590388.67088174401</c:v>
                </c:pt>
                <c:pt idx="162">
                  <c:v>590388.67088174401</c:v>
                </c:pt>
                <c:pt idx="163">
                  <c:v>590388.67088174401</c:v>
                </c:pt>
                <c:pt idx="164">
                  <c:v>590388.67088174401</c:v>
                </c:pt>
                <c:pt idx="165">
                  <c:v>590388.67088174401</c:v>
                </c:pt>
                <c:pt idx="166">
                  <c:v>590388.67088174401</c:v>
                </c:pt>
                <c:pt idx="167">
                  <c:v>590388.67088174401</c:v>
                </c:pt>
                <c:pt idx="168">
                  <c:v>590388.67088174401</c:v>
                </c:pt>
                <c:pt idx="169">
                  <c:v>590388.67088174401</c:v>
                </c:pt>
                <c:pt idx="170">
                  <c:v>590388.67088174401</c:v>
                </c:pt>
                <c:pt idx="171">
                  <c:v>590388.67088174401</c:v>
                </c:pt>
                <c:pt idx="172">
                  <c:v>590388.67088174401</c:v>
                </c:pt>
                <c:pt idx="173">
                  <c:v>590388.67088174401</c:v>
                </c:pt>
                <c:pt idx="174">
                  <c:v>590388.67088174401</c:v>
                </c:pt>
                <c:pt idx="175">
                  <c:v>590388.67088174401</c:v>
                </c:pt>
                <c:pt idx="176">
                  <c:v>590388.67088174401</c:v>
                </c:pt>
                <c:pt idx="177">
                  <c:v>590388.67088174401</c:v>
                </c:pt>
                <c:pt idx="178">
                  <c:v>590388.67088174401</c:v>
                </c:pt>
                <c:pt idx="179">
                  <c:v>590388.67088174401</c:v>
                </c:pt>
                <c:pt idx="180">
                  <c:v>590388.67088174401</c:v>
                </c:pt>
                <c:pt idx="181">
                  <c:v>590388.67088174401</c:v>
                </c:pt>
                <c:pt idx="182">
                  <c:v>590388.67088174401</c:v>
                </c:pt>
                <c:pt idx="183">
                  <c:v>590388.67088174401</c:v>
                </c:pt>
                <c:pt idx="184">
                  <c:v>590388.67088174401</c:v>
                </c:pt>
                <c:pt idx="185">
                  <c:v>590388.67088174401</c:v>
                </c:pt>
                <c:pt idx="186">
                  <c:v>590388.67088174401</c:v>
                </c:pt>
                <c:pt idx="187">
                  <c:v>590388.67088174401</c:v>
                </c:pt>
                <c:pt idx="188">
                  <c:v>590388.67088174401</c:v>
                </c:pt>
                <c:pt idx="189">
                  <c:v>590388.67088174401</c:v>
                </c:pt>
                <c:pt idx="190">
                  <c:v>590388.67088174401</c:v>
                </c:pt>
                <c:pt idx="191">
                  <c:v>590388.67088174401</c:v>
                </c:pt>
                <c:pt idx="192">
                  <c:v>590388.67088174401</c:v>
                </c:pt>
                <c:pt idx="193">
                  <c:v>590388.67088174401</c:v>
                </c:pt>
                <c:pt idx="194">
                  <c:v>590388.67088174401</c:v>
                </c:pt>
                <c:pt idx="195">
                  <c:v>590388.67088174401</c:v>
                </c:pt>
                <c:pt idx="196">
                  <c:v>590388.67088174401</c:v>
                </c:pt>
                <c:pt idx="197">
                  <c:v>590388.67088174401</c:v>
                </c:pt>
                <c:pt idx="198">
                  <c:v>590388.67088174401</c:v>
                </c:pt>
                <c:pt idx="199">
                  <c:v>590388.67088174401</c:v>
                </c:pt>
                <c:pt idx="200">
                  <c:v>590388.67088174401</c:v>
                </c:pt>
                <c:pt idx="201">
                  <c:v>590388.67088174401</c:v>
                </c:pt>
                <c:pt idx="202">
                  <c:v>590388.67088174401</c:v>
                </c:pt>
                <c:pt idx="203">
                  <c:v>590388.67088174401</c:v>
                </c:pt>
                <c:pt idx="204">
                  <c:v>590388.67088174401</c:v>
                </c:pt>
                <c:pt idx="205">
                  <c:v>590388.67088174401</c:v>
                </c:pt>
                <c:pt idx="206">
                  <c:v>590388.67088174401</c:v>
                </c:pt>
                <c:pt idx="207">
                  <c:v>590388.67088174401</c:v>
                </c:pt>
                <c:pt idx="208">
                  <c:v>590388.67088174401</c:v>
                </c:pt>
                <c:pt idx="209">
                  <c:v>590388.67088174401</c:v>
                </c:pt>
                <c:pt idx="210">
                  <c:v>590388.67088174401</c:v>
                </c:pt>
                <c:pt idx="211">
                  <c:v>590388.67088174401</c:v>
                </c:pt>
                <c:pt idx="212">
                  <c:v>590388.67088174401</c:v>
                </c:pt>
                <c:pt idx="213">
                  <c:v>590388.67088174401</c:v>
                </c:pt>
                <c:pt idx="214">
                  <c:v>590388.67088174401</c:v>
                </c:pt>
                <c:pt idx="215">
                  <c:v>590388.67088174401</c:v>
                </c:pt>
                <c:pt idx="216">
                  <c:v>590388.67088174401</c:v>
                </c:pt>
                <c:pt idx="217">
                  <c:v>590388.67088174401</c:v>
                </c:pt>
                <c:pt idx="218">
                  <c:v>590388.67088174401</c:v>
                </c:pt>
                <c:pt idx="219">
                  <c:v>590388.67088174401</c:v>
                </c:pt>
                <c:pt idx="220">
                  <c:v>590388.67088174401</c:v>
                </c:pt>
                <c:pt idx="221">
                  <c:v>590388.67088174401</c:v>
                </c:pt>
                <c:pt idx="222">
                  <c:v>590388.67088174401</c:v>
                </c:pt>
                <c:pt idx="223">
                  <c:v>590388.67088174401</c:v>
                </c:pt>
                <c:pt idx="224">
                  <c:v>590388.67088174401</c:v>
                </c:pt>
                <c:pt idx="225">
                  <c:v>590388.67088174401</c:v>
                </c:pt>
                <c:pt idx="226">
                  <c:v>590388.67088174401</c:v>
                </c:pt>
                <c:pt idx="227">
                  <c:v>590388.67088174401</c:v>
                </c:pt>
                <c:pt idx="228">
                  <c:v>590388.67088174401</c:v>
                </c:pt>
                <c:pt idx="229">
                  <c:v>590388.67088174401</c:v>
                </c:pt>
                <c:pt idx="230">
                  <c:v>590388.67088174401</c:v>
                </c:pt>
                <c:pt idx="231">
                  <c:v>590388.67088174401</c:v>
                </c:pt>
                <c:pt idx="232">
                  <c:v>590388.67088174401</c:v>
                </c:pt>
                <c:pt idx="233">
                  <c:v>590388.67088174401</c:v>
                </c:pt>
                <c:pt idx="234">
                  <c:v>590388.67088174401</c:v>
                </c:pt>
                <c:pt idx="235">
                  <c:v>590388.67088174401</c:v>
                </c:pt>
                <c:pt idx="236">
                  <c:v>590388.67088174401</c:v>
                </c:pt>
                <c:pt idx="237">
                  <c:v>590388.67088174401</c:v>
                </c:pt>
                <c:pt idx="238">
                  <c:v>590388.67088174401</c:v>
                </c:pt>
                <c:pt idx="239">
                  <c:v>590388.67088174401</c:v>
                </c:pt>
                <c:pt idx="240">
                  <c:v>590388.67088174401</c:v>
                </c:pt>
                <c:pt idx="241">
                  <c:v>590388.67088174401</c:v>
                </c:pt>
                <c:pt idx="242">
                  <c:v>590388.67088174401</c:v>
                </c:pt>
                <c:pt idx="243">
                  <c:v>590388.67088174401</c:v>
                </c:pt>
                <c:pt idx="244">
                  <c:v>590388.67088174401</c:v>
                </c:pt>
                <c:pt idx="245">
                  <c:v>590388.67088174401</c:v>
                </c:pt>
                <c:pt idx="246">
                  <c:v>590388.67088174401</c:v>
                </c:pt>
                <c:pt idx="247">
                  <c:v>590388.67088174401</c:v>
                </c:pt>
                <c:pt idx="248">
                  <c:v>590388.67088174401</c:v>
                </c:pt>
                <c:pt idx="249">
                  <c:v>590388.67088174401</c:v>
                </c:pt>
                <c:pt idx="250">
                  <c:v>590388.67088174401</c:v>
                </c:pt>
                <c:pt idx="251">
                  <c:v>590388.67088174401</c:v>
                </c:pt>
                <c:pt idx="252">
                  <c:v>590388.67088174401</c:v>
                </c:pt>
                <c:pt idx="253">
                  <c:v>590388.67088174401</c:v>
                </c:pt>
                <c:pt idx="254">
                  <c:v>590388.67088174401</c:v>
                </c:pt>
                <c:pt idx="255">
                  <c:v>590388.67088174401</c:v>
                </c:pt>
                <c:pt idx="256">
                  <c:v>590388.67088174401</c:v>
                </c:pt>
                <c:pt idx="257">
                  <c:v>590388.67088174401</c:v>
                </c:pt>
                <c:pt idx="258">
                  <c:v>590388.67088174401</c:v>
                </c:pt>
                <c:pt idx="259">
                  <c:v>590388.67088174401</c:v>
                </c:pt>
                <c:pt idx="260">
                  <c:v>590388.67088174401</c:v>
                </c:pt>
                <c:pt idx="261">
                  <c:v>590388.67088174401</c:v>
                </c:pt>
                <c:pt idx="262">
                  <c:v>590388.67088174401</c:v>
                </c:pt>
                <c:pt idx="263">
                  <c:v>590388.67088174401</c:v>
                </c:pt>
                <c:pt idx="264">
                  <c:v>590388.67088174401</c:v>
                </c:pt>
                <c:pt idx="265">
                  <c:v>590388.67088174401</c:v>
                </c:pt>
                <c:pt idx="266">
                  <c:v>590388.67088174401</c:v>
                </c:pt>
                <c:pt idx="267">
                  <c:v>590388.67088174401</c:v>
                </c:pt>
                <c:pt idx="268">
                  <c:v>590388.67088174401</c:v>
                </c:pt>
                <c:pt idx="269">
                  <c:v>590388.67088174401</c:v>
                </c:pt>
                <c:pt idx="270">
                  <c:v>590388.67088174401</c:v>
                </c:pt>
                <c:pt idx="271">
                  <c:v>590388.67088174401</c:v>
                </c:pt>
                <c:pt idx="272">
                  <c:v>590388.67088174401</c:v>
                </c:pt>
                <c:pt idx="273">
                  <c:v>590388.67088174401</c:v>
                </c:pt>
                <c:pt idx="274">
                  <c:v>590388.67088174401</c:v>
                </c:pt>
                <c:pt idx="275">
                  <c:v>590388.67088174401</c:v>
                </c:pt>
                <c:pt idx="276">
                  <c:v>590388.67088174401</c:v>
                </c:pt>
                <c:pt idx="277">
                  <c:v>590388.67088174401</c:v>
                </c:pt>
                <c:pt idx="278">
                  <c:v>590388.67088174401</c:v>
                </c:pt>
                <c:pt idx="279">
                  <c:v>590388.67088174401</c:v>
                </c:pt>
                <c:pt idx="280">
                  <c:v>590388.67088174401</c:v>
                </c:pt>
                <c:pt idx="281">
                  <c:v>590388.67088174401</c:v>
                </c:pt>
                <c:pt idx="282">
                  <c:v>590388.67088174401</c:v>
                </c:pt>
                <c:pt idx="283">
                  <c:v>590388.67088174401</c:v>
                </c:pt>
                <c:pt idx="284">
                  <c:v>590388.67088174401</c:v>
                </c:pt>
                <c:pt idx="285">
                  <c:v>590388.67088174401</c:v>
                </c:pt>
                <c:pt idx="286">
                  <c:v>590388.67088174401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3</v>
      </c>
      <c r="C5" s="617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7</v>
      </c>
      <c r="C7" s="617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38" t="s">
        <v>17</v>
      </c>
      <c r="C18" s="638"/>
      <c r="D18" s="638"/>
      <c r="E18" s="63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24</v>
      </c>
      <c r="C5" s="617"/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25</v>
      </c>
      <c r="C7" s="617" t="str">
        <f>'Project Plan'!E5</f>
        <v>Eon Van Rensburg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6" t="s">
        <v>26</v>
      </c>
      <c r="C8" s="617"/>
      <c r="H8" s="643"/>
      <c r="I8" s="644"/>
      <c r="J8" s="644"/>
      <c r="K8" s="644"/>
      <c r="L8" s="644"/>
      <c r="M8" s="644"/>
      <c r="N8" s="644"/>
      <c r="O8" s="645"/>
    </row>
    <row r="9" spans="2:15">
      <c r="B9" s="615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4.9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4.9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38" t="s">
        <v>17</v>
      </c>
      <c r="C24" s="638"/>
      <c r="D24" s="638"/>
      <c r="E24" s="63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7" sqref="E7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113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114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115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54" t="s">
        <v>116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117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118</v>
      </c>
      <c r="C5" s="12"/>
      <c r="D5" s="12"/>
      <c r="E5" s="12"/>
      <c r="F5" s="7" t="s">
        <v>119</v>
      </c>
    </row>
    <row r="6" spans="2:10">
      <c r="B6" s="10" t="s">
        <v>120</v>
      </c>
      <c r="C6" s="12"/>
      <c r="D6" s="12"/>
      <c r="E6" s="12"/>
      <c r="F6" s="7" t="s">
        <v>119</v>
      </c>
    </row>
    <row r="7" spans="2:10">
      <c r="B7" s="10" t="s">
        <v>121</v>
      </c>
      <c r="C7" s="12"/>
      <c r="D7" s="12"/>
      <c r="E7" s="12"/>
      <c r="F7" s="7" t="s">
        <v>119</v>
      </c>
    </row>
    <row r="8" spans="2:10">
      <c r="B8" s="10" t="s">
        <v>122</v>
      </c>
      <c r="C8" s="12"/>
      <c r="D8" s="12"/>
      <c r="E8" s="12"/>
      <c r="F8" s="7" t="s">
        <v>119</v>
      </c>
    </row>
    <row r="9" spans="2:10">
      <c r="B9" s="11" t="s">
        <v>123</v>
      </c>
      <c r="C9" s="11"/>
      <c r="D9" s="11"/>
      <c r="E9" s="11"/>
      <c r="F9" s="7" t="s">
        <v>124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4" t="s">
        <v>125</v>
      </c>
      <c r="C16" s="655"/>
      <c r="D16" s="655"/>
      <c r="E16" s="655"/>
      <c r="F16" s="656"/>
    </row>
    <row r="17" spans="2:6" ht="15" thickTop="1"/>
    <row r="18" spans="2:6">
      <c r="B18" s="8" t="s">
        <v>117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126</v>
      </c>
      <c r="C20" s="12"/>
      <c r="D20" s="12"/>
      <c r="E20" s="12"/>
      <c r="F20" s="7"/>
    </row>
    <row r="21" spans="2:6">
      <c r="B21" s="10" t="s">
        <v>127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4" zoomScaleNormal="100" workbookViewId="0">
      <selection activeCell="M9" sqref="M9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5.570312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4.4257812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128</v>
      </c>
      <c r="D2" s="90"/>
      <c r="E2" s="566" t="s">
        <v>129</v>
      </c>
      <c r="F2" s="567"/>
      <c r="G2" s="567"/>
      <c r="H2" s="568"/>
      <c r="I2" s="657" t="s">
        <v>130</v>
      </c>
      <c r="J2" s="658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45" thickBot="1">
      <c r="B3" s="91"/>
      <c r="C3" s="92" t="s">
        <v>131</v>
      </c>
      <c r="D3" s="90"/>
      <c r="E3" s="312">
        <v>420</v>
      </c>
      <c r="F3" s="93"/>
      <c r="G3" s="94"/>
      <c r="H3" s="94"/>
      <c r="I3" s="657" t="s">
        <v>132</v>
      </c>
      <c r="J3" s="658"/>
      <c r="K3" s="587">
        <f>K2/5</f>
        <v>6.4</v>
      </c>
      <c r="Q3" s="1"/>
    </row>
    <row r="4" spans="2:28" s="26" customFormat="1" ht="14.45" thickBot="1">
      <c r="B4" s="91"/>
      <c r="C4" s="92" t="s">
        <v>133</v>
      </c>
      <c r="D4" s="90"/>
      <c r="E4" s="565" t="s">
        <v>134</v>
      </c>
      <c r="F4" s="94"/>
      <c r="G4" s="94"/>
      <c r="H4" s="94"/>
      <c r="I4" s="657" t="s">
        <v>135</v>
      </c>
      <c r="J4" s="658"/>
      <c r="K4" s="588">
        <f>E3/K3</f>
        <v>65.625</v>
      </c>
      <c r="Q4" s="1"/>
    </row>
    <row r="5" spans="2:28" s="26" customFormat="1">
      <c r="B5" s="91"/>
      <c r="C5" s="92" t="s">
        <v>136</v>
      </c>
      <c r="D5" s="90"/>
      <c r="E5" s="565" t="s">
        <v>137</v>
      </c>
      <c r="F5" s="94"/>
      <c r="G5" s="94"/>
      <c r="H5" s="94"/>
      <c r="Q5" s="1"/>
    </row>
    <row r="6" spans="2:28">
      <c r="B6" s="95"/>
      <c r="C6" s="96" t="s">
        <v>138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139</v>
      </c>
      <c r="E7" s="627" t="s">
        <v>140</v>
      </c>
      <c r="F7" s="80"/>
      <c r="G7" s="97"/>
      <c r="J7" s="27"/>
      <c r="Q7" s="1"/>
    </row>
    <row r="8" spans="2:28" ht="30" customHeight="1">
      <c r="B8" s="661" t="s">
        <v>141</v>
      </c>
      <c r="C8" s="662" t="s">
        <v>142</v>
      </c>
      <c r="D8" s="126"/>
      <c r="E8" s="663" t="s">
        <v>143</v>
      </c>
      <c r="F8" s="148" t="s">
        <v>144</v>
      </c>
      <c r="G8" s="663" t="s">
        <v>145</v>
      </c>
      <c r="H8" s="149"/>
      <c r="I8" s="663" t="s">
        <v>146</v>
      </c>
      <c r="J8" s="148" t="s">
        <v>144</v>
      </c>
      <c r="K8" s="663" t="s">
        <v>147</v>
      </c>
      <c r="M8" s="584" t="s">
        <v>44</v>
      </c>
      <c r="N8" s="585" t="s">
        <v>148</v>
      </c>
      <c r="O8" s="659" t="s">
        <v>149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50</v>
      </c>
      <c r="K9" s="663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0"/>
      <c r="S9" s="586">
        <f ca="1">TODAY()</f>
        <v>46076</v>
      </c>
      <c r="T9" s="586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150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151</v>
      </c>
      <c r="C12" s="158" t="s">
        <v>152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153</v>
      </c>
      <c r="T12" s="537" t="s">
        <v>154</v>
      </c>
      <c r="U12" s="537" t="s">
        <v>144</v>
      </c>
      <c r="V12" s="537" t="s">
        <v>155</v>
      </c>
    </row>
    <row r="13" spans="2:28" s="26" customFormat="1">
      <c r="B13" s="157"/>
      <c r="C13" s="158" t="s">
        <v>156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157</v>
      </c>
      <c r="C14" s="158" t="s">
        <v>158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159</v>
      </c>
      <c r="C15" s="158" t="s">
        <v>160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161</v>
      </c>
      <c r="C16" s="158" t="s">
        <v>162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163</v>
      </c>
      <c r="C17" s="158" t="s">
        <v>164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165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166</v>
      </c>
      <c r="C20" s="158" t="s">
        <v>167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168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169</v>
      </c>
      <c r="C23" s="158" t="s">
        <v>170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0.11904761904761904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181</v>
      </c>
      <c r="C29" s="158" t="s">
        <v>182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185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188</v>
      </c>
      <c r="C35" s="158" t="s">
        <v>189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190</v>
      </c>
      <c r="C36" s="158" t="s">
        <v>191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192</v>
      </c>
      <c r="C37" s="154" t="s">
        <v>193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194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195</v>
      </c>
      <c r="C40" s="158" t="s">
        <v>196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197</v>
      </c>
      <c r="C41" s="158" t="s">
        <v>198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199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200</v>
      </c>
      <c r="C44" s="154" t="s">
        <v>201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202</v>
      </c>
      <c r="C45" s="154" t="s">
        <v>203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204</v>
      </c>
      <c r="C46" s="154" t="s">
        <v>205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206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207</v>
      </c>
      <c r="C49" s="154" t="s">
        <v>208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209</v>
      </c>
      <c r="C50" s="154" t="s">
        <v>210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211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212</v>
      </c>
      <c r="C53" s="154" t="s">
        <v>213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214</v>
      </c>
      <c r="C54" s="154" t="s">
        <v>215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216</v>
      </c>
      <c r="C55" s="154" t="s">
        <v>217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L38" sqref="L38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4.42578125" style="43" customWidth="1"/>
    <col min="20" max="20" width="18.85546875" style="43" bestFit="1" customWidth="1"/>
    <col min="21" max="21" width="14.140625" style="24" bestFit="1" customWidth="1"/>
    <col min="22" max="22" width="8.42578125" style="24" bestFit="1" customWidth="1"/>
    <col min="23" max="23" width="14.85546875" style="24" bestFit="1" customWidth="1"/>
    <col min="24" max="24" width="5.140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140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218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219</v>
      </c>
      <c r="U2" s="624" t="s">
        <v>220</v>
      </c>
      <c r="V2" s="624" t="s">
        <v>221</v>
      </c>
      <c r="W2" s="624" t="s">
        <v>222</v>
      </c>
    </row>
    <row r="3" spans="1:41" s="24" customFormat="1" ht="12.95">
      <c r="B3" s="31"/>
      <c r="D3" s="39" t="s">
        <v>223</v>
      </c>
      <c r="F3" s="39" t="s">
        <v>224</v>
      </c>
      <c r="J3" s="53"/>
      <c r="L3" s="310" t="s">
        <v>225</v>
      </c>
      <c r="N3" s="310" t="s">
        <v>226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2.95">
      <c r="B4" s="256">
        <v>1</v>
      </c>
      <c r="C4" s="257" t="s">
        <v>227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154</v>
      </c>
      <c r="Q4" s="44"/>
      <c r="S4" s="53"/>
    </row>
    <row r="5" spans="1:41" s="24" customFormat="1" ht="15" customHeight="1">
      <c r="B5" s="256">
        <v>2</v>
      </c>
      <c r="C5" s="257" t="s">
        <v>228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229</v>
      </c>
      <c r="H5" s="636" t="s">
        <v>230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231</v>
      </c>
      <c r="D6" s="258">
        <f>+D4-D5</f>
        <v>657491.95600767108</v>
      </c>
      <c r="E6" s="259"/>
      <c r="F6" s="258">
        <f>+F4-F5</f>
        <v>590388.67088174401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232</v>
      </c>
      <c r="S6" s="53"/>
    </row>
    <row r="7" spans="1:41" s="24" customFormat="1" ht="15" customHeight="1" thickBot="1">
      <c r="B7" s="256">
        <v>4</v>
      </c>
      <c r="C7" s="257" t="s">
        <v>233</v>
      </c>
      <c r="D7" s="260">
        <f>+D6/D4</f>
        <v>0.15960065579320015</v>
      </c>
      <c r="E7" s="259"/>
      <c r="F7" s="260">
        <f>+F6/F4</f>
        <v>0.14331189634280908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2.95">
      <c r="B10" s="42" t="s">
        <v>234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141</v>
      </c>
      <c r="C12" s="47" t="s">
        <v>235</v>
      </c>
      <c r="D12" s="48"/>
      <c r="E12" s="46" t="s">
        <v>236</v>
      </c>
      <c r="F12" s="46" t="s">
        <v>237</v>
      </c>
      <c r="H12" s="261" t="s">
        <v>238</v>
      </c>
      <c r="J12" s="53"/>
      <c r="L12" s="78" t="s">
        <v>239</v>
      </c>
      <c r="M12" s="49"/>
      <c r="N12" s="78" t="s">
        <v>240</v>
      </c>
      <c r="O12" s="49"/>
      <c r="P12" s="78" t="s">
        <v>241</v>
      </c>
      <c r="R12" s="279" t="s">
        <v>242</v>
      </c>
      <c r="S12" s="53"/>
    </row>
    <row r="13" spans="1:41" s="24" customFormat="1" ht="12.95">
      <c r="B13" s="589">
        <v>1</v>
      </c>
      <c r="C13" s="664" t="s">
        <v>243</v>
      </c>
      <c r="D13" s="665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244</v>
      </c>
      <c r="M13" s="594"/>
      <c r="N13" s="593">
        <v>46066</v>
      </c>
      <c r="O13" s="597"/>
      <c r="P13" s="593">
        <v>46072</v>
      </c>
      <c r="R13" s="86" t="s">
        <v>245</v>
      </c>
      <c r="S13" s="53"/>
      <c r="AO13" s="525">
        <f>'Change Register'!$Q$14+ 7</f>
        <v>7</v>
      </c>
    </row>
    <row r="14" spans="1:41" s="24" customFormat="1" ht="12.6">
      <c r="B14" s="599">
        <v>2</v>
      </c>
      <c r="C14" s="664" t="s">
        <v>246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6">
      <c r="B15" s="589">
        <v>3</v>
      </c>
      <c r="C15" s="664" t="s">
        <v>247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6">
      <c r="B16" s="599">
        <v>4</v>
      </c>
      <c r="C16" s="666" t="s">
        <v>248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6">
      <c r="B17" s="589">
        <v>5</v>
      </c>
      <c r="C17" s="666" t="s">
        <v>249</v>
      </c>
      <c r="D17" s="667"/>
      <c r="E17" s="590">
        <v>0.05</v>
      </c>
      <c r="F17" s="591">
        <f t="shared" si="0"/>
        <v>205980.34285636182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6">
      <c r="B18" s="599">
        <v>6</v>
      </c>
      <c r="C18" s="666" t="s">
        <v>250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6">
      <c r="B19" s="589">
        <v>7</v>
      </c>
      <c r="C19" s="666" t="s">
        <v>251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6">
      <c r="B20" s="599">
        <v>8</v>
      </c>
      <c r="C20" s="666" t="s">
        <v>252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6">
      <c r="B21" s="589">
        <v>9</v>
      </c>
      <c r="C21" s="666" t="s">
        <v>253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6">
      <c r="B22" s="599">
        <v>10</v>
      </c>
      <c r="C22" s="666" t="s">
        <v>253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6">
      <c r="B23" s="589">
        <v>11</v>
      </c>
      <c r="C23" s="666" t="s">
        <v>253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6">
      <c r="B24" s="599">
        <v>12</v>
      </c>
      <c r="C24" s="664" t="s">
        <v>253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2.95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254</v>
      </c>
      <c r="C28" s="57" t="s">
        <v>255</v>
      </c>
      <c r="D28" s="57"/>
      <c r="F28" s="58"/>
      <c r="H28" s="30"/>
    </row>
    <row r="29" spans="2:19" s="24" customFormat="1" ht="12.6">
      <c r="C29" s="59" t="s">
        <v>256</v>
      </c>
      <c r="D29" s="60"/>
      <c r="F29" s="61"/>
    </row>
    <row r="30" spans="2:19" s="24" customFormat="1" ht="12.6">
      <c r="C30" s="59" t="s">
        <v>257</v>
      </c>
      <c r="D30" s="60"/>
    </row>
    <row r="31" spans="2:19" s="24" customFormat="1" ht="12.6">
      <c r="C31" s="62" t="s">
        <v>258</v>
      </c>
      <c r="D31" s="63"/>
    </row>
    <row r="32" spans="2:19" s="24" customFormat="1" ht="12.6">
      <c r="C32" s="64" t="s">
        <v>259</v>
      </c>
      <c r="D32" s="60"/>
    </row>
    <row r="33" spans="2:14" s="24" customFormat="1" ht="12.6">
      <c r="B33" s="31"/>
      <c r="C33" s="64" t="s">
        <v>260</v>
      </c>
      <c r="D33" s="60"/>
    </row>
    <row r="34" spans="2:14" s="24" customFormat="1" ht="12.6">
      <c r="B34" s="31"/>
      <c r="C34" s="24" t="s">
        <v>261</v>
      </c>
    </row>
    <row r="35" spans="2:14" s="24" customFormat="1" ht="27.75" customHeight="1">
      <c r="B35" s="31"/>
      <c r="C35" s="65" t="s">
        <v>262</v>
      </c>
      <c r="D35" s="65"/>
      <c r="F35" s="61"/>
    </row>
    <row r="36" spans="2:14" s="24" customFormat="1" ht="12.6">
      <c r="B36" s="31"/>
      <c r="F36" s="58"/>
      <c r="N36" s="543"/>
    </row>
    <row r="37" spans="2:14" s="24" customFormat="1" ht="12.6">
      <c r="B37" s="31"/>
      <c r="F37" s="58"/>
    </row>
    <row r="38" spans="2:14" s="24" customFormat="1" ht="12.6">
      <c r="B38" s="31"/>
      <c r="F38" s="58"/>
    </row>
    <row r="39" spans="2:14" s="24" customFormat="1" ht="12.6">
      <c r="B39" s="31"/>
      <c r="F39" s="58"/>
    </row>
    <row r="40" spans="2:14" s="24" customFormat="1" ht="12.6">
      <c r="B40" s="31"/>
    </row>
    <row r="41" spans="2:14" s="24" customFormat="1" ht="12.6">
      <c r="B41" s="31"/>
    </row>
    <row r="42" spans="2:14" s="24" customFormat="1" ht="12.6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141</v>
      </c>
      <c r="C45" s="47" t="s">
        <v>235</v>
      </c>
      <c r="D45" s="48"/>
      <c r="E45" s="46" t="s">
        <v>236</v>
      </c>
      <c r="F45" s="46" t="s">
        <v>237</v>
      </c>
    </row>
    <row r="46" spans="2:14" s="24" customFormat="1" ht="12.75" hidden="1" customHeight="1">
      <c r="B46" s="66">
        <v>1</v>
      </c>
      <c r="C46" s="67" t="s">
        <v>263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246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247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264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265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266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6">
      <c r="B54" s="31"/>
    </row>
    <row r="55" spans="2:6" s="24" customFormat="1" ht="12.6">
      <c r="B55" s="31"/>
    </row>
    <row r="56" spans="2:6" s="24" customFormat="1" ht="12.6">
      <c r="B56" s="31"/>
    </row>
    <row r="57" spans="2:6" s="24" customFormat="1" ht="12.6">
      <c r="B57" s="31"/>
    </row>
    <row r="58" spans="2:6" s="24" customFormat="1" ht="12.6">
      <c r="B58" s="31"/>
    </row>
    <row r="59" spans="2:6" s="24" customFormat="1" ht="12.6">
      <c r="B59" s="31"/>
    </row>
    <row r="60" spans="2:6" s="24" customFormat="1" ht="12.6">
      <c r="B60" s="31"/>
    </row>
    <row r="61" spans="2:6" s="24" customFormat="1" ht="12.6">
      <c r="B61" s="31"/>
    </row>
    <row r="62" spans="2:6" s="24" customFormat="1" ht="12.6">
      <c r="B62" s="31"/>
    </row>
    <row r="63" spans="2:6" s="24" customFormat="1" ht="12.6">
      <c r="B63" s="31"/>
    </row>
    <row r="64" spans="2:6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  <row r="220" spans="2:2" s="24" customFormat="1" ht="12.6">
      <c r="B220" s="31"/>
    </row>
    <row r="221" spans="2:2" s="24" customFormat="1" ht="12.6">
      <c r="B221" s="31"/>
    </row>
    <row r="222" spans="2:2" s="24" customFormat="1" ht="12.6">
      <c r="B222" s="31"/>
    </row>
    <row r="223" spans="2:2" s="24" customFormat="1" ht="12.6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15" sqref="J1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8"/>
      <c r="C4" s="668"/>
      <c r="D4" s="668"/>
      <c r="E4" s="313"/>
      <c r="F4" s="131" t="s">
        <v>223</v>
      </c>
      <c r="G4" s="126"/>
      <c r="H4" s="131" t="s">
        <v>224</v>
      </c>
      <c r="I4" s="126"/>
      <c r="J4" s="132" t="s">
        <v>268</v>
      </c>
      <c r="K4" s="26"/>
      <c r="L4" s="26"/>
    </row>
    <row r="5" spans="1:12" ht="14.45" thickBot="1">
      <c r="A5" s="126"/>
      <c r="B5" s="669" t="s">
        <v>269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141</v>
      </c>
      <c r="C7" s="137"/>
      <c r="D7" s="136" t="s">
        <v>78</v>
      </c>
      <c r="E7" s="137"/>
      <c r="F7" s="138" t="s">
        <v>270</v>
      </c>
      <c r="G7" s="139"/>
      <c r="H7" s="138" t="s">
        <v>271</v>
      </c>
      <c r="I7" s="139"/>
      <c r="J7" s="138" t="s">
        <v>272</v>
      </c>
      <c r="K7" s="84"/>
      <c r="L7" s="29" t="s">
        <v>273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topLeftCell="J1" zoomScale="76" zoomScaleNormal="85" workbookViewId="0">
      <pane ySplit="4" topLeftCell="K40" activePane="bottomLeft" state="frozen"/>
      <selection pane="bottomLeft" activeCell="P56" sqref="P56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60.8554687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89.5703125" style="26" bestFit="1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275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276</v>
      </c>
      <c r="M2" s="673"/>
      <c r="N2" s="673"/>
      <c r="O2" s="673"/>
      <c r="P2" s="673"/>
      <c r="Q2" s="673"/>
      <c r="R2" s="680" t="s">
        <v>277</v>
      </c>
      <c r="S2" s="681"/>
      <c r="T2" s="681"/>
      <c r="U2" s="681"/>
      <c r="V2" s="681"/>
      <c r="W2" s="682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278</v>
      </c>
      <c r="C4" s="164" t="s">
        <v>279</v>
      </c>
      <c r="D4" s="164" t="s">
        <v>280</v>
      </c>
      <c r="E4" s="164" t="s">
        <v>281</v>
      </c>
      <c r="F4" s="363" t="s">
        <v>282</v>
      </c>
      <c r="G4" s="165" t="s">
        <v>283</v>
      </c>
      <c r="H4" s="273" t="s">
        <v>284</v>
      </c>
      <c r="I4" s="166" t="s">
        <v>285</v>
      </c>
      <c r="J4" s="166" t="str">
        <f>IF(J2-'Revenue Tracking'!D4&gt;=0, "Total Revenue", "ERROR on REV" )</f>
        <v>Total Revenue</v>
      </c>
      <c r="K4" s="77"/>
      <c r="L4" s="163" t="s">
        <v>278</v>
      </c>
      <c r="M4" s="164" t="s">
        <v>286</v>
      </c>
      <c r="N4" s="164" t="s">
        <v>280</v>
      </c>
      <c r="O4" s="164" t="s">
        <v>281</v>
      </c>
      <c r="P4" s="363" t="s">
        <v>282</v>
      </c>
      <c r="Q4" s="274" t="s">
        <v>287</v>
      </c>
      <c r="R4" s="496" t="s">
        <v>288</v>
      </c>
      <c r="S4" s="497" t="s">
        <v>239</v>
      </c>
      <c r="T4" s="521" t="s">
        <v>240</v>
      </c>
      <c r="U4" s="522" t="s">
        <v>289</v>
      </c>
      <c r="V4" s="274" t="s">
        <v>290</v>
      </c>
      <c r="W4" s="521" t="s">
        <v>291</v>
      </c>
      <c r="X4" s="166" t="s">
        <v>285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292</v>
      </c>
      <c r="D6" s="186" t="s">
        <v>293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294</v>
      </c>
      <c r="N6" s="186" t="s">
        <v>295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46163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296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294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294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294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294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294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297</v>
      </c>
      <c r="Z11" s="486" t="s">
        <v>298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299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300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301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323590</v>
      </c>
      <c r="Y13" s="608" t="s">
        <v>302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301</v>
      </c>
      <c r="N14" s="309" t="s">
        <v>303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93"/>
      <c r="W14" s="458">
        <f>T14+30</f>
        <v>46142</v>
      </c>
      <c r="X14" s="684"/>
      <c r="Y14" s="608" t="s">
        <v>304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301</v>
      </c>
      <c r="N15" s="309" t="s">
        <v>305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93"/>
      <c r="W15" s="458">
        <f>W14</f>
        <v>46142</v>
      </c>
      <c r="X15" s="684"/>
      <c r="Y15" s="608" t="s">
        <v>306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301</v>
      </c>
      <c r="N16" s="309" t="s">
        <v>307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93"/>
      <c r="W16" s="458">
        <f>T16+30</f>
        <v>46142</v>
      </c>
      <c r="X16" s="684"/>
      <c r="Y16" s="608" t="s">
        <v>308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301</v>
      </c>
      <c r="N17" s="309" t="s">
        <v>309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93"/>
      <c r="W17" s="458">
        <f>W15</f>
        <v>46142</v>
      </c>
      <c r="X17" s="684"/>
      <c r="Y17" s="608" t="s">
        <v>310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301</v>
      </c>
      <c r="N18" s="309" t="s">
        <v>311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93"/>
      <c r="W18" s="458">
        <f>T18+30</f>
        <v>46172</v>
      </c>
      <c r="X18" s="684"/>
      <c r="Y18" s="608" t="s">
        <v>312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301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313</v>
      </c>
      <c r="Z19" s="487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314</v>
      </c>
      <c r="Z20" s="487">
        <v>0</v>
      </c>
      <c r="AA20" s="526"/>
    </row>
    <row r="21" spans="1:27" ht="14.25" customHeight="1">
      <c r="B21" s="185">
        <v>3</v>
      </c>
      <c r="C21" s="213" t="s">
        <v>315</v>
      </c>
      <c r="D21" s="231" t="s">
        <v>316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317</v>
      </c>
      <c r="N21" s="231" t="s">
        <v>318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46142</v>
      </c>
      <c r="X21" s="674">
        <f>SUM(Q21:Q26)</f>
        <v>111074</v>
      </c>
      <c r="Y21" s="608" t="s">
        <v>319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317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266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317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320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317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321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317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317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224</v>
      </c>
      <c r="Z26" s="491" t="s">
        <v>322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302</v>
      </c>
      <c r="D28" s="198" t="s">
        <v>323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324</v>
      </c>
      <c r="N28" s="198" t="s">
        <v>325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46142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326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324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324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324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327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324</v>
      </c>
      <c r="N32" s="309" t="s">
        <v>328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46112</v>
      </c>
      <c r="U32" s="401">
        <f t="shared" si="4"/>
        <v>13349.333512522921</v>
      </c>
      <c r="V32" s="693"/>
      <c r="W32" s="458">
        <f>W96</f>
        <v>46110</v>
      </c>
      <c r="X32" s="684"/>
      <c r="Y32" s="611" t="s">
        <v>329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324</v>
      </c>
      <c r="N33" s="309" t="s">
        <v>165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46112</v>
      </c>
      <c r="U33" s="401">
        <f t="shared" si="4"/>
        <v>20024.000268784381</v>
      </c>
      <c r="V33" s="693"/>
      <c r="W33" s="458">
        <f t="shared" ref="W33:W39" si="9">W97</f>
        <v>46110</v>
      </c>
      <c r="X33" s="684"/>
      <c r="Y33" s="611" t="s">
        <v>330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324</v>
      </c>
      <c r="N34" s="309" t="s">
        <v>331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46141</v>
      </c>
      <c r="X34" s="684"/>
      <c r="Y34" s="611" t="s">
        <v>332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324</v>
      </c>
      <c r="N35" s="309" t="s">
        <v>333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46142</v>
      </c>
      <c r="U35" s="401">
        <f t="shared" si="4"/>
        <v>33373.333781307301</v>
      </c>
      <c r="V35" s="693"/>
      <c r="W35" s="458">
        <f t="shared" si="9"/>
        <v>46135</v>
      </c>
      <c r="X35" s="684"/>
      <c r="Y35" s="611" t="s">
        <v>314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324</v>
      </c>
      <c r="N36" s="309" t="s">
        <v>334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46173</v>
      </c>
      <c r="U36" s="401">
        <f t="shared" si="4"/>
        <v>13349.333512522921</v>
      </c>
      <c r="V36" s="693"/>
      <c r="W36" s="458">
        <f t="shared" si="9"/>
        <v>46160</v>
      </c>
      <c r="X36" s="684"/>
      <c r="Y36" s="611" t="s">
        <v>319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324</v>
      </c>
      <c r="N37" s="309" t="s">
        <v>335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46173</v>
      </c>
      <c r="U37" s="401">
        <f t="shared" si="4"/>
        <v>13349.333512522921</v>
      </c>
      <c r="V37" s="693"/>
      <c r="W37" s="458">
        <f t="shared" si="9"/>
        <v>46161</v>
      </c>
      <c r="X37" s="684"/>
      <c r="Y37" s="611" t="s">
        <v>319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324</v>
      </c>
      <c r="N38" s="309" t="s">
        <v>336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46173</v>
      </c>
      <c r="U38" s="401">
        <f t="shared" si="4"/>
        <v>6674.6667562614603</v>
      </c>
      <c r="V38" s="693"/>
      <c r="W38" s="458">
        <f t="shared" si="9"/>
        <v>46161</v>
      </c>
      <c r="X38" s="684"/>
      <c r="Y38" s="611" t="s">
        <v>266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324</v>
      </c>
      <c r="N39" s="309" t="s">
        <v>337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46203</v>
      </c>
      <c r="U39" s="401">
        <f t="shared" si="4"/>
        <v>6674.6667562614603</v>
      </c>
      <c r="V39" s="693"/>
      <c r="W39" s="458">
        <f t="shared" si="9"/>
        <v>46184</v>
      </c>
      <c r="X39" s="684"/>
      <c r="Y39" s="612" t="s">
        <v>321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324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324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324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338</v>
      </c>
      <c r="D44" s="231" t="s">
        <v>339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340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341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340</v>
      </c>
      <c r="N45" s="191" t="s">
        <v>341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90"/>
      <c r="W45" s="453">
        <v>46142</v>
      </c>
      <c r="X45" s="675"/>
    </row>
    <row r="46" spans="1:26" ht="14.25" customHeight="1">
      <c r="B46" s="190">
        <v>5</v>
      </c>
      <c r="C46" s="214"/>
      <c r="D46" s="288" t="s">
        <v>342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340</v>
      </c>
      <c r="N46" s="217" t="s">
        <v>342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90"/>
      <c r="W46" s="453">
        <f>W45</f>
        <v>46142</v>
      </c>
      <c r="X46" s="675"/>
    </row>
    <row r="47" spans="1:26" ht="14.25" customHeight="1">
      <c r="B47" s="215">
        <v>5</v>
      </c>
      <c r="C47" s="216"/>
      <c r="D47" s="217" t="s">
        <v>343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340</v>
      </c>
      <c r="N47" s="217" t="s">
        <v>344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90"/>
      <c r="W47" s="453">
        <f>T47+30</f>
        <v>46142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340</v>
      </c>
      <c r="N48" s="288" t="s">
        <v>305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90"/>
      <c r="W48" s="453">
        <f>T48+30</f>
        <v>46142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340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340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299</v>
      </c>
      <c r="D52" s="199" t="s">
        <v>345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346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346</v>
      </c>
      <c r="N53" s="342" t="s">
        <v>110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693"/>
      <c r="W53" s="458">
        <f>T53+30</f>
        <v>46142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346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346</v>
      </c>
      <c r="N55" s="342" t="s">
        <v>347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693"/>
      <c r="W55" s="458">
        <f>W53</f>
        <v>46142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346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346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346</v>
      </c>
      <c r="N58" s="309" t="s">
        <v>328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46112</v>
      </c>
      <c r="U58" s="401">
        <f t="shared" si="11"/>
        <v>20734.831615816678</v>
      </c>
      <c r="V58" s="693"/>
      <c r="W58" s="458">
        <f>W96</f>
        <v>46110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346</v>
      </c>
      <c r="N59" s="309" t="s">
        <v>165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46112</v>
      </c>
      <c r="U59" s="401">
        <f t="shared" si="11"/>
        <v>31102.247423725014</v>
      </c>
      <c r="V59" s="693"/>
      <c r="W59" s="458">
        <f t="shared" ref="W59:W65" si="13">W97</f>
        <v>46110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346</v>
      </c>
      <c r="N60" s="309" t="s">
        <v>331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46141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346</v>
      </c>
      <c r="N61" s="309" t="s">
        <v>333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46142</v>
      </c>
      <c r="U61" s="401">
        <f t="shared" si="11"/>
        <v>51837.079039541684</v>
      </c>
      <c r="V61" s="693"/>
      <c r="W61" s="458">
        <f t="shared" si="13"/>
        <v>46135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346</v>
      </c>
      <c r="N62" s="309" t="s">
        <v>334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46173</v>
      </c>
      <c r="U62" s="401">
        <f t="shared" si="11"/>
        <v>20734.831615816678</v>
      </c>
      <c r="V62" s="693"/>
      <c r="W62" s="458">
        <f t="shared" si="13"/>
        <v>46160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346</v>
      </c>
      <c r="N63" s="309" t="s">
        <v>335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46173</v>
      </c>
      <c r="U63" s="406">
        <f t="shared" si="11"/>
        <v>20734.831615816678</v>
      </c>
      <c r="V63" s="693"/>
      <c r="W63" s="458">
        <f t="shared" si="13"/>
        <v>46161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346</v>
      </c>
      <c r="N64" s="309" t="s">
        <v>336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46173</v>
      </c>
      <c r="U64" s="406">
        <f t="shared" si="11"/>
        <v>10367.415807908339</v>
      </c>
      <c r="V64" s="693"/>
      <c r="W64" s="458">
        <f t="shared" si="13"/>
        <v>46161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346</v>
      </c>
      <c r="N65" s="309" t="s">
        <v>337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46203</v>
      </c>
      <c r="U65" s="406">
        <f t="shared" si="11"/>
        <v>10367.415807908339</v>
      </c>
      <c r="V65" s="693"/>
      <c r="W65" s="458">
        <f t="shared" si="13"/>
        <v>46184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346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346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346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348</v>
      </c>
      <c r="D70" s="282" t="s">
        <v>349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350</v>
      </c>
      <c r="N70" s="282" t="s">
        <v>349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695">
        <f>J70-SUM(U70:U77)</f>
        <v>0</v>
      </c>
      <c r="W70" s="463"/>
      <c r="X70" s="674">
        <f>SUM(Q70:Q77)</f>
        <v>603900</v>
      </c>
    </row>
    <row r="71" spans="1:24" ht="14.25" customHeight="1">
      <c r="B71" s="284">
        <v>7</v>
      </c>
      <c r="C71" s="285"/>
      <c r="D71" s="286" t="s">
        <v>351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350</v>
      </c>
      <c r="N71" s="286" t="s">
        <v>351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696"/>
      <c r="W71" s="454"/>
      <c r="X71" s="675"/>
    </row>
    <row r="72" spans="1:24" ht="14.25" customHeight="1">
      <c r="B72" s="284">
        <v>7</v>
      </c>
      <c r="C72" s="285"/>
      <c r="D72" s="286" t="s">
        <v>352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350</v>
      </c>
      <c r="N72" s="286" t="s">
        <v>353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696"/>
      <c r="W72" s="454">
        <f>T72+30</f>
        <v>46142</v>
      </c>
      <c r="X72" s="675"/>
    </row>
    <row r="73" spans="1:24" ht="14.25" customHeight="1">
      <c r="B73" s="284">
        <v>7</v>
      </c>
      <c r="C73" s="285"/>
      <c r="D73" s="286" t="s">
        <v>354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350</v>
      </c>
      <c r="N73" s="286" t="s">
        <v>355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696"/>
      <c r="W73" s="454">
        <f>T73+30</f>
        <v>46142</v>
      </c>
      <c r="X73" s="675"/>
    </row>
    <row r="74" spans="1:24" ht="14.25" customHeight="1">
      <c r="B74" s="284">
        <v>7</v>
      </c>
      <c r="C74" s="285"/>
      <c r="D74" s="286" t="s">
        <v>356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350</v>
      </c>
      <c r="N74" s="286" t="s">
        <v>357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696"/>
      <c r="W74" s="454">
        <f>T74</f>
        <v>46142</v>
      </c>
      <c r="X74" s="675"/>
    </row>
    <row r="75" spans="1:24" ht="14.25" customHeight="1">
      <c r="B75" s="284">
        <v>7</v>
      </c>
      <c r="C75" s="285"/>
      <c r="D75" s="286" t="s">
        <v>358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350</v>
      </c>
      <c r="N75" s="286"/>
      <c r="O75" s="434"/>
      <c r="P75" s="343"/>
      <c r="Q75" s="287"/>
      <c r="R75" s="470"/>
      <c r="S75" s="501"/>
      <c r="T75" s="412" t="str">
        <f t="shared" ref="T72:T139" si="15">IF(W75&gt;1,EOMONTH(W75,0),"")</f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359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350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350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360</v>
      </c>
      <c r="D79" s="237" t="s">
        <v>361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362</v>
      </c>
      <c r="N79" s="237" t="s">
        <v>361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13">
        <f>J79-SUM(U79:U93)</f>
        <v>0</v>
      </c>
      <c r="W79" s="457">
        <f>T79+30</f>
        <v>46142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363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362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362</v>
      </c>
      <c r="N81" s="239" t="s">
        <v>364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362</v>
      </c>
      <c r="N82" s="239" t="s">
        <v>365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366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362</v>
      </c>
      <c r="N83" s="239" t="s">
        <v>367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362</v>
      </c>
      <c r="N84" s="239" t="s">
        <v>368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369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362</v>
      </c>
      <c r="N85" s="239" t="s">
        <v>370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362</v>
      </c>
      <c r="N86" s="239" t="s">
        <v>371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.1" customHeight="1">
      <c r="B87" s="226">
        <v>8</v>
      </c>
      <c r="C87" s="227"/>
      <c r="D87" s="239" t="s">
        <v>372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362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.1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362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305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362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362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373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362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362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362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374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375</v>
      </c>
      <c r="D95" s="231" t="s">
        <v>376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377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378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377</v>
      </c>
      <c r="N96" s="232" t="s">
        <v>328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46112</v>
      </c>
      <c r="U96" s="397">
        <f t="shared" si="20"/>
        <v>37075.555555555555</v>
      </c>
      <c r="V96" s="690"/>
      <c r="W96" s="453">
        <f>'Project Plan'!I20+7</f>
        <v>46110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377</v>
      </c>
      <c r="N97" s="286" t="s">
        <v>165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46112</v>
      </c>
      <c r="U97" s="397">
        <f t="shared" si="20"/>
        <v>55613.333333333321</v>
      </c>
      <c r="V97" s="690"/>
      <c r="W97" s="454">
        <f>'Project Plan'!I20+7</f>
        <v>46110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377</v>
      </c>
      <c r="N98" s="286" t="s">
        <v>331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46141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377</v>
      </c>
      <c r="N99" s="286" t="s">
        <v>333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46142</v>
      </c>
      <c r="U99" s="397">
        <f t="shared" si="20"/>
        <v>92688.888888888876</v>
      </c>
      <c r="V99" s="690"/>
      <c r="W99" s="454">
        <f>'Project Plan'!K32+7</f>
        <v>46135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377</v>
      </c>
      <c r="N100" s="286" t="s">
        <v>334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46173</v>
      </c>
      <c r="U100" s="397">
        <f t="shared" si="20"/>
        <v>37075.555555555555</v>
      </c>
      <c r="V100" s="690"/>
      <c r="W100" s="454">
        <f>'Project Plan'!K43+7</f>
        <v>46160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377</v>
      </c>
      <c r="N101" s="286" t="s">
        <v>335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46173</v>
      </c>
      <c r="U101" s="397">
        <f t="shared" si="20"/>
        <v>37075.555555555555</v>
      </c>
      <c r="V101" s="690"/>
      <c r="W101" s="454">
        <f>'Project Plan'!K50+7</f>
        <v>46161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377</v>
      </c>
      <c r="N102" s="286" t="s">
        <v>336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46173</v>
      </c>
      <c r="U102" s="397">
        <f t="shared" si="20"/>
        <v>18537.777777777777</v>
      </c>
      <c r="V102" s="690"/>
      <c r="W102" s="454">
        <f>'Project Plan'!K50+7</f>
        <v>46161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377</v>
      </c>
      <c r="N103" s="286" t="s">
        <v>337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46203</v>
      </c>
      <c r="U103" s="397">
        <f t="shared" si="20"/>
        <v>18537.777777777777</v>
      </c>
      <c r="V103" s="690"/>
      <c r="W103" s="454">
        <f>'Project Plan'!K50+30</f>
        <v>46184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377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377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377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379</v>
      </c>
      <c r="D108" s="174" t="s">
        <v>308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380</v>
      </c>
      <c r="N108" s="174" t="s">
        <v>381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46112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310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380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381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380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312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380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380</v>
      </c>
      <c r="N112" s="245" t="s">
        <v>328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46112</v>
      </c>
      <c r="U112" s="409">
        <f t="shared" si="22"/>
        <v>2579.892968219413</v>
      </c>
      <c r="V112" s="711"/>
      <c r="W112" s="466">
        <f>W96</f>
        <v>46110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380</v>
      </c>
      <c r="N113" s="245" t="s">
        <v>165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46112</v>
      </c>
      <c r="U113" s="409">
        <f t="shared" si="22"/>
        <v>3869.839452329119</v>
      </c>
      <c r="V113" s="711"/>
      <c r="W113" s="466">
        <f t="shared" ref="W113:W119" si="25">W97</f>
        <v>46110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380</v>
      </c>
      <c r="N114" s="245" t="s">
        <v>331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46141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380</v>
      </c>
      <c r="N115" s="245" t="s">
        <v>333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46142</v>
      </c>
      <c r="U115" s="409">
        <f t="shared" si="22"/>
        <v>6449.732420548532</v>
      </c>
      <c r="V115" s="711"/>
      <c r="W115" s="466">
        <f t="shared" si="25"/>
        <v>46135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380</v>
      </c>
      <c r="N116" s="245" t="s">
        <v>334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46173</v>
      </c>
      <c r="U116" s="409">
        <f t="shared" si="22"/>
        <v>2579.892968219413</v>
      </c>
      <c r="V116" s="711"/>
      <c r="W116" s="466">
        <f t="shared" si="25"/>
        <v>46160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380</v>
      </c>
      <c r="N117" s="245" t="s">
        <v>335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46173</v>
      </c>
      <c r="U117" s="409">
        <f t="shared" si="22"/>
        <v>2579.892968219413</v>
      </c>
      <c r="V117" s="711"/>
      <c r="W117" s="466">
        <f t="shared" si="25"/>
        <v>46161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380</v>
      </c>
      <c r="N118" s="245" t="s">
        <v>336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46173</v>
      </c>
      <c r="U118" s="409">
        <f t="shared" si="22"/>
        <v>1289.9464841097065</v>
      </c>
      <c r="V118" s="711"/>
      <c r="W118" s="466">
        <f t="shared" si="25"/>
        <v>46161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380</v>
      </c>
      <c r="N119" s="245" t="s">
        <v>337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46203</v>
      </c>
      <c r="U119" s="409">
        <f t="shared" si="22"/>
        <v>1289.9464841097065</v>
      </c>
      <c r="V119" s="711"/>
      <c r="W119" s="466">
        <f t="shared" si="25"/>
        <v>46184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380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380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380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4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382</v>
      </c>
      <c r="D124" s="255" t="s">
        <v>383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384</v>
      </c>
      <c r="N124" s="255" t="s">
        <v>383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46167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385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384</v>
      </c>
      <c r="N125" s="217" t="s">
        <v>386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384</v>
      </c>
      <c r="N126" s="217" t="s">
        <v>387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387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384</v>
      </c>
      <c r="N127" s="288" t="s">
        <v>388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389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384</v>
      </c>
      <c r="N128" s="221" t="s">
        <v>389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91"/>
      <c r="W128" s="455">
        <v>46112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390</v>
      </c>
      <c r="D130" s="174" t="s">
        <v>391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392</v>
      </c>
      <c r="N130" s="174" t="s">
        <v>391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390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392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4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393</v>
      </c>
      <c r="D133" s="255" t="s">
        <v>394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395</v>
      </c>
      <c r="N133" s="255" t="s">
        <v>396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395</v>
      </c>
      <c r="N134" s="217" t="s">
        <v>397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395</v>
      </c>
      <c r="N135" s="217" t="s">
        <v>398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395</v>
      </c>
      <c r="N136" s="217" t="s">
        <v>399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395</v>
      </c>
      <c r="N137" s="217" t="s">
        <v>400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395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4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401</v>
      </c>
      <c r="D140" s="174" t="s">
        <v>402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403</v>
      </c>
      <c r="N140" s="174" t="s">
        <v>404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46088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403</v>
      </c>
      <c r="N141" s="245" t="s">
        <v>404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711"/>
      <c r="W141" s="466">
        <f>T141+7</f>
        <v>46119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403</v>
      </c>
      <c r="N142" s="245" t="s">
        <v>404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711"/>
      <c r="W142" s="466">
        <f>T142+7</f>
        <v>46149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403</v>
      </c>
      <c r="N143" s="245" t="s">
        <v>404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711"/>
      <c r="W143" s="466">
        <f>T143+7</f>
        <v>46180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403</v>
      </c>
      <c r="N144" s="245" t="s">
        <v>404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403</v>
      </c>
      <c r="N145" s="245" t="s">
        <v>404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403</v>
      </c>
      <c r="N146" s="245" t="s">
        <v>404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403</v>
      </c>
      <c r="N147" s="245" t="s">
        <v>404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403</v>
      </c>
      <c r="N148" s="245" t="s">
        <v>404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403</v>
      </c>
      <c r="N149" s="245" t="s">
        <v>404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403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403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4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405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406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406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406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406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406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406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406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406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406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406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406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406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407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408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409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326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345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410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411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412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413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414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415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416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417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418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419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420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421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422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423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424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425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426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427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428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429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>H1+7</f>
        <v>46055</v>
      </c>
      <c r="J1" s="101">
        <f>I1+7</f>
        <v>46062</v>
      </c>
      <c r="K1" s="101">
        <f>J1+7</f>
        <v>46069</v>
      </c>
      <c r="L1" s="101">
        <f>K1+7</f>
        <v>46076</v>
      </c>
      <c r="M1" s="101">
        <f>L1+7</f>
        <v>46083</v>
      </c>
      <c r="N1" s="101">
        <f t="shared" ref="I1:BT1" si="0">M1+7</f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430</v>
      </c>
      <c r="B2" s="103"/>
      <c r="C2" s="104" t="s">
        <v>290</v>
      </c>
      <c r="D2" s="104" t="s">
        <v>290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227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205980.34285636182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431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2059803.4285636181</v>
      </c>
      <c r="M4" s="109">
        <f t="shared" si="5"/>
        <v>3501665.8285581507</v>
      </c>
      <c r="N4" s="109">
        <f t="shared" si="5"/>
        <v>3501665.8285581507</v>
      </c>
      <c r="O4" s="109">
        <f t="shared" si="5"/>
        <v>3501665.8285581507</v>
      </c>
      <c r="P4" s="109">
        <f t="shared" si="5"/>
        <v>3501665.8285581507</v>
      </c>
      <c r="Q4" s="109">
        <f t="shared" si="5"/>
        <v>3707646.1714145127</v>
      </c>
      <c r="R4" s="109">
        <f t="shared" si="5"/>
        <v>3810636.3428426934</v>
      </c>
      <c r="S4" s="109">
        <f t="shared" si="5"/>
        <v>3810636.3428426934</v>
      </c>
      <c r="T4" s="109">
        <f t="shared" si="5"/>
        <v>4119606.8571272362</v>
      </c>
      <c r="U4" s="109">
        <f t="shared" si="5"/>
        <v>4119606.8571272362</v>
      </c>
      <c r="V4" s="109">
        <f t="shared" si="5"/>
        <v>4119606.8571272362</v>
      </c>
      <c r="W4" s="109">
        <f t="shared" si="5"/>
        <v>4119606.8571272362</v>
      </c>
      <c r="X4" s="109">
        <f t="shared" si="5"/>
        <v>4119606.8571272362</v>
      </c>
      <c r="Y4" s="109">
        <f t="shared" si="5"/>
        <v>4119606.8571272362</v>
      </c>
      <c r="Z4" s="109">
        <f t="shared" si="5"/>
        <v>4119606.8571272362</v>
      </c>
      <c r="AA4" s="109">
        <f t="shared" si="5"/>
        <v>4119606.8571272362</v>
      </c>
      <c r="AB4" s="109">
        <f t="shared" si="5"/>
        <v>4119606.8571272362</v>
      </c>
      <c r="AC4" s="109">
        <f t="shared" si="5"/>
        <v>4119606.8571272362</v>
      </c>
      <c r="AD4" s="109">
        <f>AC4+AD3</f>
        <v>4119606.8571272362</v>
      </c>
      <c r="AE4" s="109">
        <f t="shared" si="5"/>
        <v>4119606.8571272362</v>
      </c>
      <c r="AF4" s="109">
        <f t="shared" si="5"/>
        <v>4119606.8571272362</v>
      </c>
      <c r="AG4" s="109">
        <f t="shared" si="5"/>
        <v>4119606.8571272362</v>
      </c>
      <c r="AH4" s="109">
        <f t="shared" si="5"/>
        <v>4119606.8571272362</v>
      </c>
      <c r="AI4" s="109">
        <f t="shared" si="5"/>
        <v>4119606.8571272362</v>
      </c>
      <c r="AJ4" s="109">
        <f t="shared" si="5"/>
        <v>4119606.8571272362</v>
      </c>
      <c r="AK4" s="109">
        <f t="shared" si="5"/>
        <v>4119606.8571272362</v>
      </c>
      <c r="AL4" s="109">
        <f t="shared" si="5"/>
        <v>4119606.8571272362</v>
      </c>
      <c r="AM4" s="109">
        <f t="shared" si="5"/>
        <v>4119606.8571272362</v>
      </c>
      <c r="AN4" s="109">
        <f t="shared" si="5"/>
        <v>4119606.8571272362</v>
      </c>
      <c r="AO4" s="109">
        <f t="shared" si="5"/>
        <v>4119606.8571272362</v>
      </c>
      <c r="AP4" s="109">
        <f t="shared" si="5"/>
        <v>4119606.8571272362</v>
      </c>
      <c r="AQ4" s="109">
        <f t="shared" si="5"/>
        <v>4119606.8571272362</v>
      </c>
      <c r="AR4" s="109">
        <f t="shared" si="5"/>
        <v>4119606.8571272362</v>
      </c>
      <c r="AS4" s="109">
        <f t="shared" si="5"/>
        <v>4119606.8571272362</v>
      </c>
      <c r="AT4" s="109">
        <f t="shared" si="5"/>
        <v>4119606.8571272362</v>
      </c>
      <c r="AU4" s="109">
        <f t="shared" si="5"/>
        <v>4119606.8571272362</v>
      </c>
      <c r="AV4" s="109">
        <f t="shared" si="5"/>
        <v>4119606.8571272362</v>
      </c>
      <c r="AW4" s="109">
        <f t="shared" si="5"/>
        <v>4119606.8571272362</v>
      </c>
      <c r="AX4" s="109">
        <f t="shared" si="5"/>
        <v>4119606.8571272362</v>
      </c>
      <c r="AY4" s="109">
        <f t="shared" si="5"/>
        <v>4119606.8571272362</v>
      </c>
      <c r="AZ4" s="109">
        <f t="shared" si="5"/>
        <v>4119606.8571272362</v>
      </c>
      <c r="BA4" s="109">
        <f t="shared" si="5"/>
        <v>4119606.8571272362</v>
      </c>
      <c r="BB4" s="109">
        <f t="shared" si="5"/>
        <v>4119606.8571272362</v>
      </c>
      <c r="BC4" s="109">
        <f t="shared" si="5"/>
        <v>4119606.8571272362</v>
      </c>
      <c r="BD4" s="109">
        <f t="shared" si="5"/>
        <v>4119606.8571272362</v>
      </c>
      <c r="BE4" s="109">
        <f t="shared" si="5"/>
        <v>4119606.8571272362</v>
      </c>
      <c r="BF4" s="109">
        <f t="shared" si="5"/>
        <v>4119606.8571272362</v>
      </c>
      <c r="BG4" s="109">
        <f t="shared" si="5"/>
        <v>4119606.8571272362</v>
      </c>
      <c r="BH4" s="109">
        <f t="shared" si="5"/>
        <v>4119606.8571272362</v>
      </c>
      <c r="BI4" s="109">
        <f t="shared" si="5"/>
        <v>4119606.8571272362</v>
      </c>
      <c r="BJ4" s="109">
        <f t="shared" si="5"/>
        <v>4119606.8571272362</v>
      </c>
      <c r="BK4" s="109">
        <f t="shared" si="5"/>
        <v>4119606.8571272362</v>
      </c>
      <c r="BL4" s="109">
        <f t="shared" si="5"/>
        <v>4119606.8571272362</v>
      </c>
      <c r="BM4" s="109">
        <f t="shared" si="5"/>
        <v>4119606.8571272362</v>
      </c>
      <c r="BN4" s="109">
        <f t="shared" si="5"/>
        <v>4119606.8571272362</v>
      </c>
      <c r="BO4" s="109">
        <f t="shared" si="5"/>
        <v>4119606.8571272362</v>
      </c>
      <c r="BP4" s="109">
        <f t="shared" si="5"/>
        <v>4119606.8571272362</v>
      </c>
      <c r="BQ4" s="109">
        <f t="shared" si="5"/>
        <v>4119606.8571272362</v>
      </c>
      <c r="BR4" s="109">
        <f t="shared" si="5"/>
        <v>4119606.8571272362</v>
      </c>
      <c r="BS4" s="109">
        <f t="shared" si="5"/>
        <v>4119606.8571272362</v>
      </c>
      <c r="BT4" s="109">
        <f t="shared" si="5"/>
        <v>4119606.8571272362</v>
      </c>
      <c r="BU4" s="109">
        <f t="shared" ref="BU4:EF4" si="6">BT4+BU3</f>
        <v>4119606.8571272362</v>
      </c>
      <c r="BV4" s="109">
        <f t="shared" si="6"/>
        <v>4119606.8571272362</v>
      </c>
      <c r="BW4" s="109">
        <f t="shared" si="6"/>
        <v>4119606.8571272362</v>
      </c>
      <c r="BX4" s="109">
        <f t="shared" si="6"/>
        <v>4119606.8571272362</v>
      </c>
      <c r="BY4" s="109">
        <f t="shared" si="6"/>
        <v>4119606.8571272362</v>
      </c>
      <c r="BZ4" s="109">
        <f t="shared" si="6"/>
        <v>4119606.8571272362</v>
      </c>
      <c r="CA4" s="109">
        <f t="shared" si="6"/>
        <v>4119606.8571272362</v>
      </c>
      <c r="CB4" s="109">
        <f t="shared" si="6"/>
        <v>4119606.8571272362</v>
      </c>
      <c r="CC4" s="109">
        <f t="shared" si="6"/>
        <v>4119606.8571272362</v>
      </c>
      <c r="CD4" s="109">
        <f t="shared" si="6"/>
        <v>4119606.8571272362</v>
      </c>
      <c r="CE4" s="109">
        <f t="shared" si="6"/>
        <v>4119606.8571272362</v>
      </c>
      <c r="CF4" s="109">
        <f t="shared" si="6"/>
        <v>4119606.8571272362</v>
      </c>
      <c r="CG4" s="109">
        <f t="shared" si="6"/>
        <v>4119606.8571272362</v>
      </c>
      <c r="CH4" s="109">
        <f t="shared" si="6"/>
        <v>4119606.8571272362</v>
      </c>
      <c r="CI4" s="109">
        <f t="shared" si="6"/>
        <v>4119606.8571272362</v>
      </c>
      <c r="CJ4" s="109">
        <f t="shared" si="6"/>
        <v>4119606.8571272362</v>
      </c>
      <c r="CK4" s="109">
        <f t="shared" si="6"/>
        <v>4119606.8571272362</v>
      </c>
      <c r="CL4" s="109">
        <f t="shared" si="6"/>
        <v>4119606.8571272362</v>
      </c>
      <c r="CM4" s="109">
        <f t="shared" si="6"/>
        <v>4119606.8571272362</v>
      </c>
      <c r="CN4" s="109">
        <f t="shared" si="6"/>
        <v>4119606.8571272362</v>
      </c>
      <c r="CO4" s="109">
        <f t="shared" si="6"/>
        <v>4119606.8571272362</v>
      </c>
      <c r="CP4" s="109">
        <f t="shared" si="6"/>
        <v>4119606.8571272362</v>
      </c>
      <c r="CQ4" s="109">
        <f t="shared" si="6"/>
        <v>4119606.8571272362</v>
      </c>
      <c r="CR4" s="109">
        <f t="shared" si="6"/>
        <v>4119606.8571272362</v>
      </c>
      <c r="CS4" s="109">
        <f t="shared" si="6"/>
        <v>4119606.8571272362</v>
      </c>
      <c r="CT4" s="109">
        <f t="shared" si="6"/>
        <v>4119606.8571272362</v>
      </c>
      <c r="CU4" s="109">
        <f t="shared" si="6"/>
        <v>4119606.8571272362</v>
      </c>
      <c r="CV4" s="109">
        <f t="shared" si="6"/>
        <v>4119606.8571272362</v>
      </c>
      <c r="CW4" s="109">
        <f t="shared" si="6"/>
        <v>4119606.8571272362</v>
      </c>
      <c r="CX4" s="109">
        <f t="shared" si="6"/>
        <v>4119606.8571272362</v>
      </c>
      <c r="CY4" s="109">
        <f t="shared" si="6"/>
        <v>4119606.8571272362</v>
      </c>
      <c r="CZ4" s="109">
        <f t="shared" si="6"/>
        <v>4119606.8571272362</v>
      </c>
      <c r="DA4" s="109">
        <f t="shared" si="6"/>
        <v>4119606.8571272362</v>
      </c>
      <c r="DB4" s="109">
        <f t="shared" si="6"/>
        <v>4119606.8571272362</v>
      </c>
      <c r="DC4" s="109">
        <f t="shared" si="6"/>
        <v>4119606.8571272362</v>
      </c>
      <c r="DD4" s="109">
        <f t="shared" si="6"/>
        <v>4119606.8571272362</v>
      </c>
      <c r="DE4" s="109">
        <f t="shared" si="6"/>
        <v>4119606.8571272362</v>
      </c>
      <c r="DF4" s="109">
        <f t="shared" si="6"/>
        <v>4119606.8571272362</v>
      </c>
      <c r="DG4" s="109">
        <f t="shared" si="6"/>
        <v>4119606.8571272362</v>
      </c>
      <c r="DH4" s="109">
        <f t="shared" si="6"/>
        <v>4119606.8571272362</v>
      </c>
      <c r="DI4" s="109">
        <f t="shared" si="6"/>
        <v>4119606.8571272362</v>
      </c>
      <c r="DJ4" s="109">
        <f t="shared" si="6"/>
        <v>4119606.8571272362</v>
      </c>
      <c r="DK4" s="109">
        <f t="shared" si="6"/>
        <v>4119606.8571272362</v>
      </c>
      <c r="DL4" s="109">
        <f t="shared" si="6"/>
        <v>4119606.8571272362</v>
      </c>
      <c r="DM4" s="109">
        <f t="shared" si="6"/>
        <v>4119606.8571272362</v>
      </c>
      <c r="DN4" s="109">
        <f t="shared" si="6"/>
        <v>4119606.8571272362</v>
      </c>
      <c r="DO4" s="109">
        <f t="shared" si="6"/>
        <v>4119606.8571272362</v>
      </c>
      <c r="DP4" s="109">
        <f t="shared" si="6"/>
        <v>4119606.8571272362</v>
      </c>
      <c r="DQ4" s="109">
        <f t="shared" si="6"/>
        <v>4119606.8571272362</v>
      </c>
      <c r="DR4" s="109">
        <f t="shared" si="6"/>
        <v>4119606.8571272362</v>
      </c>
      <c r="DS4" s="109">
        <f t="shared" si="6"/>
        <v>4119606.8571272362</v>
      </c>
      <c r="DT4" s="109">
        <f t="shared" si="6"/>
        <v>4119606.8571272362</v>
      </c>
      <c r="DU4" s="109">
        <f t="shared" si="6"/>
        <v>4119606.8571272362</v>
      </c>
      <c r="DV4" s="109">
        <f t="shared" si="6"/>
        <v>4119606.8571272362</v>
      </c>
      <c r="DW4" s="109">
        <f t="shared" si="6"/>
        <v>4119606.8571272362</v>
      </c>
      <c r="DX4" s="109">
        <f t="shared" si="6"/>
        <v>4119606.8571272362</v>
      </c>
      <c r="DY4" s="109">
        <f t="shared" si="6"/>
        <v>4119606.8571272362</v>
      </c>
      <c r="DZ4" s="109">
        <f t="shared" si="6"/>
        <v>4119606.8571272362</v>
      </c>
      <c r="EA4" s="109">
        <f t="shared" si="6"/>
        <v>4119606.8571272362</v>
      </c>
      <c r="EB4" s="109">
        <f t="shared" si="6"/>
        <v>4119606.8571272362</v>
      </c>
      <c r="EC4" s="109">
        <f t="shared" si="6"/>
        <v>4119606.8571272362</v>
      </c>
      <c r="ED4" s="109">
        <f t="shared" si="6"/>
        <v>4119606.8571272362</v>
      </c>
      <c r="EE4" s="109">
        <f t="shared" si="6"/>
        <v>4119606.8571272362</v>
      </c>
      <c r="EF4" s="109">
        <f t="shared" si="6"/>
        <v>4119606.8571272362</v>
      </c>
      <c r="EG4" s="109">
        <f t="shared" ref="EG4:GR4" si="7">EF4+EG3</f>
        <v>4119606.8571272362</v>
      </c>
      <c r="EH4" s="109">
        <f t="shared" si="7"/>
        <v>4119606.8571272362</v>
      </c>
      <c r="EI4" s="109">
        <f t="shared" si="7"/>
        <v>4119606.8571272362</v>
      </c>
      <c r="EJ4" s="109">
        <f t="shared" si="7"/>
        <v>4119606.8571272362</v>
      </c>
      <c r="EK4" s="109">
        <f t="shared" si="7"/>
        <v>4119606.8571272362</v>
      </c>
      <c r="EL4" s="109">
        <f t="shared" si="7"/>
        <v>4119606.8571272362</v>
      </c>
      <c r="EM4" s="109">
        <f t="shared" si="7"/>
        <v>4119606.8571272362</v>
      </c>
      <c r="EN4" s="109">
        <f t="shared" si="7"/>
        <v>4119606.8571272362</v>
      </c>
      <c r="EO4" s="109">
        <f t="shared" si="7"/>
        <v>4119606.8571272362</v>
      </c>
      <c r="EP4" s="109">
        <f t="shared" si="7"/>
        <v>4119606.8571272362</v>
      </c>
      <c r="EQ4" s="109">
        <f t="shared" si="7"/>
        <v>4119606.8571272362</v>
      </c>
      <c r="ER4" s="109">
        <f t="shared" si="7"/>
        <v>4119606.8571272362</v>
      </c>
      <c r="ES4" s="109">
        <f t="shared" si="7"/>
        <v>4119606.8571272362</v>
      </c>
      <c r="ET4" s="109">
        <f t="shared" si="7"/>
        <v>4119606.8571272362</v>
      </c>
      <c r="EU4" s="109">
        <f t="shared" si="7"/>
        <v>4119606.8571272362</v>
      </c>
      <c r="EV4" s="109">
        <f t="shared" si="7"/>
        <v>4119606.8571272362</v>
      </c>
      <c r="EW4" s="109">
        <f t="shared" si="7"/>
        <v>4119606.8571272362</v>
      </c>
      <c r="EX4" s="109">
        <f t="shared" si="7"/>
        <v>4119606.8571272362</v>
      </c>
      <c r="EY4" s="109">
        <f t="shared" si="7"/>
        <v>4119606.8571272362</v>
      </c>
      <c r="EZ4" s="109">
        <f t="shared" si="7"/>
        <v>4119606.8571272362</v>
      </c>
      <c r="FA4" s="109">
        <f t="shared" si="7"/>
        <v>4119606.8571272362</v>
      </c>
      <c r="FB4" s="109">
        <f t="shared" si="7"/>
        <v>4119606.8571272362</v>
      </c>
      <c r="FC4" s="109">
        <f t="shared" si="7"/>
        <v>4119606.8571272362</v>
      </c>
      <c r="FD4" s="109">
        <f t="shared" si="7"/>
        <v>4119606.8571272362</v>
      </c>
      <c r="FE4" s="109">
        <f t="shared" si="7"/>
        <v>4119606.8571272362</v>
      </c>
      <c r="FF4" s="109">
        <f t="shared" si="7"/>
        <v>4119606.8571272362</v>
      </c>
      <c r="FG4" s="109">
        <f t="shared" si="7"/>
        <v>4119606.8571272362</v>
      </c>
      <c r="FH4" s="109">
        <f t="shared" si="7"/>
        <v>4119606.8571272362</v>
      </c>
      <c r="FI4" s="109">
        <f t="shared" si="7"/>
        <v>4119606.8571272362</v>
      </c>
      <c r="FJ4" s="109">
        <f t="shared" si="7"/>
        <v>4119606.8571272362</v>
      </c>
      <c r="FK4" s="109">
        <f t="shared" si="7"/>
        <v>4119606.8571272362</v>
      </c>
      <c r="FL4" s="109">
        <f t="shared" si="7"/>
        <v>4119606.8571272362</v>
      </c>
      <c r="FM4" s="109">
        <f t="shared" si="7"/>
        <v>4119606.8571272362</v>
      </c>
      <c r="FN4" s="109">
        <f t="shared" si="7"/>
        <v>4119606.8571272362</v>
      </c>
      <c r="FO4" s="109">
        <f t="shared" si="7"/>
        <v>4119606.8571272362</v>
      </c>
      <c r="FP4" s="109">
        <f t="shared" si="7"/>
        <v>4119606.8571272362</v>
      </c>
      <c r="FQ4" s="109">
        <f t="shared" si="7"/>
        <v>4119606.8571272362</v>
      </c>
      <c r="FR4" s="109">
        <f t="shared" si="7"/>
        <v>4119606.8571272362</v>
      </c>
      <c r="FS4" s="109">
        <f t="shared" si="7"/>
        <v>4119606.8571272362</v>
      </c>
      <c r="FT4" s="109">
        <f t="shared" si="7"/>
        <v>4119606.8571272362</v>
      </c>
      <c r="FU4" s="109">
        <f t="shared" si="7"/>
        <v>4119606.8571272362</v>
      </c>
      <c r="FV4" s="109">
        <f t="shared" si="7"/>
        <v>4119606.8571272362</v>
      </c>
      <c r="FW4" s="109">
        <f t="shared" si="7"/>
        <v>4119606.8571272362</v>
      </c>
      <c r="FX4" s="109">
        <f t="shared" si="7"/>
        <v>4119606.8571272362</v>
      </c>
      <c r="FY4" s="109">
        <f t="shared" si="7"/>
        <v>4119606.8571272362</v>
      </c>
      <c r="FZ4" s="109">
        <f t="shared" si="7"/>
        <v>4119606.8571272362</v>
      </c>
      <c r="GA4" s="109">
        <f t="shared" si="7"/>
        <v>4119606.8571272362</v>
      </c>
      <c r="GB4" s="109">
        <f t="shared" si="7"/>
        <v>4119606.8571272362</v>
      </c>
      <c r="GC4" s="109">
        <f t="shared" si="7"/>
        <v>4119606.8571272362</v>
      </c>
      <c r="GD4" s="109">
        <f t="shared" si="7"/>
        <v>4119606.8571272362</v>
      </c>
      <c r="GE4" s="109">
        <f t="shared" si="7"/>
        <v>4119606.8571272362</v>
      </c>
      <c r="GF4" s="109">
        <f t="shared" si="7"/>
        <v>4119606.8571272362</v>
      </c>
      <c r="GG4" s="109">
        <f t="shared" si="7"/>
        <v>4119606.8571272362</v>
      </c>
      <c r="GH4" s="109">
        <f t="shared" si="7"/>
        <v>4119606.8571272362</v>
      </c>
      <c r="GI4" s="109">
        <f t="shared" si="7"/>
        <v>4119606.8571272362</v>
      </c>
      <c r="GJ4" s="109">
        <f t="shared" si="7"/>
        <v>4119606.8571272362</v>
      </c>
      <c r="GK4" s="109">
        <f t="shared" si="7"/>
        <v>4119606.8571272362</v>
      </c>
      <c r="GL4" s="109">
        <f t="shared" si="7"/>
        <v>4119606.8571272362</v>
      </c>
      <c r="GM4" s="109">
        <f t="shared" si="7"/>
        <v>4119606.8571272362</v>
      </c>
      <c r="GN4" s="109">
        <f t="shared" si="7"/>
        <v>4119606.8571272362</v>
      </c>
      <c r="GO4" s="109">
        <f t="shared" si="7"/>
        <v>4119606.8571272362</v>
      </c>
      <c r="GP4" s="109">
        <f t="shared" si="7"/>
        <v>4119606.8571272362</v>
      </c>
      <c r="GQ4" s="109">
        <f t="shared" si="7"/>
        <v>4119606.8571272362</v>
      </c>
      <c r="GR4" s="109">
        <f t="shared" si="7"/>
        <v>4119606.8571272362</v>
      </c>
      <c r="GS4" s="109">
        <f t="shared" ref="GS4:JD4" si="8">GR4+GS3</f>
        <v>4119606.8571272362</v>
      </c>
      <c r="GT4" s="109">
        <f t="shared" si="8"/>
        <v>4119606.8571272362</v>
      </c>
      <c r="GU4" s="109">
        <f t="shared" si="8"/>
        <v>4119606.8571272362</v>
      </c>
      <c r="GV4" s="109">
        <f t="shared" si="8"/>
        <v>4119606.8571272362</v>
      </c>
      <c r="GW4" s="109">
        <f t="shared" si="8"/>
        <v>4119606.8571272362</v>
      </c>
      <c r="GX4" s="109">
        <f t="shared" si="8"/>
        <v>4119606.8571272362</v>
      </c>
      <c r="GY4" s="109">
        <f t="shared" si="8"/>
        <v>4119606.8571272362</v>
      </c>
      <c r="GZ4" s="109">
        <f t="shared" si="8"/>
        <v>4119606.8571272362</v>
      </c>
      <c r="HA4" s="109">
        <f t="shared" si="8"/>
        <v>4119606.8571272362</v>
      </c>
      <c r="HB4" s="109">
        <f t="shared" si="8"/>
        <v>4119606.8571272362</v>
      </c>
      <c r="HC4" s="109">
        <f t="shared" si="8"/>
        <v>4119606.8571272362</v>
      </c>
      <c r="HD4" s="109">
        <f t="shared" si="8"/>
        <v>4119606.8571272362</v>
      </c>
      <c r="HE4" s="109">
        <f t="shared" si="8"/>
        <v>4119606.8571272362</v>
      </c>
      <c r="HF4" s="109">
        <f t="shared" si="8"/>
        <v>4119606.8571272362</v>
      </c>
      <c r="HG4" s="109">
        <f t="shared" si="8"/>
        <v>4119606.8571272362</v>
      </c>
      <c r="HH4" s="109">
        <f t="shared" si="8"/>
        <v>4119606.8571272362</v>
      </c>
      <c r="HI4" s="109">
        <f t="shared" si="8"/>
        <v>4119606.8571272362</v>
      </c>
      <c r="HJ4" s="109">
        <f t="shared" si="8"/>
        <v>4119606.8571272362</v>
      </c>
      <c r="HK4" s="109">
        <f t="shared" si="8"/>
        <v>4119606.8571272362</v>
      </c>
      <c r="HL4" s="109">
        <f t="shared" si="8"/>
        <v>4119606.8571272362</v>
      </c>
      <c r="HM4" s="109">
        <f t="shared" si="8"/>
        <v>4119606.8571272362</v>
      </c>
      <c r="HN4" s="109">
        <f t="shared" si="8"/>
        <v>4119606.8571272362</v>
      </c>
      <c r="HO4" s="109">
        <f t="shared" si="8"/>
        <v>4119606.8571272362</v>
      </c>
      <c r="HP4" s="109">
        <f t="shared" si="8"/>
        <v>4119606.8571272362</v>
      </c>
      <c r="HQ4" s="109">
        <f t="shared" si="8"/>
        <v>4119606.8571272362</v>
      </c>
      <c r="HR4" s="109">
        <f t="shared" si="8"/>
        <v>4119606.8571272362</v>
      </c>
      <c r="HS4" s="109">
        <f t="shared" si="8"/>
        <v>4119606.8571272362</v>
      </c>
      <c r="HT4" s="109">
        <f t="shared" si="8"/>
        <v>4119606.8571272362</v>
      </c>
      <c r="HU4" s="109">
        <f t="shared" si="8"/>
        <v>4119606.8571272362</v>
      </c>
      <c r="HV4" s="109">
        <f t="shared" si="8"/>
        <v>4119606.8571272362</v>
      </c>
      <c r="HW4" s="109">
        <f t="shared" si="8"/>
        <v>4119606.8571272362</v>
      </c>
      <c r="HX4" s="109">
        <f t="shared" si="8"/>
        <v>4119606.8571272362</v>
      </c>
      <c r="HY4" s="109">
        <f t="shared" si="8"/>
        <v>4119606.8571272362</v>
      </c>
      <c r="HZ4" s="109">
        <f t="shared" si="8"/>
        <v>4119606.8571272362</v>
      </c>
      <c r="IA4" s="109">
        <f t="shared" si="8"/>
        <v>4119606.8571272362</v>
      </c>
      <c r="IB4" s="109">
        <f t="shared" si="8"/>
        <v>4119606.8571272362</v>
      </c>
      <c r="IC4" s="109">
        <f t="shared" si="8"/>
        <v>4119606.8571272362</v>
      </c>
      <c r="ID4" s="109">
        <f t="shared" si="8"/>
        <v>4119606.8571272362</v>
      </c>
      <c r="IE4" s="109">
        <f t="shared" si="8"/>
        <v>4119606.8571272362</v>
      </c>
      <c r="IF4" s="109">
        <f t="shared" si="8"/>
        <v>4119606.8571272362</v>
      </c>
      <c r="IG4" s="109">
        <f t="shared" si="8"/>
        <v>4119606.8571272362</v>
      </c>
      <c r="IH4" s="109">
        <f t="shared" si="8"/>
        <v>4119606.8571272362</v>
      </c>
      <c r="II4" s="109">
        <f t="shared" si="8"/>
        <v>4119606.8571272362</v>
      </c>
      <c r="IJ4" s="109">
        <f t="shared" si="8"/>
        <v>4119606.8571272362</v>
      </c>
      <c r="IK4" s="109">
        <f t="shared" si="8"/>
        <v>4119606.8571272362</v>
      </c>
      <c r="IL4" s="109">
        <f t="shared" si="8"/>
        <v>4119606.8571272362</v>
      </c>
      <c r="IM4" s="109">
        <f t="shared" si="8"/>
        <v>4119606.8571272362</v>
      </c>
      <c r="IN4" s="109">
        <f t="shared" si="8"/>
        <v>4119606.8571272362</v>
      </c>
      <c r="IO4" s="109">
        <f t="shared" si="8"/>
        <v>4119606.8571272362</v>
      </c>
      <c r="IP4" s="109">
        <f t="shared" si="8"/>
        <v>4119606.8571272362</v>
      </c>
      <c r="IQ4" s="109">
        <f t="shared" si="8"/>
        <v>4119606.8571272362</v>
      </c>
      <c r="IR4" s="109">
        <f t="shared" si="8"/>
        <v>4119606.8571272362</v>
      </c>
      <c r="IS4" s="109">
        <f t="shared" si="8"/>
        <v>4119606.8571272362</v>
      </c>
      <c r="IT4" s="109">
        <f t="shared" si="8"/>
        <v>4119606.8571272362</v>
      </c>
      <c r="IU4" s="109">
        <f t="shared" si="8"/>
        <v>4119606.8571272362</v>
      </c>
      <c r="IV4" s="109">
        <f t="shared" si="8"/>
        <v>4119606.8571272362</v>
      </c>
      <c r="IW4" s="109">
        <f t="shared" si="8"/>
        <v>4119606.8571272362</v>
      </c>
      <c r="IX4" s="109">
        <f t="shared" si="8"/>
        <v>4119606.8571272362</v>
      </c>
      <c r="IY4" s="109">
        <f t="shared" si="8"/>
        <v>4119606.8571272362</v>
      </c>
      <c r="IZ4" s="109">
        <f t="shared" si="8"/>
        <v>4119606.8571272362</v>
      </c>
      <c r="JA4" s="109">
        <f t="shared" si="8"/>
        <v>4119606.8571272362</v>
      </c>
      <c r="JB4" s="109">
        <f t="shared" si="8"/>
        <v>4119606.8571272362</v>
      </c>
      <c r="JC4" s="109">
        <f t="shared" si="8"/>
        <v>4119606.8571272362</v>
      </c>
      <c r="JD4" s="109">
        <f t="shared" si="8"/>
        <v>4119606.8571272362</v>
      </c>
      <c r="JE4" s="109">
        <f t="shared" ref="JE4:KF4" si="9">JD4+JE3</f>
        <v>4119606.8571272362</v>
      </c>
      <c r="JF4" s="109">
        <f t="shared" si="9"/>
        <v>4119606.8571272362</v>
      </c>
      <c r="JG4" s="109">
        <f t="shared" si="9"/>
        <v>4119606.8571272362</v>
      </c>
      <c r="JH4" s="109">
        <f t="shared" si="9"/>
        <v>4119606.8571272362</v>
      </c>
      <c r="JI4" s="109">
        <f t="shared" si="9"/>
        <v>4119606.8571272362</v>
      </c>
      <c r="JJ4" s="109">
        <f t="shared" si="9"/>
        <v>4119606.8571272362</v>
      </c>
      <c r="JK4" s="109">
        <f t="shared" si="9"/>
        <v>4119606.8571272362</v>
      </c>
      <c r="JL4" s="109">
        <f t="shared" si="9"/>
        <v>4119606.8571272362</v>
      </c>
      <c r="JM4" s="109">
        <f t="shared" si="9"/>
        <v>4119606.8571272362</v>
      </c>
      <c r="JN4" s="109">
        <f t="shared" si="9"/>
        <v>4119606.8571272362</v>
      </c>
      <c r="JO4" s="109">
        <f t="shared" si="9"/>
        <v>4119606.8571272362</v>
      </c>
      <c r="JP4" s="109">
        <f t="shared" si="9"/>
        <v>4119606.8571272362</v>
      </c>
      <c r="JQ4" s="109">
        <f t="shared" si="9"/>
        <v>4119606.8571272362</v>
      </c>
      <c r="JR4" s="109">
        <f t="shared" si="9"/>
        <v>4119606.8571272362</v>
      </c>
      <c r="JS4" s="109">
        <f t="shared" si="9"/>
        <v>4119606.8571272362</v>
      </c>
      <c r="JT4" s="109">
        <f t="shared" si="9"/>
        <v>4119606.8571272362</v>
      </c>
      <c r="JU4" s="109">
        <f t="shared" si="9"/>
        <v>4119606.8571272362</v>
      </c>
      <c r="JV4" s="109">
        <f t="shared" si="9"/>
        <v>4119606.8571272362</v>
      </c>
      <c r="JW4" s="109">
        <f t="shared" si="9"/>
        <v>4119606.8571272362</v>
      </c>
      <c r="JX4" s="109">
        <f t="shared" si="9"/>
        <v>4119606.8571272362</v>
      </c>
      <c r="JY4" s="109">
        <f t="shared" si="9"/>
        <v>4119606.8571272362</v>
      </c>
      <c r="JZ4" s="109">
        <f t="shared" si="9"/>
        <v>4119606.8571272362</v>
      </c>
      <c r="KA4" s="109">
        <f t="shared" si="9"/>
        <v>4119606.8571272362</v>
      </c>
      <c r="KB4" s="109">
        <f t="shared" si="9"/>
        <v>4119606.8571272362</v>
      </c>
      <c r="KC4" s="109">
        <f t="shared" si="9"/>
        <v>4119606.8571272362</v>
      </c>
      <c r="KD4" s="109">
        <f t="shared" si="9"/>
        <v>4119606.8571272362</v>
      </c>
      <c r="KE4" s="109">
        <f t="shared" si="9"/>
        <v>4119606.8571272362</v>
      </c>
      <c r="KF4" s="109">
        <f t="shared" si="9"/>
        <v>4119606.8571272362</v>
      </c>
    </row>
    <row r="5" spans="1:770" s="114" customFormat="1">
      <c r="A5" s="725"/>
      <c r="B5" s="110" t="s">
        <v>228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432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433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1970303.4285636181</v>
      </c>
      <c r="M7" s="118">
        <f t="shared" si="16"/>
        <v>3412165.8285581507</v>
      </c>
      <c r="N7" s="118">
        <f t="shared" si="16"/>
        <v>3412165.8285581507</v>
      </c>
      <c r="O7" s="118">
        <f t="shared" si="16"/>
        <v>3285905.0285581509</v>
      </c>
      <c r="P7" s="118">
        <f t="shared" si="16"/>
        <v>2868289.0285581509</v>
      </c>
      <c r="Q7" s="118">
        <f t="shared" si="16"/>
        <v>2288512.2603034014</v>
      </c>
      <c r="R7" s="118">
        <f t="shared" si="16"/>
        <v>1772121.7056446257</v>
      </c>
      <c r="S7" s="118">
        <f t="shared" si="16"/>
        <v>1772121.7056446257</v>
      </c>
      <c r="T7" s="118">
        <f t="shared" si="16"/>
        <v>799706.46905114921</v>
      </c>
      <c r="U7" s="118">
        <f t="shared" si="16"/>
        <v>657491.95600767108</v>
      </c>
      <c r="V7" s="118">
        <f t="shared" si="16"/>
        <v>657491.95600767108</v>
      </c>
      <c r="W7" s="118">
        <f t="shared" si="16"/>
        <v>657491.95600767108</v>
      </c>
      <c r="X7" s="118">
        <f t="shared" si="16"/>
        <v>657491.95600767108</v>
      </c>
      <c r="Y7" s="118">
        <f t="shared" si="16"/>
        <v>657491.95600767108</v>
      </c>
      <c r="Z7" s="118">
        <f t="shared" si="16"/>
        <v>657491.95600767108</v>
      </c>
      <c r="AA7" s="118">
        <f t="shared" si="16"/>
        <v>657491.95600767108</v>
      </c>
      <c r="AB7" s="118">
        <f t="shared" si="16"/>
        <v>657491.95600767108</v>
      </c>
      <c r="AC7" s="118">
        <f t="shared" si="16"/>
        <v>657491.95600767108</v>
      </c>
      <c r="AD7" s="118">
        <f t="shared" si="16"/>
        <v>657491.95600767108</v>
      </c>
      <c r="AE7" s="118">
        <f t="shared" si="16"/>
        <v>657491.95600767108</v>
      </c>
      <c r="AF7" s="118">
        <f t="shared" si="16"/>
        <v>657491.95600767108</v>
      </c>
      <c r="AG7" s="118">
        <f t="shared" si="16"/>
        <v>657491.95600767108</v>
      </c>
      <c r="AH7" s="118">
        <f t="shared" si="16"/>
        <v>657491.95600767108</v>
      </c>
      <c r="AI7" s="118">
        <f t="shared" si="16"/>
        <v>657491.95600767108</v>
      </c>
      <c r="AJ7" s="118">
        <f t="shared" si="16"/>
        <v>657491.95600767108</v>
      </c>
      <c r="AK7" s="118">
        <f t="shared" si="16"/>
        <v>657491.95600767108</v>
      </c>
      <c r="AL7" s="118">
        <f t="shared" si="16"/>
        <v>657491.95600767108</v>
      </c>
      <c r="AM7" s="118">
        <f t="shared" si="16"/>
        <v>657491.95600767108</v>
      </c>
      <c r="AN7" s="118">
        <f t="shared" si="16"/>
        <v>657491.95600767108</v>
      </c>
      <c r="AO7" s="118">
        <f t="shared" si="16"/>
        <v>657491.95600767108</v>
      </c>
      <c r="AP7" s="118">
        <f t="shared" si="16"/>
        <v>657491.95600767108</v>
      </c>
      <c r="AQ7" s="118">
        <f t="shared" si="16"/>
        <v>657491.95600767108</v>
      </c>
      <c r="AR7" s="118">
        <f t="shared" si="16"/>
        <v>657491.95600767108</v>
      </c>
      <c r="AS7" s="118">
        <f t="shared" si="16"/>
        <v>657491.95600767108</v>
      </c>
      <c r="AT7" s="118">
        <f t="shared" si="16"/>
        <v>657491.95600767108</v>
      </c>
      <c r="AU7" s="118">
        <f t="shared" si="16"/>
        <v>657491.95600767108</v>
      </c>
      <c r="AV7" s="118">
        <f t="shared" si="16"/>
        <v>657491.95600767108</v>
      </c>
      <c r="AW7" s="118">
        <f t="shared" si="16"/>
        <v>657491.95600767108</v>
      </c>
      <c r="AX7" s="118">
        <f t="shared" si="16"/>
        <v>657491.95600767108</v>
      </c>
      <c r="AY7" s="118">
        <f t="shared" si="16"/>
        <v>657491.95600767108</v>
      </c>
      <c r="AZ7" s="118">
        <f t="shared" si="16"/>
        <v>657491.95600767108</v>
      </c>
      <c r="BA7" s="118">
        <f t="shared" si="16"/>
        <v>657491.95600767108</v>
      </c>
      <c r="BB7" s="118">
        <f t="shared" si="16"/>
        <v>657491.95600767108</v>
      </c>
      <c r="BC7" s="118">
        <f t="shared" si="16"/>
        <v>657491.95600767108</v>
      </c>
      <c r="BD7" s="118">
        <f t="shared" si="16"/>
        <v>657491.95600767108</v>
      </c>
      <c r="BE7" s="118">
        <f t="shared" si="16"/>
        <v>657491.95600767108</v>
      </c>
      <c r="BF7" s="118">
        <f t="shared" si="16"/>
        <v>657491.95600767108</v>
      </c>
      <c r="BG7" s="118">
        <f t="shared" si="16"/>
        <v>657491.95600767108</v>
      </c>
      <c r="BH7" s="118">
        <f t="shared" si="16"/>
        <v>657491.95600767108</v>
      </c>
      <c r="BI7" s="118">
        <f t="shared" si="16"/>
        <v>657491.95600767108</v>
      </c>
      <c r="BJ7" s="118">
        <f t="shared" si="16"/>
        <v>657491.95600767108</v>
      </c>
      <c r="BK7" s="118">
        <f t="shared" si="16"/>
        <v>657491.95600767108</v>
      </c>
      <c r="BL7" s="118">
        <f t="shared" si="16"/>
        <v>657491.95600767108</v>
      </c>
      <c r="BM7" s="118">
        <f t="shared" si="16"/>
        <v>657491.95600767108</v>
      </c>
      <c r="BN7" s="118">
        <f t="shared" si="16"/>
        <v>657491.95600767108</v>
      </c>
      <c r="BO7" s="118">
        <f t="shared" si="16"/>
        <v>657491.95600767108</v>
      </c>
      <c r="BP7" s="118">
        <f t="shared" si="16"/>
        <v>657491.95600767108</v>
      </c>
      <c r="BQ7" s="118">
        <f t="shared" si="16"/>
        <v>657491.95600767108</v>
      </c>
      <c r="BR7" s="118">
        <f t="shared" si="16"/>
        <v>657491.95600767108</v>
      </c>
      <c r="BS7" s="118">
        <f t="shared" si="16"/>
        <v>657491.95600767108</v>
      </c>
      <c r="BT7" s="118">
        <f t="shared" si="16"/>
        <v>657491.95600767108</v>
      </c>
      <c r="BU7" s="118">
        <f t="shared" ref="BU7:EF7" si="17">BU4-BU6</f>
        <v>657491.95600767108</v>
      </c>
      <c r="BV7" s="118">
        <f t="shared" si="17"/>
        <v>657491.95600767108</v>
      </c>
      <c r="BW7" s="118">
        <f t="shared" si="17"/>
        <v>657491.95600767108</v>
      </c>
      <c r="BX7" s="118">
        <f t="shared" si="17"/>
        <v>657491.95600767108</v>
      </c>
      <c r="BY7" s="118">
        <f t="shared" si="17"/>
        <v>657491.95600767108</v>
      </c>
      <c r="BZ7" s="118">
        <f t="shared" si="17"/>
        <v>657491.95600767108</v>
      </c>
      <c r="CA7" s="118">
        <f t="shared" si="17"/>
        <v>657491.95600767108</v>
      </c>
      <c r="CB7" s="118">
        <f t="shared" si="17"/>
        <v>657491.95600767108</v>
      </c>
      <c r="CC7" s="118">
        <f t="shared" si="17"/>
        <v>657491.95600767108</v>
      </c>
      <c r="CD7" s="118">
        <f t="shared" si="17"/>
        <v>657491.95600767108</v>
      </c>
      <c r="CE7" s="118">
        <f t="shared" si="17"/>
        <v>657491.95600767108</v>
      </c>
      <c r="CF7" s="118">
        <f t="shared" si="17"/>
        <v>657491.95600767108</v>
      </c>
      <c r="CG7" s="118">
        <f t="shared" si="17"/>
        <v>657491.95600767108</v>
      </c>
      <c r="CH7" s="118">
        <f t="shared" si="17"/>
        <v>657491.95600767108</v>
      </c>
      <c r="CI7" s="118">
        <f t="shared" si="17"/>
        <v>657491.95600767108</v>
      </c>
      <c r="CJ7" s="118">
        <f t="shared" si="17"/>
        <v>657491.95600767108</v>
      </c>
      <c r="CK7" s="118">
        <f t="shared" si="17"/>
        <v>657491.95600767108</v>
      </c>
      <c r="CL7" s="118">
        <f t="shared" si="17"/>
        <v>657491.95600767108</v>
      </c>
      <c r="CM7" s="118">
        <f t="shared" si="17"/>
        <v>657491.95600767108</v>
      </c>
      <c r="CN7" s="118">
        <f t="shared" si="17"/>
        <v>657491.95600767108</v>
      </c>
      <c r="CO7" s="118">
        <f t="shared" si="17"/>
        <v>657491.95600767108</v>
      </c>
      <c r="CP7" s="118">
        <f t="shared" si="17"/>
        <v>657491.95600767108</v>
      </c>
      <c r="CQ7" s="118">
        <f t="shared" si="17"/>
        <v>657491.95600767108</v>
      </c>
      <c r="CR7" s="118">
        <f t="shared" si="17"/>
        <v>657491.95600767108</v>
      </c>
      <c r="CS7" s="118">
        <f t="shared" si="17"/>
        <v>657491.95600767108</v>
      </c>
      <c r="CT7" s="118">
        <f t="shared" si="17"/>
        <v>657491.95600767108</v>
      </c>
      <c r="CU7" s="118">
        <f t="shared" si="17"/>
        <v>657491.95600767108</v>
      </c>
      <c r="CV7" s="118">
        <f t="shared" si="17"/>
        <v>657491.95600767108</v>
      </c>
      <c r="CW7" s="118">
        <f t="shared" si="17"/>
        <v>657491.95600767108</v>
      </c>
      <c r="CX7" s="118">
        <f t="shared" si="17"/>
        <v>657491.95600767108</v>
      </c>
      <c r="CY7" s="118">
        <f t="shared" si="17"/>
        <v>657491.95600767108</v>
      </c>
      <c r="CZ7" s="118">
        <f t="shared" si="17"/>
        <v>657491.95600767108</v>
      </c>
      <c r="DA7" s="118">
        <f t="shared" si="17"/>
        <v>657491.95600767108</v>
      </c>
      <c r="DB7" s="118">
        <f t="shared" si="17"/>
        <v>657491.95600767108</v>
      </c>
      <c r="DC7" s="118">
        <f t="shared" si="17"/>
        <v>657491.95600767108</v>
      </c>
      <c r="DD7" s="118">
        <f t="shared" si="17"/>
        <v>657491.95600767108</v>
      </c>
      <c r="DE7" s="118">
        <f t="shared" si="17"/>
        <v>657491.95600767108</v>
      </c>
      <c r="DF7" s="118">
        <f t="shared" si="17"/>
        <v>657491.95600767108</v>
      </c>
      <c r="DG7" s="118">
        <f t="shared" si="17"/>
        <v>657491.95600767108</v>
      </c>
      <c r="DH7" s="118">
        <f t="shared" si="17"/>
        <v>657491.95600767108</v>
      </c>
      <c r="DI7" s="118">
        <f t="shared" si="17"/>
        <v>657491.95600767108</v>
      </c>
      <c r="DJ7" s="118">
        <f t="shared" si="17"/>
        <v>657491.95600767108</v>
      </c>
      <c r="DK7" s="118">
        <f t="shared" si="17"/>
        <v>657491.95600767108</v>
      </c>
      <c r="DL7" s="118">
        <f t="shared" si="17"/>
        <v>657491.95600767108</v>
      </c>
      <c r="DM7" s="118">
        <f t="shared" si="17"/>
        <v>657491.95600767108</v>
      </c>
      <c r="DN7" s="118">
        <f t="shared" si="17"/>
        <v>657491.95600767108</v>
      </c>
      <c r="DO7" s="118">
        <f t="shared" si="17"/>
        <v>657491.95600767108</v>
      </c>
      <c r="DP7" s="118">
        <f t="shared" si="17"/>
        <v>657491.95600767108</v>
      </c>
      <c r="DQ7" s="118">
        <f t="shared" si="17"/>
        <v>657491.95600767108</v>
      </c>
      <c r="DR7" s="118">
        <f t="shared" si="17"/>
        <v>657491.95600767108</v>
      </c>
      <c r="DS7" s="118">
        <f t="shared" si="17"/>
        <v>657491.95600767108</v>
      </c>
      <c r="DT7" s="118">
        <f t="shared" si="17"/>
        <v>657491.95600767108</v>
      </c>
      <c r="DU7" s="118">
        <f t="shared" si="17"/>
        <v>657491.95600767108</v>
      </c>
      <c r="DV7" s="118">
        <f t="shared" si="17"/>
        <v>657491.95600767108</v>
      </c>
      <c r="DW7" s="118">
        <f t="shared" si="17"/>
        <v>657491.95600767108</v>
      </c>
      <c r="DX7" s="118">
        <f t="shared" si="17"/>
        <v>657491.95600767108</v>
      </c>
      <c r="DY7" s="118">
        <f t="shared" si="17"/>
        <v>657491.95600767108</v>
      </c>
      <c r="DZ7" s="118">
        <f t="shared" si="17"/>
        <v>657491.95600767108</v>
      </c>
      <c r="EA7" s="118">
        <f t="shared" si="17"/>
        <v>657491.95600767108</v>
      </c>
      <c r="EB7" s="118">
        <f t="shared" si="17"/>
        <v>657491.95600767108</v>
      </c>
      <c r="EC7" s="118">
        <f t="shared" si="17"/>
        <v>657491.95600767108</v>
      </c>
      <c r="ED7" s="118">
        <f t="shared" si="17"/>
        <v>657491.95600767108</v>
      </c>
      <c r="EE7" s="118">
        <f t="shared" si="17"/>
        <v>657491.95600767108</v>
      </c>
      <c r="EF7" s="118">
        <f t="shared" si="17"/>
        <v>657491.95600767108</v>
      </c>
      <c r="EG7" s="118">
        <f t="shared" ref="EG7:GR7" si="18">EG4-EG6</f>
        <v>657491.95600767108</v>
      </c>
      <c r="EH7" s="118">
        <f t="shared" si="18"/>
        <v>657491.95600767108</v>
      </c>
      <c r="EI7" s="118">
        <f t="shared" si="18"/>
        <v>657491.95600767108</v>
      </c>
      <c r="EJ7" s="118">
        <f t="shared" si="18"/>
        <v>657491.95600767108</v>
      </c>
      <c r="EK7" s="118">
        <f t="shared" si="18"/>
        <v>657491.95600767108</v>
      </c>
      <c r="EL7" s="118">
        <f t="shared" si="18"/>
        <v>657491.95600767108</v>
      </c>
      <c r="EM7" s="118">
        <f t="shared" si="18"/>
        <v>657491.95600767108</v>
      </c>
      <c r="EN7" s="118">
        <f t="shared" si="18"/>
        <v>657491.95600767108</v>
      </c>
      <c r="EO7" s="118">
        <f t="shared" si="18"/>
        <v>657491.95600767108</v>
      </c>
      <c r="EP7" s="118">
        <f t="shared" si="18"/>
        <v>657491.95600767108</v>
      </c>
      <c r="EQ7" s="118">
        <f t="shared" si="18"/>
        <v>657491.95600767108</v>
      </c>
      <c r="ER7" s="118">
        <f t="shared" si="18"/>
        <v>657491.95600767108</v>
      </c>
      <c r="ES7" s="118">
        <f t="shared" si="18"/>
        <v>657491.95600767108</v>
      </c>
      <c r="ET7" s="118">
        <f t="shared" si="18"/>
        <v>657491.95600767108</v>
      </c>
      <c r="EU7" s="118">
        <f t="shared" si="18"/>
        <v>657491.95600767108</v>
      </c>
      <c r="EV7" s="118">
        <f t="shared" si="18"/>
        <v>657491.95600767108</v>
      </c>
      <c r="EW7" s="118">
        <f t="shared" si="18"/>
        <v>657491.95600767108</v>
      </c>
      <c r="EX7" s="118">
        <f t="shared" si="18"/>
        <v>657491.95600767108</v>
      </c>
      <c r="EY7" s="118">
        <f t="shared" si="18"/>
        <v>657491.95600767108</v>
      </c>
      <c r="EZ7" s="118">
        <f t="shared" si="18"/>
        <v>657491.95600767108</v>
      </c>
      <c r="FA7" s="118">
        <f t="shared" si="18"/>
        <v>657491.95600767108</v>
      </c>
      <c r="FB7" s="118">
        <f t="shared" si="18"/>
        <v>657491.95600767108</v>
      </c>
      <c r="FC7" s="118">
        <f t="shared" si="18"/>
        <v>657491.95600767108</v>
      </c>
      <c r="FD7" s="118">
        <f t="shared" si="18"/>
        <v>657491.95600767108</v>
      </c>
      <c r="FE7" s="118">
        <f t="shared" si="18"/>
        <v>657491.95600767108</v>
      </c>
      <c r="FF7" s="118">
        <f t="shared" si="18"/>
        <v>657491.95600767108</v>
      </c>
      <c r="FG7" s="118">
        <f t="shared" si="18"/>
        <v>657491.95600767108</v>
      </c>
      <c r="FH7" s="118">
        <f t="shared" si="18"/>
        <v>657491.95600767108</v>
      </c>
      <c r="FI7" s="118">
        <f t="shared" si="18"/>
        <v>657491.95600767108</v>
      </c>
      <c r="FJ7" s="118">
        <f t="shared" si="18"/>
        <v>657491.95600767108</v>
      </c>
      <c r="FK7" s="118">
        <f t="shared" si="18"/>
        <v>657491.95600767108</v>
      </c>
      <c r="FL7" s="118">
        <f t="shared" si="18"/>
        <v>657491.95600767108</v>
      </c>
      <c r="FM7" s="118">
        <f t="shared" si="18"/>
        <v>657491.95600767108</v>
      </c>
      <c r="FN7" s="118">
        <f t="shared" si="18"/>
        <v>657491.95600767108</v>
      </c>
      <c r="FO7" s="118">
        <f t="shared" si="18"/>
        <v>657491.95600767108</v>
      </c>
      <c r="FP7" s="118">
        <f t="shared" si="18"/>
        <v>657491.95600767108</v>
      </c>
      <c r="FQ7" s="118">
        <f t="shared" si="18"/>
        <v>657491.95600767108</v>
      </c>
      <c r="FR7" s="118">
        <f t="shared" si="18"/>
        <v>657491.95600767108</v>
      </c>
      <c r="FS7" s="118">
        <f t="shared" si="18"/>
        <v>657491.95600767108</v>
      </c>
      <c r="FT7" s="118">
        <f t="shared" si="18"/>
        <v>657491.95600767108</v>
      </c>
      <c r="FU7" s="118">
        <f t="shared" si="18"/>
        <v>657491.95600767108</v>
      </c>
      <c r="FV7" s="118">
        <f t="shared" si="18"/>
        <v>657491.95600767108</v>
      </c>
      <c r="FW7" s="118">
        <f t="shared" si="18"/>
        <v>657491.95600767108</v>
      </c>
      <c r="FX7" s="118">
        <f t="shared" si="18"/>
        <v>657491.95600767108</v>
      </c>
      <c r="FY7" s="118">
        <f t="shared" si="18"/>
        <v>657491.95600767108</v>
      </c>
      <c r="FZ7" s="118">
        <f t="shared" si="18"/>
        <v>657491.95600767108</v>
      </c>
      <c r="GA7" s="118">
        <f t="shared" si="18"/>
        <v>657491.95600767108</v>
      </c>
      <c r="GB7" s="118">
        <f t="shared" si="18"/>
        <v>657491.95600767108</v>
      </c>
      <c r="GC7" s="118">
        <f t="shared" si="18"/>
        <v>657491.95600767108</v>
      </c>
      <c r="GD7" s="118">
        <f t="shared" si="18"/>
        <v>657491.95600767108</v>
      </c>
      <c r="GE7" s="118">
        <f t="shared" si="18"/>
        <v>657491.95600767108</v>
      </c>
      <c r="GF7" s="118">
        <f t="shared" si="18"/>
        <v>657491.95600767108</v>
      </c>
      <c r="GG7" s="118">
        <f t="shared" si="18"/>
        <v>657491.95600767108</v>
      </c>
      <c r="GH7" s="118">
        <f t="shared" si="18"/>
        <v>657491.95600767108</v>
      </c>
      <c r="GI7" s="118">
        <f t="shared" si="18"/>
        <v>657491.95600767108</v>
      </c>
      <c r="GJ7" s="118">
        <f t="shared" si="18"/>
        <v>657491.95600767108</v>
      </c>
      <c r="GK7" s="118">
        <f t="shared" si="18"/>
        <v>657491.95600767108</v>
      </c>
      <c r="GL7" s="118">
        <f t="shared" si="18"/>
        <v>657491.95600767108</v>
      </c>
      <c r="GM7" s="118">
        <f t="shared" si="18"/>
        <v>657491.95600767108</v>
      </c>
      <c r="GN7" s="118">
        <f t="shared" si="18"/>
        <v>657491.95600767108</v>
      </c>
      <c r="GO7" s="118">
        <f t="shared" si="18"/>
        <v>657491.95600767108</v>
      </c>
      <c r="GP7" s="118">
        <f t="shared" si="18"/>
        <v>657491.95600767108</v>
      </c>
      <c r="GQ7" s="118">
        <f t="shared" si="18"/>
        <v>657491.95600767108</v>
      </c>
      <c r="GR7" s="118">
        <f t="shared" si="18"/>
        <v>657491.95600767108</v>
      </c>
      <c r="GS7" s="118">
        <f t="shared" ref="GS7:JD7" si="19">GS4-GS6</f>
        <v>657491.95600767108</v>
      </c>
      <c r="GT7" s="118">
        <f t="shared" si="19"/>
        <v>657491.95600767108</v>
      </c>
      <c r="GU7" s="118">
        <f t="shared" si="19"/>
        <v>657491.95600767108</v>
      </c>
      <c r="GV7" s="118">
        <f t="shared" si="19"/>
        <v>657491.95600767108</v>
      </c>
      <c r="GW7" s="118">
        <f t="shared" si="19"/>
        <v>657491.95600767108</v>
      </c>
      <c r="GX7" s="118">
        <f t="shared" si="19"/>
        <v>657491.95600767108</v>
      </c>
      <c r="GY7" s="118">
        <f t="shared" si="19"/>
        <v>657491.95600767108</v>
      </c>
      <c r="GZ7" s="118">
        <f t="shared" si="19"/>
        <v>657491.95600767108</v>
      </c>
      <c r="HA7" s="118">
        <f t="shared" si="19"/>
        <v>657491.95600767108</v>
      </c>
      <c r="HB7" s="118">
        <f t="shared" si="19"/>
        <v>657491.95600767108</v>
      </c>
      <c r="HC7" s="118">
        <f t="shared" si="19"/>
        <v>657491.95600767108</v>
      </c>
      <c r="HD7" s="118">
        <f t="shared" si="19"/>
        <v>657491.95600767108</v>
      </c>
      <c r="HE7" s="118">
        <f t="shared" si="19"/>
        <v>657491.95600767108</v>
      </c>
      <c r="HF7" s="118">
        <f t="shared" si="19"/>
        <v>657491.95600767108</v>
      </c>
      <c r="HG7" s="118">
        <f t="shared" si="19"/>
        <v>657491.95600767108</v>
      </c>
      <c r="HH7" s="118">
        <f t="shared" si="19"/>
        <v>657491.95600767108</v>
      </c>
      <c r="HI7" s="118">
        <f t="shared" si="19"/>
        <v>657491.95600767108</v>
      </c>
      <c r="HJ7" s="118">
        <f t="shared" si="19"/>
        <v>657491.95600767108</v>
      </c>
      <c r="HK7" s="118">
        <f t="shared" si="19"/>
        <v>657491.95600767108</v>
      </c>
      <c r="HL7" s="118">
        <f t="shared" si="19"/>
        <v>657491.95600767108</v>
      </c>
      <c r="HM7" s="118">
        <f t="shared" si="19"/>
        <v>657491.95600767108</v>
      </c>
      <c r="HN7" s="118">
        <f t="shared" si="19"/>
        <v>657491.95600767108</v>
      </c>
      <c r="HO7" s="118">
        <f t="shared" si="19"/>
        <v>657491.95600767108</v>
      </c>
      <c r="HP7" s="118">
        <f t="shared" si="19"/>
        <v>657491.95600767108</v>
      </c>
      <c r="HQ7" s="118">
        <f t="shared" si="19"/>
        <v>657491.95600767108</v>
      </c>
      <c r="HR7" s="118">
        <f t="shared" si="19"/>
        <v>657491.95600767108</v>
      </c>
      <c r="HS7" s="118">
        <f t="shared" si="19"/>
        <v>657491.95600767108</v>
      </c>
      <c r="HT7" s="118">
        <f t="shared" si="19"/>
        <v>657491.95600767108</v>
      </c>
      <c r="HU7" s="118">
        <f t="shared" si="19"/>
        <v>657491.95600767108</v>
      </c>
      <c r="HV7" s="118">
        <f t="shared" si="19"/>
        <v>657491.95600767108</v>
      </c>
      <c r="HW7" s="118">
        <f t="shared" si="19"/>
        <v>657491.95600767108</v>
      </c>
      <c r="HX7" s="118">
        <f t="shared" si="19"/>
        <v>657491.95600767108</v>
      </c>
      <c r="HY7" s="118">
        <f t="shared" si="19"/>
        <v>657491.95600767108</v>
      </c>
      <c r="HZ7" s="118">
        <f t="shared" si="19"/>
        <v>657491.95600767108</v>
      </c>
      <c r="IA7" s="118">
        <f t="shared" si="19"/>
        <v>657491.95600767108</v>
      </c>
      <c r="IB7" s="118">
        <f t="shared" si="19"/>
        <v>657491.95600767108</v>
      </c>
      <c r="IC7" s="118">
        <f t="shared" si="19"/>
        <v>657491.95600767108</v>
      </c>
      <c r="ID7" s="118">
        <f t="shared" si="19"/>
        <v>657491.95600767108</v>
      </c>
      <c r="IE7" s="118">
        <f t="shared" si="19"/>
        <v>657491.95600767108</v>
      </c>
      <c r="IF7" s="118">
        <f t="shared" si="19"/>
        <v>657491.95600767108</v>
      </c>
      <c r="IG7" s="118">
        <f t="shared" si="19"/>
        <v>657491.95600767108</v>
      </c>
      <c r="IH7" s="118">
        <f t="shared" si="19"/>
        <v>657491.95600767108</v>
      </c>
      <c r="II7" s="118">
        <f t="shared" si="19"/>
        <v>657491.95600767108</v>
      </c>
      <c r="IJ7" s="118">
        <f t="shared" si="19"/>
        <v>657491.95600767108</v>
      </c>
      <c r="IK7" s="118">
        <f t="shared" si="19"/>
        <v>657491.95600767108</v>
      </c>
      <c r="IL7" s="118">
        <f t="shared" si="19"/>
        <v>657491.95600767108</v>
      </c>
      <c r="IM7" s="118">
        <f t="shared" si="19"/>
        <v>657491.95600767108</v>
      </c>
      <c r="IN7" s="118">
        <f t="shared" si="19"/>
        <v>657491.95600767108</v>
      </c>
      <c r="IO7" s="118">
        <f t="shared" si="19"/>
        <v>657491.95600767108</v>
      </c>
      <c r="IP7" s="118">
        <f t="shared" si="19"/>
        <v>657491.95600767108</v>
      </c>
      <c r="IQ7" s="118">
        <f t="shared" si="19"/>
        <v>657491.95600767108</v>
      </c>
      <c r="IR7" s="118">
        <f t="shared" si="19"/>
        <v>657491.95600767108</v>
      </c>
      <c r="IS7" s="118">
        <f t="shared" si="19"/>
        <v>657491.95600767108</v>
      </c>
      <c r="IT7" s="118">
        <f t="shared" si="19"/>
        <v>657491.95600767108</v>
      </c>
      <c r="IU7" s="118">
        <f t="shared" si="19"/>
        <v>657491.95600767108</v>
      </c>
      <c r="IV7" s="118">
        <f t="shared" si="19"/>
        <v>657491.95600767108</v>
      </c>
      <c r="IW7" s="118">
        <f t="shared" si="19"/>
        <v>657491.95600767108</v>
      </c>
      <c r="IX7" s="118">
        <f t="shared" si="19"/>
        <v>657491.95600767108</v>
      </c>
      <c r="IY7" s="118">
        <f t="shared" si="19"/>
        <v>657491.95600767108</v>
      </c>
      <c r="IZ7" s="118">
        <f t="shared" si="19"/>
        <v>657491.95600767108</v>
      </c>
      <c r="JA7" s="118">
        <f t="shared" si="19"/>
        <v>657491.95600767108</v>
      </c>
      <c r="JB7" s="118">
        <f t="shared" si="19"/>
        <v>657491.95600767108</v>
      </c>
      <c r="JC7" s="118">
        <f t="shared" si="19"/>
        <v>657491.95600767108</v>
      </c>
      <c r="JD7" s="118">
        <f t="shared" si="19"/>
        <v>657491.95600767108</v>
      </c>
      <c r="JE7" s="118">
        <f t="shared" ref="JE7:KF7" si="20">JE4-JE6</f>
        <v>657491.95600767108</v>
      </c>
      <c r="JF7" s="118">
        <f t="shared" si="20"/>
        <v>657491.95600767108</v>
      </c>
      <c r="JG7" s="118">
        <f t="shared" si="20"/>
        <v>657491.95600767108</v>
      </c>
      <c r="JH7" s="118">
        <f t="shared" si="20"/>
        <v>657491.95600767108</v>
      </c>
      <c r="JI7" s="118">
        <f t="shared" si="20"/>
        <v>657491.95600767108</v>
      </c>
      <c r="JJ7" s="118">
        <f t="shared" si="20"/>
        <v>657491.95600767108</v>
      </c>
      <c r="JK7" s="118">
        <f t="shared" si="20"/>
        <v>657491.95600767108</v>
      </c>
      <c r="JL7" s="118">
        <f t="shared" si="20"/>
        <v>657491.95600767108</v>
      </c>
      <c r="JM7" s="118">
        <f t="shared" si="20"/>
        <v>657491.95600767108</v>
      </c>
      <c r="JN7" s="118">
        <f t="shared" si="20"/>
        <v>657491.95600767108</v>
      </c>
      <c r="JO7" s="118">
        <f t="shared" si="20"/>
        <v>657491.95600767108</v>
      </c>
      <c r="JP7" s="118">
        <f t="shared" si="20"/>
        <v>657491.95600767108</v>
      </c>
      <c r="JQ7" s="118">
        <f t="shared" si="20"/>
        <v>657491.95600767108</v>
      </c>
      <c r="JR7" s="118">
        <f t="shared" si="20"/>
        <v>657491.95600767108</v>
      </c>
      <c r="JS7" s="118">
        <f t="shared" si="20"/>
        <v>657491.95600767108</v>
      </c>
      <c r="JT7" s="118">
        <f t="shared" si="20"/>
        <v>657491.95600767108</v>
      </c>
      <c r="JU7" s="118">
        <f t="shared" si="20"/>
        <v>657491.95600767108</v>
      </c>
      <c r="JV7" s="118">
        <f t="shared" si="20"/>
        <v>657491.95600767108</v>
      </c>
      <c r="JW7" s="118">
        <f t="shared" si="20"/>
        <v>657491.95600767108</v>
      </c>
      <c r="JX7" s="118">
        <f t="shared" si="20"/>
        <v>657491.95600767108</v>
      </c>
      <c r="JY7" s="118">
        <f t="shared" si="20"/>
        <v>657491.95600767108</v>
      </c>
      <c r="JZ7" s="118">
        <f t="shared" si="20"/>
        <v>657491.95600767108</v>
      </c>
      <c r="KA7" s="118">
        <f t="shared" si="20"/>
        <v>657491.95600767108</v>
      </c>
      <c r="KB7" s="118">
        <f t="shared" si="20"/>
        <v>657491.95600767108</v>
      </c>
      <c r="KC7" s="118">
        <f t="shared" si="20"/>
        <v>657491.95600767108</v>
      </c>
      <c r="KD7" s="118">
        <f t="shared" si="20"/>
        <v>657491.95600767108</v>
      </c>
      <c r="KE7" s="118">
        <f t="shared" si="20"/>
        <v>657491.95600767108</v>
      </c>
      <c r="KF7" s="118">
        <f t="shared" si="20"/>
        <v>657491.95600767108</v>
      </c>
    </row>
    <row r="8" spans="1:770" s="102" customFormat="1">
      <c r="A8" s="724" t="s">
        <v>224</v>
      </c>
      <c r="B8" s="103"/>
      <c r="C8" s="104" t="s">
        <v>290</v>
      </c>
      <c r="D8" s="104" t="s">
        <v>290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434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435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2059803.4285636181</v>
      </c>
      <c r="L10" s="122">
        <f t="shared" si="21"/>
        <v>2059803.4285636181</v>
      </c>
      <c r="M10" s="122">
        <f t="shared" si="21"/>
        <v>2059803.4285636181</v>
      </c>
      <c r="N10" s="122">
        <f t="shared" si="21"/>
        <v>2059803.4285636181</v>
      </c>
      <c r="O10" s="122">
        <f t="shared" si="21"/>
        <v>2059803.4285636181</v>
      </c>
      <c r="P10" s="122">
        <f t="shared" si="21"/>
        <v>2883724.7999890652</v>
      </c>
      <c r="Q10" s="122">
        <f t="shared" si="21"/>
        <v>3501665.8285581507</v>
      </c>
      <c r="R10" s="122">
        <f t="shared" si="21"/>
        <v>3501665.8285581507</v>
      </c>
      <c r="S10" s="122">
        <f t="shared" si="21"/>
        <v>3501665.8285581507</v>
      </c>
      <c r="T10" s="122">
        <f t="shared" si="21"/>
        <v>3501665.8285581507</v>
      </c>
      <c r="U10" s="122">
        <f t="shared" si="21"/>
        <v>3707646.1714145127</v>
      </c>
      <c r="V10" s="122">
        <f t="shared" si="21"/>
        <v>3810636.3428426934</v>
      </c>
      <c r="W10" s="122">
        <f t="shared" si="21"/>
        <v>3810636.3428426934</v>
      </c>
      <c r="X10" s="122">
        <f t="shared" si="21"/>
        <v>3810636.3428426934</v>
      </c>
      <c r="Y10" s="122">
        <f t="shared" si="21"/>
        <v>4119606.8571272362</v>
      </c>
      <c r="Z10" s="122">
        <f t="shared" si="21"/>
        <v>4119606.8571272362</v>
      </c>
      <c r="AA10" s="122">
        <f t="shared" si="21"/>
        <v>4119606.8571272362</v>
      </c>
      <c r="AB10" s="122">
        <f t="shared" si="21"/>
        <v>4119606.8571272362</v>
      </c>
      <c r="AC10" s="122">
        <f t="shared" si="21"/>
        <v>4119606.8571272362</v>
      </c>
      <c r="AD10" s="122">
        <f>AC10+AD9</f>
        <v>4119606.8571272362</v>
      </c>
      <c r="AE10" s="122">
        <f t="shared" si="21"/>
        <v>4119606.8571272362</v>
      </c>
      <c r="AF10" s="122">
        <f t="shared" si="21"/>
        <v>4119606.8571272362</v>
      </c>
      <c r="AG10" s="122">
        <f t="shared" si="21"/>
        <v>4119606.8571272362</v>
      </c>
      <c r="AH10" s="122">
        <f t="shared" si="21"/>
        <v>4119606.8571272362</v>
      </c>
      <c r="AI10" s="122">
        <f t="shared" si="21"/>
        <v>4119606.8571272362</v>
      </c>
      <c r="AJ10" s="122">
        <f t="shared" si="21"/>
        <v>4119606.8571272362</v>
      </c>
      <c r="AK10" s="122">
        <f t="shared" si="21"/>
        <v>4119606.8571272362</v>
      </c>
      <c r="AL10" s="122">
        <f t="shared" si="21"/>
        <v>4119606.8571272362</v>
      </c>
      <c r="AM10" s="122">
        <f t="shared" si="21"/>
        <v>4119606.8571272362</v>
      </c>
      <c r="AN10" s="122">
        <f t="shared" si="21"/>
        <v>4119606.8571272362</v>
      </c>
      <c r="AO10" s="122">
        <f t="shared" si="21"/>
        <v>4119606.8571272362</v>
      </c>
      <c r="AP10" s="122">
        <f t="shared" si="21"/>
        <v>4119606.8571272362</v>
      </c>
      <c r="AQ10" s="122">
        <f t="shared" si="21"/>
        <v>4119606.8571272362</v>
      </c>
      <c r="AR10" s="122">
        <f t="shared" si="21"/>
        <v>4119606.8571272362</v>
      </c>
      <c r="AS10" s="122">
        <f t="shared" si="21"/>
        <v>4119606.8571272362</v>
      </c>
      <c r="AT10" s="122">
        <f t="shared" si="21"/>
        <v>4119606.8571272362</v>
      </c>
      <c r="AU10" s="122">
        <f t="shared" si="21"/>
        <v>4119606.8571272362</v>
      </c>
      <c r="AV10" s="122">
        <f t="shared" si="21"/>
        <v>4119606.8571272362</v>
      </c>
      <c r="AW10" s="122">
        <f t="shared" si="21"/>
        <v>4119606.8571272362</v>
      </c>
      <c r="AX10" s="122">
        <f t="shared" si="21"/>
        <v>4119606.8571272362</v>
      </c>
      <c r="AY10" s="122">
        <f t="shared" si="21"/>
        <v>4119606.8571272362</v>
      </c>
      <c r="AZ10" s="122">
        <f t="shared" si="21"/>
        <v>4119606.8571272362</v>
      </c>
      <c r="BA10" s="122">
        <f t="shared" si="21"/>
        <v>4119606.8571272362</v>
      </c>
      <c r="BB10" s="122">
        <f t="shared" si="21"/>
        <v>4119606.8571272362</v>
      </c>
      <c r="BC10" s="122">
        <f t="shared" si="21"/>
        <v>4119606.8571272362</v>
      </c>
      <c r="BD10" s="122">
        <f t="shared" si="21"/>
        <v>4119606.8571272362</v>
      </c>
      <c r="BE10" s="122">
        <f t="shared" si="21"/>
        <v>4119606.8571272362</v>
      </c>
      <c r="BF10" s="122">
        <f t="shared" si="21"/>
        <v>4119606.8571272362</v>
      </c>
      <c r="BG10" s="122">
        <f t="shared" si="21"/>
        <v>4119606.8571272362</v>
      </c>
      <c r="BH10" s="122">
        <f t="shared" si="21"/>
        <v>4119606.8571272362</v>
      </c>
      <c r="BI10" s="122">
        <f t="shared" si="21"/>
        <v>4119606.8571272362</v>
      </c>
      <c r="BJ10" s="122">
        <f t="shared" si="21"/>
        <v>4119606.8571272362</v>
      </c>
      <c r="BK10" s="122">
        <f t="shared" si="21"/>
        <v>4119606.8571272362</v>
      </c>
      <c r="BL10" s="122">
        <f t="shared" si="21"/>
        <v>4119606.8571272362</v>
      </c>
      <c r="BM10" s="122">
        <f t="shared" si="21"/>
        <v>4119606.8571272362</v>
      </c>
      <c r="BN10" s="122">
        <f t="shared" si="21"/>
        <v>4119606.8571272362</v>
      </c>
      <c r="BO10" s="122">
        <f t="shared" si="21"/>
        <v>4119606.8571272362</v>
      </c>
      <c r="BP10" s="122">
        <f t="shared" si="21"/>
        <v>4119606.8571272362</v>
      </c>
      <c r="BQ10" s="122">
        <f t="shared" si="21"/>
        <v>4119606.8571272362</v>
      </c>
      <c r="BR10" s="122">
        <f t="shared" si="21"/>
        <v>4119606.8571272362</v>
      </c>
      <c r="BS10" s="122">
        <f t="shared" si="21"/>
        <v>4119606.8571272362</v>
      </c>
      <c r="BT10" s="122">
        <f t="shared" si="21"/>
        <v>4119606.8571272362</v>
      </c>
      <c r="BU10" s="122">
        <f t="shared" ref="BU10:EF10" si="22">BT10+BU9</f>
        <v>4119606.8571272362</v>
      </c>
      <c r="BV10" s="122">
        <f t="shared" si="22"/>
        <v>4119606.8571272362</v>
      </c>
      <c r="BW10" s="122">
        <f t="shared" si="22"/>
        <v>4119606.8571272362</v>
      </c>
      <c r="BX10" s="122">
        <f t="shared" si="22"/>
        <v>4119606.8571272362</v>
      </c>
      <c r="BY10" s="122">
        <f t="shared" si="22"/>
        <v>4119606.8571272362</v>
      </c>
      <c r="BZ10" s="122">
        <f t="shared" si="22"/>
        <v>4119606.8571272362</v>
      </c>
      <c r="CA10" s="122">
        <f t="shared" si="22"/>
        <v>4119606.8571272362</v>
      </c>
      <c r="CB10" s="122">
        <f t="shared" si="22"/>
        <v>4119606.8571272362</v>
      </c>
      <c r="CC10" s="122">
        <f t="shared" si="22"/>
        <v>4119606.8571272362</v>
      </c>
      <c r="CD10" s="122">
        <f t="shared" si="22"/>
        <v>4119606.8571272362</v>
      </c>
      <c r="CE10" s="122">
        <f t="shared" si="22"/>
        <v>4119606.8571272362</v>
      </c>
      <c r="CF10" s="122">
        <f t="shared" si="22"/>
        <v>4119606.8571272362</v>
      </c>
      <c r="CG10" s="122">
        <f t="shared" si="22"/>
        <v>4119606.8571272362</v>
      </c>
      <c r="CH10" s="122">
        <f t="shared" si="22"/>
        <v>4119606.8571272362</v>
      </c>
      <c r="CI10" s="122">
        <f t="shared" si="22"/>
        <v>4119606.8571272362</v>
      </c>
      <c r="CJ10" s="122">
        <f t="shared" si="22"/>
        <v>4119606.8571272362</v>
      </c>
      <c r="CK10" s="122">
        <f t="shared" si="22"/>
        <v>4119606.8571272362</v>
      </c>
      <c r="CL10" s="122">
        <f t="shared" si="22"/>
        <v>4119606.8571272362</v>
      </c>
      <c r="CM10" s="122">
        <f t="shared" si="22"/>
        <v>4119606.8571272362</v>
      </c>
      <c r="CN10" s="122">
        <f t="shared" si="22"/>
        <v>4119606.8571272362</v>
      </c>
      <c r="CO10" s="122">
        <f t="shared" si="22"/>
        <v>4119606.8571272362</v>
      </c>
      <c r="CP10" s="122">
        <f t="shared" si="22"/>
        <v>4119606.8571272362</v>
      </c>
      <c r="CQ10" s="122">
        <f t="shared" si="22"/>
        <v>4119606.8571272362</v>
      </c>
      <c r="CR10" s="122">
        <f t="shared" si="22"/>
        <v>4119606.8571272362</v>
      </c>
      <c r="CS10" s="122">
        <f t="shared" si="22"/>
        <v>4119606.8571272362</v>
      </c>
      <c r="CT10" s="122">
        <f t="shared" si="22"/>
        <v>4119606.8571272362</v>
      </c>
      <c r="CU10" s="122">
        <f t="shared" si="22"/>
        <v>4119606.8571272362</v>
      </c>
      <c r="CV10" s="122">
        <f t="shared" si="22"/>
        <v>4119606.8571272362</v>
      </c>
      <c r="CW10" s="122">
        <f t="shared" si="22"/>
        <v>4119606.8571272362</v>
      </c>
      <c r="CX10" s="122">
        <f t="shared" si="22"/>
        <v>4119606.8571272362</v>
      </c>
      <c r="CY10" s="122">
        <f t="shared" si="22"/>
        <v>4119606.8571272362</v>
      </c>
      <c r="CZ10" s="122">
        <f t="shared" si="22"/>
        <v>4119606.8571272362</v>
      </c>
      <c r="DA10" s="122">
        <f t="shared" si="22"/>
        <v>4119606.8571272362</v>
      </c>
      <c r="DB10" s="122">
        <f t="shared" si="22"/>
        <v>4119606.8571272362</v>
      </c>
      <c r="DC10" s="122">
        <f t="shared" si="22"/>
        <v>4119606.8571272362</v>
      </c>
      <c r="DD10" s="122">
        <f t="shared" si="22"/>
        <v>4119606.8571272362</v>
      </c>
      <c r="DE10" s="122">
        <f t="shared" si="22"/>
        <v>4119606.8571272362</v>
      </c>
      <c r="DF10" s="122">
        <f t="shared" si="22"/>
        <v>4119606.8571272362</v>
      </c>
      <c r="DG10" s="122">
        <f t="shared" si="22"/>
        <v>4119606.8571272362</v>
      </c>
      <c r="DH10" s="122">
        <f t="shared" si="22"/>
        <v>4119606.8571272362</v>
      </c>
      <c r="DI10" s="122">
        <f t="shared" si="22"/>
        <v>4119606.8571272362</v>
      </c>
      <c r="DJ10" s="122">
        <f t="shared" si="22"/>
        <v>4119606.8571272362</v>
      </c>
      <c r="DK10" s="122">
        <f t="shared" si="22"/>
        <v>4119606.8571272362</v>
      </c>
      <c r="DL10" s="122">
        <f t="shared" si="22"/>
        <v>4119606.8571272362</v>
      </c>
      <c r="DM10" s="122">
        <f t="shared" si="22"/>
        <v>4119606.8571272362</v>
      </c>
      <c r="DN10" s="122">
        <f t="shared" si="22"/>
        <v>4119606.8571272362</v>
      </c>
      <c r="DO10" s="122">
        <f t="shared" si="22"/>
        <v>4119606.8571272362</v>
      </c>
      <c r="DP10" s="122">
        <f t="shared" si="22"/>
        <v>4119606.8571272362</v>
      </c>
      <c r="DQ10" s="122">
        <f t="shared" si="22"/>
        <v>4119606.8571272362</v>
      </c>
      <c r="DR10" s="122">
        <f t="shared" si="22"/>
        <v>4119606.8571272362</v>
      </c>
      <c r="DS10" s="122">
        <f t="shared" si="22"/>
        <v>4119606.8571272362</v>
      </c>
      <c r="DT10" s="122">
        <f t="shared" si="22"/>
        <v>4119606.8571272362</v>
      </c>
      <c r="DU10" s="122">
        <f t="shared" si="22"/>
        <v>4119606.8571272362</v>
      </c>
      <c r="DV10" s="122">
        <f t="shared" si="22"/>
        <v>4119606.8571272362</v>
      </c>
      <c r="DW10" s="122">
        <f t="shared" si="22"/>
        <v>4119606.8571272362</v>
      </c>
      <c r="DX10" s="122">
        <f t="shared" si="22"/>
        <v>4119606.8571272362</v>
      </c>
      <c r="DY10" s="122">
        <f t="shared" si="22"/>
        <v>4119606.8571272362</v>
      </c>
      <c r="DZ10" s="122">
        <f t="shared" si="22"/>
        <v>4119606.8571272362</v>
      </c>
      <c r="EA10" s="122">
        <f t="shared" si="22"/>
        <v>4119606.8571272362</v>
      </c>
      <c r="EB10" s="122">
        <f t="shared" si="22"/>
        <v>4119606.8571272362</v>
      </c>
      <c r="EC10" s="122">
        <f t="shared" si="22"/>
        <v>4119606.8571272362</v>
      </c>
      <c r="ED10" s="122">
        <f t="shared" si="22"/>
        <v>4119606.8571272362</v>
      </c>
      <c r="EE10" s="122">
        <f t="shared" si="22"/>
        <v>4119606.8571272362</v>
      </c>
      <c r="EF10" s="122">
        <f t="shared" si="22"/>
        <v>4119606.8571272362</v>
      </c>
      <c r="EG10" s="122">
        <f t="shared" ref="EG10:GR10" si="23">EF10+EG9</f>
        <v>4119606.8571272362</v>
      </c>
      <c r="EH10" s="122">
        <f t="shared" si="23"/>
        <v>4119606.8571272362</v>
      </c>
      <c r="EI10" s="122">
        <f t="shared" si="23"/>
        <v>4119606.8571272362</v>
      </c>
      <c r="EJ10" s="122">
        <f t="shared" si="23"/>
        <v>4119606.8571272362</v>
      </c>
      <c r="EK10" s="122">
        <f t="shared" si="23"/>
        <v>4119606.8571272362</v>
      </c>
      <c r="EL10" s="122">
        <f t="shared" si="23"/>
        <v>4119606.8571272362</v>
      </c>
      <c r="EM10" s="122">
        <f t="shared" si="23"/>
        <v>4119606.8571272362</v>
      </c>
      <c r="EN10" s="122">
        <f t="shared" si="23"/>
        <v>4119606.8571272362</v>
      </c>
      <c r="EO10" s="122">
        <f t="shared" si="23"/>
        <v>4119606.8571272362</v>
      </c>
      <c r="EP10" s="122">
        <f t="shared" si="23"/>
        <v>4119606.8571272362</v>
      </c>
      <c r="EQ10" s="122">
        <f t="shared" si="23"/>
        <v>4119606.8571272362</v>
      </c>
      <c r="ER10" s="122">
        <f t="shared" si="23"/>
        <v>4119606.8571272362</v>
      </c>
      <c r="ES10" s="122">
        <f t="shared" si="23"/>
        <v>4119606.8571272362</v>
      </c>
      <c r="ET10" s="122">
        <f t="shared" si="23"/>
        <v>4119606.8571272362</v>
      </c>
      <c r="EU10" s="122">
        <f t="shared" si="23"/>
        <v>4119606.8571272362</v>
      </c>
      <c r="EV10" s="122">
        <f t="shared" si="23"/>
        <v>4119606.8571272362</v>
      </c>
      <c r="EW10" s="122">
        <f t="shared" si="23"/>
        <v>4119606.8571272362</v>
      </c>
      <c r="EX10" s="122">
        <f t="shared" si="23"/>
        <v>4119606.8571272362</v>
      </c>
      <c r="EY10" s="122">
        <f t="shared" si="23"/>
        <v>4119606.8571272362</v>
      </c>
      <c r="EZ10" s="122">
        <f t="shared" si="23"/>
        <v>4119606.8571272362</v>
      </c>
      <c r="FA10" s="122">
        <f t="shared" si="23"/>
        <v>4119606.8571272362</v>
      </c>
      <c r="FB10" s="122">
        <f t="shared" si="23"/>
        <v>4119606.8571272362</v>
      </c>
      <c r="FC10" s="122">
        <f t="shared" si="23"/>
        <v>4119606.8571272362</v>
      </c>
      <c r="FD10" s="122">
        <f t="shared" si="23"/>
        <v>4119606.8571272362</v>
      </c>
      <c r="FE10" s="122">
        <f t="shared" si="23"/>
        <v>4119606.8571272362</v>
      </c>
      <c r="FF10" s="122">
        <f t="shared" si="23"/>
        <v>4119606.8571272362</v>
      </c>
      <c r="FG10" s="122">
        <f t="shared" si="23"/>
        <v>4119606.8571272362</v>
      </c>
      <c r="FH10" s="122">
        <f t="shared" si="23"/>
        <v>4119606.8571272362</v>
      </c>
      <c r="FI10" s="122">
        <f t="shared" si="23"/>
        <v>4119606.8571272362</v>
      </c>
      <c r="FJ10" s="122">
        <f t="shared" si="23"/>
        <v>4119606.8571272362</v>
      </c>
      <c r="FK10" s="122">
        <f t="shared" si="23"/>
        <v>4119606.8571272362</v>
      </c>
      <c r="FL10" s="122">
        <f t="shared" si="23"/>
        <v>4119606.8571272362</v>
      </c>
      <c r="FM10" s="122">
        <f t="shared" si="23"/>
        <v>4119606.8571272362</v>
      </c>
      <c r="FN10" s="122">
        <f t="shared" si="23"/>
        <v>4119606.8571272362</v>
      </c>
      <c r="FO10" s="122">
        <f t="shared" si="23"/>
        <v>4119606.8571272362</v>
      </c>
      <c r="FP10" s="122">
        <f t="shared" si="23"/>
        <v>4119606.8571272362</v>
      </c>
      <c r="FQ10" s="122">
        <f t="shared" si="23"/>
        <v>4119606.8571272362</v>
      </c>
      <c r="FR10" s="122">
        <f t="shared" si="23"/>
        <v>4119606.8571272362</v>
      </c>
      <c r="FS10" s="122">
        <f t="shared" si="23"/>
        <v>4119606.8571272362</v>
      </c>
      <c r="FT10" s="122">
        <f t="shared" si="23"/>
        <v>4119606.8571272362</v>
      </c>
      <c r="FU10" s="122">
        <f t="shared" si="23"/>
        <v>4119606.8571272362</v>
      </c>
      <c r="FV10" s="122">
        <f t="shared" si="23"/>
        <v>4119606.8571272362</v>
      </c>
      <c r="FW10" s="122">
        <f t="shared" si="23"/>
        <v>4119606.8571272362</v>
      </c>
      <c r="FX10" s="122">
        <f t="shared" si="23"/>
        <v>4119606.8571272362</v>
      </c>
      <c r="FY10" s="122">
        <f t="shared" si="23"/>
        <v>4119606.8571272362</v>
      </c>
      <c r="FZ10" s="122">
        <f t="shared" si="23"/>
        <v>4119606.8571272362</v>
      </c>
      <c r="GA10" s="122">
        <f t="shared" si="23"/>
        <v>4119606.8571272362</v>
      </c>
      <c r="GB10" s="122">
        <f t="shared" si="23"/>
        <v>4119606.8571272362</v>
      </c>
      <c r="GC10" s="122">
        <f t="shared" si="23"/>
        <v>4119606.8571272362</v>
      </c>
      <c r="GD10" s="122">
        <f t="shared" si="23"/>
        <v>4119606.8571272362</v>
      </c>
      <c r="GE10" s="122">
        <f t="shared" si="23"/>
        <v>4119606.8571272362</v>
      </c>
      <c r="GF10" s="122">
        <f t="shared" si="23"/>
        <v>4119606.8571272362</v>
      </c>
      <c r="GG10" s="122">
        <f t="shared" si="23"/>
        <v>4119606.8571272362</v>
      </c>
      <c r="GH10" s="122">
        <f t="shared" si="23"/>
        <v>4119606.8571272362</v>
      </c>
      <c r="GI10" s="122">
        <f t="shared" si="23"/>
        <v>4119606.8571272362</v>
      </c>
      <c r="GJ10" s="122">
        <f t="shared" si="23"/>
        <v>4119606.8571272362</v>
      </c>
      <c r="GK10" s="122">
        <f t="shared" si="23"/>
        <v>4119606.8571272362</v>
      </c>
      <c r="GL10" s="122">
        <f t="shared" si="23"/>
        <v>4119606.8571272362</v>
      </c>
      <c r="GM10" s="122">
        <f t="shared" si="23"/>
        <v>4119606.8571272362</v>
      </c>
      <c r="GN10" s="122">
        <f t="shared" si="23"/>
        <v>4119606.8571272362</v>
      </c>
      <c r="GO10" s="122">
        <f t="shared" si="23"/>
        <v>4119606.8571272362</v>
      </c>
      <c r="GP10" s="122">
        <f t="shared" si="23"/>
        <v>4119606.8571272362</v>
      </c>
      <c r="GQ10" s="122">
        <f t="shared" si="23"/>
        <v>4119606.8571272362</v>
      </c>
      <c r="GR10" s="122">
        <f t="shared" si="23"/>
        <v>4119606.8571272362</v>
      </c>
      <c r="GS10" s="122">
        <f t="shared" ref="GS10:JD10" si="24">GR10+GS9</f>
        <v>4119606.8571272362</v>
      </c>
      <c r="GT10" s="122">
        <f t="shared" si="24"/>
        <v>4119606.8571272362</v>
      </c>
      <c r="GU10" s="122">
        <f t="shared" si="24"/>
        <v>4119606.8571272362</v>
      </c>
      <c r="GV10" s="122">
        <f t="shared" si="24"/>
        <v>4119606.8571272362</v>
      </c>
      <c r="GW10" s="122">
        <f t="shared" si="24"/>
        <v>4119606.8571272362</v>
      </c>
      <c r="GX10" s="122">
        <f t="shared" si="24"/>
        <v>4119606.8571272362</v>
      </c>
      <c r="GY10" s="122">
        <f t="shared" si="24"/>
        <v>4119606.8571272362</v>
      </c>
      <c r="GZ10" s="122">
        <f t="shared" si="24"/>
        <v>4119606.8571272362</v>
      </c>
      <c r="HA10" s="122">
        <f t="shared" si="24"/>
        <v>4119606.8571272362</v>
      </c>
      <c r="HB10" s="122">
        <f t="shared" si="24"/>
        <v>4119606.8571272362</v>
      </c>
      <c r="HC10" s="122">
        <f t="shared" si="24"/>
        <v>4119606.8571272362</v>
      </c>
      <c r="HD10" s="122">
        <f t="shared" si="24"/>
        <v>4119606.8571272362</v>
      </c>
      <c r="HE10" s="122">
        <f t="shared" si="24"/>
        <v>4119606.8571272362</v>
      </c>
      <c r="HF10" s="122">
        <f t="shared" si="24"/>
        <v>4119606.8571272362</v>
      </c>
      <c r="HG10" s="122">
        <f t="shared" si="24"/>
        <v>4119606.8571272362</v>
      </c>
      <c r="HH10" s="122">
        <f t="shared" si="24"/>
        <v>4119606.8571272362</v>
      </c>
      <c r="HI10" s="122">
        <f t="shared" si="24"/>
        <v>4119606.8571272362</v>
      </c>
      <c r="HJ10" s="122">
        <f t="shared" si="24"/>
        <v>4119606.8571272362</v>
      </c>
      <c r="HK10" s="122">
        <f t="shared" si="24"/>
        <v>4119606.8571272362</v>
      </c>
      <c r="HL10" s="122">
        <f t="shared" si="24"/>
        <v>4119606.8571272362</v>
      </c>
      <c r="HM10" s="122">
        <f t="shared" si="24"/>
        <v>4119606.8571272362</v>
      </c>
      <c r="HN10" s="122">
        <f t="shared" si="24"/>
        <v>4119606.8571272362</v>
      </c>
      <c r="HO10" s="122">
        <f t="shared" si="24"/>
        <v>4119606.8571272362</v>
      </c>
      <c r="HP10" s="122">
        <f t="shared" si="24"/>
        <v>4119606.8571272362</v>
      </c>
      <c r="HQ10" s="122">
        <f t="shared" si="24"/>
        <v>4119606.8571272362</v>
      </c>
      <c r="HR10" s="122">
        <f t="shared" si="24"/>
        <v>4119606.8571272362</v>
      </c>
      <c r="HS10" s="122">
        <f t="shared" si="24"/>
        <v>4119606.8571272362</v>
      </c>
      <c r="HT10" s="122">
        <f t="shared" si="24"/>
        <v>4119606.8571272362</v>
      </c>
      <c r="HU10" s="122">
        <f t="shared" si="24"/>
        <v>4119606.8571272362</v>
      </c>
      <c r="HV10" s="122">
        <f t="shared" si="24"/>
        <v>4119606.8571272362</v>
      </c>
      <c r="HW10" s="122">
        <f t="shared" si="24"/>
        <v>4119606.8571272362</v>
      </c>
      <c r="HX10" s="122">
        <f t="shared" si="24"/>
        <v>4119606.8571272362</v>
      </c>
      <c r="HY10" s="122">
        <f t="shared" si="24"/>
        <v>4119606.8571272362</v>
      </c>
      <c r="HZ10" s="122">
        <f t="shared" si="24"/>
        <v>4119606.8571272362</v>
      </c>
      <c r="IA10" s="122">
        <f t="shared" si="24"/>
        <v>4119606.8571272362</v>
      </c>
      <c r="IB10" s="122">
        <f t="shared" si="24"/>
        <v>4119606.8571272362</v>
      </c>
      <c r="IC10" s="122">
        <f t="shared" si="24"/>
        <v>4119606.8571272362</v>
      </c>
      <c r="ID10" s="122">
        <f t="shared" si="24"/>
        <v>4119606.8571272362</v>
      </c>
      <c r="IE10" s="122">
        <f t="shared" si="24"/>
        <v>4119606.8571272362</v>
      </c>
      <c r="IF10" s="122">
        <f t="shared" si="24"/>
        <v>4119606.8571272362</v>
      </c>
      <c r="IG10" s="122">
        <f t="shared" si="24"/>
        <v>4119606.8571272362</v>
      </c>
      <c r="IH10" s="122">
        <f t="shared" si="24"/>
        <v>4119606.8571272362</v>
      </c>
      <c r="II10" s="122">
        <f t="shared" si="24"/>
        <v>4119606.8571272362</v>
      </c>
      <c r="IJ10" s="122">
        <f t="shared" si="24"/>
        <v>4119606.8571272362</v>
      </c>
      <c r="IK10" s="122">
        <f t="shared" si="24"/>
        <v>4119606.8571272362</v>
      </c>
      <c r="IL10" s="122">
        <f t="shared" si="24"/>
        <v>4119606.8571272362</v>
      </c>
      <c r="IM10" s="122">
        <f t="shared" si="24"/>
        <v>4119606.8571272362</v>
      </c>
      <c r="IN10" s="122">
        <f t="shared" si="24"/>
        <v>4119606.8571272362</v>
      </c>
      <c r="IO10" s="122">
        <f t="shared" si="24"/>
        <v>4119606.8571272362</v>
      </c>
      <c r="IP10" s="122">
        <f t="shared" si="24"/>
        <v>4119606.8571272362</v>
      </c>
      <c r="IQ10" s="122">
        <f t="shared" si="24"/>
        <v>4119606.8571272362</v>
      </c>
      <c r="IR10" s="122">
        <f t="shared" si="24"/>
        <v>4119606.8571272362</v>
      </c>
      <c r="IS10" s="122">
        <f t="shared" si="24"/>
        <v>4119606.8571272362</v>
      </c>
      <c r="IT10" s="122">
        <f t="shared" si="24"/>
        <v>4119606.8571272362</v>
      </c>
      <c r="IU10" s="122">
        <f t="shared" si="24"/>
        <v>4119606.8571272362</v>
      </c>
      <c r="IV10" s="122">
        <f t="shared" si="24"/>
        <v>4119606.8571272362</v>
      </c>
      <c r="IW10" s="122">
        <f t="shared" si="24"/>
        <v>4119606.8571272362</v>
      </c>
      <c r="IX10" s="122">
        <f t="shared" si="24"/>
        <v>4119606.8571272362</v>
      </c>
      <c r="IY10" s="122">
        <f t="shared" si="24"/>
        <v>4119606.8571272362</v>
      </c>
      <c r="IZ10" s="122">
        <f t="shared" si="24"/>
        <v>4119606.8571272362</v>
      </c>
      <c r="JA10" s="122">
        <f t="shared" si="24"/>
        <v>4119606.8571272362</v>
      </c>
      <c r="JB10" s="122">
        <f t="shared" si="24"/>
        <v>4119606.8571272362</v>
      </c>
      <c r="JC10" s="122">
        <f t="shared" si="24"/>
        <v>4119606.8571272362</v>
      </c>
      <c r="JD10" s="122">
        <f t="shared" si="24"/>
        <v>4119606.8571272362</v>
      </c>
      <c r="JE10" s="122">
        <f t="shared" ref="JE10:KF10" si="25">JD10+JE9</f>
        <v>4119606.8571272362</v>
      </c>
      <c r="JF10" s="122">
        <f t="shared" si="25"/>
        <v>4119606.8571272362</v>
      </c>
      <c r="JG10" s="122">
        <f t="shared" si="25"/>
        <v>4119606.8571272362</v>
      </c>
      <c r="JH10" s="122">
        <f t="shared" si="25"/>
        <v>4119606.8571272362</v>
      </c>
      <c r="JI10" s="122">
        <f t="shared" si="25"/>
        <v>4119606.8571272362</v>
      </c>
      <c r="JJ10" s="122">
        <f t="shared" si="25"/>
        <v>4119606.8571272362</v>
      </c>
      <c r="JK10" s="122">
        <f t="shared" si="25"/>
        <v>4119606.8571272362</v>
      </c>
      <c r="JL10" s="122">
        <f t="shared" si="25"/>
        <v>4119606.8571272362</v>
      </c>
      <c r="JM10" s="122">
        <f t="shared" si="25"/>
        <v>4119606.8571272362</v>
      </c>
      <c r="JN10" s="122">
        <f t="shared" si="25"/>
        <v>4119606.8571272362</v>
      </c>
      <c r="JO10" s="122">
        <f t="shared" si="25"/>
        <v>4119606.8571272362</v>
      </c>
      <c r="JP10" s="122">
        <f t="shared" si="25"/>
        <v>4119606.8571272362</v>
      </c>
      <c r="JQ10" s="122">
        <f t="shared" si="25"/>
        <v>4119606.8571272362</v>
      </c>
      <c r="JR10" s="122">
        <f t="shared" si="25"/>
        <v>4119606.8571272362</v>
      </c>
      <c r="JS10" s="122">
        <f t="shared" si="25"/>
        <v>4119606.8571272362</v>
      </c>
      <c r="JT10" s="122">
        <f t="shared" si="25"/>
        <v>4119606.8571272362</v>
      </c>
      <c r="JU10" s="122">
        <f t="shared" si="25"/>
        <v>4119606.8571272362</v>
      </c>
      <c r="JV10" s="122">
        <f t="shared" si="25"/>
        <v>4119606.8571272362</v>
      </c>
      <c r="JW10" s="122">
        <f t="shared" si="25"/>
        <v>4119606.8571272362</v>
      </c>
      <c r="JX10" s="122">
        <f t="shared" si="25"/>
        <v>4119606.8571272362</v>
      </c>
      <c r="JY10" s="122">
        <f t="shared" si="25"/>
        <v>4119606.8571272362</v>
      </c>
      <c r="JZ10" s="122">
        <f t="shared" si="25"/>
        <v>4119606.8571272362</v>
      </c>
      <c r="KA10" s="122">
        <f t="shared" si="25"/>
        <v>4119606.8571272362</v>
      </c>
      <c r="KB10" s="122">
        <f t="shared" si="25"/>
        <v>4119606.8571272362</v>
      </c>
      <c r="KC10" s="122">
        <f t="shared" si="25"/>
        <v>4119606.8571272362</v>
      </c>
      <c r="KD10" s="122">
        <f t="shared" si="25"/>
        <v>4119606.8571272362</v>
      </c>
      <c r="KE10" s="122">
        <f t="shared" si="25"/>
        <v>4119606.8571272362</v>
      </c>
      <c r="KF10" s="122">
        <f t="shared" si="25"/>
        <v>4119606.8571272362</v>
      </c>
    </row>
    <row r="11" spans="1:770" s="114" customFormat="1">
      <c r="A11" s="725"/>
      <c r="B11" s="123" t="s">
        <v>436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209495.08571409044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1734625.8801062803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437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1400</v>
      </c>
      <c r="N12" s="125">
        <f t="shared" si="26"/>
        <v>1400</v>
      </c>
      <c r="O12" s="125">
        <f t="shared" si="26"/>
        <v>62400</v>
      </c>
      <c r="P12" s="125">
        <f t="shared" si="26"/>
        <v>220812.41263285038</v>
      </c>
      <c r="Q12" s="125">
        <f t="shared" si="26"/>
        <v>430307.49834694085</v>
      </c>
      <c r="R12" s="125">
        <f t="shared" si="26"/>
        <v>431707.49834694085</v>
      </c>
      <c r="S12" s="125">
        <f t="shared" si="26"/>
        <v>431707.49834694085</v>
      </c>
      <c r="T12" s="125">
        <f t="shared" si="26"/>
        <v>590119.9109797912</v>
      </c>
      <c r="U12" s="125">
        <f t="shared" si="26"/>
        <v>2324745.7910860716</v>
      </c>
      <c r="V12" s="125">
        <f t="shared" si="26"/>
        <v>2326145.7910860716</v>
      </c>
      <c r="W12" s="125">
        <f t="shared" si="26"/>
        <v>2326145.7910860716</v>
      </c>
      <c r="X12" s="125">
        <f t="shared" si="26"/>
        <v>3471558.2037189221</v>
      </c>
      <c r="Y12" s="125">
        <f t="shared" si="26"/>
        <v>3496135.7037189221</v>
      </c>
      <c r="Z12" s="125">
        <f t="shared" si="26"/>
        <v>3497535.7037189221</v>
      </c>
      <c r="AA12" s="125">
        <f t="shared" si="26"/>
        <v>3529218.1862454922</v>
      </c>
      <c r="AB12" s="125">
        <f t="shared" si="26"/>
        <v>3529218.1862454922</v>
      </c>
      <c r="AC12" s="125">
        <f t="shared" si="26"/>
        <v>3529218.1862454922</v>
      </c>
      <c r="AD12" s="125">
        <f>AC12+AD11</f>
        <v>3529218.1862454922</v>
      </c>
      <c r="AE12" s="125">
        <f t="shared" si="26"/>
        <v>3529218.1862454922</v>
      </c>
      <c r="AF12" s="125">
        <f t="shared" si="26"/>
        <v>3529218.1862454922</v>
      </c>
      <c r="AG12" s="125">
        <f t="shared" si="26"/>
        <v>3529218.1862454922</v>
      </c>
      <c r="AH12" s="125">
        <f t="shared" si="26"/>
        <v>3529218.1862454922</v>
      </c>
      <c r="AI12" s="125">
        <f t="shared" si="26"/>
        <v>3529218.1862454922</v>
      </c>
      <c r="AJ12" s="125">
        <f t="shared" si="26"/>
        <v>3529218.1862454922</v>
      </c>
      <c r="AK12" s="125">
        <f t="shared" si="26"/>
        <v>3529218.1862454922</v>
      </c>
      <c r="AL12" s="125">
        <f t="shared" si="26"/>
        <v>3529218.1862454922</v>
      </c>
      <c r="AM12" s="125">
        <f t="shared" si="26"/>
        <v>3529218.1862454922</v>
      </c>
      <c r="AN12" s="125">
        <f t="shared" si="26"/>
        <v>3529218.1862454922</v>
      </c>
      <c r="AO12" s="125">
        <f t="shared" si="26"/>
        <v>3529218.1862454922</v>
      </c>
      <c r="AP12" s="125">
        <f t="shared" si="26"/>
        <v>3529218.1862454922</v>
      </c>
      <c r="AQ12" s="125">
        <f t="shared" si="26"/>
        <v>3529218.1862454922</v>
      </c>
      <c r="AR12" s="125">
        <f t="shared" si="26"/>
        <v>3529218.1862454922</v>
      </c>
      <c r="AS12" s="125">
        <f t="shared" si="26"/>
        <v>3529218.1862454922</v>
      </c>
      <c r="AT12" s="125">
        <f t="shared" si="26"/>
        <v>3529218.1862454922</v>
      </c>
      <c r="AU12" s="125">
        <f t="shared" si="26"/>
        <v>3529218.1862454922</v>
      </c>
      <c r="AV12" s="125">
        <f t="shared" si="26"/>
        <v>3529218.1862454922</v>
      </c>
      <c r="AW12" s="125">
        <f t="shared" si="26"/>
        <v>3529218.1862454922</v>
      </c>
      <c r="AX12" s="125">
        <f t="shared" si="26"/>
        <v>3529218.1862454922</v>
      </c>
      <c r="AY12" s="125">
        <f t="shared" si="26"/>
        <v>3529218.1862454922</v>
      </c>
      <c r="AZ12" s="125">
        <f t="shared" si="26"/>
        <v>3529218.1862454922</v>
      </c>
      <c r="BA12" s="125">
        <f t="shared" si="26"/>
        <v>3529218.1862454922</v>
      </c>
      <c r="BB12" s="125">
        <f t="shared" si="26"/>
        <v>3529218.1862454922</v>
      </c>
      <c r="BC12" s="125">
        <f t="shared" si="26"/>
        <v>3529218.1862454922</v>
      </c>
      <c r="BD12" s="125">
        <f t="shared" si="26"/>
        <v>3529218.1862454922</v>
      </c>
      <c r="BE12" s="125">
        <f t="shared" si="26"/>
        <v>3529218.1862454922</v>
      </c>
      <c r="BF12" s="125">
        <f t="shared" si="26"/>
        <v>3529218.1862454922</v>
      </c>
      <c r="BG12" s="125">
        <f t="shared" si="26"/>
        <v>3529218.1862454922</v>
      </c>
      <c r="BH12" s="125">
        <f t="shared" si="26"/>
        <v>3529218.1862454922</v>
      </c>
      <c r="BI12" s="125">
        <f t="shared" si="26"/>
        <v>3529218.1862454922</v>
      </c>
      <c r="BJ12" s="125">
        <f t="shared" si="26"/>
        <v>3529218.1862454922</v>
      </c>
      <c r="BK12" s="125">
        <f t="shared" si="26"/>
        <v>3529218.1862454922</v>
      </c>
      <c r="BL12" s="125">
        <f t="shared" si="26"/>
        <v>3529218.1862454922</v>
      </c>
      <c r="BM12" s="125">
        <f t="shared" si="26"/>
        <v>3529218.1862454922</v>
      </c>
      <c r="BN12" s="125">
        <f t="shared" si="26"/>
        <v>3529218.1862454922</v>
      </c>
      <c r="BO12" s="125">
        <f t="shared" si="26"/>
        <v>3529218.1862454922</v>
      </c>
      <c r="BP12" s="125">
        <f t="shared" si="26"/>
        <v>3529218.1862454922</v>
      </c>
      <c r="BQ12" s="125">
        <f t="shared" si="26"/>
        <v>3529218.1862454922</v>
      </c>
      <c r="BR12" s="125">
        <f t="shared" si="26"/>
        <v>3529218.1862454922</v>
      </c>
      <c r="BS12" s="125">
        <f t="shared" si="26"/>
        <v>3529218.1862454922</v>
      </c>
      <c r="BT12" s="125">
        <f t="shared" si="26"/>
        <v>3529218.1862454922</v>
      </c>
      <c r="BU12" s="125">
        <f t="shared" ref="BU12:EF12" si="27">BT12+BU11</f>
        <v>3529218.1862454922</v>
      </c>
      <c r="BV12" s="125">
        <f t="shared" si="27"/>
        <v>3529218.1862454922</v>
      </c>
      <c r="BW12" s="125">
        <f t="shared" si="27"/>
        <v>3529218.1862454922</v>
      </c>
      <c r="BX12" s="125">
        <f t="shared" si="27"/>
        <v>3529218.1862454922</v>
      </c>
      <c r="BY12" s="125">
        <f t="shared" si="27"/>
        <v>3529218.1862454922</v>
      </c>
      <c r="BZ12" s="125">
        <f t="shared" si="27"/>
        <v>3529218.1862454922</v>
      </c>
      <c r="CA12" s="125">
        <f t="shared" si="27"/>
        <v>3529218.1862454922</v>
      </c>
      <c r="CB12" s="125">
        <f t="shared" si="27"/>
        <v>3529218.1862454922</v>
      </c>
      <c r="CC12" s="125">
        <f t="shared" si="27"/>
        <v>3529218.1862454922</v>
      </c>
      <c r="CD12" s="125">
        <f t="shared" si="27"/>
        <v>3529218.1862454922</v>
      </c>
      <c r="CE12" s="125">
        <f t="shared" si="27"/>
        <v>3529218.1862454922</v>
      </c>
      <c r="CF12" s="125">
        <f t="shared" si="27"/>
        <v>3529218.1862454922</v>
      </c>
      <c r="CG12" s="125">
        <f t="shared" si="27"/>
        <v>3529218.1862454922</v>
      </c>
      <c r="CH12" s="125">
        <f t="shared" si="27"/>
        <v>3529218.1862454922</v>
      </c>
      <c r="CI12" s="125">
        <f t="shared" si="27"/>
        <v>3529218.1862454922</v>
      </c>
      <c r="CJ12" s="125">
        <f t="shared" si="27"/>
        <v>3529218.1862454922</v>
      </c>
      <c r="CK12" s="125">
        <f t="shared" si="27"/>
        <v>3529218.1862454922</v>
      </c>
      <c r="CL12" s="125">
        <f t="shared" si="27"/>
        <v>3529218.1862454922</v>
      </c>
      <c r="CM12" s="125">
        <f t="shared" si="27"/>
        <v>3529218.1862454922</v>
      </c>
      <c r="CN12" s="125">
        <f t="shared" si="27"/>
        <v>3529218.1862454922</v>
      </c>
      <c r="CO12" s="125">
        <f t="shared" si="27"/>
        <v>3529218.1862454922</v>
      </c>
      <c r="CP12" s="125">
        <f t="shared" si="27"/>
        <v>3529218.1862454922</v>
      </c>
      <c r="CQ12" s="125">
        <f t="shared" si="27"/>
        <v>3529218.1862454922</v>
      </c>
      <c r="CR12" s="125">
        <f t="shared" si="27"/>
        <v>3529218.1862454922</v>
      </c>
      <c r="CS12" s="125">
        <f t="shared" si="27"/>
        <v>3529218.1862454922</v>
      </c>
      <c r="CT12" s="125">
        <f t="shared" si="27"/>
        <v>3529218.1862454922</v>
      </c>
      <c r="CU12" s="125">
        <f t="shared" si="27"/>
        <v>3529218.1862454922</v>
      </c>
      <c r="CV12" s="125">
        <f t="shared" si="27"/>
        <v>3529218.1862454922</v>
      </c>
      <c r="CW12" s="125">
        <f t="shared" si="27"/>
        <v>3529218.1862454922</v>
      </c>
      <c r="CX12" s="125">
        <f t="shared" si="27"/>
        <v>3529218.1862454922</v>
      </c>
      <c r="CY12" s="125">
        <f t="shared" si="27"/>
        <v>3529218.1862454922</v>
      </c>
      <c r="CZ12" s="125">
        <f t="shared" si="27"/>
        <v>3529218.1862454922</v>
      </c>
      <c r="DA12" s="125">
        <f t="shared" si="27"/>
        <v>3529218.1862454922</v>
      </c>
      <c r="DB12" s="125">
        <f t="shared" si="27"/>
        <v>3529218.1862454922</v>
      </c>
      <c r="DC12" s="125">
        <f t="shared" si="27"/>
        <v>3529218.1862454922</v>
      </c>
      <c r="DD12" s="125">
        <f t="shared" si="27"/>
        <v>3529218.1862454922</v>
      </c>
      <c r="DE12" s="125">
        <f t="shared" si="27"/>
        <v>3529218.1862454922</v>
      </c>
      <c r="DF12" s="125">
        <f t="shared" si="27"/>
        <v>3529218.1862454922</v>
      </c>
      <c r="DG12" s="125">
        <f t="shared" si="27"/>
        <v>3529218.1862454922</v>
      </c>
      <c r="DH12" s="125">
        <f t="shared" si="27"/>
        <v>3529218.1862454922</v>
      </c>
      <c r="DI12" s="125">
        <f t="shared" si="27"/>
        <v>3529218.1862454922</v>
      </c>
      <c r="DJ12" s="125">
        <f t="shared" si="27"/>
        <v>3529218.1862454922</v>
      </c>
      <c r="DK12" s="125">
        <f t="shared" si="27"/>
        <v>3529218.1862454922</v>
      </c>
      <c r="DL12" s="125">
        <f t="shared" si="27"/>
        <v>3529218.1862454922</v>
      </c>
      <c r="DM12" s="125">
        <f t="shared" si="27"/>
        <v>3529218.1862454922</v>
      </c>
      <c r="DN12" s="125">
        <f t="shared" si="27"/>
        <v>3529218.1862454922</v>
      </c>
      <c r="DO12" s="125">
        <f t="shared" si="27"/>
        <v>3529218.1862454922</v>
      </c>
      <c r="DP12" s="125">
        <f t="shared" si="27"/>
        <v>3529218.1862454922</v>
      </c>
      <c r="DQ12" s="125">
        <f t="shared" si="27"/>
        <v>3529218.1862454922</v>
      </c>
      <c r="DR12" s="125">
        <f t="shared" si="27"/>
        <v>3529218.1862454922</v>
      </c>
      <c r="DS12" s="125">
        <f t="shared" si="27"/>
        <v>3529218.1862454922</v>
      </c>
      <c r="DT12" s="125">
        <f t="shared" si="27"/>
        <v>3529218.1862454922</v>
      </c>
      <c r="DU12" s="125">
        <f t="shared" si="27"/>
        <v>3529218.1862454922</v>
      </c>
      <c r="DV12" s="125">
        <f t="shared" si="27"/>
        <v>3529218.1862454922</v>
      </c>
      <c r="DW12" s="125">
        <f t="shared" si="27"/>
        <v>3529218.1862454922</v>
      </c>
      <c r="DX12" s="125">
        <f t="shared" si="27"/>
        <v>3529218.1862454922</v>
      </c>
      <c r="DY12" s="125">
        <f t="shared" si="27"/>
        <v>3529218.1862454922</v>
      </c>
      <c r="DZ12" s="125">
        <f t="shared" si="27"/>
        <v>3529218.1862454922</v>
      </c>
      <c r="EA12" s="125">
        <f t="shared" si="27"/>
        <v>3529218.1862454922</v>
      </c>
      <c r="EB12" s="125">
        <f t="shared" si="27"/>
        <v>3529218.1862454922</v>
      </c>
      <c r="EC12" s="125">
        <f t="shared" si="27"/>
        <v>3529218.1862454922</v>
      </c>
      <c r="ED12" s="125">
        <f t="shared" si="27"/>
        <v>3529218.1862454922</v>
      </c>
      <c r="EE12" s="125">
        <f t="shared" si="27"/>
        <v>3529218.1862454922</v>
      </c>
      <c r="EF12" s="125">
        <f t="shared" si="27"/>
        <v>3529218.1862454922</v>
      </c>
      <c r="EG12" s="125">
        <f t="shared" ref="EG12:GR12" si="28">EF12+EG11</f>
        <v>3529218.1862454922</v>
      </c>
      <c r="EH12" s="125">
        <f t="shared" si="28"/>
        <v>3529218.1862454922</v>
      </c>
      <c r="EI12" s="125">
        <f t="shared" si="28"/>
        <v>3529218.1862454922</v>
      </c>
      <c r="EJ12" s="125">
        <f t="shared" si="28"/>
        <v>3529218.1862454922</v>
      </c>
      <c r="EK12" s="125">
        <f t="shared" si="28"/>
        <v>3529218.1862454922</v>
      </c>
      <c r="EL12" s="125">
        <f t="shared" si="28"/>
        <v>3529218.1862454922</v>
      </c>
      <c r="EM12" s="125">
        <f t="shared" si="28"/>
        <v>3529218.1862454922</v>
      </c>
      <c r="EN12" s="125">
        <f t="shared" si="28"/>
        <v>3529218.1862454922</v>
      </c>
      <c r="EO12" s="125">
        <f t="shared" si="28"/>
        <v>3529218.1862454922</v>
      </c>
      <c r="EP12" s="125">
        <f t="shared" si="28"/>
        <v>3529218.1862454922</v>
      </c>
      <c r="EQ12" s="125">
        <f t="shared" si="28"/>
        <v>3529218.1862454922</v>
      </c>
      <c r="ER12" s="125">
        <f t="shared" si="28"/>
        <v>3529218.1862454922</v>
      </c>
      <c r="ES12" s="125">
        <f t="shared" si="28"/>
        <v>3529218.1862454922</v>
      </c>
      <c r="ET12" s="125">
        <f t="shared" si="28"/>
        <v>3529218.1862454922</v>
      </c>
      <c r="EU12" s="125">
        <f t="shared" si="28"/>
        <v>3529218.1862454922</v>
      </c>
      <c r="EV12" s="125">
        <f t="shared" si="28"/>
        <v>3529218.1862454922</v>
      </c>
      <c r="EW12" s="125">
        <f t="shared" si="28"/>
        <v>3529218.1862454922</v>
      </c>
      <c r="EX12" s="125">
        <f t="shared" si="28"/>
        <v>3529218.1862454922</v>
      </c>
      <c r="EY12" s="125">
        <f t="shared" si="28"/>
        <v>3529218.1862454922</v>
      </c>
      <c r="EZ12" s="125">
        <f t="shared" si="28"/>
        <v>3529218.1862454922</v>
      </c>
      <c r="FA12" s="125">
        <f t="shared" si="28"/>
        <v>3529218.1862454922</v>
      </c>
      <c r="FB12" s="125">
        <f t="shared" si="28"/>
        <v>3529218.1862454922</v>
      </c>
      <c r="FC12" s="125">
        <f t="shared" si="28"/>
        <v>3529218.1862454922</v>
      </c>
      <c r="FD12" s="125">
        <f t="shared" si="28"/>
        <v>3529218.1862454922</v>
      </c>
      <c r="FE12" s="125">
        <f t="shared" si="28"/>
        <v>3529218.1862454922</v>
      </c>
      <c r="FF12" s="125">
        <f t="shared" si="28"/>
        <v>3529218.1862454922</v>
      </c>
      <c r="FG12" s="125">
        <f t="shared" si="28"/>
        <v>3529218.1862454922</v>
      </c>
      <c r="FH12" s="125">
        <f t="shared" si="28"/>
        <v>3529218.1862454922</v>
      </c>
      <c r="FI12" s="125">
        <f t="shared" si="28"/>
        <v>3529218.1862454922</v>
      </c>
      <c r="FJ12" s="125">
        <f t="shared" si="28"/>
        <v>3529218.1862454922</v>
      </c>
      <c r="FK12" s="125">
        <f t="shared" si="28"/>
        <v>3529218.1862454922</v>
      </c>
      <c r="FL12" s="125">
        <f t="shared" si="28"/>
        <v>3529218.1862454922</v>
      </c>
      <c r="FM12" s="125">
        <f t="shared" si="28"/>
        <v>3529218.1862454922</v>
      </c>
      <c r="FN12" s="125">
        <f t="shared" si="28"/>
        <v>3529218.1862454922</v>
      </c>
      <c r="FO12" s="125">
        <f t="shared" si="28"/>
        <v>3529218.1862454922</v>
      </c>
      <c r="FP12" s="125">
        <f t="shared" si="28"/>
        <v>3529218.1862454922</v>
      </c>
      <c r="FQ12" s="125">
        <f t="shared" si="28"/>
        <v>3529218.1862454922</v>
      </c>
      <c r="FR12" s="125">
        <f t="shared" si="28"/>
        <v>3529218.1862454922</v>
      </c>
      <c r="FS12" s="125">
        <f t="shared" si="28"/>
        <v>3529218.1862454922</v>
      </c>
      <c r="FT12" s="125">
        <f t="shared" si="28"/>
        <v>3529218.1862454922</v>
      </c>
      <c r="FU12" s="125">
        <f t="shared" si="28"/>
        <v>3529218.1862454922</v>
      </c>
      <c r="FV12" s="125">
        <f t="shared" si="28"/>
        <v>3529218.1862454922</v>
      </c>
      <c r="FW12" s="125">
        <f t="shared" si="28"/>
        <v>3529218.1862454922</v>
      </c>
      <c r="FX12" s="125">
        <f t="shared" si="28"/>
        <v>3529218.1862454922</v>
      </c>
      <c r="FY12" s="125">
        <f t="shared" si="28"/>
        <v>3529218.1862454922</v>
      </c>
      <c r="FZ12" s="125">
        <f t="shared" si="28"/>
        <v>3529218.1862454922</v>
      </c>
      <c r="GA12" s="125">
        <f t="shared" si="28"/>
        <v>3529218.1862454922</v>
      </c>
      <c r="GB12" s="125">
        <f t="shared" si="28"/>
        <v>3529218.1862454922</v>
      </c>
      <c r="GC12" s="125">
        <f t="shared" si="28"/>
        <v>3529218.1862454922</v>
      </c>
      <c r="GD12" s="125">
        <f t="shared" si="28"/>
        <v>3529218.1862454922</v>
      </c>
      <c r="GE12" s="125">
        <f t="shared" si="28"/>
        <v>3529218.1862454922</v>
      </c>
      <c r="GF12" s="125">
        <f t="shared" si="28"/>
        <v>3529218.1862454922</v>
      </c>
      <c r="GG12" s="125">
        <f t="shared" si="28"/>
        <v>3529218.1862454922</v>
      </c>
      <c r="GH12" s="125">
        <f t="shared" si="28"/>
        <v>3529218.1862454922</v>
      </c>
      <c r="GI12" s="125">
        <f t="shared" si="28"/>
        <v>3529218.1862454922</v>
      </c>
      <c r="GJ12" s="125">
        <f t="shared" si="28"/>
        <v>3529218.1862454922</v>
      </c>
      <c r="GK12" s="125">
        <f t="shared" si="28"/>
        <v>3529218.1862454922</v>
      </c>
      <c r="GL12" s="125">
        <f t="shared" si="28"/>
        <v>3529218.1862454922</v>
      </c>
      <c r="GM12" s="125">
        <f t="shared" si="28"/>
        <v>3529218.1862454922</v>
      </c>
      <c r="GN12" s="125">
        <f t="shared" si="28"/>
        <v>3529218.1862454922</v>
      </c>
      <c r="GO12" s="125">
        <f t="shared" si="28"/>
        <v>3529218.1862454922</v>
      </c>
      <c r="GP12" s="125">
        <f t="shared" si="28"/>
        <v>3529218.1862454922</v>
      </c>
      <c r="GQ12" s="125">
        <f t="shared" si="28"/>
        <v>3529218.1862454922</v>
      </c>
      <c r="GR12" s="125">
        <f t="shared" si="28"/>
        <v>3529218.1862454922</v>
      </c>
      <c r="GS12" s="125">
        <f t="shared" ref="GS12:JD12" si="29">GR12+GS11</f>
        <v>3529218.1862454922</v>
      </c>
      <c r="GT12" s="125">
        <f t="shared" si="29"/>
        <v>3529218.1862454922</v>
      </c>
      <c r="GU12" s="125">
        <f t="shared" si="29"/>
        <v>3529218.1862454922</v>
      </c>
      <c r="GV12" s="125">
        <f t="shared" si="29"/>
        <v>3529218.1862454922</v>
      </c>
      <c r="GW12" s="125">
        <f t="shared" si="29"/>
        <v>3529218.1862454922</v>
      </c>
      <c r="GX12" s="125">
        <f t="shared" si="29"/>
        <v>3529218.1862454922</v>
      </c>
      <c r="GY12" s="125">
        <f t="shared" si="29"/>
        <v>3529218.1862454922</v>
      </c>
      <c r="GZ12" s="125">
        <f t="shared" si="29"/>
        <v>3529218.1862454922</v>
      </c>
      <c r="HA12" s="125">
        <f t="shared" si="29"/>
        <v>3529218.1862454922</v>
      </c>
      <c r="HB12" s="125">
        <f t="shared" si="29"/>
        <v>3529218.1862454922</v>
      </c>
      <c r="HC12" s="125">
        <f t="shared" si="29"/>
        <v>3529218.1862454922</v>
      </c>
      <c r="HD12" s="125">
        <f t="shared" si="29"/>
        <v>3529218.1862454922</v>
      </c>
      <c r="HE12" s="125">
        <f t="shared" si="29"/>
        <v>3529218.1862454922</v>
      </c>
      <c r="HF12" s="125">
        <f t="shared" si="29"/>
        <v>3529218.1862454922</v>
      </c>
      <c r="HG12" s="125">
        <f t="shared" si="29"/>
        <v>3529218.1862454922</v>
      </c>
      <c r="HH12" s="125">
        <f t="shared" si="29"/>
        <v>3529218.1862454922</v>
      </c>
      <c r="HI12" s="125">
        <f t="shared" si="29"/>
        <v>3529218.1862454922</v>
      </c>
      <c r="HJ12" s="125">
        <f t="shared" si="29"/>
        <v>3529218.1862454922</v>
      </c>
      <c r="HK12" s="125">
        <f t="shared" si="29"/>
        <v>3529218.1862454922</v>
      </c>
      <c r="HL12" s="125">
        <f t="shared" si="29"/>
        <v>3529218.1862454922</v>
      </c>
      <c r="HM12" s="125">
        <f t="shared" si="29"/>
        <v>3529218.1862454922</v>
      </c>
      <c r="HN12" s="125">
        <f t="shared" si="29"/>
        <v>3529218.1862454922</v>
      </c>
      <c r="HO12" s="125">
        <f t="shared" si="29"/>
        <v>3529218.1862454922</v>
      </c>
      <c r="HP12" s="125">
        <f t="shared" si="29"/>
        <v>3529218.1862454922</v>
      </c>
      <c r="HQ12" s="125">
        <f t="shared" si="29"/>
        <v>3529218.1862454922</v>
      </c>
      <c r="HR12" s="125">
        <f t="shared" si="29"/>
        <v>3529218.1862454922</v>
      </c>
      <c r="HS12" s="125">
        <f t="shared" si="29"/>
        <v>3529218.1862454922</v>
      </c>
      <c r="HT12" s="125">
        <f t="shared" si="29"/>
        <v>3529218.1862454922</v>
      </c>
      <c r="HU12" s="125">
        <f t="shared" si="29"/>
        <v>3529218.1862454922</v>
      </c>
      <c r="HV12" s="125">
        <f t="shared" si="29"/>
        <v>3529218.1862454922</v>
      </c>
      <c r="HW12" s="125">
        <f t="shared" si="29"/>
        <v>3529218.1862454922</v>
      </c>
      <c r="HX12" s="125">
        <f t="shared" si="29"/>
        <v>3529218.1862454922</v>
      </c>
      <c r="HY12" s="125">
        <f t="shared" si="29"/>
        <v>3529218.1862454922</v>
      </c>
      <c r="HZ12" s="125">
        <f t="shared" si="29"/>
        <v>3529218.1862454922</v>
      </c>
      <c r="IA12" s="125">
        <f t="shared" si="29"/>
        <v>3529218.1862454922</v>
      </c>
      <c r="IB12" s="125">
        <f t="shared" si="29"/>
        <v>3529218.1862454922</v>
      </c>
      <c r="IC12" s="125">
        <f t="shared" si="29"/>
        <v>3529218.1862454922</v>
      </c>
      <c r="ID12" s="125">
        <f t="shared" si="29"/>
        <v>3529218.1862454922</v>
      </c>
      <c r="IE12" s="125">
        <f t="shared" si="29"/>
        <v>3529218.1862454922</v>
      </c>
      <c r="IF12" s="125">
        <f t="shared" si="29"/>
        <v>3529218.1862454922</v>
      </c>
      <c r="IG12" s="125">
        <f t="shared" si="29"/>
        <v>3529218.1862454922</v>
      </c>
      <c r="IH12" s="125">
        <f t="shared" si="29"/>
        <v>3529218.1862454922</v>
      </c>
      <c r="II12" s="125">
        <f t="shared" si="29"/>
        <v>3529218.1862454922</v>
      </c>
      <c r="IJ12" s="125">
        <f t="shared" si="29"/>
        <v>3529218.1862454922</v>
      </c>
      <c r="IK12" s="125">
        <f t="shared" si="29"/>
        <v>3529218.1862454922</v>
      </c>
      <c r="IL12" s="125">
        <f t="shared" si="29"/>
        <v>3529218.1862454922</v>
      </c>
      <c r="IM12" s="125">
        <f t="shared" si="29"/>
        <v>3529218.1862454922</v>
      </c>
      <c r="IN12" s="125">
        <f t="shared" si="29"/>
        <v>3529218.1862454922</v>
      </c>
      <c r="IO12" s="125">
        <f t="shared" si="29"/>
        <v>3529218.1862454922</v>
      </c>
      <c r="IP12" s="125">
        <f t="shared" si="29"/>
        <v>3529218.1862454922</v>
      </c>
      <c r="IQ12" s="125">
        <f t="shared" si="29"/>
        <v>3529218.1862454922</v>
      </c>
      <c r="IR12" s="125">
        <f t="shared" si="29"/>
        <v>3529218.1862454922</v>
      </c>
      <c r="IS12" s="125">
        <f t="shared" si="29"/>
        <v>3529218.1862454922</v>
      </c>
      <c r="IT12" s="125">
        <f t="shared" si="29"/>
        <v>3529218.1862454922</v>
      </c>
      <c r="IU12" s="125">
        <f t="shared" si="29"/>
        <v>3529218.1862454922</v>
      </c>
      <c r="IV12" s="125">
        <f t="shared" si="29"/>
        <v>3529218.1862454922</v>
      </c>
      <c r="IW12" s="125">
        <f t="shared" si="29"/>
        <v>3529218.1862454922</v>
      </c>
      <c r="IX12" s="125">
        <f t="shared" si="29"/>
        <v>3529218.1862454922</v>
      </c>
      <c r="IY12" s="125">
        <f t="shared" si="29"/>
        <v>3529218.1862454922</v>
      </c>
      <c r="IZ12" s="125">
        <f t="shared" si="29"/>
        <v>3529218.1862454922</v>
      </c>
      <c r="JA12" s="125">
        <f t="shared" si="29"/>
        <v>3529218.1862454922</v>
      </c>
      <c r="JB12" s="125">
        <f t="shared" si="29"/>
        <v>3529218.1862454922</v>
      </c>
      <c r="JC12" s="125">
        <f t="shared" si="29"/>
        <v>3529218.1862454922</v>
      </c>
      <c r="JD12" s="125">
        <f t="shared" si="29"/>
        <v>3529218.1862454922</v>
      </c>
      <c r="JE12" s="125">
        <f t="shared" ref="JE12:KF12" si="30">JD12+JE11</f>
        <v>3529218.1862454922</v>
      </c>
      <c r="JF12" s="125">
        <f t="shared" si="30"/>
        <v>3529218.1862454922</v>
      </c>
      <c r="JG12" s="125">
        <f t="shared" si="30"/>
        <v>3529218.1862454922</v>
      </c>
      <c r="JH12" s="125">
        <f t="shared" si="30"/>
        <v>3529218.1862454922</v>
      </c>
      <c r="JI12" s="125">
        <f t="shared" si="30"/>
        <v>3529218.1862454922</v>
      </c>
      <c r="JJ12" s="125">
        <f t="shared" si="30"/>
        <v>3529218.1862454922</v>
      </c>
      <c r="JK12" s="125">
        <f t="shared" si="30"/>
        <v>3529218.1862454922</v>
      </c>
      <c r="JL12" s="125">
        <f t="shared" si="30"/>
        <v>3529218.1862454922</v>
      </c>
      <c r="JM12" s="125">
        <f t="shared" si="30"/>
        <v>3529218.1862454922</v>
      </c>
      <c r="JN12" s="125">
        <f t="shared" si="30"/>
        <v>3529218.1862454922</v>
      </c>
      <c r="JO12" s="125">
        <f t="shared" si="30"/>
        <v>3529218.1862454922</v>
      </c>
      <c r="JP12" s="125">
        <f t="shared" si="30"/>
        <v>3529218.1862454922</v>
      </c>
      <c r="JQ12" s="125">
        <f t="shared" si="30"/>
        <v>3529218.1862454922</v>
      </c>
      <c r="JR12" s="125">
        <f t="shared" si="30"/>
        <v>3529218.1862454922</v>
      </c>
      <c r="JS12" s="125">
        <f t="shared" si="30"/>
        <v>3529218.1862454922</v>
      </c>
      <c r="JT12" s="125">
        <f t="shared" si="30"/>
        <v>3529218.1862454922</v>
      </c>
      <c r="JU12" s="125">
        <f t="shared" si="30"/>
        <v>3529218.1862454922</v>
      </c>
      <c r="JV12" s="125">
        <f t="shared" si="30"/>
        <v>3529218.1862454922</v>
      </c>
      <c r="JW12" s="125">
        <f t="shared" si="30"/>
        <v>3529218.1862454922</v>
      </c>
      <c r="JX12" s="125">
        <f t="shared" si="30"/>
        <v>3529218.1862454922</v>
      </c>
      <c r="JY12" s="125">
        <f t="shared" si="30"/>
        <v>3529218.1862454922</v>
      </c>
      <c r="JZ12" s="125">
        <f t="shared" si="30"/>
        <v>3529218.1862454922</v>
      </c>
      <c r="KA12" s="125">
        <f t="shared" si="30"/>
        <v>3529218.1862454922</v>
      </c>
      <c r="KB12" s="125">
        <f t="shared" si="30"/>
        <v>3529218.1862454922</v>
      </c>
      <c r="KC12" s="125">
        <f t="shared" si="30"/>
        <v>3529218.1862454922</v>
      </c>
      <c r="KD12" s="125">
        <f t="shared" si="30"/>
        <v>3529218.1862454922</v>
      </c>
      <c r="KE12" s="125">
        <f t="shared" si="30"/>
        <v>3529218.1862454922</v>
      </c>
      <c r="KF12" s="125">
        <f t="shared" si="30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438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2059803.4285636181</v>
      </c>
      <c r="L14" s="118">
        <f t="shared" si="32"/>
        <v>2059803.4285636181</v>
      </c>
      <c r="M14" s="118">
        <f t="shared" si="32"/>
        <v>2058403.4285636181</v>
      </c>
      <c r="N14" s="118">
        <f t="shared" si="32"/>
        <v>2058403.4285636181</v>
      </c>
      <c r="O14" s="118">
        <f t="shared" si="32"/>
        <v>1997403.4285636181</v>
      </c>
      <c r="P14" s="118">
        <f t="shared" si="32"/>
        <v>2662912.3873562147</v>
      </c>
      <c r="Q14" s="118">
        <f t="shared" si="32"/>
        <v>3071358.3302112101</v>
      </c>
      <c r="R14" s="118">
        <f t="shared" si="32"/>
        <v>3069958.3302112101</v>
      </c>
      <c r="S14" s="118">
        <f t="shared" si="32"/>
        <v>3069958.3302112101</v>
      </c>
      <c r="T14" s="118">
        <f t="shared" si="32"/>
        <v>2911545.9175783596</v>
      </c>
      <c r="U14" s="118">
        <f t="shared" si="32"/>
        <v>1382900.380328441</v>
      </c>
      <c r="V14" s="118">
        <f t="shared" si="32"/>
        <v>1484490.5517566218</v>
      </c>
      <c r="W14" s="118">
        <f t="shared" si="32"/>
        <v>1484490.5517566218</v>
      </c>
      <c r="X14" s="118">
        <f t="shared" si="32"/>
        <v>339078.13912377134</v>
      </c>
      <c r="Y14" s="118">
        <f t="shared" si="32"/>
        <v>623471.1534083141</v>
      </c>
      <c r="Z14" s="118">
        <f t="shared" si="32"/>
        <v>622071.1534083141</v>
      </c>
      <c r="AA14" s="118">
        <f t="shared" si="32"/>
        <v>590388.67088174401</v>
      </c>
      <c r="AB14" s="118">
        <f t="shared" si="32"/>
        <v>590388.67088174401</v>
      </c>
      <c r="AC14" s="118">
        <f t="shared" si="32"/>
        <v>590388.67088174401</v>
      </c>
      <c r="AD14" s="118">
        <f t="shared" si="32"/>
        <v>590388.67088174401</v>
      </c>
      <c r="AE14" s="118">
        <f t="shared" si="32"/>
        <v>590388.67088174401</v>
      </c>
      <c r="AF14" s="118">
        <f t="shared" si="32"/>
        <v>590388.67088174401</v>
      </c>
      <c r="AG14" s="118">
        <f t="shared" si="32"/>
        <v>590388.67088174401</v>
      </c>
      <c r="AH14" s="118">
        <f t="shared" si="32"/>
        <v>590388.67088174401</v>
      </c>
      <c r="AI14" s="118">
        <f t="shared" si="32"/>
        <v>590388.67088174401</v>
      </c>
      <c r="AJ14" s="118">
        <f t="shared" si="32"/>
        <v>590388.67088174401</v>
      </c>
      <c r="AK14" s="118">
        <f t="shared" si="32"/>
        <v>590388.67088174401</v>
      </c>
      <c r="AL14" s="118">
        <f t="shared" si="32"/>
        <v>590388.67088174401</v>
      </c>
      <c r="AM14" s="118">
        <f t="shared" si="32"/>
        <v>590388.67088174401</v>
      </c>
      <c r="AN14" s="118">
        <f t="shared" si="32"/>
        <v>590388.67088174401</v>
      </c>
      <c r="AO14" s="118">
        <f t="shared" si="32"/>
        <v>590388.67088174401</v>
      </c>
      <c r="AP14" s="118">
        <f t="shared" si="32"/>
        <v>590388.67088174401</v>
      </c>
      <c r="AQ14" s="118">
        <f t="shared" si="32"/>
        <v>590388.67088174401</v>
      </c>
      <c r="AR14" s="118">
        <f t="shared" si="32"/>
        <v>590388.67088174401</v>
      </c>
      <c r="AS14" s="118">
        <f t="shared" si="32"/>
        <v>590388.67088174401</v>
      </c>
      <c r="AT14" s="118">
        <f t="shared" si="32"/>
        <v>590388.67088174401</v>
      </c>
      <c r="AU14" s="118">
        <f t="shared" si="32"/>
        <v>590388.67088174401</v>
      </c>
      <c r="AV14" s="118">
        <f t="shared" si="32"/>
        <v>590388.67088174401</v>
      </c>
      <c r="AW14" s="118">
        <f t="shared" si="32"/>
        <v>590388.67088174401</v>
      </c>
      <c r="AX14" s="118">
        <f t="shared" si="32"/>
        <v>590388.67088174401</v>
      </c>
      <c r="AY14" s="118">
        <f t="shared" si="32"/>
        <v>590388.67088174401</v>
      </c>
      <c r="AZ14" s="118">
        <f t="shared" si="32"/>
        <v>590388.67088174401</v>
      </c>
      <c r="BA14" s="118">
        <f t="shared" si="32"/>
        <v>590388.67088174401</v>
      </c>
      <c r="BB14" s="118">
        <f t="shared" si="32"/>
        <v>590388.67088174401</v>
      </c>
      <c r="BC14" s="118">
        <f t="shared" si="32"/>
        <v>590388.67088174401</v>
      </c>
      <c r="BD14" s="118">
        <f t="shared" si="32"/>
        <v>590388.67088174401</v>
      </c>
      <c r="BE14" s="118">
        <f t="shared" si="32"/>
        <v>590388.67088174401</v>
      </c>
      <c r="BF14" s="118">
        <f t="shared" si="32"/>
        <v>590388.67088174401</v>
      </c>
      <c r="BG14" s="118">
        <f t="shared" si="32"/>
        <v>590388.67088174401</v>
      </c>
      <c r="BH14" s="118">
        <f t="shared" si="32"/>
        <v>590388.67088174401</v>
      </c>
      <c r="BI14" s="118">
        <f t="shared" si="32"/>
        <v>590388.67088174401</v>
      </c>
      <c r="BJ14" s="118">
        <f t="shared" si="32"/>
        <v>590388.67088174401</v>
      </c>
      <c r="BK14" s="118">
        <f t="shared" si="32"/>
        <v>590388.67088174401</v>
      </c>
      <c r="BL14" s="118">
        <f t="shared" si="32"/>
        <v>590388.67088174401</v>
      </c>
      <c r="BM14" s="118">
        <f t="shared" si="32"/>
        <v>590388.67088174401</v>
      </c>
      <c r="BN14" s="118">
        <f t="shared" si="32"/>
        <v>590388.67088174401</v>
      </c>
      <c r="BO14" s="118">
        <f t="shared" si="32"/>
        <v>590388.67088174401</v>
      </c>
      <c r="BP14" s="118">
        <f t="shared" si="32"/>
        <v>590388.67088174401</v>
      </c>
      <c r="BQ14" s="118">
        <f t="shared" si="32"/>
        <v>590388.67088174401</v>
      </c>
      <c r="BR14" s="118">
        <f t="shared" si="32"/>
        <v>590388.67088174401</v>
      </c>
      <c r="BS14" s="118">
        <f t="shared" si="32"/>
        <v>590388.67088174401</v>
      </c>
      <c r="BT14" s="118">
        <f t="shared" si="32"/>
        <v>590388.67088174401</v>
      </c>
      <c r="BU14" s="118">
        <f t="shared" ref="BU14:EF14" si="33">BU10-BU12</f>
        <v>590388.67088174401</v>
      </c>
      <c r="BV14" s="118">
        <f t="shared" si="33"/>
        <v>590388.67088174401</v>
      </c>
      <c r="BW14" s="118">
        <f t="shared" si="33"/>
        <v>590388.67088174401</v>
      </c>
      <c r="BX14" s="118">
        <f t="shared" si="33"/>
        <v>590388.67088174401</v>
      </c>
      <c r="BY14" s="118">
        <f t="shared" si="33"/>
        <v>590388.67088174401</v>
      </c>
      <c r="BZ14" s="118">
        <f t="shared" si="33"/>
        <v>590388.67088174401</v>
      </c>
      <c r="CA14" s="118">
        <f t="shared" si="33"/>
        <v>590388.67088174401</v>
      </c>
      <c r="CB14" s="118">
        <f t="shared" si="33"/>
        <v>590388.67088174401</v>
      </c>
      <c r="CC14" s="118">
        <f t="shared" si="33"/>
        <v>590388.67088174401</v>
      </c>
      <c r="CD14" s="118">
        <f t="shared" si="33"/>
        <v>590388.67088174401</v>
      </c>
      <c r="CE14" s="118">
        <f t="shared" si="33"/>
        <v>590388.67088174401</v>
      </c>
      <c r="CF14" s="118">
        <f t="shared" si="33"/>
        <v>590388.67088174401</v>
      </c>
      <c r="CG14" s="118">
        <f t="shared" si="33"/>
        <v>590388.67088174401</v>
      </c>
      <c r="CH14" s="118">
        <f t="shared" si="33"/>
        <v>590388.67088174401</v>
      </c>
      <c r="CI14" s="118">
        <f t="shared" si="33"/>
        <v>590388.67088174401</v>
      </c>
      <c r="CJ14" s="118">
        <f t="shared" si="33"/>
        <v>590388.67088174401</v>
      </c>
      <c r="CK14" s="118">
        <f t="shared" si="33"/>
        <v>590388.67088174401</v>
      </c>
      <c r="CL14" s="118">
        <f t="shared" si="33"/>
        <v>590388.67088174401</v>
      </c>
      <c r="CM14" s="118">
        <f t="shared" si="33"/>
        <v>590388.67088174401</v>
      </c>
      <c r="CN14" s="118">
        <f t="shared" si="33"/>
        <v>590388.67088174401</v>
      </c>
      <c r="CO14" s="118">
        <f t="shared" si="33"/>
        <v>590388.67088174401</v>
      </c>
      <c r="CP14" s="118">
        <f t="shared" si="33"/>
        <v>590388.67088174401</v>
      </c>
      <c r="CQ14" s="118">
        <f t="shared" si="33"/>
        <v>590388.67088174401</v>
      </c>
      <c r="CR14" s="118">
        <f t="shared" si="33"/>
        <v>590388.67088174401</v>
      </c>
      <c r="CS14" s="118">
        <f t="shared" si="33"/>
        <v>590388.67088174401</v>
      </c>
      <c r="CT14" s="118">
        <f t="shared" si="33"/>
        <v>590388.67088174401</v>
      </c>
      <c r="CU14" s="118">
        <f t="shared" si="33"/>
        <v>590388.67088174401</v>
      </c>
      <c r="CV14" s="118">
        <f t="shared" si="33"/>
        <v>590388.67088174401</v>
      </c>
      <c r="CW14" s="118">
        <f t="shared" si="33"/>
        <v>590388.67088174401</v>
      </c>
      <c r="CX14" s="118">
        <f t="shared" si="33"/>
        <v>590388.67088174401</v>
      </c>
      <c r="CY14" s="118">
        <f t="shared" si="33"/>
        <v>590388.67088174401</v>
      </c>
      <c r="CZ14" s="118">
        <f t="shared" si="33"/>
        <v>590388.67088174401</v>
      </c>
      <c r="DA14" s="118">
        <f t="shared" si="33"/>
        <v>590388.67088174401</v>
      </c>
      <c r="DB14" s="118">
        <f t="shared" si="33"/>
        <v>590388.67088174401</v>
      </c>
      <c r="DC14" s="118">
        <f t="shared" si="33"/>
        <v>590388.67088174401</v>
      </c>
      <c r="DD14" s="118">
        <f t="shared" si="33"/>
        <v>590388.67088174401</v>
      </c>
      <c r="DE14" s="118">
        <f t="shared" si="33"/>
        <v>590388.67088174401</v>
      </c>
      <c r="DF14" s="118">
        <f t="shared" si="33"/>
        <v>590388.67088174401</v>
      </c>
      <c r="DG14" s="118">
        <f t="shared" si="33"/>
        <v>590388.67088174401</v>
      </c>
      <c r="DH14" s="118">
        <f t="shared" si="33"/>
        <v>590388.67088174401</v>
      </c>
      <c r="DI14" s="118">
        <f t="shared" si="33"/>
        <v>590388.67088174401</v>
      </c>
      <c r="DJ14" s="118">
        <f t="shared" si="33"/>
        <v>590388.67088174401</v>
      </c>
      <c r="DK14" s="118">
        <f t="shared" si="33"/>
        <v>590388.67088174401</v>
      </c>
      <c r="DL14" s="118">
        <f t="shared" si="33"/>
        <v>590388.67088174401</v>
      </c>
      <c r="DM14" s="118">
        <f t="shared" si="33"/>
        <v>590388.67088174401</v>
      </c>
      <c r="DN14" s="118">
        <f t="shared" si="33"/>
        <v>590388.67088174401</v>
      </c>
      <c r="DO14" s="118">
        <f t="shared" si="33"/>
        <v>590388.67088174401</v>
      </c>
      <c r="DP14" s="118">
        <f t="shared" si="33"/>
        <v>590388.67088174401</v>
      </c>
      <c r="DQ14" s="118">
        <f t="shared" si="33"/>
        <v>590388.67088174401</v>
      </c>
      <c r="DR14" s="118">
        <f t="shared" si="33"/>
        <v>590388.67088174401</v>
      </c>
      <c r="DS14" s="118">
        <f t="shared" si="33"/>
        <v>590388.67088174401</v>
      </c>
      <c r="DT14" s="118">
        <f t="shared" si="33"/>
        <v>590388.67088174401</v>
      </c>
      <c r="DU14" s="118">
        <f t="shared" si="33"/>
        <v>590388.67088174401</v>
      </c>
      <c r="DV14" s="118">
        <f t="shared" si="33"/>
        <v>590388.67088174401</v>
      </c>
      <c r="DW14" s="118">
        <f t="shared" si="33"/>
        <v>590388.67088174401</v>
      </c>
      <c r="DX14" s="118">
        <f t="shared" si="33"/>
        <v>590388.67088174401</v>
      </c>
      <c r="DY14" s="118">
        <f t="shared" si="33"/>
        <v>590388.67088174401</v>
      </c>
      <c r="DZ14" s="118">
        <f t="shared" si="33"/>
        <v>590388.67088174401</v>
      </c>
      <c r="EA14" s="118">
        <f t="shared" si="33"/>
        <v>590388.67088174401</v>
      </c>
      <c r="EB14" s="118">
        <f t="shared" si="33"/>
        <v>590388.67088174401</v>
      </c>
      <c r="EC14" s="118">
        <f t="shared" si="33"/>
        <v>590388.67088174401</v>
      </c>
      <c r="ED14" s="118">
        <f t="shared" si="33"/>
        <v>590388.67088174401</v>
      </c>
      <c r="EE14" s="118">
        <f t="shared" si="33"/>
        <v>590388.67088174401</v>
      </c>
      <c r="EF14" s="118">
        <f t="shared" si="33"/>
        <v>590388.67088174401</v>
      </c>
      <c r="EG14" s="118">
        <f t="shared" ref="EG14:GR14" si="34">EG10-EG12</f>
        <v>590388.67088174401</v>
      </c>
      <c r="EH14" s="118">
        <f t="shared" si="34"/>
        <v>590388.67088174401</v>
      </c>
      <c r="EI14" s="118">
        <f t="shared" si="34"/>
        <v>590388.67088174401</v>
      </c>
      <c r="EJ14" s="118">
        <f t="shared" si="34"/>
        <v>590388.67088174401</v>
      </c>
      <c r="EK14" s="118">
        <f t="shared" si="34"/>
        <v>590388.67088174401</v>
      </c>
      <c r="EL14" s="118">
        <f t="shared" si="34"/>
        <v>590388.67088174401</v>
      </c>
      <c r="EM14" s="118">
        <f t="shared" si="34"/>
        <v>590388.67088174401</v>
      </c>
      <c r="EN14" s="118">
        <f t="shared" si="34"/>
        <v>590388.67088174401</v>
      </c>
      <c r="EO14" s="118">
        <f t="shared" si="34"/>
        <v>590388.67088174401</v>
      </c>
      <c r="EP14" s="118">
        <f t="shared" si="34"/>
        <v>590388.67088174401</v>
      </c>
      <c r="EQ14" s="118">
        <f t="shared" si="34"/>
        <v>590388.67088174401</v>
      </c>
      <c r="ER14" s="118">
        <f t="shared" si="34"/>
        <v>590388.67088174401</v>
      </c>
      <c r="ES14" s="118">
        <f t="shared" si="34"/>
        <v>590388.67088174401</v>
      </c>
      <c r="ET14" s="118">
        <f t="shared" si="34"/>
        <v>590388.67088174401</v>
      </c>
      <c r="EU14" s="118">
        <f t="shared" si="34"/>
        <v>590388.67088174401</v>
      </c>
      <c r="EV14" s="118">
        <f t="shared" si="34"/>
        <v>590388.67088174401</v>
      </c>
      <c r="EW14" s="118">
        <f t="shared" si="34"/>
        <v>590388.67088174401</v>
      </c>
      <c r="EX14" s="118">
        <f t="shared" si="34"/>
        <v>590388.67088174401</v>
      </c>
      <c r="EY14" s="118">
        <f t="shared" si="34"/>
        <v>590388.67088174401</v>
      </c>
      <c r="EZ14" s="118">
        <f t="shared" si="34"/>
        <v>590388.67088174401</v>
      </c>
      <c r="FA14" s="118">
        <f t="shared" si="34"/>
        <v>590388.67088174401</v>
      </c>
      <c r="FB14" s="118">
        <f t="shared" si="34"/>
        <v>590388.67088174401</v>
      </c>
      <c r="FC14" s="118">
        <f t="shared" si="34"/>
        <v>590388.67088174401</v>
      </c>
      <c r="FD14" s="118">
        <f t="shared" si="34"/>
        <v>590388.67088174401</v>
      </c>
      <c r="FE14" s="118">
        <f t="shared" si="34"/>
        <v>590388.67088174401</v>
      </c>
      <c r="FF14" s="118">
        <f t="shared" si="34"/>
        <v>590388.67088174401</v>
      </c>
      <c r="FG14" s="118">
        <f t="shared" si="34"/>
        <v>590388.67088174401</v>
      </c>
      <c r="FH14" s="118">
        <f t="shared" si="34"/>
        <v>590388.67088174401</v>
      </c>
      <c r="FI14" s="118">
        <f t="shared" si="34"/>
        <v>590388.67088174401</v>
      </c>
      <c r="FJ14" s="118">
        <f t="shared" si="34"/>
        <v>590388.67088174401</v>
      </c>
      <c r="FK14" s="118">
        <f t="shared" si="34"/>
        <v>590388.67088174401</v>
      </c>
      <c r="FL14" s="118">
        <f t="shared" si="34"/>
        <v>590388.67088174401</v>
      </c>
      <c r="FM14" s="118">
        <f t="shared" si="34"/>
        <v>590388.67088174401</v>
      </c>
      <c r="FN14" s="118">
        <f t="shared" si="34"/>
        <v>590388.67088174401</v>
      </c>
      <c r="FO14" s="118">
        <f t="shared" si="34"/>
        <v>590388.67088174401</v>
      </c>
      <c r="FP14" s="118">
        <f t="shared" si="34"/>
        <v>590388.67088174401</v>
      </c>
      <c r="FQ14" s="118">
        <f t="shared" si="34"/>
        <v>590388.67088174401</v>
      </c>
      <c r="FR14" s="118">
        <f t="shared" si="34"/>
        <v>590388.67088174401</v>
      </c>
      <c r="FS14" s="118">
        <f t="shared" si="34"/>
        <v>590388.67088174401</v>
      </c>
      <c r="FT14" s="118">
        <f t="shared" si="34"/>
        <v>590388.67088174401</v>
      </c>
      <c r="FU14" s="118">
        <f t="shared" si="34"/>
        <v>590388.67088174401</v>
      </c>
      <c r="FV14" s="118">
        <f t="shared" si="34"/>
        <v>590388.67088174401</v>
      </c>
      <c r="FW14" s="118">
        <f t="shared" si="34"/>
        <v>590388.67088174401</v>
      </c>
      <c r="FX14" s="118">
        <f t="shared" si="34"/>
        <v>590388.67088174401</v>
      </c>
      <c r="FY14" s="118">
        <f t="shared" si="34"/>
        <v>590388.67088174401</v>
      </c>
      <c r="FZ14" s="118">
        <f t="shared" si="34"/>
        <v>590388.67088174401</v>
      </c>
      <c r="GA14" s="118">
        <f t="shared" si="34"/>
        <v>590388.67088174401</v>
      </c>
      <c r="GB14" s="118">
        <f t="shared" si="34"/>
        <v>590388.67088174401</v>
      </c>
      <c r="GC14" s="118">
        <f t="shared" si="34"/>
        <v>590388.67088174401</v>
      </c>
      <c r="GD14" s="118">
        <f t="shared" si="34"/>
        <v>590388.67088174401</v>
      </c>
      <c r="GE14" s="118">
        <f t="shared" si="34"/>
        <v>590388.67088174401</v>
      </c>
      <c r="GF14" s="118">
        <f t="shared" si="34"/>
        <v>590388.67088174401</v>
      </c>
      <c r="GG14" s="118">
        <f t="shared" si="34"/>
        <v>590388.67088174401</v>
      </c>
      <c r="GH14" s="118">
        <f t="shared" si="34"/>
        <v>590388.67088174401</v>
      </c>
      <c r="GI14" s="118">
        <f t="shared" si="34"/>
        <v>590388.67088174401</v>
      </c>
      <c r="GJ14" s="118">
        <f t="shared" si="34"/>
        <v>590388.67088174401</v>
      </c>
      <c r="GK14" s="118">
        <f t="shared" si="34"/>
        <v>590388.67088174401</v>
      </c>
      <c r="GL14" s="118">
        <f t="shared" si="34"/>
        <v>590388.67088174401</v>
      </c>
      <c r="GM14" s="118">
        <f t="shared" si="34"/>
        <v>590388.67088174401</v>
      </c>
      <c r="GN14" s="118">
        <f t="shared" si="34"/>
        <v>590388.67088174401</v>
      </c>
      <c r="GO14" s="118">
        <f t="shared" si="34"/>
        <v>590388.67088174401</v>
      </c>
      <c r="GP14" s="118">
        <f t="shared" si="34"/>
        <v>590388.67088174401</v>
      </c>
      <c r="GQ14" s="118">
        <f t="shared" si="34"/>
        <v>590388.67088174401</v>
      </c>
      <c r="GR14" s="118">
        <f t="shared" si="34"/>
        <v>590388.67088174401</v>
      </c>
      <c r="GS14" s="118">
        <f t="shared" ref="GS14:JD14" si="35">GS10-GS12</f>
        <v>590388.67088174401</v>
      </c>
      <c r="GT14" s="118">
        <f t="shared" si="35"/>
        <v>590388.67088174401</v>
      </c>
      <c r="GU14" s="118">
        <f t="shared" si="35"/>
        <v>590388.67088174401</v>
      </c>
      <c r="GV14" s="118">
        <f t="shared" si="35"/>
        <v>590388.67088174401</v>
      </c>
      <c r="GW14" s="118">
        <f t="shared" si="35"/>
        <v>590388.67088174401</v>
      </c>
      <c r="GX14" s="118">
        <f t="shared" si="35"/>
        <v>590388.67088174401</v>
      </c>
      <c r="GY14" s="118">
        <f t="shared" si="35"/>
        <v>590388.67088174401</v>
      </c>
      <c r="GZ14" s="118">
        <f t="shared" si="35"/>
        <v>590388.67088174401</v>
      </c>
      <c r="HA14" s="118">
        <f t="shared" si="35"/>
        <v>590388.67088174401</v>
      </c>
      <c r="HB14" s="118">
        <f t="shared" si="35"/>
        <v>590388.67088174401</v>
      </c>
      <c r="HC14" s="118">
        <f t="shared" si="35"/>
        <v>590388.67088174401</v>
      </c>
      <c r="HD14" s="118">
        <f t="shared" si="35"/>
        <v>590388.67088174401</v>
      </c>
      <c r="HE14" s="118">
        <f t="shared" si="35"/>
        <v>590388.67088174401</v>
      </c>
      <c r="HF14" s="118">
        <f t="shared" si="35"/>
        <v>590388.67088174401</v>
      </c>
      <c r="HG14" s="118">
        <f t="shared" si="35"/>
        <v>590388.67088174401</v>
      </c>
      <c r="HH14" s="118">
        <f t="shared" si="35"/>
        <v>590388.67088174401</v>
      </c>
      <c r="HI14" s="118">
        <f t="shared" si="35"/>
        <v>590388.67088174401</v>
      </c>
      <c r="HJ14" s="118">
        <f t="shared" si="35"/>
        <v>590388.67088174401</v>
      </c>
      <c r="HK14" s="118">
        <f t="shared" si="35"/>
        <v>590388.67088174401</v>
      </c>
      <c r="HL14" s="118">
        <f t="shared" si="35"/>
        <v>590388.67088174401</v>
      </c>
      <c r="HM14" s="118">
        <f t="shared" si="35"/>
        <v>590388.67088174401</v>
      </c>
      <c r="HN14" s="118">
        <f t="shared" si="35"/>
        <v>590388.67088174401</v>
      </c>
      <c r="HO14" s="118">
        <f t="shared" si="35"/>
        <v>590388.67088174401</v>
      </c>
      <c r="HP14" s="118">
        <f t="shared" si="35"/>
        <v>590388.67088174401</v>
      </c>
      <c r="HQ14" s="118">
        <f t="shared" si="35"/>
        <v>590388.67088174401</v>
      </c>
      <c r="HR14" s="118">
        <f t="shared" si="35"/>
        <v>590388.67088174401</v>
      </c>
      <c r="HS14" s="118">
        <f t="shared" si="35"/>
        <v>590388.67088174401</v>
      </c>
      <c r="HT14" s="118">
        <f t="shared" si="35"/>
        <v>590388.67088174401</v>
      </c>
      <c r="HU14" s="118">
        <f t="shared" si="35"/>
        <v>590388.67088174401</v>
      </c>
      <c r="HV14" s="118">
        <f t="shared" si="35"/>
        <v>590388.67088174401</v>
      </c>
      <c r="HW14" s="118">
        <f t="shared" si="35"/>
        <v>590388.67088174401</v>
      </c>
      <c r="HX14" s="118">
        <f t="shared" si="35"/>
        <v>590388.67088174401</v>
      </c>
      <c r="HY14" s="118">
        <f t="shared" si="35"/>
        <v>590388.67088174401</v>
      </c>
      <c r="HZ14" s="118">
        <f t="shared" si="35"/>
        <v>590388.67088174401</v>
      </c>
      <c r="IA14" s="118">
        <f t="shared" si="35"/>
        <v>590388.67088174401</v>
      </c>
      <c r="IB14" s="118">
        <f t="shared" si="35"/>
        <v>590388.67088174401</v>
      </c>
      <c r="IC14" s="118">
        <f t="shared" si="35"/>
        <v>590388.67088174401</v>
      </c>
      <c r="ID14" s="118">
        <f t="shared" si="35"/>
        <v>590388.67088174401</v>
      </c>
      <c r="IE14" s="118">
        <f t="shared" si="35"/>
        <v>590388.67088174401</v>
      </c>
      <c r="IF14" s="118">
        <f t="shared" si="35"/>
        <v>590388.67088174401</v>
      </c>
      <c r="IG14" s="118">
        <f t="shared" si="35"/>
        <v>590388.67088174401</v>
      </c>
      <c r="IH14" s="118">
        <f t="shared" si="35"/>
        <v>590388.67088174401</v>
      </c>
      <c r="II14" s="118">
        <f t="shared" si="35"/>
        <v>590388.67088174401</v>
      </c>
      <c r="IJ14" s="118">
        <f t="shared" si="35"/>
        <v>590388.67088174401</v>
      </c>
      <c r="IK14" s="118">
        <f t="shared" si="35"/>
        <v>590388.67088174401</v>
      </c>
      <c r="IL14" s="118">
        <f t="shared" si="35"/>
        <v>590388.67088174401</v>
      </c>
      <c r="IM14" s="118">
        <f t="shared" si="35"/>
        <v>590388.67088174401</v>
      </c>
      <c r="IN14" s="118">
        <f t="shared" si="35"/>
        <v>590388.67088174401</v>
      </c>
      <c r="IO14" s="118">
        <f t="shared" si="35"/>
        <v>590388.67088174401</v>
      </c>
      <c r="IP14" s="118">
        <f t="shared" si="35"/>
        <v>590388.67088174401</v>
      </c>
      <c r="IQ14" s="118">
        <f t="shared" si="35"/>
        <v>590388.67088174401</v>
      </c>
      <c r="IR14" s="118">
        <f t="shared" si="35"/>
        <v>590388.67088174401</v>
      </c>
      <c r="IS14" s="118">
        <f t="shared" si="35"/>
        <v>590388.67088174401</v>
      </c>
      <c r="IT14" s="118">
        <f t="shared" si="35"/>
        <v>590388.67088174401</v>
      </c>
      <c r="IU14" s="118">
        <f t="shared" si="35"/>
        <v>590388.67088174401</v>
      </c>
      <c r="IV14" s="118">
        <f t="shared" si="35"/>
        <v>590388.67088174401</v>
      </c>
      <c r="IW14" s="118">
        <f t="shared" si="35"/>
        <v>590388.67088174401</v>
      </c>
      <c r="IX14" s="118">
        <f t="shared" si="35"/>
        <v>590388.67088174401</v>
      </c>
      <c r="IY14" s="118">
        <f t="shared" si="35"/>
        <v>590388.67088174401</v>
      </c>
      <c r="IZ14" s="118">
        <f t="shared" si="35"/>
        <v>590388.67088174401</v>
      </c>
      <c r="JA14" s="118">
        <f t="shared" si="35"/>
        <v>590388.67088174401</v>
      </c>
      <c r="JB14" s="118">
        <f t="shared" si="35"/>
        <v>590388.67088174401</v>
      </c>
      <c r="JC14" s="118">
        <f t="shared" si="35"/>
        <v>590388.67088174401</v>
      </c>
      <c r="JD14" s="118">
        <f t="shared" si="35"/>
        <v>590388.67088174401</v>
      </c>
      <c r="JE14" s="118">
        <f t="shared" ref="JE14:KF14" si="36">JE10-JE12</f>
        <v>590388.67088174401</v>
      </c>
      <c r="JF14" s="118">
        <f t="shared" si="36"/>
        <v>590388.67088174401</v>
      </c>
      <c r="JG14" s="118">
        <f t="shared" si="36"/>
        <v>590388.67088174401</v>
      </c>
      <c r="JH14" s="118">
        <f t="shared" si="36"/>
        <v>590388.67088174401</v>
      </c>
      <c r="JI14" s="118">
        <f t="shared" si="36"/>
        <v>590388.67088174401</v>
      </c>
      <c r="JJ14" s="118">
        <f t="shared" si="36"/>
        <v>590388.67088174401</v>
      </c>
      <c r="JK14" s="118">
        <f t="shared" si="36"/>
        <v>590388.67088174401</v>
      </c>
      <c r="JL14" s="118">
        <f t="shared" si="36"/>
        <v>590388.67088174401</v>
      </c>
      <c r="JM14" s="118">
        <f t="shared" si="36"/>
        <v>590388.67088174401</v>
      </c>
      <c r="JN14" s="118">
        <f t="shared" si="36"/>
        <v>590388.67088174401</v>
      </c>
      <c r="JO14" s="118">
        <f t="shared" si="36"/>
        <v>590388.67088174401</v>
      </c>
      <c r="JP14" s="118">
        <f t="shared" si="36"/>
        <v>590388.67088174401</v>
      </c>
      <c r="JQ14" s="118">
        <f t="shared" si="36"/>
        <v>590388.67088174401</v>
      </c>
      <c r="JR14" s="118">
        <f t="shared" si="36"/>
        <v>590388.67088174401</v>
      </c>
      <c r="JS14" s="118">
        <f t="shared" si="36"/>
        <v>590388.67088174401</v>
      </c>
      <c r="JT14" s="118">
        <f t="shared" si="36"/>
        <v>590388.67088174401</v>
      </c>
      <c r="JU14" s="118">
        <f t="shared" si="36"/>
        <v>590388.67088174401</v>
      </c>
      <c r="JV14" s="118">
        <f t="shared" si="36"/>
        <v>590388.67088174401</v>
      </c>
      <c r="JW14" s="118">
        <f t="shared" si="36"/>
        <v>590388.67088174401</v>
      </c>
      <c r="JX14" s="118">
        <f t="shared" si="36"/>
        <v>590388.67088174401</v>
      </c>
      <c r="JY14" s="118">
        <f t="shared" si="36"/>
        <v>590388.67088174401</v>
      </c>
      <c r="JZ14" s="118">
        <f t="shared" si="36"/>
        <v>590388.67088174401</v>
      </c>
      <c r="KA14" s="118">
        <f t="shared" si="36"/>
        <v>590388.67088174401</v>
      </c>
      <c r="KB14" s="118">
        <f t="shared" si="36"/>
        <v>590388.67088174401</v>
      </c>
      <c r="KC14" s="118">
        <f t="shared" si="36"/>
        <v>590388.67088174401</v>
      </c>
      <c r="KD14" s="118">
        <f t="shared" si="36"/>
        <v>590388.67088174401</v>
      </c>
      <c r="KE14" s="118">
        <f t="shared" si="36"/>
        <v>590388.67088174401</v>
      </c>
      <c r="KF14" s="118">
        <f t="shared" si="36"/>
        <v>590388.67088174401</v>
      </c>
    </row>
    <row r="15" spans="1:770" s="102" customFormat="1"/>
    <row r="16" spans="1:770" s="102" customFormat="1">
      <c r="C16" s="104" t="s">
        <v>290</v>
      </c>
      <c r="D16" s="104" t="s">
        <v>290</v>
      </c>
    </row>
    <row r="17" spans="1:292">
      <c r="A17" s="726"/>
      <c r="B17" s="106" t="s">
        <v>439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440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3212059.2883593123</v>
      </c>
      <c r="R18" s="125">
        <f t="shared" si="37"/>
        <v>3212059.2883593123</v>
      </c>
      <c r="S18" s="125">
        <f t="shared" si="37"/>
        <v>3212059.2883593123</v>
      </c>
      <c r="T18" s="125">
        <f t="shared" si="37"/>
        <v>3212059.2883593123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4.5703125" style="269" bestFit="1" customWidth="1"/>
    <col min="6" max="7" width="12.85546875" style="269" bestFit="1" customWidth="1"/>
    <col min="8" max="8" width="11.85546875" style="269" bestFit="1" customWidth="1"/>
    <col min="9" max="9" width="14.570312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441</v>
      </c>
      <c r="B3" s="540" t="s">
        <v>442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443</v>
      </c>
      <c r="B4" t="s">
        <v>444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445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444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294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301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317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324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340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346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377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380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384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395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403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406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392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350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445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4.5703125" style="308" bestFit="1" customWidth="1"/>
    <col min="6" max="7" width="12.85546875" style="308" bestFit="1" customWidth="1"/>
    <col min="8" max="8" width="11.85546875" style="308" bestFit="1" customWidth="1"/>
    <col min="9" max="9" width="14.570312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446</v>
      </c>
      <c r="B3" s="540" t="s">
        <v>442</v>
      </c>
      <c r="C3"/>
      <c r="D3"/>
      <c r="E3"/>
      <c r="F3"/>
      <c r="G3"/>
      <c r="H3"/>
      <c r="I3"/>
    </row>
    <row r="4" spans="1:9">
      <c r="A4" s="540" t="s">
        <v>443</v>
      </c>
      <c r="B4" t="s">
        <v>444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445</v>
      </c>
    </row>
    <row r="5" spans="1:9">
      <c r="A5" s="345" t="s">
        <v>444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294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301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317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324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340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346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362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377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380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384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395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403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406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392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350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445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447</v>
      </c>
      <c r="F2" s="19" t="s">
        <v>448</v>
      </c>
    </row>
    <row r="3" spans="3:8">
      <c r="C3" s="15">
        <v>45658</v>
      </c>
      <c r="D3" s="9" t="s">
        <v>449</v>
      </c>
      <c r="F3" s="17" t="s">
        <v>450</v>
      </c>
    </row>
    <row r="4" spans="3:8">
      <c r="C4" s="15">
        <v>45737</v>
      </c>
      <c r="D4" s="9" t="s">
        <v>451</v>
      </c>
      <c r="F4" s="17" t="s">
        <v>452</v>
      </c>
    </row>
    <row r="5" spans="3:8">
      <c r="C5" s="15">
        <v>45765</v>
      </c>
      <c r="D5" s="9" t="s">
        <v>453</v>
      </c>
      <c r="F5" s="17" t="s">
        <v>454</v>
      </c>
    </row>
    <row r="6" spans="3:8" ht="12.95" thickBot="1">
      <c r="C6" s="15">
        <v>45768</v>
      </c>
      <c r="D6" s="9" t="s">
        <v>455</v>
      </c>
      <c r="F6" s="18" t="s">
        <v>456</v>
      </c>
    </row>
    <row r="7" spans="3:8">
      <c r="C7" s="15">
        <v>45774</v>
      </c>
      <c r="D7" s="9" t="s">
        <v>457</v>
      </c>
    </row>
    <row r="8" spans="3:8">
      <c r="C8" s="15">
        <v>45765</v>
      </c>
      <c r="D8" s="9" t="s">
        <v>458</v>
      </c>
    </row>
    <row r="9" spans="3:8">
      <c r="C9" s="15">
        <v>45778</v>
      </c>
      <c r="D9" s="9" t="s">
        <v>459</v>
      </c>
    </row>
    <row r="10" spans="3:8">
      <c r="C10" s="15">
        <v>45824</v>
      </c>
      <c r="D10" s="9" t="s">
        <v>460</v>
      </c>
    </row>
    <row r="11" spans="3:8">
      <c r="C11" s="15">
        <v>45878</v>
      </c>
      <c r="D11" s="9" t="s">
        <v>461</v>
      </c>
    </row>
    <row r="12" spans="3:8">
      <c r="C12" s="15">
        <v>45924</v>
      </c>
      <c r="D12" s="9" t="s">
        <v>462</v>
      </c>
    </row>
    <row r="13" spans="3:8">
      <c r="C13" s="15">
        <v>46007</v>
      </c>
      <c r="D13" s="9" t="s">
        <v>463</v>
      </c>
      <c r="F13" s="20"/>
      <c r="H13" s="9" t="s">
        <v>464</v>
      </c>
    </row>
    <row r="14" spans="3:8">
      <c r="C14" s="15">
        <v>46016</v>
      </c>
      <c r="D14" s="9" t="s">
        <v>465</v>
      </c>
    </row>
    <row r="15" spans="3:8">
      <c r="C15" s="15">
        <v>46017</v>
      </c>
      <c r="D15" s="9" t="s">
        <v>466</v>
      </c>
    </row>
    <row r="16" spans="3:8">
      <c r="C16" s="15">
        <v>46006</v>
      </c>
      <c r="D16" s="9" t="s">
        <v>467</v>
      </c>
    </row>
    <row r="17" spans="3:4">
      <c r="C17" s="15">
        <v>46007</v>
      </c>
      <c r="D17" s="9" t="s">
        <v>467</v>
      </c>
    </row>
    <row r="18" spans="3:4">
      <c r="C18" s="15">
        <v>46008</v>
      </c>
      <c r="D18" s="9" t="s">
        <v>467</v>
      </c>
    </row>
    <row r="19" spans="3:4">
      <c r="C19" s="15">
        <v>46009</v>
      </c>
      <c r="D19" s="9" t="s">
        <v>467</v>
      </c>
    </row>
    <row r="20" spans="3:4">
      <c r="C20" s="15">
        <v>46010</v>
      </c>
      <c r="D20" s="9" t="s">
        <v>467</v>
      </c>
    </row>
    <row r="21" spans="3:4">
      <c r="C21" s="15">
        <v>46011</v>
      </c>
      <c r="D21" s="9" t="s">
        <v>467</v>
      </c>
    </row>
    <row r="22" spans="3:4">
      <c r="C22" s="15">
        <v>46012</v>
      </c>
      <c r="D22" s="9" t="s">
        <v>467</v>
      </c>
    </row>
    <row r="23" spans="3:4">
      <c r="C23" s="15">
        <v>46013</v>
      </c>
      <c r="D23" s="9" t="s">
        <v>467</v>
      </c>
    </row>
    <row r="24" spans="3:4">
      <c r="C24" s="15">
        <v>46014</v>
      </c>
      <c r="D24" s="9" t="s">
        <v>467</v>
      </c>
    </row>
    <row r="25" spans="3:4">
      <c r="C25" s="15">
        <v>46015</v>
      </c>
      <c r="D25" s="9" t="s">
        <v>467</v>
      </c>
    </row>
    <row r="26" spans="3:4">
      <c r="C26" s="15">
        <v>46016</v>
      </c>
      <c r="D26" s="9" t="s">
        <v>467</v>
      </c>
    </row>
    <row r="27" spans="3:4">
      <c r="C27" s="15">
        <v>46017</v>
      </c>
      <c r="D27" s="9" t="s">
        <v>467</v>
      </c>
    </row>
    <row r="28" spans="3:4">
      <c r="C28" s="15">
        <v>46018</v>
      </c>
      <c r="D28" s="9" t="s">
        <v>467</v>
      </c>
    </row>
    <row r="29" spans="3:4">
      <c r="C29" s="15">
        <v>46019</v>
      </c>
      <c r="D29" s="9" t="s">
        <v>467</v>
      </c>
    </row>
    <row r="30" spans="3:4">
      <c r="C30" s="15">
        <v>46020</v>
      </c>
      <c r="D30" s="9" t="s">
        <v>467</v>
      </c>
    </row>
    <row r="31" spans="3:4">
      <c r="C31" s="15">
        <v>46021</v>
      </c>
      <c r="D31" s="9" t="s">
        <v>467</v>
      </c>
    </row>
    <row r="32" spans="3:4">
      <c r="C32" s="15">
        <v>46022</v>
      </c>
      <c r="D32" s="9" t="s">
        <v>467</v>
      </c>
    </row>
    <row r="33" spans="3:4">
      <c r="C33" s="15">
        <v>46023</v>
      </c>
      <c r="D33" s="9" t="s">
        <v>467</v>
      </c>
    </row>
    <row r="34" spans="3:4">
      <c r="C34" s="15">
        <v>46024</v>
      </c>
      <c r="D34" s="9" t="s">
        <v>467</v>
      </c>
    </row>
    <row r="35" spans="3:4">
      <c r="C35" s="15">
        <v>46025</v>
      </c>
      <c r="D35" s="9" t="s">
        <v>467</v>
      </c>
    </row>
    <row r="36" spans="3:4">
      <c r="C36" s="15">
        <v>46026</v>
      </c>
      <c r="D36" s="9" t="s">
        <v>467</v>
      </c>
    </row>
    <row r="37" spans="3:4">
      <c r="C37" s="15">
        <v>46027</v>
      </c>
      <c r="D37" s="9" t="s">
        <v>467</v>
      </c>
    </row>
    <row r="38" spans="3:4">
      <c r="C38" s="15">
        <v>46028</v>
      </c>
      <c r="D38" s="9" t="s">
        <v>467</v>
      </c>
    </row>
    <row r="39" spans="3:4">
      <c r="C39" s="15">
        <v>46029</v>
      </c>
      <c r="D39" s="9" t="s">
        <v>467</v>
      </c>
    </row>
    <row r="40" spans="3:4">
      <c r="C40" s="15">
        <v>46030</v>
      </c>
      <c r="D40" s="9" t="s">
        <v>467</v>
      </c>
    </row>
    <row r="41" spans="3:4">
      <c r="C41" s="15"/>
      <c r="D41" s="9" t="s">
        <v>467</v>
      </c>
    </row>
    <row r="42" spans="3:4">
      <c r="C42" s="15"/>
      <c r="D42" s="9" t="s">
        <v>467</v>
      </c>
    </row>
    <row r="43" spans="3:4">
      <c r="C43" s="15"/>
      <c r="D43" s="9" t="s">
        <v>467</v>
      </c>
    </row>
    <row r="44" spans="3:4">
      <c r="C44" s="15"/>
      <c r="D44" s="9" t="s">
        <v>467</v>
      </c>
    </row>
    <row r="45" spans="3:4">
      <c r="C45" s="15"/>
      <c r="D45" s="9" t="s">
        <v>467</v>
      </c>
    </row>
    <row r="46" spans="3:4">
      <c r="C46" s="15"/>
      <c r="D46" s="9" t="s">
        <v>467</v>
      </c>
    </row>
    <row r="47" spans="3:4">
      <c r="C47" s="15"/>
      <c r="D47" s="9" t="s">
        <v>467</v>
      </c>
    </row>
    <row r="48" spans="3:4">
      <c r="C48" s="15"/>
      <c r="D48" s="9" t="s">
        <v>467</v>
      </c>
    </row>
    <row r="49" spans="3:4">
      <c r="C49" s="15">
        <v>46102</v>
      </c>
      <c r="D49" s="9" t="s">
        <v>451</v>
      </c>
    </row>
    <row r="50" spans="3:4">
      <c r="C50" s="15">
        <v>46115</v>
      </c>
      <c r="D50" s="9" t="s">
        <v>453</v>
      </c>
    </row>
    <row r="51" spans="3:4">
      <c r="C51" s="15">
        <v>46118</v>
      </c>
      <c r="D51" s="9" t="s">
        <v>455</v>
      </c>
    </row>
    <row r="52" spans="3:4">
      <c r="C52" s="15">
        <v>46139</v>
      </c>
      <c r="D52" s="9" t="s">
        <v>457</v>
      </c>
    </row>
    <row r="53" spans="3:4">
      <c r="C53" s="15">
        <v>46143</v>
      </c>
      <c r="D53" s="9" t="s">
        <v>459</v>
      </c>
    </row>
    <row r="54" spans="3:4">
      <c r="C54" s="15">
        <v>46189</v>
      </c>
      <c r="D54" s="9" t="s">
        <v>460</v>
      </c>
    </row>
    <row r="55" spans="3:4">
      <c r="C55" s="15">
        <v>46243</v>
      </c>
      <c r="D55" s="9" t="s">
        <v>461</v>
      </c>
    </row>
    <row r="56" spans="3:4">
      <c r="C56" s="15">
        <v>46244</v>
      </c>
      <c r="D56" s="9" t="s">
        <v>468</v>
      </c>
    </row>
    <row r="57" spans="3:4">
      <c r="C57" s="15">
        <v>46289</v>
      </c>
      <c r="D57" s="9" t="s">
        <v>462</v>
      </c>
    </row>
    <row r="58" spans="3:4">
      <c r="C58" s="15">
        <v>46372</v>
      </c>
      <c r="D58" s="9" t="s">
        <v>463</v>
      </c>
    </row>
    <row r="59" spans="3:4">
      <c r="C59" s="15">
        <v>46381</v>
      </c>
      <c r="D59" s="9" t="s">
        <v>465</v>
      </c>
    </row>
    <row r="60" spans="3:4" ht="12.95" thickBot="1">
      <c r="C60" s="16">
        <v>46382</v>
      </c>
      <c r="D60" s="9" t="s">
        <v>466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A378B-2BD3-4348-A41B-B61CC7820E64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