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55" documentId="13_ncr:1_{88662233-A3CA-4DB1-B156-E0D8D78B7588}" xr6:coauthVersionLast="47" xr6:coauthVersionMax="47" xr10:uidLastSave="{352700B8-ADD1-489A-8E79-AB8E81132665}"/>
  <bookViews>
    <workbookView xWindow="6705" yWindow="-16320" windowWidth="29040" windowHeight="15720" tabRatio="655" firstSheet="3" activeTab="4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6" i="18" l="1"/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39" i="18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66" i="18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<sst xmlns="http://schemas.openxmlformats.org/spreadsheetml/2006/main" count="968" uniqueCount="565">
  <si>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</si>
  <si>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</si>
  <si>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</si>
  <si>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</si>
  <si>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</si>
  <si>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</si>
  <si>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</si>
  <si>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</si>
  <si>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</si>
  <si>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</si>
  <si>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</si>
  <si>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</si>
  <si>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</si>
  <si>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</si>
  <si>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</si>
  <si>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</si>
  <si>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</si>
  <si>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</si>
  <si>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</si>
  <si>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</si>
  <si>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</si>
  <si>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</si>
  <si>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</si>
  <si>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</si>
  <si>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</si>
  <si>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</si>
  <si>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</si>
  <si>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</si>
  <si>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</si>
  <si>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</si>
  <si>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</si>
  <si>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</si>
  <si>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</si>
  <si>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</si>
  <si>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</si>
  <si>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</si>
  <si>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</si>
  <si>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</si>
  <si>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</si>
  <si>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</si>
  <si>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</si>
  <si>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</si>
  <si>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</si>
  <si>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</si>
  <si>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</si>
  <si>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</si>
  <si>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</si>
  <si>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</si>
  <si>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</si>
  <si>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</si>
  <si>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</si>
  <si>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</si>
  <si>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</si>
  <si>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</si>
  <si>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</si>
  <si>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</si>
  <si>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</si>
  <si>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</si>
  <si>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</si>
  <si>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</si>
  <si>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</si>
  <si>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</si>
  <si>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</si>
  <si>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</si>
  <si>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</si>
  <si>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</si>
  <si>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</si>
  <si>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</si>
  <si>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</si>
  <si>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</si>
  <si>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</si>
  <si>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</si>
  <si>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</si>
  <si>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</si>
  <si>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</si>
  <si>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</si>
  <si>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</si>
  <si>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</si>
  <si>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</si>
  <si>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</si>
  <si>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</si>
  <si>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</si>
  <si>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</si>
  <si>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</si>
  <si>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</si>
  <si>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</si>
  <si>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</si>
  <si>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</si>
  <si>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</si>
  <si>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</si>
  <si>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</si>
  <si>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</si>
  <si>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</si>
  <si>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</si>
  <si>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</si>
  <si>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</si>
  <si>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</si>
  <si>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</si>
  <si>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</si>
  <si>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</si>
  <si>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</si>
  <si>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</si>
  <si>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</si>
  <si>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</si>
  <si>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</si>
  <si>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</si>
  <si>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</si>
  <si>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</si>
  <si>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</si>
  <si>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</si>
  <si>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</si>
  <si>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</si>
  <si>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</si>
  <si>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</si>
  <si>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</si>
  <si>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</si>
  <si>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</si>
  <si>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</si>
  <si>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</si>
  <si>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</si>
  <si>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</si>
  <si>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</si>
  <si>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</si>
  <si>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</si>
  <si>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</si>
  <si>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</si>
  <si>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</si>
  <si>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</si>
  <si>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</si>
  <si>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</si>
  <si>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</si>
  <si>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</si>
  <si>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</si>
  <si>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</si>
  <si>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</si>
  <si>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</si>
  <si>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</si>
  <si>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</si>
  <si>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</si>
  <si>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</si>
  <si>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</si>
  <si>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</si>
  <si>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</si>
  <si>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</si>
  <si>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</si>
  <si>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</si>
  <si>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</si>
  <si>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</si>
  <si>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</si>
  <si>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</si>
  <si>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</si>
  <si>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</si>
  <si>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</si>
  <si>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</si>
  <si>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</si>
  <si>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</si>
  <si>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</si>
  <si>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</si>
  <si>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</si>
  <si>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</si>
  <si>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</si>
  <si>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</si>
  <si>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</si>
  <si>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</si>
  <si>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</si>
  <si>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</si>
  <si>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</si>
  <si>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</si>
  <si>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</si>
  <si>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</si>
  <si>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</si>
  <si>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</si>
  <si>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</si>
  <si>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</si>
  <si>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</si>
  <si>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</si>
  <si>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</si>
  <si>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</si>
  <si>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</si>
  <si>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</si>
  <si>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</si>
  <si>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</si>
  <si>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</si>
  <si>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</si>
  <si>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</si>
  <si>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</si>
  <si>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CONFIRMED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</si>
  <si>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</si>
  <si>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</si>
  <si>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</si>
  <si>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</si>
  <si>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</si>
  <si>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</si>
  <si>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</si>
  <si>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</si>
  <si>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</si>
  <si>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</si>
  <si>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</si>
  <si>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</si>
  <si>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</si>
  <si>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</si>
  <si>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</si>
  <si>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</si>
  <si>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</si>
  <si>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</si>
  <si>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</si>
  <si>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</si>
  <si>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</si>
  <si>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</si>
  <si>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</si>
  <si>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</si>
  <si>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</si>
  <si>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</si>
  <si>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</si>
  <si>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</si>
  <si>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</si>
  <si>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</si>
  <si>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</si>
  <si>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</si>
  <si>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</si>
  <si>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</si>
  <si>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</si>
  <si>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</si>
  <si>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</si>
  <si>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</si>
  <si>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</si>
  <si>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</si>
  <si>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</si>
  <si>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</si>
  <si>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</si>
  <si>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</si>
  <si>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</si>
  <si>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</si>
  <si>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</si>
  <si>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</si>
  <si>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</si>
  <si>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</si>
  <si>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</si>
  <si>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</si>
  <si>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</si>
  <si>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</si>
  <si>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</si>
  <si>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</si>
  <si>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</si>
  <si>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</si>
  <si>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</si>
  <si>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</si>
  <si>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</si>
  <si>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</si>
  <si>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</si>
  <si>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</si>
  <si>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</si>
  <si>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</si>
  <si>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</si>
  <si>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</si>
  <si>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</si>
  <si>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</si>
  <si>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</si>
  <si>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</si>
  <si>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</si>
  <si>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</si>
  <si>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</si>
  <si>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</si>
  <si>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</si>
  <si>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</si>
  <si>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</si>
  <si>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</si>
  <si>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</si>
  <si>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</si>
  <si>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</si>
  <si>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</si>
  <si>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</si>
  <si>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</si>
  <si>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</si>
  <si>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</si>
  <si>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</si>
  <si>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</si>
  <si>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</si>
  <si>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</si>
  <si>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</si>
  <si>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</si>
  <si>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</si>
  <si>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</si>
  <si>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</si>
  <si>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</si>
  <si>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</si>
  <si>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</si>
  <si>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</si>
  <si>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</si>
  <si>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</si>
  <si>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</si>
  <si>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</si>
  <si>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</si>
  <si>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</si>
  <si>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</si>
  <si>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</si>
  <si>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</si>
  <si>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</si>
  <si>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</si>
  <si>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</si>
  <si>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</si>
  <si>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</si>
  <si>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</si>
  <si>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</si>
  <si>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</si>
  <si>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</si>
  <si>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</si>
  <si>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</si>
  <si>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</si>
  <si>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</si>
  <si>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</si>
  <si>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</si>
  <si>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</si>
  <si>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</si>
  <si>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</si>
  <si>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</si>
  <si>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</si>
  <si>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</si>
  <si>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</si>
  <si>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</si>
  <si>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</si>
  <si>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</si>
  <si>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</si>
  <si>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</si>
  <si>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</si>
  <si>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</si>
  <si>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</si>
  <si>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</si>
  <si>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</si>
  <si>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</si>
  <si>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</si>
  <si>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</si>
  <si>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</si>
  <si>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</si>
  <si>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</si>
  <si>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</si>
  <si>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</si>
  <si>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</si>
  <si>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</si>
  <si>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</si>
  <si>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</si>
  <si>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</si>
  <si>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</si>
  <si>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</si>
  <si>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</si>
  <si>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</si>
  <si>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</si>
  <si>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</si>
  <si>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</si>
  <si>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</si>
  <si>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</si>
  <si>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</si>
  <si>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</si>
  <si>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</si>
  <si>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</si>
  <si>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</si>
  <si>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</si>
  <si>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</si>
  <si>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</si>
  <si>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</si>
  <si>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</si>
  <si>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</si>
  <si>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</si>
  <si>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</si>
  <si>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</si>
  <si>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</si>
  <si>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</si>
  <si>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</si>
  <si>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</si>
  <si>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</si>
  <si>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</si>
  <si>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</si>
  <si>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</si>
  <si>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</si>
  <si>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</si>
  <si>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The Greenway - INV0001641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</si>
  <si>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</si>
  <si>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</si>
  <si>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</si>
  <si>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</si>
  <si>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</si>
  <si>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</si>
  <si>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</si>
  <si>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</si>
  <si>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</si>
  <si>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</si>
  <si>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</si>
  <si>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</si>
  <si>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</si>
  <si>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</si>
  <si>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</si>
  <si>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</si>
  <si>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</si>
  <si>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</si>
  <si>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</si>
  <si>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</si>
  <si>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</si>
  <si>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</si>
  <si>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</si>
  <si>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</si>
  <si>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</si>
  <si>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</si>
  <si>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</si>
  <si>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</si>
  <si>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</si>
  <si>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</si>
  <si>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</si>
  <si>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</si>
  <si>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</si>
  <si>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</si>
  <si>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</si>
  <si>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</si>
  <si>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</si>
  <si>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</si>
  <si>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</si>
  <si>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</si>
  <si>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</si>
  <si>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</si>
  <si>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</si>
  <si>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</si>
  <si>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</si>
  <si>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</si>
  <si>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</si>
  <si>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</si>
  <si>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</si>
  <si>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</si>
  <si>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</si>
  <si>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</si>
  <si>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</si>
  <si>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</si>
  <si>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</si>
  <si>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</si>
  <si>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</si>
  <si>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</si>
  <si>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</si>
  <si>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</si>
  <si>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</si>
  <si>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</si>
  <si>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</si>
  <si>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</si>
  <si>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</si>
  <si>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</si>
  <si>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</si>
  <si>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</si>
  <si>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</si>
  <si>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</si>
  <si>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</si>
  <si>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</si>
  <si>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</si>
  <si>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</si>
  <si>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</si>
  <si>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</si>
  <si>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</si>
  <si>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</si>
  <si>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</si>
  <si>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</si>
  <si>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</si>
  <si>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Matriarch - INV-6571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</si>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</sst>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9" fontId="19" fillId="6" borderId="24" xfId="2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2573498.4660000005</c:v>
                </c:pt>
                <c:pt idx="25">
                  <c:v>2573498.4660000005</c:v>
                </c:pt>
                <c:pt idx="26">
                  <c:v>2576998.4660000005</c:v>
                </c:pt>
                <c:pt idx="27">
                  <c:v>2582448.4660000005</c:v>
                </c:pt>
                <c:pt idx="28">
                  <c:v>2582448.4660000005</c:v>
                </c:pt>
                <c:pt idx="29">
                  <c:v>2633204.5400000005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-128437.91650416655</c:v>
                </c:pt>
                <c:pt idx="25">
                  <c:v>-128437.91650416655</c:v>
                </c:pt>
                <c:pt idx="26">
                  <c:v>180362.59349583322</c:v>
                </c:pt>
                <c:pt idx="27">
                  <c:v>174912.59349583322</c:v>
                </c:pt>
                <c:pt idx="28">
                  <c:v>174912.59349583322</c:v>
                </c:pt>
                <c:pt idx="29">
                  <c:v>124156.5194958332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2792816.3059772803</c:v>
                </c:pt>
                <c:pt idx="26">
                  <c:v>2792816.3059772803</c:v>
                </c:pt>
                <c:pt idx="27">
                  <c:v>2792816.3059772803</c:v>
                </c:pt>
                <c:pt idx="28">
                  <c:v>2792816.3059772803</c:v>
                </c:pt>
                <c:pt idx="29">
                  <c:v>2792816.3059772803</c:v>
                </c:pt>
                <c:pt idx="30">
                  <c:v>2792816.3059772803</c:v>
                </c:pt>
                <c:pt idx="31">
                  <c:v>2792816.3059772803</c:v>
                </c:pt>
                <c:pt idx="32">
                  <c:v>2792816.3059772803</c:v>
                </c:pt>
                <c:pt idx="33">
                  <c:v>2792816.3059772803</c:v>
                </c:pt>
                <c:pt idx="34">
                  <c:v>2792816.3059772803</c:v>
                </c:pt>
                <c:pt idx="35">
                  <c:v>2792816.3059772803</c:v>
                </c:pt>
                <c:pt idx="36">
                  <c:v>2792816.3059772803</c:v>
                </c:pt>
                <c:pt idx="37">
                  <c:v>2792816.3059772803</c:v>
                </c:pt>
                <c:pt idx="38">
                  <c:v>2792816.3059772803</c:v>
                </c:pt>
                <c:pt idx="39">
                  <c:v>2792816.3059772803</c:v>
                </c:pt>
                <c:pt idx="40">
                  <c:v>2792816.3059772803</c:v>
                </c:pt>
                <c:pt idx="41">
                  <c:v>2792816.3059772803</c:v>
                </c:pt>
                <c:pt idx="42">
                  <c:v>2792816.3059772803</c:v>
                </c:pt>
                <c:pt idx="43">
                  <c:v>2792816.3059772803</c:v>
                </c:pt>
                <c:pt idx="44">
                  <c:v>2792816.3059772803</c:v>
                </c:pt>
                <c:pt idx="45">
                  <c:v>2792816.3059772803</c:v>
                </c:pt>
                <c:pt idx="46">
                  <c:v>2792816.3059772803</c:v>
                </c:pt>
                <c:pt idx="47">
                  <c:v>2792816.3059772803</c:v>
                </c:pt>
                <c:pt idx="48">
                  <c:v>2792816.3059772803</c:v>
                </c:pt>
                <c:pt idx="49">
                  <c:v>2792816.3059772803</c:v>
                </c:pt>
                <c:pt idx="50">
                  <c:v>2792816.3059772803</c:v>
                </c:pt>
                <c:pt idx="51">
                  <c:v>2792816.3059772803</c:v>
                </c:pt>
                <c:pt idx="52">
                  <c:v>2792816.3059772803</c:v>
                </c:pt>
                <c:pt idx="53">
                  <c:v>2792816.3059772803</c:v>
                </c:pt>
                <c:pt idx="54">
                  <c:v>2792816.3059772803</c:v>
                </c:pt>
                <c:pt idx="55">
                  <c:v>2792816.3059772803</c:v>
                </c:pt>
                <c:pt idx="56">
                  <c:v>2792816.3059772803</c:v>
                </c:pt>
                <c:pt idx="57">
                  <c:v>2792816.3059772803</c:v>
                </c:pt>
                <c:pt idx="58">
                  <c:v>2792816.3059772803</c:v>
                </c:pt>
                <c:pt idx="59">
                  <c:v>2792816.3059772803</c:v>
                </c:pt>
                <c:pt idx="60">
                  <c:v>2792816.3059772803</c:v>
                </c:pt>
                <c:pt idx="61">
                  <c:v>2792816.3059772803</c:v>
                </c:pt>
                <c:pt idx="62">
                  <c:v>2792816.3059772803</c:v>
                </c:pt>
                <c:pt idx="63">
                  <c:v>2792816.3059772803</c:v>
                </c:pt>
                <c:pt idx="64">
                  <c:v>2792816.3059772803</c:v>
                </c:pt>
                <c:pt idx="65">
                  <c:v>2792816.3059772803</c:v>
                </c:pt>
                <c:pt idx="66">
                  <c:v>2792816.3059772803</c:v>
                </c:pt>
                <c:pt idx="67">
                  <c:v>2792816.3059772803</c:v>
                </c:pt>
                <c:pt idx="68">
                  <c:v>2792816.3059772803</c:v>
                </c:pt>
                <c:pt idx="69">
                  <c:v>2792816.3059772803</c:v>
                </c:pt>
                <c:pt idx="70">
                  <c:v>2792816.3059772803</c:v>
                </c:pt>
                <c:pt idx="71">
                  <c:v>2792816.3059772803</c:v>
                </c:pt>
                <c:pt idx="72">
                  <c:v>2792816.3059772803</c:v>
                </c:pt>
                <c:pt idx="73">
                  <c:v>2792816.3059772803</c:v>
                </c:pt>
                <c:pt idx="74">
                  <c:v>2792816.3059772803</c:v>
                </c:pt>
                <c:pt idx="75">
                  <c:v>2792816.3059772803</c:v>
                </c:pt>
                <c:pt idx="76">
                  <c:v>2792816.3059772803</c:v>
                </c:pt>
                <c:pt idx="77">
                  <c:v>2792816.3059772803</c:v>
                </c:pt>
                <c:pt idx="78">
                  <c:v>2792816.3059772803</c:v>
                </c:pt>
                <c:pt idx="79">
                  <c:v>2792816.3059772803</c:v>
                </c:pt>
                <c:pt idx="80">
                  <c:v>2792816.3059772803</c:v>
                </c:pt>
                <c:pt idx="81">
                  <c:v>2792816.3059772803</c:v>
                </c:pt>
                <c:pt idx="82">
                  <c:v>2792816.3059772803</c:v>
                </c:pt>
                <c:pt idx="83">
                  <c:v>2792816.3059772803</c:v>
                </c:pt>
                <c:pt idx="84">
                  <c:v>2792816.3059772803</c:v>
                </c:pt>
                <c:pt idx="85">
                  <c:v>2792816.3059772803</c:v>
                </c:pt>
                <c:pt idx="86">
                  <c:v>2792816.3059772803</c:v>
                </c:pt>
                <c:pt idx="87">
                  <c:v>2792816.3059772803</c:v>
                </c:pt>
                <c:pt idx="88">
                  <c:v>2792816.3059772803</c:v>
                </c:pt>
                <c:pt idx="89">
                  <c:v>2792816.3059772803</c:v>
                </c:pt>
                <c:pt idx="90">
                  <c:v>2792816.3059772803</c:v>
                </c:pt>
                <c:pt idx="91">
                  <c:v>2792816.3059772803</c:v>
                </c:pt>
                <c:pt idx="92">
                  <c:v>2792816.3059772803</c:v>
                </c:pt>
                <c:pt idx="93">
                  <c:v>2792816.3059772803</c:v>
                </c:pt>
                <c:pt idx="94">
                  <c:v>2792816.3059772803</c:v>
                </c:pt>
                <c:pt idx="95">
                  <c:v>2792816.3059772803</c:v>
                </c:pt>
                <c:pt idx="96">
                  <c:v>2792816.3059772803</c:v>
                </c:pt>
                <c:pt idx="97">
                  <c:v>2792816.3059772803</c:v>
                </c:pt>
                <c:pt idx="98">
                  <c:v>2792816.3059772803</c:v>
                </c:pt>
                <c:pt idx="99">
                  <c:v>2792816.3059772803</c:v>
                </c:pt>
                <c:pt idx="100">
                  <c:v>2792816.3059772803</c:v>
                </c:pt>
                <c:pt idx="101">
                  <c:v>2792816.3059772803</c:v>
                </c:pt>
                <c:pt idx="102">
                  <c:v>2792816.3059772803</c:v>
                </c:pt>
                <c:pt idx="103">
                  <c:v>2792816.3059772803</c:v>
                </c:pt>
                <c:pt idx="104">
                  <c:v>2792816.3059772803</c:v>
                </c:pt>
                <c:pt idx="105">
                  <c:v>2792816.3059772803</c:v>
                </c:pt>
                <c:pt idx="106">
                  <c:v>2792816.3059772803</c:v>
                </c:pt>
                <c:pt idx="107">
                  <c:v>2792816.3059772803</c:v>
                </c:pt>
                <c:pt idx="108">
                  <c:v>2792816.3059772803</c:v>
                </c:pt>
                <c:pt idx="109">
                  <c:v>2792816.3059772803</c:v>
                </c:pt>
                <c:pt idx="110">
                  <c:v>2792816.3059772803</c:v>
                </c:pt>
                <c:pt idx="111">
                  <c:v>2792816.3059772803</c:v>
                </c:pt>
                <c:pt idx="112">
                  <c:v>2792816.3059772803</c:v>
                </c:pt>
                <c:pt idx="113">
                  <c:v>2792816.3059772803</c:v>
                </c:pt>
                <c:pt idx="114">
                  <c:v>2792816.3059772803</c:v>
                </c:pt>
                <c:pt idx="115">
                  <c:v>2792816.3059772803</c:v>
                </c:pt>
                <c:pt idx="116">
                  <c:v>2792816.3059772803</c:v>
                </c:pt>
                <c:pt idx="117">
                  <c:v>2792816.3059772803</c:v>
                </c:pt>
                <c:pt idx="118">
                  <c:v>2792816.3059772803</c:v>
                </c:pt>
                <c:pt idx="119">
                  <c:v>2792816.3059772803</c:v>
                </c:pt>
                <c:pt idx="120">
                  <c:v>2792816.3059772803</c:v>
                </c:pt>
                <c:pt idx="121">
                  <c:v>2792816.3059772803</c:v>
                </c:pt>
                <c:pt idx="122">
                  <c:v>2792816.3059772803</c:v>
                </c:pt>
                <c:pt idx="123">
                  <c:v>2792816.3059772803</c:v>
                </c:pt>
                <c:pt idx="124">
                  <c:v>2792816.3059772803</c:v>
                </c:pt>
                <c:pt idx="125">
                  <c:v>2792816.3059772803</c:v>
                </c:pt>
                <c:pt idx="126">
                  <c:v>2792816.3059772803</c:v>
                </c:pt>
                <c:pt idx="127">
                  <c:v>2792816.3059772803</c:v>
                </c:pt>
                <c:pt idx="128">
                  <c:v>2792816.3059772803</c:v>
                </c:pt>
                <c:pt idx="129">
                  <c:v>2792816.3059772803</c:v>
                </c:pt>
                <c:pt idx="130">
                  <c:v>2792816.3059772803</c:v>
                </c:pt>
                <c:pt idx="131">
                  <c:v>2792816.3059772803</c:v>
                </c:pt>
                <c:pt idx="132">
                  <c:v>2792816.3059772803</c:v>
                </c:pt>
                <c:pt idx="133">
                  <c:v>2792816.3059772803</c:v>
                </c:pt>
                <c:pt idx="134">
                  <c:v>2792816.3059772803</c:v>
                </c:pt>
                <c:pt idx="135">
                  <c:v>2792816.3059772803</c:v>
                </c:pt>
                <c:pt idx="136">
                  <c:v>2792816.3059772803</c:v>
                </c:pt>
                <c:pt idx="137">
                  <c:v>2792816.3059772803</c:v>
                </c:pt>
                <c:pt idx="138">
                  <c:v>2792816.3059772803</c:v>
                </c:pt>
                <c:pt idx="139">
                  <c:v>2792816.3059772803</c:v>
                </c:pt>
                <c:pt idx="140">
                  <c:v>2792816.3059772803</c:v>
                </c:pt>
                <c:pt idx="141">
                  <c:v>2792816.3059772803</c:v>
                </c:pt>
                <c:pt idx="142">
                  <c:v>2792816.3059772803</c:v>
                </c:pt>
                <c:pt idx="143">
                  <c:v>2792816.3059772803</c:v>
                </c:pt>
                <c:pt idx="144">
                  <c:v>2792816.3059772803</c:v>
                </c:pt>
                <c:pt idx="145">
                  <c:v>2792816.3059772803</c:v>
                </c:pt>
                <c:pt idx="146">
                  <c:v>2792816.3059772803</c:v>
                </c:pt>
                <c:pt idx="147">
                  <c:v>2792816.3059772803</c:v>
                </c:pt>
                <c:pt idx="148">
                  <c:v>2792816.3059772803</c:v>
                </c:pt>
                <c:pt idx="149">
                  <c:v>2792816.3059772803</c:v>
                </c:pt>
                <c:pt idx="150">
                  <c:v>2792816.3059772803</c:v>
                </c:pt>
                <c:pt idx="151">
                  <c:v>2792816.3059772803</c:v>
                </c:pt>
                <c:pt idx="152">
                  <c:v>2792816.3059772803</c:v>
                </c:pt>
                <c:pt idx="153">
                  <c:v>2792816.3059772803</c:v>
                </c:pt>
                <c:pt idx="154">
                  <c:v>2792816.3059772803</c:v>
                </c:pt>
                <c:pt idx="155">
                  <c:v>2792816.3059772803</c:v>
                </c:pt>
                <c:pt idx="156">
                  <c:v>2792816.3059772803</c:v>
                </c:pt>
                <c:pt idx="157">
                  <c:v>2792816.3059772803</c:v>
                </c:pt>
                <c:pt idx="158">
                  <c:v>2792816.3059772803</c:v>
                </c:pt>
                <c:pt idx="159">
                  <c:v>2792816.3059772803</c:v>
                </c:pt>
                <c:pt idx="160">
                  <c:v>2792816.3059772803</c:v>
                </c:pt>
                <c:pt idx="161">
                  <c:v>2792816.3059772803</c:v>
                </c:pt>
                <c:pt idx="162">
                  <c:v>2792816.3059772803</c:v>
                </c:pt>
                <c:pt idx="163">
                  <c:v>2792816.3059772803</c:v>
                </c:pt>
                <c:pt idx="164">
                  <c:v>2792816.3059772803</c:v>
                </c:pt>
                <c:pt idx="165">
                  <c:v>2792816.3059772803</c:v>
                </c:pt>
                <c:pt idx="166">
                  <c:v>2792816.3059772803</c:v>
                </c:pt>
                <c:pt idx="167">
                  <c:v>2792816.3059772803</c:v>
                </c:pt>
                <c:pt idx="168">
                  <c:v>2792816.3059772803</c:v>
                </c:pt>
                <c:pt idx="169">
                  <c:v>2792816.3059772803</c:v>
                </c:pt>
                <c:pt idx="170">
                  <c:v>2792816.3059772803</c:v>
                </c:pt>
                <c:pt idx="171">
                  <c:v>2792816.3059772803</c:v>
                </c:pt>
                <c:pt idx="172">
                  <c:v>2792816.3059772803</c:v>
                </c:pt>
                <c:pt idx="173">
                  <c:v>2792816.3059772803</c:v>
                </c:pt>
                <c:pt idx="174">
                  <c:v>2792816.3059772803</c:v>
                </c:pt>
                <c:pt idx="175">
                  <c:v>2792816.3059772803</c:v>
                </c:pt>
                <c:pt idx="176">
                  <c:v>2792816.3059772803</c:v>
                </c:pt>
                <c:pt idx="177">
                  <c:v>2792816.3059772803</c:v>
                </c:pt>
                <c:pt idx="178">
                  <c:v>2792816.3059772803</c:v>
                </c:pt>
                <c:pt idx="179">
                  <c:v>2792816.3059772803</c:v>
                </c:pt>
                <c:pt idx="180">
                  <c:v>2792816.3059772803</c:v>
                </c:pt>
                <c:pt idx="181">
                  <c:v>2792816.3059772803</c:v>
                </c:pt>
                <c:pt idx="182">
                  <c:v>2792816.3059772803</c:v>
                </c:pt>
                <c:pt idx="183">
                  <c:v>2792816.3059772803</c:v>
                </c:pt>
                <c:pt idx="184">
                  <c:v>2792816.3059772803</c:v>
                </c:pt>
                <c:pt idx="185">
                  <c:v>2792816.3059772803</c:v>
                </c:pt>
                <c:pt idx="186">
                  <c:v>2792816.3059772803</c:v>
                </c:pt>
                <c:pt idx="187">
                  <c:v>2792816.3059772803</c:v>
                </c:pt>
                <c:pt idx="188">
                  <c:v>2792816.3059772803</c:v>
                </c:pt>
                <c:pt idx="189">
                  <c:v>2792816.3059772803</c:v>
                </c:pt>
                <c:pt idx="190">
                  <c:v>2792816.3059772803</c:v>
                </c:pt>
                <c:pt idx="191">
                  <c:v>2792816.3059772803</c:v>
                </c:pt>
                <c:pt idx="192">
                  <c:v>2792816.3059772803</c:v>
                </c:pt>
                <c:pt idx="193">
                  <c:v>2792816.3059772803</c:v>
                </c:pt>
                <c:pt idx="194">
                  <c:v>2792816.3059772803</c:v>
                </c:pt>
                <c:pt idx="195">
                  <c:v>2792816.3059772803</c:v>
                </c:pt>
                <c:pt idx="196">
                  <c:v>2792816.3059772803</c:v>
                </c:pt>
                <c:pt idx="197">
                  <c:v>2792816.3059772803</c:v>
                </c:pt>
                <c:pt idx="198">
                  <c:v>2792816.3059772803</c:v>
                </c:pt>
                <c:pt idx="199">
                  <c:v>2792816.3059772803</c:v>
                </c:pt>
                <c:pt idx="200">
                  <c:v>2792816.3059772803</c:v>
                </c:pt>
                <c:pt idx="201">
                  <c:v>2792816.3059772803</c:v>
                </c:pt>
                <c:pt idx="202">
                  <c:v>2792816.3059772803</c:v>
                </c:pt>
                <c:pt idx="203">
                  <c:v>2792816.3059772803</c:v>
                </c:pt>
                <c:pt idx="204">
                  <c:v>2792816.3059772803</c:v>
                </c:pt>
                <c:pt idx="205">
                  <c:v>2792816.3059772803</c:v>
                </c:pt>
                <c:pt idx="206">
                  <c:v>2792816.3059772803</c:v>
                </c:pt>
                <c:pt idx="207">
                  <c:v>2792816.3059772803</c:v>
                </c:pt>
                <c:pt idx="208">
                  <c:v>2792816.3059772803</c:v>
                </c:pt>
                <c:pt idx="209">
                  <c:v>2792816.3059772803</c:v>
                </c:pt>
                <c:pt idx="210">
                  <c:v>2792816.3059772803</c:v>
                </c:pt>
                <c:pt idx="211">
                  <c:v>2792816.3059772803</c:v>
                </c:pt>
                <c:pt idx="212">
                  <c:v>2792816.3059772803</c:v>
                </c:pt>
                <c:pt idx="213">
                  <c:v>2792816.3059772803</c:v>
                </c:pt>
                <c:pt idx="214">
                  <c:v>2792816.3059772803</c:v>
                </c:pt>
                <c:pt idx="215">
                  <c:v>2792816.3059772803</c:v>
                </c:pt>
                <c:pt idx="216">
                  <c:v>2792816.3059772803</c:v>
                </c:pt>
                <c:pt idx="217">
                  <c:v>2792816.3059772803</c:v>
                </c:pt>
                <c:pt idx="218">
                  <c:v>2792816.3059772803</c:v>
                </c:pt>
                <c:pt idx="219">
                  <c:v>2792816.3059772803</c:v>
                </c:pt>
                <c:pt idx="220">
                  <c:v>2792816.3059772803</c:v>
                </c:pt>
                <c:pt idx="221">
                  <c:v>2792816.3059772803</c:v>
                </c:pt>
                <c:pt idx="222">
                  <c:v>2792816.3059772803</c:v>
                </c:pt>
                <c:pt idx="223">
                  <c:v>2792816.3059772803</c:v>
                </c:pt>
                <c:pt idx="224">
                  <c:v>2792816.3059772803</c:v>
                </c:pt>
                <c:pt idx="225">
                  <c:v>2792816.3059772803</c:v>
                </c:pt>
                <c:pt idx="226">
                  <c:v>2792816.3059772803</c:v>
                </c:pt>
                <c:pt idx="227">
                  <c:v>2792816.3059772803</c:v>
                </c:pt>
                <c:pt idx="228">
                  <c:v>2792816.3059772803</c:v>
                </c:pt>
                <c:pt idx="229">
                  <c:v>2792816.3059772803</c:v>
                </c:pt>
                <c:pt idx="230">
                  <c:v>2792816.3059772803</c:v>
                </c:pt>
                <c:pt idx="231">
                  <c:v>2792816.3059772803</c:v>
                </c:pt>
                <c:pt idx="232">
                  <c:v>2792816.3059772803</c:v>
                </c:pt>
                <c:pt idx="233">
                  <c:v>2792816.3059772803</c:v>
                </c:pt>
                <c:pt idx="234">
                  <c:v>2792816.3059772803</c:v>
                </c:pt>
                <c:pt idx="235">
                  <c:v>2792816.3059772803</c:v>
                </c:pt>
                <c:pt idx="236">
                  <c:v>2792816.3059772803</c:v>
                </c:pt>
                <c:pt idx="237">
                  <c:v>2792816.3059772803</c:v>
                </c:pt>
                <c:pt idx="238">
                  <c:v>2792816.3059772803</c:v>
                </c:pt>
                <c:pt idx="239">
                  <c:v>2792816.3059772803</c:v>
                </c:pt>
                <c:pt idx="240">
                  <c:v>2792816.3059772803</c:v>
                </c:pt>
                <c:pt idx="241">
                  <c:v>2792816.3059772803</c:v>
                </c:pt>
                <c:pt idx="242">
                  <c:v>2792816.3059772803</c:v>
                </c:pt>
                <c:pt idx="243">
                  <c:v>2792816.3059772803</c:v>
                </c:pt>
                <c:pt idx="244">
                  <c:v>2792816.3059772803</c:v>
                </c:pt>
                <c:pt idx="245">
                  <c:v>2792816.3059772803</c:v>
                </c:pt>
                <c:pt idx="246">
                  <c:v>2792816.3059772803</c:v>
                </c:pt>
                <c:pt idx="247">
                  <c:v>2792816.3059772803</c:v>
                </c:pt>
                <c:pt idx="248">
                  <c:v>2792816.3059772803</c:v>
                </c:pt>
                <c:pt idx="249">
                  <c:v>2792816.3059772803</c:v>
                </c:pt>
                <c:pt idx="250">
                  <c:v>2792816.3059772803</c:v>
                </c:pt>
                <c:pt idx="251">
                  <c:v>2792816.3059772803</c:v>
                </c:pt>
                <c:pt idx="252">
                  <c:v>2792816.3059772803</c:v>
                </c:pt>
                <c:pt idx="253">
                  <c:v>2792816.3059772803</c:v>
                </c:pt>
                <c:pt idx="254">
                  <c:v>2792816.3059772803</c:v>
                </c:pt>
                <c:pt idx="255">
                  <c:v>2792816.3059772803</c:v>
                </c:pt>
                <c:pt idx="256">
                  <c:v>2792816.3059772803</c:v>
                </c:pt>
                <c:pt idx="257">
                  <c:v>2792816.3059772803</c:v>
                </c:pt>
                <c:pt idx="258">
                  <c:v>2792816.3059772803</c:v>
                </c:pt>
                <c:pt idx="259">
                  <c:v>2792816.3059772803</c:v>
                </c:pt>
                <c:pt idx="260">
                  <c:v>2792816.3059772803</c:v>
                </c:pt>
                <c:pt idx="261">
                  <c:v>2792816.3059772803</c:v>
                </c:pt>
                <c:pt idx="262">
                  <c:v>2792816.3059772803</c:v>
                </c:pt>
                <c:pt idx="263">
                  <c:v>2792816.3059772803</c:v>
                </c:pt>
                <c:pt idx="264">
                  <c:v>2792816.3059772803</c:v>
                </c:pt>
                <c:pt idx="265">
                  <c:v>2792816.3059772803</c:v>
                </c:pt>
                <c:pt idx="266">
                  <c:v>2792816.3059772803</c:v>
                </c:pt>
                <c:pt idx="267">
                  <c:v>2792816.3059772803</c:v>
                </c:pt>
                <c:pt idx="268">
                  <c:v>2792816.3059772803</c:v>
                </c:pt>
                <c:pt idx="269">
                  <c:v>2792816.3059772803</c:v>
                </c:pt>
                <c:pt idx="270">
                  <c:v>2792816.3059772803</c:v>
                </c:pt>
                <c:pt idx="271">
                  <c:v>2792816.3059772803</c:v>
                </c:pt>
                <c:pt idx="272">
                  <c:v>2792816.3059772803</c:v>
                </c:pt>
                <c:pt idx="273">
                  <c:v>2792816.3059772803</c:v>
                </c:pt>
                <c:pt idx="274">
                  <c:v>2792816.3059772803</c:v>
                </c:pt>
                <c:pt idx="275">
                  <c:v>2792816.3059772803</c:v>
                </c:pt>
                <c:pt idx="276">
                  <c:v>2792816.3059772803</c:v>
                </c:pt>
                <c:pt idx="277">
                  <c:v>2792816.3059772803</c:v>
                </c:pt>
                <c:pt idx="278">
                  <c:v>2792816.3059772803</c:v>
                </c:pt>
                <c:pt idx="279">
                  <c:v>2792816.3059772803</c:v>
                </c:pt>
                <c:pt idx="280">
                  <c:v>2792816.3059772803</c:v>
                </c:pt>
                <c:pt idx="281">
                  <c:v>2792816.3059772803</c:v>
                </c:pt>
                <c:pt idx="282">
                  <c:v>2792816.3059772803</c:v>
                </c:pt>
                <c:pt idx="283">
                  <c:v>2792816.3059772803</c:v>
                </c:pt>
                <c:pt idx="284">
                  <c:v>2792816.3059772803</c:v>
                </c:pt>
                <c:pt idx="285">
                  <c:v>2792816.3059772803</c:v>
                </c:pt>
                <c:pt idx="286">
                  <c:v>2792816.3059772803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69" t="s">
        <v>0</v>
      </c>
      <c r="C2" s="769"/>
      <c r="D2" s="769"/>
      <c r="E2" s="769"/>
      <c r="H2" s="770" t="s">
        <v>1</v>
      </c>
      <c r="I2" s="771"/>
      <c r="J2" s="771"/>
      <c r="K2" s="771"/>
      <c r="L2" s="771"/>
      <c r="M2" s="771"/>
      <c r="N2" s="771"/>
      <c r="O2" s="772"/>
    </row>
    <row r="3" spans="2:15">
      <c r="B3" s="589"/>
      <c r="H3" s="773"/>
      <c r="I3" s="774"/>
      <c r="J3" s="774"/>
      <c r="K3" s="774"/>
      <c r="L3" s="774"/>
      <c r="M3" s="774"/>
      <c r="N3" s="774"/>
      <c r="O3" s="775"/>
    </row>
    <row r="4" spans="2:15">
      <c r="B4" s="590" t="s">
        <v>2</v>
      </c>
      <c r="C4" s="591" t="str">
        <f>'Project Plan'!E2</f>
        <v>Mahikeng Builders Express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590" t="s">
        <v>3</v>
      </c>
      <c r="C5" s="591" t="s">
        <v>4</v>
      </c>
      <c r="H5" s="773"/>
      <c r="I5" s="774"/>
      <c r="J5" s="774"/>
      <c r="K5" s="774"/>
      <c r="L5" s="774"/>
      <c r="M5" s="774"/>
      <c r="N5" s="774"/>
      <c r="O5" s="775"/>
    </row>
    <row r="6" spans="2:15">
      <c r="B6" s="590" t="s">
        <v>5</v>
      </c>
      <c r="C6" s="591" t="s">
        <v>6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590" t="s">
        <v>7</v>
      </c>
      <c r="C7" s="591" t="s">
        <v>8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589"/>
      <c r="H8" s="773"/>
      <c r="I8" s="774"/>
      <c r="J8" s="774"/>
      <c r="K8" s="774"/>
      <c r="L8" s="774"/>
      <c r="M8" s="774"/>
      <c r="N8" s="774"/>
      <c r="O8" s="775"/>
    </row>
    <row r="9" spans="2:15">
      <c r="B9" s="779" t="s">
        <v>9</v>
      </c>
      <c r="C9" s="779"/>
      <c r="D9" s="779"/>
      <c r="E9" s="779"/>
      <c r="H9" s="773"/>
      <c r="I9" s="774"/>
      <c r="J9" s="774"/>
      <c r="K9" s="774"/>
      <c r="L9" s="774"/>
      <c r="M9" s="774"/>
      <c r="N9" s="774"/>
      <c r="O9" s="775"/>
    </row>
    <row r="10" spans="2:15" ht="14.65" thickBot="1">
      <c r="B10" s="779" t="s">
        <v>10</v>
      </c>
      <c r="C10" s="779"/>
      <c r="D10" s="779"/>
      <c r="E10" s="779"/>
      <c r="H10" s="776"/>
      <c r="I10" s="777"/>
      <c r="J10" s="777"/>
      <c r="K10" s="777"/>
      <c r="L10" s="777"/>
      <c r="M10" s="777"/>
      <c r="N10" s="777"/>
      <c r="O10" s="778"/>
    </row>
    <row r="11" spans="2:15">
      <c r="B11" s="592" t="s">
        <v>11</v>
      </c>
      <c r="C11" s="767" t="s">
        <v>12</v>
      </c>
      <c r="D11" s="767"/>
      <c r="E11" s="767"/>
    </row>
    <row r="12" spans="2:15">
      <c r="B12" s="592" t="s">
        <v>13</v>
      </c>
      <c r="C12" s="767" t="s">
        <v>12</v>
      </c>
      <c r="D12" s="767"/>
      <c r="E12" s="767"/>
    </row>
    <row r="13" spans="2:15">
      <c r="B13" s="592" t="s">
        <v>14</v>
      </c>
      <c r="C13" s="767" t="s">
        <v>15</v>
      </c>
      <c r="D13" s="767"/>
      <c r="E13" s="767"/>
    </row>
    <row r="14" spans="2:15">
      <c r="B14" s="592" t="s">
        <v>16</v>
      </c>
      <c r="C14" s="767" t="s">
        <v>15</v>
      </c>
      <c r="D14" s="767"/>
      <c r="E14" s="767"/>
    </row>
    <row r="15" spans="2:15">
      <c r="B15" s="592" t="s">
        <v>17</v>
      </c>
      <c r="C15" s="767" t="s">
        <v>18</v>
      </c>
      <c r="D15" s="767"/>
      <c r="E15" s="767"/>
    </row>
    <row r="16" spans="2:15" ht="15" customHeight="1">
      <c r="B16" s="592" t="s">
        <v>19</v>
      </c>
      <c r="C16" s="767"/>
      <c r="D16" s="767"/>
      <c r="E16" s="767"/>
    </row>
    <row r="17" spans="2:5">
      <c r="B17" s="589"/>
    </row>
    <row r="18" spans="2:5">
      <c r="B18" s="768" t="s">
        <v>20</v>
      </c>
      <c r="C18" s="768"/>
      <c r="D18" s="768"/>
      <c r="E18" s="768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69" t="s">
        <v>28</v>
      </c>
      <c r="C2" s="769"/>
      <c r="D2" s="769"/>
      <c r="E2" s="769"/>
      <c r="H2" s="770" t="s">
        <v>29</v>
      </c>
      <c r="I2" s="771"/>
      <c r="J2" s="771"/>
      <c r="K2" s="771"/>
      <c r="L2" s="771"/>
      <c r="M2" s="771"/>
      <c r="N2" s="771"/>
      <c r="O2" s="772"/>
    </row>
    <row r="3" spans="2:15">
      <c r="B3" s="589"/>
      <c r="H3" s="773"/>
      <c r="I3" s="774"/>
      <c r="J3" s="774"/>
      <c r="K3" s="774"/>
      <c r="L3" s="774"/>
      <c r="M3" s="774"/>
      <c r="N3" s="774"/>
      <c r="O3" s="775"/>
    </row>
    <row r="4" spans="2:15">
      <c r="B4" s="590" t="s">
        <v>2</v>
      </c>
      <c r="C4" s="591" t="str">
        <f>'Project Plan'!E2</f>
        <v>Mahikeng Builders Express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590" t="s">
        <v>30</v>
      </c>
      <c r="C5" s="591"/>
      <c r="H5" s="773"/>
      <c r="I5" s="774"/>
      <c r="J5" s="774"/>
      <c r="K5" s="774"/>
      <c r="L5" s="774"/>
      <c r="M5" s="774"/>
      <c r="N5" s="774"/>
      <c r="O5" s="775"/>
    </row>
    <row r="6" spans="2:15">
      <c r="B6" s="590" t="s">
        <v>5</v>
      </c>
      <c r="C6" s="591" t="s">
        <v>6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590" t="s">
        <v>31</v>
      </c>
      <c r="C7" s="591" t="s">
        <v>32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590" t="s">
        <v>33</v>
      </c>
      <c r="C8" s="591"/>
      <c r="H8" s="773"/>
      <c r="I8" s="774"/>
      <c r="J8" s="774"/>
      <c r="K8" s="774"/>
      <c r="L8" s="774"/>
      <c r="M8" s="774"/>
      <c r="N8" s="774"/>
      <c r="O8" s="775"/>
    </row>
    <row r="9" spans="2:15">
      <c r="B9" s="589"/>
      <c r="H9" s="773"/>
      <c r="I9" s="774"/>
      <c r="J9" s="774"/>
      <c r="K9" s="774"/>
      <c r="L9" s="774"/>
      <c r="M9" s="774"/>
      <c r="N9" s="774"/>
      <c r="O9" s="775"/>
    </row>
    <row r="10" spans="2:15">
      <c r="B10" s="779" t="s">
        <v>9</v>
      </c>
      <c r="C10" s="779"/>
      <c r="D10" s="779"/>
      <c r="E10" s="779"/>
      <c r="H10" s="773"/>
      <c r="I10" s="774"/>
      <c r="J10" s="774"/>
      <c r="K10" s="774"/>
      <c r="L10" s="774"/>
      <c r="M10" s="774"/>
      <c r="N10" s="774"/>
      <c r="O10" s="775"/>
    </row>
    <row r="11" spans="2:15" ht="14.65" thickBot="1">
      <c r="B11" s="779" t="s">
        <v>10</v>
      </c>
      <c r="C11" s="779"/>
      <c r="D11" s="779"/>
      <c r="E11" s="779"/>
      <c r="H11" s="776"/>
      <c r="I11" s="777"/>
      <c r="J11" s="777"/>
      <c r="K11" s="777"/>
      <c r="L11" s="777"/>
      <c r="M11" s="777"/>
      <c r="N11" s="777"/>
      <c r="O11" s="778"/>
    </row>
    <row r="12" spans="2:15" ht="25.5">
      <c r="B12" s="592" t="s">
        <v>34</v>
      </c>
      <c r="C12" s="767"/>
      <c r="D12" s="767"/>
      <c r="E12" s="767"/>
    </row>
    <row r="13" spans="2:15">
      <c r="B13" s="592" t="s">
        <v>35</v>
      </c>
      <c r="C13" s="767"/>
      <c r="D13" s="767"/>
      <c r="E13" s="767"/>
    </row>
    <row r="14" spans="2:15">
      <c r="B14" s="592" t="s">
        <v>36</v>
      </c>
      <c r="C14" s="767"/>
      <c r="D14" s="767"/>
      <c r="E14" s="767"/>
    </row>
    <row r="15" spans="2:15">
      <c r="B15" s="592" t="s">
        <v>37</v>
      </c>
      <c r="C15" s="767"/>
      <c r="D15" s="767"/>
      <c r="E15" s="767"/>
    </row>
    <row r="16" spans="2:15" ht="25.5">
      <c r="B16" s="592" t="s">
        <v>38</v>
      </c>
      <c r="C16" s="767"/>
      <c r="D16" s="767"/>
      <c r="E16" s="767"/>
    </row>
    <row r="17" spans="2:5">
      <c r="B17" s="592" t="s">
        <v>39</v>
      </c>
      <c r="C17" s="767"/>
      <c r="D17" s="767"/>
      <c r="E17" s="767"/>
    </row>
    <row r="18" spans="2:5">
      <c r="B18" s="592" t="s">
        <v>40</v>
      </c>
      <c r="C18" s="767"/>
      <c r="D18" s="767"/>
      <c r="E18" s="767"/>
    </row>
    <row r="19" spans="2:5">
      <c r="B19" s="592" t="s">
        <v>41</v>
      </c>
      <c r="C19" s="767"/>
      <c r="D19" s="767"/>
      <c r="E19" s="767"/>
    </row>
    <row r="20" spans="2:5">
      <c r="B20" s="592" t="s">
        <v>42</v>
      </c>
      <c r="C20" s="767"/>
      <c r="D20" s="767"/>
      <c r="E20" s="767"/>
    </row>
    <row r="21" spans="2:5">
      <c r="B21" s="592" t="s">
        <v>43</v>
      </c>
      <c r="C21" s="767"/>
      <c r="D21" s="767"/>
      <c r="E21" s="767"/>
    </row>
    <row r="22" spans="2:5" ht="15" customHeight="1">
      <c r="B22" s="592" t="s">
        <v>19</v>
      </c>
      <c r="C22" s="767"/>
      <c r="D22" s="767"/>
      <c r="E22" s="767"/>
    </row>
    <row r="23" spans="2:5">
      <c r="B23" s="589"/>
    </row>
    <row r="24" spans="2:5">
      <c r="B24" s="768" t="s">
        <v>20</v>
      </c>
      <c r="C24" s="768"/>
      <c r="D24" s="768"/>
      <c r="E24" s="768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59765625" bestFit="1" customWidth="1"/>
    <col min="10" max="10" width="14.3984375" customWidth="1"/>
    <col min="11" max="11" width="77.3984375" customWidth="1"/>
  </cols>
  <sheetData>
    <row r="1" spans="2:15">
      <c r="B1" s="782"/>
      <c r="C1" s="783"/>
      <c r="D1" s="783"/>
      <c r="E1" s="783"/>
      <c r="F1" s="780" t="s">
        <v>44</v>
      </c>
      <c r="G1" s="780"/>
      <c r="H1" s="780"/>
      <c r="I1" s="780"/>
      <c r="J1" s="780"/>
      <c r="K1" s="781"/>
      <c r="L1" s="13"/>
      <c r="M1" s="13"/>
      <c r="N1" s="13"/>
      <c r="O1" s="13"/>
    </row>
    <row r="2" spans="2:15" ht="6.75" customHeight="1"/>
    <row r="3" spans="2:15" s="596" customFormat="1" ht="28.5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59765625" bestFit="1" customWidth="1"/>
    <col min="5" max="5" width="11" bestFit="1" customWidth="1"/>
    <col min="6" max="6" width="33.3984375" customWidth="1"/>
  </cols>
  <sheetData>
    <row r="1" spans="2:10" ht="14.65" thickBot="1"/>
    <row r="2" spans="2:10" ht="15" thickTop="1" thickBot="1">
      <c r="B2" s="784" t="s">
        <v>85</v>
      </c>
      <c r="C2" s="785"/>
      <c r="D2" s="785"/>
      <c r="E2" s="785"/>
      <c r="F2" s="786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84" t="s">
        <v>95</v>
      </c>
      <c r="C16" s="785"/>
      <c r="D16" s="785"/>
      <c r="E16" s="785"/>
      <c r="F16" s="786"/>
    </row>
    <row r="17" spans="2:6" ht="14.6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31" zoomScaleNormal="100" workbookViewId="0">
      <selection activeCell="N58" sqref="N58"/>
    </sheetView>
  </sheetViews>
  <sheetFormatPr defaultColWidth="8.3984375" defaultRowHeight="13.5"/>
  <cols>
    <col min="1" max="1" width="1.3984375" style="26" customWidth="1"/>
    <col min="2" max="2" width="6.3984375" style="82" bestFit="1" customWidth="1"/>
    <col min="3" max="3" width="46.59765625" style="4" bestFit="1" customWidth="1"/>
    <col min="4" max="4" width="3.3984375" style="26" customWidth="1"/>
    <col min="5" max="5" width="25.59765625" style="4" customWidth="1"/>
    <col min="6" max="6" width="9.3984375" style="79" customWidth="1"/>
    <col min="7" max="7" width="11.59765625" style="5" customWidth="1"/>
    <col min="8" max="8" width="8.398437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.59765625" style="26" customWidth="1"/>
    <col min="14" max="14" width="11.3984375" style="26" bestFit="1" customWidth="1"/>
    <col min="15" max="15" width="39.3984375" style="26" bestFit="1" customWidth="1"/>
    <col min="16" max="16" width="1.3984375" style="26" customWidth="1"/>
    <col min="17" max="17" width="5.59765625" style="1" customWidth="1"/>
    <col min="18" max="18" width="8.3984375" style="26" bestFit="1"/>
    <col min="19" max="19" width="42.59765625" style="26" bestFit="1" customWidth="1"/>
    <col min="20" max="20" width="10.3984375" style="26" bestFit="1" customWidth="1"/>
    <col min="21" max="21" width="9.3984375" style="26" bestFit="1" customWidth="1"/>
    <col min="22" max="22" width="10.3984375" style="26" bestFit="1" customWidth="1"/>
    <col min="23" max="23" width="8.3984375" style="26" bestFit="1"/>
    <col min="24" max="25" width="10.3984375" style="26" bestFit="1" customWidth="1"/>
    <col min="26" max="26" width="8.3984375" style="4" bestFit="1"/>
    <col min="27" max="16384" width="8.398437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46083</v>
      </c>
      <c r="O1" s="303">
        <f ca="1">TODAY()</f>
        <v>46083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87" t="s">
        <v>103</v>
      </c>
      <c r="J2" s="788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25" thickBot="1">
      <c r="B3" s="90"/>
      <c r="C3" s="91" t="s">
        <v>104</v>
      </c>
      <c r="D3" s="89"/>
      <c r="E3" s="310">
        <v>250</v>
      </c>
      <c r="F3" s="92"/>
      <c r="G3" s="93"/>
      <c r="H3" s="93"/>
      <c r="I3" s="787" t="s">
        <v>105</v>
      </c>
      <c r="J3" s="788"/>
      <c r="K3" s="563">
        <f>K2/5</f>
        <v>5.4</v>
      </c>
      <c r="Q3" s="1"/>
    </row>
    <row r="4" spans="2:28" s="26" customFormat="1" ht="14.2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87" t="s">
        <v>108</v>
      </c>
      <c r="J4" s="788"/>
      <c r="K4" s="564">
        <f>E3/K3</f>
        <v>46.296296296296291</v>
      </c>
      <c r="Q4" s="1"/>
    </row>
    <row r="5" spans="2:28" s="26" customFormat="1" ht="13.9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 ht="13.9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 ht="13.9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91" t="s">
        <v>114</v>
      </c>
      <c r="C8" s="792" t="s">
        <v>115</v>
      </c>
      <c r="D8" s="124"/>
      <c r="E8" s="793" t="s">
        <v>116</v>
      </c>
      <c r="F8" s="793" t="s">
        <v>117</v>
      </c>
      <c r="G8" s="793" t="s">
        <v>118</v>
      </c>
      <c r="H8" s="147"/>
      <c r="I8" s="793" t="s">
        <v>119</v>
      </c>
      <c r="J8" s="146" t="s">
        <v>117</v>
      </c>
      <c r="K8" s="793" t="s">
        <v>120</v>
      </c>
      <c r="M8" s="560" t="s">
        <v>51</v>
      </c>
      <c r="N8" s="561" t="s">
        <v>121</v>
      </c>
      <c r="O8" s="789" t="s">
        <v>122</v>
      </c>
      <c r="Z8" s="26"/>
      <c r="AA8" s="26"/>
      <c r="AB8" s="26"/>
    </row>
    <row r="9" spans="2:28" ht="13.9">
      <c r="B9" s="791"/>
      <c r="C9" s="792"/>
      <c r="D9" s="124"/>
      <c r="E9" s="793"/>
      <c r="F9" s="794"/>
      <c r="G9" s="793"/>
      <c r="H9" s="147"/>
      <c r="I9" s="793"/>
      <c r="J9" s="40">
        <f>K40-I20</f>
        <v>36</v>
      </c>
      <c r="K9" s="793"/>
      <c r="M9" s="263">
        <f>AVERAGE(M11,M19,M22,M29,M36,M40,M50,M45)</f>
        <v>0.97697368421052633</v>
      </c>
      <c r="N9" s="263">
        <f ca="1">AVERAGE(N11,N19,N22,N29,N36,N40,N50,N45)</f>
        <v>0.94636757725454879</v>
      </c>
      <c r="O9" s="790"/>
      <c r="S9" s="562">
        <f ca="1">TODAY()</f>
        <v>46083</v>
      </c>
      <c r="T9" s="562">
        <f ca="1">TODAY()</f>
        <v>46083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 ht="13.9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 ht="13.9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131</v>
      </c>
      <c r="C14" s="156" t="s">
        <v>132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133</v>
      </c>
      <c r="C15" s="156" t="s">
        <v>134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135</v>
      </c>
      <c r="C16" s="156" t="s">
        <v>136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137</v>
      </c>
      <c r="C17" s="156" t="s">
        <v>138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 ht="13.9">
      <c r="B19" s="153">
        <v>2</v>
      </c>
      <c r="C19" s="154" t="s">
        <v>139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140</v>
      </c>
      <c r="C20" s="156" t="s">
        <v>141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98</v>
      </c>
      <c r="V21" s="515">
        <f>K50</f>
        <v>46087</v>
      </c>
    </row>
    <row r="22" spans="2:28" s="28" customFormat="1" ht="13.9">
      <c r="B22" s="153">
        <v>3</v>
      </c>
      <c r="C22" s="154" t="s">
        <v>142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143</v>
      </c>
      <c r="C23" s="156" t="s">
        <v>144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145</v>
      </c>
      <c r="C24" s="156" t="s">
        <v>146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147</v>
      </c>
      <c r="C25" s="156" t="s">
        <v>148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149</v>
      </c>
      <c r="C26" s="156" t="s">
        <v>150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151</v>
      </c>
      <c r="C27" s="156" t="s">
        <v>152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 ht="13.9">
      <c r="B29" s="153">
        <v>4</v>
      </c>
      <c r="C29" s="154" t="s">
        <v>153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708">
        <v>1</v>
      </c>
      <c r="N29" s="708"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154</v>
      </c>
      <c r="C31" s="156" t="s">
        <v>155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156</v>
      </c>
      <c r="C32" s="156" t="s">
        <v>157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158</v>
      </c>
      <c r="C33" s="156" t="s">
        <v>159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5" t="s">
        <v>160</v>
      </c>
      <c r="C34" s="152" t="s">
        <v>161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 ht="13.9">
      <c r="B36" s="153">
        <v>5</v>
      </c>
      <c r="C36" s="154" t="s">
        <v>162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163</v>
      </c>
      <c r="C37" s="156" t="s">
        <v>164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165</v>
      </c>
      <c r="C38" s="156" t="s">
        <v>166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 ht="13.9">
      <c r="B40" s="153">
        <v>6</v>
      </c>
      <c r="C40" s="154" t="s">
        <v>167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168</v>
      </c>
      <c r="C41" s="152" t="s">
        <v>169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170</v>
      </c>
      <c r="C42" s="152" t="s">
        <v>171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172</v>
      </c>
      <c r="C43" s="152" t="s">
        <v>173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 ht="13.9">
      <c r="B45" s="153">
        <v>7</v>
      </c>
      <c r="C45" s="154" t="s">
        <v>174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175</v>
      </c>
      <c r="C46" s="152" t="s">
        <v>176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177</v>
      </c>
      <c r="C47" s="152" t="s">
        <v>178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179</v>
      </c>
      <c r="C48" s="707" t="s">
        <v>180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 ht="13.9">
      <c r="B50" s="153">
        <v>8</v>
      </c>
      <c r="C50" s="154" t="s">
        <v>181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98</v>
      </c>
      <c r="K50" s="547">
        <f>MAX(K51:K53)</f>
        <v>46087</v>
      </c>
      <c r="L50" s="550"/>
      <c r="M50" s="551">
        <f>(J51*M51+J52*M52+J53*M53)/SUM(J51:J53)</f>
        <v>0.81578947368421051</v>
      </c>
      <c r="N50" s="551">
        <f ca="1">(K47*N47+K43*N43+K51*N51+K52*N52+K53*N53)/SUM(K47:K53)</f>
        <v>0.57094061803639073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182</v>
      </c>
      <c r="C51" s="152" t="s">
        <v>183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184</v>
      </c>
      <c r="C52" s="152" t="s">
        <v>185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46086</v>
      </c>
      <c r="J52" s="553">
        <v>1</v>
      </c>
      <c r="K52" s="558">
        <f>WORKDAY.INTL(I52,J52,1,Data!$C$3:$C$60)</f>
        <v>46087</v>
      </c>
      <c r="L52" s="76"/>
      <c r="M52" s="555">
        <v>0</v>
      </c>
      <c r="N52" s="555">
        <f t="shared" ca="1" si="6"/>
        <v>0</v>
      </c>
      <c r="O52" s="36" t="s">
        <v>186</v>
      </c>
      <c r="Y52" s="4"/>
    </row>
    <row r="53" spans="2:28">
      <c r="B53" s="155" t="s">
        <v>187</v>
      </c>
      <c r="C53" s="152" t="s">
        <v>188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v>46080</v>
      </c>
      <c r="J53" s="553">
        <v>5</v>
      </c>
      <c r="K53" s="558">
        <f>WORKDAY.INTL(I53,J53,1,Data!$C$3:$C$60)</f>
        <v>46087</v>
      </c>
      <c r="L53" s="76"/>
      <c r="M53" s="555">
        <v>0.5</v>
      </c>
      <c r="N53" s="555">
        <f t="shared" ca="1" si="6"/>
        <v>0.42857142857142855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19.59765625" style="4" customWidth="1"/>
    <col min="4" max="4" width="32.59765625" style="4" customWidth="1"/>
    <col min="5" max="5" width="9.59765625" style="4" customWidth="1"/>
    <col min="6" max="6" width="16.3984375" style="4" bestFit="1" customWidth="1"/>
    <col min="7" max="7" width="53.3984375" style="4" customWidth="1"/>
    <col min="8" max="16384" width="8.398437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25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 ht="13.9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3" zoomScale="93" zoomScaleNormal="93" workbookViewId="0">
      <selection activeCell="D9" sqref="D9"/>
    </sheetView>
  </sheetViews>
  <sheetFormatPr defaultColWidth="8.3984375" defaultRowHeight="14.25"/>
  <cols>
    <col min="1" max="1" width="5.59765625" style="24" customWidth="1"/>
    <col min="2" max="2" width="5.59765625" style="44" customWidth="1"/>
    <col min="3" max="4" width="23.3984375" style="42" customWidth="1"/>
    <col min="5" max="5" width="6.59765625" style="42" customWidth="1"/>
    <col min="6" max="6" width="16.3984375" style="42" customWidth="1"/>
    <col min="7" max="7" width="3.3984375" style="42" customWidth="1"/>
    <col min="8" max="8" width="15.3984375" style="42" customWidth="1"/>
    <col min="9" max="9" width="1.3984375" style="42" customWidth="1"/>
    <col min="10" max="10" width="3.3984375" style="24" customWidth="1"/>
    <col min="11" max="11" width="1.3984375" style="86" customWidth="1"/>
    <col min="12" max="12" width="29.3984375" style="24" customWidth="1"/>
    <col min="13" max="13" width="1.3984375" style="42" customWidth="1"/>
    <col min="14" max="14" width="29.3984375" style="42" customWidth="1"/>
    <col min="15" max="15" width="1.3984375" style="42" customWidth="1"/>
    <col min="16" max="16" width="16.59765625" style="42" customWidth="1"/>
    <col min="17" max="17" width="5.59765625" style="42" customWidth="1"/>
    <col min="18" max="18" width="112.3984375" style="42" bestFit="1" customWidth="1"/>
    <col min="19" max="19" width="4.3984375" style="42" customWidth="1"/>
    <col min="20" max="20" width="14.3984375" style="42" customWidth="1"/>
    <col min="21" max="21" width="10.3984375" style="24" bestFit="1" customWidth="1"/>
    <col min="22" max="23" width="8.3984375" style="24" bestFit="1" customWidth="1"/>
    <col min="24" max="24" width="6.3984375" style="24" bestFit="1" customWidth="1"/>
    <col min="25" max="25" width="14.59765625" style="24" bestFit="1" customWidth="1"/>
    <col min="26" max="26" width="8.3984375" style="24"/>
    <col min="27" max="27" width="14.3984375" style="24" bestFit="1" customWidth="1"/>
    <col min="28" max="28" width="8.3984375" style="42"/>
    <col min="29" max="29" width="12.59765625" style="42" bestFit="1" customWidth="1"/>
    <col min="30" max="40" width="8.3984375" style="42"/>
    <col min="41" max="41" width="9.3984375" style="42" bestFit="1" customWidth="1"/>
    <col min="42" max="16384" width="8.398437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15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.15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2792816.3059772821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2789590.8342892979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2669773.6775000002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15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25">
      <c r="B12" s="45" t="s">
        <v>114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.15">
      <c r="B13" s="565">
        <v>1</v>
      </c>
      <c r="C13" s="797" t="s">
        <v>245</v>
      </c>
      <c r="D13" s="798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75">
      <c r="B14" s="574">
        <v>2</v>
      </c>
      <c r="C14" s="797" t="s">
        <v>247</v>
      </c>
      <c r="D14" s="798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75">
      <c r="B15" s="565">
        <v>3</v>
      </c>
      <c r="C15" s="797" t="s">
        <v>248</v>
      </c>
      <c r="D15" s="798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75">
      <c r="B16" s="574">
        <v>4</v>
      </c>
      <c r="C16" s="795" t="s">
        <v>249</v>
      </c>
      <c r="D16" s="796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75">
      <c r="B17" s="565">
        <v>5</v>
      </c>
      <c r="C17" s="795" t="s">
        <v>250</v>
      </c>
      <c r="D17" s="796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75">
      <c r="B18" s="565">
        <v>6</v>
      </c>
      <c r="C18" s="795" t="s">
        <v>252</v>
      </c>
      <c r="D18" s="796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75">
      <c r="B19" s="574">
        <v>7</v>
      </c>
      <c r="C19" s="795" t="s">
        <v>253</v>
      </c>
      <c r="D19" s="796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75">
      <c r="B20" s="565">
        <v>8</v>
      </c>
      <c r="C20" s="795" t="s">
        <v>254</v>
      </c>
      <c r="D20" s="796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75">
      <c r="B21" s="574">
        <v>9</v>
      </c>
      <c r="C21" s="795" t="s">
        <v>256</v>
      </c>
      <c r="D21" s="796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2.75">
      <c r="B22" s="574"/>
      <c r="C22" s="795" t="s">
        <v>257</v>
      </c>
      <c r="D22" s="796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75">
      <c r="B23" s="565">
        <v>10</v>
      </c>
      <c r="C23" s="795" t="s">
        <v>258</v>
      </c>
      <c r="D23" s="796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259</v>
      </c>
      <c r="S23" s="52"/>
    </row>
    <row r="24" spans="2:19" s="24" customFormat="1" ht="12.75">
      <c r="B24" s="565">
        <v>11</v>
      </c>
      <c r="C24" s="795" t="s">
        <v>260</v>
      </c>
      <c r="D24" s="796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75">
      <c r="B25" s="565"/>
      <c r="C25" s="797" t="s">
        <v>261</v>
      </c>
      <c r="D25" s="798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2.75">
      <c r="B26" s="565"/>
      <c r="C26" s="797" t="s">
        <v>262</v>
      </c>
      <c r="D26" s="798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75">
      <c r="B27" s="574">
        <v>12</v>
      </c>
      <c r="C27" s="797" t="s">
        <v>263</v>
      </c>
      <c r="D27" s="798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15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2.75">
      <c r="C32" s="58" t="s">
        <v>266</v>
      </c>
      <c r="D32" s="59"/>
      <c r="F32" s="60"/>
    </row>
    <row r="33" spans="2:14" s="24" customFormat="1" ht="12.75">
      <c r="C33" s="58" t="s">
        <v>267</v>
      </c>
      <c r="D33" s="59"/>
    </row>
    <row r="34" spans="2:14" s="24" customFormat="1" ht="12.75">
      <c r="C34" s="61" t="s">
        <v>268</v>
      </c>
      <c r="D34" s="62"/>
    </row>
    <row r="35" spans="2:14" s="24" customFormat="1" ht="12.75">
      <c r="C35" s="63" t="s">
        <v>269</v>
      </c>
      <c r="D35" s="59"/>
    </row>
    <row r="36" spans="2:14" s="24" customFormat="1" ht="12.75">
      <c r="B36" s="31"/>
      <c r="C36" s="63" t="s">
        <v>270</v>
      </c>
      <c r="D36" s="59"/>
    </row>
    <row r="37" spans="2:14" s="24" customFormat="1" ht="12.75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2.75">
      <c r="B39" s="31"/>
      <c r="F39" s="57"/>
      <c r="N39" s="30"/>
    </row>
    <row r="40" spans="2:14" s="24" customFormat="1" ht="12.75">
      <c r="B40" s="31"/>
      <c r="F40" s="57"/>
    </row>
    <row r="41" spans="2:14" s="24" customFormat="1" ht="12.75">
      <c r="B41" s="31"/>
      <c r="F41" s="57"/>
      <c r="H41" s="662"/>
    </row>
    <row r="42" spans="2:14" s="24" customFormat="1" ht="12.75">
      <c r="B42" s="31"/>
      <c r="F42" s="57"/>
    </row>
    <row r="43" spans="2:14" s="24" customFormat="1" ht="12.75">
      <c r="B43" s="31"/>
    </row>
    <row r="44" spans="2:14" s="24" customFormat="1" ht="12.75">
      <c r="B44" s="31"/>
    </row>
    <row r="45" spans="2:14" s="24" customFormat="1" ht="12.7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  <row r="224" spans="2:2" s="24" customFormat="1" ht="12.75">
      <c r="B224" s="31"/>
    </row>
    <row r="225" spans="2:2" s="24" customFormat="1" ht="12.75">
      <c r="B225" s="31"/>
    </row>
    <row r="226" spans="2:2" s="24" customFormat="1" ht="12.7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398437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 ht="13.9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25" thickBot="1">
      <c r="A4" s="124"/>
      <c r="B4" s="799"/>
      <c r="C4" s="799"/>
      <c r="D4" s="799"/>
      <c r="E4" s="311"/>
      <c r="F4" s="129" t="s">
        <v>221</v>
      </c>
      <c r="G4" s="124"/>
      <c r="H4" s="129" t="s">
        <v>222</v>
      </c>
      <c r="I4" s="124"/>
      <c r="J4" s="130" t="s">
        <v>279</v>
      </c>
      <c r="K4" s="26"/>
      <c r="L4" s="26"/>
    </row>
    <row r="5" spans="1:12" ht="14.25" thickBot="1">
      <c r="A5" s="124"/>
      <c r="B5" s="800" t="s">
        <v>280</v>
      </c>
      <c r="C5" s="800"/>
      <c r="D5" s="800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65" thickBot="1">
      <c r="A7" s="124"/>
      <c r="B7" s="134" t="s">
        <v>114</v>
      </c>
      <c r="C7" s="135"/>
      <c r="D7" s="134" t="s">
        <v>189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 ht="13.9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 ht="13.9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 ht="13.9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 ht="13.9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 ht="13.9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 ht="13.9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 ht="13.9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 ht="13.9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 ht="13.9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 ht="13.9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 ht="13.9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 ht="13.9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 ht="13.9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 ht="13.9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 ht="13.9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L1" zoomScale="70" zoomScaleNormal="70" workbookViewId="0">
      <pane ySplit="4" topLeftCell="A150" activePane="bottomLeft" state="frozen"/>
      <selection activeCell="F28" sqref="F28"/>
      <selection pane="bottomLeft" activeCell="R167" sqref="R167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32.3984375" style="4" customWidth="1"/>
    <col min="4" max="4" width="51.59765625" style="4" customWidth="1"/>
    <col min="5" max="5" width="13" style="6" customWidth="1"/>
    <col min="6" max="6" width="16.59765625" style="370" customWidth="1"/>
    <col min="7" max="8" width="17.3984375" style="4" customWidth="1"/>
    <col min="9" max="10" width="22.3984375" style="252" customWidth="1"/>
    <col min="11" max="11" width="5.59765625" style="26" hidden="1" customWidth="1"/>
    <col min="12" max="12" width="4.59765625" style="26" bestFit="1" customWidth="1"/>
    <col min="13" max="13" width="22.59765625" style="26" bestFit="1" customWidth="1"/>
    <col min="14" max="14" width="40.3984375" style="26" bestFit="1" customWidth="1"/>
    <col min="15" max="17" width="14.3984375" style="26" bestFit="1" customWidth="1"/>
    <col min="18" max="18" width="38.3984375" style="76" bestFit="1" customWidth="1"/>
    <col min="19" max="19" width="33.3984375" style="26" customWidth="1"/>
    <col min="20" max="20" width="14.3984375" style="429" bestFit="1" customWidth="1"/>
    <col min="21" max="21" width="14.73046875" style="429" bestFit="1" customWidth="1"/>
    <col min="22" max="22" width="15.59765625" style="26" customWidth="1"/>
    <col min="23" max="23" width="16.59765625" style="429" bestFit="1" customWidth="1"/>
    <col min="24" max="24" width="15.3984375" style="26" bestFit="1" customWidth="1"/>
    <col min="25" max="25" width="27.59765625" style="26" bestFit="1" customWidth="1"/>
    <col min="26" max="26" width="25" style="26" customWidth="1"/>
    <col min="27" max="27" width="17.3984375" style="26" customWidth="1"/>
    <col min="28" max="28" width="64.3984375" style="26" bestFit="1" customWidth="1"/>
    <col min="29" max="29" width="17.3984375" style="26" customWidth="1"/>
    <col min="30" max="30" width="25" style="26" bestFit="1" customWidth="1"/>
    <col min="31" max="31" width="12.59765625" style="26" customWidth="1"/>
    <col min="32" max="32" width="17.3984375" style="26" customWidth="1"/>
    <col min="33" max="33" width="20.59765625" style="26" bestFit="1" customWidth="1"/>
    <col min="34" max="34" width="18.59765625" style="26" bestFit="1" customWidth="1"/>
    <col min="35" max="76" width="17.3984375" style="26" customWidth="1"/>
    <col min="77" max="16384" width="9.398437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13" t="s">
        <v>287</v>
      </c>
      <c r="C2" s="714"/>
      <c r="D2" s="714"/>
      <c r="E2" s="714"/>
      <c r="F2" s="714"/>
      <c r="G2" s="714"/>
      <c r="H2" s="393"/>
      <c r="I2" s="160">
        <f>SUM(I6:I186)</f>
        <v>2278170.85</v>
      </c>
      <c r="J2" s="160">
        <f>SUM(J6:J186)</f>
        <v>2581529</v>
      </c>
      <c r="L2" s="715" t="s">
        <v>288</v>
      </c>
      <c r="M2" s="716"/>
      <c r="N2" s="716"/>
      <c r="O2" s="716"/>
      <c r="P2" s="716"/>
      <c r="Q2" s="716"/>
      <c r="R2" s="723" t="s">
        <v>289</v>
      </c>
      <c r="S2" s="724"/>
      <c r="T2" s="724"/>
      <c r="U2" s="724"/>
      <c r="V2" s="724"/>
      <c r="W2" s="725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241</v>
      </c>
      <c r="T4" s="500" t="s">
        <v>242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D187</f>
        <v>561360.21</v>
      </c>
      <c r="H6" s="526">
        <f>'Project Plan'!E37+60</f>
        <v>46039</v>
      </c>
      <c r="I6" s="717">
        <f>SUM(G6:G11)</f>
        <v>561360.21</v>
      </c>
      <c r="J6" s="720">
        <f>F187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35">
        <f>J6-SUM(U6:U11)</f>
        <v>0</v>
      </c>
      <c r="W6" s="683">
        <v>46019</v>
      </c>
      <c r="X6" s="717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18"/>
      <c r="J7" s="721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36"/>
      <c r="W7" s="451"/>
      <c r="X7" s="718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18"/>
      <c r="J8" s="721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36"/>
      <c r="W8" s="451"/>
      <c r="X8" s="718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18"/>
      <c r="J9" s="721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36"/>
      <c r="W9" s="452"/>
      <c r="X9" s="718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18"/>
      <c r="J10" s="721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36"/>
      <c r="W10" s="452"/>
      <c r="X10" s="718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19"/>
      <c r="J11" s="722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37"/>
      <c r="W11" s="453"/>
      <c r="X11" s="719"/>
      <c r="Y11" s="581" t="s">
        <v>310</v>
      </c>
      <c r="Z11" s="467" t="s">
        <v>311</v>
      </c>
    </row>
    <row r="12" spans="1:76" ht="14.2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313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29">
        <f>SUM(G13:G19)</f>
        <v>247000</v>
      </c>
      <c r="J13" s="732">
        <f>F188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38">
        <f>J13-SUM(U13:U19)</f>
        <v>0</v>
      </c>
      <c r="W13" s="684">
        <f>W6</f>
        <v>46019</v>
      </c>
      <c r="X13" s="729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30"/>
      <c r="J14" s="733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39"/>
      <c r="W14" s="505"/>
      <c r="X14" s="730"/>
      <c r="Y14" s="582" t="s">
        <v>317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30"/>
      <c r="J15" s="733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39"/>
      <c r="W15" s="456"/>
      <c r="X15" s="730"/>
      <c r="Y15" s="582" t="s">
        <v>318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30"/>
      <c r="J16" s="733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39"/>
      <c r="W16" s="456"/>
      <c r="X16" s="730"/>
      <c r="Y16" s="582" t="s">
        <v>319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30"/>
      <c r="J17" s="733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39"/>
      <c r="W17" s="456"/>
      <c r="X17" s="730"/>
      <c r="Y17" s="582" t="s">
        <v>320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30"/>
      <c r="J18" s="733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39"/>
      <c r="W18" s="456"/>
      <c r="X18" s="730"/>
      <c r="Y18" s="582" t="s">
        <v>321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31"/>
      <c r="J19" s="734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40"/>
      <c r="W19" s="457"/>
      <c r="X19" s="731"/>
      <c r="Y19" s="582" t="s">
        <v>322</v>
      </c>
      <c r="Z19" s="468">
        <v>0</v>
      </c>
      <c r="AA19" s="506"/>
    </row>
    <row r="20" spans="1:34" ht="14.2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D189</f>
        <v>100040</v>
      </c>
      <c r="H21" s="519">
        <f>'Project Plan'!E31+30</f>
        <v>45987</v>
      </c>
      <c r="I21" s="717">
        <f>SUM(G21:G26)</f>
        <v>100040</v>
      </c>
      <c r="J21" s="720">
        <f>F189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11" t="s">
        <v>327</v>
      </c>
      <c r="S21" s="488" t="s">
        <v>328</v>
      </c>
      <c r="T21" s="632">
        <v>45961</v>
      </c>
      <c r="U21" s="635">
        <v>106628.79769315651</v>
      </c>
      <c r="V21" s="735">
        <f>J21-SUM(U21:U26)</f>
        <v>0</v>
      </c>
      <c r="W21" s="685">
        <v>45989</v>
      </c>
      <c r="X21" s="717">
        <f>SUM(Q21:Q26)</f>
        <v>48031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18"/>
      <c r="J22" s="721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12"/>
      <c r="S22" s="481" t="s">
        <v>328</v>
      </c>
      <c r="T22" s="633">
        <f>T21</f>
        <v>45961</v>
      </c>
      <c r="U22" s="635">
        <v>7053.2023068434974</v>
      </c>
      <c r="V22" s="736"/>
      <c r="W22" s="616">
        <f>W21</f>
        <v>45989</v>
      </c>
      <c r="X22" s="718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18"/>
      <c r="J23" s="721"/>
      <c r="K23" s="190"/>
      <c r="L23" s="213">
        <v>3</v>
      </c>
      <c r="M23" s="320" t="s">
        <v>325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36"/>
      <c r="W23" s="451"/>
      <c r="X23" s="718"/>
      <c r="Y23" s="582" t="s">
        <v>331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18"/>
      <c r="J24" s="721"/>
      <c r="K24" s="190"/>
      <c r="L24" s="213">
        <v>3</v>
      </c>
      <c r="M24" s="320" t="s">
        <v>325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36"/>
      <c r="W24" s="452"/>
      <c r="X24" s="718"/>
      <c r="Y24" s="583" t="s">
        <v>332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18"/>
      <c r="J25" s="721"/>
      <c r="K25" s="190"/>
      <c r="L25" s="213">
        <v>3</v>
      </c>
      <c r="M25" s="320" t="s">
        <v>325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36"/>
      <c r="W25" s="452"/>
      <c r="X25" s="718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19"/>
      <c r="J26" s="722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37"/>
      <c r="W26" s="453"/>
      <c r="X26" s="719"/>
      <c r="Y26" s="584" t="s">
        <v>333</v>
      </c>
      <c r="Z26" s="472" t="s">
        <v>334</v>
      </c>
      <c r="AC26" s="614"/>
      <c r="AE26" s="26" t="s">
        <v>335</v>
      </c>
    </row>
    <row r="27" spans="1:34" ht="14.2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336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337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29">
        <f>SUM(G28:G42)</f>
        <v>161926</v>
      </c>
      <c r="J28" s="732">
        <f>F190</f>
        <v>184007</v>
      </c>
      <c r="K28" s="199"/>
      <c r="L28" s="195">
        <v>4</v>
      </c>
      <c r="M28" s="322" t="s">
        <v>338</v>
      </c>
      <c r="N28" s="196" t="s">
        <v>339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38">
        <f>J28-SUM(U28:U42)</f>
        <v>-2.3061083629727364E-3</v>
      </c>
      <c r="W28" s="684">
        <f>W13</f>
        <v>46019</v>
      </c>
      <c r="X28" s="729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340</v>
      </c>
      <c r="E29" s="293"/>
      <c r="F29" s="349"/>
      <c r="G29" s="497">
        <f>D190-G28</f>
        <v>103406</v>
      </c>
      <c r="H29" s="521">
        <f>'Project Plan'!G29</f>
        <v>45985</v>
      </c>
      <c r="I29" s="730"/>
      <c r="J29" s="733"/>
      <c r="K29" s="203"/>
      <c r="L29" s="200">
        <v>4</v>
      </c>
      <c r="M29" s="323" t="s">
        <v>338</v>
      </c>
      <c r="N29" s="307" t="s">
        <v>341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342</v>
      </c>
      <c r="T29" s="664">
        <v>46053</v>
      </c>
      <c r="U29" s="636">
        <v>0</v>
      </c>
      <c r="V29" s="739"/>
      <c r="W29" s="625">
        <v>46053</v>
      </c>
      <c r="X29" s="730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343</v>
      </c>
      <c r="AD29" s="513" t="s">
        <v>344</v>
      </c>
      <c r="AE29" s="617" t="s">
        <v>345</v>
      </c>
      <c r="AF29" s="609">
        <v>109400.2</v>
      </c>
      <c r="AG29" s="26" t="s">
        <v>346</v>
      </c>
      <c r="AH29" s="26" t="s">
        <v>347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30"/>
      <c r="J30" s="733"/>
      <c r="K30" s="203"/>
      <c r="L30" s="200">
        <v>4</v>
      </c>
      <c r="M30" s="323" t="s">
        <v>338</v>
      </c>
      <c r="N30" s="307" t="s">
        <v>348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342</v>
      </c>
      <c r="T30" s="664">
        <v>46053</v>
      </c>
      <c r="U30" s="636">
        <v>0</v>
      </c>
      <c r="V30" s="739"/>
      <c r="W30" s="625">
        <v>46053</v>
      </c>
      <c r="X30" s="730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349</v>
      </c>
      <c r="AE30" s="617" t="s">
        <v>350</v>
      </c>
      <c r="AF30" s="609">
        <v>251933.8</v>
      </c>
      <c r="AG30" s="26" t="s">
        <v>351</v>
      </c>
      <c r="AH30" s="26" t="s">
        <v>352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30"/>
      <c r="J31" s="733"/>
      <c r="K31" s="203"/>
      <c r="L31" s="200">
        <v>4</v>
      </c>
      <c r="M31" s="323" t="s">
        <v>338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39"/>
      <c r="W31" s="456"/>
      <c r="X31" s="730"/>
      <c r="Y31" s="585" t="s">
        <v>353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30"/>
      <c r="J32" s="733"/>
      <c r="K32" s="203"/>
      <c r="L32" s="200">
        <v>4</v>
      </c>
      <c r="M32" s="323" t="s">
        <v>338</v>
      </c>
      <c r="N32" s="307" t="s">
        <v>354</v>
      </c>
      <c r="O32" s="445">
        <f>AF28</f>
        <v>115826.92</v>
      </c>
      <c r="P32" s="446">
        <v>0.1</v>
      </c>
      <c r="Q32" s="202">
        <f>$O$32*P32</f>
        <v>11582.692000000001</v>
      </c>
      <c r="R32" s="726" t="s">
        <v>355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39"/>
      <c r="W32" s="625">
        <f>W115</f>
        <v>45960</v>
      </c>
      <c r="X32" s="730"/>
      <c r="Y32" s="585" t="s">
        <v>356</v>
      </c>
      <c r="Z32" s="473">
        <v>48180</v>
      </c>
      <c r="AA32" s="613" t="s">
        <v>357</v>
      </c>
      <c r="AB32" s="26" t="s">
        <v>358</v>
      </c>
      <c r="AC32" s="614"/>
      <c r="AD32" s="709" t="s">
        <v>359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30"/>
      <c r="J33" s="733"/>
      <c r="K33" s="203"/>
      <c r="L33" s="200">
        <v>4</v>
      </c>
      <c r="M33" s="323" t="s">
        <v>338</v>
      </c>
      <c r="N33" s="307" t="s">
        <v>139</v>
      </c>
      <c r="O33" s="436"/>
      <c r="P33" s="446">
        <v>0.15</v>
      </c>
      <c r="Q33" s="202">
        <f t="shared" ref="Q33:Q39" si="3">$O$32*P33</f>
        <v>17374.038</v>
      </c>
      <c r="R33" s="727"/>
      <c r="S33" s="486" t="s">
        <v>360</v>
      </c>
      <c r="T33" s="622">
        <v>45961</v>
      </c>
      <c r="U33" s="636">
        <v>16168.484343285172</v>
      </c>
      <c r="V33" s="739"/>
      <c r="W33" s="644">
        <f>W116</f>
        <v>45967</v>
      </c>
      <c r="X33" s="730"/>
      <c r="Y33" s="585" t="s">
        <v>361</v>
      </c>
      <c r="Z33" s="473">
        <v>59410</v>
      </c>
      <c r="AA33" s="613" t="s">
        <v>357</v>
      </c>
      <c r="AB33" s="26" t="s">
        <v>362</v>
      </c>
      <c r="AC33" s="614"/>
      <c r="AD33" s="710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30"/>
      <c r="J34" s="733"/>
      <c r="K34" s="203"/>
      <c r="L34" s="200">
        <v>4</v>
      </c>
      <c r="M34" s="323" t="s">
        <v>338</v>
      </c>
      <c r="N34" s="307" t="s">
        <v>363</v>
      </c>
      <c r="O34" s="436"/>
      <c r="P34" s="446">
        <v>0.2</v>
      </c>
      <c r="Q34" s="202">
        <f t="shared" si="3"/>
        <v>23165.384000000002</v>
      </c>
      <c r="R34" s="727"/>
      <c r="S34" s="486" t="s">
        <v>364</v>
      </c>
      <c r="T34" s="521">
        <f>T117</f>
        <v>46022</v>
      </c>
      <c r="U34" s="636">
        <v>21557.979124380232</v>
      </c>
      <c r="V34" s="739"/>
      <c r="W34" s="644">
        <f>W117</f>
        <v>46003</v>
      </c>
      <c r="X34" s="730"/>
      <c r="Y34" s="585" t="s">
        <v>365</v>
      </c>
      <c r="Z34" s="473">
        <v>90051.25</v>
      </c>
      <c r="AB34" s="26" t="s">
        <v>366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30"/>
      <c r="J35" s="733"/>
      <c r="K35" s="203"/>
      <c r="L35" s="200">
        <v>4</v>
      </c>
      <c r="M35" s="323" t="s">
        <v>338</v>
      </c>
      <c r="N35" s="307" t="s">
        <v>367</v>
      </c>
      <c r="O35" s="436"/>
      <c r="P35" s="446">
        <v>0.25</v>
      </c>
      <c r="Q35" s="202">
        <f t="shared" si="3"/>
        <v>28956.73</v>
      </c>
      <c r="R35" s="727"/>
      <c r="S35" s="486" t="s">
        <v>368</v>
      </c>
      <c r="T35" s="521">
        <f>T118</f>
        <v>46022</v>
      </c>
      <c r="U35" s="636">
        <v>26947.473905475286</v>
      </c>
      <c r="V35" s="739"/>
      <c r="W35" s="644">
        <f>W118</f>
        <v>46003</v>
      </c>
      <c r="X35" s="730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30"/>
      <c r="J36" s="733"/>
      <c r="K36" s="203"/>
      <c r="L36" s="200">
        <v>4</v>
      </c>
      <c r="M36" s="323" t="s">
        <v>338</v>
      </c>
      <c r="N36" s="307" t="s">
        <v>369</v>
      </c>
      <c r="O36" s="436"/>
      <c r="P36" s="446">
        <v>0.1</v>
      </c>
      <c r="Q36" s="202">
        <f t="shared" si="3"/>
        <v>11582.692000000001</v>
      </c>
      <c r="R36" s="727"/>
      <c r="S36" s="486" t="s">
        <v>370</v>
      </c>
      <c r="T36" s="521">
        <f t="shared" ref="T36:T39" si="5">T119</f>
        <v>46022</v>
      </c>
      <c r="U36" s="636">
        <v>10778.989562190116</v>
      </c>
      <c r="V36" s="739"/>
      <c r="W36" s="644">
        <f t="shared" ref="W36:W39" si="6">W119</f>
        <v>46003</v>
      </c>
      <c r="X36" s="730"/>
      <c r="Y36" s="585" t="s">
        <v>329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30"/>
      <c r="J37" s="733"/>
      <c r="K37" s="203"/>
      <c r="L37" s="200">
        <v>4</v>
      </c>
      <c r="M37" s="323" t="s">
        <v>338</v>
      </c>
      <c r="N37" s="307" t="s">
        <v>371</v>
      </c>
      <c r="O37" s="436"/>
      <c r="P37" s="446">
        <v>0.1</v>
      </c>
      <c r="Q37" s="202">
        <f t="shared" si="3"/>
        <v>11582.692000000001</v>
      </c>
      <c r="R37" s="727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39"/>
      <c r="W37" s="644">
        <f t="shared" si="6"/>
        <v>46015</v>
      </c>
      <c r="X37" s="730"/>
      <c r="Y37" s="585" t="s">
        <v>329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30"/>
      <c r="J38" s="733"/>
      <c r="K38" s="203"/>
      <c r="L38" s="200">
        <v>4</v>
      </c>
      <c r="M38" s="323" t="s">
        <v>338</v>
      </c>
      <c r="N38" s="307" t="s">
        <v>372</v>
      </c>
      <c r="O38" s="436"/>
      <c r="P38" s="446">
        <v>0.05</v>
      </c>
      <c r="Q38" s="202">
        <f t="shared" si="3"/>
        <v>5791.3460000000005</v>
      </c>
      <c r="R38" s="727"/>
      <c r="S38" s="486" t="s">
        <v>373</v>
      </c>
      <c r="T38" s="521">
        <f t="shared" si="5"/>
        <v>46022</v>
      </c>
      <c r="U38" s="636">
        <v>5389.494781095058</v>
      </c>
      <c r="V38" s="739"/>
      <c r="W38" s="644">
        <v>46051</v>
      </c>
      <c r="X38" s="730"/>
      <c r="Y38" s="585" t="s">
        <v>277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30"/>
      <c r="J39" s="733"/>
      <c r="K39" s="203"/>
      <c r="L39" s="200">
        <v>4</v>
      </c>
      <c r="M39" s="323" t="s">
        <v>338</v>
      </c>
      <c r="N39" s="307" t="s">
        <v>374</v>
      </c>
      <c r="O39" s="436"/>
      <c r="P39" s="446">
        <v>0.05</v>
      </c>
      <c r="Q39" s="202">
        <f t="shared" si="3"/>
        <v>5791.3460000000005</v>
      </c>
      <c r="R39" s="728"/>
      <c r="S39" s="486" t="s">
        <v>375</v>
      </c>
      <c r="T39" s="521">
        <f t="shared" si="5"/>
        <v>46081</v>
      </c>
      <c r="U39" s="399">
        <f>(Q39/$X$28*$J$28)-2055.98</f>
        <v>5389.4970872034428</v>
      </c>
      <c r="V39" s="739"/>
      <c r="W39" s="456">
        <f t="shared" si="6"/>
        <v>46109</v>
      </c>
      <c r="X39" s="730"/>
      <c r="Y39" s="586" t="s">
        <v>332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30"/>
      <c r="J40" s="733"/>
      <c r="K40" s="203"/>
      <c r="L40" s="200">
        <v>4</v>
      </c>
      <c r="M40" s="323" t="s">
        <v>338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39"/>
      <c r="W40" s="456"/>
      <c r="X40" s="730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30"/>
      <c r="J41" s="733"/>
      <c r="K41" s="203"/>
      <c r="L41" s="200">
        <v>4</v>
      </c>
      <c r="M41" s="323" t="s">
        <v>338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39"/>
      <c r="W41" s="456"/>
      <c r="X41" s="730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31"/>
      <c r="J42" s="734"/>
      <c r="K42" s="208"/>
      <c r="L42" s="204">
        <v>4</v>
      </c>
      <c r="M42" s="324" t="s">
        <v>338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40"/>
      <c r="W42" s="457"/>
      <c r="X42" s="731"/>
      <c r="Z42" s="610">
        <f>SUM(Z29:Z30)/'Project Plan'!K3</f>
        <v>85106.314814814803</v>
      </c>
    </row>
    <row r="43" spans="1:32" ht="13.9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17">
        <f>SUM(G44:G51)</f>
        <v>148000</v>
      </c>
      <c r="J44" s="720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308</v>
      </c>
      <c r="T44" s="519">
        <f>T13</f>
        <v>45961</v>
      </c>
      <c r="U44" s="639">
        <v>9890.2129776497222</v>
      </c>
      <c r="V44" s="735">
        <f>J44-SUM(U44:U51)</f>
        <v>2.8336118557490408E-3</v>
      </c>
      <c r="W44" s="685">
        <f>W13</f>
        <v>46019</v>
      </c>
      <c r="X44" s="717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18"/>
      <c r="J45" s="721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36"/>
      <c r="W45" s="624">
        <v>46029</v>
      </c>
      <c r="X45" s="718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18"/>
      <c r="J46" s="721"/>
      <c r="K46" s="190"/>
      <c r="L46" s="188">
        <v>5</v>
      </c>
      <c r="M46" s="325" t="s">
        <v>378</v>
      </c>
      <c r="N46" s="215" t="s">
        <v>219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36"/>
      <c r="W46" s="624">
        <v>46051</v>
      </c>
      <c r="X46" s="718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18"/>
      <c r="J47" s="721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36"/>
      <c r="W47" s="624">
        <v>46021</v>
      </c>
      <c r="X47" s="718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18"/>
      <c r="J48" s="721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36"/>
      <c r="W48" s="624">
        <v>45979</v>
      </c>
      <c r="X48" s="718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18"/>
      <c r="J49" s="721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36"/>
      <c r="W49" s="452"/>
      <c r="X49" s="718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18"/>
      <c r="J50" s="721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36"/>
      <c r="W50" s="452"/>
      <c r="X50" s="718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19"/>
      <c r="J51" s="722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37"/>
      <c r="W51" s="453"/>
      <c r="X51" s="719"/>
    </row>
    <row r="52" spans="1:24" ht="14.2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312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29">
        <f>SUM(G53:G69)</f>
        <v>278660.59999999998</v>
      </c>
      <c r="J53" s="732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38">
        <f>J53-SUM(U53:U69)</f>
        <v>0</v>
      </c>
      <c r="W53" s="455"/>
      <c r="X53" s="729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30"/>
      <c r="J54" s="733"/>
      <c r="K54" s="203"/>
      <c r="L54" s="200">
        <v>6</v>
      </c>
      <c r="M54" s="326" t="s">
        <v>391</v>
      </c>
      <c r="N54" s="340" t="s">
        <v>213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39"/>
      <c r="W54" s="456"/>
      <c r="X54" s="730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30"/>
      <c r="J55" s="733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39"/>
      <c r="W55" s="456"/>
      <c r="X55" s="730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30"/>
      <c r="J56" s="733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39"/>
      <c r="W56" s="456"/>
      <c r="X56" s="730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30"/>
      <c r="J57" s="733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39"/>
      <c r="W57" s="456"/>
      <c r="X57" s="730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30"/>
      <c r="J58" s="733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39"/>
      <c r="W58" s="456"/>
      <c r="X58" s="730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30"/>
      <c r="J59" s="733"/>
      <c r="K59" s="203"/>
      <c r="L59" s="200">
        <v>6</v>
      </c>
      <c r="M59" s="326" t="s">
        <v>391</v>
      </c>
      <c r="N59" s="307" t="s">
        <v>354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26" t="s">
        <v>355</v>
      </c>
      <c r="S59" s="486" t="str">
        <f>S115</f>
        <v>The Greenway INV0001528</v>
      </c>
      <c r="T59" s="623">
        <f>T115</f>
        <v>45961</v>
      </c>
      <c r="U59" s="636">
        <v>31666</v>
      </c>
      <c r="V59" s="739"/>
      <c r="W59" s="625">
        <f>W115</f>
        <v>45960</v>
      </c>
      <c r="X59" s="730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30"/>
      <c r="J60" s="733"/>
      <c r="K60" s="203"/>
      <c r="L60" s="200">
        <v>6</v>
      </c>
      <c r="M60" s="327" t="s">
        <v>391</v>
      </c>
      <c r="N60" s="307" t="s">
        <v>139</v>
      </c>
      <c r="O60" s="436"/>
      <c r="P60" s="446">
        <v>0.15</v>
      </c>
      <c r="Q60" s="202">
        <f t="shared" si="10"/>
        <v>58471.493999999999</v>
      </c>
      <c r="R60" s="727"/>
      <c r="S60" s="486" t="s">
        <v>360</v>
      </c>
      <c r="T60" s="629">
        <v>45961</v>
      </c>
      <c r="U60" s="636">
        <v>47499</v>
      </c>
      <c r="V60" s="739"/>
      <c r="W60" s="644">
        <f t="shared" ref="W60:W66" si="11">W116</f>
        <v>45967</v>
      </c>
      <c r="X60" s="730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30"/>
      <c r="J61" s="733"/>
      <c r="K61" s="203"/>
      <c r="L61" s="200">
        <v>6</v>
      </c>
      <c r="M61" s="327" t="s">
        <v>391</v>
      </c>
      <c r="N61" s="307" t="s">
        <v>363</v>
      </c>
      <c r="O61" s="436"/>
      <c r="P61" s="446">
        <v>0.2</v>
      </c>
      <c r="Q61" s="202">
        <f t="shared" si="10"/>
        <v>77961.992000000013</v>
      </c>
      <c r="R61" s="727"/>
      <c r="S61" s="486" t="s">
        <v>364</v>
      </c>
      <c r="T61" s="536">
        <f t="shared" ref="T61:T66" si="12">T117</f>
        <v>46022</v>
      </c>
      <c r="U61" s="636">
        <v>63332</v>
      </c>
      <c r="V61" s="739"/>
      <c r="W61" s="644">
        <f t="shared" si="11"/>
        <v>46003</v>
      </c>
      <c r="X61" s="730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30"/>
      <c r="J62" s="733"/>
      <c r="K62" s="203"/>
      <c r="L62" s="200">
        <v>6</v>
      </c>
      <c r="M62" s="327" t="s">
        <v>391</v>
      </c>
      <c r="N62" s="307" t="s">
        <v>367</v>
      </c>
      <c r="O62" s="436"/>
      <c r="P62" s="446">
        <v>0.25</v>
      </c>
      <c r="Q62" s="202">
        <f t="shared" si="10"/>
        <v>97452.49</v>
      </c>
      <c r="R62" s="727"/>
      <c r="S62" s="486" t="s">
        <v>368</v>
      </c>
      <c r="T62" s="536">
        <f t="shared" si="12"/>
        <v>46022</v>
      </c>
      <c r="U62" s="636">
        <v>79165</v>
      </c>
      <c r="V62" s="739"/>
      <c r="W62" s="644">
        <f t="shared" si="11"/>
        <v>46003</v>
      </c>
      <c r="X62" s="730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30"/>
      <c r="J63" s="733"/>
      <c r="K63" s="203"/>
      <c r="L63" s="200">
        <v>6</v>
      </c>
      <c r="M63" s="327" t="s">
        <v>391</v>
      </c>
      <c r="N63" s="307" t="s">
        <v>369</v>
      </c>
      <c r="O63" s="436"/>
      <c r="P63" s="446">
        <v>0.1</v>
      </c>
      <c r="Q63" s="202">
        <f t="shared" si="10"/>
        <v>38980.996000000006</v>
      </c>
      <c r="R63" s="727"/>
      <c r="S63" s="486" t="s">
        <v>370</v>
      </c>
      <c r="T63" s="536">
        <f t="shared" si="12"/>
        <v>46022</v>
      </c>
      <c r="U63" s="636">
        <v>31666</v>
      </c>
      <c r="V63" s="739"/>
      <c r="W63" s="644">
        <f t="shared" si="11"/>
        <v>46003</v>
      </c>
      <c r="X63" s="730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30"/>
      <c r="J64" s="733"/>
      <c r="K64" s="203"/>
      <c r="L64" s="200">
        <v>6</v>
      </c>
      <c r="M64" s="327" t="s">
        <v>391</v>
      </c>
      <c r="N64" s="307" t="s">
        <v>371</v>
      </c>
      <c r="O64" s="436"/>
      <c r="P64" s="446">
        <v>0.1</v>
      </c>
      <c r="Q64" s="202">
        <f t="shared" si="10"/>
        <v>38980.996000000006</v>
      </c>
      <c r="R64" s="727"/>
      <c r="S64" s="490" t="str">
        <f>S120</f>
        <v>The Greenway INV0001564</v>
      </c>
      <c r="T64" s="536">
        <f t="shared" si="12"/>
        <v>46022</v>
      </c>
      <c r="U64" s="699">
        <v>31666</v>
      </c>
      <c r="V64" s="739"/>
      <c r="W64" s="644">
        <f t="shared" si="11"/>
        <v>46015</v>
      </c>
      <c r="X64" s="730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30"/>
      <c r="J65" s="733"/>
      <c r="K65" s="203"/>
      <c r="L65" s="200">
        <v>6</v>
      </c>
      <c r="M65" s="327" t="s">
        <v>391</v>
      </c>
      <c r="N65" s="307" t="s">
        <v>372</v>
      </c>
      <c r="O65" s="436"/>
      <c r="P65" s="446">
        <v>0.05</v>
      </c>
      <c r="Q65" s="202">
        <f t="shared" si="10"/>
        <v>19490.498000000003</v>
      </c>
      <c r="R65" s="727"/>
      <c r="S65" s="490" t="s">
        <v>373</v>
      </c>
      <c r="T65" s="536">
        <f t="shared" si="12"/>
        <v>46022</v>
      </c>
      <c r="U65" s="699">
        <v>15833</v>
      </c>
      <c r="V65" s="739"/>
      <c r="W65" s="644">
        <v>46051</v>
      </c>
      <c r="X65" s="730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30"/>
      <c r="J66" s="733"/>
      <c r="K66" s="203"/>
      <c r="L66" s="200">
        <v>6</v>
      </c>
      <c r="M66" s="327" t="s">
        <v>391</v>
      </c>
      <c r="N66" s="307" t="s">
        <v>374</v>
      </c>
      <c r="O66" s="436"/>
      <c r="P66" s="446">
        <v>0.05</v>
      </c>
      <c r="Q66" s="202">
        <f t="shared" si="10"/>
        <v>19490.498000000003</v>
      </c>
      <c r="R66" s="728"/>
      <c r="S66" s="490" t="s">
        <v>375</v>
      </c>
      <c r="T66" s="536">
        <f t="shared" si="12"/>
        <v>46081</v>
      </c>
      <c r="U66" s="404">
        <f t="shared" si="9"/>
        <v>15833</v>
      </c>
      <c r="V66" s="739"/>
      <c r="W66" s="456">
        <f t="shared" si="11"/>
        <v>46109</v>
      </c>
      <c r="X66" s="730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30"/>
      <c r="J67" s="733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39"/>
      <c r="W67" s="459"/>
      <c r="X67" s="730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30"/>
      <c r="J68" s="733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39"/>
      <c r="W68" s="459"/>
      <c r="X68" s="730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31"/>
      <c r="J69" s="734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40"/>
      <c r="W69" s="457"/>
      <c r="X69" s="731"/>
    </row>
    <row r="70" spans="1:24" ht="13.9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17">
        <f>SUM(G71:G78)</f>
        <v>0</v>
      </c>
      <c r="J71" s="720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41">
        <f>J71-SUM(U71:U78)</f>
        <v>0</v>
      </c>
      <c r="W71" s="461"/>
      <c r="X71" s="717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18"/>
      <c r="J72" s="721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42"/>
      <c r="W72" s="452"/>
      <c r="X72" s="718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18"/>
      <c r="J73" s="721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42"/>
      <c r="W73" s="452"/>
      <c r="X73" s="718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18"/>
      <c r="J74" s="721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42"/>
      <c r="W74" s="452"/>
      <c r="X74" s="718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18"/>
      <c r="J75" s="721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42"/>
      <c r="W75" s="452"/>
      <c r="X75" s="718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18"/>
      <c r="J76" s="721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42"/>
      <c r="W76" s="452"/>
      <c r="X76" s="718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18"/>
      <c r="J77" s="721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42"/>
      <c r="W77" s="452"/>
      <c r="X77" s="718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19"/>
      <c r="J78" s="722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43"/>
      <c r="W78" s="453"/>
      <c r="X78" s="719"/>
    </row>
    <row r="79" spans="1:24" ht="13.9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29">
        <f>SUM(G80:G112)</f>
        <v>469833.45</v>
      </c>
      <c r="J80" s="732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56">
        <f>J80-SUM(U80:U112)</f>
        <v>-182487.30674497806</v>
      </c>
      <c r="W80" s="684">
        <v>45992</v>
      </c>
      <c r="X80" s="729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30"/>
      <c r="J81" s="733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57"/>
      <c r="W81" s="644">
        <v>45992</v>
      </c>
      <c r="X81" s="730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30"/>
      <c r="J82" s="733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57"/>
      <c r="W82" s="625">
        <v>46015</v>
      </c>
      <c r="X82" s="730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30"/>
      <c r="J83" s="733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57"/>
      <c r="W83" s="456"/>
      <c r="X83" s="730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30"/>
      <c r="J84" s="733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57"/>
      <c r="W84" s="456"/>
      <c r="X84" s="730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30"/>
      <c r="J85" s="733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57"/>
      <c r="W85" s="456"/>
      <c r="X85" s="730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30"/>
      <c r="J86" s="733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57"/>
      <c r="W86" s="456"/>
      <c r="X86" s="730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30"/>
      <c r="J87" s="733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57"/>
      <c r="W87" s="456"/>
      <c r="X87" s="730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30"/>
      <c r="J88" s="733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57"/>
      <c r="W88" s="644">
        <v>45988</v>
      </c>
      <c r="X88" s="730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30"/>
      <c r="J89" s="733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57"/>
      <c r="W89" s="456"/>
      <c r="X89" s="730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30"/>
      <c r="J90" s="733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57"/>
      <c r="W90" s="456"/>
      <c r="X90" s="730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30"/>
      <c r="J91" s="733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57"/>
      <c r="W91" s="456"/>
      <c r="X91" s="730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30"/>
      <c r="J92" s="733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57"/>
      <c r="W92" s="456"/>
      <c r="X92" s="730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30"/>
      <c r="J93" s="733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57"/>
      <c r="W93" s="644">
        <v>46058</v>
      </c>
      <c r="X93" s="730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30"/>
      <c r="J94" s="733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57"/>
      <c r="W94" s="625" t="s">
        <v>417</v>
      </c>
      <c r="X94" s="730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30"/>
      <c r="J95" s="733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57"/>
      <c r="W95" s="456"/>
      <c r="X95" s="730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30"/>
      <c r="J96" s="733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57"/>
      <c r="W96" s="456"/>
      <c r="X96" s="730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30"/>
      <c r="J97" s="733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57"/>
      <c r="W97" s="456"/>
      <c r="X97" s="730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30"/>
      <c r="J98" s="733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57"/>
      <c r="W98" s="456"/>
      <c r="X98" s="730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30"/>
      <c r="J99" s="733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57"/>
      <c r="W99" s="456"/>
      <c r="X99" s="730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30"/>
      <c r="J100" s="733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57"/>
      <c r="W100" s="456"/>
      <c r="X100" s="730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30"/>
      <c r="J101" s="733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57"/>
      <c r="W101" s="456"/>
      <c r="X101" s="730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30"/>
      <c r="J102" s="733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57"/>
      <c r="W102" s="644">
        <v>45974</v>
      </c>
      <c r="X102" s="730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30"/>
      <c r="J103" s="733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57"/>
      <c r="W103" s="644">
        <v>45995</v>
      </c>
      <c r="X103" s="730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30"/>
      <c r="J104" s="733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57"/>
      <c r="W104" s="456">
        <v>46112</v>
      </c>
      <c r="X104" s="730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30"/>
      <c r="J105" s="733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26" t="s">
        <v>423</v>
      </c>
      <c r="S105" s="486" t="s">
        <v>424</v>
      </c>
      <c r="T105" s="521">
        <v>46053</v>
      </c>
      <c r="U105" s="636">
        <v>56217.710915810079</v>
      </c>
      <c r="V105" s="757"/>
      <c r="W105" s="644">
        <v>46045</v>
      </c>
      <c r="X105" s="730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30"/>
      <c r="J106" s="733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28"/>
      <c r="S106" s="486" t="s">
        <v>424</v>
      </c>
      <c r="T106" s="521">
        <v>46053</v>
      </c>
      <c r="U106" s="636">
        <v>56217.710915810079</v>
      </c>
      <c r="V106" s="757"/>
      <c r="W106" s="644">
        <f>W105+13</f>
        <v>46058</v>
      </c>
      <c r="X106" s="730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30"/>
      <c r="J107" s="733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57"/>
      <c r="W107" s="456"/>
      <c r="X107" s="730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30"/>
      <c r="J108" s="733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57"/>
      <c r="W108" s="644">
        <f>W119</f>
        <v>46003</v>
      </c>
      <c r="X108" s="730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30"/>
      <c r="J109" s="733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57"/>
      <c r="W109" s="456"/>
      <c r="X109" s="730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30"/>
      <c r="J110" s="733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57"/>
      <c r="W110" s="625">
        <v>46009</v>
      </c>
      <c r="X110" s="730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30"/>
      <c r="J111" s="733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57"/>
      <c r="W111" s="625">
        <v>46003</v>
      </c>
      <c r="X111" s="730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31"/>
      <c r="J112" s="734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58"/>
      <c r="W112" s="457"/>
      <c r="X112" s="731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50">
        <f>SUM(G114:G125)</f>
        <v>198850</v>
      </c>
      <c r="J114" s="720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35">
        <f>J114-SUM(U114:U125)</f>
        <v>0</v>
      </c>
      <c r="W114" s="458"/>
      <c r="X114" s="717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51"/>
      <c r="J115" s="721"/>
      <c r="K115" s="190"/>
      <c r="L115" s="213">
        <v>9</v>
      </c>
      <c r="M115" s="320" t="s">
        <v>436</v>
      </c>
      <c r="N115" s="230" t="s">
        <v>354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64" t="s">
        <v>355</v>
      </c>
      <c r="S115" s="481" t="s">
        <v>438</v>
      </c>
      <c r="T115" s="620">
        <v>45961</v>
      </c>
      <c r="U115" s="635">
        <v>22094.399999999998</v>
      </c>
      <c r="V115" s="736"/>
      <c r="W115" s="624">
        <v>45960</v>
      </c>
      <c r="X115" s="718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51"/>
      <c r="J116" s="721"/>
      <c r="K116" s="190"/>
      <c r="L116" s="282">
        <v>9</v>
      </c>
      <c r="M116" s="392" t="s">
        <v>436</v>
      </c>
      <c r="N116" s="284" t="s">
        <v>139</v>
      </c>
      <c r="O116" s="432"/>
      <c r="P116" s="447">
        <v>0.15</v>
      </c>
      <c r="Q116" s="217">
        <f t="shared" si="18"/>
        <v>54200.1</v>
      </c>
      <c r="R116" s="766"/>
      <c r="S116" s="482" t="s">
        <v>360</v>
      </c>
      <c r="T116" s="630">
        <v>45961</v>
      </c>
      <c r="U116" s="635">
        <v>33141.599999999991</v>
      </c>
      <c r="V116" s="736"/>
      <c r="W116" s="643">
        <v>45967</v>
      </c>
      <c r="X116" s="718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51"/>
      <c r="J117" s="721"/>
      <c r="K117" s="190"/>
      <c r="L117" s="282">
        <v>9</v>
      </c>
      <c r="M117" s="392" t="s">
        <v>436</v>
      </c>
      <c r="N117" s="284" t="s">
        <v>363</v>
      </c>
      <c r="O117" s="432"/>
      <c r="P117" s="447">
        <v>0.2</v>
      </c>
      <c r="Q117" s="217">
        <f t="shared" si="18"/>
        <v>72266.8</v>
      </c>
      <c r="R117" s="766"/>
      <c r="S117" s="482" t="s">
        <v>364</v>
      </c>
      <c r="T117" s="527">
        <f t="shared" si="16"/>
        <v>46022</v>
      </c>
      <c r="U117" s="635">
        <v>44188.799999999996</v>
      </c>
      <c r="V117" s="736"/>
      <c r="W117" s="643">
        <v>46003</v>
      </c>
      <c r="X117" s="718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51"/>
      <c r="J118" s="721"/>
      <c r="K118" s="190"/>
      <c r="L118" s="282">
        <v>9</v>
      </c>
      <c r="M118" s="392" t="s">
        <v>436</v>
      </c>
      <c r="N118" s="284" t="s">
        <v>367</v>
      </c>
      <c r="O118" s="432"/>
      <c r="P118" s="447">
        <v>0.25</v>
      </c>
      <c r="Q118" s="217">
        <f t="shared" si="18"/>
        <v>90333.5</v>
      </c>
      <c r="R118" s="766"/>
      <c r="S118" s="482" t="s">
        <v>368</v>
      </c>
      <c r="T118" s="527">
        <v>46022</v>
      </c>
      <c r="U118" s="635">
        <v>55235.999999999993</v>
      </c>
      <c r="V118" s="736"/>
      <c r="W118" s="643">
        <v>46003</v>
      </c>
      <c r="X118" s="718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51"/>
      <c r="J119" s="721"/>
      <c r="K119" s="190"/>
      <c r="L119" s="282">
        <v>9</v>
      </c>
      <c r="M119" s="392" t="s">
        <v>436</v>
      </c>
      <c r="N119" s="284" t="s">
        <v>369</v>
      </c>
      <c r="O119" s="432"/>
      <c r="P119" s="447">
        <v>0.1</v>
      </c>
      <c r="Q119" s="217">
        <f t="shared" si="18"/>
        <v>36133.4</v>
      </c>
      <c r="R119" s="766"/>
      <c r="S119" s="482" t="s">
        <v>370</v>
      </c>
      <c r="T119" s="527">
        <f t="shared" si="16"/>
        <v>46022</v>
      </c>
      <c r="U119" s="635">
        <v>22094.399999999998</v>
      </c>
      <c r="V119" s="736"/>
      <c r="W119" s="643">
        <v>46003</v>
      </c>
      <c r="X119" s="718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51"/>
      <c r="J120" s="721"/>
      <c r="K120" s="190"/>
      <c r="L120" s="282">
        <v>9</v>
      </c>
      <c r="M120" s="392" t="s">
        <v>436</v>
      </c>
      <c r="N120" s="284" t="s">
        <v>371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66"/>
      <c r="S120" s="482" t="s">
        <v>439</v>
      </c>
      <c r="T120" s="527">
        <v>46022</v>
      </c>
      <c r="U120" s="635">
        <v>22094.399999999998</v>
      </c>
      <c r="V120" s="736"/>
      <c r="W120" s="643">
        <v>46015</v>
      </c>
      <c r="X120" s="718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51"/>
      <c r="J121" s="721"/>
      <c r="K121" s="190"/>
      <c r="L121" s="282">
        <v>9</v>
      </c>
      <c r="M121" s="392" t="s">
        <v>436</v>
      </c>
      <c r="N121" s="284" t="s">
        <v>372</v>
      </c>
      <c r="O121" s="432"/>
      <c r="P121" s="447">
        <v>0.05</v>
      </c>
      <c r="Q121" s="217">
        <f t="shared" si="18"/>
        <v>18066.7</v>
      </c>
      <c r="R121" s="766"/>
      <c r="S121" s="482" t="s">
        <v>373</v>
      </c>
      <c r="T121" s="527">
        <v>46022</v>
      </c>
      <c r="U121" s="635">
        <v>11047.199999999999</v>
      </c>
      <c r="V121" s="736"/>
      <c r="W121" s="643">
        <v>46051</v>
      </c>
      <c r="X121" s="718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51"/>
      <c r="J122" s="721"/>
      <c r="K122" s="190"/>
      <c r="L122" s="282">
        <v>9</v>
      </c>
      <c r="M122" s="392" t="s">
        <v>436</v>
      </c>
      <c r="N122" s="284" t="s">
        <v>374</v>
      </c>
      <c r="O122" s="432"/>
      <c r="P122" s="447">
        <v>0.05</v>
      </c>
      <c r="Q122" s="217">
        <f t="shared" si="18"/>
        <v>18066.7</v>
      </c>
      <c r="R122" s="712"/>
      <c r="S122" s="482" t="s">
        <v>375</v>
      </c>
      <c r="T122" s="527">
        <v>46081</v>
      </c>
      <c r="U122" s="395">
        <f t="shared" si="17"/>
        <v>11047.199999999999</v>
      </c>
      <c r="V122" s="736"/>
      <c r="W122" s="452">
        <v>46109</v>
      </c>
      <c r="X122" s="718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51"/>
      <c r="J123" s="721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36"/>
      <c r="W123" s="452"/>
      <c r="X123" s="718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51"/>
      <c r="J124" s="721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36"/>
      <c r="W124" s="452"/>
      <c r="X124" s="718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52"/>
      <c r="J125" s="722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37"/>
      <c r="W125" s="453"/>
      <c r="X125" s="719"/>
    </row>
    <row r="126" spans="1:24" ht="13.9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319</v>
      </c>
      <c r="E127" s="173"/>
      <c r="F127" s="366"/>
      <c r="G127" s="240">
        <f>D204</f>
        <v>8500</v>
      </c>
      <c r="H127" s="537">
        <f>H114</f>
        <v>45988</v>
      </c>
      <c r="I127" s="744">
        <f>SUM(G127:G141)</f>
        <v>56854.45</v>
      </c>
      <c r="J127" s="747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53">
        <f>J127-SUM(U127:U141)</f>
        <v>-7.5403777009341866E-4</v>
      </c>
      <c r="W127" s="691">
        <v>46003</v>
      </c>
      <c r="X127" s="744">
        <f>SUM(Q127:Q141)</f>
        <v>176150.50999999998</v>
      </c>
    </row>
    <row r="128" spans="1:24" ht="14.25" customHeight="1">
      <c r="B128" s="242">
        <v>10</v>
      </c>
      <c r="C128" s="243"/>
      <c r="D128" s="243" t="s">
        <v>320</v>
      </c>
      <c r="E128" s="244"/>
      <c r="F128" s="367"/>
      <c r="G128" s="245">
        <f>D208</f>
        <v>17326.669999999998</v>
      </c>
      <c r="H128" s="538">
        <f>H114</f>
        <v>45988</v>
      </c>
      <c r="I128" s="745"/>
      <c r="J128" s="748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4"/>
      <c r="W128" s="463"/>
      <c r="X128" s="745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45"/>
      <c r="J129" s="748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4"/>
      <c r="W129" s="463"/>
      <c r="X129" s="745"/>
    </row>
    <row r="130" spans="1:24" ht="14.25" customHeight="1">
      <c r="B130" s="242">
        <v>10</v>
      </c>
      <c r="C130" s="243"/>
      <c r="D130" s="243" t="s">
        <v>321</v>
      </c>
      <c r="E130" s="244"/>
      <c r="F130" s="367"/>
      <c r="G130" s="245">
        <f>D206</f>
        <v>1027.78</v>
      </c>
      <c r="H130" s="538">
        <f>H114</f>
        <v>45988</v>
      </c>
      <c r="I130" s="745"/>
      <c r="J130" s="748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4"/>
      <c r="W130" s="463"/>
      <c r="X130" s="745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5"/>
      <c r="J131" s="748"/>
      <c r="K131" s="174"/>
      <c r="L131" s="242">
        <v>10</v>
      </c>
      <c r="M131" s="332" t="s">
        <v>441</v>
      </c>
      <c r="N131" s="243" t="s">
        <v>354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59" t="s">
        <v>355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4"/>
      <c r="W131" s="626">
        <f>W115</f>
        <v>45960</v>
      </c>
      <c r="X131" s="745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5"/>
      <c r="J132" s="748"/>
      <c r="K132" s="174"/>
      <c r="L132" s="242">
        <v>10</v>
      </c>
      <c r="M132" s="332" t="s">
        <v>441</v>
      </c>
      <c r="N132" s="243" t="s">
        <v>139</v>
      </c>
      <c r="O132" s="443"/>
      <c r="P132" s="450">
        <v>0.15</v>
      </c>
      <c r="Q132" s="245">
        <f t="shared" si="20"/>
        <v>22222.575000000001</v>
      </c>
      <c r="R132" s="760"/>
      <c r="S132" s="495" t="s">
        <v>360</v>
      </c>
      <c r="T132" s="631">
        <f t="shared" ref="T132:T138" si="21">T116</f>
        <v>45961</v>
      </c>
      <c r="U132" s="640">
        <v>7969.4482009701942</v>
      </c>
      <c r="V132" s="754"/>
      <c r="W132" s="642">
        <f t="shared" ref="W132:W138" si="22">W116</f>
        <v>45967</v>
      </c>
      <c r="X132" s="745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5"/>
      <c r="J133" s="748"/>
      <c r="K133" s="174"/>
      <c r="L133" s="242">
        <v>10</v>
      </c>
      <c r="M133" s="332" t="s">
        <v>441</v>
      </c>
      <c r="N133" s="243" t="s">
        <v>363</v>
      </c>
      <c r="O133" s="443"/>
      <c r="P133" s="450">
        <v>0.2</v>
      </c>
      <c r="Q133" s="245">
        <f t="shared" si="20"/>
        <v>29630.100000000002</v>
      </c>
      <c r="R133" s="760"/>
      <c r="S133" s="495" t="s">
        <v>364</v>
      </c>
      <c r="T133" s="539">
        <f t="shared" si="21"/>
        <v>46022</v>
      </c>
      <c r="U133" s="640">
        <v>10625.930331396716</v>
      </c>
      <c r="V133" s="754"/>
      <c r="W133" s="642">
        <f t="shared" si="22"/>
        <v>46003</v>
      </c>
      <c r="X133" s="745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5"/>
      <c r="J134" s="748"/>
      <c r="K134" s="174"/>
      <c r="L134" s="242">
        <v>10</v>
      </c>
      <c r="M134" s="332" t="s">
        <v>441</v>
      </c>
      <c r="N134" s="243" t="s">
        <v>367</v>
      </c>
      <c r="O134" s="443"/>
      <c r="P134" s="450">
        <v>0.25</v>
      </c>
      <c r="Q134" s="245">
        <f t="shared" si="20"/>
        <v>37037.625</v>
      </c>
      <c r="R134" s="760"/>
      <c r="S134" s="495" t="s">
        <v>368</v>
      </c>
      <c r="T134" s="539">
        <f t="shared" si="21"/>
        <v>46022</v>
      </c>
      <c r="U134" s="640">
        <v>13282.412914245893</v>
      </c>
      <c r="V134" s="754"/>
      <c r="W134" s="642">
        <f t="shared" si="22"/>
        <v>46003</v>
      </c>
      <c r="X134" s="745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5"/>
      <c r="J135" s="748"/>
      <c r="K135" s="174"/>
      <c r="L135" s="242">
        <v>10</v>
      </c>
      <c r="M135" s="332" t="s">
        <v>441</v>
      </c>
      <c r="N135" s="243" t="s">
        <v>369</v>
      </c>
      <c r="O135" s="443"/>
      <c r="P135" s="450">
        <v>0.1</v>
      </c>
      <c r="Q135" s="245">
        <f t="shared" si="20"/>
        <v>14815.050000000001</v>
      </c>
      <c r="R135" s="760"/>
      <c r="S135" s="495" t="s">
        <v>370</v>
      </c>
      <c r="T135" s="539">
        <f t="shared" si="21"/>
        <v>46022</v>
      </c>
      <c r="U135" s="640">
        <v>5312.9651656983579</v>
      </c>
      <c r="V135" s="754"/>
      <c r="W135" s="642">
        <f t="shared" si="22"/>
        <v>46003</v>
      </c>
      <c r="X135" s="745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5"/>
      <c r="J136" s="748"/>
      <c r="K136" s="174"/>
      <c r="L136" s="242">
        <v>10</v>
      </c>
      <c r="M136" s="332" t="s">
        <v>441</v>
      </c>
      <c r="N136" s="243" t="s">
        <v>371</v>
      </c>
      <c r="O136" s="443"/>
      <c r="P136" s="450">
        <v>0.1</v>
      </c>
      <c r="Q136" s="245">
        <f t="shared" si="20"/>
        <v>14815.050000000001</v>
      </c>
      <c r="R136" s="760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4"/>
      <c r="W136" s="642">
        <f t="shared" si="22"/>
        <v>46015</v>
      </c>
      <c r="X136" s="745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5"/>
      <c r="J137" s="748"/>
      <c r="K137" s="174"/>
      <c r="L137" s="242">
        <v>10</v>
      </c>
      <c r="M137" s="332" t="s">
        <v>441</v>
      </c>
      <c r="N137" s="243" t="s">
        <v>372</v>
      </c>
      <c r="O137" s="443"/>
      <c r="P137" s="450">
        <v>0.05</v>
      </c>
      <c r="Q137" s="698">
        <v>7407.53</v>
      </c>
      <c r="R137" s="760"/>
      <c r="S137" s="495" t="s">
        <v>373</v>
      </c>
      <c r="T137" s="539">
        <f t="shared" si="21"/>
        <v>46022</v>
      </c>
      <c r="U137" s="640">
        <v>2656.4843759464566</v>
      </c>
      <c r="V137" s="754"/>
      <c r="W137" s="642">
        <f t="shared" si="22"/>
        <v>46051</v>
      </c>
      <c r="X137" s="745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5"/>
      <c r="J138" s="748"/>
      <c r="K138" s="174"/>
      <c r="L138" s="242">
        <v>10</v>
      </c>
      <c r="M138" s="332" t="s">
        <v>441</v>
      </c>
      <c r="N138" s="243" t="s">
        <v>374</v>
      </c>
      <c r="O138" s="443"/>
      <c r="P138" s="450">
        <v>0.05</v>
      </c>
      <c r="Q138" s="245">
        <v>7407.53</v>
      </c>
      <c r="R138" s="761"/>
      <c r="S138" s="495" t="s">
        <v>375</v>
      </c>
      <c r="T138" s="539">
        <f t="shared" si="21"/>
        <v>46081</v>
      </c>
      <c r="U138" s="407">
        <f t="shared" si="19"/>
        <v>2656.4843759464566</v>
      </c>
      <c r="V138" s="754"/>
      <c r="W138" s="464">
        <f t="shared" si="22"/>
        <v>46109</v>
      </c>
      <c r="X138" s="745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5"/>
      <c r="J139" s="748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4"/>
      <c r="W139" s="464"/>
      <c r="X139" s="745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5"/>
      <c r="J140" s="748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4"/>
      <c r="W140" s="464"/>
      <c r="X140" s="745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6"/>
      <c r="J141" s="749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5"/>
      <c r="W141" s="465"/>
      <c r="X141" s="746"/>
    </row>
    <row r="142" spans="1:24" ht="13.9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17">
        <f>SUM(G143:G149)</f>
        <v>29000</v>
      </c>
      <c r="J143" s="720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35">
        <f>J143-SUM(U143:U149)</f>
        <v>-3.7482816187548451E-3</v>
      </c>
      <c r="W143" s="685">
        <v>46045</v>
      </c>
      <c r="X143" s="717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18"/>
      <c r="J144" s="721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36"/>
      <c r="W144" s="624">
        <v>45960</v>
      </c>
      <c r="X144" s="718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18"/>
      <c r="J145" s="721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36"/>
      <c r="W145" s="616">
        <v>45954</v>
      </c>
      <c r="X145" s="718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18"/>
      <c r="J146" s="721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 t="s">
        <v>457</v>
      </c>
      <c r="T146" s="518">
        <v>46081</v>
      </c>
      <c r="U146" s="395">
        <f>(Q146/$X$143*$J$143)+162.33</f>
        <v>1362.2294560073483</v>
      </c>
      <c r="V146" s="736"/>
      <c r="W146" s="452">
        <v>46112</v>
      </c>
      <c r="X146" s="718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18"/>
      <c r="J147" s="721"/>
      <c r="K147" s="190"/>
      <c r="L147" s="213">
        <v>11</v>
      </c>
      <c r="M147" s="288" t="s">
        <v>447</v>
      </c>
      <c r="N147" s="286" t="s">
        <v>458</v>
      </c>
      <c r="O147" s="628">
        <v>100800</v>
      </c>
      <c r="P147" s="447">
        <v>0.25</v>
      </c>
      <c r="Q147" s="285">
        <f>O147*P147</f>
        <v>25200</v>
      </c>
      <c r="R147" s="764" t="s">
        <v>459</v>
      </c>
      <c r="S147" s="482" t="s">
        <v>460</v>
      </c>
      <c r="T147" s="527">
        <v>45961</v>
      </c>
      <c r="U147" s="635">
        <v>5937.7584076167632</v>
      </c>
      <c r="V147" s="736"/>
      <c r="W147" s="643">
        <v>45967</v>
      </c>
      <c r="X147" s="718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18"/>
      <c r="J148" s="721"/>
      <c r="K148" s="190"/>
      <c r="L148" s="213">
        <v>11</v>
      </c>
      <c r="M148" s="377" t="s">
        <v>447</v>
      </c>
      <c r="N148" s="286" t="s">
        <v>458</v>
      </c>
      <c r="O148" s="628"/>
      <c r="P148" s="447">
        <v>0.75</v>
      </c>
      <c r="Q148" s="285">
        <v>75600</v>
      </c>
      <c r="R148" s="765"/>
      <c r="S148" s="705" t="s">
        <v>461</v>
      </c>
      <c r="T148" s="703">
        <v>46022</v>
      </c>
      <c r="U148" s="635">
        <v>17164.058101723815</v>
      </c>
      <c r="V148" s="736"/>
      <c r="W148" s="643">
        <v>46037</v>
      </c>
      <c r="X148" s="718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19"/>
      <c r="J149" s="722"/>
      <c r="K149" s="191"/>
      <c r="L149" s="218">
        <v>11</v>
      </c>
      <c r="M149" s="316" t="s">
        <v>447</v>
      </c>
      <c r="N149" s="219" t="s">
        <v>458</v>
      </c>
      <c r="O149" s="220"/>
      <c r="P149" s="627"/>
      <c r="Q149" s="232">
        <v>19200</v>
      </c>
      <c r="R149" s="702"/>
      <c r="S149" s="704" t="s">
        <v>462</v>
      </c>
      <c r="T149" s="528">
        <v>46081</v>
      </c>
      <c r="U149" s="638"/>
      <c r="V149" s="737"/>
      <c r="W149" s="706">
        <v>46066</v>
      </c>
      <c r="X149" s="719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463</v>
      </c>
      <c r="D151" s="172" t="s">
        <v>464</v>
      </c>
      <c r="E151" s="173"/>
      <c r="F151" s="366"/>
      <c r="G151" s="240"/>
      <c r="H151" s="537"/>
      <c r="I151" s="744">
        <f>SUM(G151:G152)</f>
        <v>0</v>
      </c>
      <c r="J151" s="747">
        <v>0</v>
      </c>
      <c r="K151" s="762"/>
      <c r="L151" s="171">
        <v>12</v>
      </c>
      <c r="M151" s="172" t="s">
        <v>465</v>
      </c>
      <c r="N151" s="172" t="s">
        <v>464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44">
        <f>SUM(Q151:Q152)</f>
        <v>0</v>
      </c>
    </row>
    <row r="152" spans="1:24" ht="15" customHeight="1" thickBot="1">
      <c r="B152" s="175">
        <v>12</v>
      </c>
      <c r="C152" s="246" t="s">
        <v>463</v>
      </c>
      <c r="D152" s="246"/>
      <c r="E152" s="247"/>
      <c r="F152" s="368"/>
      <c r="G152" s="176"/>
      <c r="H152" s="540"/>
      <c r="I152" s="746"/>
      <c r="J152" s="749"/>
      <c r="K152" s="763"/>
      <c r="L152" s="175">
        <v>12</v>
      </c>
      <c r="M152" s="246" t="s">
        <v>465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6"/>
    </row>
    <row r="153" spans="1:24" ht="14.2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466</v>
      </c>
      <c r="D154" s="253" t="s">
        <v>467</v>
      </c>
      <c r="E154" s="185"/>
      <c r="F154" s="334"/>
      <c r="G154" s="186">
        <f>D202</f>
        <v>22271.14</v>
      </c>
      <c r="H154" s="519">
        <f>'Project Plan'!G50</f>
        <v>46001</v>
      </c>
      <c r="I154" s="717">
        <f>SUM(G154:G158)</f>
        <v>22271.14</v>
      </c>
      <c r="J154" s="720">
        <f>F202</f>
        <v>25308</v>
      </c>
      <c r="K154" s="187"/>
      <c r="L154" s="183">
        <v>13</v>
      </c>
      <c r="M154" s="253" t="s">
        <v>468</v>
      </c>
      <c r="N154" s="253" t="s">
        <v>469</v>
      </c>
      <c r="O154" s="430"/>
      <c r="P154" s="334"/>
      <c r="Q154" s="186">
        <f>'Project Plan'!$E$6*1.25%</f>
        <v>32269.137500000001</v>
      </c>
      <c r="R154" s="466"/>
      <c r="S154" s="488" t="s">
        <v>470</v>
      </c>
      <c r="T154" s="519">
        <v>46081</v>
      </c>
      <c r="U154" s="402">
        <f t="shared" ref="U154:U159" si="23">(Q154/$X$154*$J$154)</f>
        <v>25308</v>
      </c>
      <c r="V154" s="735">
        <f>J154-SUM(U154:U159)</f>
        <v>0</v>
      </c>
      <c r="W154" s="458">
        <v>46112</v>
      </c>
      <c r="X154" s="717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18"/>
      <c r="J155" s="721"/>
      <c r="K155" s="190"/>
      <c r="L155" s="213">
        <v>13</v>
      </c>
      <c r="M155" s="288" t="s">
        <v>468</v>
      </c>
      <c r="N155" s="215"/>
      <c r="O155" s="431"/>
      <c r="P155" s="355"/>
      <c r="Q155" s="217"/>
      <c r="R155" s="606"/>
      <c r="S155" s="481"/>
      <c r="T155" s="409"/>
      <c r="U155" s="394">
        <f t="shared" si="23"/>
        <v>0</v>
      </c>
      <c r="V155" s="736"/>
      <c r="W155" s="451"/>
      <c r="X155" s="718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18"/>
      <c r="J156" s="721"/>
      <c r="K156" s="190"/>
      <c r="L156" s="213">
        <v>13</v>
      </c>
      <c r="M156" s="288" t="s">
        <v>468</v>
      </c>
      <c r="N156" s="215"/>
      <c r="O156" s="431"/>
      <c r="P156" s="355"/>
      <c r="Q156" s="217"/>
      <c r="R156" s="606"/>
      <c r="S156" s="481"/>
      <c r="T156" s="409"/>
      <c r="U156" s="394">
        <f t="shared" si="23"/>
        <v>0</v>
      </c>
      <c r="V156" s="736"/>
      <c r="W156" s="451"/>
      <c r="X156" s="718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18"/>
      <c r="J157" s="721"/>
      <c r="K157" s="190"/>
      <c r="L157" s="213">
        <v>13</v>
      </c>
      <c r="M157" s="288" t="s">
        <v>468</v>
      </c>
      <c r="N157" s="215"/>
      <c r="O157" s="431"/>
      <c r="P157" s="355"/>
      <c r="Q157" s="217"/>
      <c r="R157" s="606"/>
      <c r="S157" s="481"/>
      <c r="T157" s="409"/>
      <c r="U157" s="394">
        <f t="shared" si="23"/>
        <v>0</v>
      </c>
      <c r="V157" s="736"/>
      <c r="W157" s="451"/>
      <c r="X157" s="718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18"/>
      <c r="J158" s="721"/>
      <c r="K158" s="190"/>
      <c r="L158" s="213">
        <v>13</v>
      </c>
      <c r="M158" s="288" t="s">
        <v>468</v>
      </c>
      <c r="N158" s="215"/>
      <c r="O158" s="431"/>
      <c r="P158" s="355"/>
      <c r="Q158" s="217"/>
      <c r="R158" s="606"/>
      <c r="S158" s="481"/>
      <c r="T158" s="409"/>
      <c r="U158" s="394">
        <f t="shared" si="23"/>
        <v>0</v>
      </c>
      <c r="V158" s="736"/>
      <c r="W158" s="451"/>
      <c r="X158" s="718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19"/>
      <c r="J159" s="722"/>
      <c r="K159" s="265"/>
      <c r="L159" s="218">
        <v>13</v>
      </c>
      <c r="M159" s="316" t="s">
        <v>468</v>
      </c>
      <c r="N159" s="219"/>
      <c r="O159" s="433"/>
      <c r="P159" s="356"/>
      <c r="Q159" s="232"/>
      <c r="R159" s="646"/>
      <c r="S159" s="483"/>
      <c r="T159" s="411"/>
      <c r="U159" s="396">
        <f t="shared" si="23"/>
        <v>0</v>
      </c>
      <c r="V159" s="737"/>
      <c r="W159" s="453"/>
      <c r="X159" s="719"/>
    </row>
    <row r="160" spans="1:24" ht="14.2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471</v>
      </c>
      <c r="D161" s="172" t="s">
        <v>472</v>
      </c>
      <c r="E161" s="173"/>
      <c r="F161" s="366"/>
      <c r="G161" s="240">
        <f>D213</f>
        <v>4375</v>
      </c>
      <c r="H161" s="537">
        <f>'Project Plan'!G50</f>
        <v>46001</v>
      </c>
      <c r="I161" s="744">
        <f>SUM(G161:G172)</f>
        <v>4375</v>
      </c>
      <c r="J161" s="747">
        <f>F213</f>
        <v>4861</v>
      </c>
      <c r="K161" s="241"/>
      <c r="L161" s="171">
        <v>14</v>
      </c>
      <c r="M161" s="331" t="s">
        <v>473</v>
      </c>
      <c r="N161" s="172" t="s">
        <v>474</v>
      </c>
      <c r="O161" s="442"/>
      <c r="P161" s="507"/>
      <c r="Q161" s="510">
        <v>8016.46</v>
      </c>
      <c r="R161" s="660"/>
      <c r="S161" s="498" t="s">
        <v>475</v>
      </c>
      <c r="T161" s="634">
        <v>45961</v>
      </c>
      <c r="U161" s="641">
        <v>1536.8080583803892</v>
      </c>
      <c r="V161" s="753">
        <f>J161-SUM(U161:U172)</f>
        <v>4.7425135498997406E-3</v>
      </c>
      <c r="W161" s="626">
        <v>45967</v>
      </c>
      <c r="X161" s="744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5"/>
      <c r="J162" s="748"/>
      <c r="K162" s="174"/>
      <c r="L162" s="242">
        <v>14</v>
      </c>
      <c r="M162" s="332" t="s">
        <v>473</v>
      </c>
      <c r="N162" s="243" t="s">
        <v>474</v>
      </c>
      <c r="O162" s="443"/>
      <c r="P162" s="508"/>
      <c r="Q162" s="509">
        <v>10490.93</v>
      </c>
      <c r="R162" s="661"/>
      <c r="S162" s="498" t="s">
        <v>475</v>
      </c>
      <c r="T162" s="631">
        <v>45991</v>
      </c>
      <c r="U162" s="640">
        <v>1455.2804181506942</v>
      </c>
      <c r="V162" s="754"/>
      <c r="W162" s="626">
        <v>45996</v>
      </c>
      <c r="X162" s="745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5"/>
      <c r="J163" s="748"/>
      <c r="K163" s="174"/>
      <c r="L163" s="242">
        <v>14</v>
      </c>
      <c r="M163" s="332" t="s">
        <v>473</v>
      </c>
      <c r="N163" s="243" t="s">
        <v>474</v>
      </c>
      <c r="O163" s="443"/>
      <c r="P163" s="367"/>
      <c r="Q163" s="509">
        <v>8655.5400000000009</v>
      </c>
      <c r="R163" s="658"/>
      <c r="S163" s="498" t="s">
        <v>475</v>
      </c>
      <c r="T163" s="631">
        <v>46022</v>
      </c>
      <c r="U163" s="640">
        <v>1016.0260460104794</v>
      </c>
      <c r="V163" s="754"/>
      <c r="W163" s="626">
        <v>46030</v>
      </c>
      <c r="X163" s="745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5"/>
      <c r="J164" s="748"/>
      <c r="K164" s="174"/>
      <c r="L164" s="242">
        <v>14</v>
      </c>
      <c r="M164" s="332" t="s">
        <v>473</v>
      </c>
      <c r="N164" s="243" t="s">
        <v>474</v>
      </c>
      <c r="O164" s="443"/>
      <c r="P164" s="367"/>
      <c r="Q164" s="509">
        <v>3332</v>
      </c>
      <c r="R164" s="658"/>
      <c r="S164" s="498" t="s">
        <v>475</v>
      </c>
      <c r="T164" s="631">
        <v>46053</v>
      </c>
      <c r="U164" s="640">
        <v>352.40904696082617</v>
      </c>
      <c r="V164" s="754"/>
      <c r="W164" s="626">
        <v>46058</v>
      </c>
      <c r="X164" s="745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5"/>
      <c r="J165" s="748"/>
      <c r="K165" s="174"/>
      <c r="L165" s="242">
        <v>14</v>
      </c>
      <c r="M165" s="332" t="s">
        <v>473</v>
      </c>
      <c r="N165" s="243" t="s">
        <v>474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4">(Q165/$X$161*$J$161)</f>
        <v>500.47168798406113</v>
      </c>
      <c r="V165" s="754"/>
      <c r="W165" s="464">
        <v>46086</v>
      </c>
      <c r="X165" s="745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5"/>
      <c r="J166" s="748"/>
      <c r="K166" s="174"/>
      <c r="L166" s="242">
        <v>14</v>
      </c>
      <c r="M166" s="332" t="s">
        <v>473</v>
      </c>
      <c r="N166" s="243" t="s">
        <v>474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4"/>
        <v>0</v>
      </c>
      <c r="V166" s="754"/>
      <c r="W166" s="464"/>
      <c r="X166" s="745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5"/>
      <c r="J167" s="748"/>
      <c r="K167" s="174"/>
      <c r="L167" s="242">
        <v>14</v>
      </c>
      <c r="M167" s="332" t="s">
        <v>473</v>
      </c>
      <c r="N167" s="243" t="s">
        <v>474</v>
      </c>
      <c r="O167" s="443"/>
      <c r="P167" s="367"/>
      <c r="Q167" s="245"/>
      <c r="R167" s="658"/>
      <c r="S167" s="493"/>
      <c r="T167" s="423" t="str">
        <f t="shared" ref="T167:T185" si="25">IF(W167&gt;1,EOMONTH(W167,0),"")</f>
        <v/>
      </c>
      <c r="U167" s="407">
        <f t="shared" si="24"/>
        <v>0</v>
      </c>
      <c r="V167" s="754"/>
      <c r="W167" s="464"/>
      <c r="X167" s="745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5"/>
      <c r="J168" s="748"/>
      <c r="K168" s="174"/>
      <c r="L168" s="242">
        <v>14</v>
      </c>
      <c r="M168" s="332" t="s">
        <v>473</v>
      </c>
      <c r="N168" s="243" t="s">
        <v>474</v>
      </c>
      <c r="O168" s="443"/>
      <c r="P168" s="367"/>
      <c r="Q168" s="245"/>
      <c r="R168" s="658"/>
      <c r="S168" s="493"/>
      <c r="T168" s="423" t="str">
        <f t="shared" si="25"/>
        <v/>
      </c>
      <c r="U168" s="407">
        <f t="shared" si="24"/>
        <v>0</v>
      </c>
      <c r="V168" s="754"/>
      <c r="W168" s="464"/>
      <c r="X168" s="745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5"/>
      <c r="J169" s="748"/>
      <c r="K169" s="174"/>
      <c r="L169" s="242">
        <v>14</v>
      </c>
      <c r="M169" s="332" t="s">
        <v>473</v>
      </c>
      <c r="N169" s="243" t="s">
        <v>474</v>
      </c>
      <c r="O169" s="443"/>
      <c r="P169" s="367"/>
      <c r="Q169" s="245"/>
      <c r="R169" s="658"/>
      <c r="S169" s="493"/>
      <c r="T169" s="423" t="str">
        <f t="shared" si="25"/>
        <v/>
      </c>
      <c r="U169" s="407">
        <f t="shared" si="24"/>
        <v>0</v>
      </c>
      <c r="V169" s="754"/>
      <c r="W169" s="464"/>
      <c r="X169" s="745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5"/>
      <c r="J170" s="748"/>
      <c r="K170" s="174"/>
      <c r="L170" s="242">
        <v>14</v>
      </c>
      <c r="M170" s="332" t="s">
        <v>473</v>
      </c>
      <c r="N170" s="243" t="s">
        <v>474</v>
      </c>
      <c r="O170" s="443"/>
      <c r="P170" s="367"/>
      <c r="Q170" s="245"/>
      <c r="R170" s="658"/>
      <c r="S170" s="493"/>
      <c r="T170" s="423" t="str">
        <f t="shared" si="25"/>
        <v/>
      </c>
      <c r="U170" s="407">
        <f t="shared" si="24"/>
        <v>0</v>
      </c>
      <c r="V170" s="754"/>
      <c r="W170" s="464"/>
      <c r="X170" s="745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5"/>
      <c r="J171" s="748"/>
      <c r="K171" s="174"/>
      <c r="L171" s="242">
        <v>14</v>
      </c>
      <c r="M171" s="332" t="s">
        <v>473</v>
      </c>
      <c r="N171" s="243"/>
      <c r="O171" s="443"/>
      <c r="P171" s="367"/>
      <c r="Q171" s="245"/>
      <c r="R171" s="658"/>
      <c r="S171" s="495"/>
      <c r="T171" s="423" t="str">
        <f t="shared" si="25"/>
        <v/>
      </c>
      <c r="U171" s="407">
        <f t="shared" si="24"/>
        <v>0</v>
      </c>
      <c r="V171" s="754"/>
      <c r="W171" s="464"/>
      <c r="X171" s="745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6"/>
      <c r="J172" s="749"/>
      <c r="K172" s="177"/>
      <c r="L172" s="175">
        <v>14</v>
      </c>
      <c r="M172" s="333" t="s">
        <v>473</v>
      </c>
      <c r="N172" s="246"/>
      <c r="O172" s="444"/>
      <c r="P172" s="368"/>
      <c r="Q172" s="176"/>
      <c r="R172" s="659"/>
      <c r="S172" s="496"/>
      <c r="T172" s="424" t="str">
        <f t="shared" si="25"/>
        <v/>
      </c>
      <c r="U172" s="408">
        <f t="shared" si="24"/>
        <v>0</v>
      </c>
      <c r="V172" s="755"/>
      <c r="W172" s="465"/>
      <c r="X172" s="746"/>
    </row>
    <row r="173" spans="1:24" ht="14.2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5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476</v>
      </c>
      <c r="D174" s="184"/>
      <c r="E174" s="185"/>
      <c r="F174" s="334"/>
      <c r="G174" s="186"/>
      <c r="H174" s="519"/>
      <c r="I174" s="717">
        <f>SUM(G174:G185)</f>
        <v>0</v>
      </c>
      <c r="J174" s="720">
        <f>F210</f>
        <v>0</v>
      </c>
      <c r="K174" s="187"/>
      <c r="L174" s="183">
        <v>15</v>
      </c>
      <c r="M174" s="253" t="s">
        <v>477</v>
      </c>
      <c r="N174" s="184"/>
      <c r="O174" s="185"/>
      <c r="P174" s="334"/>
      <c r="Q174" s="186"/>
      <c r="R174" s="466"/>
      <c r="S174" s="488"/>
      <c r="T174" s="605"/>
      <c r="U174" s="402"/>
      <c r="V174" s="735">
        <v>0</v>
      </c>
      <c r="W174" s="458"/>
      <c r="X174" s="717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18"/>
      <c r="J175" s="721"/>
      <c r="K175" s="190"/>
      <c r="L175" s="213">
        <v>15</v>
      </c>
      <c r="M175" s="288" t="s">
        <v>477</v>
      </c>
      <c r="N175" s="215" t="s">
        <v>478</v>
      </c>
      <c r="O175" s="448">
        <v>23350</v>
      </c>
      <c r="P175" s="449">
        <v>0.8</v>
      </c>
      <c r="Q175" s="217">
        <f>O175*P175</f>
        <v>18680</v>
      </c>
      <c r="R175" s="764" t="s">
        <v>479</v>
      </c>
      <c r="S175" s="481" t="s">
        <v>480</v>
      </c>
      <c r="T175" s="518">
        <v>45991</v>
      </c>
      <c r="U175" s="639">
        <v>23350</v>
      </c>
      <c r="V175" s="736"/>
      <c r="W175" s="624">
        <v>45965</v>
      </c>
      <c r="X175" s="718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18"/>
      <c r="J176" s="721"/>
      <c r="K176" s="190"/>
      <c r="L176" s="213">
        <v>15</v>
      </c>
      <c r="M176" s="288" t="s">
        <v>477</v>
      </c>
      <c r="N176" s="215" t="s">
        <v>481</v>
      </c>
      <c r="O176" s="431"/>
      <c r="P176" s="449">
        <v>0.2</v>
      </c>
      <c r="Q176" s="217">
        <f>O175*P176</f>
        <v>4670</v>
      </c>
      <c r="R176" s="712"/>
      <c r="S176" s="481" t="s">
        <v>480</v>
      </c>
      <c r="T176" s="518">
        <v>45991</v>
      </c>
      <c r="U176" s="639">
        <v>0</v>
      </c>
      <c r="V176" s="736"/>
      <c r="W176" s="689">
        <v>45988</v>
      </c>
      <c r="X176" s="718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18"/>
      <c r="J177" s="721"/>
      <c r="K177" s="190"/>
      <c r="L177" s="213">
        <v>15</v>
      </c>
      <c r="M177" s="288" t="s">
        <v>477</v>
      </c>
      <c r="N177" s="215" t="s">
        <v>482</v>
      </c>
      <c r="O177" s="431"/>
      <c r="P177" s="355"/>
      <c r="Q177" s="217">
        <v>5450</v>
      </c>
      <c r="R177" s="606"/>
      <c r="S177" s="481" t="s">
        <v>483</v>
      </c>
      <c r="T177" s="633">
        <v>46022</v>
      </c>
      <c r="U177" s="639">
        <v>2725</v>
      </c>
      <c r="V177" s="736"/>
      <c r="W177" s="624">
        <v>46009</v>
      </c>
      <c r="X177" s="718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18"/>
      <c r="J178" s="721"/>
      <c r="K178" s="190"/>
      <c r="L178" s="213">
        <v>15</v>
      </c>
      <c r="M178" s="288" t="s">
        <v>477</v>
      </c>
      <c r="N178" s="215" t="s">
        <v>484</v>
      </c>
      <c r="O178" s="431"/>
      <c r="P178" s="355"/>
      <c r="Q178" s="217">
        <v>5450</v>
      </c>
      <c r="R178" s="606" t="s">
        <v>485</v>
      </c>
      <c r="S178" s="481"/>
      <c r="T178" s="409">
        <v>46081</v>
      </c>
      <c r="U178" s="394">
        <f>5450/2</f>
        <v>2725</v>
      </c>
      <c r="V178" s="736"/>
      <c r="W178" s="451">
        <v>46093</v>
      </c>
      <c r="X178" s="718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18"/>
      <c r="J179" s="721"/>
      <c r="K179" s="190"/>
      <c r="L179" s="213">
        <v>15</v>
      </c>
      <c r="M179" s="288" t="s">
        <v>477</v>
      </c>
      <c r="N179" s="215" t="s">
        <v>486</v>
      </c>
      <c r="O179" s="431"/>
      <c r="P179" s="355"/>
      <c r="Q179" s="217">
        <v>3500</v>
      </c>
      <c r="R179" s="606" t="s">
        <v>487</v>
      </c>
      <c r="S179" s="481" t="s">
        <v>488</v>
      </c>
      <c r="T179" s="633">
        <v>46022</v>
      </c>
      <c r="U179" s="394">
        <v>0</v>
      </c>
      <c r="V179" s="736"/>
      <c r="W179" s="616">
        <v>46009</v>
      </c>
      <c r="X179" s="718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18"/>
      <c r="J180" s="721"/>
      <c r="K180" s="190"/>
      <c r="L180" s="213">
        <v>15</v>
      </c>
      <c r="M180" s="288" t="s">
        <v>477</v>
      </c>
      <c r="N180" s="215" t="s">
        <v>489</v>
      </c>
      <c r="O180" s="431"/>
      <c r="P180" s="355"/>
      <c r="Q180" s="217">
        <v>273.93</v>
      </c>
      <c r="R180" s="606"/>
      <c r="S180" s="481" t="s">
        <v>490</v>
      </c>
      <c r="T180" s="633">
        <v>46022</v>
      </c>
      <c r="U180" s="394">
        <v>0</v>
      </c>
      <c r="V180" s="736"/>
      <c r="W180" s="616">
        <v>46051</v>
      </c>
      <c r="X180" s="718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18"/>
      <c r="J181" s="721"/>
      <c r="K181" s="190"/>
      <c r="L181" s="213">
        <v>15</v>
      </c>
      <c r="M181" s="288" t="s">
        <v>477</v>
      </c>
      <c r="N181" s="215"/>
      <c r="O181" s="431"/>
      <c r="P181" s="355"/>
      <c r="Q181" s="217"/>
      <c r="R181" s="606"/>
      <c r="S181" s="481"/>
      <c r="T181" s="409"/>
      <c r="U181" s="394"/>
      <c r="V181" s="736"/>
      <c r="W181" s="451"/>
      <c r="X181" s="718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18"/>
      <c r="J182" s="721"/>
      <c r="K182" s="190"/>
      <c r="L182" s="213">
        <v>15</v>
      </c>
      <c r="M182" s="288" t="s">
        <v>477</v>
      </c>
      <c r="N182" s="215"/>
      <c r="O182" s="431"/>
      <c r="P182" s="355"/>
      <c r="Q182" s="217"/>
      <c r="R182" s="606"/>
      <c r="S182" s="481"/>
      <c r="T182" s="409" t="str">
        <f t="shared" si="25"/>
        <v/>
      </c>
      <c r="U182" s="394"/>
      <c r="V182" s="736"/>
      <c r="W182" s="451"/>
      <c r="X182" s="718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18"/>
      <c r="J183" s="721"/>
      <c r="K183" s="190"/>
      <c r="L183" s="213">
        <v>15</v>
      </c>
      <c r="M183" s="288" t="s">
        <v>477</v>
      </c>
      <c r="N183" s="215"/>
      <c r="O183" s="431"/>
      <c r="P183" s="355"/>
      <c r="Q183" s="217"/>
      <c r="R183" s="606"/>
      <c r="S183" s="481"/>
      <c r="T183" s="409" t="str">
        <f t="shared" si="25"/>
        <v/>
      </c>
      <c r="U183" s="394"/>
      <c r="V183" s="736"/>
      <c r="W183" s="451"/>
      <c r="X183" s="718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18"/>
      <c r="J184" s="721"/>
      <c r="K184" s="190"/>
      <c r="L184" s="213">
        <v>15</v>
      </c>
      <c r="M184" s="288" t="s">
        <v>477</v>
      </c>
      <c r="N184" s="215"/>
      <c r="O184" s="431"/>
      <c r="P184" s="355"/>
      <c r="Q184" s="217"/>
      <c r="R184" s="606"/>
      <c r="S184" s="481"/>
      <c r="T184" s="409" t="str">
        <f t="shared" si="25"/>
        <v/>
      </c>
      <c r="U184" s="394"/>
      <c r="V184" s="736"/>
      <c r="W184" s="451"/>
      <c r="X184" s="718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19"/>
      <c r="J185" s="722"/>
      <c r="K185" s="191"/>
      <c r="L185" s="218">
        <v>15</v>
      </c>
      <c r="M185" s="316" t="s">
        <v>477</v>
      </c>
      <c r="N185" s="219"/>
      <c r="O185" s="433"/>
      <c r="P185" s="356"/>
      <c r="Q185" s="232"/>
      <c r="R185" s="646"/>
      <c r="S185" s="483"/>
      <c r="T185" s="411" t="str">
        <f t="shared" si="25"/>
        <v/>
      </c>
      <c r="U185" s="396"/>
      <c r="V185" s="737"/>
      <c r="W185" s="453"/>
      <c r="X185" s="719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491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492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493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340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494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495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496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497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498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499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500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501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502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503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504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505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506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507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508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509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496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510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511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25"/>
  <cols>
    <col min="1" max="1" width="34" bestFit="1" customWidth="1"/>
    <col min="2" max="2" width="13.59765625" bestFit="1" customWidth="1"/>
    <col min="3" max="3" width="10.73046875" bestFit="1" customWidth="1"/>
  </cols>
  <sheetData>
    <row r="1" spans="1:3">
      <c r="A1" s="667" t="s">
        <v>512</v>
      </c>
      <c r="B1" s="667" t="s">
        <v>513</v>
      </c>
    </row>
    <row r="2" spans="1:3">
      <c r="A2" s="7" t="s">
        <v>514</v>
      </c>
      <c r="B2" s="671">
        <v>159713.96125781251</v>
      </c>
    </row>
    <row r="3" spans="1:3" ht="14.65" thickBot="1">
      <c r="A3" s="7" t="s">
        <v>515</v>
      </c>
      <c r="B3" s="672">
        <v>23510</v>
      </c>
    </row>
    <row r="4" spans="1:3">
      <c r="A4" s="7" t="s">
        <v>516</v>
      </c>
      <c r="B4" s="671">
        <v>304738.28000000003</v>
      </c>
    </row>
    <row r="5" spans="1:3" ht="14.65" thickBot="1">
      <c r="A5" s="680" t="s">
        <v>517</v>
      </c>
      <c r="B5" s="672">
        <v>113035</v>
      </c>
    </row>
    <row r="6" spans="1:3">
      <c r="A6" s="678" t="s">
        <v>518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519</v>
      </c>
      <c r="B8" s="671"/>
    </row>
    <row r="9" spans="1:3">
      <c r="A9" s="673" t="s">
        <v>520</v>
      </c>
      <c r="B9" s="674">
        <v>97500</v>
      </c>
    </row>
    <row r="10" spans="1:3">
      <c r="A10" s="673" t="s">
        <v>521</v>
      </c>
      <c r="B10" s="674">
        <v>14000</v>
      </c>
    </row>
    <row r="11" spans="1:3">
      <c r="A11" s="673" t="s">
        <v>522</v>
      </c>
      <c r="B11" s="674">
        <v>60000</v>
      </c>
    </row>
    <row r="12" spans="1:3" ht="14.65" thickBot="1">
      <c r="A12" s="681" t="s">
        <v>523</v>
      </c>
      <c r="B12" s="675">
        <v>22000</v>
      </c>
    </row>
    <row r="13" spans="1:3">
      <c r="A13" s="677" t="s">
        <v>524</v>
      </c>
      <c r="B13" s="682">
        <f>SUM(B9:B12)</f>
        <v>193500</v>
      </c>
    </row>
    <row r="14" spans="1:3" ht="14.65" thickBot="1">
      <c r="A14" s="677"/>
    </row>
    <row r="15" spans="1:3" ht="14.65" thickBot="1">
      <c r="A15" t="s">
        <v>525</v>
      </c>
      <c r="B15" s="668">
        <f>B6-B13</f>
        <v>407497.24125781259</v>
      </c>
      <c r="C15" s="676"/>
    </row>
    <row r="16" spans="1:3" ht="14.65" thickBot="1">
      <c r="A16" t="s">
        <v>526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0"/>
  </cols>
  <sheetData>
    <row r="1" spans="1:770">
      <c r="D1" s="96" t="s">
        <v>527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1" t="s">
        <v>528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2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2"/>
      <c r="B4" s="104" t="s">
        <v>529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2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802"/>
      <c r="B6" s="108" t="s">
        <v>530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2"/>
      <c r="B7" s="113" t="s">
        <v>531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1" t="s">
        <v>222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2"/>
      <c r="B9" s="118" t="s">
        <v>532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2"/>
      <c r="B10" s="118" t="s">
        <v>533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2"/>
      <c r="B11" s="121" t="s">
        <v>534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0</v>
      </c>
      <c r="AE11" s="123">
        <f>SUMIFS('Expenditure Breakdown'!$Q$6:$Q$193, 'Expenditure Breakdown'!$W$6:$W$193, "&gt;="&amp;AE1,'Expenditure Breakdown'!$W$6:$W$193, "&lt;"&amp;AF1)</f>
        <v>0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5450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50756.074000000008</v>
      </c>
      <c r="AJ11" s="123">
        <f>SUMIFS('Expenditure Breakdown'!$Q$6:$Q$193, 'Expenditure Breakdown'!$W$6:$W$193, "&gt;="&amp;AJ1,'Expenditure Breakdown'!$W$6:$W$193, "&lt;"&amp;AK1)</f>
        <v>44392.137499999997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802"/>
      <c r="B12" s="121" t="s">
        <v>535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2573498.4660000005</v>
      </c>
      <c r="AE12" s="123">
        <f t="shared" si="26"/>
        <v>2573498.4660000005</v>
      </c>
      <c r="AF12" s="123">
        <f t="shared" si="26"/>
        <v>2576998.4660000005</v>
      </c>
      <c r="AG12" s="123">
        <f t="shared" si="26"/>
        <v>2582448.4660000005</v>
      </c>
      <c r="AH12" s="123">
        <f t="shared" si="26"/>
        <v>2582448.4660000005</v>
      </c>
      <c r="AI12" s="123">
        <f t="shared" si="26"/>
        <v>2633204.5400000005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802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2"/>
      <c r="B14" s="113" t="s">
        <v>536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-128437.91650416655</v>
      </c>
      <c r="AE14" s="116">
        <f t="shared" si="32"/>
        <v>-128437.91650416655</v>
      </c>
      <c r="AF14" s="116">
        <f t="shared" si="32"/>
        <v>180362.59349583322</v>
      </c>
      <c r="AG14" s="116">
        <f t="shared" si="32"/>
        <v>174912.59349583322</v>
      </c>
      <c r="AH14" s="116">
        <f t="shared" si="32"/>
        <v>174912.59349583322</v>
      </c>
      <c r="AI14" s="116">
        <f t="shared" si="32"/>
        <v>124156.5194958332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803"/>
      <c r="B17" s="104" t="s">
        <v>537</v>
      </c>
      <c r="C17" s="273">
        <f>C3-D17</f>
        <v>-211285.30597728025</v>
      </c>
      <c r="D17" s="105">
        <f>SUM(F17:KF17)</f>
        <v>2792816.3059772803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64821.882607141313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803"/>
      <c r="B18" s="104" t="s">
        <v>538</v>
      </c>
      <c r="C18" s="273">
        <f>D17-D18</f>
        <v>0</v>
      </c>
      <c r="D18" s="105">
        <f>MAX(F18:KF18)</f>
        <v>2792816.3059772803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2792816.3059772803</v>
      </c>
      <c r="AF18" s="123">
        <f t="shared" si="37"/>
        <v>2792816.3059772803</v>
      </c>
      <c r="AG18" s="123">
        <f t="shared" si="37"/>
        <v>2792816.3059772803</v>
      </c>
      <c r="AH18" s="123">
        <f t="shared" si="37"/>
        <v>2792816.3059772803</v>
      </c>
      <c r="AI18" s="123">
        <f t="shared" si="37"/>
        <v>2792816.3059772803</v>
      </c>
      <c r="AJ18" s="123">
        <f t="shared" si="37"/>
        <v>2792816.3059772803</v>
      </c>
      <c r="AK18" s="123">
        <f t="shared" si="37"/>
        <v>2792816.3059772803</v>
      </c>
      <c r="AL18" s="123">
        <f t="shared" si="37"/>
        <v>2792816.3059772803</v>
      </c>
      <c r="AM18" s="123">
        <f t="shared" si="37"/>
        <v>2792816.3059772803</v>
      </c>
      <c r="AN18" s="123">
        <f t="shared" si="37"/>
        <v>2792816.3059772803</v>
      </c>
      <c r="AO18" s="123">
        <f t="shared" si="37"/>
        <v>2792816.3059772803</v>
      </c>
      <c r="AP18" s="123">
        <f t="shared" si="37"/>
        <v>2792816.3059772803</v>
      </c>
      <c r="AQ18" s="123">
        <f t="shared" si="37"/>
        <v>2792816.3059772803</v>
      </c>
      <c r="AR18" s="123">
        <f t="shared" si="37"/>
        <v>2792816.3059772803</v>
      </c>
      <c r="AS18" s="123">
        <f t="shared" si="37"/>
        <v>2792816.3059772803</v>
      </c>
      <c r="AT18" s="123">
        <f t="shared" si="37"/>
        <v>2792816.3059772803</v>
      </c>
      <c r="AU18" s="123">
        <f t="shared" si="37"/>
        <v>2792816.3059772803</v>
      </c>
      <c r="AV18" s="123">
        <f t="shared" si="37"/>
        <v>2792816.3059772803</v>
      </c>
      <c r="AW18" s="123">
        <f t="shared" si="37"/>
        <v>2792816.3059772803</v>
      </c>
      <c r="AX18" s="123">
        <f t="shared" si="37"/>
        <v>2792816.3059772803</v>
      </c>
      <c r="AY18" s="123">
        <f t="shared" si="37"/>
        <v>2792816.3059772803</v>
      </c>
      <c r="AZ18" s="123">
        <f t="shared" si="37"/>
        <v>2792816.3059772803</v>
      </c>
      <c r="BA18" s="123">
        <f t="shared" si="37"/>
        <v>2792816.3059772803</v>
      </c>
      <c r="BB18" s="123">
        <f t="shared" si="37"/>
        <v>2792816.3059772803</v>
      </c>
      <c r="BC18" s="123">
        <f t="shared" si="37"/>
        <v>2792816.3059772803</v>
      </c>
      <c r="BD18" s="123">
        <f t="shared" si="37"/>
        <v>2792816.3059772803</v>
      </c>
      <c r="BE18" s="123">
        <f t="shared" si="37"/>
        <v>2792816.3059772803</v>
      </c>
      <c r="BF18" s="123">
        <f t="shared" si="37"/>
        <v>2792816.3059772803</v>
      </c>
      <c r="BG18" s="123">
        <f t="shared" si="37"/>
        <v>2792816.3059772803</v>
      </c>
      <c r="BH18" s="123">
        <f t="shared" si="37"/>
        <v>2792816.3059772803</v>
      </c>
      <c r="BI18" s="123">
        <f t="shared" si="37"/>
        <v>2792816.3059772803</v>
      </c>
      <c r="BJ18" s="123">
        <f t="shared" si="37"/>
        <v>2792816.3059772803</v>
      </c>
      <c r="BK18" s="123">
        <f t="shared" si="37"/>
        <v>2792816.3059772803</v>
      </c>
      <c r="BL18" s="123">
        <f t="shared" si="37"/>
        <v>2792816.3059772803</v>
      </c>
      <c r="BM18" s="123">
        <f t="shared" si="37"/>
        <v>2792816.3059772803</v>
      </c>
      <c r="BN18" s="123">
        <f t="shared" si="37"/>
        <v>2792816.3059772803</v>
      </c>
      <c r="BO18" s="123">
        <f t="shared" si="37"/>
        <v>2792816.3059772803</v>
      </c>
      <c r="BP18" s="123">
        <f t="shared" si="37"/>
        <v>2792816.3059772803</v>
      </c>
      <c r="BQ18" s="123">
        <f t="shared" si="37"/>
        <v>2792816.3059772803</v>
      </c>
      <c r="BR18" s="123">
        <f t="shared" si="37"/>
        <v>2792816.3059772803</v>
      </c>
      <c r="BS18" s="123">
        <f t="shared" si="37"/>
        <v>2792816.3059772803</v>
      </c>
      <c r="BT18" s="123">
        <f t="shared" si="37"/>
        <v>2792816.3059772803</v>
      </c>
      <c r="BU18" s="123">
        <f t="shared" ref="BU18:EF18" si="38">BT18+BU17</f>
        <v>2792816.3059772803</v>
      </c>
      <c r="BV18" s="123">
        <f t="shared" si="38"/>
        <v>2792816.3059772803</v>
      </c>
      <c r="BW18" s="123">
        <f t="shared" si="38"/>
        <v>2792816.3059772803</v>
      </c>
      <c r="BX18" s="123">
        <f t="shared" si="38"/>
        <v>2792816.3059772803</v>
      </c>
      <c r="BY18" s="123">
        <f t="shared" si="38"/>
        <v>2792816.3059772803</v>
      </c>
      <c r="BZ18" s="123">
        <f t="shared" si="38"/>
        <v>2792816.3059772803</v>
      </c>
      <c r="CA18" s="123">
        <f t="shared" si="38"/>
        <v>2792816.3059772803</v>
      </c>
      <c r="CB18" s="123">
        <f t="shared" si="38"/>
        <v>2792816.3059772803</v>
      </c>
      <c r="CC18" s="123">
        <f t="shared" si="38"/>
        <v>2792816.3059772803</v>
      </c>
      <c r="CD18" s="123">
        <f t="shared" si="38"/>
        <v>2792816.3059772803</v>
      </c>
      <c r="CE18" s="123">
        <f t="shared" si="38"/>
        <v>2792816.3059772803</v>
      </c>
      <c r="CF18" s="123">
        <f t="shared" si="38"/>
        <v>2792816.3059772803</v>
      </c>
      <c r="CG18" s="123">
        <f t="shared" si="38"/>
        <v>2792816.3059772803</v>
      </c>
      <c r="CH18" s="123">
        <f t="shared" si="38"/>
        <v>2792816.3059772803</v>
      </c>
      <c r="CI18" s="123">
        <f t="shared" si="38"/>
        <v>2792816.3059772803</v>
      </c>
      <c r="CJ18" s="123">
        <f t="shared" si="38"/>
        <v>2792816.3059772803</v>
      </c>
      <c r="CK18" s="123">
        <f t="shared" si="38"/>
        <v>2792816.3059772803</v>
      </c>
      <c r="CL18" s="123">
        <f t="shared" si="38"/>
        <v>2792816.3059772803</v>
      </c>
      <c r="CM18" s="123">
        <f t="shared" si="38"/>
        <v>2792816.3059772803</v>
      </c>
      <c r="CN18" s="123">
        <f t="shared" si="38"/>
        <v>2792816.3059772803</v>
      </c>
      <c r="CO18" s="123">
        <f t="shared" si="38"/>
        <v>2792816.3059772803</v>
      </c>
      <c r="CP18" s="123">
        <f t="shared" si="38"/>
        <v>2792816.3059772803</v>
      </c>
      <c r="CQ18" s="123">
        <f t="shared" si="38"/>
        <v>2792816.3059772803</v>
      </c>
      <c r="CR18" s="123">
        <f t="shared" si="38"/>
        <v>2792816.3059772803</v>
      </c>
      <c r="CS18" s="123">
        <f t="shared" si="38"/>
        <v>2792816.3059772803</v>
      </c>
      <c r="CT18" s="123">
        <f t="shared" si="38"/>
        <v>2792816.3059772803</v>
      </c>
      <c r="CU18" s="123">
        <f t="shared" si="38"/>
        <v>2792816.3059772803</v>
      </c>
      <c r="CV18" s="123">
        <f t="shared" si="38"/>
        <v>2792816.3059772803</v>
      </c>
      <c r="CW18" s="123">
        <f t="shared" si="38"/>
        <v>2792816.3059772803</v>
      </c>
      <c r="CX18" s="123">
        <f t="shared" si="38"/>
        <v>2792816.3059772803</v>
      </c>
      <c r="CY18" s="123">
        <f t="shared" si="38"/>
        <v>2792816.3059772803</v>
      </c>
      <c r="CZ18" s="123">
        <f t="shared" si="38"/>
        <v>2792816.3059772803</v>
      </c>
      <c r="DA18" s="123">
        <f t="shared" si="38"/>
        <v>2792816.3059772803</v>
      </c>
      <c r="DB18" s="123">
        <f t="shared" si="38"/>
        <v>2792816.3059772803</v>
      </c>
      <c r="DC18" s="123">
        <f t="shared" si="38"/>
        <v>2792816.3059772803</v>
      </c>
      <c r="DD18" s="123">
        <f t="shared" si="38"/>
        <v>2792816.3059772803</v>
      </c>
      <c r="DE18" s="123">
        <f t="shared" si="38"/>
        <v>2792816.3059772803</v>
      </c>
      <c r="DF18" s="123">
        <f t="shared" si="38"/>
        <v>2792816.3059772803</v>
      </c>
      <c r="DG18" s="123">
        <f t="shared" si="38"/>
        <v>2792816.3059772803</v>
      </c>
      <c r="DH18" s="123">
        <f t="shared" si="38"/>
        <v>2792816.3059772803</v>
      </c>
      <c r="DI18" s="123">
        <f t="shared" si="38"/>
        <v>2792816.3059772803</v>
      </c>
      <c r="DJ18" s="123">
        <f t="shared" si="38"/>
        <v>2792816.3059772803</v>
      </c>
      <c r="DK18" s="123">
        <f t="shared" si="38"/>
        <v>2792816.3059772803</v>
      </c>
      <c r="DL18" s="123">
        <f t="shared" si="38"/>
        <v>2792816.3059772803</v>
      </c>
      <c r="DM18" s="123">
        <f t="shared" si="38"/>
        <v>2792816.3059772803</v>
      </c>
      <c r="DN18" s="123">
        <f t="shared" si="38"/>
        <v>2792816.3059772803</v>
      </c>
      <c r="DO18" s="123">
        <f t="shared" si="38"/>
        <v>2792816.3059772803</v>
      </c>
      <c r="DP18" s="123">
        <f t="shared" si="38"/>
        <v>2792816.3059772803</v>
      </c>
      <c r="DQ18" s="123">
        <f t="shared" si="38"/>
        <v>2792816.3059772803</v>
      </c>
      <c r="DR18" s="123">
        <f t="shared" si="38"/>
        <v>2792816.3059772803</v>
      </c>
      <c r="DS18" s="123">
        <f t="shared" si="38"/>
        <v>2792816.3059772803</v>
      </c>
      <c r="DT18" s="123">
        <f t="shared" si="38"/>
        <v>2792816.3059772803</v>
      </c>
      <c r="DU18" s="123">
        <f t="shared" si="38"/>
        <v>2792816.3059772803</v>
      </c>
      <c r="DV18" s="123">
        <f t="shared" si="38"/>
        <v>2792816.3059772803</v>
      </c>
      <c r="DW18" s="123">
        <f t="shared" si="38"/>
        <v>2792816.3059772803</v>
      </c>
      <c r="DX18" s="123">
        <f t="shared" si="38"/>
        <v>2792816.3059772803</v>
      </c>
      <c r="DY18" s="123">
        <f t="shared" si="38"/>
        <v>2792816.3059772803</v>
      </c>
      <c r="DZ18" s="123">
        <f t="shared" si="38"/>
        <v>2792816.3059772803</v>
      </c>
      <c r="EA18" s="123">
        <f t="shared" si="38"/>
        <v>2792816.3059772803</v>
      </c>
      <c r="EB18" s="123">
        <f t="shared" si="38"/>
        <v>2792816.3059772803</v>
      </c>
      <c r="EC18" s="123">
        <f t="shared" si="38"/>
        <v>2792816.3059772803</v>
      </c>
      <c r="ED18" s="123">
        <f t="shared" si="38"/>
        <v>2792816.3059772803</v>
      </c>
      <c r="EE18" s="123">
        <f t="shared" si="38"/>
        <v>2792816.3059772803</v>
      </c>
      <c r="EF18" s="123">
        <f t="shared" si="38"/>
        <v>2792816.3059772803</v>
      </c>
      <c r="EG18" s="123">
        <f t="shared" ref="EG18:GR18" si="39">EF18+EG17</f>
        <v>2792816.3059772803</v>
      </c>
      <c r="EH18" s="123">
        <f t="shared" si="39"/>
        <v>2792816.3059772803</v>
      </c>
      <c r="EI18" s="123">
        <f t="shared" si="39"/>
        <v>2792816.3059772803</v>
      </c>
      <c r="EJ18" s="123">
        <f t="shared" si="39"/>
        <v>2792816.3059772803</v>
      </c>
      <c r="EK18" s="123">
        <f t="shared" si="39"/>
        <v>2792816.3059772803</v>
      </c>
      <c r="EL18" s="123">
        <f t="shared" si="39"/>
        <v>2792816.3059772803</v>
      </c>
      <c r="EM18" s="123">
        <f t="shared" si="39"/>
        <v>2792816.3059772803</v>
      </c>
      <c r="EN18" s="123">
        <f t="shared" si="39"/>
        <v>2792816.3059772803</v>
      </c>
      <c r="EO18" s="123">
        <f t="shared" si="39"/>
        <v>2792816.3059772803</v>
      </c>
      <c r="EP18" s="123">
        <f t="shared" si="39"/>
        <v>2792816.3059772803</v>
      </c>
      <c r="EQ18" s="123">
        <f t="shared" si="39"/>
        <v>2792816.3059772803</v>
      </c>
      <c r="ER18" s="123">
        <f t="shared" si="39"/>
        <v>2792816.3059772803</v>
      </c>
      <c r="ES18" s="123">
        <f t="shared" si="39"/>
        <v>2792816.3059772803</v>
      </c>
      <c r="ET18" s="123">
        <f t="shared" si="39"/>
        <v>2792816.3059772803</v>
      </c>
      <c r="EU18" s="123">
        <f t="shared" si="39"/>
        <v>2792816.3059772803</v>
      </c>
      <c r="EV18" s="123">
        <f t="shared" si="39"/>
        <v>2792816.3059772803</v>
      </c>
      <c r="EW18" s="123">
        <f t="shared" si="39"/>
        <v>2792816.3059772803</v>
      </c>
      <c r="EX18" s="123">
        <f t="shared" si="39"/>
        <v>2792816.3059772803</v>
      </c>
      <c r="EY18" s="123">
        <f t="shared" si="39"/>
        <v>2792816.3059772803</v>
      </c>
      <c r="EZ18" s="123">
        <f t="shared" si="39"/>
        <v>2792816.3059772803</v>
      </c>
      <c r="FA18" s="123">
        <f t="shared" si="39"/>
        <v>2792816.3059772803</v>
      </c>
      <c r="FB18" s="123">
        <f t="shared" si="39"/>
        <v>2792816.3059772803</v>
      </c>
      <c r="FC18" s="123">
        <f t="shared" si="39"/>
        <v>2792816.3059772803</v>
      </c>
      <c r="FD18" s="123">
        <f t="shared" si="39"/>
        <v>2792816.3059772803</v>
      </c>
      <c r="FE18" s="123">
        <f t="shared" si="39"/>
        <v>2792816.3059772803</v>
      </c>
      <c r="FF18" s="123">
        <f t="shared" si="39"/>
        <v>2792816.3059772803</v>
      </c>
      <c r="FG18" s="123">
        <f t="shared" si="39"/>
        <v>2792816.3059772803</v>
      </c>
      <c r="FH18" s="123">
        <f t="shared" si="39"/>
        <v>2792816.3059772803</v>
      </c>
      <c r="FI18" s="123">
        <f t="shared" si="39"/>
        <v>2792816.3059772803</v>
      </c>
      <c r="FJ18" s="123">
        <f t="shared" si="39"/>
        <v>2792816.3059772803</v>
      </c>
      <c r="FK18" s="123">
        <f t="shared" si="39"/>
        <v>2792816.3059772803</v>
      </c>
      <c r="FL18" s="123">
        <f t="shared" si="39"/>
        <v>2792816.3059772803</v>
      </c>
      <c r="FM18" s="123">
        <f t="shared" si="39"/>
        <v>2792816.3059772803</v>
      </c>
      <c r="FN18" s="123">
        <f t="shared" si="39"/>
        <v>2792816.3059772803</v>
      </c>
      <c r="FO18" s="123">
        <f t="shared" si="39"/>
        <v>2792816.3059772803</v>
      </c>
      <c r="FP18" s="123">
        <f t="shared" si="39"/>
        <v>2792816.3059772803</v>
      </c>
      <c r="FQ18" s="123">
        <f t="shared" si="39"/>
        <v>2792816.3059772803</v>
      </c>
      <c r="FR18" s="123">
        <f t="shared" si="39"/>
        <v>2792816.3059772803</v>
      </c>
      <c r="FS18" s="123">
        <f t="shared" si="39"/>
        <v>2792816.3059772803</v>
      </c>
      <c r="FT18" s="123">
        <f t="shared" si="39"/>
        <v>2792816.3059772803</v>
      </c>
      <c r="FU18" s="123">
        <f t="shared" si="39"/>
        <v>2792816.3059772803</v>
      </c>
      <c r="FV18" s="123">
        <f t="shared" si="39"/>
        <v>2792816.3059772803</v>
      </c>
      <c r="FW18" s="123">
        <f t="shared" si="39"/>
        <v>2792816.3059772803</v>
      </c>
      <c r="FX18" s="123">
        <f t="shared" si="39"/>
        <v>2792816.3059772803</v>
      </c>
      <c r="FY18" s="123">
        <f t="shared" si="39"/>
        <v>2792816.3059772803</v>
      </c>
      <c r="FZ18" s="123">
        <f t="shared" si="39"/>
        <v>2792816.3059772803</v>
      </c>
      <c r="GA18" s="123">
        <f t="shared" si="39"/>
        <v>2792816.3059772803</v>
      </c>
      <c r="GB18" s="123">
        <f t="shared" si="39"/>
        <v>2792816.3059772803</v>
      </c>
      <c r="GC18" s="123">
        <f t="shared" si="39"/>
        <v>2792816.3059772803</v>
      </c>
      <c r="GD18" s="123">
        <f t="shared" si="39"/>
        <v>2792816.3059772803</v>
      </c>
      <c r="GE18" s="123">
        <f t="shared" si="39"/>
        <v>2792816.3059772803</v>
      </c>
      <c r="GF18" s="123">
        <f t="shared" si="39"/>
        <v>2792816.3059772803</v>
      </c>
      <c r="GG18" s="123">
        <f t="shared" si="39"/>
        <v>2792816.3059772803</v>
      </c>
      <c r="GH18" s="123">
        <f t="shared" si="39"/>
        <v>2792816.3059772803</v>
      </c>
      <c r="GI18" s="123">
        <f t="shared" si="39"/>
        <v>2792816.3059772803</v>
      </c>
      <c r="GJ18" s="123">
        <f t="shared" si="39"/>
        <v>2792816.3059772803</v>
      </c>
      <c r="GK18" s="123">
        <f t="shared" si="39"/>
        <v>2792816.3059772803</v>
      </c>
      <c r="GL18" s="123">
        <f t="shared" si="39"/>
        <v>2792816.3059772803</v>
      </c>
      <c r="GM18" s="123">
        <f t="shared" si="39"/>
        <v>2792816.3059772803</v>
      </c>
      <c r="GN18" s="123">
        <f t="shared" si="39"/>
        <v>2792816.3059772803</v>
      </c>
      <c r="GO18" s="123">
        <f t="shared" si="39"/>
        <v>2792816.3059772803</v>
      </c>
      <c r="GP18" s="123">
        <f t="shared" si="39"/>
        <v>2792816.3059772803</v>
      </c>
      <c r="GQ18" s="123">
        <f t="shared" si="39"/>
        <v>2792816.3059772803</v>
      </c>
      <c r="GR18" s="123">
        <f t="shared" si="39"/>
        <v>2792816.3059772803</v>
      </c>
      <c r="GS18" s="123">
        <f t="shared" ref="GS18:JD18" si="40">GR18+GS17</f>
        <v>2792816.3059772803</v>
      </c>
      <c r="GT18" s="123">
        <f t="shared" si="40"/>
        <v>2792816.3059772803</v>
      </c>
      <c r="GU18" s="123">
        <f t="shared" si="40"/>
        <v>2792816.3059772803</v>
      </c>
      <c r="GV18" s="123">
        <f t="shared" si="40"/>
        <v>2792816.3059772803</v>
      </c>
      <c r="GW18" s="123">
        <f t="shared" si="40"/>
        <v>2792816.3059772803</v>
      </c>
      <c r="GX18" s="123">
        <f t="shared" si="40"/>
        <v>2792816.3059772803</v>
      </c>
      <c r="GY18" s="123">
        <f t="shared" si="40"/>
        <v>2792816.3059772803</v>
      </c>
      <c r="GZ18" s="123">
        <f t="shared" si="40"/>
        <v>2792816.3059772803</v>
      </c>
      <c r="HA18" s="123">
        <f t="shared" si="40"/>
        <v>2792816.3059772803</v>
      </c>
      <c r="HB18" s="123">
        <f t="shared" si="40"/>
        <v>2792816.3059772803</v>
      </c>
      <c r="HC18" s="123">
        <f t="shared" si="40"/>
        <v>2792816.3059772803</v>
      </c>
      <c r="HD18" s="123">
        <f t="shared" si="40"/>
        <v>2792816.3059772803</v>
      </c>
      <c r="HE18" s="123">
        <f t="shared" si="40"/>
        <v>2792816.3059772803</v>
      </c>
      <c r="HF18" s="123">
        <f t="shared" si="40"/>
        <v>2792816.3059772803</v>
      </c>
      <c r="HG18" s="123">
        <f t="shared" si="40"/>
        <v>2792816.3059772803</v>
      </c>
      <c r="HH18" s="123">
        <f t="shared" si="40"/>
        <v>2792816.3059772803</v>
      </c>
      <c r="HI18" s="123">
        <f t="shared" si="40"/>
        <v>2792816.3059772803</v>
      </c>
      <c r="HJ18" s="123">
        <f t="shared" si="40"/>
        <v>2792816.3059772803</v>
      </c>
      <c r="HK18" s="123">
        <f t="shared" si="40"/>
        <v>2792816.3059772803</v>
      </c>
      <c r="HL18" s="123">
        <f t="shared" si="40"/>
        <v>2792816.3059772803</v>
      </c>
      <c r="HM18" s="123">
        <f t="shared" si="40"/>
        <v>2792816.3059772803</v>
      </c>
      <c r="HN18" s="123">
        <f t="shared" si="40"/>
        <v>2792816.3059772803</v>
      </c>
      <c r="HO18" s="123">
        <f t="shared" si="40"/>
        <v>2792816.3059772803</v>
      </c>
      <c r="HP18" s="123">
        <f t="shared" si="40"/>
        <v>2792816.3059772803</v>
      </c>
      <c r="HQ18" s="123">
        <f t="shared" si="40"/>
        <v>2792816.3059772803</v>
      </c>
      <c r="HR18" s="123">
        <f t="shared" si="40"/>
        <v>2792816.3059772803</v>
      </c>
      <c r="HS18" s="123">
        <f t="shared" si="40"/>
        <v>2792816.3059772803</v>
      </c>
      <c r="HT18" s="123">
        <f t="shared" si="40"/>
        <v>2792816.3059772803</v>
      </c>
      <c r="HU18" s="123">
        <f t="shared" si="40"/>
        <v>2792816.3059772803</v>
      </c>
      <c r="HV18" s="123">
        <f t="shared" si="40"/>
        <v>2792816.3059772803</v>
      </c>
      <c r="HW18" s="123">
        <f t="shared" si="40"/>
        <v>2792816.3059772803</v>
      </c>
      <c r="HX18" s="123">
        <f t="shared" si="40"/>
        <v>2792816.3059772803</v>
      </c>
      <c r="HY18" s="123">
        <f t="shared" si="40"/>
        <v>2792816.3059772803</v>
      </c>
      <c r="HZ18" s="123">
        <f t="shared" si="40"/>
        <v>2792816.3059772803</v>
      </c>
      <c r="IA18" s="123">
        <f t="shared" si="40"/>
        <v>2792816.3059772803</v>
      </c>
      <c r="IB18" s="123">
        <f t="shared" si="40"/>
        <v>2792816.3059772803</v>
      </c>
      <c r="IC18" s="123">
        <f t="shared" si="40"/>
        <v>2792816.3059772803</v>
      </c>
      <c r="ID18" s="123">
        <f t="shared" si="40"/>
        <v>2792816.3059772803</v>
      </c>
      <c r="IE18" s="123">
        <f t="shared" si="40"/>
        <v>2792816.3059772803</v>
      </c>
      <c r="IF18" s="123">
        <f t="shared" si="40"/>
        <v>2792816.3059772803</v>
      </c>
      <c r="IG18" s="123">
        <f t="shared" si="40"/>
        <v>2792816.3059772803</v>
      </c>
      <c r="IH18" s="123">
        <f t="shared" si="40"/>
        <v>2792816.3059772803</v>
      </c>
      <c r="II18" s="123">
        <f t="shared" si="40"/>
        <v>2792816.3059772803</v>
      </c>
      <c r="IJ18" s="123">
        <f t="shared" si="40"/>
        <v>2792816.3059772803</v>
      </c>
      <c r="IK18" s="123">
        <f t="shared" si="40"/>
        <v>2792816.3059772803</v>
      </c>
      <c r="IL18" s="123">
        <f t="shared" si="40"/>
        <v>2792816.3059772803</v>
      </c>
      <c r="IM18" s="123">
        <f t="shared" si="40"/>
        <v>2792816.3059772803</v>
      </c>
      <c r="IN18" s="123">
        <f t="shared" si="40"/>
        <v>2792816.3059772803</v>
      </c>
      <c r="IO18" s="123">
        <f t="shared" si="40"/>
        <v>2792816.3059772803</v>
      </c>
      <c r="IP18" s="123">
        <f t="shared" si="40"/>
        <v>2792816.3059772803</v>
      </c>
      <c r="IQ18" s="123">
        <f t="shared" si="40"/>
        <v>2792816.3059772803</v>
      </c>
      <c r="IR18" s="123">
        <f t="shared" si="40"/>
        <v>2792816.3059772803</v>
      </c>
      <c r="IS18" s="123">
        <f t="shared" si="40"/>
        <v>2792816.3059772803</v>
      </c>
      <c r="IT18" s="123">
        <f t="shared" si="40"/>
        <v>2792816.3059772803</v>
      </c>
      <c r="IU18" s="123">
        <f t="shared" si="40"/>
        <v>2792816.3059772803</v>
      </c>
      <c r="IV18" s="123">
        <f t="shared" si="40"/>
        <v>2792816.3059772803</v>
      </c>
      <c r="IW18" s="123">
        <f t="shared" si="40"/>
        <v>2792816.3059772803</v>
      </c>
      <c r="IX18" s="123">
        <f t="shared" si="40"/>
        <v>2792816.3059772803</v>
      </c>
      <c r="IY18" s="123">
        <f t="shared" si="40"/>
        <v>2792816.3059772803</v>
      </c>
      <c r="IZ18" s="123">
        <f t="shared" si="40"/>
        <v>2792816.3059772803</v>
      </c>
      <c r="JA18" s="123">
        <f t="shared" si="40"/>
        <v>2792816.3059772803</v>
      </c>
      <c r="JB18" s="123">
        <f t="shared" si="40"/>
        <v>2792816.3059772803</v>
      </c>
      <c r="JC18" s="123">
        <f t="shared" si="40"/>
        <v>2792816.3059772803</v>
      </c>
      <c r="JD18" s="123">
        <f t="shared" si="40"/>
        <v>2792816.3059772803</v>
      </c>
      <c r="JE18" s="123">
        <f t="shared" ref="JE18:KF18" si="41">JD18+JE17</f>
        <v>2792816.3059772803</v>
      </c>
      <c r="JF18" s="123">
        <f t="shared" si="41"/>
        <v>2792816.3059772803</v>
      </c>
      <c r="JG18" s="123">
        <f t="shared" si="41"/>
        <v>2792816.3059772803</v>
      </c>
      <c r="JH18" s="123">
        <f t="shared" si="41"/>
        <v>2792816.3059772803</v>
      </c>
      <c r="JI18" s="123">
        <f t="shared" si="41"/>
        <v>2792816.3059772803</v>
      </c>
      <c r="JJ18" s="123">
        <f t="shared" si="41"/>
        <v>2792816.3059772803</v>
      </c>
      <c r="JK18" s="123">
        <f t="shared" si="41"/>
        <v>2792816.3059772803</v>
      </c>
      <c r="JL18" s="123">
        <f t="shared" si="41"/>
        <v>2792816.3059772803</v>
      </c>
      <c r="JM18" s="123">
        <f t="shared" si="41"/>
        <v>2792816.3059772803</v>
      </c>
      <c r="JN18" s="123">
        <f t="shared" si="41"/>
        <v>2792816.3059772803</v>
      </c>
      <c r="JO18" s="123">
        <f t="shared" si="41"/>
        <v>2792816.3059772803</v>
      </c>
      <c r="JP18" s="123">
        <f t="shared" si="41"/>
        <v>2792816.3059772803</v>
      </c>
      <c r="JQ18" s="123">
        <f t="shared" si="41"/>
        <v>2792816.3059772803</v>
      </c>
      <c r="JR18" s="123">
        <f t="shared" si="41"/>
        <v>2792816.3059772803</v>
      </c>
      <c r="JS18" s="123">
        <f t="shared" si="41"/>
        <v>2792816.3059772803</v>
      </c>
      <c r="JT18" s="123">
        <f t="shared" si="41"/>
        <v>2792816.3059772803</v>
      </c>
      <c r="JU18" s="123">
        <f t="shared" si="41"/>
        <v>2792816.3059772803</v>
      </c>
      <c r="JV18" s="123">
        <f t="shared" si="41"/>
        <v>2792816.3059772803</v>
      </c>
      <c r="JW18" s="123">
        <f t="shared" si="41"/>
        <v>2792816.3059772803</v>
      </c>
      <c r="JX18" s="123">
        <f t="shared" si="41"/>
        <v>2792816.3059772803</v>
      </c>
      <c r="JY18" s="123">
        <f t="shared" si="41"/>
        <v>2792816.3059772803</v>
      </c>
      <c r="JZ18" s="123">
        <f t="shared" si="41"/>
        <v>2792816.3059772803</v>
      </c>
      <c r="KA18" s="123">
        <f t="shared" si="41"/>
        <v>2792816.3059772803</v>
      </c>
      <c r="KB18" s="123">
        <f t="shared" si="41"/>
        <v>2792816.3059772803</v>
      </c>
      <c r="KC18" s="123">
        <f t="shared" si="41"/>
        <v>2792816.3059772803</v>
      </c>
      <c r="KD18" s="123">
        <f t="shared" si="41"/>
        <v>2792816.3059772803</v>
      </c>
      <c r="KE18" s="123">
        <f t="shared" si="41"/>
        <v>2792816.3059772803</v>
      </c>
      <c r="KF18" s="123">
        <f t="shared" si="41"/>
        <v>2792816.3059772803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9765625" defaultRowHeight="14.25"/>
  <cols>
    <col min="1" max="1" width="39.3984375" style="267" bestFit="1" customWidth="1"/>
    <col min="2" max="2" width="17.265625" style="268" bestFit="1" customWidth="1"/>
    <col min="3" max="3" width="14.73046875" style="267" bestFit="1" customWidth="1"/>
    <col min="4" max="5" width="13.265625" style="267" bestFit="1" customWidth="1"/>
    <col min="6" max="6" width="4.73046875" style="267" bestFit="1" customWidth="1"/>
    <col min="7" max="7" width="13.265625" style="267" bestFit="1" customWidth="1"/>
    <col min="8" max="8" width="12" style="267" bestFit="1" customWidth="1"/>
    <col min="9" max="10" width="14.73046875" style="267" bestFit="1" customWidth="1"/>
    <col min="11" max="11" width="11.3984375" style="267" bestFit="1" customWidth="1"/>
    <col min="12" max="12" width="6.3984375" style="267" bestFit="1" customWidth="1"/>
    <col min="13" max="13" width="14.3984375" style="267" bestFit="1" customWidth="1"/>
    <col min="14" max="14" width="13.59765625" style="267" bestFit="1" customWidth="1"/>
    <col min="15" max="18" width="11.3984375" style="267" bestFit="1" customWidth="1"/>
    <col min="19" max="19" width="13.59765625" style="267" bestFit="1" customWidth="1"/>
    <col min="20" max="16384" width="12.5976562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539</v>
      </c>
      <c r="B3" s="517" t="s">
        <v>540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541</v>
      </c>
      <c r="B4" t="s">
        <v>542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543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542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338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468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473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477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465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543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3984375" defaultRowHeight="14.25"/>
  <cols>
    <col min="1" max="1" width="21.73046875" bestFit="1" customWidth="1"/>
    <col min="2" max="2" width="17.265625" style="306" bestFit="1" customWidth="1"/>
    <col min="3" max="3" width="9.3984375" style="306" bestFit="1" customWidth="1"/>
    <col min="4" max="4" width="14.73046875" style="306" bestFit="1" customWidth="1"/>
    <col min="5" max="6" width="13.265625" style="306" bestFit="1" customWidth="1"/>
    <col min="7" max="7" width="13" style="306" bestFit="1" customWidth="1"/>
    <col min="8" max="8" width="13.265625" style="306" bestFit="1" customWidth="1"/>
    <col min="9" max="9" width="14.73046875" style="306" bestFit="1" customWidth="1"/>
    <col min="10" max="10" width="14.73046875" bestFit="1" customWidth="1"/>
    <col min="11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9">
      <c r="A3" s="517" t="s">
        <v>544</v>
      </c>
      <c r="B3" s="517" t="s">
        <v>540</v>
      </c>
      <c r="C3"/>
      <c r="D3"/>
      <c r="E3"/>
      <c r="F3"/>
      <c r="G3"/>
      <c r="H3"/>
      <c r="I3"/>
    </row>
    <row r="4" spans="1:9">
      <c r="A4" s="517" t="s">
        <v>541</v>
      </c>
      <c r="B4" t="s">
        <v>542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543</v>
      </c>
    </row>
    <row r="5" spans="1:9">
      <c r="A5" s="343" t="s">
        <v>542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338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468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473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477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465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543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597656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545</v>
      </c>
      <c r="F2" s="19" t="s">
        <v>546</v>
      </c>
    </row>
    <row r="3" spans="3:8">
      <c r="C3" s="15">
        <v>45658</v>
      </c>
      <c r="D3" s="9" t="s">
        <v>547</v>
      </c>
      <c r="F3" s="17" t="s">
        <v>88</v>
      </c>
    </row>
    <row r="4" spans="3:8">
      <c r="C4" s="15">
        <v>45737</v>
      </c>
      <c r="D4" s="9" t="s">
        <v>548</v>
      </c>
      <c r="F4" s="17" t="s">
        <v>96</v>
      </c>
    </row>
    <row r="5" spans="3:8">
      <c r="C5" s="15">
        <v>45765</v>
      </c>
      <c r="D5" s="9" t="s">
        <v>549</v>
      </c>
      <c r="F5" s="17" t="s">
        <v>550</v>
      </c>
    </row>
    <row r="6" spans="3:8" ht="13.15" thickBot="1">
      <c r="C6" s="15">
        <v>45768</v>
      </c>
      <c r="D6" s="9" t="s">
        <v>551</v>
      </c>
      <c r="F6" s="18" t="s">
        <v>552</v>
      </c>
    </row>
    <row r="7" spans="3:8">
      <c r="C7" s="15">
        <v>45774</v>
      </c>
      <c r="D7" s="9" t="s">
        <v>553</v>
      </c>
    </row>
    <row r="8" spans="3:8">
      <c r="C8" s="15">
        <v>45765</v>
      </c>
      <c r="D8" s="9" t="s">
        <v>554</v>
      </c>
    </row>
    <row r="9" spans="3:8">
      <c r="C9" s="15">
        <v>45778</v>
      </c>
      <c r="D9" s="9" t="s">
        <v>555</v>
      </c>
    </row>
    <row r="10" spans="3:8">
      <c r="C10" s="15">
        <v>45824</v>
      </c>
      <c r="D10" s="9" t="s">
        <v>556</v>
      </c>
    </row>
    <row r="11" spans="3:8">
      <c r="C11" s="15">
        <v>45878</v>
      </c>
      <c r="D11" s="9" t="s">
        <v>557</v>
      </c>
    </row>
    <row r="12" spans="3:8">
      <c r="C12" s="15">
        <v>45924</v>
      </c>
      <c r="D12" s="9" t="s">
        <v>558</v>
      </c>
    </row>
    <row r="13" spans="3:8">
      <c r="C13" s="15">
        <v>46007</v>
      </c>
      <c r="D13" s="9" t="s">
        <v>559</v>
      </c>
      <c r="F13" s="20"/>
      <c r="H13" s="9" t="s">
        <v>560</v>
      </c>
    </row>
    <row r="14" spans="3:8">
      <c r="C14" s="15">
        <v>46016</v>
      </c>
      <c r="D14" s="9" t="s">
        <v>561</v>
      </c>
    </row>
    <row r="15" spans="3:8">
      <c r="C15" s="15">
        <v>46017</v>
      </c>
      <c r="D15" s="9" t="s">
        <v>562</v>
      </c>
    </row>
    <row r="16" spans="3:8">
      <c r="C16" s="15">
        <v>46006</v>
      </c>
      <c r="D16" s="9" t="s">
        <v>563</v>
      </c>
    </row>
    <row r="17" spans="3:4">
      <c r="C17" s="15">
        <v>46007</v>
      </c>
      <c r="D17" s="9" t="s">
        <v>563</v>
      </c>
    </row>
    <row r="18" spans="3:4">
      <c r="C18" s="15">
        <v>46008</v>
      </c>
      <c r="D18" s="9" t="s">
        <v>563</v>
      </c>
    </row>
    <row r="19" spans="3:4">
      <c r="C19" s="15">
        <v>46009</v>
      </c>
      <c r="D19" s="9" t="s">
        <v>563</v>
      </c>
    </row>
    <row r="20" spans="3:4">
      <c r="C20" s="15">
        <v>46010</v>
      </c>
      <c r="D20" s="9" t="s">
        <v>563</v>
      </c>
    </row>
    <row r="21" spans="3:4">
      <c r="C21" s="15">
        <v>46011</v>
      </c>
      <c r="D21" s="9" t="s">
        <v>563</v>
      </c>
    </row>
    <row r="22" spans="3:4">
      <c r="C22" s="15">
        <v>46012</v>
      </c>
      <c r="D22" s="9" t="s">
        <v>563</v>
      </c>
    </row>
    <row r="23" spans="3:4">
      <c r="C23" s="15">
        <v>46013</v>
      </c>
      <c r="D23" s="9" t="s">
        <v>563</v>
      </c>
    </row>
    <row r="24" spans="3:4">
      <c r="C24" s="15">
        <v>46014</v>
      </c>
      <c r="D24" s="9" t="s">
        <v>563</v>
      </c>
    </row>
    <row r="25" spans="3:4">
      <c r="C25" s="15">
        <v>46015</v>
      </c>
      <c r="D25" s="9" t="s">
        <v>563</v>
      </c>
    </row>
    <row r="26" spans="3:4">
      <c r="C26" s="15">
        <v>46016</v>
      </c>
      <c r="D26" s="9" t="s">
        <v>563</v>
      </c>
    </row>
    <row r="27" spans="3:4">
      <c r="C27" s="15">
        <v>46017</v>
      </c>
      <c r="D27" s="9" t="s">
        <v>563</v>
      </c>
    </row>
    <row r="28" spans="3:4">
      <c r="C28" s="15">
        <v>46018</v>
      </c>
      <c r="D28" s="9" t="s">
        <v>563</v>
      </c>
    </row>
    <row r="29" spans="3:4">
      <c r="C29" s="15">
        <v>46019</v>
      </c>
      <c r="D29" s="9" t="s">
        <v>563</v>
      </c>
    </row>
    <row r="30" spans="3:4">
      <c r="C30" s="15">
        <v>46020</v>
      </c>
      <c r="D30" s="9" t="s">
        <v>563</v>
      </c>
    </row>
    <row r="31" spans="3:4">
      <c r="C31" s="15">
        <v>46021</v>
      </c>
      <c r="D31" s="9" t="s">
        <v>563</v>
      </c>
    </row>
    <row r="32" spans="3:4">
      <c r="C32" s="15">
        <v>46022</v>
      </c>
      <c r="D32" s="9" t="s">
        <v>563</v>
      </c>
    </row>
    <row r="33" spans="3:4">
      <c r="C33" s="15">
        <v>46023</v>
      </c>
      <c r="D33" s="9" t="s">
        <v>563</v>
      </c>
    </row>
    <row r="34" spans="3:4">
      <c r="C34" s="15">
        <v>46024</v>
      </c>
      <c r="D34" s="9" t="s">
        <v>563</v>
      </c>
    </row>
    <row r="35" spans="3:4">
      <c r="C35" s="15">
        <v>46025</v>
      </c>
      <c r="D35" s="9" t="s">
        <v>563</v>
      </c>
    </row>
    <row r="36" spans="3:4">
      <c r="C36" s="15">
        <v>46026</v>
      </c>
      <c r="D36" s="9" t="s">
        <v>563</v>
      </c>
    </row>
    <row r="37" spans="3:4">
      <c r="C37" s="15">
        <v>46027</v>
      </c>
      <c r="D37" s="9" t="s">
        <v>563</v>
      </c>
    </row>
    <row r="38" spans="3:4">
      <c r="C38" s="15">
        <v>46028</v>
      </c>
      <c r="D38" s="9" t="s">
        <v>563</v>
      </c>
    </row>
    <row r="39" spans="3:4">
      <c r="C39" s="15">
        <v>46029</v>
      </c>
      <c r="D39" s="9" t="s">
        <v>563</v>
      </c>
    </row>
    <row r="40" spans="3:4">
      <c r="C40" s="15">
        <v>46030</v>
      </c>
      <c r="D40" s="9" t="s">
        <v>563</v>
      </c>
    </row>
    <row r="41" spans="3:4">
      <c r="C41" s="15">
        <v>46031</v>
      </c>
      <c r="D41" s="9" t="s">
        <v>563</v>
      </c>
    </row>
    <row r="42" spans="3:4">
      <c r="C42" s="15">
        <v>46032</v>
      </c>
      <c r="D42" s="9" t="s">
        <v>563</v>
      </c>
    </row>
    <row r="43" spans="3:4">
      <c r="C43" s="15">
        <v>46033</v>
      </c>
      <c r="D43" s="9" t="s">
        <v>563</v>
      </c>
    </row>
    <row r="44" spans="3:4">
      <c r="C44" s="15">
        <v>46034</v>
      </c>
      <c r="D44" s="9" t="s">
        <v>563</v>
      </c>
    </row>
    <row r="45" spans="3:4">
      <c r="C45" s="15">
        <v>46035</v>
      </c>
      <c r="D45" s="9" t="s">
        <v>563</v>
      </c>
    </row>
    <row r="46" spans="3:4">
      <c r="C46" s="15">
        <v>46036</v>
      </c>
      <c r="D46" s="9" t="s">
        <v>563</v>
      </c>
    </row>
    <row r="47" spans="3:4">
      <c r="C47" s="15">
        <v>46037</v>
      </c>
      <c r="D47" s="9" t="s">
        <v>563</v>
      </c>
    </row>
    <row r="48" spans="3:4">
      <c r="C48" s="15">
        <v>46038</v>
      </c>
      <c r="D48" s="9" t="s">
        <v>563</v>
      </c>
    </row>
    <row r="49" spans="3:4">
      <c r="C49" s="15">
        <v>46102</v>
      </c>
      <c r="D49" s="9" t="s">
        <v>548</v>
      </c>
    </row>
    <row r="50" spans="3:4">
      <c r="C50" s="15">
        <v>46115</v>
      </c>
      <c r="D50" s="9" t="s">
        <v>549</v>
      </c>
    </row>
    <row r="51" spans="3:4">
      <c r="C51" s="15">
        <v>46118</v>
      </c>
      <c r="D51" s="9" t="s">
        <v>551</v>
      </c>
    </row>
    <row r="52" spans="3:4">
      <c r="C52" s="15">
        <v>46139</v>
      </c>
      <c r="D52" s="9" t="s">
        <v>553</v>
      </c>
    </row>
    <row r="53" spans="3:4">
      <c r="C53" s="15">
        <v>46143</v>
      </c>
      <c r="D53" s="9" t="s">
        <v>555</v>
      </c>
    </row>
    <row r="54" spans="3:4">
      <c r="C54" s="15">
        <v>46189</v>
      </c>
      <c r="D54" s="9" t="s">
        <v>556</v>
      </c>
    </row>
    <row r="55" spans="3:4">
      <c r="C55" s="15">
        <v>46243</v>
      </c>
      <c r="D55" s="9" t="s">
        <v>557</v>
      </c>
    </row>
    <row r="56" spans="3:4">
      <c r="C56" s="15">
        <v>46244</v>
      </c>
      <c r="D56" s="9" t="s">
        <v>564</v>
      </c>
    </row>
    <row r="57" spans="3:4">
      <c r="C57" s="15">
        <v>46289</v>
      </c>
      <c r="D57" s="9" t="s">
        <v>558</v>
      </c>
    </row>
    <row r="58" spans="3:4">
      <c r="C58" s="15">
        <v>46372</v>
      </c>
      <c r="D58" s="9" t="s">
        <v>559</v>
      </c>
    </row>
    <row r="59" spans="3:4">
      <c r="C59" s="15">
        <v>46381</v>
      </c>
      <c r="D59" s="9" t="s">
        <v>561</v>
      </c>
    </row>
    <row r="60" spans="3:4" ht="13.15" thickBot="1">
      <c r="C60" s="16">
        <v>46382</v>
      </c>
      <c r="D60" s="9" t="s">
        <v>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