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heets/sheet1.xml" ContentType="application/vnd.openxmlformats-officedocument.spreadsheetml.chart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documenttasks/documenttask1.xml" ContentType="application/vnd.ms-excel.documenttasks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documenttasks/documenttask2.xml" ContentType="application/vnd.ms-excel.documenttasks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8"/>
  <workbookPr codeName="ThisWorkbook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emergy.sharepoint.com/sites/Emergent_Energy/Shared Documents/Emergent Energy Team Folder/01 - Clients/0.Active Trackers/"/>
    </mc:Choice>
  </mc:AlternateContent>
  <xr:revisionPtr revIDLastSave="2439" documentId="13_ncr:1_{5088FDBF-8B60-4138-AFBB-5A720563F8CF}" xr6:coauthVersionLast="47" xr6:coauthVersionMax="47" xr10:uidLastSave="{1E61752D-7101-4312-8744-B01A6DA90DEF}"/>
  <bookViews>
    <workbookView minimized="1" xWindow="-27210" yWindow="2490" windowWidth="14400" windowHeight="8175" tabRatio="762" firstSheet="5" activeTab="5" xr2:uid="{E6903F24-528D-4F70-BAAE-8243B2418312}"/>
  </bookViews>
  <sheets>
    <sheet name="Sheet1" sheetId="1" state="hidden" r:id="rId1"/>
    <sheet name="Revenue Tracking" sheetId="5" r:id="rId2"/>
    <sheet name="Data" sheetId="8" state="hidden" r:id="rId3"/>
    <sheet name="Project Plan" sheetId="2" r:id="rId4"/>
    <sheet name="Expenditure Tracking" sheetId="3" r:id="rId5"/>
    <sheet name="Expenditure Breakdown" sheetId="18" r:id="rId6"/>
    <sheet name="Cashflow" sheetId="6" r:id="rId7"/>
    <sheet name="Chart2" sheetId="11" r:id="rId8"/>
    <sheet name="Finance - Revenue" sheetId="13" r:id="rId9"/>
    <sheet name="Finance - COS" sheetId="14" r:id="rId10"/>
    <sheet name="Certificate - Financial Close" sheetId="19" r:id="rId11"/>
    <sheet name="Project Margins" sheetId="12" state="hidden" r:id="rId12"/>
    <sheet name="Equipment Quotes" sheetId="9" state="hidden" r:id="rId13"/>
    <sheet name="Installer Quotes" sheetId="7" state="hidden" r:id="rId14"/>
    <sheet name="Decision Register" sheetId="10" state="hidden" r:id="rId15"/>
  </sheets>
  <definedNames>
    <definedName name="Inverter_Capacity">#REF!</definedName>
    <definedName name="Inverter_Supplier">#REF!</definedName>
    <definedName name="_xlnm.Print_Area" localSheetId="10">'Certificate - Financial Close'!$A$1:$F$26</definedName>
    <definedName name="_xlnm.Print_Area" localSheetId="3">'Project Plan'!$B$126:$G$131</definedName>
    <definedName name="Project_Size" localSheetId="10">'Certificate - Financial Close'!Projectsize</definedName>
    <definedName name="Project_Size" localSheetId="8">'Finance - Revenue'!Projectsize</definedName>
    <definedName name="Project_Size">Projectsize</definedName>
    <definedName name="Projectsize" localSheetId="10">#REF!</definedName>
    <definedName name="Projectsize" localSheetId="8">#REF!</definedName>
    <definedName name="Projectsize">'Project Margins'!$K$5</definedName>
    <definedName name="Security_Serv" localSheetId="8">#REF!</definedName>
    <definedName name="Security_Serv">#REF!</definedName>
    <definedName name="SSS" localSheetId="8">#REF!</definedName>
    <definedName name="SSS">#REF!</definedName>
    <definedName name="USD_ZAR">#REF!</definedName>
  </definedNames>
  <calcPr calcId="191028"/>
  <pivotCaches>
    <pivotCache cacheId="2793" r:id="rId1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340" i="18" l="1"/>
  <c r="O167" i="18"/>
  <c r="F26" i="5" l="1"/>
  <c r="P97" i="18"/>
  <c r="N70" i="2" l="1"/>
  <c r="N71" i="2"/>
  <c r="N72" i="2"/>
  <c r="F18" i="5" l="1"/>
  <c r="F17" i="5"/>
  <c r="F19" i="5"/>
  <c r="H6" i="5"/>
  <c r="Q283" i="18"/>
  <c r="W189" i="18" l="1"/>
  <c r="B113" i="2"/>
  <c r="B114" i="2" s="1"/>
  <c r="B115" i="2" s="1"/>
  <c r="W355" i="18"/>
  <c r="W354" i="18"/>
  <c r="W353" i="18"/>
  <c r="Q357" i="18"/>
  <c r="Q232" i="18"/>
  <c r="W17" i="18"/>
  <c r="W19" i="18"/>
  <c r="Q16" i="18"/>
  <c r="W296" i="18" l="1"/>
  <c r="W295" i="18"/>
  <c r="O218" i="18"/>
  <c r="AE20" i="18"/>
  <c r="W177" i="18" l="1"/>
  <c r="W357" i="18"/>
  <c r="W352" i="18"/>
  <c r="K114" i="2"/>
  <c r="K107" i="2"/>
  <c r="K106" i="2"/>
  <c r="N106" i="2" s="1"/>
  <c r="K105" i="2"/>
  <c r="N105" i="2" s="1"/>
  <c r="W284" i="18"/>
  <c r="N114" i="2" l="1"/>
  <c r="Q220" i="18"/>
  <c r="Q221" i="18"/>
  <c r="K100" i="2"/>
  <c r="X74" i="18"/>
  <c r="H13" i="3" s="1"/>
  <c r="J74" i="18"/>
  <c r="W18" i="18"/>
  <c r="Q18" i="18"/>
  <c r="P135" i="18"/>
  <c r="P138" i="18"/>
  <c r="Q139" i="18" s="1"/>
  <c r="M42" i="2"/>
  <c r="X20" i="2" s="1"/>
  <c r="M67" i="2"/>
  <c r="X22" i="2" s="1"/>
  <c r="M74" i="2"/>
  <c r="X23" i="2" s="1"/>
  <c r="M88" i="2"/>
  <c r="X25" i="2" s="1"/>
  <c r="K56" i="2"/>
  <c r="N56" i="2" s="1"/>
  <c r="N55" i="2"/>
  <c r="N54" i="2"/>
  <c r="N53" i="2"/>
  <c r="W283" i="18"/>
  <c r="K90" i="2"/>
  <c r="Q354" i="18"/>
  <c r="Q353" i="18"/>
  <c r="K52" i="2"/>
  <c r="N52" i="2" s="1"/>
  <c r="Q272" i="18"/>
  <c r="Q9" i="18"/>
  <c r="Q8" i="18"/>
  <c r="C4" i="19"/>
  <c r="W139" i="18"/>
  <c r="W136" i="18"/>
  <c r="W131" i="18"/>
  <c r="W133" i="18" s="1"/>
  <c r="T133" i="18" s="1"/>
  <c r="I122" i="18"/>
  <c r="F15" i="3" s="1"/>
  <c r="H299" i="18"/>
  <c r="H232" i="18"/>
  <c r="H227" i="18"/>
  <c r="H183" i="18"/>
  <c r="H178" i="18"/>
  <c r="H177" i="18"/>
  <c r="H176" i="18"/>
  <c r="H145" i="18"/>
  <c r="H146" i="18" s="1"/>
  <c r="H144" i="18"/>
  <c r="H96" i="18"/>
  <c r="H74" i="18"/>
  <c r="H49" i="18"/>
  <c r="AF21" i="2"/>
  <c r="AE21" i="2"/>
  <c r="Q229" i="18"/>
  <c r="Q228" i="18"/>
  <c r="W53" i="18"/>
  <c r="R6" i="5"/>
  <c r="Q165" i="18"/>
  <c r="Q51" i="18"/>
  <c r="K63" i="2"/>
  <c r="K61" i="2"/>
  <c r="I50" i="2"/>
  <c r="K50" i="2" s="1"/>
  <c r="K43" i="2"/>
  <c r="W242" i="18"/>
  <c r="K24" i="2"/>
  <c r="K65" i="2"/>
  <c r="N65" i="2" s="1"/>
  <c r="H16" i="5"/>
  <c r="Q19" i="18"/>
  <c r="W325" i="18"/>
  <c r="K29" i="2"/>
  <c r="K28" i="2"/>
  <c r="N28" i="2" s="1"/>
  <c r="K27" i="2"/>
  <c r="N27" i="2" s="1"/>
  <c r="K26" i="2"/>
  <c r="N26" i="2" s="1"/>
  <c r="K25" i="2"/>
  <c r="N25" i="2" s="1"/>
  <c r="K22" i="2"/>
  <c r="N22" i="2" s="1"/>
  <c r="P102" i="18"/>
  <c r="Q162" i="18"/>
  <c r="T19" i="2"/>
  <c r="M110" i="2"/>
  <c r="X27" i="2" s="1"/>
  <c r="K40" i="2"/>
  <c r="N40" i="2" s="1"/>
  <c r="K39" i="2"/>
  <c r="K38" i="2"/>
  <c r="K37" i="2"/>
  <c r="K36" i="2"/>
  <c r="N36" i="2" s="1"/>
  <c r="K35" i="2"/>
  <c r="N35" i="2" s="1"/>
  <c r="K34" i="2"/>
  <c r="K33" i="2"/>
  <c r="N33" i="2" s="1"/>
  <c r="E32" i="2"/>
  <c r="G40" i="2"/>
  <c r="G39" i="2"/>
  <c r="G38" i="2"/>
  <c r="G37" i="2"/>
  <c r="G36" i="2"/>
  <c r="G35" i="2"/>
  <c r="G34" i="2"/>
  <c r="G33" i="2"/>
  <c r="K49" i="2"/>
  <c r="I86" i="2" s="1"/>
  <c r="M117" i="2"/>
  <c r="X28" i="2" s="1"/>
  <c r="M98" i="2"/>
  <c r="X26" i="2" s="1"/>
  <c r="M81" i="2"/>
  <c r="X24" i="2" s="1"/>
  <c r="M58" i="2"/>
  <c r="X21" i="2" s="1"/>
  <c r="M32" i="2"/>
  <c r="X19" i="2" s="1"/>
  <c r="M18" i="2"/>
  <c r="M11" i="2"/>
  <c r="K83" i="2"/>
  <c r="I84" i="2" s="1"/>
  <c r="K82" i="2"/>
  <c r="N82" i="2" s="1"/>
  <c r="K75" i="2"/>
  <c r="N75" i="2" s="1"/>
  <c r="K68" i="2"/>
  <c r="N68" i="2" s="1"/>
  <c r="K59" i="2"/>
  <c r="N59" i="2" s="1"/>
  <c r="K51" i="2"/>
  <c r="N51" i="2" s="1"/>
  <c r="K47" i="2"/>
  <c r="N47" i="2" s="1"/>
  <c r="K45" i="2"/>
  <c r="K44" i="2"/>
  <c r="N44" i="2" s="1"/>
  <c r="K19" i="2"/>
  <c r="K16" i="2"/>
  <c r="K15" i="2"/>
  <c r="N15" i="2" s="1"/>
  <c r="I14" i="2"/>
  <c r="K14" i="2" s="1"/>
  <c r="I13" i="2"/>
  <c r="K13" i="2" s="1"/>
  <c r="N13" i="2" s="1"/>
  <c r="K12" i="2"/>
  <c r="G19" i="2"/>
  <c r="G18" i="2" s="1"/>
  <c r="K60" i="2"/>
  <c r="S28" i="2"/>
  <c r="S27" i="2"/>
  <c r="S26" i="2"/>
  <c r="S25" i="2"/>
  <c r="S24" i="2"/>
  <c r="S23" i="2"/>
  <c r="S22" i="2"/>
  <c r="S21" i="2"/>
  <c r="S20" i="2"/>
  <c r="S19" i="2"/>
  <c r="G91" i="2"/>
  <c r="E92" i="2" s="1"/>
  <c r="G92" i="2" s="1"/>
  <c r="G89" i="2"/>
  <c r="G83" i="2"/>
  <c r="G82" i="2"/>
  <c r="G76" i="2"/>
  <c r="E77" i="2" s="1"/>
  <c r="G75" i="2"/>
  <c r="G70" i="2"/>
  <c r="G68" i="2"/>
  <c r="G59" i="2"/>
  <c r="G51" i="2"/>
  <c r="G49" i="2"/>
  <c r="G47" i="2"/>
  <c r="E48" i="2" s="1"/>
  <c r="G48" i="2" s="1"/>
  <c r="G44" i="2"/>
  <c r="G45" i="2"/>
  <c r="E46" i="2" s="1"/>
  <c r="K62" i="2"/>
  <c r="N62" i="2" s="1"/>
  <c r="K64" i="2"/>
  <c r="N64" i="2" s="1"/>
  <c r="I58" i="2"/>
  <c r="T21" i="2" s="1"/>
  <c r="W80" i="18"/>
  <c r="Q167" i="18"/>
  <c r="Q166" i="18"/>
  <c r="Q175" i="18"/>
  <c r="Q174" i="18"/>
  <c r="Q312" i="18"/>
  <c r="X311" i="18" s="1"/>
  <c r="H14" i="5"/>
  <c r="B118" i="2"/>
  <c r="B119" i="2" s="1"/>
  <c r="B120" i="2" s="1"/>
  <c r="B121" i="2" s="1"/>
  <c r="B122" i="2" s="1"/>
  <c r="B123" i="2" s="1"/>
  <c r="B111" i="2"/>
  <c r="B112" i="2" s="1"/>
  <c r="B99" i="2"/>
  <c r="B91" i="2"/>
  <c r="B92" i="2" s="1"/>
  <c r="B93" i="2" s="1"/>
  <c r="B94" i="2" s="1"/>
  <c r="B95" i="2" s="1"/>
  <c r="B96" i="2" s="1"/>
  <c r="B43" i="2"/>
  <c r="B44" i="2" s="1"/>
  <c r="B45" i="2" s="1"/>
  <c r="B46" i="2" s="1"/>
  <c r="B47" i="2" s="1"/>
  <c r="B48" i="2" s="1"/>
  <c r="B49" i="2" s="1"/>
  <c r="B50" i="2" s="1"/>
  <c r="B51" i="2" s="1"/>
  <c r="B33" i="2"/>
  <c r="B34" i="2" s="1"/>
  <c r="B35" i="2" s="1"/>
  <c r="B36" i="2" s="1"/>
  <c r="B37" i="2" s="1"/>
  <c r="B38" i="2" s="1"/>
  <c r="B39" i="2" s="1"/>
  <c r="B40" i="2" s="1"/>
  <c r="B19" i="2"/>
  <c r="B20" i="2" s="1"/>
  <c r="B21" i="2" s="1"/>
  <c r="B22" i="2" s="1"/>
  <c r="B23" i="2" s="1"/>
  <c r="B24" i="2" s="1"/>
  <c r="B25" i="2" s="1"/>
  <c r="B26" i="2" s="1"/>
  <c r="B27" i="2" s="1"/>
  <c r="B12" i="2"/>
  <c r="B13" i="2" s="1"/>
  <c r="B14" i="2" s="1"/>
  <c r="B15" i="2" s="1"/>
  <c r="Q218" i="18"/>
  <c r="Q219" i="18"/>
  <c r="Q222" i="18"/>
  <c r="Q217" i="18"/>
  <c r="T112" i="18"/>
  <c r="T117" i="18" s="1"/>
  <c r="T63" i="18"/>
  <c r="T64" i="18"/>
  <c r="W67" i="18"/>
  <c r="W110" i="18" s="1"/>
  <c r="W115" i="18" s="1"/>
  <c r="O241" i="18"/>
  <c r="Q241" i="18" s="1"/>
  <c r="O235" i="18"/>
  <c r="Q236" i="18" s="1"/>
  <c r="O194" i="18"/>
  <c r="O184" i="18"/>
  <c r="O185" i="18" s="1"/>
  <c r="O206" i="18"/>
  <c r="Q206" i="18" s="1"/>
  <c r="O115" i="18"/>
  <c r="Q116" i="18" s="1"/>
  <c r="O110" i="18"/>
  <c r="Q112" i="18" s="1"/>
  <c r="O67" i="18"/>
  <c r="Q68" i="18" s="1"/>
  <c r="O62" i="18"/>
  <c r="Q63" i="18" s="1"/>
  <c r="AE27" i="18"/>
  <c r="W132" i="18"/>
  <c r="W128" i="18"/>
  <c r="T124" i="18"/>
  <c r="T129" i="18"/>
  <c r="T134" i="18"/>
  <c r="T137" i="18"/>
  <c r="T140" i="18"/>
  <c r="T143" i="18"/>
  <c r="P141" i="18"/>
  <c r="P130" i="18"/>
  <c r="Q130" i="18" s="1"/>
  <c r="P125" i="18"/>
  <c r="Q125" i="18" s="1"/>
  <c r="P132" i="18"/>
  <c r="P127" i="18"/>
  <c r="Q128" i="18" s="1"/>
  <c r="P122" i="18"/>
  <c r="Q122" i="18" s="1"/>
  <c r="P21" i="18"/>
  <c r="Q21" i="18" s="1"/>
  <c r="Q17" i="18"/>
  <c r="Q6" i="18"/>
  <c r="W47" i="18"/>
  <c r="Q47" i="18"/>
  <c r="Q46" i="18"/>
  <c r="O11" i="18"/>
  <c r="T147" i="18"/>
  <c r="T151" i="18"/>
  <c r="T152" i="18"/>
  <c r="T153" i="18"/>
  <c r="P195" i="18"/>
  <c r="P196" i="18"/>
  <c r="P197" i="18"/>
  <c r="P202" i="18"/>
  <c r="P203" i="18"/>
  <c r="P194" i="18"/>
  <c r="W194" i="18"/>
  <c r="W206" i="18" s="1"/>
  <c r="Z38" i="18"/>
  <c r="Z37" i="18"/>
  <c r="T92" i="18"/>
  <c r="T91" i="18"/>
  <c r="T90" i="18"/>
  <c r="T89" i="18"/>
  <c r="T40" i="18"/>
  <c r="O34" i="18"/>
  <c r="Q34" i="18" s="1"/>
  <c r="Q29" i="18"/>
  <c r="Q30" i="18"/>
  <c r="T113" i="18"/>
  <c r="T360" i="18"/>
  <c r="T359" i="18"/>
  <c r="T324" i="18"/>
  <c r="T323" i="18"/>
  <c r="T322" i="18"/>
  <c r="T321" i="18"/>
  <c r="T320" i="18"/>
  <c r="T310" i="18"/>
  <c r="T309" i="18"/>
  <c r="T300" i="18"/>
  <c r="T299" i="18"/>
  <c r="T298" i="18"/>
  <c r="T297" i="18"/>
  <c r="T282" i="18"/>
  <c r="T281" i="18"/>
  <c r="T227" i="18"/>
  <c r="T226" i="18"/>
  <c r="T225" i="18"/>
  <c r="T224" i="18"/>
  <c r="T182" i="18"/>
  <c r="T180" i="18"/>
  <c r="T178" i="18"/>
  <c r="T176" i="18"/>
  <c r="T161" i="18"/>
  <c r="T160" i="18"/>
  <c r="T159" i="18"/>
  <c r="T158" i="18"/>
  <c r="T157" i="18"/>
  <c r="T156" i="18"/>
  <c r="T144" i="18"/>
  <c r="T121" i="18"/>
  <c r="T120" i="18"/>
  <c r="T119" i="18"/>
  <c r="T118" i="18"/>
  <c r="T109" i="18"/>
  <c r="T108" i="18"/>
  <c r="T107" i="18"/>
  <c r="T95" i="18"/>
  <c r="T94" i="18"/>
  <c r="T93" i="18"/>
  <c r="T73" i="18"/>
  <c r="T72" i="18"/>
  <c r="T61" i="18"/>
  <c r="T60" i="18"/>
  <c r="T58" i="18"/>
  <c r="T54" i="18"/>
  <c r="T48" i="18"/>
  <c r="T28" i="18"/>
  <c r="T27" i="18"/>
  <c r="T23" i="18"/>
  <c r="T20" i="18"/>
  <c r="Q53" i="18"/>
  <c r="Q52" i="18"/>
  <c r="Q50" i="18"/>
  <c r="Q49" i="18"/>
  <c r="O41" i="18"/>
  <c r="Q41" i="18" s="1"/>
  <c r="T66" i="18"/>
  <c r="T114" i="18"/>
  <c r="T239" i="18"/>
  <c r="J122" i="18"/>
  <c r="J161" i="18"/>
  <c r="I161" i="18"/>
  <c r="F16" i="3" s="1"/>
  <c r="I298" i="18"/>
  <c r="F20" i="3" s="1"/>
  <c r="G15" i="2"/>
  <c r="E14" i="2"/>
  <c r="G14" i="2" s="1"/>
  <c r="E13" i="2"/>
  <c r="G232" i="18"/>
  <c r="Z26" i="18" s="1"/>
  <c r="G229" i="18"/>
  <c r="G228" i="18"/>
  <c r="G227" i="18"/>
  <c r="Z24" i="18" s="1"/>
  <c r="G184" i="18"/>
  <c r="Z23" i="18" s="1"/>
  <c r="AA23" i="18" s="1"/>
  <c r="G183" i="18"/>
  <c r="F183" i="18" s="1"/>
  <c r="G96" i="18"/>
  <c r="I96" i="18" s="1"/>
  <c r="F14" i="3" s="1"/>
  <c r="G50" i="18"/>
  <c r="I49" i="18" s="1"/>
  <c r="F12" i="3" s="1"/>
  <c r="G29" i="18"/>
  <c r="I29" i="18" s="1"/>
  <c r="F11" i="3" s="1"/>
  <c r="G21" i="18"/>
  <c r="I21" i="18" s="1"/>
  <c r="F10" i="3" s="1"/>
  <c r="G6" i="18"/>
  <c r="I6" i="18" s="1"/>
  <c r="F9" i="3" s="1"/>
  <c r="G16" i="2"/>
  <c r="J227" i="18"/>
  <c r="Y42" i="18"/>
  <c r="Y41" i="18"/>
  <c r="Y40" i="18"/>
  <c r="Y39" i="18"/>
  <c r="Y38" i="18"/>
  <c r="Y37" i="18"/>
  <c r="Y36" i="18"/>
  <c r="Y35" i="18"/>
  <c r="J311" i="18"/>
  <c r="J301" i="18"/>
  <c r="J283" i="18"/>
  <c r="J183" i="18"/>
  <c r="J96" i="18"/>
  <c r="J49" i="18"/>
  <c r="J29" i="18"/>
  <c r="J21" i="18"/>
  <c r="J6" i="18"/>
  <c r="I1" i="6"/>
  <c r="J1" i="6"/>
  <c r="K1" i="6"/>
  <c r="G1" i="6"/>
  <c r="H1" i="6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F23" i="3"/>
  <c r="I311" i="18"/>
  <c r="F22" i="3" s="1"/>
  <c r="X298" i="18"/>
  <c r="H20" i="3" s="1"/>
  <c r="I283" i="18"/>
  <c r="F19" i="3" s="1"/>
  <c r="I301" i="18"/>
  <c r="F21" i="3" s="1"/>
  <c r="I74" i="18"/>
  <c r="F13" i="3" s="1"/>
  <c r="X301" i="18"/>
  <c r="U308" i="18" s="1"/>
  <c r="G12" i="2"/>
  <c r="D8" i="7"/>
  <c r="D13" i="7"/>
  <c r="O1" i="2"/>
  <c r="N1" i="2"/>
  <c r="D12" i="7"/>
  <c r="G25" i="3"/>
  <c r="D9" i="7"/>
  <c r="D10" i="7"/>
  <c r="D11" i="7"/>
  <c r="J29" i="9"/>
  <c r="J36" i="9"/>
  <c r="D31" i="9"/>
  <c r="D30" i="9"/>
  <c r="D18" i="9"/>
  <c r="D17" i="9"/>
  <c r="J23" i="9"/>
  <c r="J17" i="9"/>
  <c r="F17" i="9"/>
  <c r="F23" i="9"/>
  <c r="J9" i="9"/>
  <c r="D11" i="9"/>
  <c r="D10" i="9"/>
  <c r="F9" i="9"/>
  <c r="B38" i="7"/>
  <c r="B37" i="7"/>
  <c r="B36" i="7"/>
  <c r="B35" i="7"/>
  <c r="D26" i="7"/>
  <c r="J26" i="7"/>
  <c r="M21" i="7"/>
  <c r="M22" i="7"/>
  <c r="D25" i="7"/>
  <c r="J25" i="7"/>
  <c r="D24" i="7"/>
  <c r="J24" i="7"/>
  <c r="D22" i="7"/>
  <c r="E22" i="7"/>
  <c r="D21" i="7"/>
  <c r="E21" i="7"/>
  <c r="D20" i="7"/>
  <c r="F36" i="9"/>
  <c r="D37" i="9"/>
  <c r="D36" i="9"/>
  <c r="D29" i="9"/>
  <c r="D9" i="9"/>
  <c r="J21" i="7"/>
  <c r="J22" i="7"/>
  <c r="B31" i="9"/>
  <c r="B30" i="9"/>
  <c r="H7" i="7"/>
  <c r="H8" i="7"/>
  <c r="H9" i="7"/>
  <c r="M9" i="7"/>
  <c r="M7" i="7"/>
  <c r="M8" i="7"/>
  <c r="D7" i="7"/>
  <c r="D24" i="9"/>
  <c r="D23" i="9"/>
  <c r="D43" i="9"/>
  <c r="L36" i="9"/>
  <c r="O10" i="7"/>
  <c r="O24" i="7"/>
  <c r="O12" i="7"/>
  <c r="O26" i="7"/>
  <c r="O8" i="7"/>
  <c r="O22" i="7"/>
  <c r="O11" i="7"/>
  <c r="O25" i="7"/>
  <c r="D23" i="7"/>
  <c r="J10" i="7"/>
  <c r="J11" i="7"/>
  <c r="O23" i="7"/>
  <c r="E8" i="7"/>
  <c r="J12" i="7"/>
  <c r="J8" i="7"/>
  <c r="H22" i="7"/>
  <c r="M20" i="7"/>
  <c r="H20" i="7"/>
  <c r="M6" i="7"/>
  <c r="H6" i="7"/>
  <c r="L29" i="7"/>
  <c r="D38" i="7"/>
  <c r="G29" i="7"/>
  <c r="D37" i="7"/>
  <c r="O7" i="7"/>
  <c r="E7" i="7"/>
  <c r="J7" i="7"/>
  <c r="O21" i="7"/>
  <c r="E23" i="7"/>
  <c r="J23" i="7"/>
  <c r="L23" i="9"/>
  <c r="O9" i="7"/>
  <c r="J9" i="7"/>
  <c r="E9" i="7"/>
  <c r="D15" i="10" a="1"/>
  <c r="D15" i="10" s="1"/>
  <c r="B1" i="10" s="1"/>
  <c r="L29" i="9"/>
  <c r="L15" i="7"/>
  <c r="D36" i="7"/>
  <c r="G15" i="7"/>
  <c r="D35" i="7"/>
  <c r="L17" i="9"/>
  <c r="H17" i="9"/>
  <c r="D4" i="5"/>
  <c r="F14" i="5" s="1"/>
  <c r="H9" i="9"/>
  <c r="L9" i="9"/>
  <c r="L43" i="9"/>
  <c r="E23" i="5"/>
  <c r="L24" i="1"/>
  <c r="M8" i="1"/>
  <c r="M2" i="1"/>
  <c r="M3" i="1"/>
  <c r="L2" i="1"/>
  <c r="L14" i="1"/>
  <c r="D6" i="7"/>
  <c r="J20" i="7"/>
  <c r="J29" i="7"/>
  <c r="M4" i="1"/>
  <c r="M6" i="1"/>
  <c r="L26" i="1"/>
  <c r="M45" i="1"/>
  <c r="M44" i="1"/>
  <c r="M43" i="1"/>
  <c r="M42" i="1"/>
  <c r="M39" i="1"/>
  <c r="M38" i="1"/>
  <c r="M37" i="1"/>
  <c r="M36" i="1"/>
  <c r="M35" i="1"/>
  <c r="M33" i="1"/>
  <c r="M32" i="1"/>
  <c r="M31" i="1"/>
  <c r="M29" i="1"/>
  <c r="M28" i="1"/>
  <c r="M27" i="1"/>
  <c r="M26" i="1"/>
  <c r="M25" i="1"/>
  <c r="M24" i="1"/>
  <c r="M23" i="1"/>
  <c r="M22" i="1"/>
  <c r="M20" i="1"/>
  <c r="M14" i="1"/>
  <c r="M11" i="1"/>
  <c r="M9" i="1"/>
  <c r="M7" i="1"/>
  <c r="M5" i="1"/>
  <c r="M13" i="1"/>
  <c r="M10" i="1"/>
  <c r="M16" i="1"/>
  <c r="N2" i="1"/>
  <c r="M19" i="1"/>
  <c r="L5" i="1"/>
  <c r="L7" i="1"/>
  <c r="L9" i="1"/>
  <c r="L11" i="1"/>
  <c r="L43" i="1"/>
  <c r="L39" i="1"/>
  <c r="L37" i="1"/>
  <c r="L35" i="1"/>
  <c r="L31" i="1"/>
  <c r="L45" i="1"/>
  <c r="L44" i="1"/>
  <c r="L42" i="1"/>
  <c r="L38" i="1"/>
  <c r="L36" i="1"/>
  <c r="L33" i="1"/>
  <c r="L32" i="1"/>
  <c r="L29" i="1"/>
  <c r="L27" i="1"/>
  <c r="L25" i="1"/>
  <c r="L23" i="1"/>
  <c r="L20" i="1"/>
  <c r="L3" i="1"/>
  <c r="L4" i="1"/>
  <c r="L19" i="1"/>
  <c r="L22" i="1"/>
  <c r="L6" i="1"/>
  <c r="L8" i="1"/>
  <c r="L10" i="1"/>
  <c r="L13" i="1"/>
  <c r="L16" i="1"/>
  <c r="L28" i="1"/>
  <c r="D15" i="7"/>
  <c r="D34" i="7"/>
  <c r="D40" i="7"/>
  <c r="B40" i="7"/>
  <c r="J6" i="7"/>
  <c r="O20" i="7"/>
  <c r="O29" i="7"/>
  <c r="O6" i="7"/>
  <c r="E6" i="7"/>
  <c r="E20" i="7"/>
  <c r="D29" i="7"/>
  <c r="N45" i="1"/>
  <c r="N44" i="1"/>
  <c r="N42" i="1"/>
  <c r="N38" i="1"/>
  <c r="N36" i="1"/>
  <c r="N33" i="1"/>
  <c r="N32" i="1"/>
  <c r="N29" i="1"/>
  <c r="N37" i="1"/>
  <c r="N26" i="1"/>
  <c r="N20" i="1"/>
  <c r="O2" i="1"/>
  <c r="N31" i="1"/>
  <c r="N43" i="1"/>
  <c r="N35" i="1"/>
  <c r="N39" i="1"/>
  <c r="N27" i="1"/>
  <c r="N25" i="1"/>
  <c r="N16" i="1"/>
  <c r="N13" i="1"/>
  <c r="N10" i="1"/>
  <c r="N8" i="1"/>
  <c r="N6" i="1"/>
  <c r="N28" i="1"/>
  <c r="N23" i="1"/>
  <c r="N19" i="1"/>
  <c r="N3" i="1"/>
  <c r="N22" i="1"/>
  <c r="N9" i="1"/>
  <c r="N5" i="1"/>
  <c r="N24" i="1"/>
  <c r="N7" i="1"/>
  <c r="N11" i="1"/>
  <c r="N4" i="1"/>
  <c r="N14" i="1"/>
  <c r="O15" i="7"/>
  <c r="J15" i="7"/>
  <c r="O45" i="1"/>
  <c r="O44" i="1"/>
  <c r="O43" i="1"/>
  <c r="O42" i="1"/>
  <c r="O39" i="1"/>
  <c r="O38" i="1"/>
  <c r="O37" i="1"/>
  <c r="O36" i="1"/>
  <c r="O35" i="1"/>
  <c r="O33" i="1"/>
  <c r="O32" i="1"/>
  <c r="O31" i="1"/>
  <c r="O29" i="1"/>
  <c r="O28" i="1"/>
  <c r="O27" i="1"/>
  <c r="O26" i="1"/>
  <c r="O25" i="1"/>
  <c r="O24" i="1"/>
  <c r="O23" i="1"/>
  <c r="O22" i="1"/>
  <c r="O20" i="1"/>
  <c r="O19" i="1"/>
  <c r="O4" i="1"/>
  <c r="O3" i="1"/>
  <c r="O16" i="1"/>
  <c r="O13" i="1"/>
  <c r="O10" i="1"/>
  <c r="O8" i="1"/>
  <c r="O6" i="1"/>
  <c r="O9" i="1"/>
  <c r="O5" i="1"/>
  <c r="O11" i="1"/>
  <c r="O14" i="1"/>
  <c r="P2" i="1"/>
  <c r="O7" i="1"/>
  <c r="P45" i="1"/>
  <c r="P44" i="1"/>
  <c r="P43" i="1"/>
  <c r="P42" i="1"/>
  <c r="P39" i="1"/>
  <c r="P38" i="1"/>
  <c r="P37" i="1"/>
  <c r="P36" i="1"/>
  <c r="P35" i="1"/>
  <c r="P33" i="1"/>
  <c r="P32" i="1"/>
  <c r="P31" i="1"/>
  <c r="P29" i="1"/>
  <c r="P28" i="1"/>
  <c r="P27" i="1"/>
  <c r="P26" i="1"/>
  <c r="P25" i="1"/>
  <c r="P24" i="1"/>
  <c r="P23" i="1"/>
  <c r="P22" i="1"/>
  <c r="P20" i="1"/>
  <c r="P19" i="1"/>
  <c r="P14" i="1"/>
  <c r="P11" i="1"/>
  <c r="P9" i="1"/>
  <c r="P7" i="1"/>
  <c r="P5" i="1"/>
  <c r="P16" i="1"/>
  <c r="P13" i="1"/>
  <c r="P10" i="1"/>
  <c r="P8" i="1"/>
  <c r="P6" i="1"/>
  <c r="Q2" i="1"/>
  <c r="P4" i="1"/>
  <c r="P3" i="1"/>
  <c r="Q45" i="1"/>
  <c r="Q44" i="1"/>
  <c r="Q43" i="1"/>
  <c r="Q42" i="1"/>
  <c r="Q39" i="1"/>
  <c r="Q38" i="1"/>
  <c r="Q37" i="1"/>
  <c r="Q36" i="1"/>
  <c r="Q35" i="1"/>
  <c r="Q33" i="1"/>
  <c r="Q32" i="1"/>
  <c r="Q19" i="1"/>
  <c r="Q16" i="1"/>
  <c r="Q31" i="1"/>
  <c r="Q28" i="1"/>
  <c r="Q26" i="1"/>
  <c r="Q24" i="1"/>
  <c r="Q22" i="1"/>
  <c r="Q13" i="1"/>
  <c r="Q10" i="1"/>
  <c r="Q8" i="1"/>
  <c r="Q6" i="1"/>
  <c r="Q29" i="1"/>
  <c r="Q27" i="1"/>
  <c r="R2" i="1"/>
  <c r="Q9" i="1"/>
  <c r="Q25" i="1"/>
  <c r="Q14" i="1"/>
  <c r="Q11" i="1"/>
  <c r="Q23" i="1"/>
  <c r="Q4" i="1"/>
  <c r="Q3" i="1"/>
  <c r="Q20" i="1"/>
  <c r="Q7" i="1"/>
  <c r="Q5" i="1"/>
  <c r="R45" i="1"/>
  <c r="R44" i="1"/>
  <c r="R43" i="1"/>
  <c r="R42" i="1"/>
  <c r="R39" i="1"/>
  <c r="R38" i="1"/>
  <c r="R37" i="1"/>
  <c r="R36" i="1"/>
  <c r="R35" i="1"/>
  <c r="R33" i="1"/>
  <c r="R32" i="1"/>
  <c r="R29" i="1"/>
  <c r="R19" i="1"/>
  <c r="R16" i="1"/>
  <c r="R14" i="1"/>
  <c r="R13" i="1"/>
  <c r="R11" i="1"/>
  <c r="R10" i="1"/>
  <c r="R9" i="1"/>
  <c r="R8" i="1"/>
  <c r="R7" i="1"/>
  <c r="R6" i="1"/>
  <c r="R5" i="1"/>
  <c r="R31" i="1"/>
  <c r="R28" i="1"/>
  <c r="R26" i="1"/>
  <c r="R24" i="1"/>
  <c r="R22" i="1"/>
  <c r="R27" i="1"/>
  <c r="R25" i="1"/>
  <c r="S2" i="1"/>
  <c r="R4" i="1"/>
  <c r="R23" i="1"/>
  <c r="R3" i="1"/>
  <c r="R20" i="1"/>
  <c r="S45" i="1"/>
  <c r="S32" i="1"/>
  <c r="S29" i="1"/>
  <c r="S44" i="1"/>
  <c r="S42" i="1"/>
  <c r="S38" i="1"/>
  <c r="S36" i="1"/>
  <c r="S33" i="1"/>
  <c r="S31" i="1"/>
  <c r="S28" i="1"/>
  <c r="S26" i="1"/>
  <c r="S24" i="1"/>
  <c r="S22" i="1"/>
  <c r="S43" i="1"/>
  <c r="S39" i="1"/>
  <c r="S37" i="1"/>
  <c r="S35" i="1"/>
  <c r="S27" i="1"/>
  <c r="S25" i="1"/>
  <c r="S16" i="1"/>
  <c r="T2" i="1"/>
  <c r="S23" i="1"/>
  <c r="S4" i="1"/>
  <c r="S3" i="1"/>
  <c r="S20" i="1"/>
  <c r="S14" i="1"/>
  <c r="S11" i="1"/>
  <c r="S9" i="1"/>
  <c r="S7" i="1"/>
  <c r="S5" i="1"/>
  <c r="S19" i="1"/>
  <c r="S8" i="1"/>
  <c r="S10" i="1"/>
  <c r="S13" i="1"/>
  <c r="S6" i="1"/>
  <c r="T44" i="1"/>
  <c r="T42" i="1"/>
  <c r="T38" i="1"/>
  <c r="T36" i="1"/>
  <c r="T33" i="1"/>
  <c r="T45" i="1"/>
  <c r="T31" i="1"/>
  <c r="T43" i="1"/>
  <c r="T39" i="1"/>
  <c r="T37" i="1"/>
  <c r="T35" i="1"/>
  <c r="T24" i="1"/>
  <c r="T27" i="1"/>
  <c r="T25" i="1"/>
  <c r="T29" i="1"/>
  <c r="T23" i="1"/>
  <c r="T4" i="1"/>
  <c r="T3" i="1"/>
  <c r="T20" i="1"/>
  <c r="T14" i="1"/>
  <c r="T11" i="1"/>
  <c r="T9" i="1"/>
  <c r="T7" i="1"/>
  <c r="T5" i="1"/>
  <c r="T32" i="1"/>
  <c r="T28" i="1"/>
  <c r="T19" i="1"/>
  <c r="T26" i="1"/>
  <c r="T22" i="1"/>
  <c r="T10" i="1"/>
  <c r="U2" i="1"/>
  <c r="T13" i="1"/>
  <c r="T8" i="1"/>
  <c r="T6" i="1"/>
  <c r="T16" i="1"/>
  <c r="U45" i="1"/>
  <c r="U44" i="1"/>
  <c r="U43" i="1"/>
  <c r="U42" i="1"/>
  <c r="U39" i="1"/>
  <c r="U38" i="1"/>
  <c r="U37" i="1"/>
  <c r="U36" i="1"/>
  <c r="U35" i="1"/>
  <c r="U33" i="1"/>
  <c r="U32" i="1"/>
  <c r="U31" i="1"/>
  <c r="U29" i="1"/>
  <c r="U28" i="1"/>
  <c r="U27" i="1"/>
  <c r="U26" i="1"/>
  <c r="U25" i="1"/>
  <c r="U24" i="1"/>
  <c r="U23" i="1"/>
  <c r="U22" i="1"/>
  <c r="U20" i="1"/>
  <c r="U13" i="1"/>
  <c r="U10" i="1"/>
  <c r="U8" i="1"/>
  <c r="U6" i="1"/>
  <c r="U14" i="1"/>
  <c r="U11" i="1"/>
  <c r="U9" i="1"/>
  <c r="U7" i="1"/>
  <c r="U5" i="1"/>
  <c r="U19" i="1"/>
  <c r="U4" i="1"/>
  <c r="U16" i="1"/>
  <c r="U3" i="1"/>
  <c r="V2" i="1"/>
  <c r="V45" i="1"/>
  <c r="V44" i="1"/>
  <c r="V42" i="1"/>
  <c r="V38" i="1"/>
  <c r="V36" i="1"/>
  <c r="V33" i="1"/>
  <c r="V31" i="1"/>
  <c r="V43" i="1"/>
  <c r="V39" i="1"/>
  <c r="V37" i="1"/>
  <c r="V35" i="1"/>
  <c r="V32" i="1"/>
  <c r="V29" i="1"/>
  <c r="V27" i="1"/>
  <c r="V25" i="1"/>
  <c r="V23" i="1"/>
  <c r="V20" i="1"/>
  <c r="V22" i="1"/>
  <c r="V16" i="1"/>
  <c r="W2" i="1"/>
  <c r="V14" i="1"/>
  <c r="V11" i="1"/>
  <c r="V9" i="1"/>
  <c r="V7" i="1"/>
  <c r="V5" i="1"/>
  <c r="V13" i="1"/>
  <c r="V8" i="1"/>
  <c r="V19" i="1"/>
  <c r="V10" i="1"/>
  <c r="V28" i="1"/>
  <c r="V26" i="1"/>
  <c r="V24" i="1"/>
  <c r="V4" i="1"/>
  <c r="V6" i="1"/>
  <c r="V3" i="1"/>
  <c r="W45" i="1"/>
  <c r="W44" i="1"/>
  <c r="W43" i="1"/>
  <c r="W42" i="1"/>
  <c r="W39" i="1"/>
  <c r="W38" i="1"/>
  <c r="W37" i="1"/>
  <c r="W36" i="1"/>
  <c r="W35" i="1"/>
  <c r="W33" i="1"/>
  <c r="W32" i="1"/>
  <c r="W31" i="1"/>
  <c r="W29" i="1"/>
  <c r="W28" i="1"/>
  <c r="W27" i="1"/>
  <c r="W26" i="1"/>
  <c r="W25" i="1"/>
  <c r="W24" i="1"/>
  <c r="W23" i="1"/>
  <c r="W22" i="1"/>
  <c r="W20" i="1"/>
  <c r="W4" i="1"/>
  <c r="W3" i="1"/>
  <c r="W19" i="1"/>
  <c r="W13" i="1"/>
  <c r="W10" i="1"/>
  <c r="W8" i="1"/>
  <c r="W6" i="1"/>
  <c r="W16" i="1"/>
  <c r="W11" i="1"/>
  <c r="W7" i="1"/>
  <c r="W5" i="1"/>
  <c r="W14" i="1"/>
  <c r="X2" i="1"/>
  <c r="W9" i="1"/>
  <c r="X45" i="1"/>
  <c r="X44" i="1"/>
  <c r="X43" i="1"/>
  <c r="X42" i="1"/>
  <c r="X39" i="1"/>
  <c r="X38" i="1"/>
  <c r="X37" i="1"/>
  <c r="X36" i="1"/>
  <c r="X35" i="1"/>
  <c r="X33" i="1"/>
  <c r="X32" i="1"/>
  <c r="X31" i="1"/>
  <c r="X29" i="1"/>
  <c r="X28" i="1"/>
  <c r="X27" i="1"/>
  <c r="X26" i="1"/>
  <c r="X25" i="1"/>
  <c r="X24" i="1"/>
  <c r="X23" i="1"/>
  <c r="X22" i="1"/>
  <c r="X20" i="1"/>
  <c r="X19" i="1"/>
  <c r="X16" i="1"/>
  <c r="X13" i="1"/>
  <c r="X10" i="1"/>
  <c r="X8" i="1"/>
  <c r="X6" i="1"/>
  <c r="Y2" i="1"/>
  <c r="X11" i="1"/>
  <c r="X7" i="1"/>
  <c r="X4" i="1"/>
  <c r="X14" i="1"/>
  <c r="X3" i="1"/>
  <c r="X9" i="1"/>
  <c r="X5" i="1"/>
  <c r="Y45" i="1"/>
  <c r="Y44" i="1"/>
  <c r="Y43" i="1"/>
  <c r="Y42" i="1"/>
  <c r="Y39" i="1"/>
  <c r="Y38" i="1"/>
  <c r="Y37" i="1"/>
  <c r="Y36" i="1"/>
  <c r="Y35" i="1"/>
  <c r="Y33" i="1"/>
  <c r="Y31" i="1"/>
  <c r="Y32" i="1"/>
  <c r="Y29" i="1"/>
  <c r="Y27" i="1"/>
  <c r="Y25" i="1"/>
  <c r="Y23" i="1"/>
  <c r="Y20" i="1"/>
  <c r="Y19" i="1"/>
  <c r="Y16" i="1"/>
  <c r="Y14" i="1"/>
  <c r="Y11" i="1"/>
  <c r="Y9" i="1"/>
  <c r="Y7" i="1"/>
  <c r="Y5" i="1"/>
  <c r="Y28" i="1"/>
  <c r="Y13" i="1"/>
  <c r="Y10" i="1"/>
  <c r="Y8" i="1"/>
  <c r="Y6" i="1"/>
  <c r="Y26" i="1"/>
  <c r="Z2" i="1"/>
  <c r="Y24" i="1"/>
  <c r="Y4" i="1"/>
  <c r="Y3" i="1"/>
  <c r="Y22" i="1"/>
  <c r="Z45" i="1"/>
  <c r="Z44" i="1"/>
  <c r="Z43" i="1"/>
  <c r="Z42" i="1"/>
  <c r="Z39" i="1"/>
  <c r="Z38" i="1"/>
  <c r="Z37" i="1"/>
  <c r="Z36" i="1"/>
  <c r="Z35" i="1"/>
  <c r="Z33" i="1"/>
  <c r="Z31" i="1"/>
  <c r="Z32" i="1"/>
  <c r="Z29" i="1"/>
  <c r="Z27" i="1"/>
  <c r="Z25" i="1"/>
  <c r="Z23" i="1"/>
  <c r="Z20" i="1"/>
  <c r="Z19" i="1"/>
  <c r="Z16" i="1"/>
  <c r="Z14" i="1"/>
  <c r="Z13" i="1"/>
  <c r="Z11" i="1"/>
  <c r="Z10" i="1"/>
  <c r="Z9" i="1"/>
  <c r="Z8" i="1"/>
  <c r="Z7" i="1"/>
  <c r="Z6" i="1"/>
  <c r="Z5" i="1"/>
  <c r="Z28" i="1"/>
  <c r="Z26" i="1"/>
  <c r="AA2" i="1"/>
  <c r="Z3" i="1"/>
  <c r="Z24" i="1"/>
  <c r="Z4" i="1"/>
  <c r="Z22" i="1"/>
  <c r="AA45" i="1"/>
  <c r="AA43" i="1"/>
  <c r="AA39" i="1"/>
  <c r="AA37" i="1"/>
  <c r="AA35" i="1"/>
  <c r="AA32" i="1"/>
  <c r="AA29" i="1"/>
  <c r="AA44" i="1"/>
  <c r="AA31" i="1"/>
  <c r="AA27" i="1"/>
  <c r="AA36" i="1"/>
  <c r="AA28" i="1"/>
  <c r="AA42" i="1"/>
  <c r="AA26" i="1"/>
  <c r="AA20" i="1"/>
  <c r="AA13" i="1"/>
  <c r="AA10" i="1"/>
  <c r="AA8" i="1"/>
  <c r="AA6" i="1"/>
  <c r="AB2" i="1"/>
  <c r="AA9" i="1"/>
  <c r="AA33" i="1"/>
  <c r="AA24" i="1"/>
  <c r="AA4" i="1"/>
  <c r="AA3" i="1"/>
  <c r="AA22" i="1"/>
  <c r="AA38" i="1"/>
  <c r="AA16" i="1"/>
  <c r="AA14" i="1"/>
  <c r="AA11" i="1"/>
  <c r="AA25" i="1"/>
  <c r="AA5" i="1"/>
  <c r="AA19" i="1"/>
  <c r="AA23" i="1"/>
  <c r="AA7" i="1"/>
  <c r="AB45" i="1"/>
  <c r="AB43" i="1"/>
  <c r="AB39" i="1"/>
  <c r="AB37" i="1"/>
  <c r="AB35" i="1"/>
  <c r="AB32" i="1"/>
  <c r="AB29" i="1"/>
  <c r="AB44" i="1"/>
  <c r="AB42" i="1"/>
  <c r="AB38" i="1"/>
  <c r="AB36" i="1"/>
  <c r="AB33" i="1"/>
  <c r="AB31" i="1"/>
  <c r="AB28" i="1"/>
  <c r="AB26" i="1"/>
  <c r="AB24" i="1"/>
  <c r="AB22" i="1"/>
  <c r="AB25" i="1"/>
  <c r="AB4" i="1"/>
  <c r="AB3" i="1"/>
  <c r="AB16" i="1"/>
  <c r="AB14" i="1"/>
  <c r="AB11" i="1"/>
  <c r="AB9" i="1"/>
  <c r="AB7" i="1"/>
  <c r="AB5" i="1"/>
  <c r="AB27" i="1"/>
  <c r="AB13" i="1"/>
  <c r="AB6" i="1"/>
  <c r="AB23" i="1"/>
  <c r="AB10" i="1"/>
  <c r="AB20" i="1"/>
  <c r="AC2" i="1"/>
  <c r="AB19" i="1"/>
  <c r="AB8" i="1"/>
  <c r="AC45" i="1"/>
  <c r="AC44" i="1"/>
  <c r="AC43" i="1"/>
  <c r="AC42" i="1"/>
  <c r="AC39" i="1"/>
  <c r="AC38" i="1"/>
  <c r="AC37" i="1"/>
  <c r="AC36" i="1"/>
  <c r="AC35" i="1"/>
  <c r="AC33" i="1"/>
  <c r="AC32" i="1"/>
  <c r="AC31" i="1"/>
  <c r="AC29" i="1"/>
  <c r="AC28" i="1"/>
  <c r="AC27" i="1"/>
  <c r="AC26" i="1"/>
  <c r="AC25" i="1"/>
  <c r="AC24" i="1"/>
  <c r="AC23" i="1"/>
  <c r="AC22" i="1"/>
  <c r="AC20" i="1"/>
  <c r="AC19" i="1"/>
  <c r="AC16" i="1"/>
  <c r="AC5" i="1"/>
  <c r="AC14" i="1"/>
  <c r="AC11" i="1"/>
  <c r="AC9" i="1"/>
  <c r="AC7" i="1"/>
  <c r="AC13" i="1"/>
  <c r="AC6" i="1"/>
  <c r="AD2" i="1"/>
  <c r="AC3" i="1"/>
  <c r="AC10" i="1"/>
  <c r="AC8" i="1"/>
  <c r="AC4" i="1"/>
  <c r="AD45" i="1"/>
  <c r="AD43" i="1"/>
  <c r="AD39" i="1"/>
  <c r="AD37" i="1"/>
  <c r="AD35" i="1"/>
  <c r="AD32" i="1"/>
  <c r="AD29" i="1"/>
  <c r="AD44" i="1"/>
  <c r="AD42" i="1"/>
  <c r="AD38" i="1"/>
  <c r="AD36" i="1"/>
  <c r="AD33" i="1"/>
  <c r="AD31" i="1"/>
  <c r="AD28" i="1"/>
  <c r="AD26" i="1"/>
  <c r="AD24" i="1"/>
  <c r="AD22" i="1"/>
  <c r="AD23" i="1"/>
  <c r="AD13" i="1"/>
  <c r="AD10" i="1"/>
  <c r="AD8" i="1"/>
  <c r="AD6" i="1"/>
  <c r="AE2" i="1"/>
  <c r="AD16" i="1"/>
  <c r="AD14" i="1"/>
  <c r="AD11" i="1"/>
  <c r="AD9" i="1"/>
  <c r="AD7" i="1"/>
  <c r="AD5" i="1"/>
  <c r="AD19" i="1"/>
  <c r="AD27" i="1"/>
  <c r="AD25" i="1"/>
  <c r="AD20" i="1"/>
  <c r="AD3" i="1"/>
  <c r="AD4" i="1"/>
  <c r="AE45" i="1"/>
  <c r="AE44" i="1"/>
  <c r="AE43" i="1"/>
  <c r="AE42" i="1"/>
  <c r="AE39" i="1"/>
  <c r="AE38" i="1"/>
  <c r="AE37" i="1"/>
  <c r="AE36" i="1"/>
  <c r="AE35" i="1"/>
  <c r="AE33" i="1"/>
  <c r="AE32" i="1"/>
  <c r="AE31" i="1"/>
  <c r="AE29" i="1"/>
  <c r="AE28" i="1"/>
  <c r="AE27" i="1"/>
  <c r="AE26" i="1"/>
  <c r="AE25" i="1"/>
  <c r="AE24" i="1"/>
  <c r="AE23" i="1"/>
  <c r="AE22" i="1"/>
  <c r="AE20" i="1"/>
  <c r="AE4" i="1"/>
  <c r="AE3" i="1"/>
  <c r="AE14" i="1"/>
  <c r="AE11" i="1"/>
  <c r="AE9" i="1"/>
  <c r="AE7" i="1"/>
  <c r="AE5" i="1"/>
  <c r="AE10" i="1"/>
  <c r="AE19" i="1"/>
  <c r="AE13" i="1"/>
  <c r="AE6" i="1"/>
  <c r="AE16" i="1"/>
  <c r="AF2" i="1"/>
  <c r="AE8" i="1"/>
  <c r="AF45" i="1"/>
  <c r="AF44" i="1"/>
  <c r="AF43" i="1"/>
  <c r="AF42" i="1"/>
  <c r="AF39" i="1"/>
  <c r="AF38" i="1"/>
  <c r="AF37" i="1"/>
  <c r="AF36" i="1"/>
  <c r="AF35" i="1"/>
  <c r="AF33" i="1"/>
  <c r="AF32" i="1"/>
  <c r="AF31" i="1"/>
  <c r="AF29" i="1"/>
  <c r="AF28" i="1"/>
  <c r="AF27" i="1"/>
  <c r="AF26" i="1"/>
  <c r="AF25" i="1"/>
  <c r="AF24" i="1"/>
  <c r="AF23" i="1"/>
  <c r="AF22" i="1"/>
  <c r="AF20" i="1"/>
  <c r="AF19" i="1"/>
  <c r="AF16" i="1"/>
  <c r="AF13" i="1"/>
  <c r="AF10" i="1"/>
  <c r="AF8" i="1"/>
  <c r="AF6" i="1"/>
  <c r="AG2" i="1"/>
  <c r="AF14" i="1"/>
  <c r="AF3" i="1"/>
  <c r="AF5" i="1"/>
  <c r="AF7" i="1"/>
  <c r="AF9" i="1"/>
  <c r="AF4" i="1"/>
  <c r="AF11" i="1"/>
  <c r="AG45" i="1"/>
  <c r="AG44" i="1"/>
  <c r="AG43" i="1"/>
  <c r="AG42" i="1"/>
  <c r="AG39" i="1"/>
  <c r="AG38" i="1"/>
  <c r="AG37" i="1"/>
  <c r="AG36" i="1"/>
  <c r="AG35" i="1"/>
  <c r="AG33" i="1"/>
  <c r="AG32" i="1"/>
  <c r="AG29" i="1"/>
  <c r="AG31" i="1"/>
  <c r="AG28" i="1"/>
  <c r="AG26" i="1"/>
  <c r="AG24" i="1"/>
  <c r="AG22" i="1"/>
  <c r="AG19" i="1"/>
  <c r="AG16" i="1"/>
  <c r="AG20" i="1"/>
  <c r="AG6" i="1"/>
  <c r="AH2" i="1"/>
  <c r="AG27" i="1"/>
  <c r="AG13" i="1"/>
  <c r="AG10" i="1"/>
  <c r="AG8" i="1"/>
  <c r="AG25" i="1"/>
  <c r="AG4" i="1"/>
  <c r="AG3" i="1"/>
  <c r="AG23" i="1"/>
  <c r="AG14" i="1"/>
  <c r="AG5" i="1"/>
  <c r="AG9" i="1"/>
  <c r="AG11" i="1"/>
  <c r="AG7" i="1"/>
  <c r="AH45" i="1"/>
  <c r="AH44" i="1"/>
  <c r="AH43" i="1"/>
  <c r="AH42" i="1"/>
  <c r="AH39" i="1"/>
  <c r="AH38" i="1"/>
  <c r="AH37" i="1"/>
  <c r="AH36" i="1"/>
  <c r="AH35" i="1"/>
  <c r="AH33" i="1"/>
  <c r="AH32" i="1"/>
  <c r="AH31" i="1"/>
  <c r="AH19" i="1"/>
  <c r="AH16" i="1"/>
  <c r="AH14" i="1"/>
  <c r="AH13" i="1"/>
  <c r="AH11" i="1"/>
  <c r="AH10" i="1"/>
  <c r="AH9" i="1"/>
  <c r="AH8" i="1"/>
  <c r="AH7" i="1"/>
  <c r="AH6" i="1"/>
  <c r="AH5" i="1"/>
  <c r="AH28" i="1"/>
  <c r="AH29" i="1"/>
  <c r="AH26" i="1"/>
  <c r="AH24" i="1"/>
  <c r="AH20" i="1"/>
  <c r="AH27" i="1"/>
  <c r="AH22" i="1"/>
  <c r="AI2" i="1"/>
  <c r="AH4" i="1"/>
  <c r="AH3" i="1"/>
  <c r="AH25" i="1"/>
  <c r="AH23" i="1"/>
  <c r="AI45" i="1"/>
  <c r="AI44" i="1"/>
  <c r="AI43" i="1"/>
  <c r="AI39" i="1"/>
  <c r="AI37" i="1"/>
  <c r="AI35" i="1"/>
  <c r="AI32" i="1"/>
  <c r="AI31" i="1"/>
  <c r="AI42" i="1"/>
  <c r="AI38" i="1"/>
  <c r="AI36" i="1"/>
  <c r="AI33" i="1"/>
  <c r="AI29" i="1"/>
  <c r="AI27" i="1"/>
  <c r="AI25" i="1"/>
  <c r="AI23" i="1"/>
  <c r="AI20" i="1"/>
  <c r="AI28" i="1"/>
  <c r="AI14" i="1"/>
  <c r="AI11" i="1"/>
  <c r="AI9" i="1"/>
  <c r="AI7" i="1"/>
  <c r="AI5" i="1"/>
  <c r="AI26" i="1"/>
  <c r="AI24" i="1"/>
  <c r="AI22" i="1"/>
  <c r="AJ2" i="1"/>
  <c r="AI13" i="1"/>
  <c r="AI10" i="1"/>
  <c r="AI8" i="1"/>
  <c r="AI6" i="1"/>
  <c r="AI4" i="1"/>
  <c r="AI3" i="1"/>
  <c r="AI19" i="1"/>
  <c r="AI16" i="1"/>
  <c r="AJ45" i="1"/>
  <c r="AJ31" i="1"/>
  <c r="AJ42" i="1"/>
  <c r="AJ38" i="1"/>
  <c r="AJ36" i="1"/>
  <c r="AJ33" i="1"/>
  <c r="AJ44" i="1"/>
  <c r="AJ29" i="1"/>
  <c r="AJ27" i="1"/>
  <c r="AJ25" i="1"/>
  <c r="AJ23" i="1"/>
  <c r="AJ20" i="1"/>
  <c r="AJ26" i="1"/>
  <c r="AJ16" i="1"/>
  <c r="AJ43" i="1"/>
  <c r="AJ35" i="1"/>
  <c r="AJ13" i="1"/>
  <c r="AJ10" i="1"/>
  <c r="AJ8" i="1"/>
  <c r="AJ6" i="1"/>
  <c r="AJ4" i="1"/>
  <c r="AJ3" i="1"/>
  <c r="AJ39" i="1"/>
  <c r="AJ19" i="1"/>
  <c r="AJ11" i="1"/>
  <c r="AJ32" i="1"/>
  <c r="AJ28" i="1"/>
  <c r="AJ14" i="1"/>
  <c r="AJ37" i="1"/>
  <c r="AJ9" i="1"/>
  <c r="AJ24" i="1"/>
  <c r="AJ5" i="1"/>
  <c r="AK2" i="1"/>
  <c r="AJ7" i="1"/>
  <c r="AJ22" i="1"/>
  <c r="AK45" i="1"/>
  <c r="AK44" i="1"/>
  <c r="AK43" i="1"/>
  <c r="AK42" i="1"/>
  <c r="AK39" i="1"/>
  <c r="AK38" i="1"/>
  <c r="AK37" i="1"/>
  <c r="AK36" i="1"/>
  <c r="AK35" i="1"/>
  <c r="AK33" i="1"/>
  <c r="AK32" i="1"/>
  <c r="AK31" i="1"/>
  <c r="AK29" i="1"/>
  <c r="AK28" i="1"/>
  <c r="AK27" i="1"/>
  <c r="AK26" i="1"/>
  <c r="AK25" i="1"/>
  <c r="AK24" i="1"/>
  <c r="AK23" i="1"/>
  <c r="AK22" i="1"/>
  <c r="AK20" i="1"/>
  <c r="AK19" i="1"/>
  <c r="AK16" i="1"/>
  <c r="AK14" i="1"/>
  <c r="AK11" i="1"/>
  <c r="AK9" i="1"/>
  <c r="AK7" i="1"/>
  <c r="AK5" i="1"/>
  <c r="AK3" i="1"/>
  <c r="AL2" i="1"/>
  <c r="AK4" i="1"/>
  <c r="AK13" i="1"/>
  <c r="AK6" i="1"/>
  <c r="AK8" i="1"/>
  <c r="AK10" i="1"/>
  <c r="AL45" i="1"/>
  <c r="AL44" i="1"/>
  <c r="AL31" i="1"/>
  <c r="AL42" i="1"/>
  <c r="AL38" i="1"/>
  <c r="AL36" i="1"/>
  <c r="AL33" i="1"/>
  <c r="AL29" i="1"/>
  <c r="AL27" i="1"/>
  <c r="AL25" i="1"/>
  <c r="AL23" i="1"/>
  <c r="AL20" i="1"/>
  <c r="AL43" i="1"/>
  <c r="AL39" i="1"/>
  <c r="AL37" i="1"/>
  <c r="AL35" i="1"/>
  <c r="AL32" i="1"/>
  <c r="AL24" i="1"/>
  <c r="AM2" i="1"/>
  <c r="AL19" i="1"/>
  <c r="AL14" i="1"/>
  <c r="AL11" i="1"/>
  <c r="AL9" i="1"/>
  <c r="AL7" i="1"/>
  <c r="AL5" i="1"/>
  <c r="AL28" i="1"/>
  <c r="AL16" i="1"/>
  <c r="AL26" i="1"/>
  <c r="AL8" i="1"/>
  <c r="AL10" i="1"/>
  <c r="AL3" i="1"/>
  <c r="AL4" i="1"/>
  <c r="AL22" i="1"/>
  <c r="AL13" i="1"/>
  <c r="AL6" i="1"/>
  <c r="AM45" i="1"/>
  <c r="AM44" i="1"/>
  <c r="AM43" i="1"/>
  <c r="AM42" i="1"/>
  <c r="AM39" i="1"/>
  <c r="AM38" i="1"/>
  <c r="AM37" i="1"/>
  <c r="AM36" i="1"/>
  <c r="AM35" i="1"/>
  <c r="AM33" i="1"/>
  <c r="AM32" i="1"/>
  <c r="AM31" i="1"/>
  <c r="AM29" i="1"/>
  <c r="AM28" i="1"/>
  <c r="AM27" i="1"/>
  <c r="AM26" i="1"/>
  <c r="AM25" i="1"/>
  <c r="AM24" i="1"/>
  <c r="AM23" i="1"/>
  <c r="AM22" i="1"/>
  <c r="AM20" i="1"/>
  <c r="AM13" i="1"/>
  <c r="AM10" i="1"/>
  <c r="AM8" i="1"/>
  <c r="AM6" i="1"/>
  <c r="AM4" i="1"/>
  <c r="AM3" i="1"/>
  <c r="AM14" i="1"/>
  <c r="AM11" i="1"/>
  <c r="AM9" i="1"/>
  <c r="AM7" i="1"/>
  <c r="AM5" i="1"/>
  <c r="AM16" i="1"/>
  <c r="AN2" i="1"/>
  <c r="AM19" i="1"/>
  <c r="AN45" i="1"/>
  <c r="AN44" i="1"/>
  <c r="AN43" i="1"/>
  <c r="AN42" i="1"/>
  <c r="AN39" i="1"/>
  <c r="AN38" i="1"/>
  <c r="AN37" i="1"/>
  <c r="AN36" i="1"/>
  <c r="AN35" i="1"/>
  <c r="AN33" i="1"/>
  <c r="AN32" i="1"/>
  <c r="AN31" i="1"/>
  <c r="AN29" i="1"/>
  <c r="AN28" i="1"/>
  <c r="AN27" i="1"/>
  <c r="AN26" i="1"/>
  <c r="AN25" i="1"/>
  <c r="AN24" i="1"/>
  <c r="AN23" i="1"/>
  <c r="AN22" i="1"/>
  <c r="AN20" i="1"/>
  <c r="AN19" i="1"/>
  <c r="AN16" i="1"/>
  <c r="AN14" i="1"/>
  <c r="AN11" i="1"/>
  <c r="AN9" i="1"/>
  <c r="AN7" i="1"/>
  <c r="AN5" i="1"/>
  <c r="AN13" i="1"/>
  <c r="AN8" i="1"/>
  <c r="AO2" i="1"/>
  <c r="AN10" i="1"/>
  <c r="AN4" i="1"/>
  <c r="AN3" i="1"/>
  <c r="AN6" i="1"/>
  <c r="AO45" i="1"/>
  <c r="AO44" i="1"/>
  <c r="AO43" i="1"/>
  <c r="AO42" i="1"/>
  <c r="AO39" i="1"/>
  <c r="AO38" i="1"/>
  <c r="AO37" i="1"/>
  <c r="AO36" i="1"/>
  <c r="AO35" i="1"/>
  <c r="AO33" i="1"/>
  <c r="AO32" i="1"/>
  <c r="AO29" i="1"/>
  <c r="AO16" i="1"/>
  <c r="AO22" i="1"/>
  <c r="AO27" i="1"/>
  <c r="AO25" i="1"/>
  <c r="AP2" i="1"/>
  <c r="AO31" i="1"/>
  <c r="AO28" i="1"/>
  <c r="AO23" i="1"/>
  <c r="AO26" i="1"/>
  <c r="AO20" i="1"/>
  <c r="AO13" i="1"/>
  <c r="AO10" i="1"/>
  <c r="AO8" i="1"/>
  <c r="AO6" i="1"/>
  <c r="AO4" i="1"/>
  <c r="AO3" i="1"/>
  <c r="AO24" i="1"/>
  <c r="AO5" i="1"/>
  <c r="AO9" i="1"/>
  <c r="AO7" i="1"/>
  <c r="AO19" i="1"/>
  <c r="AO11" i="1"/>
  <c r="AO14" i="1"/>
  <c r="AP45" i="1"/>
  <c r="AP44" i="1"/>
  <c r="AP43" i="1"/>
  <c r="AP42" i="1"/>
  <c r="AP39" i="1"/>
  <c r="AP38" i="1"/>
  <c r="AP37" i="1"/>
  <c r="AP36" i="1"/>
  <c r="AP35" i="1"/>
  <c r="AP33" i="1"/>
  <c r="AP32" i="1"/>
  <c r="AP29" i="1"/>
  <c r="AP16" i="1"/>
  <c r="AP14" i="1"/>
  <c r="AP13" i="1"/>
  <c r="AP11" i="1"/>
  <c r="AP10" i="1"/>
  <c r="AP9" i="1"/>
  <c r="AP8" i="1"/>
  <c r="AP7" i="1"/>
  <c r="AP6" i="1"/>
  <c r="AP5" i="1"/>
  <c r="AP4" i="1"/>
  <c r="AP31" i="1"/>
  <c r="AP28" i="1"/>
  <c r="AP26" i="1"/>
  <c r="AP24" i="1"/>
  <c r="AP22" i="1"/>
  <c r="AP19" i="1"/>
  <c r="AP27" i="1"/>
  <c r="AP25" i="1"/>
  <c r="AP23" i="1"/>
  <c r="AQ2" i="1"/>
  <c r="AP20" i="1"/>
  <c r="AP3" i="1"/>
  <c r="AQ45" i="1"/>
  <c r="AQ44" i="1"/>
  <c r="AQ42" i="1"/>
  <c r="AQ38" i="1"/>
  <c r="AQ36" i="1"/>
  <c r="AQ33" i="1"/>
  <c r="AQ29" i="1"/>
  <c r="AQ43" i="1"/>
  <c r="AQ39" i="1"/>
  <c r="AQ37" i="1"/>
  <c r="AQ35" i="1"/>
  <c r="AQ32" i="1"/>
  <c r="AQ31" i="1"/>
  <c r="AQ28" i="1"/>
  <c r="AQ26" i="1"/>
  <c r="AQ24" i="1"/>
  <c r="AQ22" i="1"/>
  <c r="AQ19" i="1"/>
  <c r="AQ27" i="1"/>
  <c r="AQ25" i="1"/>
  <c r="AQ23" i="1"/>
  <c r="AR2" i="1"/>
  <c r="AS2" i="1"/>
  <c r="AT2" i="1"/>
  <c r="AU2" i="1"/>
  <c r="AV2" i="1"/>
  <c r="AW2" i="1"/>
  <c r="AX2" i="1"/>
  <c r="AY2" i="1"/>
  <c r="AZ2" i="1"/>
  <c r="BA2" i="1"/>
  <c r="BB2" i="1"/>
  <c r="BC2" i="1"/>
  <c r="BD2" i="1"/>
  <c r="BE2" i="1"/>
  <c r="BF2" i="1"/>
  <c r="BG2" i="1"/>
  <c r="AQ20" i="1"/>
  <c r="AQ16" i="1"/>
  <c r="AQ3" i="1"/>
  <c r="AQ13" i="1"/>
  <c r="AQ10" i="1"/>
  <c r="AQ8" i="1"/>
  <c r="AQ6" i="1"/>
  <c r="AQ4" i="1"/>
  <c r="AQ9" i="1"/>
  <c r="AQ7" i="1"/>
  <c r="AQ11" i="1"/>
  <c r="AQ14" i="1"/>
  <c r="AQ5" i="1"/>
  <c r="F29" i="9"/>
  <c r="H36" i="9"/>
  <c r="H29" i="9"/>
  <c r="H23" i="9"/>
  <c r="H43" i="9"/>
  <c r="W195" i="18"/>
  <c r="W207" i="18" s="1"/>
  <c r="T70" i="18"/>
  <c r="T65" i="18"/>
  <c r="T71" i="18"/>
  <c r="L1" i="6"/>
  <c r="W111" i="18"/>
  <c r="W116" i="18" s="1"/>
  <c r="W63" i="18"/>
  <c r="M1" i="6"/>
  <c r="N1" i="6"/>
  <c r="O1" i="6"/>
  <c r="P1" i="6"/>
  <c r="Q1" i="6"/>
  <c r="R1" i="6"/>
  <c r="S1" i="6"/>
  <c r="T1" i="6"/>
  <c r="U1" i="6"/>
  <c r="V1" i="6"/>
  <c r="W1" i="6"/>
  <c r="X1" i="6"/>
  <c r="Y1" i="6"/>
  <c r="Z1" i="6"/>
  <c r="AA1" i="6"/>
  <c r="AB1" i="6"/>
  <c r="AC1" i="6"/>
  <c r="AD1" i="6"/>
  <c r="AE1" i="6"/>
  <c r="AF1" i="6"/>
  <c r="AG1" i="6"/>
  <c r="AH1" i="6"/>
  <c r="AI1" i="6"/>
  <c r="AJ1" i="6"/>
  <c r="AK1" i="6"/>
  <c r="AL1" i="6"/>
  <c r="AM1" i="6"/>
  <c r="AN1" i="6"/>
  <c r="AO1" i="6"/>
  <c r="AP1" i="6"/>
  <c r="AQ1" i="6"/>
  <c r="AR1" i="6"/>
  <c r="AS1" i="6"/>
  <c r="AT1" i="6"/>
  <c r="AU1" i="6"/>
  <c r="AV1" i="6"/>
  <c r="AW1" i="6"/>
  <c r="AX1" i="6"/>
  <c r="AY1" i="6"/>
  <c r="AZ1" i="6"/>
  <c r="BA1" i="6"/>
  <c r="BB1" i="6"/>
  <c r="BC1" i="6"/>
  <c r="BD1" i="6"/>
  <c r="BE1" i="6"/>
  <c r="BF1" i="6"/>
  <c r="BG1" i="6"/>
  <c r="BH1" i="6"/>
  <c r="BI1" i="6"/>
  <c r="BJ1" i="6"/>
  <c r="BK1" i="6"/>
  <c r="BL1" i="6"/>
  <c r="BM1" i="6"/>
  <c r="BN1" i="6"/>
  <c r="BO1" i="6"/>
  <c r="BP1" i="6"/>
  <c r="BQ1" i="6"/>
  <c r="BR1" i="6"/>
  <c r="BS1" i="6"/>
  <c r="BT1" i="6"/>
  <c r="BU1" i="6"/>
  <c r="BV1" i="6"/>
  <c r="BW1" i="6"/>
  <c r="BX1" i="6"/>
  <c r="BY1" i="6"/>
  <c r="BZ1" i="6"/>
  <c r="CA1" i="6"/>
  <c r="CB1" i="6"/>
  <c r="CC1" i="6"/>
  <c r="CD1" i="6"/>
  <c r="CE1" i="6"/>
  <c r="CF1" i="6"/>
  <c r="CG1" i="6"/>
  <c r="CH1" i="6"/>
  <c r="CI1" i="6"/>
  <c r="CJ1" i="6"/>
  <c r="CK1" i="6"/>
  <c r="CL1" i="6"/>
  <c r="CM1" i="6"/>
  <c r="CN1" i="6"/>
  <c r="CO1" i="6"/>
  <c r="CP1" i="6"/>
  <c r="CQ1" i="6"/>
  <c r="CR1" i="6"/>
  <c r="CS1" i="6"/>
  <c r="CT1" i="6"/>
  <c r="CU1" i="6"/>
  <c r="CV1" i="6"/>
  <c r="CW1" i="6"/>
  <c r="CX1" i="6"/>
  <c r="CY1" i="6"/>
  <c r="CZ1" i="6"/>
  <c r="DA1" i="6"/>
  <c r="DB1" i="6"/>
  <c r="DC1" i="6"/>
  <c r="DD1" i="6"/>
  <c r="DE1" i="6"/>
  <c r="DF1" i="6"/>
  <c r="DG1" i="6"/>
  <c r="DH1" i="6"/>
  <c r="DI1" i="6"/>
  <c r="DJ1" i="6"/>
  <c r="DK1" i="6"/>
  <c r="DL1" i="6"/>
  <c r="DM1" i="6"/>
  <c r="DN1" i="6"/>
  <c r="DO1" i="6"/>
  <c r="DP1" i="6"/>
  <c r="DQ1" i="6"/>
  <c r="DR1" i="6"/>
  <c r="DS1" i="6"/>
  <c r="DT1" i="6"/>
  <c r="DU1" i="6"/>
  <c r="DV1" i="6"/>
  <c r="DW1" i="6"/>
  <c r="DX1" i="6"/>
  <c r="DY1" i="6"/>
  <c r="DZ1" i="6"/>
  <c r="EA1" i="6"/>
  <c r="EB1" i="6"/>
  <c r="EC1" i="6"/>
  <c r="ED1" i="6"/>
  <c r="EE1" i="6"/>
  <c r="EF1" i="6"/>
  <c r="EG1" i="6"/>
  <c r="EH1" i="6"/>
  <c r="EI1" i="6"/>
  <c r="EJ1" i="6"/>
  <c r="EK1" i="6"/>
  <c r="EL1" i="6"/>
  <c r="EM1" i="6"/>
  <c r="EN1" i="6"/>
  <c r="EO1" i="6"/>
  <c r="EP1" i="6"/>
  <c r="EQ1" i="6"/>
  <c r="ER1" i="6"/>
  <c r="ES1" i="6"/>
  <c r="ET1" i="6"/>
  <c r="EU1" i="6"/>
  <c r="EV1" i="6"/>
  <c r="EW1" i="6"/>
  <c r="EX1" i="6"/>
  <c r="EY1" i="6"/>
  <c r="EZ1" i="6"/>
  <c r="FA1" i="6"/>
  <c r="FB1" i="6"/>
  <c r="FC1" i="6"/>
  <c r="FD1" i="6"/>
  <c r="FE1" i="6"/>
  <c r="FF1" i="6"/>
  <c r="FG1" i="6"/>
  <c r="FH1" i="6"/>
  <c r="FI1" i="6"/>
  <c r="FJ1" i="6"/>
  <c r="FK1" i="6"/>
  <c r="FL1" i="6"/>
  <c r="FM1" i="6"/>
  <c r="FN1" i="6"/>
  <c r="FO1" i="6"/>
  <c r="FP1" i="6"/>
  <c r="FQ1" i="6"/>
  <c r="FR1" i="6"/>
  <c r="FS1" i="6"/>
  <c r="FT1" i="6"/>
  <c r="FU1" i="6"/>
  <c r="FV1" i="6"/>
  <c r="FW1" i="6"/>
  <c r="FX1" i="6"/>
  <c r="FY1" i="6"/>
  <c r="FZ1" i="6"/>
  <c r="GA1" i="6"/>
  <c r="GB1" i="6"/>
  <c r="GC1" i="6"/>
  <c r="GD1" i="6"/>
  <c r="GE1" i="6"/>
  <c r="GF1" i="6"/>
  <c r="GG1" i="6"/>
  <c r="GH1" i="6"/>
  <c r="GI1" i="6"/>
  <c r="GJ1" i="6"/>
  <c r="GK1" i="6"/>
  <c r="GL1" i="6"/>
  <c r="GM1" i="6"/>
  <c r="GN1" i="6"/>
  <c r="GO1" i="6"/>
  <c r="GP1" i="6"/>
  <c r="GQ1" i="6"/>
  <c r="GR1" i="6"/>
  <c r="GS1" i="6"/>
  <c r="GT1" i="6"/>
  <c r="GU1" i="6"/>
  <c r="GV1" i="6"/>
  <c r="GW1" i="6"/>
  <c r="GX1" i="6"/>
  <c r="GY1" i="6"/>
  <c r="GZ1" i="6"/>
  <c r="HA1" i="6"/>
  <c r="HB1" i="6"/>
  <c r="HC1" i="6"/>
  <c r="HD1" i="6"/>
  <c r="HE1" i="6"/>
  <c r="HF1" i="6"/>
  <c r="HG1" i="6"/>
  <c r="HH1" i="6"/>
  <c r="HI1" i="6"/>
  <c r="HJ1" i="6"/>
  <c r="HK1" i="6"/>
  <c r="HL1" i="6"/>
  <c r="HM1" i="6"/>
  <c r="HN1" i="6"/>
  <c r="HO1" i="6"/>
  <c r="HP1" i="6"/>
  <c r="HQ1" i="6"/>
  <c r="HR1" i="6"/>
  <c r="HS1" i="6"/>
  <c r="HT1" i="6"/>
  <c r="HU1" i="6"/>
  <c r="HV1" i="6"/>
  <c r="HW1" i="6"/>
  <c r="HX1" i="6"/>
  <c r="HY1" i="6"/>
  <c r="HZ1" i="6"/>
  <c r="IA1" i="6"/>
  <c r="IB1" i="6"/>
  <c r="IC1" i="6"/>
  <c r="ID1" i="6"/>
  <c r="IE1" i="6"/>
  <c r="IF1" i="6"/>
  <c r="IG1" i="6"/>
  <c r="IH1" i="6"/>
  <c r="II1" i="6"/>
  <c r="IJ1" i="6"/>
  <c r="IK1" i="6"/>
  <c r="IL1" i="6"/>
  <c r="IM1" i="6"/>
  <c r="IN1" i="6"/>
  <c r="IO1" i="6"/>
  <c r="IP1" i="6"/>
  <c r="IQ1" i="6"/>
  <c r="IR1" i="6"/>
  <c r="IS1" i="6"/>
  <c r="IT1" i="6"/>
  <c r="IU1" i="6"/>
  <c r="IV1" i="6"/>
  <c r="IW1" i="6"/>
  <c r="IX1" i="6"/>
  <c r="IY1" i="6"/>
  <c r="IZ1" i="6"/>
  <c r="JA1" i="6"/>
  <c r="JB1" i="6"/>
  <c r="JC1" i="6"/>
  <c r="JD1" i="6"/>
  <c r="JE1" i="6"/>
  <c r="JF1" i="6"/>
  <c r="JG1" i="6"/>
  <c r="JH1" i="6"/>
  <c r="JI1" i="6"/>
  <c r="JJ1" i="6"/>
  <c r="JK1" i="6"/>
  <c r="JL1" i="6"/>
  <c r="JM1" i="6"/>
  <c r="JN1" i="6"/>
  <c r="JO1" i="6"/>
  <c r="JP1" i="6"/>
  <c r="JQ1" i="6"/>
  <c r="JR1" i="6"/>
  <c r="JS1" i="6"/>
  <c r="JT1" i="6"/>
  <c r="JU1" i="6"/>
  <c r="JV1" i="6"/>
  <c r="JW1" i="6"/>
  <c r="JX1" i="6"/>
  <c r="JY1" i="6"/>
  <c r="JZ1" i="6"/>
  <c r="KA1" i="6"/>
  <c r="KB1" i="6"/>
  <c r="KC1" i="6"/>
  <c r="KD1" i="6"/>
  <c r="KE1" i="6"/>
  <c r="KF1" i="6"/>
  <c r="KG1" i="6"/>
  <c r="KH1" i="6"/>
  <c r="KI1" i="6"/>
  <c r="KJ1" i="6"/>
  <c r="KK1" i="6"/>
  <c r="KL1" i="6"/>
  <c r="KM1" i="6"/>
  <c r="KN1" i="6"/>
  <c r="KO1" i="6"/>
  <c r="KP1" i="6"/>
  <c r="KQ1" i="6"/>
  <c r="KR1" i="6"/>
  <c r="KS1" i="6"/>
  <c r="KT1" i="6"/>
  <c r="KU1" i="6"/>
  <c r="KV1" i="6"/>
  <c r="KW1" i="6"/>
  <c r="KX1" i="6"/>
  <c r="KY1" i="6"/>
  <c r="KZ1" i="6"/>
  <c r="LA1" i="6"/>
  <c r="LB1" i="6"/>
  <c r="LC1" i="6"/>
  <c r="LD1" i="6"/>
  <c r="K69" i="2"/>
  <c r="K70" i="2"/>
  <c r="I72" i="2" s="1"/>
  <c r="K71" i="2"/>
  <c r="I67" i="2"/>
  <c r="T22" i="2" s="1"/>
  <c r="I77" i="2"/>
  <c r="K76" i="2"/>
  <c r="N76" i="2" s="1"/>
  <c r="I101" i="2"/>
  <c r="K101" i="2" s="1"/>
  <c r="K92" i="2"/>
  <c r="I93" i="2" s="1"/>
  <c r="I118" i="2"/>
  <c r="K118" i="2" s="1"/>
  <c r="P368" i="18"/>
  <c r="P369" i="18" s="1"/>
  <c r="K99" i="2"/>
  <c r="E24" i="13"/>
  <c r="F24" i="13"/>
  <c r="D24" i="13"/>
  <c r="D25" i="14"/>
  <c r="H21" i="3" l="1"/>
  <c r="U301" i="18"/>
  <c r="U307" i="18"/>
  <c r="Z21" i="18"/>
  <c r="E60" i="2"/>
  <c r="G60" i="2" s="1"/>
  <c r="N90" i="2"/>
  <c r="I89" i="2"/>
  <c r="K89" i="2" s="1"/>
  <c r="N89" i="2" s="1"/>
  <c r="X283" i="18"/>
  <c r="U293" i="18" s="1"/>
  <c r="Q213" i="18"/>
  <c r="O35" i="18"/>
  <c r="Q35" i="18" s="1"/>
  <c r="C3" i="6"/>
  <c r="F15" i="5"/>
  <c r="Q131" i="18"/>
  <c r="Z20" i="18"/>
  <c r="Q10" i="18"/>
  <c r="X6" i="18" s="1"/>
  <c r="H9" i="3" s="1"/>
  <c r="J9" i="3" s="1"/>
  <c r="Q189" i="18"/>
  <c r="Q184" i="18"/>
  <c r="Q185" i="18"/>
  <c r="Q186" i="18"/>
  <c r="Q187" i="18"/>
  <c r="Q191" i="18"/>
  <c r="Q188" i="18"/>
  <c r="Q190" i="18"/>
  <c r="Q235" i="18"/>
  <c r="U91" i="18"/>
  <c r="Q64" i="18"/>
  <c r="Q115" i="18"/>
  <c r="Q62" i="18"/>
  <c r="T131" i="18"/>
  <c r="U84" i="18"/>
  <c r="Q243" i="18"/>
  <c r="Q242" i="18"/>
  <c r="Q126" i="18"/>
  <c r="F184" i="18"/>
  <c r="N100" i="2"/>
  <c r="F20" i="5"/>
  <c r="E84" i="2"/>
  <c r="G84" i="2" s="1"/>
  <c r="E11" i="2"/>
  <c r="K93" i="2"/>
  <c r="N92" i="2"/>
  <c r="N99" i="2"/>
  <c r="N45" i="2"/>
  <c r="I48" i="2"/>
  <c r="K48" i="2" s="1"/>
  <c r="G13" i="2"/>
  <c r="N19" i="2"/>
  <c r="E71" i="2"/>
  <c r="G71" i="2" s="1"/>
  <c r="N101" i="2"/>
  <c r="I11" i="2"/>
  <c r="I20" i="2"/>
  <c r="K20" i="2" s="1"/>
  <c r="N34" i="2"/>
  <c r="K32" i="2"/>
  <c r="N24" i="2"/>
  <c r="N43" i="2"/>
  <c r="F21" i="5"/>
  <c r="F16" i="5"/>
  <c r="N29" i="2"/>
  <c r="N61" i="2"/>
  <c r="N49" i="2"/>
  <c r="K58" i="2"/>
  <c r="I46" i="2"/>
  <c r="K46" i="2" s="1"/>
  <c r="N14" i="2"/>
  <c r="E69" i="2"/>
  <c r="N63" i="2"/>
  <c r="N118" i="2"/>
  <c r="I102" i="2"/>
  <c r="G32" i="2"/>
  <c r="F32" i="2" s="1"/>
  <c r="V19" i="2" s="1"/>
  <c r="K72" i="2"/>
  <c r="N69" i="2"/>
  <c r="E93" i="2"/>
  <c r="G93" i="2" s="1"/>
  <c r="K84" i="2"/>
  <c r="K77" i="2"/>
  <c r="G77" i="2"/>
  <c r="I79" i="2"/>
  <c r="M9" i="2"/>
  <c r="Y19" i="2" s="1"/>
  <c r="N60" i="2"/>
  <c r="G46" i="2"/>
  <c r="K86" i="2"/>
  <c r="N86" i="2" s="1"/>
  <c r="E62" i="2"/>
  <c r="N50" i="2"/>
  <c r="E50" i="2"/>
  <c r="G50" i="2" s="1"/>
  <c r="N37" i="2"/>
  <c r="N38" i="2"/>
  <c r="N39" i="2"/>
  <c r="E20" i="2"/>
  <c r="B16" i="2"/>
  <c r="K11" i="2"/>
  <c r="N12" i="2"/>
  <c r="N16" i="2"/>
  <c r="J20" i="3"/>
  <c r="Z49" i="18"/>
  <c r="Z50" i="18" s="1"/>
  <c r="Q208" i="18"/>
  <c r="Q211" i="18"/>
  <c r="U94" i="18"/>
  <c r="Q67" i="18"/>
  <c r="Q69" i="18"/>
  <c r="U309" i="18"/>
  <c r="Q196" i="18"/>
  <c r="X324" i="18"/>
  <c r="H23" i="3" s="1"/>
  <c r="J23" i="3" s="1"/>
  <c r="O195" i="18"/>
  <c r="J13" i="3"/>
  <c r="GR5" i="6"/>
  <c r="Q195" i="18"/>
  <c r="Q209" i="18"/>
  <c r="Q237" i="18"/>
  <c r="EP5" i="6"/>
  <c r="Q207" i="18"/>
  <c r="Q197" i="18"/>
  <c r="O207" i="18"/>
  <c r="AY5" i="6"/>
  <c r="Q198" i="18"/>
  <c r="EU5" i="6"/>
  <c r="X161" i="18"/>
  <c r="Q214" i="18"/>
  <c r="U74" i="18"/>
  <c r="Q200" i="18"/>
  <c r="Q194" i="18"/>
  <c r="U93" i="18"/>
  <c r="W62" i="18"/>
  <c r="Z22" i="18"/>
  <c r="AA22" i="18" s="1"/>
  <c r="Q203" i="18"/>
  <c r="U90" i="18"/>
  <c r="Q202" i="18"/>
  <c r="U92" i="18"/>
  <c r="Q117" i="18"/>
  <c r="Q210" i="18"/>
  <c r="U89" i="18"/>
  <c r="I183" i="18"/>
  <c r="F17" i="3" s="1"/>
  <c r="Q138" i="18"/>
  <c r="Q212" i="18"/>
  <c r="J21" i="3"/>
  <c r="DE5" i="6"/>
  <c r="BX5" i="6"/>
  <c r="JQ5" i="6"/>
  <c r="DS5" i="6"/>
  <c r="CG5" i="6"/>
  <c r="FO5" i="6"/>
  <c r="DF5" i="6"/>
  <c r="Q5" i="6"/>
  <c r="FN5" i="6"/>
  <c r="BO5" i="6"/>
  <c r="R5" i="6"/>
  <c r="FL5" i="6"/>
  <c r="JB5" i="6"/>
  <c r="HX5" i="6"/>
  <c r="DT5" i="6"/>
  <c r="GQ5" i="6"/>
  <c r="EM5" i="6"/>
  <c r="DH5" i="6"/>
  <c r="JG5" i="6"/>
  <c r="KR5" i="6"/>
  <c r="GU5" i="6"/>
  <c r="KD5" i="6"/>
  <c r="JP5" i="6"/>
  <c r="BF5" i="6"/>
  <c r="KZ5" i="6"/>
  <c r="DD5" i="6"/>
  <c r="CS5" i="6"/>
  <c r="AP5" i="6"/>
  <c r="DQ5" i="6"/>
  <c r="JZ5" i="6"/>
  <c r="CR5" i="6"/>
  <c r="AE5" i="6"/>
  <c r="AD5" i="6"/>
  <c r="BN5" i="6"/>
  <c r="BC5" i="6"/>
  <c r="AB5" i="6"/>
  <c r="FQ5" i="6"/>
  <c r="CP5" i="6"/>
  <c r="CZ5" i="6"/>
  <c r="IH5" i="6"/>
  <c r="AI5" i="6"/>
  <c r="N5" i="6"/>
  <c r="CV5" i="6"/>
  <c r="FU5" i="6"/>
  <c r="HT5" i="6"/>
  <c r="FZ5" i="6"/>
  <c r="II5" i="6"/>
  <c r="AA5" i="6"/>
  <c r="DW5" i="6"/>
  <c r="FY5" i="6"/>
  <c r="KY5" i="6"/>
  <c r="CI5" i="6"/>
  <c r="HE5" i="6"/>
  <c r="FP5" i="6"/>
  <c r="DX5" i="6"/>
  <c r="KT5" i="6"/>
  <c r="IT5" i="6"/>
  <c r="JD5" i="6"/>
  <c r="EK5" i="6"/>
  <c r="BZ5" i="6"/>
  <c r="HR5" i="6"/>
  <c r="LC5" i="6"/>
  <c r="AH5" i="6"/>
  <c r="HL5" i="6"/>
  <c r="EJ5" i="6"/>
  <c r="CX5" i="6"/>
  <c r="G5" i="6"/>
  <c r="GL5" i="6"/>
  <c r="LD5" i="6"/>
  <c r="EI5" i="6"/>
  <c r="FR5" i="6"/>
  <c r="KK5" i="6"/>
  <c r="CW5" i="6"/>
  <c r="HC5" i="6"/>
  <c r="CN5" i="6"/>
  <c r="AU5" i="6"/>
  <c r="DG5" i="6"/>
  <c r="Y5" i="6"/>
  <c r="KQ5" i="6"/>
  <c r="CE5" i="6"/>
  <c r="AX5" i="6"/>
  <c r="AG5" i="6"/>
  <c r="HV5" i="6"/>
  <c r="DR5" i="6"/>
  <c r="AZ5" i="6"/>
  <c r="CC5" i="6"/>
  <c r="EQ5" i="6"/>
  <c r="J5" i="6"/>
  <c r="DC5" i="6"/>
  <c r="GF5" i="6"/>
  <c r="FV5" i="6"/>
  <c r="JF5" i="6"/>
  <c r="IO5" i="6"/>
  <c r="X5" i="6"/>
  <c r="BT5" i="6"/>
  <c r="KC5" i="6"/>
  <c r="DK5" i="6"/>
  <c r="JI5" i="6"/>
  <c r="CK5" i="6"/>
  <c r="AV5" i="6"/>
  <c r="GH5" i="6"/>
  <c r="DU5" i="6"/>
  <c r="KH5" i="6"/>
  <c r="BD5" i="6"/>
  <c r="DM5" i="6"/>
  <c r="AF5" i="6"/>
  <c r="FG5" i="6"/>
  <c r="FT5" i="6"/>
  <c r="JM5" i="6"/>
  <c r="AC5" i="6"/>
  <c r="JT5" i="6"/>
  <c r="ER5" i="6"/>
  <c r="JN5" i="6"/>
  <c r="GB5" i="6"/>
  <c r="GN5" i="6"/>
  <c r="BA5" i="6"/>
  <c r="HW5" i="6"/>
  <c r="HO5" i="6"/>
  <c r="GY5" i="6"/>
  <c r="K5" i="6"/>
  <c r="KP5" i="6"/>
  <c r="CY5" i="6"/>
  <c r="JL5" i="6"/>
  <c r="BP5" i="6"/>
  <c r="JA5" i="6"/>
  <c r="FC5" i="6"/>
  <c r="JR5" i="6"/>
  <c r="DV5" i="6"/>
  <c r="JX5" i="6"/>
  <c r="EH5" i="6"/>
  <c r="CJ5" i="6"/>
  <c r="KV5" i="6"/>
  <c r="DL5" i="6"/>
  <c r="LB5" i="6"/>
  <c r="FH5" i="6"/>
  <c r="AW5" i="6"/>
  <c r="IF5" i="6"/>
  <c r="H5" i="6"/>
  <c r="KN5" i="6"/>
  <c r="EB5" i="6"/>
  <c r="U5" i="6"/>
  <c r="FJ5" i="6"/>
  <c r="EV5" i="6"/>
  <c r="IZ5" i="6"/>
  <c r="JU5" i="6"/>
  <c r="KI5" i="6"/>
  <c r="V5" i="6"/>
  <c r="IN5" i="6"/>
  <c r="AN5" i="6"/>
  <c r="AJ5" i="6"/>
  <c r="BL5" i="6"/>
  <c r="DB5" i="6"/>
  <c r="BM5" i="6"/>
  <c r="GE5" i="6"/>
  <c r="IK5" i="6"/>
  <c r="HF5" i="6"/>
  <c r="T5" i="6"/>
  <c r="IG5" i="6"/>
  <c r="JK5" i="6"/>
  <c r="DP5" i="6"/>
  <c r="F5" i="6"/>
  <c r="DN5" i="6"/>
  <c r="HH5" i="6"/>
  <c r="BV5" i="6"/>
  <c r="EW5" i="6"/>
  <c r="HN5" i="6"/>
  <c r="EO5" i="6"/>
  <c r="KW5" i="6"/>
  <c r="CA5" i="6"/>
  <c r="BJ5" i="6"/>
  <c r="BG5" i="6"/>
  <c r="KS5" i="6"/>
  <c r="BH5" i="6"/>
  <c r="BY5" i="6"/>
  <c r="AO5" i="6"/>
  <c r="CQ5" i="6"/>
  <c r="O5" i="6"/>
  <c r="CF5" i="6"/>
  <c r="KF5" i="6"/>
  <c r="FI5" i="6"/>
  <c r="EA5" i="6"/>
  <c r="EX5" i="6"/>
  <c r="FF5" i="6"/>
  <c r="CO5" i="6"/>
  <c r="ID5" i="6"/>
  <c r="FK5" i="6"/>
  <c r="FW5" i="6"/>
  <c r="GZ5" i="6"/>
  <c r="EF5" i="6"/>
  <c r="FD5" i="6"/>
  <c r="IQ5" i="6"/>
  <c r="DZ5" i="6"/>
  <c r="IP5" i="6"/>
  <c r="ET5" i="6"/>
  <c r="IC5" i="6"/>
  <c r="AT5" i="6"/>
  <c r="KB5" i="6"/>
  <c r="BE5" i="6"/>
  <c r="HZ5" i="6"/>
  <c r="JC5" i="6"/>
  <c r="CD5" i="6"/>
  <c r="ED5" i="6"/>
  <c r="HI5" i="6"/>
  <c r="CM5" i="6"/>
  <c r="KG5" i="6"/>
  <c r="IY5" i="6"/>
  <c r="KM5" i="6"/>
  <c r="FX5" i="6"/>
  <c r="JS5" i="6"/>
  <c r="HA5" i="6"/>
  <c r="BQ5" i="6"/>
  <c r="EC5" i="6"/>
  <c r="KA5" i="6"/>
  <c r="CU5" i="6"/>
  <c r="HY5" i="6"/>
  <c r="FB5" i="6"/>
  <c r="CL5" i="6"/>
  <c r="KL5" i="6"/>
  <c r="BW5" i="6"/>
  <c r="BU5" i="6"/>
  <c r="HQ5" i="6"/>
  <c r="HP5" i="6"/>
  <c r="AL5" i="6"/>
  <c r="KJ5" i="6"/>
  <c r="EG5" i="6"/>
  <c r="GX5" i="6"/>
  <c r="BI5" i="6"/>
  <c r="JH5" i="6"/>
  <c r="BR5" i="6"/>
  <c r="GP5" i="6"/>
  <c r="ES5" i="6"/>
  <c r="KO5" i="6"/>
  <c r="FS5" i="6"/>
  <c r="FA5" i="6"/>
  <c r="IL5" i="6"/>
  <c r="JO5" i="6"/>
  <c r="GC5" i="6"/>
  <c r="HM5" i="6"/>
  <c r="GS5" i="6"/>
  <c r="IS5" i="6"/>
  <c r="IU5" i="6"/>
  <c r="DJ5" i="6"/>
  <c r="HS5" i="6"/>
  <c r="GM5" i="6"/>
  <c r="EY5" i="6"/>
  <c r="AQ5" i="6"/>
  <c r="FE5" i="6"/>
  <c r="IJ5" i="6"/>
  <c r="GO5" i="6"/>
  <c r="IM5" i="6"/>
  <c r="I5" i="6"/>
  <c r="CB5" i="6"/>
  <c r="EZ5" i="6"/>
  <c r="HB5" i="6"/>
  <c r="KX5" i="6"/>
  <c r="DO5" i="6"/>
  <c r="DI5" i="6"/>
  <c r="AS5" i="6"/>
  <c r="L5" i="6"/>
  <c r="KU5" i="6"/>
  <c r="GI5" i="6"/>
  <c r="GK5" i="6"/>
  <c r="AK5" i="6"/>
  <c r="AR5" i="6"/>
  <c r="GG5" i="6"/>
  <c r="EL5" i="6"/>
  <c r="HJ5" i="6"/>
  <c r="JY5" i="6"/>
  <c r="AM5" i="6"/>
  <c r="LA5" i="6"/>
  <c r="IW5" i="6"/>
  <c r="IX5" i="6"/>
  <c r="BB5" i="6"/>
  <c r="GA5" i="6"/>
  <c r="HD5" i="6"/>
  <c r="EN5" i="6"/>
  <c r="EE5" i="6"/>
  <c r="JJ5" i="6"/>
  <c r="IA5" i="6"/>
  <c r="GD5" i="6"/>
  <c r="S5" i="6"/>
  <c r="IR5" i="6"/>
  <c r="GV5" i="6"/>
  <c r="W5" i="6"/>
  <c r="JW5" i="6"/>
  <c r="FM5" i="6"/>
  <c r="JV5" i="6"/>
  <c r="GJ5" i="6"/>
  <c r="HU5" i="6"/>
  <c r="HG5" i="6"/>
  <c r="GW5" i="6"/>
  <c r="BK5" i="6"/>
  <c r="CH5" i="6"/>
  <c r="DA5" i="6"/>
  <c r="HK5" i="6"/>
  <c r="KE5" i="6"/>
  <c r="Q132" i="18"/>
  <c r="Q133" i="18"/>
  <c r="U313" i="18"/>
  <c r="U317" i="18"/>
  <c r="U311" i="18"/>
  <c r="U320" i="18"/>
  <c r="U316" i="18"/>
  <c r="U314" i="18"/>
  <c r="U321" i="18"/>
  <c r="U315" i="18"/>
  <c r="H22" i="3"/>
  <c r="J22" i="3" s="1"/>
  <c r="U312" i="18"/>
  <c r="U318" i="18"/>
  <c r="U319" i="18"/>
  <c r="U322" i="18"/>
  <c r="U295" i="18"/>
  <c r="JE5" i="6"/>
  <c r="I227" i="18"/>
  <c r="F18" i="3" s="1"/>
  <c r="Z25" i="18"/>
  <c r="X21" i="18"/>
  <c r="Q135" i="18"/>
  <c r="Q136" i="18"/>
  <c r="J2" i="18"/>
  <c r="J4" i="18" s="1"/>
  <c r="V6" i="18"/>
  <c r="DY5" i="6"/>
  <c r="Z5" i="6"/>
  <c r="BS5" i="6"/>
  <c r="IB5" i="6"/>
  <c r="M5" i="6"/>
  <c r="IV5" i="6"/>
  <c r="IE5" i="6"/>
  <c r="P5" i="6"/>
  <c r="Q111" i="18"/>
  <c r="CT5" i="6"/>
  <c r="GT5" i="6"/>
  <c r="Q42" i="18"/>
  <c r="Q127" i="18"/>
  <c r="Q110" i="18"/>
  <c r="Q201" i="18"/>
  <c r="Q199" i="18"/>
  <c r="U284" i="18" l="1"/>
  <c r="V283" i="18" s="1"/>
  <c r="U294" i="18"/>
  <c r="H19" i="3"/>
  <c r="J19" i="3" s="1"/>
  <c r="U283" i="18"/>
  <c r="U296" i="18"/>
  <c r="J11" i="2"/>
  <c r="F23" i="5"/>
  <c r="F4" i="5" s="1"/>
  <c r="S4" i="5" s="1"/>
  <c r="W19" i="2"/>
  <c r="J32" i="2"/>
  <c r="J58" i="2"/>
  <c r="U21" i="2" s="1"/>
  <c r="E85" i="2"/>
  <c r="G85" i="2" s="1"/>
  <c r="E86" i="2" s="1"/>
  <c r="G86" i="2" s="1"/>
  <c r="X227" i="18"/>
  <c r="Z30" i="18"/>
  <c r="Z31" i="18" s="1"/>
  <c r="Z32" i="18" s="1"/>
  <c r="F5" i="3"/>
  <c r="D5" i="5" s="1"/>
  <c r="C5" i="6" s="1"/>
  <c r="X49" i="18"/>
  <c r="U49" i="18" s="1"/>
  <c r="V301" i="18"/>
  <c r="X29" i="18"/>
  <c r="U39" i="18" s="1"/>
  <c r="I94" i="2"/>
  <c r="K94" i="2" s="1"/>
  <c r="I95" i="2" s="1"/>
  <c r="K95" i="2" s="1"/>
  <c r="I96" i="2" s="1"/>
  <c r="N48" i="2"/>
  <c r="G11" i="2"/>
  <c r="F11" i="2" s="1"/>
  <c r="N93" i="2"/>
  <c r="E72" i="2"/>
  <c r="G72" i="2" s="1"/>
  <c r="N94" i="2"/>
  <c r="U19" i="2"/>
  <c r="C9" i="6"/>
  <c r="T4" i="5"/>
  <c r="I119" i="2"/>
  <c r="K119" i="2" s="1"/>
  <c r="W21" i="2"/>
  <c r="I42" i="2"/>
  <c r="T20" i="2" s="1"/>
  <c r="N58" i="2"/>
  <c r="K102" i="2"/>
  <c r="E67" i="2"/>
  <c r="G69" i="2"/>
  <c r="K111" i="2"/>
  <c r="N67" i="2"/>
  <c r="K67" i="2"/>
  <c r="J67" i="2" s="1"/>
  <c r="E94" i="2"/>
  <c r="I85" i="2"/>
  <c r="N84" i="2"/>
  <c r="K79" i="2"/>
  <c r="I78" i="2"/>
  <c r="E78" i="2"/>
  <c r="N77" i="2"/>
  <c r="N32" i="2"/>
  <c r="G62" i="2"/>
  <c r="G42" i="2"/>
  <c r="E42" i="2"/>
  <c r="N11" i="2"/>
  <c r="K42" i="2"/>
  <c r="N46" i="2"/>
  <c r="I23" i="2"/>
  <c r="I21" i="2"/>
  <c r="G20" i="2"/>
  <c r="N20" i="2"/>
  <c r="V74" i="18"/>
  <c r="X183" i="18"/>
  <c r="I2" i="18"/>
  <c r="H16" i="3"/>
  <c r="J16" i="3" s="1"/>
  <c r="U180" i="18"/>
  <c r="U177" i="18"/>
  <c r="U161" i="18"/>
  <c r="U176" i="18"/>
  <c r="U178" i="18"/>
  <c r="X122" i="18"/>
  <c r="U27" i="18"/>
  <c r="U23" i="18"/>
  <c r="H10" i="3"/>
  <c r="J10" i="3" s="1"/>
  <c r="F6" i="6"/>
  <c r="D5" i="6"/>
  <c r="X96" i="18"/>
  <c r="V311" i="18"/>
  <c r="U65" i="18" l="1"/>
  <c r="U54" i="18"/>
  <c r="D6" i="5"/>
  <c r="J42" i="2"/>
  <c r="U20" i="2" s="1"/>
  <c r="G81" i="2"/>
  <c r="E81" i="2"/>
  <c r="V161" i="18"/>
  <c r="F25" i="3"/>
  <c r="U278" i="18"/>
  <c r="U239" i="18"/>
  <c r="H18" i="3"/>
  <c r="J18" i="3" s="1"/>
  <c r="U240" i="18"/>
  <c r="U227" i="18"/>
  <c r="U281" i="18"/>
  <c r="U280" i="18"/>
  <c r="U244" i="18"/>
  <c r="U279" i="18"/>
  <c r="U238" i="18"/>
  <c r="U61" i="18"/>
  <c r="U56" i="18"/>
  <c r="U71" i="18"/>
  <c r="U59" i="18"/>
  <c r="U66" i="18"/>
  <c r="U70" i="18"/>
  <c r="H12" i="3"/>
  <c r="J12" i="3" s="1"/>
  <c r="U60" i="18"/>
  <c r="U58" i="18"/>
  <c r="U38" i="18"/>
  <c r="H11" i="3"/>
  <c r="J11" i="3" s="1"/>
  <c r="U72" i="18"/>
  <c r="U40" i="18"/>
  <c r="N42" i="2"/>
  <c r="N111" i="2"/>
  <c r="N102" i="2"/>
  <c r="N95" i="2"/>
  <c r="G67" i="2"/>
  <c r="N79" i="2"/>
  <c r="N119" i="2"/>
  <c r="W22" i="2"/>
  <c r="U22" i="2"/>
  <c r="K103" i="2"/>
  <c r="I104" i="2" s="1"/>
  <c r="K112" i="2"/>
  <c r="K96" i="2"/>
  <c r="G94" i="2"/>
  <c r="F81" i="2"/>
  <c r="V24" i="2" s="1"/>
  <c r="K85" i="2"/>
  <c r="N85" i="2" s="1"/>
  <c r="N81" i="2" s="1"/>
  <c r="I81" i="2"/>
  <c r="T24" i="2" s="1"/>
  <c r="K78" i="2"/>
  <c r="I74" i="2"/>
  <c r="T23" i="2" s="1"/>
  <c r="G78" i="2"/>
  <c r="E64" i="2"/>
  <c r="F42" i="2"/>
  <c r="V20" i="2" s="1"/>
  <c r="E23" i="2"/>
  <c r="G23" i="2" s="1"/>
  <c r="E21" i="2"/>
  <c r="K23" i="2"/>
  <c r="K21" i="2"/>
  <c r="I18" i="2"/>
  <c r="W20" i="2"/>
  <c r="U153" i="18"/>
  <c r="U157" i="18"/>
  <c r="U149" i="18"/>
  <c r="U158" i="18"/>
  <c r="U156" i="18"/>
  <c r="U155" i="18"/>
  <c r="U137" i="18"/>
  <c r="U134" i="18"/>
  <c r="U150" i="18"/>
  <c r="U147" i="18"/>
  <c r="U152" i="18"/>
  <c r="U129" i="18"/>
  <c r="U145" i="18"/>
  <c r="U146" i="18"/>
  <c r="U124" i="18"/>
  <c r="U143" i="18"/>
  <c r="U148" i="18"/>
  <c r="U144" i="18"/>
  <c r="U159" i="18"/>
  <c r="U151" i="18"/>
  <c r="H15" i="3"/>
  <c r="J15" i="3" s="1"/>
  <c r="U140" i="18"/>
  <c r="U154" i="18"/>
  <c r="Z4" i="5"/>
  <c r="V21" i="18"/>
  <c r="G6" i="6"/>
  <c r="U108" i="18"/>
  <c r="U114" i="18"/>
  <c r="U119" i="18"/>
  <c r="U107" i="18"/>
  <c r="U120" i="18"/>
  <c r="U113" i="18"/>
  <c r="U118" i="18"/>
  <c r="U109" i="18"/>
  <c r="H14" i="3"/>
  <c r="J14" i="3" s="1"/>
  <c r="U96" i="18"/>
  <c r="H17" i="3"/>
  <c r="U223" i="18"/>
  <c r="U192" i="18"/>
  <c r="U216" i="18"/>
  <c r="U224" i="18"/>
  <c r="U193" i="18"/>
  <c r="U215" i="18"/>
  <c r="U183" i="18"/>
  <c r="U225" i="18"/>
  <c r="X2" i="18"/>
  <c r="D7" i="5" l="1"/>
  <c r="G6" i="5"/>
  <c r="V227" i="18"/>
  <c r="V29" i="18"/>
  <c r="V49" i="18"/>
  <c r="BC17" i="6"/>
  <c r="F67" i="2"/>
  <c r="V22" i="2" s="1"/>
  <c r="E112" i="2"/>
  <c r="G112" i="2" s="1"/>
  <c r="N112" i="2"/>
  <c r="K104" i="2"/>
  <c r="N96" i="2"/>
  <c r="E95" i="2"/>
  <c r="K81" i="2"/>
  <c r="J81" i="2" s="1"/>
  <c r="I91" i="2"/>
  <c r="K74" i="2"/>
  <c r="J74" i="2" s="1"/>
  <c r="E79" i="2"/>
  <c r="N78" i="2"/>
  <c r="N74" i="2" s="1"/>
  <c r="G64" i="2"/>
  <c r="E58" i="2"/>
  <c r="K30" i="2"/>
  <c r="J30" i="2" s="1"/>
  <c r="G21" i="2"/>
  <c r="E18" i="2"/>
  <c r="N21" i="2"/>
  <c r="N23" i="2"/>
  <c r="DJ17" i="6"/>
  <c r="IY17" i="6"/>
  <c r="V183" i="18"/>
  <c r="BQ17" i="6"/>
  <c r="JH17" i="6"/>
  <c r="EG17" i="6"/>
  <c r="KZ17" i="6"/>
  <c r="GT17" i="6"/>
  <c r="BZ17" i="6"/>
  <c r="HV17" i="6"/>
  <c r="DL17" i="6"/>
  <c r="CE17" i="6"/>
  <c r="AO17" i="6"/>
  <c r="JT17" i="6"/>
  <c r="FI17" i="6"/>
  <c r="JO17" i="6"/>
  <c r="IS17" i="6"/>
  <c r="HU17" i="6"/>
  <c r="DM17" i="6"/>
  <c r="FL17" i="6"/>
  <c r="DT17" i="6"/>
  <c r="KT17" i="6"/>
  <c r="KI17" i="6"/>
  <c r="IB17" i="6"/>
  <c r="DF17" i="6"/>
  <c r="KU17" i="6"/>
  <c r="KO17" i="6"/>
  <c r="AQ17" i="6"/>
  <c r="AB17" i="6"/>
  <c r="GX17" i="6"/>
  <c r="BJ17" i="6"/>
  <c r="LC17" i="6"/>
  <c r="GK17" i="6"/>
  <c r="EF17" i="6"/>
  <c r="CO17" i="6"/>
  <c r="CH17" i="6"/>
  <c r="AM17" i="6"/>
  <c r="KC17" i="6"/>
  <c r="DR17" i="6"/>
  <c r="EY17" i="6"/>
  <c r="BO17" i="6"/>
  <c r="Q17" i="6"/>
  <c r="EQ17" i="6"/>
  <c r="M17" i="6"/>
  <c r="EE17" i="6"/>
  <c r="HJ17" i="6"/>
  <c r="JZ17" i="6"/>
  <c r="DB17" i="6"/>
  <c r="HE17" i="6"/>
  <c r="KF17" i="6"/>
  <c r="GP17" i="6"/>
  <c r="KE17" i="6"/>
  <c r="BN17" i="6"/>
  <c r="JY17" i="6"/>
  <c r="KY17" i="6"/>
  <c r="CB17" i="6"/>
  <c r="N17" i="6"/>
  <c r="CG17" i="6"/>
  <c r="W17" i="6"/>
  <c r="GQ17" i="6"/>
  <c r="HN17" i="6"/>
  <c r="DZ17" i="6"/>
  <c r="DE17" i="6"/>
  <c r="KV17" i="6"/>
  <c r="JQ17" i="6"/>
  <c r="IU17" i="6"/>
  <c r="FU17" i="6"/>
  <c r="GN17" i="6"/>
  <c r="IF17" i="6"/>
  <c r="GI17" i="6"/>
  <c r="CW17" i="6"/>
  <c r="HC17" i="6"/>
  <c r="IM17" i="6"/>
  <c r="BR17" i="6"/>
  <c r="BP17" i="6"/>
  <c r="AX17" i="6"/>
  <c r="JG17" i="6"/>
  <c r="AP17" i="6"/>
  <c r="CU17" i="6"/>
  <c r="O17" i="6"/>
  <c r="GZ17" i="6"/>
  <c r="FX17" i="6"/>
  <c r="EM17" i="6"/>
  <c r="HO17" i="6"/>
  <c r="ES17" i="6"/>
  <c r="DI17" i="6"/>
  <c r="CL17" i="6"/>
  <c r="AF17" i="6"/>
  <c r="GL17" i="6"/>
  <c r="I17" i="6"/>
  <c r="LD17" i="6"/>
  <c r="FB17" i="6"/>
  <c r="GD17" i="6"/>
  <c r="BT17" i="6"/>
  <c r="CK17" i="6"/>
  <c r="JJ17" i="6"/>
  <c r="GY17" i="6"/>
  <c r="KX17" i="6"/>
  <c r="DX17" i="6"/>
  <c r="AE17" i="6"/>
  <c r="JF17" i="6"/>
  <c r="J17" i="6"/>
  <c r="HQ17" i="6"/>
  <c r="KG17" i="6"/>
  <c r="KM17" i="6"/>
  <c r="BI17" i="6"/>
  <c r="DH17" i="6"/>
  <c r="JS17" i="6"/>
  <c r="BL17" i="6"/>
  <c r="HZ17" i="6"/>
  <c r="EI17" i="6"/>
  <c r="T17" i="6"/>
  <c r="IT17" i="6"/>
  <c r="AU17" i="6"/>
  <c r="CA17" i="6"/>
  <c r="AR17" i="6"/>
  <c r="DY17" i="6"/>
  <c r="S17" i="6"/>
  <c r="FP17" i="6"/>
  <c r="DS17" i="6"/>
  <c r="DP17" i="6"/>
  <c r="ER17" i="6"/>
  <c r="LB17" i="6"/>
  <c r="DC17" i="6"/>
  <c r="FD17" i="6"/>
  <c r="EP17" i="6"/>
  <c r="FY17" i="6"/>
  <c r="CP17" i="6"/>
  <c r="ED17" i="6"/>
  <c r="FV17" i="6"/>
  <c r="KA17" i="6"/>
  <c r="V122" i="18"/>
  <c r="IV17" i="6"/>
  <c r="CC17" i="6"/>
  <c r="CQ17" i="6"/>
  <c r="GB17" i="6"/>
  <c r="BM17" i="6"/>
  <c r="BF17" i="6"/>
  <c r="AZ17" i="6"/>
  <c r="GC17" i="6"/>
  <c r="AK17" i="6"/>
  <c r="F17" i="6"/>
  <c r="F18" i="6" s="1"/>
  <c r="IQ17" i="6"/>
  <c r="FW17" i="6"/>
  <c r="IP17" i="6"/>
  <c r="DQ17" i="6"/>
  <c r="FO17" i="6"/>
  <c r="GJ17" i="6"/>
  <c r="IN17" i="6"/>
  <c r="HM17" i="6"/>
  <c r="BS17" i="6"/>
  <c r="HW17" i="6"/>
  <c r="IA17" i="6"/>
  <c r="HK17" i="6"/>
  <c r="HY17" i="6"/>
  <c r="GF17" i="6"/>
  <c r="HF17" i="6"/>
  <c r="IR17" i="6"/>
  <c r="HS17" i="6"/>
  <c r="BB17" i="6"/>
  <c r="FZ17" i="6"/>
  <c r="JC17" i="6"/>
  <c r="JK17" i="6"/>
  <c r="IL17" i="6"/>
  <c r="JW17" i="6"/>
  <c r="IK17" i="6"/>
  <c r="HI17" i="6"/>
  <c r="GA17" i="6"/>
  <c r="KL17" i="6"/>
  <c r="GW17" i="6"/>
  <c r="FM17" i="6"/>
  <c r="IE17" i="6"/>
  <c r="BH17" i="6"/>
  <c r="BY17" i="6"/>
  <c r="HX17" i="6"/>
  <c r="AV17" i="6"/>
  <c r="H17" i="6"/>
  <c r="GG17" i="6"/>
  <c r="KH17" i="6"/>
  <c r="EZ17" i="6"/>
  <c r="FF17" i="6"/>
  <c r="DN17" i="6"/>
  <c r="EK17" i="6"/>
  <c r="AB4" i="5"/>
  <c r="X4" i="5"/>
  <c r="IX17" i="6"/>
  <c r="EN17" i="6"/>
  <c r="V17" i="6"/>
  <c r="FG17" i="6"/>
  <c r="CT17" i="6"/>
  <c r="HT17" i="6"/>
  <c r="KS17" i="6"/>
  <c r="AD17" i="6"/>
  <c r="BU17" i="6"/>
  <c r="IH17" i="6"/>
  <c r="CX17" i="6"/>
  <c r="HR17" i="6"/>
  <c r="AT17" i="6"/>
  <c r="AH17" i="6"/>
  <c r="GR17" i="6"/>
  <c r="CN17" i="6"/>
  <c r="L17" i="6"/>
  <c r="KR17" i="6"/>
  <c r="IC17" i="6"/>
  <c r="CD17" i="6"/>
  <c r="HH17" i="6"/>
  <c r="FA17" i="6"/>
  <c r="CR17" i="6"/>
  <c r="GH17" i="6"/>
  <c r="EA17" i="6"/>
  <c r="R17" i="6"/>
  <c r="DO17" i="6"/>
  <c r="EH17" i="6"/>
  <c r="GV17" i="6"/>
  <c r="LA17" i="6"/>
  <c r="IG17" i="6"/>
  <c r="DW17" i="6"/>
  <c r="JU17" i="6"/>
  <c r="EJ17" i="6"/>
  <c r="GU17" i="6"/>
  <c r="HP17" i="6"/>
  <c r="EL17" i="6"/>
  <c r="JV17" i="6"/>
  <c r="FR17" i="6"/>
  <c r="FC17" i="6"/>
  <c r="DG17" i="6"/>
  <c r="JN17" i="6"/>
  <c r="AC17" i="6"/>
  <c r="AN17" i="6"/>
  <c r="JI17" i="6"/>
  <c r="W4" i="5"/>
  <c r="JR17" i="6"/>
  <c r="CV17" i="6"/>
  <c r="HG17" i="6"/>
  <c r="II17" i="6"/>
  <c r="DV17" i="6"/>
  <c r="AA4" i="5"/>
  <c r="V96" i="18"/>
  <c r="H6" i="6"/>
  <c r="FQ17" i="6"/>
  <c r="JX17" i="6"/>
  <c r="JD17" i="6"/>
  <c r="JM17" i="6"/>
  <c r="Z17" i="6"/>
  <c r="EB17" i="6"/>
  <c r="CF17" i="6"/>
  <c r="KB17" i="6"/>
  <c r="CI17" i="6"/>
  <c r="CY17" i="6"/>
  <c r="IW17" i="6"/>
  <c r="GO17" i="6"/>
  <c r="FH17" i="6"/>
  <c r="P17" i="6"/>
  <c r="EV17" i="6"/>
  <c r="CJ17" i="6"/>
  <c r="JP17" i="6"/>
  <c r="CS17" i="6"/>
  <c r="G17" i="6"/>
  <c r="EU17" i="6"/>
  <c r="CM17" i="6"/>
  <c r="BD17" i="6"/>
  <c r="AY17" i="6"/>
  <c r="BE17" i="6"/>
  <c r="JE17" i="6"/>
  <c r="ID17" i="6"/>
  <c r="IZ17" i="6"/>
  <c r="HB17" i="6"/>
  <c r="HD17" i="6"/>
  <c r="KJ17" i="6"/>
  <c r="BX17" i="6"/>
  <c r="BA17" i="6"/>
  <c r="FN17" i="6"/>
  <c r="U17" i="6"/>
  <c r="FT17" i="6"/>
  <c r="FE17" i="6"/>
  <c r="DA17" i="6"/>
  <c r="DD17" i="6"/>
  <c r="CZ17" i="6"/>
  <c r="KQ17" i="6"/>
  <c r="KK17" i="6"/>
  <c r="GM17" i="6"/>
  <c r="AL17" i="6"/>
  <c r="DU17" i="6"/>
  <c r="EW17" i="6"/>
  <c r="KN17" i="6"/>
  <c r="JL17" i="6"/>
  <c r="K17" i="6"/>
  <c r="EC17" i="6"/>
  <c r="HL17" i="6"/>
  <c r="KD17" i="6"/>
  <c r="AG17" i="6"/>
  <c r="AI17" i="6"/>
  <c r="IO17" i="6"/>
  <c r="FS17" i="6"/>
  <c r="KP17" i="6"/>
  <c r="KW17" i="6"/>
  <c r="Y17" i="6"/>
  <c r="EX17" i="6"/>
  <c r="BV17" i="6"/>
  <c r="BW17" i="6"/>
  <c r="DK17" i="6"/>
  <c r="GE17" i="6"/>
  <c r="EO17" i="6"/>
  <c r="X17" i="6"/>
  <c r="AJ17" i="6"/>
  <c r="FK17" i="6"/>
  <c r="ET17" i="6"/>
  <c r="AS17" i="6"/>
  <c r="GS17" i="6"/>
  <c r="HA17" i="6"/>
  <c r="AW17" i="6"/>
  <c r="IJ17" i="6"/>
  <c r="JA17" i="6"/>
  <c r="JB17" i="6"/>
  <c r="FJ17" i="6"/>
  <c r="AA17" i="6"/>
  <c r="BK17" i="6"/>
  <c r="BG17" i="6"/>
  <c r="Y4" i="5"/>
  <c r="J17" i="3"/>
  <c r="J5" i="3" s="1"/>
  <c r="H5" i="3"/>
  <c r="N104" i="2" l="1"/>
  <c r="K108" i="2"/>
  <c r="J9" i="2" s="1"/>
  <c r="I98" i="2"/>
  <c r="T26" i="2" s="1"/>
  <c r="G95" i="2"/>
  <c r="W24" i="2"/>
  <c r="U24" i="2"/>
  <c r="U23" i="2"/>
  <c r="W23" i="2"/>
  <c r="G79" i="2"/>
  <c r="E74" i="2"/>
  <c r="K91" i="2"/>
  <c r="N91" i="2" s="1"/>
  <c r="N88" i="2" s="1"/>
  <c r="I88" i="2"/>
  <c r="T25" i="2" s="1"/>
  <c r="G58" i="2"/>
  <c r="F18" i="2"/>
  <c r="N30" i="2"/>
  <c r="N18" i="2" s="1"/>
  <c r="K18" i="2"/>
  <c r="J18" i="2" s="1"/>
  <c r="D17" i="6"/>
  <c r="C17" i="6" s="1"/>
  <c r="I6" i="6"/>
  <c r="G18" i="6"/>
  <c r="H18" i="6" s="1"/>
  <c r="I18" i="6" s="1"/>
  <c r="J18" i="6" s="1"/>
  <c r="K18" i="6" s="1"/>
  <c r="L18" i="6" s="1"/>
  <c r="M18" i="6" s="1"/>
  <c r="N18" i="6" s="1"/>
  <c r="O18" i="6" s="1"/>
  <c r="P18" i="6" s="1"/>
  <c r="Q18" i="6" s="1"/>
  <c r="R18" i="6" s="1"/>
  <c r="S18" i="6" s="1"/>
  <c r="T18" i="6" s="1"/>
  <c r="U18" i="6" s="1"/>
  <c r="V18" i="6" s="1"/>
  <c r="W18" i="6" s="1"/>
  <c r="X18" i="6" s="1"/>
  <c r="Y18" i="6" s="1"/>
  <c r="Z18" i="6" s="1"/>
  <c r="AA18" i="6" s="1"/>
  <c r="AB18" i="6" s="1"/>
  <c r="AC18" i="6" s="1"/>
  <c r="AD18" i="6" s="1"/>
  <c r="AE18" i="6" s="1"/>
  <c r="AF18" i="6" s="1"/>
  <c r="AG18" i="6" s="1"/>
  <c r="AH18" i="6" s="1"/>
  <c r="AI18" i="6" s="1"/>
  <c r="AJ18" i="6" s="1"/>
  <c r="AK18" i="6" s="1"/>
  <c r="AL18" i="6" s="1"/>
  <c r="AM18" i="6" s="1"/>
  <c r="AN18" i="6" s="1"/>
  <c r="AO18" i="6" s="1"/>
  <c r="AP18" i="6" s="1"/>
  <c r="AQ18" i="6" s="1"/>
  <c r="AR18" i="6" s="1"/>
  <c r="AS18" i="6" s="1"/>
  <c r="AT18" i="6" s="1"/>
  <c r="AU18" i="6" s="1"/>
  <c r="AV18" i="6" s="1"/>
  <c r="AW18" i="6" s="1"/>
  <c r="AX18" i="6" s="1"/>
  <c r="AY18" i="6" s="1"/>
  <c r="AZ18" i="6" s="1"/>
  <c r="BA18" i="6" s="1"/>
  <c r="BB18" i="6" s="1"/>
  <c r="BC18" i="6" s="1"/>
  <c r="BD18" i="6" s="1"/>
  <c r="BE18" i="6" s="1"/>
  <c r="BF18" i="6" s="1"/>
  <c r="BG18" i="6" s="1"/>
  <c r="BH18" i="6" s="1"/>
  <c r="BI18" i="6" s="1"/>
  <c r="BJ18" i="6" s="1"/>
  <c r="BK18" i="6" s="1"/>
  <c r="BL18" i="6" s="1"/>
  <c r="BM18" i="6" s="1"/>
  <c r="BN18" i="6" s="1"/>
  <c r="BO18" i="6" s="1"/>
  <c r="BP18" i="6" s="1"/>
  <c r="BQ18" i="6" s="1"/>
  <c r="BR18" i="6" s="1"/>
  <c r="BS18" i="6" s="1"/>
  <c r="BT18" i="6" s="1"/>
  <c r="BU18" i="6" s="1"/>
  <c r="BV18" i="6" s="1"/>
  <c r="BW18" i="6" s="1"/>
  <c r="BX18" i="6" s="1"/>
  <c r="BY18" i="6" s="1"/>
  <c r="BZ18" i="6" s="1"/>
  <c r="CA18" i="6" s="1"/>
  <c r="CB18" i="6" s="1"/>
  <c r="CC18" i="6" s="1"/>
  <c r="CD18" i="6" s="1"/>
  <c r="CE18" i="6" s="1"/>
  <c r="CF18" i="6" s="1"/>
  <c r="CG18" i="6" s="1"/>
  <c r="CH18" i="6" s="1"/>
  <c r="CI18" i="6" s="1"/>
  <c r="CJ18" i="6" s="1"/>
  <c r="CK18" i="6" s="1"/>
  <c r="CL18" i="6" s="1"/>
  <c r="CM18" i="6" s="1"/>
  <c r="CN18" i="6" s="1"/>
  <c r="CO18" i="6" s="1"/>
  <c r="CP18" i="6" s="1"/>
  <c r="CQ18" i="6" s="1"/>
  <c r="CR18" i="6" s="1"/>
  <c r="CS18" i="6" s="1"/>
  <c r="CT18" i="6" s="1"/>
  <c r="CU18" i="6" s="1"/>
  <c r="CV18" i="6" s="1"/>
  <c r="CW18" i="6" s="1"/>
  <c r="CX18" i="6" s="1"/>
  <c r="CY18" i="6" s="1"/>
  <c r="CZ18" i="6" s="1"/>
  <c r="DA18" i="6" s="1"/>
  <c r="DB18" i="6" s="1"/>
  <c r="DC18" i="6" s="1"/>
  <c r="DD18" i="6" s="1"/>
  <c r="DE18" i="6" s="1"/>
  <c r="DF18" i="6" s="1"/>
  <c r="DG18" i="6" s="1"/>
  <c r="DH18" i="6" s="1"/>
  <c r="DI18" i="6" s="1"/>
  <c r="DJ18" i="6" s="1"/>
  <c r="DK18" i="6" s="1"/>
  <c r="DL18" i="6" s="1"/>
  <c r="DM18" i="6" s="1"/>
  <c r="DN18" i="6" s="1"/>
  <c r="DO18" i="6" s="1"/>
  <c r="DP18" i="6" s="1"/>
  <c r="DQ18" i="6" s="1"/>
  <c r="DR18" i="6" s="1"/>
  <c r="DS18" i="6" s="1"/>
  <c r="DT18" i="6" s="1"/>
  <c r="DU18" i="6" s="1"/>
  <c r="DV18" i="6" s="1"/>
  <c r="DW18" i="6" s="1"/>
  <c r="DX18" i="6" s="1"/>
  <c r="DY18" i="6" s="1"/>
  <c r="DZ18" i="6" s="1"/>
  <c r="EA18" i="6" s="1"/>
  <c r="EB18" i="6" s="1"/>
  <c r="EC18" i="6" s="1"/>
  <c r="ED18" i="6" s="1"/>
  <c r="EE18" i="6" s="1"/>
  <c r="EF18" i="6" s="1"/>
  <c r="EG18" i="6" s="1"/>
  <c r="EH18" i="6" s="1"/>
  <c r="EI18" i="6" s="1"/>
  <c r="EJ18" i="6" s="1"/>
  <c r="EK18" i="6" s="1"/>
  <c r="EL18" i="6" s="1"/>
  <c r="EM18" i="6" s="1"/>
  <c r="EN18" i="6" s="1"/>
  <c r="EO18" i="6" s="1"/>
  <c r="EP18" i="6" s="1"/>
  <c r="EQ18" i="6" s="1"/>
  <c r="ER18" i="6" s="1"/>
  <c r="ES18" i="6" s="1"/>
  <c r="ET18" i="6" s="1"/>
  <c r="EU18" i="6" s="1"/>
  <c r="EV18" i="6" s="1"/>
  <c r="EW18" i="6" s="1"/>
  <c r="EX18" i="6" s="1"/>
  <c r="EY18" i="6" s="1"/>
  <c r="EZ18" i="6" s="1"/>
  <c r="FA18" i="6" s="1"/>
  <c r="FB18" i="6" s="1"/>
  <c r="FC18" i="6" s="1"/>
  <c r="FD18" i="6" s="1"/>
  <c r="FE18" i="6" s="1"/>
  <c r="FF18" i="6" s="1"/>
  <c r="FG18" i="6" s="1"/>
  <c r="FH18" i="6" s="1"/>
  <c r="FI18" i="6" s="1"/>
  <c r="FJ18" i="6" s="1"/>
  <c r="FK18" i="6" s="1"/>
  <c r="FL18" i="6" s="1"/>
  <c r="FM18" i="6" s="1"/>
  <c r="FN18" i="6" s="1"/>
  <c r="FO18" i="6" s="1"/>
  <c r="FP18" i="6" s="1"/>
  <c r="FQ18" i="6" s="1"/>
  <c r="FR18" i="6" s="1"/>
  <c r="FS18" i="6" s="1"/>
  <c r="FT18" i="6" s="1"/>
  <c r="FU18" i="6" s="1"/>
  <c r="FV18" i="6" s="1"/>
  <c r="FW18" i="6" s="1"/>
  <c r="FX18" i="6" s="1"/>
  <c r="FY18" i="6" s="1"/>
  <c r="FZ18" i="6" s="1"/>
  <c r="GA18" i="6" s="1"/>
  <c r="GB18" i="6" s="1"/>
  <c r="GC18" i="6" s="1"/>
  <c r="GD18" i="6" s="1"/>
  <c r="GE18" i="6" s="1"/>
  <c r="GF18" i="6" s="1"/>
  <c r="GG18" i="6" s="1"/>
  <c r="GH18" i="6" s="1"/>
  <c r="GI18" i="6" s="1"/>
  <c r="GJ18" i="6" s="1"/>
  <c r="GK18" i="6" s="1"/>
  <c r="GL18" i="6" s="1"/>
  <c r="GM18" i="6" s="1"/>
  <c r="GN18" i="6" s="1"/>
  <c r="GO18" i="6" s="1"/>
  <c r="GP18" i="6" s="1"/>
  <c r="GQ18" i="6" s="1"/>
  <c r="GR18" i="6" s="1"/>
  <c r="GS18" i="6" s="1"/>
  <c r="GT18" i="6" s="1"/>
  <c r="GU18" i="6" s="1"/>
  <c r="GV18" i="6" s="1"/>
  <c r="GW18" i="6" s="1"/>
  <c r="GX18" i="6" s="1"/>
  <c r="GY18" i="6" s="1"/>
  <c r="GZ18" i="6" s="1"/>
  <c r="HA18" i="6" s="1"/>
  <c r="HB18" i="6" s="1"/>
  <c r="HC18" i="6" s="1"/>
  <c r="HD18" i="6" s="1"/>
  <c r="HE18" i="6" s="1"/>
  <c r="HF18" i="6" s="1"/>
  <c r="HG18" i="6" s="1"/>
  <c r="HH18" i="6" s="1"/>
  <c r="HI18" i="6" s="1"/>
  <c r="HJ18" i="6" s="1"/>
  <c r="HK18" i="6" s="1"/>
  <c r="HL18" i="6" s="1"/>
  <c r="HM18" i="6" s="1"/>
  <c r="HN18" i="6" s="1"/>
  <c r="HO18" i="6" s="1"/>
  <c r="HP18" i="6" s="1"/>
  <c r="HQ18" i="6" s="1"/>
  <c r="HR18" i="6" s="1"/>
  <c r="HS18" i="6" s="1"/>
  <c r="HT18" i="6" s="1"/>
  <c r="HU18" i="6" s="1"/>
  <c r="HV18" i="6" s="1"/>
  <c r="HW18" i="6" s="1"/>
  <c r="HX18" i="6" s="1"/>
  <c r="HY18" i="6" s="1"/>
  <c r="HZ18" i="6" s="1"/>
  <c r="IA18" i="6" s="1"/>
  <c r="IB18" i="6" s="1"/>
  <c r="IC18" i="6" s="1"/>
  <c r="ID18" i="6" s="1"/>
  <c r="IE18" i="6" s="1"/>
  <c r="IF18" i="6" s="1"/>
  <c r="IG18" i="6" s="1"/>
  <c r="IH18" i="6" s="1"/>
  <c r="II18" i="6" s="1"/>
  <c r="IJ18" i="6" s="1"/>
  <c r="IK18" i="6" s="1"/>
  <c r="IL18" i="6" s="1"/>
  <c r="IM18" i="6" s="1"/>
  <c r="IN18" i="6" s="1"/>
  <c r="IO18" i="6" s="1"/>
  <c r="IP18" i="6" s="1"/>
  <c r="IQ18" i="6" s="1"/>
  <c r="IR18" i="6" s="1"/>
  <c r="IS18" i="6" s="1"/>
  <c r="IT18" i="6" s="1"/>
  <c r="IU18" i="6" s="1"/>
  <c r="IV18" i="6" s="1"/>
  <c r="IW18" i="6" s="1"/>
  <c r="IX18" i="6" s="1"/>
  <c r="IY18" i="6" s="1"/>
  <c r="IZ18" i="6" s="1"/>
  <c r="JA18" i="6" s="1"/>
  <c r="JB18" i="6" s="1"/>
  <c r="JC18" i="6" s="1"/>
  <c r="JD18" i="6" s="1"/>
  <c r="JE18" i="6" s="1"/>
  <c r="JF18" i="6" s="1"/>
  <c r="JG18" i="6" s="1"/>
  <c r="JH18" i="6" s="1"/>
  <c r="JI18" i="6" s="1"/>
  <c r="JJ18" i="6" s="1"/>
  <c r="JK18" i="6" s="1"/>
  <c r="JL18" i="6" s="1"/>
  <c r="JM18" i="6" s="1"/>
  <c r="JN18" i="6" s="1"/>
  <c r="JO18" i="6" s="1"/>
  <c r="JP18" i="6" s="1"/>
  <c r="JQ18" i="6" s="1"/>
  <c r="JR18" i="6" s="1"/>
  <c r="JS18" i="6" s="1"/>
  <c r="JT18" i="6" s="1"/>
  <c r="JU18" i="6" s="1"/>
  <c r="JV18" i="6" s="1"/>
  <c r="JW18" i="6" s="1"/>
  <c r="JX18" i="6" s="1"/>
  <c r="JY18" i="6" s="1"/>
  <c r="JZ18" i="6" s="1"/>
  <c r="KA18" i="6" s="1"/>
  <c r="KB18" i="6" s="1"/>
  <c r="KC18" i="6" s="1"/>
  <c r="KD18" i="6" s="1"/>
  <c r="KE18" i="6" s="1"/>
  <c r="KF18" i="6" s="1"/>
  <c r="KG18" i="6" s="1"/>
  <c r="KH18" i="6" s="1"/>
  <c r="KI18" i="6" s="1"/>
  <c r="KJ18" i="6" s="1"/>
  <c r="KK18" i="6" s="1"/>
  <c r="KL18" i="6" s="1"/>
  <c r="KM18" i="6" s="1"/>
  <c r="KN18" i="6" s="1"/>
  <c r="KO18" i="6" s="1"/>
  <c r="KP18" i="6" s="1"/>
  <c r="KQ18" i="6" s="1"/>
  <c r="KR18" i="6" s="1"/>
  <c r="KS18" i="6" s="1"/>
  <c r="KT18" i="6" s="1"/>
  <c r="KU18" i="6" s="1"/>
  <c r="KV18" i="6" s="1"/>
  <c r="KW18" i="6" s="1"/>
  <c r="KX18" i="6" s="1"/>
  <c r="KY18" i="6" s="1"/>
  <c r="KZ18" i="6" s="1"/>
  <c r="LA18" i="6" s="1"/>
  <c r="LB18" i="6" s="1"/>
  <c r="LC18" i="6" s="1"/>
  <c r="LD18" i="6" s="1"/>
  <c r="F5" i="5"/>
  <c r="H25" i="3"/>
  <c r="K98" i="2" l="1"/>
  <c r="N98" i="2"/>
  <c r="I120" i="2"/>
  <c r="K120" i="2" s="1"/>
  <c r="E96" i="2"/>
  <c r="K88" i="2"/>
  <c r="G74" i="2"/>
  <c r="E111" i="2"/>
  <c r="F58" i="2"/>
  <c r="V21" i="2" s="1"/>
  <c r="D18" i="6"/>
  <c r="C18" i="6" s="1"/>
  <c r="J6" i="6"/>
  <c r="C11" i="6"/>
  <c r="F6" i="5"/>
  <c r="F7" i="5" s="1"/>
  <c r="S5" i="5"/>
  <c r="S6" i="5" s="1"/>
  <c r="T5" i="5"/>
  <c r="T6" i="5" s="1"/>
  <c r="K113" i="2" l="1"/>
  <c r="J88" i="2"/>
  <c r="J98" i="2"/>
  <c r="N120" i="2"/>
  <c r="W26" i="2"/>
  <c r="U26" i="2"/>
  <c r="G96" i="2"/>
  <c r="E88" i="2"/>
  <c r="F74" i="2"/>
  <c r="V23" i="2" s="1"/>
  <c r="U25" i="2"/>
  <c r="W25" i="2"/>
  <c r="E119" i="2"/>
  <c r="G119" i="2" s="1"/>
  <c r="G111" i="2"/>
  <c r="K6" i="6"/>
  <c r="G88" i="2" l="1"/>
  <c r="N113" i="2"/>
  <c r="L6" i="6"/>
  <c r="F88" i="2" l="1"/>
  <c r="V25" i="2" s="1"/>
  <c r="E113" i="2"/>
  <c r="E99" i="2"/>
  <c r="I115" i="2"/>
  <c r="M6" i="6"/>
  <c r="E118" i="2" l="1"/>
  <c r="G99" i="2"/>
  <c r="G113" i="2"/>
  <c r="K115" i="2"/>
  <c r="N115" i="2" s="1"/>
  <c r="N110" i="2" s="1"/>
  <c r="I110" i="2"/>
  <c r="T27" i="2" s="1"/>
  <c r="N6" i="6"/>
  <c r="E115" i="2" l="1"/>
  <c r="H17" i="5"/>
  <c r="E108" i="2"/>
  <c r="G118" i="2"/>
  <c r="E121" i="2"/>
  <c r="G121" i="2" s="1"/>
  <c r="K110" i="2"/>
  <c r="O6" i="6"/>
  <c r="J110" i="2" l="1"/>
  <c r="U27" i="2" s="1"/>
  <c r="W190" i="18"/>
  <c r="E122" i="2"/>
  <c r="E123" i="2"/>
  <c r="G123" i="2" s="1"/>
  <c r="G108" i="2"/>
  <c r="E98" i="2"/>
  <c r="G115" i="2"/>
  <c r="E110" i="2"/>
  <c r="W27" i="2"/>
  <c r="I121" i="2"/>
  <c r="P6" i="6"/>
  <c r="W202" i="18" l="1"/>
  <c r="W203" i="18" s="1"/>
  <c r="W64" i="18" s="1"/>
  <c r="W213" i="18"/>
  <c r="W214" i="18" s="1"/>
  <c r="W191" i="18"/>
  <c r="G110" i="2"/>
  <c r="E120" i="2"/>
  <c r="F9" i="2"/>
  <c r="G98" i="2"/>
  <c r="H20" i="5"/>
  <c r="G122" i="2"/>
  <c r="I123" i="2"/>
  <c r="K121" i="2"/>
  <c r="I122" i="2" s="1"/>
  <c r="Q6" i="6"/>
  <c r="W69" i="18" l="1"/>
  <c r="W112" i="18"/>
  <c r="W117" i="18" s="1"/>
  <c r="W237" i="18"/>
  <c r="AW11" i="6" s="1"/>
  <c r="W243" i="18"/>
  <c r="BQ11" i="6" s="1"/>
  <c r="KA11" i="6"/>
  <c r="FJ11" i="6"/>
  <c r="AN11" i="6"/>
  <c r="K11" i="6"/>
  <c r="FN11" i="6"/>
  <c r="W11" i="6"/>
  <c r="DV11" i="6"/>
  <c r="GM11" i="6"/>
  <c r="FT11" i="6"/>
  <c r="EN11" i="6"/>
  <c r="DB11" i="6"/>
  <c r="FK11" i="6"/>
  <c r="AE11" i="6"/>
  <c r="IG11" i="6"/>
  <c r="EA11" i="6"/>
  <c r="DS11" i="6"/>
  <c r="EP11" i="6"/>
  <c r="CR11" i="6"/>
  <c r="JB11" i="6"/>
  <c r="T11" i="6"/>
  <c r="CP11" i="6"/>
  <c r="JN11" i="6"/>
  <c r="CE11" i="6"/>
  <c r="IC11" i="6"/>
  <c r="DZ11" i="6"/>
  <c r="BS11" i="6"/>
  <c r="CA11" i="6"/>
  <c r="JF11" i="6"/>
  <c r="EM11" i="6"/>
  <c r="DG11" i="6"/>
  <c r="GD11" i="6"/>
  <c r="P11" i="6"/>
  <c r="EL11" i="6"/>
  <c r="JZ11" i="6"/>
  <c r="FW11" i="6"/>
  <c r="AF11" i="6"/>
  <c r="HA11" i="6"/>
  <c r="CN11" i="6"/>
  <c r="GE11" i="6"/>
  <c r="DK11" i="6"/>
  <c r="KW11" i="6"/>
  <c r="DP11" i="6"/>
  <c r="BW11" i="6"/>
  <c r="HO11" i="6"/>
  <c r="CH11" i="6"/>
  <c r="M11" i="6"/>
  <c r="CO11" i="6"/>
  <c r="FP11" i="6"/>
  <c r="CG11" i="6"/>
  <c r="G11" i="6"/>
  <c r="JR11" i="6"/>
  <c r="BA11" i="6"/>
  <c r="DX11" i="6"/>
  <c r="EQ11" i="6"/>
  <c r="Q11" i="6"/>
  <c r="FE11" i="6"/>
  <c r="L11" i="6"/>
  <c r="AV11" i="6"/>
  <c r="KU11" i="6"/>
  <c r="GG11" i="6"/>
  <c r="AJ11" i="6"/>
  <c r="EY11" i="6"/>
  <c r="HR11" i="6"/>
  <c r="KI11" i="6"/>
  <c r="BE11" i="6"/>
  <c r="FZ11" i="6"/>
  <c r="KD11" i="6"/>
  <c r="BC11" i="6"/>
  <c r="FV11" i="6"/>
  <c r="FX11" i="6"/>
  <c r="GN11" i="6"/>
  <c r="FC11" i="6"/>
  <c r="DM11" i="6"/>
  <c r="JM11" i="6"/>
  <c r="AG11" i="6"/>
  <c r="IN11" i="6"/>
  <c r="IS11" i="6"/>
  <c r="CJ11" i="6"/>
  <c r="P20" i="5"/>
  <c r="DI3" i="6"/>
  <c r="JS3" i="6"/>
  <c r="HN3" i="6"/>
  <c r="AE3" i="6"/>
  <c r="IO3" i="6"/>
  <c r="HZ3" i="6"/>
  <c r="EJ3" i="6"/>
  <c r="FQ3" i="6"/>
  <c r="BV3" i="6"/>
  <c r="AN3" i="6"/>
  <c r="AC3" i="6"/>
  <c r="CJ3" i="6"/>
  <c r="HH3" i="6"/>
  <c r="EI3" i="6"/>
  <c r="IF3" i="6"/>
  <c r="GB3" i="6"/>
  <c r="JZ3" i="6"/>
  <c r="JJ3" i="6"/>
  <c r="JF3" i="6"/>
  <c r="CF3" i="6"/>
  <c r="EY3" i="6"/>
  <c r="DY3" i="6"/>
  <c r="GK3" i="6"/>
  <c r="AB3" i="6"/>
  <c r="AI3" i="6"/>
  <c r="AU3" i="6"/>
  <c r="LD3" i="6"/>
  <c r="CE3" i="6"/>
  <c r="IX3" i="6"/>
  <c r="AQ3" i="6"/>
  <c r="AK3" i="6"/>
  <c r="IW3" i="6"/>
  <c r="BX3" i="6"/>
  <c r="KF3" i="6"/>
  <c r="EE3" i="6"/>
  <c r="FO3" i="6"/>
  <c r="JK3" i="6"/>
  <c r="KK3" i="6"/>
  <c r="H3" i="6"/>
  <c r="ED3" i="6"/>
  <c r="BA3" i="6"/>
  <c r="BS3" i="6"/>
  <c r="CG3" i="6"/>
  <c r="JG3" i="6"/>
  <c r="DN3" i="6"/>
  <c r="DB3" i="6"/>
  <c r="CY3" i="6"/>
  <c r="KE3" i="6"/>
  <c r="FB3" i="6"/>
  <c r="BE3" i="6"/>
  <c r="EL3" i="6"/>
  <c r="GC3" i="6"/>
  <c r="FJ3" i="6"/>
  <c r="FA3" i="6"/>
  <c r="HU3" i="6"/>
  <c r="KQ3" i="6"/>
  <c r="GU3" i="6"/>
  <c r="HW3" i="6"/>
  <c r="JR3" i="6"/>
  <c r="JP3" i="6"/>
  <c r="IH3" i="6"/>
  <c r="IM3" i="6"/>
  <c r="KU3" i="6"/>
  <c r="KN3" i="6"/>
  <c r="IP3" i="6"/>
  <c r="EB3" i="6"/>
  <c r="IS3" i="6"/>
  <c r="IJ3" i="6"/>
  <c r="HE3" i="6"/>
  <c r="IU3" i="6"/>
  <c r="DM3" i="6"/>
  <c r="EO3" i="6"/>
  <c r="HY3" i="6"/>
  <c r="HL3" i="6"/>
  <c r="AO3" i="6"/>
  <c r="CM3" i="6"/>
  <c r="DO3" i="6"/>
  <c r="FK3" i="6"/>
  <c r="KG3" i="6"/>
  <c r="ID3" i="6"/>
  <c r="KA3" i="6"/>
  <c r="FP3" i="6"/>
  <c r="KC3" i="6"/>
  <c r="AF3" i="6"/>
  <c r="CQ3" i="6"/>
  <c r="FF3" i="6"/>
  <c r="KI3" i="6"/>
  <c r="AY3" i="6"/>
  <c r="GT3" i="6"/>
  <c r="CC3" i="6"/>
  <c r="LA3" i="6"/>
  <c r="DD3" i="6"/>
  <c r="N3" i="6"/>
  <c r="DG3" i="6"/>
  <c r="LC3" i="6"/>
  <c r="GN3" i="6"/>
  <c r="DH3" i="6"/>
  <c r="GP3" i="6"/>
  <c r="AH3" i="6"/>
  <c r="Z3" i="6"/>
  <c r="IA3" i="6"/>
  <c r="KT3" i="6"/>
  <c r="HA3" i="6"/>
  <c r="CU3" i="6"/>
  <c r="T3" i="6"/>
  <c r="HC3" i="6"/>
  <c r="KJ3" i="6"/>
  <c r="DU3" i="6"/>
  <c r="CX3" i="6"/>
  <c r="JO3" i="6"/>
  <c r="GE3" i="6"/>
  <c r="EU3" i="6"/>
  <c r="FT3" i="6"/>
  <c r="K3" i="6"/>
  <c r="JT3" i="6"/>
  <c r="KZ3" i="6"/>
  <c r="JI3" i="6"/>
  <c r="FC3" i="6"/>
  <c r="EC3" i="6"/>
  <c r="HX3" i="6"/>
  <c r="IK3" i="6"/>
  <c r="BW3" i="6"/>
  <c r="JW3" i="6"/>
  <c r="S3" i="6"/>
  <c r="CK3" i="6"/>
  <c r="HF3" i="6"/>
  <c r="BB3" i="6"/>
  <c r="HV3" i="6"/>
  <c r="LB3" i="6"/>
  <c r="CI3" i="6"/>
  <c r="CB3" i="6"/>
  <c r="DP3" i="6"/>
  <c r="AD3" i="6"/>
  <c r="AS3" i="6"/>
  <c r="CT3" i="6"/>
  <c r="AM3" i="6"/>
  <c r="HK3" i="6"/>
  <c r="JH3" i="6"/>
  <c r="CZ3" i="6"/>
  <c r="GL3" i="6"/>
  <c r="GX3" i="6"/>
  <c r="KV3" i="6"/>
  <c r="II3" i="6"/>
  <c r="GV3" i="6"/>
  <c r="AT3" i="6"/>
  <c r="HI3" i="6"/>
  <c r="FD3" i="6"/>
  <c r="EQ3" i="6"/>
  <c r="I3" i="6"/>
  <c r="EH3" i="6"/>
  <c r="EP3" i="6"/>
  <c r="FV3" i="6"/>
  <c r="KR3" i="6"/>
  <c r="BI3" i="6"/>
  <c r="HT3" i="6"/>
  <c r="F3" i="6"/>
  <c r="GD3" i="6"/>
  <c r="HQ3" i="6"/>
  <c r="KP3" i="6"/>
  <c r="IB3" i="6"/>
  <c r="GM3" i="6"/>
  <c r="DF3" i="6"/>
  <c r="BG3" i="6"/>
  <c r="GZ3" i="6"/>
  <c r="JY3" i="6"/>
  <c r="FX3" i="6"/>
  <c r="FR3" i="6"/>
  <c r="BK3" i="6"/>
  <c r="JC3" i="6"/>
  <c r="KD3" i="6"/>
  <c r="ER3" i="6"/>
  <c r="DC3" i="6"/>
  <c r="IN3" i="6"/>
  <c r="IT3" i="6"/>
  <c r="EG3" i="6"/>
  <c r="HP3" i="6"/>
  <c r="BM3" i="6"/>
  <c r="IE3" i="6"/>
  <c r="DL3" i="6"/>
  <c r="IC3" i="6"/>
  <c r="IY3" i="6"/>
  <c r="M3" i="6"/>
  <c r="GQ3" i="6"/>
  <c r="KB3" i="6"/>
  <c r="JE3" i="6"/>
  <c r="EZ3" i="6"/>
  <c r="AW3" i="6"/>
  <c r="CN3" i="6"/>
  <c r="BO3" i="6"/>
  <c r="U3" i="6"/>
  <c r="FN3" i="6"/>
  <c r="BR3" i="6"/>
  <c r="DV3" i="6"/>
  <c r="GI3" i="6"/>
  <c r="BD3" i="6"/>
  <c r="AX3" i="6"/>
  <c r="DW3" i="6"/>
  <c r="EK3" i="6"/>
  <c r="BT3" i="6"/>
  <c r="Q3" i="6"/>
  <c r="FS3" i="6"/>
  <c r="BZ3" i="6"/>
  <c r="HS3" i="6"/>
  <c r="DA3" i="6"/>
  <c r="J3" i="6"/>
  <c r="GJ3" i="6"/>
  <c r="Y3" i="6"/>
  <c r="AR3" i="6"/>
  <c r="FL3" i="6"/>
  <c r="JD3" i="6"/>
  <c r="FE3" i="6"/>
  <c r="IL3" i="6"/>
  <c r="CW3" i="6"/>
  <c r="IR3" i="6"/>
  <c r="HR3" i="6"/>
  <c r="BJ3" i="6"/>
  <c r="KL3" i="6"/>
  <c r="GO3" i="6"/>
  <c r="HG3" i="6"/>
  <c r="X3" i="6"/>
  <c r="KX3" i="6"/>
  <c r="KH3" i="6"/>
  <c r="BN3" i="6"/>
  <c r="BL3" i="6"/>
  <c r="EA3" i="6"/>
  <c r="AA3" i="6"/>
  <c r="FY3" i="6"/>
  <c r="DR3" i="6"/>
  <c r="CL3" i="6"/>
  <c r="DQ3" i="6"/>
  <c r="O3" i="6"/>
  <c r="CO3" i="6"/>
  <c r="DE3" i="6"/>
  <c r="BC3" i="6"/>
  <c r="AP3" i="6"/>
  <c r="BY3" i="6"/>
  <c r="CV3" i="6"/>
  <c r="KM3" i="6"/>
  <c r="EW3" i="6"/>
  <c r="FM3" i="6"/>
  <c r="JQ3" i="6"/>
  <c r="GF3" i="6"/>
  <c r="JB3" i="6"/>
  <c r="AG3" i="6"/>
  <c r="KY3" i="6"/>
  <c r="HB3" i="6"/>
  <c r="GW3" i="6"/>
  <c r="FH3" i="6"/>
  <c r="DK3" i="6"/>
  <c r="BH3" i="6"/>
  <c r="GH3" i="6"/>
  <c r="KS3" i="6"/>
  <c r="FW3" i="6"/>
  <c r="GR3" i="6"/>
  <c r="ET3" i="6"/>
  <c r="CH3" i="6"/>
  <c r="CR3" i="6"/>
  <c r="JM3" i="6"/>
  <c r="JL3" i="6"/>
  <c r="EX3" i="6"/>
  <c r="DX3" i="6"/>
  <c r="EV3" i="6"/>
  <c r="GS3" i="6"/>
  <c r="IG3" i="6"/>
  <c r="CD3" i="6"/>
  <c r="JX3" i="6"/>
  <c r="R3" i="6"/>
  <c r="EN3" i="6"/>
  <c r="GA3" i="6"/>
  <c r="JU3" i="6"/>
  <c r="IQ3" i="6"/>
  <c r="BQ3" i="6"/>
  <c r="DT3" i="6"/>
  <c r="FI3" i="6"/>
  <c r="KW3" i="6"/>
  <c r="CP3" i="6"/>
  <c r="KO3" i="6"/>
  <c r="HM3" i="6"/>
  <c r="EM3" i="6"/>
  <c r="JA3" i="6"/>
  <c r="HJ3" i="6"/>
  <c r="DJ3" i="6"/>
  <c r="AJ3" i="6"/>
  <c r="GY3" i="6"/>
  <c r="GG3" i="6"/>
  <c r="FG3" i="6"/>
  <c r="ES3" i="6"/>
  <c r="FZ3" i="6"/>
  <c r="AZ3" i="6"/>
  <c r="HD3" i="6"/>
  <c r="BP3" i="6"/>
  <c r="FU3" i="6"/>
  <c r="W3" i="6"/>
  <c r="CS3" i="6"/>
  <c r="IV3" i="6"/>
  <c r="HO3" i="6"/>
  <c r="CA3" i="6"/>
  <c r="P3" i="6"/>
  <c r="EF3" i="6"/>
  <c r="L3" i="6"/>
  <c r="IZ3" i="6"/>
  <c r="G3" i="6"/>
  <c r="JN3" i="6"/>
  <c r="V3" i="6"/>
  <c r="DS3" i="6"/>
  <c r="BU3" i="6"/>
  <c r="AV3" i="6"/>
  <c r="DZ3" i="6"/>
  <c r="JV3" i="6"/>
  <c r="AL3" i="6"/>
  <c r="BF3" i="6"/>
  <c r="F98" i="2"/>
  <c r="V26" i="2" s="1"/>
  <c r="G120" i="2"/>
  <c r="E117" i="2"/>
  <c r="F110" i="2"/>
  <c r="V27" i="2" s="1"/>
  <c r="K123" i="2"/>
  <c r="N121" i="2"/>
  <c r="R6" i="6"/>
  <c r="HE11" i="6" l="1"/>
  <c r="DT11" i="6"/>
  <c r="HX11" i="6"/>
  <c r="CK11" i="6"/>
  <c r="JC11" i="6"/>
  <c r="CX11" i="6"/>
  <c r="GL11" i="6"/>
  <c r="ER11" i="6"/>
  <c r="HW11" i="6"/>
  <c r="GH11" i="6"/>
  <c r="IM11" i="6"/>
  <c r="V11" i="6"/>
  <c r="HF11" i="6"/>
  <c r="LB11" i="6"/>
  <c r="GZ11" i="6"/>
  <c r="AC11" i="6"/>
  <c r="CW11" i="6"/>
  <c r="HS11" i="6"/>
  <c r="AI11" i="6"/>
  <c r="JI11" i="6"/>
  <c r="IR11" i="6"/>
  <c r="BF11" i="6"/>
  <c r="AH11" i="6"/>
  <c r="II11" i="6"/>
  <c r="KJ11" i="6"/>
  <c r="EE11" i="6"/>
  <c r="ED11" i="6"/>
  <c r="GQ11" i="6"/>
  <c r="ES11" i="6"/>
  <c r="KB11" i="6"/>
  <c r="FD11" i="6"/>
  <c r="AR11" i="6"/>
  <c r="CQ11" i="6"/>
  <c r="GW11" i="6"/>
  <c r="JH11" i="6"/>
  <c r="BP11" i="6"/>
  <c r="IW11" i="6"/>
  <c r="EK11" i="6"/>
  <c r="CT11" i="6"/>
  <c r="AX11" i="6"/>
  <c r="BU11" i="6"/>
  <c r="KE11" i="6"/>
  <c r="GB11" i="6"/>
  <c r="FQ11" i="6"/>
  <c r="IF11" i="6"/>
  <c r="FG11" i="6"/>
  <c r="ET11" i="6"/>
  <c r="DW11" i="6"/>
  <c r="Z11" i="6"/>
  <c r="HY11" i="6"/>
  <c r="IQ11" i="6"/>
  <c r="DO11" i="6"/>
  <c r="HZ11" i="6"/>
  <c r="IE11" i="6"/>
  <c r="JT11" i="6"/>
  <c r="JX11" i="6"/>
  <c r="KX11" i="6"/>
  <c r="CU11" i="6"/>
  <c r="O11" i="6"/>
  <c r="U11" i="6"/>
  <c r="DN11" i="6"/>
  <c r="HN11" i="6"/>
  <c r="GR11" i="6"/>
  <c r="HB11" i="6"/>
  <c r="ID11" i="6"/>
  <c r="IV11" i="6"/>
  <c r="FO11" i="6"/>
  <c r="KL11" i="6"/>
  <c r="FB11" i="6"/>
  <c r="DH11" i="6"/>
  <c r="J11" i="6"/>
  <c r="EO11" i="6"/>
  <c r="GU11" i="6"/>
  <c r="DC11" i="6"/>
  <c r="JL11" i="6"/>
  <c r="EI11" i="6"/>
  <c r="LC11" i="6"/>
  <c r="JY11" i="6"/>
  <c r="HK11" i="6"/>
  <c r="CD11" i="6"/>
  <c r="GV11" i="6"/>
  <c r="DL11" i="6"/>
  <c r="CC11" i="6"/>
  <c r="HI11" i="6"/>
  <c r="I11" i="6"/>
  <c r="KG11" i="6"/>
  <c r="FS11" i="6"/>
  <c r="BT11" i="6"/>
  <c r="JA11" i="6"/>
  <c r="Y11" i="6"/>
  <c r="KH11" i="6"/>
  <c r="DU11" i="6"/>
  <c r="GA11" i="6"/>
  <c r="AA11" i="6"/>
  <c r="JW11" i="6"/>
  <c r="IX11" i="6"/>
  <c r="AD11" i="6"/>
  <c r="AK11" i="6"/>
  <c r="AP11" i="6"/>
  <c r="KR11" i="6"/>
  <c r="N11" i="6"/>
  <c r="IZ11" i="6"/>
  <c r="BX11" i="6"/>
  <c r="HP11" i="6"/>
  <c r="HD11" i="6"/>
  <c r="CZ11" i="6"/>
  <c r="BY11" i="6"/>
  <c r="GO11" i="6"/>
  <c r="AM11" i="6"/>
  <c r="FF11" i="6"/>
  <c r="KT11" i="6"/>
  <c r="X11" i="6"/>
  <c r="CM11" i="6"/>
  <c r="CL11" i="6"/>
  <c r="FH11" i="6"/>
  <c r="JV11" i="6"/>
  <c r="DD11" i="6"/>
  <c r="JS11" i="6"/>
  <c r="DE11" i="6"/>
  <c r="IP11" i="6"/>
  <c r="IJ11" i="6"/>
  <c r="AL11" i="6"/>
  <c r="AO11" i="6"/>
  <c r="IY11" i="6"/>
  <c r="HV11" i="6"/>
  <c r="JJ11" i="6"/>
  <c r="S11" i="6"/>
  <c r="DQ11" i="6"/>
  <c r="EX11" i="6"/>
  <c r="JG11" i="6"/>
  <c r="GX11" i="6"/>
  <c r="HH11" i="6"/>
  <c r="DJ11" i="6"/>
  <c r="BD11" i="6"/>
  <c r="EZ11" i="6"/>
  <c r="HG11" i="6"/>
  <c r="EB11" i="6"/>
  <c r="KY11" i="6"/>
  <c r="AT11" i="6"/>
  <c r="GF11" i="6"/>
  <c r="LD11" i="6"/>
  <c r="IO11" i="6"/>
  <c r="BM11" i="6"/>
  <c r="IU11" i="6"/>
  <c r="HJ11" i="6"/>
  <c r="GP11" i="6"/>
  <c r="F11" i="6"/>
  <c r="EU11" i="6"/>
  <c r="CB11" i="6"/>
  <c r="FU11" i="6"/>
  <c r="FR11" i="6"/>
  <c r="KQ11" i="6"/>
  <c r="BO11" i="6"/>
  <c r="FL11" i="6"/>
  <c r="AS11" i="6"/>
  <c r="AZ11" i="6"/>
  <c r="JK11" i="6"/>
  <c r="KC11" i="6"/>
  <c r="IH11" i="6"/>
  <c r="EW11" i="6"/>
  <c r="GI11" i="6"/>
  <c r="JO11" i="6"/>
  <c r="DY11" i="6"/>
  <c r="KF11" i="6"/>
  <c r="KZ11" i="6"/>
  <c r="JP11" i="6"/>
  <c r="GT11" i="6"/>
  <c r="FY11" i="6"/>
  <c r="EC11" i="6"/>
  <c r="IA11" i="6"/>
  <c r="I117" i="2"/>
  <c r="T28" i="2" s="1"/>
  <c r="KK11" i="6"/>
  <c r="CY11" i="6"/>
  <c r="KV11" i="6"/>
  <c r="H11" i="6"/>
  <c r="IK11" i="6"/>
  <c r="GJ11" i="6"/>
  <c r="HT11" i="6"/>
  <c r="DF11" i="6"/>
  <c r="KO11" i="6"/>
  <c r="KN11" i="6"/>
  <c r="IT11" i="6"/>
  <c r="HQ11" i="6"/>
  <c r="JQ11" i="6"/>
  <c r="CI11" i="6"/>
  <c r="EF11" i="6"/>
  <c r="DI11" i="6"/>
  <c r="BV11" i="6"/>
  <c r="BB11" i="6"/>
  <c r="HL11" i="6"/>
  <c r="JU11" i="6"/>
  <c r="LA11" i="6"/>
  <c r="GS11" i="6"/>
  <c r="HC11" i="6"/>
  <c r="FM11" i="6"/>
  <c r="EJ11" i="6"/>
  <c r="BR11" i="6"/>
  <c r="BH11" i="6"/>
  <c r="BN11" i="6"/>
  <c r="BI11" i="6"/>
  <c r="IB11" i="6"/>
  <c r="CF11" i="6"/>
  <c r="AQ11" i="6"/>
  <c r="BK11" i="6"/>
  <c r="AB11" i="6"/>
  <c r="GK11" i="6"/>
  <c r="DR11" i="6"/>
  <c r="HM11" i="6"/>
  <c r="EV11" i="6"/>
  <c r="GC11" i="6"/>
  <c r="CS11" i="6"/>
  <c r="CV11" i="6"/>
  <c r="GY11" i="6"/>
  <c r="BG11" i="6"/>
  <c r="KM11" i="6"/>
  <c r="DA11" i="6"/>
  <c r="JD11" i="6"/>
  <c r="FA11" i="6"/>
  <c r="EH11" i="6"/>
  <c r="JE11" i="6"/>
  <c r="EG11" i="6"/>
  <c r="BJ11" i="6"/>
  <c r="FI11" i="6"/>
  <c r="HU11" i="6"/>
  <c r="R11" i="6"/>
  <c r="AU11" i="6"/>
  <c r="KP11" i="6"/>
  <c r="IL11" i="6"/>
  <c r="AY11" i="6"/>
  <c r="BL11" i="6"/>
  <c r="KS11" i="6"/>
  <c r="BZ11" i="6"/>
  <c r="BB9" i="6"/>
  <c r="JW9" i="6"/>
  <c r="EB9" i="6"/>
  <c r="EL9" i="6"/>
  <c r="R9" i="6"/>
  <c r="EE9" i="6"/>
  <c r="CC9" i="6"/>
  <c r="CJ9" i="6"/>
  <c r="FT9" i="6"/>
  <c r="EZ9" i="6"/>
  <c r="AO9" i="6"/>
  <c r="KF9" i="6"/>
  <c r="FI9" i="6"/>
  <c r="GD9" i="6"/>
  <c r="IQ9" i="6"/>
  <c r="FZ9" i="6"/>
  <c r="KM9" i="6"/>
  <c r="BI9" i="6"/>
  <c r="CW9" i="6"/>
  <c r="KL9" i="6"/>
  <c r="DP9" i="6"/>
  <c r="HG9" i="6"/>
  <c r="DY9" i="6"/>
  <c r="AL9" i="6"/>
  <c r="AC9" i="6"/>
  <c r="AK9" i="6"/>
  <c r="AY9" i="6"/>
  <c r="EH9" i="6"/>
  <c r="EC9" i="6"/>
  <c r="IW9" i="6"/>
  <c r="ES9" i="6"/>
  <c r="JF9" i="6"/>
  <c r="AS9" i="6"/>
  <c r="DM9" i="6"/>
  <c r="GC9" i="6"/>
  <c r="JX9" i="6"/>
  <c r="BC9" i="6"/>
  <c r="KZ9" i="6"/>
  <c r="KD9" i="6"/>
  <c r="GY9" i="6"/>
  <c r="CO9" i="6"/>
  <c r="EV9" i="6"/>
  <c r="V9" i="6"/>
  <c r="GH9" i="6"/>
  <c r="DL9" i="6"/>
  <c r="EK9" i="6"/>
  <c r="K9" i="6"/>
  <c r="GB9" i="6"/>
  <c r="FE9" i="6"/>
  <c r="FL9" i="6"/>
  <c r="JM9" i="6"/>
  <c r="BP9" i="6"/>
  <c r="DA9" i="6"/>
  <c r="GI9" i="6"/>
  <c r="ER9" i="6"/>
  <c r="GS9" i="6"/>
  <c r="KA9" i="6"/>
  <c r="AX9" i="6"/>
  <c r="AE9" i="6"/>
  <c r="HZ9" i="6"/>
  <c r="KK9" i="6"/>
  <c r="IC9" i="6"/>
  <c r="CV9" i="6"/>
  <c r="EW9" i="6"/>
  <c r="S9" i="6"/>
  <c r="CQ9" i="6"/>
  <c r="IU9" i="6"/>
  <c r="JP9" i="6"/>
  <c r="EX9" i="6"/>
  <c r="LB9" i="6"/>
  <c r="AQ9" i="6"/>
  <c r="AV9" i="6"/>
  <c r="ED9" i="6"/>
  <c r="O9" i="6"/>
  <c r="IB9" i="6"/>
  <c r="DB9" i="6"/>
  <c r="DV9" i="6"/>
  <c r="HS9" i="6"/>
  <c r="FX9" i="6"/>
  <c r="BQ9" i="6"/>
  <c r="BV9" i="6"/>
  <c r="EM9" i="6"/>
  <c r="GP9" i="6"/>
  <c r="BL9" i="6"/>
  <c r="GL9" i="6"/>
  <c r="HN9" i="6"/>
  <c r="CM9" i="6"/>
  <c r="JL9" i="6"/>
  <c r="KU9" i="6"/>
  <c r="IP9" i="6"/>
  <c r="CL9" i="6"/>
  <c r="CN9" i="6"/>
  <c r="I9" i="6"/>
  <c r="BU9" i="6"/>
  <c r="IE9" i="6"/>
  <c r="CS9" i="6"/>
  <c r="DI9" i="6"/>
  <c r="Y9" i="6"/>
  <c r="GW9" i="6"/>
  <c r="BT9" i="6"/>
  <c r="DX9" i="6"/>
  <c r="Z9" i="6"/>
  <c r="KT9" i="6"/>
  <c r="IA9" i="6"/>
  <c r="FN9" i="6"/>
  <c r="DT9" i="6"/>
  <c r="FF9" i="6"/>
  <c r="BE9" i="6"/>
  <c r="GM9" i="6"/>
  <c r="ID9" i="6"/>
  <c r="GV9" i="6"/>
  <c r="FR9" i="6"/>
  <c r="AB9" i="6"/>
  <c r="KV9" i="6"/>
  <c r="HD9" i="6"/>
  <c r="KJ9" i="6"/>
  <c r="J9" i="6"/>
  <c r="BW9" i="6"/>
  <c r="CK9" i="6"/>
  <c r="DW9" i="6"/>
  <c r="BK9" i="6"/>
  <c r="IX9" i="6"/>
  <c r="GE9" i="6"/>
  <c r="DD9" i="6"/>
  <c r="JZ9" i="6"/>
  <c r="CR9" i="6"/>
  <c r="CH9" i="6"/>
  <c r="CB9" i="6"/>
  <c r="IT9" i="6"/>
  <c r="JO9" i="6"/>
  <c r="AN9" i="6"/>
  <c r="FM9" i="6"/>
  <c r="JY9" i="6"/>
  <c r="FO9" i="6"/>
  <c r="FD9" i="6"/>
  <c r="IF9" i="6"/>
  <c r="FA9" i="6"/>
  <c r="AG9" i="6"/>
  <c r="GG9" i="6"/>
  <c r="GQ9" i="6"/>
  <c r="U9" i="6"/>
  <c r="EA9" i="6"/>
  <c r="IJ9" i="6"/>
  <c r="GU9" i="6"/>
  <c r="JU9" i="6"/>
  <c r="FC9" i="6"/>
  <c r="JG9" i="6"/>
  <c r="CX9" i="6"/>
  <c r="HE9" i="6"/>
  <c r="EY9" i="6"/>
  <c r="KI9" i="6"/>
  <c r="GA9" i="6"/>
  <c r="JI9" i="6"/>
  <c r="GT9" i="6"/>
  <c r="DC9" i="6"/>
  <c r="GN9" i="6"/>
  <c r="DZ9" i="6"/>
  <c r="HF9" i="6"/>
  <c r="HI9" i="6"/>
  <c r="DJ9" i="6"/>
  <c r="CI9" i="6"/>
  <c r="BR9" i="6"/>
  <c r="DQ9" i="6"/>
  <c r="HY9" i="6"/>
  <c r="FW9" i="6"/>
  <c r="EQ9" i="6"/>
  <c r="HP9" i="6"/>
  <c r="CT9" i="6"/>
  <c r="KN9" i="6"/>
  <c r="IO9" i="6"/>
  <c r="JC9" i="6"/>
  <c r="IS9" i="6"/>
  <c r="BF9" i="6"/>
  <c r="FQ9" i="6"/>
  <c r="F9" i="6"/>
  <c r="AT9" i="6"/>
  <c r="X9" i="6"/>
  <c r="JA9" i="6"/>
  <c r="DE9" i="6"/>
  <c r="BA9" i="6"/>
  <c r="KS9" i="6"/>
  <c r="IY9" i="6"/>
  <c r="BD9" i="6"/>
  <c r="KB9" i="6"/>
  <c r="EG9" i="6"/>
  <c r="AI9" i="6"/>
  <c r="CP9" i="6"/>
  <c r="IH9" i="6"/>
  <c r="GZ9" i="6"/>
  <c r="DF9" i="6"/>
  <c r="GX9" i="6"/>
  <c r="HU9" i="6"/>
  <c r="HJ9" i="6"/>
  <c r="KX9" i="6"/>
  <c r="HB9" i="6"/>
  <c r="HT9" i="6"/>
  <c r="DO9" i="6"/>
  <c r="KQ9" i="6"/>
  <c r="IN9" i="6"/>
  <c r="HL9" i="6"/>
  <c r="KG9" i="6"/>
  <c r="IM9" i="6"/>
  <c r="DH9" i="6"/>
  <c r="FP9" i="6"/>
  <c r="LA9" i="6"/>
  <c r="AW9" i="6"/>
  <c r="FG9" i="6"/>
  <c r="DN9" i="6"/>
  <c r="N9" i="6"/>
  <c r="KC9" i="6"/>
  <c r="HC9" i="6"/>
  <c r="KP9" i="6"/>
  <c r="CF9" i="6"/>
  <c r="HK9" i="6"/>
  <c r="GO9" i="6"/>
  <c r="KW9" i="6"/>
  <c r="IG9" i="6"/>
  <c r="W9" i="6"/>
  <c r="G9" i="6"/>
  <c r="ET9" i="6"/>
  <c r="CE9" i="6"/>
  <c r="GK9" i="6"/>
  <c r="AU9" i="6"/>
  <c r="JQ9" i="6"/>
  <c r="FV9" i="6"/>
  <c r="DS9" i="6"/>
  <c r="FU9" i="6"/>
  <c r="FB9" i="6"/>
  <c r="JV9" i="6"/>
  <c r="FK9" i="6"/>
  <c r="BO9" i="6"/>
  <c r="IZ9" i="6"/>
  <c r="HO9" i="6"/>
  <c r="KO9" i="6"/>
  <c r="BY9" i="6"/>
  <c r="AP9" i="6"/>
  <c r="HW9" i="6"/>
  <c r="AD9" i="6"/>
  <c r="P9" i="6"/>
  <c r="Q9" i="6"/>
  <c r="L9" i="6"/>
  <c r="BG9" i="6"/>
  <c r="JE9" i="6"/>
  <c r="T9" i="6"/>
  <c r="EJ9" i="6"/>
  <c r="FJ9" i="6"/>
  <c r="AM9" i="6"/>
  <c r="CU9" i="6"/>
  <c r="HM9" i="6"/>
  <c r="KY9" i="6"/>
  <c r="M9" i="6"/>
  <c r="JJ9" i="6"/>
  <c r="KH9" i="6"/>
  <c r="JH9" i="6"/>
  <c r="AR9" i="6"/>
  <c r="BN9" i="6"/>
  <c r="EP9" i="6"/>
  <c r="HR9" i="6"/>
  <c r="IK9" i="6"/>
  <c r="GJ9" i="6"/>
  <c r="AF9" i="6"/>
  <c r="DR9" i="6"/>
  <c r="CY9" i="6"/>
  <c r="HH9" i="6"/>
  <c r="IV9" i="6"/>
  <c r="LC9" i="6"/>
  <c r="AJ9" i="6"/>
  <c r="LD9" i="6"/>
  <c r="HX9" i="6"/>
  <c r="EF9" i="6"/>
  <c r="EU9" i="6"/>
  <c r="BJ9" i="6"/>
  <c r="GR9" i="6"/>
  <c r="JS9" i="6"/>
  <c r="BM9" i="6"/>
  <c r="BS9" i="6"/>
  <c r="JN9" i="6"/>
  <c r="BH9" i="6"/>
  <c r="IL9" i="6"/>
  <c r="FS9" i="6"/>
  <c r="AA9" i="6"/>
  <c r="CD9" i="6"/>
  <c r="CZ9" i="6"/>
  <c r="DG9" i="6"/>
  <c r="HA9" i="6"/>
  <c r="BZ9" i="6"/>
  <c r="AH9" i="6"/>
  <c r="BX9" i="6"/>
  <c r="CA9" i="6"/>
  <c r="JK9" i="6"/>
  <c r="FH9" i="6"/>
  <c r="FY9" i="6"/>
  <c r="AZ9" i="6"/>
  <c r="EI9" i="6"/>
  <c r="H9" i="6"/>
  <c r="JB9" i="6"/>
  <c r="DK9" i="6"/>
  <c r="II9" i="6"/>
  <c r="CG9" i="6"/>
  <c r="JT9" i="6"/>
  <c r="KR9" i="6"/>
  <c r="EN9" i="6"/>
  <c r="IR9" i="6"/>
  <c r="DU9" i="6"/>
  <c r="JR9" i="6"/>
  <c r="EO9" i="6"/>
  <c r="HV9" i="6"/>
  <c r="JD9" i="6"/>
  <c r="HQ9" i="6"/>
  <c r="GF9" i="6"/>
  <c r="KE9" i="6"/>
  <c r="K122" i="2"/>
  <c r="N122" i="2" s="1"/>
  <c r="G117" i="2"/>
  <c r="F4" i="6"/>
  <c r="D3" i="6"/>
  <c r="N123" i="2"/>
  <c r="S6" i="6"/>
  <c r="D11" i="6" l="1"/>
  <c r="F12" i="6"/>
  <c r="G12" i="6" s="1"/>
  <c r="H12" i="6" s="1"/>
  <c r="I12" i="6" s="1"/>
  <c r="J12" i="6" s="1"/>
  <c r="K12" i="6" s="1"/>
  <c r="L12" i="6" s="1"/>
  <c r="M12" i="6" s="1"/>
  <c r="N12" i="6" s="1"/>
  <c r="O12" i="6" s="1"/>
  <c r="P12" i="6" s="1"/>
  <c r="Q12" i="6" s="1"/>
  <c r="R12" i="6" s="1"/>
  <c r="S12" i="6" s="1"/>
  <c r="D9" i="6"/>
  <c r="K117" i="2"/>
  <c r="W28" i="2" s="1"/>
  <c r="F10" i="6"/>
  <c r="J117" i="2"/>
  <c r="U28" i="2" s="1"/>
  <c r="N117" i="2"/>
  <c r="N9" i="2" s="1"/>
  <c r="F117" i="2"/>
  <c r="V28" i="2" s="1"/>
  <c r="G4" i="6"/>
  <c r="F7" i="6"/>
  <c r="T6" i="6"/>
  <c r="F14" i="6" l="1"/>
  <c r="G10" i="6"/>
  <c r="H10" i="6" s="1"/>
  <c r="H4" i="6"/>
  <c r="G7" i="6"/>
  <c r="U6" i="6"/>
  <c r="T12" i="6"/>
  <c r="G14" i="6" l="1"/>
  <c r="I4" i="6"/>
  <c r="H7" i="6"/>
  <c r="I10" i="6"/>
  <c r="H14" i="6"/>
  <c r="U12" i="6"/>
  <c r="V6" i="6"/>
  <c r="J4" i="6" l="1"/>
  <c r="I7" i="6"/>
  <c r="J10" i="6"/>
  <c r="I14" i="6"/>
  <c r="W6" i="6"/>
  <c r="V12" i="6"/>
  <c r="K4" i="6" l="1"/>
  <c r="J7" i="6"/>
  <c r="K10" i="6"/>
  <c r="J14" i="6"/>
  <c r="W12" i="6"/>
  <c r="X6" i="6"/>
  <c r="L4" i="6" l="1"/>
  <c r="K7" i="6"/>
  <c r="L10" i="6"/>
  <c r="K14" i="6"/>
  <c r="Y6" i="6"/>
  <c r="X12" i="6"/>
  <c r="M4" i="6" l="1"/>
  <c r="L7" i="6"/>
  <c r="L14" i="6"/>
  <c r="M10" i="6"/>
  <c r="Y12" i="6"/>
  <c r="Z6" i="6"/>
  <c r="N4" i="6" l="1"/>
  <c r="M7" i="6"/>
  <c r="N10" i="6"/>
  <c r="M14" i="6"/>
  <c r="AA6" i="6"/>
  <c r="Z12" i="6"/>
  <c r="O4" i="6" l="1"/>
  <c r="N7" i="6"/>
  <c r="O10" i="6"/>
  <c r="N14" i="6"/>
  <c r="AA12" i="6"/>
  <c r="AB6" i="6"/>
  <c r="P4" i="6" l="1"/>
  <c r="O7" i="6"/>
  <c r="P10" i="6"/>
  <c r="O14" i="6"/>
  <c r="AC6" i="6"/>
  <c r="AB12" i="6"/>
  <c r="Q4" i="6" l="1"/>
  <c r="P7" i="6"/>
  <c r="Q10" i="6"/>
  <c r="P14" i="6"/>
  <c r="AC12" i="6"/>
  <c r="AD6" i="6"/>
  <c r="R4" i="6" l="1"/>
  <c r="Q7" i="6"/>
  <c r="R10" i="6"/>
  <c r="Q14" i="6"/>
  <c r="AE6" i="6"/>
  <c r="AD12" i="6"/>
  <c r="S4" i="6" l="1"/>
  <c r="R7" i="6"/>
  <c r="S10" i="6"/>
  <c r="R14" i="6"/>
  <c r="AE12" i="6"/>
  <c r="AF6" i="6"/>
  <c r="T4" i="6" l="1"/>
  <c r="S7" i="6"/>
  <c r="T10" i="6"/>
  <c r="S14" i="6"/>
  <c r="AG6" i="6"/>
  <c r="AF12" i="6"/>
  <c r="T7" i="6" l="1"/>
  <c r="U4" i="6"/>
  <c r="U10" i="6"/>
  <c r="T14" i="6"/>
  <c r="AG12" i="6"/>
  <c r="AH6" i="6"/>
  <c r="V4" i="6" l="1"/>
  <c r="U7" i="6"/>
  <c r="V10" i="6"/>
  <c r="U14" i="6"/>
  <c r="AI6" i="6"/>
  <c r="AH12" i="6"/>
  <c r="W4" i="6" l="1"/>
  <c r="V7" i="6"/>
  <c r="W10" i="6"/>
  <c r="V14" i="6"/>
  <c r="AI12" i="6"/>
  <c r="AJ6" i="6"/>
  <c r="X4" i="6" l="1"/>
  <c r="W7" i="6"/>
  <c r="X10" i="6"/>
  <c r="W14" i="6"/>
  <c r="AJ12" i="6"/>
  <c r="AK6" i="6"/>
  <c r="Y4" i="6" l="1"/>
  <c r="X7" i="6"/>
  <c r="Y10" i="6"/>
  <c r="X14" i="6"/>
  <c r="AK12" i="6"/>
  <c r="AL6" i="6"/>
  <c r="Z4" i="6" l="1"/>
  <c r="Y7" i="6"/>
  <c r="Y14" i="6"/>
  <c r="Z10" i="6"/>
  <c r="AM6" i="6"/>
  <c r="AL12" i="6"/>
  <c r="AA4" i="6" l="1"/>
  <c r="Z7" i="6"/>
  <c r="AA10" i="6"/>
  <c r="Z14" i="6"/>
  <c r="AM12" i="6"/>
  <c r="AN6" i="6"/>
  <c r="AB4" i="6" l="1"/>
  <c r="AA7" i="6"/>
  <c r="AB10" i="6"/>
  <c r="AA14" i="6"/>
  <c r="AO6" i="6"/>
  <c r="AN12" i="6"/>
  <c r="AC4" i="6" l="1"/>
  <c r="AB7" i="6"/>
  <c r="AC10" i="6"/>
  <c r="AB14" i="6"/>
  <c r="AO12" i="6"/>
  <c r="AP6" i="6"/>
  <c r="AD4" i="6" l="1"/>
  <c r="AC7" i="6"/>
  <c r="AD10" i="6"/>
  <c r="AC14" i="6"/>
  <c r="AQ6" i="6"/>
  <c r="AP12" i="6"/>
  <c r="AE4" i="6" l="1"/>
  <c r="AD7" i="6"/>
  <c r="AE10" i="6"/>
  <c r="AD14" i="6"/>
  <c r="AR6" i="6"/>
  <c r="AQ12" i="6"/>
  <c r="AF4" i="6" l="1"/>
  <c r="AE7" i="6"/>
  <c r="AF10" i="6"/>
  <c r="AE14" i="6"/>
  <c r="AR12" i="6"/>
  <c r="AS6" i="6"/>
  <c r="AF7" i="6" l="1"/>
  <c r="AG4" i="6"/>
  <c r="AG10" i="6"/>
  <c r="AF14" i="6"/>
  <c r="AT6" i="6"/>
  <c r="AS12" i="6"/>
  <c r="AH4" i="6" l="1"/>
  <c r="AG7" i="6"/>
  <c r="AH10" i="6"/>
  <c r="AG14" i="6"/>
  <c r="AT12" i="6"/>
  <c r="AU6" i="6"/>
  <c r="AH7" i="6" l="1"/>
  <c r="AI4" i="6"/>
  <c r="AI10" i="6"/>
  <c r="AH14" i="6"/>
  <c r="AV6" i="6"/>
  <c r="AU12" i="6"/>
  <c r="AJ4" i="6" l="1"/>
  <c r="AI7" i="6"/>
  <c r="AJ10" i="6"/>
  <c r="AI14" i="6"/>
  <c r="AV12" i="6"/>
  <c r="AW6" i="6"/>
  <c r="AJ7" i="6" l="1"/>
  <c r="AK4" i="6"/>
  <c r="AK10" i="6"/>
  <c r="AJ14" i="6"/>
  <c r="AX6" i="6"/>
  <c r="AW12" i="6"/>
  <c r="AL4" i="6" l="1"/>
  <c r="AK7" i="6"/>
  <c r="AL10" i="6"/>
  <c r="AK14" i="6"/>
  <c r="AX12" i="6"/>
  <c r="AY6" i="6"/>
  <c r="AM4" i="6" l="1"/>
  <c r="AL7" i="6"/>
  <c r="AM10" i="6"/>
  <c r="AL14" i="6"/>
  <c r="AY12" i="6"/>
  <c r="AZ6" i="6"/>
  <c r="AN4" i="6" l="1"/>
  <c r="AM7" i="6"/>
  <c r="AN10" i="6"/>
  <c r="AM14" i="6"/>
  <c r="BA6" i="6"/>
  <c r="AZ12" i="6"/>
  <c r="AO4" i="6" l="1"/>
  <c r="AN7" i="6"/>
  <c r="AO10" i="6"/>
  <c r="AN14" i="6"/>
  <c r="BA12" i="6"/>
  <c r="BB6" i="6"/>
  <c r="AP4" i="6" l="1"/>
  <c r="AO7" i="6"/>
  <c r="AP10" i="6"/>
  <c r="AO14" i="6"/>
  <c r="BB12" i="6"/>
  <c r="BC6" i="6"/>
  <c r="AQ4" i="6" l="1"/>
  <c r="AP7" i="6"/>
  <c r="AQ10" i="6"/>
  <c r="AP14" i="6"/>
  <c r="BD6" i="6"/>
  <c r="BC12" i="6"/>
  <c r="AQ7" i="6" l="1"/>
  <c r="AR4" i="6"/>
  <c r="AR10" i="6"/>
  <c r="AQ14" i="6"/>
  <c r="BD12" i="6"/>
  <c r="BE6" i="6"/>
  <c r="AS4" i="6" l="1"/>
  <c r="AR7" i="6"/>
  <c r="AS10" i="6"/>
  <c r="AR14" i="6"/>
  <c r="BF6" i="6"/>
  <c r="BE12" i="6"/>
  <c r="AT4" i="6" l="1"/>
  <c r="AS7" i="6"/>
  <c r="AT10" i="6"/>
  <c r="AS14" i="6"/>
  <c r="BF12" i="6"/>
  <c r="BG6" i="6"/>
  <c r="AU4" i="6" l="1"/>
  <c r="AT7" i="6"/>
  <c r="AU10" i="6"/>
  <c r="AT14" i="6"/>
  <c r="BH6" i="6"/>
  <c r="BG12" i="6"/>
  <c r="AV4" i="6" l="1"/>
  <c r="AU7" i="6"/>
  <c r="AV10" i="6"/>
  <c r="AU14" i="6"/>
  <c r="BH12" i="6"/>
  <c r="BI6" i="6"/>
  <c r="AW4" i="6" l="1"/>
  <c r="AV7" i="6"/>
  <c r="AW10" i="6"/>
  <c r="AV14" i="6"/>
  <c r="BJ6" i="6"/>
  <c r="BI12" i="6"/>
  <c r="AX4" i="6" l="1"/>
  <c r="AW7" i="6"/>
  <c r="AX10" i="6"/>
  <c r="AW14" i="6"/>
  <c r="BJ12" i="6"/>
  <c r="BK6" i="6"/>
  <c r="AY4" i="6" l="1"/>
  <c r="AX7" i="6"/>
  <c r="AY10" i="6"/>
  <c r="AX14" i="6"/>
  <c r="BL6" i="6"/>
  <c r="BK12" i="6"/>
  <c r="AY7" i="6" l="1"/>
  <c r="AZ4" i="6"/>
  <c r="AZ10" i="6"/>
  <c r="AY14" i="6"/>
  <c r="BL12" i="6"/>
  <c r="BM6" i="6"/>
  <c r="AZ7" i="6" l="1"/>
  <c r="BA4" i="6"/>
  <c r="BA10" i="6"/>
  <c r="AZ14" i="6"/>
  <c r="BN6" i="6"/>
  <c r="BM12" i="6"/>
  <c r="BB4" i="6" l="1"/>
  <c r="BA7" i="6"/>
  <c r="BB10" i="6"/>
  <c r="BA14" i="6"/>
  <c r="BN12" i="6"/>
  <c r="BO6" i="6"/>
  <c r="BC4" i="6" l="1"/>
  <c r="BB7" i="6"/>
  <c r="BC10" i="6"/>
  <c r="BB14" i="6"/>
  <c r="BP6" i="6"/>
  <c r="BO12" i="6"/>
  <c r="BD4" i="6" l="1"/>
  <c r="BC7" i="6"/>
  <c r="BD10" i="6"/>
  <c r="BC14" i="6"/>
  <c r="BQ6" i="6"/>
  <c r="BP12" i="6"/>
  <c r="BE4" i="6" l="1"/>
  <c r="BD7" i="6"/>
  <c r="BE10" i="6"/>
  <c r="BD14" i="6"/>
  <c r="BQ12" i="6"/>
  <c r="BR6" i="6"/>
  <c r="BF4" i="6" l="1"/>
  <c r="BE7" i="6"/>
  <c r="BF10" i="6"/>
  <c r="BE14" i="6"/>
  <c r="BS6" i="6"/>
  <c r="BR12" i="6"/>
  <c r="BF7" i="6" l="1"/>
  <c r="BG4" i="6"/>
  <c r="BG10" i="6"/>
  <c r="BF14" i="6"/>
  <c r="BS12" i="6"/>
  <c r="BT6" i="6"/>
  <c r="BG7" i="6" l="1"/>
  <c r="BH4" i="6"/>
  <c r="BH10" i="6"/>
  <c r="BG14" i="6"/>
  <c r="BU6" i="6"/>
  <c r="BT12" i="6"/>
  <c r="BI4" i="6" l="1"/>
  <c r="BH7" i="6"/>
  <c r="BI10" i="6"/>
  <c r="BH14" i="6"/>
  <c r="BU12" i="6"/>
  <c r="BV6" i="6"/>
  <c r="BJ4" i="6" l="1"/>
  <c r="BI7" i="6"/>
  <c r="BJ10" i="6"/>
  <c r="BI14" i="6"/>
  <c r="BW6" i="6"/>
  <c r="BV12" i="6"/>
  <c r="BK4" i="6" l="1"/>
  <c r="BJ7" i="6"/>
  <c r="BK10" i="6"/>
  <c r="BJ14" i="6"/>
  <c r="BW12" i="6"/>
  <c r="BX6" i="6"/>
  <c r="BL4" i="6" l="1"/>
  <c r="BK7" i="6"/>
  <c r="BL10" i="6"/>
  <c r="BK14" i="6"/>
  <c r="BY6" i="6"/>
  <c r="BX12" i="6"/>
  <c r="BM4" i="6" l="1"/>
  <c r="BL7" i="6"/>
  <c r="BM10" i="6"/>
  <c r="BL14" i="6"/>
  <c r="BY12" i="6"/>
  <c r="BZ6" i="6"/>
  <c r="BN4" i="6" l="1"/>
  <c r="BM7" i="6"/>
  <c r="BN10" i="6"/>
  <c r="BM14" i="6"/>
  <c r="CA6" i="6"/>
  <c r="BZ12" i="6"/>
  <c r="BO4" i="6" l="1"/>
  <c r="BN7" i="6"/>
  <c r="BO10" i="6"/>
  <c r="BN14" i="6"/>
  <c r="CA12" i="6"/>
  <c r="CB6" i="6"/>
  <c r="BP4" i="6" l="1"/>
  <c r="BO7" i="6"/>
  <c r="BP10" i="6"/>
  <c r="BO14" i="6"/>
  <c r="CC6" i="6"/>
  <c r="CB12" i="6"/>
  <c r="BQ4" i="6" l="1"/>
  <c r="BP7" i="6"/>
  <c r="BQ10" i="6"/>
  <c r="BP14" i="6"/>
  <c r="CC12" i="6"/>
  <c r="CD6" i="6"/>
  <c r="BR4" i="6" l="1"/>
  <c r="BQ7" i="6"/>
  <c r="BR10" i="6"/>
  <c r="BQ14" i="6"/>
  <c r="CE6" i="6"/>
  <c r="CD12" i="6"/>
  <c r="BS4" i="6" l="1"/>
  <c r="BR7" i="6"/>
  <c r="BR14" i="6"/>
  <c r="BS10" i="6"/>
  <c r="CE12" i="6"/>
  <c r="CF6" i="6"/>
  <c r="BT4" i="6" l="1"/>
  <c r="BS7" i="6"/>
  <c r="BT10" i="6"/>
  <c r="BS14" i="6"/>
  <c r="CG6" i="6"/>
  <c r="CF12" i="6"/>
  <c r="BU4" i="6" l="1"/>
  <c r="BT7" i="6"/>
  <c r="BU10" i="6"/>
  <c r="BT14" i="6"/>
  <c r="CG12" i="6"/>
  <c r="CH6" i="6"/>
  <c r="BV4" i="6" l="1"/>
  <c r="BU7" i="6"/>
  <c r="BV10" i="6"/>
  <c r="BU14" i="6"/>
  <c r="CI6" i="6"/>
  <c r="CH12" i="6"/>
  <c r="BW4" i="6" l="1"/>
  <c r="BV7" i="6"/>
  <c r="BW10" i="6"/>
  <c r="BV14" i="6"/>
  <c r="CI12" i="6"/>
  <c r="CJ6" i="6"/>
  <c r="BX4" i="6" l="1"/>
  <c r="BW7" i="6"/>
  <c r="BX10" i="6"/>
  <c r="BW14" i="6"/>
  <c r="CK6" i="6"/>
  <c r="CJ12" i="6"/>
  <c r="BY4" i="6" l="1"/>
  <c r="BX7" i="6"/>
  <c r="BY10" i="6"/>
  <c r="BX14" i="6"/>
  <c r="CK12" i="6"/>
  <c r="CL6" i="6"/>
  <c r="BY7" i="6" l="1"/>
  <c r="BZ4" i="6"/>
  <c r="BY14" i="6"/>
  <c r="BZ10" i="6"/>
  <c r="CM6" i="6"/>
  <c r="CL12" i="6"/>
  <c r="CA4" i="6" l="1"/>
  <c r="BZ7" i="6"/>
  <c r="CA10" i="6"/>
  <c r="BZ14" i="6"/>
  <c r="CM12" i="6"/>
  <c r="CN6" i="6"/>
  <c r="CB4" i="6" l="1"/>
  <c r="CA7" i="6"/>
  <c r="CB10" i="6"/>
  <c r="CA14" i="6"/>
  <c r="CO6" i="6"/>
  <c r="CN12" i="6"/>
  <c r="CC4" i="6" l="1"/>
  <c r="CB7" i="6"/>
  <c r="CC10" i="6"/>
  <c r="CB14" i="6"/>
  <c r="CP6" i="6"/>
  <c r="CO12" i="6"/>
  <c r="CD4" i="6" l="1"/>
  <c r="CC7" i="6"/>
  <c r="CD10" i="6"/>
  <c r="CC14" i="6"/>
  <c r="CP12" i="6"/>
  <c r="CQ6" i="6"/>
  <c r="CE4" i="6" l="1"/>
  <c r="CD7" i="6"/>
  <c r="CE10" i="6"/>
  <c r="CD14" i="6"/>
  <c r="CR6" i="6"/>
  <c r="CQ12" i="6"/>
  <c r="CF4" i="6" l="1"/>
  <c r="CE7" i="6"/>
  <c r="CF10" i="6"/>
  <c r="CE14" i="6"/>
  <c r="CR12" i="6"/>
  <c r="CS6" i="6"/>
  <c r="CG4" i="6" l="1"/>
  <c r="CF7" i="6"/>
  <c r="CG10" i="6"/>
  <c r="CF14" i="6"/>
  <c r="CS12" i="6"/>
  <c r="CT6" i="6"/>
  <c r="CH4" i="6" l="1"/>
  <c r="CG7" i="6"/>
  <c r="CH10" i="6"/>
  <c r="CG14" i="6"/>
  <c r="CU6" i="6"/>
  <c r="CT12" i="6"/>
  <c r="CI4" i="6" l="1"/>
  <c r="CH7" i="6"/>
  <c r="CI10" i="6"/>
  <c r="CH14" i="6"/>
  <c r="CU12" i="6"/>
  <c r="CV6" i="6"/>
  <c r="CJ4" i="6" l="1"/>
  <c r="CI7" i="6"/>
  <c r="CJ10" i="6"/>
  <c r="CI14" i="6"/>
  <c r="CW6" i="6"/>
  <c r="CV12" i="6"/>
  <c r="CK4" i="6" l="1"/>
  <c r="CJ7" i="6"/>
  <c r="CK10" i="6"/>
  <c r="CJ14" i="6"/>
  <c r="CX6" i="6"/>
  <c r="CW12" i="6"/>
  <c r="CL4" i="6" l="1"/>
  <c r="CK7" i="6"/>
  <c r="CL10" i="6"/>
  <c r="CK14" i="6"/>
  <c r="CX12" i="6"/>
  <c r="CY6" i="6"/>
  <c r="CM4" i="6" l="1"/>
  <c r="CL7" i="6"/>
  <c r="CM10" i="6"/>
  <c r="CL14" i="6"/>
  <c r="CZ6" i="6"/>
  <c r="CY12" i="6"/>
  <c r="CN4" i="6" l="1"/>
  <c r="CM7" i="6"/>
  <c r="CN10" i="6"/>
  <c r="CM14" i="6"/>
  <c r="CZ12" i="6"/>
  <c r="DA6" i="6"/>
  <c r="CO4" i="6" l="1"/>
  <c r="CN7" i="6"/>
  <c r="CO10" i="6"/>
  <c r="CN14" i="6"/>
  <c r="DB6" i="6"/>
  <c r="DA12" i="6"/>
  <c r="CP4" i="6" l="1"/>
  <c r="CO7" i="6"/>
  <c r="CP10" i="6"/>
  <c r="CO14" i="6"/>
  <c r="DB12" i="6"/>
  <c r="DC6" i="6"/>
  <c r="CQ4" i="6" l="1"/>
  <c r="CP7" i="6"/>
  <c r="CQ10" i="6"/>
  <c r="CP14" i="6"/>
  <c r="DD6" i="6"/>
  <c r="DC12" i="6"/>
  <c r="CR4" i="6" l="1"/>
  <c r="CQ7" i="6"/>
  <c r="CR10" i="6"/>
  <c r="CQ14" i="6"/>
  <c r="DD12" i="6"/>
  <c r="DE6" i="6"/>
  <c r="CS4" i="6" l="1"/>
  <c r="CR7" i="6"/>
  <c r="CS10" i="6"/>
  <c r="CR14" i="6"/>
  <c r="DF6" i="6"/>
  <c r="DE12" i="6"/>
  <c r="CT4" i="6" l="1"/>
  <c r="CS7" i="6"/>
  <c r="CT10" i="6"/>
  <c r="CS14" i="6"/>
  <c r="DF12" i="6"/>
  <c r="DG6" i="6"/>
  <c r="CU4" i="6" l="1"/>
  <c r="CT7" i="6"/>
  <c r="CU10" i="6"/>
  <c r="CT14" i="6"/>
  <c r="DH6" i="6"/>
  <c r="DG12" i="6"/>
  <c r="CV4" i="6" l="1"/>
  <c r="CU7" i="6"/>
  <c r="CU14" i="6"/>
  <c r="CV10" i="6"/>
  <c r="DH12" i="6"/>
  <c r="DI6" i="6"/>
  <c r="CW4" i="6" l="1"/>
  <c r="CV7" i="6"/>
  <c r="CW10" i="6"/>
  <c r="CV14" i="6"/>
  <c r="DJ6" i="6"/>
  <c r="DI12" i="6"/>
  <c r="CX4" i="6" l="1"/>
  <c r="CW7" i="6"/>
  <c r="CX10" i="6"/>
  <c r="CW14" i="6"/>
  <c r="DJ12" i="6"/>
  <c r="DK6" i="6"/>
  <c r="CY4" i="6" l="1"/>
  <c r="CX7" i="6"/>
  <c r="CY10" i="6"/>
  <c r="CX14" i="6"/>
  <c r="DL6" i="6"/>
  <c r="DK12" i="6"/>
  <c r="CZ4" i="6" l="1"/>
  <c r="CY7" i="6"/>
  <c r="CZ10" i="6"/>
  <c r="CY14" i="6"/>
  <c r="DM6" i="6"/>
  <c r="DL12" i="6"/>
  <c r="DA4" i="6" l="1"/>
  <c r="CZ7" i="6"/>
  <c r="DA10" i="6"/>
  <c r="CZ14" i="6"/>
  <c r="DM12" i="6"/>
  <c r="DN6" i="6"/>
  <c r="DB4" i="6" l="1"/>
  <c r="DA7" i="6"/>
  <c r="DB10" i="6"/>
  <c r="DA14" i="6"/>
  <c r="DO6" i="6"/>
  <c r="DN12" i="6"/>
  <c r="DC4" i="6" l="1"/>
  <c r="DB7" i="6"/>
  <c r="DC10" i="6"/>
  <c r="DB14" i="6"/>
  <c r="DP6" i="6"/>
  <c r="DO12" i="6"/>
  <c r="DC7" i="6" l="1"/>
  <c r="DD4" i="6"/>
  <c r="DD10" i="6"/>
  <c r="DC14" i="6"/>
  <c r="DP12" i="6"/>
  <c r="DQ6" i="6"/>
  <c r="DE4" i="6" l="1"/>
  <c r="DD7" i="6"/>
  <c r="DE10" i="6"/>
  <c r="DD14" i="6"/>
  <c r="DQ12" i="6"/>
  <c r="DR6" i="6"/>
  <c r="DF4" i="6" l="1"/>
  <c r="DE7" i="6"/>
  <c r="DF10" i="6"/>
  <c r="DE14" i="6"/>
  <c r="DS6" i="6"/>
  <c r="DR12" i="6"/>
  <c r="DG4" i="6" l="1"/>
  <c r="DF7" i="6"/>
  <c r="DF14" i="6"/>
  <c r="DG10" i="6"/>
  <c r="DS12" i="6"/>
  <c r="DT6" i="6"/>
  <c r="DH4" i="6" l="1"/>
  <c r="DG7" i="6"/>
  <c r="DH10" i="6"/>
  <c r="DG14" i="6"/>
  <c r="DU6" i="6"/>
  <c r="DT12" i="6"/>
  <c r="DI4" i="6" l="1"/>
  <c r="DH7" i="6"/>
  <c r="DI10" i="6"/>
  <c r="DH14" i="6"/>
  <c r="DV6" i="6"/>
  <c r="DU12" i="6"/>
  <c r="DJ4" i="6" l="1"/>
  <c r="DI7" i="6"/>
  <c r="DJ10" i="6"/>
  <c r="DI14" i="6"/>
  <c r="DV12" i="6"/>
  <c r="DW6" i="6"/>
  <c r="DK4" i="6" l="1"/>
  <c r="DJ7" i="6"/>
  <c r="DK10" i="6"/>
  <c r="DJ14" i="6"/>
  <c r="DX6" i="6"/>
  <c r="DW12" i="6"/>
  <c r="DL4" i="6" l="1"/>
  <c r="DK7" i="6"/>
  <c r="DL10" i="6"/>
  <c r="DK14" i="6"/>
  <c r="DX12" i="6"/>
  <c r="DY6" i="6"/>
  <c r="DM4" i="6" l="1"/>
  <c r="DL7" i="6"/>
  <c r="DM10" i="6"/>
  <c r="DL14" i="6"/>
  <c r="DZ6" i="6"/>
  <c r="DY12" i="6"/>
  <c r="DN4" i="6" l="1"/>
  <c r="DM7" i="6"/>
  <c r="DN10" i="6"/>
  <c r="DM14" i="6"/>
  <c r="DZ12" i="6"/>
  <c r="EA6" i="6"/>
  <c r="DO4" i="6" l="1"/>
  <c r="DN7" i="6"/>
  <c r="DO10" i="6"/>
  <c r="DN14" i="6"/>
  <c r="EA12" i="6"/>
  <c r="EB6" i="6"/>
  <c r="DO7" i="6" l="1"/>
  <c r="DP4" i="6"/>
  <c r="DP10" i="6"/>
  <c r="DO14" i="6"/>
  <c r="EC6" i="6"/>
  <c r="EB12" i="6"/>
  <c r="DQ4" i="6" l="1"/>
  <c r="DP7" i="6"/>
  <c r="DQ10" i="6"/>
  <c r="DP14" i="6"/>
  <c r="EC12" i="6"/>
  <c r="ED6" i="6"/>
  <c r="DR4" i="6" l="1"/>
  <c r="DQ7" i="6"/>
  <c r="DR10" i="6"/>
  <c r="DQ14" i="6"/>
  <c r="EE6" i="6"/>
  <c r="ED12" i="6"/>
  <c r="DS4" i="6" l="1"/>
  <c r="DR7" i="6"/>
  <c r="DS10" i="6"/>
  <c r="DR14" i="6"/>
  <c r="EE12" i="6"/>
  <c r="EF6" i="6"/>
  <c r="DT4" i="6" l="1"/>
  <c r="DS7" i="6"/>
  <c r="DT10" i="6"/>
  <c r="DS14" i="6"/>
  <c r="EF12" i="6"/>
  <c r="EG6" i="6"/>
  <c r="DU4" i="6" l="1"/>
  <c r="DT7" i="6"/>
  <c r="DU10" i="6"/>
  <c r="DT14" i="6"/>
  <c r="EH6" i="6"/>
  <c r="EG12" i="6"/>
  <c r="DV4" i="6" l="1"/>
  <c r="DU7" i="6"/>
  <c r="DV10" i="6"/>
  <c r="DU14" i="6"/>
  <c r="EH12" i="6"/>
  <c r="EI6" i="6"/>
  <c r="DW4" i="6" l="1"/>
  <c r="DV7" i="6"/>
  <c r="DW10" i="6"/>
  <c r="DV14" i="6"/>
  <c r="EI12" i="6"/>
  <c r="EJ6" i="6"/>
  <c r="DX4" i="6" l="1"/>
  <c r="DW7" i="6"/>
  <c r="DX10" i="6"/>
  <c r="DW14" i="6"/>
  <c r="EK6" i="6"/>
  <c r="EJ12" i="6"/>
  <c r="DY4" i="6" l="1"/>
  <c r="DX7" i="6"/>
  <c r="DY10" i="6"/>
  <c r="DX14" i="6"/>
  <c r="EK12" i="6"/>
  <c r="EL6" i="6"/>
  <c r="DZ4" i="6" l="1"/>
  <c r="DY7" i="6"/>
  <c r="DZ10" i="6"/>
  <c r="DY14" i="6"/>
  <c r="EM6" i="6"/>
  <c r="EL12" i="6"/>
  <c r="EA4" i="6" l="1"/>
  <c r="DZ7" i="6"/>
  <c r="EA10" i="6"/>
  <c r="DZ14" i="6"/>
  <c r="EM12" i="6"/>
  <c r="EN6" i="6"/>
  <c r="EB4" i="6" l="1"/>
  <c r="EA7" i="6"/>
  <c r="EB10" i="6"/>
  <c r="EA14" i="6"/>
  <c r="EO6" i="6"/>
  <c r="EN12" i="6"/>
  <c r="EC4" i="6" l="1"/>
  <c r="EB7" i="6"/>
  <c r="EC10" i="6"/>
  <c r="EB14" i="6"/>
  <c r="EO12" i="6"/>
  <c r="EP6" i="6"/>
  <c r="ED4" i="6" l="1"/>
  <c r="EC7" i="6"/>
  <c r="ED10" i="6"/>
  <c r="EC14" i="6"/>
  <c r="EQ6" i="6"/>
  <c r="EP12" i="6"/>
  <c r="EE4" i="6" l="1"/>
  <c r="ED7" i="6"/>
  <c r="EE10" i="6"/>
  <c r="ED14" i="6"/>
  <c r="EQ12" i="6"/>
  <c r="ER6" i="6"/>
  <c r="EF4" i="6" l="1"/>
  <c r="EE7" i="6"/>
  <c r="EF10" i="6"/>
  <c r="EE14" i="6"/>
  <c r="ES6" i="6"/>
  <c r="ER12" i="6"/>
  <c r="EG4" i="6" l="1"/>
  <c r="EF7" i="6"/>
  <c r="EG10" i="6"/>
  <c r="EF14" i="6"/>
  <c r="ES12" i="6"/>
  <c r="ET6" i="6"/>
  <c r="EH4" i="6" l="1"/>
  <c r="EG7" i="6"/>
  <c r="EG14" i="6"/>
  <c r="EH10" i="6"/>
  <c r="ET12" i="6"/>
  <c r="EU6" i="6"/>
  <c r="EI4" i="6" l="1"/>
  <c r="EH7" i="6"/>
  <c r="EI10" i="6"/>
  <c r="EH14" i="6"/>
  <c r="EV6" i="6"/>
  <c r="EU12" i="6"/>
  <c r="EJ4" i="6" l="1"/>
  <c r="EI7" i="6"/>
  <c r="EJ10" i="6"/>
  <c r="EI14" i="6"/>
  <c r="EV12" i="6"/>
  <c r="EW6" i="6"/>
  <c r="EK4" i="6" l="1"/>
  <c r="EJ7" i="6"/>
  <c r="EK10" i="6"/>
  <c r="EJ14" i="6"/>
  <c r="EW12" i="6"/>
  <c r="EX6" i="6"/>
  <c r="EK7" i="6" l="1"/>
  <c r="EL4" i="6"/>
  <c r="EL10" i="6"/>
  <c r="EK14" i="6"/>
  <c r="EY6" i="6"/>
  <c r="EX12" i="6"/>
  <c r="EL7" i="6" l="1"/>
  <c r="EM4" i="6"/>
  <c r="EM10" i="6"/>
  <c r="EL14" i="6"/>
  <c r="EY12" i="6"/>
  <c r="EZ6" i="6"/>
  <c r="EN4" i="6" l="1"/>
  <c r="EM7" i="6"/>
  <c r="EN10" i="6"/>
  <c r="EM14" i="6"/>
  <c r="FA6" i="6"/>
  <c r="EZ12" i="6"/>
  <c r="EO4" i="6" l="1"/>
  <c r="EN7" i="6"/>
  <c r="EO10" i="6"/>
  <c r="EN14" i="6"/>
  <c r="FA12" i="6"/>
  <c r="FB6" i="6"/>
  <c r="EP4" i="6" l="1"/>
  <c r="EO7" i="6"/>
  <c r="EP10" i="6"/>
  <c r="EO14" i="6"/>
  <c r="FC6" i="6"/>
  <c r="FB12" i="6"/>
  <c r="EQ4" i="6" l="1"/>
  <c r="EP7" i="6"/>
  <c r="EQ10" i="6"/>
  <c r="EP14" i="6"/>
  <c r="FC12" i="6"/>
  <c r="FD6" i="6"/>
  <c r="ER4" i="6" l="1"/>
  <c r="EQ7" i="6"/>
  <c r="ER10" i="6"/>
  <c r="EQ14" i="6"/>
  <c r="FE6" i="6"/>
  <c r="FD12" i="6"/>
  <c r="ES4" i="6" l="1"/>
  <c r="ER7" i="6"/>
  <c r="ES10" i="6"/>
  <c r="ER14" i="6"/>
  <c r="FE12" i="6"/>
  <c r="FF6" i="6"/>
  <c r="ET4" i="6" l="1"/>
  <c r="ES7" i="6"/>
  <c r="ET10" i="6"/>
  <c r="ES14" i="6"/>
  <c r="FG6" i="6"/>
  <c r="FF12" i="6"/>
  <c r="EU4" i="6" l="1"/>
  <c r="ET7" i="6"/>
  <c r="EU10" i="6"/>
  <c r="ET14" i="6"/>
  <c r="FH6" i="6"/>
  <c r="FG12" i="6"/>
  <c r="EV4" i="6" l="1"/>
  <c r="EU7" i="6"/>
  <c r="EV10" i="6"/>
  <c r="EU14" i="6"/>
  <c r="FI6" i="6"/>
  <c r="FH12" i="6"/>
  <c r="EW4" i="6" l="1"/>
  <c r="EV7" i="6"/>
  <c r="EW10" i="6"/>
  <c r="EV14" i="6"/>
  <c r="FJ6" i="6"/>
  <c r="FI12" i="6"/>
  <c r="EX4" i="6" l="1"/>
  <c r="EW7" i="6"/>
  <c r="EX10" i="6"/>
  <c r="EW14" i="6"/>
  <c r="FJ12" i="6"/>
  <c r="FK6" i="6"/>
  <c r="EY4" i="6" l="1"/>
  <c r="EX7" i="6"/>
  <c r="EY10" i="6"/>
  <c r="EX14" i="6"/>
  <c r="FL6" i="6"/>
  <c r="FK12" i="6"/>
  <c r="EZ4" i="6" l="1"/>
  <c r="EY7" i="6"/>
  <c r="EZ10" i="6"/>
  <c r="EY14" i="6"/>
  <c r="FL12" i="6"/>
  <c r="FM6" i="6"/>
  <c r="FA4" i="6" l="1"/>
  <c r="EZ7" i="6"/>
  <c r="FA10" i="6"/>
  <c r="EZ14" i="6"/>
  <c r="FM12" i="6"/>
  <c r="FN6" i="6"/>
  <c r="FB4" i="6" l="1"/>
  <c r="FA7" i="6"/>
  <c r="FB10" i="6"/>
  <c r="FA14" i="6"/>
  <c r="FO6" i="6"/>
  <c r="FN12" i="6"/>
  <c r="FC4" i="6" l="1"/>
  <c r="FB7" i="6"/>
  <c r="FC10" i="6"/>
  <c r="FB14" i="6"/>
  <c r="FO12" i="6"/>
  <c r="FP6" i="6"/>
  <c r="FD4" i="6" l="1"/>
  <c r="FC7" i="6"/>
  <c r="FD10" i="6"/>
  <c r="FC14" i="6"/>
  <c r="FQ6" i="6"/>
  <c r="FP12" i="6"/>
  <c r="FE4" i="6" l="1"/>
  <c r="FD7" i="6"/>
  <c r="FE10" i="6"/>
  <c r="FD14" i="6"/>
  <c r="FQ12" i="6"/>
  <c r="FR6" i="6"/>
  <c r="FF4" i="6" l="1"/>
  <c r="FE7" i="6"/>
  <c r="FF10" i="6"/>
  <c r="FE14" i="6"/>
  <c r="FS6" i="6"/>
  <c r="FR12" i="6"/>
  <c r="FG4" i="6" l="1"/>
  <c r="FF7" i="6"/>
  <c r="FG10" i="6"/>
  <c r="FF14" i="6"/>
  <c r="FS12" i="6"/>
  <c r="FT6" i="6"/>
  <c r="FH4" i="6" l="1"/>
  <c r="FG7" i="6"/>
  <c r="FH10" i="6"/>
  <c r="FG14" i="6"/>
  <c r="FU6" i="6"/>
  <c r="FT12" i="6"/>
  <c r="FH7" i="6" l="1"/>
  <c r="FI4" i="6"/>
  <c r="FH14" i="6"/>
  <c r="FI10" i="6"/>
  <c r="FU12" i="6"/>
  <c r="FV6" i="6"/>
  <c r="FJ4" i="6" l="1"/>
  <c r="FI7" i="6"/>
  <c r="FJ10" i="6"/>
  <c r="FI14" i="6"/>
  <c r="FW6" i="6"/>
  <c r="FV12" i="6"/>
  <c r="FK4" i="6" l="1"/>
  <c r="FJ7" i="6"/>
  <c r="FK10" i="6"/>
  <c r="FJ14" i="6"/>
  <c r="FW12" i="6"/>
  <c r="FX6" i="6"/>
  <c r="FL4" i="6" l="1"/>
  <c r="FK7" i="6"/>
  <c r="FL10" i="6"/>
  <c r="FK14" i="6"/>
  <c r="FY6" i="6"/>
  <c r="FX12" i="6"/>
  <c r="FM4" i="6" l="1"/>
  <c r="FL7" i="6"/>
  <c r="FM10" i="6"/>
  <c r="FL14" i="6"/>
  <c r="FY12" i="6"/>
  <c r="FZ6" i="6"/>
  <c r="FN4" i="6" l="1"/>
  <c r="FM7" i="6"/>
  <c r="FN10" i="6"/>
  <c r="FM14" i="6"/>
  <c r="GA6" i="6"/>
  <c r="FZ12" i="6"/>
  <c r="FO4" i="6" l="1"/>
  <c r="FN7" i="6"/>
  <c r="FO10" i="6"/>
  <c r="FN14" i="6"/>
  <c r="GA12" i="6"/>
  <c r="GB6" i="6"/>
  <c r="FP4" i="6" l="1"/>
  <c r="FO7" i="6"/>
  <c r="FP10" i="6"/>
  <c r="FO14" i="6"/>
  <c r="GC6" i="6"/>
  <c r="GB12" i="6"/>
  <c r="FQ4" i="6" l="1"/>
  <c r="FP7" i="6"/>
  <c r="FQ10" i="6"/>
  <c r="FP14" i="6"/>
  <c r="GC12" i="6"/>
  <c r="GD6" i="6"/>
  <c r="FQ7" i="6" l="1"/>
  <c r="FR4" i="6"/>
  <c r="FR10" i="6"/>
  <c r="FQ14" i="6"/>
  <c r="GD12" i="6"/>
  <c r="GE6" i="6"/>
  <c r="FS4" i="6" l="1"/>
  <c r="FR7" i="6"/>
  <c r="FS10" i="6"/>
  <c r="FR14" i="6"/>
  <c r="GE12" i="6"/>
  <c r="GF6" i="6"/>
  <c r="FT4" i="6" l="1"/>
  <c r="FS7" i="6"/>
  <c r="FT10" i="6"/>
  <c r="FS14" i="6"/>
  <c r="GG6" i="6"/>
  <c r="GF12" i="6"/>
  <c r="FU4" i="6" l="1"/>
  <c r="FT7" i="6"/>
  <c r="FU10" i="6"/>
  <c r="FT14" i="6"/>
  <c r="GG12" i="6"/>
  <c r="GH6" i="6"/>
  <c r="FV4" i="6" l="1"/>
  <c r="FU7" i="6"/>
  <c r="FV10" i="6"/>
  <c r="FU14" i="6"/>
  <c r="GI6" i="6"/>
  <c r="GH12" i="6"/>
  <c r="FW4" i="6" l="1"/>
  <c r="FV7" i="6"/>
  <c r="FW10" i="6"/>
  <c r="FV14" i="6"/>
  <c r="GI12" i="6"/>
  <c r="GJ6" i="6"/>
  <c r="FX4" i="6" l="1"/>
  <c r="FW7" i="6"/>
  <c r="FX10" i="6"/>
  <c r="FW14" i="6"/>
  <c r="GK6" i="6"/>
  <c r="GJ12" i="6"/>
  <c r="FY4" i="6" l="1"/>
  <c r="FX7" i="6"/>
  <c r="FY10" i="6"/>
  <c r="FX14" i="6"/>
  <c r="GK12" i="6"/>
  <c r="GL6" i="6"/>
  <c r="FZ4" i="6" l="1"/>
  <c r="FY7" i="6"/>
  <c r="FZ10" i="6"/>
  <c r="FY14" i="6"/>
  <c r="GM6" i="6"/>
  <c r="GL12" i="6"/>
  <c r="GA4" i="6" l="1"/>
  <c r="FZ7" i="6"/>
  <c r="GA10" i="6"/>
  <c r="FZ14" i="6"/>
  <c r="GM12" i="6"/>
  <c r="GN6" i="6"/>
  <c r="GB4" i="6" l="1"/>
  <c r="GA7" i="6"/>
  <c r="GB10" i="6"/>
  <c r="GA14" i="6"/>
  <c r="GO6" i="6"/>
  <c r="GN12" i="6"/>
  <c r="GC4" i="6" l="1"/>
  <c r="GB7" i="6"/>
  <c r="GC10" i="6"/>
  <c r="GB14" i="6"/>
  <c r="GO12" i="6"/>
  <c r="GP6" i="6"/>
  <c r="GD4" i="6" l="1"/>
  <c r="GC7" i="6"/>
  <c r="GD10" i="6"/>
  <c r="GC14" i="6"/>
  <c r="GQ6" i="6"/>
  <c r="GP12" i="6"/>
  <c r="GE4" i="6" l="1"/>
  <c r="GD7" i="6"/>
  <c r="GE10" i="6"/>
  <c r="GD14" i="6"/>
  <c r="GQ12" i="6"/>
  <c r="GR6" i="6"/>
  <c r="GF4" i="6" l="1"/>
  <c r="GE7" i="6"/>
  <c r="GF10" i="6"/>
  <c r="GE14" i="6"/>
  <c r="GS6" i="6"/>
  <c r="GR12" i="6"/>
  <c r="GF7" i="6" l="1"/>
  <c r="GG4" i="6"/>
  <c r="GG10" i="6"/>
  <c r="GF14" i="6"/>
  <c r="GS12" i="6"/>
  <c r="GT6" i="6"/>
  <c r="GH4" i="6" l="1"/>
  <c r="GG7" i="6"/>
  <c r="GH10" i="6"/>
  <c r="GG14" i="6"/>
  <c r="GU6" i="6"/>
  <c r="GT12" i="6"/>
  <c r="GI4" i="6" l="1"/>
  <c r="GH7" i="6"/>
  <c r="GI10" i="6"/>
  <c r="GH14" i="6"/>
  <c r="GU12" i="6"/>
  <c r="GV6" i="6"/>
  <c r="GI7" i="6" l="1"/>
  <c r="GJ4" i="6"/>
  <c r="GJ10" i="6"/>
  <c r="GI14" i="6"/>
  <c r="GW6" i="6"/>
  <c r="GV12" i="6"/>
  <c r="GK4" i="6" l="1"/>
  <c r="GJ7" i="6"/>
  <c r="GK10" i="6"/>
  <c r="GJ14" i="6"/>
  <c r="GW12" i="6"/>
  <c r="GX6" i="6"/>
  <c r="GL4" i="6" l="1"/>
  <c r="GK7" i="6"/>
  <c r="GL10" i="6"/>
  <c r="GK14" i="6"/>
  <c r="GY6" i="6"/>
  <c r="GX12" i="6"/>
  <c r="GM4" i="6" l="1"/>
  <c r="GL7" i="6"/>
  <c r="GM10" i="6"/>
  <c r="GL14" i="6"/>
  <c r="GY12" i="6"/>
  <c r="GZ6" i="6"/>
  <c r="GN4" i="6" l="1"/>
  <c r="GM7" i="6"/>
  <c r="GN10" i="6"/>
  <c r="GM14" i="6"/>
  <c r="HA6" i="6"/>
  <c r="GZ12" i="6"/>
  <c r="GO4" i="6" l="1"/>
  <c r="GN7" i="6"/>
  <c r="GO10" i="6"/>
  <c r="GN14" i="6"/>
  <c r="HA12" i="6"/>
  <c r="HB6" i="6"/>
  <c r="GP4" i="6" l="1"/>
  <c r="GO7" i="6"/>
  <c r="GP10" i="6"/>
  <c r="GO14" i="6"/>
  <c r="HC6" i="6"/>
  <c r="HB12" i="6"/>
  <c r="GQ4" i="6" l="1"/>
  <c r="GP7" i="6"/>
  <c r="GQ10" i="6"/>
  <c r="GP14" i="6"/>
  <c r="HC12" i="6"/>
  <c r="HD6" i="6"/>
  <c r="GR4" i="6" l="1"/>
  <c r="GQ7" i="6"/>
  <c r="GR10" i="6"/>
  <c r="GQ14" i="6"/>
  <c r="HE6" i="6"/>
  <c r="HD12" i="6"/>
  <c r="GS4" i="6" l="1"/>
  <c r="GR7" i="6"/>
  <c r="GS10" i="6"/>
  <c r="GR14" i="6"/>
  <c r="HE12" i="6"/>
  <c r="HF6" i="6"/>
  <c r="GT4" i="6" l="1"/>
  <c r="GS7" i="6"/>
  <c r="GT10" i="6"/>
  <c r="GS14" i="6"/>
  <c r="HG6" i="6"/>
  <c r="HF12" i="6"/>
  <c r="GU4" i="6" l="1"/>
  <c r="GT7" i="6"/>
  <c r="GU10" i="6"/>
  <c r="GT14" i="6"/>
  <c r="HG12" i="6"/>
  <c r="HH6" i="6"/>
  <c r="GV4" i="6" l="1"/>
  <c r="GU7" i="6"/>
  <c r="GU14" i="6"/>
  <c r="GV10" i="6"/>
  <c r="HI6" i="6"/>
  <c r="HH12" i="6"/>
  <c r="GW4" i="6" l="1"/>
  <c r="GV7" i="6"/>
  <c r="GW10" i="6"/>
  <c r="GV14" i="6"/>
  <c r="HI12" i="6"/>
  <c r="HJ6" i="6"/>
  <c r="GX4" i="6" l="1"/>
  <c r="GW7" i="6"/>
  <c r="GX10" i="6"/>
  <c r="GW14" i="6"/>
  <c r="HK6" i="6"/>
  <c r="HJ12" i="6"/>
  <c r="GY4" i="6" l="1"/>
  <c r="GX7" i="6"/>
  <c r="GY10" i="6"/>
  <c r="GX14" i="6"/>
  <c r="HK12" i="6"/>
  <c r="HL6" i="6"/>
  <c r="GZ4" i="6" l="1"/>
  <c r="GY7" i="6"/>
  <c r="GY14" i="6"/>
  <c r="GZ10" i="6"/>
  <c r="HM6" i="6"/>
  <c r="HL12" i="6"/>
  <c r="HA4" i="6" l="1"/>
  <c r="GZ7" i="6"/>
  <c r="HA10" i="6"/>
  <c r="GZ14" i="6"/>
  <c r="HM12" i="6"/>
  <c r="HN6" i="6"/>
  <c r="HB4" i="6" l="1"/>
  <c r="HA7" i="6"/>
  <c r="HB10" i="6"/>
  <c r="HA14" i="6"/>
  <c r="HO6" i="6"/>
  <c r="HN12" i="6"/>
  <c r="HC4" i="6" l="1"/>
  <c r="HB7" i="6"/>
  <c r="HC10" i="6"/>
  <c r="HB14" i="6"/>
  <c r="HO12" i="6"/>
  <c r="HP6" i="6"/>
  <c r="HD4" i="6" l="1"/>
  <c r="HC7" i="6"/>
  <c r="HD10" i="6"/>
  <c r="HC14" i="6"/>
  <c r="HQ6" i="6"/>
  <c r="HP12" i="6"/>
  <c r="HE4" i="6" l="1"/>
  <c r="HD7" i="6"/>
  <c r="HE10" i="6"/>
  <c r="HD14" i="6"/>
  <c r="HQ12" i="6"/>
  <c r="HR6" i="6"/>
  <c r="HF4" i="6" l="1"/>
  <c r="HE7" i="6"/>
  <c r="HF10" i="6"/>
  <c r="HE14" i="6"/>
  <c r="HS6" i="6"/>
  <c r="HR12" i="6"/>
  <c r="HG4" i="6" l="1"/>
  <c r="HF7" i="6"/>
  <c r="HG10" i="6"/>
  <c r="HF14" i="6"/>
  <c r="HS12" i="6"/>
  <c r="HT6" i="6"/>
  <c r="HH4" i="6" l="1"/>
  <c r="HG7" i="6"/>
  <c r="HH10" i="6"/>
  <c r="HG14" i="6"/>
  <c r="HU6" i="6"/>
  <c r="HT12" i="6"/>
  <c r="HI4" i="6" l="1"/>
  <c r="HH7" i="6"/>
  <c r="HI10" i="6"/>
  <c r="HH14" i="6"/>
  <c r="HU12" i="6"/>
  <c r="HV6" i="6"/>
  <c r="HJ4" i="6" l="1"/>
  <c r="HI7" i="6"/>
  <c r="HJ10" i="6"/>
  <c r="HI14" i="6"/>
  <c r="HW6" i="6"/>
  <c r="HV12" i="6"/>
  <c r="HK4" i="6" l="1"/>
  <c r="HJ7" i="6"/>
  <c r="HK10" i="6"/>
  <c r="HJ14" i="6"/>
  <c r="HW12" i="6"/>
  <c r="HX6" i="6"/>
  <c r="HL4" i="6" l="1"/>
  <c r="HK7" i="6"/>
  <c r="HL10" i="6"/>
  <c r="HK14" i="6"/>
  <c r="HY6" i="6"/>
  <c r="HX12" i="6"/>
  <c r="HL7" i="6" l="1"/>
  <c r="HM4" i="6"/>
  <c r="HM10" i="6"/>
  <c r="HL14" i="6"/>
  <c r="HY12" i="6"/>
  <c r="HZ6" i="6"/>
  <c r="HN4" i="6" l="1"/>
  <c r="HM7" i="6"/>
  <c r="HN10" i="6"/>
  <c r="HM14" i="6"/>
  <c r="IA6" i="6"/>
  <c r="HZ12" i="6"/>
  <c r="HN7" i="6" l="1"/>
  <c r="HO4" i="6"/>
  <c r="HO10" i="6"/>
  <c r="HN14" i="6"/>
  <c r="IA12" i="6"/>
  <c r="IB6" i="6"/>
  <c r="HP4" i="6" l="1"/>
  <c r="HO7" i="6"/>
  <c r="HP10" i="6"/>
  <c r="HO14" i="6"/>
  <c r="IC6" i="6"/>
  <c r="IB12" i="6"/>
  <c r="HQ4" i="6" l="1"/>
  <c r="HP7" i="6"/>
  <c r="HQ10" i="6"/>
  <c r="HP14" i="6"/>
  <c r="IC12" i="6"/>
  <c r="ID6" i="6"/>
  <c r="HR4" i="6" l="1"/>
  <c r="HQ7" i="6"/>
  <c r="HR10" i="6"/>
  <c r="HQ14" i="6"/>
  <c r="IE6" i="6"/>
  <c r="ID12" i="6"/>
  <c r="HS4" i="6" l="1"/>
  <c r="HR7" i="6"/>
  <c r="HS10" i="6"/>
  <c r="HR14" i="6"/>
  <c r="IE12" i="6"/>
  <c r="IF6" i="6"/>
  <c r="HT4" i="6" l="1"/>
  <c r="HS7" i="6"/>
  <c r="HT10" i="6"/>
  <c r="HS14" i="6"/>
  <c r="IG6" i="6"/>
  <c r="IF12" i="6"/>
  <c r="HU4" i="6" l="1"/>
  <c r="HT7" i="6"/>
  <c r="HU10" i="6"/>
  <c r="HT14" i="6"/>
  <c r="IG12" i="6"/>
  <c r="IH6" i="6"/>
  <c r="HV4" i="6" l="1"/>
  <c r="HU7" i="6"/>
  <c r="HV10" i="6"/>
  <c r="HU14" i="6"/>
  <c r="II6" i="6"/>
  <c r="IH12" i="6"/>
  <c r="HW4" i="6" l="1"/>
  <c r="HV7" i="6"/>
  <c r="HW10" i="6"/>
  <c r="HV14" i="6"/>
  <c r="II12" i="6"/>
  <c r="IJ6" i="6"/>
  <c r="HX4" i="6" l="1"/>
  <c r="HW7" i="6"/>
  <c r="HX10" i="6"/>
  <c r="HW14" i="6"/>
  <c r="IK6" i="6"/>
  <c r="IJ12" i="6"/>
  <c r="HY4" i="6" l="1"/>
  <c r="HX7" i="6"/>
  <c r="HY10" i="6"/>
  <c r="HX14" i="6"/>
  <c r="IK12" i="6"/>
  <c r="IL6" i="6"/>
  <c r="HZ4" i="6" l="1"/>
  <c r="HY7" i="6"/>
  <c r="HZ10" i="6"/>
  <c r="HY14" i="6"/>
  <c r="IM6" i="6"/>
  <c r="IL12" i="6"/>
  <c r="IA4" i="6" l="1"/>
  <c r="HZ7" i="6"/>
  <c r="IA10" i="6"/>
  <c r="HZ14" i="6"/>
  <c r="IM12" i="6"/>
  <c r="IN6" i="6"/>
  <c r="IB4" i="6" l="1"/>
  <c r="IA7" i="6"/>
  <c r="IB10" i="6"/>
  <c r="IA14" i="6"/>
  <c r="IO6" i="6"/>
  <c r="IN12" i="6"/>
  <c r="IC4" i="6" l="1"/>
  <c r="IB7" i="6"/>
  <c r="IC10" i="6"/>
  <c r="IB14" i="6"/>
  <c r="IO12" i="6"/>
  <c r="IP6" i="6"/>
  <c r="IC7" i="6" l="1"/>
  <c r="ID4" i="6"/>
  <c r="ID10" i="6"/>
  <c r="IC14" i="6"/>
  <c r="IQ6" i="6"/>
  <c r="IP12" i="6"/>
  <c r="IE4" i="6" l="1"/>
  <c r="ID7" i="6"/>
  <c r="IE10" i="6"/>
  <c r="ID14" i="6"/>
  <c r="IQ12" i="6"/>
  <c r="IR6" i="6"/>
  <c r="IF4" i="6" l="1"/>
  <c r="IE7" i="6"/>
  <c r="IF10" i="6"/>
  <c r="IE14" i="6"/>
  <c r="IS6" i="6"/>
  <c r="IR12" i="6"/>
  <c r="IG4" i="6" l="1"/>
  <c r="IF7" i="6"/>
  <c r="IG10" i="6"/>
  <c r="IF14" i="6"/>
  <c r="IS12" i="6"/>
  <c r="IT6" i="6"/>
  <c r="IH4" i="6" l="1"/>
  <c r="IG7" i="6"/>
  <c r="IG14" i="6"/>
  <c r="IH10" i="6"/>
  <c r="IT12" i="6"/>
  <c r="IU6" i="6"/>
  <c r="II4" i="6" l="1"/>
  <c r="IH7" i="6"/>
  <c r="II10" i="6"/>
  <c r="IH14" i="6"/>
  <c r="IV6" i="6"/>
  <c r="IU12" i="6"/>
  <c r="IJ4" i="6" l="1"/>
  <c r="II7" i="6"/>
  <c r="IJ10" i="6"/>
  <c r="II14" i="6"/>
  <c r="IV12" i="6"/>
  <c r="IW6" i="6"/>
  <c r="IK4" i="6" l="1"/>
  <c r="IJ7" i="6"/>
  <c r="IK10" i="6"/>
  <c r="IJ14" i="6"/>
  <c r="IX6" i="6"/>
  <c r="IW12" i="6"/>
  <c r="IL4" i="6" l="1"/>
  <c r="IK7" i="6"/>
  <c r="IL10" i="6"/>
  <c r="IK14" i="6"/>
  <c r="IX12" i="6"/>
  <c r="IY6" i="6"/>
  <c r="IM4" i="6" l="1"/>
  <c r="IL7" i="6"/>
  <c r="IM10" i="6"/>
  <c r="IL14" i="6"/>
  <c r="IZ6" i="6"/>
  <c r="IY12" i="6"/>
  <c r="IN4" i="6" l="1"/>
  <c r="IM7" i="6"/>
  <c r="IN10" i="6"/>
  <c r="IM14" i="6"/>
  <c r="IZ12" i="6"/>
  <c r="JA6" i="6"/>
  <c r="IO4" i="6" l="1"/>
  <c r="IN7" i="6"/>
  <c r="IO10" i="6"/>
  <c r="IN14" i="6"/>
  <c r="JB6" i="6"/>
  <c r="JA12" i="6"/>
  <c r="IP4" i="6" l="1"/>
  <c r="IO7" i="6"/>
  <c r="IP10" i="6"/>
  <c r="IO14" i="6"/>
  <c r="JC6" i="6"/>
  <c r="JB12" i="6"/>
  <c r="IQ4" i="6" l="1"/>
  <c r="IP7" i="6"/>
  <c r="IQ10" i="6"/>
  <c r="IP14" i="6"/>
  <c r="JC12" i="6"/>
  <c r="JD6" i="6"/>
  <c r="IR4" i="6" l="1"/>
  <c r="IQ7" i="6"/>
  <c r="IR10" i="6"/>
  <c r="IQ14" i="6"/>
  <c r="JD12" i="6"/>
  <c r="JE6" i="6"/>
  <c r="IS4" i="6" l="1"/>
  <c r="IR7" i="6"/>
  <c r="IS10" i="6"/>
  <c r="IR14" i="6"/>
  <c r="JF6" i="6"/>
  <c r="JE12" i="6"/>
  <c r="IT4" i="6" l="1"/>
  <c r="IS7" i="6"/>
  <c r="IT10" i="6"/>
  <c r="IS14" i="6"/>
  <c r="JF12" i="6"/>
  <c r="JG6" i="6"/>
  <c r="IU4" i="6" l="1"/>
  <c r="IT7" i="6"/>
  <c r="IU10" i="6"/>
  <c r="IT14" i="6"/>
  <c r="JH6" i="6"/>
  <c r="JG12" i="6"/>
  <c r="IV4" i="6" l="1"/>
  <c r="IU7" i="6"/>
  <c r="IV10" i="6"/>
  <c r="IU14" i="6"/>
  <c r="JH12" i="6"/>
  <c r="JI6" i="6"/>
  <c r="IW4" i="6" l="1"/>
  <c r="IV7" i="6"/>
  <c r="IW10" i="6"/>
  <c r="IV14" i="6"/>
  <c r="JJ6" i="6"/>
  <c r="JI12" i="6"/>
  <c r="IW7" i="6" l="1"/>
  <c r="IX4" i="6"/>
  <c r="IX10" i="6"/>
  <c r="IW14" i="6"/>
  <c r="JJ12" i="6"/>
  <c r="JK6" i="6"/>
  <c r="IY4" i="6" l="1"/>
  <c r="IX7" i="6"/>
  <c r="IY10" i="6"/>
  <c r="IX14" i="6"/>
  <c r="JL6" i="6"/>
  <c r="JK12" i="6"/>
  <c r="IZ4" i="6" l="1"/>
  <c r="IY7" i="6"/>
  <c r="IZ10" i="6"/>
  <c r="IY14" i="6"/>
  <c r="JL12" i="6"/>
  <c r="JM6" i="6"/>
  <c r="JA4" i="6" l="1"/>
  <c r="IZ7" i="6"/>
  <c r="JA10" i="6"/>
  <c r="IZ14" i="6"/>
  <c r="JN6" i="6"/>
  <c r="JM12" i="6"/>
  <c r="JB4" i="6" l="1"/>
  <c r="JA7" i="6"/>
  <c r="JA14" i="6"/>
  <c r="JB10" i="6"/>
  <c r="JN12" i="6"/>
  <c r="JO6" i="6"/>
  <c r="JC4" i="6" l="1"/>
  <c r="JB7" i="6"/>
  <c r="JC10" i="6"/>
  <c r="JB14" i="6"/>
  <c r="JP6" i="6"/>
  <c r="JO12" i="6"/>
  <c r="JD4" i="6" l="1"/>
  <c r="JC7" i="6"/>
  <c r="JD10" i="6"/>
  <c r="JC14" i="6"/>
  <c r="JP12" i="6"/>
  <c r="JQ6" i="6"/>
  <c r="JE4" i="6" l="1"/>
  <c r="JD7" i="6"/>
  <c r="JE10" i="6"/>
  <c r="JD14" i="6"/>
  <c r="JR6" i="6"/>
  <c r="JQ12" i="6"/>
  <c r="JE7" i="6" l="1"/>
  <c r="JF4" i="6"/>
  <c r="JF10" i="6"/>
  <c r="JE14" i="6"/>
  <c r="JR12" i="6"/>
  <c r="JS6" i="6"/>
  <c r="JG4" i="6" l="1"/>
  <c r="JF7" i="6"/>
  <c r="JG10" i="6"/>
  <c r="JF14" i="6"/>
  <c r="JT6" i="6"/>
  <c r="JS12" i="6"/>
  <c r="JH4" i="6" l="1"/>
  <c r="JG7" i="6"/>
  <c r="JH10" i="6"/>
  <c r="JG14" i="6"/>
  <c r="JT12" i="6"/>
  <c r="JU6" i="6"/>
  <c r="JI4" i="6" l="1"/>
  <c r="JH7" i="6"/>
  <c r="JI10" i="6"/>
  <c r="JH14" i="6"/>
  <c r="JV6" i="6"/>
  <c r="JU12" i="6"/>
  <c r="JJ4" i="6" l="1"/>
  <c r="JI7" i="6"/>
  <c r="JJ10" i="6"/>
  <c r="JI14" i="6"/>
  <c r="JV12" i="6"/>
  <c r="JW6" i="6"/>
  <c r="JK4" i="6" l="1"/>
  <c r="JJ7" i="6"/>
  <c r="JK10" i="6"/>
  <c r="JJ14" i="6"/>
  <c r="JW12" i="6"/>
  <c r="JX6" i="6"/>
  <c r="JL4" i="6" l="1"/>
  <c r="JK7" i="6"/>
  <c r="JL10" i="6"/>
  <c r="JK14" i="6"/>
  <c r="JY6" i="6"/>
  <c r="JX12" i="6"/>
  <c r="JM4" i="6" l="1"/>
  <c r="JL7" i="6"/>
  <c r="JM10" i="6"/>
  <c r="JL14" i="6"/>
  <c r="JY12" i="6"/>
  <c r="JZ6" i="6"/>
  <c r="JN4" i="6" l="1"/>
  <c r="JM7" i="6"/>
  <c r="JN10" i="6"/>
  <c r="JM14" i="6"/>
  <c r="KA6" i="6"/>
  <c r="JZ12" i="6"/>
  <c r="JO4" i="6" l="1"/>
  <c r="JN7" i="6"/>
  <c r="JO10" i="6"/>
  <c r="JN14" i="6"/>
  <c r="KA12" i="6"/>
  <c r="KB6" i="6"/>
  <c r="JP4" i="6" l="1"/>
  <c r="JO7" i="6"/>
  <c r="JP10" i="6"/>
  <c r="JO14" i="6"/>
  <c r="KC6" i="6"/>
  <c r="KB12" i="6"/>
  <c r="JQ4" i="6" l="1"/>
  <c r="JP7" i="6"/>
  <c r="JQ10" i="6"/>
  <c r="JP14" i="6"/>
  <c r="KC12" i="6"/>
  <c r="KD6" i="6"/>
  <c r="JR4" i="6" l="1"/>
  <c r="JQ7" i="6"/>
  <c r="JR10" i="6"/>
  <c r="JQ14" i="6"/>
  <c r="KE6" i="6"/>
  <c r="KD12" i="6"/>
  <c r="JR7" i="6" l="1"/>
  <c r="JS4" i="6"/>
  <c r="JS10" i="6"/>
  <c r="JR14" i="6"/>
  <c r="KE12" i="6"/>
  <c r="KF6" i="6"/>
  <c r="JT4" i="6" l="1"/>
  <c r="JS7" i="6"/>
  <c r="JT10" i="6"/>
  <c r="JS14" i="6"/>
  <c r="KG6" i="6"/>
  <c r="KF12" i="6"/>
  <c r="JU4" i="6" l="1"/>
  <c r="JT7" i="6"/>
  <c r="JU10" i="6"/>
  <c r="JT14" i="6"/>
  <c r="KG12" i="6"/>
  <c r="KH6" i="6"/>
  <c r="JV4" i="6" l="1"/>
  <c r="JU7" i="6"/>
  <c r="JU14" i="6"/>
  <c r="JV10" i="6"/>
  <c r="KI6" i="6"/>
  <c r="KH12" i="6"/>
  <c r="JW4" i="6" l="1"/>
  <c r="JV7" i="6"/>
  <c r="JW10" i="6"/>
  <c r="JV14" i="6"/>
  <c r="KI12" i="6"/>
  <c r="KJ6" i="6"/>
  <c r="JX4" i="6" l="1"/>
  <c r="JW7" i="6"/>
  <c r="JX10" i="6"/>
  <c r="JW14" i="6"/>
  <c r="KJ12" i="6"/>
  <c r="KK6" i="6"/>
  <c r="JY4" i="6" l="1"/>
  <c r="JX7" i="6"/>
  <c r="JY10" i="6"/>
  <c r="JX14" i="6"/>
  <c r="KL6" i="6"/>
  <c r="KK12" i="6"/>
  <c r="JZ4" i="6" l="1"/>
  <c r="JY7" i="6"/>
  <c r="JZ10" i="6"/>
  <c r="JY14" i="6"/>
  <c r="KL12" i="6"/>
  <c r="KM6" i="6"/>
  <c r="KA4" i="6" l="1"/>
  <c r="JZ7" i="6"/>
  <c r="KA10" i="6"/>
  <c r="JZ14" i="6"/>
  <c r="KN6" i="6"/>
  <c r="KM12" i="6"/>
  <c r="KB4" i="6" l="1"/>
  <c r="KA7" i="6"/>
  <c r="KB10" i="6"/>
  <c r="KA14" i="6"/>
  <c r="KN12" i="6"/>
  <c r="KO6" i="6"/>
  <c r="KC4" i="6" l="1"/>
  <c r="KB7" i="6"/>
  <c r="KC10" i="6"/>
  <c r="KB14" i="6"/>
  <c r="KP6" i="6"/>
  <c r="KO12" i="6"/>
  <c r="KD4" i="6" l="1"/>
  <c r="KC7" i="6"/>
  <c r="KD10" i="6"/>
  <c r="KC14" i="6"/>
  <c r="KP12" i="6"/>
  <c r="KQ6" i="6"/>
  <c r="KE4" i="6" l="1"/>
  <c r="KD7" i="6"/>
  <c r="KE10" i="6"/>
  <c r="KD14" i="6"/>
  <c r="KR6" i="6"/>
  <c r="KQ12" i="6"/>
  <c r="KE7" i="6" l="1"/>
  <c r="KF4" i="6"/>
  <c r="KF10" i="6"/>
  <c r="KE14" i="6"/>
  <c r="KR12" i="6"/>
  <c r="KS6" i="6"/>
  <c r="KG4" i="6" l="1"/>
  <c r="KF7" i="6"/>
  <c r="KG10" i="6"/>
  <c r="KF14" i="6"/>
  <c r="KT6" i="6"/>
  <c r="KS12" i="6"/>
  <c r="KH4" i="6" l="1"/>
  <c r="KG7" i="6"/>
  <c r="KG14" i="6"/>
  <c r="KH10" i="6"/>
  <c r="KT12" i="6"/>
  <c r="KU6" i="6"/>
  <c r="KI4" i="6" l="1"/>
  <c r="KH7" i="6"/>
  <c r="KI10" i="6"/>
  <c r="KH14" i="6"/>
  <c r="KV6" i="6"/>
  <c r="KU12" i="6"/>
  <c r="KJ4" i="6" l="1"/>
  <c r="KI7" i="6"/>
  <c r="KJ10" i="6"/>
  <c r="KI14" i="6"/>
  <c r="KV12" i="6"/>
  <c r="KW6" i="6"/>
  <c r="KK4" i="6" l="1"/>
  <c r="KJ7" i="6"/>
  <c r="KK10" i="6"/>
  <c r="KJ14" i="6"/>
  <c r="KX6" i="6"/>
  <c r="KW12" i="6"/>
  <c r="KL4" i="6" l="1"/>
  <c r="KK7" i="6"/>
  <c r="KL10" i="6"/>
  <c r="KK14" i="6"/>
  <c r="KX12" i="6"/>
  <c r="KY6" i="6"/>
  <c r="KM4" i="6" l="1"/>
  <c r="KL7" i="6"/>
  <c r="KM10" i="6"/>
  <c r="KL14" i="6"/>
  <c r="KZ6" i="6"/>
  <c r="KY12" i="6"/>
  <c r="KN4" i="6" l="1"/>
  <c r="KM7" i="6"/>
  <c r="KN10" i="6"/>
  <c r="KM14" i="6"/>
  <c r="KZ12" i="6"/>
  <c r="LA6" i="6"/>
  <c r="KO4" i="6" l="1"/>
  <c r="KN7" i="6"/>
  <c r="KO10" i="6"/>
  <c r="KN14" i="6"/>
  <c r="LB6" i="6"/>
  <c r="LA12" i="6"/>
  <c r="KP4" i="6" l="1"/>
  <c r="KO7" i="6"/>
  <c r="KP10" i="6"/>
  <c r="KO14" i="6"/>
  <c r="LB12" i="6"/>
  <c r="LC6" i="6"/>
  <c r="KQ4" i="6" l="1"/>
  <c r="KP7" i="6"/>
  <c r="KQ10" i="6"/>
  <c r="KP14" i="6"/>
  <c r="LD6" i="6"/>
  <c r="LC12" i="6"/>
  <c r="KR4" i="6" l="1"/>
  <c r="KQ7" i="6"/>
  <c r="KR10" i="6"/>
  <c r="KQ14" i="6"/>
  <c r="LD12" i="6"/>
  <c r="KS4" i="6" l="1"/>
  <c r="KR7" i="6"/>
  <c r="KS10" i="6"/>
  <c r="KR14" i="6"/>
  <c r="KT4" i="6" l="1"/>
  <c r="KS7" i="6"/>
  <c r="KT10" i="6"/>
  <c r="KS14" i="6"/>
  <c r="KU4" i="6" l="1"/>
  <c r="KT7" i="6"/>
  <c r="KU10" i="6"/>
  <c r="KT14" i="6"/>
  <c r="KV4" i="6" l="1"/>
  <c r="KU7" i="6"/>
  <c r="KV10" i="6"/>
  <c r="KU14" i="6"/>
  <c r="KW4" i="6" l="1"/>
  <c r="KV7" i="6"/>
  <c r="KW10" i="6"/>
  <c r="KV14" i="6"/>
  <c r="KX4" i="6" l="1"/>
  <c r="KW7" i="6"/>
  <c r="KX10" i="6"/>
  <c r="KW14" i="6"/>
  <c r="KY4" i="6" l="1"/>
  <c r="KX7" i="6"/>
  <c r="KY10" i="6"/>
  <c r="KX14" i="6"/>
  <c r="KY7" i="6" l="1"/>
  <c r="KZ4" i="6"/>
  <c r="KZ10" i="6"/>
  <c r="KY14" i="6"/>
  <c r="LA4" i="6" l="1"/>
  <c r="KZ7" i="6"/>
  <c r="KZ14" i="6"/>
  <c r="LA10" i="6"/>
  <c r="LB4" i="6" l="1"/>
  <c r="LA7" i="6"/>
  <c r="LA14" i="6"/>
  <c r="LB10" i="6"/>
  <c r="LC4" i="6" l="1"/>
  <c r="LB7" i="6"/>
  <c r="LC10" i="6"/>
  <c r="LB14" i="6"/>
  <c r="LD4" i="6" l="1"/>
  <c r="LD7" i="6" s="1"/>
  <c r="LC7" i="6"/>
  <c r="LD10" i="6"/>
  <c r="LD14" i="6" s="1"/>
  <c r="LC14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Robert</author>
    <author>tc={ACD0AC85-B696-4AFA-9C70-C8E1E05314A3}</author>
    <author>tc={6CDF4260-BB7D-4039-A29B-37CEA0EA0DF0}</author>
    <author>tc={F221F682-80F5-4FD7-BC01-D23550B85EA0}</author>
    <author>tc={777036CD-363B-462E-92F5-64242AA93040}</author>
  </authors>
  <commentList>
    <comment ref="B2" authorId="0" shapeId="0" xr:uid="{C6B23B1B-BF11-47EF-A9C1-F2D1E3654F24}">
      <text>
        <r>
          <rPr>
            <b/>
            <sz val="9"/>
            <color rgb="FF000000"/>
            <rFont val="Tahoma"/>
            <family val="2"/>
          </rPr>
          <t>Robert: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taken directly from the contract</t>
        </r>
      </text>
    </comment>
    <comment ref="E2" authorId="1" shapeId="0" xr:uid="{ACD0AC85-B696-4AFA-9C70-C8E1E05314A3}">
      <text>
        <t>[Threaded comment]
Your version of Excel allows you to read this threaded comment; however, any edits to it will get removed if the file is opened in a newer version of Excel. Learn more: https://go.microsoft.com/fwlink/?linkid=870924
Comment:
    These will calculate based on the start date and duration of the event</t>
      </text>
    </comment>
    <comment ref="F2" authorId="2" shapeId="0" xr:uid="{6CDF4260-BB7D-4039-A29B-37CEA0EA0DF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 during the course of the project</t>
      </text>
    </comment>
    <comment ref="I2" authorId="3" shapeId="0" xr:uid="{F221F682-80F5-4FD7-BC01-D23550B85EA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</t>
      </text>
    </comment>
    <comment ref="B23" authorId="4" shapeId="0" xr:uid="{777036CD-363B-462E-92F5-64242AA93040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AC tie-in and Monitoring Platform installation must be completed wihin 7 days of project start date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tc={2854B7F8-B6AB-41C4-8F60-6316C08B90B3}</author>
  </authors>
  <commentList>
    <comment ref="O112" authorId="0" shapeId="0" xr:uid="{2854B7F8-B6AB-41C4-8F60-6316C08B90B3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@Lloyd Brown  has this been done by Schletter
Reply:
    First one has been done , final one i am awaiting confirmation from Schletter , next week or so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tc={AAF28551-44B2-4A97-AA95-48258E9438C1}</author>
    <author>tc={C44BF9C1-3572-4D98-A547-3C206E3710F0}</author>
    <author>tc={4F70E5B8-0176-4963-BF42-34239AC81C79}</author>
    <author>tc={331B2931-76F1-4D4F-8433-A52A685E0493}</author>
    <author>tc={7142C94D-29B9-4583-A0CC-834832CF0119}</author>
    <author>tc={CD680B1E-987F-44D4-A73D-04BEE87C3649}</author>
    <author>tc={F529163D-E31D-439B-B9AF-C66F28EC9CAF}</author>
    <author>tc={E1C95E8E-137E-4A6A-9351-B06EFEBA88F7}</author>
    <author>tc={1DDE1D03-90DA-40FB-AEC2-85DAB5346E8A}</author>
    <author>tc={18D8F036-46B8-4C7D-810A-4E97183FE6B5}</author>
    <author>tc={EC56A09C-F82B-4492-B2DC-64719D08F1B9}</author>
    <author>tc={604C4D76-784C-466A-91D3-78BD538FBB1D}</author>
    <author>tc={E5677A00-2AED-4798-B433-C2EB0B3FDC1D}</author>
    <author>tc={83FC6750-5EE4-4B63-A817-5ABEB0596029}</author>
    <author>tc={BDE52B69-49C9-40B8-B6F9-7B3709E4AC1E}</author>
    <author>tc={61B8144E-77CD-472E-BB9C-E93B6DC7CD26}</author>
  </authors>
  <commentList>
    <comment ref="Q25" authorId="0" shapeId="0" xr:uid="{AAF28551-44B2-4A97-AA95-48258E9438C1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@Lloyd Brown, fiollowing the discussion in December, was this returned to Kathea?</t>
      </text>
    </comment>
    <comment ref="W64" authorId="1" shapeId="0" xr:uid="{C44BF9C1-3572-4D98-A547-3C206E3710F0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@Roedolph Venter is this payment date correct?</t>
      </text>
    </comment>
    <comment ref="W69" authorId="2" shapeId="0" xr:uid="{4F70E5B8-0176-4963-BF42-34239AC81C79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@Roedolph Venter same here</t>
      </text>
    </comment>
    <comment ref="Q87" authorId="3" shapeId="0" xr:uid="{331B2931-76F1-4D4F-8433-A52A685E0493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@Lloyd Brown when is this due for payment?</t>
      </text>
    </comment>
    <comment ref="W112" authorId="4" shapeId="0" xr:uid="{7142C94D-29B9-4583-A0CC-834832CF0119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@Roedolph Venter same here</t>
      </text>
    </comment>
    <comment ref="W117" authorId="5" shapeId="0" xr:uid="{CD680B1E-987F-44D4-A73D-04BEE87C3649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@Roedolph Venter same here</t>
      </text>
    </comment>
    <comment ref="H177" authorId="6" shapeId="0" xr:uid="{F529163D-E31D-439B-B9AF-C66F28EC9CAF}">
      <text>
        <t>[Threaded comment]
Your version of Excel allows you to read this threaded comment; however, any edits to it will get removed if the file is opened in a newer version of Excel. Learn more: https://go.microsoft.com/fwlink/?linkid=870924
Comment:
    @mizelda, please update the payment date</t>
      </text>
    </comment>
    <comment ref="W188" authorId="7" shapeId="0" xr:uid="{E1C95E8E-137E-4A6A-9351-B06EFEBA88F7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@Roedolph Venter  has these been achieved last week?</t>
      </text>
    </comment>
    <comment ref="W190" authorId="8" shapeId="0" xr:uid="{1DDE1D03-90DA-40FB-AEC2-85DAB5346E8A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This should move out @Roedolph Venter </t>
      </text>
    </comment>
    <comment ref="W196" authorId="9" shapeId="0" xr:uid="{18D8F036-46B8-4C7D-810A-4E97183FE6B5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@Roedolph Venter  lets please pay only 7 days after completion</t>
      </text>
    </comment>
    <comment ref="W202" authorId="10" shapeId="0" xr:uid="{EC56A09C-F82B-4492-B2DC-64719D08F1B9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@Roedolph Venter this needs to move out</t>
      </text>
    </comment>
    <comment ref="W211" authorId="11" shapeId="0" xr:uid="{604C4D76-784C-466A-91D3-78BD538FBB1D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@Roedolph Venter  these can move out as well</t>
      </text>
    </comment>
    <comment ref="S232" authorId="12" shapeId="0" xr:uid="{E5677A00-2AED-4798-B433-C2EB0B3FDC1D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@Roedolph Venter  what is happening here</t>
      </text>
    </comment>
    <comment ref="H236" authorId="13" shapeId="0" xr:uid="{83FC6750-5EE4-4B63-A817-5ABEB0596029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@Mizelda Isaacs please update the payment date</t>
      </text>
    </comment>
    <comment ref="W236" authorId="14" shapeId="0" xr:uid="{BDE52B69-49C9-40B8-B6F9-7B3709E4AC1E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@Mizelda Isaacs please update the payment date</t>
      </text>
    </comment>
    <comment ref="H277" authorId="15" shapeId="0" xr:uid="{61B8144E-77CD-472E-BB9C-E93B6DC7CD26}">
      <text>
        <t>[Threaded comment]
Your version of Excel allows you to read this threaded comment; however, any edits to it will get removed if the file is opened in a newer version of Excel. Learn more: https://go.microsoft.com/fwlink/?linkid=870924
Comment:
    @Mizelda Isaacs please add payment date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<sst xmlns="http://schemas.openxmlformats.org/spreadsheetml/2006/main" count="1489" uniqueCount="830">
  <si>
    <t>PROJECT PLAN</t>
  </si>
  <si>
    <t>#</t>
  </si>
  <si>
    <t>Project Milestone</t>
  </si>
  <si>
    <t>Planned Start Date</t>
  </si>
  <si>
    <t>Duration (Work Days)</t>
  </si>
  <si>
    <t>Planned End Date</t>
  </si>
  <si>
    <t>Actual Start Date</t>
  </si>
  <si>
    <t>Actual End Date</t>
  </si>
  <si>
    <t>Comments</t>
  </si>
  <si>
    <t>Contract Signature</t>
  </si>
  <si>
    <t>A</t>
  </si>
  <si>
    <t>PAYMENT MILESTONE 1: DEPOSIT</t>
  </si>
  <si>
    <t>Structural and Electrical Due Diligences</t>
  </si>
  <si>
    <t>Design Confirmation</t>
  </si>
  <si>
    <t>Equipment Procurement</t>
  </si>
  <si>
    <t>Panel Procurement</t>
  </si>
  <si>
    <t>Inverter Procurement</t>
  </si>
  <si>
    <t>Mounting Structure Procurement</t>
  </si>
  <si>
    <t>BOS Procurement</t>
  </si>
  <si>
    <t>Internal Project Kick off</t>
  </si>
  <si>
    <t>Client Project Kick-off</t>
  </si>
  <si>
    <t>Equipment Delivery</t>
  </si>
  <si>
    <t>Mounting Structure Delivery</t>
  </si>
  <si>
    <t>Panel Delivery</t>
  </si>
  <si>
    <t>Generator Delivery</t>
  </si>
  <si>
    <t>B</t>
  </si>
  <si>
    <t>PAYMENT MILESTONE 2: DELIVERY OF PV PANELS</t>
  </si>
  <si>
    <t>Inverter Delivery</t>
  </si>
  <si>
    <t>BOS Delivery</t>
  </si>
  <si>
    <t>C</t>
  </si>
  <si>
    <t>PAYMENT MILESTONE 3: DELIVERY OF INVERTERS AND BOS</t>
  </si>
  <si>
    <t>Installation</t>
  </si>
  <si>
    <t>Site  Establishment</t>
  </si>
  <si>
    <t xml:space="preserve">Installation placed on hold due to Covid-19 case </t>
  </si>
  <si>
    <t>DC Works</t>
  </si>
  <si>
    <t>Mounting structure Installation</t>
  </si>
  <si>
    <t>Cable tray Installation</t>
  </si>
  <si>
    <t>DC Cable Installation</t>
  </si>
  <si>
    <t>Module Installation</t>
  </si>
  <si>
    <t>Earth Cable Installation</t>
  </si>
  <si>
    <t>AC Works</t>
  </si>
  <si>
    <t>Inverters Installation</t>
  </si>
  <si>
    <t>AC BOS Installation</t>
  </si>
  <si>
    <t>AC Cable/Tie-In</t>
  </si>
  <si>
    <t>Monitoring Platform Installation</t>
  </si>
  <si>
    <t>Completion</t>
  </si>
  <si>
    <t>D</t>
  </si>
  <si>
    <t>PAYMENT MILESTONE 4: PRACTICAL COMPLETION</t>
  </si>
  <si>
    <t xml:space="preserve">Commissioning </t>
  </si>
  <si>
    <t>Snag List</t>
  </si>
  <si>
    <t>Pre-Commissioning Checks</t>
  </si>
  <si>
    <t>Issue CoC</t>
  </si>
  <si>
    <t>Cold Commissioning</t>
  </si>
  <si>
    <t>Hot Commissioning</t>
  </si>
  <si>
    <t>Handover</t>
  </si>
  <si>
    <t>E</t>
  </si>
  <si>
    <t>PAYMENT MILESTONE 6: HANDOVER COMPLETE</t>
  </si>
  <si>
    <t>These numbers are used to set the start and end dates on the Gantt Chart</t>
  </si>
  <si>
    <t xml:space="preserve">HIGH LEVEL PROJECT REVENUE TRACKING </t>
  </si>
  <si>
    <t>COSTED</t>
  </si>
  <si>
    <t>ACTUAL</t>
  </si>
  <si>
    <t xml:space="preserve">FINANCIAL REVIEW </t>
  </si>
  <si>
    <t>TIMELINE REVIEW</t>
  </si>
  <si>
    <t>Allocated in 2025</t>
  </si>
  <si>
    <t>Budgeted</t>
  </si>
  <si>
    <t>Actual</t>
  </si>
  <si>
    <t>2025 Actual Revenue</t>
  </si>
  <si>
    <t>2025 Actual COS</t>
  </si>
  <si>
    <t>2026 Budget Revenue</t>
  </si>
  <si>
    <t>2026 Budget COS</t>
  </si>
  <si>
    <t>2026 Actual Revenue</t>
  </si>
  <si>
    <t>2026 Actual COS</t>
  </si>
  <si>
    <t>Planned Revenue</t>
  </si>
  <si>
    <t>Start Date</t>
  </si>
  <si>
    <t>Sales</t>
  </si>
  <si>
    <t>Planned Expenditure</t>
  </si>
  <si>
    <t>VO PM Limit</t>
  </si>
  <si>
    <t>Current VO Total</t>
  </si>
  <si>
    <t>COS</t>
  </si>
  <si>
    <t>Planned Profit</t>
  </si>
  <si>
    <t>End Date - PC</t>
  </si>
  <si>
    <t>GP</t>
  </si>
  <si>
    <t>Planned Margin</t>
  </si>
  <si>
    <t>CONTRACT</t>
  </si>
  <si>
    <t>No.</t>
  </si>
  <si>
    <t>PAYMENT MILESTONE</t>
  </si>
  <si>
    <t>%</t>
  </si>
  <si>
    <t>VALUE</t>
  </si>
  <si>
    <t>PLANNED PAYMENT DATE</t>
  </si>
  <si>
    <t>INVOICE NUMBER</t>
  </si>
  <si>
    <t>INVOICE RAISED DATE</t>
  </si>
  <si>
    <t>PAYMENT RECEIVED DATE</t>
  </si>
  <si>
    <t>MILESTONE NOTES &amp; COMMENTS</t>
  </si>
  <si>
    <t>Deposit - Coega Steel</t>
  </si>
  <si>
    <t>004753</t>
  </si>
  <si>
    <t>Delivery of Panels - Batch 1</t>
  </si>
  <si>
    <t>004823</t>
  </si>
  <si>
    <t>Delivery of Panels - Batch 2</t>
  </si>
  <si>
    <t>004838</t>
  </si>
  <si>
    <t>Delivery of Inverters</t>
  </si>
  <si>
    <t>004783</t>
  </si>
  <si>
    <t>Practical Completion</t>
  </si>
  <si>
    <t>004933</t>
  </si>
  <si>
    <t>Completion Certificate to be shared</t>
  </si>
  <si>
    <t>-</t>
  </si>
  <si>
    <t xml:space="preserve">KEY: </t>
  </si>
  <si>
    <t>contains an error (in result or a check has failed)</t>
  </si>
  <si>
    <t>Red Font - IF TEXT : content not yet confirmed</t>
  </si>
  <si>
    <t>Red Font - IF NUMBER: Negative value</t>
  </si>
  <si>
    <t xml:space="preserve">Anything in yellow is a concern or risk for noting or action </t>
  </si>
  <si>
    <t>confirmed</t>
  </si>
  <si>
    <t xml:space="preserve">[ADD INITIALS: comment for noting in square brackets, use colour or red to draw attention if important] </t>
  </si>
  <si>
    <t>[RT: When adding rows into sheet, ensure you insert between first and last row of each category]</t>
  </si>
  <si>
    <t>end of sheet - do not insert information below/beyond this</t>
  </si>
  <si>
    <t>Public holidays</t>
  </si>
  <si>
    <t>Drop down list</t>
  </si>
  <si>
    <t>New Years Day</t>
  </si>
  <si>
    <t>Approved</t>
  </si>
  <si>
    <t>Human Rights day</t>
  </si>
  <si>
    <t>Pending</t>
  </si>
  <si>
    <t>Good Friday</t>
  </si>
  <si>
    <t>Declined</t>
  </si>
  <si>
    <t>Family Day</t>
  </si>
  <si>
    <t>Abanded</t>
  </si>
  <si>
    <t>Freedom Day</t>
  </si>
  <si>
    <t xml:space="preserve">Freedom DayObserved </t>
  </si>
  <si>
    <t>Workers day</t>
  </si>
  <si>
    <t>Youth Day Holiday</t>
  </si>
  <si>
    <t>Womens Day</t>
  </si>
  <si>
    <t>Heritage Day</t>
  </si>
  <si>
    <t>Manual dates</t>
  </si>
  <si>
    <t>Builders Break</t>
  </si>
  <si>
    <t>Christmas Day</t>
  </si>
  <si>
    <t>Day of Goodwill</t>
  </si>
  <si>
    <t>Coega Steels Phase 2</t>
  </si>
  <si>
    <t>PROJECT SIZE (kWp)</t>
  </si>
  <si>
    <t>PROJECT DEVELOPER</t>
  </si>
  <si>
    <t>Gordon Upton</t>
  </si>
  <si>
    <t>PROJECT MANAGERS</t>
  </si>
  <si>
    <t>Lloyd Brown</t>
  </si>
  <si>
    <t>CONTRACT VALUE</t>
  </si>
  <si>
    <t>Phase:</t>
  </si>
  <si>
    <t>QA</t>
  </si>
  <si>
    <t>HIGH LEVEL PROGRAMME</t>
  </si>
  <si>
    <t>Planned Start</t>
  </si>
  <si>
    <t>Duration (work days)</t>
  </si>
  <si>
    <t>Planned End</t>
  </si>
  <si>
    <t>Actual Start</t>
  </si>
  <si>
    <t>Actual End</t>
  </si>
  <si>
    <t>Status</t>
  </si>
  <si>
    <t>Expected Status</t>
  </si>
  <si>
    <t>Comment</t>
  </si>
  <si>
    <t>Project Initiation</t>
  </si>
  <si>
    <t>PD Handover</t>
  </si>
  <si>
    <t>Financial Close</t>
  </si>
  <si>
    <t>Structural Assessment</t>
  </si>
  <si>
    <t>Project Introduction</t>
  </si>
  <si>
    <t>Project Review</t>
  </si>
  <si>
    <t>Site Establishment Preperation</t>
  </si>
  <si>
    <t>Milestone</t>
  </si>
  <si>
    <t>Total Duration</t>
  </si>
  <si>
    <t>Total WorkDays</t>
  </si>
  <si>
    <t>End Date</t>
  </si>
  <si>
    <t>Progress Percentage</t>
  </si>
  <si>
    <t>Project Overall Progress Percentage</t>
  </si>
  <si>
    <t>HSE Requirements</t>
  </si>
  <si>
    <t>EE File</t>
  </si>
  <si>
    <t>Subcontractor File - Solar Contractor</t>
  </si>
  <si>
    <t>Subcontractor File - Civil Contractor (Bay View Construction &amp; Engineering Hub)</t>
  </si>
  <si>
    <t xml:space="preserve">Bayview file pending - awaiting Medical approvals </t>
  </si>
  <si>
    <t>Subcontractor File - Anchor Point Contractor</t>
  </si>
  <si>
    <t>HSE Permit Issued</t>
  </si>
  <si>
    <t>CDC/Coega Delays</t>
  </si>
  <si>
    <t>Establishment of site entry &amp; Exit points</t>
  </si>
  <si>
    <t>Laydown Area Demarcated</t>
  </si>
  <si>
    <t>Ground Mount Demarcated</t>
  </si>
  <si>
    <t>Designated area fencing</t>
  </si>
  <si>
    <t>Site Ablutions</t>
  </si>
  <si>
    <t>Appointment finalised by eow</t>
  </si>
  <si>
    <t>Site Establishment Permit Issued</t>
  </si>
  <si>
    <t>Procurement &amp; Contracting</t>
  </si>
  <si>
    <t>Huawei Transformers (16 weeks lead time)</t>
  </si>
  <si>
    <t>Delay of shipping as of 14 Oct</t>
  </si>
  <si>
    <t>Panels (6 - 8 Weeks)</t>
  </si>
  <si>
    <t>30 pallets deliverd 26/08; 90 pallets 15 Oct; 185 pallets 20 Oct</t>
  </si>
  <si>
    <t>Ground Mount Structure (10 Weeks)</t>
  </si>
  <si>
    <t>Inverters (8 to 12 weeks)</t>
  </si>
  <si>
    <t>DC Cable</t>
  </si>
  <si>
    <t>LV Cable (2-4 Weeks)</t>
  </si>
  <si>
    <t>MV Cable (2-4 Weeks)</t>
  </si>
  <si>
    <t>Distribution Boards (6 - 8 Weeks)</t>
  </si>
  <si>
    <t>ABB hold up on the breakers</t>
  </si>
  <si>
    <t>Extras &amp; Civil Works</t>
  </si>
  <si>
    <t>Staircase Installation - Coega Scope</t>
  </si>
  <si>
    <t>Follow up with Coega</t>
  </si>
  <si>
    <t>Ground Mount Fence - Coega Scope</t>
  </si>
  <si>
    <t>Resuming 01 Oct</t>
  </si>
  <si>
    <t>Catladder Fabrication</t>
  </si>
  <si>
    <t>Catladder Installation</t>
  </si>
  <si>
    <t>Awaiting sign off form Subbie</t>
  </si>
  <si>
    <t>Rooftop Inverter Cage Fabrication</t>
  </si>
  <si>
    <t>Rooftop Inverter Cage Installation</t>
  </si>
  <si>
    <t>Plinths - Casting &amp; Curing</t>
  </si>
  <si>
    <t>Walkway Installation</t>
  </si>
  <si>
    <t>Complete on Furnance, staring on mill</t>
  </si>
  <si>
    <t>Anchor Point Installation</t>
  </si>
  <si>
    <t>Optic Fiber Installation</t>
  </si>
  <si>
    <t>Trenching - Fiber</t>
  </si>
  <si>
    <t>4.12</t>
  </si>
  <si>
    <t>Directional Drilling</t>
  </si>
  <si>
    <t>4.13</t>
  </si>
  <si>
    <t>Trenching - Ground Mount to Mill</t>
  </si>
  <si>
    <t>4.14</t>
  </si>
  <si>
    <t>Trenching - Furnance &amp; Mill - Coega Scope</t>
  </si>
  <si>
    <t>Direct impact on pulling strings from the furnance to the mill. Impacts approx. 1,6MW</t>
  </si>
  <si>
    <t>DC Works - Rooftop</t>
  </si>
  <si>
    <t>Mounting Structure delivered</t>
  </si>
  <si>
    <t>Mounting Structure installation - Frunance</t>
  </si>
  <si>
    <t>Mounting Structure installation - Mill</t>
  </si>
  <si>
    <t>Panel Installation - Furnace</t>
  </si>
  <si>
    <t>Waiting for delivery of panels</t>
  </si>
  <si>
    <t>Panel Installation - Mill</t>
  </si>
  <si>
    <t>Roof risk delayed</t>
  </si>
  <si>
    <t>DC Stringing - Furnace</t>
  </si>
  <si>
    <t>DC Stringing - Mill</t>
  </si>
  <si>
    <t>DC Works - Ground Mount</t>
  </si>
  <si>
    <t>Drilling</t>
  </si>
  <si>
    <t>1. Top layer soil was building rubble.
2. Levelling and approval of installation took 4 weeks longer than intially communicated by Coega.
3. Baseline date was 12 Sept 2025, Bayview only started 08 Oct 2025. 
4. This has caused a 4 week delay.</t>
  </si>
  <si>
    <t>Pillar Installation</t>
  </si>
  <si>
    <t>Busy with the north facing pillars</t>
  </si>
  <si>
    <t>Structure Installation</t>
  </si>
  <si>
    <t>Panel Installation</t>
  </si>
  <si>
    <t>DC Stringing</t>
  </si>
  <si>
    <t>AC Installation - Ground Mount</t>
  </si>
  <si>
    <t>Inverters Delivered</t>
  </si>
  <si>
    <t>Inverters Mounted</t>
  </si>
  <si>
    <t>DB Placement</t>
  </si>
  <si>
    <t>Cabling - Inverter to DB</t>
  </si>
  <si>
    <t>Cabling - DB to Transformer</t>
  </si>
  <si>
    <t>AC Installation - Rooftop</t>
  </si>
  <si>
    <t>Transformer Installation</t>
  </si>
  <si>
    <t>Transformer Offloading</t>
  </si>
  <si>
    <t>Transformer Rigging risk assessment and offloading plan</t>
  </si>
  <si>
    <t>Transformer 1 - MV - Install MV cabling</t>
  </si>
  <si>
    <t>Transformer 1 - MV - Terminate and connect cabling at RMU - Assuming Coega has the tie in breaker ready</t>
  </si>
  <si>
    <t>Transformer 1 - MV - Cable pressure testing and protection calibrations</t>
  </si>
  <si>
    <t>Transformer 2 - MV - Install MV cabling</t>
  </si>
  <si>
    <t>Transformer 2 - MV - Terminate and connect cabling at RMU</t>
  </si>
  <si>
    <t>Transformer 2 - MV - Cable pressure testing and protection calibrations</t>
  </si>
  <si>
    <t>Commissioning</t>
  </si>
  <si>
    <t>MV Signoff and COC</t>
  </si>
  <si>
    <t>Transformer Commissioning</t>
  </si>
  <si>
    <t>Inverter Commissioning</t>
  </si>
  <si>
    <t>Energy Flowing - Partial</t>
  </si>
  <si>
    <t>Furnance strings to be energised</t>
  </si>
  <si>
    <t>Energy Flowing - Full</t>
  </si>
  <si>
    <t>All strings to be energised</t>
  </si>
  <si>
    <t>Issue Compeltion Certificates</t>
  </si>
  <si>
    <t>Techsitter Installation</t>
  </si>
  <si>
    <t>Grid Meter Setup</t>
  </si>
  <si>
    <t>Inverter 4 Rolling Mill (Inverter 14) Faulty string</t>
  </si>
  <si>
    <t>`</t>
  </si>
  <si>
    <t>QA Inspection &amp; Snag Completion</t>
  </si>
  <si>
    <t>Pre Red-Team Inspection - Dean EE</t>
  </si>
  <si>
    <t>Schletter Sctructure Inspection - Dean Schletter</t>
  </si>
  <si>
    <t>TBC</t>
  </si>
  <si>
    <t>Electrical Inspection - Renette</t>
  </si>
  <si>
    <t>Matriarch Inspection of the roofs</t>
  </si>
  <si>
    <t>Contractor Snag Completion</t>
  </si>
  <si>
    <t>not started</t>
  </si>
  <si>
    <t>Project Closure</t>
  </si>
  <si>
    <t>Equipment serial numbers</t>
  </si>
  <si>
    <t>Client Snag List Completion</t>
  </si>
  <si>
    <t>System Performance Monitoring</t>
  </si>
  <si>
    <t>Handover documentation</t>
  </si>
  <si>
    <t>Handover to Client</t>
  </si>
  <si>
    <t>Handover to Matriarch</t>
  </si>
  <si>
    <t xml:space="preserve">HIGH LEVEL PROJECT EXPENDITURE TRACKING </t>
  </si>
  <si>
    <t>Difference from costed</t>
  </si>
  <si>
    <t>EXPENDITURE</t>
  </si>
  <si>
    <t>Item</t>
  </si>
  <si>
    <t>Costed
Expenditure</t>
  </si>
  <si>
    <t>Actual
Expenditure</t>
  </si>
  <si>
    <t>Saving / Overrun</t>
  </si>
  <si>
    <t>Comments on variations from planned expenditure</t>
  </si>
  <si>
    <t xml:space="preserve">check: </t>
  </si>
  <si>
    <t>COSTED EXPENDITURE BREAKDOWN</t>
  </si>
  <si>
    <t>ACTUAL EXPENDITURE BREAKDOWN</t>
  </si>
  <si>
    <t>FINANCE ONLY</t>
  </si>
  <si>
    <t xml:space="preserve">No. </t>
  </si>
  <si>
    <t>Product / Service</t>
  </si>
  <si>
    <t>Description of Work</t>
  </si>
  <si>
    <t>QTY</t>
  </si>
  <si>
    <t>Rate / Unit</t>
  </si>
  <si>
    <t>Budget Total</t>
  </si>
  <si>
    <t>FINANCE PAYMENT DATE</t>
  </si>
  <si>
    <t>Total COS</t>
  </si>
  <si>
    <t>Product/ Service</t>
  </si>
  <si>
    <t xml:space="preserve">Actual Total </t>
  </si>
  <si>
    <t>PO NUMBER</t>
  </si>
  <si>
    <t>REVENUE RECOGNITION AMOUNT</t>
  </si>
  <si>
    <t>CHECK</t>
  </si>
  <si>
    <t>Panels</t>
  </si>
  <si>
    <t>Panels Budget</t>
  </si>
  <si>
    <t>1. Panels</t>
  </si>
  <si>
    <t>Jinko 620W - Deposit</t>
  </si>
  <si>
    <t>PO3993-CSPH2-20260610 - RV Approved</t>
  </si>
  <si>
    <t>Menlo INV0003003</t>
  </si>
  <si>
    <t>Delivery Budget</t>
  </si>
  <si>
    <t/>
  </si>
  <si>
    <t>Jinko 620W - Ground Mount</t>
  </si>
  <si>
    <t>Menlo INV0003103</t>
  </si>
  <si>
    <t>Jinko 620W - Rooftop</t>
  </si>
  <si>
    <t>Spare</t>
  </si>
  <si>
    <t>Luken Solar</t>
  </si>
  <si>
    <t>Extra Pallet</t>
  </si>
  <si>
    <t>Menlo INV0003160</t>
  </si>
  <si>
    <t>BUDGET</t>
  </si>
  <si>
    <t>Installer Allocation</t>
  </si>
  <si>
    <t>MSA Energy: CRN0000262</t>
  </si>
  <si>
    <t>AC Equipment</t>
  </si>
  <si>
    <t>Installation of 4MW Roof Mount including electrical work, labour and logistics</t>
  </si>
  <si>
    <t>4MW</t>
  </si>
  <si>
    <t>Inverters</t>
  </si>
  <si>
    <t>Inverter Budget</t>
  </si>
  <si>
    <t>2. Inverters</t>
  </si>
  <si>
    <t>Huawei 330KTL - Deposit 30%</t>
  </si>
  <si>
    <t>PO3991-CSPH2-20250610 - JP Approved</t>
  </si>
  <si>
    <t>Kathea S19625</t>
  </si>
  <si>
    <t>DC Equipment</t>
  </si>
  <si>
    <t>Huawei 330KTL - Balance 70%</t>
  </si>
  <si>
    <t>Kathea - 519704</t>
  </si>
  <si>
    <t>AC Labour</t>
  </si>
  <si>
    <t>Special lifting equipment</t>
  </si>
  <si>
    <t>DC Labour</t>
  </si>
  <si>
    <t>Elctrical and installation small components (not provided by Emergent)</t>
  </si>
  <si>
    <t>Offloading</t>
  </si>
  <si>
    <t xml:space="preserve">Huawei SUN2000 HAV5-Inverter Accessories - 330KTL Inverters </t>
  </si>
  <si>
    <t>Kathea - 500335</t>
  </si>
  <si>
    <t>Scaffolding</t>
  </si>
  <si>
    <t>Installation of Ground Mount system:</t>
  </si>
  <si>
    <t>Storage</t>
  </si>
  <si>
    <t>Telehandler</t>
  </si>
  <si>
    <t>Installation of 3MW Ground Mount including electrical work, labour and logistics (incl. Structures)</t>
  </si>
  <si>
    <t>3MW</t>
  </si>
  <si>
    <t>Mounting Structures</t>
  </si>
  <si>
    <t>Structure Budget</t>
  </si>
  <si>
    <t>3. Mounting Structures</t>
  </si>
  <si>
    <t>IBR short rail - Rooftop</t>
  </si>
  <si>
    <t>PO3994-CSPH2-20260610 - RV Approved</t>
  </si>
  <si>
    <t>Schletter - INV1895</t>
  </si>
  <si>
    <t>Other</t>
  </si>
  <si>
    <t>Trenching and pipes</t>
  </si>
  <si>
    <t>Screws - Rooftop</t>
  </si>
  <si>
    <t>Total</t>
  </si>
  <si>
    <t>Inner Clamp - 30mm - Rooftop</t>
  </si>
  <si>
    <t>Less 15%</t>
  </si>
  <si>
    <t>End Clamp - 30mm - Rooftop</t>
  </si>
  <si>
    <t>R/Wp</t>
  </si>
  <si>
    <t>IBR Mounting clamps - Cable Trays</t>
  </si>
  <si>
    <t>Installer Price</t>
  </si>
  <si>
    <t>Screws - Cable Trays</t>
  </si>
  <si>
    <t>Freight Charges</t>
  </si>
  <si>
    <t>Ground mount - Deposit</t>
  </si>
  <si>
    <t>PO3992-CSPH2-20250610 - RV Approved</t>
  </si>
  <si>
    <t>Schletter : INV1887</t>
  </si>
  <si>
    <t>Ground mount - Balance</t>
  </si>
  <si>
    <t>Schletter: INV2113</t>
  </si>
  <si>
    <t>Schletter - CRN0271</t>
  </si>
  <si>
    <t>Schletter - CRN0272</t>
  </si>
  <si>
    <t>Schletter - INV2231</t>
  </si>
  <si>
    <t>Engineering Signoff - deposit</t>
  </si>
  <si>
    <t>HSE</t>
  </si>
  <si>
    <t>Engineering Signoff - balance</t>
  </si>
  <si>
    <t>DC Cable Budget</t>
  </si>
  <si>
    <t>4. DC Equipment</t>
  </si>
  <si>
    <t>DC Equipment Budget</t>
  </si>
  <si>
    <t>DC Cable - Balance to be delivered</t>
  </si>
  <si>
    <t>Menlo INV0003047</t>
  </si>
  <si>
    <t>Jinko Connectors - Male</t>
  </si>
  <si>
    <t>PO4154-COEGA-20250723 - RV Approved</t>
  </si>
  <si>
    <t>Menlo INV0003096</t>
  </si>
  <si>
    <t>Jinko Connectors - Female</t>
  </si>
  <si>
    <t>DC Cable Trays - As Per BOQ</t>
  </si>
  <si>
    <t>PO4126-CSPH2-20250716 - RV Approved</t>
  </si>
  <si>
    <t>Advanced Strut INV IN152953</t>
  </si>
  <si>
    <t>Project Kick Off - Rooftop</t>
  </si>
  <si>
    <t>PO4029-CSPH2-20250624 - RV Approved</t>
  </si>
  <si>
    <t>Luken Solar Inv: 0654</t>
  </si>
  <si>
    <t>DC Equipment Onsite - Rooftop</t>
  </si>
  <si>
    <t>Luken Solar Inv: 0660</t>
  </si>
  <si>
    <t>End of Defects Period - Rooftop</t>
  </si>
  <si>
    <t>Luken Solar Inv 0665</t>
  </si>
  <si>
    <t>Project Kick Off - Ground Mount</t>
  </si>
  <si>
    <t>DC Equipment Onsite - Ground Mount</t>
  </si>
  <si>
    <t>End of Defects Period - Ground Mount</t>
  </si>
  <si>
    <t>Monitoring</t>
  </si>
  <si>
    <t>Monitoring Budget</t>
  </si>
  <si>
    <t>5. Monitoring</t>
  </si>
  <si>
    <t>Metering Budget</t>
  </si>
  <si>
    <t>Comms DB</t>
  </si>
  <si>
    <t>Janitza UMG604 pro</t>
  </si>
  <si>
    <t>PO4129-CSPH2-2020717 - RV Approved</t>
  </si>
  <si>
    <t>Harmonious Technical - QU100635</t>
  </si>
  <si>
    <t>Delivery of Janitza</t>
  </si>
  <si>
    <t>DSV Inv: 180140895</t>
  </si>
  <si>
    <t>Revenue Grade Meter</t>
  </si>
  <si>
    <t>Techsitter</t>
  </si>
  <si>
    <t>Matriarch - INV-4999</t>
  </si>
  <si>
    <t xml:space="preserve">TC: Changed amount - 30k </t>
  </si>
  <si>
    <t>Delivery of Techsitter</t>
  </si>
  <si>
    <t>Encombi controller complete kit</t>
  </si>
  <si>
    <t>PO4128-CSPH2-20250717 - RV Approved</t>
  </si>
  <si>
    <t>Kathea Inv: 519753 + 519759 + 519762</t>
  </si>
  <si>
    <t>Router and CTs</t>
  </si>
  <si>
    <t>PO4125-COEG-20250716 - RV Approved</t>
  </si>
  <si>
    <t>AccuEnergy - ASAI-005973</t>
  </si>
  <si>
    <t>PO4506-CSPH2-20251128 - RV Approve</t>
  </si>
  <si>
    <t>Paul van Vuuren Inv: IOG090</t>
  </si>
  <si>
    <t>Paul van Vuuren - CN000217</t>
  </si>
  <si>
    <t>Meanwell MDR-100-24</t>
  </si>
  <si>
    <t>PO4259-CSHP2-20250821 - RV Approved</t>
  </si>
  <si>
    <t>Mantech INV1078143</t>
  </si>
  <si>
    <t>Techsitter - Ground Mount</t>
  </si>
  <si>
    <t>Matriarch - INV-5207</t>
  </si>
  <si>
    <t>DSV Inv: 180150385</t>
  </si>
  <si>
    <t xml:space="preserve">Supply &amp; Delivery - Mode Duplex Fibre Modules </t>
  </si>
  <si>
    <t>Paul Van Vuuren - IOG122</t>
  </si>
  <si>
    <t>AcuRev Energy Meter</t>
  </si>
  <si>
    <t>AccuEnergy - ASAI-007302</t>
  </si>
  <si>
    <t>AC Equipment Budget</t>
  </si>
  <si>
    <t>6. AC Equipment</t>
  </si>
  <si>
    <t>MCCB Boards</t>
  </si>
  <si>
    <t>PO4115-COEG-20250710 - RV Approved</t>
  </si>
  <si>
    <t>Eastern Switchgear: 16889</t>
  </si>
  <si>
    <t>LV Cable</t>
  </si>
  <si>
    <t>Herholdts - INV1198397</t>
  </si>
  <si>
    <t>Contigency</t>
  </si>
  <si>
    <t>AC - LV/MV/Earthing Cable</t>
  </si>
  <si>
    <t>PO4131-CSPH2-20250717 - RV Approved</t>
  </si>
  <si>
    <t>ARB : PLZ-3079494</t>
  </si>
  <si>
    <t>AC - LV/MV/Earthing Cable - Delivery 1</t>
  </si>
  <si>
    <t>ARB : PLZ-3079420</t>
  </si>
  <si>
    <t>AC - LV/MV/Earthing Cable - Delivery 2</t>
  </si>
  <si>
    <t>ARB: PLZ-3079501</t>
  </si>
  <si>
    <t>AC Cable Trays</t>
  </si>
  <si>
    <t>Advanced Strut INV56863</t>
  </si>
  <si>
    <t>AC Equipment Onsite - Rooftop</t>
  </si>
  <si>
    <t>AC Equipment Onsite - Ground Mount</t>
  </si>
  <si>
    <t>MV Substation</t>
  </si>
  <si>
    <t>7.MV Substation</t>
  </si>
  <si>
    <t>Huawei String Inverter Warranty Extensions to 10 years</t>
  </si>
  <si>
    <t>Kathea 500008</t>
  </si>
  <si>
    <t>Huawei Smart Transformers - 6MVA 0.8/22kV - Deposit</t>
  </si>
  <si>
    <t>Huawei Smart Transformers - 6MVA 0.8/22kV - Balance</t>
  </si>
  <si>
    <t>Kathea 500247</t>
  </si>
  <si>
    <t>6MVA 0.8/22kV - Warranty Extension 5 Years - Deposit</t>
  </si>
  <si>
    <t>6MVA 0.8/22kV - Warranty Extension 5 Years - Balance</t>
  </si>
  <si>
    <t>Huawei Smart Transformers - 3MVA 0.8/22kV - Deposit</t>
  </si>
  <si>
    <t>Huawei Smart Transformers - 6MVA 0.8/22kV</t>
  </si>
  <si>
    <t>Huawei Smart Transformers - 3MVA 0.8/22kV - Balance</t>
  </si>
  <si>
    <t>Huawei Smart Transformers - 3MVA 0.8/22kV</t>
  </si>
  <si>
    <t>3MVA 0.8/22kV - Warranty Extension 5 Years - Deposit</t>
  </si>
  <si>
    <t>3MVA 0.8/22kV - Warranty Extension 5 Years - Balance</t>
  </si>
  <si>
    <t>Inverter Assecories with Spares</t>
  </si>
  <si>
    <t>Transformer Assecories with Spares</t>
  </si>
  <si>
    <t>Transformer UPS - Deposit</t>
  </si>
  <si>
    <t>Transformer UPS - Balance</t>
  </si>
  <si>
    <t>Commissioning Services - Deposit - Kathea</t>
  </si>
  <si>
    <t>Commissioning Services - Balance - Kathea</t>
  </si>
  <si>
    <t>Huawei Comms Accessories</t>
  </si>
  <si>
    <t>Transformer MV Surge Arrestor</t>
  </si>
  <si>
    <t>Insulation Monitoring</t>
  </si>
  <si>
    <t xml:space="preserve">Product Add On </t>
  </si>
  <si>
    <t xml:space="preserve">8. Product Add On </t>
  </si>
  <si>
    <t>Cat Ladders</t>
  </si>
  <si>
    <t>Manufacture &amp; Install Catladder</t>
  </si>
  <si>
    <t>PO4124-COEG-20250716 - RV Approved</t>
  </si>
  <si>
    <t>The Engineering Hub: INV/2025/07/0546</t>
  </si>
  <si>
    <t>Walkways</t>
  </si>
  <si>
    <t>Ground mount closure &amp; cages</t>
  </si>
  <si>
    <t>PO4189-COEG-20250731 - RV Approved</t>
  </si>
  <si>
    <t>The Engineering Hub - INV/2025/07/0576</t>
  </si>
  <si>
    <t>Inverter Enclosure</t>
  </si>
  <si>
    <t>The Engineering Hub - INV/2025/07/0558</t>
  </si>
  <si>
    <t>Plinths - Deposit</t>
  </si>
  <si>
    <t>PO4179-COEG-20250729 - RV Approved</t>
  </si>
  <si>
    <t>Bayview Construction: Inv 338202502</t>
  </si>
  <si>
    <t>Plinths - Balance</t>
  </si>
  <si>
    <t>PO4030-CSPH2-20250624 - RV Approved</t>
  </si>
  <si>
    <t>Onvlee - Inv 1050589</t>
  </si>
  <si>
    <t>Walkway Mounting Kit</t>
  </si>
  <si>
    <t>Transport</t>
  </si>
  <si>
    <t>Change in scope - Additional Walkway</t>
  </si>
  <si>
    <t>PO4284-CSPH2-20250827 - RV Approved</t>
  </si>
  <si>
    <t>Onvlee - Inv 01051083</t>
  </si>
  <si>
    <t>Anchor Points - Deposit</t>
  </si>
  <si>
    <t>PO4097-COEG-20250708 - RV Approved</t>
  </si>
  <si>
    <t>EZI Systems - VIN2793</t>
  </si>
  <si>
    <t>Anchor Points - Balance</t>
  </si>
  <si>
    <t>Ezi Systems - VIN2863</t>
  </si>
  <si>
    <t>Transformer - Consumption Metering</t>
  </si>
  <si>
    <t>Cages on stands and plinth for inverters x4</t>
  </si>
  <si>
    <t>Waterpoints - Ground Mount &amp; Roof</t>
  </si>
  <si>
    <t>Upfront Fedgroup Fee</t>
  </si>
  <si>
    <t>Poder forFire Extinguisher</t>
  </si>
  <si>
    <t xml:space="preserve">Transfire Eastern Cape   -  IN-18217
</t>
  </si>
  <si>
    <t>Fedgroup Green - SPVL000487_250731</t>
  </si>
  <si>
    <t>AC &amp; DC Installation</t>
  </si>
  <si>
    <t>AC Installation Budget</t>
  </si>
  <si>
    <t>9. AC &amp; DC installation</t>
  </si>
  <si>
    <t>Rooftop - DC</t>
  </si>
  <si>
    <t>DC Installation Budget</t>
  </si>
  <si>
    <t>Project Kick Off</t>
  </si>
  <si>
    <t>Site Establishment</t>
  </si>
  <si>
    <t>Mounting Structure Installed</t>
  </si>
  <si>
    <t>Cable Trays Installed</t>
  </si>
  <si>
    <t>Panel Installation Complete</t>
  </si>
  <si>
    <t>Luken Solar - INV-0701</t>
  </si>
  <si>
    <t>Stringing Complete</t>
  </si>
  <si>
    <t>Snag Completion</t>
  </si>
  <si>
    <t>End of Defects Period</t>
  </si>
  <si>
    <t>Ground Mount - DC</t>
  </si>
  <si>
    <t>Panel Installation Complete 75%</t>
  </si>
  <si>
    <t>Panel Installation Complete - 25%</t>
  </si>
  <si>
    <t>Stringing Complete75%</t>
  </si>
  <si>
    <t>Stringing Complete 25%</t>
  </si>
  <si>
    <t>AC Installation - LV</t>
  </si>
  <si>
    <t>Inverter Installation Complete</t>
  </si>
  <si>
    <t>PVDB Installation Complete</t>
  </si>
  <si>
    <t>AC Cabling &amp; Racking Complete</t>
  </si>
  <si>
    <t>Commissioning Complete</t>
  </si>
  <si>
    <t>Ground Mount - Pillar Installation</t>
  </si>
  <si>
    <t>PO4178-COEG-20250728 - RV Approved</t>
  </si>
  <si>
    <t>Bayview Construction: Inv 338202501</t>
  </si>
  <si>
    <t>Installation Complete</t>
  </si>
  <si>
    <t>Site Logistics</t>
  </si>
  <si>
    <t>10. Site Logistics</t>
  </si>
  <si>
    <t>Omega Security</t>
  </si>
  <si>
    <t>PO4248-CSPH2-20250820 - RV Approved</t>
  </si>
  <si>
    <t>Omega OM038568</t>
  </si>
  <si>
    <t>Security</t>
  </si>
  <si>
    <t>Omega - OM040496</t>
  </si>
  <si>
    <t>Omega - OM040593</t>
  </si>
  <si>
    <t xml:space="preserve">Omega Security - January </t>
  </si>
  <si>
    <t>Omega - OM040944</t>
  </si>
  <si>
    <t>Installation of Fuard Secure</t>
  </si>
  <si>
    <t>Omega - OMO40594</t>
  </si>
  <si>
    <t>Installation of Guard Secure</t>
  </si>
  <si>
    <t>Lifting Equipment Onsite - Rooftop</t>
  </si>
  <si>
    <t>Site De-establisment - Rooftop</t>
  </si>
  <si>
    <t>Lifting Equipment Onsite - Ground Mount</t>
  </si>
  <si>
    <t>Site De-establisment - Ground Mount</t>
  </si>
  <si>
    <t>Container Hire - June</t>
  </si>
  <si>
    <t>Container World PFP9167</t>
  </si>
  <si>
    <t>Container Hire - July</t>
  </si>
  <si>
    <t>Container World PFP9174</t>
  </si>
  <si>
    <t>Container Hire - August</t>
  </si>
  <si>
    <t>Container World P587568</t>
  </si>
  <si>
    <t>Container World PFP911</t>
  </si>
  <si>
    <t>Container Hire - September</t>
  </si>
  <si>
    <t>Container World P591046</t>
  </si>
  <si>
    <t>Container Hire - September - Container 2</t>
  </si>
  <si>
    <t>Container World P591048</t>
  </si>
  <si>
    <t>Container Hire</t>
  </si>
  <si>
    <t>Container World - P584103</t>
  </si>
  <si>
    <t>Container World - P594608</t>
  </si>
  <si>
    <t>Container World - P594597</t>
  </si>
  <si>
    <t>Container World - P594595</t>
  </si>
  <si>
    <t>Office Container - Rental</t>
  </si>
  <si>
    <t>Container World - PF591061</t>
  </si>
  <si>
    <t>Container World - P587570</t>
  </si>
  <si>
    <t>Container Hire - November- Container</t>
  </si>
  <si>
    <t>Container World - P598167</t>
  </si>
  <si>
    <t>Container World - P598169</t>
  </si>
  <si>
    <t>Container World - P598179</t>
  </si>
  <si>
    <t>Container Hire - December - Container 1</t>
  </si>
  <si>
    <t>Container World - P601672</t>
  </si>
  <si>
    <t>Container Hire - December - Container 2</t>
  </si>
  <si>
    <t>Container World - P601674</t>
  </si>
  <si>
    <t xml:space="preserve">Container Hire - December - Office Container </t>
  </si>
  <si>
    <t>Container World P601684</t>
  </si>
  <si>
    <t>Container Hire - January - Container 1</t>
  </si>
  <si>
    <t>Container World P605064</t>
  </si>
  <si>
    <t>Container Hire - January - Container 2</t>
  </si>
  <si>
    <t>Container World P605066</t>
  </si>
  <si>
    <t xml:space="preserve">Container Hire - January - Office Container </t>
  </si>
  <si>
    <t>Container World P605075</t>
  </si>
  <si>
    <t xml:space="preserve">Container Hire - February - Office Container </t>
  </si>
  <si>
    <t>Container World P608429</t>
  </si>
  <si>
    <t>Container World P608431</t>
  </si>
  <si>
    <t>Container World P608440</t>
  </si>
  <si>
    <t>Site Ablutions - August</t>
  </si>
  <si>
    <t>Talisman Hire:Inv 00211311</t>
  </si>
  <si>
    <t>Site Ablutions - September</t>
  </si>
  <si>
    <t>Talisman Hire:Inv 212767</t>
  </si>
  <si>
    <t>Site Ablutions - October</t>
  </si>
  <si>
    <t>Talisman Hire:Inv 00214681 + 00214480</t>
  </si>
  <si>
    <t>Site Ablutions - November</t>
  </si>
  <si>
    <t>Talisman Hire - 00216276</t>
  </si>
  <si>
    <t>Site Ablutions - December</t>
  </si>
  <si>
    <t>Talisman Hire - 00217594</t>
  </si>
  <si>
    <t>Talisman Hire - 00217616</t>
  </si>
  <si>
    <t>Site Ablutions - January</t>
  </si>
  <si>
    <t>Talisman Hire - 00218837</t>
  </si>
  <si>
    <t>Talisman Hire - 00218853</t>
  </si>
  <si>
    <t>Due Dilligence</t>
  </si>
  <si>
    <t>Electrical PrEng sign off</t>
  </si>
  <si>
    <t>11. Due Dilligence</t>
  </si>
  <si>
    <t>Technical Review - Onsite inspection and reporting - Final Inspection</t>
  </si>
  <si>
    <t>PO4372-CSPH2-20251020 - RV Approved</t>
  </si>
  <si>
    <t>Prelim Onsite Inspection &amp; Snag Reporting</t>
  </si>
  <si>
    <t>PO4400-CSPH2-20251030 - RV Approved</t>
  </si>
  <si>
    <t>2Xtwo - 785</t>
  </si>
  <si>
    <t>Structural Sign Off</t>
  </si>
  <si>
    <t>PO4075-COEG-20250630 - RV Approved</t>
  </si>
  <si>
    <t>L&amp;B Consulting  INV-2013</t>
  </si>
  <si>
    <t>Grid Study</t>
  </si>
  <si>
    <t>PO4078-COEG-20250701 - RV Approved</t>
  </si>
  <si>
    <t>Okusha - EE18</t>
  </si>
  <si>
    <t>Protection Design</t>
  </si>
  <si>
    <t>PO4180-COEG-20250730 - RV Approved</t>
  </si>
  <si>
    <t>Okusha EE21</t>
  </si>
  <si>
    <t>Red Team Inspection - Dec - 1</t>
  </si>
  <si>
    <t>Red Team Inspection - Dec - 2</t>
  </si>
  <si>
    <t>BDP Commission</t>
  </si>
  <si>
    <t>12. BDP Commission</t>
  </si>
  <si>
    <t>PD Fee</t>
  </si>
  <si>
    <t>Engineering</t>
  </si>
  <si>
    <t>Matriarch Defects Period</t>
  </si>
  <si>
    <t>13. Engineering</t>
  </si>
  <si>
    <t>Performance Guarantee</t>
  </si>
  <si>
    <t>Matriarch O &amp; M Fee - Phase 1</t>
  </si>
  <si>
    <t>Matriarch Inv: 5015</t>
  </si>
  <si>
    <t>Matriarch O &amp; M Fee - Phase 1 - Sept</t>
  </si>
  <si>
    <t>Matriarch Inv: 5050</t>
  </si>
  <si>
    <t>Matriarch O &amp; M Fee - Phase 1 - Oct</t>
  </si>
  <si>
    <t>Matriarch Inv: 5241</t>
  </si>
  <si>
    <t>Matriarch O &amp; M Fee - Phase 1 - Nov</t>
  </si>
  <si>
    <t>Matriarch - INV-5464</t>
  </si>
  <si>
    <t>Matriarch O &amp; M Fee - Phase 1 - Dec</t>
  </si>
  <si>
    <t>Matriarch - INV-5801</t>
  </si>
  <si>
    <t>Matriarch O &amp; M Fee - Phase 1 - Jan</t>
  </si>
  <si>
    <t>Matriarch - INV-6102</t>
  </si>
  <si>
    <t>Panel Clean</t>
  </si>
  <si>
    <t>Matriarch - INV-6216</t>
  </si>
  <si>
    <t>General Expenses</t>
  </si>
  <si>
    <t>Travel &amp; Accommodation Budget</t>
  </si>
  <si>
    <t>14. General Expenses</t>
  </si>
  <si>
    <t>Travel</t>
  </si>
  <si>
    <t>Expense Claim</t>
  </si>
  <si>
    <t>Service Add On</t>
  </si>
  <si>
    <t>15. Service Add On</t>
  </si>
  <si>
    <t>CDC Fee</t>
  </si>
  <si>
    <t>Evaluation of fitness certificates</t>
  </si>
  <si>
    <t>PO4554-CSPH2-20260116 - RV Approved</t>
  </si>
  <si>
    <t>Coega Development Corporation INV78403</t>
  </si>
  <si>
    <t>PO4216-COEG-20250812 - RV Approved</t>
  </si>
  <si>
    <t>Coega Development Corporation INV 76004</t>
  </si>
  <si>
    <t>PO4232-COEG-20250818 - RV Approved</t>
  </si>
  <si>
    <t>Coega Development Corporation - QUO0005126</t>
  </si>
  <si>
    <t>PO4249-CSPH2-20250820 - RV Approved</t>
  </si>
  <si>
    <t>Coega Development Corporation INV 76087</t>
  </si>
  <si>
    <t>PO4281-CSPH2-20250826 - RV Approved</t>
  </si>
  <si>
    <t>Coega Development Corporation INV 76267</t>
  </si>
  <si>
    <t>PO4303-CSPH2-20250909 - RV Approved</t>
  </si>
  <si>
    <t>Coega Development Corporation INV76502</t>
  </si>
  <si>
    <t>PO4323-CSPH2-20250922 - RV Approved</t>
  </si>
  <si>
    <t>Coega Development Corporation INV76691</t>
  </si>
  <si>
    <t>PO4324-CSPH2-20250925 - RV Approved</t>
  </si>
  <si>
    <t>Coega Development Corporation INV76718</t>
  </si>
  <si>
    <t>PO4344-CSPH2-20250930 - RV Approved</t>
  </si>
  <si>
    <t>Coega Development Corporation INV76726</t>
  </si>
  <si>
    <t>PO4351-CSPH2-20251002 - RV Approved</t>
  </si>
  <si>
    <t>Coega Development Corporation INV76801</t>
  </si>
  <si>
    <t>Labour Management Fee</t>
  </si>
  <si>
    <t>PO4399-CSPH2-20251023 - RV Approved</t>
  </si>
  <si>
    <t>Coega Development Corporation INV76861</t>
  </si>
  <si>
    <t>PO4446-CSPH2-20251106 - RV Approved</t>
  </si>
  <si>
    <t>Coega Development Corporation - INV77241</t>
  </si>
  <si>
    <t>Coega Development Corporation - INV77755</t>
  </si>
  <si>
    <t>PO4550-CSPH2-20260112 - RV Approved</t>
  </si>
  <si>
    <t>Coega Development Corporation - INV78326</t>
  </si>
  <si>
    <t>PO4613-CSPH2-20260206 - RV Approved</t>
  </si>
  <si>
    <t>courier of Utility Meter</t>
  </si>
  <si>
    <t>DSV Inv: 180157893</t>
  </si>
  <si>
    <t>PO4417-CSPH2-20251028 - RV Approved</t>
  </si>
  <si>
    <t>Alpha Omega Inv 102784</t>
  </si>
  <si>
    <t>5000L Water</t>
  </si>
  <si>
    <t>PO4371-CSPH2-20251015 - RV Approved</t>
  </si>
  <si>
    <t>Ultimate Soltions INV 2636</t>
  </si>
  <si>
    <t>PO4419-CSPH2-20251029 - RV Approved</t>
  </si>
  <si>
    <t>Ultimate Soltions INV 2647</t>
  </si>
  <si>
    <t>PO4473-CSPH2-20251114 - RV Approved</t>
  </si>
  <si>
    <t>Ultimate Soltions INV 2667</t>
  </si>
  <si>
    <t>PO4512-CSPH2-20251201 - RV Approved</t>
  </si>
  <si>
    <t>PO4531-CSPH2-20251209 - RV Approved</t>
  </si>
  <si>
    <t>240mm Alu XLPE 22kV - Tie In - TBC</t>
  </si>
  <si>
    <t>240mm Alu XLPE 22kV - Ground Mount Transforme - TBC</t>
  </si>
  <si>
    <t>Labour - TBC</t>
  </si>
  <si>
    <t>Delay Damages</t>
  </si>
  <si>
    <t>Coega Steel PH2 - December 2025 Interest</t>
  </si>
  <si>
    <t>Fedgroup - LT000589_251231</t>
  </si>
  <si>
    <t>Panel Procurement Budget</t>
  </si>
  <si>
    <t>Inverter Procurement Budget</t>
  </si>
  <si>
    <t>Mounting Structure Budget</t>
  </si>
  <si>
    <t>Target Comm Date</t>
  </si>
  <si>
    <t>Optional Extras Budget</t>
  </si>
  <si>
    <t>Updated Comm Date</t>
  </si>
  <si>
    <t>MV Metering Budget</t>
  </si>
  <si>
    <t>Delayed Days</t>
  </si>
  <si>
    <t>ADD ON</t>
  </si>
  <si>
    <t>Battery System</t>
  </si>
  <si>
    <t>Generator</t>
  </si>
  <si>
    <t>Services</t>
  </si>
  <si>
    <t>AC Installer Budget</t>
  </si>
  <si>
    <t>DC Installer Budget</t>
  </si>
  <si>
    <t>In-House Expense Budget</t>
  </si>
  <si>
    <t>Compliance Budget</t>
  </si>
  <si>
    <t>Offloading Budget</t>
  </si>
  <si>
    <t>Roof Access Budget for Equipment</t>
  </si>
  <si>
    <t>Site storage</t>
  </si>
  <si>
    <t>On Site Security</t>
  </si>
  <si>
    <t>Roof Access Budget for Installers</t>
  </si>
  <si>
    <t>EPC Management Fee</t>
  </si>
  <si>
    <t>MV Substation Budget</t>
  </si>
  <si>
    <t>Expenses</t>
  </si>
  <si>
    <t>Total EE Expense Budget</t>
  </si>
  <si>
    <t>[RT: Double Check the first date is always a MONDAY]</t>
  </si>
  <si>
    <t>PLANNED</t>
  </si>
  <si>
    <t xml:space="preserve">Planned Revenue - Cumulative </t>
  </si>
  <si>
    <t xml:space="preserve">Planned Expenditure - Cumulative </t>
  </si>
  <si>
    <t xml:space="preserve">PLANNED CashFlow </t>
  </si>
  <si>
    <t>Actual + Planned Revenue</t>
  </si>
  <si>
    <t xml:space="preserve">Actual + Planned Revenue - Cumulative </t>
  </si>
  <si>
    <t>Actual + Planned Expenditure</t>
  </si>
  <si>
    <t xml:space="preserve">Actual + Planned Expenditure - Cumulative </t>
  </si>
  <si>
    <t xml:space="preserve">ACTUAL CashFlow </t>
  </si>
  <si>
    <t xml:space="preserve">Revenue Recognition </t>
  </si>
  <si>
    <t>Revenue Recognition Cumulative</t>
  </si>
  <si>
    <t>Sum of REVENUE RECOGNITION AMOUNT</t>
  </si>
  <si>
    <t>Column Labels</t>
  </si>
  <si>
    <t>Row Labels</t>
  </si>
  <si>
    <t>(blank)</t>
  </si>
  <si>
    <t>Grand Total</t>
  </si>
  <si>
    <t xml:space="preserve">Sum of Actual Total </t>
  </si>
  <si>
    <t>Emergent Energy – Financial Close Completion Certificate</t>
  </si>
  <si>
    <t>FINANCIAL CLOSE CERTIFICATE</t>
  </si>
  <si>
    <t xml:space="preserve">Project Name: </t>
  </si>
  <si>
    <t>COO:</t>
  </si>
  <si>
    <t>Johannes Potgieter</t>
  </si>
  <si>
    <t>Programme Manager:</t>
  </si>
  <si>
    <t>Roedolph Venter</t>
  </si>
  <si>
    <t>HoPD:</t>
  </si>
  <si>
    <t>Natasha Watkins-Baker</t>
  </si>
  <si>
    <t>Date of Phase Completion:</t>
  </si>
  <si>
    <t>Phase Deliverables Checklist: (Y/N)</t>
  </si>
  <si>
    <t>Product Agreement</t>
  </si>
  <si>
    <t>NA</t>
  </si>
  <si>
    <t>EPC Agreement</t>
  </si>
  <si>
    <t>O&amp;M Agreeement</t>
  </si>
  <si>
    <t>Cost Proposal</t>
  </si>
  <si>
    <t>Signed</t>
  </si>
  <si>
    <t>Deposit Received</t>
  </si>
  <si>
    <t>Yes</t>
  </si>
  <si>
    <t>Risks / Notes</t>
  </si>
  <si>
    <t>None</t>
  </si>
  <si>
    <t>Acknowledgement and Acceptance:</t>
  </si>
  <si>
    <t>Role</t>
  </si>
  <si>
    <t>Name</t>
  </si>
  <si>
    <t>Signature</t>
  </si>
  <si>
    <t>Date</t>
  </si>
  <si>
    <t>COO</t>
  </si>
  <si>
    <t>Johannes</t>
  </si>
  <si>
    <t>JTP</t>
  </si>
  <si>
    <t>[capture project margins from costing sheet]</t>
  </si>
  <si>
    <t>Products</t>
  </si>
  <si>
    <t>Subcontractors</t>
  </si>
  <si>
    <t>Equipment Quote and Budget comparision</t>
  </si>
  <si>
    <t>Description</t>
  </si>
  <si>
    <t>Budget</t>
  </si>
  <si>
    <t>Supplier 1</t>
  </si>
  <si>
    <t>Variance</t>
  </si>
  <si>
    <t>Supplier 2</t>
  </si>
  <si>
    <t>Comments / Notes</t>
  </si>
  <si>
    <t>&gt;Name&lt;</t>
  </si>
  <si>
    <t>Optimizers</t>
  </si>
  <si>
    <t>Warranty</t>
  </si>
  <si>
    <t>Delivery fee</t>
  </si>
  <si>
    <t>Mounting Structure</t>
  </si>
  <si>
    <t>Monitoring system</t>
  </si>
  <si>
    <t>Additional Scope</t>
  </si>
  <si>
    <t>SCADA</t>
  </si>
  <si>
    <t>Inverter cage</t>
  </si>
  <si>
    <t>Cat ladders</t>
  </si>
  <si>
    <t>Gen Integration</t>
  </si>
  <si>
    <t>Lifelines</t>
  </si>
  <si>
    <t>Totals</t>
  </si>
  <si>
    <t>All amounts are incl VAT</t>
  </si>
  <si>
    <t>Installer Quote and Budget comparision</t>
  </si>
  <si>
    <t>Cosmic Sun</t>
  </si>
  <si>
    <t>Matthews Group</t>
  </si>
  <si>
    <t>Roof Access/Scaffolding</t>
  </si>
  <si>
    <t>&gt;Installer Name 3&lt;</t>
  </si>
  <si>
    <t>&gt;Installer Name 4&lt;</t>
  </si>
  <si>
    <t>AC installation</t>
  </si>
  <si>
    <t>AC equipment</t>
  </si>
  <si>
    <t>DC installation</t>
  </si>
  <si>
    <t>DC equipment</t>
  </si>
  <si>
    <t>Panel lifting equipment</t>
  </si>
  <si>
    <t>Budget Summary</t>
  </si>
  <si>
    <t>All amounts are exc VAT</t>
  </si>
  <si>
    <t>Decision Register</t>
  </si>
  <si>
    <t>ID</t>
  </si>
  <si>
    <t>Decision Description</t>
  </si>
  <si>
    <t>Decision Impact</t>
  </si>
  <si>
    <t>Proposed Date</t>
  </si>
  <si>
    <t>Proposed By</t>
  </si>
  <si>
    <t>Approved By</t>
  </si>
  <si>
    <t xml:space="preserve">Results / Comments </t>
  </si>
  <si>
    <t>DEC001</t>
  </si>
  <si>
    <t>DEC002</t>
  </si>
  <si>
    <t>DEC003</t>
  </si>
  <si>
    <t>DEC004</t>
  </si>
  <si>
    <t>DEC005</t>
  </si>
  <si>
    <t>DEC006</t>
  </si>
  <si>
    <t>DEC007</t>
  </si>
  <si>
    <t>DEC008</t>
  </si>
  <si>
    <t>DEC009</t>
  </si>
  <si>
    <t>DEC010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</si>
</sst>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3" formatCode="_(* #,##0.00_);_(* \(#,##0.00\);_(* &quot;-&quot;??_);_(@_)"/>
    <numFmt numFmtId="164" formatCode="_-&quot;R&quot;* #,##0.00_-;\-&quot;R&quot;* #,##0.00_-;_-&quot;R&quot;* &quot;-&quot;??_-;_-@_-"/>
    <numFmt numFmtId="165" formatCode="&quot;R&quot;#,##0_);[Red]\(&quot;R&quot;#,##0\)"/>
    <numFmt numFmtId="166" formatCode="&quot;R&quot;#,##0.00_);[Red]\(&quot;R&quot;#,##0.00\)"/>
    <numFmt numFmtId="167" formatCode="_(&quot;R&quot;* #,##0.00_);_(&quot;R&quot;* \(#,##0.00\);_(&quot;R&quot;* &quot;-&quot;??_);_(@_)"/>
    <numFmt numFmtId="168" formatCode="_-[$R-1C09]* #,##0.00_-;\-[$R-1C09]* #,##0.00_-;_-[$R-1C09]* &quot;-&quot;??_-;_-@_-"/>
    <numFmt numFmtId="169" formatCode="[$-409]d\-mmm\-yyyy;@"/>
    <numFmt numFmtId="170" formatCode="&quot;R&quot;#,##0.00"/>
    <numFmt numFmtId="171" formatCode="_-[$R-1C09]* #,##0.0000_-;\-[$R-1C09]* #,##0.0000_-;_-[$R-1C09]* &quot;-&quot;??_-;_-@_-"/>
    <numFmt numFmtId="172" formatCode="0.0%"/>
  </numFmts>
  <fonts count="62">
    <font>
      <sz val="11"/>
      <color theme="1"/>
      <name val="Calibri"/>
      <family val="2"/>
      <scheme val="minor"/>
    </font>
    <font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Proxima Nova Lt"/>
    </font>
    <font>
      <sz val="11"/>
      <name val="Proxima Nova Lt"/>
    </font>
    <font>
      <sz val="11"/>
      <color theme="1"/>
      <name val="Proxima Nova Lt"/>
    </font>
    <font>
      <b/>
      <sz val="11"/>
      <color theme="1"/>
      <name val="Proxima Nova Lt"/>
    </font>
    <font>
      <b/>
      <sz val="12"/>
      <color theme="0"/>
      <name val="Proxima Nova Lt"/>
    </font>
    <font>
      <b/>
      <sz val="12"/>
      <name val="Proxima Nova Lt"/>
    </font>
    <font>
      <sz val="11"/>
      <color rgb="FFFFC000"/>
      <name val="Proxima Nova Lt"/>
    </font>
    <font>
      <b/>
      <sz val="11"/>
      <name val="Proxima Nova Lt"/>
    </font>
    <font>
      <b/>
      <sz val="12"/>
      <color theme="1"/>
      <name val="Proxima Nova Lt"/>
    </font>
    <font>
      <sz val="11"/>
      <color rgb="FFFF0000"/>
      <name val="Proxima Nova Lt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"/>
      <family val="2"/>
    </font>
    <font>
      <sz val="9"/>
      <color theme="1"/>
      <name val="Proxima Nova Lt"/>
    </font>
    <font>
      <b/>
      <sz val="11"/>
      <color rgb="FF00B050"/>
      <name val="Proxima Nova Lt"/>
    </font>
    <font>
      <b/>
      <sz val="11"/>
      <color rgb="FFFF0000"/>
      <name val="Proxima Nova Lt"/>
    </font>
    <font>
      <b/>
      <sz val="9"/>
      <color theme="1"/>
      <name val="Proxima Nova Lt"/>
    </font>
    <font>
      <sz val="10"/>
      <color theme="1"/>
      <name val="Proxima Nova Lt"/>
    </font>
    <font>
      <b/>
      <sz val="10"/>
      <color theme="1"/>
      <name val="Proxima Nova Lt"/>
    </font>
    <font>
      <b/>
      <sz val="10"/>
      <color rgb="FF00B050"/>
      <name val="Proxima Nova Lt"/>
    </font>
    <font>
      <sz val="10"/>
      <color rgb="FFFF0000"/>
      <name val="Proxima Nova Lt"/>
    </font>
    <font>
      <sz val="10"/>
      <color theme="0"/>
      <name val="Proxima Nova Lt"/>
    </font>
    <font>
      <sz val="10"/>
      <name val="Proxima Nova Lt"/>
    </font>
    <font>
      <b/>
      <sz val="8"/>
      <color theme="1"/>
      <name val="Proxima Nova Lt"/>
    </font>
    <font>
      <b/>
      <sz val="9"/>
      <color rgb="FFFF0000"/>
      <name val="Proxima Nova Lt"/>
    </font>
    <font>
      <sz val="8"/>
      <color theme="1"/>
      <name val="Proxima Nova Lt"/>
    </font>
    <font>
      <b/>
      <sz val="10"/>
      <name val="Proxima Nova Lt"/>
    </font>
    <font>
      <sz val="11"/>
      <color theme="8" tint="0.79998168889431442"/>
      <name val="Proxima Nova Lt"/>
    </font>
    <font>
      <sz val="11"/>
      <color rgb="FF00B050"/>
      <name val="Proxima Nova Lt"/>
    </font>
    <font>
      <sz val="11"/>
      <color theme="7" tint="0.79998168889431442"/>
      <name val="Proxima Nova Lt"/>
    </font>
    <font>
      <b/>
      <sz val="14"/>
      <color theme="1"/>
      <name val="Proxima Nova Lt"/>
    </font>
    <font>
      <sz val="14"/>
      <color theme="1"/>
      <name val="Proxima Nova Lt"/>
    </font>
    <font>
      <i/>
      <sz val="10"/>
      <color theme="1"/>
      <name val="Proxima Nova Lt"/>
    </font>
    <font>
      <i/>
      <sz val="11"/>
      <color rgb="FFFF0000"/>
      <name val="Calibri"/>
      <family val="2"/>
      <scheme val="minor"/>
    </font>
    <font>
      <sz val="11"/>
      <color theme="0"/>
      <name val="Proxima Nova Lt"/>
    </font>
    <font>
      <b/>
      <sz val="14"/>
      <color theme="0"/>
      <name val="Calibri"/>
      <family val="2"/>
      <scheme val="minor"/>
    </font>
    <font>
      <b/>
      <sz val="18"/>
      <color rgb="FFFF0000"/>
      <name val="Proxima Nova Lt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</font>
    <font>
      <b/>
      <sz val="10"/>
      <color rgb="FFFF0000"/>
      <name val="Proxima Nova Lt"/>
    </font>
    <font>
      <sz val="11"/>
      <name val="Calibri"/>
      <family val="2"/>
      <scheme val="minor"/>
    </font>
    <font>
      <b/>
      <sz val="18"/>
      <name val="Proxima Nova Lt"/>
    </font>
    <font>
      <b/>
      <sz val="12"/>
      <color rgb="FFFF0000"/>
      <name val="Proxima Nova Lt"/>
    </font>
    <font>
      <sz val="24"/>
      <name val="Proxima Nova Lt"/>
    </font>
    <font>
      <b/>
      <sz val="24"/>
      <color theme="1"/>
      <name val="Proxima Nova Lt"/>
    </font>
    <font>
      <sz val="11"/>
      <color rgb="FF000000"/>
      <name val="Proxima Nova Lt"/>
    </font>
    <font>
      <b/>
      <sz val="14"/>
      <color theme="9"/>
      <name val="Calibri"/>
      <family val="2"/>
      <scheme val="minor"/>
    </font>
    <font>
      <sz val="11"/>
      <color theme="1"/>
      <name val="Cambria"/>
      <family val="1"/>
    </font>
    <font>
      <sz val="10"/>
      <color theme="1"/>
      <name val="Cambria"/>
      <family val="1"/>
    </font>
    <font>
      <sz val="10"/>
      <color theme="1"/>
      <name val="Calibri"/>
      <family val="2"/>
      <scheme val="minor"/>
    </font>
    <font>
      <b/>
      <sz val="11"/>
      <color theme="1"/>
      <name val="Cambria"/>
      <family val="1"/>
    </font>
    <font>
      <sz val="10"/>
      <color theme="1"/>
      <name val="Fairwater Script"/>
    </font>
    <font>
      <b/>
      <u/>
      <sz val="10"/>
      <color theme="1"/>
      <name val="Proxima Nova Lt"/>
    </font>
    <font>
      <sz val="10"/>
      <color rgb="FF000000"/>
      <name val="Proxima Nova Lt"/>
    </font>
  </fonts>
  <fills count="1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1EA34A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66FF99"/>
        <bgColor indexed="64"/>
      </patternFill>
    </fill>
  </fills>
  <borders count="9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ck">
        <color rgb="FFFF0000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thin">
        <color indexed="64"/>
      </bottom>
      <diagonal/>
    </border>
    <border>
      <left style="thick">
        <color rgb="FFC00000"/>
      </left>
      <right/>
      <top/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/>
      <diagonal/>
    </border>
    <border>
      <left style="medium">
        <color indexed="64"/>
      </left>
      <right style="thick">
        <color rgb="FFC00000"/>
      </right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medium">
        <color indexed="64"/>
      </bottom>
      <diagonal/>
    </border>
    <border>
      <left style="thick">
        <color rgb="FFC00000"/>
      </left>
      <right/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 style="thin">
        <color indexed="64"/>
      </top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ck">
        <color rgb="FFC00000"/>
      </left>
      <right style="medium">
        <color indexed="64"/>
      </right>
      <top style="medium">
        <color indexed="64"/>
      </top>
      <bottom/>
      <diagonal/>
    </border>
    <border>
      <left style="thick">
        <color rgb="FFC00000"/>
      </left>
      <right style="medium">
        <color indexed="64"/>
      </right>
      <top/>
      <bottom/>
      <diagonal/>
    </border>
    <border>
      <left style="thick">
        <color rgb="FFC00000"/>
      </left>
      <right style="medium">
        <color indexed="64"/>
      </right>
      <top/>
      <bottom style="thin">
        <color indexed="64"/>
      </bottom>
      <diagonal/>
    </border>
    <border>
      <left style="thick">
        <color rgb="FFC00000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ck">
        <color rgb="FFC00000"/>
      </left>
      <right/>
      <top style="thin">
        <color indexed="64"/>
      </top>
      <bottom style="thin">
        <color rgb="FF000000"/>
      </bottom>
      <diagonal/>
    </border>
    <border>
      <left style="medium">
        <color indexed="64"/>
      </left>
      <right/>
      <top style="thin">
        <color indexed="64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rgb="FF000000"/>
      </bottom>
      <diagonal/>
    </border>
    <border>
      <left style="thick">
        <color rgb="FFC00000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ont="0" applyFill="0" applyBorder="0" applyAlignment="0" applyProtection="0"/>
  </cellStyleXfs>
  <cellXfs count="950">
    <xf numFmtId="0" fontId="0" fillId="0" borderId="0" xfId="0"/>
    <xf numFmtId="0" fontId="4" fillId="2" borderId="0" xfId="0" applyFont="1" applyFill="1" applyAlignment="1" applyProtection="1">
      <alignment horizontal="left"/>
      <protection locked="0"/>
    </xf>
    <xf numFmtId="0" fontId="5" fillId="2" borderId="0" xfId="0" applyFont="1" applyFill="1" applyProtection="1">
      <protection locked="0"/>
    </xf>
    <xf numFmtId="0" fontId="6" fillId="2" borderId="0" xfId="0" applyFont="1" applyFill="1" applyProtection="1">
      <protection locked="0"/>
    </xf>
    <xf numFmtId="0" fontId="6" fillId="2" borderId="0" xfId="0" applyFont="1" applyFill="1" applyAlignment="1" applyProtection="1">
      <alignment horizontal="center" vertical="center"/>
      <protection locked="0"/>
    </xf>
    <xf numFmtId="168" fontId="6" fillId="2" borderId="0" xfId="0" applyNumberFormat="1" applyFont="1" applyFill="1" applyProtection="1">
      <protection locked="0"/>
    </xf>
    <xf numFmtId="0" fontId="7" fillId="2" borderId="1" xfId="0" applyFont="1" applyFill="1" applyBorder="1" applyAlignment="1" applyProtection="1">
      <alignment vertical="center" wrapText="1"/>
      <protection locked="0"/>
    </xf>
    <xf numFmtId="0" fontId="7" fillId="2" borderId="0" xfId="0" applyFont="1" applyFill="1" applyAlignment="1" applyProtection="1">
      <alignment vertical="center" wrapText="1"/>
      <protection locked="0"/>
    </xf>
    <xf numFmtId="0" fontId="4" fillId="3" borderId="1" xfId="0" applyFont="1" applyFill="1" applyBorder="1" applyAlignment="1" applyProtection="1">
      <alignment horizontal="center" vertical="center" wrapText="1"/>
      <protection locked="0"/>
    </xf>
    <xf numFmtId="0" fontId="8" fillId="3" borderId="1" xfId="0" applyFont="1" applyFill="1" applyBorder="1" applyAlignment="1" applyProtection="1">
      <alignment horizontal="left" vertical="center" wrapText="1"/>
      <protection locked="0"/>
    </xf>
    <xf numFmtId="0" fontId="4" fillId="3" borderId="2" xfId="0" applyFont="1" applyFill="1" applyBorder="1" applyAlignment="1" applyProtection="1">
      <alignment vertical="center" wrapText="1"/>
      <protection locked="0"/>
    </xf>
    <xf numFmtId="0" fontId="4" fillId="3" borderId="0" xfId="0" applyFont="1" applyFill="1" applyAlignment="1" applyProtection="1">
      <alignment vertical="center" wrapText="1"/>
      <protection locked="0"/>
    </xf>
    <xf numFmtId="0" fontId="6" fillId="2" borderId="0" xfId="0" applyFont="1" applyFill="1" applyAlignment="1" applyProtection="1">
      <alignment wrapText="1"/>
      <protection locked="0"/>
    </xf>
    <xf numFmtId="16" fontId="6" fillId="0" borderId="2" xfId="0" applyNumberFormat="1" applyFont="1" applyBorder="1" applyAlignment="1" applyProtection="1">
      <alignment wrapText="1"/>
      <protection locked="0"/>
    </xf>
    <xf numFmtId="0" fontId="6" fillId="0" borderId="0" xfId="0" applyFont="1" applyAlignment="1" applyProtection="1">
      <alignment wrapText="1"/>
      <protection locked="0"/>
    </xf>
    <xf numFmtId="0" fontId="6" fillId="0" borderId="2" xfId="0" applyFont="1" applyBorder="1" applyAlignment="1" applyProtection="1">
      <alignment horizontal="center"/>
      <protection locked="0"/>
    </xf>
    <xf numFmtId="0" fontId="9" fillId="0" borderId="2" xfId="0" applyFont="1" applyBorder="1" applyProtection="1">
      <protection locked="0"/>
    </xf>
    <xf numFmtId="169" fontId="5" fillId="0" borderId="2" xfId="0" applyNumberFormat="1" applyFont="1" applyBorder="1" applyProtection="1">
      <protection locked="0"/>
    </xf>
    <xf numFmtId="0" fontId="6" fillId="0" borderId="2" xfId="1" applyNumberFormat="1" applyFont="1" applyBorder="1" applyAlignment="1" applyProtection="1">
      <alignment horizontal="center" vertical="center"/>
      <protection locked="0"/>
    </xf>
    <xf numFmtId="169" fontId="6" fillId="0" borderId="2" xfId="0" applyNumberFormat="1" applyFont="1" applyBorder="1" applyAlignment="1" applyProtection="1">
      <alignment horizontal="center" vertical="center"/>
      <protection locked="0"/>
    </xf>
    <xf numFmtId="9" fontId="6" fillId="0" borderId="2" xfId="2" applyFont="1" applyBorder="1" applyAlignment="1" applyProtection="1">
      <alignment horizontal="center" vertical="center"/>
      <protection locked="0"/>
    </xf>
    <xf numFmtId="9" fontId="6" fillId="0" borderId="0" xfId="2" applyFont="1" applyAlignment="1" applyProtection="1">
      <alignment horizontal="center" vertic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0" xfId="0" applyFont="1" applyAlignment="1" applyProtection="1">
      <alignment horizontal="center"/>
      <protection locked="0"/>
    </xf>
    <xf numFmtId="0" fontId="6" fillId="0" borderId="0" xfId="0" applyFont="1" applyProtection="1">
      <protection locked="0"/>
    </xf>
    <xf numFmtId="0" fontId="6" fillId="4" borderId="2" xfId="0" applyFont="1" applyFill="1" applyBorder="1" applyAlignment="1" applyProtection="1">
      <alignment horizontal="center"/>
      <protection locked="0"/>
    </xf>
    <xf numFmtId="0" fontId="11" fillId="4" borderId="2" xfId="0" applyFont="1" applyFill="1" applyBorder="1" applyAlignment="1" applyProtection="1">
      <alignment wrapText="1"/>
      <protection locked="0"/>
    </xf>
    <xf numFmtId="169" fontId="6" fillId="4" borderId="2" xfId="0" applyNumberFormat="1" applyFont="1" applyFill="1" applyBorder="1" applyProtection="1">
      <protection locked="0"/>
    </xf>
    <xf numFmtId="0" fontId="6" fillId="4" borderId="2" xfId="1" applyNumberFormat="1" applyFont="1" applyFill="1" applyBorder="1" applyAlignment="1" applyProtection="1">
      <alignment horizontal="center" vertical="center"/>
      <protection locked="0"/>
    </xf>
    <xf numFmtId="169" fontId="6" fillId="4" borderId="2" xfId="0" applyNumberFormat="1" applyFont="1" applyFill="1" applyBorder="1" applyAlignment="1" applyProtection="1">
      <alignment horizontal="center" vertical="center"/>
      <protection locked="0"/>
    </xf>
    <xf numFmtId="9" fontId="6" fillId="4" borderId="2" xfId="2" applyFont="1" applyFill="1" applyBorder="1" applyAlignment="1" applyProtection="1">
      <alignment horizontal="center" vertical="center"/>
      <protection locked="0"/>
    </xf>
    <xf numFmtId="169" fontId="6" fillId="0" borderId="2" xfId="0" applyNumberFormat="1" applyFont="1" applyBorder="1" applyProtection="1">
      <protection locked="0"/>
    </xf>
    <xf numFmtId="0" fontId="6" fillId="5" borderId="2" xfId="0" applyFont="1" applyFill="1" applyBorder="1" applyAlignment="1" applyProtection="1">
      <alignment horizontal="center"/>
      <protection locked="0"/>
    </xf>
    <xf numFmtId="0" fontId="9" fillId="5" borderId="3" xfId="0" applyFont="1" applyFill="1" applyBorder="1" applyProtection="1">
      <protection locked="0"/>
    </xf>
    <xf numFmtId="169" fontId="12" fillId="5" borderId="2" xfId="0" applyNumberFormat="1" applyFont="1" applyFill="1" applyBorder="1" applyProtection="1">
      <protection locked="0"/>
    </xf>
    <xf numFmtId="0" fontId="12" fillId="5" borderId="2" xfId="1" applyNumberFormat="1" applyFont="1" applyFill="1" applyBorder="1" applyAlignment="1" applyProtection="1">
      <alignment horizontal="center" vertical="center"/>
      <protection locked="0"/>
    </xf>
    <xf numFmtId="169" fontId="12" fillId="5" borderId="2" xfId="0" applyNumberFormat="1" applyFont="1" applyFill="1" applyBorder="1" applyAlignment="1" applyProtection="1">
      <alignment horizontal="center" vertical="center"/>
      <protection locked="0"/>
    </xf>
    <xf numFmtId="9" fontId="6" fillId="5" borderId="2" xfId="2" applyFont="1" applyFill="1" applyBorder="1" applyAlignment="1" applyProtection="1">
      <alignment horizontal="center" vertical="center"/>
      <protection locked="0"/>
    </xf>
    <xf numFmtId="0" fontId="5" fillId="6" borderId="2" xfId="0" applyFont="1" applyFill="1" applyBorder="1" applyAlignment="1" applyProtection="1">
      <alignment horizontal="left" wrapText="1" indent="2"/>
      <protection locked="0"/>
    </xf>
    <xf numFmtId="169" fontId="6" fillId="0" borderId="2" xfId="0" applyNumberFormat="1" applyFont="1" applyBorder="1" applyAlignment="1">
      <alignment horizontal="center" vertical="center"/>
    </xf>
    <xf numFmtId="0" fontId="6" fillId="0" borderId="2" xfId="1" applyNumberFormat="1" applyFont="1" applyBorder="1" applyAlignment="1" applyProtection="1">
      <alignment horizontal="center" vertical="center" wrapText="1"/>
      <protection locked="0"/>
    </xf>
    <xf numFmtId="0" fontId="9" fillId="0" borderId="2" xfId="0" applyFont="1" applyBorder="1" applyAlignment="1" applyProtection="1">
      <alignment wrapText="1"/>
      <protection locked="0"/>
    </xf>
    <xf numFmtId="0" fontId="9" fillId="0" borderId="3" xfId="0" applyFont="1" applyBorder="1" applyProtection="1">
      <protection locked="0"/>
    </xf>
    <xf numFmtId="0" fontId="9" fillId="5" borderId="2" xfId="0" applyFont="1" applyFill="1" applyBorder="1" applyAlignment="1" applyProtection="1">
      <alignment wrapText="1"/>
      <protection locked="0"/>
    </xf>
    <xf numFmtId="169" fontId="12" fillId="5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horizontal="left" wrapText="1" indent="2"/>
      <protection locked="0"/>
    </xf>
    <xf numFmtId="0" fontId="11" fillId="4" borderId="2" xfId="0" applyFont="1" applyFill="1" applyBorder="1" applyAlignment="1" applyProtection="1">
      <alignment horizontal="left"/>
      <protection locked="0"/>
    </xf>
    <xf numFmtId="0" fontId="6" fillId="4" borderId="2" xfId="1" applyNumberFormat="1" applyFont="1" applyFill="1" applyBorder="1" applyAlignment="1" applyProtection="1">
      <alignment horizontal="center" vertical="center" wrapText="1"/>
      <protection locked="0"/>
    </xf>
    <xf numFmtId="169" fontId="6" fillId="4" borderId="2" xfId="0" applyNumberFormat="1" applyFont="1" applyFill="1" applyBorder="1" applyAlignment="1">
      <alignment horizontal="center" vertical="center"/>
    </xf>
    <xf numFmtId="0" fontId="11" fillId="5" borderId="3" xfId="0" applyFont="1" applyFill="1" applyBorder="1" applyAlignment="1" applyProtection="1">
      <alignment wrapText="1"/>
      <protection locked="0"/>
    </xf>
    <xf numFmtId="169" fontId="7" fillId="5" borderId="2" xfId="0" applyNumberFormat="1" applyFont="1" applyFill="1" applyBorder="1" applyProtection="1">
      <protection locked="0"/>
    </xf>
    <xf numFmtId="0" fontId="7" fillId="5" borderId="2" xfId="1" applyNumberFormat="1" applyFont="1" applyFill="1" applyBorder="1" applyAlignment="1" applyProtection="1">
      <alignment horizontal="center" vertical="center"/>
      <protection locked="0"/>
    </xf>
    <xf numFmtId="169" fontId="7" fillId="5" borderId="2" xfId="0" applyNumberFormat="1" applyFont="1" applyFill="1" applyBorder="1"/>
    <xf numFmtId="0" fontId="5" fillId="0" borderId="2" xfId="0" applyFont="1" applyBorder="1" applyAlignment="1" applyProtection="1">
      <alignment horizontal="left" indent="2"/>
      <protection locked="0"/>
    </xf>
    <xf numFmtId="0" fontId="11" fillId="5" borderId="2" xfId="0" applyFont="1" applyFill="1" applyBorder="1" applyProtection="1">
      <protection locked="0"/>
    </xf>
    <xf numFmtId="169" fontId="7" fillId="5" borderId="2" xfId="0" applyNumberFormat="1" applyFont="1" applyFill="1" applyBorder="1" applyAlignment="1">
      <alignment horizontal="center" vertical="center"/>
    </xf>
    <xf numFmtId="0" fontId="11" fillId="5" borderId="2" xfId="0" applyFont="1" applyFill="1" applyBorder="1" applyAlignment="1" applyProtection="1">
      <alignment wrapText="1"/>
      <protection locked="0"/>
    </xf>
    <xf numFmtId="169" fontId="7" fillId="4" borderId="2" xfId="0" applyNumberFormat="1" applyFont="1" applyFill="1" applyBorder="1" applyProtection="1">
      <protection locked="0"/>
    </xf>
    <xf numFmtId="0" fontId="7" fillId="4" borderId="2" xfId="1" applyNumberFormat="1" applyFont="1" applyFill="1" applyBorder="1" applyAlignment="1" applyProtection="1">
      <alignment horizontal="center" vertical="center"/>
      <protection locked="0"/>
    </xf>
    <xf numFmtId="169" fontId="7" fillId="4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wrapText="1"/>
      <protection locked="0"/>
    </xf>
    <xf numFmtId="0" fontId="6" fillId="0" borderId="2" xfId="1" applyNumberFormat="1" applyFont="1" applyFill="1" applyBorder="1" applyAlignment="1" applyProtection="1">
      <alignment horizontal="center" vertical="center"/>
      <protection locked="0"/>
    </xf>
    <xf numFmtId="0" fontId="5" fillId="0" borderId="2" xfId="0" applyFont="1" applyBorder="1" applyProtection="1">
      <protection locked="0"/>
    </xf>
    <xf numFmtId="0" fontId="11" fillId="4" borderId="2" xfId="0" applyFont="1" applyFill="1" applyBorder="1" applyAlignment="1" applyProtection="1">
      <alignment horizontal="left" wrapText="1"/>
      <protection locked="0"/>
    </xf>
    <xf numFmtId="0" fontId="6" fillId="0" borderId="0" xfId="0" applyFont="1" applyAlignment="1" applyProtection="1">
      <alignment horizontal="center"/>
      <protection locked="0"/>
    </xf>
    <xf numFmtId="0" fontId="5" fillId="0" borderId="0" xfId="0" applyFont="1" applyProtection="1">
      <protection locked="0"/>
    </xf>
    <xf numFmtId="43" fontId="13" fillId="0" borderId="4" xfId="1" applyFont="1" applyBorder="1" applyProtection="1">
      <protection locked="0"/>
    </xf>
    <xf numFmtId="0" fontId="13" fillId="0" borderId="0" xfId="0" applyFont="1" applyAlignment="1" applyProtection="1">
      <alignment horizontal="center" vertical="center" wrapText="1"/>
      <protection locked="0"/>
    </xf>
    <xf numFmtId="9" fontId="6" fillId="0" borderId="0" xfId="0" applyNumberFormat="1" applyFont="1" applyAlignment="1" applyProtection="1">
      <alignment horizontal="center"/>
      <protection locked="0"/>
    </xf>
    <xf numFmtId="43" fontId="13" fillId="0" borderId="7" xfId="1" applyFont="1" applyBorder="1" applyProtection="1"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0" fillId="0" borderId="2" xfId="0" applyBorder="1"/>
    <xf numFmtId="0" fontId="3" fillId="8" borderId="2" xfId="0" applyFont="1" applyFill="1" applyBorder="1" applyAlignment="1">
      <alignment horizontal="center" vertical="center"/>
    </xf>
    <xf numFmtId="0" fontId="20" fillId="0" borderId="0" xfId="0" applyFont="1"/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wrapText="1"/>
    </xf>
    <xf numFmtId="0" fontId="0" fillId="0" borderId="2" xfId="0" applyBorder="1" applyAlignment="1">
      <alignment horizontal="center" vertical="center" wrapText="1"/>
    </xf>
    <xf numFmtId="0" fontId="3" fillId="7" borderId="0" xfId="0" applyFont="1" applyFill="1"/>
    <xf numFmtId="0" fontId="3" fillId="8" borderId="2" xfId="0" applyFont="1" applyFill="1" applyBorder="1" applyAlignment="1">
      <alignment horizontal="center" vertical="center" wrapText="1"/>
    </xf>
    <xf numFmtId="15" fontId="20" fillId="0" borderId="18" xfId="0" applyNumberFormat="1" applyFont="1" applyBorder="1"/>
    <xf numFmtId="15" fontId="20" fillId="0" borderId="14" xfId="0" applyNumberFormat="1" applyFont="1" applyBorder="1"/>
    <xf numFmtId="0" fontId="20" fillId="0" borderId="18" xfId="0" applyFont="1" applyBorder="1"/>
    <xf numFmtId="0" fontId="20" fillId="0" borderId="14" xfId="0" applyFont="1" applyBorder="1"/>
    <xf numFmtId="0" fontId="20" fillId="0" borderId="12" xfId="0" applyFont="1" applyBorder="1"/>
    <xf numFmtId="0" fontId="16" fillId="0" borderId="0" xfId="0" applyFont="1"/>
    <xf numFmtId="0" fontId="20" fillId="12" borderId="0" xfId="0" applyFont="1" applyFill="1"/>
    <xf numFmtId="0" fontId="25" fillId="7" borderId="0" xfId="0" applyFont="1" applyFill="1"/>
    <xf numFmtId="0" fontId="25" fillId="7" borderId="0" xfId="0" applyFont="1" applyFill="1" applyAlignment="1">
      <alignment horizontal="center"/>
    </xf>
    <xf numFmtId="0" fontId="25" fillId="0" borderId="0" xfId="0" applyFont="1"/>
    <xf numFmtId="167" fontId="25" fillId="7" borderId="0" xfId="0" applyNumberFormat="1" applyFont="1" applyFill="1"/>
    <xf numFmtId="167" fontId="26" fillId="7" borderId="0" xfId="0" applyNumberFormat="1" applyFont="1" applyFill="1"/>
    <xf numFmtId="167" fontId="25" fillId="7" borderId="0" xfId="0" applyNumberFormat="1" applyFont="1" applyFill="1" applyAlignment="1">
      <alignment horizontal="center"/>
    </xf>
    <xf numFmtId="0" fontId="26" fillId="7" borderId="0" xfId="0" applyFont="1" applyFill="1"/>
    <xf numFmtId="0" fontId="25" fillId="7" borderId="0" xfId="0" applyFont="1" applyFill="1" applyProtection="1">
      <protection locked="0"/>
    </xf>
    <xf numFmtId="0" fontId="39" fillId="0" borderId="0" xfId="0" applyFont="1"/>
    <xf numFmtId="170" fontId="26" fillId="7" borderId="0" xfId="0" applyNumberFormat="1" applyFont="1" applyFill="1" applyAlignment="1">
      <alignment horizontal="center"/>
    </xf>
    <xf numFmtId="167" fontId="26" fillId="7" borderId="0" xfId="0" applyNumberFormat="1" applyFont="1" applyFill="1" applyAlignment="1">
      <alignment horizontal="center"/>
    </xf>
    <xf numFmtId="0" fontId="25" fillId="7" borderId="25" xfId="0" applyFont="1" applyFill="1" applyBorder="1"/>
    <xf numFmtId="170" fontId="25" fillId="7" borderId="0" xfId="0" applyNumberFormat="1" applyFont="1" applyFill="1" applyAlignment="1">
      <alignment horizontal="center"/>
    </xf>
    <xf numFmtId="167" fontId="25" fillId="0" borderId="0" xfId="0" applyNumberFormat="1" applyFont="1"/>
    <xf numFmtId="0" fontId="26" fillId="7" borderId="25" xfId="0" applyFont="1" applyFill="1" applyBorder="1"/>
    <xf numFmtId="167" fontId="26" fillId="7" borderId="20" xfId="0" applyNumberFormat="1" applyFont="1" applyFill="1" applyBorder="1"/>
    <xf numFmtId="0" fontId="26" fillId="0" borderId="40" xfId="0" applyFont="1" applyBorder="1"/>
    <xf numFmtId="0" fontId="25" fillId="0" borderId="40" xfId="0" applyFont="1" applyBorder="1"/>
    <xf numFmtId="167" fontId="25" fillId="0" borderId="40" xfId="0" applyNumberFormat="1" applyFont="1" applyBorder="1"/>
    <xf numFmtId="0" fontId="26" fillId="0" borderId="0" xfId="0" applyFont="1"/>
    <xf numFmtId="167" fontId="26" fillId="0" borderId="0" xfId="0" applyNumberFormat="1" applyFont="1"/>
    <xf numFmtId="167" fontId="25" fillId="7" borderId="25" xfId="0" applyNumberFormat="1" applyFont="1" applyFill="1" applyBorder="1" applyAlignment="1">
      <alignment horizontal="center"/>
    </xf>
    <xf numFmtId="0" fontId="25" fillId="7" borderId="0" xfId="0" applyFont="1" applyFill="1" applyAlignment="1">
      <alignment horizontal="left" indent="1"/>
    </xf>
    <xf numFmtId="0" fontId="6" fillId="2" borderId="0" xfId="0" applyFont="1" applyFill="1" applyAlignment="1" applyProtection="1">
      <alignment horizontal="center"/>
      <protection locked="0"/>
    </xf>
    <xf numFmtId="0" fontId="45" fillId="0" borderId="0" xfId="0" applyFont="1"/>
    <xf numFmtId="9" fontId="46" fillId="0" borderId="2" xfId="0" applyNumberFormat="1" applyFont="1" applyBorder="1"/>
    <xf numFmtId="0" fontId="6" fillId="7" borderId="0" xfId="0" applyFont="1" applyFill="1" applyProtection="1">
      <protection locked="0"/>
    </xf>
    <xf numFmtId="0" fontId="6" fillId="7" borderId="0" xfId="0" applyFont="1" applyFill="1" applyAlignment="1" applyProtection="1">
      <alignment horizontal="center"/>
      <protection locked="0"/>
    </xf>
    <xf numFmtId="0" fontId="7" fillId="7" borderId="0" xfId="0" applyFont="1" applyFill="1" applyProtection="1">
      <protection locked="0"/>
    </xf>
    <xf numFmtId="0" fontId="26" fillId="9" borderId="12" xfId="0" applyFont="1" applyFill="1" applyBorder="1" applyAlignment="1" applyProtection="1">
      <alignment horizontal="center" vertical="center"/>
      <protection locked="0"/>
    </xf>
    <xf numFmtId="167" fontId="25" fillId="7" borderId="0" xfId="0" applyNumberFormat="1" applyFont="1" applyFill="1" applyProtection="1">
      <protection locked="0"/>
    </xf>
    <xf numFmtId="0" fontId="25" fillId="7" borderId="0" xfId="0" applyFont="1" applyFill="1" applyAlignment="1" applyProtection="1">
      <alignment horizontal="center"/>
      <protection locked="0"/>
    </xf>
    <xf numFmtId="0" fontId="24" fillId="7" borderId="0" xfId="0" applyFont="1" applyFill="1" applyProtection="1">
      <protection locked="0"/>
    </xf>
    <xf numFmtId="0" fontId="32" fillId="7" borderId="0" xfId="0" applyFont="1" applyFill="1" applyProtection="1">
      <protection locked="0"/>
    </xf>
    <xf numFmtId="0" fontId="7" fillId="2" borderId="0" xfId="0" applyFont="1" applyFill="1" applyProtection="1">
      <protection locked="0"/>
    </xf>
    <xf numFmtId="0" fontId="21" fillId="7" borderId="0" xfId="0" applyFont="1" applyFill="1" applyProtection="1">
      <protection locked="0"/>
    </xf>
    <xf numFmtId="0" fontId="32" fillId="7" borderId="2" xfId="0" applyFont="1" applyFill="1" applyBorder="1" applyProtection="1">
      <protection locked="0"/>
    </xf>
    <xf numFmtId="0" fontId="24" fillId="2" borderId="0" xfId="0" applyFont="1" applyFill="1" applyProtection="1">
      <protection locked="0"/>
    </xf>
    <xf numFmtId="0" fontId="21" fillId="2" borderId="0" xfId="0" applyFont="1" applyFill="1" applyProtection="1">
      <protection locked="0"/>
    </xf>
    <xf numFmtId="0" fontId="26" fillId="7" borderId="0" xfId="0" applyFont="1" applyFill="1" applyAlignment="1" applyProtection="1">
      <alignment horizontal="center"/>
      <protection locked="0"/>
    </xf>
    <xf numFmtId="0" fontId="7" fillId="9" borderId="2" xfId="1" applyNumberFormat="1" applyFont="1" applyFill="1" applyBorder="1" applyAlignment="1" applyProtection="1">
      <alignment horizontal="center" vertical="center" wrapText="1"/>
    </xf>
    <xf numFmtId="0" fontId="26" fillId="7" borderId="0" xfId="0" applyFont="1" applyFill="1" applyAlignment="1" applyProtection="1">
      <alignment horizontal="left"/>
      <protection locked="0"/>
    </xf>
    <xf numFmtId="0" fontId="25" fillId="0" borderId="0" xfId="0" applyFont="1" applyProtection="1">
      <protection locked="0"/>
    </xf>
    <xf numFmtId="0" fontId="25" fillId="0" borderId="0" xfId="0" applyFont="1" applyAlignment="1" applyProtection="1">
      <alignment horizontal="center"/>
      <protection locked="0"/>
    </xf>
    <xf numFmtId="0" fontId="26" fillId="9" borderId="2" xfId="0" applyFont="1" applyFill="1" applyBorder="1" applyAlignment="1" applyProtection="1">
      <alignment horizontal="center"/>
      <protection locked="0"/>
    </xf>
    <xf numFmtId="0" fontId="26" fillId="9" borderId="10" xfId="0" applyFont="1" applyFill="1" applyBorder="1" applyProtection="1">
      <protection locked="0"/>
    </xf>
    <xf numFmtId="0" fontId="26" fillId="9" borderId="15" xfId="0" applyFont="1" applyFill="1" applyBorder="1" applyProtection="1">
      <protection locked="0"/>
    </xf>
    <xf numFmtId="0" fontId="25" fillId="7" borderId="0" xfId="0" applyFont="1" applyFill="1" applyAlignment="1" applyProtection="1">
      <alignment wrapText="1"/>
      <protection locked="0"/>
    </xf>
    <xf numFmtId="9" fontId="30" fillId="0" borderId="2" xfId="0" applyNumberFormat="1" applyFont="1" applyBorder="1" applyAlignment="1" applyProtection="1">
      <alignment horizontal="center"/>
      <protection locked="0"/>
    </xf>
    <xf numFmtId="167" fontId="30" fillId="0" borderId="2" xfId="0" applyNumberFormat="1" applyFont="1" applyBorder="1" applyProtection="1">
      <protection locked="0"/>
    </xf>
    <xf numFmtId="0" fontId="30" fillId="0" borderId="0" xfId="0" applyFont="1" applyProtection="1">
      <protection locked="0"/>
    </xf>
    <xf numFmtId="15" fontId="30" fillId="0" borderId="2" xfId="0" applyNumberFormat="1" applyFont="1" applyBorder="1" applyAlignment="1" applyProtection="1">
      <alignment horizontal="center"/>
      <protection locked="0"/>
    </xf>
    <xf numFmtId="15" fontId="28" fillId="0" borderId="2" xfId="0" applyNumberFormat="1" applyFont="1" applyBorder="1" applyAlignment="1" applyProtection="1">
      <alignment horizontal="center"/>
      <protection locked="0"/>
    </xf>
    <xf numFmtId="9" fontId="25" fillId="7" borderId="0" xfId="0" applyNumberFormat="1" applyFont="1" applyFill="1" applyAlignment="1" applyProtection="1">
      <alignment horizontal="center"/>
      <protection locked="0"/>
    </xf>
    <xf numFmtId="0" fontId="25" fillId="2" borderId="0" xfId="0" applyFont="1" applyFill="1" applyProtection="1">
      <protection locked="0"/>
    </xf>
    <xf numFmtId="0" fontId="25" fillId="2" borderId="0" xfId="0" applyFont="1" applyFill="1" applyAlignment="1" applyProtection="1">
      <alignment horizontal="center"/>
      <protection locked="0"/>
    </xf>
    <xf numFmtId="167" fontId="29" fillId="2" borderId="0" xfId="0" applyNumberFormat="1" applyFont="1" applyFill="1" applyProtection="1">
      <protection locked="0"/>
    </xf>
    <xf numFmtId="0" fontId="26" fillId="7" borderId="0" xfId="0" applyFont="1" applyFill="1" applyAlignment="1" applyProtection="1">
      <alignment vertical="top"/>
      <protection locked="0"/>
    </xf>
    <xf numFmtId="0" fontId="28" fillId="12" borderId="0" xfId="0" applyFont="1" applyFill="1" applyAlignment="1" applyProtection="1">
      <alignment horizontal="left" wrapText="1"/>
      <protection locked="0"/>
    </xf>
    <xf numFmtId="167" fontId="29" fillId="7" borderId="0" xfId="0" applyNumberFormat="1" applyFont="1" applyFill="1" applyProtection="1">
      <protection locked="0"/>
    </xf>
    <xf numFmtId="0" fontId="28" fillId="7" borderId="0" xfId="0" applyFont="1" applyFill="1" applyAlignment="1" applyProtection="1">
      <alignment horizontal="left"/>
      <protection locked="0"/>
    </xf>
    <xf numFmtId="0" fontId="25" fillId="7" borderId="0" xfId="0" applyFont="1" applyFill="1" applyAlignment="1" applyProtection="1">
      <alignment horizontal="left"/>
      <protection locked="0"/>
    </xf>
    <xf numFmtId="167" fontId="30" fillId="7" borderId="0" xfId="0" applyNumberFormat="1" applyFont="1" applyFill="1" applyProtection="1">
      <protection locked="0"/>
    </xf>
    <xf numFmtId="0" fontId="28" fillId="6" borderId="0" xfId="0" applyFont="1" applyFill="1" applyAlignment="1" applyProtection="1">
      <alignment horizontal="left"/>
      <protection locked="0"/>
    </xf>
    <xf numFmtId="0" fontId="25" fillId="6" borderId="0" xfId="0" applyFont="1" applyFill="1" applyAlignment="1" applyProtection="1">
      <alignment horizontal="left"/>
      <protection locked="0"/>
    </xf>
    <xf numFmtId="167" fontId="30" fillId="7" borderId="0" xfId="0" applyNumberFormat="1" applyFont="1" applyFill="1" applyAlignment="1" applyProtection="1">
      <alignment horizontal="left"/>
      <protection locked="0"/>
    </xf>
    <xf numFmtId="0" fontId="29" fillId="2" borderId="0" xfId="0" applyFont="1" applyFill="1" applyAlignment="1" applyProtection="1">
      <alignment horizontal="left" wrapText="1"/>
      <protection locked="0"/>
    </xf>
    <xf numFmtId="0" fontId="30" fillId="0" borderId="2" xfId="0" applyFont="1" applyBorder="1" applyAlignment="1" applyProtection="1">
      <alignment horizontal="center"/>
      <protection locked="0"/>
    </xf>
    <xf numFmtId="0" fontId="44" fillId="0" borderId="16" xfId="0" applyFont="1" applyBorder="1" applyAlignment="1" applyProtection="1">
      <alignment horizontal="left"/>
      <protection locked="0"/>
    </xf>
    <xf numFmtId="0" fontId="6" fillId="7" borderId="0" xfId="0" applyFont="1" applyFill="1" applyAlignment="1" applyProtection="1">
      <alignment horizontal="center" vertical="center"/>
      <protection locked="0"/>
    </xf>
    <xf numFmtId="0" fontId="26" fillId="9" borderId="27" xfId="0" applyFont="1" applyFill="1" applyBorder="1" applyAlignment="1" applyProtection="1">
      <alignment horizontal="center" wrapText="1"/>
      <protection locked="0"/>
    </xf>
    <xf numFmtId="0" fontId="21" fillId="7" borderId="0" xfId="0" applyFont="1" applyFill="1" applyAlignment="1" applyProtection="1">
      <alignment horizontal="center"/>
      <protection locked="0"/>
    </xf>
    <xf numFmtId="167" fontId="6" fillId="7" borderId="0" xfId="0" applyNumberFormat="1" applyFont="1" applyFill="1" applyAlignment="1" applyProtection="1">
      <alignment horizontal="center"/>
      <protection locked="0"/>
    </xf>
    <xf numFmtId="0" fontId="21" fillId="2" borderId="0" xfId="0" applyFont="1" applyFill="1" applyAlignment="1" applyProtection="1">
      <alignment horizontal="center"/>
      <protection locked="0"/>
    </xf>
    <xf numFmtId="167" fontId="6" fillId="2" borderId="0" xfId="0" applyNumberFormat="1" applyFont="1" applyFill="1" applyAlignment="1" applyProtection="1">
      <alignment horizontal="center"/>
      <protection locked="0"/>
    </xf>
    <xf numFmtId="0" fontId="21" fillId="0" borderId="0" xfId="0" applyFont="1" applyAlignment="1" applyProtection="1">
      <alignment horizontal="center"/>
      <protection locked="0"/>
    </xf>
    <xf numFmtId="0" fontId="26" fillId="7" borderId="0" xfId="0" applyFont="1" applyFill="1" applyAlignment="1" applyProtection="1">
      <alignment horizontal="center" vertical="center"/>
      <protection locked="0"/>
    </xf>
    <xf numFmtId="167" fontId="22" fillId="7" borderId="0" xfId="0" applyNumberFormat="1" applyFont="1" applyFill="1" applyProtection="1">
      <protection locked="0"/>
    </xf>
    <xf numFmtId="15" fontId="47" fillId="0" borderId="2" xfId="0" applyNumberFormat="1" applyFont="1" applyBorder="1" applyAlignment="1" applyProtection="1">
      <alignment horizontal="left"/>
      <protection locked="0"/>
    </xf>
    <xf numFmtId="0" fontId="0" fillId="0" borderId="0" xfId="0" applyProtection="1">
      <protection locked="0"/>
    </xf>
    <xf numFmtId="0" fontId="21" fillId="9" borderId="19" xfId="0" applyFont="1" applyFill="1" applyBorder="1" applyAlignment="1" applyProtection="1">
      <alignment horizontal="center"/>
      <protection locked="0"/>
    </xf>
    <xf numFmtId="0" fontId="4" fillId="9" borderId="21" xfId="0" applyFont="1" applyFill="1" applyBorder="1" applyAlignment="1" applyProtection="1">
      <alignment horizontal="right"/>
      <protection locked="0"/>
    </xf>
    <xf numFmtId="0" fontId="42" fillId="7" borderId="0" xfId="0" applyFont="1" applyFill="1" applyProtection="1">
      <protection locked="0"/>
    </xf>
    <xf numFmtId="0" fontId="21" fillId="9" borderId="22" xfId="0" applyFont="1" applyFill="1" applyBorder="1" applyAlignment="1" applyProtection="1">
      <alignment horizontal="center"/>
      <protection locked="0"/>
    </xf>
    <xf numFmtId="0" fontId="4" fillId="9" borderId="23" xfId="0" applyFont="1" applyFill="1" applyBorder="1" applyAlignment="1" applyProtection="1">
      <alignment horizontal="right"/>
      <protection locked="0"/>
    </xf>
    <xf numFmtId="0" fontId="42" fillId="9" borderId="0" xfId="0" applyFont="1" applyFill="1" applyAlignment="1" applyProtection="1">
      <alignment horizontal="center"/>
      <protection locked="0"/>
    </xf>
    <xf numFmtId="0" fontId="42" fillId="9" borderId="0" xfId="0" applyFont="1" applyFill="1" applyProtection="1">
      <protection locked="0"/>
    </xf>
    <xf numFmtId="0" fontId="42" fillId="9" borderId="23" xfId="0" applyFont="1" applyFill="1" applyBorder="1" applyProtection="1">
      <protection locked="0"/>
    </xf>
    <xf numFmtId="0" fontId="21" fillId="9" borderId="24" xfId="0" applyFont="1" applyFill="1" applyBorder="1" applyAlignment="1" applyProtection="1">
      <alignment horizontal="center"/>
      <protection locked="0"/>
    </xf>
    <xf numFmtId="0" fontId="4" fillId="9" borderId="26" xfId="0" applyFont="1" applyFill="1" applyBorder="1" applyAlignment="1" applyProtection="1">
      <alignment horizontal="right"/>
      <protection locked="0"/>
    </xf>
    <xf numFmtId="0" fontId="7" fillId="7" borderId="0" xfId="0" applyFont="1" applyFill="1" applyAlignment="1" applyProtection="1">
      <alignment horizontal="center"/>
      <protection locked="0"/>
    </xf>
    <xf numFmtId="16" fontId="41" fillId="0" borderId="0" xfId="0" applyNumberFormat="1" applyFont="1" applyAlignment="1">
      <alignment horizontal="right"/>
    </xf>
    <xf numFmtId="16" fontId="41" fillId="2" borderId="0" xfId="0" applyNumberFormat="1" applyFont="1" applyFill="1" applyAlignment="1">
      <alignment horizontal="right"/>
    </xf>
    <xf numFmtId="15" fontId="0" fillId="0" borderId="2" xfId="0" applyNumberFormat="1" applyBorder="1"/>
    <xf numFmtId="15" fontId="0" fillId="5" borderId="2" xfId="0" applyNumberFormat="1" applyFill="1" applyBorder="1"/>
    <xf numFmtId="0" fontId="0" fillId="2" borderId="0" xfId="0" applyFill="1"/>
    <xf numFmtId="0" fontId="17" fillId="2" borderId="15" xfId="0" applyFont="1" applyFill="1" applyBorder="1"/>
    <xf numFmtId="0" fontId="17" fillId="2" borderId="0" xfId="0" applyFont="1" applyFill="1" applyAlignment="1">
      <alignment horizontal="center"/>
    </xf>
    <xf numFmtId="16" fontId="0" fillId="2" borderId="0" xfId="0" applyNumberFormat="1" applyFill="1"/>
    <xf numFmtId="0" fontId="0" fillId="8" borderId="15" xfId="0" applyFill="1" applyBorder="1"/>
    <xf numFmtId="167" fontId="0" fillId="8" borderId="2" xfId="0" applyNumberFormat="1" applyFill="1" applyBorder="1"/>
    <xf numFmtId="167" fontId="0" fillId="2" borderId="2" xfId="0" applyNumberFormat="1" applyFill="1" applyBorder="1"/>
    <xf numFmtId="3" fontId="0" fillId="8" borderId="2" xfId="0" applyNumberFormat="1" applyFill="1" applyBorder="1" applyAlignment="1">
      <alignment horizontal="right"/>
    </xf>
    <xf numFmtId="0" fontId="0" fillId="14" borderId="15" xfId="0" applyFill="1" applyBorder="1"/>
    <xf numFmtId="167" fontId="0" fillId="14" borderId="2" xfId="0" applyNumberFormat="1" applyFill="1" applyBorder="1"/>
    <xf numFmtId="3" fontId="0" fillId="14" borderId="2" xfId="0" applyNumberFormat="1" applyFill="1" applyBorder="1" applyAlignment="1">
      <alignment horizontal="right"/>
    </xf>
    <xf numFmtId="0" fontId="18" fillId="5" borderId="0" xfId="0" applyFont="1" applyFill="1"/>
    <xf numFmtId="0" fontId="0" fillId="5" borderId="0" xfId="0" applyFill="1"/>
    <xf numFmtId="0" fontId="0" fillId="5" borderId="15" xfId="0" applyFill="1" applyBorder="1" applyAlignment="1">
      <alignment horizontal="right"/>
    </xf>
    <xf numFmtId="0" fontId="0" fillId="5" borderId="2" xfId="0" applyFill="1" applyBorder="1"/>
    <xf numFmtId="0" fontId="0" fillId="2" borderId="2" xfId="0" applyFill="1" applyBorder="1"/>
    <xf numFmtId="3" fontId="0" fillId="5" borderId="2" xfId="0" applyNumberFormat="1" applyFill="1" applyBorder="1" applyAlignment="1">
      <alignment horizontal="right"/>
    </xf>
    <xf numFmtId="3" fontId="0" fillId="2" borderId="0" xfId="0" applyNumberFormat="1" applyFill="1" applyAlignment="1">
      <alignment horizontal="right"/>
    </xf>
    <xf numFmtId="0" fontId="0" fillId="9" borderId="15" xfId="0" applyFill="1" applyBorder="1"/>
    <xf numFmtId="167" fontId="0" fillId="9" borderId="2" xfId="0" applyNumberFormat="1" applyFill="1" applyBorder="1"/>
    <xf numFmtId="3" fontId="0" fillId="9" borderId="2" xfId="0" applyNumberFormat="1" applyFill="1" applyBorder="1" applyAlignment="1">
      <alignment horizontal="right"/>
    </xf>
    <xf numFmtId="0" fontId="0" fillId="15" borderId="15" xfId="0" applyFill="1" applyBorder="1"/>
    <xf numFmtId="167" fontId="0" fillId="15" borderId="2" xfId="0" applyNumberFormat="1" applyFill="1" applyBorder="1"/>
    <xf numFmtId="3" fontId="0" fillId="15" borderId="2" xfId="0" applyNumberFormat="1" applyFill="1" applyBorder="1" applyAlignment="1">
      <alignment horizontal="right"/>
    </xf>
    <xf numFmtId="0" fontId="6" fillId="7" borderId="0" xfId="0" applyFont="1" applyFill="1"/>
    <xf numFmtId="0" fontId="6" fillId="7" borderId="0" xfId="0" applyFont="1" applyFill="1" applyAlignment="1">
      <alignment horizontal="center"/>
    </xf>
    <xf numFmtId="0" fontId="5" fillId="7" borderId="0" xfId="0" applyFont="1" applyFill="1"/>
    <xf numFmtId="0" fontId="6" fillId="0" borderId="0" xfId="0" applyFont="1" applyAlignment="1">
      <alignment horizontal="center"/>
    </xf>
    <xf numFmtId="0" fontId="7" fillId="7" borderId="0" xfId="0" applyFont="1" applyFill="1"/>
    <xf numFmtId="0" fontId="7" fillId="7" borderId="0" xfId="0" applyFont="1" applyFill="1" applyAlignment="1">
      <alignment horizontal="center"/>
    </xf>
    <xf numFmtId="0" fontId="7" fillId="0" borderId="0" xfId="0" applyFont="1" applyAlignment="1">
      <alignment horizontal="center"/>
    </xf>
    <xf numFmtId="167" fontId="11" fillId="7" borderId="12" xfId="0" applyNumberFormat="1" applyFont="1" applyFill="1" applyBorder="1"/>
    <xf numFmtId="167" fontId="36" fillId="7" borderId="2" xfId="0" applyNumberFormat="1" applyFont="1" applyFill="1" applyBorder="1" applyAlignment="1">
      <alignment vertical="center"/>
    </xf>
    <xf numFmtId="0" fontId="7" fillId="7" borderId="0" xfId="0" applyFont="1" applyFill="1" applyAlignment="1">
      <alignment horizontal="left"/>
    </xf>
    <xf numFmtId="0" fontId="26" fillId="9" borderId="12" xfId="0" applyFont="1" applyFill="1" applyBorder="1" applyAlignment="1">
      <alignment horizontal="center" vertical="center"/>
    </xf>
    <xf numFmtId="0" fontId="26" fillId="7" borderId="0" xfId="0" applyFont="1" applyFill="1" applyAlignment="1">
      <alignment horizontal="center" vertical="center"/>
    </xf>
    <xf numFmtId="0" fontId="26" fillId="9" borderId="12" xfId="0" applyFont="1" applyFill="1" applyBorder="1" applyAlignment="1">
      <alignment horizontal="center" vertical="center" wrapText="1"/>
    </xf>
    <xf numFmtId="0" fontId="26" fillId="7" borderId="0" xfId="0" applyFont="1" applyFill="1" applyAlignment="1">
      <alignment horizontal="center" vertical="center" wrapText="1"/>
    </xf>
    <xf numFmtId="0" fontId="33" fillId="7" borderId="2" xfId="0" applyFont="1" applyFill="1" applyBorder="1" applyAlignment="1">
      <alignment horizontal="center"/>
    </xf>
    <xf numFmtId="0" fontId="33" fillId="7" borderId="2" xfId="0" applyFont="1" applyFill="1" applyBorder="1"/>
    <xf numFmtId="167" fontId="25" fillId="7" borderId="2" xfId="0" applyNumberFormat="1" applyFont="1" applyFill="1" applyBorder="1"/>
    <xf numFmtId="167" fontId="30" fillId="7" borderId="2" xfId="0" applyNumberFormat="1" applyFont="1" applyFill="1" applyBorder="1"/>
    <xf numFmtId="0" fontId="25" fillId="7" borderId="0" xfId="0" applyFont="1" applyFill="1" applyAlignment="1">
      <alignment horizontal="left" vertical="center"/>
    </xf>
    <xf numFmtId="0" fontId="40" fillId="7" borderId="0" xfId="0" applyFont="1" applyFill="1" applyAlignment="1">
      <alignment horizontal="right"/>
    </xf>
    <xf numFmtId="167" fontId="40" fillId="7" borderId="0" xfId="0" applyNumberFormat="1" applyFont="1" applyFill="1"/>
    <xf numFmtId="167" fontId="27" fillId="7" borderId="0" xfId="0" applyNumberFormat="1" applyFont="1" applyFill="1"/>
    <xf numFmtId="0" fontId="7" fillId="9" borderId="2" xfId="0" applyFont="1" applyFill="1" applyBorder="1" applyAlignment="1">
      <alignment horizontal="center" vertical="center" wrapText="1"/>
    </xf>
    <xf numFmtId="167" fontId="6" fillId="7" borderId="0" xfId="0" applyNumberFormat="1" applyFont="1" applyFill="1" applyAlignment="1">
      <alignment horizontal="center"/>
    </xf>
    <xf numFmtId="0" fontId="21" fillId="7" borderId="0" xfId="0" applyFont="1" applyFill="1" applyAlignment="1">
      <alignment horizontal="center"/>
    </xf>
    <xf numFmtId="0" fontId="6" fillId="7" borderId="2" xfId="0" applyFont="1" applyFill="1" applyBorder="1" applyAlignment="1">
      <alignment horizontal="center" wrapText="1"/>
    </xf>
    <xf numFmtId="0" fontId="6" fillId="7" borderId="2" xfId="0" applyFont="1" applyFill="1" applyBorder="1" applyAlignment="1">
      <alignment wrapText="1"/>
    </xf>
    <xf numFmtId="0" fontId="6" fillId="7" borderId="2" xfId="0" applyFont="1" applyFill="1" applyBorder="1" applyAlignment="1">
      <alignment horizontal="center"/>
    </xf>
    <xf numFmtId="0" fontId="6" fillId="7" borderId="2" xfId="0" applyFont="1" applyFill="1" applyBorder="1"/>
    <xf numFmtId="0" fontId="31" fillId="8" borderId="2" xfId="0" applyFont="1" applyFill="1" applyBorder="1" applyAlignment="1">
      <alignment horizontal="center"/>
    </xf>
    <xf numFmtId="0" fontId="11" fillId="8" borderId="2" xfId="0" applyFont="1" applyFill="1" applyBorder="1"/>
    <xf numFmtId="15" fontId="7" fillId="7" borderId="2" xfId="0" applyNumberFormat="1" applyFont="1" applyFill="1" applyBorder="1" applyAlignment="1">
      <alignment horizontal="center" wrapText="1"/>
    </xf>
    <xf numFmtId="0" fontId="7" fillId="7" borderId="2" xfId="0" applyFont="1" applyFill="1" applyBorder="1" applyAlignment="1">
      <alignment horizontal="center" wrapText="1"/>
    </xf>
    <xf numFmtId="0" fontId="31" fillId="7" borderId="2" xfId="0" applyFont="1" applyFill="1" applyBorder="1" applyAlignment="1">
      <alignment horizontal="center"/>
    </xf>
    <xf numFmtId="0" fontId="5" fillId="7" borderId="2" xfId="0" applyFont="1" applyFill="1" applyBorder="1"/>
    <xf numFmtId="15" fontId="21" fillId="7" borderId="2" xfId="0" applyNumberFormat="1" applyFont="1" applyFill="1" applyBorder="1" applyAlignment="1">
      <alignment horizontal="center" wrapText="1"/>
    </xf>
    <xf numFmtId="0" fontId="21" fillId="7" borderId="2" xfId="0" applyFont="1" applyFill="1" applyBorder="1" applyAlignment="1">
      <alignment horizontal="center" wrapText="1"/>
    </xf>
    <xf numFmtId="167" fontId="7" fillId="7" borderId="0" xfId="0" applyNumberFormat="1" applyFont="1" applyFill="1" applyAlignment="1">
      <alignment horizontal="center"/>
    </xf>
    <xf numFmtId="9" fontId="26" fillId="7" borderId="2" xfId="2" applyFont="1" applyFill="1" applyBorder="1" applyAlignment="1" applyProtection="1">
      <alignment horizontal="center"/>
      <protection locked="0"/>
    </xf>
    <xf numFmtId="0" fontId="23" fillId="7" borderId="2" xfId="0" applyFont="1" applyFill="1" applyBorder="1" applyProtection="1">
      <protection locked="0"/>
    </xf>
    <xf numFmtId="0" fontId="6" fillId="7" borderId="0" xfId="0" applyFont="1" applyFill="1" applyAlignment="1" applyProtection="1">
      <alignment vertical="center"/>
      <protection locked="0"/>
    </xf>
    <xf numFmtId="0" fontId="13" fillId="7" borderId="0" xfId="0" applyFont="1" applyFill="1" applyAlignment="1" applyProtection="1">
      <alignment horizontal="center" vertical="center"/>
      <protection locked="0"/>
    </xf>
    <xf numFmtId="168" fontId="7" fillId="0" borderId="12" xfId="0" applyNumberFormat="1" applyFont="1" applyBorder="1" applyAlignment="1" applyProtection="1">
      <alignment vertical="center"/>
      <protection locked="0"/>
    </xf>
    <xf numFmtId="0" fontId="7" fillId="0" borderId="37" xfId="0" applyFont="1" applyBorder="1" applyAlignment="1" applyProtection="1">
      <alignment horizontal="center" vertical="center"/>
      <protection locked="0"/>
    </xf>
    <xf numFmtId="0" fontId="7" fillId="0" borderId="38" xfId="0" applyFont="1" applyBorder="1" applyAlignment="1" applyProtection="1">
      <alignment horizontal="center" vertical="center"/>
      <protection locked="0"/>
    </xf>
    <xf numFmtId="168" fontId="7" fillId="0" borderId="38" xfId="0" applyNumberFormat="1" applyFont="1" applyBorder="1" applyAlignment="1" applyProtection="1">
      <alignment horizontal="center" vertical="center" wrapText="1"/>
      <protection locked="0"/>
    </xf>
    <xf numFmtId="0" fontId="7" fillId="7" borderId="12" xfId="0" applyFont="1" applyFill="1" applyBorder="1" applyAlignment="1" applyProtection="1">
      <alignment horizontal="center" vertical="center"/>
      <protection locked="0"/>
    </xf>
    <xf numFmtId="0" fontId="6" fillId="2" borderId="28" xfId="0" applyFont="1" applyFill="1" applyBorder="1" applyAlignment="1" applyProtection="1">
      <alignment horizontal="center"/>
      <protection locked="0"/>
    </xf>
    <xf numFmtId="0" fontId="6" fillId="2" borderId="29" xfId="0" applyFont="1" applyFill="1" applyBorder="1" applyProtection="1">
      <protection locked="0"/>
    </xf>
    <xf numFmtId="0" fontId="6" fillId="2" borderId="29" xfId="0" applyFont="1" applyFill="1" applyBorder="1" applyAlignment="1" applyProtection="1">
      <alignment horizontal="center" vertical="center"/>
      <protection locked="0"/>
    </xf>
    <xf numFmtId="168" fontId="6" fillId="2" borderId="29" xfId="0" applyNumberFormat="1" applyFont="1" applyFill="1" applyBorder="1" applyAlignment="1" applyProtection="1">
      <alignment wrapText="1"/>
      <protection locked="0"/>
    </xf>
    <xf numFmtId="0" fontId="6" fillId="2" borderId="13" xfId="0" applyFont="1" applyFill="1" applyBorder="1" applyAlignment="1" applyProtection="1">
      <alignment vertical="center"/>
      <protection locked="0"/>
    </xf>
    <xf numFmtId="0" fontId="6" fillId="2" borderId="5" xfId="0" applyFont="1" applyFill="1" applyBorder="1" applyProtection="1">
      <protection locked="0"/>
    </xf>
    <xf numFmtId="0" fontId="21" fillId="10" borderId="34" xfId="0" applyFont="1" applyFill="1" applyBorder="1" applyAlignment="1" applyProtection="1">
      <alignment horizontal="center"/>
      <protection locked="0"/>
    </xf>
    <xf numFmtId="0" fontId="6" fillId="10" borderId="35" xfId="0" applyFont="1" applyFill="1" applyBorder="1" applyProtection="1">
      <protection locked="0"/>
    </xf>
    <xf numFmtId="0" fontId="6" fillId="10" borderId="35" xfId="0" applyFont="1" applyFill="1" applyBorder="1" applyAlignment="1" applyProtection="1">
      <alignment horizontal="center" vertical="center"/>
      <protection locked="0"/>
    </xf>
    <xf numFmtId="0" fontId="6" fillId="10" borderId="0" xfId="0" applyFont="1" applyFill="1" applyProtection="1">
      <protection locked="0"/>
    </xf>
    <xf numFmtId="0" fontId="21" fillId="10" borderId="32" xfId="0" applyFont="1" applyFill="1" applyBorder="1" applyAlignment="1" applyProtection="1">
      <alignment horizontal="center"/>
      <protection locked="0"/>
    </xf>
    <xf numFmtId="168" fontId="5" fillId="10" borderId="33" xfId="0" applyNumberFormat="1" applyFont="1" applyFill="1" applyBorder="1" applyAlignment="1" applyProtection="1">
      <alignment horizontal="center"/>
      <protection locked="0"/>
    </xf>
    <xf numFmtId="0" fontId="6" fillId="10" borderId="8" xfId="0" applyFont="1" applyFill="1" applyBorder="1" applyProtection="1">
      <protection locked="0"/>
    </xf>
    <xf numFmtId="0" fontId="21" fillId="0" borderId="41" xfId="0" applyFont="1" applyBorder="1" applyProtection="1">
      <protection locked="0"/>
    </xf>
    <xf numFmtId="0" fontId="6" fillId="0" borderId="3" xfId="0" applyFont="1" applyBorder="1" applyProtection="1">
      <protection locked="0"/>
    </xf>
    <xf numFmtId="168" fontId="6" fillId="0" borderId="3" xfId="0" applyNumberFormat="1" applyFont="1" applyBorder="1" applyProtection="1">
      <protection locked="0"/>
    </xf>
    <xf numFmtId="0" fontId="6" fillId="0" borderId="3" xfId="0" applyFont="1" applyBorder="1" applyAlignment="1" applyProtection="1">
      <alignment horizontal="center"/>
      <protection locked="0"/>
    </xf>
    <xf numFmtId="0" fontId="6" fillId="0" borderId="18" xfId="0" applyFont="1" applyBorder="1" applyAlignment="1" applyProtection="1">
      <alignment vertical="center"/>
      <protection locked="0"/>
    </xf>
    <xf numFmtId="0" fontId="21" fillId="11" borderId="34" xfId="0" applyFont="1" applyFill="1" applyBorder="1" applyAlignment="1" applyProtection="1">
      <alignment horizontal="center"/>
      <protection locked="0"/>
    </xf>
    <xf numFmtId="0" fontId="6" fillId="11" borderId="35" xfId="0" applyFont="1" applyFill="1" applyBorder="1" applyProtection="1">
      <protection locked="0"/>
    </xf>
    <xf numFmtId="0" fontId="6" fillId="11" borderId="35" xfId="0" applyFont="1" applyFill="1" applyBorder="1" applyAlignment="1" applyProtection="1">
      <alignment horizontal="center" vertical="center"/>
      <protection locked="0"/>
    </xf>
    <xf numFmtId="168" fontId="5" fillId="11" borderId="35" xfId="0" applyNumberFormat="1" applyFont="1" applyFill="1" applyBorder="1" applyAlignment="1" applyProtection="1">
      <alignment horizontal="center"/>
      <protection locked="0"/>
    </xf>
    <xf numFmtId="0" fontId="6" fillId="11" borderId="5" xfId="0" applyFont="1" applyFill="1" applyBorder="1" applyProtection="1">
      <protection locked="0"/>
    </xf>
    <xf numFmtId="0" fontId="21" fillId="11" borderId="31" xfId="0" applyFont="1" applyFill="1" applyBorder="1" applyAlignment="1" applyProtection="1">
      <alignment horizontal="center"/>
      <protection locked="0"/>
    </xf>
    <xf numFmtId="0" fontId="6" fillId="11" borderId="27" xfId="0" applyFont="1" applyFill="1" applyBorder="1" applyProtection="1">
      <protection locked="0"/>
    </xf>
    <xf numFmtId="0" fontId="6" fillId="11" borderId="0" xfId="0" applyFont="1" applyFill="1" applyProtection="1">
      <protection locked="0"/>
    </xf>
    <xf numFmtId="0" fontId="6" fillId="11" borderId="8" xfId="0" applyFont="1" applyFill="1" applyBorder="1" applyProtection="1">
      <protection locked="0"/>
    </xf>
    <xf numFmtId="0" fontId="21" fillId="0" borderId="41" xfId="0" applyFont="1" applyBorder="1" applyAlignment="1" applyProtection="1">
      <alignment horizontal="center"/>
      <protection locked="0"/>
    </xf>
    <xf numFmtId="0" fontId="6" fillId="0" borderId="3" xfId="0" applyFont="1" applyBorder="1" applyAlignment="1" applyProtection="1">
      <alignment horizontal="center" vertical="center"/>
      <protection locked="0"/>
    </xf>
    <xf numFmtId="168" fontId="5" fillId="0" borderId="3" xfId="0" applyNumberFormat="1" applyFont="1" applyBorder="1" applyAlignment="1" applyProtection="1">
      <alignment horizontal="center"/>
      <protection locked="0"/>
    </xf>
    <xf numFmtId="0" fontId="21" fillId="13" borderId="34" xfId="0" applyFont="1" applyFill="1" applyBorder="1" applyAlignment="1" applyProtection="1">
      <alignment horizontal="center"/>
      <protection locked="0"/>
    </xf>
    <xf numFmtId="0" fontId="6" fillId="13" borderId="35" xfId="0" applyFont="1" applyFill="1" applyBorder="1" applyAlignment="1" applyProtection="1">
      <alignment horizontal="left" vertical="center"/>
      <protection locked="0"/>
    </xf>
    <xf numFmtId="9" fontId="6" fillId="13" borderId="35" xfId="0" applyNumberFormat="1" applyFont="1" applyFill="1" applyBorder="1" applyProtection="1">
      <protection locked="0"/>
    </xf>
    <xf numFmtId="168" fontId="5" fillId="13" borderId="35" xfId="0" applyNumberFormat="1" applyFont="1" applyFill="1" applyBorder="1" applyAlignment="1" applyProtection="1">
      <alignment horizontal="center"/>
      <protection locked="0"/>
    </xf>
    <xf numFmtId="0" fontId="6" fillId="13" borderId="5" xfId="0" applyFont="1" applyFill="1" applyBorder="1" applyProtection="1">
      <protection locked="0"/>
    </xf>
    <xf numFmtId="0" fontId="21" fillId="13" borderId="30" xfId="0" applyFont="1" applyFill="1" applyBorder="1" applyAlignment="1" applyProtection="1">
      <alignment horizontal="center"/>
      <protection locked="0"/>
    </xf>
    <xf numFmtId="9" fontId="6" fillId="13" borderId="2" xfId="0" applyNumberFormat="1" applyFont="1" applyFill="1" applyBorder="1" applyProtection="1">
      <protection locked="0"/>
    </xf>
    <xf numFmtId="168" fontId="5" fillId="13" borderId="2" xfId="0" applyNumberFormat="1" applyFont="1" applyFill="1" applyBorder="1" applyAlignment="1" applyProtection="1">
      <alignment horizontal="center"/>
      <protection locked="0"/>
    </xf>
    <xf numFmtId="0" fontId="6" fillId="13" borderId="0" xfId="0" applyFont="1" applyFill="1" applyProtection="1">
      <protection locked="0"/>
    </xf>
    <xf numFmtId="0" fontId="21" fillId="13" borderId="32" xfId="0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Alignment="1" applyProtection="1">
      <alignment horizontal="left" vertical="center"/>
      <protection locked="0"/>
    </xf>
    <xf numFmtId="9" fontId="6" fillId="13" borderId="33" xfId="0" applyNumberFormat="1" applyFont="1" applyFill="1" applyBorder="1" applyProtection="1">
      <protection locked="0"/>
    </xf>
    <xf numFmtId="168" fontId="5" fillId="13" borderId="33" xfId="0" applyNumberFormat="1" applyFont="1" applyFill="1" applyBorder="1" applyAlignment="1" applyProtection="1">
      <alignment horizontal="center"/>
      <protection locked="0"/>
    </xf>
    <xf numFmtId="0" fontId="6" fillId="13" borderId="8" xfId="0" applyFont="1" applyFill="1" applyBorder="1" applyProtection="1">
      <protection locked="0"/>
    </xf>
    <xf numFmtId="0" fontId="6" fillId="0" borderId="3" xfId="0" applyFont="1" applyBorder="1" applyAlignment="1" applyProtection="1">
      <alignment horizontal="left" vertical="center"/>
      <protection locked="0"/>
    </xf>
    <xf numFmtId="9" fontId="6" fillId="0" borderId="3" xfId="0" applyNumberFormat="1" applyFont="1" applyBorder="1" applyProtection="1">
      <protection locked="0"/>
    </xf>
    <xf numFmtId="0" fontId="6" fillId="11" borderId="35" xfId="0" applyFont="1" applyFill="1" applyBorder="1" applyAlignment="1" applyProtection="1">
      <alignment horizontal="left" vertical="center"/>
      <protection locked="0"/>
    </xf>
    <xf numFmtId="0" fontId="6" fillId="11" borderId="27" xfId="0" applyFont="1" applyFill="1" applyBorder="1" applyAlignment="1" applyProtection="1">
      <alignment horizontal="left" vertical="center"/>
      <protection locked="0"/>
    </xf>
    <xf numFmtId="0" fontId="21" fillId="11" borderId="30" xfId="0" applyFont="1" applyFill="1" applyBorder="1" applyAlignment="1" applyProtection="1">
      <alignment horizontal="center"/>
      <protection locked="0"/>
    </xf>
    <xf numFmtId="0" fontId="6" fillId="11" borderId="2" xfId="0" applyFont="1" applyFill="1" applyBorder="1" applyAlignment="1" applyProtection="1">
      <alignment horizontal="left" vertical="center"/>
      <protection locked="0"/>
    </xf>
    <xf numFmtId="0" fontId="6" fillId="11" borderId="2" xfId="0" applyFont="1" applyFill="1" applyBorder="1" applyProtection="1">
      <protection locked="0"/>
    </xf>
    <xf numFmtId="0" fontId="6" fillId="11" borderId="2" xfId="0" applyFont="1" applyFill="1" applyBorder="1" applyAlignment="1" applyProtection="1">
      <alignment horizontal="center" vertical="center"/>
      <protection locked="0"/>
    </xf>
    <xf numFmtId="168" fontId="5" fillId="11" borderId="2" xfId="0" applyNumberFormat="1" applyFont="1" applyFill="1" applyBorder="1" applyAlignment="1" applyProtection="1">
      <alignment horizontal="center"/>
      <protection locked="0"/>
    </xf>
    <xf numFmtId="0" fontId="21" fillId="11" borderId="32" xfId="0" applyFont="1" applyFill="1" applyBorder="1" applyAlignment="1" applyProtection="1">
      <alignment horizontal="center"/>
      <protection locked="0"/>
    </xf>
    <xf numFmtId="0" fontId="6" fillId="11" borderId="33" xfId="0" applyFont="1" applyFill="1" applyBorder="1" applyProtection="1">
      <protection locked="0"/>
    </xf>
    <xf numFmtId="0" fontId="6" fillId="11" borderId="33" xfId="0" applyFont="1" applyFill="1" applyBorder="1" applyAlignment="1" applyProtection="1">
      <alignment horizontal="center" vertical="center"/>
      <protection locked="0"/>
    </xf>
    <xf numFmtId="0" fontId="6" fillId="13" borderId="35" xfId="0" applyFont="1" applyFill="1" applyBorder="1" applyProtection="1">
      <protection locked="0"/>
    </xf>
    <xf numFmtId="0" fontId="21" fillId="13" borderId="31" xfId="0" applyFont="1" applyFill="1" applyBorder="1" applyAlignment="1" applyProtection="1">
      <alignment horizontal="center"/>
      <protection locked="0"/>
    </xf>
    <xf numFmtId="168" fontId="5" fillId="13" borderId="27" xfId="0" applyNumberFormat="1" applyFont="1" applyFill="1" applyBorder="1" applyAlignment="1" applyProtection="1">
      <alignment horizontal="center"/>
      <protection locked="0"/>
    </xf>
    <xf numFmtId="0" fontId="21" fillId="13" borderId="36" xfId="0" applyFont="1" applyFill="1" applyBorder="1" applyAlignment="1" applyProtection="1">
      <alignment horizontal="center"/>
      <protection locked="0"/>
    </xf>
    <xf numFmtId="0" fontId="6" fillId="13" borderId="1" xfId="0" applyFont="1" applyFill="1" applyBorder="1" applyAlignment="1" applyProtection="1">
      <alignment horizontal="left" vertical="center"/>
      <protection locked="0"/>
    </xf>
    <xf numFmtId="168" fontId="5" fillId="13" borderId="1" xfId="0" applyNumberFormat="1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Protection="1">
      <protection locked="0"/>
    </xf>
    <xf numFmtId="168" fontId="7" fillId="0" borderId="18" xfId="0" applyNumberFormat="1" applyFont="1" applyBorder="1" applyAlignment="1" applyProtection="1">
      <alignment vertical="center"/>
      <protection locked="0"/>
    </xf>
    <xf numFmtId="9" fontId="6" fillId="11" borderId="35" xfId="0" applyNumberFormat="1" applyFont="1" applyFill="1" applyBorder="1" applyProtection="1">
      <protection locked="0"/>
    </xf>
    <xf numFmtId="9" fontId="6" fillId="11" borderId="2" xfId="0" applyNumberFormat="1" applyFont="1" applyFill="1" applyBorder="1" applyProtection="1">
      <protection locked="0"/>
    </xf>
    <xf numFmtId="9" fontId="6" fillId="11" borderId="33" xfId="0" applyNumberFormat="1" applyFont="1" applyFill="1" applyBorder="1" applyProtection="1">
      <protection locked="0"/>
    </xf>
    <xf numFmtId="168" fontId="5" fillId="11" borderId="33" xfId="0" applyNumberFormat="1" applyFont="1" applyFill="1" applyBorder="1" applyAlignment="1" applyProtection="1">
      <alignment horizontal="center"/>
      <protection locked="0"/>
    </xf>
    <xf numFmtId="0" fontId="35" fillId="0" borderId="3" xfId="0" applyFont="1" applyBorder="1" applyAlignment="1" applyProtection="1">
      <alignment horizontal="left" vertical="center"/>
      <protection locked="0"/>
    </xf>
    <xf numFmtId="0" fontId="21" fillId="13" borderId="28" xfId="0" applyFont="1" applyFill="1" applyBorder="1" applyAlignment="1" applyProtection="1">
      <alignment horizontal="center"/>
      <protection locked="0"/>
    </xf>
    <xf numFmtId="9" fontId="6" fillId="13" borderId="29" xfId="0" applyNumberFormat="1" applyFont="1" applyFill="1" applyBorder="1" applyProtection="1">
      <protection locked="0"/>
    </xf>
    <xf numFmtId="168" fontId="5" fillId="13" borderId="29" xfId="0" applyNumberFormat="1" applyFont="1" applyFill="1" applyBorder="1" applyAlignment="1" applyProtection="1">
      <alignment horizontal="center"/>
      <protection locked="0"/>
    </xf>
    <xf numFmtId="9" fontId="6" fillId="13" borderId="1" xfId="0" applyNumberFormat="1" applyFont="1" applyFill="1" applyBorder="1" applyProtection="1">
      <protection locked="0"/>
    </xf>
    <xf numFmtId="0" fontId="44" fillId="0" borderId="11" xfId="0" applyFont="1" applyBorder="1" applyAlignment="1" applyProtection="1">
      <alignment horizontal="left"/>
      <protection locked="0"/>
    </xf>
    <xf numFmtId="0" fontId="6" fillId="11" borderId="33" xfId="0" applyFont="1" applyFill="1" applyBorder="1" applyAlignment="1" applyProtection="1">
      <alignment horizontal="left" vertical="center"/>
      <protection locked="0"/>
    </xf>
    <xf numFmtId="168" fontId="5" fillId="10" borderId="35" xfId="0" applyNumberFormat="1" applyFont="1" applyFill="1" applyBorder="1" applyAlignment="1" applyProtection="1">
      <alignment horizontal="center"/>
      <protection locked="0"/>
    </xf>
    <xf numFmtId="0" fontId="6" fillId="10" borderId="5" xfId="0" applyFont="1" applyFill="1" applyBorder="1" applyProtection="1">
      <protection locked="0"/>
    </xf>
    <xf numFmtId="0" fontId="21" fillId="10" borderId="31" xfId="0" applyFont="1" applyFill="1" applyBorder="1" applyAlignment="1" applyProtection="1">
      <alignment horizontal="center"/>
      <protection locked="0"/>
    </xf>
    <xf numFmtId="0" fontId="6" fillId="10" borderId="27" xfId="0" applyFont="1" applyFill="1" applyBorder="1" applyProtection="1">
      <protection locked="0"/>
    </xf>
    <xf numFmtId="0" fontId="6" fillId="10" borderId="27" xfId="0" applyFont="1" applyFill="1" applyBorder="1" applyAlignment="1" applyProtection="1">
      <alignment horizontal="center" vertical="center"/>
      <protection locked="0"/>
    </xf>
    <xf numFmtId="168" fontId="5" fillId="10" borderId="27" xfId="0" applyNumberFormat="1" applyFont="1" applyFill="1" applyBorder="1" applyAlignment="1" applyProtection="1">
      <alignment horizontal="center"/>
      <protection locked="0"/>
    </xf>
    <xf numFmtId="0" fontId="6" fillId="10" borderId="33" xfId="0" applyFont="1" applyFill="1" applyBorder="1" applyProtection="1">
      <protection locked="0"/>
    </xf>
    <xf numFmtId="0" fontId="6" fillId="10" borderId="33" xfId="0" applyFont="1" applyFill="1" applyBorder="1" applyAlignment="1" applyProtection="1">
      <alignment horizontal="center" vertical="center"/>
      <protection locked="0"/>
    </xf>
    <xf numFmtId="168" fontId="7" fillId="0" borderId="14" xfId="0" applyNumberFormat="1" applyFont="1" applyBorder="1" applyAlignment="1" applyProtection="1">
      <alignment horizontal="center" vertical="center"/>
      <protection locked="0"/>
    </xf>
    <xf numFmtId="0" fontId="6" fillId="2" borderId="18" xfId="0" applyFont="1" applyFill="1" applyBorder="1" applyAlignment="1" applyProtection="1">
      <alignment vertical="center"/>
      <protection locked="0"/>
    </xf>
    <xf numFmtId="168" fontId="13" fillId="2" borderId="0" xfId="0" applyNumberFormat="1" applyFont="1" applyFill="1" applyAlignment="1" applyProtection="1">
      <alignment horizontal="center" vertical="center"/>
      <protection locked="0"/>
    </xf>
    <xf numFmtId="168" fontId="6" fillId="7" borderId="0" xfId="0" applyNumberFormat="1" applyFont="1" applyFill="1" applyAlignment="1" applyProtection="1">
      <alignment vertical="center"/>
      <protection locked="0"/>
    </xf>
    <xf numFmtId="0" fontId="6" fillId="0" borderId="0" xfId="0" applyFont="1" applyAlignment="1" applyProtection="1">
      <alignment vertical="center"/>
      <protection locked="0"/>
    </xf>
    <xf numFmtId="0" fontId="5" fillId="11" borderId="35" xfId="0" applyFont="1" applyFill="1" applyBorder="1" applyProtection="1">
      <protection locked="0"/>
    </xf>
    <xf numFmtId="0" fontId="25" fillId="0" borderId="2" xfId="0" applyFont="1" applyBorder="1" applyAlignment="1" applyProtection="1">
      <alignment horizontal="center"/>
      <protection locked="0"/>
    </xf>
    <xf numFmtId="0" fontId="34" fillId="0" borderId="2" xfId="0" applyFont="1" applyBorder="1" applyProtection="1">
      <protection locked="0"/>
    </xf>
    <xf numFmtId="167" fontId="34" fillId="0" borderId="2" xfId="0" applyNumberFormat="1" applyFont="1" applyBorder="1" applyProtection="1">
      <protection locked="0"/>
    </xf>
    <xf numFmtId="0" fontId="30" fillId="7" borderId="0" xfId="0" applyFont="1" applyFill="1" applyProtection="1">
      <protection locked="0"/>
    </xf>
    <xf numFmtId="10" fontId="34" fillId="0" borderId="2" xfId="0" applyNumberFormat="1" applyFont="1" applyBorder="1" applyProtection="1">
      <protection locked="0"/>
    </xf>
    <xf numFmtId="0" fontId="26" fillId="9" borderId="2" xfId="0" applyFont="1" applyFill="1" applyBorder="1" applyAlignment="1" applyProtection="1">
      <alignment horizontal="center" wrapText="1"/>
      <protection locked="0"/>
    </xf>
    <xf numFmtId="15" fontId="25" fillId="7" borderId="0" xfId="0" applyNumberFormat="1" applyFont="1" applyFill="1" applyAlignment="1" applyProtection="1">
      <alignment horizontal="center"/>
      <protection locked="0"/>
    </xf>
    <xf numFmtId="9" fontId="26" fillId="7" borderId="0" xfId="0" applyNumberFormat="1" applyFont="1" applyFill="1" applyAlignment="1" applyProtection="1">
      <alignment horizontal="center"/>
      <protection locked="0"/>
    </xf>
    <xf numFmtId="167" fontId="26" fillId="7" borderId="0" xfId="0" applyNumberFormat="1" applyFont="1" applyFill="1" applyProtection="1">
      <protection locked="0"/>
    </xf>
    <xf numFmtId="9" fontId="26" fillId="7" borderId="25" xfId="2" applyFont="1" applyFill="1" applyBorder="1" applyAlignment="1">
      <alignment horizontal="center"/>
    </xf>
    <xf numFmtId="9" fontId="7" fillId="9" borderId="27" xfId="0" applyNumberFormat="1" applyFont="1" applyFill="1" applyBorder="1" applyAlignment="1" applyProtection="1">
      <alignment horizontal="center" vertical="center"/>
      <protection locked="0"/>
    </xf>
    <xf numFmtId="0" fontId="42" fillId="7" borderId="0" xfId="0" applyFont="1" applyFill="1" applyAlignment="1" applyProtection="1">
      <alignment horizontal="center" vertical="center"/>
      <protection locked="0"/>
    </xf>
    <xf numFmtId="0" fontId="6" fillId="13" borderId="35" xfId="0" applyFont="1" applyFill="1" applyBorder="1" applyAlignment="1" applyProtection="1">
      <alignment horizontal="center" vertical="center"/>
      <protection locked="0"/>
    </xf>
    <xf numFmtId="0" fontId="48" fillId="0" borderId="0" xfId="0" applyFont="1"/>
    <xf numFmtId="43" fontId="48" fillId="0" borderId="0" xfId="1" applyFont="1"/>
    <xf numFmtId="14" fontId="25" fillId="0" borderId="0" xfId="0" applyNumberFormat="1" applyFont="1" applyProtection="1">
      <protection locked="0"/>
    </xf>
    <xf numFmtId="15" fontId="30" fillId="0" borderId="2" xfId="0" quotePrefix="1" applyNumberFormat="1" applyFont="1" applyBorder="1" applyAlignment="1" applyProtection="1">
      <alignment horizontal="center"/>
      <protection locked="0"/>
    </xf>
    <xf numFmtId="171" fontId="6" fillId="7" borderId="0" xfId="0" applyNumberFormat="1" applyFont="1" applyFill="1" applyAlignment="1" applyProtection="1">
      <alignment vertical="center"/>
      <protection locked="0"/>
    </xf>
    <xf numFmtId="167" fontId="0" fillId="0" borderId="0" xfId="0" applyNumberFormat="1"/>
    <xf numFmtId="168" fontId="11" fillId="0" borderId="39" xfId="0" applyNumberFormat="1" applyFont="1" applyBorder="1" applyAlignment="1" applyProtection="1">
      <alignment horizontal="center" vertical="center" wrapText="1"/>
      <protection locked="0"/>
    </xf>
    <xf numFmtId="168" fontId="11" fillId="0" borderId="17" xfId="0" applyNumberFormat="1" applyFont="1" applyBorder="1" applyAlignment="1" applyProtection="1">
      <alignment horizontal="center" vertical="center" wrapText="1"/>
      <protection locked="0"/>
    </xf>
    <xf numFmtId="168" fontId="11" fillId="0" borderId="47" xfId="0" applyNumberFormat="1" applyFont="1" applyBorder="1" applyAlignment="1" applyProtection="1">
      <alignment horizontal="center" vertical="center" wrapText="1"/>
      <protection locked="0"/>
    </xf>
    <xf numFmtId="170" fontId="0" fillId="8" borderId="2" xfId="0" applyNumberFormat="1" applyFill="1" applyBorder="1"/>
    <xf numFmtId="167" fontId="28" fillId="6" borderId="18" xfId="0" applyNumberFormat="1" applyFont="1" applyFill="1" applyBorder="1" applyProtection="1">
      <protection locked="0"/>
    </xf>
    <xf numFmtId="10" fontId="28" fillId="6" borderId="14" xfId="0" applyNumberFormat="1" applyFont="1" applyFill="1" applyBorder="1" applyProtection="1">
      <protection locked="0"/>
    </xf>
    <xf numFmtId="0" fontId="29" fillId="7" borderId="0" xfId="0" applyFont="1" applyFill="1" applyProtection="1">
      <protection locked="0"/>
    </xf>
    <xf numFmtId="0" fontId="26" fillId="9" borderId="2" xfId="0" applyFont="1" applyFill="1" applyBorder="1" applyAlignment="1" applyProtection="1">
      <alignment horizontal="left"/>
      <protection locked="0"/>
    </xf>
    <xf numFmtId="15" fontId="28" fillId="0" borderId="2" xfId="0" applyNumberFormat="1" applyFont="1" applyBorder="1" applyAlignment="1" applyProtection="1">
      <alignment horizontal="left"/>
      <protection locked="0"/>
    </xf>
    <xf numFmtId="0" fontId="21" fillId="11" borderId="28" xfId="0" applyFont="1" applyFill="1" applyBorder="1" applyAlignment="1" applyProtection="1">
      <alignment horizontal="center"/>
      <protection locked="0"/>
    </xf>
    <xf numFmtId="9" fontId="6" fillId="11" borderId="29" xfId="0" applyNumberFormat="1" applyFont="1" applyFill="1" applyBorder="1" applyProtection="1">
      <protection locked="0"/>
    </xf>
    <xf numFmtId="168" fontId="5" fillId="11" borderId="29" xfId="0" applyNumberFormat="1" applyFont="1" applyFill="1" applyBorder="1" applyAlignment="1" applyProtection="1">
      <alignment horizontal="center"/>
      <protection locked="0"/>
    </xf>
    <xf numFmtId="0" fontId="21" fillId="11" borderId="36" xfId="0" applyFont="1" applyFill="1" applyBorder="1" applyAlignment="1" applyProtection="1">
      <alignment horizontal="center"/>
      <protection locked="0"/>
    </xf>
    <xf numFmtId="0" fontId="6" fillId="11" borderId="1" xfId="0" applyFont="1" applyFill="1" applyBorder="1" applyAlignment="1" applyProtection="1">
      <alignment horizontal="left" vertical="center"/>
      <protection locked="0"/>
    </xf>
    <xf numFmtId="9" fontId="6" fillId="11" borderId="1" xfId="0" applyNumberFormat="1" applyFont="1" applyFill="1" applyBorder="1" applyProtection="1">
      <protection locked="0"/>
    </xf>
    <xf numFmtId="168" fontId="5" fillId="11" borderId="1" xfId="0" applyNumberFormat="1" applyFont="1" applyFill="1" applyBorder="1" applyAlignment="1" applyProtection="1">
      <alignment horizontal="center"/>
      <protection locked="0"/>
    </xf>
    <xf numFmtId="0" fontId="6" fillId="11" borderId="1" xfId="0" applyFont="1" applyFill="1" applyBorder="1" applyProtection="1">
      <protection locked="0"/>
    </xf>
    <xf numFmtId="168" fontId="6" fillId="11" borderId="5" xfId="0" applyNumberFormat="1" applyFont="1" applyFill="1" applyBorder="1" applyProtection="1">
      <protection locked="0"/>
    </xf>
    <xf numFmtId="0" fontId="5" fillId="11" borderId="2" xfId="0" applyFont="1" applyFill="1" applyBorder="1" applyProtection="1">
      <protection locked="0"/>
    </xf>
    <xf numFmtId="0" fontId="35" fillId="11" borderId="2" xfId="0" applyFont="1" applyFill="1" applyBorder="1" applyAlignment="1" applyProtection="1">
      <alignment horizontal="center" vertical="center"/>
      <protection locked="0"/>
    </xf>
    <xf numFmtId="168" fontId="5" fillId="11" borderId="2" xfId="0" applyNumberFormat="1" applyFont="1" applyFill="1" applyBorder="1" applyAlignment="1" applyProtection="1">
      <alignment horizontal="center" vertical="center"/>
      <protection locked="0"/>
    </xf>
    <xf numFmtId="0" fontId="35" fillId="11" borderId="33" xfId="0" applyFont="1" applyFill="1" applyBorder="1" applyProtection="1">
      <protection locked="0"/>
    </xf>
    <xf numFmtId="0" fontId="35" fillId="11" borderId="33" xfId="0" applyFont="1" applyFill="1" applyBorder="1" applyAlignment="1" applyProtection="1">
      <alignment horizontal="center" vertical="center"/>
      <protection locked="0"/>
    </xf>
    <xf numFmtId="0" fontId="6" fillId="13" borderId="27" xfId="0" applyFont="1" applyFill="1" applyBorder="1" applyAlignment="1" applyProtection="1">
      <alignment horizontal="center" vertical="center"/>
      <protection locked="0"/>
    </xf>
    <xf numFmtId="0" fontId="21" fillId="13" borderId="42" xfId="0" applyFont="1" applyFill="1" applyBorder="1" applyAlignment="1" applyProtection="1">
      <alignment horizontal="center"/>
      <protection locked="0"/>
    </xf>
    <xf numFmtId="0" fontId="6" fillId="13" borderId="43" xfId="0" applyFont="1" applyFill="1" applyBorder="1" applyProtection="1">
      <protection locked="0"/>
    </xf>
    <xf numFmtId="0" fontId="6" fillId="13" borderId="43" xfId="0" applyFont="1" applyFill="1" applyBorder="1" applyAlignment="1" applyProtection="1">
      <alignment horizontal="center" vertical="center"/>
      <protection locked="0"/>
    </xf>
    <xf numFmtId="168" fontId="5" fillId="13" borderId="43" xfId="0" applyNumberFormat="1" applyFont="1" applyFill="1" applyBorder="1" applyAlignment="1" applyProtection="1">
      <alignment horizontal="center"/>
      <protection locked="0"/>
    </xf>
    <xf numFmtId="0" fontId="6" fillId="13" borderId="2" xfId="0" applyFont="1" applyFill="1" applyBorder="1" applyAlignment="1" applyProtection="1">
      <alignment horizontal="center" vertical="center"/>
      <protection locked="0"/>
    </xf>
    <xf numFmtId="167" fontId="13" fillId="13" borderId="2" xfId="0" applyNumberFormat="1" applyFont="1" applyFill="1" applyBorder="1" applyAlignment="1" applyProtection="1">
      <alignment horizontal="left" vertical="center"/>
      <protection locked="0"/>
    </xf>
    <xf numFmtId="0" fontId="35" fillId="13" borderId="33" xfId="0" applyFont="1" applyFill="1" applyBorder="1" applyAlignment="1" applyProtection="1">
      <alignment horizontal="left" vertical="center"/>
      <protection locked="0"/>
    </xf>
    <xf numFmtId="165" fontId="6" fillId="0" borderId="18" xfId="0" applyNumberFormat="1" applyFont="1" applyBorder="1" applyAlignment="1" applyProtection="1">
      <alignment vertical="center"/>
      <protection locked="0"/>
    </xf>
    <xf numFmtId="0" fontId="5" fillId="0" borderId="3" xfId="0" applyFont="1" applyBorder="1" applyProtection="1">
      <protection locked="0"/>
    </xf>
    <xf numFmtId="14" fontId="42" fillId="7" borderId="0" xfId="0" applyNumberFormat="1" applyFont="1" applyFill="1" applyAlignment="1">
      <alignment horizontal="center"/>
    </xf>
    <xf numFmtId="0" fontId="42" fillId="7" borderId="0" xfId="0" applyFont="1" applyFill="1" applyAlignment="1">
      <alignment horizontal="center"/>
    </xf>
    <xf numFmtId="0" fontId="6" fillId="11" borderId="1" xfId="0" applyFont="1" applyFill="1" applyBorder="1" applyAlignment="1" applyProtection="1">
      <alignment horizontal="center" vertical="center"/>
      <protection locked="0"/>
    </xf>
    <xf numFmtId="43" fontId="0" fillId="0" borderId="0" xfId="1" applyFont="1"/>
    <xf numFmtId="0" fontId="6" fillId="13" borderId="27" xfId="0" applyFont="1" applyFill="1" applyBorder="1" applyAlignment="1" applyProtection="1">
      <alignment horizontal="left" vertical="center"/>
      <protection locked="0"/>
    </xf>
    <xf numFmtId="0" fontId="47" fillId="6" borderId="13" xfId="0" applyFont="1" applyFill="1" applyBorder="1" applyProtection="1">
      <protection locked="0"/>
    </xf>
    <xf numFmtId="16" fontId="28" fillId="6" borderId="18" xfId="0" applyNumberFormat="1" applyFont="1" applyFill="1" applyBorder="1" applyProtection="1"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42" fillId="9" borderId="22" xfId="0" applyFont="1" applyFill="1" applyBorder="1" applyAlignment="1" applyProtection="1">
      <alignment horizontal="left"/>
      <protection locked="0"/>
    </xf>
    <xf numFmtId="0" fontId="11" fillId="7" borderId="0" xfId="0" applyFont="1" applyFill="1" applyAlignment="1">
      <alignment horizontal="left"/>
    </xf>
    <xf numFmtId="0" fontId="6" fillId="13" borderId="1" xfId="0" applyFont="1" applyFill="1" applyBorder="1" applyAlignment="1" applyProtection="1">
      <alignment horizontal="center" vertical="center"/>
      <protection locked="0"/>
    </xf>
    <xf numFmtId="167" fontId="6" fillId="13" borderId="29" xfId="3" applyFont="1" applyFill="1" applyBorder="1" applyAlignment="1" applyProtection="1">
      <alignment horizontal="center"/>
      <protection locked="0"/>
    </xf>
    <xf numFmtId="0" fontId="6" fillId="11" borderId="29" xfId="0" applyFont="1" applyFill="1" applyBorder="1" applyProtection="1">
      <protection locked="0"/>
    </xf>
    <xf numFmtId="167" fontId="5" fillId="11" borderId="2" xfId="3" applyFont="1" applyFill="1" applyBorder="1" applyProtection="1">
      <protection locked="0"/>
    </xf>
    <xf numFmtId="0" fontId="5" fillId="11" borderId="33" xfId="0" applyFont="1" applyFill="1" applyBorder="1" applyProtection="1">
      <protection locked="0"/>
    </xf>
    <xf numFmtId="0" fontId="5" fillId="13" borderId="35" xfId="0" applyFont="1" applyFill="1" applyBorder="1" applyProtection="1">
      <protection locked="0"/>
    </xf>
    <xf numFmtId="0" fontId="5" fillId="13" borderId="43" xfId="0" applyFont="1" applyFill="1" applyBorder="1" applyProtection="1">
      <protection locked="0"/>
    </xf>
    <xf numFmtId="0" fontId="5" fillId="11" borderId="35" xfId="0" applyFont="1" applyFill="1" applyBorder="1" applyAlignment="1" applyProtection="1">
      <alignment horizontal="left" vertical="center"/>
      <protection locked="0"/>
    </xf>
    <xf numFmtId="0" fontId="5" fillId="11" borderId="2" xfId="0" applyFont="1" applyFill="1" applyBorder="1" applyAlignment="1" applyProtection="1">
      <alignment horizontal="left" vertical="center"/>
      <protection locked="0"/>
    </xf>
    <xf numFmtId="0" fontId="5" fillId="11" borderId="33" xfId="0" applyFont="1" applyFill="1" applyBorder="1" applyAlignment="1" applyProtection="1">
      <alignment horizontal="left" vertical="center"/>
      <protection locked="0"/>
    </xf>
    <xf numFmtId="0" fontId="5" fillId="13" borderId="35" xfId="0" applyFont="1" applyFill="1" applyBorder="1" applyAlignment="1" applyProtection="1">
      <alignment horizontal="left" vertical="center"/>
      <protection locked="0"/>
    </xf>
    <xf numFmtId="166" fontId="5" fillId="13" borderId="24" xfId="3" applyNumberFormat="1" applyFont="1" applyFill="1" applyBorder="1" applyAlignment="1" applyProtection="1">
      <alignment horizontal="left" vertical="center"/>
      <protection locked="0"/>
    </xf>
    <xf numFmtId="0" fontId="5" fillId="13" borderId="33" xfId="0" applyFont="1" applyFill="1" applyBorder="1" applyProtection="1">
      <protection locked="0"/>
    </xf>
    <xf numFmtId="0" fontId="5" fillId="13" borderId="2" xfId="3" applyNumberFormat="1" applyFont="1" applyFill="1" applyBorder="1" applyAlignment="1" applyProtection="1">
      <alignment horizontal="left" vertical="center"/>
      <protection locked="0"/>
    </xf>
    <xf numFmtId="0" fontId="5" fillId="13" borderId="2" xfId="0" applyFont="1" applyFill="1" applyBorder="1" applyAlignment="1" applyProtection="1">
      <alignment horizontal="left" vertical="center"/>
      <protection locked="0"/>
    </xf>
    <xf numFmtId="0" fontId="5" fillId="13" borderId="29" xfId="0" applyFont="1" applyFill="1" applyBorder="1" applyAlignment="1" applyProtection="1">
      <alignment horizontal="left" vertical="center"/>
      <protection locked="0"/>
    </xf>
    <xf numFmtId="0" fontId="5" fillId="13" borderId="33" xfId="0" applyFont="1" applyFill="1" applyBorder="1" applyAlignment="1" applyProtection="1">
      <alignment horizontal="left" vertical="center"/>
      <protection locked="0"/>
    </xf>
    <xf numFmtId="0" fontId="5" fillId="13" borderId="1" xfId="0" applyFont="1" applyFill="1" applyBorder="1" applyAlignment="1" applyProtection="1">
      <alignment horizontal="left" vertical="center"/>
      <protection locked="0"/>
    </xf>
    <xf numFmtId="0" fontId="5" fillId="10" borderId="35" xfId="0" applyFont="1" applyFill="1" applyBorder="1" applyProtection="1">
      <protection locked="0"/>
    </xf>
    <xf numFmtId="0" fontId="5" fillId="10" borderId="2" xfId="0" applyFont="1" applyFill="1" applyBorder="1" applyProtection="1">
      <protection locked="0"/>
    </xf>
    <xf numFmtId="0" fontId="5" fillId="10" borderId="33" xfId="0" applyFont="1" applyFill="1" applyBorder="1" applyProtection="1">
      <protection locked="0"/>
    </xf>
    <xf numFmtId="167" fontId="6" fillId="11" borderId="35" xfId="3" applyFont="1" applyFill="1" applyBorder="1" applyAlignment="1" applyProtection="1">
      <alignment horizontal="center"/>
      <protection locked="0"/>
    </xf>
    <xf numFmtId="168" fontId="37" fillId="11" borderId="33" xfId="0" applyNumberFormat="1" applyFont="1" applyFill="1" applyBorder="1" applyAlignment="1" applyProtection="1">
      <alignment horizontal="left" vertical="center"/>
      <protection locked="0"/>
    </xf>
    <xf numFmtId="0" fontId="44" fillId="0" borderId="5" xfId="0" applyFont="1" applyBorder="1" applyAlignment="1" applyProtection="1">
      <alignment horizontal="left"/>
      <protection locked="0"/>
    </xf>
    <xf numFmtId="165" fontId="44" fillId="0" borderId="5" xfId="0" applyNumberFormat="1" applyFont="1" applyBorder="1" applyAlignment="1" applyProtection="1">
      <alignment horizontal="left"/>
      <protection locked="0"/>
    </xf>
    <xf numFmtId="0" fontId="5" fillId="11" borderId="54" xfId="0" applyFont="1" applyFill="1" applyBorder="1" applyAlignment="1" applyProtection="1">
      <alignment horizontal="left" vertical="center"/>
      <protection locked="0"/>
    </xf>
    <xf numFmtId="168" fontId="5" fillId="11" borderId="2" xfId="0" applyNumberFormat="1" applyFont="1" applyFill="1" applyBorder="1" applyAlignment="1" applyProtection="1">
      <alignment horizontal="left" vertical="center"/>
      <protection locked="0"/>
    </xf>
    <xf numFmtId="9" fontId="6" fillId="13" borderId="27" xfId="0" applyNumberFormat="1" applyFont="1" applyFill="1" applyBorder="1" applyProtection="1">
      <protection locked="0"/>
    </xf>
    <xf numFmtId="167" fontId="6" fillId="11" borderId="1" xfId="3" applyFont="1" applyFill="1" applyBorder="1" applyAlignment="1" applyProtection="1">
      <alignment horizontal="center"/>
      <protection locked="0"/>
    </xf>
    <xf numFmtId="16" fontId="28" fillId="6" borderId="14" xfId="0" applyNumberFormat="1" applyFont="1" applyFill="1" applyBorder="1" applyProtection="1">
      <protection locked="0"/>
    </xf>
    <xf numFmtId="0" fontId="0" fillId="0" borderId="0" xfId="0" pivotButton="1"/>
    <xf numFmtId="0" fontId="0" fillId="0" borderId="0" xfId="0" applyAlignment="1">
      <alignment horizontal="left"/>
    </xf>
    <xf numFmtId="14" fontId="0" fillId="0" borderId="0" xfId="0" applyNumberFormat="1"/>
    <xf numFmtId="168" fontId="0" fillId="0" borderId="0" xfId="0" applyNumberFormat="1"/>
    <xf numFmtId="167" fontId="5" fillId="13" borderId="2" xfId="3" applyFont="1" applyFill="1" applyBorder="1" applyAlignment="1" applyProtection="1">
      <alignment horizontal="left" vertical="center"/>
      <protection locked="0"/>
    </xf>
    <xf numFmtId="0" fontId="6" fillId="11" borderId="27" xfId="0" applyFont="1" applyFill="1" applyBorder="1" applyAlignment="1" applyProtection="1">
      <alignment horizontal="center" vertical="center"/>
      <protection locked="0"/>
    </xf>
    <xf numFmtId="167" fontId="6" fillId="11" borderId="27" xfId="3" applyFont="1" applyFill="1" applyBorder="1" applyAlignment="1" applyProtection="1">
      <alignment horizontal="center"/>
      <protection locked="0"/>
    </xf>
    <xf numFmtId="167" fontId="6" fillId="13" borderId="27" xfId="3" applyFont="1" applyFill="1" applyBorder="1" applyAlignment="1" applyProtection="1">
      <alignment horizontal="center"/>
      <protection locked="0"/>
    </xf>
    <xf numFmtId="167" fontId="6" fillId="13" borderId="2" xfId="3" applyFont="1" applyFill="1" applyBorder="1" applyAlignment="1" applyProtection="1">
      <alignment horizontal="center"/>
      <protection locked="0"/>
    </xf>
    <xf numFmtId="167" fontId="6" fillId="13" borderId="33" xfId="3" applyFont="1" applyFill="1" applyBorder="1" applyAlignment="1" applyProtection="1">
      <alignment horizontal="center"/>
      <protection locked="0"/>
    </xf>
    <xf numFmtId="167" fontId="6" fillId="0" borderId="3" xfId="3" applyFont="1" applyBorder="1" applyAlignment="1" applyProtection="1">
      <alignment horizontal="center"/>
      <protection locked="0"/>
    </xf>
    <xf numFmtId="167" fontId="6" fillId="13" borderId="35" xfId="3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Alignment="1" applyProtection="1">
      <alignment horizontal="center" vertical="center"/>
      <protection locked="0"/>
    </xf>
    <xf numFmtId="167" fontId="6" fillId="11" borderId="2" xfId="3" applyFont="1" applyFill="1" applyBorder="1" applyAlignment="1" applyProtection="1">
      <alignment horizontal="center"/>
      <protection locked="0"/>
    </xf>
    <xf numFmtId="167" fontId="6" fillId="11" borderId="33" xfId="3" applyFont="1" applyFill="1" applyBorder="1" applyAlignment="1" applyProtection="1">
      <alignment horizontal="center"/>
      <protection locked="0"/>
    </xf>
    <xf numFmtId="167" fontId="6" fillId="13" borderId="1" xfId="3" applyFont="1" applyFill="1" applyBorder="1" applyAlignment="1" applyProtection="1">
      <alignment horizontal="center"/>
      <protection locked="0"/>
    </xf>
    <xf numFmtId="0" fontId="6" fillId="11" borderId="29" xfId="0" applyFont="1" applyFill="1" applyBorder="1" applyAlignment="1" applyProtection="1">
      <alignment horizontal="center" vertical="center"/>
      <protection locked="0"/>
    </xf>
    <xf numFmtId="0" fontId="6" fillId="13" borderId="29" xfId="0" applyFont="1" applyFill="1" applyBorder="1" applyAlignment="1" applyProtection="1">
      <alignment horizontal="center" vertical="center"/>
      <protection locked="0"/>
    </xf>
    <xf numFmtId="167" fontId="6" fillId="7" borderId="0" xfId="3" applyFont="1" applyFill="1" applyAlignment="1" applyProtection="1">
      <alignment horizontal="center"/>
      <protection locked="0"/>
    </xf>
    <xf numFmtId="167" fontId="7" fillId="0" borderId="38" xfId="3" applyFont="1" applyBorder="1" applyAlignment="1" applyProtection="1">
      <alignment horizontal="center" vertical="center"/>
      <protection locked="0"/>
    </xf>
    <xf numFmtId="167" fontId="6" fillId="2" borderId="29" xfId="3" applyFont="1" applyFill="1" applyBorder="1" applyAlignment="1" applyProtection="1">
      <alignment horizontal="center"/>
      <protection locked="0"/>
    </xf>
    <xf numFmtId="167" fontId="6" fillId="13" borderId="43" xfId="3" applyFont="1" applyFill="1" applyBorder="1" applyAlignment="1" applyProtection="1">
      <alignment horizontal="center"/>
      <protection locked="0"/>
    </xf>
    <xf numFmtId="167" fontId="6" fillId="11" borderId="29" xfId="3" applyFont="1" applyFill="1" applyBorder="1" applyAlignment="1" applyProtection="1">
      <alignment horizontal="center"/>
      <protection locked="0"/>
    </xf>
    <xf numFmtId="167" fontId="44" fillId="0" borderId="16" xfId="3" applyFont="1" applyBorder="1" applyAlignment="1" applyProtection="1">
      <alignment horizontal="left"/>
      <protection locked="0"/>
    </xf>
    <xf numFmtId="167" fontId="6" fillId="10" borderId="35" xfId="3" applyFont="1" applyFill="1" applyBorder="1" applyAlignment="1" applyProtection="1">
      <alignment horizontal="center"/>
      <protection locked="0"/>
    </xf>
    <xf numFmtId="167" fontId="6" fillId="10" borderId="27" xfId="3" applyFont="1" applyFill="1" applyBorder="1" applyAlignment="1" applyProtection="1">
      <alignment horizontal="center"/>
      <protection locked="0"/>
    </xf>
    <xf numFmtId="167" fontId="6" fillId="10" borderId="33" xfId="3" applyFont="1" applyFill="1" applyBorder="1" applyAlignment="1" applyProtection="1">
      <alignment horizontal="center"/>
      <protection locked="0"/>
    </xf>
    <xf numFmtId="167" fontId="6" fillId="2" borderId="0" xfId="3" applyFont="1" applyFill="1" applyAlignment="1" applyProtection="1">
      <alignment horizontal="center"/>
      <protection locked="0"/>
    </xf>
    <xf numFmtId="167" fontId="6" fillId="0" borderId="0" xfId="3" applyFont="1" applyAlignment="1" applyProtection="1">
      <alignment horizontal="center"/>
      <protection locked="0"/>
    </xf>
    <xf numFmtId="0" fontId="6" fillId="10" borderId="4" xfId="0" applyFont="1" applyFill="1" applyBorder="1" applyAlignment="1" applyProtection="1">
      <alignment horizontal="center"/>
      <protection locked="0"/>
    </xf>
    <xf numFmtId="0" fontId="6" fillId="10" borderId="7" xfId="0" applyFont="1" applyFill="1" applyBorder="1" applyAlignment="1" applyProtection="1">
      <alignment horizontal="center"/>
      <protection locked="0"/>
    </xf>
    <xf numFmtId="0" fontId="6" fillId="11" borderId="7" xfId="0" applyFont="1" applyFill="1" applyBorder="1" applyProtection="1">
      <protection locked="0"/>
    </xf>
    <xf numFmtId="0" fontId="6" fillId="13" borderId="35" xfId="3" applyNumberFormat="1" applyFont="1" applyFill="1" applyBorder="1" applyAlignment="1" applyProtection="1">
      <alignment horizontal="center" vertical="center"/>
      <protection locked="0"/>
    </xf>
    <xf numFmtId="168" fontId="13" fillId="2" borderId="48" xfId="0" applyNumberFormat="1" applyFont="1" applyFill="1" applyBorder="1" applyAlignment="1" applyProtection="1">
      <alignment horizontal="center" vertical="center" wrapText="1"/>
      <protection locked="0"/>
    </xf>
    <xf numFmtId="168" fontId="5" fillId="13" borderId="10" xfId="0" applyNumberFormat="1" applyFont="1" applyFill="1" applyBorder="1" applyAlignment="1" applyProtection="1">
      <alignment horizontal="center"/>
      <protection locked="0"/>
    </xf>
    <xf numFmtId="168" fontId="7" fillId="0" borderId="11" xfId="0" applyNumberFormat="1" applyFont="1" applyBorder="1" applyAlignment="1" applyProtection="1">
      <alignment vertical="center"/>
      <protection locked="0"/>
    </xf>
    <xf numFmtId="0" fontId="6" fillId="7" borderId="11" xfId="0" applyFont="1" applyFill="1" applyBorder="1" applyProtection="1">
      <protection locked="0"/>
    </xf>
    <xf numFmtId="0" fontId="7" fillId="7" borderId="11" xfId="0" applyFont="1" applyFill="1" applyBorder="1" applyAlignment="1" applyProtection="1">
      <alignment horizontal="center" vertical="center"/>
      <protection locked="0"/>
    </xf>
    <xf numFmtId="0" fontId="6" fillId="2" borderId="4" xfId="0" applyFont="1" applyFill="1" applyBorder="1" applyAlignment="1" applyProtection="1">
      <alignment vertical="center"/>
      <protection locked="0"/>
    </xf>
    <xf numFmtId="0" fontId="6" fillId="7" borderId="49" xfId="0" applyFont="1" applyFill="1" applyBorder="1" applyProtection="1">
      <protection locked="0"/>
    </xf>
    <xf numFmtId="168" fontId="7" fillId="0" borderId="0" xfId="0" applyNumberFormat="1" applyFont="1" applyAlignment="1" applyProtection="1">
      <alignment vertical="center"/>
      <protection locked="0"/>
    </xf>
    <xf numFmtId="0" fontId="7" fillId="7" borderId="2" xfId="0" applyFont="1" applyFill="1" applyBorder="1" applyProtection="1">
      <protection locked="0"/>
    </xf>
    <xf numFmtId="167" fontId="5" fillId="11" borderId="1" xfId="3" applyFont="1" applyFill="1" applyBorder="1" applyProtection="1">
      <protection locked="0"/>
    </xf>
    <xf numFmtId="0" fontId="5" fillId="11" borderId="1" xfId="0" applyFont="1" applyFill="1" applyBorder="1" applyProtection="1">
      <protection locked="0"/>
    </xf>
    <xf numFmtId="0" fontId="35" fillId="11" borderId="1" xfId="0" applyFont="1" applyFill="1" applyBorder="1" applyAlignment="1" applyProtection="1">
      <alignment horizontal="center" vertical="center"/>
      <protection locked="0"/>
    </xf>
    <xf numFmtId="1" fontId="6" fillId="13" borderId="27" xfId="0" applyNumberFormat="1" applyFont="1" applyFill="1" applyBorder="1" applyAlignment="1" applyProtection="1">
      <alignment horizontal="center" vertical="center"/>
      <protection locked="0"/>
    </xf>
    <xf numFmtId="168" fontId="5" fillId="0" borderId="18" xfId="0" applyNumberFormat="1" applyFont="1" applyBorder="1" applyAlignment="1" applyProtection="1">
      <alignment horizontal="center"/>
      <protection locked="0"/>
    </xf>
    <xf numFmtId="168" fontId="7" fillId="0" borderId="8" xfId="0" applyNumberFormat="1" applyFont="1" applyBorder="1" applyAlignment="1" applyProtection="1">
      <alignment horizontal="center" vertical="center"/>
      <protection locked="0"/>
    </xf>
    <xf numFmtId="168" fontId="5" fillId="10" borderId="52" xfId="0" applyNumberFormat="1" applyFont="1" applyFill="1" applyBorder="1" applyAlignment="1" applyProtection="1">
      <alignment horizontal="center"/>
      <protection locked="0"/>
    </xf>
    <xf numFmtId="168" fontId="5" fillId="10" borderId="53" xfId="0" applyNumberFormat="1" applyFont="1" applyFill="1" applyBorder="1" applyAlignment="1" applyProtection="1">
      <alignment horizontal="center"/>
      <protection locked="0"/>
    </xf>
    <xf numFmtId="168" fontId="5" fillId="0" borderId="12" xfId="0" applyNumberFormat="1" applyFont="1" applyBorder="1" applyAlignment="1" applyProtection="1">
      <alignment horizontal="center"/>
      <protection locked="0"/>
    </xf>
    <xf numFmtId="0" fontId="6" fillId="0" borderId="12" xfId="0" applyFont="1" applyBorder="1" applyAlignment="1" applyProtection="1">
      <alignment horizontal="center"/>
      <protection locked="0"/>
    </xf>
    <xf numFmtId="0" fontId="44" fillId="0" borderId="12" xfId="0" applyFont="1" applyBorder="1" applyAlignment="1" applyProtection="1">
      <alignment horizontal="left"/>
      <protection locked="0"/>
    </xf>
    <xf numFmtId="167" fontId="6" fillId="0" borderId="12" xfId="0" applyNumberFormat="1" applyFont="1" applyBorder="1" applyAlignment="1" applyProtection="1">
      <alignment horizontal="center"/>
      <protection locked="0"/>
    </xf>
    <xf numFmtId="0" fontId="5" fillId="0" borderId="12" xfId="0" applyFont="1" applyBorder="1" applyAlignment="1" applyProtection="1">
      <alignment horizontal="center"/>
      <protection locked="0"/>
    </xf>
    <xf numFmtId="168" fontId="13" fillId="2" borderId="63" xfId="0" applyNumberFormat="1" applyFont="1" applyFill="1" applyBorder="1" applyAlignment="1" applyProtection="1">
      <alignment horizontal="center" vertical="center" wrapText="1"/>
      <protection locked="0"/>
    </xf>
    <xf numFmtId="168" fontId="13" fillId="2" borderId="16" xfId="0" applyNumberFormat="1" applyFont="1" applyFill="1" applyBorder="1" applyAlignment="1" applyProtection="1">
      <alignment horizontal="center" vertical="center" wrapText="1"/>
      <protection locked="0"/>
    </xf>
    <xf numFmtId="167" fontId="13" fillId="13" borderId="1" xfId="0" applyNumberFormat="1" applyFont="1" applyFill="1" applyBorder="1" applyAlignment="1" applyProtection="1">
      <alignment horizontal="left" vertical="center"/>
      <protection locked="0"/>
    </xf>
    <xf numFmtId="168" fontId="5" fillId="11" borderId="1" xfId="0" applyNumberFormat="1" applyFont="1" applyFill="1" applyBorder="1" applyAlignment="1" applyProtection="1">
      <alignment horizontal="left" vertical="center"/>
      <protection locked="0"/>
    </xf>
    <xf numFmtId="0" fontId="5" fillId="11" borderId="19" xfId="0" applyFont="1" applyFill="1" applyBorder="1" applyAlignment="1" applyProtection="1">
      <alignment horizontal="left" vertical="center"/>
      <protection locked="0"/>
    </xf>
    <xf numFmtId="168" fontId="13" fillId="11" borderId="51" xfId="0" applyNumberFormat="1" applyFont="1" applyFill="1" applyBorder="1" applyAlignment="1" applyProtection="1">
      <alignment horizontal="center"/>
      <protection locked="0"/>
    </xf>
    <xf numFmtId="168" fontId="13" fillId="11" borderId="55" xfId="0" applyNumberFormat="1" applyFont="1" applyFill="1" applyBorder="1" applyAlignment="1" applyProtection="1">
      <alignment horizontal="center"/>
      <protection locked="0"/>
    </xf>
    <xf numFmtId="168" fontId="13" fillId="11" borderId="52" xfId="0" applyNumberFormat="1" applyFont="1" applyFill="1" applyBorder="1" applyAlignment="1" applyProtection="1">
      <alignment horizontal="center"/>
      <protection locked="0"/>
    </xf>
    <xf numFmtId="0" fontId="13" fillId="0" borderId="12" xfId="0" applyFont="1" applyBorder="1" applyAlignment="1" applyProtection="1">
      <alignment horizontal="center"/>
      <protection locked="0"/>
    </xf>
    <xf numFmtId="168" fontId="13" fillId="13" borderId="53" xfId="0" applyNumberFormat="1" applyFont="1" applyFill="1" applyBorder="1" applyAlignment="1" applyProtection="1">
      <alignment horizontal="center"/>
      <protection locked="0"/>
    </xf>
    <xf numFmtId="168" fontId="13" fillId="13" borderId="51" xfId="0" applyNumberFormat="1" applyFont="1" applyFill="1" applyBorder="1" applyAlignment="1" applyProtection="1">
      <alignment horizontal="center"/>
      <protection locked="0"/>
    </xf>
    <xf numFmtId="168" fontId="13" fillId="13" borderId="52" xfId="0" applyNumberFormat="1" applyFont="1" applyFill="1" applyBorder="1" applyAlignment="1" applyProtection="1">
      <alignment horizontal="center"/>
      <protection locked="0"/>
    </xf>
    <xf numFmtId="168" fontId="13" fillId="0" borderId="12" xfId="0" applyNumberFormat="1" applyFont="1" applyBorder="1" applyAlignment="1" applyProtection="1">
      <alignment horizontal="center"/>
      <protection locked="0"/>
    </xf>
    <xf numFmtId="168" fontId="13" fillId="11" borderId="53" xfId="0" applyNumberFormat="1" applyFont="1" applyFill="1" applyBorder="1" applyAlignment="1" applyProtection="1">
      <alignment horizontal="center"/>
      <protection locked="0"/>
    </xf>
    <xf numFmtId="167" fontId="13" fillId="0" borderId="12" xfId="0" applyNumberFormat="1" applyFont="1" applyBorder="1" applyAlignment="1" applyProtection="1">
      <alignment horizontal="center"/>
      <protection locked="0"/>
    </xf>
    <xf numFmtId="168" fontId="13" fillId="13" borderId="55" xfId="0" applyNumberFormat="1" applyFont="1" applyFill="1" applyBorder="1" applyAlignment="1" applyProtection="1">
      <alignment horizontal="center"/>
      <protection locked="0"/>
    </xf>
    <xf numFmtId="168" fontId="13" fillId="0" borderId="18" xfId="0" applyNumberFormat="1" applyFont="1" applyBorder="1" applyAlignment="1" applyProtection="1">
      <alignment horizontal="center"/>
      <protection locked="0"/>
    </xf>
    <xf numFmtId="168" fontId="13" fillId="10" borderId="53" xfId="0" applyNumberFormat="1" applyFont="1" applyFill="1" applyBorder="1" applyAlignment="1" applyProtection="1">
      <alignment horizontal="center"/>
      <protection locked="0"/>
    </xf>
    <xf numFmtId="168" fontId="13" fillId="10" borderId="51" xfId="0" applyNumberFormat="1" applyFont="1" applyFill="1" applyBorder="1" applyAlignment="1" applyProtection="1">
      <alignment horizontal="center"/>
      <protection locked="0"/>
    </xf>
    <xf numFmtId="168" fontId="13" fillId="10" borderId="55" xfId="0" applyNumberFormat="1" applyFont="1" applyFill="1" applyBorder="1" applyAlignment="1" applyProtection="1">
      <alignment horizontal="center"/>
      <protection locked="0"/>
    </xf>
    <xf numFmtId="168" fontId="13" fillId="10" borderId="52" xfId="0" applyNumberFormat="1" applyFont="1" applyFill="1" applyBorder="1" applyAlignment="1" applyProtection="1">
      <alignment horizontal="center"/>
      <protection locked="0"/>
    </xf>
    <xf numFmtId="14" fontId="13" fillId="11" borderId="51" xfId="0" applyNumberFormat="1" applyFont="1" applyFill="1" applyBorder="1" applyAlignment="1" applyProtection="1">
      <alignment horizontal="center"/>
      <protection locked="0"/>
    </xf>
    <xf numFmtId="14" fontId="13" fillId="11" borderId="55" xfId="0" applyNumberFormat="1" applyFont="1" applyFill="1" applyBorder="1" applyAlignment="1" applyProtection="1">
      <alignment horizontal="center"/>
      <protection locked="0"/>
    </xf>
    <xf numFmtId="14" fontId="13" fillId="11" borderId="52" xfId="0" applyNumberFormat="1" applyFont="1" applyFill="1" applyBorder="1" applyAlignment="1" applyProtection="1">
      <alignment horizontal="center"/>
      <protection locked="0"/>
    </xf>
    <xf numFmtId="14" fontId="13" fillId="0" borderId="12" xfId="0" applyNumberFormat="1" applyFont="1" applyBorder="1" applyAlignment="1" applyProtection="1">
      <alignment horizontal="center"/>
      <protection locked="0"/>
    </xf>
    <xf numFmtId="14" fontId="13" fillId="13" borderId="53" xfId="0" applyNumberFormat="1" applyFont="1" applyFill="1" applyBorder="1" applyAlignment="1" applyProtection="1">
      <alignment horizontal="center"/>
      <protection locked="0"/>
    </xf>
    <xf numFmtId="14" fontId="13" fillId="13" borderId="51" xfId="0" applyNumberFormat="1" applyFont="1" applyFill="1" applyBorder="1" applyAlignment="1" applyProtection="1">
      <alignment horizontal="center"/>
      <protection locked="0"/>
    </xf>
    <xf numFmtId="14" fontId="13" fillId="13" borderId="52" xfId="0" applyNumberFormat="1" applyFont="1" applyFill="1" applyBorder="1" applyAlignment="1" applyProtection="1">
      <alignment horizontal="center"/>
      <protection locked="0"/>
    </xf>
    <xf numFmtId="14" fontId="13" fillId="11" borderId="53" xfId="0" applyNumberFormat="1" applyFont="1" applyFill="1" applyBorder="1" applyAlignment="1" applyProtection="1">
      <alignment horizontal="center"/>
      <protection locked="0"/>
    </xf>
    <xf numFmtId="14" fontId="13" fillId="13" borderId="55" xfId="0" applyNumberFormat="1" applyFont="1" applyFill="1" applyBorder="1" applyAlignment="1" applyProtection="1">
      <alignment horizontal="center"/>
      <protection locked="0"/>
    </xf>
    <xf numFmtId="14" fontId="13" fillId="0" borderId="18" xfId="0" applyNumberFormat="1" applyFont="1" applyBorder="1" applyAlignment="1" applyProtection="1">
      <alignment horizontal="center"/>
      <protection locked="0"/>
    </xf>
    <xf numFmtId="14" fontId="44" fillId="0" borderId="12" xfId="0" applyNumberFormat="1" applyFont="1" applyBorder="1" applyAlignment="1" applyProtection="1">
      <alignment horizontal="left"/>
      <protection locked="0"/>
    </xf>
    <xf numFmtId="14" fontId="13" fillId="10" borderId="53" xfId="0" applyNumberFormat="1" applyFont="1" applyFill="1" applyBorder="1" applyAlignment="1" applyProtection="1">
      <alignment horizontal="center"/>
      <protection locked="0"/>
    </xf>
    <xf numFmtId="14" fontId="13" fillId="10" borderId="55" xfId="0" applyNumberFormat="1" applyFont="1" applyFill="1" applyBorder="1" applyAlignment="1" applyProtection="1">
      <alignment horizontal="center"/>
      <protection locked="0"/>
    </xf>
    <xf numFmtId="14" fontId="13" fillId="10" borderId="52" xfId="0" applyNumberFormat="1" applyFont="1" applyFill="1" applyBorder="1" applyAlignment="1" applyProtection="1">
      <alignment horizontal="center"/>
      <protection locked="0"/>
    </xf>
    <xf numFmtId="14" fontId="5" fillId="11" borderId="65" xfId="0" applyNumberFormat="1" applyFont="1" applyFill="1" applyBorder="1" applyAlignment="1" applyProtection="1">
      <alignment horizontal="center" vertical="center"/>
      <protection locked="0"/>
    </xf>
    <xf numFmtId="14" fontId="5" fillId="11" borderId="58" xfId="0" applyNumberFormat="1" applyFont="1" applyFill="1" applyBorder="1" applyAlignment="1" applyProtection="1">
      <alignment horizontal="center"/>
      <protection locked="0"/>
    </xf>
    <xf numFmtId="14" fontId="5" fillId="11" borderId="68" xfId="0" applyNumberFormat="1" applyFont="1" applyFill="1" applyBorder="1" applyAlignment="1" applyProtection="1">
      <alignment horizontal="center"/>
      <protection locked="0"/>
    </xf>
    <xf numFmtId="14" fontId="5" fillId="11" borderId="62" xfId="0" applyNumberFormat="1" applyFont="1" applyFill="1" applyBorder="1" applyAlignment="1" applyProtection="1">
      <alignment horizontal="center"/>
      <protection locked="0"/>
    </xf>
    <xf numFmtId="14" fontId="5" fillId="13" borderId="65" xfId="0" applyNumberFormat="1" applyFont="1" applyFill="1" applyBorder="1" applyAlignment="1" applyProtection="1">
      <alignment horizontal="center"/>
      <protection locked="0"/>
    </xf>
    <xf numFmtId="14" fontId="5" fillId="13" borderId="58" xfId="0" applyNumberFormat="1" applyFont="1" applyFill="1" applyBorder="1" applyAlignment="1" applyProtection="1">
      <alignment horizontal="center"/>
      <protection locked="0"/>
    </xf>
    <xf numFmtId="14" fontId="5" fillId="11" borderId="60" xfId="0" applyNumberFormat="1" applyFont="1" applyFill="1" applyBorder="1" applyAlignment="1" applyProtection="1">
      <alignment horizontal="center"/>
      <protection locked="0"/>
    </xf>
    <xf numFmtId="14" fontId="44" fillId="0" borderId="66" xfId="0" applyNumberFormat="1" applyFont="1" applyBorder="1" applyAlignment="1" applyProtection="1">
      <alignment horizontal="left"/>
      <protection locked="0"/>
    </xf>
    <xf numFmtId="14" fontId="5" fillId="10" borderId="65" xfId="0" applyNumberFormat="1" applyFont="1" applyFill="1" applyBorder="1" applyAlignment="1" applyProtection="1">
      <alignment horizontal="center"/>
      <protection locked="0"/>
    </xf>
    <xf numFmtId="14" fontId="5" fillId="10" borderId="58" xfId="0" applyNumberFormat="1" applyFont="1" applyFill="1" applyBorder="1" applyAlignment="1" applyProtection="1">
      <alignment horizontal="center"/>
      <protection locked="0"/>
    </xf>
    <xf numFmtId="14" fontId="5" fillId="10" borderId="68" xfId="0" applyNumberFormat="1" applyFont="1" applyFill="1" applyBorder="1" applyAlignment="1" applyProtection="1">
      <alignment horizontal="center"/>
      <protection locked="0"/>
    </xf>
    <xf numFmtId="0" fontId="5" fillId="7" borderId="0" xfId="0" applyFont="1" applyFill="1" applyAlignment="1" applyProtection="1">
      <alignment horizontal="center" vertical="center"/>
      <protection locked="0"/>
    </xf>
    <xf numFmtId="0" fontId="5" fillId="13" borderId="35" xfId="3" applyNumberFormat="1" applyFont="1" applyFill="1" applyBorder="1" applyAlignment="1" applyProtection="1">
      <alignment vertical="center"/>
      <protection locked="0"/>
    </xf>
    <xf numFmtId="0" fontId="5" fillId="13" borderId="35" xfId="2" applyNumberFormat="1" applyFont="1" applyFill="1" applyBorder="1" applyAlignment="1" applyProtection="1">
      <alignment horizontal="center" vertical="center"/>
      <protection locked="0"/>
    </xf>
    <xf numFmtId="0" fontId="5" fillId="13" borderId="27" xfId="2" applyNumberFormat="1" applyFont="1" applyFill="1" applyBorder="1" applyAlignment="1" applyProtection="1">
      <alignment horizontal="center" vertical="center"/>
      <protection locked="0"/>
    </xf>
    <xf numFmtId="0" fontId="13" fillId="7" borderId="0" xfId="0" applyFont="1" applyFill="1" applyProtection="1">
      <protection locked="0"/>
    </xf>
    <xf numFmtId="0" fontId="5" fillId="11" borderId="35" xfId="0" applyFont="1" applyFill="1" applyBorder="1" applyAlignment="1" applyProtection="1">
      <alignment horizontal="center" vertical="center"/>
      <protection locked="0"/>
    </xf>
    <xf numFmtId="0" fontId="5" fillId="11" borderId="2" xfId="0" applyFont="1" applyFill="1" applyBorder="1" applyAlignment="1" applyProtection="1">
      <alignment horizontal="center" vertical="center"/>
      <protection locked="0"/>
    </xf>
    <xf numFmtId="0" fontId="5" fillId="11" borderId="1" xfId="0" applyFont="1" applyFill="1" applyBorder="1" applyAlignment="1" applyProtection="1">
      <alignment horizontal="center" vertical="center"/>
      <protection locked="0"/>
    </xf>
    <xf numFmtId="0" fontId="5" fillId="11" borderId="33" xfId="0" applyFont="1" applyFill="1" applyBorder="1" applyAlignment="1" applyProtection="1">
      <alignment horizontal="center" vertical="center"/>
      <protection locked="0"/>
    </xf>
    <xf numFmtId="0" fontId="5" fillId="0" borderId="3" xfId="0" applyFont="1" applyBorder="1" applyAlignment="1" applyProtection="1">
      <alignment horizontal="center" vertical="center"/>
      <protection locked="0"/>
    </xf>
    <xf numFmtId="0" fontId="5" fillId="13" borderId="35" xfId="0" applyFont="1" applyFill="1" applyBorder="1" applyAlignment="1" applyProtection="1">
      <alignment horizontal="center" vertical="center"/>
      <protection locked="0"/>
    </xf>
    <xf numFmtId="0" fontId="5" fillId="13" borderId="27" xfId="0" applyFont="1" applyFill="1" applyBorder="1" applyAlignment="1" applyProtection="1">
      <alignment horizontal="center" vertical="center"/>
      <protection locked="0"/>
    </xf>
    <xf numFmtId="0" fontId="5" fillId="13" borderId="43" xfId="0" applyFont="1" applyFill="1" applyBorder="1" applyAlignment="1" applyProtection="1">
      <alignment horizontal="center" vertical="center"/>
      <protection locked="0"/>
    </xf>
    <xf numFmtId="0" fontId="5" fillId="11" borderId="27" xfId="0" applyFont="1" applyFill="1" applyBorder="1" applyAlignment="1" applyProtection="1">
      <alignment horizontal="center" vertical="center"/>
      <protection locked="0"/>
    </xf>
    <xf numFmtId="0" fontId="5" fillId="13" borderId="1" xfId="0" applyFont="1" applyFill="1" applyBorder="1" applyAlignment="1" applyProtection="1">
      <alignment horizontal="center" vertical="center"/>
      <protection locked="0"/>
    </xf>
    <xf numFmtId="0" fontId="5" fillId="13" borderId="33" xfId="0" applyFont="1" applyFill="1" applyBorder="1" applyAlignment="1" applyProtection="1">
      <alignment horizontal="center" vertical="center"/>
      <protection locked="0"/>
    </xf>
    <xf numFmtId="0" fontId="5" fillId="13" borderId="29" xfId="0" applyFont="1" applyFill="1" applyBorder="1" applyAlignment="1" applyProtection="1">
      <alignment horizontal="center" vertical="center"/>
      <protection locked="0"/>
    </xf>
    <xf numFmtId="0" fontId="49" fillId="0" borderId="16" xfId="0" applyFont="1" applyBorder="1" applyAlignment="1" applyProtection="1">
      <alignment horizontal="left"/>
      <protection locked="0"/>
    </xf>
    <xf numFmtId="0" fontId="5" fillId="10" borderId="35" xfId="0" applyFont="1" applyFill="1" applyBorder="1" applyAlignment="1" applyProtection="1">
      <alignment horizontal="center" vertical="center"/>
      <protection locked="0"/>
    </xf>
    <xf numFmtId="0" fontId="5" fillId="10" borderId="27" xfId="0" applyFont="1" applyFill="1" applyBorder="1" applyAlignment="1" applyProtection="1">
      <alignment horizontal="center" vertical="center"/>
      <protection locked="0"/>
    </xf>
    <xf numFmtId="0" fontId="5" fillId="10" borderId="33" xfId="0" applyFont="1" applyFill="1" applyBorder="1" applyAlignment="1" applyProtection="1">
      <alignment horizontal="center" vertical="center"/>
      <protection locked="0"/>
    </xf>
    <xf numFmtId="167" fontId="5" fillId="13" borderId="27" xfId="3" applyFont="1" applyFill="1" applyBorder="1" applyAlignment="1" applyProtection="1">
      <alignment horizontal="center" vertical="center"/>
      <protection locked="0"/>
    </xf>
    <xf numFmtId="9" fontId="6" fillId="13" borderId="27" xfId="2" applyFont="1" applyFill="1" applyBorder="1" applyAlignment="1" applyProtection="1">
      <alignment horizontal="center"/>
      <protection locked="0"/>
    </xf>
    <xf numFmtId="9" fontId="6" fillId="11" borderId="1" xfId="2" applyFont="1" applyFill="1" applyBorder="1" applyAlignment="1" applyProtection="1">
      <alignment horizontal="center"/>
      <protection locked="0"/>
    </xf>
    <xf numFmtId="167" fontId="5" fillId="11" borderId="2" xfId="3" applyFont="1" applyFill="1" applyBorder="1" applyAlignment="1" applyProtection="1">
      <alignment horizontal="center" vertical="center"/>
      <protection locked="0"/>
    </xf>
    <xf numFmtId="9" fontId="6" fillId="10" borderId="27" xfId="2" applyFont="1" applyFill="1" applyBorder="1" applyAlignment="1" applyProtection="1">
      <alignment horizontal="center"/>
      <protection locked="0"/>
    </xf>
    <xf numFmtId="14" fontId="13" fillId="11" borderId="58" xfId="0" applyNumberFormat="1" applyFont="1" applyFill="1" applyBorder="1" applyAlignment="1" applyProtection="1">
      <alignment horizontal="center"/>
      <protection locked="0"/>
    </xf>
    <xf numFmtId="14" fontId="13" fillId="11" borderId="68" xfId="0" applyNumberFormat="1" applyFont="1" applyFill="1" applyBorder="1" applyAlignment="1" applyProtection="1">
      <alignment horizontal="center"/>
      <protection locked="0"/>
    </xf>
    <xf numFmtId="14" fontId="13" fillId="11" borderId="62" xfId="0" applyNumberFormat="1" applyFont="1" applyFill="1" applyBorder="1" applyAlignment="1" applyProtection="1">
      <alignment horizontal="center"/>
      <protection locked="0"/>
    </xf>
    <xf numFmtId="14" fontId="13" fillId="0" borderId="66" xfId="0" applyNumberFormat="1" applyFont="1" applyBorder="1" applyAlignment="1" applyProtection="1">
      <alignment horizontal="center"/>
      <protection locked="0"/>
    </xf>
    <xf numFmtId="14" fontId="13" fillId="13" borderId="65" xfId="0" applyNumberFormat="1" applyFont="1" applyFill="1" applyBorder="1" applyAlignment="1" applyProtection="1">
      <alignment horizontal="center"/>
      <protection locked="0"/>
    </xf>
    <xf numFmtId="14" fontId="13" fillId="13" borderId="58" xfId="0" applyNumberFormat="1" applyFont="1" applyFill="1" applyBorder="1" applyAlignment="1" applyProtection="1">
      <alignment horizontal="center"/>
      <protection locked="0"/>
    </xf>
    <xf numFmtId="14" fontId="13" fillId="13" borderId="62" xfId="0" applyNumberFormat="1" applyFont="1" applyFill="1" applyBorder="1" applyAlignment="1" applyProtection="1">
      <alignment horizontal="center"/>
      <protection locked="0"/>
    </xf>
    <xf numFmtId="14" fontId="13" fillId="11" borderId="65" xfId="0" applyNumberFormat="1" applyFont="1" applyFill="1" applyBorder="1" applyAlignment="1" applyProtection="1">
      <alignment horizontal="center"/>
      <protection locked="0"/>
    </xf>
    <xf numFmtId="14" fontId="13" fillId="13" borderId="68" xfId="0" applyNumberFormat="1" applyFont="1" applyFill="1" applyBorder="1" applyAlignment="1" applyProtection="1">
      <alignment horizontal="center"/>
      <protection locked="0"/>
    </xf>
    <xf numFmtId="14" fontId="13" fillId="0" borderId="59" xfId="0" applyNumberFormat="1" applyFont="1" applyBorder="1" applyAlignment="1" applyProtection="1">
      <alignment horizontal="center"/>
      <protection locked="0"/>
    </xf>
    <xf numFmtId="14" fontId="13" fillId="10" borderId="65" xfId="0" applyNumberFormat="1" applyFont="1" applyFill="1" applyBorder="1" applyAlignment="1" applyProtection="1">
      <alignment horizontal="center"/>
      <protection locked="0"/>
    </xf>
    <xf numFmtId="14" fontId="13" fillId="10" borderId="58" xfId="0" applyNumberFormat="1" applyFont="1" applyFill="1" applyBorder="1" applyAlignment="1" applyProtection="1">
      <alignment horizontal="center"/>
      <protection locked="0"/>
    </xf>
    <xf numFmtId="14" fontId="13" fillId="10" borderId="68" xfId="0" applyNumberFormat="1" applyFont="1" applyFill="1" applyBorder="1" applyAlignment="1" applyProtection="1">
      <alignment horizontal="center"/>
      <protection locked="0"/>
    </xf>
    <xf numFmtId="14" fontId="13" fillId="10" borderId="62" xfId="0" applyNumberFormat="1" applyFont="1" applyFill="1" applyBorder="1" applyAlignment="1" applyProtection="1">
      <alignment horizontal="center"/>
      <protection locked="0"/>
    </xf>
    <xf numFmtId="0" fontId="5" fillId="11" borderId="56" xfId="0" applyFont="1" applyFill="1" applyBorder="1" applyAlignment="1" applyProtection="1">
      <alignment horizontal="center"/>
      <protection locked="0"/>
    </xf>
    <xf numFmtId="0" fontId="5" fillId="11" borderId="67" xfId="0" applyFont="1" applyFill="1" applyBorder="1" applyAlignment="1" applyProtection="1">
      <alignment horizontal="center"/>
      <protection locked="0"/>
    </xf>
    <xf numFmtId="0" fontId="5" fillId="11" borderId="61" xfId="0" applyFont="1" applyFill="1" applyBorder="1" applyAlignment="1" applyProtection="1">
      <alignment horizontal="center"/>
      <protection locked="0"/>
    </xf>
    <xf numFmtId="0" fontId="5" fillId="0" borderId="63" xfId="0" applyFont="1" applyBorder="1" applyAlignment="1" applyProtection="1">
      <alignment horizontal="center"/>
      <protection locked="0"/>
    </xf>
    <xf numFmtId="0" fontId="5" fillId="13" borderId="64" xfId="0" applyFont="1" applyFill="1" applyBorder="1" applyAlignment="1" applyProtection="1">
      <alignment horizontal="center"/>
      <protection locked="0"/>
    </xf>
    <xf numFmtId="0" fontId="5" fillId="13" borderId="56" xfId="0" applyFont="1" applyFill="1" applyBorder="1" applyAlignment="1" applyProtection="1">
      <alignment horizontal="center"/>
      <protection locked="0"/>
    </xf>
    <xf numFmtId="0" fontId="5" fillId="13" borderId="61" xfId="0" applyFont="1" applyFill="1" applyBorder="1" applyAlignment="1" applyProtection="1">
      <alignment horizontal="center"/>
      <protection locked="0"/>
    </xf>
    <xf numFmtId="0" fontId="5" fillId="11" borderId="64" xfId="0" applyFont="1" applyFill="1" applyBorder="1" applyAlignment="1" applyProtection="1">
      <alignment horizontal="center"/>
      <protection locked="0"/>
    </xf>
    <xf numFmtId="0" fontId="6" fillId="0" borderId="63" xfId="0" applyFont="1" applyBorder="1" applyAlignment="1" applyProtection="1">
      <alignment horizontal="center"/>
      <protection locked="0"/>
    </xf>
    <xf numFmtId="0" fontId="5" fillId="13" borderId="67" xfId="0" applyFont="1" applyFill="1" applyBorder="1" applyAlignment="1" applyProtection="1">
      <alignment horizontal="center"/>
      <protection locked="0"/>
    </xf>
    <xf numFmtId="0" fontId="5" fillId="0" borderId="57" xfId="0" applyFont="1" applyBorder="1" applyAlignment="1" applyProtection="1">
      <alignment horizontal="center"/>
      <protection locked="0"/>
    </xf>
    <xf numFmtId="0" fontId="44" fillId="0" borderId="63" xfId="0" applyFont="1" applyBorder="1" applyAlignment="1" applyProtection="1">
      <alignment horizontal="left"/>
      <protection locked="0"/>
    </xf>
    <xf numFmtId="0" fontId="5" fillId="10" borderId="64" xfId="0" applyFont="1" applyFill="1" applyBorder="1" applyAlignment="1" applyProtection="1">
      <alignment horizontal="center"/>
      <protection locked="0"/>
    </xf>
    <xf numFmtId="0" fontId="5" fillId="10" borderId="56" xfId="0" applyFont="1" applyFill="1" applyBorder="1" applyAlignment="1" applyProtection="1">
      <alignment horizontal="center"/>
      <protection locked="0"/>
    </xf>
    <xf numFmtId="0" fontId="5" fillId="10" borderId="67" xfId="0" applyFont="1" applyFill="1" applyBorder="1" applyAlignment="1" applyProtection="1">
      <alignment horizontal="center"/>
      <protection locked="0"/>
    </xf>
    <xf numFmtId="0" fontId="5" fillId="10" borderId="61" xfId="0" applyFont="1" applyFill="1" applyBorder="1" applyAlignment="1" applyProtection="1">
      <alignment horizontal="center"/>
      <protection locked="0"/>
    </xf>
    <xf numFmtId="0" fontId="23" fillId="16" borderId="19" xfId="0" applyFont="1" applyFill="1" applyBorder="1" applyProtection="1">
      <protection locked="0"/>
    </xf>
    <xf numFmtId="0" fontId="7" fillId="16" borderId="21" xfId="0" applyFont="1" applyFill="1" applyBorder="1" applyProtection="1">
      <protection locked="0"/>
    </xf>
    <xf numFmtId="0" fontId="7" fillId="16" borderId="22" xfId="0" applyFont="1" applyFill="1" applyBorder="1" applyProtection="1">
      <protection locked="0"/>
    </xf>
    <xf numFmtId="167" fontId="7" fillId="16" borderId="23" xfId="0" applyNumberFormat="1" applyFont="1" applyFill="1" applyBorder="1" applyProtection="1">
      <protection locked="0"/>
    </xf>
    <xf numFmtId="167" fontId="7" fillId="16" borderId="23" xfId="3" applyFont="1" applyFill="1" applyBorder="1" applyProtection="1">
      <protection locked="0"/>
    </xf>
    <xf numFmtId="167" fontId="7" fillId="16" borderId="26" xfId="0" applyNumberFormat="1" applyFont="1" applyFill="1" applyBorder="1" applyProtection="1">
      <protection locked="0"/>
    </xf>
    <xf numFmtId="167" fontId="50" fillId="16" borderId="23" xfId="0" applyNumberFormat="1" applyFont="1" applyFill="1" applyBorder="1" applyProtection="1">
      <protection locked="0"/>
    </xf>
    <xf numFmtId="0" fontId="7" fillId="16" borderId="24" xfId="0" applyFont="1" applyFill="1" applyBorder="1" applyProtection="1">
      <protection locked="0"/>
    </xf>
    <xf numFmtId="0" fontId="23" fillId="17" borderId="19" xfId="0" applyFont="1" applyFill="1" applyBorder="1" applyProtection="1">
      <protection locked="0"/>
    </xf>
    <xf numFmtId="0" fontId="7" fillId="17" borderId="21" xfId="0" applyFont="1" applyFill="1" applyBorder="1" applyProtection="1">
      <protection locked="0"/>
    </xf>
    <xf numFmtId="0" fontId="7" fillId="17" borderId="22" xfId="0" applyFont="1" applyFill="1" applyBorder="1" applyProtection="1">
      <protection locked="0"/>
    </xf>
    <xf numFmtId="167" fontId="7" fillId="17" borderId="23" xfId="0" applyNumberFormat="1" applyFont="1" applyFill="1" applyBorder="1" applyProtection="1">
      <protection locked="0"/>
    </xf>
    <xf numFmtId="167" fontId="7" fillId="17" borderId="26" xfId="0" applyNumberFormat="1" applyFont="1" applyFill="1" applyBorder="1" applyProtection="1">
      <protection locked="0"/>
    </xf>
    <xf numFmtId="0" fontId="7" fillId="17" borderId="69" xfId="0" applyFont="1" applyFill="1" applyBorder="1" applyProtection="1">
      <protection locked="0"/>
    </xf>
    <xf numFmtId="167" fontId="5" fillId="11" borderId="2" xfId="3" applyFont="1" applyFill="1" applyBorder="1" applyAlignment="1" applyProtection="1">
      <alignment horizontal="center"/>
      <protection locked="0"/>
    </xf>
    <xf numFmtId="168" fontId="11" fillId="0" borderId="63" xfId="0" applyNumberFormat="1" applyFont="1" applyBorder="1" applyAlignment="1" applyProtection="1">
      <alignment horizontal="center" vertical="center" wrapText="1"/>
      <protection locked="0"/>
    </xf>
    <xf numFmtId="168" fontId="11" fillId="0" borderId="12" xfId="0" applyNumberFormat="1" applyFont="1" applyBorder="1" applyAlignment="1" applyProtection="1">
      <alignment horizontal="center" vertical="center" wrapText="1"/>
      <protection locked="0"/>
    </xf>
    <xf numFmtId="168" fontId="13" fillId="2" borderId="11" xfId="0" applyNumberFormat="1" applyFont="1" applyFill="1" applyBorder="1" applyAlignment="1" applyProtection="1">
      <alignment horizontal="center" vertical="center" wrapText="1"/>
      <protection locked="0"/>
    </xf>
    <xf numFmtId="0" fontId="5" fillId="11" borderId="69" xfId="0" applyFont="1" applyFill="1" applyBorder="1" applyAlignment="1" applyProtection="1">
      <alignment horizontal="center" vertical="center"/>
      <protection locked="0"/>
    </xf>
    <xf numFmtId="0" fontId="5" fillId="11" borderId="70" xfId="0" applyFont="1" applyFill="1" applyBorder="1" applyAlignment="1" applyProtection="1">
      <alignment horizontal="center"/>
      <protection locked="0"/>
    </xf>
    <xf numFmtId="0" fontId="5" fillId="11" borderId="71" xfId="0" applyFont="1" applyFill="1" applyBorder="1" applyAlignment="1" applyProtection="1">
      <alignment horizontal="center"/>
      <protection locked="0"/>
    </xf>
    <xf numFmtId="0" fontId="5" fillId="11" borderId="72" xfId="0" applyFont="1" applyFill="1" applyBorder="1" applyAlignment="1" applyProtection="1">
      <alignment horizontal="center"/>
      <protection locked="0"/>
    </xf>
    <xf numFmtId="0" fontId="5" fillId="0" borderId="11" xfId="0" applyFont="1" applyBorder="1" applyAlignment="1" applyProtection="1">
      <alignment horizontal="center"/>
      <protection locked="0"/>
    </xf>
    <xf numFmtId="0" fontId="5" fillId="13" borderId="69" xfId="0" applyFont="1" applyFill="1" applyBorder="1" applyAlignment="1" applyProtection="1">
      <alignment horizontal="center"/>
      <protection locked="0"/>
    </xf>
    <xf numFmtId="0" fontId="5" fillId="13" borderId="70" xfId="0" applyFont="1" applyFill="1" applyBorder="1" applyAlignment="1" applyProtection="1">
      <alignment horizontal="center"/>
      <protection locked="0"/>
    </xf>
    <xf numFmtId="0" fontId="5" fillId="13" borderId="72" xfId="0" applyFont="1" applyFill="1" applyBorder="1" applyAlignment="1" applyProtection="1">
      <alignment horizontal="center"/>
      <protection locked="0"/>
    </xf>
    <xf numFmtId="0" fontId="5" fillId="11" borderId="69" xfId="0" applyFont="1" applyFill="1" applyBorder="1" applyAlignment="1" applyProtection="1">
      <alignment horizontal="center"/>
      <protection locked="0"/>
    </xf>
    <xf numFmtId="0" fontId="6" fillId="0" borderId="11" xfId="0" applyFont="1" applyBorder="1" applyAlignment="1" applyProtection="1">
      <alignment horizontal="center"/>
      <protection locked="0"/>
    </xf>
    <xf numFmtId="0" fontId="5" fillId="13" borderId="71" xfId="0" applyFont="1" applyFill="1" applyBorder="1" applyAlignment="1" applyProtection="1">
      <alignment horizontal="center"/>
      <protection locked="0"/>
    </xf>
    <xf numFmtId="0" fontId="5" fillId="0" borderId="44" xfId="0" applyFont="1" applyBorder="1" applyAlignment="1" applyProtection="1">
      <alignment horizontal="center"/>
      <protection locked="0"/>
    </xf>
    <xf numFmtId="0" fontId="5" fillId="11" borderId="4" xfId="0" applyFont="1" applyFill="1" applyBorder="1" applyAlignment="1" applyProtection="1">
      <alignment horizontal="center"/>
      <protection locked="0"/>
    </xf>
    <xf numFmtId="0" fontId="5" fillId="10" borderId="69" xfId="0" applyFont="1" applyFill="1" applyBorder="1" applyAlignment="1" applyProtection="1">
      <alignment horizontal="center"/>
      <protection locked="0"/>
    </xf>
    <xf numFmtId="0" fontId="5" fillId="10" borderId="70" xfId="0" applyFont="1" applyFill="1" applyBorder="1" applyAlignment="1" applyProtection="1">
      <alignment horizontal="center"/>
      <protection locked="0"/>
    </xf>
    <xf numFmtId="0" fontId="5" fillId="10" borderId="71" xfId="0" applyFont="1" applyFill="1" applyBorder="1" applyAlignment="1" applyProtection="1">
      <alignment horizontal="center"/>
      <protection locked="0"/>
    </xf>
    <xf numFmtId="0" fontId="5" fillId="10" borderId="72" xfId="0" applyFont="1" applyFill="1" applyBorder="1" applyAlignment="1" applyProtection="1">
      <alignment horizontal="center"/>
      <protection locked="0"/>
    </xf>
    <xf numFmtId="168" fontId="5" fillId="13" borderId="2" xfId="3" applyNumberFormat="1" applyFont="1" applyFill="1" applyBorder="1" applyAlignment="1" applyProtection="1">
      <alignment horizontal="center"/>
      <protection locked="0"/>
    </xf>
    <xf numFmtId="0" fontId="5" fillId="7" borderId="0" xfId="0" applyFont="1" applyFill="1" applyProtection="1">
      <protection locked="0"/>
    </xf>
    <xf numFmtId="0" fontId="5" fillId="11" borderId="56" xfId="0" applyFont="1" applyFill="1" applyBorder="1" applyAlignment="1" applyProtection="1">
      <alignment horizontal="left"/>
      <protection locked="0"/>
    </xf>
    <xf numFmtId="0" fontId="5" fillId="11" borderId="67" xfId="0" applyFont="1" applyFill="1" applyBorder="1" applyAlignment="1" applyProtection="1">
      <alignment horizontal="center" wrapText="1"/>
      <protection locked="0"/>
    </xf>
    <xf numFmtId="167" fontId="6" fillId="7" borderId="0" xfId="0" applyNumberFormat="1" applyFont="1" applyFill="1" applyProtection="1">
      <protection locked="0"/>
    </xf>
    <xf numFmtId="9" fontId="6" fillId="11" borderId="35" xfId="3" applyNumberFormat="1" applyFont="1" applyFill="1" applyBorder="1" applyAlignment="1" applyProtection="1">
      <alignment horizontal="center"/>
      <protection locked="0"/>
    </xf>
    <xf numFmtId="1" fontId="5" fillId="11" borderId="2" xfId="0" applyNumberFormat="1" applyFont="1" applyFill="1" applyBorder="1" applyAlignment="1" applyProtection="1">
      <alignment horizontal="center" vertical="center"/>
      <protection locked="0"/>
    </xf>
    <xf numFmtId="9" fontId="6" fillId="11" borderId="1" xfId="0" applyNumberFormat="1" applyFont="1" applyFill="1" applyBorder="1" applyAlignment="1" applyProtection="1">
      <alignment horizontal="center" vertical="center"/>
      <protection locked="0"/>
    </xf>
    <xf numFmtId="15" fontId="21" fillId="0" borderId="2" xfId="0" applyNumberFormat="1" applyFont="1" applyBorder="1" applyAlignment="1">
      <alignment horizontal="center" wrapText="1"/>
    </xf>
    <xf numFmtId="167" fontId="6" fillId="7" borderId="0" xfId="3" applyFont="1" applyFill="1" applyProtection="1">
      <protection locked="0"/>
    </xf>
    <xf numFmtId="9" fontId="7" fillId="11" borderId="35" xfId="0" applyNumberFormat="1" applyFont="1" applyFill="1" applyBorder="1" applyProtection="1">
      <protection locked="0"/>
    </xf>
    <xf numFmtId="9" fontId="7" fillId="11" borderId="1" xfId="0" applyNumberFormat="1" applyFont="1" applyFill="1" applyBorder="1" applyProtection="1">
      <protection locked="0"/>
    </xf>
    <xf numFmtId="167" fontId="5" fillId="11" borderId="1" xfId="0" applyNumberFormat="1" applyFont="1" applyFill="1" applyBorder="1" applyAlignment="1" applyProtection="1">
      <alignment horizontal="center" vertical="center"/>
      <protection locked="0"/>
    </xf>
    <xf numFmtId="172" fontId="6" fillId="11" borderId="2" xfId="2" applyNumberFormat="1" applyFont="1" applyFill="1" applyBorder="1" applyAlignment="1" applyProtection="1">
      <alignment horizontal="center"/>
      <protection locked="0"/>
    </xf>
    <xf numFmtId="172" fontId="6" fillId="11" borderId="1" xfId="2" applyNumberFormat="1" applyFont="1" applyFill="1" applyBorder="1" applyAlignment="1" applyProtection="1">
      <alignment horizontal="center"/>
      <protection locked="0"/>
    </xf>
    <xf numFmtId="172" fontId="6" fillId="11" borderId="1" xfId="3" applyNumberFormat="1" applyFont="1" applyFill="1" applyBorder="1" applyAlignment="1" applyProtection="1">
      <alignment horizontal="center"/>
      <protection locked="0"/>
    </xf>
    <xf numFmtId="0" fontId="23" fillId="11" borderId="64" xfId="0" applyFont="1" applyFill="1" applyBorder="1" applyAlignment="1" applyProtection="1">
      <alignment horizontal="center"/>
      <protection locked="0"/>
    </xf>
    <xf numFmtId="14" fontId="5" fillId="10" borderId="53" xfId="0" applyNumberFormat="1" applyFont="1" applyFill="1" applyBorder="1" applyAlignment="1" applyProtection="1">
      <alignment horizontal="center"/>
      <protection locked="0"/>
    </xf>
    <xf numFmtId="0" fontId="21" fillId="11" borderId="41" xfId="0" applyFont="1" applyFill="1" applyBorder="1" applyAlignment="1" applyProtection="1">
      <alignment horizontal="center"/>
      <protection locked="0"/>
    </xf>
    <xf numFmtId="0" fontId="6" fillId="11" borderId="3" xfId="0" applyFont="1" applyFill="1" applyBorder="1" applyAlignment="1" applyProtection="1">
      <alignment horizontal="left" vertical="center"/>
      <protection locked="0"/>
    </xf>
    <xf numFmtId="9" fontId="6" fillId="11" borderId="3" xfId="0" applyNumberFormat="1" applyFont="1" applyFill="1" applyBorder="1" applyProtection="1">
      <protection locked="0"/>
    </xf>
    <xf numFmtId="0" fontId="6" fillId="11" borderId="3" xfId="0" applyFont="1" applyFill="1" applyBorder="1" applyAlignment="1" applyProtection="1">
      <alignment horizontal="center" vertical="center"/>
      <protection locked="0"/>
    </xf>
    <xf numFmtId="167" fontId="6" fillId="11" borderId="3" xfId="3" applyFont="1" applyFill="1" applyBorder="1" applyAlignment="1" applyProtection="1">
      <alignment horizontal="center"/>
      <protection locked="0"/>
    </xf>
    <xf numFmtId="168" fontId="5" fillId="11" borderId="3" xfId="0" applyNumberFormat="1" applyFont="1" applyFill="1" applyBorder="1" applyAlignment="1" applyProtection="1">
      <alignment horizontal="center"/>
      <protection locked="0"/>
    </xf>
    <xf numFmtId="9" fontId="5" fillId="11" borderId="29" xfId="0" applyNumberFormat="1" applyFont="1" applyFill="1" applyBorder="1" applyAlignment="1" applyProtection="1">
      <alignment horizontal="center" vertical="center"/>
      <protection locked="0"/>
    </xf>
    <xf numFmtId="0" fontId="6" fillId="11" borderId="29" xfId="0" applyFont="1" applyFill="1" applyBorder="1" applyAlignment="1" applyProtection="1">
      <alignment horizontal="left" vertical="center"/>
      <protection locked="0"/>
    </xf>
    <xf numFmtId="9" fontId="5" fillId="11" borderId="2" xfId="0" applyNumberFormat="1" applyFont="1" applyFill="1" applyBorder="1" applyAlignment="1" applyProtection="1">
      <alignment horizontal="center" vertical="center"/>
      <protection locked="0"/>
    </xf>
    <xf numFmtId="9" fontId="5" fillId="13" borderId="27" xfId="2" applyFont="1" applyFill="1" applyBorder="1" applyAlignment="1" applyProtection="1">
      <alignment horizontal="center" vertical="center"/>
      <protection locked="0"/>
    </xf>
    <xf numFmtId="9" fontId="5" fillId="13" borderId="27" xfId="0" applyNumberFormat="1" applyFont="1" applyFill="1" applyBorder="1" applyAlignment="1" applyProtection="1">
      <alignment horizontal="center" vertical="center"/>
      <protection locked="0"/>
    </xf>
    <xf numFmtId="167" fontId="6" fillId="11" borderId="1" xfId="3" applyFont="1" applyFill="1" applyBorder="1" applyProtection="1">
      <protection locked="0"/>
    </xf>
    <xf numFmtId="167" fontId="6" fillId="11" borderId="1" xfId="3" applyFont="1" applyFill="1" applyBorder="1" applyAlignment="1" applyProtection="1">
      <alignment horizontal="center" vertical="center"/>
      <protection locked="0"/>
    </xf>
    <xf numFmtId="43" fontId="0" fillId="0" borderId="0" xfId="0" applyNumberFormat="1"/>
    <xf numFmtId="0" fontId="6" fillId="7" borderId="19" xfId="0" applyFont="1" applyFill="1" applyBorder="1" applyProtection="1">
      <protection locked="0"/>
    </xf>
    <xf numFmtId="166" fontId="6" fillId="7" borderId="20" xfId="0" applyNumberFormat="1" applyFont="1" applyFill="1" applyBorder="1" applyProtection="1">
      <protection locked="0"/>
    </xf>
    <xf numFmtId="0" fontId="6" fillId="7" borderId="20" xfId="0" applyFont="1" applyFill="1" applyBorder="1" applyProtection="1">
      <protection locked="0"/>
    </xf>
    <xf numFmtId="166" fontId="6" fillId="7" borderId="21" xfId="0" applyNumberFormat="1" applyFont="1" applyFill="1" applyBorder="1" applyProtection="1">
      <protection locked="0"/>
    </xf>
    <xf numFmtId="0" fontId="6" fillId="7" borderId="22" xfId="0" applyFont="1" applyFill="1" applyBorder="1" applyProtection="1">
      <protection locked="0"/>
    </xf>
    <xf numFmtId="0" fontId="6" fillId="7" borderId="23" xfId="0" applyFont="1" applyFill="1" applyBorder="1" applyProtection="1">
      <protection locked="0"/>
    </xf>
    <xf numFmtId="0" fontId="6" fillId="7" borderId="24" xfId="0" applyFont="1" applyFill="1" applyBorder="1" applyProtection="1">
      <protection locked="0"/>
    </xf>
    <xf numFmtId="166" fontId="6" fillId="7" borderId="25" xfId="0" applyNumberFormat="1" applyFont="1" applyFill="1" applyBorder="1" applyProtection="1">
      <protection locked="0"/>
    </xf>
    <xf numFmtId="0" fontId="6" fillId="7" borderId="25" xfId="0" applyFont="1" applyFill="1" applyBorder="1" applyProtection="1">
      <protection locked="0"/>
    </xf>
    <xf numFmtId="0" fontId="6" fillId="7" borderId="26" xfId="0" applyFont="1" applyFill="1" applyBorder="1" applyProtection="1">
      <protection locked="0"/>
    </xf>
    <xf numFmtId="0" fontId="6" fillId="7" borderId="21" xfId="0" applyFont="1" applyFill="1" applyBorder="1" applyProtection="1">
      <protection locked="0"/>
    </xf>
    <xf numFmtId="166" fontId="6" fillId="7" borderId="0" xfId="0" applyNumberFormat="1" applyFont="1" applyFill="1" applyProtection="1">
      <protection locked="0"/>
    </xf>
    <xf numFmtId="166" fontId="6" fillId="7" borderId="23" xfId="0" applyNumberFormat="1" applyFont="1" applyFill="1" applyBorder="1" applyProtection="1">
      <protection locked="0"/>
    </xf>
    <xf numFmtId="166" fontId="5" fillId="10" borderId="27" xfId="3" applyNumberFormat="1" applyFont="1" applyFill="1" applyBorder="1" applyAlignment="1" applyProtection="1">
      <alignment horizontal="center" vertical="center"/>
      <protection locked="0"/>
    </xf>
    <xf numFmtId="14" fontId="5" fillId="11" borderId="55" xfId="0" applyNumberFormat="1" applyFont="1" applyFill="1" applyBorder="1" applyAlignment="1" applyProtection="1">
      <alignment horizontal="center"/>
      <protection locked="0"/>
    </xf>
    <xf numFmtId="167" fontId="5" fillId="11" borderId="1" xfId="3" applyFont="1" applyFill="1" applyBorder="1" applyAlignment="1" applyProtection="1">
      <alignment horizontal="center" vertical="center"/>
      <protection locked="0"/>
    </xf>
    <xf numFmtId="14" fontId="5" fillId="13" borderId="51" xfId="0" applyNumberFormat="1" applyFont="1" applyFill="1" applyBorder="1" applyAlignment="1" applyProtection="1">
      <alignment horizontal="center"/>
      <protection locked="0"/>
    </xf>
    <xf numFmtId="14" fontId="5" fillId="11" borderId="53" xfId="0" applyNumberFormat="1" applyFont="1" applyFill="1" applyBorder="1" applyAlignment="1" applyProtection="1">
      <alignment horizontal="center"/>
      <protection locked="0"/>
    </xf>
    <xf numFmtId="14" fontId="5" fillId="11" borderId="51" xfId="0" applyNumberFormat="1" applyFont="1" applyFill="1" applyBorder="1" applyAlignment="1" applyProtection="1">
      <alignment horizontal="center"/>
      <protection locked="0"/>
    </xf>
    <xf numFmtId="14" fontId="5" fillId="13" borderId="55" xfId="0" applyNumberFormat="1" applyFont="1" applyFill="1" applyBorder="1" applyAlignment="1" applyProtection="1">
      <alignment horizontal="center"/>
      <protection locked="0"/>
    </xf>
    <xf numFmtId="14" fontId="5" fillId="10" borderId="55" xfId="0" applyNumberFormat="1" applyFont="1" applyFill="1" applyBorder="1" applyAlignment="1" applyProtection="1">
      <alignment horizontal="center"/>
      <protection locked="0"/>
    </xf>
    <xf numFmtId="14" fontId="6" fillId="11" borderId="51" xfId="0" applyNumberFormat="1" applyFont="1" applyFill="1" applyBorder="1" applyAlignment="1" applyProtection="1">
      <alignment horizontal="center"/>
      <protection locked="0"/>
    </xf>
    <xf numFmtId="168" fontId="5" fillId="11" borderId="53" xfId="0" applyNumberFormat="1" applyFont="1" applyFill="1" applyBorder="1" applyAlignment="1" applyProtection="1">
      <alignment horizontal="center"/>
      <protection locked="0"/>
    </xf>
    <xf numFmtId="168" fontId="5" fillId="11" borderId="51" xfId="0" applyNumberFormat="1" applyFont="1" applyFill="1" applyBorder="1" applyAlignment="1" applyProtection="1">
      <alignment horizontal="center"/>
      <protection locked="0"/>
    </xf>
    <xf numFmtId="168" fontId="5" fillId="11" borderId="55" xfId="0" applyNumberFormat="1" applyFont="1" applyFill="1" applyBorder="1" applyAlignment="1" applyProtection="1">
      <alignment horizontal="center"/>
      <protection locked="0"/>
    </xf>
    <xf numFmtId="168" fontId="5" fillId="13" borderId="51" xfId="0" applyNumberFormat="1" applyFont="1" applyFill="1" applyBorder="1" applyAlignment="1" applyProtection="1">
      <alignment horizontal="center"/>
      <protection locked="0"/>
    </xf>
    <xf numFmtId="168" fontId="5" fillId="13" borderId="55" xfId="0" applyNumberFormat="1" applyFont="1" applyFill="1" applyBorder="1" applyAlignment="1" applyProtection="1">
      <alignment horizontal="center"/>
      <protection locked="0"/>
    </xf>
    <xf numFmtId="168" fontId="5" fillId="10" borderId="55" xfId="0" applyNumberFormat="1" applyFont="1" applyFill="1" applyBorder="1" applyAlignment="1" applyProtection="1">
      <alignment horizontal="center"/>
      <protection locked="0"/>
    </xf>
    <xf numFmtId="14" fontId="6" fillId="13" borderId="51" xfId="0" applyNumberFormat="1" applyFont="1" applyFill="1" applyBorder="1" applyAlignment="1" applyProtection="1">
      <alignment horizontal="center"/>
      <protection locked="0"/>
    </xf>
    <xf numFmtId="9" fontId="6" fillId="13" borderId="1" xfId="3" applyNumberFormat="1" applyFont="1" applyFill="1" applyBorder="1" applyAlignment="1" applyProtection="1">
      <alignment horizontal="center"/>
      <protection locked="0"/>
    </xf>
    <xf numFmtId="167" fontId="6" fillId="13" borderId="1" xfId="3" applyFont="1" applyFill="1" applyBorder="1" applyAlignment="1" applyProtection="1">
      <alignment horizontal="center" vertical="center"/>
      <protection locked="0"/>
    </xf>
    <xf numFmtId="0" fontId="5" fillId="11" borderId="27" xfId="0" applyFont="1" applyFill="1" applyBorder="1" applyAlignment="1" applyProtection="1">
      <alignment horizontal="left" vertical="center"/>
      <protection locked="0"/>
    </xf>
    <xf numFmtId="15" fontId="24" fillId="7" borderId="2" xfId="0" applyNumberFormat="1" applyFont="1" applyFill="1" applyBorder="1" applyAlignment="1">
      <alignment horizontal="center" wrapText="1"/>
    </xf>
    <xf numFmtId="0" fontId="24" fillId="7" borderId="2" xfId="0" applyFont="1" applyFill="1" applyBorder="1" applyAlignment="1">
      <alignment horizontal="center" wrapText="1"/>
    </xf>
    <xf numFmtId="0" fontId="6" fillId="7" borderId="2" xfId="0" applyFont="1" applyFill="1" applyBorder="1" applyProtection="1">
      <protection locked="0"/>
    </xf>
    <xf numFmtId="0" fontId="6" fillId="7" borderId="2" xfId="0" applyFont="1" applyFill="1" applyBorder="1" applyAlignment="1" applyProtection="1">
      <alignment horizontal="center" vertical="center"/>
      <protection locked="0"/>
    </xf>
    <xf numFmtId="15" fontId="6" fillId="7" borderId="2" xfId="0" applyNumberFormat="1" applyFont="1" applyFill="1" applyBorder="1" applyAlignment="1">
      <alignment horizontal="center" vertical="center" wrapText="1"/>
    </xf>
    <xf numFmtId="2" fontId="31" fillId="7" borderId="2" xfId="0" applyNumberFormat="1" applyFont="1" applyFill="1" applyBorder="1" applyAlignment="1">
      <alignment horizontal="center"/>
    </xf>
    <xf numFmtId="9" fontId="7" fillId="7" borderId="0" xfId="2" applyFont="1" applyFill="1" applyProtection="1">
      <protection locked="0"/>
    </xf>
    <xf numFmtId="0" fontId="5" fillId="6" borderId="2" xfId="0" applyFont="1" applyFill="1" applyBorder="1"/>
    <xf numFmtId="168" fontId="5" fillId="13" borderId="61" xfId="0" applyNumberFormat="1" applyFont="1" applyFill="1" applyBorder="1" applyAlignment="1" applyProtection="1">
      <alignment horizontal="center"/>
      <protection locked="0"/>
    </xf>
    <xf numFmtId="0" fontId="7" fillId="7" borderId="2" xfId="0" applyFont="1" applyFill="1" applyBorder="1" applyAlignment="1" applyProtection="1">
      <alignment horizontal="center" vertical="center"/>
      <protection locked="0"/>
    </xf>
    <xf numFmtId="9" fontId="6" fillId="7" borderId="2" xfId="0" applyNumberFormat="1" applyFont="1" applyFill="1" applyBorder="1" applyAlignment="1">
      <alignment horizontal="center" vertical="center" wrapText="1"/>
    </xf>
    <xf numFmtId="0" fontId="52" fillId="7" borderId="0" xfId="0" applyFont="1" applyFill="1" applyAlignment="1" applyProtection="1">
      <alignment vertical="center"/>
      <protection locked="0"/>
    </xf>
    <xf numFmtId="14" fontId="6" fillId="11" borderId="65" xfId="0" applyNumberFormat="1" applyFont="1" applyFill="1" applyBorder="1" applyAlignment="1" applyProtection="1">
      <alignment horizontal="center"/>
      <protection locked="0"/>
    </xf>
    <xf numFmtId="14" fontId="6" fillId="11" borderId="58" xfId="0" applyNumberFormat="1" applyFont="1" applyFill="1" applyBorder="1" applyAlignment="1" applyProtection="1">
      <alignment horizontal="center"/>
      <protection locked="0"/>
    </xf>
    <xf numFmtId="0" fontId="6" fillId="13" borderId="1" xfId="3" applyNumberFormat="1" applyFont="1" applyFill="1" applyBorder="1" applyAlignment="1" applyProtection="1">
      <alignment horizontal="center"/>
      <protection locked="0"/>
    </xf>
    <xf numFmtId="14" fontId="5" fillId="11" borderId="53" xfId="0" applyNumberFormat="1" applyFont="1" applyFill="1" applyBorder="1" applyAlignment="1" applyProtection="1">
      <alignment horizontal="center" vertical="center"/>
      <protection locked="0"/>
    </xf>
    <xf numFmtId="14" fontId="5" fillId="13" borderId="53" xfId="0" applyNumberFormat="1" applyFont="1" applyFill="1" applyBorder="1" applyAlignment="1" applyProtection="1">
      <alignment horizontal="center"/>
      <protection locked="0"/>
    </xf>
    <xf numFmtId="168" fontId="5" fillId="11" borderId="53" xfId="0" applyNumberFormat="1" applyFont="1" applyFill="1" applyBorder="1" applyAlignment="1" applyProtection="1">
      <alignment horizontal="center" vertical="center"/>
      <protection locked="0"/>
    </xf>
    <xf numFmtId="168" fontId="5" fillId="13" borderId="53" xfId="0" applyNumberFormat="1" applyFont="1" applyFill="1" applyBorder="1" applyAlignment="1" applyProtection="1">
      <alignment horizontal="center"/>
      <protection locked="0"/>
    </xf>
    <xf numFmtId="14" fontId="5" fillId="11" borderId="52" xfId="0" applyNumberFormat="1" applyFont="1" applyFill="1" applyBorder="1" applyAlignment="1" applyProtection="1">
      <alignment horizontal="center"/>
      <protection locked="0"/>
    </xf>
    <xf numFmtId="0" fontId="30" fillId="0" borderId="10" xfId="0" applyFont="1" applyBorder="1" applyAlignment="1" applyProtection="1">
      <alignment horizontal="left"/>
      <protection locked="0"/>
    </xf>
    <xf numFmtId="0" fontId="30" fillId="0" borderId="15" xfId="0" applyFont="1" applyBorder="1" applyAlignment="1" applyProtection="1">
      <alignment horizontal="left"/>
      <protection locked="0"/>
    </xf>
    <xf numFmtId="166" fontId="25" fillId="7" borderId="0" xfId="0" applyNumberFormat="1" applyFont="1" applyFill="1" applyProtection="1">
      <protection locked="0"/>
    </xf>
    <xf numFmtId="14" fontId="5" fillId="10" borderId="51" xfId="0" applyNumberFormat="1" applyFont="1" applyFill="1" applyBorder="1" applyAlignment="1" applyProtection="1">
      <alignment horizontal="center"/>
      <protection locked="0"/>
    </xf>
    <xf numFmtId="14" fontId="5" fillId="13" borderId="52" xfId="0" applyNumberFormat="1" applyFont="1" applyFill="1" applyBorder="1" applyAlignment="1" applyProtection="1">
      <alignment horizontal="center"/>
      <protection locked="0"/>
    </xf>
    <xf numFmtId="14" fontId="5" fillId="11" borderId="13" xfId="0" applyNumberFormat="1" applyFont="1" applyFill="1" applyBorder="1" applyAlignment="1" applyProtection="1">
      <alignment horizontal="center"/>
      <protection locked="0"/>
    </xf>
    <xf numFmtId="168" fontId="5" fillId="11" borderId="52" xfId="0" applyNumberFormat="1" applyFont="1" applyFill="1" applyBorder="1" applyAlignment="1" applyProtection="1">
      <alignment horizontal="center"/>
      <protection locked="0"/>
    </xf>
    <xf numFmtId="168" fontId="6" fillId="13" borderId="51" xfId="0" applyNumberFormat="1" applyFont="1" applyFill="1" applyBorder="1" applyAlignment="1" applyProtection="1">
      <alignment horizontal="center"/>
      <protection locked="0"/>
    </xf>
    <xf numFmtId="168" fontId="6" fillId="13" borderId="55" xfId="0" applyNumberFormat="1" applyFont="1" applyFill="1" applyBorder="1" applyAlignment="1" applyProtection="1">
      <alignment horizontal="center"/>
      <protection locked="0"/>
    </xf>
    <xf numFmtId="168" fontId="6" fillId="11" borderId="13" xfId="0" applyNumberFormat="1" applyFont="1" applyFill="1" applyBorder="1" applyAlignment="1" applyProtection="1">
      <alignment horizontal="center"/>
      <protection locked="0"/>
    </xf>
    <xf numFmtId="168" fontId="6" fillId="11" borderId="55" xfId="0" applyNumberFormat="1" applyFont="1" applyFill="1" applyBorder="1" applyAlignment="1" applyProtection="1">
      <alignment horizontal="center"/>
      <protection locked="0"/>
    </xf>
    <xf numFmtId="168" fontId="6" fillId="13" borderId="52" xfId="0" applyNumberFormat="1" applyFont="1" applyFill="1" applyBorder="1" applyAlignment="1" applyProtection="1">
      <alignment horizontal="center"/>
      <protection locked="0"/>
    </xf>
    <xf numFmtId="168" fontId="6" fillId="11" borderId="2" xfId="0" applyNumberFormat="1" applyFont="1" applyFill="1" applyBorder="1" applyAlignment="1" applyProtection="1">
      <alignment horizontal="center"/>
      <protection locked="0"/>
    </xf>
    <xf numFmtId="168" fontId="6" fillId="10" borderId="55" xfId="0" applyNumberFormat="1" applyFont="1" applyFill="1" applyBorder="1" applyAlignment="1" applyProtection="1">
      <alignment horizontal="center"/>
      <protection locked="0"/>
    </xf>
    <xf numFmtId="0" fontId="25" fillId="7" borderId="79" xfId="0" applyFont="1" applyFill="1" applyBorder="1" applyProtection="1">
      <protection locked="0"/>
    </xf>
    <xf numFmtId="0" fontId="25" fillId="7" borderId="80" xfId="0" applyFont="1" applyFill="1" applyBorder="1" applyProtection="1">
      <protection locked="0"/>
    </xf>
    <xf numFmtId="0" fontId="26" fillId="7" borderId="80" xfId="0" applyFont="1" applyFill="1" applyBorder="1" applyAlignment="1" applyProtection="1">
      <alignment horizontal="right"/>
      <protection locked="0"/>
    </xf>
    <xf numFmtId="0" fontId="26" fillId="7" borderId="80" xfId="0" applyFont="1" applyFill="1" applyBorder="1" applyAlignment="1" applyProtection="1">
      <alignment horizontal="right" vertical="center"/>
      <protection locked="0"/>
    </xf>
    <xf numFmtId="0" fontId="26" fillId="7" borderId="81" xfId="0" applyFont="1" applyFill="1" applyBorder="1" applyAlignment="1" applyProtection="1">
      <alignment horizontal="right" vertical="center"/>
      <protection locked="0"/>
    </xf>
    <xf numFmtId="0" fontId="25" fillId="7" borderId="82" xfId="0" applyFont="1" applyFill="1" applyBorder="1" applyProtection="1">
      <protection locked="0"/>
    </xf>
    <xf numFmtId="43" fontId="25" fillId="7" borderId="0" xfId="1" applyFont="1" applyFill="1" applyBorder="1" applyProtection="1">
      <protection locked="0"/>
    </xf>
    <xf numFmtId="43" fontId="25" fillId="7" borderId="0" xfId="0" applyNumberFormat="1" applyFont="1" applyFill="1" applyProtection="1">
      <protection locked="0"/>
    </xf>
    <xf numFmtId="43" fontId="25" fillId="7" borderId="83" xfId="0" applyNumberFormat="1" applyFont="1" applyFill="1" applyBorder="1" applyProtection="1">
      <protection locked="0"/>
    </xf>
    <xf numFmtId="0" fontId="26" fillId="7" borderId="82" xfId="0" applyFont="1" applyFill="1" applyBorder="1" applyProtection="1">
      <protection locked="0"/>
    </xf>
    <xf numFmtId="0" fontId="26" fillId="7" borderId="0" xfId="0" applyFont="1" applyFill="1" applyProtection="1">
      <protection locked="0"/>
    </xf>
    <xf numFmtId="43" fontId="26" fillId="7" borderId="84" xfId="0" applyNumberFormat="1" applyFont="1" applyFill="1" applyBorder="1" applyProtection="1">
      <protection locked="0"/>
    </xf>
    <xf numFmtId="43" fontId="26" fillId="7" borderId="85" xfId="0" applyNumberFormat="1" applyFont="1" applyFill="1" applyBorder="1" applyProtection="1">
      <protection locked="0"/>
    </xf>
    <xf numFmtId="0" fontId="25" fillId="7" borderId="86" xfId="0" applyFont="1" applyFill="1" applyBorder="1" applyProtection="1">
      <protection locked="0"/>
    </xf>
    <xf numFmtId="0" fontId="25" fillId="7" borderId="87" xfId="0" applyFont="1" applyFill="1" applyBorder="1" applyProtection="1">
      <protection locked="0"/>
    </xf>
    <xf numFmtId="0" fontId="25" fillId="7" borderId="88" xfId="0" applyFont="1" applyFill="1" applyBorder="1" applyProtection="1">
      <protection locked="0"/>
    </xf>
    <xf numFmtId="0" fontId="26" fillId="9" borderId="0" xfId="0" applyFont="1" applyFill="1" applyAlignment="1" applyProtection="1">
      <alignment horizontal="left"/>
      <protection locked="0"/>
    </xf>
    <xf numFmtId="15" fontId="47" fillId="0" borderId="0" xfId="0" applyNumberFormat="1" applyFont="1" applyAlignment="1" applyProtection="1">
      <alignment horizontal="left"/>
      <protection locked="0"/>
    </xf>
    <xf numFmtId="15" fontId="28" fillId="0" borderId="0" xfId="0" applyNumberFormat="1" applyFont="1" applyAlignment="1" applyProtection="1">
      <alignment horizontal="left"/>
      <protection locked="0"/>
    </xf>
    <xf numFmtId="43" fontId="25" fillId="7" borderId="0" xfId="1" applyFont="1" applyFill="1" applyProtection="1">
      <protection locked="0"/>
    </xf>
    <xf numFmtId="9" fontId="6" fillId="10" borderId="27" xfId="3" applyNumberFormat="1" applyFont="1" applyFill="1" applyBorder="1" applyAlignment="1" applyProtection="1">
      <alignment horizontal="center"/>
      <protection locked="0"/>
    </xf>
    <xf numFmtId="167" fontId="5" fillId="10" borderId="27" xfId="0" applyNumberFormat="1" applyFont="1" applyFill="1" applyBorder="1" applyAlignment="1" applyProtection="1">
      <alignment horizontal="center" vertical="center"/>
      <protection locked="0"/>
    </xf>
    <xf numFmtId="14" fontId="21" fillId="7" borderId="0" xfId="0" applyNumberFormat="1" applyFont="1" applyFill="1" applyProtection="1">
      <protection locked="0"/>
    </xf>
    <xf numFmtId="15" fontId="21" fillId="6" borderId="2" xfId="0" applyNumberFormat="1" applyFont="1" applyFill="1" applyBorder="1" applyAlignment="1">
      <alignment horizontal="center" wrapText="1"/>
    </xf>
    <xf numFmtId="0" fontId="21" fillId="6" borderId="2" xfId="0" applyFont="1" applyFill="1" applyBorder="1" applyAlignment="1">
      <alignment horizontal="center" wrapText="1"/>
    </xf>
    <xf numFmtId="167" fontId="6" fillId="6" borderId="0" xfId="0" applyNumberFormat="1" applyFont="1" applyFill="1" applyAlignment="1">
      <alignment horizontal="center"/>
    </xf>
    <xf numFmtId="0" fontId="5" fillId="0" borderId="2" xfId="0" applyFont="1" applyBorder="1"/>
    <xf numFmtId="0" fontId="6" fillId="0" borderId="0" xfId="0" applyFont="1"/>
    <xf numFmtId="168" fontId="6" fillId="7" borderId="0" xfId="0" applyNumberFormat="1" applyFont="1" applyFill="1" applyProtection="1">
      <protection locked="0"/>
    </xf>
    <xf numFmtId="14" fontId="53" fillId="11" borderId="51" xfId="0" applyNumberFormat="1" applyFont="1" applyFill="1" applyBorder="1" applyAlignment="1" applyProtection="1">
      <alignment horizontal="center"/>
      <protection locked="0"/>
    </xf>
    <xf numFmtId="0" fontId="7" fillId="8" borderId="16" xfId="0" applyFont="1" applyFill="1" applyBorder="1" applyAlignment="1" applyProtection="1">
      <alignment horizontal="center"/>
      <protection locked="0"/>
    </xf>
    <xf numFmtId="168" fontId="6" fillId="11" borderId="1" xfId="0" applyNumberFormat="1" applyFont="1" applyFill="1" applyBorder="1" applyAlignment="1" applyProtection="1">
      <alignment horizontal="center" vertical="center"/>
      <protection locked="0"/>
    </xf>
    <xf numFmtId="14" fontId="53" fillId="10" borderId="55" xfId="0" applyNumberFormat="1" applyFont="1" applyFill="1" applyBorder="1" applyAlignment="1" applyProtection="1">
      <alignment horizontal="center"/>
      <protection locked="0"/>
    </xf>
    <xf numFmtId="14" fontId="53" fillId="10" borderId="68" xfId="0" applyNumberFormat="1" applyFont="1" applyFill="1" applyBorder="1" applyAlignment="1" applyProtection="1">
      <alignment horizontal="center"/>
      <protection locked="0"/>
    </xf>
    <xf numFmtId="14" fontId="53" fillId="11" borderId="58" xfId="0" applyNumberFormat="1" applyFont="1" applyFill="1" applyBorder="1" applyAlignment="1" applyProtection="1">
      <alignment horizontal="center"/>
      <protection locked="0"/>
    </xf>
    <xf numFmtId="168" fontId="53" fillId="11" borderId="51" xfId="0" applyNumberFormat="1" applyFont="1" applyFill="1" applyBorder="1" applyAlignment="1" applyProtection="1">
      <alignment horizontal="center"/>
      <protection locked="0"/>
    </xf>
    <xf numFmtId="168" fontId="53" fillId="10" borderId="55" xfId="0" applyNumberFormat="1" applyFont="1" applyFill="1" applyBorder="1" applyAlignment="1" applyProtection="1">
      <alignment horizontal="center"/>
      <protection locked="0"/>
    </xf>
    <xf numFmtId="0" fontId="21" fillId="0" borderId="2" xfId="0" applyFont="1" applyBorder="1" applyAlignment="1">
      <alignment horizontal="center" wrapText="1"/>
    </xf>
    <xf numFmtId="167" fontId="6" fillId="0" borderId="0" xfId="0" applyNumberFormat="1" applyFont="1" applyAlignment="1">
      <alignment horizontal="center"/>
    </xf>
    <xf numFmtId="15" fontId="7" fillId="7" borderId="2" xfId="0" applyNumberFormat="1" applyFont="1" applyFill="1" applyBorder="1" applyProtection="1">
      <protection locked="0"/>
    </xf>
    <xf numFmtId="14" fontId="6" fillId="11" borderId="68" xfId="0" applyNumberFormat="1" applyFont="1" applyFill="1" applyBorder="1" applyAlignment="1" applyProtection="1">
      <alignment horizontal="center"/>
      <protection locked="0"/>
    </xf>
    <xf numFmtId="0" fontId="5" fillId="11" borderId="27" xfId="0" applyFont="1" applyFill="1" applyBorder="1" applyProtection="1">
      <protection locked="0"/>
    </xf>
    <xf numFmtId="168" fontId="5" fillId="11" borderId="27" xfId="0" applyNumberFormat="1" applyFont="1" applyFill="1" applyBorder="1" applyAlignment="1" applyProtection="1">
      <alignment horizontal="center"/>
      <protection locked="0"/>
    </xf>
    <xf numFmtId="0" fontId="26" fillId="7" borderId="2" xfId="0" applyFont="1" applyFill="1" applyBorder="1" applyProtection="1">
      <protection locked="0"/>
    </xf>
    <xf numFmtId="167" fontId="26" fillId="7" borderId="2" xfId="3" applyFont="1" applyFill="1" applyBorder="1" applyProtection="1">
      <protection locked="0"/>
    </xf>
    <xf numFmtId="14" fontId="53" fillId="13" borderId="58" xfId="0" applyNumberFormat="1" applyFont="1" applyFill="1" applyBorder="1" applyAlignment="1" applyProtection="1">
      <alignment horizontal="center"/>
      <protection locked="0"/>
    </xf>
    <xf numFmtId="0" fontId="55" fillId="0" borderId="0" xfId="0" applyFont="1" applyAlignment="1">
      <alignment vertical="center"/>
    </xf>
    <xf numFmtId="0" fontId="56" fillId="0" borderId="2" xfId="0" applyFont="1" applyBorder="1" applyAlignment="1">
      <alignment vertical="center"/>
    </xf>
    <xf numFmtId="0" fontId="57" fillId="0" borderId="2" xfId="0" applyFont="1" applyBorder="1"/>
    <xf numFmtId="0" fontId="56" fillId="0" borderId="2" xfId="0" applyFont="1" applyBorder="1" applyAlignment="1">
      <alignment vertical="center" wrapText="1"/>
    </xf>
    <xf numFmtId="0" fontId="59" fillId="0" borderId="2" xfId="0" applyFont="1" applyBorder="1" applyAlignment="1">
      <alignment vertical="center" wrapText="1"/>
    </xf>
    <xf numFmtId="15" fontId="56" fillId="0" borderId="2" xfId="0" applyNumberFormat="1" applyFont="1" applyBorder="1" applyAlignment="1">
      <alignment vertical="center" wrapText="1"/>
    </xf>
    <xf numFmtId="14" fontId="53" fillId="11" borderId="68" xfId="0" applyNumberFormat="1" applyFont="1" applyFill="1" applyBorder="1" applyAlignment="1" applyProtection="1">
      <alignment horizontal="center"/>
      <protection locked="0"/>
    </xf>
    <xf numFmtId="43" fontId="5" fillId="11" borderId="1" xfId="0" applyNumberFormat="1" applyFont="1" applyFill="1" applyBorder="1" applyAlignment="1" applyProtection="1">
      <alignment horizontal="center" vertical="center"/>
      <protection locked="0"/>
    </xf>
    <xf numFmtId="168" fontId="53" fillId="11" borderId="2" xfId="0" applyNumberFormat="1" applyFont="1" applyFill="1" applyBorder="1" applyAlignment="1" applyProtection="1">
      <alignment horizontal="center"/>
      <protection locked="0"/>
    </xf>
    <xf numFmtId="168" fontId="53" fillId="10" borderId="27" xfId="0" applyNumberFormat="1" applyFont="1" applyFill="1" applyBorder="1" applyAlignment="1" applyProtection="1">
      <alignment horizontal="center"/>
      <protection locked="0"/>
    </xf>
    <xf numFmtId="0" fontId="13" fillId="13" borderId="70" xfId="0" applyFont="1" applyFill="1" applyBorder="1" applyAlignment="1" applyProtection="1">
      <alignment horizontal="center" wrapText="1"/>
      <protection locked="0"/>
    </xf>
    <xf numFmtId="14" fontId="53" fillId="13" borderId="51" xfId="0" applyNumberFormat="1" applyFont="1" applyFill="1" applyBorder="1" applyAlignment="1" applyProtection="1">
      <alignment horizontal="center"/>
      <protection locked="0"/>
    </xf>
    <xf numFmtId="168" fontId="53" fillId="13" borderId="51" xfId="0" applyNumberFormat="1" applyFont="1" applyFill="1" applyBorder="1" applyAlignment="1" applyProtection="1">
      <alignment horizontal="center"/>
      <protection locked="0"/>
    </xf>
    <xf numFmtId="14" fontId="53" fillId="11" borderId="53" xfId="0" applyNumberFormat="1" applyFont="1" applyFill="1" applyBorder="1" applyAlignment="1" applyProtection="1">
      <alignment horizontal="center"/>
      <protection locked="0"/>
    </xf>
    <xf numFmtId="14" fontId="53" fillId="11" borderId="55" xfId="0" applyNumberFormat="1" applyFont="1" applyFill="1" applyBorder="1" applyAlignment="1" applyProtection="1">
      <alignment horizontal="center"/>
      <protection locked="0"/>
    </xf>
    <xf numFmtId="0" fontId="32" fillId="0" borderId="2" xfId="0" applyFont="1" applyBorder="1" applyProtection="1">
      <protection locked="0"/>
    </xf>
    <xf numFmtId="168" fontId="5" fillId="10" borderId="67" xfId="0" applyNumberFormat="1" applyFont="1" applyFill="1" applyBorder="1" applyAlignment="1" applyProtection="1">
      <alignment horizontal="center"/>
      <protection locked="0"/>
    </xf>
    <xf numFmtId="0" fontId="31" fillId="0" borderId="2" xfId="0" applyFont="1" applyBorder="1" applyAlignment="1">
      <alignment horizontal="center"/>
    </xf>
    <xf numFmtId="0" fontId="32" fillId="6" borderId="2" xfId="0" applyFont="1" applyFill="1" applyBorder="1" applyProtection="1">
      <protection locked="0"/>
    </xf>
    <xf numFmtId="168" fontId="5" fillId="11" borderId="1" xfId="0" applyNumberFormat="1" applyFont="1" applyFill="1" applyBorder="1" applyAlignment="1" applyProtection="1">
      <alignment horizontal="center" vertical="center"/>
      <protection locked="0"/>
    </xf>
    <xf numFmtId="0" fontId="6" fillId="11" borderId="89" xfId="0" applyFont="1" applyFill="1" applyBorder="1" applyProtection="1">
      <protection locked="0"/>
    </xf>
    <xf numFmtId="0" fontId="21" fillId="11" borderId="90" xfId="0" applyFont="1" applyFill="1" applyBorder="1" applyAlignment="1" applyProtection="1">
      <alignment horizontal="center"/>
      <protection locked="0"/>
    </xf>
    <xf numFmtId="0" fontId="5" fillId="11" borderId="91" xfId="0" applyFont="1" applyFill="1" applyBorder="1" applyProtection="1">
      <protection locked="0"/>
    </xf>
    <xf numFmtId="0" fontId="5" fillId="11" borderId="91" xfId="0" applyFont="1" applyFill="1" applyBorder="1" applyAlignment="1" applyProtection="1">
      <alignment horizontal="center" vertical="center"/>
      <protection locked="0"/>
    </xf>
    <xf numFmtId="167" fontId="6" fillId="11" borderId="91" xfId="3" applyFont="1" applyFill="1" applyBorder="1" applyAlignment="1" applyProtection="1">
      <alignment horizontal="center"/>
      <protection locked="0"/>
    </xf>
    <xf numFmtId="168" fontId="5" fillId="11" borderId="91" xfId="0" applyNumberFormat="1" applyFont="1" applyFill="1" applyBorder="1" applyAlignment="1" applyProtection="1">
      <alignment horizontal="center"/>
      <protection locked="0"/>
    </xf>
    <xf numFmtId="0" fontId="21" fillId="11" borderId="42" xfId="0" applyFont="1" applyFill="1" applyBorder="1" applyAlignment="1" applyProtection="1">
      <alignment horizontal="center"/>
      <protection locked="0"/>
    </xf>
    <xf numFmtId="0" fontId="5" fillId="11" borderId="43" xfId="0" applyFont="1" applyFill="1" applyBorder="1" applyProtection="1">
      <protection locked="0"/>
    </xf>
    <xf numFmtId="0" fontId="5" fillId="11" borderId="43" xfId="0" applyFont="1" applyFill="1" applyBorder="1" applyAlignment="1" applyProtection="1">
      <alignment horizontal="center" vertical="center"/>
      <protection locked="0"/>
    </xf>
    <xf numFmtId="167" fontId="6" fillId="11" borderId="43" xfId="3" applyFont="1" applyFill="1" applyBorder="1" applyAlignment="1" applyProtection="1">
      <alignment horizontal="center"/>
      <protection locked="0"/>
    </xf>
    <xf numFmtId="168" fontId="5" fillId="11" borderId="43" xfId="0" applyNumberFormat="1" applyFont="1" applyFill="1" applyBorder="1" applyAlignment="1" applyProtection="1">
      <alignment horizontal="center"/>
      <protection locked="0"/>
    </xf>
    <xf numFmtId="0" fontId="5" fillId="11" borderId="92" xfId="0" applyFont="1" applyFill="1" applyBorder="1" applyAlignment="1" applyProtection="1">
      <alignment horizontal="center"/>
      <protection locked="0"/>
    </xf>
    <xf numFmtId="0" fontId="5" fillId="11" borderId="93" xfId="0" applyFont="1" applyFill="1" applyBorder="1" applyAlignment="1" applyProtection="1">
      <alignment horizontal="center"/>
      <protection locked="0"/>
    </xf>
    <xf numFmtId="14" fontId="5" fillId="11" borderId="94" xfId="0" applyNumberFormat="1" applyFont="1" applyFill="1" applyBorder="1" applyAlignment="1" applyProtection="1">
      <alignment horizontal="center"/>
      <protection locked="0"/>
    </xf>
    <xf numFmtId="0" fontId="5" fillId="11" borderId="95" xfId="0" applyFont="1" applyFill="1" applyBorder="1" applyAlignment="1" applyProtection="1">
      <alignment horizontal="center"/>
      <protection locked="0"/>
    </xf>
    <xf numFmtId="0" fontId="5" fillId="11" borderId="7" xfId="0" applyFont="1" applyFill="1" applyBorder="1" applyAlignment="1" applyProtection="1">
      <alignment horizontal="center"/>
      <protection locked="0"/>
    </xf>
    <xf numFmtId="14" fontId="5" fillId="11" borderId="14" xfId="0" applyNumberFormat="1" applyFont="1" applyFill="1" applyBorder="1" applyAlignment="1" applyProtection="1">
      <alignment horizontal="center"/>
      <protection locked="0"/>
    </xf>
    <xf numFmtId="168" fontId="53" fillId="11" borderId="94" xfId="0" applyNumberFormat="1" applyFont="1" applyFill="1" applyBorder="1" applyAlignment="1" applyProtection="1">
      <alignment horizontal="center"/>
      <protection locked="0"/>
    </xf>
    <xf numFmtId="168" fontId="53" fillId="11" borderId="14" xfId="0" applyNumberFormat="1" applyFont="1" applyFill="1" applyBorder="1" applyAlignment="1" applyProtection="1">
      <alignment horizontal="center"/>
      <protection locked="0"/>
    </xf>
    <xf numFmtId="168" fontId="53" fillId="11" borderId="55" xfId="0" applyNumberFormat="1" applyFont="1" applyFill="1" applyBorder="1" applyAlignment="1" applyProtection="1">
      <alignment horizontal="center"/>
      <protection locked="0"/>
    </xf>
    <xf numFmtId="168" fontId="53" fillId="11" borderId="53" xfId="0" applyNumberFormat="1" applyFont="1" applyFill="1" applyBorder="1" applyAlignment="1" applyProtection="1">
      <alignment horizontal="center"/>
      <protection locked="0"/>
    </xf>
    <xf numFmtId="0" fontId="32" fillId="7" borderId="2" xfId="0" applyFont="1" applyFill="1" applyBorder="1" applyAlignment="1" applyProtection="1">
      <alignment wrapText="1"/>
      <protection locked="0"/>
    </xf>
    <xf numFmtId="0" fontId="31" fillId="7" borderId="2" xfId="0" applyFont="1" applyFill="1" applyBorder="1" applyAlignment="1">
      <alignment horizontal="center" vertical="center"/>
    </xf>
    <xf numFmtId="0" fontId="5" fillId="7" borderId="2" xfId="0" applyFont="1" applyFill="1" applyBorder="1" applyAlignment="1">
      <alignment vertical="center"/>
    </xf>
    <xf numFmtId="0" fontId="6" fillId="7" borderId="0" xfId="0" applyFont="1" applyFill="1" applyAlignment="1">
      <alignment vertical="center"/>
    </xf>
    <xf numFmtId="15" fontId="21" fillId="7" borderId="2" xfId="0" applyNumberFormat="1" applyFont="1" applyFill="1" applyBorder="1" applyAlignment="1">
      <alignment horizontal="center" vertical="center" wrapText="1"/>
    </xf>
    <xf numFmtId="0" fontId="21" fillId="7" borderId="2" xfId="0" applyFont="1" applyFill="1" applyBorder="1" applyAlignment="1">
      <alignment horizontal="center" vertical="center" wrapText="1"/>
    </xf>
    <xf numFmtId="167" fontId="6" fillId="7" borderId="0" xfId="0" applyNumberFormat="1" applyFont="1" applyFill="1" applyAlignment="1">
      <alignment horizontal="center" vertical="center"/>
    </xf>
    <xf numFmtId="9" fontId="26" fillId="7" borderId="2" xfId="2" applyFont="1" applyFill="1" applyBorder="1" applyAlignment="1" applyProtection="1">
      <alignment horizontal="center" vertical="center"/>
      <protection locked="0"/>
    </xf>
    <xf numFmtId="0" fontId="32" fillId="7" borderId="2" xfId="0" applyFont="1" applyFill="1" applyBorder="1" applyAlignment="1" applyProtection="1">
      <alignment vertical="center" wrapText="1"/>
      <protection locked="0"/>
    </xf>
    <xf numFmtId="0" fontId="21" fillId="2" borderId="0" xfId="0" applyFont="1" applyFill="1" applyAlignment="1" applyProtection="1">
      <alignment vertical="center"/>
      <protection locked="0"/>
    </xf>
    <xf numFmtId="0" fontId="21" fillId="7" borderId="0" xfId="0" applyFont="1" applyFill="1" applyAlignment="1" applyProtection="1">
      <alignment vertical="center"/>
      <protection locked="0"/>
    </xf>
    <xf numFmtId="10" fontId="6" fillId="11" borderId="2" xfId="2" applyNumberFormat="1" applyFont="1" applyFill="1" applyBorder="1" applyAlignment="1" applyProtection="1">
      <alignment horizontal="center"/>
      <protection locked="0"/>
    </xf>
    <xf numFmtId="0" fontId="13" fillId="13" borderId="27" xfId="0" applyFont="1" applyFill="1" applyBorder="1" applyAlignment="1" applyProtection="1">
      <alignment horizontal="left" vertical="center"/>
      <protection locked="0"/>
    </xf>
    <xf numFmtId="14" fontId="5" fillId="11" borderId="65" xfId="0" applyNumberFormat="1" applyFont="1" applyFill="1" applyBorder="1" applyAlignment="1" applyProtection="1">
      <alignment horizontal="center"/>
      <protection locked="0"/>
    </xf>
    <xf numFmtId="14" fontId="53" fillId="10" borderId="58" xfId="0" applyNumberFormat="1" applyFont="1" applyFill="1" applyBorder="1" applyAlignment="1" applyProtection="1">
      <alignment horizontal="center"/>
      <protection locked="0"/>
    </xf>
    <xf numFmtId="0" fontId="7" fillId="6" borderId="0" xfId="0" applyFont="1" applyFill="1" applyAlignment="1" applyProtection="1">
      <alignment horizontal="right"/>
      <protection locked="0"/>
    </xf>
    <xf numFmtId="0" fontId="6" fillId="6" borderId="0" xfId="0" applyFont="1" applyFill="1" applyProtection="1">
      <protection locked="0"/>
    </xf>
    <xf numFmtId="0" fontId="7" fillId="6" borderId="0" xfId="0" applyFont="1" applyFill="1" applyProtection="1">
      <protection locked="0"/>
    </xf>
    <xf numFmtId="164" fontId="5" fillId="11" borderId="1" xfId="0" applyNumberFormat="1" applyFont="1" applyFill="1" applyBorder="1" applyAlignment="1" applyProtection="1">
      <alignment horizontal="center" vertical="center"/>
      <protection locked="0"/>
    </xf>
    <xf numFmtId="0" fontId="5" fillId="10" borderId="71" xfId="0" applyFont="1" applyFill="1" applyBorder="1" applyAlignment="1" applyProtection="1">
      <alignment horizontal="center" wrapText="1"/>
      <protection locked="0"/>
    </xf>
    <xf numFmtId="168" fontId="53" fillId="10" borderId="51" xfId="0" applyNumberFormat="1" applyFont="1" applyFill="1" applyBorder="1" applyAlignment="1" applyProtection="1">
      <alignment horizontal="center"/>
      <protection locked="0"/>
    </xf>
    <xf numFmtId="9" fontId="6" fillId="6" borderId="1" xfId="0" applyNumberFormat="1" applyFont="1" applyFill="1" applyBorder="1" applyProtection="1">
      <protection locked="0"/>
    </xf>
    <xf numFmtId="0" fontId="5" fillId="6" borderId="1" xfId="0" applyFont="1" applyFill="1" applyBorder="1" applyAlignment="1" applyProtection="1">
      <alignment horizontal="center" vertical="center"/>
      <protection locked="0"/>
    </xf>
    <xf numFmtId="172" fontId="6" fillId="6" borderId="1" xfId="2" applyNumberFormat="1" applyFont="1" applyFill="1" applyBorder="1" applyAlignment="1" applyProtection="1">
      <alignment horizontal="center"/>
      <protection locked="0"/>
    </xf>
    <xf numFmtId="168" fontId="5" fillId="6" borderId="2" xfId="0" applyNumberFormat="1" applyFont="1" applyFill="1" applyBorder="1" applyAlignment="1" applyProtection="1">
      <alignment horizontal="center"/>
      <protection locked="0"/>
    </xf>
    <xf numFmtId="0" fontId="5" fillId="11" borderId="27" xfId="0" applyFont="1" applyFill="1" applyBorder="1" applyAlignment="1" applyProtection="1">
      <alignment horizontal="left"/>
      <protection locked="0"/>
    </xf>
    <xf numFmtId="0" fontId="60" fillId="7" borderId="0" xfId="0" applyFont="1" applyFill="1" applyProtection="1">
      <protection locked="0"/>
    </xf>
    <xf numFmtId="164" fontId="25" fillId="7" borderId="0" xfId="0" applyNumberFormat="1" applyFont="1" applyFill="1" applyProtection="1">
      <protection locked="0"/>
    </xf>
    <xf numFmtId="15" fontId="61" fillId="0" borderId="2" xfId="0" applyNumberFormat="1" applyFont="1" applyBorder="1" applyAlignment="1" applyProtection="1">
      <alignment horizontal="center"/>
      <protection locked="0"/>
    </xf>
    <xf numFmtId="0" fontId="6" fillId="6" borderId="2" xfId="0" applyFont="1" applyFill="1" applyBorder="1"/>
    <xf numFmtId="0" fontId="6" fillId="10" borderId="96" xfId="0" applyFont="1" applyFill="1" applyBorder="1" applyProtection="1">
      <protection locked="0"/>
    </xf>
    <xf numFmtId="164" fontId="6" fillId="13" borderId="1" xfId="0" applyNumberFormat="1" applyFont="1" applyFill="1" applyBorder="1" applyAlignment="1" applyProtection="1">
      <alignment horizontal="center" vertical="center"/>
      <protection locked="0"/>
    </xf>
    <xf numFmtId="0" fontId="13" fillId="0" borderId="5" xfId="0" applyFont="1" applyBorder="1" applyAlignment="1" applyProtection="1">
      <alignment horizontal="center" vertical="center" wrapText="1"/>
      <protection locked="0"/>
    </xf>
    <xf numFmtId="0" fontId="13" fillId="0" borderId="6" xfId="0" applyFont="1" applyBorder="1" applyAlignment="1" applyProtection="1">
      <alignment horizontal="center" vertical="center" wrapText="1"/>
      <protection locked="0"/>
    </xf>
    <xf numFmtId="0" fontId="13" fillId="0" borderId="8" xfId="0" applyFont="1" applyBorder="1" applyAlignment="1" applyProtection="1">
      <alignment horizontal="center" vertical="center" wrapText="1"/>
      <protection locked="0"/>
    </xf>
    <xf numFmtId="0" fontId="13" fillId="0" borderId="9" xfId="0" applyFont="1" applyBorder="1" applyAlignment="1" applyProtection="1">
      <alignment horizontal="center" vertical="center" wrapText="1"/>
      <protection locked="0"/>
    </xf>
    <xf numFmtId="0" fontId="25" fillId="0" borderId="10" xfId="0" applyFont="1" applyBorder="1" applyAlignment="1" applyProtection="1">
      <alignment horizontal="left"/>
      <protection locked="0"/>
    </xf>
    <xf numFmtId="0" fontId="25" fillId="0" borderId="15" xfId="0" applyFont="1" applyBorder="1" applyAlignment="1" applyProtection="1">
      <alignment horizontal="left"/>
      <protection locked="0"/>
    </xf>
    <xf numFmtId="0" fontId="24" fillId="9" borderId="2" xfId="0" applyFont="1" applyFill="1" applyBorder="1" applyAlignment="1">
      <alignment horizontal="center" vertical="center"/>
    </xf>
    <xf numFmtId="0" fontId="7" fillId="9" borderId="2" xfId="0" applyFont="1" applyFill="1" applyBorder="1" applyAlignment="1">
      <alignment horizontal="center" vertical="center"/>
    </xf>
    <xf numFmtId="0" fontId="7" fillId="9" borderId="1" xfId="0" applyFont="1" applyFill="1" applyBorder="1" applyAlignment="1">
      <alignment horizontal="center" vertical="center" wrapText="1"/>
    </xf>
    <xf numFmtId="9" fontId="51" fillId="7" borderId="2" xfId="0" applyNumberFormat="1" applyFont="1" applyFill="1" applyBorder="1" applyAlignment="1" applyProtection="1">
      <alignment horizontal="center" vertical="center"/>
      <protection locked="0"/>
    </xf>
    <xf numFmtId="0" fontId="7" fillId="7" borderId="10" xfId="0" applyFont="1" applyFill="1" applyBorder="1" applyAlignment="1" applyProtection="1">
      <alignment horizontal="center" vertical="center"/>
      <protection locked="0"/>
    </xf>
    <xf numFmtId="0" fontId="7" fillId="7" borderId="78" xfId="0" applyFont="1" applyFill="1" applyBorder="1" applyAlignment="1" applyProtection="1">
      <alignment horizontal="center" vertical="center"/>
      <protection locked="0"/>
    </xf>
    <xf numFmtId="0" fontId="7" fillId="7" borderId="15" xfId="0" applyFont="1" applyFill="1" applyBorder="1" applyAlignment="1" applyProtection="1">
      <alignment horizontal="center" vertical="center"/>
      <protection locked="0"/>
    </xf>
    <xf numFmtId="0" fontId="42" fillId="9" borderId="19" xfId="0" applyFont="1" applyFill="1" applyBorder="1" applyAlignment="1" applyProtection="1">
      <alignment horizontal="left"/>
      <protection locked="0"/>
    </xf>
    <xf numFmtId="0" fontId="42" fillId="9" borderId="20" xfId="0" applyFont="1" applyFill="1" applyBorder="1" applyAlignment="1" applyProtection="1">
      <alignment horizontal="left"/>
      <protection locked="0"/>
    </xf>
    <xf numFmtId="0" fontId="42" fillId="9" borderId="21" xfId="0" applyFont="1" applyFill="1" applyBorder="1" applyAlignment="1" applyProtection="1">
      <alignment horizontal="left"/>
      <protection locked="0"/>
    </xf>
    <xf numFmtId="0" fontId="42" fillId="9" borderId="22" xfId="0" applyFont="1" applyFill="1" applyBorder="1" applyAlignment="1" applyProtection="1">
      <alignment horizontal="left"/>
      <protection locked="0"/>
    </xf>
    <xf numFmtId="0" fontId="42" fillId="9" borderId="0" xfId="0" applyFont="1" applyFill="1" applyAlignment="1" applyProtection="1">
      <alignment horizontal="left"/>
      <protection locked="0"/>
    </xf>
    <xf numFmtId="0" fontId="42" fillId="9" borderId="23" xfId="0" applyFont="1" applyFill="1" applyBorder="1" applyAlignment="1" applyProtection="1">
      <alignment horizontal="left"/>
      <protection locked="0"/>
    </xf>
    <xf numFmtId="170" fontId="42" fillId="9" borderId="24" xfId="0" applyNumberFormat="1" applyFont="1" applyFill="1" applyBorder="1" applyAlignment="1" applyProtection="1">
      <alignment horizontal="left" vertical="center"/>
      <protection locked="0"/>
    </xf>
    <xf numFmtId="170" fontId="42" fillId="9" borderId="25" xfId="0" applyNumberFormat="1" applyFont="1" applyFill="1" applyBorder="1" applyAlignment="1" applyProtection="1">
      <alignment horizontal="left" vertical="center"/>
      <protection locked="0"/>
    </xf>
    <xf numFmtId="170" fontId="42" fillId="9" borderId="26" xfId="0" applyNumberFormat="1" applyFont="1" applyFill="1" applyBorder="1" applyAlignment="1" applyProtection="1">
      <alignment horizontal="left" vertical="center"/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7" fillId="9" borderId="27" xfId="0" applyFont="1" applyFill="1" applyBorder="1" applyAlignment="1" applyProtection="1">
      <alignment horizontal="center" vertical="center"/>
      <protection locked="0"/>
    </xf>
    <xf numFmtId="0" fontId="11" fillId="7" borderId="0" xfId="0" applyFont="1" applyFill="1" applyAlignment="1">
      <alignment horizontal="left"/>
    </xf>
    <xf numFmtId="0" fontId="11" fillId="7" borderId="0" xfId="0" applyFont="1" applyFill="1" applyAlignment="1">
      <alignment horizontal="right"/>
    </xf>
    <xf numFmtId="0" fontId="7" fillId="7" borderId="0" xfId="0" applyFont="1" applyFill="1" applyAlignment="1" applyProtection="1">
      <alignment horizontal="center"/>
      <protection locked="0"/>
    </xf>
    <xf numFmtId="168" fontId="7" fillId="13" borderId="13" xfId="0" applyNumberFormat="1" applyFont="1" applyFill="1" applyBorder="1" applyAlignment="1" applyProtection="1">
      <alignment horizontal="center" vertical="center"/>
      <protection locked="0"/>
    </xf>
    <xf numFmtId="168" fontId="7" fillId="13" borderId="18" xfId="0" applyNumberFormat="1" applyFont="1" applyFill="1" applyBorder="1" applyAlignment="1" applyProtection="1">
      <alignment horizontal="center" vertical="center"/>
      <protection locked="0"/>
    </xf>
    <xf numFmtId="168" fontId="7" fillId="13" borderId="14" xfId="0" applyNumberFormat="1" applyFont="1" applyFill="1" applyBorder="1" applyAlignment="1" applyProtection="1">
      <alignment horizontal="center" vertical="center"/>
      <protection locked="0"/>
    </xf>
    <xf numFmtId="168" fontId="7" fillId="13" borderId="5" xfId="0" applyNumberFormat="1" applyFont="1" applyFill="1" applyBorder="1" applyAlignment="1" applyProtection="1">
      <alignment horizontal="center" vertical="center"/>
      <protection locked="0"/>
    </xf>
    <xf numFmtId="168" fontId="7" fillId="13" borderId="0" xfId="0" applyNumberFormat="1" applyFont="1" applyFill="1" applyAlignment="1" applyProtection="1">
      <alignment horizontal="center" vertical="center"/>
      <protection locked="0"/>
    </xf>
    <xf numFmtId="168" fontId="7" fillId="13" borderId="8" xfId="0" applyNumberFormat="1" applyFont="1" applyFill="1" applyBorder="1" applyAlignment="1" applyProtection="1">
      <alignment horizontal="center" vertical="center"/>
      <protection locked="0"/>
    </xf>
    <xf numFmtId="168" fontId="7" fillId="11" borderId="5" xfId="0" applyNumberFormat="1" applyFont="1" applyFill="1" applyBorder="1" applyAlignment="1" applyProtection="1">
      <alignment horizontal="center" vertical="center"/>
      <protection locked="0"/>
    </xf>
    <xf numFmtId="168" fontId="7" fillId="11" borderId="0" xfId="0" applyNumberFormat="1" applyFont="1" applyFill="1" applyAlignment="1" applyProtection="1">
      <alignment horizontal="center" vertical="center"/>
      <protection locked="0"/>
    </xf>
    <xf numFmtId="168" fontId="7" fillId="11" borderId="8" xfId="0" applyNumberFormat="1" applyFont="1" applyFill="1" applyBorder="1" applyAlignment="1" applyProtection="1">
      <alignment horizontal="center" vertical="center"/>
      <protection locked="0"/>
    </xf>
    <xf numFmtId="168" fontId="5" fillId="13" borderId="13" xfId="0" applyNumberFormat="1" applyFont="1" applyFill="1" applyBorder="1" applyAlignment="1" applyProtection="1">
      <alignment horizontal="center" vertical="center"/>
      <protection locked="0"/>
    </xf>
    <xf numFmtId="168" fontId="5" fillId="13" borderId="18" xfId="0" applyNumberFormat="1" applyFont="1" applyFill="1" applyBorder="1" applyAlignment="1" applyProtection="1">
      <alignment horizontal="center" vertical="center"/>
      <protection locked="0"/>
    </xf>
    <xf numFmtId="168" fontId="5" fillId="13" borderId="14" xfId="0" applyNumberFormat="1" applyFont="1" applyFill="1" applyBorder="1" applyAlignment="1" applyProtection="1">
      <alignment horizontal="center" vertical="center"/>
      <protection locked="0"/>
    </xf>
    <xf numFmtId="0" fontId="5" fillId="13" borderId="76" xfId="0" applyFont="1" applyFill="1" applyBorder="1" applyAlignment="1" applyProtection="1">
      <alignment horizontal="center" vertical="center"/>
      <protection locked="0"/>
    </xf>
    <xf numFmtId="0" fontId="5" fillId="13" borderId="75" xfId="0" applyFont="1" applyFill="1" applyBorder="1" applyAlignment="1" applyProtection="1">
      <alignment horizontal="center" vertical="center"/>
      <protection locked="0"/>
    </xf>
    <xf numFmtId="0" fontId="5" fillId="13" borderId="73" xfId="0" applyFont="1" applyFill="1" applyBorder="1" applyAlignment="1" applyProtection="1">
      <alignment horizontal="center" vertical="center"/>
      <protection locked="0"/>
    </xf>
    <xf numFmtId="0" fontId="5" fillId="13" borderId="74" xfId="0" applyFont="1" applyFill="1" applyBorder="1" applyAlignment="1" applyProtection="1">
      <alignment horizontal="center" vertical="center"/>
      <protection locked="0"/>
    </xf>
    <xf numFmtId="168" fontId="7" fillId="11" borderId="13" xfId="0" applyNumberFormat="1" applyFont="1" applyFill="1" applyBorder="1" applyAlignment="1" applyProtection="1">
      <alignment horizontal="center" vertical="center"/>
      <protection locked="0"/>
    </xf>
    <xf numFmtId="168" fontId="7" fillId="11" borderId="18" xfId="0" applyNumberFormat="1" applyFont="1" applyFill="1" applyBorder="1" applyAlignment="1" applyProtection="1">
      <alignment horizontal="center" vertical="center"/>
      <protection locked="0"/>
    </xf>
    <xf numFmtId="168" fontId="7" fillId="11" borderId="14" xfId="0" applyNumberFormat="1" applyFont="1" applyFill="1" applyBorder="1" applyAlignment="1" applyProtection="1">
      <alignment horizontal="center" vertical="center"/>
      <protection locked="0"/>
    </xf>
    <xf numFmtId="168" fontId="5" fillId="11" borderId="13" xfId="0" applyNumberFormat="1" applyFont="1" applyFill="1" applyBorder="1" applyAlignment="1" applyProtection="1">
      <alignment horizontal="center" vertical="center"/>
      <protection locked="0"/>
    </xf>
    <xf numFmtId="168" fontId="5" fillId="11" borderId="18" xfId="0" applyNumberFormat="1" applyFont="1" applyFill="1" applyBorder="1" applyAlignment="1" applyProtection="1">
      <alignment horizontal="center" vertical="center"/>
      <protection locked="0"/>
    </xf>
    <xf numFmtId="168" fontId="5" fillId="11" borderId="14" xfId="0" applyNumberFormat="1" applyFont="1" applyFill="1" applyBorder="1" applyAlignment="1" applyProtection="1">
      <alignment horizontal="center" vertical="center"/>
      <protection locked="0"/>
    </xf>
    <xf numFmtId="0" fontId="7" fillId="8" borderId="11" xfId="0" applyFont="1" applyFill="1" applyBorder="1" applyAlignment="1" applyProtection="1">
      <alignment horizontal="center"/>
      <protection locked="0"/>
    </xf>
    <xf numFmtId="0" fontId="7" fillId="8" borderId="16" xfId="0" applyFont="1" applyFill="1" applyBorder="1" applyAlignment="1" applyProtection="1">
      <alignment horizontal="center"/>
      <protection locked="0"/>
    </xf>
    <xf numFmtId="0" fontId="11" fillId="8" borderId="11" xfId="0" applyFont="1" applyFill="1" applyBorder="1" applyAlignment="1" applyProtection="1">
      <alignment horizontal="center"/>
      <protection locked="0"/>
    </xf>
    <xf numFmtId="0" fontId="11" fillId="8" borderId="16" xfId="0" applyFont="1" applyFill="1" applyBorder="1" applyAlignment="1" applyProtection="1">
      <alignment horizontal="center"/>
      <protection locked="0"/>
    </xf>
    <xf numFmtId="0" fontId="23" fillId="7" borderId="11" xfId="0" applyFont="1" applyFill="1" applyBorder="1" applyAlignment="1" applyProtection="1">
      <alignment horizontal="center" vertical="center"/>
      <protection locked="0"/>
    </xf>
    <xf numFmtId="0" fontId="23" fillId="7" borderId="16" xfId="0" applyFont="1" applyFill="1" applyBorder="1" applyAlignment="1" applyProtection="1">
      <alignment horizontal="center" vertical="center"/>
      <protection locked="0"/>
    </xf>
    <xf numFmtId="0" fontId="23" fillId="7" borderId="17" xfId="0" applyFont="1" applyFill="1" applyBorder="1" applyAlignment="1" applyProtection="1">
      <alignment horizontal="center" vertical="center"/>
      <protection locked="0"/>
    </xf>
    <xf numFmtId="0" fontId="5" fillId="11" borderId="73" xfId="0" applyFont="1" applyFill="1" applyBorder="1" applyAlignment="1" applyProtection="1">
      <alignment horizontal="center" vertical="center"/>
      <protection locked="0"/>
    </xf>
    <xf numFmtId="0" fontId="5" fillId="11" borderId="74" xfId="0" applyFont="1" applyFill="1" applyBorder="1" applyAlignment="1" applyProtection="1">
      <alignment horizontal="center" vertical="center"/>
      <protection locked="0"/>
    </xf>
    <xf numFmtId="0" fontId="5" fillId="11" borderId="75" xfId="0" applyFont="1" applyFill="1" applyBorder="1" applyAlignment="1" applyProtection="1">
      <alignment horizontal="center" vertical="center"/>
      <protection locked="0"/>
    </xf>
    <xf numFmtId="0" fontId="5" fillId="11" borderId="76" xfId="0" applyFont="1" applyFill="1" applyBorder="1" applyAlignment="1" applyProtection="1">
      <alignment horizontal="center" vertical="center"/>
      <protection locked="0"/>
    </xf>
    <xf numFmtId="0" fontId="5" fillId="11" borderId="77" xfId="0" applyFont="1" applyFill="1" applyBorder="1" applyAlignment="1" applyProtection="1">
      <alignment horizontal="center" vertical="center"/>
      <protection locked="0"/>
    </xf>
    <xf numFmtId="168" fontId="5" fillId="11" borderId="13" xfId="0" applyNumberFormat="1" applyFont="1" applyFill="1" applyBorder="1" applyAlignment="1" applyProtection="1">
      <alignment horizontal="left" vertical="center"/>
      <protection locked="0"/>
    </xf>
    <xf numFmtId="168" fontId="5" fillId="11" borderId="18" xfId="0" applyNumberFormat="1" applyFont="1" applyFill="1" applyBorder="1" applyAlignment="1" applyProtection="1">
      <alignment horizontal="left" vertical="center"/>
      <protection locked="0"/>
    </xf>
    <xf numFmtId="168" fontId="5" fillId="11" borderId="14" xfId="0" applyNumberFormat="1" applyFont="1" applyFill="1" applyBorder="1" applyAlignment="1" applyProtection="1">
      <alignment horizontal="left" vertical="center"/>
      <protection locked="0"/>
    </xf>
    <xf numFmtId="168" fontId="7" fillId="11" borderId="4" xfId="0" applyNumberFormat="1" applyFont="1" applyFill="1" applyBorder="1" applyAlignment="1" applyProtection="1">
      <alignment horizontal="center" vertical="center"/>
      <protection locked="0"/>
    </xf>
    <xf numFmtId="168" fontId="7" fillId="11" borderId="44" xfId="0" applyNumberFormat="1" applyFont="1" applyFill="1" applyBorder="1" applyAlignment="1" applyProtection="1">
      <alignment horizontal="center" vertical="center"/>
      <protection locked="0"/>
    </xf>
    <xf numFmtId="168" fontId="7" fillId="11" borderId="7" xfId="0" applyNumberFormat="1" applyFont="1" applyFill="1" applyBorder="1" applyAlignment="1" applyProtection="1">
      <alignment horizontal="center" vertical="center"/>
      <protection locked="0"/>
    </xf>
    <xf numFmtId="168" fontId="7" fillId="11" borderId="6" xfId="0" applyNumberFormat="1" applyFont="1" applyFill="1" applyBorder="1" applyAlignment="1" applyProtection="1">
      <alignment horizontal="center" vertical="center"/>
      <protection locked="0"/>
    </xf>
    <xf numFmtId="168" fontId="7" fillId="11" borderId="50" xfId="0" applyNumberFormat="1" applyFont="1" applyFill="1" applyBorder="1" applyAlignment="1" applyProtection="1">
      <alignment horizontal="center" vertical="center"/>
      <protection locked="0"/>
    </xf>
    <xf numFmtId="168" fontId="7" fillId="11" borderId="9" xfId="0" applyNumberFormat="1" applyFont="1" applyFill="1" applyBorder="1" applyAlignment="1" applyProtection="1">
      <alignment horizontal="center" vertical="center"/>
      <protection locked="0"/>
    </xf>
    <xf numFmtId="167" fontId="5" fillId="13" borderId="13" xfId="3" applyFont="1" applyFill="1" applyBorder="1" applyAlignment="1" applyProtection="1">
      <alignment horizontal="center" vertical="center"/>
      <protection locked="0"/>
    </xf>
    <xf numFmtId="167" fontId="5" fillId="13" borderId="18" xfId="3" applyFont="1" applyFill="1" applyBorder="1" applyAlignment="1" applyProtection="1">
      <alignment horizontal="center" vertical="center"/>
      <protection locked="0"/>
    </xf>
    <xf numFmtId="167" fontId="5" fillId="13" borderId="14" xfId="3" applyFont="1" applyFill="1" applyBorder="1" applyAlignment="1" applyProtection="1">
      <alignment horizontal="center" vertical="center"/>
      <protection locked="0"/>
    </xf>
    <xf numFmtId="0" fontId="5" fillId="13" borderId="76" xfId="0" applyFont="1" applyFill="1" applyBorder="1" applyAlignment="1" applyProtection="1">
      <alignment horizontal="left" vertical="center"/>
      <protection locked="0"/>
    </xf>
    <xf numFmtId="0" fontId="5" fillId="13" borderId="75" xfId="0" applyFont="1" applyFill="1" applyBorder="1" applyAlignment="1" applyProtection="1">
      <alignment horizontal="left" vertical="center"/>
      <protection locked="0"/>
    </xf>
    <xf numFmtId="168" fontId="7" fillId="10" borderId="13" xfId="0" applyNumberFormat="1" applyFont="1" applyFill="1" applyBorder="1" applyAlignment="1" applyProtection="1">
      <alignment horizontal="center" vertical="center"/>
      <protection locked="0"/>
    </xf>
    <xf numFmtId="168" fontId="7" fillId="10" borderId="18" xfId="0" applyNumberFormat="1" applyFont="1" applyFill="1" applyBorder="1" applyAlignment="1" applyProtection="1">
      <alignment horizontal="center" vertical="center"/>
      <protection locked="0"/>
    </xf>
    <xf numFmtId="168" fontId="7" fillId="10" borderId="14" xfId="0" applyNumberFormat="1" applyFont="1" applyFill="1" applyBorder="1" applyAlignment="1" applyProtection="1">
      <alignment horizontal="center" vertical="center"/>
      <protection locked="0"/>
    </xf>
    <xf numFmtId="168" fontId="7" fillId="10" borderId="5" xfId="0" applyNumberFormat="1" applyFont="1" applyFill="1" applyBorder="1" applyAlignment="1" applyProtection="1">
      <alignment horizontal="center" vertical="center"/>
      <protection locked="0"/>
    </xf>
    <xf numFmtId="168" fontId="7" fillId="10" borderId="0" xfId="0" applyNumberFormat="1" applyFont="1" applyFill="1" applyAlignment="1" applyProtection="1">
      <alignment horizontal="center" vertical="center"/>
      <protection locked="0"/>
    </xf>
    <xf numFmtId="168" fontId="7" fillId="10" borderId="8" xfId="0" applyNumberFormat="1" applyFont="1" applyFill="1" applyBorder="1" applyAlignment="1" applyProtection="1">
      <alignment horizontal="center" vertical="center"/>
      <protection locked="0"/>
    </xf>
    <xf numFmtId="168" fontId="5" fillId="10" borderId="13" xfId="0" applyNumberFormat="1" applyFont="1" applyFill="1" applyBorder="1" applyAlignment="1" applyProtection="1">
      <alignment horizontal="center" vertical="center"/>
      <protection locked="0"/>
    </xf>
    <xf numFmtId="168" fontId="5" fillId="10" borderId="18" xfId="0" applyNumberFormat="1" applyFont="1" applyFill="1" applyBorder="1" applyAlignment="1" applyProtection="1">
      <alignment horizontal="center" vertical="center"/>
      <protection locked="0"/>
    </xf>
    <xf numFmtId="168" fontId="5" fillId="10" borderId="14" xfId="0" applyNumberFormat="1" applyFont="1" applyFill="1" applyBorder="1" applyAlignment="1" applyProtection="1">
      <alignment horizontal="center" vertical="center"/>
      <protection locked="0"/>
    </xf>
    <xf numFmtId="0" fontId="5" fillId="10" borderId="76" xfId="0" applyFont="1" applyFill="1" applyBorder="1" applyAlignment="1" applyProtection="1">
      <alignment horizontal="center" vertical="center"/>
      <protection locked="0"/>
    </xf>
    <xf numFmtId="0" fontId="5" fillId="10" borderId="74" xfId="0" applyFont="1" applyFill="1" applyBorder="1" applyAlignment="1" applyProtection="1">
      <alignment horizontal="center" vertical="center"/>
      <protection locked="0"/>
    </xf>
    <xf numFmtId="0" fontId="5" fillId="10" borderId="75" xfId="0" applyFont="1" applyFill="1" applyBorder="1" applyAlignment="1" applyProtection="1">
      <alignment horizontal="center" vertical="center"/>
      <protection locked="0"/>
    </xf>
    <xf numFmtId="0" fontId="43" fillId="2" borderId="46" xfId="0" applyFont="1" applyFill="1" applyBorder="1" applyAlignment="1">
      <alignment horizontal="center" vertical="center" textRotation="90"/>
    </xf>
    <xf numFmtId="0" fontId="43" fillId="2" borderId="45" xfId="0" applyFont="1" applyFill="1" applyBorder="1" applyAlignment="1">
      <alignment horizontal="center" vertical="center" textRotation="90"/>
    </xf>
    <xf numFmtId="0" fontId="0" fillId="2" borderId="0" xfId="0" applyFill="1" applyAlignment="1">
      <alignment horizontal="center"/>
    </xf>
    <xf numFmtId="0" fontId="56" fillId="0" borderId="2" xfId="0" applyFont="1" applyBorder="1" applyAlignment="1">
      <alignment horizontal="center" vertical="center" wrapText="1"/>
    </xf>
    <xf numFmtId="0" fontId="54" fillId="0" borderId="0" xfId="0" applyFont="1" applyAlignment="1">
      <alignment horizontal="center" vertical="center"/>
    </xf>
    <xf numFmtId="0" fontId="0" fillId="0" borderId="4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44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50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58" fillId="0" borderId="2" xfId="0" applyFont="1" applyBorder="1" applyAlignment="1">
      <alignment horizontal="center" vertical="center" wrapText="1"/>
    </xf>
    <xf numFmtId="0" fontId="58" fillId="0" borderId="2" xfId="0" applyFont="1" applyBorder="1" applyAlignment="1">
      <alignment horizontal="center" vertical="center"/>
    </xf>
    <xf numFmtId="0" fontId="1" fillId="5" borderId="2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38" fillId="0" borderId="0" xfId="0" applyFont="1" applyAlignment="1">
      <alignment horizontal="center"/>
    </xf>
    <xf numFmtId="0" fontId="3" fillId="7" borderId="0" xfId="0" applyFont="1" applyFill="1" applyAlignment="1">
      <alignment horizontal="left"/>
    </xf>
    <xf numFmtId="0" fontId="3" fillId="7" borderId="0" xfId="0" applyFont="1" applyFill="1" applyAlignment="1">
      <alignment horizontal="right"/>
    </xf>
  </cellXfs>
  <cellStyles count="6">
    <cellStyle name="Comma" xfId="1" builtinId="3"/>
    <cellStyle name="Comma 2" xfId="4" xr:uid="{1A8E9B2D-72AA-484C-829D-40DDBC3133DA}"/>
    <cellStyle name="Currency" xfId="3" builtinId="4"/>
    <cellStyle name="Currency 2" xfId="5" xr:uid="{D6013B1B-D41D-4FFF-B157-877C5B7FDF9D}"/>
    <cellStyle name="Normal" xfId="0" builtinId="0"/>
    <cellStyle name="Percent" xfId="2" builtinId="5"/>
  </cellStyles>
  <dxfs count="30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B05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gradientFill>
          <stop position="0">
            <color theme="0"/>
          </stop>
          <stop position="1">
            <color rgb="FFFFC000"/>
          </stop>
        </gradientFill>
      </fill>
    </dxf>
    <dxf>
      <fill>
        <gradientFill degree="180">
          <stop position="0">
            <color theme="0"/>
          </stop>
          <stop position="1">
            <color rgb="FFFFC000"/>
          </stop>
        </gradientFill>
      </fill>
    </dxf>
    <dxf>
      <numFmt numFmtId="168" formatCode="_-[$R-1C09]* #,##0.00_-;\-[$R-1C09]* #,##0.00_-;_-[$R-1C09]* &quot;-&quot;??_-;_-@_-"/>
    </dxf>
  </dxfs>
  <tableStyles count="0" defaultTableStyle="TableStyleMedium2" defaultPivotStyle="PivotStyleLight16"/>
  <colors>
    <mruColors>
      <color rgb="FF66FF99"/>
      <color rgb="FFFFFF99"/>
      <color rgb="FF99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hartsheet" Target="chartsheets/sheet1.xml"/><Relationship Id="rId13" Type="http://schemas.openxmlformats.org/officeDocument/2006/relationships/worksheet" Target="worksheets/sheet12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microsoft.com/office/2017/10/relationships/person" Target="persons/perso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1.xml"/><Relationship Id="rId17" Type="http://schemas.openxmlformats.org/officeDocument/2006/relationships/theme" Target="theme/theme1.xml"/><Relationship Id="rId25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1.xml"/><Relationship Id="rId20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0.xml"/><Relationship Id="rId24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4.xml"/><Relationship Id="rId23" Type="http://schemas.openxmlformats.org/officeDocument/2006/relationships/customXml" Target="../customXml/item1.xml"/><Relationship Id="rId10" Type="http://schemas.openxmlformats.org/officeDocument/2006/relationships/worksheet" Target="worksheets/sheet9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8.xml"/><Relationship Id="rId14" Type="http://schemas.openxmlformats.org/officeDocument/2006/relationships/worksheet" Target="worksheets/sheet13.xml"/><Relationship Id="rId22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400" b="0" i="0" baseline="0">
                <a:effectLst/>
              </a:rPr>
              <a:t>Proposed Work Plan for Cinnamon Square 243 kWp</a:t>
            </a:r>
            <a:endParaRPr lang="en-US" sz="1800">
              <a:effectLst/>
            </a:endParaRPr>
          </a:p>
        </c:rich>
      </c:tx>
      <c:layout>
        <c:manualLayout>
          <c:xMode val="edge"/>
          <c:yMode val="edge"/>
          <c:x val="0.4505203346815993"/>
          <c:y val="4.070685340705124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2692801625603251"/>
          <c:y val="0.20995841576375332"/>
          <c:w val="0.67582818391190302"/>
          <c:h val="0.73477104260027748"/>
        </c:manualLayout>
      </c:layout>
      <c:barChart>
        <c:barDir val="bar"/>
        <c:grouping val="stacked"/>
        <c:varyColors val="0"/>
        <c:ser>
          <c:idx val="0"/>
          <c:order val="0"/>
          <c:tx>
            <c:v>Planned Start Date</c:v>
          </c:tx>
          <c:spPr>
            <a:noFill/>
            <a:ln>
              <a:noFill/>
            </a:ln>
            <a:effectLst/>
          </c:spPr>
          <c:invertIfNegative val="0"/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43831</c:v>
              </c:pt>
              <c:pt idx="1">
                <c:v>43832</c:v>
              </c:pt>
              <c:pt idx="2">
                <c:v>43833</c:v>
              </c:pt>
              <c:pt idx="3">
                <c:v>43841</c:v>
              </c:pt>
              <c:pt idx="4">
                <c:v>43833</c:v>
              </c:pt>
              <c:pt idx="5">
                <c:v>43833</c:v>
              </c:pt>
              <c:pt idx="6">
                <c:v>43941</c:v>
              </c:pt>
              <c:pt idx="7">
                <c:v>43941</c:v>
              </c:pt>
              <c:pt idx="8">
                <c:v>43941</c:v>
              </c:pt>
              <c:pt idx="9">
                <c:v>43936</c:v>
              </c:pt>
              <c:pt idx="10">
                <c:v>43963</c:v>
              </c:pt>
              <c:pt idx="11">
                <c:v>43983</c:v>
              </c:pt>
              <c:pt idx="12">
                <c:v>43983</c:v>
              </c:pt>
              <c:pt idx="13">
                <c:v>43990</c:v>
              </c:pt>
              <c:pt idx="14">
                <c:v>43983</c:v>
              </c:pt>
              <c:pt idx="15">
                <c:v>43992</c:v>
              </c:pt>
              <c:pt idx="16">
                <c:v>43983</c:v>
              </c:pt>
              <c:pt idx="17">
                <c:v>43983</c:v>
              </c:pt>
              <c:pt idx="18">
                <c:v>43985</c:v>
              </c:pt>
              <c:pt idx="19">
                <c:v>43990</c:v>
              </c:pt>
              <c:pt idx="20">
                <c:v>43990</c:v>
              </c:pt>
              <c:pt idx="21">
                <c:v>43991</c:v>
              </c:pt>
              <c:pt idx="22">
                <c:v>43991</c:v>
              </c:pt>
              <c:pt idx="23">
                <c:v>43997</c:v>
              </c:pt>
              <c:pt idx="24">
                <c:v>44004</c:v>
              </c:pt>
              <c:pt idx="25">
                <c:v>44006</c:v>
              </c:pt>
              <c:pt idx="26">
                <c:v>44004</c:v>
              </c:pt>
              <c:pt idx="27">
                <c:v>43991</c:v>
              </c:pt>
              <c:pt idx="28">
                <c:v>43991</c:v>
              </c:pt>
              <c:pt idx="29">
                <c:v>43993</c:v>
              </c:pt>
              <c:pt idx="30">
                <c:v>43992</c:v>
              </c:pt>
              <c:pt idx="31">
                <c:v>43997</c:v>
              </c:pt>
              <c:pt idx="32">
                <c:v>44000</c:v>
              </c:pt>
              <c:pt idx="33">
                <c:v>44012</c:v>
              </c:pt>
              <c:pt idx="34">
                <c:v>44000</c:v>
              </c:pt>
              <c:pt idx="35">
                <c:v>44012</c:v>
              </c:pt>
              <c:pt idx="36">
                <c:v>43997</c:v>
              </c:pt>
              <c:pt idx="37">
                <c:v>44014</c:v>
              </c:pt>
              <c:pt idx="38">
                <c:v>44010</c:v>
              </c:pt>
              <c:pt idx="39">
                <c:v>43997</c:v>
              </c:pt>
              <c:pt idx="40">
                <c:v>44012</c:v>
              </c:pt>
            </c:numLit>
          </c:val>
          <c:extLst>
            <c:ext xmlns:c16="http://schemas.microsoft.com/office/drawing/2014/chart" uri="{C3380CC4-5D6E-409C-BE32-E72D297353CC}">
              <c16:uniqueId val="{00000000-A49F-4D7D-B92E-C3F4B7D620E5}"/>
            </c:ext>
          </c:extLst>
        </c:ser>
        <c:ser>
          <c:idx val="1"/>
          <c:order val="1"/>
          <c:tx>
            <c:v>Duration (Work Days)</c:v>
          </c:tx>
          <c:spPr>
            <a:solidFill>
              <a:srgbClr val="1EA34A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FF33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A49F-4D7D-B92E-C3F4B7D620E5}"/>
              </c:ext>
            </c:extLst>
          </c:dPt>
          <c:dPt>
            <c:idx val="15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A49F-4D7D-B92E-C3F4B7D620E5}"/>
              </c:ext>
            </c:extLst>
          </c:dPt>
          <c:dPt>
            <c:idx val="1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A49F-4D7D-B92E-C3F4B7D620E5}"/>
              </c:ext>
            </c:extLst>
          </c:dPt>
          <c:dPt>
            <c:idx val="31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A49F-4D7D-B92E-C3F4B7D620E5}"/>
              </c:ext>
            </c:extLst>
          </c:dPt>
          <c:dPt>
            <c:idx val="3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A49F-4D7D-B92E-C3F4B7D620E5}"/>
              </c:ext>
            </c:extLst>
          </c:dPt>
          <c:dPt>
            <c:idx val="40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A49F-4D7D-B92E-C3F4B7D620E5}"/>
              </c:ext>
            </c:extLst>
          </c:dPt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1</c:v>
              </c:pt>
              <c:pt idx="1">
                <c:v>1</c:v>
              </c:pt>
              <c:pt idx="2">
                <c:v>5</c:v>
              </c:pt>
              <c:pt idx="3">
                <c:v>2</c:v>
              </c:pt>
              <c:pt idx="5">
                <c:v>5</c:v>
              </c:pt>
              <c:pt idx="6">
                <c:v>5</c:v>
              </c:pt>
              <c:pt idx="7">
                <c:v>5</c:v>
              </c:pt>
              <c:pt idx="8">
                <c:v>5</c:v>
              </c:pt>
              <c:pt idx="9">
                <c:v>5</c:v>
              </c:pt>
              <c:pt idx="10">
                <c:v>5</c:v>
              </c:pt>
              <c:pt idx="11">
                <c:v>9</c:v>
              </c:pt>
              <c:pt idx="12">
                <c:v>2</c:v>
              </c:pt>
              <c:pt idx="13">
                <c:v>2</c:v>
              </c:pt>
              <c:pt idx="14">
                <c:v>2</c:v>
              </c:pt>
              <c:pt idx="15">
                <c:v>2</c:v>
              </c:pt>
              <c:pt idx="16">
                <c:v>2</c:v>
              </c:pt>
              <c:pt idx="17">
                <c:v>1</c:v>
              </c:pt>
              <c:pt idx="18">
                <c:v>2</c:v>
              </c:pt>
              <c:pt idx="19">
                <c:v>22</c:v>
              </c:pt>
              <c:pt idx="20">
                <c:v>1</c:v>
              </c:pt>
              <c:pt idx="21">
                <c:v>16</c:v>
              </c:pt>
              <c:pt idx="22">
                <c:v>4</c:v>
              </c:pt>
              <c:pt idx="23">
                <c:v>3</c:v>
              </c:pt>
              <c:pt idx="24">
                <c:v>2</c:v>
              </c:pt>
              <c:pt idx="25">
                <c:v>4</c:v>
              </c:pt>
              <c:pt idx="26">
                <c:v>1</c:v>
              </c:pt>
              <c:pt idx="27">
                <c:v>8</c:v>
              </c:pt>
              <c:pt idx="28">
                <c:v>2</c:v>
              </c:pt>
              <c:pt idx="29">
                <c:v>3</c:v>
              </c:pt>
              <c:pt idx="30">
                <c:v>3</c:v>
              </c:pt>
              <c:pt idx="31">
                <c:v>1</c:v>
              </c:pt>
              <c:pt idx="32">
                <c:v>14</c:v>
              </c:pt>
              <c:pt idx="33">
                <c:v>2</c:v>
              </c:pt>
              <c:pt idx="34">
                <c:v>2</c:v>
              </c:pt>
              <c:pt idx="35">
                <c:v>1</c:v>
              </c:pt>
              <c:pt idx="36">
                <c:v>22</c:v>
              </c:pt>
              <c:pt idx="37">
                <c:v>3</c:v>
              </c:pt>
              <c:pt idx="38">
                <c:v>2</c:v>
              </c:pt>
              <c:pt idx="39">
                <c:v>2</c:v>
              </c:pt>
              <c:pt idx="40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0D-A49F-4D7D-B92E-C3F4B7D620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281821408"/>
        <c:axId val="375242888"/>
      </c:barChart>
      <c:catAx>
        <c:axId val="281821408"/>
        <c:scaling>
          <c:orientation val="maxMin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400" b="1"/>
                  <a:t>Scope</a:t>
                </a:r>
                <a:r>
                  <a:rPr lang="en-US" sz="2400" b="1" baseline="0"/>
                  <a:t> of Work</a:t>
                </a:r>
                <a:endParaRPr lang="en-US" sz="24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5242888"/>
        <c:crosses val="autoZero"/>
        <c:auto val="1"/>
        <c:lblAlgn val="ctr"/>
        <c:lblOffset val="100"/>
        <c:noMultiLvlLbl val="0"/>
      </c:catAx>
      <c:valAx>
        <c:axId val="375242888"/>
        <c:scaling>
          <c:orientation val="minMax"/>
          <c:max val="43660"/>
          <c:min val="43460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1821408"/>
        <c:crosses val="autoZero"/>
        <c:crossBetween val="between"/>
        <c:majorUnit val="7"/>
        <c:min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accent1">
          <a:alpha val="92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>
      <c:oddFooter>&amp;L20/06/2018 - v1&amp;R Project Programme:  808kWp Sable Square</c:oddFooter>
    </c:headerFooter>
    <c:pageMargins b="0" l="0.31496062992125984" r="0.31496062992125984" t="0" header="0.31496062992125984" footer="0.31496062992125984"/>
    <c:pageSetup paperSize="9" orientation="landscape" horizontalDpi="-3" verticalDpi="-3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v>Start Date</c:v>
          </c:tx>
          <c:spPr>
            <a:noFill/>
            <a:ln>
              <a:noFill/>
            </a:ln>
            <a:effectLst/>
          </c:spPr>
          <c:invertIfNegative val="0"/>
          <c:cat>
            <c:strRef>
              <c:f>'Project Plan'!$S$19:$S$28</c:f>
              <c:strCache>
                <c:ptCount val="10"/>
                <c:pt idx="0">
                  <c:v>Procurement &amp; Contracting</c:v>
                </c:pt>
                <c:pt idx="1">
                  <c:v>Extras &amp; Civil Works</c:v>
                </c:pt>
                <c:pt idx="2">
                  <c:v>DC Works - Rooftop</c:v>
                </c:pt>
                <c:pt idx="3">
                  <c:v>DC Works - Ground Mount</c:v>
                </c:pt>
                <c:pt idx="4">
                  <c:v>AC Installation - Ground Mount</c:v>
                </c:pt>
                <c:pt idx="5">
                  <c:v>AC Installation - Rooftop</c:v>
                </c:pt>
                <c:pt idx="6">
                  <c:v>Transformer Installation</c:v>
                </c:pt>
                <c:pt idx="7">
                  <c:v>Commissioning</c:v>
                </c:pt>
                <c:pt idx="8">
                  <c:v>QA Inspection &amp; Snag Completion</c:v>
                </c:pt>
                <c:pt idx="9">
                  <c:v>Project Closure</c:v>
                </c:pt>
              </c:strCache>
            </c:strRef>
          </c:cat>
          <c:val>
            <c:numRef>
              <c:f>'Project Plan'!$T$19:$T$28</c:f>
              <c:numCache>
                <c:formatCode>d\-mmm\-yy</c:formatCode>
                <c:ptCount val="10"/>
                <c:pt idx="0">
                  <c:v>45796</c:v>
                </c:pt>
                <c:pt idx="1">
                  <c:v>45830</c:v>
                </c:pt>
                <c:pt idx="2">
                  <c:v>45894</c:v>
                </c:pt>
                <c:pt idx="3">
                  <c:v>45938</c:v>
                </c:pt>
                <c:pt idx="4">
                  <c:v>45990</c:v>
                </c:pt>
                <c:pt idx="5">
                  <c:v>45915</c:v>
                </c:pt>
                <c:pt idx="6">
                  <c:v>45986</c:v>
                </c:pt>
                <c:pt idx="7">
                  <c:v>46006</c:v>
                </c:pt>
                <c:pt idx="8">
                  <c:v>46048</c:v>
                </c:pt>
                <c:pt idx="9">
                  <c:v>46006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B68-4D18-B07C-097E4ECEB747}"/>
            </c:ext>
          </c:extLst>
        </c:ser>
        <c:ser>
          <c:idx val="1"/>
          <c:order val="1"/>
          <c:tx>
            <c:strRef>
              <c:f>'Project Plan'!$U$18</c:f>
              <c:strCache>
                <c:ptCount val="1"/>
                <c:pt idx="0">
                  <c:v>Total Duration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'Project Plan'!$S$19:$S$28</c:f>
              <c:strCache>
                <c:ptCount val="10"/>
                <c:pt idx="0">
                  <c:v>Procurement &amp; Contracting</c:v>
                </c:pt>
                <c:pt idx="1">
                  <c:v>Extras &amp; Civil Works</c:v>
                </c:pt>
                <c:pt idx="2">
                  <c:v>DC Works - Rooftop</c:v>
                </c:pt>
                <c:pt idx="3">
                  <c:v>DC Works - Ground Mount</c:v>
                </c:pt>
                <c:pt idx="4">
                  <c:v>AC Installation - Ground Mount</c:v>
                </c:pt>
                <c:pt idx="5">
                  <c:v>AC Installation - Rooftop</c:v>
                </c:pt>
                <c:pt idx="6">
                  <c:v>Transformer Installation</c:v>
                </c:pt>
                <c:pt idx="7">
                  <c:v>Commissioning</c:v>
                </c:pt>
                <c:pt idx="8">
                  <c:v>QA Inspection &amp; Snag Completion</c:v>
                </c:pt>
                <c:pt idx="9">
                  <c:v>Project Closure</c:v>
                </c:pt>
              </c:strCache>
            </c:strRef>
          </c:cat>
          <c:val>
            <c:numRef>
              <c:f>'Project Plan'!$U$19:$U$28</c:f>
              <c:numCache>
                <c:formatCode>General</c:formatCode>
                <c:ptCount val="10"/>
                <c:pt idx="0">
                  <c:v>193</c:v>
                </c:pt>
                <c:pt idx="1">
                  <c:v>212</c:v>
                </c:pt>
                <c:pt idx="2">
                  <c:v>147</c:v>
                </c:pt>
                <c:pt idx="3">
                  <c:v>120</c:v>
                </c:pt>
                <c:pt idx="4">
                  <c:v>17</c:v>
                </c:pt>
                <c:pt idx="5">
                  <c:v>92</c:v>
                </c:pt>
                <c:pt idx="6">
                  <c:v>22</c:v>
                </c:pt>
                <c:pt idx="7">
                  <c:v>59</c:v>
                </c:pt>
                <c:pt idx="8">
                  <c:v>22</c:v>
                </c:pt>
                <c:pt idx="9">
                  <c:v>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B68-4D18-B07C-097E4ECEB7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20"/>
        <c:overlap val="100"/>
        <c:axId val="1167290991"/>
        <c:axId val="1167287631"/>
      </c:barChart>
      <c:scatterChart>
        <c:scatterStyle val="lineMarker"/>
        <c:varyColors val="0"/>
        <c:ser>
          <c:idx val="2"/>
          <c:order val="2"/>
          <c:tx>
            <c:v>today</c:v>
          </c:tx>
          <c:spPr>
            <a:ln w="50800" cap="rnd" cmpd="sng">
              <a:solidFill>
                <a:schemeClr val="tx1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'Project Plan'!$AE$21:$AF$21</c:f>
              <c:numCache>
                <c:formatCode>m/d/yyyy</c:formatCode>
                <c:ptCount val="2"/>
                <c:pt idx="0">
                  <c:v>46063</c:v>
                </c:pt>
                <c:pt idx="1">
                  <c:v>46063</c:v>
                </c:pt>
              </c:numCache>
            </c:numRef>
          </c:xVal>
          <c:yVal>
            <c:numRef>
              <c:f>'Project Plan'!$AE$22:$AF$22</c:f>
              <c:numCache>
                <c:formatCode>General</c:formatCode>
                <c:ptCount val="2"/>
                <c:pt idx="0">
                  <c:v>1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4B68-4D18-B07C-097E4ECEB7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63713407"/>
        <c:axId val="1163711967"/>
      </c:scatterChart>
      <c:catAx>
        <c:axId val="1167290991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7287631"/>
        <c:crosses val="autoZero"/>
        <c:auto val="1"/>
        <c:lblAlgn val="ctr"/>
        <c:lblOffset val="100"/>
        <c:noMultiLvlLbl val="0"/>
      </c:catAx>
      <c:valAx>
        <c:axId val="1167287631"/>
        <c:scaling>
          <c:orientation val="minMax"/>
          <c:min val="45961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d\-mmm\-yy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11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7290991"/>
        <c:crosses val="autoZero"/>
        <c:crossBetween val="between"/>
        <c:majorUnit val="7"/>
      </c:valAx>
      <c:valAx>
        <c:axId val="1163711967"/>
        <c:scaling>
          <c:orientation val="minMax"/>
          <c:max val="1"/>
        </c:scaling>
        <c:delete val="1"/>
        <c:axPos val="r"/>
        <c:numFmt formatCode="General" sourceLinked="1"/>
        <c:majorTickMark val="out"/>
        <c:minorTickMark val="none"/>
        <c:tickLblPos val="nextTo"/>
        <c:crossAx val="1163713407"/>
        <c:crosses val="max"/>
        <c:crossBetween val="midCat"/>
      </c:valAx>
      <c:valAx>
        <c:axId val="1163713407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116371196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sz="1600" b="1"/>
              <a:t>Revenue &amp; Expenditure Tracking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3"/>
          <c:order val="0"/>
          <c:tx>
            <c:strRef>
              <c:f>Cashflow!$B$3</c:f>
              <c:strCache>
                <c:ptCount val="1"/>
                <c:pt idx="0">
                  <c:v>Planned Revenue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6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ot"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Cashflow!$F$4:$LD$4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15000000</c:v>
                </c:pt>
                <c:pt idx="19">
                  <c:v>15000000</c:v>
                </c:pt>
                <c:pt idx="20">
                  <c:v>15000000</c:v>
                </c:pt>
                <c:pt idx="21">
                  <c:v>15000000</c:v>
                </c:pt>
                <c:pt idx="22">
                  <c:v>15000000</c:v>
                </c:pt>
                <c:pt idx="23">
                  <c:v>15000000</c:v>
                </c:pt>
                <c:pt idx="24">
                  <c:v>15000000</c:v>
                </c:pt>
                <c:pt idx="25">
                  <c:v>15000000</c:v>
                </c:pt>
                <c:pt idx="26">
                  <c:v>32998500</c:v>
                </c:pt>
                <c:pt idx="27">
                  <c:v>32998500</c:v>
                </c:pt>
                <c:pt idx="28">
                  <c:v>32998500</c:v>
                </c:pt>
                <c:pt idx="29">
                  <c:v>32998500</c:v>
                </c:pt>
                <c:pt idx="30">
                  <c:v>32998500</c:v>
                </c:pt>
                <c:pt idx="31">
                  <c:v>41996500</c:v>
                </c:pt>
                <c:pt idx="32">
                  <c:v>41996500</c:v>
                </c:pt>
                <c:pt idx="33">
                  <c:v>41996500</c:v>
                </c:pt>
                <c:pt idx="34">
                  <c:v>41996500</c:v>
                </c:pt>
                <c:pt idx="35">
                  <c:v>50995750</c:v>
                </c:pt>
                <c:pt idx="36">
                  <c:v>50995750</c:v>
                </c:pt>
                <c:pt idx="37">
                  <c:v>50995750</c:v>
                </c:pt>
                <c:pt idx="38">
                  <c:v>50995750</c:v>
                </c:pt>
                <c:pt idx="39">
                  <c:v>50995750</c:v>
                </c:pt>
                <c:pt idx="40">
                  <c:v>50995750</c:v>
                </c:pt>
                <c:pt idx="41">
                  <c:v>50995750</c:v>
                </c:pt>
                <c:pt idx="42">
                  <c:v>50995750</c:v>
                </c:pt>
                <c:pt idx="43">
                  <c:v>56995250</c:v>
                </c:pt>
                <c:pt idx="44">
                  <c:v>56995250</c:v>
                </c:pt>
                <c:pt idx="45">
                  <c:v>56995250</c:v>
                </c:pt>
                <c:pt idx="46">
                  <c:v>59995000</c:v>
                </c:pt>
                <c:pt idx="47">
                  <c:v>59995000</c:v>
                </c:pt>
                <c:pt idx="48">
                  <c:v>59995000</c:v>
                </c:pt>
                <c:pt idx="49">
                  <c:v>59995000</c:v>
                </c:pt>
                <c:pt idx="50">
                  <c:v>59995000</c:v>
                </c:pt>
                <c:pt idx="51">
                  <c:v>59995000</c:v>
                </c:pt>
                <c:pt idx="52">
                  <c:v>59995000</c:v>
                </c:pt>
                <c:pt idx="53">
                  <c:v>59995000</c:v>
                </c:pt>
                <c:pt idx="54">
                  <c:v>59995000</c:v>
                </c:pt>
                <c:pt idx="55">
                  <c:v>59995000</c:v>
                </c:pt>
                <c:pt idx="56">
                  <c:v>59995000</c:v>
                </c:pt>
                <c:pt idx="57">
                  <c:v>59995000</c:v>
                </c:pt>
                <c:pt idx="58">
                  <c:v>59995000</c:v>
                </c:pt>
                <c:pt idx="59">
                  <c:v>59995000</c:v>
                </c:pt>
                <c:pt idx="60">
                  <c:v>59995000</c:v>
                </c:pt>
                <c:pt idx="61">
                  <c:v>59995000</c:v>
                </c:pt>
                <c:pt idx="62">
                  <c:v>59995000</c:v>
                </c:pt>
                <c:pt idx="63">
                  <c:v>59995000</c:v>
                </c:pt>
                <c:pt idx="64">
                  <c:v>59995000</c:v>
                </c:pt>
                <c:pt idx="65">
                  <c:v>59995000</c:v>
                </c:pt>
                <c:pt idx="66">
                  <c:v>59995000</c:v>
                </c:pt>
                <c:pt idx="67">
                  <c:v>59995000</c:v>
                </c:pt>
                <c:pt idx="68">
                  <c:v>59995000</c:v>
                </c:pt>
                <c:pt idx="69">
                  <c:v>59995000</c:v>
                </c:pt>
                <c:pt idx="70">
                  <c:v>59995000</c:v>
                </c:pt>
                <c:pt idx="71">
                  <c:v>59995000</c:v>
                </c:pt>
                <c:pt idx="72">
                  <c:v>59995000</c:v>
                </c:pt>
                <c:pt idx="73">
                  <c:v>59995000</c:v>
                </c:pt>
                <c:pt idx="74">
                  <c:v>59995000</c:v>
                </c:pt>
                <c:pt idx="75">
                  <c:v>59995000</c:v>
                </c:pt>
                <c:pt idx="76">
                  <c:v>59995000</c:v>
                </c:pt>
                <c:pt idx="77">
                  <c:v>59995000</c:v>
                </c:pt>
                <c:pt idx="78">
                  <c:v>59995000</c:v>
                </c:pt>
                <c:pt idx="79">
                  <c:v>59995000</c:v>
                </c:pt>
                <c:pt idx="80">
                  <c:v>59995000</c:v>
                </c:pt>
                <c:pt idx="81">
                  <c:v>59995000</c:v>
                </c:pt>
                <c:pt idx="82">
                  <c:v>59995000</c:v>
                </c:pt>
                <c:pt idx="83">
                  <c:v>59995000</c:v>
                </c:pt>
                <c:pt idx="84">
                  <c:v>59995000</c:v>
                </c:pt>
                <c:pt idx="85">
                  <c:v>59995000</c:v>
                </c:pt>
                <c:pt idx="86">
                  <c:v>59995000</c:v>
                </c:pt>
                <c:pt idx="87">
                  <c:v>59995000</c:v>
                </c:pt>
                <c:pt idx="88">
                  <c:v>59995000</c:v>
                </c:pt>
                <c:pt idx="89">
                  <c:v>59995000</c:v>
                </c:pt>
                <c:pt idx="90">
                  <c:v>59995000</c:v>
                </c:pt>
                <c:pt idx="91">
                  <c:v>59995000</c:v>
                </c:pt>
                <c:pt idx="92">
                  <c:v>59995000</c:v>
                </c:pt>
                <c:pt idx="93">
                  <c:v>59995000</c:v>
                </c:pt>
                <c:pt idx="94">
                  <c:v>59995000</c:v>
                </c:pt>
                <c:pt idx="95">
                  <c:v>59995000</c:v>
                </c:pt>
                <c:pt idx="96">
                  <c:v>59995000</c:v>
                </c:pt>
                <c:pt idx="97">
                  <c:v>59995000</c:v>
                </c:pt>
                <c:pt idx="98">
                  <c:v>59995000</c:v>
                </c:pt>
                <c:pt idx="99">
                  <c:v>59995000</c:v>
                </c:pt>
                <c:pt idx="100">
                  <c:v>59995000</c:v>
                </c:pt>
                <c:pt idx="101">
                  <c:v>59995000</c:v>
                </c:pt>
                <c:pt idx="102">
                  <c:v>59995000</c:v>
                </c:pt>
                <c:pt idx="103">
                  <c:v>59995000</c:v>
                </c:pt>
                <c:pt idx="104">
                  <c:v>59995000</c:v>
                </c:pt>
                <c:pt idx="105">
                  <c:v>59995000</c:v>
                </c:pt>
                <c:pt idx="106">
                  <c:v>59995000</c:v>
                </c:pt>
                <c:pt idx="107">
                  <c:v>59995000</c:v>
                </c:pt>
                <c:pt idx="108">
                  <c:v>59995000</c:v>
                </c:pt>
                <c:pt idx="109">
                  <c:v>59995000</c:v>
                </c:pt>
                <c:pt idx="110">
                  <c:v>59995000</c:v>
                </c:pt>
                <c:pt idx="111">
                  <c:v>59995000</c:v>
                </c:pt>
                <c:pt idx="112">
                  <c:v>59995000</c:v>
                </c:pt>
                <c:pt idx="113">
                  <c:v>59995000</c:v>
                </c:pt>
                <c:pt idx="114">
                  <c:v>59995000</c:v>
                </c:pt>
                <c:pt idx="115">
                  <c:v>59995000</c:v>
                </c:pt>
                <c:pt idx="116">
                  <c:v>59995000</c:v>
                </c:pt>
                <c:pt idx="117">
                  <c:v>59995000</c:v>
                </c:pt>
                <c:pt idx="118">
                  <c:v>59995000</c:v>
                </c:pt>
                <c:pt idx="119">
                  <c:v>59995000</c:v>
                </c:pt>
                <c:pt idx="120">
                  <c:v>59995000</c:v>
                </c:pt>
                <c:pt idx="121">
                  <c:v>59995000</c:v>
                </c:pt>
                <c:pt idx="122">
                  <c:v>59995000</c:v>
                </c:pt>
                <c:pt idx="123">
                  <c:v>59995000</c:v>
                </c:pt>
                <c:pt idx="124">
                  <c:v>59995000</c:v>
                </c:pt>
                <c:pt idx="125">
                  <c:v>59995000</c:v>
                </c:pt>
                <c:pt idx="126">
                  <c:v>59995000</c:v>
                </c:pt>
                <c:pt idx="127">
                  <c:v>59995000</c:v>
                </c:pt>
                <c:pt idx="128">
                  <c:v>59995000</c:v>
                </c:pt>
                <c:pt idx="129">
                  <c:v>59995000</c:v>
                </c:pt>
                <c:pt idx="130">
                  <c:v>59995000</c:v>
                </c:pt>
                <c:pt idx="131">
                  <c:v>59995000</c:v>
                </c:pt>
                <c:pt idx="132">
                  <c:v>59995000</c:v>
                </c:pt>
                <c:pt idx="133">
                  <c:v>59995000</c:v>
                </c:pt>
                <c:pt idx="134">
                  <c:v>59995000</c:v>
                </c:pt>
                <c:pt idx="135">
                  <c:v>59995000</c:v>
                </c:pt>
                <c:pt idx="136">
                  <c:v>59995000</c:v>
                </c:pt>
                <c:pt idx="137">
                  <c:v>59995000</c:v>
                </c:pt>
                <c:pt idx="138">
                  <c:v>59995000</c:v>
                </c:pt>
                <c:pt idx="139">
                  <c:v>59995000</c:v>
                </c:pt>
                <c:pt idx="140">
                  <c:v>59995000</c:v>
                </c:pt>
                <c:pt idx="141">
                  <c:v>59995000</c:v>
                </c:pt>
                <c:pt idx="142">
                  <c:v>59995000</c:v>
                </c:pt>
                <c:pt idx="143">
                  <c:v>59995000</c:v>
                </c:pt>
                <c:pt idx="144">
                  <c:v>59995000</c:v>
                </c:pt>
                <c:pt idx="145">
                  <c:v>59995000</c:v>
                </c:pt>
                <c:pt idx="146">
                  <c:v>59995000</c:v>
                </c:pt>
                <c:pt idx="147">
                  <c:v>59995000</c:v>
                </c:pt>
                <c:pt idx="148">
                  <c:v>59995000</c:v>
                </c:pt>
                <c:pt idx="149">
                  <c:v>59995000</c:v>
                </c:pt>
                <c:pt idx="150">
                  <c:v>59995000</c:v>
                </c:pt>
                <c:pt idx="151">
                  <c:v>59995000</c:v>
                </c:pt>
                <c:pt idx="152">
                  <c:v>59995000</c:v>
                </c:pt>
                <c:pt idx="153">
                  <c:v>59995000</c:v>
                </c:pt>
                <c:pt idx="154">
                  <c:v>59995000</c:v>
                </c:pt>
                <c:pt idx="155">
                  <c:v>59995000</c:v>
                </c:pt>
                <c:pt idx="156">
                  <c:v>59995000</c:v>
                </c:pt>
                <c:pt idx="157">
                  <c:v>59995000</c:v>
                </c:pt>
                <c:pt idx="158">
                  <c:v>59995000</c:v>
                </c:pt>
                <c:pt idx="159">
                  <c:v>59995000</c:v>
                </c:pt>
                <c:pt idx="160">
                  <c:v>59995000</c:v>
                </c:pt>
                <c:pt idx="161">
                  <c:v>59995000</c:v>
                </c:pt>
                <c:pt idx="162">
                  <c:v>59995000</c:v>
                </c:pt>
                <c:pt idx="163">
                  <c:v>59995000</c:v>
                </c:pt>
                <c:pt idx="164">
                  <c:v>59995000</c:v>
                </c:pt>
                <c:pt idx="165">
                  <c:v>59995000</c:v>
                </c:pt>
                <c:pt idx="166">
                  <c:v>59995000</c:v>
                </c:pt>
                <c:pt idx="167">
                  <c:v>59995000</c:v>
                </c:pt>
                <c:pt idx="168">
                  <c:v>59995000</c:v>
                </c:pt>
                <c:pt idx="169">
                  <c:v>59995000</c:v>
                </c:pt>
                <c:pt idx="170">
                  <c:v>59995000</c:v>
                </c:pt>
                <c:pt idx="171">
                  <c:v>59995000</c:v>
                </c:pt>
                <c:pt idx="172">
                  <c:v>59995000</c:v>
                </c:pt>
                <c:pt idx="173">
                  <c:v>59995000</c:v>
                </c:pt>
                <c:pt idx="174">
                  <c:v>59995000</c:v>
                </c:pt>
                <c:pt idx="175">
                  <c:v>59995000</c:v>
                </c:pt>
                <c:pt idx="176">
                  <c:v>59995000</c:v>
                </c:pt>
                <c:pt idx="177">
                  <c:v>59995000</c:v>
                </c:pt>
                <c:pt idx="178">
                  <c:v>59995000</c:v>
                </c:pt>
                <c:pt idx="179">
                  <c:v>59995000</c:v>
                </c:pt>
                <c:pt idx="180">
                  <c:v>59995000</c:v>
                </c:pt>
                <c:pt idx="181">
                  <c:v>59995000</c:v>
                </c:pt>
                <c:pt idx="182">
                  <c:v>59995000</c:v>
                </c:pt>
                <c:pt idx="183">
                  <c:v>59995000</c:v>
                </c:pt>
                <c:pt idx="184">
                  <c:v>59995000</c:v>
                </c:pt>
                <c:pt idx="185">
                  <c:v>59995000</c:v>
                </c:pt>
                <c:pt idx="186">
                  <c:v>59995000</c:v>
                </c:pt>
                <c:pt idx="187">
                  <c:v>59995000</c:v>
                </c:pt>
                <c:pt idx="188">
                  <c:v>59995000</c:v>
                </c:pt>
                <c:pt idx="189">
                  <c:v>59995000</c:v>
                </c:pt>
                <c:pt idx="190">
                  <c:v>59995000</c:v>
                </c:pt>
                <c:pt idx="191">
                  <c:v>59995000</c:v>
                </c:pt>
                <c:pt idx="192">
                  <c:v>59995000</c:v>
                </c:pt>
                <c:pt idx="193">
                  <c:v>59995000</c:v>
                </c:pt>
                <c:pt idx="194">
                  <c:v>59995000</c:v>
                </c:pt>
                <c:pt idx="195">
                  <c:v>59995000</c:v>
                </c:pt>
                <c:pt idx="196">
                  <c:v>59995000</c:v>
                </c:pt>
                <c:pt idx="197">
                  <c:v>59995000</c:v>
                </c:pt>
                <c:pt idx="198">
                  <c:v>59995000</c:v>
                </c:pt>
                <c:pt idx="199">
                  <c:v>59995000</c:v>
                </c:pt>
                <c:pt idx="200">
                  <c:v>59995000</c:v>
                </c:pt>
                <c:pt idx="201">
                  <c:v>59995000</c:v>
                </c:pt>
                <c:pt idx="202">
                  <c:v>59995000</c:v>
                </c:pt>
                <c:pt idx="203">
                  <c:v>59995000</c:v>
                </c:pt>
                <c:pt idx="204">
                  <c:v>59995000</c:v>
                </c:pt>
                <c:pt idx="205">
                  <c:v>59995000</c:v>
                </c:pt>
                <c:pt idx="206">
                  <c:v>59995000</c:v>
                </c:pt>
                <c:pt idx="207">
                  <c:v>59995000</c:v>
                </c:pt>
                <c:pt idx="208">
                  <c:v>59995000</c:v>
                </c:pt>
                <c:pt idx="209">
                  <c:v>59995000</c:v>
                </c:pt>
                <c:pt idx="210">
                  <c:v>59995000</c:v>
                </c:pt>
                <c:pt idx="211">
                  <c:v>59995000</c:v>
                </c:pt>
                <c:pt idx="212">
                  <c:v>59995000</c:v>
                </c:pt>
                <c:pt idx="213">
                  <c:v>59995000</c:v>
                </c:pt>
                <c:pt idx="214">
                  <c:v>59995000</c:v>
                </c:pt>
                <c:pt idx="215">
                  <c:v>59995000</c:v>
                </c:pt>
                <c:pt idx="216">
                  <c:v>59995000</c:v>
                </c:pt>
                <c:pt idx="217">
                  <c:v>59995000</c:v>
                </c:pt>
                <c:pt idx="218">
                  <c:v>59995000</c:v>
                </c:pt>
                <c:pt idx="219">
                  <c:v>59995000</c:v>
                </c:pt>
                <c:pt idx="220">
                  <c:v>59995000</c:v>
                </c:pt>
                <c:pt idx="221">
                  <c:v>59995000</c:v>
                </c:pt>
                <c:pt idx="222">
                  <c:v>59995000</c:v>
                </c:pt>
                <c:pt idx="223">
                  <c:v>59995000</c:v>
                </c:pt>
                <c:pt idx="224">
                  <c:v>59995000</c:v>
                </c:pt>
                <c:pt idx="225">
                  <c:v>59995000</c:v>
                </c:pt>
                <c:pt idx="226">
                  <c:v>59995000</c:v>
                </c:pt>
                <c:pt idx="227">
                  <c:v>59995000</c:v>
                </c:pt>
                <c:pt idx="228">
                  <c:v>59995000</c:v>
                </c:pt>
                <c:pt idx="229">
                  <c:v>59995000</c:v>
                </c:pt>
                <c:pt idx="230">
                  <c:v>59995000</c:v>
                </c:pt>
                <c:pt idx="231">
                  <c:v>59995000</c:v>
                </c:pt>
                <c:pt idx="232">
                  <c:v>59995000</c:v>
                </c:pt>
                <c:pt idx="233">
                  <c:v>59995000</c:v>
                </c:pt>
                <c:pt idx="234">
                  <c:v>59995000</c:v>
                </c:pt>
                <c:pt idx="235">
                  <c:v>59995000</c:v>
                </c:pt>
                <c:pt idx="236">
                  <c:v>59995000</c:v>
                </c:pt>
                <c:pt idx="237">
                  <c:v>59995000</c:v>
                </c:pt>
                <c:pt idx="238">
                  <c:v>59995000</c:v>
                </c:pt>
                <c:pt idx="239">
                  <c:v>59995000</c:v>
                </c:pt>
                <c:pt idx="240">
                  <c:v>59995000</c:v>
                </c:pt>
                <c:pt idx="241">
                  <c:v>59995000</c:v>
                </c:pt>
                <c:pt idx="242">
                  <c:v>59995000</c:v>
                </c:pt>
                <c:pt idx="243">
                  <c:v>59995000</c:v>
                </c:pt>
                <c:pt idx="244">
                  <c:v>59995000</c:v>
                </c:pt>
                <c:pt idx="245">
                  <c:v>59995000</c:v>
                </c:pt>
                <c:pt idx="246">
                  <c:v>59995000</c:v>
                </c:pt>
                <c:pt idx="247">
                  <c:v>59995000</c:v>
                </c:pt>
                <c:pt idx="248">
                  <c:v>59995000</c:v>
                </c:pt>
                <c:pt idx="249">
                  <c:v>59995000</c:v>
                </c:pt>
                <c:pt idx="250">
                  <c:v>59995000</c:v>
                </c:pt>
                <c:pt idx="251">
                  <c:v>59995000</c:v>
                </c:pt>
                <c:pt idx="252">
                  <c:v>59995000</c:v>
                </c:pt>
                <c:pt idx="253">
                  <c:v>59995000</c:v>
                </c:pt>
                <c:pt idx="254">
                  <c:v>59995000</c:v>
                </c:pt>
                <c:pt idx="255">
                  <c:v>59995000</c:v>
                </c:pt>
                <c:pt idx="256">
                  <c:v>59995000</c:v>
                </c:pt>
                <c:pt idx="257">
                  <c:v>59995000</c:v>
                </c:pt>
                <c:pt idx="258">
                  <c:v>59995000</c:v>
                </c:pt>
                <c:pt idx="259">
                  <c:v>59995000</c:v>
                </c:pt>
                <c:pt idx="260">
                  <c:v>59995000</c:v>
                </c:pt>
                <c:pt idx="261">
                  <c:v>59995000</c:v>
                </c:pt>
                <c:pt idx="262">
                  <c:v>59995000</c:v>
                </c:pt>
                <c:pt idx="263">
                  <c:v>59995000</c:v>
                </c:pt>
                <c:pt idx="264">
                  <c:v>59995000</c:v>
                </c:pt>
                <c:pt idx="265">
                  <c:v>59995000</c:v>
                </c:pt>
                <c:pt idx="266">
                  <c:v>59995000</c:v>
                </c:pt>
                <c:pt idx="267">
                  <c:v>59995000</c:v>
                </c:pt>
                <c:pt idx="268">
                  <c:v>59995000</c:v>
                </c:pt>
                <c:pt idx="269">
                  <c:v>59995000</c:v>
                </c:pt>
                <c:pt idx="270">
                  <c:v>59995000</c:v>
                </c:pt>
                <c:pt idx="271">
                  <c:v>59995000</c:v>
                </c:pt>
                <c:pt idx="272">
                  <c:v>59995000</c:v>
                </c:pt>
                <c:pt idx="273">
                  <c:v>59995000</c:v>
                </c:pt>
                <c:pt idx="274">
                  <c:v>59995000</c:v>
                </c:pt>
                <c:pt idx="275">
                  <c:v>59995000</c:v>
                </c:pt>
                <c:pt idx="276">
                  <c:v>59995000</c:v>
                </c:pt>
                <c:pt idx="277">
                  <c:v>59995000</c:v>
                </c:pt>
                <c:pt idx="278">
                  <c:v>59995000</c:v>
                </c:pt>
                <c:pt idx="279">
                  <c:v>59995000</c:v>
                </c:pt>
                <c:pt idx="280">
                  <c:v>59995000</c:v>
                </c:pt>
                <c:pt idx="281">
                  <c:v>59995000</c:v>
                </c:pt>
                <c:pt idx="282">
                  <c:v>59995000</c:v>
                </c:pt>
                <c:pt idx="283">
                  <c:v>59995000</c:v>
                </c:pt>
                <c:pt idx="284">
                  <c:v>59995000</c:v>
                </c:pt>
                <c:pt idx="285">
                  <c:v>59995000</c:v>
                </c:pt>
                <c:pt idx="286">
                  <c:v>59995000</c:v>
                </c:pt>
                <c:pt idx="287">
                  <c:v>59995000</c:v>
                </c:pt>
                <c:pt idx="288">
                  <c:v>59995000</c:v>
                </c:pt>
                <c:pt idx="289">
                  <c:v>59995000</c:v>
                </c:pt>
                <c:pt idx="290">
                  <c:v>59995000</c:v>
                </c:pt>
                <c:pt idx="291">
                  <c:v>59995000</c:v>
                </c:pt>
                <c:pt idx="292">
                  <c:v>59995000</c:v>
                </c:pt>
                <c:pt idx="293">
                  <c:v>59995000</c:v>
                </c:pt>
                <c:pt idx="294">
                  <c:v>59995000</c:v>
                </c:pt>
                <c:pt idx="295">
                  <c:v>59995000</c:v>
                </c:pt>
                <c:pt idx="296">
                  <c:v>59995000</c:v>
                </c:pt>
                <c:pt idx="297">
                  <c:v>59995000</c:v>
                </c:pt>
                <c:pt idx="298">
                  <c:v>59995000</c:v>
                </c:pt>
                <c:pt idx="299">
                  <c:v>59995000</c:v>
                </c:pt>
                <c:pt idx="300">
                  <c:v>59995000</c:v>
                </c:pt>
                <c:pt idx="301">
                  <c:v>59995000</c:v>
                </c:pt>
                <c:pt idx="302">
                  <c:v>59995000</c:v>
                </c:pt>
                <c:pt idx="303">
                  <c:v>59995000</c:v>
                </c:pt>
                <c:pt idx="304">
                  <c:v>59995000</c:v>
                </c:pt>
                <c:pt idx="305">
                  <c:v>59995000</c:v>
                </c:pt>
                <c:pt idx="306">
                  <c:v>59995000</c:v>
                </c:pt>
                <c:pt idx="307">
                  <c:v>59995000</c:v>
                </c:pt>
                <c:pt idx="308">
                  <c:v>59995000</c:v>
                </c:pt>
                <c:pt idx="309">
                  <c:v>59995000</c:v>
                </c:pt>
                <c:pt idx="310">
                  <c:v>59995000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5-87FF-4017-AD68-239E69E2455E}"/>
            </c:ext>
          </c:extLst>
        </c:ser>
        <c:ser>
          <c:idx val="4"/>
          <c:order val="1"/>
          <c:tx>
            <c:strRef>
              <c:f>Cashflow!$B$5</c:f>
              <c:strCache>
                <c:ptCount val="1"/>
                <c:pt idx="0">
                  <c:v>Planned Expenditure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2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noFill/>
              <a:ln w="9525">
                <a:noFill/>
                <a:prstDash val="sysDot"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Cashflow!$F$6:$LD$6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2760000</c:v>
                </c:pt>
                <c:pt idx="21">
                  <c:v>17297831.300000001</c:v>
                </c:pt>
                <c:pt idx="22">
                  <c:v>21658242.537</c:v>
                </c:pt>
                <c:pt idx="23">
                  <c:v>21778242.537</c:v>
                </c:pt>
                <c:pt idx="24">
                  <c:v>21778242.537</c:v>
                </c:pt>
                <c:pt idx="25">
                  <c:v>21778242.537</c:v>
                </c:pt>
                <c:pt idx="26">
                  <c:v>21812242.537</c:v>
                </c:pt>
                <c:pt idx="27">
                  <c:v>29171028.446734875</c:v>
                </c:pt>
                <c:pt idx="28">
                  <c:v>29171028.446734875</c:v>
                </c:pt>
                <c:pt idx="29">
                  <c:v>29171028.446734875</c:v>
                </c:pt>
                <c:pt idx="30">
                  <c:v>29171028.446734875</c:v>
                </c:pt>
                <c:pt idx="31">
                  <c:v>31216028.446734875</c:v>
                </c:pt>
                <c:pt idx="32">
                  <c:v>42215837.346734874</c:v>
                </c:pt>
                <c:pt idx="33">
                  <c:v>42215837.346734874</c:v>
                </c:pt>
                <c:pt idx="34">
                  <c:v>42215837.346734874</c:v>
                </c:pt>
                <c:pt idx="35">
                  <c:v>42610141.580068208</c:v>
                </c:pt>
                <c:pt idx="36">
                  <c:v>42610141.580068208</c:v>
                </c:pt>
                <c:pt idx="37">
                  <c:v>42610141.580068208</c:v>
                </c:pt>
                <c:pt idx="38">
                  <c:v>54641002.188568205</c:v>
                </c:pt>
                <c:pt idx="39">
                  <c:v>54641002.188568205</c:v>
                </c:pt>
                <c:pt idx="40">
                  <c:v>54641002.188568205</c:v>
                </c:pt>
                <c:pt idx="41">
                  <c:v>54641002.188568205</c:v>
                </c:pt>
                <c:pt idx="42">
                  <c:v>54641002.188568205</c:v>
                </c:pt>
                <c:pt idx="43">
                  <c:v>54641002.188568205</c:v>
                </c:pt>
                <c:pt idx="44">
                  <c:v>55146452.079139791</c:v>
                </c:pt>
                <c:pt idx="45">
                  <c:v>55146452.079139791</c:v>
                </c:pt>
                <c:pt idx="46">
                  <c:v>55146452.079139791</c:v>
                </c:pt>
                <c:pt idx="47">
                  <c:v>55146452.079139791</c:v>
                </c:pt>
                <c:pt idx="48">
                  <c:v>55146452.079139791</c:v>
                </c:pt>
                <c:pt idx="49">
                  <c:v>56096452.079139791</c:v>
                </c:pt>
                <c:pt idx="50">
                  <c:v>56096452.079139791</c:v>
                </c:pt>
                <c:pt idx="51">
                  <c:v>56096452.079139791</c:v>
                </c:pt>
                <c:pt idx="52">
                  <c:v>56096452.079139791</c:v>
                </c:pt>
                <c:pt idx="53">
                  <c:v>56096452.079139791</c:v>
                </c:pt>
                <c:pt idx="54">
                  <c:v>56096452.079139791</c:v>
                </c:pt>
                <c:pt idx="55">
                  <c:v>56096452.079139791</c:v>
                </c:pt>
                <c:pt idx="56">
                  <c:v>56096452.079139791</c:v>
                </c:pt>
                <c:pt idx="57">
                  <c:v>56096452.079139791</c:v>
                </c:pt>
                <c:pt idx="58">
                  <c:v>56096452.079139791</c:v>
                </c:pt>
                <c:pt idx="59">
                  <c:v>56096452.079139791</c:v>
                </c:pt>
                <c:pt idx="60">
                  <c:v>56096452.079139791</c:v>
                </c:pt>
                <c:pt idx="61">
                  <c:v>56096452.079139791</c:v>
                </c:pt>
                <c:pt idx="62">
                  <c:v>56096452.079139791</c:v>
                </c:pt>
                <c:pt idx="63">
                  <c:v>56096452.079139791</c:v>
                </c:pt>
                <c:pt idx="64">
                  <c:v>56096452.079139791</c:v>
                </c:pt>
                <c:pt idx="65">
                  <c:v>56096452.079139791</c:v>
                </c:pt>
                <c:pt idx="66">
                  <c:v>56096452.079139791</c:v>
                </c:pt>
                <c:pt idx="67">
                  <c:v>56096452.079139791</c:v>
                </c:pt>
                <c:pt idx="68">
                  <c:v>56096452.079139791</c:v>
                </c:pt>
                <c:pt idx="69">
                  <c:v>56096452.079139791</c:v>
                </c:pt>
                <c:pt idx="70">
                  <c:v>56096452.079139791</c:v>
                </c:pt>
                <c:pt idx="71">
                  <c:v>56096452.079139791</c:v>
                </c:pt>
                <c:pt idx="72">
                  <c:v>56096452.079139791</c:v>
                </c:pt>
                <c:pt idx="73">
                  <c:v>56096452.079139791</c:v>
                </c:pt>
                <c:pt idx="74">
                  <c:v>56096452.079139791</c:v>
                </c:pt>
                <c:pt idx="75">
                  <c:v>56096452.079139791</c:v>
                </c:pt>
                <c:pt idx="76">
                  <c:v>56096452.079139791</c:v>
                </c:pt>
                <c:pt idx="77">
                  <c:v>56096452.079139791</c:v>
                </c:pt>
                <c:pt idx="78">
                  <c:v>56096452.079139791</c:v>
                </c:pt>
                <c:pt idx="79">
                  <c:v>56096452.079139791</c:v>
                </c:pt>
                <c:pt idx="80">
                  <c:v>56096452.079139791</c:v>
                </c:pt>
                <c:pt idx="81">
                  <c:v>56096452.079139791</c:v>
                </c:pt>
                <c:pt idx="82">
                  <c:v>56096452.079139791</c:v>
                </c:pt>
                <c:pt idx="83">
                  <c:v>56096452.079139791</c:v>
                </c:pt>
                <c:pt idx="84">
                  <c:v>56096452.079139791</c:v>
                </c:pt>
                <c:pt idx="85">
                  <c:v>56096452.079139791</c:v>
                </c:pt>
                <c:pt idx="86">
                  <c:v>56096452.079139791</c:v>
                </c:pt>
                <c:pt idx="87">
                  <c:v>56096452.079139791</c:v>
                </c:pt>
                <c:pt idx="88">
                  <c:v>56096452.079139791</c:v>
                </c:pt>
                <c:pt idx="89">
                  <c:v>56096452.079139791</c:v>
                </c:pt>
                <c:pt idx="90">
                  <c:v>56096452.079139791</c:v>
                </c:pt>
                <c:pt idx="91">
                  <c:v>56096452.079139791</c:v>
                </c:pt>
                <c:pt idx="92">
                  <c:v>56096452.079139791</c:v>
                </c:pt>
                <c:pt idx="93">
                  <c:v>56096452.079139791</c:v>
                </c:pt>
                <c:pt idx="94">
                  <c:v>56096452.079139791</c:v>
                </c:pt>
                <c:pt idx="95">
                  <c:v>56096452.079139791</c:v>
                </c:pt>
                <c:pt idx="96">
                  <c:v>56096452.079139791</c:v>
                </c:pt>
                <c:pt idx="97">
                  <c:v>56096452.079139791</c:v>
                </c:pt>
                <c:pt idx="98">
                  <c:v>56096452.079139791</c:v>
                </c:pt>
                <c:pt idx="99">
                  <c:v>56096452.079139791</c:v>
                </c:pt>
                <c:pt idx="100">
                  <c:v>56096452.079139791</c:v>
                </c:pt>
                <c:pt idx="101">
                  <c:v>56096452.079139791</c:v>
                </c:pt>
                <c:pt idx="102">
                  <c:v>56096452.079139791</c:v>
                </c:pt>
                <c:pt idx="103">
                  <c:v>56096452.079139791</c:v>
                </c:pt>
                <c:pt idx="104">
                  <c:v>56096452.079139791</c:v>
                </c:pt>
                <c:pt idx="105">
                  <c:v>56096452.079139791</c:v>
                </c:pt>
                <c:pt idx="106">
                  <c:v>56096452.079139791</c:v>
                </c:pt>
                <c:pt idx="107">
                  <c:v>56096452.079139791</c:v>
                </c:pt>
                <c:pt idx="108">
                  <c:v>56096452.079139791</c:v>
                </c:pt>
                <c:pt idx="109">
                  <c:v>56096452.079139791</c:v>
                </c:pt>
                <c:pt idx="110">
                  <c:v>56096452.079139791</c:v>
                </c:pt>
                <c:pt idx="111">
                  <c:v>56096452.079139791</c:v>
                </c:pt>
                <c:pt idx="112">
                  <c:v>56096452.079139791</c:v>
                </c:pt>
                <c:pt idx="113">
                  <c:v>56096452.079139791</c:v>
                </c:pt>
                <c:pt idx="114">
                  <c:v>56096452.079139791</c:v>
                </c:pt>
                <c:pt idx="115">
                  <c:v>56096452.079139791</c:v>
                </c:pt>
                <c:pt idx="116">
                  <c:v>56096452.079139791</c:v>
                </c:pt>
                <c:pt idx="117">
                  <c:v>56096452.079139791</c:v>
                </c:pt>
                <c:pt idx="118">
                  <c:v>56096452.079139791</c:v>
                </c:pt>
                <c:pt idx="119">
                  <c:v>56096452.079139791</c:v>
                </c:pt>
                <c:pt idx="120">
                  <c:v>56096452.079139791</c:v>
                </c:pt>
                <c:pt idx="121">
                  <c:v>56096452.079139791</c:v>
                </c:pt>
                <c:pt idx="122">
                  <c:v>56096452.079139791</c:v>
                </c:pt>
                <c:pt idx="123">
                  <c:v>56096452.079139791</c:v>
                </c:pt>
                <c:pt idx="124">
                  <c:v>56096452.079139791</c:v>
                </c:pt>
                <c:pt idx="125">
                  <c:v>56096452.079139791</c:v>
                </c:pt>
                <c:pt idx="126">
                  <c:v>56096452.079139791</c:v>
                </c:pt>
                <c:pt idx="127">
                  <c:v>56096452.079139791</c:v>
                </c:pt>
                <c:pt idx="128">
                  <c:v>56096452.079139791</c:v>
                </c:pt>
                <c:pt idx="129">
                  <c:v>56096452.079139791</c:v>
                </c:pt>
                <c:pt idx="130">
                  <c:v>56096452.079139791</c:v>
                </c:pt>
                <c:pt idx="131">
                  <c:v>56096452.079139791</c:v>
                </c:pt>
                <c:pt idx="132">
                  <c:v>56096452.079139791</c:v>
                </c:pt>
                <c:pt idx="133">
                  <c:v>56096452.079139791</c:v>
                </c:pt>
                <c:pt idx="134">
                  <c:v>56096452.079139791</c:v>
                </c:pt>
                <c:pt idx="135">
                  <c:v>56096452.079139791</c:v>
                </c:pt>
                <c:pt idx="136">
                  <c:v>56096452.079139791</c:v>
                </c:pt>
                <c:pt idx="137">
                  <c:v>56096452.079139791</c:v>
                </c:pt>
                <c:pt idx="138">
                  <c:v>56096452.079139791</c:v>
                </c:pt>
                <c:pt idx="139">
                  <c:v>56096452.079139791</c:v>
                </c:pt>
                <c:pt idx="140">
                  <c:v>56096452.079139791</c:v>
                </c:pt>
                <c:pt idx="141">
                  <c:v>56096452.079139791</c:v>
                </c:pt>
                <c:pt idx="142">
                  <c:v>56096452.079139791</c:v>
                </c:pt>
                <c:pt idx="143">
                  <c:v>56096452.079139791</c:v>
                </c:pt>
                <c:pt idx="144">
                  <c:v>56096452.079139791</c:v>
                </c:pt>
                <c:pt idx="145">
                  <c:v>56096452.079139791</c:v>
                </c:pt>
                <c:pt idx="146">
                  <c:v>56096452.079139791</c:v>
                </c:pt>
                <c:pt idx="147">
                  <c:v>56096452.079139791</c:v>
                </c:pt>
                <c:pt idx="148">
                  <c:v>56096452.079139791</c:v>
                </c:pt>
                <c:pt idx="149">
                  <c:v>56096452.079139791</c:v>
                </c:pt>
                <c:pt idx="150">
                  <c:v>56096452.079139791</c:v>
                </c:pt>
                <c:pt idx="151">
                  <c:v>56096452.079139791</c:v>
                </c:pt>
                <c:pt idx="152">
                  <c:v>56096452.079139791</c:v>
                </c:pt>
                <c:pt idx="153">
                  <c:v>56096452.079139791</c:v>
                </c:pt>
                <c:pt idx="154">
                  <c:v>56096452.079139791</c:v>
                </c:pt>
                <c:pt idx="155">
                  <c:v>56096452.079139791</c:v>
                </c:pt>
                <c:pt idx="156">
                  <c:v>56096452.079139791</c:v>
                </c:pt>
                <c:pt idx="157">
                  <c:v>56096452.079139791</c:v>
                </c:pt>
                <c:pt idx="158">
                  <c:v>56096452.079139791</c:v>
                </c:pt>
                <c:pt idx="159">
                  <c:v>56096452.079139791</c:v>
                </c:pt>
                <c:pt idx="160">
                  <c:v>56096452.079139791</c:v>
                </c:pt>
                <c:pt idx="161">
                  <c:v>56096452.079139791</c:v>
                </c:pt>
                <c:pt idx="162">
                  <c:v>56096452.079139791</c:v>
                </c:pt>
                <c:pt idx="163">
                  <c:v>56096452.079139791</c:v>
                </c:pt>
                <c:pt idx="164">
                  <c:v>56096452.079139791</c:v>
                </c:pt>
                <c:pt idx="165">
                  <c:v>56096452.079139791</c:v>
                </c:pt>
                <c:pt idx="166">
                  <c:v>56096452.079139791</c:v>
                </c:pt>
                <c:pt idx="167">
                  <c:v>56096452.079139791</c:v>
                </c:pt>
                <c:pt idx="168">
                  <c:v>56096452.079139791</c:v>
                </c:pt>
                <c:pt idx="169">
                  <c:v>56096452.079139791</c:v>
                </c:pt>
                <c:pt idx="170">
                  <c:v>56096452.079139791</c:v>
                </c:pt>
                <c:pt idx="171">
                  <c:v>56096452.079139791</c:v>
                </c:pt>
                <c:pt idx="172">
                  <c:v>56096452.079139791</c:v>
                </c:pt>
                <c:pt idx="173">
                  <c:v>56096452.079139791</c:v>
                </c:pt>
                <c:pt idx="174">
                  <c:v>56096452.079139791</c:v>
                </c:pt>
                <c:pt idx="175">
                  <c:v>56096452.079139791</c:v>
                </c:pt>
                <c:pt idx="176">
                  <c:v>56096452.079139791</c:v>
                </c:pt>
                <c:pt idx="177">
                  <c:v>56096452.079139791</c:v>
                </c:pt>
                <c:pt idx="178">
                  <c:v>56096452.079139791</c:v>
                </c:pt>
                <c:pt idx="179">
                  <c:v>56096452.079139791</c:v>
                </c:pt>
                <c:pt idx="180">
                  <c:v>56096452.079139791</c:v>
                </c:pt>
                <c:pt idx="181">
                  <c:v>56096452.079139791</c:v>
                </c:pt>
                <c:pt idx="182">
                  <c:v>56096452.079139791</c:v>
                </c:pt>
                <c:pt idx="183">
                  <c:v>56096452.079139791</c:v>
                </c:pt>
                <c:pt idx="184">
                  <c:v>56096452.079139791</c:v>
                </c:pt>
                <c:pt idx="185">
                  <c:v>56096452.079139791</c:v>
                </c:pt>
                <c:pt idx="186">
                  <c:v>56096452.079139791</c:v>
                </c:pt>
                <c:pt idx="187">
                  <c:v>56096452.079139791</c:v>
                </c:pt>
                <c:pt idx="188">
                  <c:v>56096452.079139791</c:v>
                </c:pt>
                <c:pt idx="189">
                  <c:v>56096452.079139791</c:v>
                </c:pt>
                <c:pt idx="190">
                  <c:v>56096452.079139791</c:v>
                </c:pt>
                <c:pt idx="191">
                  <c:v>56096452.079139791</c:v>
                </c:pt>
                <c:pt idx="192">
                  <c:v>56096452.079139791</c:v>
                </c:pt>
                <c:pt idx="193">
                  <c:v>56096452.079139791</c:v>
                </c:pt>
                <c:pt idx="194">
                  <c:v>56096452.079139791</c:v>
                </c:pt>
                <c:pt idx="195">
                  <c:v>56096452.079139791</c:v>
                </c:pt>
                <c:pt idx="196">
                  <c:v>56096452.079139791</c:v>
                </c:pt>
                <c:pt idx="197">
                  <c:v>56096452.079139791</c:v>
                </c:pt>
                <c:pt idx="198">
                  <c:v>56096452.079139791</c:v>
                </c:pt>
                <c:pt idx="199">
                  <c:v>56096452.079139791</c:v>
                </c:pt>
                <c:pt idx="200">
                  <c:v>56096452.079139791</c:v>
                </c:pt>
                <c:pt idx="201">
                  <c:v>56096452.079139791</c:v>
                </c:pt>
                <c:pt idx="202">
                  <c:v>56096452.079139791</c:v>
                </c:pt>
                <c:pt idx="203">
                  <c:v>56096452.079139791</c:v>
                </c:pt>
                <c:pt idx="204">
                  <c:v>56096452.079139791</c:v>
                </c:pt>
                <c:pt idx="205">
                  <c:v>56096452.079139791</c:v>
                </c:pt>
                <c:pt idx="206">
                  <c:v>56096452.079139791</c:v>
                </c:pt>
                <c:pt idx="207">
                  <c:v>56096452.079139791</c:v>
                </c:pt>
                <c:pt idx="208">
                  <c:v>56096452.079139791</c:v>
                </c:pt>
                <c:pt idx="209">
                  <c:v>56096452.079139791</c:v>
                </c:pt>
                <c:pt idx="210">
                  <c:v>56096452.079139791</c:v>
                </c:pt>
                <c:pt idx="211">
                  <c:v>56096452.079139791</c:v>
                </c:pt>
                <c:pt idx="212">
                  <c:v>56096452.079139791</c:v>
                </c:pt>
                <c:pt idx="213">
                  <c:v>56096452.079139791</c:v>
                </c:pt>
                <c:pt idx="214">
                  <c:v>56096452.079139791</c:v>
                </c:pt>
                <c:pt idx="215">
                  <c:v>56096452.079139791</c:v>
                </c:pt>
                <c:pt idx="216">
                  <c:v>56096452.079139791</c:v>
                </c:pt>
                <c:pt idx="217">
                  <c:v>56096452.079139791</c:v>
                </c:pt>
                <c:pt idx="218">
                  <c:v>56096452.079139791</c:v>
                </c:pt>
                <c:pt idx="219">
                  <c:v>56096452.079139791</c:v>
                </c:pt>
                <c:pt idx="220">
                  <c:v>56096452.079139791</c:v>
                </c:pt>
                <c:pt idx="221">
                  <c:v>56096452.079139791</c:v>
                </c:pt>
                <c:pt idx="222">
                  <c:v>56096452.079139791</c:v>
                </c:pt>
                <c:pt idx="223">
                  <c:v>56096452.079139791</c:v>
                </c:pt>
                <c:pt idx="224">
                  <c:v>56096452.079139791</c:v>
                </c:pt>
                <c:pt idx="225">
                  <c:v>56096452.079139791</c:v>
                </c:pt>
                <c:pt idx="226">
                  <c:v>56096452.079139791</c:v>
                </c:pt>
                <c:pt idx="227">
                  <c:v>56096452.079139791</c:v>
                </c:pt>
                <c:pt idx="228">
                  <c:v>56096452.079139791</c:v>
                </c:pt>
                <c:pt idx="229">
                  <c:v>56096452.079139791</c:v>
                </c:pt>
                <c:pt idx="230">
                  <c:v>56096452.079139791</c:v>
                </c:pt>
                <c:pt idx="231">
                  <c:v>56096452.079139791</c:v>
                </c:pt>
                <c:pt idx="232">
                  <c:v>56096452.079139791</c:v>
                </c:pt>
                <c:pt idx="233">
                  <c:v>56096452.079139791</c:v>
                </c:pt>
                <c:pt idx="234">
                  <c:v>56096452.079139791</c:v>
                </c:pt>
                <c:pt idx="235">
                  <c:v>56096452.079139791</c:v>
                </c:pt>
                <c:pt idx="236">
                  <c:v>56096452.079139791</c:v>
                </c:pt>
                <c:pt idx="237">
                  <c:v>56096452.079139791</c:v>
                </c:pt>
                <c:pt idx="238">
                  <c:v>56096452.079139791</c:v>
                </c:pt>
                <c:pt idx="239">
                  <c:v>56096452.079139791</c:v>
                </c:pt>
                <c:pt idx="240">
                  <c:v>56096452.079139791</c:v>
                </c:pt>
                <c:pt idx="241">
                  <c:v>56096452.079139791</c:v>
                </c:pt>
                <c:pt idx="242">
                  <c:v>56096452.079139791</c:v>
                </c:pt>
                <c:pt idx="243">
                  <c:v>56096452.079139791</c:v>
                </c:pt>
                <c:pt idx="244">
                  <c:v>56096452.079139791</c:v>
                </c:pt>
                <c:pt idx="245">
                  <c:v>56096452.079139791</c:v>
                </c:pt>
                <c:pt idx="246">
                  <c:v>56096452.079139791</c:v>
                </c:pt>
                <c:pt idx="247">
                  <c:v>56096452.079139791</c:v>
                </c:pt>
                <c:pt idx="248">
                  <c:v>56096452.079139791</c:v>
                </c:pt>
                <c:pt idx="249">
                  <c:v>56096452.079139791</c:v>
                </c:pt>
                <c:pt idx="250">
                  <c:v>56096452.079139791</c:v>
                </c:pt>
                <c:pt idx="251">
                  <c:v>56096452.079139791</c:v>
                </c:pt>
                <c:pt idx="252">
                  <c:v>56096452.079139791</c:v>
                </c:pt>
                <c:pt idx="253">
                  <c:v>56096452.079139791</c:v>
                </c:pt>
                <c:pt idx="254">
                  <c:v>56096452.079139791</c:v>
                </c:pt>
                <c:pt idx="255">
                  <c:v>56096452.079139791</c:v>
                </c:pt>
                <c:pt idx="256">
                  <c:v>56096452.079139791</c:v>
                </c:pt>
                <c:pt idx="257">
                  <c:v>56096452.079139791</c:v>
                </c:pt>
                <c:pt idx="258">
                  <c:v>56096452.079139791</c:v>
                </c:pt>
                <c:pt idx="259">
                  <c:v>56096452.079139791</c:v>
                </c:pt>
                <c:pt idx="260">
                  <c:v>56096452.079139791</c:v>
                </c:pt>
                <c:pt idx="261">
                  <c:v>56096452.079139791</c:v>
                </c:pt>
                <c:pt idx="262">
                  <c:v>56096452.079139791</c:v>
                </c:pt>
                <c:pt idx="263">
                  <c:v>56096452.079139791</c:v>
                </c:pt>
                <c:pt idx="264">
                  <c:v>56096452.079139791</c:v>
                </c:pt>
                <c:pt idx="265">
                  <c:v>56096452.079139791</c:v>
                </c:pt>
                <c:pt idx="266">
                  <c:v>56096452.079139791</c:v>
                </c:pt>
                <c:pt idx="267">
                  <c:v>56096452.079139791</c:v>
                </c:pt>
                <c:pt idx="268">
                  <c:v>56096452.079139791</c:v>
                </c:pt>
                <c:pt idx="269">
                  <c:v>56096452.079139791</c:v>
                </c:pt>
                <c:pt idx="270">
                  <c:v>56096452.079139791</c:v>
                </c:pt>
                <c:pt idx="271">
                  <c:v>56096452.079139791</c:v>
                </c:pt>
                <c:pt idx="272">
                  <c:v>56096452.079139791</c:v>
                </c:pt>
                <c:pt idx="273">
                  <c:v>56096452.079139791</c:v>
                </c:pt>
                <c:pt idx="274">
                  <c:v>56096452.079139791</c:v>
                </c:pt>
                <c:pt idx="275">
                  <c:v>56096452.079139791</c:v>
                </c:pt>
                <c:pt idx="276">
                  <c:v>56096452.079139791</c:v>
                </c:pt>
                <c:pt idx="277">
                  <c:v>56096452.079139791</c:v>
                </c:pt>
                <c:pt idx="278">
                  <c:v>56096452.079139791</c:v>
                </c:pt>
                <c:pt idx="279">
                  <c:v>56096452.079139791</c:v>
                </c:pt>
                <c:pt idx="280">
                  <c:v>56096452.079139791</c:v>
                </c:pt>
                <c:pt idx="281">
                  <c:v>56096452.079139791</c:v>
                </c:pt>
                <c:pt idx="282">
                  <c:v>56096452.079139791</c:v>
                </c:pt>
                <c:pt idx="283">
                  <c:v>56096452.079139791</c:v>
                </c:pt>
                <c:pt idx="284">
                  <c:v>56096452.079139791</c:v>
                </c:pt>
                <c:pt idx="285">
                  <c:v>56096452.079139791</c:v>
                </c:pt>
                <c:pt idx="286">
                  <c:v>56096452.079139791</c:v>
                </c:pt>
                <c:pt idx="287">
                  <c:v>56096452.079139791</c:v>
                </c:pt>
                <c:pt idx="288">
                  <c:v>56096452.079139791</c:v>
                </c:pt>
                <c:pt idx="289">
                  <c:v>56096452.079139791</c:v>
                </c:pt>
                <c:pt idx="290">
                  <c:v>56096452.079139791</c:v>
                </c:pt>
                <c:pt idx="291">
                  <c:v>56096452.079139791</c:v>
                </c:pt>
                <c:pt idx="292">
                  <c:v>56096452.079139791</c:v>
                </c:pt>
                <c:pt idx="293">
                  <c:v>56096452.079139791</c:v>
                </c:pt>
                <c:pt idx="294">
                  <c:v>56096452.079139791</c:v>
                </c:pt>
                <c:pt idx="295">
                  <c:v>56096452.079139791</c:v>
                </c:pt>
                <c:pt idx="296">
                  <c:v>56096452.079139791</c:v>
                </c:pt>
                <c:pt idx="297">
                  <c:v>56096452.079139791</c:v>
                </c:pt>
                <c:pt idx="298">
                  <c:v>56096452.079139791</c:v>
                </c:pt>
                <c:pt idx="299">
                  <c:v>56096452.079139791</c:v>
                </c:pt>
                <c:pt idx="300">
                  <c:v>56096452.079139791</c:v>
                </c:pt>
                <c:pt idx="301">
                  <c:v>56096452.079139791</c:v>
                </c:pt>
                <c:pt idx="302">
                  <c:v>56096452.079139791</c:v>
                </c:pt>
                <c:pt idx="303">
                  <c:v>56096452.079139791</c:v>
                </c:pt>
                <c:pt idx="304">
                  <c:v>56096452.079139791</c:v>
                </c:pt>
                <c:pt idx="305">
                  <c:v>56096452.079139791</c:v>
                </c:pt>
                <c:pt idx="306">
                  <c:v>56096452.079139791</c:v>
                </c:pt>
                <c:pt idx="307">
                  <c:v>56096452.079139791</c:v>
                </c:pt>
                <c:pt idx="308">
                  <c:v>56096452.079139791</c:v>
                </c:pt>
                <c:pt idx="309">
                  <c:v>56096452.079139791</c:v>
                </c:pt>
                <c:pt idx="310">
                  <c:v>56096452.079139791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87FF-4017-AD68-239E69E2455E}"/>
            </c:ext>
          </c:extLst>
        </c:ser>
        <c:ser>
          <c:idx val="2"/>
          <c:order val="2"/>
          <c:tx>
            <c:strRef>
              <c:f>Cashflow!$B$7</c:f>
              <c:strCache>
                <c:ptCount val="1"/>
                <c:pt idx="0">
                  <c:v>PLANNED CashFlow 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rgbClr val="FF0000">
                  <a:alpha val="50000"/>
                </a:srgb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Cashflow!$F$7:$LD$7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15000000</c:v>
                </c:pt>
                <c:pt idx="19">
                  <c:v>15000000</c:v>
                </c:pt>
                <c:pt idx="20">
                  <c:v>12240000</c:v>
                </c:pt>
                <c:pt idx="21">
                  <c:v>-2297831.3000000007</c:v>
                </c:pt>
                <c:pt idx="22">
                  <c:v>-6658242.5370000005</c:v>
                </c:pt>
                <c:pt idx="23">
                  <c:v>-6778242.5370000005</c:v>
                </c:pt>
                <c:pt idx="24">
                  <c:v>-6778242.5370000005</c:v>
                </c:pt>
                <c:pt idx="25">
                  <c:v>-6778242.5370000005</c:v>
                </c:pt>
                <c:pt idx="26">
                  <c:v>11186257.463</c:v>
                </c:pt>
                <c:pt idx="27">
                  <c:v>3827471.5532651246</c:v>
                </c:pt>
                <c:pt idx="28">
                  <c:v>3827471.5532651246</c:v>
                </c:pt>
                <c:pt idx="29">
                  <c:v>3827471.5532651246</c:v>
                </c:pt>
                <c:pt idx="30">
                  <c:v>3827471.5532651246</c:v>
                </c:pt>
                <c:pt idx="31">
                  <c:v>10780471.553265125</c:v>
                </c:pt>
                <c:pt idx="32">
                  <c:v>-219337.34673487395</c:v>
                </c:pt>
                <c:pt idx="33">
                  <c:v>-219337.34673487395</c:v>
                </c:pt>
                <c:pt idx="34">
                  <c:v>-219337.34673487395</c:v>
                </c:pt>
                <c:pt idx="35">
                  <c:v>8385608.4199317917</c:v>
                </c:pt>
                <c:pt idx="36">
                  <c:v>8385608.4199317917</c:v>
                </c:pt>
                <c:pt idx="37">
                  <c:v>8385608.4199317917</c:v>
                </c:pt>
                <c:pt idx="38">
                  <c:v>-3645252.1885682046</c:v>
                </c:pt>
                <c:pt idx="39">
                  <c:v>-3645252.1885682046</c:v>
                </c:pt>
                <c:pt idx="40">
                  <c:v>-3645252.1885682046</c:v>
                </c:pt>
                <c:pt idx="41">
                  <c:v>-3645252.1885682046</c:v>
                </c:pt>
                <c:pt idx="42">
                  <c:v>-3645252.1885682046</c:v>
                </c:pt>
                <c:pt idx="43">
                  <c:v>2354247.8114317954</c:v>
                </c:pt>
                <c:pt idx="44">
                  <c:v>1848797.9208602086</c:v>
                </c:pt>
                <c:pt idx="45">
                  <c:v>1848797.9208602086</c:v>
                </c:pt>
                <c:pt idx="46">
                  <c:v>4848547.9208602086</c:v>
                </c:pt>
                <c:pt idx="47">
                  <c:v>4848547.9208602086</c:v>
                </c:pt>
                <c:pt idx="48">
                  <c:v>4848547.9208602086</c:v>
                </c:pt>
                <c:pt idx="49">
                  <c:v>3898547.9208602086</c:v>
                </c:pt>
                <c:pt idx="50">
                  <c:v>3898547.9208602086</c:v>
                </c:pt>
                <c:pt idx="51">
                  <c:v>3898547.9208602086</c:v>
                </c:pt>
                <c:pt idx="52">
                  <c:v>3898547.9208602086</c:v>
                </c:pt>
                <c:pt idx="53">
                  <c:v>3898547.9208602086</c:v>
                </c:pt>
                <c:pt idx="54">
                  <c:v>3898547.9208602086</c:v>
                </c:pt>
                <c:pt idx="55">
                  <c:v>3898547.9208602086</c:v>
                </c:pt>
                <c:pt idx="56">
                  <c:v>3898547.9208602086</c:v>
                </c:pt>
                <c:pt idx="57">
                  <c:v>3898547.9208602086</c:v>
                </c:pt>
                <c:pt idx="58">
                  <c:v>3898547.9208602086</c:v>
                </c:pt>
                <c:pt idx="59">
                  <c:v>3898547.9208602086</c:v>
                </c:pt>
                <c:pt idx="60">
                  <c:v>3898547.9208602086</c:v>
                </c:pt>
                <c:pt idx="61">
                  <c:v>3898547.9208602086</c:v>
                </c:pt>
                <c:pt idx="62">
                  <c:v>3898547.9208602086</c:v>
                </c:pt>
                <c:pt idx="63">
                  <c:v>3898547.9208602086</c:v>
                </c:pt>
                <c:pt idx="64">
                  <c:v>3898547.9208602086</c:v>
                </c:pt>
                <c:pt idx="65">
                  <c:v>3898547.9208602086</c:v>
                </c:pt>
                <c:pt idx="66">
                  <c:v>3898547.9208602086</c:v>
                </c:pt>
                <c:pt idx="67">
                  <c:v>3898547.9208602086</c:v>
                </c:pt>
                <c:pt idx="68">
                  <c:v>3898547.9208602086</c:v>
                </c:pt>
                <c:pt idx="69">
                  <c:v>3898547.9208602086</c:v>
                </c:pt>
                <c:pt idx="70">
                  <c:v>3898547.9208602086</c:v>
                </c:pt>
                <c:pt idx="71">
                  <c:v>3898547.9208602086</c:v>
                </c:pt>
                <c:pt idx="72">
                  <c:v>3898547.9208602086</c:v>
                </c:pt>
                <c:pt idx="73">
                  <c:v>3898547.9208602086</c:v>
                </c:pt>
                <c:pt idx="74">
                  <c:v>3898547.9208602086</c:v>
                </c:pt>
                <c:pt idx="75">
                  <c:v>3898547.9208602086</c:v>
                </c:pt>
                <c:pt idx="76">
                  <c:v>3898547.9208602086</c:v>
                </c:pt>
                <c:pt idx="77">
                  <c:v>3898547.9208602086</c:v>
                </c:pt>
                <c:pt idx="78">
                  <c:v>3898547.9208602086</c:v>
                </c:pt>
                <c:pt idx="79">
                  <c:v>3898547.9208602086</c:v>
                </c:pt>
                <c:pt idx="80">
                  <c:v>3898547.9208602086</c:v>
                </c:pt>
                <c:pt idx="81">
                  <c:v>3898547.9208602086</c:v>
                </c:pt>
                <c:pt idx="82">
                  <c:v>3898547.9208602086</c:v>
                </c:pt>
                <c:pt idx="83">
                  <c:v>3898547.9208602086</c:v>
                </c:pt>
                <c:pt idx="84">
                  <c:v>3898547.9208602086</c:v>
                </c:pt>
                <c:pt idx="85">
                  <c:v>3898547.9208602086</c:v>
                </c:pt>
                <c:pt idx="86">
                  <c:v>3898547.9208602086</c:v>
                </c:pt>
                <c:pt idx="87">
                  <c:v>3898547.9208602086</c:v>
                </c:pt>
                <c:pt idx="88">
                  <c:v>3898547.9208602086</c:v>
                </c:pt>
                <c:pt idx="89">
                  <c:v>3898547.9208602086</c:v>
                </c:pt>
                <c:pt idx="90">
                  <c:v>3898547.9208602086</c:v>
                </c:pt>
                <c:pt idx="91">
                  <c:v>3898547.9208602086</c:v>
                </c:pt>
                <c:pt idx="92">
                  <c:v>3898547.9208602086</c:v>
                </c:pt>
                <c:pt idx="93">
                  <c:v>3898547.9208602086</c:v>
                </c:pt>
                <c:pt idx="94">
                  <c:v>3898547.9208602086</c:v>
                </c:pt>
                <c:pt idx="95">
                  <c:v>3898547.9208602086</c:v>
                </c:pt>
                <c:pt idx="96">
                  <c:v>3898547.9208602086</c:v>
                </c:pt>
                <c:pt idx="97">
                  <c:v>3898547.9208602086</c:v>
                </c:pt>
                <c:pt idx="98">
                  <c:v>3898547.9208602086</c:v>
                </c:pt>
                <c:pt idx="99">
                  <c:v>3898547.9208602086</c:v>
                </c:pt>
                <c:pt idx="100">
                  <c:v>3898547.9208602086</c:v>
                </c:pt>
                <c:pt idx="101">
                  <c:v>3898547.9208602086</c:v>
                </c:pt>
                <c:pt idx="102">
                  <c:v>3898547.9208602086</c:v>
                </c:pt>
                <c:pt idx="103">
                  <c:v>3898547.9208602086</c:v>
                </c:pt>
                <c:pt idx="104">
                  <c:v>3898547.9208602086</c:v>
                </c:pt>
                <c:pt idx="105">
                  <c:v>3898547.9208602086</c:v>
                </c:pt>
                <c:pt idx="106">
                  <c:v>3898547.9208602086</c:v>
                </c:pt>
                <c:pt idx="107">
                  <c:v>3898547.9208602086</c:v>
                </c:pt>
                <c:pt idx="108">
                  <c:v>3898547.9208602086</c:v>
                </c:pt>
                <c:pt idx="109">
                  <c:v>3898547.9208602086</c:v>
                </c:pt>
                <c:pt idx="110">
                  <c:v>3898547.9208602086</c:v>
                </c:pt>
                <c:pt idx="111">
                  <c:v>3898547.9208602086</c:v>
                </c:pt>
                <c:pt idx="112">
                  <c:v>3898547.9208602086</c:v>
                </c:pt>
                <c:pt idx="113">
                  <c:v>3898547.9208602086</c:v>
                </c:pt>
                <c:pt idx="114">
                  <c:v>3898547.9208602086</c:v>
                </c:pt>
                <c:pt idx="115">
                  <c:v>3898547.9208602086</c:v>
                </c:pt>
                <c:pt idx="116">
                  <c:v>3898547.9208602086</c:v>
                </c:pt>
                <c:pt idx="117">
                  <c:v>3898547.9208602086</c:v>
                </c:pt>
                <c:pt idx="118">
                  <c:v>3898547.9208602086</c:v>
                </c:pt>
                <c:pt idx="119">
                  <c:v>3898547.9208602086</c:v>
                </c:pt>
                <c:pt idx="120">
                  <c:v>3898547.9208602086</c:v>
                </c:pt>
                <c:pt idx="121">
                  <c:v>3898547.9208602086</c:v>
                </c:pt>
                <c:pt idx="122">
                  <c:v>3898547.9208602086</c:v>
                </c:pt>
                <c:pt idx="123">
                  <c:v>3898547.9208602086</c:v>
                </c:pt>
                <c:pt idx="124">
                  <c:v>3898547.9208602086</c:v>
                </c:pt>
                <c:pt idx="125">
                  <c:v>3898547.9208602086</c:v>
                </c:pt>
                <c:pt idx="126">
                  <c:v>3898547.9208602086</c:v>
                </c:pt>
                <c:pt idx="127">
                  <c:v>3898547.9208602086</c:v>
                </c:pt>
                <c:pt idx="128">
                  <c:v>3898547.9208602086</c:v>
                </c:pt>
                <c:pt idx="129">
                  <c:v>3898547.9208602086</c:v>
                </c:pt>
                <c:pt idx="130">
                  <c:v>3898547.9208602086</c:v>
                </c:pt>
                <c:pt idx="131">
                  <c:v>3898547.9208602086</c:v>
                </c:pt>
                <c:pt idx="132">
                  <c:v>3898547.9208602086</c:v>
                </c:pt>
                <c:pt idx="133">
                  <c:v>3898547.9208602086</c:v>
                </c:pt>
                <c:pt idx="134">
                  <c:v>3898547.9208602086</c:v>
                </c:pt>
                <c:pt idx="135">
                  <c:v>3898547.9208602086</c:v>
                </c:pt>
                <c:pt idx="136">
                  <c:v>3898547.9208602086</c:v>
                </c:pt>
                <c:pt idx="137">
                  <c:v>3898547.9208602086</c:v>
                </c:pt>
                <c:pt idx="138">
                  <c:v>3898547.9208602086</c:v>
                </c:pt>
                <c:pt idx="139">
                  <c:v>3898547.9208602086</c:v>
                </c:pt>
                <c:pt idx="140">
                  <c:v>3898547.9208602086</c:v>
                </c:pt>
                <c:pt idx="141">
                  <c:v>3898547.9208602086</c:v>
                </c:pt>
                <c:pt idx="142">
                  <c:v>3898547.9208602086</c:v>
                </c:pt>
                <c:pt idx="143">
                  <c:v>3898547.9208602086</c:v>
                </c:pt>
                <c:pt idx="144">
                  <c:v>3898547.9208602086</c:v>
                </c:pt>
                <c:pt idx="145">
                  <c:v>3898547.9208602086</c:v>
                </c:pt>
                <c:pt idx="146">
                  <c:v>3898547.9208602086</c:v>
                </c:pt>
                <c:pt idx="147">
                  <c:v>3898547.9208602086</c:v>
                </c:pt>
                <c:pt idx="148">
                  <c:v>3898547.9208602086</c:v>
                </c:pt>
                <c:pt idx="149">
                  <c:v>3898547.9208602086</c:v>
                </c:pt>
                <c:pt idx="150">
                  <c:v>3898547.9208602086</c:v>
                </c:pt>
                <c:pt idx="151">
                  <c:v>3898547.9208602086</c:v>
                </c:pt>
                <c:pt idx="152">
                  <c:v>3898547.9208602086</c:v>
                </c:pt>
                <c:pt idx="153">
                  <c:v>3898547.9208602086</c:v>
                </c:pt>
                <c:pt idx="154">
                  <c:v>3898547.9208602086</c:v>
                </c:pt>
                <c:pt idx="155">
                  <c:v>3898547.9208602086</c:v>
                </c:pt>
                <c:pt idx="156">
                  <c:v>3898547.9208602086</c:v>
                </c:pt>
                <c:pt idx="157">
                  <c:v>3898547.9208602086</c:v>
                </c:pt>
                <c:pt idx="158">
                  <c:v>3898547.9208602086</c:v>
                </c:pt>
                <c:pt idx="159">
                  <c:v>3898547.9208602086</c:v>
                </c:pt>
                <c:pt idx="160">
                  <c:v>3898547.9208602086</c:v>
                </c:pt>
                <c:pt idx="161">
                  <c:v>3898547.9208602086</c:v>
                </c:pt>
                <c:pt idx="162">
                  <c:v>3898547.9208602086</c:v>
                </c:pt>
                <c:pt idx="163">
                  <c:v>3898547.9208602086</c:v>
                </c:pt>
                <c:pt idx="164">
                  <c:v>3898547.9208602086</c:v>
                </c:pt>
                <c:pt idx="165">
                  <c:v>3898547.9208602086</c:v>
                </c:pt>
                <c:pt idx="166">
                  <c:v>3898547.9208602086</c:v>
                </c:pt>
                <c:pt idx="167">
                  <c:v>3898547.9208602086</c:v>
                </c:pt>
                <c:pt idx="168">
                  <c:v>3898547.9208602086</c:v>
                </c:pt>
                <c:pt idx="169">
                  <c:v>3898547.9208602086</c:v>
                </c:pt>
                <c:pt idx="170">
                  <c:v>3898547.9208602086</c:v>
                </c:pt>
                <c:pt idx="171">
                  <c:v>3898547.9208602086</c:v>
                </c:pt>
                <c:pt idx="172">
                  <c:v>3898547.9208602086</c:v>
                </c:pt>
                <c:pt idx="173">
                  <c:v>3898547.9208602086</c:v>
                </c:pt>
                <c:pt idx="174">
                  <c:v>3898547.9208602086</c:v>
                </c:pt>
                <c:pt idx="175">
                  <c:v>3898547.9208602086</c:v>
                </c:pt>
                <c:pt idx="176">
                  <c:v>3898547.9208602086</c:v>
                </c:pt>
                <c:pt idx="177">
                  <c:v>3898547.9208602086</c:v>
                </c:pt>
                <c:pt idx="178">
                  <c:v>3898547.9208602086</c:v>
                </c:pt>
                <c:pt idx="179">
                  <c:v>3898547.9208602086</c:v>
                </c:pt>
                <c:pt idx="180">
                  <c:v>3898547.9208602086</c:v>
                </c:pt>
                <c:pt idx="181">
                  <c:v>3898547.9208602086</c:v>
                </c:pt>
                <c:pt idx="182">
                  <c:v>3898547.9208602086</c:v>
                </c:pt>
                <c:pt idx="183">
                  <c:v>3898547.9208602086</c:v>
                </c:pt>
                <c:pt idx="184">
                  <c:v>3898547.9208602086</c:v>
                </c:pt>
                <c:pt idx="185">
                  <c:v>3898547.9208602086</c:v>
                </c:pt>
                <c:pt idx="186">
                  <c:v>3898547.9208602086</c:v>
                </c:pt>
                <c:pt idx="187">
                  <c:v>3898547.9208602086</c:v>
                </c:pt>
                <c:pt idx="188">
                  <c:v>3898547.9208602086</c:v>
                </c:pt>
                <c:pt idx="189">
                  <c:v>3898547.9208602086</c:v>
                </c:pt>
                <c:pt idx="190">
                  <c:v>3898547.9208602086</c:v>
                </c:pt>
                <c:pt idx="191">
                  <c:v>3898547.9208602086</c:v>
                </c:pt>
                <c:pt idx="192">
                  <c:v>3898547.9208602086</c:v>
                </c:pt>
                <c:pt idx="193">
                  <c:v>3898547.9208602086</c:v>
                </c:pt>
                <c:pt idx="194">
                  <c:v>3898547.9208602086</c:v>
                </c:pt>
                <c:pt idx="195">
                  <c:v>3898547.9208602086</c:v>
                </c:pt>
                <c:pt idx="196">
                  <c:v>3898547.9208602086</c:v>
                </c:pt>
                <c:pt idx="197">
                  <c:v>3898547.9208602086</c:v>
                </c:pt>
                <c:pt idx="198">
                  <c:v>3898547.9208602086</c:v>
                </c:pt>
                <c:pt idx="199">
                  <c:v>3898547.9208602086</c:v>
                </c:pt>
                <c:pt idx="200">
                  <c:v>3898547.9208602086</c:v>
                </c:pt>
                <c:pt idx="201">
                  <c:v>3898547.9208602086</c:v>
                </c:pt>
                <c:pt idx="202">
                  <c:v>3898547.9208602086</c:v>
                </c:pt>
                <c:pt idx="203">
                  <c:v>3898547.9208602086</c:v>
                </c:pt>
                <c:pt idx="204">
                  <c:v>3898547.9208602086</c:v>
                </c:pt>
                <c:pt idx="205">
                  <c:v>3898547.9208602086</c:v>
                </c:pt>
                <c:pt idx="206">
                  <c:v>3898547.9208602086</c:v>
                </c:pt>
                <c:pt idx="207">
                  <c:v>3898547.9208602086</c:v>
                </c:pt>
                <c:pt idx="208">
                  <c:v>3898547.9208602086</c:v>
                </c:pt>
                <c:pt idx="209">
                  <c:v>3898547.9208602086</c:v>
                </c:pt>
                <c:pt idx="210">
                  <c:v>3898547.9208602086</c:v>
                </c:pt>
                <c:pt idx="211">
                  <c:v>3898547.9208602086</c:v>
                </c:pt>
                <c:pt idx="212">
                  <c:v>3898547.9208602086</c:v>
                </c:pt>
                <c:pt idx="213">
                  <c:v>3898547.9208602086</c:v>
                </c:pt>
                <c:pt idx="214">
                  <c:v>3898547.9208602086</c:v>
                </c:pt>
                <c:pt idx="215">
                  <c:v>3898547.9208602086</c:v>
                </c:pt>
                <c:pt idx="216">
                  <c:v>3898547.9208602086</c:v>
                </c:pt>
                <c:pt idx="217">
                  <c:v>3898547.9208602086</c:v>
                </c:pt>
                <c:pt idx="218">
                  <c:v>3898547.9208602086</c:v>
                </c:pt>
                <c:pt idx="219">
                  <c:v>3898547.9208602086</c:v>
                </c:pt>
                <c:pt idx="220">
                  <c:v>3898547.9208602086</c:v>
                </c:pt>
                <c:pt idx="221">
                  <c:v>3898547.9208602086</c:v>
                </c:pt>
                <c:pt idx="222">
                  <c:v>3898547.9208602086</c:v>
                </c:pt>
                <c:pt idx="223">
                  <c:v>3898547.9208602086</c:v>
                </c:pt>
                <c:pt idx="224">
                  <c:v>3898547.9208602086</c:v>
                </c:pt>
                <c:pt idx="225">
                  <c:v>3898547.9208602086</c:v>
                </c:pt>
                <c:pt idx="226">
                  <c:v>3898547.9208602086</c:v>
                </c:pt>
                <c:pt idx="227">
                  <c:v>3898547.9208602086</c:v>
                </c:pt>
                <c:pt idx="228">
                  <c:v>3898547.9208602086</c:v>
                </c:pt>
                <c:pt idx="229">
                  <c:v>3898547.9208602086</c:v>
                </c:pt>
                <c:pt idx="230">
                  <c:v>3898547.9208602086</c:v>
                </c:pt>
                <c:pt idx="231">
                  <c:v>3898547.9208602086</c:v>
                </c:pt>
                <c:pt idx="232">
                  <c:v>3898547.9208602086</c:v>
                </c:pt>
                <c:pt idx="233">
                  <c:v>3898547.9208602086</c:v>
                </c:pt>
                <c:pt idx="234">
                  <c:v>3898547.9208602086</c:v>
                </c:pt>
                <c:pt idx="235">
                  <c:v>3898547.9208602086</c:v>
                </c:pt>
                <c:pt idx="236">
                  <c:v>3898547.9208602086</c:v>
                </c:pt>
                <c:pt idx="237">
                  <c:v>3898547.9208602086</c:v>
                </c:pt>
                <c:pt idx="238">
                  <c:v>3898547.9208602086</c:v>
                </c:pt>
                <c:pt idx="239">
                  <c:v>3898547.9208602086</c:v>
                </c:pt>
                <c:pt idx="240">
                  <c:v>3898547.9208602086</c:v>
                </c:pt>
                <c:pt idx="241">
                  <c:v>3898547.9208602086</c:v>
                </c:pt>
                <c:pt idx="242">
                  <c:v>3898547.9208602086</c:v>
                </c:pt>
                <c:pt idx="243">
                  <c:v>3898547.9208602086</c:v>
                </c:pt>
                <c:pt idx="244">
                  <c:v>3898547.9208602086</c:v>
                </c:pt>
                <c:pt idx="245">
                  <c:v>3898547.9208602086</c:v>
                </c:pt>
                <c:pt idx="246">
                  <c:v>3898547.9208602086</c:v>
                </c:pt>
                <c:pt idx="247">
                  <c:v>3898547.9208602086</c:v>
                </c:pt>
                <c:pt idx="248">
                  <c:v>3898547.9208602086</c:v>
                </c:pt>
                <c:pt idx="249">
                  <c:v>3898547.9208602086</c:v>
                </c:pt>
                <c:pt idx="250">
                  <c:v>3898547.9208602086</c:v>
                </c:pt>
                <c:pt idx="251">
                  <c:v>3898547.9208602086</c:v>
                </c:pt>
                <c:pt idx="252">
                  <c:v>3898547.9208602086</c:v>
                </c:pt>
                <c:pt idx="253">
                  <c:v>3898547.9208602086</c:v>
                </c:pt>
                <c:pt idx="254">
                  <c:v>3898547.9208602086</c:v>
                </c:pt>
                <c:pt idx="255">
                  <c:v>3898547.9208602086</c:v>
                </c:pt>
                <c:pt idx="256">
                  <c:v>3898547.9208602086</c:v>
                </c:pt>
                <c:pt idx="257">
                  <c:v>3898547.9208602086</c:v>
                </c:pt>
                <c:pt idx="258">
                  <c:v>3898547.9208602086</c:v>
                </c:pt>
                <c:pt idx="259">
                  <c:v>3898547.9208602086</c:v>
                </c:pt>
                <c:pt idx="260">
                  <c:v>3898547.9208602086</c:v>
                </c:pt>
                <c:pt idx="261">
                  <c:v>3898547.9208602086</c:v>
                </c:pt>
                <c:pt idx="262">
                  <c:v>3898547.9208602086</c:v>
                </c:pt>
                <c:pt idx="263">
                  <c:v>3898547.9208602086</c:v>
                </c:pt>
                <c:pt idx="264">
                  <c:v>3898547.9208602086</c:v>
                </c:pt>
                <c:pt idx="265">
                  <c:v>3898547.9208602086</c:v>
                </c:pt>
                <c:pt idx="266">
                  <c:v>3898547.9208602086</c:v>
                </c:pt>
                <c:pt idx="267">
                  <c:v>3898547.9208602086</c:v>
                </c:pt>
                <c:pt idx="268">
                  <c:v>3898547.9208602086</c:v>
                </c:pt>
                <c:pt idx="269">
                  <c:v>3898547.9208602086</c:v>
                </c:pt>
                <c:pt idx="270">
                  <c:v>3898547.9208602086</c:v>
                </c:pt>
                <c:pt idx="271">
                  <c:v>3898547.9208602086</c:v>
                </c:pt>
                <c:pt idx="272">
                  <c:v>3898547.9208602086</c:v>
                </c:pt>
                <c:pt idx="273">
                  <c:v>3898547.9208602086</c:v>
                </c:pt>
                <c:pt idx="274">
                  <c:v>3898547.9208602086</c:v>
                </c:pt>
                <c:pt idx="275">
                  <c:v>3898547.9208602086</c:v>
                </c:pt>
                <c:pt idx="276">
                  <c:v>3898547.9208602086</c:v>
                </c:pt>
                <c:pt idx="277">
                  <c:v>3898547.9208602086</c:v>
                </c:pt>
                <c:pt idx="278">
                  <c:v>3898547.9208602086</c:v>
                </c:pt>
                <c:pt idx="279">
                  <c:v>3898547.9208602086</c:v>
                </c:pt>
                <c:pt idx="280">
                  <c:v>3898547.9208602086</c:v>
                </c:pt>
                <c:pt idx="281">
                  <c:v>3898547.9208602086</c:v>
                </c:pt>
                <c:pt idx="282">
                  <c:v>3898547.9208602086</c:v>
                </c:pt>
                <c:pt idx="283">
                  <c:v>3898547.9208602086</c:v>
                </c:pt>
                <c:pt idx="284">
                  <c:v>3898547.9208602086</c:v>
                </c:pt>
                <c:pt idx="285">
                  <c:v>3898547.9208602086</c:v>
                </c:pt>
                <c:pt idx="286">
                  <c:v>3898547.9208602086</c:v>
                </c:pt>
                <c:pt idx="287">
                  <c:v>3898547.9208602086</c:v>
                </c:pt>
                <c:pt idx="288">
                  <c:v>3898547.9208602086</c:v>
                </c:pt>
                <c:pt idx="289">
                  <c:v>3898547.9208602086</c:v>
                </c:pt>
                <c:pt idx="290">
                  <c:v>3898547.9208602086</c:v>
                </c:pt>
                <c:pt idx="291">
                  <c:v>3898547.9208602086</c:v>
                </c:pt>
                <c:pt idx="292">
                  <c:v>3898547.9208602086</c:v>
                </c:pt>
                <c:pt idx="293">
                  <c:v>3898547.9208602086</c:v>
                </c:pt>
                <c:pt idx="294">
                  <c:v>3898547.9208602086</c:v>
                </c:pt>
                <c:pt idx="295">
                  <c:v>3898547.9208602086</c:v>
                </c:pt>
                <c:pt idx="296">
                  <c:v>3898547.9208602086</c:v>
                </c:pt>
                <c:pt idx="297">
                  <c:v>3898547.9208602086</c:v>
                </c:pt>
                <c:pt idx="298">
                  <c:v>3898547.9208602086</c:v>
                </c:pt>
                <c:pt idx="299">
                  <c:v>3898547.9208602086</c:v>
                </c:pt>
                <c:pt idx="300">
                  <c:v>3898547.9208602086</c:v>
                </c:pt>
                <c:pt idx="301">
                  <c:v>3898547.9208602086</c:v>
                </c:pt>
                <c:pt idx="302">
                  <c:v>3898547.9208602086</c:v>
                </c:pt>
                <c:pt idx="303">
                  <c:v>3898547.9208602086</c:v>
                </c:pt>
                <c:pt idx="304">
                  <c:v>3898547.9208602086</c:v>
                </c:pt>
                <c:pt idx="305">
                  <c:v>3898547.9208602086</c:v>
                </c:pt>
                <c:pt idx="306">
                  <c:v>3898547.9208602086</c:v>
                </c:pt>
                <c:pt idx="307">
                  <c:v>3898547.9208602086</c:v>
                </c:pt>
                <c:pt idx="308">
                  <c:v>3898547.9208602086</c:v>
                </c:pt>
                <c:pt idx="309">
                  <c:v>3898547.9208602086</c:v>
                </c:pt>
                <c:pt idx="310">
                  <c:v>3898547.9208602086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87FF-4017-AD68-239E69E2455E}"/>
            </c:ext>
          </c:extLst>
        </c:ser>
        <c:ser>
          <c:idx val="0"/>
          <c:order val="3"/>
          <c:tx>
            <c:strRef>
              <c:f>Cashflow!$B$9</c:f>
              <c:strCache>
                <c:ptCount val="1"/>
                <c:pt idx="0">
                  <c:v>Actual + Planned Revenue</c:v>
                </c:pt>
              </c:strCache>
              <c:extLst xmlns:c15="http://schemas.microsoft.com/office/drawing/2012/chart"/>
            </c:strRef>
          </c:tx>
          <c:spPr>
            <a:ln w="3492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Cashflow!$F$10:$LD$10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15000000</c:v>
                </c:pt>
                <c:pt idx="22">
                  <c:v>15000000</c:v>
                </c:pt>
                <c:pt idx="23">
                  <c:v>15000000</c:v>
                </c:pt>
                <c:pt idx="24">
                  <c:v>15000000</c:v>
                </c:pt>
                <c:pt idx="25">
                  <c:v>15000000</c:v>
                </c:pt>
                <c:pt idx="26">
                  <c:v>32998500</c:v>
                </c:pt>
                <c:pt idx="27">
                  <c:v>32998500</c:v>
                </c:pt>
                <c:pt idx="28">
                  <c:v>32998500</c:v>
                </c:pt>
                <c:pt idx="29">
                  <c:v>32998500</c:v>
                </c:pt>
                <c:pt idx="30">
                  <c:v>32998500</c:v>
                </c:pt>
                <c:pt idx="31">
                  <c:v>41996500</c:v>
                </c:pt>
                <c:pt idx="32">
                  <c:v>41996500</c:v>
                </c:pt>
                <c:pt idx="33">
                  <c:v>41996500</c:v>
                </c:pt>
                <c:pt idx="34">
                  <c:v>50995750</c:v>
                </c:pt>
                <c:pt idx="35">
                  <c:v>50995750</c:v>
                </c:pt>
                <c:pt idx="36">
                  <c:v>50995750</c:v>
                </c:pt>
                <c:pt idx="37">
                  <c:v>50995750</c:v>
                </c:pt>
                <c:pt idx="38">
                  <c:v>50995750</c:v>
                </c:pt>
                <c:pt idx="39">
                  <c:v>50995750</c:v>
                </c:pt>
                <c:pt idx="40">
                  <c:v>50995750</c:v>
                </c:pt>
                <c:pt idx="41">
                  <c:v>50995750</c:v>
                </c:pt>
                <c:pt idx="42">
                  <c:v>50995750</c:v>
                </c:pt>
                <c:pt idx="43">
                  <c:v>50995750</c:v>
                </c:pt>
                <c:pt idx="44">
                  <c:v>50995750</c:v>
                </c:pt>
                <c:pt idx="45">
                  <c:v>50995750</c:v>
                </c:pt>
                <c:pt idx="46">
                  <c:v>51045590.730434783</c:v>
                </c:pt>
                <c:pt idx="47">
                  <c:v>51045590.730434783</c:v>
                </c:pt>
                <c:pt idx="48">
                  <c:v>51045590.730434783</c:v>
                </c:pt>
                <c:pt idx="49">
                  <c:v>51045590.730434783</c:v>
                </c:pt>
                <c:pt idx="50">
                  <c:v>51045590.730434783</c:v>
                </c:pt>
                <c:pt idx="51">
                  <c:v>51045590.730434783</c:v>
                </c:pt>
                <c:pt idx="52">
                  <c:v>51045590.730434783</c:v>
                </c:pt>
                <c:pt idx="53">
                  <c:v>51045590.730434783</c:v>
                </c:pt>
                <c:pt idx="54">
                  <c:v>51045590.730434783</c:v>
                </c:pt>
                <c:pt idx="55">
                  <c:v>56995250</c:v>
                </c:pt>
                <c:pt idx="56">
                  <c:v>56995250</c:v>
                </c:pt>
                <c:pt idx="57">
                  <c:v>56995250</c:v>
                </c:pt>
                <c:pt idx="58">
                  <c:v>56995250</c:v>
                </c:pt>
                <c:pt idx="59">
                  <c:v>56995250</c:v>
                </c:pt>
                <c:pt idx="60">
                  <c:v>56995250</c:v>
                </c:pt>
                <c:pt idx="61">
                  <c:v>56995250</c:v>
                </c:pt>
                <c:pt idx="62">
                  <c:v>56995250</c:v>
                </c:pt>
                <c:pt idx="63">
                  <c:v>56995250</c:v>
                </c:pt>
                <c:pt idx="64">
                  <c:v>56995250</c:v>
                </c:pt>
                <c:pt idx="65">
                  <c:v>59995000</c:v>
                </c:pt>
                <c:pt idx="66">
                  <c:v>59995000</c:v>
                </c:pt>
                <c:pt idx="67">
                  <c:v>59995000</c:v>
                </c:pt>
                <c:pt idx="68">
                  <c:v>59995000</c:v>
                </c:pt>
                <c:pt idx="69">
                  <c:v>59995000</c:v>
                </c:pt>
                <c:pt idx="70">
                  <c:v>59995000</c:v>
                </c:pt>
                <c:pt idx="71">
                  <c:v>59995000</c:v>
                </c:pt>
                <c:pt idx="72">
                  <c:v>59995000</c:v>
                </c:pt>
                <c:pt idx="73">
                  <c:v>59995000</c:v>
                </c:pt>
                <c:pt idx="74">
                  <c:v>59995000</c:v>
                </c:pt>
                <c:pt idx="75">
                  <c:v>59995000</c:v>
                </c:pt>
                <c:pt idx="76">
                  <c:v>59995000</c:v>
                </c:pt>
                <c:pt idx="77">
                  <c:v>59995000</c:v>
                </c:pt>
                <c:pt idx="78">
                  <c:v>59995000</c:v>
                </c:pt>
                <c:pt idx="79">
                  <c:v>59995000</c:v>
                </c:pt>
                <c:pt idx="80">
                  <c:v>59995000</c:v>
                </c:pt>
                <c:pt idx="81">
                  <c:v>59995000</c:v>
                </c:pt>
                <c:pt idx="82">
                  <c:v>59995000</c:v>
                </c:pt>
                <c:pt idx="83">
                  <c:v>59995000</c:v>
                </c:pt>
                <c:pt idx="84">
                  <c:v>59995000</c:v>
                </c:pt>
                <c:pt idx="85">
                  <c:v>59995000</c:v>
                </c:pt>
                <c:pt idx="86">
                  <c:v>59995000</c:v>
                </c:pt>
                <c:pt idx="87">
                  <c:v>59995000</c:v>
                </c:pt>
                <c:pt idx="88">
                  <c:v>59995000</c:v>
                </c:pt>
                <c:pt idx="89">
                  <c:v>59995000</c:v>
                </c:pt>
                <c:pt idx="90">
                  <c:v>59995000</c:v>
                </c:pt>
                <c:pt idx="91">
                  <c:v>59995000</c:v>
                </c:pt>
                <c:pt idx="92">
                  <c:v>59995000</c:v>
                </c:pt>
                <c:pt idx="93">
                  <c:v>59995000</c:v>
                </c:pt>
                <c:pt idx="94">
                  <c:v>59995000</c:v>
                </c:pt>
                <c:pt idx="95">
                  <c:v>59995000</c:v>
                </c:pt>
                <c:pt idx="96">
                  <c:v>59995000</c:v>
                </c:pt>
                <c:pt idx="97">
                  <c:v>59995000</c:v>
                </c:pt>
                <c:pt idx="98">
                  <c:v>59995000</c:v>
                </c:pt>
                <c:pt idx="99">
                  <c:v>59995000</c:v>
                </c:pt>
                <c:pt idx="100">
                  <c:v>59995000</c:v>
                </c:pt>
                <c:pt idx="101">
                  <c:v>59995000</c:v>
                </c:pt>
                <c:pt idx="102">
                  <c:v>59995000</c:v>
                </c:pt>
                <c:pt idx="103">
                  <c:v>59995000</c:v>
                </c:pt>
                <c:pt idx="104">
                  <c:v>59995000</c:v>
                </c:pt>
                <c:pt idx="105">
                  <c:v>59995000</c:v>
                </c:pt>
                <c:pt idx="106">
                  <c:v>59995000</c:v>
                </c:pt>
                <c:pt idx="107">
                  <c:v>59995000</c:v>
                </c:pt>
                <c:pt idx="108">
                  <c:v>59995000</c:v>
                </c:pt>
                <c:pt idx="109">
                  <c:v>59995000</c:v>
                </c:pt>
                <c:pt idx="110">
                  <c:v>59995000</c:v>
                </c:pt>
                <c:pt idx="111">
                  <c:v>59995000</c:v>
                </c:pt>
                <c:pt idx="112">
                  <c:v>59995000</c:v>
                </c:pt>
                <c:pt idx="113">
                  <c:v>59995000</c:v>
                </c:pt>
                <c:pt idx="114">
                  <c:v>59995000</c:v>
                </c:pt>
                <c:pt idx="115">
                  <c:v>59995000</c:v>
                </c:pt>
                <c:pt idx="116">
                  <c:v>59995000</c:v>
                </c:pt>
                <c:pt idx="117">
                  <c:v>59995000</c:v>
                </c:pt>
                <c:pt idx="118">
                  <c:v>59995000</c:v>
                </c:pt>
                <c:pt idx="119">
                  <c:v>59995000</c:v>
                </c:pt>
                <c:pt idx="120">
                  <c:v>59995000</c:v>
                </c:pt>
                <c:pt idx="121">
                  <c:v>59995000</c:v>
                </c:pt>
                <c:pt idx="122">
                  <c:v>59995000</c:v>
                </c:pt>
                <c:pt idx="123">
                  <c:v>59995000</c:v>
                </c:pt>
                <c:pt idx="124">
                  <c:v>59995000</c:v>
                </c:pt>
                <c:pt idx="125">
                  <c:v>59995000</c:v>
                </c:pt>
                <c:pt idx="126">
                  <c:v>59995000</c:v>
                </c:pt>
                <c:pt idx="127">
                  <c:v>59995000</c:v>
                </c:pt>
                <c:pt idx="128">
                  <c:v>59995000</c:v>
                </c:pt>
                <c:pt idx="129">
                  <c:v>59995000</c:v>
                </c:pt>
                <c:pt idx="130">
                  <c:v>59995000</c:v>
                </c:pt>
                <c:pt idx="131">
                  <c:v>59995000</c:v>
                </c:pt>
                <c:pt idx="132">
                  <c:v>59995000</c:v>
                </c:pt>
                <c:pt idx="133">
                  <c:v>59995000</c:v>
                </c:pt>
                <c:pt idx="134">
                  <c:v>59995000</c:v>
                </c:pt>
                <c:pt idx="135">
                  <c:v>59995000</c:v>
                </c:pt>
                <c:pt idx="136">
                  <c:v>59995000</c:v>
                </c:pt>
                <c:pt idx="137">
                  <c:v>59995000</c:v>
                </c:pt>
                <c:pt idx="138">
                  <c:v>59995000</c:v>
                </c:pt>
                <c:pt idx="139">
                  <c:v>59995000</c:v>
                </c:pt>
                <c:pt idx="140">
                  <c:v>59995000</c:v>
                </c:pt>
                <c:pt idx="141">
                  <c:v>59995000</c:v>
                </c:pt>
                <c:pt idx="142">
                  <c:v>59995000</c:v>
                </c:pt>
                <c:pt idx="143">
                  <c:v>59995000</c:v>
                </c:pt>
                <c:pt idx="144">
                  <c:v>59995000</c:v>
                </c:pt>
                <c:pt idx="145">
                  <c:v>59995000</c:v>
                </c:pt>
                <c:pt idx="146">
                  <c:v>59995000</c:v>
                </c:pt>
                <c:pt idx="147">
                  <c:v>59995000</c:v>
                </c:pt>
                <c:pt idx="148">
                  <c:v>59995000</c:v>
                </c:pt>
                <c:pt idx="149">
                  <c:v>59995000</c:v>
                </c:pt>
                <c:pt idx="150">
                  <c:v>59995000</c:v>
                </c:pt>
                <c:pt idx="151">
                  <c:v>59995000</c:v>
                </c:pt>
                <c:pt idx="152">
                  <c:v>59995000</c:v>
                </c:pt>
                <c:pt idx="153">
                  <c:v>59995000</c:v>
                </c:pt>
                <c:pt idx="154">
                  <c:v>59995000</c:v>
                </c:pt>
                <c:pt idx="155">
                  <c:v>59995000</c:v>
                </c:pt>
                <c:pt idx="156">
                  <c:v>59995000</c:v>
                </c:pt>
                <c:pt idx="157">
                  <c:v>59995000</c:v>
                </c:pt>
                <c:pt idx="158">
                  <c:v>59995000</c:v>
                </c:pt>
                <c:pt idx="159">
                  <c:v>59995000</c:v>
                </c:pt>
                <c:pt idx="160">
                  <c:v>59995000</c:v>
                </c:pt>
                <c:pt idx="161">
                  <c:v>59995000</c:v>
                </c:pt>
                <c:pt idx="162">
                  <c:v>59995000</c:v>
                </c:pt>
                <c:pt idx="163">
                  <c:v>59995000</c:v>
                </c:pt>
                <c:pt idx="164">
                  <c:v>59995000</c:v>
                </c:pt>
                <c:pt idx="165">
                  <c:v>59995000</c:v>
                </c:pt>
                <c:pt idx="166">
                  <c:v>59995000</c:v>
                </c:pt>
                <c:pt idx="167">
                  <c:v>59995000</c:v>
                </c:pt>
                <c:pt idx="168">
                  <c:v>59995000</c:v>
                </c:pt>
                <c:pt idx="169">
                  <c:v>59995000</c:v>
                </c:pt>
                <c:pt idx="170">
                  <c:v>59995000</c:v>
                </c:pt>
                <c:pt idx="171">
                  <c:v>59995000</c:v>
                </c:pt>
                <c:pt idx="172">
                  <c:v>59995000</c:v>
                </c:pt>
                <c:pt idx="173">
                  <c:v>59995000</c:v>
                </c:pt>
                <c:pt idx="174">
                  <c:v>59995000</c:v>
                </c:pt>
                <c:pt idx="175">
                  <c:v>59995000</c:v>
                </c:pt>
                <c:pt idx="176">
                  <c:v>59995000</c:v>
                </c:pt>
                <c:pt idx="177">
                  <c:v>59995000</c:v>
                </c:pt>
                <c:pt idx="178">
                  <c:v>59995000</c:v>
                </c:pt>
                <c:pt idx="179">
                  <c:v>59995000</c:v>
                </c:pt>
                <c:pt idx="180">
                  <c:v>59995000</c:v>
                </c:pt>
                <c:pt idx="181">
                  <c:v>59995000</c:v>
                </c:pt>
                <c:pt idx="182">
                  <c:v>59995000</c:v>
                </c:pt>
                <c:pt idx="183">
                  <c:v>59995000</c:v>
                </c:pt>
                <c:pt idx="184">
                  <c:v>59995000</c:v>
                </c:pt>
                <c:pt idx="185">
                  <c:v>59995000</c:v>
                </c:pt>
                <c:pt idx="186">
                  <c:v>59995000</c:v>
                </c:pt>
                <c:pt idx="187">
                  <c:v>59995000</c:v>
                </c:pt>
                <c:pt idx="188">
                  <c:v>59995000</c:v>
                </c:pt>
                <c:pt idx="189">
                  <c:v>59995000</c:v>
                </c:pt>
                <c:pt idx="190">
                  <c:v>59995000</c:v>
                </c:pt>
                <c:pt idx="191">
                  <c:v>59995000</c:v>
                </c:pt>
                <c:pt idx="192">
                  <c:v>59995000</c:v>
                </c:pt>
                <c:pt idx="193">
                  <c:v>59995000</c:v>
                </c:pt>
                <c:pt idx="194">
                  <c:v>59995000</c:v>
                </c:pt>
                <c:pt idx="195">
                  <c:v>59995000</c:v>
                </c:pt>
                <c:pt idx="196">
                  <c:v>59995000</c:v>
                </c:pt>
                <c:pt idx="197">
                  <c:v>59995000</c:v>
                </c:pt>
                <c:pt idx="198">
                  <c:v>59995000</c:v>
                </c:pt>
                <c:pt idx="199">
                  <c:v>59995000</c:v>
                </c:pt>
                <c:pt idx="200">
                  <c:v>59995000</c:v>
                </c:pt>
                <c:pt idx="201">
                  <c:v>59995000</c:v>
                </c:pt>
                <c:pt idx="202">
                  <c:v>59995000</c:v>
                </c:pt>
                <c:pt idx="203">
                  <c:v>59995000</c:v>
                </c:pt>
                <c:pt idx="204">
                  <c:v>59995000</c:v>
                </c:pt>
                <c:pt idx="205">
                  <c:v>59995000</c:v>
                </c:pt>
                <c:pt idx="206">
                  <c:v>59995000</c:v>
                </c:pt>
                <c:pt idx="207">
                  <c:v>59995000</c:v>
                </c:pt>
                <c:pt idx="208">
                  <c:v>59995000</c:v>
                </c:pt>
                <c:pt idx="209">
                  <c:v>59995000</c:v>
                </c:pt>
                <c:pt idx="210">
                  <c:v>59995000</c:v>
                </c:pt>
                <c:pt idx="211">
                  <c:v>59995000</c:v>
                </c:pt>
                <c:pt idx="212">
                  <c:v>59995000</c:v>
                </c:pt>
                <c:pt idx="213">
                  <c:v>59995000</c:v>
                </c:pt>
                <c:pt idx="214">
                  <c:v>59995000</c:v>
                </c:pt>
                <c:pt idx="215">
                  <c:v>59995000</c:v>
                </c:pt>
                <c:pt idx="216">
                  <c:v>59995000</c:v>
                </c:pt>
                <c:pt idx="217">
                  <c:v>59995000</c:v>
                </c:pt>
                <c:pt idx="218">
                  <c:v>59995000</c:v>
                </c:pt>
                <c:pt idx="219">
                  <c:v>59995000</c:v>
                </c:pt>
                <c:pt idx="220">
                  <c:v>59995000</c:v>
                </c:pt>
                <c:pt idx="221">
                  <c:v>59995000</c:v>
                </c:pt>
                <c:pt idx="222">
                  <c:v>59995000</c:v>
                </c:pt>
                <c:pt idx="223">
                  <c:v>59995000</c:v>
                </c:pt>
                <c:pt idx="224">
                  <c:v>59995000</c:v>
                </c:pt>
                <c:pt idx="225">
                  <c:v>59995000</c:v>
                </c:pt>
                <c:pt idx="226">
                  <c:v>59995000</c:v>
                </c:pt>
                <c:pt idx="227">
                  <c:v>59995000</c:v>
                </c:pt>
                <c:pt idx="228">
                  <c:v>59995000</c:v>
                </c:pt>
                <c:pt idx="229">
                  <c:v>59995000</c:v>
                </c:pt>
                <c:pt idx="230">
                  <c:v>59995000</c:v>
                </c:pt>
                <c:pt idx="231">
                  <c:v>59995000</c:v>
                </c:pt>
                <c:pt idx="232">
                  <c:v>59995000</c:v>
                </c:pt>
                <c:pt idx="233">
                  <c:v>59995000</c:v>
                </c:pt>
                <c:pt idx="234">
                  <c:v>59995000</c:v>
                </c:pt>
                <c:pt idx="235">
                  <c:v>59995000</c:v>
                </c:pt>
                <c:pt idx="236">
                  <c:v>59995000</c:v>
                </c:pt>
                <c:pt idx="237">
                  <c:v>59995000</c:v>
                </c:pt>
                <c:pt idx="238">
                  <c:v>59995000</c:v>
                </c:pt>
                <c:pt idx="239">
                  <c:v>59995000</c:v>
                </c:pt>
                <c:pt idx="240">
                  <c:v>59995000</c:v>
                </c:pt>
                <c:pt idx="241">
                  <c:v>59995000</c:v>
                </c:pt>
                <c:pt idx="242">
                  <c:v>59995000</c:v>
                </c:pt>
                <c:pt idx="243">
                  <c:v>59995000</c:v>
                </c:pt>
                <c:pt idx="244">
                  <c:v>59995000</c:v>
                </c:pt>
                <c:pt idx="245">
                  <c:v>59995000</c:v>
                </c:pt>
                <c:pt idx="246">
                  <c:v>59995000</c:v>
                </c:pt>
                <c:pt idx="247">
                  <c:v>59995000</c:v>
                </c:pt>
                <c:pt idx="248">
                  <c:v>59995000</c:v>
                </c:pt>
                <c:pt idx="249">
                  <c:v>59995000</c:v>
                </c:pt>
                <c:pt idx="250">
                  <c:v>59995000</c:v>
                </c:pt>
                <c:pt idx="251">
                  <c:v>59995000</c:v>
                </c:pt>
                <c:pt idx="252">
                  <c:v>59995000</c:v>
                </c:pt>
                <c:pt idx="253">
                  <c:v>59995000</c:v>
                </c:pt>
                <c:pt idx="254">
                  <c:v>59995000</c:v>
                </c:pt>
                <c:pt idx="255">
                  <c:v>59995000</c:v>
                </c:pt>
                <c:pt idx="256">
                  <c:v>59995000</c:v>
                </c:pt>
                <c:pt idx="257">
                  <c:v>59995000</c:v>
                </c:pt>
                <c:pt idx="258">
                  <c:v>59995000</c:v>
                </c:pt>
                <c:pt idx="259">
                  <c:v>59995000</c:v>
                </c:pt>
                <c:pt idx="260">
                  <c:v>59995000</c:v>
                </c:pt>
                <c:pt idx="261">
                  <c:v>59995000</c:v>
                </c:pt>
                <c:pt idx="262">
                  <c:v>59995000</c:v>
                </c:pt>
                <c:pt idx="263">
                  <c:v>59995000</c:v>
                </c:pt>
                <c:pt idx="264">
                  <c:v>59995000</c:v>
                </c:pt>
                <c:pt idx="265">
                  <c:v>59995000</c:v>
                </c:pt>
                <c:pt idx="266">
                  <c:v>59995000</c:v>
                </c:pt>
                <c:pt idx="267">
                  <c:v>59995000</c:v>
                </c:pt>
                <c:pt idx="268">
                  <c:v>59995000</c:v>
                </c:pt>
                <c:pt idx="269">
                  <c:v>59995000</c:v>
                </c:pt>
                <c:pt idx="270">
                  <c:v>59995000</c:v>
                </c:pt>
                <c:pt idx="271">
                  <c:v>59995000</c:v>
                </c:pt>
                <c:pt idx="272">
                  <c:v>59995000</c:v>
                </c:pt>
                <c:pt idx="273">
                  <c:v>59995000</c:v>
                </c:pt>
                <c:pt idx="274">
                  <c:v>59995000</c:v>
                </c:pt>
                <c:pt idx="275">
                  <c:v>59995000</c:v>
                </c:pt>
                <c:pt idx="276">
                  <c:v>59995000</c:v>
                </c:pt>
                <c:pt idx="277">
                  <c:v>59995000</c:v>
                </c:pt>
                <c:pt idx="278">
                  <c:v>59995000</c:v>
                </c:pt>
                <c:pt idx="279">
                  <c:v>59995000</c:v>
                </c:pt>
                <c:pt idx="280">
                  <c:v>59995000</c:v>
                </c:pt>
                <c:pt idx="281">
                  <c:v>59995000</c:v>
                </c:pt>
                <c:pt idx="282">
                  <c:v>59995000</c:v>
                </c:pt>
                <c:pt idx="283">
                  <c:v>59995000</c:v>
                </c:pt>
                <c:pt idx="284">
                  <c:v>59995000</c:v>
                </c:pt>
                <c:pt idx="285">
                  <c:v>59995000</c:v>
                </c:pt>
                <c:pt idx="286">
                  <c:v>59995000</c:v>
                </c:pt>
                <c:pt idx="287">
                  <c:v>59995000</c:v>
                </c:pt>
                <c:pt idx="288">
                  <c:v>59995000</c:v>
                </c:pt>
                <c:pt idx="289">
                  <c:v>59995000</c:v>
                </c:pt>
                <c:pt idx="290">
                  <c:v>59995000</c:v>
                </c:pt>
                <c:pt idx="291">
                  <c:v>59995000</c:v>
                </c:pt>
                <c:pt idx="292">
                  <c:v>59995000</c:v>
                </c:pt>
                <c:pt idx="293">
                  <c:v>59995000</c:v>
                </c:pt>
                <c:pt idx="294">
                  <c:v>59995000</c:v>
                </c:pt>
                <c:pt idx="295">
                  <c:v>59995000</c:v>
                </c:pt>
                <c:pt idx="296">
                  <c:v>59995000</c:v>
                </c:pt>
                <c:pt idx="297">
                  <c:v>59995000</c:v>
                </c:pt>
                <c:pt idx="298">
                  <c:v>59995000</c:v>
                </c:pt>
                <c:pt idx="299">
                  <c:v>59995000</c:v>
                </c:pt>
                <c:pt idx="300">
                  <c:v>59995000</c:v>
                </c:pt>
                <c:pt idx="301">
                  <c:v>59995000</c:v>
                </c:pt>
                <c:pt idx="302">
                  <c:v>59995000</c:v>
                </c:pt>
                <c:pt idx="303">
                  <c:v>59995000</c:v>
                </c:pt>
                <c:pt idx="304">
                  <c:v>59995000</c:v>
                </c:pt>
                <c:pt idx="305">
                  <c:v>59995000</c:v>
                </c:pt>
                <c:pt idx="306">
                  <c:v>59995000</c:v>
                </c:pt>
                <c:pt idx="307">
                  <c:v>59995000</c:v>
                </c:pt>
                <c:pt idx="308">
                  <c:v>59995000</c:v>
                </c:pt>
                <c:pt idx="309">
                  <c:v>59995000</c:v>
                </c:pt>
                <c:pt idx="310">
                  <c:v>59995000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87FF-4017-AD68-239E69E2455E}"/>
            </c:ext>
          </c:extLst>
        </c:ser>
        <c:ser>
          <c:idx val="1"/>
          <c:order val="4"/>
          <c:tx>
            <c:strRef>
              <c:f>Cashflow!$B$11</c:f>
              <c:strCache>
                <c:ptCount val="1"/>
                <c:pt idx="0">
                  <c:v>Actual + Planned Expenditure</c:v>
                </c:pt>
              </c:strCache>
              <c:extLst xmlns:c15="http://schemas.microsoft.com/office/drawing/2012/chart"/>
            </c:strRef>
          </c:tx>
          <c:spPr>
            <a:ln w="31750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Cashflow!$F$12:$LD$12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2875421.9278117996</c:v>
                </c:pt>
                <c:pt idx="21">
                  <c:v>5826389.5278117992</c:v>
                </c:pt>
                <c:pt idx="22">
                  <c:v>8029695.4678117987</c:v>
                </c:pt>
                <c:pt idx="23">
                  <c:v>8045866.3078117985</c:v>
                </c:pt>
                <c:pt idx="24">
                  <c:v>8056266.3078117985</c:v>
                </c:pt>
                <c:pt idx="25">
                  <c:v>9947502.8078117985</c:v>
                </c:pt>
                <c:pt idx="26">
                  <c:v>9966708.3078117985</c:v>
                </c:pt>
                <c:pt idx="27">
                  <c:v>10957012.567811798</c:v>
                </c:pt>
                <c:pt idx="28">
                  <c:v>10978558.547811799</c:v>
                </c:pt>
                <c:pt idx="29">
                  <c:v>10981686.317811798</c:v>
                </c:pt>
                <c:pt idx="30">
                  <c:v>10995440.177811798</c:v>
                </c:pt>
                <c:pt idx="31">
                  <c:v>12794392.997811798</c:v>
                </c:pt>
                <c:pt idx="32">
                  <c:v>17568976.527811795</c:v>
                </c:pt>
                <c:pt idx="33">
                  <c:v>18166497.517811794</c:v>
                </c:pt>
                <c:pt idx="34">
                  <c:v>18166497.517811794</c:v>
                </c:pt>
                <c:pt idx="35">
                  <c:v>19680393.369985707</c:v>
                </c:pt>
                <c:pt idx="36">
                  <c:v>22392180.479985707</c:v>
                </c:pt>
                <c:pt idx="37">
                  <c:v>22817885.629985705</c:v>
                </c:pt>
                <c:pt idx="38">
                  <c:v>26759450.509985708</c:v>
                </c:pt>
                <c:pt idx="39">
                  <c:v>26759450.509985708</c:v>
                </c:pt>
                <c:pt idx="40">
                  <c:v>27180219.279985707</c:v>
                </c:pt>
                <c:pt idx="41">
                  <c:v>27244946.159985706</c:v>
                </c:pt>
                <c:pt idx="42">
                  <c:v>27261665.159985706</c:v>
                </c:pt>
                <c:pt idx="43">
                  <c:v>27261665.159985706</c:v>
                </c:pt>
                <c:pt idx="44">
                  <c:v>32156807.088620007</c:v>
                </c:pt>
                <c:pt idx="45">
                  <c:v>32937770.808620006</c:v>
                </c:pt>
                <c:pt idx="46">
                  <c:v>33099180.858620007</c:v>
                </c:pt>
                <c:pt idx="47">
                  <c:v>34030948.758620009</c:v>
                </c:pt>
                <c:pt idx="48">
                  <c:v>34540266.758620009</c:v>
                </c:pt>
                <c:pt idx="49">
                  <c:v>34763677.758620009</c:v>
                </c:pt>
                <c:pt idx="50">
                  <c:v>36910351.866446093</c:v>
                </c:pt>
                <c:pt idx="51">
                  <c:v>38041800.996880874</c:v>
                </c:pt>
                <c:pt idx="52">
                  <c:v>40369538.955880873</c:v>
                </c:pt>
                <c:pt idx="53">
                  <c:v>44338249.176446088</c:v>
                </c:pt>
                <c:pt idx="54">
                  <c:v>44374824.026446089</c:v>
                </c:pt>
                <c:pt idx="55">
                  <c:v>44978004.026446089</c:v>
                </c:pt>
                <c:pt idx="56">
                  <c:v>45270504.026446089</c:v>
                </c:pt>
                <c:pt idx="57">
                  <c:v>46774282.566446088</c:v>
                </c:pt>
                <c:pt idx="58">
                  <c:v>46774282.566446088</c:v>
                </c:pt>
                <c:pt idx="59">
                  <c:v>46809882.566446088</c:v>
                </c:pt>
                <c:pt idx="60">
                  <c:v>47086382.566446088</c:v>
                </c:pt>
                <c:pt idx="61">
                  <c:v>47135132.566446088</c:v>
                </c:pt>
                <c:pt idx="62">
                  <c:v>48692191.566446088</c:v>
                </c:pt>
                <c:pt idx="63">
                  <c:v>48692191.566446088</c:v>
                </c:pt>
                <c:pt idx="64">
                  <c:v>48692191.566446088</c:v>
                </c:pt>
                <c:pt idx="65">
                  <c:v>48692191.566446088</c:v>
                </c:pt>
                <c:pt idx="66">
                  <c:v>48692191.566446088</c:v>
                </c:pt>
                <c:pt idx="67">
                  <c:v>48692191.566446088</c:v>
                </c:pt>
                <c:pt idx="68">
                  <c:v>48692191.566446088</c:v>
                </c:pt>
                <c:pt idx="69">
                  <c:v>48692191.566446088</c:v>
                </c:pt>
                <c:pt idx="70">
                  <c:v>48692191.566446088</c:v>
                </c:pt>
                <c:pt idx="71">
                  <c:v>48692191.566446088</c:v>
                </c:pt>
                <c:pt idx="72">
                  <c:v>48692191.566446088</c:v>
                </c:pt>
                <c:pt idx="73">
                  <c:v>48692191.566446088</c:v>
                </c:pt>
                <c:pt idx="74">
                  <c:v>48692191.566446088</c:v>
                </c:pt>
                <c:pt idx="75">
                  <c:v>48692191.566446088</c:v>
                </c:pt>
                <c:pt idx="76">
                  <c:v>48692191.566446088</c:v>
                </c:pt>
                <c:pt idx="77">
                  <c:v>48692191.566446088</c:v>
                </c:pt>
                <c:pt idx="78">
                  <c:v>48692191.566446088</c:v>
                </c:pt>
                <c:pt idx="79">
                  <c:v>48692191.566446088</c:v>
                </c:pt>
                <c:pt idx="80">
                  <c:v>48692191.566446088</c:v>
                </c:pt>
                <c:pt idx="81">
                  <c:v>48692191.566446088</c:v>
                </c:pt>
                <c:pt idx="82">
                  <c:v>48692191.566446088</c:v>
                </c:pt>
                <c:pt idx="83">
                  <c:v>48692191.566446088</c:v>
                </c:pt>
                <c:pt idx="84">
                  <c:v>48692191.566446088</c:v>
                </c:pt>
                <c:pt idx="85">
                  <c:v>48692191.566446088</c:v>
                </c:pt>
                <c:pt idx="86">
                  <c:v>48692191.566446088</c:v>
                </c:pt>
                <c:pt idx="87">
                  <c:v>48692191.566446088</c:v>
                </c:pt>
                <c:pt idx="88">
                  <c:v>48692191.566446088</c:v>
                </c:pt>
                <c:pt idx="89">
                  <c:v>48692191.566446088</c:v>
                </c:pt>
                <c:pt idx="90">
                  <c:v>48692191.566446088</c:v>
                </c:pt>
                <c:pt idx="91">
                  <c:v>48692191.566446088</c:v>
                </c:pt>
                <c:pt idx="92">
                  <c:v>48692191.566446088</c:v>
                </c:pt>
                <c:pt idx="93">
                  <c:v>48692191.566446088</c:v>
                </c:pt>
                <c:pt idx="94">
                  <c:v>48692191.566446088</c:v>
                </c:pt>
                <c:pt idx="95">
                  <c:v>48692191.566446088</c:v>
                </c:pt>
                <c:pt idx="96">
                  <c:v>48692191.566446088</c:v>
                </c:pt>
                <c:pt idx="97">
                  <c:v>48692191.566446088</c:v>
                </c:pt>
                <c:pt idx="98">
                  <c:v>48692191.566446088</c:v>
                </c:pt>
                <c:pt idx="99">
                  <c:v>48692191.566446088</c:v>
                </c:pt>
                <c:pt idx="100">
                  <c:v>48692191.566446088</c:v>
                </c:pt>
                <c:pt idx="101">
                  <c:v>48692191.566446088</c:v>
                </c:pt>
                <c:pt idx="102">
                  <c:v>48692191.566446088</c:v>
                </c:pt>
                <c:pt idx="103">
                  <c:v>48692191.566446088</c:v>
                </c:pt>
                <c:pt idx="104">
                  <c:v>48692191.566446088</c:v>
                </c:pt>
                <c:pt idx="105">
                  <c:v>48692191.566446088</c:v>
                </c:pt>
                <c:pt idx="106">
                  <c:v>48692191.566446088</c:v>
                </c:pt>
                <c:pt idx="107">
                  <c:v>48692191.566446088</c:v>
                </c:pt>
                <c:pt idx="108">
                  <c:v>48692191.566446088</c:v>
                </c:pt>
                <c:pt idx="109">
                  <c:v>48692191.566446088</c:v>
                </c:pt>
                <c:pt idx="110">
                  <c:v>48692191.566446088</c:v>
                </c:pt>
                <c:pt idx="111">
                  <c:v>48692191.566446088</c:v>
                </c:pt>
                <c:pt idx="112">
                  <c:v>48692191.566446088</c:v>
                </c:pt>
                <c:pt idx="113">
                  <c:v>48692191.566446088</c:v>
                </c:pt>
                <c:pt idx="114">
                  <c:v>48692191.566446088</c:v>
                </c:pt>
                <c:pt idx="115">
                  <c:v>48692191.566446088</c:v>
                </c:pt>
                <c:pt idx="116">
                  <c:v>48692191.566446088</c:v>
                </c:pt>
                <c:pt idx="117">
                  <c:v>48692191.566446088</c:v>
                </c:pt>
                <c:pt idx="118">
                  <c:v>48692191.566446088</c:v>
                </c:pt>
                <c:pt idx="119">
                  <c:v>48692191.566446088</c:v>
                </c:pt>
                <c:pt idx="120">
                  <c:v>48692191.566446088</c:v>
                </c:pt>
                <c:pt idx="121">
                  <c:v>48692191.566446088</c:v>
                </c:pt>
                <c:pt idx="122">
                  <c:v>48692191.566446088</c:v>
                </c:pt>
                <c:pt idx="123">
                  <c:v>48692191.566446088</c:v>
                </c:pt>
                <c:pt idx="124">
                  <c:v>48692191.566446088</c:v>
                </c:pt>
                <c:pt idx="125">
                  <c:v>48692191.566446088</c:v>
                </c:pt>
                <c:pt idx="126">
                  <c:v>48692191.566446088</c:v>
                </c:pt>
                <c:pt idx="127">
                  <c:v>48692191.566446088</c:v>
                </c:pt>
                <c:pt idx="128">
                  <c:v>48692191.566446088</c:v>
                </c:pt>
                <c:pt idx="129">
                  <c:v>48692191.566446088</c:v>
                </c:pt>
                <c:pt idx="130">
                  <c:v>48692191.566446088</c:v>
                </c:pt>
                <c:pt idx="131">
                  <c:v>48692191.566446088</c:v>
                </c:pt>
                <c:pt idx="132">
                  <c:v>48692191.566446088</c:v>
                </c:pt>
                <c:pt idx="133">
                  <c:v>48692191.566446088</c:v>
                </c:pt>
                <c:pt idx="134">
                  <c:v>48692191.566446088</c:v>
                </c:pt>
                <c:pt idx="135">
                  <c:v>48692191.566446088</c:v>
                </c:pt>
                <c:pt idx="136">
                  <c:v>48692191.566446088</c:v>
                </c:pt>
                <c:pt idx="137">
                  <c:v>48692191.566446088</c:v>
                </c:pt>
                <c:pt idx="138">
                  <c:v>48692191.566446088</c:v>
                </c:pt>
                <c:pt idx="139">
                  <c:v>48692191.566446088</c:v>
                </c:pt>
                <c:pt idx="140">
                  <c:v>48692191.566446088</c:v>
                </c:pt>
                <c:pt idx="141">
                  <c:v>48692191.566446088</c:v>
                </c:pt>
                <c:pt idx="142">
                  <c:v>48692191.566446088</c:v>
                </c:pt>
                <c:pt idx="143">
                  <c:v>48692191.566446088</c:v>
                </c:pt>
                <c:pt idx="144">
                  <c:v>48692191.566446088</c:v>
                </c:pt>
                <c:pt idx="145">
                  <c:v>48692191.566446088</c:v>
                </c:pt>
                <c:pt idx="146">
                  <c:v>48692191.566446088</c:v>
                </c:pt>
                <c:pt idx="147">
                  <c:v>48692191.566446088</c:v>
                </c:pt>
                <c:pt idx="148">
                  <c:v>48692191.566446088</c:v>
                </c:pt>
                <c:pt idx="149">
                  <c:v>48692191.566446088</c:v>
                </c:pt>
                <c:pt idx="150">
                  <c:v>48692191.566446088</c:v>
                </c:pt>
                <c:pt idx="151">
                  <c:v>48692191.566446088</c:v>
                </c:pt>
                <c:pt idx="152">
                  <c:v>48692191.566446088</c:v>
                </c:pt>
                <c:pt idx="153">
                  <c:v>48692191.566446088</c:v>
                </c:pt>
                <c:pt idx="154">
                  <c:v>48692191.566446088</c:v>
                </c:pt>
                <c:pt idx="155">
                  <c:v>48692191.566446088</c:v>
                </c:pt>
                <c:pt idx="156">
                  <c:v>48692191.566446088</c:v>
                </c:pt>
                <c:pt idx="157">
                  <c:v>48692191.566446088</c:v>
                </c:pt>
                <c:pt idx="158">
                  <c:v>48692191.566446088</c:v>
                </c:pt>
                <c:pt idx="159">
                  <c:v>48692191.566446088</c:v>
                </c:pt>
                <c:pt idx="160">
                  <c:v>48692191.566446088</c:v>
                </c:pt>
                <c:pt idx="161">
                  <c:v>48692191.566446088</c:v>
                </c:pt>
                <c:pt idx="162">
                  <c:v>48692191.566446088</c:v>
                </c:pt>
                <c:pt idx="163">
                  <c:v>48692191.566446088</c:v>
                </c:pt>
                <c:pt idx="164">
                  <c:v>48692191.566446088</c:v>
                </c:pt>
                <c:pt idx="165">
                  <c:v>48692191.566446088</c:v>
                </c:pt>
                <c:pt idx="166">
                  <c:v>48692191.566446088</c:v>
                </c:pt>
                <c:pt idx="167">
                  <c:v>48692191.566446088</c:v>
                </c:pt>
                <c:pt idx="168">
                  <c:v>48692191.566446088</c:v>
                </c:pt>
                <c:pt idx="169">
                  <c:v>48692191.566446088</c:v>
                </c:pt>
                <c:pt idx="170">
                  <c:v>48692191.566446088</c:v>
                </c:pt>
                <c:pt idx="171">
                  <c:v>48692191.566446088</c:v>
                </c:pt>
                <c:pt idx="172">
                  <c:v>48692191.566446088</c:v>
                </c:pt>
                <c:pt idx="173">
                  <c:v>48692191.566446088</c:v>
                </c:pt>
                <c:pt idx="174">
                  <c:v>48692191.566446088</c:v>
                </c:pt>
                <c:pt idx="175">
                  <c:v>48692191.566446088</c:v>
                </c:pt>
                <c:pt idx="176">
                  <c:v>48692191.566446088</c:v>
                </c:pt>
                <c:pt idx="177">
                  <c:v>48692191.566446088</c:v>
                </c:pt>
                <c:pt idx="178">
                  <c:v>48692191.566446088</c:v>
                </c:pt>
                <c:pt idx="179">
                  <c:v>48692191.566446088</c:v>
                </c:pt>
                <c:pt idx="180">
                  <c:v>48692191.566446088</c:v>
                </c:pt>
                <c:pt idx="181">
                  <c:v>48692191.566446088</c:v>
                </c:pt>
                <c:pt idx="182">
                  <c:v>48692191.566446088</c:v>
                </c:pt>
                <c:pt idx="183">
                  <c:v>48692191.566446088</c:v>
                </c:pt>
                <c:pt idx="184">
                  <c:v>48692191.566446088</c:v>
                </c:pt>
                <c:pt idx="185">
                  <c:v>48692191.566446088</c:v>
                </c:pt>
                <c:pt idx="186">
                  <c:v>48692191.566446088</c:v>
                </c:pt>
                <c:pt idx="187">
                  <c:v>48692191.566446088</c:v>
                </c:pt>
                <c:pt idx="188">
                  <c:v>48692191.566446088</c:v>
                </c:pt>
                <c:pt idx="189">
                  <c:v>48692191.566446088</c:v>
                </c:pt>
                <c:pt idx="190">
                  <c:v>48692191.566446088</c:v>
                </c:pt>
                <c:pt idx="191">
                  <c:v>48692191.566446088</c:v>
                </c:pt>
                <c:pt idx="192">
                  <c:v>48692191.566446088</c:v>
                </c:pt>
                <c:pt idx="193">
                  <c:v>48692191.566446088</c:v>
                </c:pt>
                <c:pt idx="194">
                  <c:v>48692191.566446088</c:v>
                </c:pt>
                <c:pt idx="195">
                  <c:v>48692191.566446088</c:v>
                </c:pt>
                <c:pt idx="196">
                  <c:v>48692191.566446088</c:v>
                </c:pt>
                <c:pt idx="197">
                  <c:v>48692191.566446088</c:v>
                </c:pt>
                <c:pt idx="198">
                  <c:v>48692191.566446088</c:v>
                </c:pt>
                <c:pt idx="199">
                  <c:v>48692191.566446088</c:v>
                </c:pt>
                <c:pt idx="200">
                  <c:v>48692191.566446088</c:v>
                </c:pt>
                <c:pt idx="201">
                  <c:v>48692191.566446088</c:v>
                </c:pt>
                <c:pt idx="202">
                  <c:v>48692191.566446088</c:v>
                </c:pt>
                <c:pt idx="203">
                  <c:v>48692191.566446088</c:v>
                </c:pt>
                <c:pt idx="204">
                  <c:v>48692191.566446088</c:v>
                </c:pt>
                <c:pt idx="205">
                  <c:v>48692191.566446088</c:v>
                </c:pt>
                <c:pt idx="206">
                  <c:v>48692191.566446088</c:v>
                </c:pt>
                <c:pt idx="207">
                  <c:v>48692191.566446088</c:v>
                </c:pt>
                <c:pt idx="208">
                  <c:v>48692191.566446088</c:v>
                </c:pt>
                <c:pt idx="209">
                  <c:v>48692191.566446088</c:v>
                </c:pt>
                <c:pt idx="210">
                  <c:v>48692191.566446088</c:v>
                </c:pt>
                <c:pt idx="211">
                  <c:v>48692191.566446088</c:v>
                </c:pt>
                <c:pt idx="212">
                  <c:v>48692191.566446088</c:v>
                </c:pt>
                <c:pt idx="213">
                  <c:v>48692191.566446088</c:v>
                </c:pt>
                <c:pt idx="214">
                  <c:v>48692191.566446088</c:v>
                </c:pt>
                <c:pt idx="215">
                  <c:v>48692191.566446088</c:v>
                </c:pt>
                <c:pt idx="216">
                  <c:v>48692191.566446088</c:v>
                </c:pt>
                <c:pt idx="217">
                  <c:v>48692191.566446088</c:v>
                </c:pt>
                <c:pt idx="218">
                  <c:v>48692191.566446088</c:v>
                </c:pt>
                <c:pt idx="219">
                  <c:v>48692191.566446088</c:v>
                </c:pt>
                <c:pt idx="220">
                  <c:v>48692191.566446088</c:v>
                </c:pt>
                <c:pt idx="221">
                  <c:v>48692191.566446088</c:v>
                </c:pt>
                <c:pt idx="222">
                  <c:v>48692191.566446088</c:v>
                </c:pt>
                <c:pt idx="223">
                  <c:v>48692191.566446088</c:v>
                </c:pt>
                <c:pt idx="224">
                  <c:v>48692191.566446088</c:v>
                </c:pt>
                <c:pt idx="225">
                  <c:v>48692191.566446088</c:v>
                </c:pt>
                <c:pt idx="226">
                  <c:v>48692191.566446088</c:v>
                </c:pt>
                <c:pt idx="227">
                  <c:v>48692191.566446088</c:v>
                </c:pt>
                <c:pt idx="228">
                  <c:v>48692191.566446088</c:v>
                </c:pt>
                <c:pt idx="229">
                  <c:v>48692191.566446088</c:v>
                </c:pt>
                <c:pt idx="230">
                  <c:v>48692191.566446088</c:v>
                </c:pt>
                <c:pt idx="231">
                  <c:v>48692191.566446088</c:v>
                </c:pt>
                <c:pt idx="232">
                  <c:v>48692191.566446088</c:v>
                </c:pt>
                <c:pt idx="233">
                  <c:v>48692191.566446088</c:v>
                </c:pt>
                <c:pt idx="234">
                  <c:v>48692191.566446088</c:v>
                </c:pt>
                <c:pt idx="235">
                  <c:v>48692191.566446088</c:v>
                </c:pt>
                <c:pt idx="236">
                  <c:v>48692191.566446088</c:v>
                </c:pt>
                <c:pt idx="237">
                  <c:v>48692191.566446088</c:v>
                </c:pt>
                <c:pt idx="238">
                  <c:v>48692191.566446088</c:v>
                </c:pt>
                <c:pt idx="239">
                  <c:v>48692191.566446088</c:v>
                </c:pt>
                <c:pt idx="240">
                  <c:v>48692191.566446088</c:v>
                </c:pt>
                <c:pt idx="241">
                  <c:v>48692191.566446088</c:v>
                </c:pt>
                <c:pt idx="242">
                  <c:v>48692191.566446088</c:v>
                </c:pt>
                <c:pt idx="243">
                  <c:v>48692191.566446088</c:v>
                </c:pt>
                <c:pt idx="244">
                  <c:v>48692191.566446088</c:v>
                </c:pt>
                <c:pt idx="245">
                  <c:v>48692191.566446088</c:v>
                </c:pt>
                <c:pt idx="246">
                  <c:v>48692191.566446088</c:v>
                </c:pt>
                <c:pt idx="247">
                  <c:v>48692191.566446088</c:v>
                </c:pt>
                <c:pt idx="248">
                  <c:v>48692191.566446088</c:v>
                </c:pt>
                <c:pt idx="249">
                  <c:v>48692191.566446088</c:v>
                </c:pt>
                <c:pt idx="250">
                  <c:v>48692191.566446088</c:v>
                </c:pt>
                <c:pt idx="251">
                  <c:v>48692191.566446088</c:v>
                </c:pt>
                <c:pt idx="252">
                  <c:v>48692191.566446088</c:v>
                </c:pt>
                <c:pt idx="253">
                  <c:v>48692191.566446088</c:v>
                </c:pt>
                <c:pt idx="254">
                  <c:v>48692191.566446088</c:v>
                </c:pt>
                <c:pt idx="255">
                  <c:v>48692191.566446088</c:v>
                </c:pt>
                <c:pt idx="256">
                  <c:v>48692191.566446088</c:v>
                </c:pt>
                <c:pt idx="257">
                  <c:v>48692191.566446088</c:v>
                </c:pt>
                <c:pt idx="258">
                  <c:v>48692191.566446088</c:v>
                </c:pt>
                <c:pt idx="259">
                  <c:v>48692191.566446088</c:v>
                </c:pt>
                <c:pt idx="260">
                  <c:v>48692191.566446088</c:v>
                </c:pt>
                <c:pt idx="261">
                  <c:v>48692191.566446088</c:v>
                </c:pt>
                <c:pt idx="262">
                  <c:v>48692191.566446088</c:v>
                </c:pt>
                <c:pt idx="263">
                  <c:v>48692191.566446088</c:v>
                </c:pt>
                <c:pt idx="264">
                  <c:v>48692191.566446088</c:v>
                </c:pt>
                <c:pt idx="265">
                  <c:v>48692191.566446088</c:v>
                </c:pt>
                <c:pt idx="266">
                  <c:v>48692191.566446088</c:v>
                </c:pt>
                <c:pt idx="267">
                  <c:v>48692191.566446088</c:v>
                </c:pt>
                <c:pt idx="268">
                  <c:v>48692191.566446088</c:v>
                </c:pt>
                <c:pt idx="269">
                  <c:v>48692191.566446088</c:v>
                </c:pt>
                <c:pt idx="270">
                  <c:v>48692191.566446088</c:v>
                </c:pt>
                <c:pt idx="271">
                  <c:v>48692191.566446088</c:v>
                </c:pt>
                <c:pt idx="272">
                  <c:v>48692191.566446088</c:v>
                </c:pt>
                <c:pt idx="273">
                  <c:v>48692191.566446088</c:v>
                </c:pt>
                <c:pt idx="274">
                  <c:v>48692191.566446088</c:v>
                </c:pt>
                <c:pt idx="275">
                  <c:v>48692191.566446088</c:v>
                </c:pt>
                <c:pt idx="276">
                  <c:v>48692191.566446088</c:v>
                </c:pt>
                <c:pt idx="277">
                  <c:v>48692191.566446088</c:v>
                </c:pt>
                <c:pt idx="278">
                  <c:v>48692191.566446088</c:v>
                </c:pt>
                <c:pt idx="279">
                  <c:v>48692191.566446088</c:v>
                </c:pt>
                <c:pt idx="280">
                  <c:v>48692191.566446088</c:v>
                </c:pt>
                <c:pt idx="281">
                  <c:v>48692191.566446088</c:v>
                </c:pt>
                <c:pt idx="282">
                  <c:v>48692191.566446088</c:v>
                </c:pt>
                <c:pt idx="283">
                  <c:v>48692191.566446088</c:v>
                </c:pt>
                <c:pt idx="284">
                  <c:v>48692191.566446088</c:v>
                </c:pt>
                <c:pt idx="285">
                  <c:v>48692191.566446088</c:v>
                </c:pt>
                <c:pt idx="286">
                  <c:v>48692191.566446088</c:v>
                </c:pt>
                <c:pt idx="287">
                  <c:v>48692191.566446088</c:v>
                </c:pt>
                <c:pt idx="288">
                  <c:v>48692191.566446088</c:v>
                </c:pt>
                <c:pt idx="289">
                  <c:v>48692191.566446088</c:v>
                </c:pt>
                <c:pt idx="290">
                  <c:v>48692191.566446088</c:v>
                </c:pt>
                <c:pt idx="291">
                  <c:v>48692191.566446088</c:v>
                </c:pt>
                <c:pt idx="292">
                  <c:v>48692191.566446088</c:v>
                </c:pt>
                <c:pt idx="293">
                  <c:v>48692191.566446088</c:v>
                </c:pt>
                <c:pt idx="294">
                  <c:v>48692191.566446088</c:v>
                </c:pt>
                <c:pt idx="295">
                  <c:v>48692191.566446088</c:v>
                </c:pt>
                <c:pt idx="296">
                  <c:v>48692191.566446088</c:v>
                </c:pt>
                <c:pt idx="297">
                  <c:v>48692191.566446088</c:v>
                </c:pt>
                <c:pt idx="298">
                  <c:v>48692191.566446088</c:v>
                </c:pt>
                <c:pt idx="299">
                  <c:v>48692191.566446088</c:v>
                </c:pt>
                <c:pt idx="300">
                  <c:v>48692191.566446088</c:v>
                </c:pt>
                <c:pt idx="301">
                  <c:v>48692191.566446088</c:v>
                </c:pt>
                <c:pt idx="302">
                  <c:v>48692191.566446088</c:v>
                </c:pt>
                <c:pt idx="303">
                  <c:v>48692191.566446088</c:v>
                </c:pt>
                <c:pt idx="304">
                  <c:v>48692191.566446088</c:v>
                </c:pt>
                <c:pt idx="305">
                  <c:v>48692191.566446088</c:v>
                </c:pt>
                <c:pt idx="306">
                  <c:v>48692191.566446088</c:v>
                </c:pt>
                <c:pt idx="307">
                  <c:v>48692191.566446088</c:v>
                </c:pt>
                <c:pt idx="308">
                  <c:v>48692191.566446088</c:v>
                </c:pt>
                <c:pt idx="309">
                  <c:v>48692191.566446088</c:v>
                </c:pt>
                <c:pt idx="310">
                  <c:v>48692191.566446088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87FF-4017-AD68-239E69E2455E}"/>
            </c:ext>
          </c:extLst>
        </c:ser>
        <c:ser>
          <c:idx val="5"/>
          <c:order val="5"/>
          <c:tx>
            <c:strRef>
              <c:f>Cashflow!$B$14</c:f>
              <c:strCache>
                <c:ptCount val="1"/>
                <c:pt idx="0">
                  <c:v>ACTUAL CashFlow 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</c:numRef>
          </c:cat>
          <c:val>
            <c:numRef>
              <c:f>Cashflow!$F$14:$LD$14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-2875421.9278117996</c:v>
                </c:pt>
                <c:pt idx="21">
                  <c:v>9173610.4721882008</c:v>
                </c:pt>
                <c:pt idx="22">
                  <c:v>6970304.5321882013</c:v>
                </c:pt>
                <c:pt idx="23">
                  <c:v>6954133.6921882015</c:v>
                </c:pt>
                <c:pt idx="24">
                  <c:v>6943733.6921882015</c:v>
                </c:pt>
                <c:pt idx="25">
                  <c:v>5052497.1921882015</c:v>
                </c:pt>
                <c:pt idx="26">
                  <c:v>23031791.692188203</c:v>
                </c:pt>
                <c:pt idx="27">
                  <c:v>22041487.432188202</c:v>
                </c:pt>
                <c:pt idx="28">
                  <c:v>22019941.452188201</c:v>
                </c:pt>
                <c:pt idx="29">
                  <c:v>22016813.682188202</c:v>
                </c:pt>
                <c:pt idx="30">
                  <c:v>22003059.822188202</c:v>
                </c:pt>
                <c:pt idx="31">
                  <c:v>29202107.002188202</c:v>
                </c:pt>
                <c:pt idx="32">
                  <c:v>24427523.472188205</c:v>
                </c:pt>
                <c:pt idx="33">
                  <c:v>23830002.482188206</c:v>
                </c:pt>
                <c:pt idx="34">
                  <c:v>32829252.482188206</c:v>
                </c:pt>
                <c:pt idx="35">
                  <c:v>31315356.630014293</c:v>
                </c:pt>
                <c:pt idx="36">
                  <c:v>28603569.520014293</c:v>
                </c:pt>
                <c:pt idx="37">
                  <c:v>28177864.370014295</c:v>
                </c:pt>
                <c:pt idx="38">
                  <c:v>24236299.490014292</c:v>
                </c:pt>
                <c:pt idx="39">
                  <c:v>24236299.490014292</c:v>
                </c:pt>
                <c:pt idx="40">
                  <c:v>23815530.720014293</c:v>
                </c:pt>
                <c:pt idx="41">
                  <c:v>23750803.840014294</c:v>
                </c:pt>
                <c:pt idx="42">
                  <c:v>23734084.840014294</c:v>
                </c:pt>
                <c:pt idx="43">
                  <c:v>23734084.840014294</c:v>
                </c:pt>
                <c:pt idx="44">
                  <c:v>18838942.911379993</c:v>
                </c:pt>
                <c:pt idx="45">
                  <c:v>18057979.191379994</c:v>
                </c:pt>
                <c:pt idx="46">
                  <c:v>17946409.871814776</c:v>
                </c:pt>
                <c:pt idx="47">
                  <c:v>17014641.971814774</c:v>
                </c:pt>
                <c:pt idx="48">
                  <c:v>16505323.971814774</c:v>
                </c:pt>
                <c:pt idx="49">
                  <c:v>16281912.971814774</c:v>
                </c:pt>
                <c:pt idx="50">
                  <c:v>14135238.86398869</c:v>
                </c:pt>
                <c:pt idx="51">
                  <c:v>13003789.733553909</c:v>
                </c:pt>
                <c:pt idx="52">
                  <c:v>10676051.77455391</c:v>
                </c:pt>
                <c:pt idx="53">
                  <c:v>6707341.5539886951</c:v>
                </c:pt>
                <c:pt idx="54">
                  <c:v>6670766.7039886937</c:v>
                </c:pt>
                <c:pt idx="55">
                  <c:v>12017245.973553911</c:v>
                </c:pt>
                <c:pt idx="56">
                  <c:v>11724745.973553911</c:v>
                </c:pt>
                <c:pt idx="57">
                  <c:v>10220967.433553912</c:v>
                </c:pt>
                <c:pt idx="58">
                  <c:v>10220967.433553912</c:v>
                </c:pt>
                <c:pt idx="59">
                  <c:v>10185367.433553912</c:v>
                </c:pt>
                <c:pt idx="60">
                  <c:v>9908867.4335539117</c:v>
                </c:pt>
                <c:pt idx="61">
                  <c:v>9860117.4335539117</c:v>
                </c:pt>
                <c:pt idx="62">
                  <c:v>8303058.4335539117</c:v>
                </c:pt>
                <c:pt idx="63">
                  <c:v>8303058.4335539117</c:v>
                </c:pt>
                <c:pt idx="64">
                  <c:v>8303058.4335539117</c:v>
                </c:pt>
                <c:pt idx="65">
                  <c:v>11302808.433553912</c:v>
                </c:pt>
                <c:pt idx="66">
                  <c:v>11302808.433553912</c:v>
                </c:pt>
                <c:pt idx="67">
                  <c:v>11302808.433553912</c:v>
                </c:pt>
                <c:pt idx="68">
                  <c:v>11302808.433553912</c:v>
                </c:pt>
                <c:pt idx="69">
                  <c:v>11302808.433553912</c:v>
                </c:pt>
                <c:pt idx="70">
                  <c:v>11302808.433553912</c:v>
                </c:pt>
                <c:pt idx="71">
                  <c:v>11302808.433553912</c:v>
                </c:pt>
                <c:pt idx="72">
                  <c:v>11302808.433553912</c:v>
                </c:pt>
                <c:pt idx="73">
                  <c:v>11302808.433553912</c:v>
                </c:pt>
                <c:pt idx="74">
                  <c:v>11302808.433553912</c:v>
                </c:pt>
                <c:pt idx="75">
                  <c:v>11302808.433553912</c:v>
                </c:pt>
                <c:pt idx="76">
                  <c:v>11302808.433553912</c:v>
                </c:pt>
                <c:pt idx="77">
                  <c:v>11302808.433553912</c:v>
                </c:pt>
                <c:pt idx="78">
                  <c:v>11302808.433553912</c:v>
                </c:pt>
                <c:pt idx="79">
                  <c:v>11302808.433553912</c:v>
                </c:pt>
                <c:pt idx="80">
                  <c:v>11302808.433553912</c:v>
                </c:pt>
                <c:pt idx="81">
                  <c:v>11302808.433553912</c:v>
                </c:pt>
                <c:pt idx="82">
                  <c:v>11302808.433553912</c:v>
                </c:pt>
                <c:pt idx="83">
                  <c:v>11302808.433553912</c:v>
                </c:pt>
                <c:pt idx="84">
                  <c:v>11302808.433553912</c:v>
                </c:pt>
                <c:pt idx="85">
                  <c:v>11302808.433553912</c:v>
                </c:pt>
                <c:pt idx="86">
                  <c:v>11302808.433553912</c:v>
                </c:pt>
                <c:pt idx="87">
                  <c:v>11302808.433553912</c:v>
                </c:pt>
                <c:pt idx="88">
                  <c:v>11302808.433553912</c:v>
                </c:pt>
                <c:pt idx="89">
                  <c:v>11302808.433553912</c:v>
                </c:pt>
                <c:pt idx="90">
                  <c:v>11302808.433553912</c:v>
                </c:pt>
                <c:pt idx="91">
                  <c:v>11302808.433553912</c:v>
                </c:pt>
                <c:pt idx="92">
                  <c:v>11302808.433553912</c:v>
                </c:pt>
                <c:pt idx="93">
                  <c:v>11302808.433553912</c:v>
                </c:pt>
                <c:pt idx="94">
                  <c:v>11302808.433553912</c:v>
                </c:pt>
                <c:pt idx="95">
                  <c:v>11302808.433553912</c:v>
                </c:pt>
                <c:pt idx="96">
                  <c:v>11302808.433553912</c:v>
                </c:pt>
                <c:pt idx="97">
                  <c:v>11302808.433553912</c:v>
                </c:pt>
                <c:pt idx="98">
                  <c:v>11302808.433553912</c:v>
                </c:pt>
                <c:pt idx="99">
                  <c:v>11302808.433553912</c:v>
                </c:pt>
                <c:pt idx="100">
                  <c:v>11302808.433553912</c:v>
                </c:pt>
                <c:pt idx="101">
                  <c:v>11302808.433553912</c:v>
                </c:pt>
                <c:pt idx="102">
                  <c:v>11302808.433553912</c:v>
                </c:pt>
                <c:pt idx="103">
                  <c:v>11302808.433553912</c:v>
                </c:pt>
                <c:pt idx="104">
                  <c:v>11302808.433553912</c:v>
                </c:pt>
                <c:pt idx="105">
                  <c:v>11302808.433553912</c:v>
                </c:pt>
                <c:pt idx="106">
                  <c:v>11302808.433553912</c:v>
                </c:pt>
                <c:pt idx="107">
                  <c:v>11302808.433553912</c:v>
                </c:pt>
                <c:pt idx="108">
                  <c:v>11302808.433553912</c:v>
                </c:pt>
                <c:pt idx="109">
                  <c:v>11302808.433553912</c:v>
                </c:pt>
                <c:pt idx="110">
                  <c:v>11302808.433553912</c:v>
                </c:pt>
                <c:pt idx="111">
                  <c:v>11302808.433553912</c:v>
                </c:pt>
                <c:pt idx="112">
                  <c:v>11302808.433553912</c:v>
                </c:pt>
                <c:pt idx="113">
                  <c:v>11302808.433553912</c:v>
                </c:pt>
                <c:pt idx="114">
                  <c:v>11302808.433553912</c:v>
                </c:pt>
                <c:pt idx="115">
                  <c:v>11302808.433553912</c:v>
                </c:pt>
                <c:pt idx="116">
                  <c:v>11302808.433553912</c:v>
                </c:pt>
                <c:pt idx="117">
                  <c:v>11302808.433553912</c:v>
                </c:pt>
                <c:pt idx="118">
                  <c:v>11302808.433553912</c:v>
                </c:pt>
                <c:pt idx="119">
                  <c:v>11302808.433553912</c:v>
                </c:pt>
                <c:pt idx="120">
                  <c:v>11302808.433553912</c:v>
                </c:pt>
                <c:pt idx="121">
                  <c:v>11302808.433553912</c:v>
                </c:pt>
                <c:pt idx="122">
                  <c:v>11302808.433553912</c:v>
                </c:pt>
                <c:pt idx="123">
                  <c:v>11302808.433553912</c:v>
                </c:pt>
                <c:pt idx="124">
                  <c:v>11302808.433553912</c:v>
                </c:pt>
                <c:pt idx="125">
                  <c:v>11302808.433553912</c:v>
                </c:pt>
                <c:pt idx="126">
                  <c:v>11302808.433553912</c:v>
                </c:pt>
                <c:pt idx="127">
                  <c:v>11302808.433553912</c:v>
                </c:pt>
                <c:pt idx="128">
                  <c:v>11302808.433553912</c:v>
                </c:pt>
                <c:pt idx="129">
                  <c:v>11302808.433553912</c:v>
                </c:pt>
                <c:pt idx="130">
                  <c:v>11302808.433553912</c:v>
                </c:pt>
                <c:pt idx="131">
                  <c:v>11302808.433553912</c:v>
                </c:pt>
                <c:pt idx="132">
                  <c:v>11302808.433553912</c:v>
                </c:pt>
                <c:pt idx="133">
                  <c:v>11302808.433553912</c:v>
                </c:pt>
                <c:pt idx="134">
                  <c:v>11302808.433553912</c:v>
                </c:pt>
                <c:pt idx="135">
                  <c:v>11302808.433553912</c:v>
                </c:pt>
                <c:pt idx="136">
                  <c:v>11302808.433553912</c:v>
                </c:pt>
                <c:pt idx="137">
                  <c:v>11302808.433553912</c:v>
                </c:pt>
                <c:pt idx="138">
                  <c:v>11302808.433553912</c:v>
                </c:pt>
                <c:pt idx="139">
                  <c:v>11302808.433553912</c:v>
                </c:pt>
                <c:pt idx="140">
                  <c:v>11302808.433553912</c:v>
                </c:pt>
                <c:pt idx="141">
                  <c:v>11302808.433553912</c:v>
                </c:pt>
                <c:pt idx="142">
                  <c:v>11302808.433553912</c:v>
                </c:pt>
                <c:pt idx="143">
                  <c:v>11302808.433553912</c:v>
                </c:pt>
                <c:pt idx="144">
                  <c:v>11302808.433553912</c:v>
                </c:pt>
                <c:pt idx="145">
                  <c:v>11302808.433553912</c:v>
                </c:pt>
                <c:pt idx="146">
                  <c:v>11302808.433553912</c:v>
                </c:pt>
                <c:pt idx="147">
                  <c:v>11302808.433553912</c:v>
                </c:pt>
                <c:pt idx="148">
                  <c:v>11302808.433553912</c:v>
                </c:pt>
                <c:pt idx="149">
                  <c:v>11302808.433553912</c:v>
                </c:pt>
                <c:pt idx="150">
                  <c:v>11302808.433553912</c:v>
                </c:pt>
                <c:pt idx="151">
                  <c:v>11302808.433553912</c:v>
                </c:pt>
                <c:pt idx="152">
                  <c:v>11302808.433553912</c:v>
                </c:pt>
                <c:pt idx="153">
                  <c:v>11302808.433553912</c:v>
                </c:pt>
                <c:pt idx="154">
                  <c:v>11302808.433553912</c:v>
                </c:pt>
                <c:pt idx="155">
                  <c:v>11302808.433553912</c:v>
                </c:pt>
                <c:pt idx="156">
                  <c:v>11302808.433553912</c:v>
                </c:pt>
                <c:pt idx="157">
                  <c:v>11302808.433553912</c:v>
                </c:pt>
                <c:pt idx="158">
                  <c:v>11302808.433553912</c:v>
                </c:pt>
                <c:pt idx="159">
                  <c:v>11302808.433553912</c:v>
                </c:pt>
                <c:pt idx="160">
                  <c:v>11302808.433553912</c:v>
                </c:pt>
                <c:pt idx="161">
                  <c:v>11302808.433553912</c:v>
                </c:pt>
                <c:pt idx="162">
                  <c:v>11302808.433553912</c:v>
                </c:pt>
                <c:pt idx="163">
                  <c:v>11302808.433553912</c:v>
                </c:pt>
                <c:pt idx="164">
                  <c:v>11302808.433553912</c:v>
                </c:pt>
                <c:pt idx="165">
                  <c:v>11302808.433553912</c:v>
                </c:pt>
                <c:pt idx="166">
                  <c:v>11302808.433553912</c:v>
                </c:pt>
                <c:pt idx="167">
                  <c:v>11302808.433553912</c:v>
                </c:pt>
                <c:pt idx="168">
                  <c:v>11302808.433553912</c:v>
                </c:pt>
                <c:pt idx="169">
                  <c:v>11302808.433553912</c:v>
                </c:pt>
                <c:pt idx="170">
                  <c:v>11302808.433553912</c:v>
                </c:pt>
                <c:pt idx="171">
                  <c:v>11302808.433553912</c:v>
                </c:pt>
                <c:pt idx="172">
                  <c:v>11302808.433553912</c:v>
                </c:pt>
                <c:pt idx="173">
                  <c:v>11302808.433553912</c:v>
                </c:pt>
                <c:pt idx="174">
                  <c:v>11302808.433553912</c:v>
                </c:pt>
                <c:pt idx="175">
                  <c:v>11302808.433553912</c:v>
                </c:pt>
                <c:pt idx="176">
                  <c:v>11302808.433553912</c:v>
                </c:pt>
                <c:pt idx="177">
                  <c:v>11302808.433553912</c:v>
                </c:pt>
                <c:pt idx="178">
                  <c:v>11302808.433553912</c:v>
                </c:pt>
                <c:pt idx="179">
                  <c:v>11302808.433553912</c:v>
                </c:pt>
                <c:pt idx="180">
                  <c:v>11302808.433553912</c:v>
                </c:pt>
                <c:pt idx="181">
                  <c:v>11302808.433553912</c:v>
                </c:pt>
                <c:pt idx="182">
                  <c:v>11302808.433553912</c:v>
                </c:pt>
                <c:pt idx="183">
                  <c:v>11302808.433553912</c:v>
                </c:pt>
                <c:pt idx="184">
                  <c:v>11302808.433553912</c:v>
                </c:pt>
                <c:pt idx="185">
                  <c:v>11302808.433553912</c:v>
                </c:pt>
                <c:pt idx="186">
                  <c:v>11302808.433553912</c:v>
                </c:pt>
                <c:pt idx="187">
                  <c:v>11302808.433553912</c:v>
                </c:pt>
                <c:pt idx="188">
                  <c:v>11302808.433553912</c:v>
                </c:pt>
                <c:pt idx="189">
                  <c:v>11302808.433553912</c:v>
                </c:pt>
                <c:pt idx="190">
                  <c:v>11302808.433553912</c:v>
                </c:pt>
                <c:pt idx="191">
                  <c:v>11302808.433553912</c:v>
                </c:pt>
                <c:pt idx="192">
                  <c:v>11302808.433553912</c:v>
                </c:pt>
                <c:pt idx="193">
                  <c:v>11302808.433553912</c:v>
                </c:pt>
                <c:pt idx="194">
                  <c:v>11302808.433553912</c:v>
                </c:pt>
                <c:pt idx="195">
                  <c:v>11302808.433553912</c:v>
                </c:pt>
                <c:pt idx="196">
                  <c:v>11302808.433553912</c:v>
                </c:pt>
                <c:pt idx="197">
                  <c:v>11302808.433553912</c:v>
                </c:pt>
                <c:pt idx="198">
                  <c:v>11302808.433553912</c:v>
                </c:pt>
                <c:pt idx="199">
                  <c:v>11302808.433553912</c:v>
                </c:pt>
                <c:pt idx="200">
                  <c:v>11302808.433553912</c:v>
                </c:pt>
                <c:pt idx="201">
                  <c:v>11302808.433553912</c:v>
                </c:pt>
                <c:pt idx="202">
                  <c:v>11302808.433553912</c:v>
                </c:pt>
                <c:pt idx="203">
                  <c:v>11302808.433553912</c:v>
                </c:pt>
                <c:pt idx="204">
                  <c:v>11302808.433553912</c:v>
                </c:pt>
                <c:pt idx="205">
                  <c:v>11302808.433553912</c:v>
                </c:pt>
                <c:pt idx="206">
                  <c:v>11302808.433553912</c:v>
                </c:pt>
                <c:pt idx="207">
                  <c:v>11302808.433553912</c:v>
                </c:pt>
                <c:pt idx="208">
                  <c:v>11302808.433553912</c:v>
                </c:pt>
                <c:pt idx="209">
                  <c:v>11302808.433553912</c:v>
                </c:pt>
                <c:pt idx="210">
                  <c:v>11302808.433553912</c:v>
                </c:pt>
                <c:pt idx="211">
                  <c:v>11302808.433553912</c:v>
                </c:pt>
                <c:pt idx="212">
                  <c:v>11302808.433553912</c:v>
                </c:pt>
                <c:pt idx="213">
                  <c:v>11302808.433553912</c:v>
                </c:pt>
                <c:pt idx="214">
                  <c:v>11302808.433553912</c:v>
                </c:pt>
                <c:pt idx="215">
                  <c:v>11302808.433553912</c:v>
                </c:pt>
                <c:pt idx="216">
                  <c:v>11302808.433553912</c:v>
                </c:pt>
                <c:pt idx="217">
                  <c:v>11302808.433553912</c:v>
                </c:pt>
                <c:pt idx="218">
                  <c:v>11302808.433553912</c:v>
                </c:pt>
                <c:pt idx="219">
                  <c:v>11302808.433553912</c:v>
                </c:pt>
                <c:pt idx="220">
                  <c:v>11302808.433553912</c:v>
                </c:pt>
                <c:pt idx="221">
                  <c:v>11302808.433553912</c:v>
                </c:pt>
                <c:pt idx="222">
                  <c:v>11302808.433553912</c:v>
                </c:pt>
                <c:pt idx="223">
                  <c:v>11302808.433553912</c:v>
                </c:pt>
                <c:pt idx="224">
                  <c:v>11302808.433553912</c:v>
                </c:pt>
                <c:pt idx="225">
                  <c:v>11302808.433553912</c:v>
                </c:pt>
                <c:pt idx="226">
                  <c:v>11302808.433553912</c:v>
                </c:pt>
                <c:pt idx="227">
                  <c:v>11302808.433553912</c:v>
                </c:pt>
                <c:pt idx="228">
                  <c:v>11302808.433553912</c:v>
                </c:pt>
                <c:pt idx="229">
                  <c:v>11302808.433553912</c:v>
                </c:pt>
                <c:pt idx="230">
                  <c:v>11302808.433553912</c:v>
                </c:pt>
                <c:pt idx="231">
                  <c:v>11302808.433553912</c:v>
                </c:pt>
                <c:pt idx="232">
                  <c:v>11302808.433553912</c:v>
                </c:pt>
                <c:pt idx="233">
                  <c:v>11302808.433553912</c:v>
                </c:pt>
                <c:pt idx="234">
                  <c:v>11302808.433553912</c:v>
                </c:pt>
                <c:pt idx="235">
                  <c:v>11302808.433553912</c:v>
                </c:pt>
                <c:pt idx="236">
                  <c:v>11302808.433553912</c:v>
                </c:pt>
                <c:pt idx="237">
                  <c:v>11302808.433553912</c:v>
                </c:pt>
                <c:pt idx="238">
                  <c:v>11302808.433553912</c:v>
                </c:pt>
                <c:pt idx="239">
                  <c:v>11302808.433553912</c:v>
                </c:pt>
                <c:pt idx="240">
                  <c:v>11302808.433553912</c:v>
                </c:pt>
                <c:pt idx="241">
                  <c:v>11302808.433553912</c:v>
                </c:pt>
                <c:pt idx="242">
                  <c:v>11302808.433553912</c:v>
                </c:pt>
                <c:pt idx="243">
                  <c:v>11302808.433553912</c:v>
                </c:pt>
                <c:pt idx="244">
                  <c:v>11302808.433553912</c:v>
                </c:pt>
                <c:pt idx="245">
                  <c:v>11302808.433553912</c:v>
                </c:pt>
                <c:pt idx="246">
                  <c:v>11302808.433553912</c:v>
                </c:pt>
                <c:pt idx="247">
                  <c:v>11302808.433553912</c:v>
                </c:pt>
                <c:pt idx="248">
                  <c:v>11302808.433553912</c:v>
                </c:pt>
                <c:pt idx="249">
                  <c:v>11302808.433553912</c:v>
                </c:pt>
                <c:pt idx="250">
                  <c:v>11302808.433553912</c:v>
                </c:pt>
                <c:pt idx="251">
                  <c:v>11302808.433553912</c:v>
                </c:pt>
                <c:pt idx="252">
                  <c:v>11302808.433553912</c:v>
                </c:pt>
                <c:pt idx="253">
                  <c:v>11302808.433553912</c:v>
                </c:pt>
                <c:pt idx="254">
                  <c:v>11302808.433553912</c:v>
                </c:pt>
                <c:pt idx="255">
                  <c:v>11302808.433553912</c:v>
                </c:pt>
                <c:pt idx="256">
                  <c:v>11302808.433553912</c:v>
                </c:pt>
                <c:pt idx="257">
                  <c:v>11302808.433553912</c:v>
                </c:pt>
                <c:pt idx="258">
                  <c:v>11302808.433553912</c:v>
                </c:pt>
                <c:pt idx="259">
                  <c:v>11302808.433553912</c:v>
                </c:pt>
                <c:pt idx="260">
                  <c:v>11302808.433553912</c:v>
                </c:pt>
                <c:pt idx="261">
                  <c:v>11302808.433553912</c:v>
                </c:pt>
                <c:pt idx="262">
                  <c:v>11302808.433553912</c:v>
                </c:pt>
                <c:pt idx="263">
                  <c:v>11302808.433553912</c:v>
                </c:pt>
                <c:pt idx="264">
                  <c:v>11302808.433553912</c:v>
                </c:pt>
                <c:pt idx="265">
                  <c:v>11302808.433553912</c:v>
                </c:pt>
                <c:pt idx="266">
                  <c:v>11302808.433553912</c:v>
                </c:pt>
                <c:pt idx="267">
                  <c:v>11302808.433553912</c:v>
                </c:pt>
                <c:pt idx="268">
                  <c:v>11302808.433553912</c:v>
                </c:pt>
                <c:pt idx="269">
                  <c:v>11302808.433553912</c:v>
                </c:pt>
                <c:pt idx="270">
                  <c:v>11302808.433553912</c:v>
                </c:pt>
                <c:pt idx="271">
                  <c:v>11302808.433553912</c:v>
                </c:pt>
                <c:pt idx="272">
                  <c:v>11302808.433553912</c:v>
                </c:pt>
                <c:pt idx="273">
                  <c:v>11302808.433553912</c:v>
                </c:pt>
                <c:pt idx="274">
                  <c:v>11302808.433553912</c:v>
                </c:pt>
                <c:pt idx="275">
                  <c:v>11302808.433553912</c:v>
                </c:pt>
                <c:pt idx="276">
                  <c:v>11302808.433553912</c:v>
                </c:pt>
                <c:pt idx="277">
                  <c:v>11302808.433553912</c:v>
                </c:pt>
                <c:pt idx="278">
                  <c:v>11302808.433553912</c:v>
                </c:pt>
                <c:pt idx="279">
                  <c:v>11302808.433553912</c:v>
                </c:pt>
                <c:pt idx="280">
                  <c:v>11302808.433553912</c:v>
                </c:pt>
                <c:pt idx="281">
                  <c:v>11302808.433553912</c:v>
                </c:pt>
                <c:pt idx="282">
                  <c:v>11302808.433553912</c:v>
                </c:pt>
                <c:pt idx="283">
                  <c:v>11302808.433553912</c:v>
                </c:pt>
                <c:pt idx="284">
                  <c:v>11302808.433553912</c:v>
                </c:pt>
                <c:pt idx="285">
                  <c:v>11302808.433553912</c:v>
                </c:pt>
                <c:pt idx="286">
                  <c:v>11302808.433553912</c:v>
                </c:pt>
                <c:pt idx="287">
                  <c:v>11302808.433553912</c:v>
                </c:pt>
                <c:pt idx="288">
                  <c:v>11302808.433553912</c:v>
                </c:pt>
                <c:pt idx="289">
                  <c:v>11302808.433553912</c:v>
                </c:pt>
                <c:pt idx="290">
                  <c:v>11302808.433553912</c:v>
                </c:pt>
                <c:pt idx="291">
                  <c:v>11302808.433553912</c:v>
                </c:pt>
                <c:pt idx="292">
                  <c:v>11302808.433553912</c:v>
                </c:pt>
                <c:pt idx="293">
                  <c:v>11302808.433553912</c:v>
                </c:pt>
                <c:pt idx="294">
                  <c:v>11302808.433553912</c:v>
                </c:pt>
                <c:pt idx="295">
                  <c:v>11302808.433553912</c:v>
                </c:pt>
                <c:pt idx="296">
                  <c:v>11302808.433553912</c:v>
                </c:pt>
                <c:pt idx="297">
                  <c:v>11302808.433553912</c:v>
                </c:pt>
                <c:pt idx="298">
                  <c:v>11302808.433553912</c:v>
                </c:pt>
                <c:pt idx="299">
                  <c:v>11302808.433553912</c:v>
                </c:pt>
                <c:pt idx="300">
                  <c:v>11302808.433553912</c:v>
                </c:pt>
                <c:pt idx="301">
                  <c:v>11302808.433553912</c:v>
                </c:pt>
                <c:pt idx="302">
                  <c:v>11302808.433553912</c:v>
                </c:pt>
                <c:pt idx="303">
                  <c:v>11302808.433553912</c:v>
                </c:pt>
                <c:pt idx="304">
                  <c:v>11302808.433553912</c:v>
                </c:pt>
                <c:pt idx="305">
                  <c:v>11302808.433553912</c:v>
                </c:pt>
                <c:pt idx="306">
                  <c:v>11302808.433553912</c:v>
                </c:pt>
                <c:pt idx="307">
                  <c:v>11302808.433553912</c:v>
                </c:pt>
                <c:pt idx="308">
                  <c:v>11302808.433553912</c:v>
                </c:pt>
                <c:pt idx="309">
                  <c:v>11302808.433553912</c:v>
                </c:pt>
                <c:pt idx="310">
                  <c:v>11302808.433553912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C99-46AA-AC7E-75768BB2DE51}"/>
            </c:ext>
          </c:extLst>
        </c:ser>
        <c:ser>
          <c:idx val="6"/>
          <c:order val="6"/>
          <c:tx>
            <c:strRef>
              <c:f>Cashflow!$B$18</c:f>
              <c:strCache>
                <c:ptCount val="1"/>
                <c:pt idx="0">
                  <c:v>Revenue Recognition Cumulative</c:v>
                </c:pt>
              </c:strCache>
            </c:strRef>
          </c:tx>
          <c:spPr>
            <a:ln w="28575" cap="rnd">
              <a:solidFill>
                <a:schemeClr val="bg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bg2"/>
                </a:solidFill>
              </a:ln>
              <a:effectLst/>
            </c:spPr>
          </c:marker>
          <c:val>
            <c:numRef>
              <c:f>Cashflow!$F$18:$LD$18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8815197.7094932552</c:v>
                </c:pt>
                <c:pt idx="24">
                  <c:v>8815197.7094932552</c:v>
                </c:pt>
                <c:pt idx="25">
                  <c:v>8815197.7094932552</c:v>
                </c:pt>
                <c:pt idx="26">
                  <c:v>8815197.7094932552</c:v>
                </c:pt>
                <c:pt idx="27">
                  <c:v>34085472.499923825</c:v>
                </c:pt>
                <c:pt idx="28">
                  <c:v>34085472.499923825</c:v>
                </c:pt>
                <c:pt idx="29">
                  <c:v>34085472.499923825</c:v>
                </c:pt>
                <c:pt idx="30">
                  <c:v>34085472.499923825</c:v>
                </c:pt>
                <c:pt idx="31">
                  <c:v>46269023.350354061</c:v>
                </c:pt>
                <c:pt idx="32">
                  <c:v>46269023.350354061</c:v>
                </c:pt>
                <c:pt idx="33">
                  <c:v>46269023.350354061</c:v>
                </c:pt>
                <c:pt idx="34">
                  <c:v>46269023.350354061</c:v>
                </c:pt>
                <c:pt idx="35">
                  <c:v>46269023.350354061</c:v>
                </c:pt>
                <c:pt idx="36">
                  <c:v>46273782.434154242</c:v>
                </c:pt>
                <c:pt idx="37">
                  <c:v>46273782.434154242</c:v>
                </c:pt>
                <c:pt idx="38">
                  <c:v>46273782.434154242</c:v>
                </c:pt>
                <c:pt idx="39">
                  <c:v>46273782.434154242</c:v>
                </c:pt>
                <c:pt idx="40">
                  <c:v>46345569.770715937</c:v>
                </c:pt>
                <c:pt idx="41">
                  <c:v>46345569.770715937</c:v>
                </c:pt>
                <c:pt idx="42">
                  <c:v>46345569.770715937</c:v>
                </c:pt>
                <c:pt idx="43">
                  <c:v>46345569.770715937</c:v>
                </c:pt>
                <c:pt idx="44">
                  <c:v>57996975.446296021</c:v>
                </c:pt>
                <c:pt idx="45">
                  <c:v>57996975.446296021</c:v>
                </c:pt>
                <c:pt idx="46">
                  <c:v>57996975.446296021</c:v>
                </c:pt>
                <c:pt idx="47">
                  <c:v>57996975.446296021</c:v>
                </c:pt>
                <c:pt idx="48">
                  <c:v>57996975.446296021</c:v>
                </c:pt>
                <c:pt idx="49">
                  <c:v>58019033.762204193</c:v>
                </c:pt>
                <c:pt idx="50">
                  <c:v>58019033.762204193</c:v>
                </c:pt>
                <c:pt idx="51">
                  <c:v>58019033.762204193</c:v>
                </c:pt>
                <c:pt idx="52">
                  <c:v>58019033.762204193</c:v>
                </c:pt>
                <c:pt idx="53">
                  <c:v>58693784.884167857</c:v>
                </c:pt>
                <c:pt idx="54">
                  <c:v>58693784.884167857</c:v>
                </c:pt>
                <c:pt idx="55">
                  <c:v>58693784.884167857</c:v>
                </c:pt>
                <c:pt idx="56">
                  <c:v>58693784.884167857</c:v>
                </c:pt>
                <c:pt idx="57">
                  <c:v>60000195.480719626</c:v>
                </c:pt>
                <c:pt idx="58">
                  <c:v>60000195.480719626</c:v>
                </c:pt>
                <c:pt idx="59">
                  <c:v>60000195.480719626</c:v>
                </c:pt>
                <c:pt idx="60">
                  <c:v>60000195.480719626</c:v>
                </c:pt>
                <c:pt idx="61">
                  <c:v>60000195.480719626</c:v>
                </c:pt>
                <c:pt idx="62">
                  <c:v>60000195.480719626</c:v>
                </c:pt>
                <c:pt idx="63">
                  <c:v>60000195.480719626</c:v>
                </c:pt>
                <c:pt idx="64">
                  <c:v>60000195.480719626</c:v>
                </c:pt>
                <c:pt idx="65">
                  <c:v>60000195.480719626</c:v>
                </c:pt>
                <c:pt idx="66">
                  <c:v>60000195.480719626</c:v>
                </c:pt>
                <c:pt idx="67">
                  <c:v>60000195.480719626</c:v>
                </c:pt>
                <c:pt idx="68">
                  <c:v>60000195.480719626</c:v>
                </c:pt>
                <c:pt idx="69">
                  <c:v>60000195.480719626</c:v>
                </c:pt>
                <c:pt idx="70">
                  <c:v>60000195.480719626</c:v>
                </c:pt>
                <c:pt idx="71">
                  <c:v>60000195.480719626</c:v>
                </c:pt>
                <c:pt idx="72">
                  <c:v>60000195.480719626</c:v>
                </c:pt>
                <c:pt idx="73">
                  <c:v>60000195.480719626</c:v>
                </c:pt>
                <c:pt idx="74">
                  <c:v>60000195.480719626</c:v>
                </c:pt>
                <c:pt idx="75">
                  <c:v>60000195.480719626</c:v>
                </c:pt>
                <c:pt idx="76">
                  <c:v>60000195.480719626</c:v>
                </c:pt>
                <c:pt idx="77">
                  <c:v>60000195.480719626</c:v>
                </c:pt>
                <c:pt idx="78">
                  <c:v>60000195.480719626</c:v>
                </c:pt>
                <c:pt idx="79">
                  <c:v>60000195.480719626</c:v>
                </c:pt>
                <c:pt idx="80">
                  <c:v>60000195.480719626</c:v>
                </c:pt>
                <c:pt idx="81">
                  <c:v>60000195.480719626</c:v>
                </c:pt>
                <c:pt idx="82">
                  <c:v>60000195.480719626</c:v>
                </c:pt>
                <c:pt idx="83">
                  <c:v>60000195.480719626</c:v>
                </c:pt>
                <c:pt idx="84">
                  <c:v>60000195.480719626</c:v>
                </c:pt>
                <c:pt idx="85">
                  <c:v>60000195.480719626</c:v>
                </c:pt>
                <c:pt idx="86">
                  <c:v>60000195.480719626</c:v>
                </c:pt>
                <c:pt idx="87">
                  <c:v>60000195.480719626</c:v>
                </c:pt>
                <c:pt idx="88">
                  <c:v>60000195.480719626</c:v>
                </c:pt>
                <c:pt idx="89">
                  <c:v>60000195.480719626</c:v>
                </c:pt>
                <c:pt idx="90">
                  <c:v>60000195.480719626</c:v>
                </c:pt>
                <c:pt idx="91">
                  <c:v>60000195.480719626</c:v>
                </c:pt>
                <c:pt idx="92">
                  <c:v>60000195.480719626</c:v>
                </c:pt>
                <c:pt idx="93">
                  <c:v>60000195.480719626</c:v>
                </c:pt>
                <c:pt idx="94">
                  <c:v>60000195.480719626</c:v>
                </c:pt>
                <c:pt idx="95">
                  <c:v>60000195.480719626</c:v>
                </c:pt>
                <c:pt idx="96">
                  <c:v>60000195.480719626</c:v>
                </c:pt>
                <c:pt idx="97">
                  <c:v>60000195.480719626</c:v>
                </c:pt>
                <c:pt idx="98">
                  <c:v>60000195.480719626</c:v>
                </c:pt>
                <c:pt idx="99">
                  <c:v>60000195.480719626</c:v>
                </c:pt>
                <c:pt idx="100">
                  <c:v>60000195.480719626</c:v>
                </c:pt>
                <c:pt idx="101">
                  <c:v>60000195.480719626</c:v>
                </c:pt>
                <c:pt idx="102">
                  <c:v>60000195.480719626</c:v>
                </c:pt>
                <c:pt idx="103">
                  <c:v>60000195.480719626</c:v>
                </c:pt>
                <c:pt idx="104">
                  <c:v>60000195.480719626</c:v>
                </c:pt>
                <c:pt idx="105">
                  <c:v>60000195.480719626</c:v>
                </c:pt>
                <c:pt idx="106">
                  <c:v>60000195.480719626</c:v>
                </c:pt>
                <c:pt idx="107">
                  <c:v>60000195.480719626</c:v>
                </c:pt>
                <c:pt idx="108">
                  <c:v>60000195.480719626</c:v>
                </c:pt>
                <c:pt idx="109">
                  <c:v>60000195.480719626</c:v>
                </c:pt>
                <c:pt idx="110">
                  <c:v>60000195.480719626</c:v>
                </c:pt>
                <c:pt idx="111">
                  <c:v>60000195.480719626</c:v>
                </c:pt>
                <c:pt idx="112">
                  <c:v>60000195.480719626</c:v>
                </c:pt>
                <c:pt idx="113">
                  <c:v>60000195.480719626</c:v>
                </c:pt>
                <c:pt idx="114">
                  <c:v>60000195.480719626</c:v>
                </c:pt>
                <c:pt idx="115">
                  <c:v>60000195.480719626</c:v>
                </c:pt>
                <c:pt idx="116">
                  <c:v>60000195.480719626</c:v>
                </c:pt>
                <c:pt idx="117">
                  <c:v>60000195.480719626</c:v>
                </c:pt>
                <c:pt idx="118">
                  <c:v>60000195.480719626</c:v>
                </c:pt>
                <c:pt idx="119">
                  <c:v>60000195.480719626</c:v>
                </c:pt>
                <c:pt idx="120">
                  <c:v>60000195.480719626</c:v>
                </c:pt>
                <c:pt idx="121">
                  <c:v>60000195.480719626</c:v>
                </c:pt>
                <c:pt idx="122">
                  <c:v>60000195.480719626</c:v>
                </c:pt>
                <c:pt idx="123">
                  <c:v>60000195.480719626</c:v>
                </c:pt>
                <c:pt idx="124">
                  <c:v>60000195.480719626</c:v>
                </c:pt>
                <c:pt idx="125">
                  <c:v>60000195.480719626</c:v>
                </c:pt>
                <c:pt idx="126">
                  <c:v>60000195.480719626</c:v>
                </c:pt>
                <c:pt idx="127">
                  <c:v>60000195.480719626</c:v>
                </c:pt>
                <c:pt idx="128">
                  <c:v>60000195.480719626</c:v>
                </c:pt>
                <c:pt idx="129">
                  <c:v>60000195.480719626</c:v>
                </c:pt>
                <c:pt idx="130">
                  <c:v>60000195.480719626</c:v>
                </c:pt>
                <c:pt idx="131">
                  <c:v>60000195.480719626</c:v>
                </c:pt>
                <c:pt idx="132">
                  <c:v>60000195.480719626</c:v>
                </c:pt>
                <c:pt idx="133">
                  <c:v>60000195.480719626</c:v>
                </c:pt>
                <c:pt idx="134">
                  <c:v>60000195.480719626</c:v>
                </c:pt>
                <c:pt idx="135">
                  <c:v>60000195.480719626</c:v>
                </c:pt>
                <c:pt idx="136">
                  <c:v>60000195.480719626</c:v>
                </c:pt>
                <c:pt idx="137">
                  <c:v>60000195.480719626</c:v>
                </c:pt>
                <c:pt idx="138">
                  <c:v>60000195.480719626</c:v>
                </c:pt>
                <c:pt idx="139">
                  <c:v>60000195.480719626</c:v>
                </c:pt>
                <c:pt idx="140">
                  <c:v>60000195.480719626</c:v>
                </c:pt>
                <c:pt idx="141">
                  <c:v>60000195.480719626</c:v>
                </c:pt>
                <c:pt idx="142">
                  <c:v>60000195.480719626</c:v>
                </c:pt>
                <c:pt idx="143">
                  <c:v>60000195.480719626</c:v>
                </c:pt>
                <c:pt idx="144">
                  <c:v>60000195.480719626</c:v>
                </c:pt>
                <c:pt idx="145">
                  <c:v>60000195.480719626</c:v>
                </c:pt>
                <c:pt idx="146">
                  <c:v>60000195.480719626</c:v>
                </c:pt>
                <c:pt idx="147">
                  <c:v>60000195.480719626</c:v>
                </c:pt>
                <c:pt idx="148">
                  <c:v>60000195.480719626</c:v>
                </c:pt>
                <c:pt idx="149">
                  <c:v>60000195.480719626</c:v>
                </c:pt>
                <c:pt idx="150">
                  <c:v>60000195.480719626</c:v>
                </c:pt>
                <c:pt idx="151">
                  <c:v>60000195.480719626</c:v>
                </c:pt>
                <c:pt idx="152">
                  <c:v>60000195.480719626</c:v>
                </c:pt>
                <c:pt idx="153">
                  <c:v>60000195.480719626</c:v>
                </c:pt>
                <c:pt idx="154">
                  <c:v>60000195.480719626</c:v>
                </c:pt>
                <c:pt idx="155">
                  <c:v>60000195.480719626</c:v>
                </c:pt>
                <c:pt idx="156">
                  <c:v>60000195.480719626</c:v>
                </c:pt>
                <c:pt idx="157">
                  <c:v>60000195.480719626</c:v>
                </c:pt>
                <c:pt idx="158">
                  <c:v>60000195.480719626</c:v>
                </c:pt>
                <c:pt idx="159">
                  <c:v>60000195.480719626</c:v>
                </c:pt>
                <c:pt idx="160">
                  <c:v>60000195.480719626</c:v>
                </c:pt>
                <c:pt idx="161">
                  <c:v>60000195.480719626</c:v>
                </c:pt>
                <c:pt idx="162">
                  <c:v>60000195.480719626</c:v>
                </c:pt>
                <c:pt idx="163">
                  <c:v>60000195.480719626</c:v>
                </c:pt>
                <c:pt idx="164">
                  <c:v>60000195.480719626</c:v>
                </c:pt>
                <c:pt idx="165">
                  <c:v>60000195.480719626</c:v>
                </c:pt>
                <c:pt idx="166">
                  <c:v>60000195.480719626</c:v>
                </c:pt>
                <c:pt idx="167">
                  <c:v>60000195.480719626</c:v>
                </c:pt>
                <c:pt idx="168">
                  <c:v>60000195.480719626</c:v>
                </c:pt>
                <c:pt idx="169">
                  <c:v>60000195.480719626</c:v>
                </c:pt>
                <c:pt idx="170">
                  <c:v>60000195.480719626</c:v>
                </c:pt>
                <c:pt idx="171">
                  <c:v>60000195.480719626</c:v>
                </c:pt>
                <c:pt idx="172">
                  <c:v>60000195.480719626</c:v>
                </c:pt>
                <c:pt idx="173">
                  <c:v>60000195.480719626</c:v>
                </c:pt>
                <c:pt idx="174">
                  <c:v>60000195.480719626</c:v>
                </c:pt>
                <c:pt idx="175">
                  <c:v>60000195.480719626</c:v>
                </c:pt>
                <c:pt idx="176">
                  <c:v>60000195.480719626</c:v>
                </c:pt>
                <c:pt idx="177">
                  <c:v>60000195.480719626</c:v>
                </c:pt>
                <c:pt idx="178">
                  <c:v>60000195.480719626</c:v>
                </c:pt>
                <c:pt idx="179">
                  <c:v>60000195.480719626</c:v>
                </c:pt>
                <c:pt idx="180">
                  <c:v>60000195.480719626</c:v>
                </c:pt>
                <c:pt idx="181">
                  <c:v>60000195.480719626</c:v>
                </c:pt>
                <c:pt idx="182">
                  <c:v>60000195.480719626</c:v>
                </c:pt>
                <c:pt idx="183">
                  <c:v>60000195.480719626</c:v>
                </c:pt>
                <c:pt idx="184">
                  <c:v>60000195.480719626</c:v>
                </c:pt>
                <c:pt idx="185">
                  <c:v>60000195.480719626</c:v>
                </c:pt>
                <c:pt idx="186">
                  <c:v>60000195.480719626</c:v>
                </c:pt>
                <c:pt idx="187">
                  <c:v>60000195.480719626</c:v>
                </c:pt>
                <c:pt idx="188">
                  <c:v>60000195.480719626</c:v>
                </c:pt>
                <c:pt idx="189">
                  <c:v>60000195.480719626</c:v>
                </c:pt>
                <c:pt idx="190">
                  <c:v>60000195.480719626</c:v>
                </c:pt>
                <c:pt idx="191">
                  <c:v>60000195.480719626</c:v>
                </c:pt>
                <c:pt idx="192">
                  <c:v>60000195.480719626</c:v>
                </c:pt>
                <c:pt idx="193">
                  <c:v>60000195.480719626</c:v>
                </c:pt>
                <c:pt idx="194">
                  <c:v>60000195.480719626</c:v>
                </c:pt>
                <c:pt idx="195">
                  <c:v>60000195.480719626</c:v>
                </c:pt>
                <c:pt idx="196">
                  <c:v>60000195.480719626</c:v>
                </c:pt>
                <c:pt idx="197">
                  <c:v>60000195.480719626</c:v>
                </c:pt>
                <c:pt idx="198">
                  <c:v>60000195.480719626</c:v>
                </c:pt>
                <c:pt idx="199">
                  <c:v>60000195.480719626</c:v>
                </c:pt>
                <c:pt idx="200">
                  <c:v>60000195.480719626</c:v>
                </c:pt>
                <c:pt idx="201">
                  <c:v>60000195.480719626</c:v>
                </c:pt>
                <c:pt idx="202">
                  <c:v>60000195.480719626</c:v>
                </c:pt>
                <c:pt idx="203">
                  <c:v>60000195.480719626</c:v>
                </c:pt>
                <c:pt idx="204">
                  <c:v>60000195.480719626</c:v>
                </c:pt>
                <c:pt idx="205">
                  <c:v>60000195.480719626</c:v>
                </c:pt>
                <c:pt idx="206">
                  <c:v>60000195.480719626</c:v>
                </c:pt>
                <c:pt idx="207">
                  <c:v>60000195.480719626</c:v>
                </c:pt>
                <c:pt idx="208">
                  <c:v>60000195.480719626</c:v>
                </c:pt>
                <c:pt idx="209">
                  <c:v>60000195.480719626</c:v>
                </c:pt>
                <c:pt idx="210">
                  <c:v>60000195.480719626</c:v>
                </c:pt>
                <c:pt idx="211">
                  <c:v>60000195.480719626</c:v>
                </c:pt>
                <c:pt idx="212">
                  <c:v>60000195.480719626</c:v>
                </c:pt>
                <c:pt idx="213">
                  <c:v>60000195.480719626</c:v>
                </c:pt>
                <c:pt idx="214">
                  <c:v>60000195.480719626</c:v>
                </c:pt>
                <c:pt idx="215">
                  <c:v>60000195.480719626</c:v>
                </c:pt>
                <c:pt idx="216">
                  <c:v>60000195.480719626</c:v>
                </c:pt>
                <c:pt idx="217">
                  <c:v>60000195.480719626</c:v>
                </c:pt>
                <c:pt idx="218">
                  <c:v>60000195.480719626</c:v>
                </c:pt>
                <c:pt idx="219">
                  <c:v>60000195.480719626</c:v>
                </c:pt>
                <c:pt idx="220">
                  <c:v>60000195.480719626</c:v>
                </c:pt>
                <c:pt idx="221">
                  <c:v>60000195.480719626</c:v>
                </c:pt>
                <c:pt idx="222">
                  <c:v>60000195.480719626</c:v>
                </c:pt>
                <c:pt idx="223">
                  <c:v>60000195.480719626</c:v>
                </c:pt>
                <c:pt idx="224">
                  <c:v>60000195.480719626</c:v>
                </c:pt>
                <c:pt idx="225">
                  <c:v>60000195.480719626</c:v>
                </c:pt>
                <c:pt idx="226">
                  <c:v>60000195.480719626</c:v>
                </c:pt>
                <c:pt idx="227">
                  <c:v>60000195.480719626</c:v>
                </c:pt>
                <c:pt idx="228">
                  <c:v>60000195.480719626</c:v>
                </c:pt>
                <c:pt idx="229">
                  <c:v>60000195.480719626</c:v>
                </c:pt>
                <c:pt idx="230">
                  <c:v>60000195.480719626</c:v>
                </c:pt>
                <c:pt idx="231">
                  <c:v>60000195.480719626</c:v>
                </c:pt>
                <c:pt idx="232">
                  <c:v>60000195.480719626</c:v>
                </c:pt>
                <c:pt idx="233">
                  <c:v>60000195.480719626</c:v>
                </c:pt>
                <c:pt idx="234">
                  <c:v>60000195.480719626</c:v>
                </c:pt>
                <c:pt idx="235">
                  <c:v>60000195.480719626</c:v>
                </c:pt>
                <c:pt idx="236">
                  <c:v>60000195.480719626</c:v>
                </c:pt>
                <c:pt idx="237">
                  <c:v>60000195.480719626</c:v>
                </c:pt>
                <c:pt idx="238">
                  <c:v>60000195.480719626</c:v>
                </c:pt>
                <c:pt idx="239">
                  <c:v>60000195.480719626</c:v>
                </c:pt>
                <c:pt idx="240">
                  <c:v>60000195.480719626</c:v>
                </c:pt>
                <c:pt idx="241">
                  <c:v>60000195.480719626</c:v>
                </c:pt>
                <c:pt idx="242">
                  <c:v>60000195.480719626</c:v>
                </c:pt>
                <c:pt idx="243">
                  <c:v>60000195.480719626</c:v>
                </c:pt>
                <c:pt idx="244">
                  <c:v>60000195.480719626</c:v>
                </c:pt>
                <c:pt idx="245">
                  <c:v>60000195.480719626</c:v>
                </c:pt>
                <c:pt idx="246">
                  <c:v>60000195.480719626</c:v>
                </c:pt>
                <c:pt idx="247">
                  <c:v>60000195.480719626</c:v>
                </c:pt>
                <c:pt idx="248">
                  <c:v>60000195.480719626</c:v>
                </c:pt>
                <c:pt idx="249">
                  <c:v>60000195.480719626</c:v>
                </c:pt>
                <c:pt idx="250">
                  <c:v>60000195.480719626</c:v>
                </c:pt>
                <c:pt idx="251">
                  <c:v>60000195.480719626</c:v>
                </c:pt>
                <c:pt idx="252">
                  <c:v>60000195.480719626</c:v>
                </c:pt>
                <c:pt idx="253">
                  <c:v>60000195.480719626</c:v>
                </c:pt>
                <c:pt idx="254">
                  <c:v>60000195.480719626</c:v>
                </c:pt>
                <c:pt idx="255">
                  <c:v>60000195.480719626</c:v>
                </c:pt>
                <c:pt idx="256">
                  <c:v>60000195.480719626</c:v>
                </c:pt>
                <c:pt idx="257">
                  <c:v>60000195.480719626</c:v>
                </c:pt>
                <c:pt idx="258">
                  <c:v>60000195.480719626</c:v>
                </c:pt>
                <c:pt idx="259">
                  <c:v>60000195.480719626</c:v>
                </c:pt>
                <c:pt idx="260">
                  <c:v>60000195.480719626</c:v>
                </c:pt>
                <c:pt idx="261">
                  <c:v>60000195.480719626</c:v>
                </c:pt>
                <c:pt idx="262">
                  <c:v>60000195.480719626</c:v>
                </c:pt>
                <c:pt idx="263">
                  <c:v>60000195.480719626</c:v>
                </c:pt>
                <c:pt idx="264">
                  <c:v>60000195.480719626</c:v>
                </c:pt>
                <c:pt idx="265">
                  <c:v>60000195.480719626</c:v>
                </c:pt>
                <c:pt idx="266">
                  <c:v>60000195.480719626</c:v>
                </c:pt>
                <c:pt idx="267">
                  <c:v>60000195.480719626</c:v>
                </c:pt>
                <c:pt idx="268">
                  <c:v>60000195.480719626</c:v>
                </c:pt>
                <c:pt idx="269">
                  <c:v>60000195.480719626</c:v>
                </c:pt>
                <c:pt idx="270">
                  <c:v>60000195.480719626</c:v>
                </c:pt>
                <c:pt idx="271">
                  <c:v>60000195.480719626</c:v>
                </c:pt>
                <c:pt idx="272">
                  <c:v>60000195.480719626</c:v>
                </c:pt>
                <c:pt idx="273">
                  <c:v>60000195.480719626</c:v>
                </c:pt>
                <c:pt idx="274">
                  <c:v>60000195.480719626</c:v>
                </c:pt>
                <c:pt idx="275">
                  <c:v>60000195.480719626</c:v>
                </c:pt>
                <c:pt idx="276">
                  <c:v>60000195.480719626</c:v>
                </c:pt>
                <c:pt idx="277">
                  <c:v>60000195.480719626</c:v>
                </c:pt>
                <c:pt idx="278">
                  <c:v>60000195.480719626</c:v>
                </c:pt>
                <c:pt idx="279">
                  <c:v>60000195.480719626</c:v>
                </c:pt>
                <c:pt idx="280">
                  <c:v>60000195.480719626</c:v>
                </c:pt>
                <c:pt idx="281">
                  <c:v>60000195.480719626</c:v>
                </c:pt>
                <c:pt idx="282">
                  <c:v>60000195.480719626</c:v>
                </c:pt>
                <c:pt idx="283">
                  <c:v>60000195.480719626</c:v>
                </c:pt>
                <c:pt idx="284">
                  <c:v>60000195.480719626</c:v>
                </c:pt>
                <c:pt idx="285">
                  <c:v>60000195.480719626</c:v>
                </c:pt>
                <c:pt idx="286">
                  <c:v>60000195.480719626</c:v>
                </c:pt>
                <c:pt idx="287">
                  <c:v>60000195.480719626</c:v>
                </c:pt>
                <c:pt idx="288">
                  <c:v>60000195.480719626</c:v>
                </c:pt>
                <c:pt idx="289">
                  <c:v>60000195.480719626</c:v>
                </c:pt>
                <c:pt idx="290">
                  <c:v>60000195.480719626</c:v>
                </c:pt>
                <c:pt idx="291">
                  <c:v>60000195.480719626</c:v>
                </c:pt>
                <c:pt idx="292">
                  <c:v>60000195.480719626</c:v>
                </c:pt>
                <c:pt idx="293">
                  <c:v>60000195.480719626</c:v>
                </c:pt>
                <c:pt idx="294">
                  <c:v>60000195.480719626</c:v>
                </c:pt>
                <c:pt idx="295">
                  <c:v>60000195.480719626</c:v>
                </c:pt>
                <c:pt idx="296">
                  <c:v>60000195.480719626</c:v>
                </c:pt>
                <c:pt idx="297">
                  <c:v>60000195.480719626</c:v>
                </c:pt>
                <c:pt idx="298">
                  <c:v>60000195.480719626</c:v>
                </c:pt>
                <c:pt idx="299">
                  <c:v>60000195.480719626</c:v>
                </c:pt>
                <c:pt idx="300">
                  <c:v>60000195.480719626</c:v>
                </c:pt>
                <c:pt idx="301">
                  <c:v>60000195.480719626</c:v>
                </c:pt>
                <c:pt idx="302">
                  <c:v>60000195.480719626</c:v>
                </c:pt>
                <c:pt idx="303">
                  <c:v>60000195.480719626</c:v>
                </c:pt>
                <c:pt idx="304">
                  <c:v>60000195.480719626</c:v>
                </c:pt>
                <c:pt idx="305">
                  <c:v>60000195.480719626</c:v>
                </c:pt>
                <c:pt idx="306">
                  <c:v>60000195.480719626</c:v>
                </c:pt>
                <c:pt idx="307">
                  <c:v>60000195.480719626</c:v>
                </c:pt>
                <c:pt idx="308">
                  <c:v>60000195.480719626</c:v>
                </c:pt>
                <c:pt idx="309">
                  <c:v>60000195.480719626</c:v>
                </c:pt>
                <c:pt idx="310">
                  <c:v>60000195.480719626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24-4F16-ADEC-42686B48F4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9262920"/>
        <c:axId val="359265544"/>
        <c:extLst/>
      </c:lineChart>
      <c:dateAx>
        <c:axId val="359262920"/>
        <c:scaling>
          <c:orientation val="minMax"/>
          <c:max val="46107"/>
        </c:scaling>
        <c:delete val="0"/>
        <c:axPos val="b"/>
        <c:numFmt formatCode="d\-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5544"/>
        <c:crosses val="autoZero"/>
        <c:auto val="1"/>
        <c:lblOffset val="100"/>
        <c:baseTimeUnit val="days"/>
        <c:majorUnit val="1"/>
        <c:majorTimeUnit val="months"/>
      </c:dateAx>
      <c:valAx>
        <c:axId val="359265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100" b="1"/>
                  <a:t>Rand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R&quot;* #,##0_);_(&quot;R&quot;* \(#,##0\);_(&quot;R&quot;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2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5452566570664468"/>
          <c:y val="0.32915037221048732"/>
          <c:w val="0.13644680455991121"/>
          <c:h val="0.4756780413302023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BE01C0C-9AAA-4701-AD7E-23F4F7FD6C65}">
  <sheetPr codeName="Chart8"/>
  <sheetViews>
    <sheetView zoomScale="70" workbookViewId="0"/>
  </sheetViews>
  <pageMargins left="0.7" right="0.7" top="0.75" bottom="0.75" header="0.3" footer="0.3"/>
  <drawing r:id="rId1"/>
</chartsheet>
</file>

<file path=xl/documenttasks/documenttask1.xml><?xml version="1.0" encoding="utf-8"?>
<Tasks xmlns="http://schemas.microsoft.com/office/tasks/2019/documenttasks">
  <Task id="{87DF1AA8-F2BF-4BF1-A0B3-F2BD573F1C56}">
    <Anchor>
      <Comment id="{2854B7F8-B6AB-41C4-8F60-6316C08B90B3}"/>
    </Anchor>
    <History>
      <Event time="2026-02-02T08:59:31.36" id="{0197A4A7-CF05-4192-A72D-FB660F11AE67}">
        <Attribution userId="S::peet@emergentenergy.co.za::29540351-e817-46dc-8f07-960526f357c0" userName="Peet Verreynne" userProvider="AD"/>
        <Anchor>
          <Comment id="{2854B7F8-B6AB-41C4-8F60-6316C08B90B3}"/>
        </Anchor>
        <Create/>
      </Event>
      <Event time="2026-02-02T08:59:31.36" id="{B2A7DB44-2872-4587-B322-AEC39B887552}">
        <Attribution userId="S::peet@emergentenergy.co.za::29540351-e817-46dc-8f07-960526f357c0" userName="Peet Verreynne" userProvider="AD"/>
        <Anchor>
          <Comment id="{2854B7F8-B6AB-41C4-8F60-6316C08B90B3}"/>
        </Anchor>
        <Assign userId="S::lloyd@emergentenergy.co.za::3e596b3f-4431-4c2f-b5e7-2e09852114d5" userName="Lloyd Brown" userProvider="AD"/>
      </Event>
      <Event time="2026-02-02T08:59:31.36" id="{17AD22DA-DDBB-4603-9D0F-E0142E0AD9E0}">
        <Attribution userId="S::peet@emergentenergy.co.za::29540351-e817-46dc-8f07-960526f357c0" userName="Peet Verreynne" userProvider="AD"/>
        <Anchor>
          <Comment id="{2854B7F8-B6AB-41C4-8F60-6316C08B90B3}"/>
        </Anchor>
        <SetTitle title="@Lloyd Brown has this been done by Schletter"/>
      </Event>
    </History>
  </Task>
</Tasks>
</file>

<file path=xl/documenttasks/documenttask2.xml><?xml version="1.0" encoding="utf-8"?>
<Tasks xmlns="http://schemas.microsoft.com/office/tasks/2019/documenttasks">
  <Task id="{F411ED01-BC6F-4D93-B14A-A2AB761D139E}">
    <Anchor>
      <Comment id="{604C4D76-784C-466A-91D3-78BD538FBB1D}"/>
    </Anchor>
    <History>
      <Event time="2026-01-19T11:11:38.26" id="{07ADAF9F-67F3-4ADE-9EEB-11E6176CCA81}">
        <Attribution userId="S::johannes@emergentenergy.co.za::ebfc203a-7452-4ef3-9e97-736da20b03b9" userName="Johannes Potgieter" userProvider="AD"/>
        <Anchor>
          <Comment id="{604C4D76-784C-466A-91D3-78BD538FBB1D}"/>
        </Anchor>
        <Create/>
      </Event>
      <Event time="2026-01-19T11:11:38.26" id="{26530EF9-9364-4E67-A918-FCD95543FADF}">
        <Attribution userId="S::johannes@emergentenergy.co.za::ebfc203a-7452-4ef3-9e97-736da20b03b9" userName="Johannes Potgieter" userProvider="AD"/>
        <Anchor>
          <Comment id="{604C4D76-784C-466A-91D3-78BD538FBB1D}"/>
        </Anchor>
        <Assign userId="S::roedolph@emergentenergy.co.za::9a21ce2b-45c7-4248-95e2-e26943ee2072" userName="Roedolph Venter" userProvider="AD"/>
      </Event>
      <Event time="2026-01-19T11:11:38.26" id="{3A702842-D1E0-4B0C-8B64-49D044A56A44}">
        <Attribution userId="S::johannes@emergentenergy.co.za::ebfc203a-7452-4ef3-9e97-736da20b03b9" userName="Johannes Potgieter" userProvider="AD"/>
        <Anchor>
          <Comment id="{604C4D76-784C-466A-91D3-78BD538FBB1D}"/>
        </Anchor>
        <SetTitle title="@Roedolph Venter these can move out as well"/>
      </Event>
      <Event time="2026-01-21T07:16:38.93" id="{39DC3365-1340-495A-A3BA-D15A06212BCB}">
        <Attribution userId="S::roedolph@emergentenergy.co.za::9a21ce2b-45c7-4248-95e2-e26943ee2072" userName="Roedolph Venter" userProvider="AD"/>
        <Progress percentComplete="100"/>
      </Event>
    </History>
  </Task>
  <Task id="{C462C336-5B79-4B52-94D9-B190B63AC046}">
    <Anchor>
      <Comment id="{7142C94D-29B9-4583-A0CC-834832CF0119}"/>
    </Anchor>
    <History>
      <Event time="2026-01-19T11:08:47.04" id="{715F4C35-0BD2-42EF-B9E6-6C6B630448DB}">
        <Attribution userId="S::johannes@emergentenergy.co.za::ebfc203a-7452-4ef3-9e97-736da20b03b9" userName="Johannes Potgieter" userProvider="AD"/>
        <Anchor>
          <Comment id="{7142C94D-29B9-4583-A0CC-834832CF0119}"/>
        </Anchor>
        <Create/>
      </Event>
      <Event time="2026-01-19T11:08:47.04" id="{F85AC808-9C17-4449-8E19-61B7ECFCB265}">
        <Attribution userId="S::johannes@emergentenergy.co.za::ebfc203a-7452-4ef3-9e97-736da20b03b9" userName="Johannes Potgieter" userProvider="AD"/>
        <Anchor>
          <Comment id="{7142C94D-29B9-4583-A0CC-834832CF0119}"/>
        </Anchor>
        <Assign userId="S::roedolph@emergentenergy.co.za::9a21ce2b-45c7-4248-95e2-e26943ee2072" userName="Roedolph Venter" userProvider="AD"/>
      </Event>
      <Event time="2026-01-19T11:08:47.04" id="{F84D4901-E2A6-454D-B3A3-9EAB53C04E13}">
        <Attribution userId="S::johannes@emergentenergy.co.za::ebfc203a-7452-4ef3-9e97-736da20b03b9" userName="Johannes Potgieter" userProvider="AD"/>
        <Anchor>
          <Comment id="{7142C94D-29B9-4583-A0CC-834832CF0119}"/>
        </Anchor>
        <SetTitle title="@Roedolph Venter same here"/>
      </Event>
    </History>
  </Task>
  <Task id="{600ED93F-A721-4295-9312-A2A02E82BAD4}">
    <Anchor>
      <Comment id="{1DDE1D03-90DA-40FB-AEC2-85DAB5346E8A}"/>
    </Anchor>
    <History>
      <Event time="2026-01-19T11:10:11.98" id="{173BF05F-4D2B-4B49-9C76-FE693EFF2A06}">
        <Attribution userId="S::johannes@emergentenergy.co.za::ebfc203a-7452-4ef3-9e97-736da20b03b9" userName="Johannes Potgieter" userProvider="AD"/>
        <Anchor>
          <Comment id="{1DDE1D03-90DA-40FB-AEC2-85DAB5346E8A}"/>
        </Anchor>
        <Create/>
      </Event>
      <Event time="2026-01-19T11:10:11.98" id="{9DE78ED2-2DBE-4A76-9DDB-C69107BBA18F}">
        <Attribution userId="S::johannes@emergentenergy.co.za::ebfc203a-7452-4ef3-9e97-736da20b03b9" userName="Johannes Potgieter" userProvider="AD"/>
        <Anchor>
          <Comment id="{1DDE1D03-90DA-40FB-AEC2-85DAB5346E8A}"/>
        </Anchor>
        <Assign userId="S::roedolph@emergentenergy.co.za::9a21ce2b-45c7-4248-95e2-e26943ee2072" userName="Roedolph Venter" userProvider="AD"/>
      </Event>
      <Event time="2026-01-19T11:10:11.98" id="{D7856AC3-608B-47D3-8C59-798ED25AFD74}">
        <Attribution userId="S::johannes@emergentenergy.co.za::ebfc203a-7452-4ef3-9e97-736da20b03b9" userName="Johannes Potgieter" userProvider="AD"/>
        <Anchor>
          <Comment id="{1DDE1D03-90DA-40FB-AEC2-85DAB5346E8A}"/>
        </Anchor>
        <SetTitle title="This should move out @Roedolph Venter "/>
      </Event>
    </History>
  </Task>
  <Task id="{7D453142-9840-41D8-AA97-8002576962FB}">
    <Anchor>
      <Comment id="{E5677A00-2AED-4798-B433-C2EB0B3FDC1D}"/>
    </Anchor>
    <History>
      <Event time="2026-01-19T11:12:06.33" id="{BBC433E2-A569-4C79-B063-649FB669D4C3}">
        <Attribution userId="S::johannes@emergentenergy.co.za::ebfc203a-7452-4ef3-9e97-736da20b03b9" userName="Johannes Potgieter" userProvider="AD"/>
        <Anchor>
          <Comment id="{E5677A00-2AED-4798-B433-C2EB0B3FDC1D}"/>
        </Anchor>
        <Create/>
      </Event>
      <Event time="2026-01-19T11:12:06.33" id="{53329C59-C3CF-46A4-80C3-752802C8E9A7}">
        <Attribution userId="S::johannes@emergentenergy.co.za::ebfc203a-7452-4ef3-9e97-736da20b03b9" userName="Johannes Potgieter" userProvider="AD"/>
        <Anchor>
          <Comment id="{E5677A00-2AED-4798-B433-C2EB0B3FDC1D}"/>
        </Anchor>
        <Assign userId="S::roedolph@emergentenergy.co.za::9a21ce2b-45c7-4248-95e2-e26943ee2072" userName="Roedolph Venter" userProvider="AD"/>
      </Event>
      <Event time="2026-01-19T11:12:06.33" id="{83161A40-E7DB-4A02-BFDD-A8834FC335B7}">
        <Attribution userId="S::johannes@emergentenergy.co.za::ebfc203a-7452-4ef3-9e97-736da20b03b9" userName="Johannes Potgieter" userProvider="AD"/>
        <Anchor>
          <Comment id="{E5677A00-2AED-4798-B433-C2EB0B3FDC1D}"/>
        </Anchor>
        <SetTitle title="@Roedolph Venter what is happening here"/>
      </Event>
    </History>
  </Task>
  <Task id="{1C470848-928C-4CD6-A975-7A31B418FE17}">
    <Anchor>
      <Comment id="{BDE52B69-49C9-40B8-B6F9-7B3709E4AC1E}"/>
    </Anchor>
    <History>
      <Event time="2025-07-31T08:11:31.88" id="{B7BCE6C6-E1D8-42BA-B4C7-8B912FC27464}">
        <Attribution userId="S::tasneema@emergy.co.za::9a0cc615-e4de-4e2f-ae82-9f40753a7d8a" userName="Tasneema van Harte" userProvider="AD"/>
        <Anchor>
          <Comment id="{BDE52B69-49C9-40B8-B6F9-7B3709E4AC1E}"/>
        </Anchor>
        <Create/>
      </Event>
      <Event time="2025-07-31T08:11:31.88" id="{B495C57E-05B3-477C-B064-D5BB1E521D79}">
        <Attribution userId="S::tasneema@emergy.co.za::9a0cc615-e4de-4e2f-ae82-9f40753a7d8a" userName="Tasneema van Harte" userProvider="AD"/>
        <Anchor>
          <Comment id="{BDE52B69-49C9-40B8-B6F9-7B3709E4AC1E}"/>
        </Anchor>
        <Assign userId="S::mizelda@emergentenergy.co.za::3a5c2ad2-993e-4fe1-a333-48e19c6adda8" userName="Mizelda Isaacs" userProvider="AD"/>
      </Event>
      <Event time="2025-07-31T08:11:31.88" id="{47FEC773-AA9B-417C-B272-E35D3768BDCD}">
        <Attribution userId="S::tasneema@emergy.co.za::9a0cc615-e4de-4e2f-ae82-9f40753a7d8a" userName="Tasneema van Harte" userProvider="AD"/>
        <Anchor>
          <Comment id="{BDE52B69-49C9-40B8-B6F9-7B3709E4AC1E}"/>
        </Anchor>
        <SetTitle title="@Mizelda Isaacs please update the payment date"/>
      </Event>
      <Event time="2025-07-31T08:49:38.45" id="{1C03C836-0712-4ACA-A8E6-2AA46C547FC0}">
        <Attribution userId="S::mizelda@emergentenergy.co.za::3a5c2ad2-993e-4fe1-a333-48e19c6adda8" userName="Mizelda Isaacs" userProvider="AD"/>
        <Progress percentComplete="100"/>
      </Event>
    </History>
  </Task>
  <Task id="{D4B3195C-21EC-4874-8A45-9E28BF189AB4}">
    <Anchor>
      <Comment id="{4F70E5B8-0176-4963-BF42-34239AC81C79}"/>
    </Anchor>
    <History>
      <Event time="2026-01-19T11:08:16.26" id="{25A78417-9C4F-439C-81AF-1AE07340889F}">
        <Attribution userId="S::johannes@emergentenergy.co.za::ebfc203a-7452-4ef3-9e97-736da20b03b9" userName="Johannes Potgieter" userProvider="AD"/>
        <Anchor>
          <Comment id="{4F70E5B8-0176-4963-BF42-34239AC81C79}"/>
        </Anchor>
        <Create/>
      </Event>
      <Event time="2026-01-19T11:08:16.26" id="{2AB54DC5-E292-4E4D-BE24-0C86FC5419C2}">
        <Attribution userId="S::johannes@emergentenergy.co.za::ebfc203a-7452-4ef3-9e97-736da20b03b9" userName="Johannes Potgieter" userProvider="AD"/>
        <Anchor>
          <Comment id="{4F70E5B8-0176-4963-BF42-34239AC81C79}"/>
        </Anchor>
        <Assign userId="S::roedolph@emergentenergy.co.za::9a21ce2b-45c7-4248-95e2-e26943ee2072" userName="Roedolph Venter" userProvider="AD"/>
      </Event>
      <Event time="2026-01-19T11:08:16.26" id="{D212EE39-D7ED-4667-B776-DF7D45F4E765}">
        <Attribution userId="S::johannes@emergentenergy.co.za::ebfc203a-7452-4ef3-9e97-736da20b03b9" userName="Johannes Potgieter" userProvider="AD"/>
        <Anchor>
          <Comment id="{4F70E5B8-0176-4963-BF42-34239AC81C79}"/>
        </Anchor>
        <SetTitle title="@Roedolph Venter same here"/>
      </Event>
    </History>
  </Task>
  <Task id="{ACB59187-88D8-4A26-9A58-DCBA01295D0A}">
    <Anchor>
      <Comment id="{E1C95E8E-137E-4A6A-9351-B06EFEBA88F7}"/>
    </Anchor>
    <History>
      <Event time="2026-01-19T11:09:58.38" id="{B8F5C09F-0E04-4545-A29E-A0D3B2B0C515}">
        <Attribution userId="S::johannes@emergentenergy.co.za::ebfc203a-7452-4ef3-9e97-736da20b03b9" userName="Johannes Potgieter" userProvider="AD"/>
        <Anchor>
          <Comment id="{E1C95E8E-137E-4A6A-9351-B06EFEBA88F7}"/>
        </Anchor>
        <Create/>
      </Event>
      <Event time="2026-01-19T11:09:58.38" id="{A46C610D-45B3-41DA-9730-1636393004B0}">
        <Attribution userId="S::johannes@emergentenergy.co.za::ebfc203a-7452-4ef3-9e97-736da20b03b9" userName="Johannes Potgieter" userProvider="AD"/>
        <Anchor>
          <Comment id="{E1C95E8E-137E-4A6A-9351-B06EFEBA88F7}"/>
        </Anchor>
        <Assign userId="S::roedolph@emergentenergy.co.za::9a21ce2b-45c7-4248-95e2-e26943ee2072" userName="Roedolph Venter" userProvider="AD"/>
      </Event>
      <Event time="2026-01-19T11:09:58.38" id="{CB5C968C-3C7F-45EE-A307-CEF737DC8772}">
        <Attribution userId="S::johannes@emergentenergy.co.za::ebfc203a-7452-4ef3-9e97-736da20b03b9" userName="Johannes Potgieter" userProvider="AD"/>
        <Anchor>
          <Comment id="{E1C95E8E-137E-4A6A-9351-B06EFEBA88F7}"/>
        </Anchor>
        <SetTitle title="@Roedolph Venter has these been achieved last week?"/>
      </Event>
    </History>
  </Task>
  <Task id="{8422328D-30B5-4D67-8DCE-50700FEE11E4}">
    <Anchor>
      <Comment id="{CD680B1E-987F-44D4-A73D-04BEE87C3649}"/>
    </Anchor>
    <History>
      <Event time="2026-01-19T11:09:03.69" id="{EED8944F-692C-4032-9EE8-E52C80D7809C}">
        <Attribution userId="S::johannes@emergentenergy.co.za::ebfc203a-7452-4ef3-9e97-736da20b03b9" userName="Johannes Potgieter" userProvider="AD"/>
        <Anchor>
          <Comment id="{CD680B1E-987F-44D4-A73D-04BEE87C3649}"/>
        </Anchor>
        <Create/>
      </Event>
      <Event time="2026-01-19T11:09:03.69" id="{3C99D2EA-042B-4479-8614-B689B2C495E4}">
        <Attribution userId="S::johannes@emergentenergy.co.za::ebfc203a-7452-4ef3-9e97-736da20b03b9" userName="Johannes Potgieter" userProvider="AD"/>
        <Anchor>
          <Comment id="{CD680B1E-987F-44D4-A73D-04BEE87C3649}"/>
        </Anchor>
        <Assign userId="S::roedolph@emergentenergy.co.za::9a21ce2b-45c7-4248-95e2-e26943ee2072" userName="Roedolph Venter" userProvider="AD"/>
      </Event>
      <Event time="2026-01-19T11:09:03.69" id="{FD3EEAE3-D56E-43C9-A1E5-655F1C1C8B38}">
        <Attribution userId="S::johannes@emergentenergy.co.za::ebfc203a-7452-4ef3-9e97-736da20b03b9" userName="Johannes Potgieter" userProvider="AD"/>
        <Anchor>
          <Comment id="{CD680B1E-987F-44D4-A73D-04BEE87C3649}"/>
        </Anchor>
        <SetTitle title="@Roedolph Venter same here"/>
      </Event>
    </History>
  </Task>
  <Task id="{849DEBAA-836C-48C2-9CD5-A0F3207B2217}">
    <Anchor>
      <Comment id="{C44BF9C1-3572-4D98-A547-3C206E3710F0}"/>
    </Anchor>
    <History>
      <Event time="2026-01-19T11:06:17.73" id="{53A57C82-8F84-49C3-834A-68588EF8D6DA}">
        <Attribution userId="S::johannes@emergentenergy.co.za::ebfc203a-7452-4ef3-9e97-736da20b03b9" userName="Johannes Potgieter" userProvider="AD"/>
        <Anchor>
          <Comment id="{C44BF9C1-3572-4D98-A547-3C206E3710F0}"/>
        </Anchor>
        <Create/>
      </Event>
      <Event time="2026-01-19T11:06:17.73" id="{8D8C83BE-5875-41A3-B3F5-C7A885B2A714}">
        <Attribution userId="S::johannes@emergentenergy.co.za::ebfc203a-7452-4ef3-9e97-736da20b03b9" userName="Johannes Potgieter" userProvider="AD"/>
        <Anchor>
          <Comment id="{C44BF9C1-3572-4D98-A547-3C206E3710F0}"/>
        </Anchor>
        <Assign userId="S::roedolph@emergentenergy.co.za::9a21ce2b-45c7-4248-95e2-e26943ee2072" userName="Roedolph Venter" userProvider="AD"/>
      </Event>
      <Event time="2026-01-19T11:06:17.73" id="{DABF6D0A-B97C-4AD0-ABAE-E0536CD200FE}">
        <Attribution userId="S::johannes@emergentenergy.co.za::ebfc203a-7452-4ef3-9e97-736da20b03b9" userName="Johannes Potgieter" userProvider="AD"/>
        <Anchor>
          <Comment id="{C44BF9C1-3572-4D98-A547-3C206E3710F0}"/>
        </Anchor>
        <SetTitle title="@Roedolph Venter is this payment date correct?"/>
      </Event>
    </History>
  </Task>
  <Task id="{D564B8B2-5794-4F71-8E31-21DAA754C6F4}">
    <Anchor>
      <Comment id="{EC56A09C-F82B-4492-B2DC-64719D08F1B9}"/>
    </Anchor>
    <History>
      <Event time="2026-01-19T11:11:13.92" id="{295CB040-9105-45DA-9D19-74104F5D4E0F}">
        <Attribution userId="S::johannes@emergentenergy.co.za::ebfc203a-7452-4ef3-9e97-736da20b03b9" userName="Johannes Potgieter" userProvider="AD"/>
        <Anchor>
          <Comment id="{EC56A09C-F82B-4492-B2DC-64719D08F1B9}"/>
        </Anchor>
        <Create/>
      </Event>
      <Event time="2026-01-19T11:11:13.92" id="{24823917-84B9-4837-AC6D-641993D72DED}">
        <Attribution userId="S::johannes@emergentenergy.co.za::ebfc203a-7452-4ef3-9e97-736da20b03b9" userName="Johannes Potgieter" userProvider="AD"/>
        <Anchor>
          <Comment id="{EC56A09C-F82B-4492-B2DC-64719D08F1B9}"/>
        </Anchor>
        <Assign userId="S::roedolph@emergentenergy.co.za::9a21ce2b-45c7-4248-95e2-e26943ee2072" userName="Roedolph Venter" userProvider="AD"/>
      </Event>
      <Event time="2026-01-19T11:11:13.92" id="{91A1BB1A-4899-405E-9B25-0CAD4A2F6873}">
        <Attribution userId="S::johannes@emergentenergy.co.za::ebfc203a-7452-4ef3-9e97-736da20b03b9" userName="Johannes Potgieter" userProvider="AD"/>
        <Anchor>
          <Comment id="{EC56A09C-F82B-4492-B2DC-64719D08F1B9}"/>
        </Anchor>
        <SetTitle title="@Roedolph Venter this needs to move out"/>
      </Event>
    </History>
  </Task>
  <Task id="{CB891EB5-83AB-4466-9668-5ACFD3D1D58E}">
    <Anchor>
      <Comment id="{331B2931-76F1-4D4F-8433-A52A685E0493}"/>
    </Anchor>
    <History>
      <Event time="2026-02-02T08:46:38.38" id="{BB1787C4-E94B-4440-866B-259ADB2EB11D}">
        <Attribution userId="S::mizelda@emergentenergy.co.za::3a5c2ad2-993e-4fe1-a333-48e19c6adda8" userName="Mizelda Isaacs" userProvider="AD"/>
        <Anchor>
          <Comment id="{331B2931-76F1-4D4F-8433-A52A685E0493}"/>
        </Anchor>
        <Create/>
      </Event>
      <Event time="2026-02-02T08:46:38.38" id="{789AAF51-CC99-498C-BBA0-DC870DC82421}">
        <Attribution userId="S::mizelda@emergentenergy.co.za::3a5c2ad2-993e-4fe1-a333-48e19c6adda8" userName="Mizelda Isaacs" userProvider="AD"/>
        <Anchor>
          <Comment id="{331B2931-76F1-4D4F-8433-A52A685E0493}"/>
        </Anchor>
        <Assign userId="S::lloyd@emergentenergy.co.za::3e596b3f-4431-4c2f-b5e7-2e09852114d5" userName="Lloyd Brown" userProvider="AD"/>
      </Event>
      <Event time="2026-02-02T08:46:38.38" id="{7D8AF41E-66EA-4BE3-AC62-F2AC8184BDA7}">
        <Attribution userId="S::mizelda@emergentenergy.co.za::3a5c2ad2-993e-4fe1-a333-48e19c6adda8" userName="Mizelda Isaacs" userProvider="AD"/>
        <Anchor>
          <Comment id="{331B2931-76F1-4D4F-8433-A52A685E0493}"/>
        </Anchor>
        <SetTitle title="@Lloyd Brown when is this due for payment?"/>
      </Event>
    </History>
  </Task>
  <Task id="{2CC83EB5-6819-4002-A979-AD7B23F49A69}">
    <Anchor>
      <Comment id="{18D8F036-46B8-4C7D-810A-4E97183FE6B5}"/>
    </Anchor>
    <History>
      <Event time="2026-01-19T11:10:52.37" id="{18BB68E0-F49E-4D15-9566-A6CF8D9E69F9}">
        <Attribution userId="S::johannes@emergentenergy.co.za::ebfc203a-7452-4ef3-9e97-736da20b03b9" userName="Johannes Potgieter" userProvider="AD"/>
        <Anchor>
          <Comment id="{18D8F036-46B8-4C7D-810A-4E97183FE6B5}"/>
        </Anchor>
        <Create/>
      </Event>
      <Event time="2026-01-19T11:10:52.37" id="{F5357E65-A472-4E41-80F2-1F244A162482}">
        <Attribution userId="S::johannes@emergentenergy.co.za::ebfc203a-7452-4ef3-9e97-736da20b03b9" userName="Johannes Potgieter" userProvider="AD"/>
        <Anchor>
          <Comment id="{18D8F036-46B8-4C7D-810A-4E97183FE6B5}"/>
        </Anchor>
        <Assign userId="S::roedolph@emergentenergy.co.za::9a21ce2b-45c7-4248-95e2-e26943ee2072" userName="Roedolph Venter" userProvider="AD"/>
      </Event>
      <Event time="2026-01-19T11:10:52.37" id="{435CF599-E503-4E1D-8A9C-8E2437D5D7B3}">
        <Attribution userId="S::johannes@emergentenergy.co.za::ebfc203a-7452-4ef3-9e97-736da20b03b9" userName="Johannes Potgieter" userProvider="AD"/>
        <Anchor>
          <Comment id="{18D8F036-46B8-4C7D-810A-4E97183FE6B5}"/>
        </Anchor>
        <SetTitle title="@Roedolph Venter lets please pay only 7 days after completion"/>
      </Event>
    </History>
  </Task>
  <Task id="{92DFE6BB-58AB-4A82-8BAB-62CEF3D85CCB}">
    <Anchor>
      <Comment id="{AAF28551-44B2-4A97-AA95-48258E9438C1}"/>
    </Anchor>
    <History>
      <Event time="2026-02-02T08:47:55.71" id="{DD3B3CB5-E798-4912-9434-6207047FF763}">
        <Attribution userId="S::mizelda@emergentenergy.co.za::3a5c2ad2-993e-4fe1-a333-48e19c6adda8" userName="Mizelda Isaacs" userProvider="AD"/>
        <Anchor>
          <Comment id="{AAF28551-44B2-4A97-AA95-48258E9438C1}"/>
        </Anchor>
        <Create/>
      </Event>
      <Event time="2026-02-02T08:47:55.71" id="{1BB482C6-E85C-4135-9487-955459B67703}">
        <Attribution userId="S::mizelda@emergentenergy.co.za::3a5c2ad2-993e-4fe1-a333-48e19c6adda8" userName="Mizelda Isaacs" userProvider="AD"/>
        <Anchor>
          <Comment id="{AAF28551-44B2-4A97-AA95-48258E9438C1}"/>
        </Anchor>
        <Assign userId="S::lloyd@emergentenergy.co.za::3e596b3f-4431-4c2f-b5e7-2e09852114d5" userName="Lloyd Brown" userProvider="AD"/>
      </Event>
      <Event time="2026-02-02T08:47:55.71" id="{47D52619-ED58-4B63-A900-9964633C5CB0}">
        <Attribution userId="S::mizelda@emergentenergy.co.za::3a5c2ad2-993e-4fe1-a333-48e19c6adda8" userName="Mizelda Isaacs" userProvider="AD"/>
        <Anchor>
          <Comment id="{AAF28551-44B2-4A97-AA95-48258E9438C1}"/>
        </Anchor>
        <SetTitle title="@Lloyd Brown, fiollowing the discussion in December, was this returned to Kathea?"/>
      </Event>
    </History>
  </Task>
  <Task id="{236802F4-EF85-4684-959A-709CC4E72109}">
    <Anchor>
      <Comment id="{83FC6750-5EE4-4B63-A817-5ABEB0596029}"/>
    </Anchor>
    <History>
      <Event time="2025-07-31T08:11:31.88" id="{B7BCE6C6-E1D8-42BA-B4C7-8B912FC27464}">
        <Attribution userId="S::tasneema@emergy.co.za::9a0cc615-e4de-4e2f-ae82-9f40753a7d8a" userName="Tasneema van Harte" userProvider="AD"/>
        <Anchor>
          <Comment id="{83FC6750-5EE4-4B63-A817-5ABEB0596029}"/>
        </Anchor>
        <Create/>
      </Event>
      <Event time="2025-07-31T08:11:31.88" id="{B495C57E-05B3-477C-B064-D5BB1E521D79}">
        <Attribution userId="S::tasneema@emergy.co.za::9a0cc615-e4de-4e2f-ae82-9f40753a7d8a" userName="Tasneema van Harte" userProvider="AD"/>
        <Anchor>
          <Comment id="{83FC6750-5EE4-4B63-A817-5ABEB0596029}"/>
        </Anchor>
        <Assign userId="S::mizelda@emergentenergy.co.za::3a5c2ad2-993e-4fe1-a333-48e19c6adda8" userName="Mizelda Isaacs" userProvider="AD"/>
      </Event>
      <Event time="2025-07-31T08:11:31.88" id="{47FEC773-AA9B-417C-B272-E35D3768BDCD}">
        <Attribution userId="S::tasneema@emergy.co.za::9a0cc615-e4de-4e2f-ae82-9f40753a7d8a" userName="Tasneema van Harte" userProvider="AD"/>
        <Anchor>
          <Comment id="{83FC6750-5EE4-4B63-A817-5ABEB0596029}"/>
        </Anchor>
        <SetTitle title="@Mizelda Isaacs please update the payment date"/>
      </Event>
      <Event time="2025-07-31T08:49:38.45" id="{1C03C836-0712-4ACA-A8E6-2AA46C547FC0}">
        <Attribution userId="S::mizelda@emergentenergy.co.za::3a5c2ad2-993e-4fe1-a333-48e19c6adda8" userName="Mizelda Isaacs" userProvider="AD"/>
        <Progress percentComplete="100"/>
      </Event>
    </History>
  </Task>
</Task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17689</xdr:colOff>
      <xdr:row>5</xdr:row>
      <xdr:rowOff>164102</xdr:rowOff>
    </xdr:from>
    <xdr:to>
      <xdr:col>48</xdr:col>
      <xdr:colOff>41456</xdr:colOff>
      <xdr:row>65</xdr:row>
      <xdr:rowOff>37738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32BE1B4-17B4-473B-9C63-F20F7BC791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11951</xdr:colOff>
      <xdr:row>28</xdr:row>
      <xdr:rowOff>116540</xdr:rowOff>
    </xdr:from>
    <xdr:to>
      <xdr:col>38</xdr:col>
      <xdr:colOff>95250</xdr:colOff>
      <xdr:row>72</xdr:row>
      <xdr:rowOff>55842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2556361-458D-E564-F0E2-E82F9C1C5DA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18</xdr:col>
      <xdr:colOff>9926</xdr:colOff>
      <xdr:row>10</xdr:row>
      <xdr:rowOff>112539</xdr:rowOff>
    </xdr:from>
    <xdr:to>
      <xdr:col>28</xdr:col>
      <xdr:colOff>11205</xdr:colOff>
      <xdr:row>16</xdr:row>
      <xdr:rowOff>50282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285878D0-0125-FC07-FB7F-441B438B0D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508161" y="1793421"/>
          <a:ext cx="9234927" cy="10089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18</xdr:col>
      <xdr:colOff>38100</xdr:colOff>
      <xdr:row>11</xdr:row>
      <xdr:rowOff>6622</xdr:rowOff>
    </xdr:from>
    <xdr:to>
      <xdr:col>28</xdr:col>
      <xdr:colOff>2011</xdr:colOff>
      <xdr:row>17</xdr:row>
      <xdr:rowOff>7983</xdr:rowOff>
    </xdr:to>
    <xdr:sp macro="" textlink="">
      <xdr:nvSpPr>
        <xdr:cNvPr id="2049" name="AutoShape 1">
          <a:extLst>
            <a:ext uri="{FF2B5EF4-FFF2-40B4-BE49-F238E27FC236}">
              <a16:creationId xmlns:a16="http://schemas.microsoft.com/office/drawing/2014/main" id="{A9CCD744-5BE7-B614-F6DF-FEC8B828EDEA}"/>
            </a:ext>
          </a:extLst>
        </xdr:cNvPr>
        <xdr:cNvSpPr>
          <a:spLocks noChangeAspect="1" noChangeArrowheads="1"/>
        </xdr:cNvSpPr>
      </xdr:nvSpPr>
      <xdr:spPr bwMode="auto">
        <a:xfrm>
          <a:off x="17019814" y="2197372"/>
          <a:ext cx="9207500" cy="92800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8654143" cy="6277429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82E3662-C76F-1FD9-91B2-5B93327D52F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Emergent" id="{7B8B029F-64E7-4507-A36C-04BD7D968E99}" userId="Emergent" providerId="None"/>
  <person displayName="Lloyd Brown" id="{D9C18D5B-5816-4669-A092-6DCF1A14F028}" userId="lloyd@emergentenergy.co.za" providerId="PeoplePicker"/>
  <person displayName="Mizelda Isaacs" id="{6BBFDAC7-363B-4104-9F2B-C63C3F07B90D}" userId="mizelda@emergentenergy.co.za" providerId="PeoplePicker"/>
  <person displayName="Roedolph Venter" id="{C9754192-F363-4201-9516-C3296FC41267}" userId="roedolph@emergentenergy.co.za" providerId="PeoplePicker"/>
  <person displayName="Tasneema van Harte" id="{F38BC8CB-2CC2-4233-A1D2-12C466B53C9F}" userId="S::tasneema@emergy.co.za::9a0cc615-e4de-4e2f-ae82-9f40753a7d8a" providerId="AD"/>
  <person displayName="Peet Verreynne" id="{2DEE67B4-A98D-41D0-90E5-7E37A87E2601}" userId="S::peet@emergentenergy.co.za::29540351-e817-46dc-8f07-960526f357c0" providerId="AD"/>
  <person displayName="Lloyd Brown" id="{8E673A1E-E825-45F1-8FC6-BDA182DE7C90}" userId="S::lloyd@emergentenergy.co.za::3e596b3f-4431-4c2f-b5e7-2e09852114d5" providerId="AD"/>
  <person displayName="Thami Cambalele" id="{D685E037-2121-4005-8A6F-1BABCB4CA0D3}" userId="S::thami@emergentenergy.co.za::dcae580f-55a1-44d7-89b7-bae90a9ddc2e" providerId="AD"/>
  <person displayName="Mizelda Isaacs" id="{2C8B4193-20E7-47EA-9370-770AA92F68E1}" userId="S::mizelda@emergentenergy.co.za::3a5c2ad2-993e-4fe1-a333-48e19c6adda8" providerId="AD"/>
  <person displayName="Johannes Potgieter" id="{84D83BB5-98D3-409C-B27C-975D01321498}" userId="S::johannes@emergentenergy.co.za::ebfc203a-7452-4ef3-9e97-736da20b03b9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63.645203009262" createdVersion="8" refreshedVersion="8" minRefreshableVersion="3" recordCount="356" xr:uid="{D37A5069-1A2D-4864-A726-735BFBE61275}">
  <cacheSource type="worksheet">
    <worksheetSource ref="L4:X360" sheet="Expenditure Breakdown"/>
  </cacheSource>
  <cacheFields count="13">
    <cacheField name="No. " numFmtId="0">
      <sharedItems containsString="0" containsBlank="1" containsNumber="1" containsInteger="1" minValue="1" maxValue="15"/>
    </cacheField>
    <cacheField name="Product/ Service" numFmtId="0">
      <sharedItems containsBlank="1" count="18">
        <m/>
        <s v="1. Panels"/>
        <s v="2. Inverters"/>
        <s v="3. Mounting Structures"/>
        <s v="4. DC Equipment"/>
        <s v="5. Monitoring"/>
        <s v="6. AC Equipment"/>
        <s v="7.MV Substation"/>
        <s v="8. Product Add On "/>
        <s v="9. AC &amp; DC installation"/>
        <s v="10. Site Logistics"/>
        <s v="11. Due Dilligence"/>
        <s v="12. BDP Commission"/>
        <s v="13. Engineering"/>
        <s v="14. General Expenses"/>
        <s v="15. Service Add On"/>
        <s v="7.BESS" u="1"/>
        <s v="7.ESG" u="1"/>
      </sharedItems>
    </cacheField>
    <cacheField name="Description of Work" numFmtId="0">
      <sharedItems containsBlank="1"/>
    </cacheField>
    <cacheField name="QTY" numFmtId="0">
      <sharedItems containsString="0" containsBlank="1" containsNumber="1" minValue="0.1" maxValue="2400000"/>
    </cacheField>
    <cacheField name="Rate / Unit" numFmtId="0">
      <sharedItems containsString="0" containsBlank="1" containsNumber="1" minValue="-43292.88" maxValue="2874051.1597769996"/>
    </cacheField>
    <cacheField name="Actual Total " numFmtId="0">
      <sharedItems containsString="0" containsBlank="1" containsNumber="1" minValue="-1540370" maxValue="3897072.0000000009"/>
    </cacheField>
    <cacheField name="PO NUMBER" numFmtId="0">
      <sharedItems containsBlank="1"/>
    </cacheField>
    <cacheField name="INVOICE NUMBER" numFmtId="0">
      <sharedItems containsBlank="1"/>
    </cacheField>
    <cacheField name="INVOICE RAISED DATE" numFmtId="0">
      <sharedItems containsDate="1" containsBlank="1" containsMixedTypes="1" minDate="2025-03-31T00:00:00" maxDate="2026-04-01T00:00:00" count="16">
        <m/>
        <d v="2025-07-31T00:00:00"/>
        <s v=""/>
        <d v="2025-08-31T00:00:00"/>
        <d v="2025-11-30T00:00:00"/>
        <d v="2025-12-31T00:00:00"/>
        <d v="2026-01-31T00:00:00"/>
        <d v="2025-06-30T00:00:00"/>
        <d v="2025-09-30T00:00:00"/>
        <d v="2025-10-31T00:00:00"/>
        <d v="2026-02-28T00:00:00"/>
        <d v="2025-05-31T00:00:00"/>
        <d v="2026-03-31T00:00:00"/>
        <d v="2025-12-30T00:00:00" u="1"/>
        <d v="2025-04-30T00:00:00" u="1"/>
        <d v="2025-03-31T00:00:00" u="1"/>
      </sharedItems>
    </cacheField>
    <cacheField name="REVENUE RECOGNITION AMOUNT" numFmtId="0">
      <sharedItems containsBlank="1" containsMixedTypes="1" containsNumber="1" minValue="0" maxValue="7497629.4730635975"/>
    </cacheField>
    <cacheField name="CHECK" numFmtId="0">
      <sharedItems containsString="0" containsBlank="1" containsNumber="1" minValue="-195.47706760861911" maxValue="2.9870779253542423E-3"/>
    </cacheField>
    <cacheField name="FINANCE PAYMENT DATE" numFmtId="0">
      <sharedItems containsNonDate="0" containsDate="1" containsString="0" containsBlank="1" minDate="2025-06-09T00:00:00" maxDate="2026-04-01T00:00:00"/>
    </cacheField>
    <cacheField name="Total COS" numFmtId="0">
      <sharedItems containsString="0" containsBlank="1" containsNumber="1" minValue="0" maxValue="1373597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56">
  <r>
    <m/>
    <x v="0"/>
    <m/>
    <m/>
    <m/>
    <m/>
    <m/>
    <m/>
    <x v="0"/>
    <m/>
    <m/>
    <m/>
    <m/>
  </r>
  <r>
    <n v="1"/>
    <x v="1"/>
    <s v="Jinko 620W - Deposit"/>
    <n v="11420"/>
    <n v="0.1"/>
    <n v="1373597.6"/>
    <s v="PO3993-CSPH2-20260610 - RV Approved"/>
    <s v="Menlo INV0003003"/>
    <x v="1"/>
    <n v="1510104.5605359133"/>
    <n v="0"/>
    <d v="2025-06-19T00:00:00"/>
    <n v="13735976"/>
  </r>
  <r>
    <n v="1"/>
    <x v="1"/>
    <m/>
    <m/>
    <m/>
    <m/>
    <m/>
    <m/>
    <x v="2"/>
    <n v="0"/>
    <m/>
    <m/>
    <m/>
  </r>
  <r>
    <n v="1"/>
    <x v="1"/>
    <s v="Jinko 620W - Ground Mount"/>
    <n v="5112"/>
    <n v="1202.8"/>
    <n v="1457166.0521739132"/>
    <m/>
    <s v="Menlo INV0003103"/>
    <x v="1"/>
    <n v="6083790.7724287482"/>
    <m/>
    <d v="2025-09-25T00:00:00"/>
    <m/>
  </r>
  <r>
    <n v="1"/>
    <x v="1"/>
    <m/>
    <m/>
    <m/>
    <n v="3897072.0000000009"/>
    <m/>
    <s v="Menlo INV0003103"/>
    <x v="1"/>
    <n v="0"/>
    <m/>
    <d v="2025-10-16T00:00:00"/>
    <m/>
  </r>
  <r>
    <n v="1"/>
    <x v="1"/>
    <m/>
    <m/>
    <m/>
    <n v="179604.18782608525"/>
    <m/>
    <s v="Menlo INV0003103"/>
    <x v="1"/>
    <n v="0"/>
    <m/>
    <d v="2026-01-09T00:00:00"/>
    <m/>
  </r>
  <r>
    <n v="1"/>
    <x v="1"/>
    <s v="Jinko 620W - Rooftop"/>
    <n v="6300"/>
    <n v="1202.8"/>
    <n v="869565.22"/>
    <m/>
    <s v="Menlo INV0003103"/>
    <x v="1"/>
    <n v="7497629.4730635975"/>
    <m/>
    <d v="2026-01-09T00:00:00"/>
    <m/>
  </r>
  <r>
    <n v="1"/>
    <x v="1"/>
    <m/>
    <m/>
    <m/>
    <n v="637461.31000000006"/>
    <m/>
    <s v="Menlo INV0003103"/>
    <x v="1"/>
    <n v="0"/>
    <m/>
    <d v="2026-01-09T00:00:00"/>
    <m/>
  </r>
  <r>
    <n v="1"/>
    <x v="1"/>
    <m/>
    <m/>
    <m/>
    <n v="1006679.1304347827"/>
    <m/>
    <s v="Menlo INV0003103"/>
    <x v="1"/>
    <n v="0"/>
    <m/>
    <d v="2026-01-15T00:00:00"/>
    <m/>
  </r>
  <r>
    <n v="1"/>
    <x v="1"/>
    <m/>
    <m/>
    <m/>
    <n v="1277597.209"/>
    <m/>
    <s v="Menlo INV0003103"/>
    <x v="1"/>
    <n v="0"/>
    <m/>
    <d v="2026-01-23T00:00:00"/>
    <m/>
  </r>
  <r>
    <n v="1"/>
    <x v="1"/>
    <m/>
    <m/>
    <m/>
    <n v="1304347.8259999999"/>
    <m/>
    <s v="Menlo INV0003103"/>
    <x v="1"/>
    <n v="0"/>
    <m/>
    <d v="2026-01-29T00:00:00"/>
    <m/>
  </r>
  <r>
    <n v="1"/>
    <x v="1"/>
    <m/>
    <m/>
    <m/>
    <n v="1724225.3045652178"/>
    <m/>
    <s v="Menlo INV0003103"/>
    <x v="1"/>
    <n v="0"/>
    <m/>
    <d v="2026-01-29T00:00:00"/>
    <m/>
  </r>
  <r>
    <n v="1"/>
    <x v="1"/>
    <s v="Spare"/>
    <n v="8"/>
    <n v="1202.8"/>
    <n v="8660.16"/>
    <m/>
    <s v="Menlo INV0003103"/>
    <x v="1"/>
    <n v="9520.7993308744099"/>
    <m/>
    <d v="2026-01-29T00:00:00"/>
    <m/>
  </r>
  <r>
    <n v="1"/>
    <x v="1"/>
    <s v="Extra Pallet"/>
    <n v="1"/>
    <n v="43292.88"/>
    <n v="43292.88"/>
    <m/>
    <s v="Menlo INV0003160"/>
    <x v="3"/>
    <n v="0"/>
    <m/>
    <d v="2025-10-16T00:00:00"/>
    <m/>
  </r>
  <r>
    <n v="1"/>
    <x v="1"/>
    <s v="Extra Pallet"/>
    <n v="1"/>
    <n v="-43292.88"/>
    <n v="-43292.88"/>
    <m/>
    <s v="MSA Energy: CRN0000262"/>
    <x v="4"/>
    <n v="0"/>
    <m/>
    <d v="2026-01-29T00:00:00"/>
    <m/>
  </r>
  <r>
    <m/>
    <x v="0"/>
    <m/>
    <m/>
    <m/>
    <m/>
    <m/>
    <m/>
    <x v="2"/>
    <m/>
    <m/>
    <m/>
    <m/>
  </r>
  <r>
    <n v="2"/>
    <x v="2"/>
    <s v="Huawei 330KTL - Deposit 30%"/>
    <n v="23"/>
    <n v="108018.0759"/>
    <n v="745324.72370999993"/>
    <s v="PO3991-CSPH2-20250610 - JP Approved"/>
    <s v="Kathea S19625"/>
    <x v="1"/>
    <n v="886426.77283851232"/>
    <n v="-2.8844410553574562E-4"/>
    <d v="2025-06-12T00:00:00"/>
    <n v="2495176.22371"/>
  </r>
  <r>
    <n v="2"/>
    <x v="2"/>
    <s v="Huawei 330KTL - Balance 70%"/>
    <m/>
    <m/>
    <n v="1749851.5"/>
    <m/>
    <s v="Kathea - 519704"/>
    <x v="1"/>
    <n v="2081126.7475076499"/>
    <m/>
    <d v="2025-07-17T00:00:00"/>
    <m/>
  </r>
  <r>
    <n v="2"/>
    <x v="2"/>
    <m/>
    <m/>
    <m/>
    <m/>
    <m/>
    <m/>
    <x v="2"/>
    <n v="0"/>
    <m/>
    <m/>
    <m/>
  </r>
  <r>
    <n v="2"/>
    <x v="2"/>
    <m/>
    <m/>
    <m/>
    <m/>
    <m/>
    <m/>
    <x v="3"/>
    <n v="14917.189999999999"/>
    <m/>
    <d v="2025-06-12T00:00:00"/>
    <m/>
  </r>
  <r>
    <n v="2"/>
    <x v="2"/>
    <s v="Huawei SUN2000 HAV5-Inverter Accessories - 330KTL Inverters "/>
    <m/>
    <m/>
    <n v="899.72"/>
    <m/>
    <s v="Kathea - 500335"/>
    <x v="5"/>
    <n v="0"/>
    <m/>
    <d v="2026-02-05T00:00:00"/>
    <m/>
  </r>
  <r>
    <n v="2"/>
    <x v="2"/>
    <m/>
    <m/>
    <m/>
    <n v="-899.72"/>
    <m/>
    <s v="Kathea - 500335"/>
    <x v="6"/>
    <n v="0"/>
    <m/>
    <d v="2026-01-31T00:00:00"/>
    <m/>
  </r>
  <r>
    <n v="2"/>
    <x v="2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3"/>
    <x v="3"/>
    <s v="IBR short rail - Rooftop"/>
    <n v="19830"/>
    <n v="22.88"/>
    <n v="453710.39999999997"/>
    <s v="PO3994-CSPH2-20260610 - RV Approved"/>
    <s v="Schletter - INV1895"/>
    <x v="7"/>
    <n v="870407.92269117013"/>
    <n v="0"/>
    <d v="2025-07-29T00:00:00"/>
    <n v="4071044.26"/>
  </r>
  <r>
    <n v="3"/>
    <x v="3"/>
    <s v="Screws - Rooftop"/>
    <n v="39660"/>
    <n v="5.87"/>
    <n v="232804.2"/>
    <m/>
    <s v="Schletter - INV1895"/>
    <x v="7"/>
    <n v="446616.65263961267"/>
    <m/>
    <d v="2025-07-29T00:00:00"/>
    <m/>
  </r>
  <r>
    <n v="3"/>
    <x v="3"/>
    <s v="Inner Clamp - 30mm - Rooftop"/>
    <n v="18030"/>
    <n v="10.64"/>
    <n v="197183"/>
    <m/>
    <s v="Schletter - INV1895"/>
    <x v="7"/>
    <n v="378280.16598255851"/>
    <m/>
    <d v="2025-07-29T00:00:00"/>
    <m/>
  </r>
  <r>
    <n v="3"/>
    <x v="3"/>
    <s v="End Clamp - 30mm - Rooftop"/>
    <n v="1820"/>
    <n v="10.96"/>
    <n v="20391.2"/>
    <m/>
    <s v="Schletter - INV1895"/>
    <x v="7"/>
    <n v="39118.922628135013"/>
    <m/>
    <d v="2025-07-29T00:00:00"/>
    <m/>
  </r>
  <r>
    <n v="3"/>
    <x v="3"/>
    <m/>
    <m/>
    <m/>
    <m/>
    <m/>
    <m/>
    <x v="0"/>
    <n v="0"/>
    <m/>
    <m/>
    <m/>
  </r>
  <r>
    <n v="3"/>
    <x v="3"/>
    <s v="IBR Mounting clamps - Cable Trays"/>
    <n v="1983"/>
    <n v="22.88"/>
    <n v="45371.040000000001"/>
    <m/>
    <s v="Schletter - INV1895"/>
    <x v="7"/>
    <n v="87040.79226911701"/>
    <m/>
    <d v="2025-07-29T00:00:00"/>
    <m/>
  </r>
  <r>
    <n v="3"/>
    <x v="3"/>
    <s v="Screws - Cable Trays"/>
    <n v="3966"/>
    <n v="5.87"/>
    <n v="23280.420000000002"/>
    <m/>
    <s v="Schletter - INV1895"/>
    <x v="7"/>
    <n v="44661.665263961266"/>
    <m/>
    <d v="2025-07-29T00:00:00"/>
    <m/>
  </r>
  <r>
    <n v="3"/>
    <x v="3"/>
    <m/>
    <m/>
    <m/>
    <m/>
    <m/>
    <m/>
    <x v="0"/>
    <n v="0"/>
    <m/>
    <m/>
    <m/>
  </r>
  <r>
    <n v="3"/>
    <x v="3"/>
    <s v="Freight Charges"/>
    <m/>
    <m/>
    <n v="17564"/>
    <m/>
    <s v="Schletter - INV1895"/>
    <x v="7"/>
    <n v="33695.16051240552"/>
    <m/>
    <d v="2025-07-29T00:00:00"/>
    <m/>
  </r>
  <r>
    <n v="3"/>
    <x v="3"/>
    <m/>
    <m/>
    <m/>
    <m/>
    <m/>
    <m/>
    <x v="0"/>
    <n v="0"/>
    <m/>
    <d v="2025-09-30T00:00:00"/>
    <m/>
  </r>
  <r>
    <n v="3"/>
    <x v="3"/>
    <m/>
    <m/>
    <m/>
    <m/>
    <m/>
    <m/>
    <x v="0"/>
    <n v="0"/>
    <m/>
    <d v="2025-09-30T00:00:00"/>
    <m/>
  </r>
  <r>
    <n v="3"/>
    <x v="3"/>
    <m/>
    <m/>
    <m/>
    <m/>
    <m/>
    <m/>
    <x v="2"/>
    <n v="0"/>
    <m/>
    <m/>
    <m/>
  </r>
  <r>
    <n v="3"/>
    <x v="3"/>
    <s v="Ground mount - Deposit"/>
    <n v="3169.44"/>
    <n v="0.97201398354283397"/>
    <n v="1540370"/>
    <s v="PO3992-CSPH2-20250610 - RV Approved"/>
    <s v="Schletter : INV1887"/>
    <x v="3"/>
    <n v="2955079.389574931"/>
    <m/>
    <d v="2025-06-19T00:00:00"/>
    <m/>
  </r>
  <r>
    <n v="3"/>
    <x v="3"/>
    <s v="Ground mount - Balance"/>
    <m/>
    <m/>
    <n v="1540370"/>
    <m/>
    <s v="Schletter: INV2113"/>
    <x v="3"/>
    <n v="2955079.389574931"/>
    <m/>
    <d v="2025-09-30T00:00:00"/>
    <m/>
  </r>
  <r>
    <n v="3"/>
    <x v="3"/>
    <m/>
    <m/>
    <m/>
    <n v="-1540370"/>
    <m/>
    <s v="Schletter - CRN0271"/>
    <x v="8"/>
    <n v="0"/>
    <m/>
    <d v="2025-09-30T00:00:00"/>
    <m/>
  </r>
  <r>
    <n v="3"/>
    <x v="3"/>
    <m/>
    <m/>
    <m/>
    <n v="-1540370"/>
    <m/>
    <s v="Schletter - CRN0272"/>
    <x v="8"/>
    <n v="0"/>
    <m/>
    <d v="2025-09-30T00:00:00"/>
    <m/>
  </r>
  <r>
    <n v="3"/>
    <x v="3"/>
    <m/>
    <m/>
    <m/>
    <n v="3006740"/>
    <m/>
    <s v="Schletter - INV2231"/>
    <x v="8"/>
    <n v="0"/>
    <m/>
    <d v="2025-09-30T00:00:00"/>
    <m/>
  </r>
  <r>
    <n v="3"/>
    <x v="3"/>
    <s v="Engineering Signoff - deposit"/>
    <m/>
    <m/>
    <n v="37000"/>
    <m/>
    <s v="Schletter : INV1887"/>
    <x v="7"/>
    <n v="70981.606636244833"/>
    <m/>
    <d v="2025-06-19T00:00:00"/>
    <m/>
  </r>
  <r>
    <n v="3"/>
    <x v="3"/>
    <s v="Engineering Signoff - balance"/>
    <m/>
    <m/>
    <n v="37000"/>
    <m/>
    <s v="Schletter: INV2113"/>
    <x v="3"/>
    <n v="70981.606636244833"/>
    <m/>
    <d v="2025-09-30T00:00:00"/>
    <m/>
  </r>
  <r>
    <m/>
    <x v="0"/>
    <m/>
    <m/>
    <m/>
    <m/>
    <m/>
    <m/>
    <x v="2"/>
    <m/>
    <m/>
    <m/>
    <m/>
  </r>
  <r>
    <n v="4"/>
    <x v="4"/>
    <s v="DC Cable Budget"/>
    <n v="24000"/>
    <n v="0"/>
    <n v="0"/>
    <m/>
    <m/>
    <x v="0"/>
    <n v="0"/>
    <n v="-4.7537833452224731E-3"/>
    <m/>
    <n v="3329187"/>
  </r>
  <r>
    <n v="4"/>
    <x v="4"/>
    <s v="DC Cable - Balance to be delivered"/>
    <n v="0.1"/>
    <n v="2376000"/>
    <n v="237600"/>
    <s v="PO3993-CSPH2-20260610 - RV Approved"/>
    <s v="Menlo INV0003003"/>
    <x v="7"/>
    <n v="465334.01673059782"/>
    <m/>
    <d v="2025-09-01T00:00:00"/>
    <m/>
  </r>
  <r>
    <n v="4"/>
    <x v="4"/>
    <s v="DC Cable"/>
    <n v="0.9"/>
    <m/>
    <n v="2138400"/>
    <m/>
    <s v="Menlo INV0003047"/>
    <x v="7"/>
    <n v="4188006.1505753803"/>
    <m/>
    <d v="2025-09-01T00:00:00"/>
    <m/>
  </r>
  <r>
    <n v="4"/>
    <x v="4"/>
    <s v="Jinko Connectors - Male"/>
    <n v="500"/>
    <n v="13"/>
    <n v="6500"/>
    <s v="PO4154-COEGA-20250723 - RV Approved"/>
    <s v="Menlo INV0003096"/>
    <x v="1"/>
    <n v="13627.717212616306"/>
    <m/>
    <d v="2025-09-25T00:00:00"/>
    <m/>
  </r>
  <r>
    <n v="4"/>
    <x v="4"/>
    <s v="Jinko Connectors - Female"/>
    <n v="500"/>
    <n v="13"/>
    <n v="6500"/>
    <m/>
    <s v="Menlo INV0003096"/>
    <x v="1"/>
    <n v="13627.717212616306"/>
    <m/>
    <d v="2025-09-25T00:00:00"/>
    <m/>
  </r>
  <r>
    <n v="4"/>
    <x v="4"/>
    <m/>
    <m/>
    <m/>
    <m/>
    <m/>
    <m/>
    <x v="2"/>
    <n v="0"/>
    <m/>
    <m/>
    <m/>
  </r>
  <r>
    <n v="4"/>
    <x v="4"/>
    <s v="DC Cable Trays - As Per BOQ"/>
    <m/>
    <m/>
    <n v="370187"/>
    <s v="PO4126-CSPH2-20250716 - RV Approved"/>
    <s v="Advanced Strut INV IN152953"/>
    <x v="1"/>
    <n v="1724074.1776282564"/>
    <m/>
    <d v="2025-09-04T00:00:00"/>
    <m/>
  </r>
  <r>
    <n v="4"/>
    <x v="4"/>
    <m/>
    <m/>
    <m/>
    <m/>
    <m/>
    <m/>
    <x v="0"/>
    <n v="0"/>
    <m/>
    <m/>
    <m/>
  </r>
  <r>
    <n v="4"/>
    <x v="4"/>
    <m/>
    <m/>
    <m/>
    <m/>
    <m/>
    <m/>
    <x v="3"/>
    <n v="1117518.18"/>
    <m/>
    <d v="2025-08-31T00:00:00"/>
    <m/>
  </r>
  <r>
    <n v="4"/>
    <x v="4"/>
    <m/>
    <m/>
    <m/>
    <m/>
    <m/>
    <m/>
    <x v="2"/>
    <n v="0"/>
    <m/>
    <m/>
    <m/>
  </r>
  <r>
    <n v="4"/>
    <x v="4"/>
    <m/>
    <m/>
    <m/>
    <m/>
    <m/>
    <m/>
    <x v="0"/>
    <n v="0"/>
    <m/>
    <m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s v="Project Kick Off - Rooftop"/>
    <n v="275000"/>
    <n v="0.5"/>
    <n v="137500"/>
    <s v="PO4029-CSPH2-20250624 - RV Approved"/>
    <s v="Luken Solar Inv: 0654"/>
    <x v="7"/>
    <n v="269290.51894131815"/>
    <m/>
    <d v="2025-06-26T00:00:00"/>
    <m/>
  </r>
  <r>
    <n v="4"/>
    <x v="4"/>
    <s v="DC Equipment Onsite - Rooftop"/>
    <m/>
    <n v="0.4"/>
    <n v="110000"/>
    <m/>
    <s v="Luken Solar Inv: 0660"/>
    <x v="1"/>
    <n v="230622.90667504517"/>
    <m/>
    <d v="2025-09-10T00:00:00"/>
    <m/>
  </r>
  <r>
    <n v="4"/>
    <x v="4"/>
    <s v="End of Defects Period - Rooftop"/>
    <m/>
    <n v="0.1"/>
    <n v="27500"/>
    <m/>
    <s v="Luken Solar Inv 0665"/>
    <x v="3"/>
    <n v="71925.973060766104"/>
    <m/>
    <d v="2026-03-19T00:00:00"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s v="Project Kick Off - Ground Mount"/>
    <n v="295000"/>
    <n v="0.5"/>
    <n v="147500"/>
    <m/>
    <s v="Luken Solar Inv: 0654"/>
    <x v="7"/>
    <n v="288875.28395523224"/>
    <m/>
    <d v="2025-06-26T00:00:00"/>
    <m/>
  </r>
  <r>
    <n v="4"/>
    <x v="4"/>
    <s v="DC Equipment Onsite - Ground Mount"/>
    <m/>
    <n v="0.4"/>
    <n v="118000"/>
    <m/>
    <s v="Luken Solar Inv: 0660"/>
    <x v="1"/>
    <n v="247395.48170595756"/>
    <m/>
    <d v="2025-09-10T00:00:00"/>
    <m/>
  </r>
  <r>
    <n v="4"/>
    <x v="4"/>
    <s v="End of Defects Period - Ground Mount"/>
    <m/>
    <n v="0.1"/>
    <n v="29500"/>
    <m/>
    <s v="Luken Solar Inv 0665"/>
    <x v="3"/>
    <n v="77156.952919730917"/>
    <m/>
    <d v="2026-03-19T00:00:00"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5"/>
    <x v="5"/>
    <s v="Metering Budget"/>
    <m/>
    <m/>
    <m/>
    <m/>
    <m/>
    <x v="0"/>
    <n v="0"/>
    <n v="-4.6094557400065241"/>
    <m/>
    <n v="241577.30000000002"/>
  </r>
  <r>
    <n v="5"/>
    <x v="5"/>
    <s v="Janitza UMG604 pro"/>
    <n v="1"/>
    <m/>
    <n v="19205.5"/>
    <s v="PO4129-CSPH2-2020717 - RV Approved"/>
    <s v="Harmonious Technical - QU100635"/>
    <x v="1"/>
    <n v="3006.8451525953706"/>
    <m/>
    <d v="2025-07-24T00:00:00"/>
    <m/>
  </r>
  <r>
    <n v="5"/>
    <x v="5"/>
    <s v="Delivery of Janitza"/>
    <m/>
    <m/>
    <n v="264.26"/>
    <m/>
    <s v="DSV Inv: 180140895"/>
    <x v="1"/>
    <n v="41.372986906086929"/>
    <m/>
    <d v="2025-08-31T00:00:00"/>
    <m/>
  </r>
  <r>
    <n v="5"/>
    <x v="5"/>
    <s v="Techsitter"/>
    <n v="1"/>
    <m/>
    <n v="11169"/>
    <m/>
    <s v="Matriarch - INV-4999"/>
    <x v="3"/>
    <n v="26948.87"/>
    <m/>
    <d v="2025-08-31T00:00:00"/>
    <m/>
  </r>
  <r>
    <n v="5"/>
    <x v="5"/>
    <s v="Delivery of Techsitter"/>
    <m/>
    <m/>
    <n v="175.56"/>
    <m/>
    <s v="DSV Inv: 180140895"/>
    <x v="1"/>
    <n v="27.48596677981012"/>
    <m/>
    <d v="2025-08-31T00:00:00"/>
    <m/>
  </r>
  <r>
    <n v="5"/>
    <x v="5"/>
    <s v="Encombi controller complete kit"/>
    <n v="1"/>
    <m/>
    <n v="95374"/>
    <s v="PO4128-CSPH2-20250717 - RV Approved"/>
    <s v="Kathea Inv: 519753 + 519759 + 519762"/>
    <x v="1"/>
    <n v="14931.912711651916"/>
    <m/>
    <d v="2025-09-30T00:00:00"/>
    <m/>
  </r>
  <r>
    <n v="5"/>
    <x v="5"/>
    <s v="Router and CTs"/>
    <m/>
    <m/>
    <n v="15921"/>
    <s v="PO4125-COEG-20250716 - RV Approved"/>
    <s v="AccuEnergy - ASAI-005973"/>
    <x v="1"/>
    <n v="2492.6183475812081"/>
    <m/>
    <d v="2025-08-30T00:00:00"/>
    <m/>
  </r>
  <r>
    <n v="5"/>
    <x v="5"/>
    <s v="Optic Fiber Installation"/>
    <m/>
    <m/>
    <n v="83760"/>
    <s v="PO4506-CSPH2-20251128 - RV Approve"/>
    <s v="Paul van Vuuren Inv: IOG090"/>
    <x v="5"/>
    <n v="17237.103282812757"/>
    <m/>
    <d v="2026-01-15T00:00:00"/>
    <m/>
  </r>
  <r>
    <n v="5"/>
    <x v="5"/>
    <m/>
    <m/>
    <m/>
    <n v="-1980"/>
    <m/>
    <s v="Paul van Vuuren - CN000217"/>
    <x v="6"/>
    <m/>
    <m/>
    <d v="2026-01-31T00:00:00"/>
    <m/>
  </r>
  <r>
    <n v="5"/>
    <x v="5"/>
    <s v="Meanwell MDR-100-24"/>
    <n v="1"/>
    <m/>
    <n v="1060"/>
    <s v="PO4259-CSHP2-20250821 - RV Approved"/>
    <s v="Mantech INV1078143"/>
    <x v="8"/>
    <n v="335.81690215918718"/>
    <m/>
    <d v="2025-09-04T00:00:00"/>
    <m/>
  </r>
  <r>
    <n v="5"/>
    <x v="5"/>
    <m/>
    <m/>
    <m/>
    <m/>
    <m/>
    <m/>
    <x v="0"/>
    <n v="0"/>
    <m/>
    <m/>
    <m/>
  </r>
  <r>
    <n v="5"/>
    <x v="5"/>
    <s v="Techsitter - Ground Mount"/>
    <m/>
    <m/>
    <n v="11169"/>
    <m/>
    <s v="Matriarch - INV-5207"/>
    <x v="9"/>
    <n v="3469.3217718440114"/>
    <m/>
    <d v="2025-11-13T00:00:00"/>
    <m/>
  </r>
  <r>
    <n v="5"/>
    <x v="5"/>
    <s v="Delivery of Techsitter"/>
    <m/>
    <m/>
    <n v="308.98"/>
    <m/>
    <s v="DSV Inv: 180150385"/>
    <x v="9"/>
    <n v="97.749104563019316"/>
    <m/>
    <d v="2025-11-30T00:00:00"/>
    <m/>
  </r>
  <r>
    <n v="5"/>
    <x v="5"/>
    <s v="Supply &amp; Delivery - Mode Duplex Fibre Modules "/>
    <m/>
    <m/>
    <n v="1980"/>
    <m/>
    <s v="Paul Van Vuuren - IOG122"/>
    <x v="6"/>
    <n v="566.83433163430323"/>
    <m/>
    <d v="2026-02-05T00:00:00"/>
    <m/>
  </r>
  <r>
    <n v="5"/>
    <x v="5"/>
    <s v="AcuRev Energy Meter"/>
    <m/>
    <m/>
    <n v="3170"/>
    <m/>
    <s v="AccuEnergy - ASAI-007302"/>
    <x v="6"/>
    <n v="7.42"/>
    <m/>
    <d v="2026-02-28T00:00:00"/>
    <m/>
  </r>
  <r>
    <n v="5"/>
    <x v="5"/>
    <m/>
    <m/>
    <m/>
    <m/>
    <m/>
    <m/>
    <x v="2"/>
    <n v="0"/>
    <m/>
    <m/>
    <m/>
  </r>
  <r>
    <n v="5"/>
    <x v="5"/>
    <m/>
    <m/>
    <m/>
    <m/>
    <m/>
    <m/>
    <x v="2"/>
    <n v="0"/>
    <m/>
    <m/>
    <m/>
  </r>
  <r>
    <n v="5"/>
    <x v="5"/>
    <m/>
    <m/>
    <m/>
    <m/>
    <m/>
    <m/>
    <x v="2"/>
    <n v="0"/>
    <m/>
    <m/>
    <m/>
  </r>
  <r>
    <n v="5"/>
    <x v="5"/>
    <m/>
    <m/>
    <m/>
    <m/>
    <m/>
    <m/>
    <x v="2"/>
    <n v="0"/>
    <m/>
    <m/>
    <m/>
  </r>
  <r>
    <n v="5"/>
    <x v="5"/>
    <m/>
    <m/>
    <m/>
    <m/>
    <m/>
    <m/>
    <x v="2"/>
    <n v="0"/>
    <m/>
    <m/>
    <m/>
  </r>
  <r>
    <n v="5"/>
    <x v="5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6"/>
    <x v="6"/>
    <m/>
    <m/>
    <m/>
    <m/>
    <m/>
    <m/>
    <x v="0"/>
    <n v="0"/>
    <n v="2.9870779253542423E-3"/>
    <m/>
    <n v="2401487"/>
  </r>
  <r>
    <n v="6"/>
    <x v="6"/>
    <s v="MCCB Boards"/>
    <m/>
    <n v="27122.75"/>
    <n v="542455"/>
    <s v="PO4115-COEG-20250710 - RV Approved"/>
    <s v="Eastern Switchgear: 16889"/>
    <x v="1"/>
    <n v="819376.53083841596"/>
    <m/>
    <d v="2025-09-01T00:00:00"/>
    <m/>
  </r>
  <r>
    <n v="6"/>
    <x v="6"/>
    <m/>
    <m/>
    <m/>
    <m/>
    <m/>
    <m/>
    <x v="0"/>
    <m/>
    <m/>
    <m/>
    <m/>
  </r>
  <r>
    <n v="6"/>
    <x v="6"/>
    <s v="LV Cable"/>
    <m/>
    <m/>
    <n v="111600"/>
    <m/>
    <s v="Herholdts - INV1198397"/>
    <x v="5"/>
    <m/>
    <m/>
    <d v="2026-01-29T00:00:00"/>
    <m/>
  </r>
  <r>
    <n v="6"/>
    <x v="6"/>
    <s v="Contigency"/>
    <m/>
    <m/>
    <m/>
    <m/>
    <m/>
    <x v="3"/>
    <n v="720273.72"/>
    <m/>
    <m/>
    <m/>
  </r>
  <r>
    <n v="6"/>
    <x v="6"/>
    <m/>
    <m/>
    <m/>
    <m/>
    <m/>
    <m/>
    <x v="0"/>
    <m/>
    <m/>
    <m/>
    <m/>
  </r>
  <r>
    <n v="6"/>
    <x v="6"/>
    <s v="AC - LV/MV/Earthing Cable"/>
    <m/>
    <n v="1126388"/>
    <n v="602839"/>
    <s v="PO4131-CSPH2-20250717 - RV Approved"/>
    <s v="ARB : PLZ-3079494"/>
    <x v="1"/>
    <n v="586595.33735154092"/>
    <m/>
    <d v="2025-08-31T00:00:00"/>
    <m/>
  </r>
  <r>
    <n v="6"/>
    <x v="6"/>
    <s v="AC - LV/MV/Earthing Cable - Delivery 1"/>
    <m/>
    <m/>
    <n v="517469.18"/>
    <m/>
    <s v="ARB : PLZ-3079420"/>
    <x v="1"/>
    <n v="460970.25062994479"/>
    <m/>
    <d v="2025-08-31T00:00:00"/>
    <m/>
  </r>
  <r>
    <n v="6"/>
    <x v="6"/>
    <s v="AC - LV/MV/Earthing Cable - Delivery 2"/>
    <m/>
    <m/>
    <n v="6079.82"/>
    <m/>
    <s v="ARB: PLZ-3079501"/>
    <x v="1"/>
    <n v="5915.9975780210725"/>
    <m/>
    <d v="2025-08-31T00:00:00"/>
    <m/>
  </r>
  <r>
    <n v="6"/>
    <x v="6"/>
    <m/>
    <m/>
    <m/>
    <m/>
    <m/>
    <m/>
    <x v="0"/>
    <m/>
    <m/>
    <m/>
    <m/>
  </r>
  <r>
    <n v="6"/>
    <x v="6"/>
    <s v="AC Cable Trays"/>
    <m/>
    <m/>
    <n v="51044"/>
    <m/>
    <s v="Advanced Strut INV56863"/>
    <x v="4"/>
    <s v="-"/>
    <m/>
    <d v="2026-01-07T00:00:00"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s v="Project Kick Off - Rooftop"/>
    <n v="275000"/>
    <n v="0.5"/>
    <n v="137500"/>
    <s v="PO4029-CSPH2-20250624 - RV Approved"/>
    <s v="Luken Solar Inv: 0654"/>
    <x v="7"/>
    <n v="136570.21466011828"/>
    <m/>
    <d v="2025-06-26T00:00:00"/>
    <m/>
  </r>
  <r>
    <n v="6"/>
    <x v="6"/>
    <s v="AC Equipment Onsite - Rooftop"/>
    <m/>
    <n v="0.4"/>
    <n v="110000"/>
    <m/>
    <s v="Luken Solar Inv: 0660"/>
    <x v="1"/>
    <n v="107036.01974767643"/>
    <m/>
    <d v="2025-09-10T00:00:00"/>
    <m/>
  </r>
  <r>
    <n v="6"/>
    <x v="6"/>
    <s v="End of Defects Period - Rooftop"/>
    <m/>
    <n v="0.1"/>
    <n v="27500"/>
    <m/>
    <s v="Luken Solar Inv 0665"/>
    <x v="3"/>
    <n v="39048.034594758567"/>
    <m/>
    <d v="2026-03-19T00:00:00"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s v="Project Kick Off - Ground Mount"/>
    <n v="295000"/>
    <n v="0.5"/>
    <n v="147500"/>
    <m/>
    <s v="Luken Solar Inv: 0654"/>
    <x v="7"/>
    <n v="146502.59390812687"/>
    <m/>
    <d v="2025-06-26T00:00:00"/>
    <m/>
  </r>
  <r>
    <n v="6"/>
    <x v="6"/>
    <s v="AC Equipment Onsite - Ground Mount"/>
    <m/>
    <n v="0.4"/>
    <n v="118000"/>
    <m/>
    <s v="Luken Solar Inv: 0660"/>
    <x v="1"/>
    <n v="114820.45754750744"/>
    <m/>
    <d v="2025-09-10T00:00:00"/>
    <m/>
  </r>
  <r>
    <n v="6"/>
    <x v="6"/>
    <s v="End of Defects Period - Ground Mount"/>
    <m/>
    <n v="0.1"/>
    <n v="29500"/>
    <m/>
    <s v="Luken Solar Inv 0665"/>
    <x v="3"/>
    <n v="41887.891656195548"/>
    <m/>
    <d v="2026-03-19T00:00:00"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7"/>
    <x v="7"/>
    <s v="Huawei String Inverter Warranty Extensions to 10 years"/>
    <n v="0.3"/>
    <n v="580994.92782799993"/>
    <n v="174298.47834839998"/>
    <s v="PO3991-CSPH2-20250610 - JP Approved"/>
    <s v="Kathea S19625"/>
    <x v="3"/>
    <n v="312323.78861163039"/>
    <n v="7.3705613613128662E-4"/>
    <d v="2025-06-12T00:00:00"/>
    <n v="7046627.6127361013"/>
  </r>
  <r>
    <n v="7"/>
    <x v="7"/>
    <s v="Huawei String Inverter Warranty Extensions to 10 years"/>
    <n v="0.7"/>
    <m/>
    <n v="408046.32"/>
    <m/>
    <s v="Kathea 500008"/>
    <x v="3"/>
    <n v="731174.32693068369"/>
    <m/>
    <d v="2025-10-30T00:00:00"/>
    <m/>
  </r>
  <r>
    <n v="7"/>
    <x v="7"/>
    <m/>
    <m/>
    <m/>
    <m/>
    <m/>
    <m/>
    <x v="2"/>
    <n v="0"/>
    <m/>
    <m/>
    <m/>
  </r>
  <r>
    <n v="7"/>
    <x v="7"/>
    <s v="Huawei Smart Transformers - 6MVA 0.8/22kV - Deposit"/>
    <n v="0.3"/>
    <n v="2874051.1597769996"/>
    <n v="862215.34793309984"/>
    <m/>
    <s v="Kathea S19625"/>
    <x v="4"/>
    <n v="1549556.8624156141"/>
    <m/>
    <d v="2025-06-12T00:00:00"/>
    <m/>
  </r>
  <r>
    <n v="7"/>
    <x v="7"/>
    <s v="Huawei Smart Transformers - 6MVA 0.8/22kV - Balance"/>
    <n v="0.7"/>
    <m/>
    <n v="2011835.8118438995"/>
    <m/>
    <s v="Kathea 500247"/>
    <x v="4"/>
    <n v="3615632.678969766"/>
    <m/>
    <d v="2025-11-27T00:00:00"/>
    <m/>
  </r>
  <r>
    <n v="7"/>
    <x v="7"/>
    <s v="6MVA 0.8/22kV - Warranty Extension 5 Years - Deposit"/>
    <n v="0.3"/>
    <n v="247862.000008"/>
    <n v="74358.600002399995"/>
    <m/>
    <s v="Kathea S19625"/>
    <x v="4"/>
    <n v="133635.84769112332"/>
    <m/>
    <d v="2025-06-12T00:00:00"/>
    <m/>
  </r>
  <r>
    <n v="7"/>
    <x v="7"/>
    <s v="6MVA 0.8/22kV - Warranty Extension 5 Years - Balance"/>
    <n v="0.7"/>
    <m/>
    <n v="173503.40000559998"/>
    <m/>
    <s v="Kathea 500247"/>
    <x v="4"/>
    <n v="311816.97794595436"/>
    <m/>
    <d v="2025-11-27T00:00:00"/>
    <m/>
  </r>
  <r>
    <n v="7"/>
    <x v="7"/>
    <m/>
    <m/>
    <m/>
    <m/>
    <m/>
    <m/>
    <x v="2"/>
    <n v="0"/>
    <m/>
    <m/>
    <m/>
  </r>
  <r>
    <n v="7"/>
    <x v="7"/>
    <s v="Huawei Smart Transformers - 3MVA 0.8/22kV - Deposit"/>
    <n v="0.3"/>
    <n v="2317723.4647769998"/>
    <n v="695317.03943309991"/>
    <m/>
    <s v="Kathea S19625"/>
    <x v="4"/>
    <n v="1252691.1980570836"/>
    <m/>
    <d v="2025-06-12T00:00:00"/>
    <m/>
  </r>
  <r>
    <n v="7"/>
    <x v="7"/>
    <s v="Huawei Smart Transformers - 3MVA 0.8/22kV - Balance"/>
    <n v="0.7"/>
    <m/>
    <n v="1622406.4253438998"/>
    <m/>
    <s v="Kathea 500247"/>
    <x v="4"/>
    <n v="2915757.6654665284"/>
    <m/>
    <d v="2025-11-27T00:00:00"/>
    <m/>
  </r>
  <r>
    <n v="7"/>
    <x v="7"/>
    <s v="3MVA 0.8/22kV - Warranty Extension 5 Years - Deposit"/>
    <n v="0.3"/>
    <n v="192585.74162099999"/>
    <n v="57775.722486299994"/>
    <m/>
    <s v="Kathea S19625"/>
    <x v="4"/>
    <n v="103833.41873266298"/>
    <m/>
    <d v="2025-06-12T00:00:00"/>
    <m/>
  </r>
  <r>
    <n v="7"/>
    <x v="7"/>
    <s v="3MVA 0.8/22kV - Warranty Extension 5 Years - Balance"/>
    <n v="0.7"/>
    <m/>
    <n v="134810.01913469998"/>
    <m/>
    <s v="Kathea 500247"/>
    <x v="4"/>
    <n v="242277.97704288029"/>
    <m/>
    <d v="2025-11-27T00:00:00"/>
    <m/>
  </r>
  <r>
    <n v="7"/>
    <x v="7"/>
    <m/>
    <m/>
    <m/>
    <m/>
    <m/>
    <m/>
    <x v="2"/>
    <n v="0"/>
    <m/>
    <m/>
    <m/>
  </r>
  <r>
    <n v="7"/>
    <x v="7"/>
    <s v="Inverter Assecories with Spares"/>
    <n v="0.3"/>
    <n v="242310.08030600002"/>
    <n v="72693.024091800005"/>
    <m/>
    <s v="Kathea S19625"/>
    <x v="4"/>
    <n v="130642.50665592682"/>
    <m/>
    <d v="2025-06-12T00:00:00"/>
    <m/>
  </r>
  <r>
    <n v="7"/>
    <x v="7"/>
    <s v="Transformer Assecories with Spares"/>
    <n v="0.7"/>
    <m/>
    <n v="169617.05621420001"/>
    <m/>
    <s v="Kathea 500247"/>
    <x v="4"/>
    <n v="304832.51553049596"/>
    <m/>
    <d v="2025-11-27T00:00:00"/>
    <m/>
  </r>
  <r>
    <n v="7"/>
    <x v="7"/>
    <m/>
    <m/>
    <m/>
    <m/>
    <m/>
    <m/>
    <x v="2"/>
    <n v="0"/>
    <m/>
    <m/>
    <m/>
  </r>
  <r>
    <n v="7"/>
    <x v="7"/>
    <s v="Transformer UPS - Deposit"/>
    <n v="0.3"/>
    <n v="91404.551560000007"/>
    <n v="27421.365468"/>
    <m/>
    <s v="Kathea S19625"/>
    <x v="4"/>
    <n v="49281.151326759806"/>
    <m/>
    <d v="2025-06-12T00:00:00"/>
    <m/>
  </r>
  <r>
    <n v="7"/>
    <x v="7"/>
    <s v="Transformer UPS - Balance"/>
    <n v="0.7"/>
    <m/>
    <n v="63983.186092000004"/>
    <m/>
    <s v="Kathea 500247"/>
    <x v="4"/>
    <n v="114989.35309577289"/>
    <m/>
    <d v="2025-11-27T00:00:00"/>
    <m/>
  </r>
  <r>
    <n v="7"/>
    <x v="7"/>
    <m/>
    <m/>
    <m/>
    <m/>
    <m/>
    <m/>
    <x v="2"/>
    <n v="0"/>
    <m/>
    <m/>
    <m/>
  </r>
  <r>
    <n v="7"/>
    <x v="7"/>
    <s v="Commissioning Services - Deposit - Kathea"/>
    <n v="0.3"/>
    <n v="519149.92112900002"/>
    <n v="159507.76633870002"/>
    <m/>
    <s v="Kathea S19625"/>
    <x v="4"/>
    <n v="286664.29393912485"/>
    <m/>
    <d v="2025-06-12T00:00:00"/>
    <m/>
  </r>
  <r>
    <n v="7"/>
    <x v="7"/>
    <s v="Commissioning Services - Balance - Kathea"/>
    <n v="0.7"/>
    <m/>
    <n v="338838.05"/>
    <m/>
    <s v="Kathea 500247"/>
    <x v="4"/>
    <n v="608953.23527198925"/>
    <m/>
    <d v="2025-11-27T00:00:00"/>
    <m/>
  </r>
  <r>
    <n v="7"/>
    <x v="7"/>
    <m/>
    <m/>
    <m/>
    <m/>
    <m/>
    <m/>
    <x v="2"/>
    <n v="0"/>
    <m/>
    <m/>
    <m/>
  </r>
  <r>
    <n v="7"/>
    <x v="7"/>
    <m/>
    <m/>
    <m/>
    <m/>
    <m/>
    <m/>
    <x v="2"/>
    <n v="0"/>
    <m/>
    <m/>
    <m/>
  </r>
  <r>
    <n v="7"/>
    <x v="7"/>
    <m/>
    <m/>
    <m/>
    <m/>
    <m/>
    <m/>
    <x v="0"/>
    <n v="0"/>
    <m/>
    <m/>
    <m/>
  </r>
  <r>
    <n v="7"/>
    <x v="7"/>
    <m/>
    <m/>
    <m/>
    <m/>
    <m/>
    <m/>
    <x v="0"/>
    <n v="0"/>
    <m/>
    <m/>
    <m/>
  </r>
  <r>
    <n v="7"/>
    <x v="7"/>
    <m/>
    <m/>
    <m/>
    <m/>
    <m/>
    <m/>
    <x v="2"/>
    <n v="0"/>
    <m/>
    <m/>
    <m/>
  </r>
  <r>
    <n v="7"/>
    <x v="7"/>
    <m/>
    <m/>
    <m/>
    <m/>
    <m/>
    <m/>
    <x v="0"/>
    <n v="0"/>
    <m/>
    <m/>
    <m/>
  </r>
  <r>
    <n v="7"/>
    <x v="7"/>
    <m/>
    <m/>
    <m/>
    <m/>
    <m/>
    <m/>
    <x v="0"/>
    <n v="0"/>
    <m/>
    <m/>
    <m/>
  </r>
  <r>
    <n v="7"/>
    <x v="7"/>
    <m/>
    <m/>
    <m/>
    <m/>
    <m/>
    <m/>
    <x v="0"/>
    <n v="0"/>
    <m/>
    <m/>
    <m/>
  </r>
  <r>
    <n v="7"/>
    <x v="7"/>
    <m/>
    <m/>
    <m/>
    <m/>
    <m/>
    <m/>
    <x v="2"/>
    <n v="0"/>
    <m/>
    <m/>
    <m/>
  </r>
  <r>
    <n v="7"/>
    <x v="7"/>
    <m/>
    <m/>
    <m/>
    <m/>
    <m/>
    <m/>
    <x v="2"/>
    <n v="0"/>
    <m/>
    <m/>
    <m/>
  </r>
  <r>
    <n v="7"/>
    <x v="7"/>
    <m/>
    <m/>
    <m/>
    <m/>
    <m/>
    <m/>
    <x v="2"/>
    <n v="0"/>
    <m/>
    <m/>
    <m/>
  </r>
  <r>
    <n v="7"/>
    <x v="7"/>
    <m/>
    <m/>
    <m/>
    <m/>
    <m/>
    <m/>
    <x v="0"/>
    <n v="0"/>
    <m/>
    <m/>
    <m/>
  </r>
  <r>
    <n v="7"/>
    <x v="7"/>
    <m/>
    <m/>
    <m/>
    <m/>
    <m/>
    <m/>
    <x v="0"/>
    <n v="0"/>
    <m/>
    <m/>
    <m/>
  </r>
  <r>
    <n v="7"/>
    <x v="7"/>
    <m/>
    <m/>
    <m/>
    <m/>
    <m/>
    <m/>
    <x v="2"/>
    <n v="0"/>
    <m/>
    <m/>
    <m/>
  </r>
  <r>
    <n v="7"/>
    <x v="7"/>
    <m/>
    <m/>
    <m/>
    <m/>
    <m/>
    <m/>
    <x v="2"/>
    <n v="0"/>
    <m/>
    <m/>
    <m/>
  </r>
  <r>
    <n v="7"/>
    <x v="7"/>
    <m/>
    <m/>
    <m/>
    <m/>
    <m/>
    <m/>
    <x v="2"/>
    <n v="0"/>
    <m/>
    <m/>
    <m/>
  </r>
  <r>
    <n v="7"/>
    <x v="7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8"/>
    <x v="8"/>
    <m/>
    <m/>
    <m/>
    <m/>
    <m/>
    <m/>
    <x v="2"/>
    <n v="0"/>
    <n v="-4.2484239675104618E-3"/>
    <m/>
    <n v="2216118.21"/>
  </r>
  <r>
    <n v="8"/>
    <x v="8"/>
    <s v="Manufacture &amp; Install Catladder"/>
    <n v="78963"/>
    <n v="2"/>
    <n v="157926"/>
    <s v="PO4124-COEG-20250716 - RV Approved"/>
    <s v="The Engineering Hub: INV/2025/07/0546"/>
    <x v="1"/>
    <n v="159363.64106558694"/>
    <m/>
    <d v="2025-08-30T00:00:00"/>
    <m/>
  </r>
  <r>
    <n v="8"/>
    <x v="8"/>
    <s v="Ground mount closure &amp; cages"/>
    <m/>
    <m/>
    <n v="416290"/>
    <s v="PO4189-COEG-20250731 - RV Approved"/>
    <s v="The Engineering Hub - INV/2025/07/0576"/>
    <x v="1"/>
    <n v="373906.90512172278"/>
    <m/>
    <d v="2025-08-30T00:00:00"/>
    <m/>
  </r>
  <r>
    <n v="8"/>
    <x v="8"/>
    <s v="Inverter Enclosure"/>
    <m/>
    <m/>
    <n v="49639"/>
    <m/>
    <s v="The Engineering Hub - INV/2025/07/0558"/>
    <x v="1"/>
    <n v="50090.876605844955"/>
    <m/>
    <d v="2025-08-30T00:00:00"/>
    <m/>
  </r>
  <r>
    <n v="8"/>
    <x v="8"/>
    <s v="Inverter Enclosure"/>
    <m/>
    <m/>
    <n v="-49639"/>
    <m/>
    <s v="The Engineering Hub - INV/2025/07/0558"/>
    <x v="3"/>
    <n v="0"/>
    <m/>
    <d v="2025-08-31T00:00:00"/>
    <m/>
  </r>
  <r>
    <n v="8"/>
    <x v="8"/>
    <s v="Plinths - Deposit"/>
    <n v="376996"/>
    <n v="0.5"/>
    <n v="188498"/>
    <s v="PO4179-COEG-20250729 - RV Approved"/>
    <s v="Bayview Construction: Inv 338202502"/>
    <x v="1"/>
    <n v="190213.94585806647"/>
    <m/>
    <d v="2025-11-28T00:00:00"/>
    <m/>
  </r>
  <r>
    <n v="8"/>
    <x v="8"/>
    <s v="Plinths - Balance"/>
    <n v="188498"/>
    <n v="0.5"/>
    <n v="188498"/>
    <m/>
    <s v="Bayview Construction: Inv 338202502"/>
    <x v="1"/>
    <n v="190213.94585806647"/>
    <m/>
    <d v="2025-11-28T00:00:00"/>
    <m/>
  </r>
  <r>
    <n v="8"/>
    <x v="8"/>
    <s v="Walkways"/>
    <m/>
    <m/>
    <n v="264744.74"/>
    <s v="PO4030-CSPH2-20250624 - RV Approved"/>
    <s v="Onvlee - Inv 1050589"/>
    <x v="7"/>
    <n v="311742.46060635644"/>
    <m/>
    <d v="2025-06-26T00:00:00"/>
    <m/>
  </r>
  <r>
    <n v="8"/>
    <x v="8"/>
    <s v="Walkway Mounting Kit"/>
    <m/>
    <m/>
    <n v="8911.2000000000007"/>
    <m/>
    <s v="Onvlee - Inv 1050589"/>
    <x v="7"/>
    <n v="10493.124112514432"/>
    <m/>
    <d v="2025-06-26T00:00:00"/>
    <m/>
  </r>
  <r>
    <n v="8"/>
    <x v="8"/>
    <s v="Transport"/>
    <m/>
    <m/>
    <n v="500"/>
    <m/>
    <s v="Onvlee - Inv 1050589"/>
    <x v="7"/>
    <n v="588.76044261796551"/>
    <m/>
    <d v="2025-06-26T00:00:00"/>
    <m/>
  </r>
  <r>
    <n v="8"/>
    <x v="8"/>
    <s v="Change in scope - Additional Walkway"/>
    <n v="5"/>
    <n v="2900"/>
    <n v="56604"/>
    <s v="PO4284-CSPH2-20250827 - RV Approved"/>
    <s v="Onvlee - Inv 01051083"/>
    <x v="3"/>
    <n v="37374.055508281563"/>
    <m/>
    <d v="2025-08-28T00:00:00"/>
    <m/>
  </r>
  <r>
    <n v="8"/>
    <x v="8"/>
    <m/>
    <m/>
    <m/>
    <m/>
    <m/>
    <m/>
    <x v="0"/>
    <m/>
    <m/>
    <m/>
    <m/>
  </r>
  <r>
    <n v="8"/>
    <x v="8"/>
    <m/>
    <m/>
    <m/>
    <m/>
    <m/>
    <m/>
    <x v="0"/>
    <m/>
    <m/>
    <m/>
    <m/>
  </r>
  <r>
    <n v="8"/>
    <x v="8"/>
    <s v="Anchor Points - Deposit"/>
    <n v="282770"/>
    <n v="0.5"/>
    <n v="141385"/>
    <s v="PO4097-COEG-20250708 - RV Approved"/>
    <s v="EZI Systems - VIN2793"/>
    <x v="1"/>
    <n v="142672.06408101268"/>
    <m/>
    <d v="2025-07-17T00:00:00"/>
    <m/>
  </r>
  <r>
    <n v="8"/>
    <x v="8"/>
    <s v="Anchor Points - Balance"/>
    <m/>
    <n v="0.5"/>
    <n v="141385"/>
    <m/>
    <s v="Ezi Systems - VIN2863"/>
    <x v="3"/>
    <n v="139002.42023511391"/>
    <m/>
    <d v="2025-09-10T00:00:00"/>
    <m/>
  </r>
  <r>
    <n v="8"/>
    <x v="8"/>
    <m/>
    <m/>
    <m/>
    <m/>
    <m/>
    <m/>
    <x v="2"/>
    <n v="0"/>
    <m/>
    <m/>
    <m/>
  </r>
  <r>
    <n v="8"/>
    <x v="8"/>
    <s v="Waterpoints - Ground Mount &amp; Roof"/>
    <m/>
    <m/>
    <n v="50000"/>
    <m/>
    <m/>
    <x v="10"/>
    <n v="47805.186137722783"/>
    <m/>
    <d v="2026-02-28T00:00:00"/>
    <m/>
  </r>
  <r>
    <n v="8"/>
    <x v="8"/>
    <m/>
    <m/>
    <m/>
    <m/>
    <m/>
    <m/>
    <x v="2"/>
    <n v="0"/>
    <m/>
    <m/>
    <m/>
  </r>
  <r>
    <n v="8"/>
    <x v="8"/>
    <s v="Poder forFire Extinguisher"/>
    <m/>
    <m/>
    <n v="1376.27"/>
    <m/>
    <s v="Transfire Eastern Cape   -  IN-18217_x000a_"/>
    <x v="9"/>
    <n v="1352.2371916952748"/>
    <m/>
    <d v="2025-10-10T00:00:00"/>
    <m/>
  </r>
  <r>
    <n v="8"/>
    <x v="8"/>
    <m/>
    <m/>
    <m/>
    <m/>
    <m/>
    <m/>
    <x v="2"/>
    <n v="0"/>
    <m/>
    <m/>
    <m/>
  </r>
  <r>
    <n v="8"/>
    <x v="8"/>
    <s v="Upfront Fedgroup Fee"/>
    <m/>
    <m/>
    <n v="600000"/>
    <m/>
    <s v="Fedgroup Green - SPVL000487_250731"/>
    <x v="3"/>
    <n v="522600.12083190132"/>
    <m/>
    <d v="2026-02-12T00:00:00"/>
    <m/>
  </r>
  <r>
    <m/>
    <x v="0"/>
    <m/>
    <m/>
    <m/>
    <m/>
    <m/>
    <m/>
    <x v="2"/>
    <m/>
    <m/>
    <m/>
    <m/>
  </r>
  <r>
    <n v="9"/>
    <x v="9"/>
    <s v="Rooftop - DC"/>
    <m/>
    <m/>
    <m/>
    <m/>
    <m/>
    <x v="0"/>
    <n v="0"/>
    <n v="2.478407695889473E-3"/>
    <m/>
    <n v="8055680"/>
  </r>
  <r>
    <n v="9"/>
    <x v="9"/>
    <s v="Project Kick Off"/>
    <n v="2400000"/>
    <n v="0.17499999999999999"/>
    <n v="420000"/>
    <s v="PO4029-CSPH2-20250624 - RV Approved"/>
    <s v="Luken Solar Inv: 0654"/>
    <x v="7"/>
    <n v="326447.90009625664"/>
    <m/>
    <d v="2025-06-26T00:00:00"/>
    <m/>
  </r>
  <r>
    <n v="9"/>
    <x v="9"/>
    <s v="Site Establishment"/>
    <n v="0.6"/>
    <n v="0.2"/>
    <n v="480000"/>
    <m/>
    <s v="Luken Solar Inv: 0660"/>
    <x v="1"/>
    <n v="242313.05694970069"/>
    <m/>
    <d v="2025-09-04T00:00:00"/>
    <m/>
  </r>
  <r>
    <n v="9"/>
    <x v="9"/>
    <s v="Mounting Structure Installed"/>
    <m/>
    <n v="0.2"/>
    <n v="480000"/>
    <m/>
    <s v="Luken Solar Inv 0665"/>
    <x v="3"/>
    <n v="242313.04694970069"/>
    <m/>
    <d v="2025-12-04T00:00:00"/>
    <m/>
  </r>
  <r>
    <n v="9"/>
    <x v="9"/>
    <s v="Cable Trays Installed"/>
    <m/>
    <n v="0.1"/>
    <n v="240000"/>
    <m/>
    <s v="Luken Solar Inv 0665"/>
    <x v="3"/>
    <n v="152833.14847485034"/>
    <m/>
    <d v="2025-12-04T00:00:00"/>
    <m/>
  </r>
  <r>
    <n v="9"/>
    <x v="9"/>
    <s v="Panel Installation Complete"/>
    <m/>
    <n v="0.2"/>
    <n v="480000"/>
    <m/>
    <s v="Luken Solar - INV-0701"/>
    <x v="6"/>
    <n v="305666.29694970069"/>
    <m/>
    <d v="2026-01-23T00:00:00"/>
    <m/>
  </r>
  <r>
    <n v="9"/>
    <x v="9"/>
    <s v="Stringing Complete"/>
    <m/>
    <n v="0.05"/>
    <n v="120000"/>
    <m/>
    <s v="Luken Solar - INV-0701"/>
    <x v="6"/>
    <n v="76416.574237425171"/>
    <m/>
    <d v="2026-01-23T00:00:00"/>
    <m/>
  </r>
  <r>
    <n v="9"/>
    <x v="9"/>
    <s v="Snag Completion"/>
    <m/>
    <n v="0.05"/>
    <n v="120000"/>
    <m/>
    <s v="Luken Solar - INV-0701"/>
    <x v="6"/>
    <n v="76416.574237425171"/>
    <m/>
    <d v="2026-02-17T00:00:00"/>
    <m/>
  </r>
  <r>
    <n v="9"/>
    <x v="9"/>
    <s v="End of Defects Period"/>
    <m/>
    <n v="2.5000000000000001E-2"/>
    <n v="60000"/>
    <m/>
    <s v="Luken Solar - INV-0701"/>
    <x v="6"/>
    <n v="38208.287118712586"/>
    <m/>
    <d v="2026-03-19T00:00:00"/>
    <m/>
  </r>
  <r>
    <n v="9"/>
    <x v="9"/>
    <m/>
    <m/>
    <m/>
    <m/>
    <m/>
    <m/>
    <x v="0"/>
    <n v="0"/>
    <m/>
    <m/>
    <m/>
  </r>
  <r>
    <n v="9"/>
    <x v="9"/>
    <s v="Ground Mount - DC"/>
    <m/>
    <m/>
    <m/>
    <m/>
    <m/>
    <x v="0"/>
    <n v="0"/>
    <m/>
    <m/>
    <m/>
  </r>
  <r>
    <n v="9"/>
    <x v="9"/>
    <s v="Project Kick Off"/>
    <n v="1500000"/>
    <n v="0.17499999999999999"/>
    <n v="262500"/>
    <m/>
    <s v="Luken Solar Inv: 0654"/>
    <x v="7"/>
    <n v="204029.93756016044"/>
    <m/>
    <d v="2025-06-26T00:00:00"/>
    <m/>
  </r>
  <r>
    <n v="9"/>
    <x v="9"/>
    <s v="Site Establishment"/>
    <n v="0.5"/>
    <n v="0.2"/>
    <n v="300000"/>
    <m/>
    <s v="Luken Solar Inv: 0660"/>
    <x v="1"/>
    <n v="191041.43559356293"/>
    <m/>
    <d v="2025-09-04T00:00:00"/>
    <m/>
  </r>
  <r>
    <n v="9"/>
    <x v="9"/>
    <s v="Mounting Structure Installed"/>
    <m/>
    <n v="0.2"/>
    <n v="300000"/>
    <m/>
    <s v="Luken Solar Inv 0665"/>
    <x v="3"/>
    <n v="191041.43559356293"/>
    <m/>
    <d v="2026-01-22T00:00:00"/>
    <m/>
  </r>
  <r>
    <n v="9"/>
    <x v="9"/>
    <s v="Cable Trays Installed"/>
    <m/>
    <n v="0.1"/>
    <n v="150000"/>
    <m/>
    <s v="Luken Solar Inv 0665"/>
    <x v="3"/>
    <n v="95520.717796781464"/>
    <m/>
    <d v="2026-01-22T00:00:00"/>
    <m/>
  </r>
  <r>
    <n v="9"/>
    <x v="9"/>
    <s v="Panel Installation Complete 75%"/>
    <m/>
    <n v="0.15"/>
    <n v="225000"/>
    <m/>
    <s v="Luken Solar Inv 0665"/>
    <x v="3"/>
    <n v="191041.43559356293"/>
    <m/>
    <d v="2025-12-17T00:00:00"/>
    <m/>
  </r>
  <r>
    <m/>
    <x v="9"/>
    <s v="Panel Installation Complete - 25%"/>
    <m/>
    <n v="0.05"/>
    <n v="75000"/>
    <m/>
    <s v="Luken Solar Inv 0665"/>
    <x v="3"/>
    <s v="-"/>
    <m/>
    <d v="2025-12-24T00:00:00"/>
    <m/>
  </r>
  <r>
    <n v="9"/>
    <x v="9"/>
    <s v="Stringing Complete75%"/>
    <m/>
    <n v="3.7499999999999999E-2"/>
    <n v="56250"/>
    <m/>
    <s v="Luken Solar Inv 0665"/>
    <x v="3"/>
    <n v="47760.358898390732"/>
    <m/>
    <d v="2025-12-18T00:00:00"/>
    <m/>
  </r>
  <r>
    <m/>
    <x v="9"/>
    <s v="Stringing Complete 25%"/>
    <m/>
    <n v="1.2500000000000001E-2"/>
    <n v="18750"/>
    <m/>
    <s v="Luken Solar Inv 0665"/>
    <x v="3"/>
    <m/>
    <m/>
    <d v="2025-12-24T00:00:00"/>
    <m/>
  </r>
  <r>
    <n v="9"/>
    <x v="9"/>
    <s v="Snag Completion"/>
    <m/>
    <n v="0.05"/>
    <n v="75000"/>
    <m/>
    <s v="Luken Solar - INV-0701"/>
    <x v="6"/>
    <n v="47760.358898390732"/>
    <m/>
    <d v="2026-02-17T00:00:00"/>
    <m/>
  </r>
  <r>
    <n v="9"/>
    <x v="9"/>
    <s v="End of Defects Period"/>
    <m/>
    <n v="2.5000000000000001E-2"/>
    <n v="37500"/>
    <m/>
    <s v="Luken Solar - INV-0701"/>
    <x v="6"/>
    <n v="23880.179449195366"/>
    <m/>
    <d v="2026-03-19T00:00:00"/>
    <m/>
  </r>
  <r>
    <n v="9"/>
    <x v="9"/>
    <m/>
    <m/>
    <m/>
    <m/>
    <m/>
    <m/>
    <x v="0"/>
    <m/>
    <m/>
    <m/>
    <m/>
  </r>
  <r>
    <n v="9"/>
    <x v="9"/>
    <s v="AC Installation - LV"/>
    <m/>
    <m/>
    <m/>
    <m/>
    <m/>
    <x v="0"/>
    <m/>
    <m/>
    <m/>
    <m/>
  </r>
  <r>
    <n v="9"/>
    <x v="9"/>
    <s v="Project Kick Off"/>
    <n v="1950000"/>
    <n v="0.17499999999999999"/>
    <n v="341250"/>
    <m/>
    <s v="Luken Solar Inv: 0654"/>
    <x v="7"/>
    <n v="265238.91882820858"/>
    <m/>
    <d v="2025-06-26T00:00:00"/>
    <m/>
  </r>
  <r>
    <n v="9"/>
    <x v="9"/>
    <s v="Site Establishment"/>
    <n v="0.27857142857142858"/>
    <n v="0.2"/>
    <n v="390000"/>
    <m/>
    <s v="Luken Solar Inv: 0660"/>
    <x v="1"/>
    <n v="248353.86627163179"/>
    <m/>
    <d v="2025-09-04T00:00:00"/>
    <m/>
  </r>
  <r>
    <n v="9"/>
    <x v="9"/>
    <s v="Inverter Installation Complete"/>
    <m/>
    <n v="0.2"/>
    <n v="390000"/>
    <m/>
    <s v="Luken Solar Inv 0665"/>
    <x v="3"/>
    <n v="248353.86627163179"/>
    <m/>
    <d v="2025-10-09T00:00:00"/>
    <m/>
  </r>
  <r>
    <n v="9"/>
    <x v="9"/>
    <s v="PVDB Installation Complete"/>
    <m/>
    <n v="0.1"/>
    <n v="195000"/>
    <m/>
    <s v="Luken Solar Inv 0665"/>
    <x v="3"/>
    <n v="124176.9331358159"/>
    <m/>
    <d v="2025-12-18T00:00:00"/>
    <m/>
  </r>
  <r>
    <n v="9"/>
    <x v="9"/>
    <s v="AC Cabling &amp; Racking Complete"/>
    <m/>
    <n v="0.1"/>
    <n v="195000"/>
    <m/>
    <s v="Luken Solar Inv 0665"/>
    <x v="3"/>
    <n v="248353.86627163179"/>
    <m/>
    <d v="2025-12-24T00:00:00"/>
    <m/>
  </r>
  <r>
    <n v="9"/>
    <x v="9"/>
    <s v="AC Cabling &amp; Racking Complete"/>
    <m/>
    <n v="0.1"/>
    <n v="195000"/>
    <m/>
    <s v="Luken Solar Inv 0665"/>
    <x v="3"/>
    <m/>
    <m/>
    <d v="2026-01-29T00:00:00"/>
    <m/>
  </r>
  <r>
    <n v="9"/>
    <x v="9"/>
    <s v="Commissioning Complete"/>
    <m/>
    <n v="0.05"/>
    <n v="97500"/>
    <m/>
    <s v="Luken Solar Inv 0665"/>
    <x v="3"/>
    <n v="62088.466567907948"/>
    <m/>
    <d v="2026-01-30T00:00:00"/>
    <m/>
  </r>
  <r>
    <n v="9"/>
    <x v="9"/>
    <s v="Snag Completion"/>
    <m/>
    <n v="0.05"/>
    <n v="97500"/>
    <m/>
    <s v="Luken Solar - INV-0701"/>
    <x v="6"/>
    <n v="62088.466567907948"/>
    <m/>
    <d v="2026-02-17T00:00:00"/>
    <m/>
  </r>
  <r>
    <n v="9"/>
    <x v="9"/>
    <s v="End of Defects Period"/>
    <m/>
    <n v="2.5000000000000001E-2"/>
    <n v="48750"/>
    <m/>
    <s v="Luken Solar - INV-0701"/>
    <x v="6"/>
    <n v="31044.233283953974"/>
    <m/>
    <d v="2026-03-28T00:00:00"/>
    <m/>
  </r>
  <r>
    <n v="9"/>
    <x v="9"/>
    <m/>
    <m/>
    <m/>
    <m/>
    <m/>
    <m/>
    <x v="0"/>
    <n v="0"/>
    <m/>
    <m/>
    <m/>
  </r>
  <r>
    <n v="9"/>
    <x v="9"/>
    <s v="Ground Mount - Pillar Installation"/>
    <m/>
    <m/>
    <m/>
    <m/>
    <m/>
    <x v="0"/>
    <n v="0"/>
    <m/>
    <m/>
    <m/>
  </r>
  <r>
    <n v="9"/>
    <x v="9"/>
    <s v="Project Kick Off"/>
    <n v="2205680"/>
    <n v="0.25"/>
    <n v="551420"/>
    <s v="PO4178-COEG-20250728 - RV Approved"/>
    <s v="Bayview Construction: Inv 338202501"/>
    <x v="1"/>
    <n v="351146.89471667493"/>
    <m/>
    <d v="2025-10-02T00:00:00"/>
    <m/>
  </r>
  <r>
    <n v="9"/>
    <x v="9"/>
    <s v="Site Establishment"/>
    <n v="3.1153672316384182"/>
    <n v="0.25"/>
    <n v="551420"/>
    <m/>
    <s v="Bayview Construction: Inv 338202501"/>
    <x v="1"/>
    <n v="351146.89471667493"/>
    <m/>
    <d v="2025-10-02T00:00:00"/>
    <m/>
  </r>
  <r>
    <n v="9"/>
    <x v="9"/>
    <s v="Installation Complete"/>
    <m/>
    <n v="0.2"/>
    <n v="441136"/>
    <m/>
    <s v="Bayview Construction: Inv 338202501"/>
    <x v="3"/>
    <n v="561835.03154667979"/>
    <m/>
    <d v="2025-12-18T00:00:00"/>
    <m/>
  </r>
  <r>
    <n v="9"/>
    <x v="9"/>
    <m/>
    <m/>
    <n v="0.1"/>
    <n v="220568"/>
    <m/>
    <s v="Bayview Construction: Inv 338202501"/>
    <x v="3"/>
    <m/>
    <m/>
    <d v="2025-12-24T00:00:00"/>
    <m/>
  </r>
  <r>
    <n v="9"/>
    <x v="9"/>
    <m/>
    <m/>
    <n v="0.1"/>
    <n v="220568"/>
    <m/>
    <s v="Bayview Construction: Inv 338202501"/>
    <x v="3"/>
    <m/>
    <m/>
    <d v="2025-12-31T00:00:00"/>
    <m/>
  </r>
  <r>
    <n v="9"/>
    <x v="9"/>
    <s v="End of Defects Period"/>
    <m/>
    <n v="0.1"/>
    <n v="220568"/>
    <m/>
    <s v="Bayview Construction: Inv 338202501"/>
    <x v="3"/>
    <n v="123377.38788666995"/>
    <m/>
    <d v="2026-01-07T00:00:00"/>
    <m/>
  </r>
  <r>
    <n v="9"/>
    <x v="9"/>
    <m/>
    <m/>
    <m/>
    <m/>
    <m/>
    <m/>
    <x v="0"/>
    <n v="0"/>
    <m/>
    <m/>
    <m/>
  </r>
  <r>
    <n v="9"/>
    <x v="9"/>
    <m/>
    <m/>
    <m/>
    <m/>
    <m/>
    <m/>
    <x v="2"/>
    <n v="0"/>
    <m/>
    <m/>
    <m/>
  </r>
  <r>
    <n v="9"/>
    <x v="9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0"/>
    <x v="10"/>
    <m/>
    <m/>
    <m/>
    <m/>
    <m/>
    <m/>
    <x v="2"/>
    <n v="0"/>
    <n v="5.9088593116030097E-4"/>
    <m/>
    <n v="936113.1100000001"/>
  </r>
  <r>
    <n v="10"/>
    <x v="10"/>
    <s v="Omega Security"/>
    <n v="82020"/>
    <n v="0.5"/>
    <n v="41010"/>
    <s v="PO4248-CSPH2-20250820 - RV Approved"/>
    <s v="Omega OM038568"/>
    <x v="3"/>
    <n v="0"/>
    <m/>
    <d v="2025-09-25T00:00:00"/>
    <m/>
  </r>
  <r>
    <n v="10"/>
    <x v="10"/>
    <m/>
    <m/>
    <m/>
    <n v="41010"/>
    <m/>
    <s v="Omega OM038568"/>
    <x v="3"/>
    <n v="0"/>
    <m/>
    <d v="2025-11-06T00:00:00"/>
    <m/>
  </r>
  <r>
    <n v="10"/>
    <x v="10"/>
    <m/>
    <m/>
    <m/>
    <n v="41010"/>
    <m/>
    <s v="Omega - OM040496"/>
    <x v="4"/>
    <n v="0"/>
    <m/>
    <d v="2026-01-15T00:00:00"/>
    <m/>
  </r>
  <r>
    <n v="10"/>
    <x v="10"/>
    <m/>
    <m/>
    <m/>
    <n v="41010"/>
    <m/>
    <s v="Omega - OM040593"/>
    <x v="5"/>
    <n v="0"/>
    <m/>
    <d v="2026-01-09T00:00:00"/>
    <m/>
  </r>
  <r>
    <n v="10"/>
    <x v="10"/>
    <s v="Omega Security - January "/>
    <m/>
    <m/>
    <n v="41470"/>
    <m/>
    <s v="Omega - OM040944"/>
    <x v="5"/>
    <n v="790.55"/>
    <m/>
    <d v="2026-01-31T00:00:00"/>
    <m/>
  </r>
  <r>
    <n v="10"/>
    <x v="10"/>
    <s v="Installation of Fuard Secure"/>
    <m/>
    <m/>
    <n v="460"/>
    <m/>
    <s v="Omega - OMO40594"/>
    <x v="5"/>
    <n v="0"/>
    <m/>
    <d v="2026-01-09T00:00:00"/>
    <m/>
  </r>
  <r>
    <n v="10"/>
    <x v="10"/>
    <s v="Installation of Guard Secure"/>
    <m/>
    <m/>
    <m/>
    <m/>
    <m/>
    <x v="0"/>
    <m/>
    <m/>
    <m/>
    <m/>
  </r>
  <r>
    <n v="10"/>
    <x v="10"/>
    <s v="Project Kick Off - Rooftop"/>
    <n v="400000"/>
    <n v="0.5"/>
    <n v="200000"/>
    <s v="PO4029-CSPH2-20250624 - RV Approved"/>
    <s v="Luken Solar Inv: 0654"/>
    <x v="7"/>
    <n v="130552.96794014869"/>
    <m/>
    <d v="2025-06-26T00:00:00"/>
    <m/>
  </r>
  <r>
    <n v="10"/>
    <x v="10"/>
    <s v="Lifting Equipment Onsite - Rooftop"/>
    <m/>
    <n v="0.4"/>
    <n v="160000"/>
    <m/>
    <s v="Luken Solar Inv: 0660"/>
    <x v="1"/>
    <n v="105639.01698453363"/>
    <m/>
    <d v="2025-09-04T00:00:00"/>
    <m/>
  </r>
  <r>
    <n v="10"/>
    <x v="10"/>
    <s v="Site De-establisment - Rooftop"/>
    <m/>
    <n v="0.1"/>
    <n v="40000"/>
    <m/>
    <s v="Luken Solar Inv 0665"/>
    <x v="3"/>
    <n v="16629.772302381578"/>
    <m/>
    <d v="2026-03-19T00:00:00"/>
    <m/>
  </r>
  <r>
    <n v="10"/>
    <x v="10"/>
    <m/>
    <m/>
    <m/>
    <m/>
    <m/>
    <m/>
    <x v="0"/>
    <n v="0"/>
    <m/>
    <m/>
    <m/>
  </r>
  <r>
    <n v="10"/>
    <x v="10"/>
    <m/>
    <m/>
    <m/>
    <m/>
    <m/>
    <m/>
    <x v="2"/>
    <n v="0"/>
    <m/>
    <m/>
    <m/>
  </r>
  <r>
    <n v="10"/>
    <x v="10"/>
    <m/>
    <m/>
    <m/>
    <m/>
    <m/>
    <m/>
    <x v="0"/>
    <n v="0"/>
    <m/>
    <m/>
    <m/>
  </r>
  <r>
    <n v="10"/>
    <x v="10"/>
    <s v="Project Kick Off - Ground Mount"/>
    <n v="250000"/>
    <n v="0.5"/>
    <n v="125000"/>
    <m/>
    <s v="Luken Solar Inv: 0654"/>
    <x v="7"/>
    <n v="81595.60496259293"/>
    <m/>
    <d v="2025-06-26T00:00:00"/>
    <m/>
  </r>
  <r>
    <n v="10"/>
    <x v="10"/>
    <s v="Lifting Equipment Onsite - Ground Mount"/>
    <m/>
    <n v="0.4"/>
    <n v="100000"/>
    <m/>
    <s v="Luken Solar Inv: 0660"/>
    <x v="1"/>
    <n v="68657.965615333524"/>
    <m/>
    <d v="2025-09-04T00:00:00"/>
    <m/>
  </r>
  <r>
    <n v="10"/>
    <x v="10"/>
    <s v="Site De-establisment - Ground Mount"/>
    <m/>
    <n v="0.1"/>
    <n v="25000"/>
    <m/>
    <s v="Luken Solar Inv 0665"/>
    <x v="3"/>
    <n v="22162.210188988483"/>
    <m/>
    <d v="2026-03-19T00:00:00"/>
    <m/>
  </r>
  <r>
    <n v="10"/>
    <x v="10"/>
    <m/>
    <m/>
    <m/>
    <m/>
    <m/>
    <m/>
    <x v="0"/>
    <n v="0"/>
    <m/>
    <m/>
    <m/>
  </r>
  <r>
    <n v="10"/>
    <x v="10"/>
    <s v="Container Hire - June"/>
    <m/>
    <m/>
    <n v="10400"/>
    <m/>
    <s v="Container World PFP9167"/>
    <x v="7"/>
    <n v="6788.7543328877318"/>
    <m/>
    <d v="2025-06-27T00:00:00"/>
    <m/>
  </r>
  <r>
    <n v="10"/>
    <x v="10"/>
    <s v="Container Hire - July"/>
    <m/>
    <m/>
    <n v="10400"/>
    <m/>
    <s v="Container World PFP9174"/>
    <x v="1"/>
    <n v="6743.2861039946856"/>
    <m/>
    <d v="2025-07-07T00:00:00"/>
    <m/>
  </r>
  <r>
    <n v="10"/>
    <x v="10"/>
    <s v="Container Hire - August"/>
    <m/>
    <m/>
    <n v="1550"/>
    <m/>
    <s v="Container World P587568"/>
    <x v="1"/>
    <n v="1023.3779770376696"/>
    <m/>
    <d v="2025-09-01T00:00:00"/>
    <m/>
  </r>
  <r>
    <n v="10"/>
    <x v="10"/>
    <s v="Container Hire - August"/>
    <m/>
    <m/>
    <n v="11850"/>
    <m/>
    <s v="Container World PFP911"/>
    <x v="3"/>
    <n v="6908.749169580542"/>
    <m/>
    <d v="2025-08-21T00:00:00"/>
    <m/>
  </r>
  <r>
    <n v="10"/>
    <x v="10"/>
    <s v="Container Hire - September"/>
    <m/>
    <m/>
    <n v="1500"/>
    <m/>
    <s v="Container World P591046"/>
    <x v="3"/>
    <n v="874.52521133930907"/>
    <m/>
    <d v="2025-09-30T00:00:00"/>
    <m/>
  </r>
  <r>
    <n v="10"/>
    <x v="10"/>
    <s v="Container Hire - September - Container 2"/>
    <m/>
    <m/>
    <n v="1500"/>
    <m/>
    <s v="Container World P591048"/>
    <x v="3"/>
    <n v="874.52521133930907"/>
    <m/>
    <d v="2025-09-30T00:00:00"/>
    <m/>
  </r>
  <r>
    <n v="10"/>
    <x v="10"/>
    <s v="Container Hire"/>
    <m/>
    <m/>
    <n v="250"/>
    <m/>
    <s v="Container World - P584103"/>
    <x v="7"/>
    <n v="163.19120992518586"/>
    <m/>
    <d v="2025-08-07T00:00:00"/>
    <m/>
  </r>
  <r>
    <n v="10"/>
    <x v="10"/>
    <s v="Container Hire"/>
    <m/>
    <m/>
    <n v="2635"/>
    <m/>
    <s v="Container World - P594608"/>
    <x v="8"/>
    <n v="0"/>
    <m/>
    <d v="2025-09-30T00:00:00"/>
    <m/>
  </r>
  <r>
    <n v="10"/>
    <x v="10"/>
    <s v="Container Hire"/>
    <m/>
    <m/>
    <n v="1550"/>
    <m/>
    <s v="Container World - P594597"/>
    <x v="8"/>
    <n v="0"/>
    <m/>
    <d v="2025-09-30T00:00:00"/>
    <m/>
  </r>
  <r>
    <n v="10"/>
    <x v="10"/>
    <s v="Container Hire"/>
    <m/>
    <m/>
    <n v="1550"/>
    <m/>
    <s v="Container World - P594595"/>
    <x v="8"/>
    <n v="0"/>
    <m/>
    <d v="2025-09-30T00:00:00"/>
    <m/>
  </r>
  <r>
    <n v="10"/>
    <x v="10"/>
    <s v="Office Container - Rental"/>
    <m/>
    <m/>
    <n v="595"/>
    <m/>
    <s v="Container World - PF591061"/>
    <x v="3"/>
    <n v="346.89500049792593"/>
    <m/>
    <d v="2025-09-01T00:00:00"/>
    <m/>
  </r>
  <r>
    <n v="10"/>
    <x v="10"/>
    <s v="Office Container - Rental"/>
    <m/>
    <m/>
    <n v="1250"/>
    <m/>
    <s v="Container World - P587570"/>
    <x v="3"/>
    <n v="728.77100944942424"/>
    <m/>
    <d v="2025-09-01T00:00:00"/>
    <m/>
  </r>
  <r>
    <n v="10"/>
    <x v="10"/>
    <s v="Container Hire - November- Container"/>
    <m/>
    <m/>
    <n v="1500"/>
    <m/>
    <s v="Container World - P598167"/>
    <x v="9"/>
    <n v="865.42161616940507"/>
    <m/>
    <d v="2025-11-13T00:00:00"/>
    <m/>
  </r>
  <r>
    <n v="10"/>
    <x v="10"/>
    <s v="Container Hire - November- Container"/>
    <m/>
    <m/>
    <n v="1500"/>
    <m/>
    <s v="Container World - P598169"/>
    <x v="9"/>
    <n v="865.42161616940507"/>
    <m/>
    <d v="2025-11-13T00:00:00"/>
    <m/>
  </r>
  <r>
    <n v="10"/>
    <x v="10"/>
    <s v="Container Hire - November- Container"/>
    <m/>
    <m/>
    <n v="2550"/>
    <m/>
    <s v="Container World - P598179"/>
    <x v="9"/>
    <n v="1471.2167474879886"/>
    <m/>
    <d v="2025-11-13T00:00:00"/>
    <m/>
  </r>
  <r>
    <n v="10"/>
    <x v="10"/>
    <s v="Container Hire - December - Container 1"/>
    <m/>
    <m/>
    <n v="1550"/>
    <m/>
    <s v="Container World - P601672"/>
    <x v="4"/>
    <n v="1770.4386486937569"/>
    <m/>
    <d v="2025-12-04T00:00:00"/>
    <m/>
  </r>
  <r>
    <n v="10"/>
    <x v="10"/>
    <s v="Container Hire - December - Container 2"/>
    <m/>
    <m/>
    <n v="1550"/>
    <m/>
    <s v="Container World - P601674"/>
    <x v="4"/>
    <n v="1770.4386486937569"/>
    <m/>
    <d v="2025-12-04T00:00:00"/>
    <m/>
  </r>
  <r>
    <n v="10"/>
    <x v="10"/>
    <s v="Container Hire - December - Office Container "/>
    <m/>
    <m/>
    <n v="2635"/>
    <m/>
    <s v="Container World P601684"/>
    <x v="4"/>
    <n v="988.11070277938666"/>
    <m/>
    <d v="2025-12-04T00:00:00"/>
    <m/>
  </r>
  <r>
    <n v="10"/>
    <x v="10"/>
    <s v="Container Hire - January - Container 1"/>
    <m/>
    <m/>
    <n v="1550"/>
    <m/>
    <s v="Container World P605064"/>
    <x v="5"/>
    <n v="0"/>
    <m/>
    <d v="2026-01-09T00:00:00"/>
    <m/>
  </r>
  <r>
    <n v="10"/>
    <x v="10"/>
    <s v="Container Hire - January - Container 2"/>
    <m/>
    <m/>
    <n v="1550"/>
    <m/>
    <s v="Container World P605066"/>
    <x v="5"/>
    <n v="0"/>
    <m/>
    <d v="2026-01-09T00:00:00"/>
    <m/>
  </r>
  <r>
    <n v="10"/>
    <x v="10"/>
    <s v="Container Hire - January - Office Container "/>
    <m/>
    <m/>
    <n v="2635"/>
    <m/>
    <s v="Container World P605075"/>
    <x v="5"/>
    <n v="0"/>
    <m/>
    <d v="2026-01-09T00:00:00"/>
    <m/>
  </r>
  <r>
    <n v="10"/>
    <x v="10"/>
    <s v="Container Hire - February - Office Container "/>
    <m/>
    <m/>
    <n v="1400"/>
    <m/>
    <s v="Container World P608429"/>
    <x v="6"/>
    <n v="0"/>
    <m/>
    <d v="2026-02-05T00:00:00"/>
    <m/>
  </r>
  <r>
    <n v="10"/>
    <x v="10"/>
    <s v="Container Hire - February - Office Container "/>
    <m/>
    <m/>
    <n v="1400"/>
    <m/>
    <s v="Container World P608431"/>
    <x v="6"/>
    <n v="0"/>
    <m/>
    <d v="2026-02-05T00:00:00"/>
    <m/>
  </r>
  <r>
    <n v="10"/>
    <x v="10"/>
    <s v="Container Hire - February - Office Container "/>
    <m/>
    <m/>
    <n v="2380"/>
    <m/>
    <s v="Container World P608440"/>
    <x v="6"/>
    <n v="0"/>
    <m/>
    <d v="2026-02-05T00:00:00"/>
    <m/>
  </r>
  <r>
    <n v="10"/>
    <x v="10"/>
    <m/>
    <m/>
    <m/>
    <m/>
    <m/>
    <m/>
    <x v="0"/>
    <m/>
    <m/>
    <m/>
    <m/>
  </r>
  <r>
    <n v="10"/>
    <x v="10"/>
    <s v="Site Ablutions - August"/>
    <m/>
    <m/>
    <n v="652.16999999999996"/>
    <m/>
    <s v="Talisman Hire:Inv 00211311"/>
    <x v="3"/>
    <n v="380.22607138610476"/>
    <m/>
    <d v="2025-10-02T00:00:00"/>
    <m/>
  </r>
  <r>
    <n v="10"/>
    <x v="10"/>
    <s v="Site Ablutions - September"/>
    <m/>
    <m/>
    <n v="2173.92"/>
    <m/>
    <s v="Talisman Hire:Inv 212767"/>
    <x v="8"/>
    <n v="1258.8741122956246"/>
    <m/>
    <d v="2025-10-09T00:00:00"/>
    <m/>
  </r>
  <r>
    <n v="10"/>
    <x v="10"/>
    <s v="Site Ablutions - October"/>
    <m/>
    <m/>
    <n v="3086.9700000000003"/>
    <m/>
    <s v="Talisman Hire:Inv 00214681 + 00214480"/>
    <x v="9"/>
    <n v="1781.0203776443125"/>
    <m/>
    <d v="2025-11-06T00:00:00"/>
    <m/>
  </r>
  <r>
    <n v="10"/>
    <x v="10"/>
    <s v="Site Ablutions - November"/>
    <m/>
    <m/>
    <n v="2434.8000000000002"/>
    <m/>
    <s v="Talisman Hire - 00216276"/>
    <x v="4"/>
    <n v="1343.363433444877"/>
    <m/>
    <d v="2025-12-04T00:00:00"/>
    <m/>
  </r>
  <r>
    <n v="10"/>
    <x v="10"/>
    <s v="Site Ablutions - December"/>
    <m/>
    <m/>
    <n v="1217.4000000000001"/>
    <m/>
    <s v="Talisman Hire - 00217594"/>
    <x v="5"/>
    <n v="608.42503176814455"/>
    <m/>
    <d v="2026-01-07T00:00:00"/>
    <m/>
  </r>
  <r>
    <n v="10"/>
    <x v="10"/>
    <s v="Site Ablutions - December"/>
    <m/>
    <m/>
    <n v="608.70000000000005"/>
    <m/>
    <s v="Talisman Hire - 00217616"/>
    <x v="5"/>
    <n v="304.21251588407227"/>
    <m/>
    <d v="2026-01-07T00:00:00"/>
    <m/>
  </r>
  <r>
    <n v="10"/>
    <x v="10"/>
    <s v="Site Ablutions - January"/>
    <m/>
    <m/>
    <n v="1826.1"/>
    <m/>
    <s v="Talisman Hire - 00218837"/>
    <x v="6"/>
    <n v="0"/>
    <m/>
    <d v="2026-02-05T00:00:00"/>
    <m/>
  </r>
  <r>
    <n v="10"/>
    <x v="10"/>
    <s v="Site Ablutions - January"/>
    <m/>
    <m/>
    <n v="913.05"/>
    <m/>
    <s v="Talisman Hire - 00218853"/>
    <x v="6"/>
    <n v="0"/>
    <m/>
    <d v="2026-02-05T00:00:00"/>
    <m/>
  </r>
  <r>
    <n v="10"/>
    <x v="10"/>
    <m/>
    <m/>
    <m/>
    <m/>
    <m/>
    <m/>
    <x v="0"/>
    <n v="0"/>
    <m/>
    <m/>
    <m/>
  </r>
  <r>
    <n v="10"/>
    <x v="10"/>
    <m/>
    <m/>
    <m/>
    <m/>
    <m/>
    <m/>
    <x v="0"/>
    <n v="0"/>
    <m/>
    <m/>
    <m/>
  </r>
  <r>
    <n v="10"/>
    <x v="10"/>
    <m/>
    <m/>
    <m/>
    <m/>
    <m/>
    <m/>
    <x v="0"/>
    <n v="0"/>
    <m/>
    <m/>
    <m/>
  </r>
  <r>
    <n v="10"/>
    <x v="10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1"/>
    <x v="11"/>
    <s v="Electrical PrEng sign off"/>
    <m/>
    <m/>
    <n v="236000"/>
    <m/>
    <m/>
    <x v="10"/>
    <n v="177552.1000193764"/>
    <n v="-1.6990787698887289E-3"/>
    <d v="2026-02-28T00:00:00"/>
    <n v="658656"/>
  </r>
  <r>
    <n v="11"/>
    <x v="11"/>
    <s v="Technical Review - Onsite inspection and reporting - Final Inspection"/>
    <m/>
    <m/>
    <n v="35600"/>
    <s v="PO4372-CSPH2-20251020 - RV Approved"/>
    <m/>
    <x v="10"/>
    <n v="27213.871155465244"/>
    <m/>
    <d v="2026-03-14T00:00:00"/>
    <m/>
  </r>
  <r>
    <n v="11"/>
    <x v="11"/>
    <s v="Prelim Onsite Inspection &amp; Snag Reporting"/>
    <m/>
    <m/>
    <n v="28400"/>
    <s v="PO4400-CSPH2-20251030 - RV Approved"/>
    <s v="2Xtwo - 785"/>
    <x v="4"/>
    <n v="21812.49766334868"/>
    <m/>
    <d v="2025-12-04T00:00:00"/>
    <m/>
  </r>
  <r>
    <n v="11"/>
    <x v="11"/>
    <m/>
    <m/>
    <m/>
    <m/>
    <m/>
    <m/>
    <x v="0"/>
    <m/>
    <m/>
    <m/>
    <m/>
  </r>
  <r>
    <n v="11"/>
    <x v="11"/>
    <m/>
    <m/>
    <m/>
    <m/>
    <m/>
    <m/>
    <x v="6"/>
    <m/>
    <m/>
    <d v="2026-01-31T00:00:00"/>
    <m/>
  </r>
  <r>
    <n v="11"/>
    <x v="11"/>
    <m/>
    <m/>
    <m/>
    <m/>
    <m/>
    <m/>
    <x v="0"/>
    <m/>
    <m/>
    <m/>
    <m/>
  </r>
  <r>
    <n v="11"/>
    <x v="11"/>
    <m/>
    <m/>
    <m/>
    <m/>
    <m/>
    <m/>
    <x v="0"/>
    <m/>
    <m/>
    <m/>
    <m/>
  </r>
  <r>
    <n v="11"/>
    <x v="11"/>
    <s v="Structural Sign Off"/>
    <m/>
    <m/>
    <n v="10400"/>
    <s v="PO4075-COEG-20250630 - RV Approved"/>
    <s v="L&amp;B Consulting  INV-2013"/>
    <x v="7"/>
    <n v="12174.422007609013"/>
    <m/>
    <d v="2025-07-03T00:00:00"/>
    <m/>
  </r>
  <r>
    <n v="11"/>
    <x v="11"/>
    <s v="Grid Study"/>
    <m/>
    <m/>
    <n v="79700"/>
    <s v="PO4078-COEG-20250701 - RV Approved"/>
    <s v="Okusha - EE18"/>
    <x v="9"/>
    <n v="58776.043794679215"/>
    <m/>
    <d v="2026-01-09T00:00:00"/>
    <m/>
  </r>
  <r>
    <n v="11"/>
    <x v="11"/>
    <s v="Protection Design"/>
    <m/>
    <m/>
    <n v="252556"/>
    <s v="PO4180-COEG-20250730 - RV Approved"/>
    <s v="Okusha EE21"/>
    <x v="1"/>
    <n v="184585.6619127203"/>
    <m/>
    <d v="2026-01-31T00:00:00"/>
    <m/>
  </r>
  <r>
    <n v="11"/>
    <x v="11"/>
    <m/>
    <m/>
    <m/>
    <m/>
    <m/>
    <m/>
    <x v="0"/>
    <n v="0"/>
    <m/>
    <m/>
    <m/>
  </r>
  <r>
    <n v="11"/>
    <x v="11"/>
    <m/>
    <m/>
    <m/>
    <m/>
    <m/>
    <m/>
    <x v="0"/>
    <n v="0"/>
    <m/>
    <m/>
    <m/>
  </r>
  <r>
    <n v="11"/>
    <x v="11"/>
    <s v="Red Team Inspection - Dec - 1"/>
    <m/>
    <m/>
    <n v="8000"/>
    <m/>
    <m/>
    <x v="10"/>
    <n v="6001.5261023517414"/>
    <m/>
    <d v="2026-02-28T00:00:00"/>
    <m/>
  </r>
  <r>
    <n v="11"/>
    <x v="11"/>
    <s v="Red Team Inspection - Dec - 2"/>
    <m/>
    <m/>
    <n v="8000"/>
    <m/>
    <m/>
    <x v="10"/>
    <n v="6001.5261023517414"/>
    <m/>
    <d v="2026-02-28T00:00:00"/>
    <m/>
  </r>
  <r>
    <m/>
    <x v="0"/>
    <m/>
    <m/>
    <m/>
    <m/>
    <m/>
    <m/>
    <x v="2"/>
    <m/>
    <m/>
    <m/>
    <m/>
  </r>
  <r>
    <n v="12"/>
    <x v="12"/>
    <m/>
    <m/>
    <m/>
    <m/>
    <m/>
    <m/>
    <x v="2"/>
    <m/>
    <m/>
    <m/>
    <n v="0"/>
  </r>
  <r>
    <n v="12"/>
    <x v="12"/>
    <s v="PD Fee"/>
    <m/>
    <m/>
    <n v="0"/>
    <m/>
    <m/>
    <x v="2"/>
    <m/>
    <m/>
    <m/>
    <m/>
  </r>
  <r>
    <m/>
    <x v="0"/>
    <m/>
    <m/>
    <m/>
    <m/>
    <m/>
    <m/>
    <x v="2"/>
    <m/>
    <m/>
    <m/>
    <m/>
  </r>
  <r>
    <n v="13"/>
    <x v="13"/>
    <s v="Matriarch Defects Period - 1.25%"/>
    <m/>
    <m/>
    <n v="950000"/>
    <m/>
    <m/>
    <x v="10"/>
    <n v="1041836.3870345005"/>
    <n v="-195.47706760861911"/>
    <d v="2026-03-31T00:00:00"/>
    <n v="984324.26"/>
  </r>
  <r>
    <n v="13"/>
    <x v="13"/>
    <s v="Matriarch O &amp; M Fee - Phase 1"/>
    <m/>
    <m/>
    <n v="11372"/>
    <m/>
    <s v="Matriarch Inv: 5015"/>
    <x v="3"/>
    <n v="12657.57114292171"/>
    <m/>
    <d v="2025-08-31T00:00:00"/>
    <m/>
  </r>
  <r>
    <n v="13"/>
    <x v="13"/>
    <s v="Matriarch O &amp; M Fee - Phase 1 - Sept"/>
    <m/>
    <m/>
    <n v="2843"/>
    <m/>
    <s v="Matriarch Inv: 5050"/>
    <x v="8"/>
    <n v="3164.3927857304275"/>
    <m/>
    <d v="2025-08-31T00:00:00"/>
    <m/>
  </r>
  <r>
    <n v="13"/>
    <x v="13"/>
    <s v="Matriarch O &amp; M Fee - Phase 1 - Oct"/>
    <m/>
    <m/>
    <n v="2843"/>
    <m/>
    <s v="Matriarch Inv: 5241"/>
    <x v="9"/>
    <n v="3108.9043414431007"/>
    <m/>
    <d v="2025-11-28T00:00:00"/>
    <m/>
  </r>
  <r>
    <n v="13"/>
    <x v="13"/>
    <s v="Matriarch O &amp; M Fee - Phase 1 - Nov"/>
    <m/>
    <m/>
    <n v="2843"/>
    <m/>
    <s v="Matriarch - INV-5464"/>
    <x v="4"/>
    <n v="3155.1443414431005"/>
    <m/>
    <d v="2025-12-30T00:00:00"/>
    <m/>
  </r>
  <r>
    <n v="13"/>
    <x v="13"/>
    <s v="Matriarch O &amp; M Fee - Phase 1 - Dec"/>
    <m/>
    <m/>
    <n v="2843"/>
    <m/>
    <s v="Matriarch - INV-5801"/>
    <x v="5"/>
    <n v="3118.0250777042997"/>
    <m/>
    <d v="2026-01-29T00:00:00"/>
    <m/>
  </r>
  <r>
    <n v="13"/>
    <x v="13"/>
    <s v="Matriarch O &amp; M Fee - Phase 1 - Jan"/>
    <m/>
    <m/>
    <n v="2843"/>
    <m/>
    <s v="Matriarch - INV-6102"/>
    <x v="6"/>
    <n v="3118.0250777042997"/>
    <m/>
    <d v="2026-02-28T00:00:00"/>
    <m/>
  </r>
  <r>
    <n v="13"/>
    <x v="13"/>
    <s v="Panel Clean"/>
    <m/>
    <m/>
    <n v="8737.26"/>
    <m/>
    <s v="Matriarch - INV-6216"/>
    <x v="6"/>
    <n v="9582.4818116154311"/>
    <m/>
    <d v="2026-02-28T00:00:00"/>
    <m/>
  </r>
  <r>
    <n v="13"/>
    <x v="13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4"/>
    <x v="14"/>
    <s v="Travel"/>
    <m/>
    <m/>
    <n v="6509.8599999999988"/>
    <m/>
    <s v="Expense Claim"/>
    <x v="11"/>
    <n v="0"/>
    <n v="0"/>
    <d v="2025-06-09T00:00:00"/>
    <n v="271181.58"/>
  </r>
  <r>
    <n v="14"/>
    <x v="14"/>
    <s v="Travel"/>
    <m/>
    <m/>
    <n v="5770.84"/>
    <m/>
    <s v="Expense Claim"/>
    <x v="7"/>
    <n v="0"/>
    <m/>
    <d v="2025-07-04T00:00:00"/>
    <m/>
  </r>
  <r>
    <n v="14"/>
    <x v="14"/>
    <s v="Travel"/>
    <m/>
    <m/>
    <n v="21295.980000000003"/>
    <m/>
    <s v="Expense Claim"/>
    <x v="1"/>
    <n v="0"/>
    <m/>
    <d v="2025-08-07T00:00:00"/>
    <m/>
  </r>
  <r>
    <n v="14"/>
    <x v="14"/>
    <s v="Travel"/>
    <m/>
    <m/>
    <n v="50534.6"/>
    <m/>
    <s v="Expense Claim"/>
    <x v="3"/>
    <n v="0"/>
    <m/>
    <d v="2025-09-05T00:00:00"/>
    <m/>
  </r>
  <r>
    <n v="14"/>
    <x v="14"/>
    <s v="Travel"/>
    <m/>
    <m/>
    <n v="32154.959999999999"/>
    <m/>
    <s v="Expense Claim"/>
    <x v="8"/>
    <n v="0"/>
    <m/>
    <d v="2025-10-10T00:00:00"/>
    <m/>
  </r>
  <r>
    <n v="14"/>
    <x v="14"/>
    <s v="Travel"/>
    <m/>
    <m/>
    <n v="20629.91"/>
    <m/>
    <s v="Expense Claim"/>
    <x v="9"/>
    <n v="0"/>
    <m/>
    <d v="2025-11-06T00:00:00"/>
    <m/>
  </r>
  <r>
    <n v="14"/>
    <x v="14"/>
    <s v="Travel"/>
    <m/>
    <m/>
    <n v="15266.94"/>
    <m/>
    <s v="Expense Claim"/>
    <x v="4"/>
    <n v="0"/>
    <m/>
    <d v="2025-12-05T00:00:00"/>
    <m/>
  </r>
  <r>
    <n v="14"/>
    <x v="14"/>
    <s v="Travel"/>
    <m/>
    <m/>
    <n v="59700.29"/>
    <m/>
    <s v="Expense Claim"/>
    <x v="5"/>
    <n v="0"/>
    <m/>
    <d v="2026-01-08T00:00:00"/>
    <m/>
  </r>
  <r>
    <n v="14"/>
    <x v="14"/>
    <s v="Travel"/>
    <m/>
    <m/>
    <n v="28655.7"/>
    <m/>
    <s v="Expense Claim"/>
    <x v="6"/>
    <n v="0"/>
    <m/>
    <d v="2026-02-05T00:00:00"/>
    <m/>
  </r>
  <r>
    <n v="14"/>
    <x v="14"/>
    <s v="Travel"/>
    <m/>
    <m/>
    <n v="30662.5"/>
    <m/>
    <m/>
    <x v="10"/>
    <n v="0"/>
    <m/>
    <d v="2026-02-28T00:00:00"/>
    <m/>
  </r>
  <r>
    <n v="14"/>
    <x v="14"/>
    <m/>
    <m/>
    <m/>
    <m/>
    <m/>
    <m/>
    <x v="2"/>
    <n v="0"/>
    <m/>
    <m/>
    <m/>
  </r>
  <r>
    <n v="14"/>
    <x v="1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5"/>
    <x v="15"/>
    <m/>
    <m/>
    <m/>
    <m/>
    <m/>
    <m/>
    <x v="2"/>
    <m/>
    <n v="0"/>
    <m/>
    <n v="2249043.0099999998"/>
  </r>
  <r>
    <n v="15"/>
    <x v="15"/>
    <s v="CDC Fee"/>
    <m/>
    <m/>
    <m/>
    <m/>
    <m/>
    <x v="5"/>
    <m/>
    <m/>
    <d v="2025-12-31T00:00:00"/>
    <m/>
  </r>
  <r>
    <n v="15"/>
    <x v="15"/>
    <s v="Evaluation of fitness certificates"/>
    <m/>
    <m/>
    <n v="140.75"/>
    <s v="PO4554-CSPH2-20260116 - RV Approved"/>
    <s v="Coega Development Corporation INV78403"/>
    <x v="6"/>
    <m/>
    <m/>
    <d v="2026-01-19T00:00:00"/>
    <m/>
  </r>
  <r>
    <n v="15"/>
    <x v="15"/>
    <s v="Evaluation of fitness certificates"/>
    <m/>
    <m/>
    <n v="3127.77"/>
    <s v="PO4216-COEG-20250812 - RV Approved"/>
    <s v="Coega Development Corporation INV 76004"/>
    <x v="3"/>
    <m/>
    <m/>
    <d v="2025-08-14T00:00:00"/>
    <m/>
  </r>
  <r>
    <n v="15"/>
    <x v="15"/>
    <s v="Evaluation of fitness certificates"/>
    <m/>
    <m/>
    <n v="1495.89"/>
    <s v="PO4232-COEG-20250818 - RV Approved"/>
    <s v="Coega Development Corporation - QUO0005126"/>
    <x v="3"/>
    <m/>
    <m/>
    <d v="2025-08-19T00:00:00"/>
    <m/>
  </r>
  <r>
    <n v="15"/>
    <x v="15"/>
    <s v="Evaluation of fitness certificates"/>
    <m/>
    <m/>
    <n v="407.97"/>
    <s v="PO4249-CSPH2-20250820 - RV Approved"/>
    <s v="Coega Development Corporation INV 76087"/>
    <x v="3"/>
    <m/>
    <m/>
    <d v="2025-08-21T00:00:00"/>
    <m/>
  </r>
  <r>
    <n v="15"/>
    <x v="15"/>
    <s v="Evaluation of fitness certificates"/>
    <m/>
    <m/>
    <n v="951.93"/>
    <s v="PO4281-CSPH2-20250826 - RV Approved"/>
    <s v="Coega Development Corporation INV 76267"/>
    <x v="3"/>
    <m/>
    <m/>
    <d v="2025-09-01T00:00:00"/>
    <m/>
  </r>
  <r>
    <n v="15"/>
    <x v="15"/>
    <s v="Evaluation of fitness certificates"/>
    <m/>
    <m/>
    <n v="135.99"/>
    <s v="PO4303-CSPH2-20250909 - RV Approved"/>
    <s v="Coega Development Corporation INV76502"/>
    <x v="8"/>
    <m/>
    <m/>
    <d v="2025-09-10T00:00:00"/>
    <m/>
  </r>
  <r>
    <n v="15"/>
    <x v="15"/>
    <s v="Evaluation of fitness certificates"/>
    <m/>
    <m/>
    <n v="2719.8"/>
    <s v="PO4323-CSPH2-20250922 - RV Approved"/>
    <s v="Coega Development Corporation INV76691"/>
    <x v="8"/>
    <m/>
    <m/>
    <d v="2025-09-23T00:00:00"/>
    <m/>
  </r>
  <r>
    <n v="15"/>
    <x v="15"/>
    <s v="Evaluation of fitness certificates"/>
    <m/>
    <m/>
    <n v="271.98"/>
    <s v="PO4324-CSPH2-20250925 - RV Approved"/>
    <s v="Coega Development Corporation INV76718"/>
    <x v="8"/>
    <m/>
    <m/>
    <d v="2025-09-30T00:00:00"/>
    <m/>
  </r>
  <r>
    <n v="15"/>
    <x v="15"/>
    <s v="Evaluation of fitness certificates"/>
    <m/>
    <m/>
    <n v="271.98"/>
    <s v="PO4344-CSPH2-20250930 - RV Approved"/>
    <s v="Coega Development Corporation INV76726"/>
    <x v="8"/>
    <m/>
    <m/>
    <d v="2025-09-30T00:00:00"/>
    <m/>
  </r>
  <r>
    <n v="15"/>
    <x v="15"/>
    <s v="Evaluation of fitness certificates"/>
    <m/>
    <m/>
    <n v="271.98"/>
    <s v="PO4351-CSPH2-20251002 - RV Approved"/>
    <s v="Coega Development Corporation INV76801"/>
    <x v="9"/>
    <m/>
    <m/>
    <d v="2025-10-02T00:00:00"/>
    <m/>
  </r>
  <r>
    <n v="15"/>
    <x v="15"/>
    <s v="Labour Management Fee"/>
    <m/>
    <m/>
    <n v="12722.45"/>
    <s v="PO4399-CSPH2-20251023 - RV Approved"/>
    <s v="Coega Development Corporation INV76861"/>
    <x v="9"/>
    <m/>
    <m/>
    <d v="2025-10-30T00:00:00"/>
    <m/>
  </r>
  <r>
    <n v="15"/>
    <x v="15"/>
    <s v="Labour Management Fee"/>
    <m/>
    <m/>
    <n v="14381.9"/>
    <s v="PO4446-CSPH2-20251106 - RV Approved"/>
    <s v="Coega Development Corporation - INV77241"/>
    <x v="4"/>
    <m/>
    <m/>
    <d v="2025-12-18T00:00:00"/>
    <m/>
  </r>
  <r>
    <n v="15"/>
    <x v="15"/>
    <s v="Labour Management Fee"/>
    <m/>
    <m/>
    <n v="9126.98"/>
    <m/>
    <s v="Coega Development Corporation - INV77755"/>
    <x v="4"/>
    <m/>
    <m/>
    <d v="2025-12-04T00:00:00"/>
    <m/>
  </r>
  <r>
    <n v="15"/>
    <x v="15"/>
    <s v="Labour Management Fee"/>
    <m/>
    <m/>
    <n v="1936.03"/>
    <s v="PO4550-CSPH2-20260112 - RV Approved"/>
    <s v="Coega Development Corporation - INV78326"/>
    <x v="6"/>
    <m/>
    <m/>
    <d v="2026-01-29T00:00:00"/>
    <m/>
  </r>
  <r>
    <n v="15"/>
    <x v="15"/>
    <s v="Labour Management Fee"/>
    <m/>
    <m/>
    <n v="5215.6099999999997"/>
    <s v="PO4613-CSPH2-20260206 - RV Approved"/>
    <m/>
    <x v="10"/>
    <m/>
    <m/>
    <d v="2026-02-28T00:00:00"/>
    <m/>
  </r>
  <r>
    <n v="15"/>
    <x v="15"/>
    <m/>
    <m/>
    <m/>
    <m/>
    <m/>
    <m/>
    <x v="0"/>
    <m/>
    <m/>
    <m/>
    <m/>
  </r>
  <r>
    <n v="15"/>
    <x v="15"/>
    <m/>
    <m/>
    <m/>
    <m/>
    <m/>
    <m/>
    <x v="0"/>
    <m/>
    <m/>
    <m/>
    <m/>
  </r>
  <r>
    <n v="15"/>
    <x v="15"/>
    <s v="courier of Utility Meter"/>
    <m/>
    <m/>
    <n v="319.08999999999997"/>
    <m/>
    <s v="DSV Inv: 180157893"/>
    <x v="5"/>
    <m/>
    <m/>
    <d v="2026-01-29T00:00:00"/>
    <m/>
  </r>
  <r>
    <n v="15"/>
    <x v="15"/>
    <m/>
    <m/>
    <m/>
    <m/>
    <m/>
    <m/>
    <x v="0"/>
    <m/>
    <m/>
    <m/>
    <m/>
  </r>
  <r>
    <n v="15"/>
    <x v="15"/>
    <m/>
    <m/>
    <m/>
    <m/>
    <m/>
    <m/>
    <x v="0"/>
    <m/>
    <m/>
    <m/>
    <m/>
  </r>
  <r>
    <n v="15"/>
    <x v="15"/>
    <m/>
    <m/>
    <m/>
    <m/>
    <m/>
    <m/>
    <x v="0"/>
    <m/>
    <m/>
    <m/>
    <m/>
  </r>
  <r>
    <n v="15"/>
    <x v="15"/>
    <s v="Directional Drilling"/>
    <m/>
    <m/>
    <n v="160210.04999999999"/>
    <s v="PO4417-CSPH2-20251028 - RV Approved"/>
    <s v="Alpha Omega Inv 102784"/>
    <x v="4"/>
    <m/>
    <m/>
    <d v="2025-12-12T00:00:00"/>
    <m/>
  </r>
  <r>
    <n v="15"/>
    <x v="15"/>
    <s v="5000L Water"/>
    <m/>
    <m/>
    <n v="1200"/>
    <s v="PO4371-CSPH2-20251015 - RV Approved"/>
    <s v="Ultimate Soltions INV 2636"/>
    <x v="9"/>
    <m/>
    <m/>
    <d v="2025-10-16T00:00:00"/>
    <m/>
  </r>
  <r>
    <n v="15"/>
    <x v="15"/>
    <s v="5000L Water"/>
    <m/>
    <m/>
    <n v="1200"/>
    <s v="PO4419-CSPH2-20251029 - RV Approved"/>
    <s v="Ultimate Soltions INV 2647"/>
    <x v="5"/>
    <m/>
    <m/>
    <d v="2025-12-12T00:00:00"/>
    <m/>
  </r>
  <r>
    <n v="15"/>
    <x v="15"/>
    <s v="5000L Water"/>
    <m/>
    <m/>
    <n v="1200"/>
    <s v="PO4473-CSPH2-20251114 - RV Approved"/>
    <s v="Ultimate Soltions INV 2667"/>
    <x v="6"/>
    <m/>
    <m/>
    <d v="2026-01-29T00:00:00"/>
    <m/>
  </r>
  <r>
    <n v="15"/>
    <x v="15"/>
    <s v="5000L Water"/>
    <m/>
    <m/>
    <n v="1200"/>
    <s v="PO4512-CSPH2-20251201 - RV Approved"/>
    <m/>
    <x v="10"/>
    <m/>
    <m/>
    <d v="2026-01-31T00:00:00"/>
    <m/>
  </r>
  <r>
    <n v="15"/>
    <x v="15"/>
    <s v="5000L Water"/>
    <m/>
    <m/>
    <n v="1200"/>
    <s v="PO4531-CSPH2-20251209 - RV Approved"/>
    <m/>
    <x v="10"/>
    <m/>
    <m/>
    <d v="2026-02-14T00:00:00"/>
    <m/>
  </r>
  <r>
    <n v="15"/>
    <x v="15"/>
    <s v="240mm Alu XLPE 22kV - Tie In - TBC"/>
    <n v="270"/>
    <n v="1005.8"/>
    <n v="271566"/>
    <m/>
    <m/>
    <x v="12"/>
    <m/>
    <m/>
    <d v="2026-03-31T00:00:00"/>
    <m/>
  </r>
  <r>
    <n v="15"/>
    <x v="15"/>
    <s v="240mm Alu XLPE 22kV - Ground Mount Transforme - TBC"/>
    <n v="85"/>
    <n v="1005.8"/>
    <n v="85493"/>
    <m/>
    <m/>
    <x v="12"/>
    <m/>
    <m/>
    <d v="2026-03-31T00:00:00"/>
    <m/>
  </r>
  <r>
    <n v="15"/>
    <x v="15"/>
    <s v="Labour - TBC"/>
    <m/>
    <m/>
    <n v="250000"/>
    <m/>
    <m/>
    <x v="12"/>
    <m/>
    <m/>
    <d v="2026-03-31T00:00:00"/>
    <m/>
  </r>
  <r>
    <n v="15"/>
    <x v="15"/>
    <m/>
    <m/>
    <m/>
    <m/>
    <m/>
    <m/>
    <x v="0"/>
    <m/>
    <m/>
    <m/>
    <m/>
  </r>
  <r>
    <n v="15"/>
    <x v="15"/>
    <s v="Delay Damages"/>
    <m/>
    <m/>
    <n v="1151150.17"/>
    <m/>
    <m/>
    <x v="10"/>
    <m/>
    <m/>
    <d v="2026-02-28T00:00:00"/>
    <m/>
  </r>
  <r>
    <n v="15"/>
    <x v="15"/>
    <s v="Coega Steel PH2 - December 2025 Interest"/>
    <m/>
    <m/>
    <n v="271125.69"/>
    <m/>
    <s v="Fedgroup - LT000589_251231"/>
    <x v="6"/>
    <m/>
    <m/>
    <d v="2026-01-29T00:00:00"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21C424-4DCE-4F74-A88E-FC76459D22DE}" name="PivotTable1" cacheId="279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O21" firstHeaderRow="1" firstDataRow="2" firstDataCol="1"/>
  <pivotFields count="13">
    <pivotField showAll="0"/>
    <pivotField axis="axisRow" showAll="0">
      <items count="19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7"/>
        <item x="12"/>
        <item m="1" x="16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axis="axisCol" showAll="0">
      <items count="17">
        <item x="0"/>
        <item m="1" x="14"/>
        <item x="11"/>
        <item x="7"/>
        <item x="1"/>
        <item x="3"/>
        <item x="8"/>
        <item x="9"/>
        <item x="4"/>
        <item x="5"/>
        <item x="2"/>
        <item m="1" x="15"/>
        <item x="6"/>
        <item x="10"/>
        <item m="1" x="13"/>
        <item x="12"/>
        <item t="default"/>
      </items>
    </pivotField>
    <pivotField dataField="1" multipleItemSelectionAllowed="1"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7"/>
    </i>
    <i t="grand">
      <x/>
    </i>
  </rowItems>
  <colFields count="1">
    <field x="8"/>
  </colFields>
  <colItems count="14">
    <i>
      <x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2"/>
    </i>
    <i>
      <x v="13"/>
    </i>
    <i>
      <x v="15"/>
    </i>
    <i t="grand">
      <x/>
    </i>
  </colItems>
  <dataFields count="1">
    <dataField name="Sum of REVENUE RECOGNITION AMOUNT" fld="9" baseField="1" baseItem="2" numFmtId="167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203056-0D9D-409A-914E-210DDACA1250}" name="PivotTable5" cacheId="279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O21" firstHeaderRow="1" firstDataRow="2" firstDataCol="1"/>
  <pivotFields count="13">
    <pivotField showAll="0"/>
    <pivotField axis="axisRow" showAll="0">
      <items count="19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7"/>
        <item x="12"/>
        <item m="1" x="16"/>
        <item x="7"/>
        <item t="default"/>
      </items>
    </pivotField>
    <pivotField showAll="0"/>
    <pivotField showAll="0"/>
    <pivotField showAll="0"/>
    <pivotField dataField="1" showAll="0"/>
    <pivotField showAll="0"/>
    <pivotField showAll="0"/>
    <pivotField axis="axisCol" showAll="0">
      <items count="17">
        <item x="0"/>
        <item m="1" x="14"/>
        <item x="11"/>
        <item x="7"/>
        <item x="1"/>
        <item x="3"/>
        <item x="8"/>
        <item x="9"/>
        <item x="4"/>
        <item x="5"/>
        <item x="2"/>
        <item m="1" x="15"/>
        <item x="6"/>
        <item x="10"/>
        <item m="1" x="13"/>
        <item x="12"/>
        <item t="default"/>
      </items>
    </pivotField>
    <pivotField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7"/>
    </i>
    <i t="grand">
      <x/>
    </i>
  </rowItems>
  <colFields count="1">
    <field x="8"/>
  </colFields>
  <colItems count="14">
    <i>
      <x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2"/>
    </i>
    <i>
      <x v="13"/>
    </i>
    <i>
      <x v="15"/>
    </i>
    <i t="grand">
      <x/>
    </i>
  </colItems>
  <dataFields count="1">
    <dataField name="Sum of Actual Total " fld="5" baseField="0" baseItem="0" numFmtId="168"/>
  </dataFields>
  <formats count="1">
    <format dxfId="29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2" dT="2019-03-06T09:35:04.16" personId="{7B8B029F-64E7-4507-A36C-04BD7D968E99}" id="{ACD0AC85-B696-4AFA-9C70-C8E1E05314A3}">
    <text>These will calculate based on the start date and duration of the event</text>
  </threadedComment>
  <threadedComment ref="F2" dT="2019-03-06T09:34:48.80" personId="{7B8B029F-64E7-4507-A36C-04BD7D968E99}" id="{6CDF4260-BB7D-4039-A29B-37CEA0EA0DF0}">
    <text>To be entered manually during the course of the project</text>
  </threadedComment>
  <threadedComment ref="I2" dT="2019-03-06T09:35:15.06" personId="{7B8B029F-64E7-4507-A36C-04BD7D968E99}" id="{F221F682-80F5-4FD7-BC01-D23550B85EA0}">
    <text>To be entered manually</text>
  </threadedComment>
  <threadedComment ref="B23" dT="2019-07-03T08:42:09.33" personId="{7B8B029F-64E7-4507-A36C-04BD7D968E99}" id="{777036CD-363B-462E-92F5-64242AA93040}">
    <text>The AC tie-in and Monitoring Platform installation must be completed wihin 7 days of project start date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O112" dT="2026-02-02T08:59:31.36" personId="{2DEE67B4-A98D-41D0-90E5-7E37A87E2601}" id="{2854B7F8-B6AB-41C4-8F60-6316C08B90B3}">
    <text>@Lloyd Brown  has this been done by Schletter</text>
    <mentions>
      <mention mentionpersonId="{D9C18D5B-5816-4669-A092-6DCF1A14F028}" mentionId="{DB3F19BB-1F7C-4CE7-9CC5-FD2076350B18}" startIndex="0" length="12"/>
    </mentions>
  </threadedComment>
  <threadedComment ref="O112" dT="2026-02-02T09:26:17.06" personId="{8E673A1E-E825-45F1-8FC6-BDA182DE7C90}" id="{54F7F406-AEE4-4278-82A0-34F8880CF6CA}" parentId="{2854B7F8-B6AB-41C4-8F60-6316C08B90B3}">
    <text>First one has been done , final one i am awaiting confirmation from Schletter , next week or so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Q25" dT="2026-02-02T08:47:55.71" personId="{2C8B4193-20E7-47EA-9370-770AA92F68E1}" id="{AAF28551-44B2-4A97-AA95-48258E9438C1}">
    <text>@Lloyd Brown, fiollowing the discussion in December, was this returned to Kathea?</text>
    <mentions>
      <mention mentionpersonId="{D9C18D5B-5816-4669-A092-6DCF1A14F028}" mentionId="{7D281355-72B8-4414-BD0A-A0C31D0B923F}" startIndex="0" length="12"/>
    </mentions>
  </threadedComment>
  <threadedComment ref="W64" dT="2026-01-19T11:06:17.74" personId="{84D83BB5-98D3-409C-B27C-975D01321498}" id="{C44BF9C1-3572-4D98-A547-3C206E3710F0}">
    <text>@Roedolph Venter is this payment date correct?</text>
    <mentions>
      <mention mentionpersonId="{C9754192-F363-4201-9516-C3296FC41267}" mentionId="{AA184606-4130-4112-ADD3-4F2F7A611244}" startIndex="0" length="16"/>
    </mentions>
  </threadedComment>
  <threadedComment ref="W69" dT="2026-01-19T11:08:16.26" personId="{84D83BB5-98D3-409C-B27C-975D01321498}" id="{4F70E5B8-0176-4963-BF42-34239AC81C79}">
    <text>@Roedolph Venter same here</text>
    <mentions>
      <mention mentionpersonId="{C9754192-F363-4201-9516-C3296FC41267}" mentionId="{3169E002-BC67-4381-BA87-8B21687C8102}" startIndex="0" length="16"/>
    </mentions>
  </threadedComment>
  <threadedComment ref="Q87" dT="2026-02-02T08:46:38.38" personId="{2C8B4193-20E7-47EA-9370-770AA92F68E1}" id="{331B2931-76F1-4D4F-8433-A52A685E0493}">
    <text>@Lloyd Brown when is this due for payment?</text>
    <mentions>
      <mention mentionpersonId="{D9C18D5B-5816-4669-A092-6DCF1A14F028}" mentionId="{119D3F5C-5151-47AF-9CF2-56983646F23C}" startIndex="0" length="12"/>
    </mentions>
  </threadedComment>
  <threadedComment ref="W112" dT="2026-01-19T11:08:47.06" personId="{84D83BB5-98D3-409C-B27C-975D01321498}" id="{7142C94D-29B9-4583-A0CC-834832CF0119}">
    <text>@Roedolph Venter same here</text>
    <mentions>
      <mention mentionpersonId="{C9754192-F363-4201-9516-C3296FC41267}" mentionId="{4C33B7BD-4A4E-4830-80FD-5482217A78EF}" startIndex="0" length="16"/>
    </mentions>
  </threadedComment>
  <threadedComment ref="W117" dT="2026-01-19T11:09:03.69" personId="{84D83BB5-98D3-409C-B27C-975D01321498}" id="{CD680B1E-987F-44D4-A73D-04BEE87C3649}">
    <text>@Roedolph Venter same here</text>
    <mentions>
      <mention mentionpersonId="{C9754192-F363-4201-9516-C3296FC41267}" mentionId="{1BEA1CB2-2F2B-4A57-9B70-38C1C3DD31A0}" startIndex="0" length="16"/>
    </mentions>
  </threadedComment>
  <threadedComment ref="H177" dT="2025-10-03T10:15:21.90" personId="{F38BC8CB-2CC2-4233-A1D2-12C466B53C9F}" id="{F529163D-E31D-439B-B9AF-C66F28EC9CAF}">
    <text>@mizelda, please update the payment date</text>
  </threadedComment>
  <threadedComment ref="W188" dT="2026-01-19T11:09:58.39" personId="{84D83BB5-98D3-409C-B27C-975D01321498}" id="{E1C95E8E-137E-4A6A-9351-B06EFEBA88F7}">
    <text>@Roedolph Venter  has these been achieved last week?</text>
    <mentions>
      <mention mentionpersonId="{C9754192-F363-4201-9516-C3296FC41267}" mentionId="{EB14CC8A-0D87-44DB-A80E-F7C04BB7BD51}" startIndex="0" length="16"/>
    </mentions>
  </threadedComment>
  <threadedComment ref="W190" dT="2026-01-19T11:10:11.98" personId="{84D83BB5-98D3-409C-B27C-975D01321498}" id="{1DDE1D03-90DA-40FB-AEC2-85DAB5346E8A}">
    <text xml:space="preserve">This should move out @Roedolph Venter </text>
    <mentions>
      <mention mentionpersonId="{C9754192-F363-4201-9516-C3296FC41267}" mentionId="{A585D82C-F828-4C7E-B330-C21AFD6DB89E}" startIndex="21" length="16"/>
    </mentions>
  </threadedComment>
  <threadedComment ref="W196" dT="2026-01-19T11:10:52.37" personId="{84D83BB5-98D3-409C-B27C-975D01321498}" id="{18D8F036-46B8-4C7D-810A-4E97183FE6B5}">
    <text>@Roedolph Venter  lets please pay only 7 days after completion</text>
    <mentions>
      <mention mentionpersonId="{C9754192-F363-4201-9516-C3296FC41267}" mentionId="{9D519394-9576-4319-A3EE-D9C6DD7AC203}" startIndex="0" length="16"/>
    </mentions>
  </threadedComment>
  <threadedComment ref="W202" dT="2026-01-19T11:11:13.92" personId="{84D83BB5-98D3-409C-B27C-975D01321498}" id="{EC56A09C-F82B-4492-B2DC-64719D08F1B9}">
    <text>@Roedolph Venter this needs to move out</text>
    <mentions>
      <mention mentionpersonId="{C9754192-F363-4201-9516-C3296FC41267}" mentionId="{7EE087A9-A889-4E44-9585-3DCD4121A319}" startIndex="0" length="16"/>
    </mentions>
  </threadedComment>
  <threadedComment ref="W211" dT="2026-01-19T11:11:38.27" personId="{84D83BB5-98D3-409C-B27C-975D01321498}" id="{604C4D76-784C-466A-91D3-78BD538FBB1D}" done="1">
    <text>@Roedolph Venter  these can move out as well</text>
    <mentions>
      <mention mentionpersonId="{C9754192-F363-4201-9516-C3296FC41267}" mentionId="{A878B874-F617-4945-A2BA-ABC3601977F0}" startIndex="0" length="16"/>
    </mentions>
  </threadedComment>
  <threadedComment ref="S232" dT="2026-01-19T11:12:06.33" personId="{84D83BB5-98D3-409C-B27C-975D01321498}" id="{E5677A00-2AED-4798-B433-C2EB0B3FDC1D}">
    <text>@Roedolph Venter  what is happening here</text>
    <mentions>
      <mention mentionpersonId="{C9754192-F363-4201-9516-C3296FC41267}" mentionId="{D1E71DF4-26BC-4E05-901F-639B82E0D3B2}" startIndex="0" length="16"/>
    </mentions>
  </threadedComment>
  <threadedComment ref="H236" dT="2025-07-31T08:11:31.88" personId="{F38BC8CB-2CC2-4233-A1D2-12C466B53C9F}" id="{83FC6750-5EE4-4B63-A817-5ABEB0596029}" done="1">
    <text>@Mizelda Isaacs please update the payment date</text>
    <mentions>
      <mention mentionpersonId="{6BBFDAC7-363B-4104-9F2B-C63C3F07B90D}" mentionId="{2C574261-25EB-4740-870E-BDFCC259D00B}" startIndex="0" length="15"/>
    </mentions>
  </threadedComment>
  <threadedComment ref="W236" dT="2025-07-31T08:11:31.88" personId="{F38BC8CB-2CC2-4233-A1D2-12C466B53C9F}" id="{BDE52B69-49C9-40B8-B6F9-7B3709E4AC1E}" done="1">
    <text>@Mizelda Isaacs please update the payment date</text>
    <mentions>
      <mention mentionpersonId="{6BBFDAC7-363B-4104-9F2B-C63C3F07B90D}" mentionId="{44B45379-5454-4888-8DF4-BB4F3D294AC7}" startIndex="0" length="15"/>
    </mentions>
  </threadedComment>
  <threadedComment ref="H277" dT="2025-09-17T13:34:14.08" personId="{D685E037-2121-4005-8A6F-1BABCB4CA0D3}" id="{61B8144E-77CD-472E-BB9C-E93B6DC7CD26}">
    <text>@Mizelda Isaacs please add payment date</text>
    <mentions>
      <mention mentionpersonId="{6BBFDAC7-363B-4104-9F2B-C63C3F07B90D}" mentionId="{BE532551-1A06-4FDD-82BD-9B418446CEF0}" startIndex="0" length="15"/>
    </mentions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6" Type="http://schemas.microsoft.com/office/2019/04/relationships/documenttask" Target="../documenttasks/documenttask1.xml"/><Relationship Id="rId5" Type="http://schemas.microsoft.com/office/2017/10/relationships/threadedComment" Target="../threadedComments/threadedComment2.xml"/><Relationship Id="rId4" Type="http://schemas.openxmlformats.org/officeDocument/2006/relationships/comments" Target="../comments2.xml"/></Relationships>
</file>

<file path=xl/worksheets/_rels/sheet6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3.xml"/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Relationship Id="rId4" Type="http://schemas.microsoft.com/office/2019/04/relationships/documenttask" Target="../documenttasks/documenttask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0FEEB-CDA4-4F0E-A4A4-DCAC1BD3960A}">
  <sheetPr codeName="Sheet1"/>
  <dimension ref="A1:BG48"/>
  <sheetViews>
    <sheetView zoomScale="70" zoomScaleNormal="70" workbookViewId="0">
      <selection activeCell="H4" sqref="H4"/>
    </sheetView>
  </sheetViews>
  <sheetFormatPr defaultColWidth="9.42578125" defaultRowHeight="14.1"/>
  <cols>
    <col min="1" max="1" width="9.42578125" style="64"/>
    <col min="2" max="2" width="84.42578125" style="65" bestFit="1" customWidth="1"/>
    <col min="3" max="3" width="19" style="24" customWidth="1"/>
    <col min="4" max="4" width="13.42578125" style="70" customWidth="1"/>
    <col min="5" max="5" width="17.42578125" style="24" customWidth="1"/>
    <col min="6" max="6" width="18.42578125" style="24" customWidth="1"/>
    <col min="7" max="7" width="5.5703125" style="24" bestFit="1" customWidth="1"/>
    <col min="8" max="8" width="20.42578125" style="24" bestFit="1" customWidth="1"/>
    <col min="9" max="9" width="3.140625" style="24" customWidth="1"/>
    <col min="10" max="10" width="47.42578125" style="24" bestFit="1" customWidth="1"/>
    <col min="11" max="11" width="6.42578125" style="3" customWidth="1"/>
    <col min="12" max="12" width="14.140625" style="24" customWidth="1"/>
    <col min="13" max="16384" width="9.42578125" style="24"/>
  </cols>
  <sheetData>
    <row r="1" spans="1:59" s="3" customFormat="1">
      <c r="A1" s="1" t="s">
        <v>0</v>
      </c>
      <c r="B1" s="2"/>
      <c r="D1" s="4"/>
      <c r="F1" s="5"/>
      <c r="G1" s="5"/>
      <c r="H1" s="6"/>
      <c r="I1" s="7"/>
      <c r="J1" s="7"/>
    </row>
    <row r="2" spans="1:59" s="14" customFormat="1" ht="27.95">
      <c r="A2" s="8" t="s">
        <v>1</v>
      </c>
      <c r="B2" s="9" t="s">
        <v>2</v>
      </c>
      <c r="C2" s="8" t="s">
        <v>3</v>
      </c>
      <c r="D2" s="8" t="s">
        <v>4</v>
      </c>
      <c r="E2" s="8" t="s">
        <v>5</v>
      </c>
      <c r="F2" s="8" t="s">
        <v>6</v>
      </c>
      <c r="G2" s="8"/>
      <c r="H2" s="8" t="s">
        <v>7</v>
      </c>
      <c r="I2" s="10"/>
      <c r="J2" s="11" t="s">
        <v>8</v>
      </c>
      <c r="K2" s="12"/>
      <c r="L2" s="13">
        <f>C3</f>
        <v>43831</v>
      </c>
      <c r="M2" s="13">
        <f>L2+3</f>
        <v>43834</v>
      </c>
      <c r="N2" s="13">
        <f t="shared" ref="N2:AP2" si="0">M2+7</f>
        <v>43841</v>
      </c>
      <c r="O2" s="13">
        <f t="shared" si="0"/>
        <v>43848</v>
      </c>
      <c r="P2" s="13">
        <f t="shared" si="0"/>
        <v>43855</v>
      </c>
      <c r="Q2" s="13">
        <f>P2+6</f>
        <v>43861</v>
      </c>
      <c r="R2" s="13">
        <f>Q2+1</f>
        <v>43862</v>
      </c>
      <c r="S2" s="13">
        <f t="shared" si="0"/>
        <v>43869</v>
      </c>
      <c r="T2" s="13">
        <f t="shared" si="0"/>
        <v>43876</v>
      </c>
      <c r="U2" s="13">
        <f t="shared" si="0"/>
        <v>43883</v>
      </c>
      <c r="V2" s="13">
        <f>U2+6</f>
        <v>43889</v>
      </c>
      <c r="W2" s="13">
        <f t="shared" si="0"/>
        <v>43896</v>
      </c>
      <c r="X2" s="13">
        <f t="shared" si="0"/>
        <v>43903</v>
      </c>
      <c r="Y2" s="13">
        <f t="shared" si="0"/>
        <v>43910</v>
      </c>
      <c r="Z2" s="13">
        <f t="shared" si="0"/>
        <v>43917</v>
      </c>
      <c r="AA2" s="13">
        <f>Z2+3</f>
        <v>43920</v>
      </c>
      <c r="AB2" s="13">
        <f>AA2+4</f>
        <v>43924</v>
      </c>
      <c r="AC2" s="13">
        <f t="shared" si="0"/>
        <v>43931</v>
      </c>
      <c r="AD2" s="13">
        <f t="shared" si="0"/>
        <v>43938</v>
      </c>
      <c r="AE2" s="13">
        <f t="shared" si="0"/>
        <v>43945</v>
      </c>
      <c r="AF2" s="13">
        <f>AE2+6</f>
        <v>43951</v>
      </c>
      <c r="AG2" s="13">
        <f>AF2+2</f>
        <v>43953</v>
      </c>
      <c r="AH2" s="13">
        <f t="shared" si="0"/>
        <v>43960</v>
      </c>
      <c r="AI2" s="13">
        <f t="shared" si="0"/>
        <v>43967</v>
      </c>
      <c r="AJ2" s="13">
        <f t="shared" si="0"/>
        <v>43974</v>
      </c>
      <c r="AK2" s="13">
        <f t="shared" si="0"/>
        <v>43981</v>
      </c>
      <c r="AL2" s="13">
        <f>AK2+1</f>
        <v>43982</v>
      </c>
      <c r="AM2" s="13">
        <f>AL2+6</f>
        <v>43988</v>
      </c>
      <c r="AN2" s="13">
        <f t="shared" si="0"/>
        <v>43995</v>
      </c>
      <c r="AO2" s="13">
        <f t="shared" si="0"/>
        <v>44002</v>
      </c>
      <c r="AP2" s="13">
        <f t="shared" si="0"/>
        <v>44009</v>
      </c>
      <c r="AQ2" s="13">
        <f>AP2+3</f>
        <v>44012</v>
      </c>
      <c r="AR2" s="13">
        <f>AQ2+4</f>
        <v>44016</v>
      </c>
      <c r="AS2" s="13">
        <f>AR2+7</f>
        <v>44023</v>
      </c>
      <c r="AT2" s="13">
        <f t="shared" ref="AT2:AU2" si="1">AS2+7</f>
        <v>44030</v>
      </c>
      <c r="AU2" s="13">
        <f t="shared" si="1"/>
        <v>44037</v>
      </c>
      <c r="AV2" s="13">
        <f>AU2+6</f>
        <v>44043</v>
      </c>
      <c r="AW2" s="13">
        <f>AV2+1</f>
        <v>44044</v>
      </c>
      <c r="AX2" s="13">
        <f t="shared" ref="AX2:BA2" si="2">AW2+7</f>
        <v>44051</v>
      </c>
      <c r="AY2" s="13">
        <f t="shared" si="2"/>
        <v>44058</v>
      </c>
      <c r="AZ2" s="13">
        <f t="shared" si="2"/>
        <v>44065</v>
      </c>
      <c r="BA2" s="13">
        <f t="shared" si="2"/>
        <v>44072</v>
      </c>
      <c r="BB2" s="13">
        <f>BA2+2</f>
        <v>44074</v>
      </c>
      <c r="BC2" s="13">
        <f>BB2+5</f>
        <v>44079</v>
      </c>
      <c r="BD2" s="13">
        <f>BC2+7</f>
        <v>44086</v>
      </c>
      <c r="BE2" s="13">
        <f t="shared" ref="BE2:BF2" si="3">BD2+7</f>
        <v>44093</v>
      </c>
      <c r="BF2" s="13">
        <f t="shared" si="3"/>
        <v>44100</v>
      </c>
      <c r="BG2" s="13">
        <f>BF2+4</f>
        <v>44104</v>
      </c>
    </row>
    <row r="3" spans="1:59" ht="15.6">
      <c r="A3" s="15">
        <v>1</v>
      </c>
      <c r="B3" s="16" t="s">
        <v>9</v>
      </c>
      <c r="C3" s="17">
        <v>43831</v>
      </c>
      <c r="D3" s="18">
        <v>1</v>
      </c>
      <c r="E3" s="19">
        <v>43832</v>
      </c>
      <c r="F3" s="17">
        <v>43831</v>
      </c>
      <c r="G3" s="18">
        <v>1</v>
      </c>
      <c r="H3" s="19">
        <v>43832</v>
      </c>
      <c r="I3" s="20"/>
      <c r="J3" s="21"/>
      <c r="L3" s="22">
        <f t="shared" ref="L3:AA11" si="4">IF(AND($F3&lt;(L$2+7),$F3&gt;L$2),1,
IF(AND($H3&lt;L$2+7,$H3&gt;L$2),3,
IF(AND($F3&lt;=L$2, $H3&gt;=L$2),  2,
"" )))</f>
        <v>3</v>
      </c>
      <c r="M3" s="22" t="str">
        <f t="shared" si="4"/>
        <v/>
      </c>
      <c r="N3" s="22" t="str">
        <f t="shared" si="4"/>
        <v/>
      </c>
      <c r="O3" s="22" t="str">
        <f t="shared" si="4"/>
        <v/>
      </c>
      <c r="P3" s="22" t="str">
        <f t="shared" si="4"/>
        <v/>
      </c>
      <c r="Q3" s="22" t="str">
        <f t="shared" si="4"/>
        <v/>
      </c>
      <c r="R3" s="22" t="str">
        <f t="shared" si="4"/>
        <v/>
      </c>
      <c r="S3" s="22" t="str">
        <f t="shared" si="4"/>
        <v/>
      </c>
      <c r="T3" s="22" t="str">
        <f t="shared" si="4"/>
        <v/>
      </c>
      <c r="U3" s="22" t="str">
        <f t="shared" si="4"/>
        <v/>
      </c>
      <c r="V3" s="22" t="str">
        <f t="shared" si="4"/>
        <v/>
      </c>
      <c r="W3" s="22" t="str">
        <f t="shared" si="4"/>
        <v/>
      </c>
      <c r="X3" s="22" t="str">
        <f t="shared" si="4"/>
        <v/>
      </c>
      <c r="Y3" s="22" t="str">
        <f t="shared" si="4"/>
        <v/>
      </c>
      <c r="Z3" s="22" t="str">
        <f t="shared" si="4"/>
        <v/>
      </c>
      <c r="AA3" s="22" t="str">
        <f t="shared" si="4"/>
        <v/>
      </c>
      <c r="AB3" s="22" t="str">
        <f t="shared" ref="AB3:AQ11" si="5">IF(AND($F3&lt;(AB$2+7),$F3&gt;AB$2),1,
IF(AND($H3&lt;AB$2+7,$H3&gt;AB$2),3,
IF(AND($F3&lt;=AB$2, $H3&gt;=AB$2),  2,
"" )))</f>
        <v/>
      </c>
      <c r="AC3" s="22" t="str">
        <f t="shared" si="5"/>
        <v/>
      </c>
      <c r="AD3" s="22" t="str">
        <f t="shared" si="5"/>
        <v/>
      </c>
      <c r="AE3" s="22" t="str">
        <f t="shared" si="5"/>
        <v/>
      </c>
      <c r="AF3" s="22" t="str">
        <f t="shared" si="5"/>
        <v/>
      </c>
      <c r="AG3" s="22" t="str">
        <f t="shared" si="5"/>
        <v/>
      </c>
      <c r="AH3" s="22" t="str">
        <f t="shared" si="5"/>
        <v/>
      </c>
      <c r="AI3" s="22" t="str">
        <f t="shared" si="5"/>
        <v/>
      </c>
      <c r="AJ3" s="22" t="str">
        <f t="shared" si="5"/>
        <v/>
      </c>
      <c r="AK3" s="22" t="str">
        <f t="shared" si="5"/>
        <v/>
      </c>
      <c r="AL3" s="22" t="str">
        <f t="shared" si="5"/>
        <v/>
      </c>
      <c r="AM3" s="22" t="str">
        <f t="shared" si="5"/>
        <v/>
      </c>
      <c r="AN3" s="22" t="str">
        <f t="shared" si="5"/>
        <v/>
      </c>
      <c r="AO3" s="22" t="str">
        <f t="shared" si="5"/>
        <v/>
      </c>
      <c r="AP3" s="22" t="str">
        <f t="shared" si="5"/>
        <v/>
      </c>
      <c r="AQ3" s="22" t="str">
        <f t="shared" si="5"/>
        <v/>
      </c>
      <c r="AR3" s="23"/>
      <c r="AS3" s="23"/>
      <c r="AT3" s="23"/>
      <c r="AU3" s="23"/>
      <c r="AV3" s="23"/>
      <c r="AW3" s="23"/>
      <c r="BC3" s="13"/>
      <c r="BD3" s="13"/>
    </row>
    <row r="4" spans="1:59">
      <c r="A4" s="25" t="s">
        <v>10</v>
      </c>
      <c r="B4" s="26" t="s">
        <v>11</v>
      </c>
      <c r="C4" s="27">
        <v>43832</v>
      </c>
      <c r="D4" s="28">
        <v>1</v>
      </c>
      <c r="E4" s="29">
        <v>43833</v>
      </c>
      <c r="F4" s="27">
        <v>43832</v>
      </c>
      <c r="G4" s="28">
        <v>1</v>
      </c>
      <c r="H4" s="29">
        <v>43833</v>
      </c>
      <c r="I4" s="30"/>
      <c r="J4" s="21"/>
      <c r="L4" s="22">
        <f t="shared" si="4"/>
        <v>1</v>
      </c>
      <c r="M4" s="22" t="str">
        <f t="shared" si="4"/>
        <v/>
      </c>
      <c r="N4" s="22" t="str">
        <f t="shared" si="4"/>
        <v/>
      </c>
      <c r="O4" s="22" t="str">
        <f t="shared" si="4"/>
        <v/>
      </c>
      <c r="P4" s="22" t="str">
        <f t="shared" si="4"/>
        <v/>
      </c>
      <c r="Q4" s="22" t="str">
        <f t="shared" si="4"/>
        <v/>
      </c>
      <c r="R4" s="22" t="str">
        <f t="shared" si="4"/>
        <v/>
      </c>
      <c r="S4" s="22" t="str">
        <f t="shared" si="4"/>
        <v/>
      </c>
      <c r="T4" s="22" t="str">
        <f t="shared" si="4"/>
        <v/>
      </c>
      <c r="U4" s="22" t="str">
        <f t="shared" si="4"/>
        <v/>
      </c>
      <c r="V4" s="22" t="str">
        <f t="shared" si="4"/>
        <v/>
      </c>
      <c r="W4" s="22" t="str">
        <f t="shared" si="4"/>
        <v/>
      </c>
      <c r="X4" s="22" t="str">
        <f t="shared" si="4"/>
        <v/>
      </c>
      <c r="Y4" s="22" t="str">
        <f t="shared" si="4"/>
        <v/>
      </c>
      <c r="Z4" s="22" t="str">
        <f t="shared" si="4"/>
        <v/>
      </c>
      <c r="AA4" s="22" t="str">
        <f t="shared" si="4"/>
        <v/>
      </c>
      <c r="AB4" s="22" t="str">
        <f t="shared" si="5"/>
        <v/>
      </c>
      <c r="AC4" s="22" t="str">
        <f t="shared" si="5"/>
        <v/>
      </c>
      <c r="AD4" s="22" t="str">
        <f t="shared" si="5"/>
        <v/>
      </c>
      <c r="AE4" s="22" t="str">
        <f t="shared" si="5"/>
        <v/>
      </c>
      <c r="AF4" s="22" t="str">
        <f t="shared" si="5"/>
        <v/>
      </c>
      <c r="AG4" s="22" t="str">
        <f t="shared" si="5"/>
        <v/>
      </c>
      <c r="AH4" s="22" t="str">
        <f t="shared" si="5"/>
        <v/>
      </c>
      <c r="AI4" s="22" t="str">
        <f t="shared" si="5"/>
        <v/>
      </c>
      <c r="AJ4" s="22" t="str">
        <f t="shared" si="5"/>
        <v/>
      </c>
      <c r="AK4" s="22" t="str">
        <f t="shared" si="5"/>
        <v/>
      </c>
      <c r="AL4" s="22" t="str">
        <f t="shared" si="5"/>
        <v/>
      </c>
      <c r="AM4" s="22" t="str">
        <f t="shared" si="5"/>
        <v/>
      </c>
      <c r="AN4" s="22" t="str">
        <f t="shared" si="5"/>
        <v/>
      </c>
      <c r="AO4" s="22" t="str">
        <f t="shared" si="5"/>
        <v/>
      </c>
      <c r="AP4" s="22" t="str">
        <f t="shared" si="5"/>
        <v/>
      </c>
      <c r="AQ4" s="22" t="str">
        <f t="shared" si="5"/>
        <v/>
      </c>
      <c r="AR4" s="23"/>
      <c r="AS4" s="23"/>
      <c r="AT4" s="23"/>
      <c r="AU4" s="23"/>
      <c r="AV4" s="23"/>
      <c r="AW4" s="23"/>
      <c r="BC4" s="13"/>
      <c r="BD4" s="13"/>
    </row>
    <row r="5" spans="1:59" ht="15.6">
      <c r="A5" s="15">
        <v>2</v>
      </c>
      <c r="B5" s="16" t="s">
        <v>12</v>
      </c>
      <c r="C5" s="31">
        <v>43833</v>
      </c>
      <c r="D5" s="18">
        <v>5</v>
      </c>
      <c r="E5" s="19">
        <v>43840</v>
      </c>
      <c r="F5" s="31">
        <v>43833</v>
      </c>
      <c r="G5" s="18">
        <v>5</v>
      </c>
      <c r="H5" s="19">
        <v>43840</v>
      </c>
      <c r="I5" s="20"/>
      <c r="J5" s="21"/>
      <c r="L5" s="22">
        <f t="shared" si="4"/>
        <v>1</v>
      </c>
      <c r="M5" s="22">
        <f t="shared" si="4"/>
        <v>3</v>
      </c>
      <c r="N5" s="22" t="str">
        <f t="shared" si="4"/>
        <v/>
      </c>
      <c r="O5" s="22" t="str">
        <f t="shared" si="4"/>
        <v/>
      </c>
      <c r="P5" s="22" t="str">
        <f t="shared" si="4"/>
        <v/>
      </c>
      <c r="Q5" s="22" t="str">
        <f t="shared" si="4"/>
        <v/>
      </c>
      <c r="R5" s="22" t="str">
        <f t="shared" si="4"/>
        <v/>
      </c>
      <c r="S5" s="22" t="str">
        <f t="shared" si="4"/>
        <v/>
      </c>
      <c r="T5" s="22" t="str">
        <f t="shared" si="4"/>
        <v/>
      </c>
      <c r="U5" s="22" t="str">
        <f t="shared" si="4"/>
        <v/>
      </c>
      <c r="V5" s="22" t="str">
        <f t="shared" si="4"/>
        <v/>
      </c>
      <c r="W5" s="22" t="str">
        <f t="shared" si="4"/>
        <v/>
      </c>
      <c r="X5" s="22" t="str">
        <f t="shared" si="4"/>
        <v/>
      </c>
      <c r="Y5" s="22" t="str">
        <f t="shared" si="4"/>
        <v/>
      </c>
      <c r="Z5" s="22" t="str">
        <f t="shared" si="4"/>
        <v/>
      </c>
      <c r="AA5" s="22" t="str">
        <f t="shared" si="4"/>
        <v/>
      </c>
      <c r="AB5" s="22" t="str">
        <f t="shared" si="5"/>
        <v/>
      </c>
      <c r="AC5" s="22" t="str">
        <f t="shared" si="5"/>
        <v/>
      </c>
      <c r="AD5" s="22" t="str">
        <f t="shared" si="5"/>
        <v/>
      </c>
      <c r="AE5" s="22" t="str">
        <f t="shared" si="5"/>
        <v/>
      </c>
      <c r="AF5" s="22" t="str">
        <f t="shared" si="5"/>
        <v/>
      </c>
      <c r="AG5" s="22" t="str">
        <f t="shared" si="5"/>
        <v/>
      </c>
      <c r="AH5" s="22" t="str">
        <f t="shared" si="5"/>
        <v/>
      </c>
      <c r="AI5" s="22" t="str">
        <f t="shared" si="5"/>
        <v/>
      </c>
      <c r="AJ5" s="22" t="str">
        <f t="shared" si="5"/>
        <v/>
      </c>
      <c r="AK5" s="22" t="str">
        <f t="shared" si="5"/>
        <v/>
      </c>
      <c r="AL5" s="22" t="str">
        <f t="shared" si="5"/>
        <v/>
      </c>
      <c r="AM5" s="22" t="str">
        <f t="shared" si="5"/>
        <v/>
      </c>
      <c r="AN5" s="22" t="str">
        <f t="shared" si="5"/>
        <v/>
      </c>
      <c r="AO5" s="22" t="str">
        <f t="shared" si="5"/>
        <v/>
      </c>
      <c r="AP5" s="22" t="str">
        <f t="shared" si="5"/>
        <v/>
      </c>
      <c r="AQ5" s="22" t="str">
        <f t="shared" si="5"/>
        <v/>
      </c>
      <c r="AR5" s="23"/>
      <c r="AS5" s="23"/>
      <c r="AT5" s="23"/>
      <c r="AU5" s="23"/>
      <c r="AV5" s="23"/>
      <c r="AW5" s="23"/>
      <c r="BC5" s="13"/>
      <c r="BD5" s="13"/>
    </row>
    <row r="6" spans="1:59" ht="15.6">
      <c r="A6" s="15">
        <v>3</v>
      </c>
      <c r="B6" s="16" t="s">
        <v>13</v>
      </c>
      <c r="C6" s="31">
        <v>43841</v>
      </c>
      <c r="D6" s="18">
        <v>2</v>
      </c>
      <c r="E6" s="19">
        <v>43844</v>
      </c>
      <c r="F6" s="31">
        <v>43841</v>
      </c>
      <c r="G6" s="18">
        <v>2</v>
      </c>
      <c r="H6" s="19">
        <v>43844</v>
      </c>
      <c r="I6" s="20"/>
      <c r="J6" s="21"/>
      <c r="L6" s="22" t="str">
        <f t="shared" si="4"/>
        <v/>
      </c>
      <c r="M6" s="22" t="str">
        <f t="shared" si="4"/>
        <v/>
      </c>
      <c r="N6" s="22">
        <f t="shared" si="4"/>
        <v>3</v>
      </c>
      <c r="O6" s="22" t="str">
        <f t="shared" si="4"/>
        <v/>
      </c>
      <c r="P6" s="22" t="str">
        <f t="shared" si="4"/>
        <v/>
      </c>
      <c r="Q6" s="22" t="str">
        <f t="shared" si="4"/>
        <v/>
      </c>
      <c r="R6" s="22" t="str">
        <f t="shared" si="4"/>
        <v/>
      </c>
      <c r="S6" s="22" t="str">
        <f t="shared" si="4"/>
        <v/>
      </c>
      <c r="T6" s="22" t="str">
        <f t="shared" si="4"/>
        <v/>
      </c>
      <c r="U6" s="22" t="str">
        <f t="shared" si="4"/>
        <v/>
      </c>
      <c r="V6" s="22" t="str">
        <f t="shared" si="4"/>
        <v/>
      </c>
      <c r="W6" s="22" t="str">
        <f t="shared" si="4"/>
        <v/>
      </c>
      <c r="X6" s="22" t="str">
        <f t="shared" si="4"/>
        <v/>
      </c>
      <c r="Y6" s="22" t="str">
        <f t="shared" si="4"/>
        <v/>
      </c>
      <c r="Z6" s="22" t="str">
        <f t="shared" si="4"/>
        <v/>
      </c>
      <c r="AA6" s="22" t="str">
        <f t="shared" si="4"/>
        <v/>
      </c>
      <c r="AB6" s="22" t="str">
        <f t="shared" si="5"/>
        <v/>
      </c>
      <c r="AC6" s="22" t="str">
        <f t="shared" si="5"/>
        <v/>
      </c>
      <c r="AD6" s="22" t="str">
        <f t="shared" si="5"/>
        <v/>
      </c>
      <c r="AE6" s="22" t="str">
        <f t="shared" si="5"/>
        <v/>
      </c>
      <c r="AF6" s="22" t="str">
        <f t="shared" si="5"/>
        <v/>
      </c>
      <c r="AG6" s="22" t="str">
        <f t="shared" si="5"/>
        <v/>
      </c>
      <c r="AH6" s="22" t="str">
        <f t="shared" si="5"/>
        <v/>
      </c>
      <c r="AI6" s="22" t="str">
        <f t="shared" si="5"/>
        <v/>
      </c>
      <c r="AJ6" s="22" t="str">
        <f t="shared" si="5"/>
        <v/>
      </c>
      <c r="AK6" s="22" t="str">
        <f t="shared" si="5"/>
        <v/>
      </c>
      <c r="AL6" s="22" t="str">
        <f t="shared" si="5"/>
        <v/>
      </c>
      <c r="AM6" s="22" t="str">
        <f t="shared" si="5"/>
        <v/>
      </c>
      <c r="AN6" s="22" t="str">
        <f t="shared" si="5"/>
        <v/>
      </c>
      <c r="AO6" s="22" t="str">
        <f t="shared" si="5"/>
        <v/>
      </c>
      <c r="AP6" s="22" t="str">
        <f t="shared" si="5"/>
        <v/>
      </c>
      <c r="AQ6" s="22" t="str">
        <f t="shared" si="5"/>
        <v/>
      </c>
      <c r="AR6" s="23"/>
      <c r="AS6" s="23"/>
      <c r="AT6" s="23"/>
      <c r="AU6" s="23"/>
      <c r="AV6" s="23"/>
      <c r="AW6" s="23"/>
      <c r="BC6" s="13"/>
      <c r="BD6" s="13"/>
    </row>
    <row r="7" spans="1:59" ht="15.6">
      <c r="A7" s="32">
        <v>4</v>
      </c>
      <c r="B7" s="33" t="s">
        <v>14</v>
      </c>
      <c r="C7" s="34">
        <v>43833</v>
      </c>
      <c r="D7" s="35"/>
      <c r="E7" s="36">
        <v>43949</v>
      </c>
      <c r="F7" s="34">
        <v>43833</v>
      </c>
      <c r="G7" s="35"/>
      <c r="H7" s="36">
        <v>43949</v>
      </c>
      <c r="I7" s="37"/>
      <c r="J7" s="21"/>
      <c r="L7" s="22">
        <f t="shared" si="4"/>
        <v>1</v>
      </c>
      <c r="M7" s="22">
        <f t="shared" si="4"/>
        <v>2</v>
      </c>
      <c r="N7" s="22">
        <f t="shared" si="4"/>
        <v>2</v>
      </c>
      <c r="O7" s="22">
        <f t="shared" si="4"/>
        <v>2</v>
      </c>
      <c r="P7" s="22">
        <f t="shared" si="4"/>
        <v>2</v>
      </c>
      <c r="Q7" s="22">
        <f t="shared" si="4"/>
        <v>2</v>
      </c>
      <c r="R7" s="22">
        <f t="shared" si="4"/>
        <v>2</v>
      </c>
      <c r="S7" s="22">
        <f t="shared" si="4"/>
        <v>2</v>
      </c>
      <c r="T7" s="22">
        <f t="shared" si="4"/>
        <v>2</v>
      </c>
      <c r="U7" s="22">
        <f t="shared" si="4"/>
        <v>2</v>
      </c>
      <c r="V7" s="22">
        <f t="shared" si="4"/>
        <v>2</v>
      </c>
      <c r="W7" s="22">
        <f t="shared" si="4"/>
        <v>2</v>
      </c>
      <c r="X7" s="22">
        <f t="shared" si="4"/>
        <v>2</v>
      </c>
      <c r="Y7" s="22">
        <f t="shared" si="4"/>
        <v>2</v>
      </c>
      <c r="Z7" s="22">
        <f t="shared" si="4"/>
        <v>2</v>
      </c>
      <c r="AA7" s="22">
        <f t="shared" si="4"/>
        <v>2</v>
      </c>
      <c r="AB7" s="22">
        <f t="shared" si="5"/>
        <v>2</v>
      </c>
      <c r="AC7" s="22">
        <f t="shared" si="5"/>
        <v>2</v>
      </c>
      <c r="AD7" s="22">
        <f t="shared" si="5"/>
        <v>2</v>
      </c>
      <c r="AE7" s="22">
        <f t="shared" si="5"/>
        <v>3</v>
      </c>
      <c r="AF7" s="22" t="str">
        <f t="shared" si="5"/>
        <v/>
      </c>
      <c r="AG7" s="22" t="str">
        <f t="shared" si="5"/>
        <v/>
      </c>
      <c r="AH7" s="22" t="str">
        <f t="shared" si="5"/>
        <v/>
      </c>
      <c r="AI7" s="22" t="str">
        <f t="shared" si="5"/>
        <v/>
      </c>
      <c r="AJ7" s="22" t="str">
        <f t="shared" si="5"/>
        <v/>
      </c>
      <c r="AK7" s="22" t="str">
        <f t="shared" si="5"/>
        <v/>
      </c>
      <c r="AL7" s="22" t="str">
        <f t="shared" si="5"/>
        <v/>
      </c>
      <c r="AM7" s="22" t="str">
        <f t="shared" si="5"/>
        <v/>
      </c>
      <c r="AN7" s="22" t="str">
        <f t="shared" si="5"/>
        <v/>
      </c>
      <c r="AO7" s="22" t="str">
        <f t="shared" si="5"/>
        <v/>
      </c>
      <c r="AP7" s="22" t="str">
        <f t="shared" si="5"/>
        <v/>
      </c>
      <c r="AQ7" s="22" t="str">
        <f t="shared" si="5"/>
        <v/>
      </c>
      <c r="AR7" s="23"/>
      <c r="AS7" s="23"/>
      <c r="AT7" s="23"/>
      <c r="AU7" s="23"/>
      <c r="AV7" s="23"/>
      <c r="AW7" s="23"/>
      <c r="BC7" s="13"/>
      <c r="BD7" s="13"/>
    </row>
    <row r="8" spans="1:59">
      <c r="A8" s="15"/>
      <c r="B8" s="38" t="s">
        <v>15</v>
      </c>
      <c r="C8" s="31">
        <v>43833</v>
      </c>
      <c r="D8" s="18">
        <v>5</v>
      </c>
      <c r="E8" s="39">
        <v>43840</v>
      </c>
      <c r="F8" s="31">
        <v>43833</v>
      </c>
      <c r="G8" s="18">
        <v>5</v>
      </c>
      <c r="H8" s="39">
        <v>43840</v>
      </c>
      <c r="I8" s="20"/>
      <c r="J8" s="21"/>
      <c r="L8" s="22">
        <f t="shared" si="4"/>
        <v>1</v>
      </c>
      <c r="M8" s="22">
        <f t="shared" si="4"/>
        <v>3</v>
      </c>
      <c r="N8" s="22" t="str">
        <f t="shared" si="4"/>
        <v/>
      </c>
      <c r="O8" s="22" t="str">
        <f t="shared" si="4"/>
        <v/>
      </c>
      <c r="P8" s="22" t="str">
        <f t="shared" si="4"/>
        <v/>
      </c>
      <c r="Q8" s="22" t="str">
        <f t="shared" si="4"/>
        <v/>
      </c>
      <c r="R8" s="22" t="str">
        <f t="shared" si="4"/>
        <v/>
      </c>
      <c r="S8" s="22" t="str">
        <f t="shared" si="4"/>
        <v/>
      </c>
      <c r="T8" s="22" t="str">
        <f t="shared" si="4"/>
        <v/>
      </c>
      <c r="U8" s="22" t="str">
        <f t="shared" si="4"/>
        <v/>
      </c>
      <c r="V8" s="22" t="str">
        <f t="shared" si="4"/>
        <v/>
      </c>
      <c r="W8" s="22" t="str">
        <f t="shared" si="4"/>
        <v/>
      </c>
      <c r="X8" s="22" t="str">
        <f t="shared" si="4"/>
        <v/>
      </c>
      <c r="Y8" s="22" t="str">
        <f t="shared" si="4"/>
        <v/>
      </c>
      <c r="Z8" s="22" t="str">
        <f t="shared" si="4"/>
        <v/>
      </c>
      <c r="AA8" s="22" t="str">
        <f t="shared" si="4"/>
        <v/>
      </c>
      <c r="AB8" s="22" t="str">
        <f t="shared" si="5"/>
        <v/>
      </c>
      <c r="AC8" s="22" t="str">
        <f t="shared" si="5"/>
        <v/>
      </c>
      <c r="AD8" s="22" t="str">
        <f t="shared" si="5"/>
        <v/>
      </c>
      <c r="AE8" s="22" t="str">
        <f t="shared" si="5"/>
        <v/>
      </c>
      <c r="AF8" s="22" t="str">
        <f t="shared" si="5"/>
        <v/>
      </c>
      <c r="AG8" s="22" t="str">
        <f t="shared" si="5"/>
        <v/>
      </c>
      <c r="AH8" s="22" t="str">
        <f t="shared" si="5"/>
        <v/>
      </c>
      <c r="AI8" s="22" t="str">
        <f t="shared" si="5"/>
        <v/>
      </c>
      <c r="AJ8" s="22" t="str">
        <f t="shared" si="5"/>
        <v/>
      </c>
      <c r="AK8" s="22" t="str">
        <f t="shared" si="5"/>
        <v/>
      </c>
      <c r="AL8" s="22" t="str">
        <f t="shared" si="5"/>
        <v/>
      </c>
      <c r="AM8" s="22" t="str">
        <f t="shared" si="5"/>
        <v/>
      </c>
      <c r="AN8" s="22" t="str">
        <f t="shared" si="5"/>
        <v/>
      </c>
      <c r="AO8" s="22" t="str">
        <f t="shared" si="5"/>
        <v/>
      </c>
      <c r="AP8" s="22" t="str">
        <f t="shared" si="5"/>
        <v/>
      </c>
      <c r="AQ8" s="22" t="str">
        <f t="shared" si="5"/>
        <v/>
      </c>
      <c r="AR8" s="23"/>
      <c r="AS8" s="23"/>
      <c r="AT8" s="23"/>
      <c r="AU8" s="23"/>
      <c r="AV8" s="23"/>
      <c r="AW8" s="23"/>
      <c r="BC8" s="13"/>
      <c r="BD8" s="13"/>
    </row>
    <row r="9" spans="1:59">
      <c r="A9" s="15"/>
      <c r="B9" s="38" t="s">
        <v>16</v>
      </c>
      <c r="C9" s="31">
        <v>43941</v>
      </c>
      <c r="D9" s="18">
        <v>5</v>
      </c>
      <c r="E9" s="39">
        <v>43949</v>
      </c>
      <c r="F9" s="31">
        <v>43941</v>
      </c>
      <c r="G9" s="18">
        <v>5</v>
      </c>
      <c r="H9" s="39">
        <v>43949</v>
      </c>
      <c r="I9" s="20"/>
      <c r="J9" s="21"/>
      <c r="L9" s="22" t="str">
        <f t="shared" si="4"/>
        <v/>
      </c>
      <c r="M9" s="22" t="str">
        <f t="shared" si="4"/>
        <v/>
      </c>
      <c r="N9" s="22" t="str">
        <f t="shared" si="4"/>
        <v/>
      </c>
      <c r="O9" s="22" t="str">
        <f t="shared" si="4"/>
        <v/>
      </c>
      <c r="P9" s="22" t="str">
        <f t="shared" si="4"/>
        <v/>
      </c>
      <c r="Q9" s="22" t="str">
        <f t="shared" si="4"/>
        <v/>
      </c>
      <c r="R9" s="22" t="str">
        <f t="shared" si="4"/>
        <v/>
      </c>
      <c r="S9" s="22" t="str">
        <f t="shared" si="4"/>
        <v/>
      </c>
      <c r="T9" s="22" t="str">
        <f t="shared" si="4"/>
        <v/>
      </c>
      <c r="U9" s="22" t="str">
        <f t="shared" si="4"/>
        <v/>
      </c>
      <c r="V9" s="22" t="str">
        <f t="shared" si="4"/>
        <v/>
      </c>
      <c r="W9" s="22" t="str">
        <f t="shared" si="4"/>
        <v/>
      </c>
      <c r="X9" s="22" t="str">
        <f t="shared" si="4"/>
        <v/>
      </c>
      <c r="Y9" s="22" t="str">
        <f t="shared" si="4"/>
        <v/>
      </c>
      <c r="Z9" s="22" t="str">
        <f t="shared" si="4"/>
        <v/>
      </c>
      <c r="AA9" s="22" t="str">
        <f t="shared" si="4"/>
        <v/>
      </c>
      <c r="AB9" s="22" t="str">
        <f t="shared" si="5"/>
        <v/>
      </c>
      <c r="AC9" s="22" t="str">
        <f t="shared" si="5"/>
        <v/>
      </c>
      <c r="AD9" s="22">
        <f t="shared" si="5"/>
        <v>1</v>
      </c>
      <c r="AE9" s="22">
        <f t="shared" si="5"/>
        <v>3</v>
      </c>
      <c r="AF9" s="22" t="str">
        <f t="shared" si="5"/>
        <v/>
      </c>
      <c r="AG9" s="22" t="str">
        <f t="shared" si="5"/>
        <v/>
      </c>
      <c r="AH9" s="22" t="str">
        <f t="shared" si="5"/>
        <v/>
      </c>
      <c r="AI9" s="22" t="str">
        <f t="shared" si="5"/>
        <v/>
      </c>
      <c r="AJ9" s="22" t="str">
        <f t="shared" si="5"/>
        <v/>
      </c>
      <c r="AK9" s="22" t="str">
        <f t="shared" si="5"/>
        <v/>
      </c>
      <c r="AL9" s="22" t="str">
        <f t="shared" si="5"/>
        <v/>
      </c>
      <c r="AM9" s="22" t="str">
        <f t="shared" si="5"/>
        <v/>
      </c>
      <c r="AN9" s="22" t="str">
        <f t="shared" si="5"/>
        <v/>
      </c>
      <c r="AO9" s="22" t="str">
        <f t="shared" si="5"/>
        <v/>
      </c>
      <c r="AP9" s="22" t="str">
        <f t="shared" si="5"/>
        <v/>
      </c>
      <c r="AQ9" s="22" t="str">
        <f t="shared" si="5"/>
        <v/>
      </c>
      <c r="AR9" s="23"/>
      <c r="AS9" s="23"/>
      <c r="AT9" s="23"/>
      <c r="AU9" s="23"/>
      <c r="AV9" s="23"/>
      <c r="AW9" s="23"/>
      <c r="BC9" s="13"/>
      <c r="BD9" s="13"/>
    </row>
    <row r="10" spans="1:59">
      <c r="A10" s="15"/>
      <c r="B10" s="38" t="s">
        <v>17</v>
      </c>
      <c r="C10" s="31">
        <v>43941</v>
      </c>
      <c r="D10" s="18">
        <v>5</v>
      </c>
      <c r="E10" s="39">
        <v>43949</v>
      </c>
      <c r="F10" s="31">
        <v>43941</v>
      </c>
      <c r="G10" s="18">
        <v>5</v>
      </c>
      <c r="H10" s="39">
        <v>43949</v>
      </c>
      <c r="I10" s="20"/>
      <c r="J10" s="21"/>
      <c r="L10" s="22" t="str">
        <f t="shared" si="4"/>
        <v/>
      </c>
      <c r="M10" s="22" t="str">
        <f t="shared" si="4"/>
        <v/>
      </c>
      <c r="N10" s="22" t="str">
        <f t="shared" si="4"/>
        <v/>
      </c>
      <c r="O10" s="22" t="str">
        <f t="shared" si="4"/>
        <v/>
      </c>
      <c r="P10" s="22" t="str">
        <f t="shared" si="4"/>
        <v/>
      </c>
      <c r="Q10" s="22" t="str">
        <f t="shared" si="4"/>
        <v/>
      </c>
      <c r="R10" s="22" t="str">
        <f t="shared" si="4"/>
        <v/>
      </c>
      <c r="S10" s="22" t="str">
        <f t="shared" si="4"/>
        <v/>
      </c>
      <c r="T10" s="22" t="str">
        <f t="shared" si="4"/>
        <v/>
      </c>
      <c r="U10" s="22" t="str">
        <f t="shared" si="4"/>
        <v/>
      </c>
      <c r="V10" s="22" t="str">
        <f t="shared" si="4"/>
        <v/>
      </c>
      <c r="W10" s="22" t="str">
        <f t="shared" si="4"/>
        <v/>
      </c>
      <c r="X10" s="22" t="str">
        <f t="shared" si="4"/>
        <v/>
      </c>
      <c r="Y10" s="22" t="str">
        <f t="shared" si="4"/>
        <v/>
      </c>
      <c r="Z10" s="22" t="str">
        <f t="shared" si="4"/>
        <v/>
      </c>
      <c r="AA10" s="22" t="str">
        <f t="shared" si="4"/>
        <v/>
      </c>
      <c r="AB10" s="22" t="str">
        <f t="shared" si="5"/>
        <v/>
      </c>
      <c r="AC10" s="22" t="str">
        <f t="shared" si="5"/>
        <v/>
      </c>
      <c r="AD10" s="22">
        <f t="shared" si="5"/>
        <v>1</v>
      </c>
      <c r="AE10" s="22">
        <f t="shared" si="5"/>
        <v>3</v>
      </c>
      <c r="AF10" s="22" t="str">
        <f t="shared" si="5"/>
        <v/>
      </c>
      <c r="AG10" s="22" t="str">
        <f t="shared" si="5"/>
        <v/>
      </c>
      <c r="AH10" s="22" t="str">
        <f t="shared" si="5"/>
        <v/>
      </c>
      <c r="AI10" s="22" t="str">
        <f t="shared" si="5"/>
        <v/>
      </c>
      <c r="AJ10" s="22" t="str">
        <f t="shared" si="5"/>
        <v/>
      </c>
      <c r="AK10" s="22" t="str">
        <f t="shared" si="5"/>
        <v/>
      </c>
      <c r="AL10" s="22" t="str">
        <f t="shared" si="5"/>
        <v/>
      </c>
      <c r="AM10" s="22" t="str">
        <f t="shared" si="5"/>
        <v/>
      </c>
      <c r="AN10" s="22" t="str">
        <f t="shared" si="5"/>
        <v/>
      </c>
      <c r="AO10" s="22" t="str">
        <f t="shared" si="5"/>
        <v/>
      </c>
      <c r="AP10" s="22" t="str">
        <f t="shared" si="5"/>
        <v/>
      </c>
      <c r="AQ10" s="22" t="str">
        <f t="shared" si="5"/>
        <v/>
      </c>
      <c r="AR10" s="23"/>
      <c r="AS10" s="23"/>
      <c r="AT10" s="23"/>
      <c r="AU10" s="23"/>
      <c r="AV10" s="23"/>
      <c r="AW10" s="23"/>
      <c r="BC10" s="13"/>
      <c r="BD10" s="13"/>
    </row>
    <row r="11" spans="1:59">
      <c r="A11" s="15"/>
      <c r="B11" s="38" t="s">
        <v>18</v>
      </c>
      <c r="C11" s="31">
        <v>43941</v>
      </c>
      <c r="D11" s="40">
        <v>5</v>
      </c>
      <c r="E11" s="39">
        <v>43949</v>
      </c>
      <c r="F11" s="31">
        <v>43941</v>
      </c>
      <c r="G11" s="40">
        <v>5</v>
      </c>
      <c r="H11" s="39">
        <v>43949</v>
      </c>
      <c r="I11" s="20"/>
      <c r="J11" s="21"/>
      <c r="L11" s="22" t="str">
        <f t="shared" si="4"/>
        <v/>
      </c>
      <c r="M11" s="22" t="str">
        <f t="shared" si="4"/>
        <v/>
      </c>
      <c r="N11" s="22" t="str">
        <f t="shared" si="4"/>
        <v/>
      </c>
      <c r="O11" s="22" t="str">
        <f t="shared" si="4"/>
        <v/>
      </c>
      <c r="P11" s="22" t="str">
        <f t="shared" si="4"/>
        <v/>
      </c>
      <c r="Q11" s="22" t="str">
        <f t="shared" si="4"/>
        <v/>
      </c>
      <c r="R11" s="22" t="str">
        <f t="shared" si="4"/>
        <v/>
      </c>
      <c r="S11" s="22" t="str">
        <f t="shared" si="4"/>
        <v/>
      </c>
      <c r="T11" s="22" t="str">
        <f t="shared" si="4"/>
        <v/>
      </c>
      <c r="U11" s="22" t="str">
        <f t="shared" si="4"/>
        <v/>
      </c>
      <c r="V11" s="22" t="str">
        <f t="shared" si="4"/>
        <v/>
      </c>
      <c r="W11" s="22" t="str">
        <f t="shared" si="4"/>
        <v/>
      </c>
      <c r="X11" s="22" t="str">
        <f t="shared" si="4"/>
        <v/>
      </c>
      <c r="Y11" s="22" t="str">
        <f t="shared" si="4"/>
        <v/>
      </c>
      <c r="Z11" s="22" t="str">
        <f t="shared" si="4"/>
        <v/>
      </c>
      <c r="AA11" s="22" t="str">
        <f t="shared" si="4"/>
        <v/>
      </c>
      <c r="AB11" s="22" t="str">
        <f t="shared" si="5"/>
        <v/>
      </c>
      <c r="AC11" s="22" t="str">
        <f t="shared" si="5"/>
        <v/>
      </c>
      <c r="AD11" s="22">
        <f t="shared" si="5"/>
        <v>1</v>
      </c>
      <c r="AE11" s="22">
        <f t="shared" si="5"/>
        <v>3</v>
      </c>
      <c r="AF11" s="22" t="str">
        <f t="shared" si="5"/>
        <v/>
      </c>
      <c r="AG11" s="22" t="str">
        <f t="shared" si="5"/>
        <v/>
      </c>
      <c r="AH11" s="22" t="str">
        <f t="shared" si="5"/>
        <v/>
      </c>
      <c r="AI11" s="22" t="str">
        <f t="shared" si="5"/>
        <v/>
      </c>
      <c r="AJ11" s="22" t="str">
        <f t="shared" si="5"/>
        <v/>
      </c>
      <c r="AK11" s="22" t="str">
        <f t="shared" si="5"/>
        <v/>
      </c>
      <c r="AL11" s="22" t="str">
        <f t="shared" si="5"/>
        <v/>
      </c>
      <c r="AM11" s="22" t="str">
        <f t="shared" si="5"/>
        <v/>
      </c>
      <c r="AN11" s="22" t="str">
        <f t="shared" si="5"/>
        <v/>
      </c>
      <c r="AO11" s="22" t="str">
        <f t="shared" si="5"/>
        <v/>
      </c>
      <c r="AP11" s="22" t="str">
        <f t="shared" si="5"/>
        <v/>
      </c>
      <c r="AQ11" s="22" t="str">
        <f t="shared" si="5"/>
        <v/>
      </c>
      <c r="AR11" s="23"/>
      <c r="AS11" s="23"/>
      <c r="AT11" s="23"/>
      <c r="AU11" s="23"/>
      <c r="AV11" s="23"/>
      <c r="AW11" s="23"/>
      <c r="BC11" s="13"/>
      <c r="BD11" s="13"/>
    </row>
    <row r="12" spans="1:59" ht="15.6">
      <c r="A12" s="15">
        <v>5</v>
      </c>
      <c r="B12" s="41" t="s">
        <v>19</v>
      </c>
      <c r="C12" s="31">
        <v>43936</v>
      </c>
      <c r="D12" s="40">
        <v>5</v>
      </c>
      <c r="E12" s="39">
        <v>43943</v>
      </c>
      <c r="F12" s="31">
        <v>43936</v>
      </c>
      <c r="G12" s="40">
        <v>5</v>
      </c>
      <c r="H12" s="39">
        <v>43943</v>
      </c>
      <c r="I12" s="20"/>
      <c r="J12" s="21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3"/>
      <c r="AS12" s="23"/>
      <c r="AT12" s="23"/>
      <c r="AU12" s="23"/>
      <c r="AV12" s="23"/>
      <c r="AW12" s="23"/>
    </row>
    <row r="13" spans="1:59" ht="15.6">
      <c r="A13" s="15">
        <v>6</v>
      </c>
      <c r="B13" s="42" t="s">
        <v>20</v>
      </c>
      <c r="C13" s="31">
        <v>43963</v>
      </c>
      <c r="D13" s="40">
        <v>5</v>
      </c>
      <c r="E13" s="39">
        <v>43970</v>
      </c>
      <c r="F13" s="31">
        <v>43963</v>
      </c>
      <c r="G13" s="40">
        <v>5</v>
      </c>
      <c r="H13" s="39">
        <v>43970</v>
      </c>
      <c r="I13" s="20"/>
      <c r="J13" s="21"/>
      <c r="L13" s="22" t="str">
        <f t="shared" ref="L13:AA14" si="6">IF(AND($F13&lt;(L$2+7),$F13&gt;L$2),1,
IF(AND($H13&lt;L$2+7,$H13&gt;L$2),3,
IF(AND($F13&lt;=L$2, $H13&gt;=L$2),  2,
"" )))</f>
        <v/>
      </c>
      <c r="M13" s="22" t="str">
        <f t="shared" si="6"/>
        <v/>
      </c>
      <c r="N13" s="22" t="str">
        <f t="shared" si="6"/>
        <v/>
      </c>
      <c r="O13" s="22" t="str">
        <f t="shared" si="6"/>
        <v/>
      </c>
      <c r="P13" s="22" t="str">
        <f t="shared" si="6"/>
        <v/>
      </c>
      <c r="Q13" s="22" t="str">
        <f t="shared" si="6"/>
        <v/>
      </c>
      <c r="R13" s="22" t="str">
        <f t="shared" si="6"/>
        <v/>
      </c>
      <c r="S13" s="22" t="str">
        <f t="shared" si="6"/>
        <v/>
      </c>
      <c r="T13" s="22" t="str">
        <f t="shared" si="6"/>
        <v/>
      </c>
      <c r="U13" s="22" t="str">
        <f t="shared" si="6"/>
        <v/>
      </c>
      <c r="V13" s="22" t="str">
        <f t="shared" si="6"/>
        <v/>
      </c>
      <c r="W13" s="22" t="str">
        <f t="shared" si="6"/>
        <v/>
      </c>
      <c r="X13" s="22" t="str">
        <f t="shared" si="6"/>
        <v/>
      </c>
      <c r="Y13" s="22" t="str">
        <f t="shared" si="6"/>
        <v/>
      </c>
      <c r="Z13" s="22" t="str">
        <f t="shared" si="6"/>
        <v/>
      </c>
      <c r="AA13" s="22" t="str">
        <f t="shared" si="6"/>
        <v/>
      </c>
      <c r="AB13" s="22" t="str">
        <f t="shared" ref="AB13:AQ14" si="7">IF(AND($F13&lt;(AB$2+7),$F13&gt;AB$2),1,
IF(AND($H13&lt;AB$2+7,$H13&gt;AB$2),3,
IF(AND($F13&lt;=AB$2, $H13&gt;=AB$2),  2,
"" )))</f>
        <v/>
      </c>
      <c r="AC13" s="22" t="str">
        <f t="shared" si="7"/>
        <v/>
      </c>
      <c r="AD13" s="22" t="str">
        <f t="shared" si="7"/>
        <v/>
      </c>
      <c r="AE13" s="22" t="str">
        <f t="shared" si="7"/>
        <v/>
      </c>
      <c r="AF13" s="22" t="str">
        <f t="shared" si="7"/>
        <v/>
      </c>
      <c r="AG13" s="22" t="str">
        <f t="shared" si="7"/>
        <v/>
      </c>
      <c r="AH13" s="22">
        <f t="shared" si="7"/>
        <v>1</v>
      </c>
      <c r="AI13" s="22">
        <f t="shared" si="7"/>
        <v>3</v>
      </c>
      <c r="AJ13" s="22" t="str">
        <f t="shared" si="7"/>
        <v/>
      </c>
      <c r="AK13" s="22" t="str">
        <f t="shared" si="7"/>
        <v/>
      </c>
      <c r="AL13" s="22" t="str">
        <f t="shared" si="7"/>
        <v/>
      </c>
      <c r="AM13" s="22" t="str">
        <f t="shared" si="7"/>
        <v/>
      </c>
      <c r="AN13" s="22" t="str">
        <f t="shared" si="7"/>
        <v/>
      </c>
      <c r="AO13" s="22" t="str">
        <f t="shared" si="7"/>
        <v/>
      </c>
      <c r="AP13" s="22" t="str">
        <f t="shared" si="7"/>
        <v/>
      </c>
      <c r="AQ13" s="22" t="str">
        <f t="shared" si="7"/>
        <v/>
      </c>
      <c r="AR13" s="23"/>
      <c r="AS13" s="23"/>
      <c r="AT13" s="23"/>
      <c r="AU13" s="23"/>
      <c r="AV13" s="23"/>
      <c r="AW13" s="23"/>
    </row>
    <row r="14" spans="1:59" ht="15.6">
      <c r="A14" s="32">
        <v>7</v>
      </c>
      <c r="B14" s="43" t="s">
        <v>21</v>
      </c>
      <c r="C14" s="34">
        <v>43983</v>
      </c>
      <c r="D14" s="35">
        <v>9</v>
      </c>
      <c r="E14" s="44">
        <v>43994</v>
      </c>
      <c r="F14" s="34">
        <v>43983</v>
      </c>
      <c r="G14" s="35">
        <v>9</v>
      </c>
      <c r="H14" s="44">
        <v>43994</v>
      </c>
      <c r="I14" s="37"/>
      <c r="J14" s="21"/>
      <c r="L14" s="22" t="str">
        <f t="shared" si="6"/>
        <v/>
      </c>
      <c r="M14" s="22" t="str">
        <f t="shared" si="6"/>
        <v/>
      </c>
      <c r="N14" s="22" t="str">
        <f t="shared" si="6"/>
        <v/>
      </c>
      <c r="O14" s="22" t="str">
        <f t="shared" si="6"/>
        <v/>
      </c>
      <c r="P14" s="22" t="str">
        <f t="shared" si="6"/>
        <v/>
      </c>
      <c r="Q14" s="22" t="str">
        <f t="shared" si="6"/>
        <v/>
      </c>
      <c r="R14" s="22" t="str">
        <f t="shared" si="6"/>
        <v/>
      </c>
      <c r="S14" s="22" t="str">
        <f t="shared" si="6"/>
        <v/>
      </c>
      <c r="T14" s="22" t="str">
        <f t="shared" si="6"/>
        <v/>
      </c>
      <c r="U14" s="22" t="str">
        <f t="shared" si="6"/>
        <v/>
      </c>
      <c r="V14" s="22" t="str">
        <f t="shared" si="6"/>
        <v/>
      </c>
      <c r="W14" s="22" t="str">
        <f t="shared" si="6"/>
        <v/>
      </c>
      <c r="X14" s="22" t="str">
        <f t="shared" si="6"/>
        <v/>
      </c>
      <c r="Y14" s="22" t="str">
        <f t="shared" si="6"/>
        <v/>
      </c>
      <c r="Z14" s="22" t="str">
        <f t="shared" si="6"/>
        <v/>
      </c>
      <c r="AA14" s="22" t="str">
        <f t="shared" si="6"/>
        <v/>
      </c>
      <c r="AB14" s="22" t="str">
        <f t="shared" si="7"/>
        <v/>
      </c>
      <c r="AC14" s="22" t="str">
        <f t="shared" si="7"/>
        <v/>
      </c>
      <c r="AD14" s="22" t="str">
        <f t="shared" si="7"/>
        <v/>
      </c>
      <c r="AE14" s="22" t="str">
        <f t="shared" si="7"/>
        <v/>
      </c>
      <c r="AF14" s="22" t="str">
        <f t="shared" si="7"/>
        <v/>
      </c>
      <c r="AG14" s="22" t="str">
        <f t="shared" si="7"/>
        <v/>
      </c>
      <c r="AH14" s="22" t="str">
        <f t="shared" si="7"/>
        <v/>
      </c>
      <c r="AI14" s="22" t="str">
        <f t="shared" si="7"/>
        <v/>
      </c>
      <c r="AJ14" s="22" t="str">
        <f t="shared" si="7"/>
        <v/>
      </c>
      <c r="AK14" s="22">
        <f t="shared" si="7"/>
        <v>1</v>
      </c>
      <c r="AL14" s="22">
        <f t="shared" si="7"/>
        <v>1</v>
      </c>
      <c r="AM14" s="22">
        <f t="shared" si="7"/>
        <v>3</v>
      </c>
      <c r="AN14" s="22" t="str">
        <f t="shared" si="7"/>
        <v/>
      </c>
      <c r="AO14" s="22" t="str">
        <f t="shared" si="7"/>
        <v/>
      </c>
      <c r="AP14" s="22" t="str">
        <f t="shared" si="7"/>
        <v/>
      </c>
      <c r="AQ14" s="22" t="str">
        <f t="shared" si="7"/>
        <v/>
      </c>
      <c r="AR14" s="23"/>
      <c r="AS14" s="23"/>
      <c r="AT14" s="23"/>
      <c r="AU14" s="23"/>
      <c r="AV14" s="23"/>
      <c r="AW14" s="23"/>
    </row>
    <row r="15" spans="1:59">
      <c r="A15" s="15"/>
      <c r="B15" s="45" t="s">
        <v>22</v>
      </c>
      <c r="C15" s="31">
        <v>43983</v>
      </c>
      <c r="D15" s="40">
        <v>2</v>
      </c>
      <c r="E15" s="39">
        <v>43985</v>
      </c>
      <c r="F15" s="31">
        <v>43983</v>
      </c>
      <c r="G15" s="40">
        <v>2</v>
      </c>
      <c r="H15" s="39">
        <v>43985</v>
      </c>
      <c r="I15" s="20"/>
      <c r="J15" s="21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3"/>
      <c r="AS15" s="23"/>
      <c r="AT15" s="23"/>
      <c r="AU15" s="23"/>
      <c r="AV15" s="23"/>
      <c r="AW15" s="23"/>
    </row>
    <row r="16" spans="1:59">
      <c r="A16" s="15"/>
      <c r="B16" s="45" t="s">
        <v>23</v>
      </c>
      <c r="C16" s="31">
        <v>43990</v>
      </c>
      <c r="D16" s="40">
        <v>2</v>
      </c>
      <c r="E16" s="39">
        <v>43992</v>
      </c>
      <c r="F16" s="31">
        <v>43990</v>
      </c>
      <c r="G16" s="40">
        <v>2</v>
      </c>
      <c r="H16" s="39">
        <v>43992</v>
      </c>
      <c r="I16" s="20"/>
      <c r="J16" s="21"/>
      <c r="L16" s="22" t="str">
        <f t="shared" ref="L16:AQ16" si="8">IF(AND($F16&lt;(L$2+7),$F16&gt;L$2),1,
IF(AND($H16&lt;L$2+7,$H16&gt;L$2),3,
IF(AND($F16&lt;=L$2, $H16&gt;=L$2),  2,
"" )))</f>
        <v/>
      </c>
      <c r="M16" s="22" t="str">
        <f t="shared" si="8"/>
        <v/>
      </c>
      <c r="N16" s="22" t="str">
        <f t="shared" si="8"/>
        <v/>
      </c>
      <c r="O16" s="22" t="str">
        <f t="shared" si="8"/>
        <v/>
      </c>
      <c r="P16" s="22" t="str">
        <f t="shared" si="8"/>
        <v/>
      </c>
      <c r="Q16" s="22" t="str">
        <f t="shared" si="8"/>
        <v/>
      </c>
      <c r="R16" s="22" t="str">
        <f t="shared" si="8"/>
        <v/>
      </c>
      <c r="S16" s="22" t="str">
        <f t="shared" si="8"/>
        <v/>
      </c>
      <c r="T16" s="22" t="str">
        <f t="shared" si="8"/>
        <v/>
      </c>
      <c r="U16" s="22" t="str">
        <f t="shared" si="8"/>
        <v/>
      </c>
      <c r="V16" s="22" t="str">
        <f t="shared" si="8"/>
        <v/>
      </c>
      <c r="W16" s="22" t="str">
        <f t="shared" si="8"/>
        <v/>
      </c>
      <c r="X16" s="22" t="str">
        <f t="shared" si="8"/>
        <v/>
      </c>
      <c r="Y16" s="22" t="str">
        <f t="shared" si="8"/>
        <v/>
      </c>
      <c r="Z16" s="22" t="str">
        <f t="shared" si="8"/>
        <v/>
      </c>
      <c r="AA16" s="22" t="str">
        <f t="shared" si="8"/>
        <v/>
      </c>
      <c r="AB16" s="22" t="str">
        <f t="shared" si="8"/>
        <v/>
      </c>
      <c r="AC16" s="22" t="str">
        <f t="shared" si="8"/>
        <v/>
      </c>
      <c r="AD16" s="22" t="str">
        <f t="shared" si="8"/>
        <v/>
      </c>
      <c r="AE16" s="22" t="str">
        <f t="shared" si="8"/>
        <v/>
      </c>
      <c r="AF16" s="22" t="str">
        <f t="shared" si="8"/>
        <v/>
      </c>
      <c r="AG16" s="22" t="str">
        <f t="shared" si="8"/>
        <v/>
      </c>
      <c r="AH16" s="22" t="str">
        <f t="shared" si="8"/>
        <v/>
      </c>
      <c r="AI16" s="22" t="str">
        <f t="shared" si="8"/>
        <v/>
      </c>
      <c r="AJ16" s="22" t="str">
        <f t="shared" si="8"/>
        <v/>
      </c>
      <c r="AK16" s="22" t="str">
        <f t="shared" si="8"/>
        <v/>
      </c>
      <c r="AL16" s="22" t="str">
        <f t="shared" si="8"/>
        <v/>
      </c>
      <c r="AM16" s="22">
        <f t="shared" si="8"/>
        <v>1</v>
      </c>
      <c r="AN16" s="22" t="str">
        <f t="shared" si="8"/>
        <v/>
      </c>
      <c r="AO16" s="22" t="str">
        <f t="shared" si="8"/>
        <v/>
      </c>
      <c r="AP16" s="22" t="str">
        <f t="shared" si="8"/>
        <v/>
      </c>
      <c r="AQ16" s="22" t="str">
        <f t="shared" si="8"/>
        <v/>
      </c>
      <c r="AR16" s="23"/>
      <c r="AS16" s="23"/>
      <c r="AT16" s="23"/>
      <c r="AU16" s="23"/>
      <c r="AV16" s="23"/>
      <c r="AW16" s="23"/>
    </row>
    <row r="17" spans="1:49">
      <c r="A17" s="15"/>
      <c r="B17" s="45" t="s">
        <v>24</v>
      </c>
      <c r="C17" s="31">
        <v>43983</v>
      </c>
      <c r="D17" s="40">
        <v>2</v>
      </c>
      <c r="E17" s="39">
        <v>43985</v>
      </c>
      <c r="F17" s="31">
        <v>43983</v>
      </c>
      <c r="G17" s="40">
        <v>2</v>
      </c>
      <c r="H17" s="39">
        <v>43985</v>
      </c>
      <c r="I17" s="20"/>
      <c r="J17" s="21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3"/>
      <c r="AS17" s="23"/>
      <c r="AT17" s="23"/>
      <c r="AU17" s="23"/>
      <c r="AV17" s="23"/>
      <c r="AW17" s="23"/>
    </row>
    <row r="18" spans="1:49">
      <c r="A18" s="25" t="s">
        <v>25</v>
      </c>
      <c r="B18" s="46" t="s">
        <v>26</v>
      </c>
      <c r="C18" s="27">
        <v>43992</v>
      </c>
      <c r="D18" s="47">
        <v>2</v>
      </c>
      <c r="E18" s="48">
        <v>43994</v>
      </c>
      <c r="F18" s="27">
        <v>43992</v>
      </c>
      <c r="G18" s="47">
        <v>2</v>
      </c>
      <c r="H18" s="48">
        <v>43994</v>
      </c>
      <c r="I18" s="30"/>
      <c r="J18" s="21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3"/>
      <c r="AS18" s="23"/>
      <c r="AT18" s="23"/>
      <c r="AU18" s="23"/>
      <c r="AV18" s="23"/>
      <c r="AW18" s="23"/>
    </row>
    <row r="19" spans="1:49">
      <c r="A19" s="15"/>
      <c r="B19" s="45" t="s">
        <v>27</v>
      </c>
      <c r="C19" s="31">
        <v>43983</v>
      </c>
      <c r="D19" s="40">
        <v>2</v>
      </c>
      <c r="E19" s="39">
        <v>43985</v>
      </c>
      <c r="F19" s="31">
        <v>43983</v>
      </c>
      <c r="G19" s="40">
        <v>2</v>
      </c>
      <c r="H19" s="39">
        <v>43985</v>
      </c>
      <c r="I19" s="20"/>
      <c r="J19" s="21"/>
      <c r="L19" s="22" t="str">
        <f t="shared" ref="L19:AQ20" si="9">IF(AND($F19&lt;(L$2+7),$F19&gt;L$2),1,
IF(AND($H19&lt;L$2+7,$H19&gt;L$2),3,
IF(AND($F19&lt;=L$2, $H19&gt;=L$2),  2,
"" )))</f>
        <v/>
      </c>
      <c r="M19" s="22" t="str">
        <f t="shared" si="9"/>
        <v/>
      </c>
      <c r="N19" s="22" t="str">
        <f t="shared" si="9"/>
        <v/>
      </c>
      <c r="O19" s="22" t="str">
        <f t="shared" si="9"/>
        <v/>
      </c>
      <c r="P19" s="22" t="str">
        <f t="shared" si="9"/>
        <v/>
      </c>
      <c r="Q19" s="22" t="str">
        <f t="shared" si="9"/>
        <v/>
      </c>
      <c r="R19" s="22" t="str">
        <f t="shared" si="9"/>
        <v/>
      </c>
      <c r="S19" s="22" t="str">
        <f t="shared" si="9"/>
        <v/>
      </c>
      <c r="T19" s="22" t="str">
        <f t="shared" si="9"/>
        <v/>
      </c>
      <c r="U19" s="22" t="str">
        <f t="shared" si="9"/>
        <v/>
      </c>
      <c r="V19" s="22" t="str">
        <f t="shared" si="9"/>
        <v/>
      </c>
      <c r="W19" s="22" t="str">
        <f t="shared" si="9"/>
        <v/>
      </c>
      <c r="X19" s="22" t="str">
        <f t="shared" si="9"/>
        <v/>
      </c>
      <c r="Y19" s="22" t="str">
        <f t="shared" si="9"/>
        <v/>
      </c>
      <c r="Z19" s="22" t="str">
        <f t="shared" si="9"/>
        <v/>
      </c>
      <c r="AA19" s="22" t="str">
        <f t="shared" si="9"/>
        <v/>
      </c>
      <c r="AB19" s="22" t="str">
        <f t="shared" si="9"/>
        <v/>
      </c>
      <c r="AC19" s="22" t="str">
        <f t="shared" si="9"/>
        <v/>
      </c>
      <c r="AD19" s="22" t="str">
        <f t="shared" si="9"/>
        <v/>
      </c>
      <c r="AE19" s="22" t="str">
        <f t="shared" si="9"/>
        <v/>
      </c>
      <c r="AF19" s="22" t="str">
        <f t="shared" si="9"/>
        <v/>
      </c>
      <c r="AG19" s="22" t="str">
        <f t="shared" si="9"/>
        <v/>
      </c>
      <c r="AH19" s="22" t="str">
        <f t="shared" si="9"/>
        <v/>
      </c>
      <c r="AI19" s="22" t="str">
        <f t="shared" si="9"/>
        <v/>
      </c>
      <c r="AJ19" s="22" t="str">
        <f t="shared" si="9"/>
        <v/>
      </c>
      <c r="AK19" s="22">
        <f t="shared" si="9"/>
        <v>1</v>
      </c>
      <c r="AL19" s="22">
        <f t="shared" si="9"/>
        <v>1</v>
      </c>
      <c r="AM19" s="22" t="str">
        <f t="shared" si="9"/>
        <v/>
      </c>
      <c r="AN19" s="22" t="str">
        <f t="shared" si="9"/>
        <v/>
      </c>
      <c r="AO19" s="22" t="str">
        <f t="shared" si="9"/>
        <v/>
      </c>
      <c r="AP19" s="22" t="str">
        <f t="shared" si="9"/>
        <v/>
      </c>
      <c r="AQ19" s="22" t="str">
        <f t="shared" si="9"/>
        <v/>
      </c>
      <c r="AR19" s="23"/>
      <c r="AS19" s="23"/>
      <c r="AT19" s="23"/>
      <c r="AU19" s="23"/>
      <c r="AV19" s="23"/>
      <c r="AW19" s="23"/>
    </row>
    <row r="20" spans="1:49">
      <c r="A20" s="15"/>
      <c r="B20" s="45" t="s">
        <v>28</v>
      </c>
      <c r="C20" s="31">
        <v>43983</v>
      </c>
      <c r="D20" s="18">
        <v>1</v>
      </c>
      <c r="E20" s="39">
        <v>43984</v>
      </c>
      <c r="F20" s="31">
        <v>43983</v>
      </c>
      <c r="G20" s="18">
        <v>1</v>
      </c>
      <c r="H20" s="39">
        <v>43984</v>
      </c>
      <c r="I20" s="20"/>
      <c r="J20" s="21"/>
      <c r="L20" s="22" t="str">
        <f t="shared" si="9"/>
        <v/>
      </c>
      <c r="M20" s="22" t="str">
        <f t="shared" si="9"/>
        <v/>
      </c>
      <c r="N20" s="22" t="str">
        <f t="shared" si="9"/>
        <v/>
      </c>
      <c r="O20" s="22" t="str">
        <f t="shared" si="9"/>
        <v/>
      </c>
      <c r="P20" s="22" t="str">
        <f t="shared" si="9"/>
        <v/>
      </c>
      <c r="Q20" s="22" t="str">
        <f t="shared" si="9"/>
        <v/>
      </c>
      <c r="R20" s="22" t="str">
        <f t="shared" si="9"/>
        <v/>
      </c>
      <c r="S20" s="22" t="str">
        <f t="shared" si="9"/>
        <v/>
      </c>
      <c r="T20" s="22" t="str">
        <f t="shared" si="9"/>
        <v/>
      </c>
      <c r="U20" s="22" t="str">
        <f t="shared" si="9"/>
        <v/>
      </c>
      <c r="V20" s="22" t="str">
        <f t="shared" si="9"/>
        <v/>
      </c>
      <c r="W20" s="22" t="str">
        <f t="shared" si="9"/>
        <v/>
      </c>
      <c r="X20" s="22" t="str">
        <f t="shared" si="9"/>
        <v/>
      </c>
      <c r="Y20" s="22" t="str">
        <f t="shared" si="9"/>
        <v/>
      </c>
      <c r="Z20" s="22" t="str">
        <f t="shared" si="9"/>
        <v/>
      </c>
      <c r="AA20" s="22" t="str">
        <f t="shared" si="9"/>
        <v/>
      </c>
      <c r="AB20" s="22" t="str">
        <f t="shared" si="9"/>
        <v/>
      </c>
      <c r="AC20" s="22" t="str">
        <f t="shared" si="9"/>
        <v/>
      </c>
      <c r="AD20" s="22" t="str">
        <f t="shared" si="9"/>
        <v/>
      </c>
      <c r="AE20" s="22" t="str">
        <f t="shared" si="9"/>
        <v/>
      </c>
      <c r="AF20" s="22" t="str">
        <f t="shared" si="9"/>
        <v/>
      </c>
      <c r="AG20" s="22" t="str">
        <f t="shared" si="9"/>
        <v/>
      </c>
      <c r="AH20" s="22" t="str">
        <f t="shared" si="9"/>
        <v/>
      </c>
      <c r="AI20" s="22" t="str">
        <f t="shared" si="9"/>
        <v/>
      </c>
      <c r="AJ20" s="22" t="str">
        <f t="shared" si="9"/>
        <v/>
      </c>
      <c r="AK20" s="22">
        <f t="shared" si="9"/>
        <v>1</v>
      </c>
      <c r="AL20" s="22">
        <f t="shared" si="9"/>
        <v>1</v>
      </c>
      <c r="AM20" s="22" t="str">
        <f t="shared" si="9"/>
        <v/>
      </c>
      <c r="AN20" s="22" t="str">
        <f t="shared" si="9"/>
        <v/>
      </c>
      <c r="AO20" s="22" t="str">
        <f t="shared" si="9"/>
        <v/>
      </c>
      <c r="AP20" s="22" t="str">
        <f t="shared" si="9"/>
        <v/>
      </c>
      <c r="AQ20" s="22" t="str">
        <f t="shared" si="9"/>
        <v/>
      </c>
      <c r="AR20" s="23"/>
      <c r="AS20" s="23"/>
      <c r="AT20" s="23"/>
      <c r="AU20" s="23"/>
      <c r="AV20" s="23"/>
      <c r="AW20" s="23"/>
    </row>
    <row r="21" spans="1:49">
      <c r="A21" s="25" t="s">
        <v>29</v>
      </c>
      <c r="B21" s="46" t="s">
        <v>30</v>
      </c>
      <c r="C21" s="27">
        <v>43985</v>
      </c>
      <c r="D21" s="47">
        <v>2</v>
      </c>
      <c r="E21" s="48">
        <v>43987</v>
      </c>
      <c r="F21" s="27">
        <v>43985</v>
      </c>
      <c r="G21" s="47">
        <v>2</v>
      </c>
      <c r="H21" s="48">
        <v>43987</v>
      </c>
      <c r="I21" s="30"/>
      <c r="J21" s="21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3"/>
      <c r="AS21" s="23"/>
      <c r="AT21" s="23"/>
      <c r="AU21" s="23"/>
      <c r="AV21" s="23"/>
      <c r="AW21" s="23"/>
    </row>
    <row r="22" spans="1:49">
      <c r="A22" s="32">
        <v>8</v>
      </c>
      <c r="B22" s="49" t="s">
        <v>31</v>
      </c>
      <c r="C22" s="50">
        <v>43990</v>
      </c>
      <c r="D22" s="51">
        <v>22</v>
      </c>
      <c r="E22" s="52">
        <v>44012</v>
      </c>
      <c r="F22" s="50">
        <v>43990</v>
      </c>
      <c r="G22" s="51">
        <v>22</v>
      </c>
      <c r="H22" s="52">
        <v>44012</v>
      </c>
      <c r="I22" s="37"/>
      <c r="J22" s="21"/>
      <c r="L22" s="22" t="str">
        <f t="shared" ref="L22:AQ31" si="10">IF(AND($F22&lt;(L$2+7),$F22&gt;L$2),1,
IF(AND($H22&lt;L$2+7,$H22&gt;L$2),3,
IF(AND($F22&lt;=L$2, $H22&gt;=L$2),  2,
"" )))</f>
        <v/>
      </c>
      <c r="M22" s="22" t="str">
        <f t="shared" si="10"/>
        <v/>
      </c>
      <c r="N22" s="22" t="str">
        <f t="shared" si="10"/>
        <v/>
      </c>
      <c r="O22" s="22" t="str">
        <f t="shared" si="10"/>
        <v/>
      </c>
      <c r="P22" s="22" t="str">
        <f t="shared" si="10"/>
        <v/>
      </c>
      <c r="Q22" s="22" t="str">
        <f t="shared" si="10"/>
        <v/>
      </c>
      <c r="R22" s="22" t="str">
        <f t="shared" si="10"/>
        <v/>
      </c>
      <c r="S22" s="22" t="str">
        <f t="shared" si="10"/>
        <v/>
      </c>
      <c r="T22" s="22" t="str">
        <f t="shared" si="10"/>
        <v/>
      </c>
      <c r="U22" s="22" t="str">
        <f t="shared" si="10"/>
        <v/>
      </c>
      <c r="V22" s="22" t="str">
        <f t="shared" si="10"/>
        <v/>
      </c>
      <c r="W22" s="22" t="str">
        <f t="shared" si="10"/>
        <v/>
      </c>
      <c r="X22" s="22" t="str">
        <f t="shared" si="10"/>
        <v/>
      </c>
      <c r="Y22" s="22" t="str">
        <f t="shared" si="10"/>
        <v/>
      </c>
      <c r="Z22" s="22" t="str">
        <f t="shared" si="10"/>
        <v/>
      </c>
      <c r="AA22" s="22" t="str">
        <f t="shared" si="10"/>
        <v/>
      </c>
      <c r="AB22" s="22" t="str">
        <f t="shared" si="10"/>
        <v/>
      </c>
      <c r="AC22" s="22" t="str">
        <f t="shared" si="10"/>
        <v/>
      </c>
      <c r="AD22" s="22" t="str">
        <f t="shared" si="10"/>
        <v/>
      </c>
      <c r="AE22" s="22" t="str">
        <f t="shared" si="10"/>
        <v/>
      </c>
      <c r="AF22" s="22" t="str">
        <f t="shared" si="10"/>
        <v/>
      </c>
      <c r="AG22" s="22" t="str">
        <f t="shared" si="10"/>
        <v/>
      </c>
      <c r="AH22" s="22" t="str">
        <f t="shared" si="10"/>
        <v/>
      </c>
      <c r="AI22" s="22" t="str">
        <f t="shared" si="10"/>
        <v/>
      </c>
      <c r="AJ22" s="22" t="str">
        <f t="shared" si="10"/>
        <v/>
      </c>
      <c r="AK22" s="22" t="str">
        <f t="shared" si="10"/>
        <v/>
      </c>
      <c r="AL22" s="22" t="str">
        <f t="shared" si="10"/>
        <v/>
      </c>
      <c r="AM22" s="22">
        <f t="shared" si="10"/>
        <v>1</v>
      </c>
      <c r="AN22" s="22">
        <f t="shared" si="10"/>
        <v>2</v>
      </c>
      <c r="AO22" s="22">
        <f t="shared" si="10"/>
        <v>2</v>
      </c>
      <c r="AP22" s="22">
        <f t="shared" si="10"/>
        <v>3</v>
      </c>
      <c r="AQ22" s="22">
        <f t="shared" si="10"/>
        <v>2</v>
      </c>
      <c r="AR22" s="23"/>
      <c r="AS22" s="23"/>
      <c r="AT22" s="23"/>
      <c r="AU22" s="23"/>
      <c r="AV22" s="23"/>
      <c r="AW22" s="23"/>
    </row>
    <row r="23" spans="1:49">
      <c r="A23" s="15"/>
      <c r="B23" s="53" t="s">
        <v>32</v>
      </c>
      <c r="C23" s="31">
        <v>43990</v>
      </c>
      <c r="D23" s="18">
        <v>1</v>
      </c>
      <c r="E23" s="39">
        <v>43991</v>
      </c>
      <c r="F23" s="31">
        <v>43990</v>
      </c>
      <c r="G23" s="18">
        <v>1</v>
      </c>
      <c r="H23" s="39">
        <v>43991</v>
      </c>
      <c r="I23" s="20"/>
      <c r="J23" s="21" t="s">
        <v>33</v>
      </c>
      <c r="L23" s="22" t="str">
        <f t="shared" si="10"/>
        <v/>
      </c>
      <c r="M23" s="22" t="str">
        <f t="shared" si="10"/>
        <v/>
      </c>
      <c r="N23" s="22" t="str">
        <f t="shared" si="10"/>
        <v/>
      </c>
      <c r="O23" s="22" t="str">
        <f t="shared" si="10"/>
        <v/>
      </c>
      <c r="P23" s="22" t="str">
        <f t="shared" si="10"/>
        <v/>
      </c>
      <c r="Q23" s="22" t="str">
        <f t="shared" si="10"/>
        <v/>
      </c>
      <c r="R23" s="22" t="str">
        <f t="shared" si="10"/>
        <v/>
      </c>
      <c r="S23" s="22" t="str">
        <f t="shared" si="10"/>
        <v/>
      </c>
      <c r="T23" s="22" t="str">
        <f t="shared" si="10"/>
        <v/>
      </c>
      <c r="U23" s="22" t="str">
        <f t="shared" si="10"/>
        <v/>
      </c>
      <c r="V23" s="22" t="str">
        <f t="shared" si="10"/>
        <v/>
      </c>
      <c r="W23" s="22" t="str">
        <f t="shared" si="10"/>
        <v/>
      </c>
      <c r="X23" s="22" t="str">
        <f t="shared" si="10"/>
        <v/>
      </c>
      <c r="Y23" s="22" t="str">
        <f t="shared" si="10"/>
        <v/>
      </c>
      <c r="Z23" s="22" t="str">
        <f t="shared" si="10"/>
        <v/>
      </c>
      <c r="AA23" s="22" t="str">
        <f t="shared" si="10"/>
        <v/>
      </c>
      <c r="AB23" s="22" t="str">
        <f t="shared" si="10"/>
        <v/>
      </c>
      <c r="AC23" s="22" t="str">
        <f t="shared" si="10"/>
        <v/>
      </c>
      <c r="AD23" s="22" t="str">
        <f t="shared" si="10"/>
        <v/>
      </c>
      <c r="AE23" s="22" t="str">
        <f t="shared" si="10"/>
        <v/>
      </c>
      <c r="AF23" s="22" t="str">
        <f t="shared" si="10"/>
        <v/>
      </c>
      <c r="AG23" s="22" t="str">
        <f t="shared" si="10"/>
        <v/>
      </c>
      <c r="AH23" s="22" t="str">
        <f t="shared" si="10"/>
        <v/>
      </c>
      <c r="AI23" s="22" t="str">
        <f t="shared" si="10"/>
        <v/>
      </c>
      <c r="AJ23" s="22" t="str">
        <f t="shared" si="10"/>
        <v/>
      </c>
      <c r="AK23" s="22" t="str">
        <f t="shared" si="10"/>
        <v/>
      </c>
      <c r="AL23" s="22" t="str">
        <f t="shared" si="10"/>
        <v/>
      </c>
      <c r="AM23" s="22">
        <f t="shared" si="10"/>
        <v>1</v>
      </c>
      <c r="AN23" s="22" t="str">
        <f t="shared" si="10"/>
        <v/>
      </c>
      <c r="AO23" s="22" t="str">
        <f t="shared" si="10"/>
        <v/>
      </c>
      <c r="AP23" s="22" t="str">
        <f t="shared" si="10"/>
        <v/>
      </c>
      <c r="AQ23" s="22" t="str">
        <f t="shared" si="10"/>
        <v/>
      </c>
      <c r="AR23" s="23"/>
      <c r="AS23" s="23"/>
      <c r="AT23" s="23"/>
      <c r="AU23" s="23"/>
      <c r="AV23" s="23"/>
      <c r="AW23" s="23"/>
    </row>
    <row r="24" spans="1:49">
      <c r="A24" s="32">
        <v>9</v>
      </c>
      <c r="B24" s="54" t="s">
        <v>34</v>
      </c>
      <c r="C24" s="50">
        <v>43991</v>
      </c>
      <c r="D24" s="51">
        <v>16</v>
      </c>
      <c r="E24" s="55">
        <v>44012</v>
      </c>
      <c r="F24" s="50">
        <v>43991</v>
      </c>
      <c r="G24" s="51">
        <v>16</v>
      </c>
      <c r="H24" s="55">
        <v>44012</v>
      </c>
      <c r="I24" s="55"/>
      <c r="J24" s="21"/>
      <c r="L24" s="22" t="str">
        <f t="shared" si="10"/>
        <v/>
      </c>
      <c r="M24" s="22" t="str">
        <f t="shared" si="10"/>
        <v/>
      </c>
      <c r="N24" s="22" t="str">
        <f t="shared" si="10"/>
        <v/>
      </c>
      <c r="O24" s="22" t="str">
        <f t="shared" si="10"/>
        <v/>
      </c>
      <c r="P24" s="22" t="str">
        <f t="shared" si="10"/>
        <v/>
      </c>
      <c r="Q24" s="22" t="str">
        <f t="shared" si="10"/>
        <v/>
      </c>
      <c r="R24" s="22" t="str">
        <f t="shared" si="10"/>
        <v/>
      </c>
      <c r="S24" s="22" t="str">
        <f t="shared" si="10"/>
        <v/>
      </c>
      <c r="T24" s="22" t="str">
        <f t="shared" si="10"/>
        <v/>
      </c>
      <c r="U24" s="22" t="str">
        <f t="shared" si="10"/>
        <v/>
      </c>
      <c r="V24" s="22" t="str">
        <f t="shared" si="10"/>
        <v/>
      </c>
      <c r="W24" s="22" t="str">
        <f t="shared" si="10"/>
        <v/>
      </c>
      <c r="X24" s="22" t="str">
        <f t="shared" si="10"/>
        <v/>
      </c>
      <c r="Y24" s="22" t="str">
        <f t="shared" si="10"/>
        <v/>
      </c>
      <c r="Z24" s="22" t="str">
        <f t="shared" si="10"/>
        <v/>
      </c>
      <c r="AA24" s="22" t="str">
        <f t="shared" si="10"/>
        <v/>
      </c>
      <c r="AB24" s="22" t="str">
        <f t="shared" si="10"/>
        <v/>
      </c>
      <c r="AC24" s="22" t="str">
        <f t="shared" si="10"/>
        <v/>
      </c>
      <c r="AD24" s="22" t="str">
        <f t="shared" si="10"/>
        <v/>
      </c>
      <c r="AE24" s="22" t="str">
        <f t="shared" si="10"/>
        <v/>
      </c>
      <c r="AF24" s="22" t="str">
        <f t="shared" si="10"/>
        <v/>
      </c>
      <c r="AG24" s="22" t="str">
        <f t="shared" si="10"/>
        <v/>
      </c>
      <c r="AH24" s="22" t="str">
        <f t="shared" si="10"/>
        <v/>
      </c>
      <c r="AI24" s="22" t="str">
        <f t="shared" si="10"/>
        <v/>
      </c>
      <c r="AJ24" s="22" t="str">
        <f t="shared" si="10"/>
        <v/>
      </c>
      <c r="AK24" s="22" t="str">
        <f t="shared" si="10"/>
        <v/>
      </c>
      <c r="AL24" s="22" t="str">
        <f t="shared" si="10"/>
        <v/>
      </c>
      <c r="AM24" s="22">
        <f t="shared" si="10"/>
        <v>1</v>
      </c>
      <c r="AN24" s="22">
        <f t="shared" si="10"/>
        <v>2</v>
      </c>
      <c r="AO24" s="22">
        <f t="shared" si="10"/>
        <v>2</v>
      </c>
      <c r="AP24" s="22">
        <f t="shared" si="10"/>
        <v>3</v>
      </c>
      <c r="AQ24" s="22">
        <f t="shared" si="10"/>
        <v>2</v>
      </c>
      <c r="AR24" s="23"/>
      <c r="AS24" s="23"/>
      <c r="AT24" s="23"/>
      <c r="AU24" s="23"/>
      <c r="AV24" s="23"/>
      <c r="AW24" s="23"/>
    </row>
    <row r="25" spans="1:49">
      <c r="A25" s="15"/>
      <c r="B25" s="45" t="s">
        <v>35</v>
      </c>
      <c r="C25" s="31">
        <v>43991</v>
      </c>
      <c r="D25" s="18">
        <v>4</v>
      </c>
      <c r="E25" s="39">
        <v>43997</v>
      </c>
      <c r="F25" s="31">
        <v>43991</v>
      </c>
      <c r="G25" s="18">
        <v>4</v>
      </c>
      <c r="H25" s="39">
        <v>43997</v>
      </c>
      <c r="I25" s="20"/>
      <c r="J25" s="21"/>
      <c r="L25" s="22" t="str">
        <f t="shared" si="10"/>
        <v/>
      </c>
      <c r="M25" s="22" t="str">
        <f t="shared" si="10"/>
        <v/>
      </c>
      <c r="N25" s="22" t="str">
        <f t="shared" si="10"/>
        <v/>
      </c>
      <c r="O25" s="22" t="str">
        <f t="shared" si="10"/>
        <v/>
      </c>
      <c r="P25" s="22" t="str">
        <f t="shared" si="10"/>
        <v/>
      </c>
      <c r="Q25" s="22" t="str">
        <f t="shared" si="10"/>
        <v/>
      </c>
      <c r="R25" s="22" t="str">
        <f t="shared" si="10"/>
        <v/>
      </c>
      <c r="S25" s="22" t="str">
        <f t="shared" si="10"/>
        <v/>
      </c>
      <c r="T25" s="22" t="str">
        <f t="shared" si="10"/>
        <v/>
      </c>
      <c r="U25" s="22" t="str">
        <f t="shared" si="10"/>
        <v/>
      </c>
      <c r="V25" s="22" t="str">
        <f t="shared" si="10"/>
        <v/>
      </c>
      <c r="W25" s="22" t="str">
        <f t="shared" si="10"/>
        <v/>
      </c>
      <c r="X25" s="22" t="str">
        <f t="shared" si="10"/>
        <v/>
      </c>
      <c r="Y25" s="22" t="str">
        <f t="shared" si="10"/>
        <v/>
      </c>
      <c r="Z25" s="22" t="str">
        <f t="shared" si="10"/>
        <v/>
      </c>
      <c r="AA25" s="22" t="str">
        <f t="shared" si="10"/>
        <v/>
      </c>
      <c r="AB25" s="22" t="str">
        <f t="shared" si="10"/>
        <v/>
      </c>
      <c r="AC25" s="22" t="str">
        <f t="shared" si="10"/>
        <v/>
      </c>
      <c r="AD25" s="22" t="str">
        <f t="shared" si="10"/>
        <v/>
      </c>
      <c r="AE25" s="22" t="str">
        <f t="shared" si="10"/>
        <v/>
      </c>
      <c r="AF25" s="22" t="str">
        <f t="shared" si="10"/>
        <v/>
      </c>
      <c r="AG25" s="22" t="str">
        <f t="shared" si="10"/>
        <v/>
      </c>
      <c r="AH25" s="22" t="str">
        <f t="shared" si="10"/>
        <v/>
      </c>
      <c r="AI25" s="22" t="str">
        <f t="shared" si="10"/>
        <v/>
      </c>
      <c r="AJ25" s="22" t="str">
        <f t="shared" si="10"/>
        <v/>
      </c>
      <c r="AK25" s="22" t="str">
        <f t="shared" si="10"/>
        <v/>
      </c>
      <c r="AL25" s="22" t="str">
        <f t="shared" si="10"/>
        <v/>
      </c>
      <c r="AM25" s="22">
        <f t="shared" si="10"/>
        <v>1</v>
      </c>
      <c r="AN25" s="22">
        <f t="shared" si="10"/>
        <v>3</v>
      </c>
      <c r="AO25" s="22" t="str">
        <f t="shared" si="10"/>
        <v/>
      </c>
      <c r="AP25" s="22" t="str">
        <f t="shared" si="10"/>
        <v/>
      </c>
      <c r="AQ25" s="22" t="str">
        <f t="shared" si="10"/>
        <v/>
      </c>
      <c r="AR25" s="23"/>
      <c r="AS25" s="23"/>
      <c r="AT25" s="23"/>
      <c r="AU25" s="23"/>
      <c r="AV25" s="23"/>
      <c r="AW25" s="23"/>
    </row>
    <row r="26" spans="1:49">
      <c r="A26" s="15"/>
      <c r="B26" s="45" t="s">
        <v>36</v>
      </c>
      <c r="C26" s="31">
        <v>43997</v>
      </c>
      <c r="D26" s="18">
        <v>3</v>
      </c>
      <c r="E26" s="39">
        <v>44004</v>
      </c>
      <c r="F26" s="31">
        <v>43997</v>
      </c>
      <c r="G26" s="18">
        <v>3</v>
      </c>
      <c r="H26" s="39">
        <v>44004</v>
      </c>
      <c r="I26" s="20"/>
      <c r="J26" s="21"/>
      <c r="L26" s="22" t="str">
        <f t="shared" si="10"/>
        <v/>
      </c>
      <c r="M26" s="22" t="str">
        <f t="shared" si="10"/>
        <v/>
      </c>
      <c r="N26" s="22" t="str">
        <f t="shared" si="10"/>
        <v/>
      </c>
      <c r="O26" s="22" t="str">
        <f t="shared" si="10"/>
        <v/>
      </c>
      <c r="P26" s="22" t="str">
        <f t="shared" si="10"/>
        <v/>
      </c>
      <c r="Q26" s="22" t="str">
        <f t="shared" si="10"/>
        <v/>
      </c>
      <c r="R26" s="22" t="str">
        <f t="shared" si="10"/>
        <v/>
      </c>
      <c r="S26" s="22" t="str">
        <f t="shared" si="10"/>
        <v/>
      </c>
      <c r="T26" s="22" t="str">
        <f t="shared" si="10"/>
        <v/>
      </c>
      <c r="U26" s="22" t="str">
        <f t="shared" si="10"/>
        <v/>
      </c>
      <c r="V26" s="22" t="str">
        <f t="shared" si="10"/>
        <v/>
      </c>
      <c r="W26" s="22" t="str">
        <f t="shared" si="10"/>
        <v/>
      </c>
      <c r="X26" s="22" t="str">
        <f t="shared" si="10"/>
        <v/>
      </c>
      <c r="Y26" s="22" t="str">
        <f t="shared" si="10"/>
        <v/>
      </c>
      <c r="Z26" s="22" t="str">
        <f t="shared" si="10"/>
        <v/>
      </c>
      <c r="AA26" s="22" t="str">
        <f t="shared" si="10"/>
        <v/>
      </c>
      <c r="AB26" s="22" t="str">
        <f t="shared" si="10"/>
        <v/>
      </c>
      <c r="AC26" s="22" t="str">
        <f t="shared" si="10"/>
        <v/>
      </c>
      <c r="AD26" s="22" t="str">
        <f t="shared" si="10"/>
        <v/>
      </c>
      <c r="AE26" s="22" t="str">
        <f t="shared" si="10"/>
        <v/>
      </c>
      <c r="AF26" s="22" t="str">
        <f t="shared" si="10"/>
        <v/>
      </c>
      <c r="AG26" s="22" t="str">
        <f t="shared" si="10"/>
        <v/>
      </c>
      <c r="AH26" s="22" t="str">
        <f t="shared" si="10"/>
        <v/>
      </c>
      <c r="AI26" s="22" t="str">
        <f t="shared" si="10"/>
        <v/>
      </c>
      <c r="AJ26" s="22" t="str">
        <f t="shared" si="10"/>
        <v/>
      </c>
      <c r="AK26" s="22" t="str">
        <f t="shared" si="10"/>
        <v/>
      </c>
      <c r="AL26" s="22" t="str">
        <f t="shared" si="10"/>
        <v/>
      </c>
      <c r="AM26" s="22" t="str">
        <f t="shared" si="10"/>
        <v/>
      </c>
      <c r="AN26" s="22">
        <f t="shared" si="10"/>
        <v>1</v>
      </c>
      <c r="AO26" s="22">
        <f t="shared" si="10"/>
        <v>3</v>
      </c>
      <c r="AP26" s="22" t="str">
        <f t="shared" si="10"/>
        <v/>
      </c>
      <c r="AQ26" s="22" t="str">
        <f t="shared" si="10"/>
        <v/>
      </c>
      <c r="AR26" s="23"/>
      <c r="AS26" s="23"/>
      <c r="AT26" s="23"/>
      <c r="AU26" s="23"/>
      <c r="AV26" s="23"/>
      <c r="AW26" s="23"/>
    </row>
    <row r="27" spans="1:49">
      <c r="A27" s="15"/>
      <c r="B27" s="45" t="s">
        <v>37</v>
      </c>
      <c r="C27" s="31">
        <v>44004</v>
      </c>
      <c r="D27" s="18">
        <v>2</v>
      </c>
      <c r="E27" s="39">
        <v>44006</v>
      </c>
      <c r="F27" s="31">
        <v>44004</v>
      </c>
      <c r="G27" s="18">
        <v>2</v>
      </c>
      <c r="H27" s="39">
        <v>44006</v>
      </c>
      <c r="I27" s="20"/>
      <c r="J27" s="21"/>
      <c r="L27" s="22" t="str">
        <f>IF(AND($F27&lt;(L$2+7),$F27&gt;L$2),1,
IF(AND($H27&lt;L$2+7,$H27&gt;L$2),3,
IF(AND($F27&lt;=L$2, $H27&gt;=L$2),  2,
"" )))</f>
        <v/>
      </c>
      <c r="M27" s="22" t="str">
        <f t="shared" si="10"/>
        <v/>
      </c>
      <c r="N27" s="22" t="str">
        <f t="shared" si="10"/>
        <v/>
      </c>
      <c r="O27" s="22" t="str">
        <f t="shared" si="10"/>
        <v/>
      </c>
      <c r="P27" s="22" t="str">
        <f t="shared" si="10"/>
        <v/>
      </c>
      <c r="Q27" s="22" t="str">
        <f t="shared" si="10"/>
        <v/>
      </c>
      <c r="R27" s="22" t="str">
        <f t="shared" si="10"/>
        <v/>
      </c>
      <c r="S27" s="22" t="str">
        <f t="shared" si="10"/>
        <v/>
      </c>
      <c r="T27" s="22" t="str">
        <f t="shared" si="10"/>
        <v/>
      </c>
      <c r="U27" s="22" t="str">
        <f t="shared" si="10"/>
        <v/>
      </c>
      <c r="V27" s="22" t="str">
        <f t="shared" si="10"/>
        <v/>
      </c>
      <c r="W27" s="22" t="str">
        <f t="shared" si="10"/>
        <v/>
      </c>
      <c r="X27" s="22" t="str">
        <f t="shared" si="10"/>
        <v/>
      </c>
      <c r="Y27" s="22" t="str">
        <f t="shared" si="10"/>
        <v/>
      </c>
      <c r="Z27" s="22" t="str">
        <f t="shared" si="10"/>
        <v/>
      </c>
      <c r="AA27" s="22" t="str">
        <f t="shared" si="10"/>
        <v/>
      </c>
      <c r="AB27" s="22" t="str">
        <f t="shared" si="10"/>
        <v/>
      </c>
      <c r="AC27" s="22" t="str">
        <f t="shared" si="10"/>
        <v/>
      </c>
      <c r="AD27" s="22" t="str">
        <f t="shared" si="10"/>
        <v/>
      </c>
      <c r="AE27" s="22" t="str">
        <f t="shared" si="10"/>
        <v/>
      </c>
      <c r="AF27" s="22" t="str">
        <f t="shared" si="10"/>
        <v/>
      </c>
      <c r="AG27" s="22" t="str">
        <f t="shared" si="10"/>
        <v/>
      </c>
      <c r="AH27" s="22" t="str">
        <f t="shared" si="10"/>
        <v/>
      </c>
      <c r="AI27" s="22" t="str">
        <f t="shared" si="10"/>
        <v/>
      </c>
      <c r="AJ27" s="22" t="str">
        <f t="shared" si="10"/>
        <v/>
      </c>
      <c r="AK27" s="22" t="str">
        <f t="shared" si="10"/>
        <v/>
      </c>
      <c r="AL27" s="22" t="str">
        <f t="shared" si="10"/>
        <v/>
      </c>
      <c r="AM27" s="22" t="str">
        <f t="shared" si="10"/>
        <v/>
      </c>
      <c r="AN27" s="22" t="str">
        <f t="shared" si="10"/>
        <v/>
      </c>
      <c r="AO27" s="22">
        <f t="shared" si="10"/>
        <v>1</v>
      </c>
      <c r="AP27" s="22" t="str">
        <f t="shared" si="10"/>
        <v/>
      </c>
      <c r="AQ27" s="22" t="str">
        <f t="shared" si="10"/>
        <v/>
      </c>
      <c r="AR27" s="23"/>
      <c r="AS27" s="23"/>
      <c r="AT27" s="23"/>
      <c r="AU27" s="23"/>
      <c r="AV27" s="23"/>
      <c r="AW27" s="23"/>
    </row>
    <row r="28" spans="1:49">
      <c r="A28" s="15"/>
      <c r="B28" s="45" t="s">
        <v>38</v>
      </c>
      <c r="C28" s="31">
        <v>44006</v>
      </c>
      <c r="D28" s="18">
        <v>4</v>
      </c>
      <c r="E28" s="39">
        <v>44012</v>
      </c>
      <c r="F28" s="31">
        <v>44006</v>
      </c>
      <c r="G28" s="18">
        <v>4</v>
      </c>
      <c r="H28" s="39">
        <v>44012</v>
      </c>
      <c r="I28" s="20"/>
      <c r="J28" s="21"/>
      <c r="L28" s="22" t="str">
        <f>IF(AND($F28&lt;(L$2+7),$F28&gt;L$2),1,
IF(AND($H28&lt;L$2+7,$H28&gt;L$2),3,
IF(AND($F28&lt;=L$2, $H28&gt;=L$2),  2,
"" )))</f>
        <v/>
      </c>
      <c r="M28" s="22" t="str">
        <f t="shared" si="10"/>
        <v/>
      </c>
      <c r="N28" s="22" t="str">
        <f t="shared" si="10"/>
        <v/>
      </c>
      <c r="O28" s="22" t="str">
        <f t="shared" si="10"/>
        <v/>
      </c>
      <c r="P28" s="22" t="str">
        <f t="shared" si="10"/>
        <v/>
      </c>
      <c r="Q28" s="22" t="str">
        <f t="shared" si="10"/>
        <v/>
      </c>
      <c r="R28" s="22" t="str">
        <f t="shared" si="10"/>
        <v/>
      </c>
      <c r="S28" s="22" t="str">
        <f t="shared" si="10"/>
        <v/>
      </c>
      <c r="T28" s="22" t="str">
        <f t="shared" si="10"/>
        <v/>
      </c>
      <c r="U28" s="22" t="str">
        <f t="shared" si="10"/>
        <v/>
      </c>
      <c r="V28" s="22" t="str">
        <f t="shared" si="10"/>
        <v/>
      </c>
      <c r="W28" s="22" t="str">
        <f t="shared" si="10"/>
        <v/>
      </c>
      <c r="X28" s="22" t="str">
        <f t="shared" si="10"/>
        <v/>
      </c>
      <c r="Y28" s="22" t="str">
        <f t="shared" si="10"/>
        <v/>
      </c>
      <c r="Z28" s="22" t="str">
        <f t="shared" si="10"/>
        <v/>
      </c>
      <c r="AA28" s="22" t="str">
        <f t="shared" si="10"/>
        <v/>
      </c>
      <c r="AB28" s="22" t="str">
        <f t="shared" si="10"/>
        <v/>
      </c>
      <c r="AC28" s="22" t="str">
        <f t="shared" si="10"/>
        <v/>
      </c>
      <c r="AD28" s="22" t="str">
        <f t="shared" si="10"/>
        <v/>
      </c>
      <c r="AE28" s="22" t="str">
        <f t="shared" si="10"/>
        <v/>
      </c>
      <c r="AF28" s="22" t="str">
        <f t="shared" si="10"/>
        <v/>
      </c>
      <c r="AG28" s="22" t="str">
        <f t="shared" si="10"/>
        <v/>
      </c>
      <c r="AH28" s="22" t="str">
        <f t="shared" si="10"/>
        <v/>
      </c>
      <c r="AI28" s="22" t="str">
        <f t="shared" si="10"/>
        <v/>
      </c>
      <c r="AJ28" s="22" t="str">
        <f t="shared" si="10"/>
        <v/>
      </c>
      <c r="AK28" s="22" t="str">
        <f t="shared" si="10"/>
        <v/>
      </c>
      <c r="AL28" s="22" t="str">
        <f t="shared" si="10"/>
        <v/>
      </c>
      <c r="AM28" s="22" t="str">
        <f t="shared" si="10"/>
        <v/>
      </c>
      <c r="AN28" s="22" t="str">
        <f t="shared" si="10"/>
        <v/>
      </c>
      <c r="AO28" s="22">
        <f t="shared" si="10"/>
        <v>1</v>
      </c>
      <c r="AP28" s="22">
        <f t="shared" si="10"/>
        <v>3</v>
      </c>
      <c r="AQ28" s="22">
        <f t="shared" si="10"/>
        <v>2</v>
      </c>
      <c r="AR28" s="23"/>
      <c r="AS28" s="23"/>
      <c r="AT28" s="23"/>
      <c r="AU28" s="23"/>
      <c r="AV28" s="23"/>
      <c r="AW28" s="23"/>
    </row>
    <row r="29" spans="1:49">
      <c r="A29" s="15"/>
      <c r="B29" s="45" t="s">
        <v>39</v>
      </c>
      <c r="C29" s="31">
        <v>44004</v>
      </c>
      <c r="D29" s="18">
        <v>1</v>
      </c>
      <c r="E29" s="39">
        <v>44005</v>
      </c>
      <c r="F29" s="31">
        <v>44004</v>
      </c>
      <c r="G29" s="18">
        <v>1</v>
      </c>
      <c r="H29" s="39">
        <v>44005</v>
      </c>
      <c r="I29" s="20"/>
      <c r="J29" s="21"/>
      <c r="L29" s="22" t="str">
        <f>IF(AND($F29&lt;(L$2+7),$F29&gt;L$2),1,
IF(AND($H29&lt;L$2+7,$H29&gt;L$2),3,
IF(AND($F29&lt;=L$2, $H29&gt;=L$2),  2,
"" )))</f>
        <v/>
      </c>
      <c r="M29" s="22" t="str">
        <f t="shared" si="10"/>
        <v/>
      </c>
      <c r="N29" s="22" t="str">
        <f t="shared" si="10"/>
        <v/>
      </c>
      <c r="O29" s="22" t="str">
        <f t="shared" si="10"/>
        <v/>
      </c>
      <c r="P29" s="22" t="str">
        <f t="shared" si="10"/>
        <v/>
      </c>
      <c r="Q29" s="22" t="str">
        <f t="shared" si="10"/>
        <v/>
      </c>
      <c r="R29" s="22" t="str">
        <f t="shared" si="10"/>
        <v/>
      </c>
      <c r="S29" s="22" t="str">
        <f t="shared" si="10"/>
        <v/>
      </c>
      <c r="T29" s="22" t="str">
        <f t="shared" si="10"/>
        <v/>
      </c>
      <c r="U29" s="22" t="str">
        <f t="shared" si="10"/>
        <v/>
      </c>
      <c r="V29" s="22" t="str">
        <f t="shared" si="10"/>
        <v/>
      </c>
      <c r="W29" s="22" t="str">
        <f t="shared" si="10"/>
        <v/>
      </c>
      <c r="X29" s="22" t="str">
        <f t="shared" si="10"/>
        <v/>
      </c>
      <c r="Y29" s="22" t="str">
        <f t="shared" si="10"/>
        <v/>
      </c>
      <c r="Z29" s="22" t="str">
        <f t="shared" si="10"/>
        <v/>
      </c>
      <c r="AA29" s="22" t="str">
        <f t="shared" si="10"/>
        <v/>
      </c>
      <c r="AB29" s="22" t="str">
        <f t="shared" si="10"/>
        <v/>
      </c>
      <c r="AC29" s="22" t="str">
        <f t="shared" si="10"/>
        <v/>
      </c>
      <c r="AD29" s="22" t="str">
        <f t="shared" si="10"/>
        <v/>
      </c>
      <c r="AE29" s="22" t="str">
        <f t="shared" si="10"/>
        <v/>
      </c>
      <c r="AF29" s="22" t="str">
        <f t="shared" si="10"/>
        <v/>
      </c>
      <c r="AG29" s="22" t="str">
        <f t="shared" si="10"/>
        <v/>
      </c>
      <c r="AH29" s="22" t="str">
        <f t="shared" si="10"/>
        <v/>
      </c>
      <c r="AI29" s="22" t="str">
        <f t="shared" si="10"/>
        <v/>
      </c>
      <c r="AJ29" s="22" t="str">
        <f t="shared" si="10"/>
        <v/>
      </c>
      <c r="AK29" s="22" t="str">
        <f t="shared" si="10"/>
        <v/>
      </c>
      <c r="AL29" s="22" t="str">
        <f t="shared" si="10"/>
        <v/>
      </c>
      <c r="AM29" s="22" t="str">
        <f t="shared" si="10"/>
        <v/>
      </c>
      <c r="AN29" s="22" t="str">
        <f t="shared" si="10"/>
        <v/>
      </c>
      <c r="AO29" s="22">
        <f t="shared" si="10"/>
        <v>1</v>
      </c>
      <c r="AP29" s="22" t="str">
        <f t="shared" si="10"/>
        <v/>
      </c>
      <c r="AQ29" s="22" t="str">
        <f t="shared" si="10"/>
        <v/>
      </c>
      <c r="AR29" s="23"/>
      <c r="AS29" s="23"/>
      <c r="AT29" s="23"/>
      <c r="AU29" s="23"/>
      <c r="AV29" s="23"/>
      <c r="AW29" s="23"/>
    </row>
    <row r="30" spans="1:49">
      <c r="A30" s="32">
        <v>10</v>
      </c>
      <c r="B30" s="56" t="s">
        <v>40</v>
      </c>
      <c r="C30" s="50">
        <v>43991</v>
      </c>
      <c r="D30" s="51">
        <v>8</v>
      </c>
      <c r="E30" s="55">
        <v>44000</v>
      </c>
      <c r="F30" s="50">
        <v>43991</v>
      </c>
      <c r="G30" s="51">
        <v>8</v>
      </c>
      <c r="H30" s="55">
        <v>44000</v>
      </c>
      <c r="I30" s="55"/>
      <c r="J30" s="21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3"/>
      <c r="AS30" s="23"/>
      <c r="AT30" s="23"/>
      <c r="AU30" s="23"/>
      <c r="AV30" s="23"/>
      <c r="AW30" s="23"/>
    </row>
    <row r="31" spans="1:49">
      <c r="A31" s="15"/>
      <c r="B31" s="45" t="s">
        <v>41</v>
      </c>
      <c r="C31" s="31">
        <v>43991</v>
      </c>
      <c r="D31" s="18">
        <v>2</v>
      </c>
      <c r="E31" s="39">
        <v>43993</v>
      </c>
      <c r="F31" s="31">
        <v>43991</v>
      </c>
      <c r="G31" s="18">
        <v>2</v>
      </c>
      <c r="H31" s="39">
        <v>43993</v>
      </c>
      <c r="I31" s="37"/>
      <c r="J31" s="21"/>
      <c r="L31" s="22" t="str">
        <f>IF(AND($F31&lt;(L$2+7),$F31&gt;L$2),1,
IF(AND($H31&lt;L$2+7,$H31&gt;L$2),3,
IF(AND($F31&lt;=L$2, $H31&gt;=L$2),  2,
"" )))</f>
        <v/>
      </c>
      <c r="M31" s="22" t="str">
        <f t="shared" si="10"/>
        <v/>
      </c>
      <c r="N31" s="22" t="str">
        <f t="shared" si="10"/>
        <v/>
      </c>
      <c r="O31" s="22" t="str">
        <f t="shared" ref="O31:AQ31" si="11">IF(AND($F31&lt;(O$2+7),$F31&gt;O$2),1,
IF(AND($H31&lt;O$2+7,$H31&gt;O$2),3,
IF(AND($F31&lt;=O$2, $H31&gt;=O$2),  2,
"" )))</f>
        <v/>
      </c>
      <c r="P31" s="22" t="str">
        <f t="shared" si="11"/>
        <v/>
      </c>
      <c r="Q31" s="22" t="str">
        <f t="shared" si="11"/>
        <v/>
      </c>
      <c r="R31" s="22" t="str">
        <f t="shared" si="11"/>
        <v/>
      </c>
      <c r="S31" s="22" t="str">
        <f t="shared" si="11"/>
        <v/>
      </c>
      <c r="T31" s="22" t="str">
        <f t="shared" si="11"/>
        <v/>
      </c>
      <c r="U31" s="22" t="str">
        <f t="shared" si="11"/>
        <v/>
      </c>
      <c r="V31" s="22" t="str">
        <f t="shared" si="11"/>
        <v/>
      </c>
      <c r="W31" s="22" t="str">
        <f t="shared" si="11"/>
        <v/>
      </c>
      <c r="X31" s="22" t="str">
        <f t="shared" si="11"/>
        <v/>
      </c>
      <c r="Y31" s="22" t="str">
        <f t="shared" si="11"/>
        <v/>
      </c>
      <c r="Z31" s="22" t="str">
        <f t="shared" si="11"/>
        <v/>
      </c>
      <c r="AA31" s="22" t="str">
        <f t="shared" si="11"/>
        <v/>
      </c>
      <c r="AB31" s="22" t="str">
        <f t="shared" si="11"/>
        <v/>
      </c>
      <c r="AC31" s="22" t="str">
        <f t="shared" si="11"/>
        <v/>
      </c>
      <c r="AD31" s="22" t="str">
        <f t="shared" si="11"/>
        <v/>
      </c>
      <c r="AE31" s="22" t="str">
        <f t="shared" si="11"/>
        <v/>
      </c>
      <c r="AF31" s="22" t="str">
        <f t="shared" si="11"/>
        <v/>
      </c>
      <c r="AG31" s="22" t="str">
        <f t="shared" si="11"/>
        <v/>
      </c>
      <c r="AH31" s="22" t="str">
        <f t="shared" si="11"/>
        <v/>
      </c>
      <c r="AI31" s="22" t="str">
        <f t="shared" si="11"/>
        <v/>
      </c>
      <c r="AJ31" s="22" t="str">
        <f t="shared" si="11"/>
        <v/>
      </c>
      <c r="AK31" s="22" t="str">
        <f t="shared" si="11"/>
        <v/>
      </c>
      <c r="AL31" s="22" t="str">
        <f t="shared" si="11"/>
        <v/>
      </c>
      <c r="AM31" s="22">
        <f t="shared" si="11"/>
        <v>1</v>
      </c>
      <c r="AN31" s="22" t="str">
        <f t="shared" si="11"/>
        <v/>
      </c>
      <c r="AO31" s="22" t="str">
        <f t="shared" si="11"/>
        <v/>
      </c>
      <c r="AP31" s="22" t="str">
        <f t="shared" si="11"/>
        <v/>
      </c>
      <c r="AQ31" s="22" t="str">
        <f t="shared" si="11"/>
        <v/>
      </c>
      <c r="AR31" s="23"/>
      <c r="AS31" s="23"/>
      <c r="AT31" s="23"/>
      <c r="AU31" s="23"/>
      <c r="AV31" s="23"/>
      <c r="AW31" s="23"/>
    </row>
    <row r="32" spans="1:49">
      <c r="A32" s="15"/>
      <c r="B32" s="45" t="s">
        <v>42</v>
      </c>
      <c r="C32" s="31">
        <v>43993</v>
      </c>
      <c r="D32" s="18">
        <v>3</v>
      </c>
      <c r="E32" s="39">
        <v>44000</v>
      </c>
      <c r="F32" s="31">
        <v>43993</v>
      </c>
      <c r="G32" s="18">
        <v>3</v>
      </c>
      <c r="H32" s="39">
        <v>44000</v>
      </c>
      <c r="I32" s="20"/>
      <c r="J32" s="21"/>
      <c r="L32" s="22" t="str">
        <f>IF(AND($F32&lt;(L$2+7),$F32&gt;L$2),1,
IF(AND($H32&lt;L$2+7,$H32&gt;L$2),3,
IF(AND($F32&lt;=L$2, $H32&gt;=L$2),  2,
"" )))</f>
        <v/>
      </c>
      <c r="M32" s="22" t="str">
        <f t="shared" ref="M32:AQ43" si="12">IF(AND($F32&lt;(M$2+7),$F32&gt;M$2),1,
IF(AND($H32&lt;M$2+7,$H32&gt;M$2),3,
IF(AND($F32&lt;=M$2, $H32&gt;=M$2),  2,
"" )))</f>
        <v/>
      </c>
      <c r="N32" s="22" t="str">
        <f t="shared" si="12"/>
        <v/>
      </c>
      <c r="O32" s="22" t="str">
        <f t="shared" si="12"/>
        <v/>
      </c>
      <c r="P32" s="22" t="str">
        <f t="shared" si="12"/>
        <v/>
      </c>
      <c r="Q32" s="22" t="str">
        <f t="shared" si="12"/>
        <v/>
      </c>
      <c r="R32" s="22" t="str">
        <f t="shared" si="12"/>
        <v/>
      </c>
      <c r="S32" s="22" t="str">
        <f t="shared" si="12"/>
        <v/>
      </c>
      <c r="T32" s="22" t="str">
        <f t="shared" si="12"/>
        <v/>
      </c>
      <c r="U32" s="22" t="str">
        <f t="shared" si="12"/>
        <v/>
      </c>
      <c r="V32" s="22" t="str">
        <f t="shared" si="12"/>
        <v/>
      </c>
      <c r="W32" s="22" t="str">
        <f t="shared" si="12"/>
        <v/>
      </c>
      <c r="X32" s="22" t="str">
        <f t="shared" si="12"/>
        <v/>
      </c>
      <c r="Y32" s="22" t="str">
        <f t="shared" si="12"/>
        <v/>
      </c>
      <c r="Z32" s="22" t="str">
        <f t="shared" si="12"/>
        <v/>
      </c>
      <c r="AA32" s="22" t="str">
        <f t="shared" si="12"/>
        <v/>
      </c>
      <c r="AB32" s="22" t="str">
        <f t="shared" si="12"/>
        <v/>
      </c>
      <c r="AC32" s="22" t="str">
        <f t="shared" si="12"/>
        <v/>
      </c>
      <c r="AD32" s="22" t="str">
        <f t="shared" si="12"/>
        <v/>
      </c>
      <c r="AE32" s="22" t="str">
        <f t="shared" si="12"/>
        <v/>
      </c>
      <c r="AF32" s="22" t="str">
        <f t="shared" si="12"/>
        <v/>
      </c>
      <c r="AG32" s="22" t="str">
        <f t="shared" si="12"/>
        <v/>
      </c>
      <c r="AH32" s="22" t="str">
        <f t="shared" si="12"/>
        <v/>
      </c>
      <c r="AI32" s="22" t="str">
        <f t="shared" si="12"/>
        <v/>
      </c>
      <c r="AJ32" s="22" t="str">
        <f t="shared" si="12"/>
        <v/>
      </c>
      <c r="AK32" s="22" t="str">
        <f t="shared" si="12"/>
        <v/>
      </c>
      <c r="AL32" s="22" t="str">
        <f t="shared" si="12"/>
        <v/>
      </c>
      <c r="AM32" s="22">
        <f t="shared" si="12"/>
        <v>1</v>
      </c>
      <c r="AN32" s="22">
        <f t="shared" si="12"/>
        <v>3</v>
      </c>
      <c r="AO32" s="22" t="str">
        <f t="shared" si="12"/>
        <v/>
      </c>
      <c r="AP32" s="22" t="str">
        <f t="shared" si="12"/>
        <v/>
      </c>
      <c r="AQ32" s="22" t="str">
        <f t="shared" si="12"/>
        <v/>
      </c>
      <c r="AR32" s="23"/>
      <c r="AS32" s="23"/>
      <c r="AT32" s="23"/>
      <c r="AU32" s="23"/>
      <c r="AV32" s="23"/>
      <c r="AW32" s="23"/>
    </row>
    <row r="33" spans="1:49">
      <c r="A33" s="15"/>
      <c r="B33" s="53" t="s">
        <v>43</v>
      </c>
      <c r="C33" s="31">
        <v>43992</v>
      </c>
      <c r="D33" s="18">
        <v>3</v>
      </c>
      <c r="E33" s="39">
        <v>43997</v>
      </c>
      <c r="F33" s="31">
        <v>43992</v>
      </c>
      <c r="G33" s="18">
        <v>3</v>
      </c>
      <c r="H33" s="39">
        <v>43997</v>
      </c>
      <c r="I33" s="20"/>
      <c r="J33" s="21"/>
      <c r="L33" s="22" t="str">
        <f>IF(AND($F33&lt;(L$2+7),$F33&gt;L$2),1,
IF(AND($H33&lt;L$2+7,$H33&gt;L$2),3,
IF(AND($F33&lt;=L$2, $H33&gt;=L$2),  2,
"" )))</f>
        <v/>
      </c>
      <c r="M33" s="22" t="str">
        <f t="shared" si="12"/>
        <v/>
      </c>
      <c r="N33" s="22" t="str">
        <f t="shared" si="12"/>
        <v/>
      </c>
      <c r="O33" s="22" t="str">
        <f t="shared" si="12"/>
        <v/>
      </c>
      <c r="P33" s="22" t="str">
        <f t="shared" si="12"/>
        <v/>
      </c>
      <c r="Q33" s="22" t="str">
        <f t="shared" si="12"/>
        <v/>
      </c>
      <c r="R33" s="22" t="str">
        <f t="shared" si="12"/>
        <v/>
      </c>
      <c r="S33" s="22" t="str">
        <f t="shared" si="12"/>
        <v/>
      </c>
      <c r="T33" s="22" t="str">
        <f t="shared" si="12"/>
        <v/>
      </c>
      <c r="U33" s="22" t="str">
        <f t="shared" si="12"/>
        <v/>
      </c>
      <c r="V33" s="22" t="str">
        <f t="shared" si="12"/>
        <v/>
      </c>
      <c r="W33" s="22" t="str">
        <f t="shared" si="12"/>
        <v/>
      </c>
      <c r="X33" s="22" t="str">
        <f t="shared" si="12"/>
        <v/>
      </c>
      <c r="Y33" s="22" t="str">
        <f t="shared" si="12"/>
        <v/>
      </c>
      <c r="Z33" s="22" t="str">
        <f t="shared" si="12"/>
        <v/>
      </c>
      <c r="AA33" s="22" t="str">
        <f t="shared" si="12"/>
        <v/>
      </c>
      <c r="AB33" s="22" t="str">
        <f t="shared" si="12"/>
        <v/>
      </c>
      <c r="AC33" s="22" t="str">
        <f t="shared" si="12"/>
        <v/>
      </c>
      <c r="AD33" s="22" t="str">
        <f t="shared" si="12"/>
        <v/>
      </c>
      <c r="AE33" s="22" t="str">
        <f t="shared" si="12"/>
        <v/>
      </c>
      <c r="AF33" s="22" t="str">
        <f t="shared" si="12"/>
        <v/>
      </c>
      <c r="AG33" s="22" t="str">
        <f t="shared" si="12"/>
        <v/>
      </c>
      <c r="AH33" s="22" t="str">
        <f t="shared" si="12"/>
        <v/>
      </c>
      <c r="AI33" s="22" t="str">
        <f t="shared" si="12"/>
        <v/>
      </c>
      <c r="AJ33" s="22" t="str">
        <f t="shared" si="12"/>
        <v/>
      </c>
      <c r="AK33" s="22" t="str">
        <f t="shared" si="12"/>
        <v/>
      </c>
      <c r="AL33" s="22" t="str">
        <f t="shared" si="12"/>
        <v/>
      </c>
      <c r="AM33" s="22">
        <f t="shared" si="12"/>
        <v>1</v>
      </c>
      <c r="AN33" s="22">
        <f t="shared" si="12"/>
        <v>3</v>
      </c>
      <c r="AO33" s="22" t="str">
        <f t="shared" si="12"/>
        <v/>
      </c>
      <c r="AP33" s="22" t="str">
        <f t="shared" si="12"/>
        <v/>
      </c>
      <c r="AQ33" s="22" t="str">
        <f t="shared" si="12"/>
        <v/>
      </c>
      <c r="AR33" s="23"/>
      <c r="AS33" s="23"/>
      <c r="AT33" s="23"/>
      <c r="AU33" s="23"/>
      <c r="AV33" s="23"/>
      <c r="AW33" s="23"/>
    </row>
    <row r="34" spans="1:49">
      <c r="A34" s="15"/>
      <c r="B34" s="53" t="s">
        <v>44</v>
      </c>
      <c r="C34" s="31">
        <v>43997</v>
      </c>
      <c r="D34" s="18">
        <v>1</v>
      </c>
      <c r="E34" s="39">
        <v>44000</v>
      </c>
      <c r="F34" s="31">
        <v>43997</v>
      </c>
      <c r="G34" s="18">
        <v>1</v>
      </c>
      <c r="H34" s="39">
        <v>44000</v>
      </c>
      <c r="I34" s="30"/>
      <c r="J34" s="21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3"/>
      <c r="AS34" s="23"/>
      <c r="AT34" s="23"/>
      <c r="AU34" s="23"/>
      <c r="AV34" s="23"/>
      <c r="AW34" s="23"/>
    </row>
    <row r="35" spans="1:49">
      <c r="A35" s="32">
        <v>11</v>
      </c>
      <c r="B35" s="56" t="s">
        <v>45</v>
      </c>
      <c r="C35" s="50">
        <v>44000</v>
      </c>
      <c r="D35" s="51">
        <v>14</v>
      </c>
      <c r="E35" s="55">
        <v>44014</v>
      </c>
      <c r="F35" s="50">
        <v>44000</v>
      </c>
      <c r="G35" s="51">
        <v>14</v>
      </c>
      <c r="H35" s="55">
        <v>44014</v>
      </c>
      <c r="I35" s="37"/>
      <c r="J35" s="21"/>
      <c r="L35" s="22" t="str">
        <f>IF(AND($F35&lt;(L$2+7),$F35&gt;L$2),1,
IF(AND($H35&lt;L$2+7,$H35&gt;L$2),3,
IF(AND($F35&lt;=L$2, $H35&gt;=L$2),  2,
"" )))</f>
        <v/>
      </c>
      <c r="M35" s="22" t="str">
        <f t="shared" si="12"/>
        <v/>
      </c>
      <c r="N35" s="22" t="str">
        <f t="shared" si="12"/>
        <v/>
      </c>
      <c r="O35" s="22" t="str">
        <f t="shared" si="12"/>
        <v/>
      </c>
      <c r="P35" s="22" t="str">
        <f t="shared" si="12"/>
        <v/>
      </c>
      <c r="Q35" s="22" t="str">
        <f t="shared" si="12"/>
        <v/>
      </c>
      <c r="R35" s="22" t="str">
        <f t="shared" si="12"/>
        <v/>
      </c>
      <c r="S35" s="22" t="str">
        <f t="shared" si="12"/>
        <v/>
      </c>
      <c r="T35" s="22" t="str">
        <f t="shared" si="12"/>
        <v/>
      </c>
      <c r="U35" s="22" t="str">
        <f t="shared" si="12"/>
        <v/>
      </c>
      <c r="V35" s="22" t="str">
        <f t="shared" si="12"/>
        <v/>
      </c>
      <c r="W35" s="22" t="str">
        <f t="shared" si="12"/>
        <v/>
      </c>
      <c r="X35" s="22" t="str">
        <f t="shared" si="12"/>
        <v/>
      </c>
      <c r="Y35" s="22" t="str">
        <f t="shared" si="12"/>
        <v/>
      </c>
      <c r="Z35" s="22" t="str">
        <f t="shared" si="12"/>
        <v/>
      </c>
      <c r="AA35" s="22" t="str">
        <f t="shared" si="12"/>
        <v/>
      </c>
      <c r="AB35" s="22" t="str">
        <f t="shared" si="12"/>
        <v/>
      </c>
      <c r="AC35" s="22" t="str">
        <f t="shared" si="12"/>
        <v/>
      </c>
      <c r="AD35" s="22" t="str">
        <f t="shared" si="12"/>
        <v/>
      </c>
      <c r="AE35" s="22" t="str">
        <f t="shared" si="12"/>
        <v/>
      </c>
      <c r="AF35" s="22" t="str">
        <f t="shared" si="12"/>
        <v/>
      </c>
      <c r="AG35" s="22" t="str">
        <f t="shared" si="12"/>
        <v/>
      </c>
      <c r="AH35" s="22" t="str">
        <f t="shared" si="12"/>
        <v/>
      </c>
      <c r="AI35" s="22" t="str">
        <f t="shared" si="12"/>
        <v/>
      </c>
      <c r="AJ35" s="22" t="str">
        <f t="shared" si="12"/>
        <v/>
      </c>
      <c r="AK35" s="22" t="str">
        <f t="shared" si="12"/>
        <v/>
      </c>
      <c r="AL35" s="22" t="str">
        <f t="shared" si="12"/>
        <v/>
      </c>
      <c r="AM35" s="22" t="str">
        <f t="shared" si="12"/>
        <v/>
      </c>
      <c r="AN35" s="22">
        <f t="shared" si="12"/>
        <v>1</v>
      </c>
      <c r="AO35" s="22">
        <f t="shared" si="12"/>
        <v>2</v>
      </c>
      <c r="AP35" s="22">
        <f t="shared" si="12"/>
        <v>3</v>
      </c>
      <c r="AQ35" s="22">
        <f t="shared" si="12"/>
        <v>3</v>
      </c>
      <c r="AR35" s="23"/>
      <c r="AS35" s="23"/>
      <c r="AT35" s="23"/>
      <c r="AU35" s="23"/>
      <c r="AV35" s="23"/>
      <c r="AW35" s="23"/>
    </row>
    <row r="36" spans="1:49">
      <c r="A36" s="15"/>
      <c r="B36" s="45" t="s">
        <v>34</v>
      </c>
      <c r="C36" s="31">
        <v>44012</v>
      </c>
      <c r="D36" s="18">
        <v>2</v>
      </c>
      <c r="E36" s="39">
        <v>44014</v>
      </c>
      <c r="F36" s="31">
        <v>44012</v>
      </c>
      <c r="G36" s="18">
        <v>2</v>
      </c>
      <c r="H36" s="39">
        <v>44014</v>
      </c>
      <c r="I36" s="20"/>
      <c r="J36" s="21"/>
      <c r="L36" s="22" t="str">
        <f>IF(AND($F36&lt;(L$2+7),$F36&gt;L$2),1,
IF(AND($H36&lt;L$2+7,$H36&gt;L$2),3,
IF(AND($F36&lt;=L$2, $H36&gt;=L$2),  2,
"" )))</f>
        <v/>
      </c>
      <c r="M36" s="22" t="str">
        <f t="shared" si="12"/>
        <v/>
      </c>
      <c r="N36" s="22" t="str">
        <f t="shared" si="12"/>
        <v/>
      </c>
      <c r="O36" s="22" t="str">
        <f t="shared" si="12"/>
        <v/>
      </c>
      <c r="P36" s="22" t="str">
        <f t="shared" si="12"/>
        <v/>
      </c>
      <c r="Q36" s="22" t="str">
        <f t="shared" si="12"/>
        <v/>
      </c>
      <c r="R36" s="22" t="str">
        <f t="shared" si="12"/>
        <v/>
      </c>
      <c r="S36" s="22" t="str">
        <f t="shared" si="12"/>
        <v/>
      </c>
      <c r="T36" s="22" t="str">
        <f t="shared" si="12"/>
        <v/>
      </c>
      <c r="U36" s="22" t="str">
        <f t="shared" si="12"/>
        <v/>
      </c>
      <c r="V36" s="22" t="str">
        <f t="shared" si="12"/>
        <v/>
      </c>
      <c r="W36" s="22" t="str">
        <f t="shared" si="12"/>
        <v/>
      </c>
      <c r="X36" s="22" t="str">
        <f t="shared" si="12"/>
        <v/>
      </c>
      <c r="Y36" s="22" t="str">
        <f t="shared" si="12"/>
        <v/>
      </c>
      <c r="Z36" s="22" t="str">
        <f t="shared" si="12"/>
        <v/>
      </c>
      <c r="AA36" s="22" t="str">
        <f t="shared" si="12"/>
        <v/>
      </c>
      <c r="AB36" s="22" t="str">
        <f t="shared" si="12"/>
        <v/>
      </c>
      <c r="AC36" s="22" t="str">
        <f t="shared" si="12"/>
        <v/>
      </c>
      <c r="AD36" s="22" t="str">
        <f t="shared" si="12"/>
        <v/>
      </c>
      <c r="AE36" s="22" t="str">
        <f t="shared" si="12"/>
        <v/>
      </c>
      <c r="AF36" s="22" t="str">
        <f t="shared" si="12"/>
        <v/>
      </c>
      <c r="AG36" s="22" t="str">
        <f t="shared" si="12"/>
        <v/>
      </c>
      <c r="AH36" s="22" t="str">
        <f t="shared" si="12"/>
        <v/>
      </c>
      <c r="AI36" s="22" t="str">
        <f t="shared" si="12"/>
        <v/>
      </c>
      <c r="AJ36" s="22" t="str">
        <f t="shared" si="12"/>
        <v/>
      </c>
      <c r="AK36" s="22" t="str">
        <f t="shared" si="12"/>
        <v/>
      </c>
      <c r="AL36" s="22" t="str">
        <f t="shared" si="12"/>
        <v/>
      </c>
      <c r="AM36" s="22" t="str">
        <f t="shared" si="12"/>
        <v/>
      </c>
      <c r="AN36" s="22" t="str">
        <f t="shared" si="12"/>
        <v/>
      </c>
      <c r="AO36" s="22" t="str">
        <f t="shared" si="12"/>
        <v/>
      </c>
      <c r="AP36" s="22">
        <f t="shared" si="12"/>
        <v>1</v>
      </c>
      <c r="AQ36" s="22">
        <f t="shared" si="12"/>
        <v>3</v>
      </c>
      <c r="AR36" s="23"/>
      <c r="AS36" s="23"/>
      <c r="AT36" s="23"/>
      <c r="AU36" s="23"/>
      <c r="AV36" s="23"/>
      <c r="AW36" s="23"/>
    </row>
    <row r="37" spans="1:49">
      <c r="A37" s="15"/>
      <c r="B37" s="45" t="s">
        <v>40</v>
      </c>
      <c r="C37" s="31">
        <v>44000</v>
      </c>
      <c r="D37" s="18">
        <v>2</v>
      </c>
      <c r="E37" s="39">
        <v>44004</v>
      </c>
      <c r="F37" s="31">
        <v>44000</v>
      </c>
      <c r="G37" s="18">
        <v>2</v>
      </c>
      <c r="H37" s="39">
        <v>44004</v>
      </c>
      <c r="I37" s="20"/>
      <c r="J37" s="21"/>
      <c r="L37" s="22" t="str">
        <f>IF(AND($F37&lt;(L$2+7),$F37&gt;L$2),1,
IF(AND($H37&lt;L$2+7,$H37&gt;L$2),3,
IF(AND($F37&lt;=L$2, $H37&gt;=L$2),  2,
"" )))</f>
        <v/>
      </c>
      <c r="M37" s="22" t="str">
        <f t="shared" si="12"/>
        <v/>
      </c>
      <c r="N37" s="22" t="str">
        <f t="shared" si="12"/>
        <v/>
      </c>
      <c r="O37" s="22" t="str">
        <f t="shared" si="12"/>
        <v/>
      </c>
      <c r="P37" s="22" t="str">
        <f t="shared" si="12"/>
        <v/>
      </c>
      <c r="Q37" s="22" t="str">
        <f t="shared" si="12"/>
        <v/>
      </c>
      <c r="R37" s="22" t="str">
        <f t="shared" si="12"/>
        <v/>
      </c>
      <c r="S37" s="22" t="str">
        <f t="shared" si="12"/>
        <v/>
      </c>
      <c r="T37" s="22" t="str">
        <f t="shared" si="12"/>
        <v/>
      </c>
      <c r="U37" s="22" t="str">
        <f t="shared" si="12"/>
        <v/>
      </c>
      <c r="V37" s="22" t="str">
        <f t="shared" si="12"/>
        <v/>
      </c>
      <c r="W37" s="22" t="str">
        <f t="shared" si="12"/>
        <v/>
      </c>
      <c r="X37" s="22" t="str">
        <f t="shared" si="12"/>
        <v/>
      </c>
      <c r="Y37" s="22" t="str">
        <f t="shared" si="12"/>
        <v/>
      </c>
      <c r="Z37" s="22" t="str">
        <f t="shared" si="12"/>
        <v/>
      </c>
      <c r="AA37" s="22" t="str">
        <f t="shared" si="12"/>
        <v/>
      </c>
      <c r="AB37" s="22" t="str">
        <f t="shared" si="12"/>
        <v/>
      </c>
      <c r="AC37" s="22" t="str">
        <f t="shared" si="12"/>
        <v/>
      </c>
      <c r="AD37" s="22" t="str">
        <f t="shared" si="12"/>
        <v/>
      </c>
      <c r="AE37" s="22" t="str">
        <f t="shared" si="12"/>
        <v/>
      </c>
      <c r="AF37" s="22" t="str">
        <f t="shared" si="12"/>
        <v/>
      </c>
      <c r="AG37" s="22" t="str">
        <f t="shared" si="12"/>
        <v/>
      </c>
      <c r="AH37" s="22" t="str">
        <f t="shared" si="12"/>
        <v/>
      </c>
      <c r="AI37" s="22" t="str">
        <f t="shared" si="12"/>
        <v/>
      </c>
      <c r="AJ37" s="22" t="str">
        <f t="shared" si="12"/>
        <v/>
      </c>
      <c r="AK37" s="22" t="str">
        <f t="shared" si="12"/>
        <v/>
      </c>
      <c r="AL37" s="22" t="str">
        <f t="shared" si="12"/>
        <v/>
      </c>
      <c r="AM37" s="22" t="str">
        <f t="shared" si="12"/>
        <v/>
      </c>
      <c r="AN37" s="22">
        <f t="shared" si="12"/>
        <v>1</v>
      </c>
      <c r="AO37" s="22">
        <f t="shared" si="12"/>
        <v>3</v>
      </c>
      <c r="AP37" s="22" t="str">
        <f t="shared" si="12"/>
        <v/>
      </c>
      <c r="AQ37" s="22" t="str">
        <f t="shared" si="12"/>
        <v/>
      </c>
      <c r="AR37" s="23"/>
      <c r="AS37" s="23"/>
      <c r="AT37" s="23"/>
      <c r="AU37" s="23"/>
      <c r="AV37" s="23"/>
      <c r="AW37" s="23"/>
    </row>
    <row r="38" spans="1:49">
      <c r="A38" s="25" t="s">
        <v>46</v>
      </c>
      <c r="B38" s="46" t="s">
        <v>47</v>
      </c>
      <c r="C38" s="57">
        <v>44012</v>
      </c>
      <c r="D38" s="58">
        <v>1</v>
      </c>
      <c r="E38" s="59">
        <v>44013</v>
      </c>
      <c r="F38" s="57">
        <v>44012</v>
      </c>
      <c r="G38" s="58">
        <v>1</v>
      </c>
      <c r="H38" s="59">
        <v>44013</v>
      </c>
      <c r="I38" s="30"/>
      <c r="J38" s="21"/>
      <c r="L38" s="22" t="str">
        <f>IF(AND($F38&lt;(L$2+7),$F38&gt;L$2),1,
IF(AND($H38&lt;L$2+7,$H38&gt;L$2),3,
IF(AND($F38&lt;=L$2, $H38&gt;=L$2),  2,
"" )))</f>
        <v/>
      </c>
      <c r="M38" s="22" t="str">
        <f t="shared" si="12"/>
        <v/>
      </c>
      <c r="N38" s="22" t="str">
        <f t="shared" si="12"/>
        <v/>
      </c>
      <c r="O38" s="22" t="str">
        <f t="shared" si="12"/>
        <v/>
      </c>
      <c r="P38" s="22" t="str">
        <f t="shared" si="12"/>
        <v/>
      </c>
      <c r="Q38" s="22" t="str">
        <f t="shared" si="12"/>
        <v/>
      </c>
      <c r="R38" s="22" t="str">
        <f t="shared" si="12"/>
        <v/>
      </c>
      <c r="S38" s="22" t="str">
        <f t="shared" si="12"/>
        <v/>
      </c>
      <c r="T38" s="22" t="str">
        <f t="shared" si="12"/>
        <v/>
      </c>
      <c r="U38" s="22" t="str">
        <f t="shared" si="12"/>
        <v/>
      </c>
      <c r="V38" s="22" t="str">
        <f t="shared" si="12"/>
        <v/>
      </c>
      <c r="W38" s="22" t="str">
        <f t="shared" si="12"/>
        <v/>
      </c>
      <c r="X38" s="22" t="str">
        <f t="shared" si="12"/>
        <v/>
      </c>
      <c r="Y38" s="22" t="str">
        <f t="shared" si="12"/>
        <v/>
      </c>
      <c r="Z38" s="22" t="str">
        <f t="shared" si="12"/>
        <v/>
      </c>
      <c r="AA38" s="22" t="str">
        <f t="shared" si="12"/>
        <v/>
      </c>
      <c r="AB38" s="22" t="str">
        <f t="shared" si="12"/>
        <v/>
      </c>
      <c r="AC38" s="22" t="str">
        <f t="shared" si="12"/>
        <v/>
      </c>
      <c r="AD38" s="22" t="str">
        <f t="shared" si="12"/>
        <v/>
      </c>
      <c r="AE38" s="22" t="str">
        <f t="shared" si="12"/>
        <v/>
      </c>
      <c r="AF38" s="22" t="str">
        <f t="shared" si="12"/>
        <v/>
      </c>
      <c r="AG38" s="22" t="str">
        <f t="shared" si="12"/>
        <v/>
      </c>
      <c r="AH38" s="22" t="str">
        <f t="shared" si="12"/>
        <v/>
      </c>
      <c r="AI38" s="22" t="str">
        <f t="shared" si="12"/>
        <v/>
      </c>
      <c r="AJ38" s="22" t="str">
        <f t="shared" si="12"/>
        <v/>
      </c>
      <c r="AK38" s="22" t="str">
        <f t="shared" si="12"/>
        <v/>
      </c>
      <c r="AL38" s="22" t="str">
        <f t="shared" si="12"/>
        <v/>
      </c>
      <c r="AM38" s="22" t="str">
        <f t="shared" si="12"/>
        <v/>
      </c>
      <c r="AN38" s="22" t="str">
        <f t="shared" si="12"/>
        <v/>
      </c>
      <c r="AO38" s="22" t="str">
        <f t="shared" si="12"/>
        <v/>
      </c>
      <c r="AP38" s="22">
        <f t="shared" si="12"/>
        <v>1</v>
      </c>
      <c r="AQ38" s="22">
        <f t="shared" si="12"/>
        <v>3</v>
      </c>
      <c r="AR38" s="23"/>
      <c r="AS38" s="23"/>
      <c r="AT38" s="23"/>
      <c r="AU38" s="23"/>
      <c r="AV38" s="23"/>
      <c r="AW38" s="23"/>
    </row>
    <row r="39" spans="1:49" ht="15.6">
      <c r="A39" s="32">
        <v>12</v>
      </c>
      <c r="B39" s="43" t="s">
        <v>48</v>
      </c>
      <c r="C39" s="34">
        <v>43997</v>
      </c>
      <c r="D39" s="35">
        <v>22</v>
      </c>
      <c r="E39" s="44">
        <v>44019</v>
      </c>
      <c r="F39" s="34">
        <v>43997</v>
      </c>
      <c r="G39" s="35">
        <v>22</v>
      </c>
      <c r="H39" s="44">
        <v>44019</v>
      </c>
      <c r="I39" s="55"/>
      <c r="J39" s="21"/>
      <c r="L39" s="22" t="str">
        <f>IF(AND($F39&lt;(L$2+7),$F39&gt;L$2),1,
IF(AND($H39&lt;L$2+7,$H39&gt;L$2),3,
IF(AND($F39&lt;=L$2, $H39&gt;=L$2),  2,
"" )))</f>
        <v/>
      </c>
      <c r="M39" s="22" t="str">
        <f t="shared" si="12"/>
        <v/>
      </c>
      <c r="N39" s="22" t="str">
        <f t="shared" si="12"/>
        <v/>
      </c>
      <c r="O39" s="22" t="str">
        <f t="shared" si="12"/>
        <v/>
      </c>
      <c r="P39" s="22" t="str">
        <f t="shared" si="12"/>
        <v/>
      </c>
      <c r="Q39" s="22" t="str">
        <f t="shared" si="12"/>
        <v/>
      </c>
      <c r="R39" s="22" t="str">
        <f t="shared" si="12"/>
        <v/>
      </c>
      <c r="S39" s="22" t="str">
        <f t="shared" si="12"/>
        <v/>
      </c>
      <c r="T39" s="22" t="str">
        <f t="shared" si="12"/>
        <v/>
      </c>
      <c r="U39" s="22" t="str">
        <f t="shared" si="12"/>
        <v/>
      </c>
      <c r="V39" s="22" t="str">
        <f t="shared" si="12"/>
        <v/>
      </c>
      <c r="W39" s="22" t="str">
        <f t="shared" si="12"/>
        <v/>
      </c>
      <c r="X39" s="22" t="str">
        <f t="shared" si="12"/>
        <v/>
      </c>
      <c r="Y39" s="22" t="str">
        <f t="shared" si="12"/>
        <v/>
      </c>
      <c r="Z39" s="22" t="str">
        <f t="shared" si="12"/>
        <v/>
      </c>
      <c r="AA39" s="22" t="str">
        <f t="shared" si="12"/>
        <v/>
      </c>
      <c r="AB39" s="22" t="str">
        <f t="shared" si="12"/>
        <v/>
      </c>
      <c r="AC39" s="22" t="str">
        <f t="shared" si="12"/>
        <v/>
      </c>
      <c r="AD39" s="22" t="str">
        <f t="shared" si="12"/>
        <v/>
      </c>
      <c r="AE39" s="22" t="str">
        <f t="shared" si="12"/>
        <v/>
      </c>
      <c r="AF39" s="22" t="str">
        <f t="shared" si="12"/>
        <v/>
      </c>
      <c r="AG39" s="22" t="str">
        <f t="shared" si="12"/>
        <v/>
      </c>
      <c r="AH39" s="22" t="str">
        <f t="shared" si="12"/>
        <v/>
      </c>
      <c r="AI39" s="22" t="str">
        <f t="shared" si="12"/>
        <v/>
      </c>
      <c r="AJ39" s="22" t="str">
        <f t="shared" si="12"/>
        <v/>
      </c>
      <c r="AK39" s="22" t="str">
        <f t="shared" si="12"/>
        <v/>
      </c>
      <c r="AL39" s="22" t="str">
        <f t="shared" si="12"/>
        <v/>
      </c>
      <c r="AM39" s="22" t="str">
        <f t="shared" si="12"/>
        <v/>
      </c>
      <c r="AN39" s="22">
        <f t="shared" si="12"/>
        <v>1</v>
      </c>
      <c r="AO39" s="22">
        <f t="shared" si="12"/>
        <v>2</v>
      </c>
      <c r="AP39" s="22">
        <f t="shared" si="12"/>
        <v>2</v>
      </c>
      <c r="AQ39" s="22">
        <f t="shared" si="12"/>
        <v>2</v>
      </c>
      <c r="AR39" s="23"/>
      <c r="AS39" s="23"/>
      <c r="AT39" s="23"/>
      <c r="AU39" s="23"/>
      <c r="AV39" s="23"/>
      <c r="AW39" s="23"/>
    </row>
    <row r="40" spans="1:49">
      <c r="A40" s="15"/>
      <c r="B40" s="60" t="s">
        <v>49</v>
      </c>
      <c r="C40" s="31">
        <v>44014</v>
      </c>
      <c r="D40" s="61">
        <v>3</v>
      </c>
      <c r="E40" s="39">
        <v>44019</v>
      </c>
      <c r="F40" s="31">
        <v>44014</v>
      </c>
      <c r="G40" s="61">
        <v>3</v>
      </c>
      <c r="H40" s="39">
        <v>44019</v>
      </c>
      <c r="I40" s="20"/>
      <c r="J40" s="21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3"/>
      <c r="AS40" s="23"/>
      <c r="AT40" s="23"/>
      <c r="AU40" s="23"/>
      <c r="AV40" s="23"/>
      <c r="AW40" s="23"/>
    </row>
    <row r="41" spans="1:49">
      <c r="A41" s="15"/>
      <c r="B41" s="62" t="s">
        <v>50</v>
      </c>
      <c r="C41" s="31">
        <v>44010</v>
      </c>
      <c r="D41" s="18">
        <v>2</v>
      </c>
      <c r="E41" s="39">
        <v>44012</v>
      </c>
      <c r="F41" s="31">
        <v>44010</v>
      </c>
      <c r="G41" s="18">
        <v>2</v>
      </c>
      <c r="H41" s="39">
        <v>44012</v>
      </c>
      <c r="I41" s="30"/>
      <c r="J41" s="21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3"/>
      <c r="AS41" s="23"/>
      <c r="AT41" s="23"/>
      <c r="AU41" s="23"/>
      <c r="AV41" s="23"/>
      <c r="AW41" s="23"/>
    </row>
    <row r="42" spans="1:49">
      <c r="A42" s="15"/>
      <c r="B42" s="62" t="s">
        <v>51</v>
      </c>
      <c r="C42" s="31">
        <v>43997</v>
      </c>
      <c r="D42" s="18">
        <v>2</v>
      </c>
      <c r="E42" s="39">
        <v>44001</v>
      </c>
      <c r="F42" s="31">
        <v>43997</v>
      </c>
      <c r="G42" s="18">
        <v>2</v>
      </c>
      <c r="H42" s="39">
        <v>44001</v>
      </c>
      <c r="I42" s="20"/>
      <c r="J42" s="21"/>
      <c r="L42" s="22" t="str">
        <f>IF(AND($F42&lt;(L$2+7),$F42&gt;L$2),1,
IF(AND($H42&lt;L$2+7,$H42&gt;L$2),3,
IF(AND($F42&lt;=L$2, $H42&gt;=L$2),  2,
"" )))</f>
        <v/>
      </c>
      <c r="M42" s="22" t="str">
        <f t="shared" si="12"/>
        <v/>
      </c>
      <c r="N42" s="22" t="str">
        <f t="shared" si="12"/>
        <v/>
      </c>
      <c r="O42" s="22" t="str">
        <f t="shared" si="12"/>
        <v/>
      </c>
      <c r="P42" s="22" t="str">
        <f t="shared" si="12"/>
        <v/>
      </c>
      <c r="Q42" s="22" t="str">
        <f t="shared" si="12"/>
        <v/>
      </c>
      <c r="R42" s="22" t="str">
        <f t="shared" si="12"/>
        <v/>
      </c>
      <c r="S42" s="22" t="str">
        <f t="shared" si="12"/>
        <v/>
      </c>
      <c r="T42" s="22" t="str">
        <f t="shared" si="12"/>
        <v/>
      </c>
      <c r="U42" s="22" t="str">
        <f t="shared" si="12"/>
        <v/>
      </c>
      <c r="V42" s="22" t="str">
        <f t="shared" si="12"/>
        <v/>
      </c>
      <c r="W42" s="22" t="str">
        <f t="shared" si="12"/>
        <v/>
      </c>
      <c r="X42" s="22" t="str">
        <f t="shared" si="12"/>
        <v/>
      </c>
      <c r="Y42" s="22" t="str">
        <f t="shared" si="12"/>
        <v/>
      </c>
      <c r="Z42" s="22" t="str">
        <f t="shared" si="12"/>
        <v/>
      </c>
      <c r="AA42" s="22" t="str">
        <f t="shared" si="12"/>
        <v/>
      </c>
      <c r="AB42" s="22" t="str">
        <f t="shared" si="12"/>
        <v/>
      </c>
      <c r="AC42" s="22" t="str">
        <f t="shared" si="12"/>
        <v/>
      </c>
      <c r="AD42" s="22" t="str">
        <f t="shared" si="12"/>
        <v/>
      </c>
      <c r="AE42" s="22" t="str">
        <f t="shared" si="12"/>
        <v/>
      </c>
      <c r="AF42" s="22" t="str">
        <f t="shared" si="12"/>
        <v/>
      </c>
      <c r="AG42" s="22" t="str">
        <f t="shared" si="12"/>
        <v/>
      </c>
      <c r="AH42" s="22" t="str">
        <f t="shared" si="12"/>
        <v/>
      </c>
      <c r="AI42" s="22" t="str">
        <f t="shared" si="12"/>
        <v/>
      </c>
      <c r="AJ42" s="22" t="str">
        <f t="shared" si="12"/>
        <v/>
      </c>
      <c r="AK42" s="22" t="str">
        <f t="shared" si="12"/>
        <v/>
      </c>
      <c r="AL42" s="22" t="str">
        <f t="shared" si="12"/>
        <v/>
      </c>
      <c r="AM42" s="22" t="str">
        <f t="shared" si="12"/>
        <v/>
      </c>
      <c r="AN42" s="22">
        <f t="shared" si="12"/>
        <v>1</v>
      </c>
      <c r="AO42" s="22" t="str">
        <f t="shared" si="12"/>
        <v/>
      </c>
      <c r="AP42" s="22" t="str">
        <f t="shared" si="12"/>
        <v/>
      </c>
      <c r="AQ42" s="22" t="str">
        <f t="shared" si="12"/>
        <v/>
      </c>
      <c r="AR42" s="23"/>
      <c r="AS42" s="23"/>
      <c r="AT42" s="23"/>
      <c r="AU42" s="23"/>
      <c r="AV42" s="23"/>
      <c r="AW42" s="23"/>
    </row>
    <row r="43" spans="1:49">
      <c r="A43" s="15"/>
      <c r="B43" s="62" t="s">
        <v>52</v>
      </c>
      <c r="C43" s="31">
        <v>44012</v>
      </c>
      <c r="D43" s="18">
        <v>1</v>
      </c>
      <c r="E43" s="39">
        <v>44013</v>
      </c>
      <c r="F43" s="31">
        <v>44012</v>
      </c>
      <c r="G43" s="18">
        <v>1</v>
      </c>
      <c r="H43" s="39">
        <v>44013</v>
      </c>
      <c r="I43" s="30"/>
      <c r="J43" s="21"/>
      <c r="L43" s="22" t="str">
        <f>IF(AND($F43&lt;(L$2+7),$F43&gt;L$2),1,
IF(AND($H43&lt;L$2+7,$H43&gt;L$2),3,
IF(AND($F43&lt;=L$2, $H43&gt;=L$2),  2,
"" )))</f>
        <v/>
      </c>
      <c r="M43" s="22" t="str">
        <f t="shared" si="12"/>
        <v/>
      </c>
      <c r="N43" s="22" t="str">
        <f t="shared" si="12"/>
        <v/>
      </c>
      <c r="O43" s="22" t="str">
        <f t="shared" si="12"/>
        <v/>
      </c>
      <c r="P43" s="22" t="str">
        <f t="shared" si="12"/>
        <v/>
      </c>
      <c r="Q43" s="22" t="str">
        <f t="shared" si="12"/>
        <v/>
      </c>
      <c r="R43" s="22" t="str">
        <f t="shared" si="12"/>
        <v/>
      </c>
      <c r="S43" s="22" t="str">
        <f t="shared" si="12"/>
        <v/>
      </c>
      <c r="T43" s="22" t="str">
        <f t="shared" ref="T43:AQ43" si="13">IF(AND($F43&lt;(T$2+7),$F43&gt;T$2),1,
IF(AND($H43&lt;T$2+7,$H43&gt;T$2),3,
IF(AND($F43&lt;=T$2, $H43&gt;=T$2),  2,
"" )))</f>
        <v/>
      </c>
      <c r="U43" s="22" t="str">
        <f t="shared" si="13"/>
        <v/>
      </c>
      <c r="V43" s="22" t="str">
        <f t="shared" si="13"/>
        <v/>
      </c>
      <c r="W43" s="22" t="str">
        <f t="shared" si="13"/>
        <v/>
      </c>
      <c r="X43" s="22" t="str">
        <f t="shared" si="13"/>
        <v/>
      </c>
      <c r="Y43" s="22" t="str">
        <f t="shared" si="13"/>
        <v/>
      </c>
      <c r="Z43" s="22" t="str">
        <f t="shared" si="13"/>
        <v/>
      </c>
      <c r="AA43" s="22" t="str">
        <f t="shared" si="13"/>
        <v/>
      </c>
      <c r="AB43" s="22" t="str">
        <f t="shared" si="13"/>
        <v/>
      </c>
      <c r="AC43" s="22" t="str">
        <f t="shared" si="13"/>
        <v/>
      </c>
      <c r="AD43" s="22" t="str">
        <f t="shared" si="13"/>
        <v/>
      </c>
      <c r="AE43" s="22" t="str">
        <f t="shared" si="13"/>
        <v/>
      </c>
      <c r="AF43" s="22" t="str">
        <f t="shared" si="13"/>
        <v/>
      </c>
      <c r="AG43" s="22" t="str">
        <f t="shared" si="13"/>
        <v/>
      </c>
      <c r="AH43" s="22" t="str">
        <f t="shared" si="13"/>
        <v/>
      </c>
      <c r="AI43" s="22" t="str">
        <f t="shared" si="13"/>
        <v/>
      </c>
      <c r="AJ43" s="22" t="str">
        <f t="shared" si="13"/>
        <v/>
      </c>
      <c r="AK43" s="22" t="str">
        <f t="shared" si="13"/>
        <v/>
      </c>
      <c r="AL43" s="22" t="str">
        <f t="shared" si="13"/>
        <v/>
      </c>
      <c r="AM43" s="22" t="str">
        <f t="shared" si="13"/>
        <v/>
      </c>
      <c r="AN43" s="22" t="str">
        <f t="shared" si="13"/>
        <v/>
      </c>
      <c r="AO43" s="22" t="str">
        <f t="shared" si="13"/>
        <v/>
      </c>
      <c r="AP43" s="22">
        <f t="shared" si="13"/>
        <v>1</v>
      </c>
      <c r="AQ43" s="22">
        <f t="shared" si="13"/>
        <v>3</v>
      </c>
      <c r="AR43" s="23"/>
      <c r="AS43" s="23"/>
      <c r="AT43" s="23"/>
      <c r="AU43" s="23"/>
      <c r="AV43" s="23"/>
      <c r="AW43" s="23"/>
    </row>
    <row r="44" spans="1:49">
      <c r="A44" s="15"/>
      <c r="B44" s="62" t="s">
        <v>53</v>
      </c>
      <c r="C44" s="31">
        <v>44013</v>
      </c>
      <c r="D44" s="18">
        <v>2</v>
      </c>
      <c r="E44" s="39">
        <v>44015</v>
      </c>
      <c r="F44" s="31">
        <v>44013</v>
      </c>
      <c r="G44" s="18">
        <v>2</v>
      </c>
      <c r="H44" s="39">
        <v>44015</v>
      </c>
      <c r="I44" s="20"/>
      <c r="J44" s="21"/>
      <c r="L44" s="22" t="str">
        <f>IF(AND($F44&lt;(L$2+7),$F44&gt;L$2),1,
IF(AND($H44&lt;L$2+7,$H44&gt;L$2),3,
IF(AND($F44&lt;=L$2, $H44&gt;=L$2),  2,
"" )))</f>
        <v/>
      </c>
      <c r="M44" s="22" t="str">
        <f t="shared" ref="M44:AQ45" si="14">IF(AND($F44&lt;(M$2+7),$F44&gt;M$2),1,
IF(AND($H44&lt;M$2+7,$H44&gt;M$2),3,
IF(AND($F44&lt;=M$2, $H44&gt;=M$2),  2,
"" )))</f>
        <v/>
      </c>
      <c r="N44" s="22" t="str">
        <f t="shared" si="14"/>
        <v/>
      </c>
      <c r="O44" s="22" t="str">
        <f t="shared" si="14"/>
        <v/>
      </c>
      <c r="P44" s="22" t="str">
        <f t="shared" si="14"/>
        <v/>
      </c>
      <c r="Q44" s="22" t="str">
        <f t="shared" si="14"/>
        <v/>
      </c>
      <c r="R44" s="22" t="str">
        <f t="shared" si="14"/>
        <v/>
      </c>
      <c r="S44" s="22" t="str">
        <f t="shared" si="14"/>
        <v/>
      </c>
      <c r="T44" s="22" t="str">
        <f t="shared" si="14"/>
        <v/>
      </c>
      <c r="U44" s="22" t="str">
        <f t="shared" si="14"/>
        <v/>
      </c>
      <c r="V44" s="22" t="str">
        <f t="shared" si="14"/>
        <v/>
      </c>
      <c r="W44" s="22" t="str">
        <f t="shared" si="14"/>
        <v/>
      </c>
      <c r="X44" s="22" t="str">
        <f t="shared" si="14"/>
        <v/>
      </c>
      <c r="Y44" s="22" t="str">
        <f t="shared" si="14"/>
        <v/>
      </c>
      <c r="Z44" s="22" t="str">
        <f t="shared" si="14"/>
        <v/>
      </c>
      <c r="AA44" s="22" t="str">
        <f t="shared" si="14"/>
        <v/>
      </c>
      <c r="AB44" s="22" t="str">
        <f t="shared" si="14"/>
        <v/>
      </c>
      <c r="AC44" s="22" t="str">
        <f t="shared" si="14"/>
        <v/>
      </c>
      <c r="AD44" s="22" t="str">
        <f t="shared" si="14"/>
        <v/>
      </c>
      <c r="AE44" s="22" t="str">
        <f t="shared" si="14"/>
        <v/>
      </c>
      <c r="AF44" s="22" t="str">
        <f t="shared" si="14"/>
        <v/>
      </c>
      <c r="AG44" s="22" t="str">
        <f t="shared" si="14"/>
        <v/>
      </c>
      <c r="AH44" s="22" t="str">
        <f t="shared" si="14"/>
        <v/>
      </c>
      <c r="AI44" s="22" t="str">
        <f t="shared" si="14"/>
        <v/>
      </c>
      <c r="AJ44" s="22" t="str">
        <f t="shared" si="14"/>
        <v/>
      </c>
      <c r="AK44" s="22" t="str">
        <f t="shared" si="14"/>
        <v/>
      </c>
      <c r="AL44" s="22" t="str">
        <f t="shared" si="14"/>
        <v/>
      </c>
      <c r="AM44" s="22" t="str">
        <f t="shared" si="14"/>
        <v/>
      </c>
      <c r="AN44" s="22" t="str">
        <f t="shared" si="14"/>
        <v/>
      </c>
      <c r="AO44" s="22" t="str">
        <f t="shared" si="14"/>
        <v/>
      </c>
      <c r="AP44" s="22">
        <f t="shared" si="14"/>
        <v>1</v>
      </c>
      <c r="AQ44" s="22">
        <f t="shared" si="14"/>
        <v>1</v>
      </c>
      <c r="AR44" s="23"/>
      <c r="AS44" s="23"/>
      <c r="AT44" s="23"/>
      <c r="AU44" s="23"/>
      <c r="AV44" s="23"/>
      <c r="AW44" s="23"/>
    </row>
    <row r="45" spans="1:49" ht="15.6">
      <c r="A45" s="32">
        <v>13</v>
      </c>
      <c r="B45" s="43" t="s">
        <v>54</v>
      </c>
      <c r="C45" s="50">
        <v>44020</v>
      </c>
      <c r="D45" s="51">
        <v>1</v>
      </c>
      <c r="E45" s="55">
        <v>44021</v>
      </c>
      <c r="F45" s="50">
        <v>44020</v>
      </c>
      <c r="G45" s="51">
        <v>1</v>
      </c>
      <c r="H45" s="55">
        <v>44021</v>
      </c>
      <c r="I45" s="55"/>
      <c r="J45" s="21"/>
      <c r="L45" s="22" t="str">
        <f>IF(AND($F45&lt;(L$2+7),$F45&gt;L$2),1,
IF(AND($H45&lt;L$2+7,$H45&gt;L$2),3,
IF(AND($F45&lt;=L$2, $H45&gt;=L$2),  2,
"" )))</f>
        <v/>
      </c>
      <c r="M45" s="22" t="str">
        <f t="shared" si="14"/>
        <v/>
      </c>
      <c r="N45" s="22" t="str">
        <f t="shared" si="14"/>
        <v/>
      </c>
      <c r="O45" s="22" t="str">
        <f t="shared" si="14"/>
        <v/>
      </c>
      <c r="P45" s="22" t="str">
        <f t="shared" si="14"/>
        <v/>
      </c>
      <c r="Q45" s="22" t="str">
        <f t="shared" si="14"/>
        <v/>
      </c>
      <c r="R45" s="22" t="str">
        <f t="shared" si="14"/>
        <v/>
      </c>
      <c r="S45" s="22" t="str">
        <f t="shared" si="14"/>
        <v/>
      </c>
      <c r="T45" s="22" t="str">
        <f t="shared" si="14"/>
        <v/>
      </c>
      <c r="U45" s="22" t="str">
        <f t="shared" si="14"/>
        <v/>
      </c>
      <c r="V45" s="22" t="str">
        <f t="shared" si="14"/>
        <v/>
      </c>
      <c r="W45" s="22" t="str">
        <f t="shared" si="14"/>
        <v/>
      </c>
      <c r="X45" s="22" t="str">
        <f t="shared" si="14"/>
        <v/>
      </c>
      <c r="Y45" s="22" t="str">
        <f t="shared" si="14"/>
        <v/>
      </c>
      <c r="Z45" s="22" t="str">
        <f t="shared" si="14"/>
        <v/>
      </c>
      <c r="AA45" s="22" t="str">
        <f t="shared" si="14"/>
        <v/>
      </c>
      <c r="AB45" s="22" t="str">
        <f t="shared" si="14"/>
        <v/>
      </c>
      <c r="AC45" s="22" t="str">
        <f t="shared" si="14"/>
        <v/>
      </c>
      <c r="AD45" s="22" t="str">
        <f t="shared" si="14"/>
        <v/>
      </c>
      <c r="AE45" s="22" t="str">
        <f t="shared" si="14"/>
        <v/>
      </c>
      <c r="AF45" s="22" t="str">
        <f t="shared" si="14"/>
        <v/>
      </c>
      <c r="AG45" s="22" t="str">
        <f t="shared" si="14"/>
        <v/>
      </c>
      <c r="AH45" s="22" t="str">
        <f t="shared" si="14"/>
        <v/>
      </c>
      <c r="AI45" s="22" t="str">
        <f t="shared" si="14"/>
        <v/>
      </c>
      <c r="AJ45" s="22" t="str">
        <f t="shared" si="14"/>
        <v/>
      </c>
      <c r="AK45" s="22" t="str">
        <f t="shared" si="14"/>
        <v/>
      </c>
      <c r="AL45" s="22" t="str">
        <f t="shared" si="14"/>
        <v/>
      </c>
      <c r="AM45" s="22" t="str">
        <f t="shared" si="14"/>
        <v/>
      </c>
      <c r="AN45" s="22" t="str">
        <f t="shared" si="14"/>
        <v/>
      </c>
      <c r="AO45" s="22" t="str">
        <f t="shared" si="14"/>
        <v/>
      </c>
      <c r="AP45" s="22" t="str">
        <f t="shared" si="14"/>
        <v/>
      </c>
      <c r="AQ45" s="22" t="str">
        <f t="shared" si="14"/>
        <v/>
      </c>
      <c r="AR45" s="23"/>
      <c r="AS45" s="23"/>
      <c r="AT45" s="23"/>
      <c r="AU45" s="23"/>
      <c r="AV45" s="23"/>
      <c r="AW45" s="23"/>
    </row>
    <row r="46" spans="1:49" s="3" customFormat="1" ht="14.45" thickBot="1">
      <c r="A46" s="25" t="s">
        <v>55</v>
      </c>
      <c r="B46" s="63" t="s">
        <v>56</v>
      </c>
      <c r="C46" s="57">
        <v>44022</v>
      </c>
      <c r="D46" s="58">
        <v>1</v>
      </c>
      <c r="E46" s="59">
        <v>44025</v>
      </c>
      <c r="F46" s="57">
        <v>44022</v>
      </c>
      <c r="G46" s="58">
        <v>1</v>
      </c>
      <c r="H46" s="59">
        <v>44025</v>
      </c>
      <c r="I46" s="30"/>
    </row>
    <row r="47" spans="1:49">
      <c r="C47" s="66">
        <v>43831</v>
      </c>
      <c r="D47" s="842" t="s">
        <v>57</v>
      </c>
      <c r="E47" s="842"/>
      <c r="F47" s="843"/>
      <c r="G47" s="67"/>
      <c r="I47" s="68"/>
      <c r="J47" s="68"/>
    </row>
    <row r="48" spans="1:49" ht="14.45" thickBot="1">
      <c r="C48" s="69">
        <v>44014</v>
      </c>
      <c r="D48" s="844"/>
      <c r="E48" s="844"/>
      <c r="F48" s="845"/>
      <c r="G48" s="67"/>
    </row>
  </sheetData>
  <mergeCells count="1">
    <mergeCell ref="D47:F48"/>
  </mergeCells>
  <conditionalFormatting sqref="I3:I23 I25:I29 I31:I37 I40:I44">
    <cfRule type="dataBar" priority="6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{F186E0C0-7323-4CA1-B613-3BA72EFC06C7}</x14:id>
        </ext>
      </extLst>
    </cfRule>
  </conditionalFormatting>
  <conditionalFormatting sqref="I38">
    <cfRule type="dataBar" priority="5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{0DD52378-DE94-416F-8D0E-CD660017B8CA}</x14:id>
        </ext>
      </extLst>
    </cfRule>
  </conditionalFormatting>
  <conditionalFormatting sqref="I46">
    <cfRule type="dataBar" priority="4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{F16E4C26-8102-4BB6-B2AB-A8594BB2ED16}</x14:id>
        </ext>
      </extLst>
    </cfRule>
  </conditionalFormatting>
  <conditionalFormatting sqref="L3:AW45">
    <cfRule type="cellIs" dxfId="28" priority="1" operator="equal">
      <formula>3</formula>
    </cfRule>
    <cfRule type="cellIs" dxfId="27" priority="2" operator="equal">
      <formula>1</formula>
    </cfRule>
    <cfRule type="cellIs" dxfId="26" priority="3" operator="equal">
      <formula>2</formula>
    </cfRule>
  </conditionalFormatting>
  <pageMargins left="0.7" right="0.7" top="0.75" bottom="0.75" header="0.3" footer="0.3"/>
  <drawing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186E0C0-7323-4CA1-B613-3BA72EFC06C7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I3:I23 I25:I29 I31:I37 I40:I44</xm:sqref>
        </x14:conditionalFormatting>
        <x14:conditionalFormatting xmlns:xm="http://schemas.microsoft.com/office/excel/2006/main">
          <x14:cfRule type="dataBar" id="{0DD52378-DE94-416F-8D0E-CD660017B8CA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I38</xm:sqref>
        </x14:conditionalFormatting>
        <x14:conditionalFormatting xmlns:xm="http://schemas.microsoft.com/office/excel/2006/main">
          <x14:cfRule type="dataBar" id="{F16E4C26-8102-4BB6-B2AB-A8594BB2ED16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I46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6BDC1-6942-4C91-A16F-999E417AAD96}">
  <sheetPr codeName="Sheet2"/>
  <dimension ref="A1:AD220"/>
  <sheetViews>
    <sheetView zoomScale="91" zoomScaleNormal="110" workbookViewId="0">
      <selection activeCell="A19" sqref="A19:XFD19"/>
    </sheetView>
  </sheetViews>
  <sheetFormatPr defaultColWidth="8.42578125" defaultRowHeight="14.45"/>
  <cols>
    <col min="1" max="1" width="5.5703125" style="93" customWidth="1"/>
    <col min="2" max="2" width="7.140625" style="129" customWidth="1"/>
    <col min="3" max="3" width="21.85546875" style="128" customWidth="1"/>
    <col min="4" max="4" width="19.5703125" style="128" bestFit="1" customWidth="1"/>
    <col min="5" max="5" width="6.42578125" style="128" customWidth="1"/>
    <col min="6" max="6" width="19.5703125" style="128" bestFit="1" customWidth="1"/>
    <col min="7" max="7" width="12.85546875" style="128" bestFit="1" customWidth="1"/>
    <col min="8" max="8" width="16.5703125" style="128" bestFit="1" customWidth="1"/>
    <col min="9" max="9" width="1.42578125" style="128" customWidth="1"/>
    <col min="10" max="10" width="3.140625" style="93" customWidth="1"/>
    <col min="11" max="11" width="1.42578125" style="165" customWidth="1"/>
    <col min="12" max="12" width="23.85546875" style="93" bestFit="1" customWidth="1"/>
    <col min="13" max="13" width="1.42578125" style="128" customWidth="1"/>
    <col min="14" max="14" width="27.140625" style="128" bestFit="1" customWidth="1"/>
    <col min="15" max="15" width="1.42578125" style="93" customWidth="1"/>
    <col min="16" max="16" width="15.85546875" style="128" bestFit="1" customWidth="1"/>
    <col min="17" max="17" width="5.5703125" style="128" customWidth="1"/>
    <col min="18" max="18" width="33.140625" style="128" bestFit="1" customWidth="1"/>
    <col min="19" max="20" width="13.85546875" style="128" bestFit="1" customWidth="1"/>
    <col min="21" max="21" width="39.42578125" style="128" customWidth="1"/>
    <col min="22" max="22" width="4.42578125" style="128" customWidth="1"/>
    <col min="23" max="23" width="19.5703125" style="128" bestFit="1" customWidth="1"/>
    <col min="24" max="24" width="15.42578125" style="93" bestFit="1" customWidth="1"/>
    <col min="25" max="25" width="19.5703125" style="93" bestFit="1" customWidth="1"/>
    <col min="26" max="26" width="16.140625" style="93" bestFit="1" customWidth="1"/>
    <col min="27" max="27" width="19.5703125" style="93" bestFit="1" customWidth="1"/>
    <col min="28" max="28" width="15.42578125" style="93" bestFit="1" customWidth="1"/>
    <col min="29" max="29" width="8.42578125" style="93"/>
    <col min="30" max="30" width="14.140625" style="93" bestFit="1" customWidth="1"/>
    <col min="31" max="31" width="8.42578125" style="128"/>
    <col min="32" max="32" width="12.5703125" style="128" bestFit="1" customWidth="1"/>
    <col min="33" max="16384" width="8.42578125" style="128"/>
  </cols>
  <sheetData>
    <row r="1" spans="1:28" s="93" customFormat="1" ht="14.25" customHeight="1">
      <c r="A1" s="366"/>
      <c r="B1" s="117"/>
      <c r="F1" s="711"/>
      <c r="J1" s="140"/>
      <c r="V1" s="140"/>
    </row>
    <row r="2" spans="1:28" s="93" customFormat="1" ht="14.25" customHeight="1" thickBot="1">
      <c r="A2" s="366"/>
      <c r="B2" s="127" t="s">
        <v>58</v>
      </c>
      <c r="C2" s="127"/>
      <c r="D2" s="127"/>
      <c r="E2" s="127"/>
      <c r="F2" s="127"/>
      <c r="G2" s="127"/>
      <c r="H2" s="127"/>
      <c r="J2" s="140"/>
      <c r="R2" s="127"/>
      <c r="S2" s="127"/>
      <c r="T2" s="127"/>
      <c r="U2" s="127"/>
      <c r="V2" s="140"/>
    </row>
    <row r="3" spans="1:28" s="93" customFormat="1" ht="12.95">
      <c r="B3" s="117"/>
      <c r="D3" s="125" t="s">
        <v>59</v>
      </c>
      <c r="F3" s="125" t="s">
        <v>60</v>
      </c>
      <c r="J3" s="140"/>
      <c r="L3" s="398" t="s">
        <v>61</v>
      </c>
      <c r="N3" s="398" t="s">
        <v>62</v>
      </c>
      <c r="P3" s="723"/>
      <c r="Q3" s="724"/>
      <c r="R3" s="725" t="s">
        <v>63</v>
      </c>
      <c r="S3" s="726" t="s">
        <v>64</v>
      </c>
      <c r="T3" s="727" t="s">
        <v>65</v>
      </c>
      <c r="V3" s="140"/>
      <c r="W3" s="766" t="s">
        <v>66</v>
      </c>
      <c r="X3" s="766" t="s">
        <v>67</v>
      </c>
      <c r="Y3" s="766" t="s">
        <v>68</v>
      </c>
      <c r="Z3" s="766" t="s">
        <v>69</v>
      </c>
      <c r="AA3" s="766" t="s">
        <v>70</v>
      </c>
      <c r="AB3" s="766" t="s">
        <v>71</v>
      </c>
    </row>
    <row r="4" spans="1:28" s="93" customFormat="1" ht="12.95">
      <c r="B4" s="341">
        <v>1</v>
      </c>
      <c r="C4" s="342" t="s">
        <v>72</v>
      </c>
      <c r="D4" s="343">
        <f>'Project Plan'!E6</f>
        <v>59995000</v>
      </c>
      <c r="E4" s="344"/>
      <c r="F4" s="343">
        <f>F23</f>
        <v>59995000</v>
      </c>
      <c r="H4" s="116"/>
      <c r="J4" s="140"/>
      <c r="L4" s="364">
        <v>59995000</v>
      </c>
      <c r="N4" s="364" t="s">
        <v>73</v>
      </c>
      <c r="P4" s="728" t="s">
        <v>74</v>
      </c>
      <c r="Q4" s="729"/>
      <c r="R4" s="729"/>
      <c r="S4" s="730">
        <f>F4-R4</f>
        <v>59995000</v>
      </c>
      <c r="T4" s="731">
        <f>F4-R4</f>
        <v>59995000</v>
      </c>
      <c r="V4" s="140"/>
      <c r="W4" s="767">
        <f>SUMIFS('Expenditure Breakdown'!$U:$U,
        'Expenditure Breakdown'!$T:$T, "&gt;"&amp;DATE(2024,8,31),
        'Expenditure Breakdown'!$T:$T, "&lt;="&amp;DATE(2025,8,31),
        'Expenditure Breakdown'!$S:$S, "&lt;&gt;")</f>
        <v>44416314.260354042</v>
      </c>
      <c r="X4" s="767">
        <f>SUMIFS('Expenditure Breakdown'!$Q:$Q,
        'Expenditure Breakdown'!$T:$T, "&gt;"&amp;DATE(2024,8,31),
        'Expenditure Breakdown'!$T:$T, "&lt;="&amp;DATE(2025,8,31),
        'Expenditure Breakdown'!$S:$S, "&lt;&gt;")</f>
        <v>37030035.432058409</v>
      </c>
      <c r="Y4" s="767">
        <f>SUMIFS('Expenditure Breakdown'!$U:$U,
        'Expenditure Breakdown'!$T:$T, "&gt;"&amp;DATE(2025,8,31),
        'Expenditure Breakdown'!$T:$T, "&lt;="&amp;DATE(2026,8,31))</f>
        <v>13731172.130365564</v>
      </c>
      <c r="Z4" s="767">
        <f>SUMIFS('Expenditure Breakdown'!$Q:$Q,
        'Expenditure Breakdown'!$T:$T, "&gt;"&amp;DATE(2025,8,31),
        'Expenditure Breakdown'!$T:$T, "&lt;="&amp;DATE(2026,8,31))</f>
        <v>11662156.1343877</v>
      </c>
      <c r="AA4" s="767">
        <f>SUMIFS('Expenditure Breakdown'!$U:$U,
        'Expenditure Breakdown'!$T:$T, "&gt;"&amp;DATE(2025,8,31),
        'Expenditure Breakdown'!$T:$T, "&lt;="&amp;DATE(2026,8,31),
        'Expenditure Breakdown'!$S:$S, "&lt;&gt;")</f>
        <v>12424761.533813797</v>
      </c>
      <c r="AB4" s="767">
        <f>SUMIFS('Expenditure Breakdown'!$Q:$Q,
        'Expenditure Breakdown'!$T:$T, "&gt;"&amp;DATE(2025,8,31),
        'Expenditure Breakdown'!$T:$T, "&lt;="&amp;DATE(2026,8,31),
        'Expenditure Breakdown'!$S:$S, "&lt;&gt;")</f>
        <v>8578068.8543877024</v>
      </c>
    </row>
    <row r="5" spans="1:28" s="93" customFormat="1" ht="15" customHeight="1">
      <c r="B5" s="341">
        <v>2</v>
      </c>
      <c r="C5" s="342" t="s">
        <v>75</v>
      </c>
      <c r="D5" s="343">
        <f>+'Expenditure Tracking'!F5</f>
        <v>56096452.079139791</v>
      </c>
      <c r="E5" s="344"/>
      <c r="F5" s="343">
        <f>+'Expenditure Tracking'!H5</f>
        <v>48692191.566446096</v>
      </c>
      <c r="G5" s="836" t="s">
        <v>76</v>
      </c>
      <c r="H5" s="836" t="s">
        <v>77</v>
      </c>
      <c r="J5" s="140"/>
      <c r="L5" s="364">
        <v>46345971.321236402</v>
      </c>
      <c r="N5" s="399">
        <v>45894</v>
      </c>
      <c r="P5" s="728" t="s">
        <v>78</v>
      </c>
      <c r="R5" s="730"/>
      <c r="S5" s="730">
        <f>F5-R5</f>
        <v>48692191.566446096</v>
      </c>
      <c r="T5" s="731">
        <f>F5-R5</f>
        <v>48692191.566446096</v>
      </c>
      <c r="V5" s="140"/>
    </row>
    <row r="6" spans="1:28" s="93" customFormat="1" ht="15" customHeight="1" thickBot="1">
      <c r="B6" s="341">
        <v>3</v>
      </c>
      <c r="C6" s="342" t="s">
        <v>79</v>
      </c>
      <c r="D6" s="343">
        <f>+D4-D5</f>
        <v>3898547.9208602086</v>
      </c>
      <c r="E6" s="344"/>
      <c r="F6" s="343">
        <f>+F4-F5</f>
        <v>11302808.433553904</v>
      </c>
      <c r="G6" s="837">
        <f>D6*0.05</f>
        <v>194927.39604301043</v>
      </c>
      <c r="H6" s="116">
        <f>SUMIF('Expenditure Breakdown'!N:N,"*VO*",'Expenditure Breakdown'!Q:Q)</f>
        <v>0</v>
      </c>
      <c r="J6" s="140"/>
      <c r="L6" s="364">
        <v>13649028.678763598</v>
      </c>
      <c r="N6" s="364" t="s">
        <v>80</v>
      </c>
      <c r="P6" s="732" t="s">
        <v>81</v>
      </c>
      <c r="Q6" s="733"/>
      <c r="R6" s="734">
        <f>R4-R5</f>
        <v>0</v>
      </c>
      <c r="S6" s="734">
        <f>S4-S5</f>
        <v>11302808.433553904</v>
      </c>
      <c r="T6" s="735">
        <f>T4-T5</f>
        <v>11302808.433553904</v>
      </c>
      <c r="V6" s="140"/>
    </row>
    <row r="7" spans="1:28" s="93" customFormat="1" ht="15" customHeight="1" thickBot="1">
      <c r="B7" s="341">
        <v>4</v>
      </c>
      <c r="C7" s="342" t="s">
        <v>82</v>
      </c>
      <c r="D7" s="345">
        <f>+D6/D4</f>
        <v>6.4981213782151992E-2</v>
      </c>
      <c r="E7" s="344"/>
      <c r="F7" s="345">
        <f>+F6/F4</f>
        <v>0.18839584021258279</v>
      </c>
      <c r="J7" s="140"/>
      <c r="L7" s="365">
        <v>0.22750276987688303</v>
      </c>
      <c r="N7" s="432">
        <v>45982</v>
      </c>
      <c r="P7" s="736"/>
      <c r="Q7" s="737"/>
      <c r="R7" s="737"/>
      <c r="S7" s="737"/>
      <c r="T7" s="738"/>
      <c r="V7" s="140"/>
    </row>
    <row r="8" spans="1:28" s="93" customFormat="1" ht="9" customHeight="1">
      <c r="B8" s="117"/>
      <c r="J8" s="140"/>
      <c r="V8" s="140"/>
    </row>
    <row r="9" spans="1:28" s="93" customFormat="1" ht="9.75" customHeight="1">
      <c r="B9" s="117"/>
      <c r="J9" s="140"/>
      <c r="V9" s="140"/>
    </row>
    <row r="10" spans="1:28" s="93" customFormat="1" ht="12.95">
      <c r="B10" s="127" t="s">
        <v>83</v>
      </c>
      <c r="F10" s="837"/>
      <c r="J10" s="140"/>
      <c r="V10" s="140"/>
      <c r="X10" s="127"/>
    </row>
    <row r="11" spans="1:28" s="93" customFormat="1" ht="14.25" customHeight="1">
      <c r="B11" s="117"/>
      <c r="J11" s="140"/>
      <c r="V11" s="140"/>
    </row>
    <row r="12" spans="1:28" s="93" customFormat="1" ht="26.1">
      <c r="B12" s="130" t="s">
        <v>84</v>
      </c>
      <c r="C12" s="131" t="s">
        <v>85</v>
      </c>
      <c r="D12" s="132"/>
      <c r="E12" s="130" t="s">
        <v>86</v>
      </c>
      <c r="F12" s="130" t="s">
        <v>87</v>
      </c>
      <c r="H12" s="346" t="s">
        <v>88</v>
      </c>
      <c r="J12" s="140"/>
      <c r="L12" s="156" t="s">
        <v>89</v>
      </c>
      <c r="M12" s="133"/>
      <c r="N12" s="156" t="s">
        <v>90</v>
      </c>
      <c r="O12" s="128"/>
      <c r="P12" s="156" t="s">
        <v>91</v>
      </c>
      <c r="R12" s="367" t="s">
        <v>92</v>
      </c>
      <c r="S12" s="739"/>
      <c r="T12" s="739"/>
      <c r="U12" s="739"/>
      <c r="V12" s="140"/>
    </row>
    <row r="13" spans="1:28" s="93" customFormat="1" ht="12.95">
      <c r="B13" s="341">
        <v>1</v>
      </c>
      <c r="C13" s="846" t="s">
        <v>93</v>
      </c>
      <c r="D13" s="847"/>
      <c r="E13" s="134">
        <v>0.25</v>
      </c>
      <c r="F13" s="135">
        <v>15000000</v>
      </c>
      <c r="G13" s="136"/>
      <c r="H13" s="137">
        <v>45808</v>
      </c>
      <c r="J13" s="140"/>
      <c r="L13" s="357" t="s">
        <v>94</v>
      </c>
      <c r="M13" s="356"/>
      <c r="N13" s="137">
        <v>45805</v>
      </c>
      <c r="O13" s="128"/>
      <c r="P13" s="137">
        <v>45828</v>
      </c>
      <c r="R13" s="164"/>
      <c r="S13" s="740"/>
      <c r="T13" s="740"/>
      <c r="U13" s="740"/>
      <c r="V13" s="140"/>
    </row>
    <row r="14" spans="1:28" s="93" customFormat="1" ht="12.6">
      <c r="B14" s="153">
        <v>2</v>
      </c>
      <c r="C14" s="846" t="s">
        <v>95</v>
      </c>
      <c r="D14" s="847"/>
      <c r="E14" s="134">
        <v>0.15</v>
      </c>
      <c r="F14" s="135">
        <f>($D$4*E14)-1250</f>
        <v>8998000</v>
      </c>
      <c r="G14" s="344"/>
      <c r="H14" s="137">
        <f>P14</f>
        <v>45898</v>
      </c>
      <c r="J14" s="140"/>
      <c r="L14" s="357" t="s">
        <v>96</v>
      </c>
      <c r="N14" s="137">
        <v>45895</v>
      </c>
      <c r="O14" s="128"/>
      <c r="P14" s="137">
        <v>45898</v>
      </c>
      <c r="R14" s="368"/>
      <c r="S14" s="741"/>
      <c r="T14" s="741"/>
      <c r="U14" s="741"/>
      <c r="V14" s="140"/>
    </row>
    <row r="15" spans="1:28" s="93" customFormat="1" ht="12.6">
      <c r="B15" s="341">
        <v>3</v>
      </c>
      <c r="C15" s="846" t="s">
        <v>97</v>
      </c>
      <c r="D15" s="847"/>
      <c r="E15" s="134">
        <v>0.15</v>
      </c>
      <c r="F15" s="135">
        <f t="shared" ref="F15" si="0">$D$4*E15</f>
        <v>8999250</v>
      </c>
      <c r="G15" s="344"/>
      <c r="H15" s="137">
        <v>45922</v>
      </c>
      <c r="J15" s="140"/>
      <c r="L15" s="357" t="s">
        <v>98</v>
      </c>
      <c r="N15" s="137">
        <v>45912</v>
      </c>
      <c r="O15" s="128"/>
      <c r="P15" s="137">
        <v>45918</v>
      </c>
      <c r="R15" s="368"/>
      <c r="S15" s="741"/>
      <c r="T15" s="741"/>
      <c r="U15" s="741"/>
      <c r="V15" s="140"/>
    </row>
    <row r="16" spans="1:28" s="93" customFormat="1" ht="12.6">
      <c r="B16" s="341">
        <v>4</v>
      </c>
      <c r="C16" s="846" t="s">
        <v>99</v>
      </c>
      <c r="D16" s="847"/>
      <c r="E16" s="134">
        <v>0.3</v>
      </c>
      <c r="F16" s="135">
        <f t="shared" ref="F16:F21" si="1">$D$4*E16</f>
        <v>17998500</v>
      </c>
      <c r="G16" s="344"/>
      <c r="H16" s="137">
        <f>P16</f>
        <v>45862</v>
      </c>
      <c r="J16" s="140"/>
      <c r="L16" s="357" t="s">
        <v>100</v>
      </c>
      <c r="N16" s="137">
        <v>45852</v>
      </c>
      <c r="O16" s="128"/>
      <c r="P16" s="137">
        <v>45862</v>
      </c>
      <c r="R16" s="368"/>
      <c r="S16" s="741"/>
      <c r="T16" s="741"/>
      <c r="U16" s="741"/>
      <c r="V16" s="140"/>
    </row>
    <row r="17" spans="2:22" s="93" customFormat="1" ht="12.6">
      <c r="B17" s="341">
        <v>5</v>
      </c>
      <c r="C17" s="709" t="s">
        <v>101</v>
      </c>
      <c r="D17" s="710"/>
      <c r="E17" s="134">
        <v>0.1</v>
      </c>
      <c r="F17" s="135">
        <f>33990.72/1.15</f>
        <v>29557.147826086959</v>
      </c>
      <c r="G17" s="344"/>
      <c r="H17" s="137">
        <f>'Project Plan'!G99+7</f>
        <v>45980</v>
      </c>
      <c r="J17" s="140"/>
      <c r="L17" s="357" t="s">
        <v>102</v>
      </c>
      <c r="M17" s="128"/>
      <c r="N17" s="137">
        <v>46055</v>
      </c>
      <c r="O17" s="128"/>
      <c r="P17" s="838">
        <v>46002</v>
      </c>
      <c r="R17" s="368"/>
      <c r="S17" s="741"/>
      <c r="T17" s="741"/>
      <c r="U17" s="741"/>
      <c r="V17" s="140"/>
    </row>
    <row r="18" spans="2:22" s="93" customFormat="1" ht="12.6">
      <c r="B18" s="341">
        <v>5</v>
      </c>
      <c r="C18" s="709" t="s">
        <v>101</v>
      </c>
      <c r="D18" s="710"/>
      <c r="E18" s="134"/>
      <c r="F18" s="135">
        <f>23326.12/1.15</f>
        <v>20283.582608695651</v>
      </c>
      <c r="G18" s="344"/>
      <c r="H18" s="137">
        <v>45980</v>
      </c>
      <c r="J18" s="140"/>
      <c r="L18" s="357" t="s">
        <v>102</v>
      </c>
      <c r="M18" s="128"/>
      <c r="N18" s="137">
        <v>46055</v>
      </c>
      <c r="O18" s="128"/>
      <c r="P18" s="838">
        <v>46002</v>
      </c>
      <c r="R18" s="368"/>
      <c r="S18" s="741"/>
      <c r="T18" s="741"/>
      <c r="U18" s="741"/>
      <c r="V18" s="140"/>
    </row>
    <row r="19" spans="2:22" s="93" customFormat="1" ht="12.6">
      <c r="B19" s="341">
        <v>5</v>
      </c>
      <c r="C19" s="709" t="s">
        <v>101</v>
      </c>
      <c r="D19" s="710"/>
      <c r="E19" s="134"/>
      <c r="F19" s="135">
        <f>5999500-F17-F18</f>
        <v>5949659.2695652172</v>
      </c>
      <c r="G19" s="344"/>
      <c r="H19" s="137">
        <v>45980</v>
      </c>
      <c r="J19" s="140"/>
      <c r="L19" s="357" t="s">
        <v>102</v>
      </c>
      <c r="M19" s="128"/>
      <c r="N19" s="137">
        <v>46055</v>
      </c>
      <c r="O19" s="128"/>
      <c r="P19" s="138">
        <v>46062</v>
      </c>
      <c r="R19" s="368" t="s">
        <v>103</v>
      </c>
      <c r="S19" s="741"/>
      <c r="T19" s="741"/>
      <c r="U19" s="741"/>
      <c r="V19" s="140"/>
    </row>
    <row r="20" spans="2:22" s="93" customFormat="1" ht="12.6">
      <c r="B20" s="341">
        <v>6</v>
      </c>
      <c r="C20" s="709" t="s">
        <v>54</v>
      </c>
      <c r="D20" s="710"/>
      <c r="E20" s="134">
        <v>0.05</v>
      </c>
      <c r="F20" s="135">
        <f t="shared" si="1"/>
        <v>2999750</v>
      </c>
      <c r="G20" s="344"/>
      <c r="H20" s="137">
        <f>'Project Plan'!E122+7</f>
        <v>45999</v>
      </c>
      <c r="J20" s="140"/>
      <c r="L20" s="357"/>
      <c r="N20" s="137"/>
      <c r="O20" s="128"/>
      <c r="P20" s="138">
        <f>'Project Plan'!I122+60</f>
        <v>46137</v>
      </c>
      <c r="R20" s="368"/>
      <c r="S20" s="741"/>
      <c r="T20" s="741"/>
      <c r="U20" s="741"/>
      <c r="V20" s="140"/>
    </row>
    <row r="21" spans="2:22" s="93" customFormat="1" ht="12.6">
      <c r="B21" s="341">
        <v>7</v>
      </c>
      <c r="C21" s="846" t="s">
        <v>104</v>
      </c>
      <c r="D21" s="847"/>
      <c r="E21" s="134">
        <v>0</v>
      </c>
      <c r="F21" s="135">
        <f t="shared" si="1"/>
        <v>0</v>
      </c>
      <c r="G21" s="344"/>
      <c r="H21" s="137"/>
      <c r="J21" s="140"/>
      <c r="L21" s="138"/>
      <c r="N21" s="138"/>
      <c r="O21" s="128"/>
      <c r="P21" s="138"/>
      <c r="R21" s="368"/>
      <c r="S21" s="741"/>
      <c r="T21" s="741"/>
      <c r="U21" s="741"/>
      <c r="V21" s="140"/>
    </row>
    <row r="22" spans="2:22" s="93" customFormat="1" ht="9" customHeight="1">
      <c r="B22" s="117"/>
      <c r="E22" s="139"/>
      <c r="F22" s="116"/>
      <c r="H22" s="347"/>
      <c r="J22" s="140"/>
      <c r="V22" s="140"/>
    </row>
    <row r="23" spans="2:22" s="93" customFormat="1" ht="12.95">
      <c r="B23" s="117"/>
      <c r="E23" s="348">
        <f>SUM(E13:E21)</f>
        <v>1</v>
      </c>
      <c r="F23" s="349">
        <f>SUM(F13:F21)</f>
        <v>59995000</v>
      </c>
      <c r="J23" s="140"/>
      <c r="V23" s="140"/>
    </row>
    <row r="24" spans="2:22" s="140" customFormat="1" ht="25.5" customHeight="1">
      <c r="B24" s="141"/>
      <c r="F24" s="142"/>
    </row>
    <row r="25" spans="2:22" s="93" customFormat="1" ht="24.75" customHeight="1">
      <c r="B25" s="143" t="s">
        <v>105</v>
      </c>
      <c r="C25" s="144" t="s">
        <v>106</v>
      </c>
      <c r="D25" s="144"/>
      <c r="F25" s="145"/>
    </row>
    <row r="26" spans="2:22" s="93" customFormat="1" ht="12.6">
      <c r="C26" s="146" t="s">
        <v>107</v>
      </c>
      <c r="D26" s="147"/>
      <c r="F26" s="148">
        <f>F17+F18+F19</f>
        <v>5999500</v>
      </c>
      <c r="H26" s="116"/>
    </row>
    <row r="27" spans="2:22" s="93" customFormat="1" ht="12.6">
      <c r="C27" s="146" t="s">
        <v>108</v>
      </c>
      <c r="D27" s="147"/>
      <c r="H27" s="742"/>
    </row>
    <row r="28" spans="2:22" s="93" customFormat="1" ht="12.6">
      <c r="C28" s="149" t="s">
        <v>109</v>
      </c>
      <c r="D28" s="150"/>
      <c r="H28" s="116"/>
    </row>
    <row r="29" spans="2:22" s="93" customFormat="1" ht="12.6">
      <c r="C29" s="151" t="s">
        <v>110</v>
      </c>
      <c r="D29" s="147"/>
    </row>
    <row r="30" spans="2:22" s="93" customFormat="1" ht="12.6">
      <c r="B30" s="117"/>
      <c r="C30" s="151" t="s">
        <v>111</v>
      </c>
      <c r="D30" s="147"/>
    </row>
    <row r="31" spans="2:22" s="93" customFormat="1" ht="12.6">
      <c r="B31" s="117"/>
      <c r="C31" s="93" t="s">
        <v>112</v>
      </c>
    </row>
    <row r="32" spans="2:22" s="93" customFormat="1" ht="27.75" customHeight="1">
      <c r="B32" s="117"/>
      <c r="C32" s="152" t="s">
        <v>113</v>
      </c>
      <c r="D32" s="152"/>
      <c r="F32" s="148"/>
    </row>
    <row r="33" spans="2:6" s="93" customFormat="1" ht="12.6">
      <c r="B33" s="117"/>
      <c r="F33" s="145"/>
    </row>
    <row r="34" spans="2:6" s="93" customFormat="1" ht="12.6">
      <c r="B34" s="117"/>
      <c r="F34" s="145"/>
    </row>
    <row r="35" spans="2:6" s="93" customFormat="1" ht="12.6">
      <c r="B35" s="117"/>
      <c r="F35" s="145"/>
    </row>
    <row r="36" spans="2:6" s="93" customFormat="1" ht="12.6">
      <c r="B36" s="117"/>
      <c r="F36" s="145"/>
    </row>
    <row r="37" spans="2:6" s="93" customFormat="1" ht="12.6">
      <c r="B37" s="117"/>
    </row>
    <row r="38" spans="2:6" s="93" customFormat="1" ht="12.6">
      <c r="B38" s="117"/>
    </row>
    <row r="39" spans="2:6" s="93" customFormat="1" ht="12.6">
      <c r="B39" s="117"/>
    </row>
    <row r="40" spans="2:6" s="93" customFormat="1" ht="12.75" customHeight="1">
      <c r="B40" s="117"/>
    </row>
    <row r="41" spans="2:6" s="93" customFormat="1" ht="12.75" customHeight="1">
      <c r="B41" s="117"/>
    </row>
    <row r="42" spans="2:6" s="93" customFormat="1" ht="13.5" customHeight="1">
      <c r="B42" s="117"/>
    </row>
    <row r="43" spans="2:6" s="93" customFormat="1" ht="12.75" customHeight="1">
      <c r="B43" s="117"/>
    </row>
    <row r="44" spans="2:6" s="93" customFormat="1" ht="12.75" customHeight="1">
      <c r="B44" s="117"/>
    </row>
    <row r="45" spans="2:6" s="93" customFormat="1" ht="12.75" customHeight="1">
      <c r="B45" s="117"/>
    </row>
    <row r="46" spans="2:6" s="93" customFormat="1" ht="12.75" customHeight="1">
      <c r="B46" s="117"/>
    </row>
    <row r="47" spans="2:6" s="93" customFormat="1" ht="13.5" customHeight="1">
      <c r="B47" s="117"/>
    </row>
    <row r="48" spans="2:6" s="93" customFormat="1" ht="13.5" customHeight="1">
      <c r="B48" s="117"/>
    </row>
    <row r="49" spans="2:2" s="93" customFormat="1" ht="12.75" customHeight="1">
      <c r="B49" s="117"/>
    </row>
    <row r="50" spans="2:2" s="93" customFormat="1" ht="12.75" customHeight="1">
      <c r="B50" s="117"/>
    </row>
    <row r="51" spans="2:2" s="93" customFormat="1" ht="12.6">
      <c r="B51" s="117"/>
    </row>
    <row r="52" spans="2:2" s="93" customFormat="1" ht="12.6">
      <c r="B52" s="117"/>
    </row>
    <row r="53" spans="2:2" s="93" customFormat="1" ht="12.6">
      <c r="B53" s="117"/>
    </row>
    <row r="54" spans="2:2" s="93" customFormat="1" ht="12.6">
      <c r="B54" s="117"/>
    </row>
    <row r="55" spans="2:2" s="93" customFormat="1" ht="12.6">
      <c r="B55" s="117"/>
    </row>
    <row r="56" spans="2:2" s="93" customFormat="1" ht="12.6">
      <c r="B56" s="117"/>
    </row>
    <row r="57" spans="2:2" s="93" customFormat="1" ht="12.6">
      <c r="B57" s="117"/>
    </row>
    <row r="58" spans="2:2" s="93" customFormat="1" ht="12.6">
      <c r="B58" s="117"/>
    </row>
    <row r="59" spans="2:2" s="93" customFormat="1" ht="12.6">
      <c r="B59" s="117"/>
    </row>
    <row r="60" spans="2:2" s="93" customFormat="1" ht="12.6">
      <c r="B60" s="117"/>
    </row>
    <row r="61" spans="2:2" s="93" customFormat="1" ht="12.6">
      <c r="B61" s="117"/>
    </row>
    <row r="62" spans="2:2" s="93" customFormat="1" ht="12.6">
      <c r="B62" s="117"/>
    </row>
    <row r="63" spans="2:2" s="93" customFormat="1" ht="12.6">
      <c r="B63" s="117"/>
    </row>
    <row r="64" spans="2:2" s="93" customFormat="1" ht="12.6">
      <c r="B64" s="117"/>
    </row>
    <row r="65" spans="2:2" s="93" customFormat="1" ht="12.6">
      <c r="B65" s="117"/>
    </row>
    <row r="66" spans="2:2" s="93" customFormat="1" ht="12.6">
      <c r="B66" s="117"/>
    </row>
    <row r="67" spans="2:2" s="93" customFormat="1" ht="12.6">
      <c r="B67" s="117"/>
    </row>
    <row r="68" spans="2:2" s="93" customFormat="1" ht="12.6">
      <c r="B68" s="117"/>
    </row>
    <row r="69" spans="2:2" s="93" customFormat="1" ht="12.6">
      <c r="B69" s="117"/>
    </row>
    <row r="70" spans="2:2" s="93" customFormat="1" ht="12.6">
      <c r="B70" s="117"/>
    </row>
    <row r="71" spans="2:2" s="93" customFormat="1" ht="12.6">
      <c r="B71" s="117"/>
    </row>
    <row r="72" spans="2:2" s="93" customFormat="1" ht="12.6">
      <c r="B72" s="117"/>
    </row>
    <row r="73" spans="2:2" s="93" customFormat="1" ht="12.6">
      <c r="B73" s="117"/>
    </row>
    <row r="74" spans="2:2" s="93" customFormat="1" ht="12.6">
      <c r="B74" s="117"/>
    </row>
    <row r="75" spans="2:2" s="93" customFormat="1" ht="12.6">
      <c r="B75" s="117"/>
    </row>
    <row r="76" spans="2:2" s="93" customFormat="1" ht="12.6">
      <c r="B76" s="117"/>
    </row>
    <row r="77" spans="2:2" s="93" customFormat="1" ht="12.6">
      <c r="B77" s="117"/>
    </row>
    <row r="78" spans="2:2" s="93" customFormat="1" ht="12.6">
      <c r="B78" s="117"/>
    </row>
    <row r="79" spans="2:2" s="93" customFormat="1" ht="12.6">
      <c r="B79" s="117"/>
    </row>
    <row r="80" spans="2:2" s="93" customFormat="1" ht="12.6">
      <c r="B80" s="117"/>
    </row>
    <row r="81" spans="2:2" s="93" customFormat="1" ht="12.6">
      <c r="B81" s="117"/>
    </row>
    <row r="82" spans="2:2" s="93" customFormat="1" ht="12.6">
      <c r="B82" s="117"/>
    </row>
    <row r="83" spans="2:2" s="93" customFormat="1" ht="12.6">
      <c r="B83" s="117"/>
    </row>
    <row r="84" spans="2:2" s="93" customFormat="1" ht="12.6">
      <c r="B84" s="117"/>
    </row>
    <row r="85" spans="2:2" s="93" customFormat="1" ht="12.6">
      <c r="B85" s="117"/>
    </row>
    <row r="86" spans="2:2" s="93" customFormat="1" ht="12.6">
      <c r="B86" s="117"/>
    </row>
    <row r="87" spans="2:2" s="93" customFormat="1" ht="12.6">
      <c r="B87" s="117"/>
    </row>
    <row r="88" spans="2:2" s="93" customFormat="1" ht="12.6">
      <c r="B88" s="117"/>
    </row>
    <row r="89" spans="2:2" s="93" customFormat="1" ht="12.6">
      <c r="B89" s="117"/>
    </row>
    <row r="90" spans="2:2" s="93" customFormat="1" ht="12.6">
      <c r="B90" s="117"/>
    </row>
    <row r="91" spans="2:2" s="93" customFormat="1" ht="12.6">
      <c r="B91" s="117"/>
    </row>
    <row r="92" spans="2:2" s="93" customFormat="1" ht="12.6">
      <c r="B92" s="117"/>
    </row>
    <row r="93" spans="2:2" s="93" customFormat="1" ht="12.6">
      <c r="B93" s="117"/>
    </row>
    <row r="94" spans="2:2" s="93" customFormat="1" ht="12.6">
      <c r="B94" s="117"/>
    </row>
    <row r="95" spans="2:2" s="93" customFormat="1" ht="12.6">
      <c r="B95" s="117"/>
    </row>
    <row r="96" spans="2:2" s="93" customFormat="1" ht="12.6">
      <c r="B96" s="117"/>
    </row>
    <row r="97" spans="2:2" s="93" customFormat="1" ht="12.6">
      <c r="B97" s="117"/>
    </row>
    <row r="98" spans="2:2" s="93" customFormat="1" ht="12.6">
      <c r="B98" s="117"/>
    </row>
    <row r="99" spans="2:2" s="93" customFormat="1" ht="12.6">
      <c r="B99" s="117"/>
    </row>
    <row r="100" spans="2:2" s="93" customFormat="1" ht="12.6">
      <c r="B100" s="117"/>
    </row>
    <row r="101" spans="2:2" s="93" customFormat="1" ht="12.6">
      <c r="B101" s="117"/>
    </row>
    <row r="102" spans="2:2" s="93" customFormat="1" ht="12.6">
      <c r="B102" s="117"/>
    </row>
    <row r="103" spans="2:2" s="93" customFormat="1" ht="12.6">
      <c r="B103" s="117"/>
    </row>
    <row r="104" spans="2:2" s="93" customFormat="1" ht="12.6">
      <c r="B104" s="117"/>
    </row>
    <row r="105" spans="2:2" s="93" customFormat="1" ht="12.6">
      <c r="B105" s="117"/>
    </row>
    <row r="106" spans="2:2" s="93" customFormat="1" ht="12.6">
      <c r="B106" s="117"/>
    </row>
    <row r="107" spans="2:2" s="93" customFormat="1" ht="12.6">
      <c r="B107" s="117"/>
    </row>
    <row r="108" spans="2:2" s="93" customFormat="1" ht="12.6">
      <c r="B108" s="117"/>
    </row>
    <row r="109" spans="2:2" s="93" customFormat="1" ht="12.6">
      <c r="B109" s="117"/>
    </row>
    <row r="110" spans="2:2" s="93" customFormat="1" ht="12.6">
      <c r="B110" s="117"/>
    </row>
    <row r="111" spans="2:2" s="93" customFormat="1" ht="12.6">
      <c r="B111" s="117"/>
    </row>
    <row r="112" spans="2:2" s="93" customFormat="1" ht="12.6">
      <c r="B112" s="117"/>
    </row>
    <row r="113" spans="2:2" s="93" customFormat="1" ht="12.6">
      <c r="B113" s="117"/>
    </row>
    <row r="114" spans="2:2" s="93" customFormat="1" ht="12.6">
      <c r="B114" s="117"/>
    </row>
    <row r="115" spans="2:2" s="93" customFormat="1" ht="12.6">
      <c r="B115" s="117"/>
    </row>
    <row r="116" spans="2:2" s="93" customFormat="1" ht="12.6">
      <c r="B116" s="117"/>
    </row>
    <row r="117" spans="2:2" s="93" customFormat="1" ht="12.6">
      <c r="B117" s="117"/>
    </row>
    <row r="118" spans="2:2" s="93" customFormat="1" ht="12.6">
      <c r="B118" s="117"/>
    </row>
    <row r="119" spans="2:2" s="93" customFormat="1" ht="12.6">
      <c r="B119" s="117"/>
    </row>
    <row r="120" spans="2:2" s="93" customFormat="1" ht="12.6">
      <c r="B120" s="117"/>
    </row>
    <row r="121" spans="2:2" s="93" customFormat="1" ht="12.6">
      <c r="B121" s="117"/>
    </row>
    <row r="122" spans="2:2" s="93" customFormat="1" ht="12.6">
      <c r="B122" s="117"/>
    </row>
    <row r="123" spans="2:2" s="93" customFormat="1" ht="12.6">
      <c r="B123" s="117"/>
    </row>
    <row r="124" spans="2:2" s="93" customFormat="1" ht="12.6">
      <c r="B124" s="117"/>
    </row>
    <row r="125" spans="2:2" s="93" customFormat="1" ht="12.6">
      <c r="B125" s="117"/>
    </row>
    <row r="126" spans="2:2" s="93" customFormat="1" ht="12.6">
      <c r="B126" s="117"/>
    </row>
    <row r="127" spans="2:2" s="93" customFormat="1" ht="12.6">
      <c r="B127" s="117"/>
    </row>
    <row r="128" spans="2:2" s="93" customFormat="1" ht="12.6">
      <c r="B128" s="117"/>
    </row>
    <row r="129" spans="2:2" s="93" customFormat="1" ht="12.6">
      <c r="B129" s="117"/>
    </row>
    <row r="130" spans="2:2" s="93" customFormat="1" ht="12.6">
      <c r="B130" s="117"/>
    </row>
    <row r="131" spans="2:2" s="93" customFormat="1" ht="12.6">
      <c r="B131" s="117"/>
    </row>
    <row r="132" spans="2:2" s="93" customFormat="1" ht="12.6">
      <c r="B132" s="117"/>
    </row>
    <row r="133" spans="2:2" s="93" customFormat="1" ht="12.6">
      <c r="B133" s="117"/>
    </row>
    <row r="134" spans="2:2" s="93" customFormat="1" ht="12.6">
      <c r="B134" s="117"/>
    </row>
    <row r="135" spans="2:2" s="93" customFormat="1" ht="12.6">
      <c r="B135" s="117"/>
    </row>
    <row r="136" spans="2:2" s="93" customFormat="1" ht="12.6">
      <c r="B136" s="117"/>
    </row>
    <row r="137" spans="2:2" s="93" customFormat="1" ht="12.6">
      <c r="B137" s="117"/>
    </row>
    <row r="138" spans="2:2" s="93" customFormat="1" ht="12.6">
      <c r="B138" s="117"/>
    </row>
    <row r="139" spans="2:2" s="93" customFormat="1" ht="12.6">
      <c r="B139" s="117"/>
    </row>
    <row r="140" spans="2:2" s="93" customFormat="1" ht="12.6">
      <c r="B140" s="117"/>
    </row>
    <row r="141" spans="2:2" s="93" customFormat="1" ht="12.6">
      <c r="B141" s="117"/>
    </row>
    <row r="142" spans="2:2" s="93" customFormat="1" ht="12.6">
      <c r="B142" s="117"/>
    </row>
    <row r="143" spans="2:2" s="93" customFormat="1" ht="12.6">
      <c r="B143" s="117"/>
    </row>
    <row r="144" spans="2:2" s="93" customFormat="1" ht="12.6">
      <c r="B144" s="117"/>
    </row>
    <row r="145" spans="2:2" s="93" customFormat="1" ht="12.6">
      <c r="B145" s="117"/>
    </row>
    <row r="146" spans="2:2" s="93" customFormat="1" ht="12.6">
      <c r="B146" s="117"/>
    </row>
    <row r="147" spans="2:2" s="93" customFormat="1" ht="12.6">
      <c r="B147" s="117"/>
    </row>
    <row r="148" spans="2:2" s="93" customFormat="1" ht="12.6">
      <c r="B148" s="117"/>
    </row>
    <row r="149" spans="2:2" s="93" customFormat="1" ht="12.6">
      <c r="B149" s="117"/>
    </row>
    <row r="150" spans="2:2" s="93" customFormat="1" ht="12.6">
      <c r="B150" s="117"/>
    </row>
    <row r="151" spans="2:2" s="93" customFormat="1" ht="12.6">
      <c r="B151" s="117"/>
    </row>
    <row r="152" spans="2:2" s="93" customFormat="1" ht="12.6">
      <c r="B152" s="117"/>
    </row>
    <row r="153" spans="2:2" s="93" customFormat="1" ht="12.6">
      <c r="B153" s="117"/>
    </row>
    <row r="154" spans="2:2" s="93" customFormat="1" ht="12.6">
      <c r="B154" s="117"/>
    </row>
    <row r="155" spans="2:2" s="93" customFormat="1" ht="12.6">
      <c r="B155" s="117"/>
    </row>
    <row r="156" spans="2:2" s="93" customFormat="1" ht="12.6">
      <c r="B156" s="117"/>
    </row>
    <row r="157" spans="2:2" s="93" customFormat="1" ht="12.6">
      <c r="B157" s="117"/>
    </row>
    <row r="158" spans="2:2" s="93" customFormat="1" ht="12.6">
      <c r="B158" s="117"/>
    </row>
    <row r="159" spans="2:2" s="93" customFormat="1" ht="12.6">
      <c r="B159" s="117"/>
    </row>
    <row r="160" spans="2:2" s="93" customFormat="1" ht="12.6">
      <c r="B160" s="117"/>
    </row>
    <row r="161" spans="2:2" s="93" customFormat="1" ht="12.6">
      <c r="B161" s="117"/>
    </row>
    <row r="162" spans="2:2" s="93" customFormat="1" ht="12.6">
      <c r="B162" s="117"/>
    </row>
    <row r="163" spans="2:2" s="93" customFormat="1" ht="12.6">
      <c r="B163" s="117"/>
    </row>
    <row r="164" spans="2:2" s="93" customFormat="1" ht="12.6">
      <c r="B164" s="117"/>
    </row>
    <row r="165" spans="2:2" s="93" customFormat="1" ht="12.6">
      <c r="B165" s="117"/>
    </row>
    <row r="166" spans="2:2" s="93" customFormat="1" ht="12.6">
      <c r="B166" s="117"/>
    </row>
    <row r="167" spans="2:2" s="93" customFormat="1" ht="12.6">
      <c r="B167" s="117"/>
    </row>
    <row r="168" spans="2:2" s="93" customFormat="1" ht="12.6">
      <c r="B168" s="117"/>
    </row>
    <row r="169" spans="2:2" s="93" customFormat="1" ht="12.6">
      <c r="B169" s="117"/>
    </row>
    <row r="170" spans="2:2" s="93" customFormat="1" ht="12.6">
      <c r="B170" s="117"/>
    </row>
    <row r="171" spans="2:2" s="93" customFormat="1" ht="12.6">
      <c r="B171" s="117"/>
    </row>
    <row r="172" spans="2:2" s="93" customFormat="1" ht="12.6">
      <c r="B172" s="117"/>
    </row>
    <row r="173" spans="2:2" s="93" customFormat="1" ht="12.6">
      <c r="B173" s="117"/>
    </row>
    <row r="174" spans="2:2" s="93" customFormat="1" ht="12.6">
      <c r="B174" s="117"/>
    </row>
    <row r="175" spans="2:2" s="93" customFormat="1" ht="12.6">
      <c r="B175" s="117"/>
    </row>
    <row r="176" spans="2:2" s="93" customFormat="1" ht="12.6">
      <c r="B176" s="117"/>
    </row>
    <row r="177" spans="2:2" s="93" customFormat="1" ht="12.6">
      <c r="B177" s="117"/>
    </row>
    <row r="178" spans="2:2" s="93" customFormat="1" ht="12.6">
      <c r="B178" s="117"/>
    </row>
    <row r="179" spans="2:2" s="93" customFormat="1" ht="12.6">
      <c r="B179" s="117"/>
    </row>
    <row r="180" spans="2:2" s="93" customFormat="1" ht="12.6">
      <c r="B180" s="117"/>
    </row>
    <row r="181" spans="2:2" s="93" customFormat="1" ht="12.6">
      <c r="B181" s="117"/>
    </row>
    <row r="182" spans="2:2" s="93" customFormat="1" ht="12.6">
      <c r="B182" s="117"/>
    </row>
    <row r="183" spans="2:2" s="93" customFormat="1" ht="12.6">
      <c r="B183" s="117"/>
    </row>
    <row r="184" spans="2:2" s="93" customFormat="1" ht="12.6">
      <c r="B184" s="117"/>
    </row>
    <row r="185" spans="2:2" s="93" customFormat="1" ht="12.6">
      <c r="B185" s="117"/>
    </row>
    <row r="186" spans="2:2" s="93" customFormat="1" ht="12.6">
      <c r="B186" s="117"/>
    </row>
    <row r="187" spans="2:2" s="93" customFormat="1" ht="12.6">
      <c r="B187" s="117"/>
    </row>
    <row r="188" spans="2:2" s="93" customFormat="1" ht="12.6">
      <c r="B188" s="117"/>
    </row>
    <row r="189" spans="2:2" s="93" customFormat="1" ht="12.6">
      <c r="B189" s="117"/>
    </row>
    <row r="190" spans="2:2" s="93" customFormat="1" ht="12.6">
      <c r="B190" s="117"/>
    </row>
    <row r="191" spans="2:2" s="93" customFormat="1" ht="12.6">
      <c r="B191" s="117"/>
    </row>
    <row r="192" spans="2:2" s="93" customFormat="1" ht="12.6">
      <c r="B192" s="117"/>
    </row>
    <row r="193" spans="2:2" s="93" customFormat="1" ht="12.6">
      <c r="B193" s="117"/>
    </row>
    <row r="194" spans="2:2" s="93" customFormat="1" ht="12.6">
      <c r="B194" s="117"/>
    </row>
    <row r="195" spans="2:2" s="93" customFormat="1" ht="12.6">
      <c r="B195" s="117"/>
    </row>
    <row r="196" spans="2:2" s="93" customFormat="1" ht="12.6">
      <c r="B196" s="117"/>
    </row>
    <row r="197" spans="2:2" s="93" customFormat="1" ht="12.6">
      <c r="B197" s="117"/>
    </row>
    <row r="198" spans="2:2" s="93" customFormat="1" ht="12.6">
      <c r="B198" s="117"/>
    </row>
    <row r="199" spans="2:2" s="93" customFormat="1" ht="12.6">
      <c r="B199" s="117"/>
    </row>
    <row r="200" spans="2:2" s="93" customFormat="1" ht="12.6">
      <c r="B200" s="117"/>
    </row>
    <row r="201" spans="2:2" s="93" customFormat="1" ht="12.6">
      <c r="B201" s="117"/>
    </row>
    <row r="202" spans="2:2" s="93" customFormat="1" ht="12.6">
      <c r="B202" s="117"/>
    </row>
    <row r="203" spans="2:2" s="93" customFormat="1" ht="12.6">
      <c r="B203" s="117"/>
    </row>
    <row r="204" spans="2:2" s="93" customFormat="1" ht="12.6">
      <c r="B204" s="117"/>
    </row>
    <row r="205" spans="2:2" s="93" customFormat="1" ht="12.6">
      <c r="B205" s="117"/>
    </row>
    <row r="206" spans="2:2" s="93" customFormat="1" ht="12.6">
      <c r="B206" s="117"/>
    </row>
    <row r="207" spans="2:2" s="93" customFormat="1" ht="12.6">
      <c r="B207" s="117"/>
    </row>
    <row r="208" spans="2:2" s="93" customFormat="1" ht="12.6">
      <c r="B208" s="117"/>
    </row>
    <row r="209" spans="2:2" s="93" customFormat="1" ht="12.6">
      <c r="B209" s="117"/>
    </row>
    <row r="210" spans="2:2" s="93" customFormat="1" ht="12.6">
      <c r="B210" s="117"/>
    </row>
    <row r="211" spans="2:2" s="93" customFormat="1" ht="12.6">
      <c r="B211" s="117"/>
    </row>
    <row r="212" spans="2:2" s="93" customFormat="1" ht="12.6">
      <c r="B212" s="117"/>
    </row>
    <row r="213" spans="2:2" s="93" customFormat="1" ht="12.6">
      <c r="B213" s="117"/>
    </row>
    <row r="214" spans="2:2" s="93" customFormat="1" ht="12.6">
      <c r="B214" s="117"/>
    </row>
    <row r="215" spans="2:2" s="93" customFormat="1" ht="12.6">
      <c r="B215" s="117"/>
    </row>
    <row r="216" spans="2:2" s="93" customFormat="1" ht="12.6">
      <c r="B216" s="117"/>
    </row>
    <row r="217" spans="2:2" s="93" customFormat="1" ht="12.6">
      <c r="B217" s="117"/>
    </row>
    <row r="218" spans="2:2" s="93" customFormat="1" ht="12.6">
      <c r="B218" s="117"/>
    </row>
    <row r="219" spans="2:2" s="93" customFormat="1" ht="12.6">
      <c r="B219" s="117"/>
    </row>
    <row r="220" spans="2:2" s="93" customFormat="1" ht="12.6">
      <c r="B220" s="117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j+J/mkM11pEvvijaHO5iUaruLLhC+RSVAwxUkpdaj8w4JbnfejNcvtHn72PbQbDuFDX4JCXvt3S335YosPtFPw==" saltValue="EsOtAVk3La2RofAAR7kZEA==" spinCount="100000" sqref="L12:N12 P12 L21:N21 P21" name="Range1"/>
    <protectedRange algorithmName="SHA-512" hashValue="j+J/mkM11pEvvijaHO5iUaruLLhC+RSVAwxUkpdaj8w4JbnfejNcvtHn72PbQbDuFDX4JCXvt3S335YosPtFPw==" saltValue="EsOtAVk3La2RofAAR7kZEA==" spinCount="100000" sqref="P13:P20 L13:N20" name="Range1_1"/>
  </protectedRanges>
  <mergeCells count="5">
    <mergeCell ref="C16:D16"/>
    <mergeCell ref="C21:D21"/>
    <mergeCell ref="C13:D13"/>
    <mergeCell ref="C14:D14"/>
    <mergeCell ref="C15:D15"/>
  </mergeCells>
  <conditionalFormatting sqref="F23">
    <cfRule type="cellIs" dxfId="25" priority="3" operator="notEqual">
      <formula>$F$4</formula>
    </cfRule>
  </conditionalFormatting>
  <pageMargins left="0.7" right="0.7" top="0.75" bottom="0.75" header="0.3" footer="0.3"/>
  <pageSetup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61A95-C342-4651-B36E-1D4501FB87A8}">
  <sheetPr codeName="Sheet4"/>
  <dimension ref="C1:H42"/>
  <sheetViews>
    <sheetView showGridLines="0" topLeftCell="A9" workbookViewId="0">
      <selection activeCell="D16" sqref="D16"/>
    </sheetView>
  </sheetViews>
  <sheetFormatPr defaultColWidth="9.42578125" defaultRowHeight="12.6"/>
  <cols>
    <col min="1" max="2" width="9.42578125" style="73"/>
    <col min="3" max="3" width="13.42578125" style="73" bestFit="1" customWidth="1"/>
    <col min="4" max="5" width="9.42578125" style="73"/>
    <col min="6" max="6" width="12.5703125" style="73" bestFit="1" customWidth="1"/>
    <col min="7" max="7" width="1.42578125" style="73" customWidth="1"/>
    <col min="8" max="8" width="11.42578125" style="73" bestFit="1" customWidth="1"/>
    <col min="9" max="16384" width="9.42578125" style="73"/>
  </cols>
  <sheetData>
    <row r="1" spans="3:8" ht="12.95" thickBot="1"/>
    <row r="2" spans="3:8" ht="12.95" thickBot="1">
      <c r="C2" s="83" t="s">
        <v>114</v>
      </c>
      <c r="F2" s="83" t="s">
        <v>115</v>
      </c>
    </row>
    <row r="3" spans="3:8">
      <c r="C3" s="79">
        <v>45658</v>
      </c>
      <c r="D3" s="73" t="s">
        <v>116</v>
      </c>
      <c r="F3" s="81" t="s">
        <v>117</v>
      </c>
    </row>
    <row r="4" spans="3:8">
      <c r="C4" s="79">
        <v>45737</v>
      </c>
      <c r="D4" s="73" t="s">
        <v>118</v>
      </c>
      <c r="F4" s="81" t="s">
        <v>119</v>
      </c>
    </row>
    <row r="5" spans="3:8">
      <c r="C5" s="79">
        <v>45765</v>
      </c>
      <c r="D5" s="73" t="s">
        <v>120</v>
      </c>
      <c r="F5" s="81" t="s">
        <v>121</v>
      </c>
    </row>
    <row r="6" spans="3:8" ht="12.95" thickBot="1">
      <c r="C6" s="79">
        <v>45768</v>
      </c>
      <c r="D6" s="73" t="s">
        <v>122</v>
      </c>
      <c r="F6" s="82" t="s">
        <v>123</v>
      </c>
    </row>
    <row r="7" spans="3:8">
      <c r="C7" s="79">
        <v>45774</v>
      </c>
      <c r="D7" s="73" t="s">
        <v>124</v>
      </c>
    </row>
    <row r="8" spans="3:8">
      <c r="C8" s="79">
        <v>45765</v>
      </c>
      <c r="D8" s="73" t="s">
        <v>125</v>
      </c>
    </row>
    <row r="9" spans="3:8">
      <c r="C9" s="79">
        <v>45778</v>
      </c>
      <c r="D9" s="73" t="s">
        <v>126</v>
      </c>
    </row>
    <row r="10" spans="3:8">
      <c r="C10" s="79">
        <v>45824</v>
      </c>
      <c r="D10" s="73" t="s">
        <v>127</v>
      </c>
    </row>
    <row r="11" spans="3:8">
      <c r="C11" s="79">
        <v>45878</v>
      </c>
      <c r="D11" s="73" t="s">
        <v>128</v>
      </c>
    </row>
    <row r="12" spans="3:8">
      <c r="C12" s="79">
        <v>45924</v>
      </c>
      <c r="D12" s="73" t="s">
        <v>129</v>
      </c>
    </row>
    <row r="13" spans="3:8">
      <c r="C13" s="79"/>
      <c r="F13" s="85"/>
      <c r="H13" s="73" t="s">
        <v>130</v>
      </c>
    </row>
    <row r="14" spans="3:8">
      <c r="C14" s="79"/>
    </row>
    <row r="15" spans="3:8">
      <c r="C15" s="79"/>
    </row>
    <row r="16" spans="3:8">
      <c r="C16" s="79"/>
    </row>
    <row r="17" spans="3:4">
      <c r="C17" s="79">
        <v>46011</v>
      </c>
      <c r="D17" s="73" t="s">
        <v>131</v>
      </c>
    </row>
    <row r="18" spans="3:4">
      <c r="C18" s="79">
        <v>46012</v>
      </c>
      <c r="D18" s="73" t="s">
        <v>131</v>
      </c>
    </row>
    <row r="19" spans="3:4">
      <c r="C19" s="79">
        <v>46013</v>
      </c>
      <c r="D19" s="73" t="s">
        <v>131</v>
      </c>
    </row>
    <row r="20" spans="3:4">
      <c r="C20" s="79">
        <v>46014</v>
      </c>
      <c r="D20" s="73" t="s">
        <v>131</v>
      </c>
    </row>
    <row r="21" spans="3:4">
      <c r="C21" s="79">
        <v>46015</v>
      </c>
      <c r="D21" s="73" t="s">
        <v>131</v>
      </c>
    </row>
    <row r="22" spans="3:4">
      <c r="C22" s="79">
        <v>46016</v>
      </c>
      <c r="D22" s="73" t="s">
        <v>131</v>
      </c>
    </row>
    <row r="23" spans="3:4">
      <c r="C23" s="79">
        <v>46017</v>
      </c>
      <c r="D23" s="73" t="s">
        <v>131</v>
      </c>
    </row>
    <row r="24" spans="3:4">
      <c r="C24" s="79">
        <v>46018</v>
      </c>
      <c r="D24" s="73" t="s">
        <v>131</v>
      </c>
    </row>
    <row r="25" spans="3:4">
      <c r="C25" s="79">
        <v>46019</v>
      </c>
      <c r="D25" s="73" t="s">
        <v>131</v>
      </c>
    </row>
    <row r="26" spans="3:4">
      <c r="C26" s="79">
        <v>46020</v>
      </c>
      <c r="D26" s="73" t="s">
        <v>131</v>
      </c>
    </row>
    <row r="27" spans="3:4">
      <c r="C27" s="79">
        <v>46021</v>
      </c>
      <c r="D27" s="73" t="s">
        <v>131</v>
      </c>
    </row>
    <row r="28" spans="3:4">
      <c r="C28" s="79">
        <v>46022</v>
      </c>
      <c r="D28" s="73" t="s">
        <v>131</v>
      </c>
    </row>
    <row r="29" spans="3:4">
      <c r="C29" s="79">
        <v>46023</v>
      </c>
      <c r="D29" s="73" t="s">
        <v>131</v>
      </c>
    </row>
    <row r="30" spans="3:4">
      <c r="C30" s="79">
        <v>46024</v>
      </c>
      <c r="D30" s="73" t="s">
        <v>131</v>
      </c>
    </row>
    <row r="31" spans="3:4">
      <c r="C31" s="79">
        <v>46025</v>
      </c>
      <c r="D31" s="73" t="s">
        <v>131</v>
      </c>
    </row>
    <row r="32" spans="3:4">
      <c r="C32" s="79">
        <v>46026</v>
      </c>
      <c r="D32" s="73" t="s">
        <v>131</v>
      </c>
    </row>
    <row r="33" spans="3:4">
      <c r="C33" s="79">
        <v>46027</v>
      </c>
      <c r="D33" s="73" t="s">
        <v>131</v>
      </c>
    </row>
    <row r="34" spans="3:4">
      <c r="C34" s="79">
        <v>46028</v>
      </c>
      <c r="D34" s="73" t="s">
        <v>131</v>
      </c>
    </row>
    <row r="35" spans="3:4">
      <c r="C35" s="79">
        <v>46029</v>
      </c>
      <c r="D35" s="73" t="s">
        <v>131</v>
      </c>
    </row>
    <row r="36" spans="3:4">
      <c r="C36" s="79">
        <v>46030</v>
      </c>
      <c r="D36" s="73" t="s">
        <v>131</v>
      </c>
    </row>
    <row r="37" spans="3:4">
      <c r="C37" s="79">
        <v>46031</v>
      </c>
      <c r="D37" s="73" t="s">
        <v>131</v>
      </c>
    </row>
    <row r="38" spans="3:4">
      <c r="C38" s="79">
        <v>46032</v>
      </c>
      <c r="D38" s="73" t="s">
        <v>131</v>
      </c>
    </row>
    <row r="39" spans="3:4">
      <c r="C39" s="79">
        <v>46033</v>
      </c>
      <c r="D39" s="73" t="s">
        <v>131</v>
      </c>
    </row>
    <row r="40" spans="3:4">
      <c r="C40" s="79">
        <v>46034</v>
      </c>
      <c r="D40" s="73" t="s">
        <v>131</v>
      </c>
    </row>
    <row r="41" spans="3:4">
      <c r="C41" s="79">
        <v>46016</v>
      </c>
      <c r="D41" s="73" t="s">
        <v>132</v>
      </c>
    </row>
    <row r="42" spans="3:4" ht="12.95" thickBot="1">
      <c r="C42" s="80">
        <v>46017</v>
      </c>
      <c r="D42" s="73" t="s">
        <v>133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5F361-596A-4A9F-AA1D-FAB3671E8D2C}">
  <sheetPr codeName="Sheet3">
    <pageSetUpPr fitToPage="1"/>
  </sheetPr>
  <dimension ref="A1:GP292"/>
  <sheetViews>
    <sheetView topLeftCell="S1" zoomScale="85" zoomScaleNormal="85" workbookViewId="0">
      <selection activeCell="K122" sqref="K122"/>
    </sheetView>
  </sheetViews>
  <sheetFormatPr defaultColWidth="8.42578125" defaultRowHeight="14.1"/>
  <cols>
    <col min="1" max="1" width="1.42578125" style="112" customWidth="1"/>
    <col min="2" max="2" width="8.42578125" style="161" bestFit="1" customWidth="1"/>
    <col min="3" max="3" width="51.5703125" style="24" customWidth="1"/>
    <col min="4" max="4" width="3.140625" style="112" customWidth="1"/>
    <col min="5" max="5" width="14.140625" style="24" customWidth="1"/>
    <col min="6" max="6" width="11.85546875" style="158" customWidth="1"/>
    <col min="7" max="7" width="13.42578125" style="64" customWidth="1"/>
    <col min="8" max="8" width="5" style="112" customWidth="1"/>
    <col min="9" max="9" width="13.42578125" style="112" customWidth="1"/>
    <col min="10" max="10" width="13.85546875" style="113" bestFit="1" customWidth="1"/>
    <col min="11" max="11" width="14.140625" style="112" customWidth="1"/>
    <col min="12" max="12" width="2.42578125" style="112" customWidth="1"/>
    <col min="13" max="13" width="12.5703125" style="112" customWidth="1"/>
    <col min="14" max="14" width="19.5703125" style="112" customWidth="1"/>
    <col min="15" max="15" width="49.5703125" style="112" customWidth="1"/>
    <col min="16" max="16" width="1.42578125" style="112" customWidth="1"/>
    <col min="17" max="17" width="5.5703125" style="3" customWidth="1"/>
    <col min="18" max="18" width="8.42578125" style="112"/>
    <col min="19" max="19" width="33.140625" style="112" bestFit="1" customWidth="1"/>
    <col min="20" max="20" width="12.85546875" style="112" customWidth="1"/>
    <col min="21" max="21" width="15.42578125" style="112" bestFit="1" customWidth="1"/>
    <col min="22" max="22" width="15.85546875" style="112" hidden="1" customWidth="1"/>
    <col min="23" max="23" width="13" style="112" customWidth="1"/>
    <col min="24" max="24" width="20.85546875" style="112" bestFit="1" customWidth="1"/>
    <col min="25" max="28" width="9.140625" style="24" customWidth="1"/>
    <col min="29" max="30" width="8.42578125" style="24"/>
    <col min="31" max="32" width="9.85546875" style="24" bestFit="1" customWidth="1"/>
    <col min="33" max="16384" width="8.42578125" style="24"/>
  </cols>
  <sheetData>
    <row r="1" spans="2:198" s="112" customFormat="1" ht="4.5" customHeight="1">
      <c r="B1" s="157"/>
      <c r="F1" s="158"/>
      <c r="G1" s="113"/>
      <c r="J1" s="113"/>
      <c r="N1" s="393">
        <f ca="1">TODAY()</f>
        <v>46063</v>
      </c>
      <c r="O1" s="393">
        <f ca="1">TODAY()</f>
        <v>46063</v>
      </c>
      <c r="Q1" s="3"/>
    </row>
    <row r="2" spans="2:198">
      <c r="B2" s="166"/>
      <c r="C2" s="167" t="s">
        <v>0</v>
      </c>
      <c r="D2" s="168"/>
      <c r="E2" s="855" t="s">
        <v>134</v>
      </c>
      <c r="F2" s="856"/>
      <c r="G2" s="856"/>
      <c r="H2" s="857"/>
      <c r="N2" s="394">
        <v>0</v>
      </c>
      <c r="O2" s="394">
        <v>1</v>
      </c>
      <c r="Y2" s="112"/>
      <c r="Z2" s="112"/>
      <c r="AA2" s="112"/>
      <c r="AB2" s="112"/>
      <c r="AC2" s="112"/>
      <c r="AD2" s="112"/>
      <c r="AE2" s="112"/>
      <c r="AF2" s="112"/>
      <c r="AG2" s="112"/>
      <c r="AH2" s="112"/>
      <c r="AI2" s="112"/>
      <c r="AJ2" s="112"/>
      <c r="AK2" s="112"/>
      <c r="AL2" s="112"/>
      <c r="AM2" s="112"/>
      <c r="AN2" s="112"/>
      <c r="AO2" s="112"/>
      <c r="AP2" s="112"/>
      <c r="AQ2" s="112"/>
      <c r="AR2" s="112"/>
      <c r="AS2" s="112"/>
      <c r="AT2" s="112"/>
      <c r="AU2" s="112"/>
      <c r="AV2" s="112"/>
      <c r="AW2" s="112"/>
      <c r="AX2" s="112"/>
      <c r="AY2" s="112"/>
      <c r="AZ2" s="112"/>
      <c r="BA2" s="112"/>
      <c r="BB2" s="112"/>
      <c r="BC2" s="112"/>
      <c r="BD2" s="112"/>
      <c r="BE2" s="112"/>
      <c r="BF2" s="112"/>
      <c r="BG2" s="112"/>
      <c r="BH2" s="112"/>
      <c r="BI2" s="112"/>
      <c r="BJ2" s="112"/>
      <c r="BK2" s="112"/>
      <c r="BL2" s="112"/>
      <c r="BM2" s="112"/>
      <c r="BN2" s="112"/>
      <c r="BO2" s="112"/>
      <c r="BP2" s="112"/>
      <c r="BQ2" s="112"/>
      <c r="BR2" s="112"/>
      <c r="BS2" s="112"/>
      <c r="BT2" s="112"/>
      <c r="BU2" s="112"/>
      <c r="BV2" s="112"/>
      <c r="BW2" s="112"/>
      <c r="BX2" s="112"/>
      <c r="BY2" s="112"/>
      <c r="BZ2" s="112"/>
      <c r="CA2" s="112"/>
      <c r="CB2" s="112"/>
      <c r="CC2" s="112"/>
      <c r="CD2" s="112"/>
      <c r="CE2" s="112"/>
      <c r="CF2" s="112"/>
      <c r="CG2" s="112"/>
      <c r="CH2" s="112"/>
      <c r="CI2" s="112"/>
      <c r="CJ2" s="112"/>
      <c r="CK2" s="112"/>
      <c r="CL2" s="112"/>
      <c r="CM2" s="112"/>
      <c r="CN2" s="112"/>
      <c r="CO2" s="112"/>
      <c r="CP2" s="112"/>
      <c r="CQ2" s="112"/>
      <c r="CR2" s="112"/>
      <c r="CS2" s="112"/>
      <c r="CT2" s="112"/>
      <c r="CU2" s="112"/>
      <c r="CV2" s="112"/>
      <c r="CW2" s="112"/>
      <c r="CX2" s="112"/>
      <c r="CY2" s="112"/>
      <c r="CZ2" s="112"/>
      <c r="DA2" s="112"/>
      <c r="DB2" s="112"/>
      <c r="DC2" s="112"/>
      <c r="DD2" s="112"/>
      <c r="DE2" s="112"/>
      <c r="DF2" s="112"/>
      <c r="DG2" s="112"/>
      <c r="DH2" s="112"/>
      <c r="DI2" s="112"/>
      <c r="DJ2" s="112"/>
      <c r="DK2" s="112"/>
      <c r="DL2" s="112"/>
      <c r="DM2" s="112"/>
      <c r="DN2" s="112"/>
      <c r="DO2" s="112"/>
      <c r="DP2" s="112"/>
      <c r="DQ2" s="112"/>
      <c r="DR2" s="112"/>
      <c r="DS2" s="112"/>
      <c r="DT2" s="112"/>
      <c r="DU2" s="112"/>
      <c r="DV2" s="112"/>
      <c r="DW2" s="112"/>
      <c r="DX2" s="112"/>
      <c r="DY2" s="112"/>
      <c r="DZ2" s="112"/>
      <c r="EA2" s="112"/>
      <c r="EB2" s="112"/>
      <c r="EC2" s="112"/>
      <c r="ED2" s="112"/>
      <c r="EE2" s="112"/>
      <c r="EF2" s="112"/>
      <c r="EG2" s="112"/>
      <c r="EH2" s="112"/>
      <c r="EI2" s="112"/>
      <c r="EJ2" s="112"/>
      <c r="EK2" s="112"/>
      <c r="EL2" s="112"/>
      <c r="EM2" s="112"/>
      <c r="EN2" s="112"/>
      <c r="EO2" s="112"/>
      <c r="EP2" s="112"/>
      <c r="EQ2" s="112"/>
      <c r="ER2" s="112"/>
      <c r="ES2" s="112"/>
      <c r="ET2" s="112"/>
      <c r="EU2" s="112"/>
      <c r="EV2" s="112"/>
      <c r="EW2" s="112"/>
      <c r="EX2" s="112"/>
      <c r="EY2" s="112"/>
      <c r="EZ2" s="112"/>
      <c r="FA2" s="112"/>
      <c r="FB2" s="112"/>
      <c r="FC2" s="112"/>
      <c r="FD2" s="112"/>
      <c r="FE2" s="112"/>
      <c r="FF2" s="112"/>
      <c r="FG2" s="112"/>
      <c r="FH2" s="112"/>
      <c r="FI2" s="112"/>
      <c r="FJ2" s="112"/>
      <c r="FK2" s="112"/>
      <c r="FL2" s="112"/>
      <c r="FM2" s="112"/>
      <c r="FN2" s="112"/>
      <c r="FO2" s="112"/>
      <c r="FP2" s="112"/>
      <c r="FQ2" s="112"/>
      <c r="FR2" s="112"/>
      <c r="FS2" s="112"/>
      <c r="FT2" s="112"/>
      <c r="FU2" s="112"/>
      <c r="FV2" s="112"/>
      <c r="FW2" s="112"/>
      <c r="FX2" s="112"/>
      <c r="FY2" s="112"/>
      <c r="FZ2" s="112"/>
      <c r="GA2" s="112"/>
      <c r="GB2" s="112"/>
      <c r="GC2" s="112"/>
      <c r="GD2" s="112"/>
      <c r="GE2" s="112"/>
      <c r="GF2" s="112"/>
      <c r="GG2" s="112"/>
      <c r="GH2" s="112"/>
      <c r="GI2" s="112"/>
      <c r="GJ2" s="112"/>
      <c r="GK2" s="112"/>
      <c r="GL2" s="112"/>
      <c r="GM2" s="112"/>
      <c r="GN2" s="112"/>
      <c r="GO2" s="112"/>
      <c r="GP2" s="112"/>
    </row>
    <row r="3" spans="2:198" s="112" customFormat="1">
      <c r="B3" s="169"/>
      <c r="C3" s="170" t="s">
        <v>135</v>
      </c>
      <c r="D3" s="168"/>
      <c r="E3" s="401">
        <v>7080</v>
      </c>
      <c r="F3" s="171"/>
      <c r="G3" s="172"/>
      <c r="H3" s="173"/>
      <c r="J3" s="113"/>
      <c r="Q3" s="3"/>
    </row>
    <row r="4" spans="2:198" s="112" customFormat="1" ht="14.25" customHeight="1">
      <c r="B4" s="169"/>
      <c r="C4" s="170" t="s">
        <v>136</v>
      </c>
      <c r="D4" s="168"/>
      <c r="E4" s="858" t="s">
        <v>137</v>
      </c>
      <c r="F4" s="859"/>
      <c r="G4" s="859"/>
      <c r="H4" s="860"/>
      <c r="J4" s="113"/>
      <c r="Q4" s="3"/>
      <c r="S4" s="700"/>
      <c r="T4" s="700"/>
      <c r="U4" s="700"/>
      <c r="V4" s="700"/>
      <c r="W4" s="700"/>
      <c r="X4" s="700"/>
      <c r="Y4" s="700"/>
      <c r="Z4" s="700"/>
      <c r="AA4" s="700"/>
      <c r="AB4" s="700"/>
    </row>
    <row r="5" spans="2:198" s="112" customFormat="1" ht="14.25" customHeight="1">
      <c r="B5" s="169"/>
      <c r="C5" s="170" t="s">
        <v>138</v>
      </c>
      <c r="D5" s="168"/>
      <c r="E5" s="858" t="s">
        <v>139</v>
      </c>
      <c r="F5" s="859"/>
      <c r="G5" s="859"/>
      <c r="H5" s="860"/>
      <c r="J5" s="113"/>
      <c r="Q5" s="3"/>
      <c r="S5" s="700"/>
      <c r="T5" s="700"/>
      <c r="U5" s="700"/>
      <c r="V5" s="700"/>
      <c r="W5" s="700"/>
      <c r="X5" s="700"/>
      <c r="Y5" s="700"/>
      <c r="Z5" s="700"/>
      <c r="AA5" s="700"/>
      <c r="AB5" s="700"/>
    </row>
    <row r="6" spans="2:198" ht="14.25" customHeight="1">
      <c r="B6" s="174"/>
      <c r="C6" s="175" t="s">
        <v>140</v>
      </c>
      <c r="D6" s="168"/>
      <c r="E6" s="861">
        <v>59995000</v>
      </c>
      <c r="F6" s="862"/>
      <c r="G6" s="862"/>
      <c r="H6" s="863"/>
      <c r="S6" s="700"/>
      <c r="T6" s="700"/>
      <c r="U6" s="700"/>
      <c r="V6" s="700"/>
      <c r="W6" s="700"/>
      <c r="X6" s="700"/>
      <c r="Y6" s="700"/>
      <c r="Z6" s="700"/>
      <c r="AA6" s="700"/>
      <c r="AB6" s="700"/>
      <c r="AC6" s="112"/>
      <c r="AD6" s="112"/>
      <c r="AE6" s="112"/>
      <c r="AF6" s="112"/>
      <c r="AG6" s="112"/>
      <c r="AH6" s="112"/>
      <c r="AI6" s="112"/>
      <c r="AJ6" s="112"/>
      <c r="AK6" s="112"/>
      <c r="AL6" s="112"/>
      <c r="AM6" s="112"/>
      <c r="AN6" s="112"/>
      <c r="AO6" s="112"/>
      <c r="AP6" s="112"/>
      <c r="AQ6" s="112"/>
      <c r="AR6" s="112"/>
      <c r="AS6" s="112"/>
      <c r="AT6" s="112"/>
      <c r="AU6" s="112"/>
      <c r="AV6" s="112"/>
      <c r="AW6" s="112"/>
      <c r="AX6" s="112"/>
      <c r="AY6" s="112"/>
      <c r="AZ6" s="112"/>
      <c r="BA6" s="112"/>
      <c r="BB6" s="112"/>
      <c r="BC6" s="112"/>
      <c r="BD6" s="112"/>
      <c r="BE6" s="112"/>
      <c r="BF6" s="112"/>
      <c r="BG6" s="112"/>
      <c r="BH6" s="112"/>
      <c r="BI6" s="112"/>
      <c r="BJ6" s="112"/>
      <c r="BK6" s="112"/>
      <c r="BL6" s="112"/>
      <c r="BM6" s="112"/>
      <c r="BN6" s="112"/>
      <c r="BO6" s="112"/>
      <c r="BP6" s="112"/>
      <c r="BQ6" s="112"/>
      <c r="BR6" s="112"/>
      <c r="BS6" s="112"/>
      <c r="BT6" s="112"/>
      <c r="BU6" s="112"/>
      <c r="BV6" s="112"/>
      <c r="BW6" s="112"/>
      <c r="BX6" s="112"/>
      <c r="BY6" s="112"/>
      <c r="BZ6" s="112"/>
      <c r="CA6" s="112"/>
      <c r="CB6" s="112"/>
      <c r="CC6" s="112"/>
      <c r="CD6" s="112"/>
      <c r="CE6" s="112"/>
      <c r="CF6" s="112"/>
      <c r="CG6" s="112"/>
      <c r="CH6" s="112"/>
      <c r="CI6" s="112"/>
      <c r="CJ6" s="112"/>
      <c r="CK6" s="112"/>
      <c r="CL6" s="112"/>
      <c r="CM6" s="112"/>
      <c r="CN6" s="112"/>
      <c r="CO6" s="112"/>
      <c r="CP6" s="112"/>
      <c r="CQ6" s="112"/>
      <c r="CR6" s="112"/>
      <c r="CS6" s="112"/>
      <c r="CT6" s="112"/>
      <c r="CU6" s="112"/>
      <c r="CV6" s="112"/>
      <c r="CW6" s="112"/>
      <c r="CX6" s="112"/>
      <c r="CY6" s="112"/>
      <c r="CZ6" s="112"/>
      <c r="DA6" s="112"/>
      <c r="DB6" s="112"/>
      <c r="DC6" s="112"/>
      <c r="DD6" s="112"/>
      <c r="DE6" s="112"/>
      <c r="DF6" s="112"/>
      <c r="DG6" s="112"/>
      <c r="DH6" s="112"/>
      <c r="DI6" s="112"/>
      <c r="DJ6" s="112"/>
      <c r="DK6" s="112"/>
      <c r="DL6" s="112"/>
      <c r="DM6" s="112"/>
      <c r="DN6" s="112"/>
      <c r="DO6" s="112"/>
      <c r="DP6" s="112"/>
      <c r="DQ6" s="112"/>
      <c r="DR6" s="112"/>
      <c r="DS6" s="112"/>
      <c r="DT6" s="112"/>
      <c r="DU6" s="112"/>
      <c r="DV6" s="112"/>
      <c r="DW6" s="112"/>
      <c r="DX6" s="112"/>
      <c r="DY6" s="112"/>
      <c r="DZ6" s="112"/>
      <c r="EA6" s="112"/>
      <c r="EB6" s="112"/>
      <c r="EC6" s="112"/>
      <c r="ED6" s="112"/>
      <c r="EE6" s="112"/>
      <c r="EF6" s="112"/>
      <c r="EG6" s="112"/>
      <c r="EH6" s="112"/>
      <c r="EI6" s="112"/>
      <c r="EJ6" s="112"/>
      <c r="EK6" s="112"/>
      <c r="EL6" s="112"/>
      <c r="EM6" s="112"/>
      <c r="EN6" s="112"/>
      <c r="EO6" s="112"/>
      <c r="EP6" s="112"/>
      <c r="EQ6" s="112"/>
      <c r="ER6" s="112"/>
      <c r="ES6" s="112"/>
      <c r="ET6" s="112"/>
      <c r="EU6" s="112"/>
      <c r="EV6" s="112"/>
      <c r="EW6" s="112"/>
      <c r="EX6" s="112"/>
      <c r="EY6" s="112"/>
      <c r="EZ6" s="112"/>
      <c r="FA6" s="112"/>
      <c r="FB6" s="112"/>
      <c r="FC6" s="112"/>
      <c r="FD6" s="112"/>
      <c r="FE6" s="112"/>
      <c r="FF6" s="112"/>
      <c r="FG6" s="112"/>
      <c r="FH6" s="112"/>
      <c r="FI6" s="112"/>
      <c r="FJ6" s="112"/>
      <c r="FK6" s="112"/>
      <c r="FL6" s="112"/>
      <c r="FM6" s="112"/>
      <c r="FN6" s="112"/>
      <c r="FO6" s="112"/>
      <c r="FP6" s="112"/>
      <c r="FQ6" s="112"/>
      <c r="FR6" s="112"/>
      <c r="FS6" s="112"/>
      <c r="FT6" s="112"/>
      <c r="FU6" s="112"/>
      <c r="FV6" s="112"/>
      <c r="FW6" s="112"/>
      <c r="FX6" s="112"/>
      <c r="FY6" s="112"/>
      <c r="FZ6" s="112"/>
      <c r="GA6" s="112"/>
      <c r="GB6" s="112"/>
      <c r="GC6" s="112"/>
      <c r="GD6" s="112"/>
      <c r="GE6" s="112"/>
      <c r="GF6" s="112"/>
      <c r="GG6" s="112"/>
      <c r="GH6" s="112"/>
      <c r="GI6" s="112"/>
      <c r="GJ6" s="112"/>
      <c r="GK6" s="112"/>
      <c r="GL6" s="112"/>
      <c r="GM6" s="112"/>
      <c r="GN6" s="112"/>
      <c r="GO6" s="112"/>
      <c r="GP6" s="112"/>
    </row>
    <row r="7" spans="2:198" s="112" customFormat="1" ht="16.350000000000001" customHeight="1">
      <c r="B7" s="157"/>
      <c r="C7" s="825" t="s">
        <v>141</v>
      </c>
      <c r="D7" s="826"/>
      <c r="E7" s="827" t="s">
        <v>142</v>
      </c>
      <c r="F7" s="158"/>
      <c r="G7" s="176"/>
      <c r="J7" s="113"/>
      <c r="Q7" s="3"/>
      <c r="S7" s="700"/>
      <c r="T7" s="700"/>
      <c r="U7" s="700"/>
      <c r="V7" s="700"/>
      <c r="W7" s="700"/>
      <c r="X7" s="700"/>
      <c r="Y7" s="700"/>
      <c r="Z7" s="700"/>
      <c r="AA7" s="700"/>
      <c r="AB7" s="700"/>
    </row>
    <row r="8" spans="2:198" ht="30" customHeight="1">
      <c r="B8" s="848" t="s">
        <v>84</v>
      </c>
      <c r="C8" s="849" t="s">
        <v>143</v>
      </c>
      <c r="D8" s="205"/>
      <c r="E8" s="850" t="s">
        <v>144</v>
      </c>
      <c r="F8" s="227" t="s">
        <v>145</v>
      </c>
      <c r="G8" s="850" t="s">
        <v>146</v>
      </c>
      <c r="H8" s="228"/>
      <c r="I8" s="850" t="s">
        <v>147</v>
      </c>
      <c r="J8" s="227" t="s">
        <v>145</v>
      </c>
      <c r="K8" s="850" t="s">
        <v>148</v>
      </c>
      <c r="M8" s="400" t="s">
        <v>149</v>
      </c>
      <c r="N8" s="400" t="s">
        <v>150</v>
      </c>
      <c r="O8" s="864" t="s">
        <v>151</v>
      </c>
      <c r="Y8" s="112"/>
      <c r="Z8" s="112"/>
      <c r="AA8" s="112"/>
      <c r="AB8" s="112"/>
      <c r="AC8" s="112"/>
      <c r="AD8" s="112"/>
      <c r="AE8" s="112"/>
      <c r="AF8" s="112"/>
      <c r="AG8" s="112"/>
      <c r="AH8" s="112"/>
      <c r="AI8" s="112"/>
      <c r="AJ8" s="112"/>
      <c r="AK8" s="112"/>
      <c r="AL8" s="112"/>
      <c r="AM8" s="112"/>
      <c r="AN8" s="112"/>
      <c r="AO8" s="112"/>
      <c r="AP8" s="112"/>
      <c r="AQ8" s="112"/>
      <c r="AR8" s="112"/>
      <c r="AS8" s="112"/>
      <c r="AT8" s="112"/>
      <c r="AU8" s="112"/>
      <c r="AV8" s="112"/>
      <c r="AW8" s="112"/>
      <c r="AX8" s="112"/>
      <c r="AY8" s="112"/>
      <c r="AZ8" s="112"/>
      <c r="BA8" s="112"/>
      <c r="BB8" s="112"/>
      <c r="BC8" s="112"/>
      <c r="BD8" s="112"/>
      <c r="BE8" s="112"/>
      <c r="BF8" s="112"/>
      <c r="BG8" s="112"/>
      <c r="BH8" s="112"/>
      <c r="BI8" s="112"/>
      <c r="BJ8" s="112"/>
      <c r="BK8" s="112"/>
      <c r="BL8" s="112"/>
      <c r="BM8" s="112"/>
      <c r="BN8" s="112"/>
      <c r="BO8" s="112"/>
      <c r="BP8" s="112"/>
      <c r="BQ8" s="112"/>
      <c r="BR8" s="112"/>
      <c r="BS8" s="112"/>
      <c r="BT8" s="112"/>
      <c r="BU8" s="112"/>
      <c r="BV8" s="112"/>
      <c r="BW8" s="112"/>
      <c r="BX8" s="112"/>
      <c r="BY8" s="112"/>
      <c r="BZ8" s="112"/>
      <c r="CA8" s="112"/>
      <c r="CB8" s="112"/>
      <c r="CC8" s="112"/>
      <c r="CD8" s="112"/>
      <c r="CE8" s="112"/>
      <c r="CF8" s="112"/>
      <c r="CG8" s="112"/>
      <c r="CH8" s="112"/>
      <c r="CI8" s="112"/>
      <c r="CJ8" s="112"/>
      <c r="CK8" s="112"/>
      <c r="CL8" s="112"/>
      <c r="CM8" s="112"/>
      <c r="CN8" s="112"/>
      <c r="CO8" s="112"/>
      <c r="CP8" s="112"/>
      <c r="CQ8" s="112"/>
      <c r="CR8" s="112"/>
      <c r="CS8" s="112"/>
      <c r="CT8" s="112"/>
      <c r="CU8" s="112"/>
      <c r="CV8" s="112"/>
      <c r="CW8" s="112"/>
      <c r="CX8" s="112"/>
      <c r="CY8" s="112"/>
      <c r="CZ8" s="112"/>
      <c r="DA8" s="112"/>
      <c r="DB8" s="112"/>
      <c r="DC8" s="112"/>
      <c r="DD8" s="112"/>
      <c r="DE8" s="112"/>
      <c r="DF8" s="112"/>
      <c r="DG8" s="112"/>
      <c r="DH8" s="112"/>
      <c r="DI8" s="112"/>
      <c r="DJ8" s="112"/>
      <c r="DK8" s="112"/>
      <c r="DL8" s="112"/>
      <c r="DM8" s="112"/>
      <c r="DN8" s="112"/>
      <c r="DO8" s="112"/>
      <c r="DP8" s="112"/>
      <c r="DQ8" s="112"/>
      <c r="DR8" s="112"/>
      <c r="DS8" s="112"/>
      <c r="DT8" s="112"/>
      <c r="DU8" s="112"/>
      <c r="DV8" s="112"/>
      <c r="DW8" s="112"/>
      <c r="DX8" s="112"/>
      <c r="DY8" s="112"/>
      <c r="DZ8" s="112"/>
      <c r="EA8" s="112"/>
      <c r="EB8" s="112"/>
      <c r="EC8" s="112"/>
      <c r="ED8" s="112"/>
      <c r="EE8" s="112"/>
      <c r="EF8" s="112"/>
      <c r="EG8" s="112"/>
      <c r="EH8" s="112"/>
      <c r="EI8" s="112"/>
      <c r="EJ8" s="112"/>
      <c r="EK8" s="112"/>
      <c r="EL8" s="112"/>
      <c r="EM8" s="112"/>
      <c r="EN8" s="112"/>
      <c r="EO8" s="112"/>
      <c r="EP8" s="112"/>
      <c r="EQ8" s="112"/>
      <c r="ER8" s="112"/>
      <c r="ES8" s="112"/>
      <c r="ET8" s="112"/>
      <c r="EU8" s="112"/>
      <c r="EV8" s="112"/>
      <c r="EW8" s="112"/>
      <c r="EX8" s="112"/>
      <c r="EY8" s="112"/>
      <c r="EZ8" s="112"/>
      <c r="FA8" s="112"/>
      <c r="FB8" s="112"/>
      <c r="FC8" s="112"/>
      <c r="FD8" s="112"/>
      <c r="FE8" s="112"/>
      <c r="FF8" s="112"/>
      <c r="FG8" s="112"/>
      <c r="FH8" s="112"/>
      <c r="FI8" s="112"/>
      <c r="FJ8" s="112"/>
      <c r="FK8" s="112"/>
      <c r="FL8" s="112"/>
      <c r="FM8" s="112"/>
      <c r="FN8" s="112"/>
      <c r="FO8" s="112"/>
      <c r="FP8" s="112"/>
      <c r="FQ8" s="112"/>
      <c r="FR8" s="112"/>
      <c r="FS8" s="112"/>
      <c r="FT8" s="112"/>
      <c r="FU8" s="112"/>
      <c r="FV8" s="112"/>
      <c r="FW8" s="112"/>
      <c r="FX8" s="112"/>
      <c r="FY8" s="112"/>
      <c r="FZ8" s="112"/>
      <c r="GA8" s="112"/>
      <c r="GB8" s="112"/>
      <c r="GC8" s="112"/>
      <c r="GD8" s="112"/>
      <c r="GE8" s="112"/>
      <c r="GF8" s="112"/>
      <c r="GG8" s="112"/>
      <c r="GH8" s="112"/>
      <c r="GI8" s="112"/>
      <c r="GJ8" s="112"/>
      <c r="GK8" s="112"/>
      <c r="GL8" s="112"/>
      <c r="GM8" s="112"/>
      <c r="GN8" s="112"/>
      <c r="GO8" s="112"/>
      <c r="GP8" s="112"/>
    </row>
    <row r="9" spans="2:198">
      <c r="B9" s="848"/>
      <c r="C9" s="849"/>
      <c r="D9" s="205"/>
      <c r="E9" s="850"/>
      <c r="F9" s="126">
        <f>G108-E19</f>
        <v>160</v>
      </c>
      <c r="G9" s="850"/>
      <c r="H9" s="228"/>
      <c r="I9" s="850"/>
      <c r="J9" s="126">
        <f>K108-I19</f>
        <v>240</v>
      </c>
      <c r="K9" s="850"/>
      <c r="M9" s="351">
        <f>AVERAGE(M11,M18,M32,M42,M58,M67,M74,M81,M88,M98,M110,M117)</f>
        <v>0.88194444444444453</v>
      </c>
      <c r="N9" s="351">
        <f ca="1">AVERAGE(N11,N18,N32,N42,N58,N67,N74,N81,N88,N98,N110,N117)</f>
        <v>0.93781746031746038</v>
      </c>
      <c r="O9" s="865"/>
      <c r="Y9" s="112"/>
      <c r="Z9" s="112"/>
      <c r="AA9" s="112"/>
      <c r="AB9" s="112"/>
      <c r="AC9" s="112"/>
      <c r="AD9" s="112"/>
      <c r="AE9" s="112"/>
      <c r="AF9" s="112"/>
      <c r="AG9" s="112"/>
      <c r="AH9" s="112"/>
      <c r="AI9" s="112"/>
      <c r="AJ9" s="112"/>
      <c r="AK9" s="112"/>
      <c r="AL9" s="112"/>
      <c r="AM9" s="112"/>
      <c r="AN9" s="112"/>
      <c r="AO9" s="112"/>
      <c r="AP9" s="112"/>
      <c r="AQ9" s="112"/>
      <c r="AR9" s="112"/>
      <c r="AS9" s="112"/>
      <c r="AT9" s="112"/>
      <c r="AU9" s="112"/>
      <c r="AV9" s="112"/>
      <c r="AW9" s="112"/>
      <c r="AX9" s="112"/>
      <c r="AY9" s="112"/>
      <c r="AZ9" s="112"/>
      <c r="BA9" s="112"/>
      <c r="BB9" s="112"/>
      <c r="BC9" s="112"/>
      <c r="BD9" s="112"/>
      <c r="BE9" s="112"/>
      <c r="BF9" s="112"/>
      <c r="BG9" s="112"/>
      <c r="BH9" s="112"/>
      <c r="BI9" s="112"/>
      <c r="BJ9" s="112"/>
      <c r="BK9" s="112"/>
      <c r="BL9" s="112"/>
      <c r="BM9" s="112"/>
      <c r="BN9" s="112"/>
      <c r="BO9" s="112"/>
      <c r="BP9" s="112"/>
      <c r="BQ9" s="112"/>
      <c r="BR9" s="112"/>
      <c r="BS9" s="112"/>
      <c r="BT9" s="112"/>
      <c r="BU9" s="112"/>
      <c r="BV9" s="112"/>
      <c r="BW9" s="112"/>
      <c r="BX9" s="112"/>
      <c r="BY9" s="112"/>
      <c r="BZ9" s="112"/>
      <c r="CA9" s="112"/>
      <c r="CB9" s="112"/>
      <c r="CC9" s="112"/>
      <c r="CD9" s="112"/>
      <c r="CE9" s="112"/>
      <c r="CF9" s="112"/>
      <c r="CG9" s="112"/>
      <c r="CH9" s="112"/>
      <c r="CI9" s="112"/>
      <c r="CJ9" s="112"/>
      <c r="CK9" s="112"/>
      <c r="CL9" s="112"/>
      <c r="CM9" s="112"/>
      <c r="CN9" s="112"/>
      <c r="CO9" s="112"/>
      <c r="CP9" s="112"/>
      <c r="CQ9" s="112"/>
      <c r="CR9" s="112"/>
      <c r="CS9" s="112"/>
      <c r="CT9" s="112"/>
      <c r="CU9" s="112"/>
      <c r="CV9" s="112"/>
      <c r="CW9" s="112"/>
      <c r="CX9" s="112"/>
      <c r="CY9" s="112"/>
      <c r="CZ9" s="112"/>
      <c r="DA9" s="112"/>
      <c r="DB9" s="112"/>
      <c r="DC9" s="112"/>
      <c r="DD9" s="112"/>
      <c r="DE9" s="112"/>
      <c r="DF9" s="112"/>
      <c r="DG9" s="112"/>
      <c r="DH9" s="112"/>
      <c r="DI9" s="112"/>
      <c r="DJ9" s="112"/>
      <c r="DK9" s="112"/>
      <c r="DL9" s="112"/>
      <c r="DM9" s="112"/>
      <c r="DN9" s="112"/>
      <c r="DO9" s="112"/>
      <c r="DP9" s="112"/>
      <c r="DQ9" s="112"/>
      <c r="DR9" s="112"/>
      <c r="DS9" s="112"/>
      <c r="DT9" s="112"/>
      <c r="DU9" s="112"/>
      <c r="DV9" s="112"/>
      <c r="DW9" s="112"/>
      <c r="DX9" s="112"/>
      <c r="DY9" s="112"/>
      <c r="DZ9" s="112"/>
      <c r="EA9" s="112"/>
      <c r="EB9" s="112"/>
      <c r="EC9" s="112"/>
      <c r="ED9" s="112"/>
      <c r="EE9" s="112"/>
      <c r="EF9" s="112"/>
      <c r="EG9" s="112"/>
      <c r="EH9" s="112"/>
      <c r="EI9" s="112"/>
      <c r="EJ9" s="112"/>
      <c r="EK9" s="112"/>
      <c r="EL9" s="112"/>
      <c r="EM9" s="112"/>
      <c r="EN9" s="112"/>
      <c r="EO9" s="112"/>
      <c r="EP9" s="112"/>
      <c r="EQ9" s="112"/>
      <c r="ER9" s="112"/>
      <c r="ES9" s="112"/>
      <c r="ET9" s="112"/>
      <c r="EU9" s="112"/>
      <c r="EV9" s="112"/>
      <c r="EW9" s="112"/>
      <c r="EX9" s="112"/>
      <c r="EY9" s="112"/>
      <c r="EZ9" s="112"/>
      <c r="FA9" s="112"/>
      <c r="FB9" s="112"/>
      <c r="FC9" s="112"/>
      <c r="FD9" s="112"/>
      <c r="FE9" s="112"/>
      <c r="FF9" s="112"/>
      <c r="FG9" s="112"/>
      <c r="FH9" s="112"/>
      <c r="FI9" s="112"/>
      <c r="FJ9" s="112"/>
      <c r="FK9" s="112"/>
      <c r="FL9" s="112"/>
      <c r="FM9" s="112"/>
      <c r="FN9" s="112"/>
      <c r="FO9" s="112"/>
      <c r="FP9" s="112"/>
      <c r="FQ9" s="112"/>
      <c r="FR9" s="112"/>
      <c r="FS9" s="112"/>
      <c r="FT9" s="112"/>
      <c r="FU9" s="112"/>
      <c r="FV9" s="112"/>
      <c r="FW9" s="112"/>
      <c r="FX9" s="112"/>
      <c r="FY9" s="112"/>
      <c r="FZ9" s="112"/>
      <c r="GA9" s="112"/>
      <c r="GB9" s="112"/>
      <c r="GC9" s="112"/>
      <c r="GD9" s="112"/>
      <c r="GE9" s="112"/>
      <c r="GF9" s="112"/>
      <c r="GG9" s="112"/>
      <c r="GH9" s="112"/>
      <c r="GI9" s="112"/>
      <c r="GJ9" s="112"/>
      <c r="GK9" s="112"/>
      <c r="GL9" s="112"/>
      <c r="GM9" s="112"/>
      <c r="GN9" s="112"/>
      <c r="GO9" s="112"/>
      <c r="GP9" s="112"/>
    </row>
    <row r="10" spans="2:198" s="112" customFormat="1" ht="4.5" customHeight="1">
      <c r="B10" s="229"/>
      <c r="C10" s="205"/>
      <c r="D10" s="205"/>
      <c r="E10" s="230"/>
      <c r="F10" s="230"/>
      <c r="G10" s="231"/>
      <c r="H10" s="228"/>
      <c r="I10" s="232"/>
      <c r="J10" s="232"/>
      <c r="K10" s="233"/>
      <c r="N10" s="168"/>
      <c r="Q10" s="3"/>
    </row>
    <row r="11" spans="2:198" s="114" customFormat="1">
      <c r="B11" s="234">
        <v>1</v>
      </c>
      <c r="C11" s="235" t="s">
        <v>152</v>
      </c>
      <c r="D11" s="209"/>
      <c r="E11" s="236">
        <f>MIN(E12:E16)</f>
        <v>45796</v>
      </c>
      <c r="F11" s="237">
        <f>G11-E11</f>
        <v>74</v>
      </c>
      <c r="G11" s="236">
        <f>MAX(G12:G16)</f>
        <v>45870</v>
      </c>
      <c r="H11" s="210"/>
      <c r="I11" s="236">
        <f>MIN(I12:I16)</f>
        <v>45796</v>
      </c>
      <c r="J11" s="237">
        <f>K11-I11</f>
        <v>74</v>
      </c>
      <c r="K11" s="236">
        <f>MAX(K12:K16)</f>
        <v>45870</v>
      </c>
      <c r="M11" s="350">
        <f>AVERAGE(M12:M16)</f>
        <v>1</v>
      </c>
      <c r="N11" s="350">
        <f ca="1">AVERAGE(N12:N16)</f>
        <v>1</v>
      </c>
      <c r="O11" s="119"/>
      <c r="P11" s="112"/>
      <c r="Q11" s="120"/>
    </row>
    <row r="12" spans="2:198" s="112" customFormat="1" ht="14.25" customHeight="1">
      <c r="B12" s="238">
        <f>B11+0.1</f>
        <v>1.1000000000000001</v>
      </c>
      <c r="C12" s="239" t="s">
        <v>153</v>
      </c>
      <c r="D12" s="205"/>
      <c r="E12" s="240">
        <v>45796</v>
      </c>
      <c r="F12" s="241">
        <v>1</v>
      </c>
      <c r="G12" s="240">
        <f>WORKDAY.INTL(E12,F12,1,Data!$C$3:$C$41)</f>
        <v>45797</v>
      </c>
      <c r="H12" s="228"/>
      <c r="I12" s="240">
        <v>45796</v>
      </c>
      <c r="J12" s="241">
        <v>1</v>
      </c>
      <c r="K12" s="240">
        <f>WORKDAY.INTL(I12,J12,1,Data!$C$3:$C$41)</f>
        <v>45797</v>
      </c>
      <c r="M12" s="243">
        <v>1</v>
      </c>
      <c r="N12" s="243">
        <f ca="1">_xlfn.LET(
  _xlpm.s,VALUE(I12),
  _xlpm.e,VALUE(K12),
  IF(OR(_xlpm.s="",_xlpm.e=""),"", IF(_xlpm.e&lt;=_xlpm.s, IF(TODAY()&gt;=_xlpm.e,1,0), MAX(0,MIN(1,(TODAY()-_xlpm.s)/(_xlpm.e-_xlpm.s)))))
)</f>
        <v>1</v>
      </c>
      <c r="O12" s="122"/>
      <c r="Q12" s="3"/>
      <c r="S12" s="114"/>
      <c r="T12" s="114"/>
      <c r="U12" s="114"/>
      <c r="V12" s="114"/>
      <c r="W12" s="114"/>
      <c r="X12" s="114"/>
      <c r="Y12" s="114"/>
      <c r="Z12" s="114"/>
      <c r="AA12" s="114"/>
      <c r="AB12" s="114"/>
    </row>
    <row r="13" spans="2:198" s="112" customFormat="1" ht="14.25" customHeight="1">
      <c r="B13" s="238">
        <f t="shared" ref="B13:B16" si="0">B12+0.1</f>
        <v>1.2000000000000002</v>
      </c>
      <c r="C13" s="239" t="s">
        <v>154</v>
      </c>
      <c r="D13" s="205"/>
      <c r="E13" s="240">
        <f>WORKDAY.INTL(E19,0,1,Data!$C$3:$C$41)-7</f>
        <v>45808</v>
      </c>
      <c r="F13" s="241">
        <v>1</v>
      </c>
      <c r="G13" s="240">
        <f>WORKDAY.INTL(E13,F13,1,Data!$C$3:$C$41)</f>
        <v>45810</v>
      </c>
      <c r="H13" s="228"/>
      <c r="I13" s="240">
        <f>WORKDAY.INTL(I19,0,1,Data!$C$3:$C$41)-7</f>
        <v>45808</v>
      </c>
      <c r="J13" s="241">
        <v>1</v>
      </c>
      <c r="K13" s="240">
        <f>WORKDAY.INTL(I13,J13,1,Data!$C$3:$C$41)</f>
        <v>45810</v>
      </c>
      <c r="M13" s="243">
        <v>1</v>
      </c>
      <c r="N13" s="243">
        <f ca="1">_xlfn.LET(
  _xlpm.s,VALUE(I13),
  _xlpm.e,VALUE(K13),
  IF(OR(_xlpm.s="",_xlpm.e=""),"", IF(_xlpm.e&lt;=_xlpm.s, IF(TODAY()&gt;=_xlpm.e,1,0), MAX(0,MIN(1,(TODAY()-_xlpm.s)/(_xlpm.e-_xlpm.s)))))
)</f>
        <v>1</v>
      </c>
      <c r="O13" s="122"/>
      <c r="Q13" s="3"/>
      <c r="S13" s="114"/>
      <c r="T13" s="114"/>
      <c r="U13" s="114"/>
      <c r="V13" s="114"/>
      <c r="W13" s="114"/>
      <c r="X13" s="114"/>
      <c r="Y13" s="114"/>
      <c r="Z13" s="114"/>
      <c r="AA13" s="114"/>
      <c r="AB13" s="114"/>
    </row>
    <row r="14" spans="2:198" s="112" customFormat="1" ht="14.25" customHeight="1">
      <c r="B14" s="238">
        <f t="shared" si="0"/>
        <v>1.3000000000000003</v>
      </c>
      <c r="C14" s="239" t="s">
        <v>155</v>
      </c>
      <c r="D14" s="205"/>
      <c r="E14" s="240">
        <f>E12</f>
        <v>45796</v>
      </c>
      <c r="F14" s="241">
        <v>1</v>
      </c>
      <c r="G14" s="240">
        <f>WORKDAY.INTL(E14,F14,1,Data!$C$3:$C$41)</f>
        <v>45797</v>
      </c>
      <c r="H14" s="228"/>
      <c r="I14" s="240">
        <f>I12</f>
        <v>45796</v>
      </c>
      <c r="J14" s="241">
        <v>1</v>
      </c>
      <c r="K14" s="240">
        <f>WORKDAY.INTL(I14,J14,1,Data!$C$3:$C$41)</f>
        <v>45797</v>
      </c>
      <c r="M14" s="243">
        <v>1</v>
      </c>
      <c r="N14" s="243">
        <f ca="1">_xlfn.LET(
  _xlpm.s,VALUE(I14),
  _xlpm.e,VALUE(K14),
  IF(OR(_xlpm.s="",_xlpm.e=""),"", IF(_xlpm.e&lt;=_xlpm.s, IF(TODAY()&gt;=_xlpm.e,1,0), MAX(0,MIN(1,(TODAY()-_xlpm.s)/(_xlpm.e-_xlpm.s)))))
)</f>
        <v>1</v>
      </c>
      <c r="O14" s="122"/>
      <c r="Q14" s="3"/>
      <c r="S14" s="114"/>
      <c r="T14" s="114"/>
      <c r="U14" s="114"/>
      <c r="V14" s="114"/>
      <c r="W14" s="114"/>
      <c r="X14" s="114"/>
      <c r="Y14" s="114"/>
      <c r="Z14" s="114"/>
      <c r="AA14" s="114"/>
      <c r="AB14" s="114"/>
    </row>
    <row r="15" spans="2:198" s="112" customFormat="1" ht="14.25" customHeight="1">
      <c r="B15" s="238">
        <f t="shared" si="0"/>
        <v>1.4000000000000004</v>
      </c>
      <c r="C15" s="239" t="s">
        <v>156</v>
      </c>
      <c r="D15" s="205"/>
      <c r="E15" s="240">
        <v>45867</v>
      </c>
      <c r="F15" s="241">
        <v>1</v>
      </c>
      <c r="G15" s="240">
        <f>WORKDAY.INTL(E15,F15,1,Data!$C$3:$C$41)</f>
        <v>45868</v>
      </c>
      <c r="H15" s="228"/>
      <c r="I15" s="240">
        <v>45867</v>
      </c>
      <c r="J15" s="241">
        <v>1</v>
      </c>
      <c r="K15" s="240">
        <f>WORKDAY.INTL(I15,J15,1,Data!$C$3:$C$41)</f>
        <v>45868</v>
      </c>
      <c r="M15" s="243">
        <v>1</v>
      </c>
      <c r="N15" s="243">
        <f ca="1">_xlfn.LET(
  _xlpm.s,VALUE(I15),
  _xlpm.e,VALUE(K15),
  IF(OR(_xlpm.s="",_xlpm.e=""),"", IF(_xlpm.e&lt;=_xlpm.s, IF(TODAY()&gt;=_xlpm.e,1,0), MAX(0,MIN(1,(TODAY()-_xlpm.s)/(_xlpm.e-_xlpm.s)))))
)</f>
        <v>1</v>
      </c>
      <c r="O15" s="122"/>
      <c r="Q15" s="3"/>
      <c r="S15" s="114"/>
      <c r="T15" s="114"/>
      <c r="U15" s="114"/>
      <c r="V15" s="114"/>
      <c r="W15" s="114"/>
      <c r="X15" s="114"/>
      <c r="Y15" s="695">
        <v>0</v>
      </c>
      <c r="Z15" s="114"/>
      <c r="AA15" s="114"/>
      <c r="AB15" s="114"/>
    </row>
    <row r="16" spans="2:198" s="112" customFormat="1" ht="14.25" customHeight="1">
      <c r="B16" s="238">
        <f t="shared" si="0"/>
        <v>1.5000000000000004</v>
      </c>
      <c r="C16" s="239" t="s">
        <v>157</v>
      </c>
      <c r="D16" s="205"/>
      <c r="E16" s="240">
        <v>45870</v>
      </c>
      <c r="F16" s="241">
        <v>0</v>
      </c>
      <c r="G16" s="240">
        <f>WORKDAY.INTL(E16,F16,1,Data!$C$3:$C$41)</f>
        <v>45870</v>
      </c>
      <c r="H16" s="228"/>
      <c r="I16" s="240">
        <v>45870</v>
      </c>
      <c r="J16" s="241">
        <v>0</v>
      </c>
      <c r="K16" s="240">
        <f>WORKDAY.INTL(I16,J16,1,Data!$C$3:$C$41)</f>
        <v>45870</v>
      </c>
      <c r="M16" s="243">
        <v>1</v>
      </c>
      <c r="N16" s="243">
        <f ca="1">_xlfn.LET(
  _xlpm.s,VALUE(I16),
  _xlpm.e,VALUE(K16),
  IF(OR(_xlpm.s="",_xlpm.e=""),"", IF(_xlpm.e&lt;=_xlpm.s, IF(TODAY()&gt;=_xlpm.e,1,0), MAX(0,MIN(1,(TODAY()-_xlpm.s)/(_xlpm.e-_xlpm.s)))))
)</f>
        <v>1</v>
      </c>
      <c r="O16" s="122"/>
      <c r="Q16" s="3"/>
      <c r="S16" s="114"/>
      <c r="T16" s="114"/>
      <c r="U16" s="114"/>
      <c r="V16" s="114"/>
      <c r="W16" s="114"/>
      <c r="X16" s="114"/>
      <c r="Y16" s="695">
        <v>1</v>
      </c>
      <c r="Z16" s="114"/>
      <c r="AA16" s="114"/>
      <c r="AB16" s="114"/>
    </row>
    <row r="17" spans="2:198" s="112" customFormat="1" ht="4.5" customHeight="1">
      <c r="B17" s="229"/>
      <c r="C17" s="205"/>
      <c r="D17" s="205"/>
      <c r="E17" s="230"/>
      <c r="F17" s="230"/>
      <c r="G17" s="231"/>
      <c r="H17" s="228"/>
      <c r="I17" s="230"/>
      <c r="J17" s="230"/>
      <c r="K17" s="231"/>
      <c r="N17" s="168"/>
      <c r="Q17" s="3"/>
    </row>
    <row r="18" spans="2:198" s="114" customFormat="1">
      <c r="B18" s="234">
        <v>2</v>
      </c>
      <c r="C18" s="235" t="s">
        <v>158</v>
      </c>
      <c r="D18" s="209"/>
      <c r="E18" s="236">
        <f>MIN(E19:E31)</f>
        <v>45815</v>
      </c>
      <c r="F18" s="237">
        <f>G18-E18</f>
        <v>6</v>
      </c>
      <c r="G18" s="236">
        <f>MAX(G19)</f>
        <v>45821</v>
      </c>
      <c r="H18" s="210"/>
      <c r="I18" s="236">
        <f>MIN(I19:I31)</f>
        <v>45815</v>
      </c>
      <c r="J18" s="237">
        <f>K18-I18</f>
        <v>95</v>
      </c>
      <c r="K18" s="236">
        <f>MAX(K19:K30)</f>
        <v>45910</v>
      </c>
      <c r="M18" s="350">
        <f>AVERAGE(M19:M30)</f>
        <v>1</v>
      </c>
      <c r="N18" s="350">
        <f ca="1">AVERAGE(N19:N30)</f>
        <v>1</v>
      </c>
      <c r="O18" s="119"/>
      <c r="P18" s="112"/>
      <c r="Q18" s="123"/>
      <c r="R18" s="118"/>
      <c r="S18" s="474" t="s">
        <v>159</v>
      </c>
      <c r="T18" s="698" t="s">
        <v>73</v>
      </c>
      <c r="U18" s="698" t="s">
        <v>160</v>
      </c>
      <c r="V18" s="698" t="s">
        <v>161</v>
      </c>
      <c r="W18" s="698" t="s">
        <v>162</v>
      </c>
      <c r="X18" s="698" t="s">
        <v>163</v>
      </c>
      <c r="Y18" s="852" t="s">
        <v>164</v>
      </c>
      <c r="Z18" s="853"/>
      <c r="AA18" s="853"/>
      <c r="AB18" s="854"/>
      <c r="AC18" s="118"/>
      <c r="AD18" s="118"/>
      <c r="AE18" s="118"/>
      <c r="AF18" s="118"/>
      <c r="AG18" s="118"/>
      <c r="AH18" s="118"/>
      <c r="AI18" s="118"/>
      <c r="AJ18" s="118"/>
      <c r="AK18" s="118"/>
      <c r="AL18" s="118"/>
      <c r="AM18" s="118"/>
      <c r="AN18" s="118"/>
      <c r="AO18" s="118"/>
      <c r="AP18" s="118"/>
      <c r="AQ18" s="118"/>
      <c r="AR18" s="118"/>
      <c r="AS18" s="118"/>
      <c r="AT18" s="118"/>
      <c r="AU18" s="118"/>
      <c r="AV18" s="118"/>
      <c r="AW18" s="118"/>
      <c r="AX18" s="118"/>
      <c r="AY18" s="118"/>
      <c r="AZ18" s="118"/>
      <c r="BA18" s="118"/>
      <c r="BB18" s="118"/>
      <c r="BC18" s="118"/>
      <c r="BD18" s="118"/>
      <c r="BE18" s="118"/>
      <c r="BF18" s="118"/>
      <c r="BG18" s="118"/>
      <c r="BH18" s="118"/>
      <c r="BI18" s="118"/>
      <c r="BJ18" s="118"/>
      <c r="BK18" s="118"/>
      <c r="BL18" s="118"/>
      <c r="BM18" s="118"/>
      <c r="BN18" s="118"/>
      <c r="BO18" s="118"/>
      <c r="BP18" s="118"/>
      <c r="BQ18" s="118"/>
      <c r="BR18" s="118"/>
      <c r="BS18" s="118"/>
      <c r="BT18" s="118"/>
      <c r="BU18" s="118"/>
      <c r="BV18" s="118"/>
      <c r="BW18" s="118"/>
      <c r="BX18" s="118"/>
      <c r="BY18" s="118"/>
      <c r="BZ18" s="118"/>
      <c r="CA18" s="118"/>
      <c r="CB18" s="118"/>
      <c r="CC18" s="118"/>
      <c r="CD18" s="118"/>
      <c r="CE18" s="118"/>
      <c r="CF18" s="118"/>
      <c r="CG18" s="118"/>
      <c r="CH18" s="118"/>
      <c r="CI18" s="118"/>
      <c r="CJ18" s="118"/>
      <c r="CK18" s="118"/>
      <c r="CL18" s="118"/>
      <c r="CM18" s="118"/>
      <c r="CN18" s="118"/>
      <c r="CO18" s="118"/>
      <c r="CP18" s="118"/>
      <c r="CQ18" s="118"/>
      <c r="CR18" s="118"/>
      <c r="CS18" s="118"/>
      <c r="CT18" s="118"/>
      <c r="CU18" s="118"/>
      <c r="CV18" s="118"/>
      <c r="CW18" s="118"/>
      <c r="CX18" s="118"/>
      <c r="CY18" s="118"/>
      <c r="CZ18" s="118"/>
      <c r="DA18" s="118"/>
      <c r="DB18" s="118"/>
      <c r="DC18" s="118"/>
      <c r="DD18" s="118"/>
      <c r="DE18" s="118"/>
      <c r="DF18" s="118"/>
      <c r="DG18" s="118"/>
      <c r="DH18" s="118"/>
      <c r="DI18" s="118"/>
      <c r="DJ18" s="118"/>
      <c r="DK18" s="118"/>
      <c r="DL18" s="118"/>
      <c r="DM18" s="118"/>
      <c r="DN18" s="118"/>
      <c r="DO18" s="118"/>
      <c r="DP18" s="118"/>
      <c r="DQ18" s="118"/>
      <c r="DR18" s="118"/>
      <c r="DS18" s="118"/>
      <c r="DT18" s="118"/>
      <c r="DU18" s="118"/>
      <c r="DV18" s="118"/>
      <c r="DW18" s="118"/>
      <c r="DX18" s="118"/>
      <c r="DY18" s="118"/>
      <c r="DZ18" s="118"/>
      <c r="EA18" s="118"/>
      <c r="EB18" s="118"/>
      <c r="EC18" s="118"/>
      <c r="ED18" s="118"/>
      <c r="EE18" s="118"/>
      <c r="EF18" s="118"/>
      <c r="EG18" s="118"/>
      <c r="EH18" s="118"/>
      <c r="EI18" s="118"/>
      <c r="EJ18" s="118"/>
      <c r="EK18" s="118"/>
      <c r="EL18" s="118"/>
      <c r="EM18" s="118"/>
      <c r="EN18" s="118"/>
      <c r="EO18" s="118"/>
      <c r="EP18" s="118"/>
      <c r="EQ18" s="118"/>
      <c r="ER18" s="118"/>
      <c r="ES18" s="118"/>
      <c r="ET18" s="118"/>
      <c r="EU18" s="118"/>
      <c r="EV18" s="118"/>
      <c r="EW18" s="118"/>
      <c r="EX18" s="118"/>
      <c r="EY18" s="118"/>
      <c r="EZ18" s="118"/>
      <c r="FA18" s="118"/>
      <c r="FB18" s="118"/>
      <c r="FC18" s="118"/>
      <c r="FD18" s="118"/>
      <c r="FE18" s="118"/>
      <c r="FF18" s="118"/>
      <c r="FG18" s="118"/>
      <c r="FH18" s="118"/>
      <c r="FI18" s="118"/>
      <c r="FJ18" s="118"/>
      <c r="FK18" s="118"/>
      <c r="FL18" s="118"/>
      <c r="FM18" s="118"/>
      <c r="FN18" s="118"/>
      <c r="FO18" s="118"/>
      <c r="FP18" s="118"/>
      <c r="FQ18" s="118"/>
      <c r="FR18" s="118"/>
      <c r="FS18" s="118"/>
      <c r="FT18" s="118"/>
      <c r="FU18" s="118"/>
      <c r="FV18" s="118"/>
      <c r="FW18" s="118"/>
      <c r="FX18" s="118"/>
      <c r="FY18" s="118"/>
      <c r="FZ18" s="118"/>
      <c r="GA18" s="118"/>
      <c r="GB18" s="118"/>
      <c r="GC18" s="118"/>
      <c r="GD18" s="118"/>
      <c r="GE18" s="118"/>
      <c r="GF18" s="118"/>
      <c r="GG18" s="118"/>
      <c r="GH18" s="118"/>
      <c r="GI18" s="118"/>
      <c r="GJ18" s="118"/>
      <c r="GK18" s="118"/>
      <c r="GL18" s="118"/>
      <c r="GM18" s="118"/>
      <c r="GN18" s="118"/>
      <c r="GO18" s="118"/>
      <c r="GP18" s="118"/>
    </row>
    <row r="19" spans="2:198" s="112" customFormat="1" ht="14.25" customHeight="1">
      <c r="B19" s="238">
        <f>B18+0.1</f>
        <v>2.1</v>
      </c>
      <c r="C19" s="239" t="s">
        <v>165</v>
      </c>
      <c r="D19" s="205"/>
      <c r="E19" s="633">
        <v>45815</v>
      </c>
      <c r="F19" s="241">
        <v>5</v>
      </c>
      <c r="G19" s="240">
        <f>WORKDAY.INTL(E19,F19,1,Data!$C$3:$C$41)</f>
        <v>45821</v>
      </c>
      <c r="H19" s="228"/>
      <c r="I19" s="633">
        <v>45815</v>
      </c>
      <c r="J19" s="241">
        <v>5</v>
      </c>
      <c r="K19" s="240">
        <f>WORKDAY.INTL(I19,J19,1,Data!$C$3:$C$41)</f>
        <v>45821</v>
      </c>
      <c r="M19" s="243">
        <v>1</v>
      </c>
      <c r="N19" s="243">
        <f t="shared" ref="N19:N30" ca="1" si="1">_xlfn.LET(
  _xlpm.s,VALUE(I19),
  _xlpm.e,VALUE(K19),
  IF(OR(_xlpm.s="",_xlpm.e=""),"", IF(_xlpm.e&lt;=_xlpm.s, IF(TODAY()&gt;=_xlpm.e,1,0), MAX(0,MIN(1,(TODAY()-_xlpm.s)/(_xlpm.e-_xlpm.s)))))
)</f>
        <v>1</v>
      </c>
      <c r="O19" s="122"/>
      <c r="Q19" s="124"/>
      <c r="R19" s="121"/>
      <c r="S19" s="691" t="str">
        <f>C32</f>
        <v>Procurement &amp; Contracting</v>
      </c>
      <c r="T19" s="693">
        <f>I32</f>
        <v>45796</v>
      </c>
      <c r="U19" s="692">
        <f>J32</f>
        <v>193</v>
      </c>
      <c r="V19" s="692">
        <f>F32</f>
        <v>124</v>
      </c>
      <c r="W19" s="693">
        <f>K32</f>
        <v>45989</v>
      </c>
      <c r="X19" s="699">
        <f>M32</f>
        <v>1</v>
      </c>
      <c r="Y19" s="851">
        <f>M9</f>
        <v>0.88194444444444453</v>
      </c>
      <c r="Z19" s="851"/>
      <c r="AA19" s="851"/>
      <c r="AB19" s="851"/>
      <c r="AC19" s="121"/>
      <c r="AD19" s="121"/>
      <c r="AE19" s="121"/>
      <c r="AF19" s="121"/>
      <c r="AG19" s="121"/>
      <c r="AH19" s="121"/>
      <c r="AI19" s="121"/>
      <c r="AJ19" s="121"/>
      <c r="AK19" s="121"/>
      <c r="AL19" s="121"/>
      <c r="AM19" s="121"/>
      <c r="AN19" s="121"/>
      <c r="AO19" s="121"/>
      <c r="AP19" s="121"/>
      <c r="AQ19" s="121"/>
      <c r="AR19" s="121"/>
      <c r="AS19" s="121"/>
      <c r="AT19" s="121"/>
      <c r="AU19" s="121"/>
      <c r="AV19" s="121"/>
      <c r="AW19" s="121"/>
      <c r="AX19" s="121"/>
      <c r="AY19" s="121"/>
      <c r="AZ19" s="121"/>
      <c r="BA19" s="121"/>
      <c r="BB19" s="121"/>
      <c r="BC19" s="121"/>
      <c r="BD19" s="121"/>
      <c r="BE19" s="121"/>
      <c r="BF19" s="121"/>
      <c r="BG19" s="121"/>
      <c r="BH19" s="121"/>
      <c r="BI19" s="121"/>
      <c r="BJ19" s="121"/>
      <c r="BK19" s="121"/>
      <c r="BL19" s="121"/>
      <c r="BM19" s="121"/>
      <c r="BN19" s="121"/>
      <c r="BO19" s="121"/>
      <c r="BP19" s="121"/>
      <c r="BQ19" s="121"/>
      <c r="BR19" s="121"/>
      <c r="BS19" s="121"/>
      <c r="BT19" s="121"/>
      <c r="BU19" s="121"/>
      <c r="BV19" s="121"/>
      <c r="BW19" s="121"/>
      <c r="BX19" s="121"/>
      <c r="BY19" s="121"/>
      <c r="BZ19" s="121"/>
      <c r="CA19" s="121"/>
      <c r="CB19" s="121"/>
      <c r="CC19" s="121"/>
      <c r="CD19" s="121"/>
      <c r="CE19" s="121"/>
      <c r="CF19" s="121"/>
      <c r="CG19" s="121"/>
      <c r="CH19" s="121"/>
      <c r="CI19" s="121"/>
      <c r="CJ19" s="121"/>
      <c r="CK19" s="121"/>
      <c r="CL19" s="121"/>
      <c r="CM19" s="121"/>
      <c r="CN19" s="121"/>
      <c r="CO19" s="121"/>
      <c r="CP19" s="121"/>
      <c r="CQ19" s="121"/>
      <c r="CR19" s="121"/>
      <c r="CS19" s="121"/>
      <c r="CT19" s="121"/>
      <c r="CU19" s="121"/>
      <c r="CV19" s="121"/>
      <c r="CW19" s="121"/>
      <c r="CX19" s="121"/>
      <c r="CY19" s="121"/>
      <c r="CZ19" s="121"/>
      <c r="DA19" s="121"/>
      <c r="DB19" s="121"/>
      <c r="DC19" s="121"/>
      <c r="DD19" s="121"/>
      <c r="DE19" s="121"/>
      <c r="DF19" s="121"/>
      <c r="DG19" s="121"/>
      <c r="DH19" s="121"/>
      <c r="DI19" s="121"/>
      <c r="DJ19" s="121"/>
      <c r="DK19" s="121"/>
      <c r="DL19" s="121"/>
      <c r="DM19" s="121"/>
      <c r="DN19" s="121"/>
      <c r="DO19" s="121"/>
      <c r="DP19" s="121"/>
      <c r="DQ19" s="121"/>
      <c r="DR19" s="121"/>
      <c r="DS19" s="121"/>
      <c r="DT19" s="121"/>
      <c r="DU19" s="121"/>
      <c r="DV19" s="121"/>
      <c r="DW19" s="121"/>
      <c r="DX19" s="121"/>
      <c r="DY19" s="121"/>
      <c r="DZ19" s="121"/>
      <c r="EA19" s="121"/>
      <c r="EB19" s="121"/>
      <c r="EC19" s="121"/>
      <c r="ED19" s="121"/>
      <c r="EE19" s="121"/>
      <c r="EF19" s="121"/>
      <c r="EG19" s="121"/>
      <c r="EH19" s="121"/>
      <c r="EI19" s="121"/>
      <c r="EJ19" s="121"/>
      <c r="EK19" s="121"/>
      <c r="EL19" s="121"/>
      <c r="EM19" s="121"/>
      <c r="EN19" s="121"/>
      <c r="EO19" s="121"/>
      <c r="EP19" s="121"/>
      <c r="EQ19" s="121"/>
      <c r="ER19" s="121"/>
      <c r="ES19" s="121"/>
      <c r="ET19" s="121"/>
      <c r="EU19" s="121"/>
      <c r="EV19" s="121"/>
      <c r="EW19" s="121"/>
      <c r="EX19" s="121"/>
      <c r="EY19" s="121"/>
      <c r="EZ19" s="121"/>
      <c r="FA19" s="121"/>
      <c r="FB19" s="121"/>
      <c r="FC19" s="121"/>
      <c r="FD19" s="121"/>
      <c r="FE19" s="121"/>
      <c r="FF19" s="121"/>
      <c r="FG19" s="121"/>
      <c r="FH19" s="121"/>
      <c r="FI19" s="121"/>
      <c r="FJ19" s="121"/>
      <c r="FK19" s="121"/>
      <c r="FL19" s="121"/>
      <c r="FM19" s="121"/>
      <c r="FN19" s="121"/>
      <c r="FO19" s="121"/>
      <c r="FP19" s="121"/>
      <c r="FQ19" s="121"/>
      <c r="FR19" s="121"/>
      <c r="FS19" s="121"/>
      <c r="FT19" s="121"/>
      <c r="FU19" s="121"/>
      <c r="FV19" s="121"/>
      <c r="FW19" s="121"/>
      <c r="FX19" s="121"/>
      <c r="FY19" s="121"/>
      <c r="FZ19" s="121"/>
      <c r="GA19" s="121"/>
      <c r="GB19" s="121"/>
      <c r="GC19" s="121"/>
      <c r="GD19" s="121"/>
      <c r="GE19" s="121"/>
      <c r="GF19" s="121"/>
      <c r="GG19" s="121"/>
      <c r="GH19" s="121"/>
      <c r="GI19" s="121"/>
      <c r="GJ19" s="121"/>
      <c r="GK19" s="121"/>
      <c r="GL19" s="121"/>
      <c r="GM19" s="121"/>
      <c r="GN19" s="121"/>
      <c r="GO19" s="121"/>
      <c r="GP19" s="121"/>
    </row>
    <row r="20" spans="2:198" s="112" customFormat="1" ht="14.25" customHeight="1">
      <c r="B20" s="238">
        <f t="shared" ref="B20:B27" si="2">B19+0.1</f>
        <v>2.2000000000000002</v>
      </c>
      <c r="C20" s="239" t="s">
        <v>166</v>
      </c>
      <c r="D20" s="205"/>
      <c r="E20" s="240">
        <f>WORKDAY.INTL(G18,0,1,Data!$C$3:$C$41)</f>
        <v>45821</v>
      </c>
      <c r="F20" s="241">
        <v>17</v>
      </c>
      <c r="G20" s="240">
        <f>WORKDAY.INTL(E20,F20,1,Data!$C$3:$C$41)</f>
        <v>45847</v>
      </c>
      <c r="H20" s="228"/>
      <c r="I20" s="240">
        <f>WORKDAY.INTL(K19,0,1,Data!$C$3:$C$41)</f>
        <v>45821</v>
      </c>
      <c r="J20" s="241">
        <v>17</v>
      </c>
      <c r="K20" s="240">
        <f>WORKDAY.INTL(I20,J20,1,Data!$C$3:$C$41)</f>
        <v>45847</v>
      </c>
      <c r="M20" s="243">
        <v>1</v>
      </c>
      <c r="N20" s="243">
        <f t="shared" ca="1" si="1"/>
        <v>1</v>
      </c>
      <c r="O20" s="122"/>
      <c r="Q20" s="124"/>
      <c r="R20" s="121"/>
      <c r="S20" s="691" t="str">
        <f>C42</f>
        <v>Extras &amp; Civil Works</v>
      </c>
      <c r="T20" s="693">
        <f>I42</f>
        <v>45830</v>
      </c>
      <c r="U20" s="692">
        <f>J42</f>
        <v>212</v>
      </c>
      <c r="V20" s="692">
        <f>F42</f>
        <v>71</v>
      </c>
      <c r="W20" s="693">
        <f>K42</f>
        <v>46042</v>
      </c>
      <c r="X20" s="699">
        <f>M42</f>
        <v>1</v>
      </c>
      <c r="Y20" s="851"/>
      <c r="Z20" s="851"/>
      <c r="AA20" s="851"/>
      <c r="AB20" s="851"/>
      <c r="AC20" s="121"/>
      <c r="AD20" s="121"/>
      <c r="AE20" s="121"/>
      <c r="AF20" s="121"/>
      <c r="AG20" s="121"/>
      <c r="AH20" s="121"/>
      <c r="AI20" s="121"/>
      <c r="AJ20" s="121"/>
      <c r="AK20" s="121"/>
      <c r="AL20" s="121"/>
      <c r="AM20" s="121"/>
      <c r="AN20" s="121"/>
      <c r="AO20" s="121"/>
      <c r="AP20" s="121"/>
      <c r="AQ20" s="121"/>
      <c r="AR20" s="121"/>
      <c r="AS20" s="121"/>
      <c r="AT20" s="121"/>
      <c r="AU20" s="121"/>
      <c r="AV20" s="121"/>
      <c r="AW20" s="121"/>
      <c r="AX20" s="121"/>
      <c r="AY20" s="121"/>
      <c r="AZ20" s="121"/>
      <c r="BA20" s="121"/>
      <c r="BB20" s="121"/>
      <c r="BC20" s="121"/>
      <c r="BD20" s="121"/>
      <c r="BE20" s="121"/>
      <c r="BF20" s="121"/>
      <c r="BG20" s="121"/>
      <c r="BH20" s="121"/>
      <c r="BI20" s="121"/>
      <c r="BJ20" s="121"/>
      <c r="BK20" s="121"/>
      <c r="BL20" s="121"/>
      <c r="BM20" s="121"/>
      <c r="BN20" s="121"/>
      <c r="BO20" s="121"/>
      <c r="BP20" s="121"/>
      <c r="BQ20" s="121"/>
      <c r="BR20" s="121"/>
      <c r="BS20" s="121"/>
      <c r="BT20" s="121"/>
      <c r="BU20" s="121"/>
      <c r="BV20" s="121"/>
      <c r="BW20" s="121"/>
      <c r="BX20" s="121"/>
      <c r="BY20" s="121"/>
      <c r="BZ20" s="121"/>
      <c r="CA20" s="121"/>
      <c r="CB20" s="121"/>
      <c r="CC20" s="121"/>
      <c r="CD20" s="121"/>
      <c r="CE20" s="121"/>
      <c r="CF20" s="121"/>
      <c r="CG20" s="121"/>
      <c r="CH20" s="121"/>
      <c r="CI20" s="121"/>
      <c r="CJ20" s="121"/>
      <c r="CK20" s="121"/>
      <c r="CL20" s="121"/>
      <c r="CM20" s="121"/>
      <c r="CN20" s="121"/>
      <c r="CO20" s="121"/>
      <c r="CP20" s="121"/>
      <c r="CQ20" s="121"/>
      <c r="CR20" s="121"/>
      <c r="CS20" s="121"/>
      <c r="CT20" s="121"/>
      <c r="CU20" s="121"/>
      <c r="CV20" s="121"/>
      <c r="CW20" s="121"/>
      <c r="CX20" s="121"/>
      <c r="CY20" s="121"/>
      <c r="CZ20" s="121"/>
      <c r="DA20" s="121"/>
      <c r="DB20" s="121"/>
      <c r="DC20" s="121"/>
      <c r="DD20" s="121"/>
      <c r="DE20" s="121"/>
      <c r="DF20" s="121"/>
      <c r="DG20" s="121"/>
      <c r="DH20" s="121"/>
      <c r="DI20" s="121"/>
      <c r="DJ20" s="121"/>
      <c r="DK20" s="121"/>
      <c r="DL20" s="121"/>
      <c r="DM20" s="121"/>
      <c r="DN20" s="121"/>
      <c r="DO20" s="121"/>
      <c r="DP20" s="121"/>
      <c r="DQ20" s="121"/>
      <c r="DR20" s="121"/>
      <c r="DS20" s="121"/>
      <c r="DT20" s="121"/>
      <c r="DU20" s="121"/>
      <c r="DV20" s="121"/>
      <c r="DW20" s="121"/>
      <c r="DX20" s="121"/>
      <c r="DY20" s="121"/>
      <c r="DZ20" s="121"/>
      <c r="EA20" s="121"/>
      <c r="EB20" s="121"/>
      <c r="EC20" s="121"/>
      <c r="ED20" s="121"/>
      <c r="EE20" s="121"/>
      <c r="EF20" s="121"/>
      <c r="EG20" s="121"/>
      <c r="EH20" s="121"/>
      <c r="EI20" s="121"/>
      <c r="EJ20" s="121"/>
      <c r="EK20" s="121"/>
      <c r="EL20" s="121"/>
      <c r="EM20" s="121"/>
      <c r="EN20" s="121"/>
      <c r="EO20" s="121"/>
      <c r="EP20" s="121"/>
      <c r="EQ20" s="121"/>
      <c r="ER20" s="121"/>
      <c r="ES20" s="121"/>
      <c r="ET20" s="121"/>
      <c r="EU20" s="121"/>
      <c r="EV20" s="121"/>
      <c r="EW20" s="121"/>
      <c r="EX20" s="121"/>
      <c r="EY20" s="121"/>
      <c r="EZ20" s="121"/>
      <c r="FA20" s="121"/>
      <c r="FB20" s="121"/>
      <c r="FC20" s="121"/>
      <c r="FD20" s="121"/>
      <c r="FE20" s="121"/>
      <c r="FF20" s="121"/>
      <c r="FG20" s="121"/>
      <c r="FH20" s="121"/>
      <c r="FI20" s="121"/>
      <c r="FJ20" s="121"/>
      <c r="FK20" s="121"/>
      <c r="FL20" s="121"/>
      <c r="FM20" s="121"/>
      <c r="FN20" s="121"/>
      <c r="FO20" s="121"/>
      <c r="FP20" s="121"/>
      <c r="FQ20" s="121"/>
      <c r="FR20" s="121"/>
      <c r="FS20" s="121"/>
      <c r="FT20" s="121"/>
      <c r="FU20" s="121"/>
      <c r="FV20" s="121"/>
      <c r="FW20" s="121"/>
      <c r="FX20" s="121"/>
      <c r="FY20" s="121"/>
      <c r="FZ20" s="121"/>
      <c r="GA20" s="121"/>
      <c r="GB20" s="121"/>
      <c r="GC20" s="121"/>
      <c r="GD20" s="121"/>
      <c r="GE20" s="121"/>
      <c r="GF20" s="121"/>
      <c r="GG20" s="121"/>
      <c r="GH20" s="121"/>
      <c r="GI20" s="121"/>
      <c r="GJ20" s="121"/>
      <c r="GK20" s="121"/>
      <c r="GL20" s="121"/>
      <c r="GM20" s="121"/>
      <c r="GN20" s="121"/>
      <c r="GO20" s="121"/>
      <c r="GP20" s="121"/>
    </row>
    <row r="21" spans="2:198" s="112" customFormat="1" ht="14.25" customHeight="1">
      <c r="B21" s="238">
        <f t="shared" si="2"/>
        <v>2.3000000000000003</v>
      </c>
      <c r="C21" s="696" t="s">
        <v>167</v>
      </c>
      <c r="D21" s="205"/>
      <c r="E21" s="240">
        <f>WORKDAY.INTL(G20,0,1,Data!$C$3:$C$41)</f>
        <v>45847</v>
      </c>
      <c r="F21" s="241">
        <v>8</v>
      </c>
      <c r="G21" s="240">
        <f>WORKDAY.INTL(E21,F21,1,Data!$C$3:$C$41)</f>
        <v>45859</v>
      </c>
      <c r="H21" s="228"/>
      <c r="I21" s="240">
        <f>WORKDAY.INTL(K20,0,1,Data!$C$3:$C$41)</f>
        <v>45847</v>
      </c>
      <c r="J21" s="241">
        <v>31</v>
      </c>
      <c r="K21" s="240">
        <f>WORKDAY.INTL(I21,J21,1,Data!$C$3:$C$41)</f>
        <v>45890</v>
      </c>
      <c r="M21" s="243">
        <v>1</v>
      </c>
      <c r="N21" s="243">
        <f t="shared" ca="1" si="1"/>
        <v>1</v>
      </c>
      <c r="O21" s="122"/>
      <c r="Q21" s="124"/>
      <c r="R21" s="121"/>
      <c r="S21" s="691" t="str">
        <f>C58</f>
        <v>DC Works - Rooftop</v>
      </c>
      <c r="T21" s="693">
        <f>I58</f>
        <v>45894</v>
      </c>
      <c r="U21" s="692">
        <f>J58</f>
        <v>147</v>
      </c>
      <c r="V21" s="692">
        <f>F58</f>
        <v>51</v>
      </c>
      <c r="W21" s="693">
        <f>K58</f>
        <v>46041</v>
      </c>
      <c r="X21" s="699">
        <f>M58</f>
        <v>1</v>
      </c>
      <c r="Y21" s="851"/>
      <c r="Z21" s="851"/>
      <c r="AA21" s="851"/>
      <c r="AB21" s="851"/>
      <c r="AC21" s="121"/>
      <c r="AD21" s="121"/>
      <c r="AE21" s="745">
        <f ca="1">TODAY()</f>
        <v>46063</v>
      </c>
      <c r="AF21" s="745">
        <f ca="1">TODAY()</f>
        <v>46063</v>
      </c>
      <c r="AG21" s="121"/>
      <c r="AH21" s="121"/>
      <c r="AI21" s="121"/>
      <c r="AJ21" s="121"/>
      <c r="AK21" s="121"/>
      <c r="AL21" s="121"/>
      <c r="AM21" s="121"/>
      <c r="AN21" s="121"/>
      <c r="AO21" s="121"/>
      <c r="AP21" s="121"/>
      <c r="AQ21" s="121"/>
      <c r="AR21" s="121"/>
      <c r="AS21" s="121"/>
      <c r="AT21" s="121"/>
      <c r="AU21" s="121"/>
      <c r="AV21" s="121"/>
      <c r="AW21" s="121"/>
      <c r="AX21" s="121"/>
      <c r="AY21" s="121"/>
      <c r="AZ21" s="121"/>
      <c r="BA21" s="121"/>
      <c r="BB21" s="121"/>
      <c r="BC21" s="121"/>
      <c r="BD21" s="121"/>
      <c r="BE21" s="121"/>
      <c r="BF21" s="121"/>
      <c r="BG21" s="121"/>
      <c r="BH21" s="121"/>
      <c r="BI21" s="121"/>
      <c r="BJ21" s="121"/>
      <c r="BK21" s="121"/>
      <c r="BL21" s="121"/>
      <c r="BM21" s="121"/>
      <c r="BN21" s="121"/>
      <c r="BO21" s="121"/>
      <c r="BP21" s="121"/>
      <c r="BQ21" s="121"/>
      <c r="BR21" s="121"/>
      <c r="BS21" s="121"/>
      <c r="BT21" s="121"/>
      <c r="BU21" s="121"/>
      <c r="BV21" s="121"/>
      <c r="BW21" s="121"/>
      <c r="BX21" s="121"/>
      <c r="BY21" s="121"/>
      <c r="BZ21" s="121"/>
      <c r="CA21" s="121"/>
      <c r="CB21" s="121"/>
      <c r="CC21" s="121"/>
      <c r="CD21" s="121"/>
      <c r="CE21" s="121"/>
      <c r="CF21" s="121"/>
      <c r="CG21" s="121"/>
      <c r="CH21" s="121"/>
      <c r="CI21" s="121"/>
      <c r="CJ21" s="121"/>
      <c r="CK21" s="121"/>
      <c r="CL21" s="121"/>
      <c r="CM21" s="121"/>
      <c r="CN21" s="121"/>
      <c r="CO21" s="121"/>
      <c r="CP21" s="121"/>
      <c r="CQ21" s="121"/>
      <c r="CR21" s="121"/>
      <c r="CS21" s="121"/>
      <c r="CT21" s="121"/>
      <c r="CU21" s="121"/>
      <c r="CV21" s="121"/>
      <c r="CW21" s="121"/>
      <c r="CX21" s="121"/>
      <c r="CY21" s="121"/>
      <c r="CZ21" s="121"/>
      <c r="DA21" s="121"/>
      <c r="DB21" s="121"/>
      <c r="DC21" s="121"/>
      <c r="DD21" s="121"/>
      <c r="DE21" s="121"/>
      <c r="DF21" s="121"/>
      <c r="DG21" s="121"/>
      <c r="DH21" s="121"/>
      <c r="DI21" s="121"/>
      <c r="DJ21" s="121"/>
      <c r="DK21" s="121"/>
      <c r="DL21" s="121"/>
      <c r="DM21" s="121"/>
      <c r="DN21" s="121"/>
      <c r="DO21" s="121"/>
      <c r="DP21" s="121"/>
      <c r="DQ21" s="121"/>
      <c r="DR21" s="121"/>
      <c r="DS21" s="121"/>
      <c r="DT21" s="121"/>
      <c r="DU21" s="121"/>
      <c r="DV21" s="121"/>
      <c r="DW21" s="121"/>
      <c r="DX21" s="121"/>
      <c r="DY21" s="121"/>
      <c r="DZ21" s="121"/>
      <c r="EA21" s="121"/>
      <c r="EB21" s="121"/>
      <c r="EC21" s="121"/>
      <c r="ED21" s="121"/>
      <c r="EE21" s="121"/>
      <c r="EF21" s="121"/>
      <c r="EG21" s="121"/>
      <c r="EH21" s="121"/>
      <c r="EI21" s="121"/>
      <c r="EJ21" s="121"/>
      <c r="EK21" s="121"/>
      <c r="EL21" s="121"/>
      <c r="EM21" s="121"/>
      <c r="EN21" s="121"/>
      <c r="EO21" s="121"/>
      <c r="EP21" s="121"/>
      <c r="EQ21" s="121"/>
      <c r="ER21" s="121"/>
      <c r="ES21" s="121"/>
      <c r="ET21" s="121"/>
      <c r="EU21" s="121"/>
      <c r="EV21" s="121"/>
      <c r="EW21" s="121"/>
      <c r="EX21" s="121"/>
      <c r="EY21" s="121"/>
      <c r="EZ21" s="121"/>
      <c r="FA21" s="121"/>
      <c r="FB21" s="121"/>
      <c r="FC21" s="121"/>
      <c r="FD21" s="121"/>
      <c r="FE21" s="121"/>
      <c r="FF21" s="121"/>
      <c r="FG21" s="121"/>
      <c r="FH21" s="121"/>
      <c r="FI21" s="121"/>
      <c r="FJ21" s="121"/>
      <c r="FK21" s="121"/>
      <c r="FL21" s="121"/>
      <c r="FM21" s="121"/>
      <c r="FN21" s="121"/>
      <c r="FO21" s="121"/>
      <c r="FP21" s="121"/>
      <c r="FQ21" s="121"/>
      <c r="FR21" s="121"/>
      <c r="FS21" s="121"/>
      <c r="FT21" s="121"/>
      <c r="FU21" s="121"/>
      <c r="FV21" s="121"/>
      <c r="FW21" s="121"/>
      <c r="FX21" s="121"/>
      <c r="FY21" s="121"/>
      <c r="FZ21" s="121"/>
      <c r="GA21" s="121"/>
      <c r="GB21" s="121"/>
      <c r="GC21" s="121"/>
      <c r="GD21" s="121"/>
      <c r="GE21" s="121"/>
      <c r="GF21" s="121"/>
      <c r="GG21" s="121"/>
      <c r="GH21" s="121"/>
      <c r="GI21" s="121"/>
      <c r="GJ21" s="121"/>
      <c r="GK21" s="121"/>
      <c r="GL21" s="121"/>
      <c r="GM21" s="121"/>
      <c r="GN21" s="121"/>
      <c r="GO21" s="121"/>
      <c r="GP21" s="121"/>
    </row>
    <row r="22" spans="2:198" s="112" customFormat="1" ht="14.25" customHeight="1">
      <c r="B22" s="238">
        <f t="shared" si="2"/>
        <v>2.4000000000000004</v>
      </c>
      <c r="C22" s="696" t="s">
        <v>168</v>
      </c>
      <c r="D22" s="205"/>
      <c r="E22" s="240"/>
      <c r="F22" s="241"/>
      <c r="G22" s="240"/>
      <c r="H22" s="228"/>
      <c r="I22" s="240">
        <v>45875</v>
      </c>
      <c r="J22" s="241">
        <v>25</v>
      </c>
      <c r="K22" s="240">
        <f>WORKDAY.INTL(I22,J22,1,Data!$C$3:$C$41)</f>
        <v>45910</v>
      </c>
      <c r="M22" s="243">
        <v>1</v>
      </c>
      <c r="N22" s="243">
        <f t="shared" ca="1" si="1"/>
        <v>1</v>
      </c>
      <c r="O22" s="122" t="s">
        <v>169</v>
      </c>
      <c r="Q22" s="124"/>
      <c r="R22" s="121"/>
      <c r="S22" s="691" t="str">
        <f>C67</f>
        <v>DC Works - Ground Mount</v>
      </c>
      <c r="T22" s="693">
        <f>I67</f>
        <v>45938</v>
      </c>
      <c r="U22" s="692">
        <f>J67</f>
        <v>120</v>
      </c>
      <c r="V22" s="692">
        <f>F67</f>
        <v>58</v>
      </c>
      <c r="W22" s="693">
        <f>K67</f>
        <v>46058</v>
      </c>
      <c r="X22" s="699">
        <f>M67</f>
        <v>0.99</v>
      </c>
      <c r="Y22" s="851"/>
      <c r="Z22" s="851"/>
      <c r="AA22" s="851"/>
      <c r="AB22" s="851"/>
      <c r="AC22" s="121"/>
      <c r="AD22" s="121"/>
      <c r="AE22" s="121">
        <v>1</v>
      </c>
      <c r="AF22" s="121">
        <v>0</v>
      </c>
      <c r="AG22" s="121"/>
      <c r="AH22" s="121"/>
      <c r="AI22" s="121"/>
      <c r="AJ22" s="121"/>
      <c r="AK22" s="121"/>
      <c r="AL22" s="121"/>
      <c r="AM22" s="121"/>
      <c r="AN22" s="121"/>
      <c r="AO22" s="121"/>
      <c r="AP22" s="121"/>
      <c r="AQ22" s="121"/>
      <c r="AR22" s="121"/>
      <c r="AS22" s="121"/>
      <c r="AT22" s="121"/>
      <c r="AU22" s="121"/>
      <c r="AV22" s="121"/>
      <c r="AW22" s="121"/>
      <c r="AX22" s="121"/>
      <c r="AY22" s="121"/>
      <c r="AZ22" s="121"/>
      <c r="BA22" s="121"/>
      <c r="BB22" s="121"/>
      <c r="BC22" s="121"/>
      <c r="BD22" s="121"/>
      <c r="BE22" s="121"/>
      <c r="BF22" s="121"/>
      <c r="BG22" s="121"/>
      <c r="BH22" s="121"/>
      <c r="BI22" s="121"/>
      <c r="BJ22" s="121"/>
      <c r="BK22" s="121"/>
      <c r="BL22" s="121"/>
      <c r="BM22" s="121"/>
      <c r="BN22" s="121"/>
      <c r="BO22" s="121"/>
      <c r="BP22" s="121"/>
      <c r="BQ22" s="121"/>
      <c r="BR22" s="121"/>
      <c r="BS22" s="121"/>
      <c r="BT22" s="121"/>
      <c r="BU22" s="121"/>
      <c r="BV22" s="121"/>
      <c r="BW22" s="121"/>
      <c r="BX22" s="121"/>
      <c r="BY22" s="121"/>
      <c r="BZ22" s="121"/>
      <c r="CA22" s="121"/>
      <c r="CB22" s="121"/>
      <c r="CC22" s="121"/>
      <c r="CD22" s="121"/>
      <c r="CE22" s="121"/>
      <c r="CF22" s="121"/>
      <c r="CG22" s="121"/>
      <c r="CH22" s="121"/>
      <c r="CI22" s="121"/>
      <c r="CJ22" s="121"/>
      <c r="CK22" s="121"/>
      <c r="CL22" s="121"/>
      <c r="CM22" s="121"/>
      <c r="CN22" s="121"/>
      <c r="CO22" s="121"/>
      <c r="CP22" s="121"/>
      <c r="CQ22" s="121"/>
      <c r="CR22" s="121"/>
      <c r="CS22" s="121"/>
      <c r="CT22" s="121"/>
      <c r="CU22" s="121"/>
      <c r="CV22" s="121"/>
      <c r="CW22" s="121"/>
      <c r="CX22" s="121"/>
      <c r="CY22" s="121"/>
      <c r="CZ22" s="121"/>
      <c r="DA22" s="121"/>
      <c r="DB22" s="121"/>
      <c r="DC22" s="121"/>
      <c r="DD22" s="121"/>
      <c r="DE22" s="121"/>
      <c r="DF22" s="121"/>
      <c r="DG22" s="121"/>
      <c r="DH22" s="121"/>
      <c r="DI22" s="121"/>
      <c r="DJ22" s="121"/>
      <c r="DK22" s="121"/>
      <c r="DL22" s="121"/>
      <c r="DM22" s="121"/>
      <c r="DN22" s="121"/>
      <c r="DO22" s="121"/>
      <c r="DP22" s="121"/>
      <c r="DQ22" s="121"/>
      <c r="DR22" s="121"/>
      <c r="DS22" s="121"/>
      <c r="DT22" s="121"/>
      <c r="DU22" s="121"/>
      <c r="DV22" s="121"/>
      <c r="DW22" s="121"/>
      <c r="DX22" s="121"/>
      <c r="DY22" s="121"/>
      <c r="DZ22" s="121"/>
      <c r="EA22" s="121"/>
      <c r="EB22" s="121"/>
      <c r="EC22" s="121"/>
      <c r="ED22" s="121"/>
      <c r="EE22" s="121"/>
      <c r="EF22" s="121"/>
      <c r="EG22" s="121"/>
      <c r="EH22" s="121"/>
      <c r="EI22" s="121"/>
      <c r="EJ22" s="121"/>
      <c r="EK22" s="121"/>
      <c r="EL22" s="121"/>
      <c r="EM22" s="121"/>
      <c r="EN22" s="121"/>
      <c r="EO22" s="121"/>
      <c r="EP22" s="121"/>
      <c r="EQ22" s="121"/>
      <c r="ER22" s="121"/>
      <c r="ES22" s="121"/>
      <c r="ET22" s="121"/>
      <c r="EU22" s="121"/>
      <c r="EV22" s="121"/>
      <c r="EW22" s="121"/>
      <c r="EX22" s="121"/>
      <c r="EY22" s="121"/>
      <c r="EZ22" s="121"/>
      <c r="FA22" s="121"/>
      <c r="FB22" s="121"/>
      <c r="FC22" s="121"/>
      <c r="FD22" s="121"/>
      <c r="FE22" s="121"/>
      <c r="FF22" s="121"/>
      <c r="FG22" s="121"/>
      <c r="FH22" s="121"/>
      <c r="FI22" s="121"/>
      <c r="FJ22" s="121"/>
      <c r="FK22" s="121"/>
      <c r="FL22" s="121"/>
      <c r="FM22" s="121"/>
      <c r="FN22" s="121"/>
      <c r="FO22" s="121"/>
      <c r="FP22" s="121"/>
      <c r="FQ22" s="121"/>
      <c r="FR22" s="121"/>
      <c r="FS22" s="121"/>
      <c r="FT22" s="121"/>
      <c r="FU22" s="121"/>
      <c r="FV22" s="121"/>
      <c r="FW22" s="121"/>
      <c r="FX22" s="121"/>
      <c r="FY22" s="121"/>
      <c r="FZ22" s="121"/>
      <c r="GA22" s="121"/>
      <c r="GB22" s="121"/>
      <c r="GC22" s="121"/>
      <c r="GD22" s="121"/>
      <c r="GE22" s="121"/>
      <c r="GF22" s="121"/>
      <c r="GG22" s="121"/>
      <c r="GH22" s="121"/>
      <c r="GI22" s="121"/>
      <c r="GJ22" s="121"/>
      <c r="GK22" s="121"/>
      <c r="GL22" s="121"/>
      <c r="GM22" s="121"/>
      <c r="GN22" s="121"/>
      <c r="GO22" s="121"/>
      <c r="GP22" s="121"/>
    </row>
    <row r="23" spans="2:198" s="112" customFormat="1" ht="14.25" customHeight="1">
      <c r="B23" s="238">
        <f t="shared" si="2"/>
        <v>2.5000000000000004</v>
      </c>
      <c r="C23" s="696" t="s">
        <v>170</v>
      </c>
      <c r="D23" s="205"/>
      <c r="E23" s="240">
        <f>WORKDAY.INTL(G20,0,1,Data!$C$3:$C$41)</f>
        <v>45847</v>
      </c>
      <c r="F23" s="241">
        <v>8</v>
      </c>
      <c r="G23" s="240">
        <f>WORKDAY.INTL(E23,F23,1,Data!$C$3:$C$41)</f>
        <v>45859</v>
      </c>
      <c r="H23" s="228"/>
      <c r="I23" s="240">
        <f>WORKDAY.INTL(K20,0,1,Data!$C$3:$C$41)</f>
        <v>45847</v>
      </c>
      <c r="J23" s="241">
        <v>31</v>
      </c>
      <c r="K23" s="240">
        <f>WORKDAY.INTL(I23,J23,1,Data!$C$3:$C$41)</f>
        <v>45890</v>
      </c>
      <c r="M23" s="243">
        <v>1</v>
      </c>
      <c r="N23" s="243">
        <f t="shared" ca="1" si="1"/>
        <v>1</v>
      </c>
      <c r="O23" s="122"/>
      <c r="Q23" s="124"/>
      <c r="R23" s="121"/>
      <c r="S23" s="691" t="str">
        <f>C74</f>
        <v>AC Installation - Ground Mount</v>
      </c>
      <c r="T23" s="693">
        <f>I74</f>
        <v>45990</v>
      </c>
      <c r="U23" s="692">
        <f>J74</f>
        <v>17</v>
      </c>
      <c r="V23" s="692">
        <f>F74</f>
        <v>26</v>
      </c>
      <c r="W23" s="693">
        <f>K74</f>
        <v>46007</v>
      </c>
      <c r="X23" s="699">
        <f>M74</f>
        <v>1</v>
      </c>
      <c r="Y23" s="851"/>
      <c r="Z23" s="851"/>
      <c r="AA23" s="851"/>
      <c r="AB23" s="851"/>
      <c r="AC23" s="121"/>
      <c r="AD23" s="121"/>
      <c r="AE23" s="121"/>
      <c r="AF23" s="121"/>
      <c r="AG23" s="121"/>
      <c r="AH23" s="121"/>
      <c r="AI23" s="121"/>
      <c r="AJ23" s="121"/>
      <c r="AK23" s="121"/>
      <c r="AL23" s="121"/>
      <c r="AM23" s="121"/>
      <c r="AN23" s="121"/>
      <c r="AO23" s="121"/>
      <c r="AP23" s="121"/>
      <c r="AQ23" s="121"/>
      <c r="AR23" s="121"/>
      <c r="AS23" s="121"/>
      <c r="AT23" s="121"/>
      <c r="AU23" s="121"/>
      <c r="AV23" s="121"/>
      <c r="AW23" s="121"/>
      <c r="AX23" s="121"/>
      <c r="AY23" s="121"/>
      <c r="AZ23" s="121"/>
      <c r="BA23" s="121"/>
      <c r="BB23" s="121"/>
      <c r="BC23" s="121"/>
      <c r="BD23" s="121"/>
      <c r="BE23" s="121"/>
      <c r="BF23" s="121"/>
      <c r="BG23" s="121"/>
      <c r="BH23" s="121"/>
      <c r="BI23" s="121"/>
      <c r="BJ23" s="121"/>
      <c r="BK23" s="121"/>
      <c r="BL23" s="121"/>
      <c r="BM23" s="121"/>
      <c r="BN23" s="121"/>
      <c r="BO23" s="121"/>
      <c r="BP23" s="121"/>
      <c r="BQ23" s="121"/>
      <c r="BR23" s="121"/>
      <c r="BS23" s="121"/>
      <c r="BT23" s="121"/>
      <c r="BU23" s="121"/>
      <c r="BV23" s="121"/>
      <c r="BW23" s="121"/>
      <c r="BX23" s="121"/>
      <c r="BY23" s="121"/>
      <c r="BZ23" s="121"/>
      <c r="CA23" s="121"/>
      <c r="CB23" s="121"/>
      <c r="CC23" s="121"/>
      <c r="CD23" s="121"/>
      <c r="CE23" s="121"/>
      <c r="CF23" s="121"/>
      <c r="CG23" s="121"/>
      <c r="CH23" s="121"/>
      <c r="CI23" s="121"/>
      <c r="CJ23" s="121"/>
      <c r="CK23" s="121"/>
      <c r="CL23" s="121"/>
      <c r="CM23" s="121"/>
      <c r="CN23" s="121"/>
      <c r="CO23" s="121"/>
      <c r="CP23" s="121"/>
      <c r="CQ23" s="121"/>
      <c r="CR23" s="121"/>
      <c r="CS23" s="121"/>
      <c r="CT23" s="121"/>
      <c r="CU23" s="121"/>
      <c r="CV23" s="121"/>
      <c r="CW23" s="121"/>
      <c r="CX23" s="121"/>
      <c r="CY23" s="121"/>
      <c r="CZ23" s="121"/>
      <c r="DA23" s="121"/>
      <c r="DB23" s="121"/>
      <c r="DC23" s="121"/>
      <c r="DD23" s="121"/>
      <c r="DE23" s="121"/>
      <c r="DF23" s="121"/>
      <c r="DG23" s="121"/>
      <c r="DH23" s="121"/>
      <c r="DI23" s="121"/>
      <c r="DJ23" s="121"/>
      <c r="DK23" s="121"/>
      <c r="DL23" s="121"/>
      <c r="DM23" s="121"/>
      <c r="DN23" s="121"/>
      <c r="DO23" s="121"/>
      <c r="DP23" s="121"/>
      <c r="DQ23" s="121"/>
      <c r="DR23" s="121"/>
      <c r="DS23" s="121"/>
      <c r="DT23" s="121"/>
      <c r="DU23" s="121"/>
      <c r="DV23" s="121"/>
      <c r="DW23" s="121"/>
      <c r="DX23" s="121"/>
      <c r="DY23" s="121"/>
      <c r="DZ23" s="121"/>
      <c r="EA23" s="121"/>
      <c r="EB23" s="121"/>
      <c r="EC23" s="121"/>
      <c r="ED23" s="121"/>
      <c r="EE23" s="121"/>
      <c r="EF23" s="121"/>
      <c r="EG23" s="121"/>
      <c r="EH23" s="121"/>
      <c r="EI23" s="121"/>
      <c r="EJ23" s="121"/>
      <c r="EK23" s="121"/>
      <c r="EL23" s="121"/>
      <c r="EM23" s="121"/>
      <c r="EN23" s="121"/>
      <c r="EO23" s="121"/>
      <c r="EP23" s="121"/>
      <c r="EQ23" s="121"/>
      <c r="ER23" s="121"/>
      <c r="ES23" s="121"/>
      <c r="ET23" s="121"/>
      <c r="EU23" s="121"/>
      <c r="EV23" s="121"/>
      <c r="EW23" s="121"/>
      <c r="EX23" s="121"/>
      <c r="EY23" s="121"/>
      <c r="EZ23" s="121"/>
      <c r="FA23" s="121"/>
      <c r="FB23" s="121"/>
      <c r="FC23" s="121"/>
      <c r="FD23" s="121"/>
      <c r="FE23" s="121"/>
      <c r="FF23" s="121"/>
      <c r="FG23" s="121"/>
      <c r="FH23" s="121"/>
      <c r="FI23" s="121"/>
      <c r="FJ23" s="121"/>
      <c r="FK23" s="121"/>
      <c r="FL23" s="121"/>
      <c r="FM23" s="121"/>
      <c r="FN23" s="121"/>
      <c r="FO23" s="121"/>
      <c r="FP23" s="121"/>
      <c r="FQ23" s="121"/>
      <c r="FR23" s="121"/>
      <c r="FS23" s="121"/>
      <c r="FT23" s="121"/>
      <c r="FU23" s="121"/>
      <c r="FV23" s="121"/>
      <c r="FW23" s="121"/>
      <c r="FX23" s="121"/>
      <c r="FY23" s="121"/>
      <c r="FZ23" s="121"/>
      <c r="GA23" s="121"/>
      <c r="GB23" s="121"/>
      <c r="GC23" s="121"/>
      <c r="GD23" s="121"/>
      <c r="GE23" s="121"/>
      <c r="GF23" s="121"/>
      <c r="GG23" s="121"/>
      <c r="GH23" s="121"/>
      <c r="GI23" s="121"/>
      <c r="GJ23" s="121"/>
      <c r="GK23" s="121"/>
      <c r="GL23" s="121"/>
      <c r="GM23" s="121"/>
      <c r="GN23" s="121"/>
      <c r="GO23" s="121"/>
      <c r="GP23" s="121"/>
    </row>
    <row r="24" spans="2:198" s="112" customFormat="1" ht="14.25" customHeight="1">
      <c r="B24" s="238">
        <f t="shared" si="2"/>
        <v>2.6000000000000005</v>
      </c>
      <c r="C24" s="696" t="s">
        <v>171</v>
      </c>
      <c r="D24" s="205"/>
      <c r="E24" s="633"/>
      <c r="F24" s="241"/>
      <c r="G24" s="240"/>
      <c r="H24" s="228"/>
      <c r="I24" s="240">
        <v>45847</v>
      </c>
      <c r="J24" s="241">
        <v>33</v>
      </c>
      <c r="K24" s="240">
        <f>WORKDAY.INTL(I24,J24,1,Data!$C$3:$C$41)</f>
        <v>45894</v>
      </c>
      <c r="M24" s="243">
        <v>1</v>
      </c>
      <c r="N24" s="243">
        <f t="shared" ca="1" si="1"/>
        <v>1</v>
      </c>
      <c r="O24" s="122" t="s">
        <v>172</v>
      </c>
      <c r="Q24" s="124"/>
      <c r="R24" s="121"/>
      <c r="S24" s="691" t="str">
        <f>C81</f>
        <v>AC Installation - Rooftop</v>
      </c>
      <c r="T24" s="693">
        <f>I81</f>
        <v>45915</v>
      </c>
      <c r="U24" s="692">
        <f>J81</f>
        <v>92</v>
      </c>
      <c r="V24" s="692">
        <f>F81</f>
        <v>21</v>
      </c>
      <c r="W24" s="693">
        <f>K81</f>
        <v>46007</v>
      </c>
      <c r="X24" s="699">
        <f>M81</f>
        <v>1</v>
      </c>
      <c r="Y24" s="851"/>
      <c r="Z24" s="851"/>
      <c r="AA24" s="851"/>
      <c r="AB24" s="851"/>
      <c r="AC24" s="121"/>
      <c r="AD24" s="121"/>
      <c r="AE24" s="121"/>
      <c r="AF24" s="121"/>
      <c r="AG24" s="121"/>
      <c r="AH24" s="121"/>
      <c r="AI24" s="121"/>
      <c r="AJ24" s="121"/>
      <c r="AK24" s="121"/>
      <c r="AL24" s="121"/>
      <c r="AM24" s="121"/>
      <c r="AN24" s="121"/>
      <c r="AO24" s="121"/>
      <c r="AP24" s="121"/>
      <c r="AQ24" s="121"/>
      <c r="AR24" s="121"/>
      <c r="AS24" s="121"/>
      <c r="AT24" s="121"/>
      <c r="AU24" s="121"/>
      <c r="AV24" s="121"/>
      <c r="AW24" s="121"/>
      <c r="AX24" s="121"/>
      <c r="AY24" s="121"/>
      <c r="AZ24" s="121"/>
      <c r="BA24" s="121"/>
      <c r="BB24" s="121"/>
      <c r="BC24" s="121"/>
      <c r="BD24" s="121"/>
      <c r="BE24" s="121"/>
      <c r="BF24" s="121"/>
      <c r="BG24" s="121"/>
      <c r="BH24" s="121"/>
      <c r="BI24" s="121"/>
      <c r="BJ24" s="121"/>
      <c r="BK24" s="121"/>
      <c r="BL24" s="121"/>
      <c r="BM24" s="121"/>
      <c r="BN24" s="121"/>
      <c r="BO24" s="121"/>
      <c r="BP24" s="121"/>
      <c r="BQ24" s="121"/>
      <c r="BR24" s="121"/>
      <c r="BS24" s="121"/>
      <c r="BT24" s="121"/>
      <c r="BU24" s="121"/>
      <c r="BV24" s="121"/>
      <c r="BW24" s="121"/>
      <c r="BX24" s="121"/>
      <c r="BY24" s="121"/>
      <c r="BZ24" s="121"/>
      <c r="CA24" s="121"/>
      <c r="CB24" s="121"/>
      <c r="CC24" s="121"/>
      <c r="CD24" s="121"/>
      <c r="CE24" s="121"/>
      <c r="CF24" s="121"/>
      <c r="CG24" s="121"/>
      <c r="CH24" s="121"/>
      <c r="CI24" s="121"/>
      <c r="CJ24" s="121"/>
      <c r="CK24" s="121"/>
      <c r="CL24" s="121"/>
      <c r="CM24" s="121"/>
      <c r="CN24" s="121"/>
      <c r="CO24" s="121"/>
      <c r="CP24" s="121"/>
      <c r="CQ24" s="121"/>
      <c r="CR24" s="121"/>
      <c r="CS24" s="121"/>
      <c r="CT24" s="121"/>
      <c r="CU24" s="121"/>
      <c r="CV24" s="121"/>
      <c r="CW24" s="121"/>
      <c r="CX24" s="121"/>
      <c r="CY24" s="121"/>
      <c r="CZ24" s="121"/>
      <c r="DA24" s="121"/>
      <c r="DB24" s="121"/>
      <c r="DC24" s="121"/>
      <c r="DD24" s="121"/>
      <c r="DE24" s="121"/>
      <c r="DF24" s="121"/>
      <c r="DG24" s="121"/>
      <c r="DH24" s="121"/>
      <c r="DI24" s="121"/>
      <c r="DJ24" s="121"/>
      <c r="DK24" s="121"/>
      <c r="DL24" s="121"/>
      <c r="DM24" s="121"/>
      <c r="DN24" s="121"/>
      <c r="DO24" s="121"/>
      <c r="DP24" s="121"/>
      <c r="DQ24" s="121"/>
      <c r="DR24" s="121"/>
      <c r="DS24" s="121"/>
      <c r="DT24" s="121"/>
      <c r="DU24" s="121"/>
      <c r="DV24" s="121"/>
      <c r="DW24" s="121"/>
      <c r="DX24" s="121"/>
      <c r="DY24" s="121"/>
      <c r="DZ24" s="121"/>
      <c r="EA24" s="121"/>
      <c r="EB24" s="121"/>
      <c r="EC24" s="121"/>
      <c r="ED24" s="121"/>
      <c r="EE24" s="121"/>
      <c r="EF24" s="121"/>
      <c r="EG24" s="121"/>
      <c r="EH24" s="121"/>
      <c r="EI24" s="121"/>
      <c r="EJ24" s="121"/>
      <c r="EK24" s="121"/>
      <c r="EL24" s="121"/>
      <c r="EM24" s="121"/>
      <c r="EN24" s="121"/>
      <c r="EO24" s="121"/>
      <c r="EP24" s="121"/>
      <c r="EQ24" s="121"/>
      <c r="ER24" s="121"/>
      <c r="ES24" s="121"/>
      <c r="ET24" s="121"/>
      <c r="EU24" s="121"/>
      <c r="EV24" s="121"/>
      <c r="EW24" s="121"/>
      <c r="EX24" s="121"/>
      <c r="EY24" s="121"/>
      <c r="EZ24" s="121"/>
      <c r="FA24" s="121"/>
      <c r="FB24" s="121"/>
      <c r="FC24" s="121"/>
      <c r="FD24" s="121"/>
      <c r="FE24" s="121"/>
      <c r="FF24" s="121"/>
      <c r="FG24" s="121"/>
      <c r="FH24" s="121"/>
      <c r="FI24" s="121"/>
      <c r="FJ24" s="121"/>
      <c r="FK24" s="121"/>
      <c r="FL24" s="121"/>
      <c r="FM24" s="121"/>
      <c r="FN24" s="121"/>
      <c r="FO24" s="121"/>
      <c r="FP24" s="121"/>
      <c r="FQ24" s="121"/>
      <c r="FR24" s="121"/>
      <c r="FS24" s="121"/>
      <c r="FT24" s="121"/>
      <c r="FU24" s="121"/>
      <c r="FV24" s="121"/>
      <c r="FW24" s="121"/>
      <c r="FX24" s="121"/>
      <c r="FY24" s="121"/>
      <c r="FZ24" s="121"/>
      <c r="GA24" s="121"/>
      <c r="GB24" s="121"/>
      <c r="GC24" s="121"/>
      <c r="GD24" s="121"/>
      <c r="GE24" s="121"/>
      <c r="GF24" s="121"/>
      <c r="GG24" s="121"/>
      <c r="GH24" s="121"/>
      <c r="GI24" s="121"/>
      <c r="GJ24" s="121"/>
      <c r="GK24" s="121"/>
      <c r="GL24" s="121"/>
      <c r="GM24" s="121"/>
      <c r="GN24" s="121"/>
      <c r="GO24" s="121"/>
      <c r="GP24" s="121"/>
    </row>
    <row r="25" spans="2:198" s="112" customFormat="1" ht="14.25" customHeight="1">
      <c r="B25" s="238">
        <f t="shared" si="2"/>
        <v>2.7000000000000006</v>
      </c>
      <c r="C25" s="239" t="s">
        <v>173</v>
      </c>
      <c r="D25" s="205"/>
      <c r="E25" s="633"/>
      <c r="F25" s="241"/>
      <c r="G25" s="240"/>
      <c r="H25" s="228"/>
      <c r="I25" s="633">
        <v>45867</v>
      </c>
      <c r="J25" s="241">
        <v>0</v>
      </c>
      <c r="K25" s="240">
        <f>WORKDAY.INTL(I25,J25,1,Data!$C$3:$C$41)</f>
        <v>45867</v>
      </c>
      <c r="M25" s="243">
        <v>1</v>
      </c>
      <c r="N25" s="243">
        <f t="shared" ca="1" si="1"/>
        <v>1</v>
      </c>
      <c r="O25" s="122"/>
      <c r="Q25" s="124"/>
      <c r="R25" s="121"/>
      <c r="S25" s="691" t="str">
        <f>C88</f>
        <v>Transformer Installation</v>
      </c>
      <c r="T25" s="693">
        <f>I88</f>
        <v>45986</v>
      </c>
      <c r="U25" s="692">
        <f>J88</f>
        <v>22</v>
      </c>
      <c r="V25" s="692">
        <f>F88</f>
        <v>43</v>
      </c>
      <c r="W25" s="693">
        <f>K88</f>
        <v>46008</v>
      </c>
      <c r="X25" s="699">
        <f>M88</f>
        <v>1</v>
      </c>
      <c r="Y25" s="851"/>
      <c r="Z25" s="851"/>
      <c r="AA25" s="851"/>
      <c r="AB25" s="851"/>
      <c r="AC25" s="121"/>
      <c r="AD25" s="121"/>
      <c r="AE25" s="121"/>
      <c r="AF25" s="121"/>
      <c r="AG25" s="121"/>
      <c r="AH25" s="121"/>
      <c r="AI25" s="121"/>
      <c r="AJ25" s="121"/>
      <c r="AK25" s="121"/>
      <c r="AL25" s="121"/>
      <c r="AM25" s="121"/>
      <c r="AN25" s="121"/>
      <c r="AO25" s="121"/>
      <c r="AP25" s="121"/>
      <c r="AQ25" s="121"/>
      <c r="AR25" s="121"/>
      <c r="AS25" s="121"/>
      <c r="AT25" s="121"/>
      <c r="AU25" s="121"/>
      <c r="AV25" s="121"/>
      <c r="AW25" s="121"/>
      <c r="AX25" s="121"/>
      <c r="AY25" s="121"/>
      <c r="AZ25" s="121"/>
      <c r="BA25" s="121"/>
      <c r="BB25" s="121"/>
      <c r="BC25" s="121"/>
      <c r="BD25" s="121"/>
      <c r="BE25" s="121"/>
      <c r="BF25" s="121"/>
      <c r="BG25" s="121"/>
      <c r="BH25" s="121"/>
      <c r="BI25" s="121"/>
      <c r="BJ25" s="121"/>
      <c r="BK25" s="121"/>
      <c r="BL25" s="121"/>
      <c r="BM25" s="121"/>
      <c r="BN25" s="121"/>
      <c r="BO25" s="121"/>
      <c r="BP25" s="121"/>
      <c r="BQ25" s="121"/>
      <c r="BR25" s="121"/>
      <c r="BS25" s="121"/>
      <c r="BT25" s="121"/>
      <c r="BU25" s="121"/>
      <c r="BV25" s="121"/>
      <c r="BW25" s="121"/>
      <c r="BX25" s="121"/>
      <c r="BY25" s="121"/>
      <c r="BZ25" s="121"/>
      <c r="CA25" s="121"/>
      <c r="CB25" s="121"/>
      <c r="CC25" s="121"/>
      <c r="CD25" s="121"/>
      <c r="CE25" s="121"/>
      <c r="CF25" s="121"/>
      <c r="CG25" s="121"/>
      <c r="CH25" s="121"/>
      <c r="CI25" s="121"/>
      <c r="CJ25" s="121"/>
      <c r="CK25" s="121"/>
      <c r="CL25" s="121"/>
      <c r="CM25" s="121"/>
      <c r="CN25" s="121"/>
      <c r="CO25" s="121"/>
      <c r="CP25" s="121"/>
      <c r="CQ25" s="121"/>
      <c r="CR25" s="121"/>
      <c r="CS25" s="121"/>
      <c r="CT25" s="121"/>
      <c r="CU25" s="121"/>
      <c r="CV25" s="121"/>
      <c r="CW25" s="121"/>
      <c r="CX25" s="121"/>
      <c r="CY25" s="121"/>
      <c r="CZ25" s="121"/>
      <c r="DA25" s="121"/>
      <c r="DB25" s="121"/>
      <c r="DC25" s="121"/>
      <c r="DD25" s="121"/>
      <c r="DE25" s="121"/>
      <c r="DF25" s="121"/>
      <c r="DG25" s="121"/>
      <c r="DH25" s="121"/>
      <c r="DI25" s="121"/>
      <c r="DJ25" s="121"/>
      <c r="DK25" s="121"/>
      <c r="DL25" s="121"/>
      <c r="DM25" s="121"/>
      <c r="DN25" s="121"/>
      <c r="DO25" s="121"/>
      <c r="DP25" s="121"/>
      <c r="DQ25" s="121"/>
      <c r="DR25" s="121"/>
      <c r="DS25" s="121"/>
      <c r="DT25" s="121"/>
      <c r="DU25" s="121"/>
      <c r="DV25" s="121"/>
      <c r="DW25" s="121"/>
      <c r="DX25" s="121"/>
      <c r="DY25" s="121"/>
      <c r="DZ25" s="121"/>
      <c r="EA25" s="121"/>
      <c r="EB25" s="121"/>
      <c r="EC25" s="121"/>
      <c r="ED25" s="121"/>
      <c r="EE25" s="121"/>
      <c r="EF25" s="121"/>
      <c r="EG25" s="121"/>
      <c r="EH25" s="121"/>
      <c r="EI25" s="121"/>
      <c r="EJ25" s="121"/>
      <c r="EK25" s="121"/>
      <c r="EL25" s="121"/>
      <c r="EM25" s="121"/>
      <c r="EN25" s="121"/>
      <c r="EO25" s="121"/>
      <c r="EP25" s="121"/>
      <c r="EQ25" s="121"/>
      <c r="ER25" s="121"/>
      <c r="ES25" s="121"/>
      <c r="ET25" s="121"/>
      <c r="EU25" s="121"/>
      <c r="EV25" s="121"/>
      <c r="EW25" s="121"/>
      <c r="EX25" s="121"/>
      <c r="EY25" s="121"/>
      <c r="EZ25" s="121"/>
      <c r="FA25" s="121"/>
      <c r="FB25" s="121"/>
      <c r="FC25" s="121"/>
      <c r="FD25" s="121"/>
      <c r="FE25" s="121"/>
      <c r="FF25" s="121"/>
      <c r="FG25" s="121"/>
      <c r="FH25" s="121"/>
      <c r="FI25" s="121"/>
      <c r="FJ25" s="121"/>
      <c r="FK25" s="121"/>
      <c r="FL25" s="121"/>
      <c r="FM25" s="121"/>
      <c r="FN25" s="121"/>
      <c r="FO25" s="121"/>
      <c r="FP25" s="121"/>
      <c r="FQ25" s="121"/>
      <c r="FR25" s="121"/>
      <c r="FS25" s="121"/>
      <c r="FT25" s="121"/>
      <c r="FU25" s="121"/>
      <c r="FV25" s="121"/>
      <c r="FW25" s="121"/>
      <c r="FX25" s="121"/>
      <c r="FY25" s="121"/>
      <c r="FZ25" s="121"/>
      <c r="GA25" s="121"/>
      <c r="GB25" s="121"/>
      <c r="GC25" s="121"/>
      <c r="GD25" s="121"/>
      <c r="GE25" s="121"/>
      <c r="GF25" s="121"/>
      <c r="GG25" s="121"/>
      <c r="GH25" s="121"/>
      <c r="GI25" s="121"/>
      <c r="GJ25" s="121"/>
      <c r="GK25" s="121"/>
      <c r="GL25" s="121"/>
      <c r="GM25" s="121"/>
      <c r="GN25" s="121"/>
      <c r="GO25" s="121"/>
      <c r="GP25" s="121"/>
    </row>
    <row r="26" spans="2:198" s="112" customFormat="1">
      <c r="B26" s="238">
        <f t="shared" si="2"/>
        <v>2.8000000000000007</v>
      </c>
      <c r="C26" s="239" t="s">
        <v>174</v>
      </c>
      <c r="D26" s="205"/>
      <c r="E26" s="633"/>
      <c r="F26" s="241"/>
      <c r="G26" s="240"/>
      <c r="H26" s="228"/>
      <c r="I26" s="633">
        <v>45867</v>
      </c>
      <c r="J26" s="241">
        <v>0</v>
      </c>
      <c r="K26" s="240">
        <f>WORKDAY.INTL(I26,J26,1,Data!$C$3:$C$41)</f>
        <v>45867</v>
      </c>
      <c r="M26" s="243">
        <v>1</v>
      </c>
      <c r="N26" s="243">
        <f t="shared" ca="1" si="1"/>
        <v>1</v>
      </c>
      <c r="O26" s="122"/>
      <c r="Q26" s="124"/>
      <c r="R26" s="121"/>
      <c r="S26" s="691" t="str">
        <f>C98</f>
        <v>Commissioning</v>
      </c>
      <c r="T26" s="693">
        <f>I98</f>
        <v>46006</v>
      </c>
      <c r="U26" s="692">
        <f>J98</f>
        <v>59</v>
      </c>
      <c r="V26" s="692">
        <f>F98</f>
        <v>4</v>
      </c>
      <c r="W26" s="693">
        <f>K98</f>
        <v>46065</v>
      </c>
      <c r="X26" s="699">
        <f>M98</f>
        <v>0.89</v>
      </c>
      <c r="Y26" s="851"/>
      <c r="Z26" s="851"/>
      <c r="AA26" s="851"/>
      <c r="AB26" s="851"/>
      <c r="AC26" s="121"/>
      <c r="AD26" s="121"/>
      <c r="AE26" s="121"/>
      <c r="AF26" s="121"/>
      <c r="AG26" s="121"/>
      <c r="AH26" s="121"/>
      <c r="AI26" s="121"/>
      <c r="AJ26" s="121"/>
      <c r="AK26" s="121"/>
      <c r="AL26" s="121"/>
      <c r="AM26" s="121"/>
      <c r="AN26" s="121"/>
      <c r="AO26" s="121"/>
      <c r="AP26" s="121"/>
      <c r="AQ26" s="121"/>
      <c r="AR26" s="121"/>
      <c r="AS26" s="121"/>
      <c r="AT26" s="121"/>
      <c r="AU26" s="121"/>
      <c r="AV26" s="121"/>
      <c r="AW26" s="121"/>
      <c r="AX26" s="121"/>
      <c r="AY26" s="121"/>
      <c r="AZ26" s="121"/>
      <c r="BA26" s="121"/>
      <c r="BB26" s="121"/>
      <c r="BC26" s="121"/>
      <c r="BD26" s="121"/>
      <c r="BE26" s="121"/>
      <c r="BF26" s="121"/>
      <c r="BG26" s="121"/>
      <c r="BH26" s="121"/>
      <c r="BI26" s="121"/>
      <c r="BJ26" s="121"/>
      <c r="BK26" s="121"/>
      <c r="BL26" s="121"/>
      <c r="BM26" s="121"/>
      <c r="BN26" s="121"/>
      <c r="BO26" s="121"/>
      <c r="BP26" s="121"/>
      <c r="BQ26" s="121"/>
      <c r="BR26" s="121"/>
      <c r="BS26" s="121"/>
      <c r="BT26" s="121"/>
      <c r="BU26" s="121"/>
      <c r="BV26" s="121"/>
      <c r="BW26" s="121"/>
      <c r="BX26" s="121"/>
      <c r="BY26" s="121"/>
      <c r="BZ26" s="121"/>
      <c r="CA26" s="121"/>
      <c r="CB26" s="121"/>
      <c r="CC26" s="121"/>
      <c r="CD26" s="121"/>
      <c r="CE26" s="121"/>
      <c r="CF26" s="121"/>
      <c r="CG26" s="121"/>
      <c r="CH26" s="121"/>
      <c r="CI26" s="121"/>
      <c r="CJ26" s="121"/>
      <c r="CK26" s="121"/>
      <c r="CL26" s="121"/>
      <c r="CM26" s="121"/>
      <c r="CN26" s="121"/>
      <c r="CO26" s="121"/>
      <c r="CP26" s="121"/>
      <c r="CQ26" s="121"/>
      <c r="CR26" s="121"/>
      <c r="CS26" s="121"/>
      <c r="CT26" s="121"/>
      <c r="CU26" s="121"/>
      <c r="CV26" s="121"/>
      <c r="CW26" s="121"/>
      <c r="CX26" s="121"/>
      <c r="CY26" s="121"/>
      <c r="CZ26" s="121"/>
      <c r="DA26" s="121"/>
      <c r="DB26" s="121"/>
      <c r="DC26" s="121"/>
      <c r="DD26" s="121"/>
      <c r="DE26" s="121"/>
      <c r="DF26" s="121"/>
      <c r="DG26" s="121"/>
      <c r="DH26" s="121"/>
      <c r="DI26" s="121"/>
      <c r="DJ26" s="121"/>
      <c r="DK26" s="121"/>
      <c r="DL26" s="121"/>
      <c r="DM26" s="121"/>
      <c r="DN26" s="121"/>
      <c r="DO26" s="121"/>
      <c r="DP26" s="121"/>
      <c r="DQ26" s="121"/>
      <c r="DR26" s="121"/>
      <c r="DS26" s="121"/>
      <c r="DT26" s="121"/>
      <c r="DU26" s="121"/>
      <c r="DV26" s="121"/>
      <c r="DW26" s="121"/>
      <c r="DX26" s="121"/>
      <c r="DY26" s="121"/>
      <c r="DZ26" s="121"/>
      <c r="EA26" s="121"/>
      <c r="EB26" s="121"/>
      <c r="EC26" s="121"/>
      <c r="ED26" s="121"/>
      <c r="EE26" s="121"/>
      <c r="EF26" s="121"/>
      <c r="EG26" s="121"/>
      <c r="EH26" s="121"/>
      <c r="EI26" s="121"/>
      <c r="EJ26" s="121"/>
      <c r="EK26" s="121"/>
      <c r="EL26" s="121"/>
      <c r="EM26" s="121"/>
      <c r="EN26" s="121"/>
      <c r="EO26" s="121"/>
      <c r="EP26" s="121"/>
      <c r="EQ26" s="121"/>
      <c r="ER26" s="121"/>
      <c r="ES26" s="121"/>
      <c r="ET26" s="121"/>
      <c r="EU26" s="121"/>
      <c r="EV26" s="121"/>
      <c r="EW26" s="121"/>
      <c r="EX26" s="121"/>
      <c r="EY26" s="121"/>
      <c r="EZ26" s="121"/>
      <c r="FA26" s="121"/>
      <c r="FB26" s="121"/>
      <c r="FC26" s="121"/>
      <c r="FD26" s="121"/>
      <c r="FE26" s="121"/>
      <c r="FF26" s="121"/>
      <c r="FG26" s="121"/>
      <c r="FH26" s="121"/>
      <c r="FI26" s="121"/>
      <c r="FJ26" s="121"/>
      <c r="FK26" s="121"/>
      <c r="FL26" s="121"/>
      <c r="FM26" s="121"/>
      <c r="FN26" s="121"/>
      <c r="FO26" s="121"/>
      <c r="FP26" s="121"/>
      <c r="FQ26" s="121"/>
      <c r="FR26" s="121"/>
      <c r="FS26" s="121"/>
      <c r="FT26" s="121"/>
      <c r="FU26" s="121"/>
      <c r="FV26" s="121"/>
      <c r="FW26" s="121"/>
      <c r="FX26" s="121"/>
      <c r="FY26" s="121"/>
      <c r="FZ26" s="121"/>
      <c r="GA26" s="121"/>
      <c r="GB26" s="121"/>
      <c r="GC26" s="121"/>
      <c r="GD26" s="121"/>
      <c r="GE26" s="121"/>
      <c r="GF26" s="121"/>
      <c r="GG26" s="121"/>
      <c r="GH26" s="121"/>
      <c r="GI26" s="121"/>
      <c r="GJ26" s="121"/>
      <c r="GK26" s="121"/>
      <c r="GL26" s="121"/>
      <c r="GM26" s="121"/>
      <c r="GN26" s="121"/>
      <c r="GO26" s="121"/>
      <c r="GP26" s="121"/>
    </row>
    <row r="27" spans="2:198" s="112" customFormat="1">
      <c r="B27" s="238">
        <f t="shared" si="2"/>
        <v>2.9000000000000008</v>
      </c>
      <c r="C27" s="239" t="s">
        <v>175</v>
      </c>
      <c r="D27" s="205"/>
      <c r="E27" s="633"/>
      <c r="F27" s="241"/>
      <c r="G27" s="240"/>
      <c r="H27" s="228"/>
      <c r="I27" s="633">
        <v>45867</v>
      </c>
      <c r="J27" s="241">
        <v>0</v>
      </c>
      <c r="K27" s="240">
        <f>WORKDAY.INTL(I27,J27,1,Data!$C$3:$C$41)</f>
        <v>45867</v>
      </c>
      <c r="M27" s="243">
        <v>1</v>
      </c>
      <c r="N27" s="243">
        <f t="shared" ca="1" si="1"/>
        <v>1</v>
      </c>
      <c r="O27" s="122"/>
      <c r="Q27" s="124"/>
      <c r="R27" s="121"/>
      <c r="S27" s="691" t="str">
        <f>C110</f>
        <v>QA Inspection &amp; Snag Completion</v>
      </c>
      <c r="T27" s="693">
        <f>I110</f>
        <v>46048</v>
      </c>
      <c r="U27" s="692">
        <f>J110</f>
        <v>22</v>
      </c>
      <c r="V27" s="692">
        <f>F110</f>
        <v>58</v>
      </c>
      <c r="W27" s="693">
        <f>K110</f>
        <v>46070</v>
      </c>
      <c r="X27" s="699">
        <f>M110</f>
        <v>0.52</v>
      </c>
      <c r="Y27" s="851"/>
      <c r="Z27" s="851"/>
      <c r="AA27" s="851"/>
      <c r="AB27" s="851"/>
      <c r="AC27" s="121"/>
      <c r="AD27" s="121"/>
      <c r="AE27" s="121"/>
      <c r="AF27" s="121"/>
      <c r="AG27" s="121"/>
      <c r="AH27" s="121"/>
      <c r="AI27" s="121"/>
      <c r="AJ27" s="121"/>
      <c r="AK27" s="121"/>
      <c r="AL27" s="121"/>
      <c r="AM27" s="121"/>
      <c r="AN27" s="121"/>
      <c r="AO27" s="121"/>
      <c r="AP27" s="121"/>
      <c r="AQ27" s="121"/>
      <c r="AR27" s="121"/>
      <c r="AS27" s="121"/>
      <c r="AT27" s="121"/>
      <c r="AU27" s="121"/>
      <c r="AV27" s="121"/>
      <c r="AW27" s="121"/>
      <c r="AX27" s="121"/>
      <c r="AY27" s="121"/>
      <c r="AZ27" s="121"/>
      <c r="BA27" s="121"/>
      <c r="BB27" s="121"/>
      <c r="BC27" s="121"/>
      <c r="BD27" s="121"/>
      <c r="BE27" s="121"/>
      <c r="BF27" s="121"/>
      <c r="BG27" s="121"/>
      <c r="BH27" s="121"/>
      <c r="BI27" s="121"/>
      <c r="BJ27" s="121"/>
      <c r="BK27" s="121"/>
      <c r="BL27" s="121"/>
      <c r="BM27" s="121"/>
      <c r="BN27" s="121"/>
      <c r="BO27" s="121"/>
      <c r="BP27" s="121"/>
      <c r="BQ27" s="121"/>
      <c r="BR27" s="121"/>
      <c r="BS27" s="121"/>
      <c r="BT27" s="121"/>
      <c r="BU27" s="121"/>
      <c r="BV27" s="121"/>
      <c r="BW27" s="121"/>
      <c r="BX27" s="121"/>
      <c r="BY27" s="121"/>
      <c r="BZ27" s="121"/>
      <c r="CA27" s="121"/>
      <c r="CB27" s="121"/>
      <c r="CC27" s="121"/>
      <c r="CD27" s="121"/>
      <c r="CE27" s="121"/>
      <c r="CF27" s="121"/>
      <c r="CG27" s="121"/>
      <c r="CH27" s="121"/>
      <c r="CI27" s="121"/>
      <c r="CJ27" s="121"/>
      <c r="CK27" s="121"/>
      <c r="CL27" s="121"/>
      <c r="CM27" s="121"/>
      <c r="CN27" s="121"/>
      <c r="CO27" s="121"/>
      <c r="CP27" s="121"/>
      <c r="CQ27" s="121"/>
      <c r="CR27" s="121"/>
      <c r="CS27" s="121"/>
      <c r="CT27" s="121"/>
      <c r="CU27" s="121"/>
      <c r="CV27" s="121"/>
      <c r="CW27" s="121"/>
      <c r="CX27" s="121"/>
      <c r="CY27" s="121"/>
      <c r="CZ27" s="121"/>
      <c r="DA27" s="121"/>
      <c r="DB27" s="121"/>
      <c r="DC27" s="121"/>
      <c r="DD27" s="121"/>
      <c r="DE27" s="121"/>
      <c r="DF27" s="121"/>
      <c r="DG27" s="121"/>
      <c r="DH27" s="121"/>
      <c r="DI27" s="121"/>
      <c r="DJ27" s="121"/>
      <c r="DK27" s="121"/>
      <c r="DL27" s="121"/>
      <c r="DM27" s="121"/>
      <c r="DN27" s="121"/>
      <c r="DO27" s="121"/>
      <c r="DP27" s="121"/>
      <c r="DQ27" s="121"/>
      <c r="DR27" s="121"/>
      <c r="DS27" s="121"/>
      <c r="DT27" s="121"/>
      <c r="DU27" s="121"/>
      <c r="DV27" s="121"/>
      <c r="DW27" s="121"/>
      <c r="DX27" s="121"/>
      <c r="DY27" s="121"/>
      <c r="DZ27" s="121"/>
      <c r="EA27" s="121"/>
      <c r="EB27" s="121"/>
      <c r="EC27" s="121"/>
      <c r="ED27" s="121"/>
      <c r="EE27" s="121"/>
      <c r="EF27" s="121"/>
      <c r="EG27" s="121"/>
      <c r="EH27" s="121"/>
      <c r="EI27" s="121"/>
      <c r="EJ27" s="121"/>
      <c r="EK27" s="121"/>
      <c r="EL27" s="121"/>
      <c r="EM27" s="121"/>
      <c r="EN27" s="121"/>
      <c r="EO27" s="121"/>
      <c r="EP27" s="121"/>
      <c r="EQ27" s="121"/>
      <c r="ER27" s="121"/>
      <c r="ES27" s="121"/>
      <c r="ET27" s="121"/>
      <c r="EU27" s="121"/>
      <c r="EV27" s="121"/>
      <c r="EW27" s="121"/>
      <c r="EX27" s="121"/>
      <c r="EY27" s="121"/>
      <c r="EZ27" s="121"/>
      <c r="FA27" s="121"/>
      <c r="FB27" s="121"/>
      <c r="FC27" s="121"/>
      <c r="FD27" s="121"/>
      <c r="FE27" s="121"/>
      <c r="FF27" s="121"/>
      <c r="FG27" s="121"/>
      <c r="FH27" s="121"/>
      <c r="FI27" s="121"/>
      <c r="FJ27" s="121"/>
      <c r="FK27" s="121"/>
      <c r="FL27" s="121"/>
      <c r="FM27" s="121"/>
      <c r="FN27" s="121"/>
      <c r="FO27" s="121"/>
      <c r="FP27" s="121"/>
      <c r="FQ27" s="121"/>
      <c r="FR27" s="121"/>
      <c r="FS27" s="121"/>
      <c r="FT27" s="121"/>
      <c r="FU27" s="121"/>
      <c r="FV27" s="121"/>
      <c r="FW27" s="121"/>
      <c r="FX27" s="121"/>
      <c r="FY27" s="121"/>
      <c r="FZ27" s="121"/>
      <c r="GA27" s="121"/>
      <c r="GB27" s="121"/>
      <c r="GC27" s="121"/>
      <c r="GD27" s="121"/>
      <c r="GE27" s="121"/>
      <c r="GF27" s="121"/>
      <c r="GG27" s="121"/>
      <c r="GH27" s="121"/>
      <c r="GI27" s="121"/>
      <c r="GJ27" s="121"/>
      <c r="GK27" s="121"/>
      <c r="GL27" s="121"/>
      <c r="GM27" s="121"/>
      <c r="GN27" s="121"/>
      <c r="GO27" s="121"/>
      <c r="GP27" s="121"/>
    </row>
    <row r="28" spans="2:198" s="112" customFormat="1">
      <c r="B28" s="694">
        <v>2.1</v>
      </c>
      <c r="C28" s="239" t="s">
        <v>176</v>
      </c>
      <c r="D28" s="205"/>
      <c r="E28" s="633"/>
      <c r="F28" s="241"/>
      <c r="G28" s="240"/>
      <c r="H28" s="228"/>
      <c r="I28" s="633">
        <v>45867</v>
      </c>
      <c r="J28" s="241">
        <v>0</v>
      </c>
      <c r="K28" s="240">
        <f>WORKDAY.INTL(I28,J28,1,Data!$C$3:$C$41)</f>
        <v>45867</v>
      </c>
      <c r="M28" s="243">
        <v>1</v>
      </c>
      <c r="N28" s="243">
        <f t="shared" ca="1" si="1"/>
        <v>1</v>
      </c>
      <c r="O28" s="122"/>
      <c r="Q28" s="124"/>
      <c r="R28" s="121"/>
      <c r="S28" s="691" t="str">
        <f>C117</f>
        <v>Project Closure</v>
      </c>
      <c r="T28" s="693">
        <f>I117</f>
        <v>46006</v>
      </c>
      <c r="U28" s="692">
        <f>J117</f>
        <v>72</v>
      </c>
      <c r="V28" s="692">
        <f>F117</f>
        <v>70</v>
      </c>
      <c r="W28" s="693">
        <f>K117</f>
        <v>46078</v>
      </c>
      <c r="X28" s="699">
        <f>M117</f>
        <v>0.18333333333333335</v>
      </c>
      <c r="Y28" s="851"/>
      <c r="Z28" s="851"/>
      <c r="AA28" s="851"/>
      <c r="AB28" s="851"/>
      <c r="AC28" s="121"/>
      <c r="AD28" s="121"/>
      <c r="AE28" s="121"/>
      <c r="AF28" s="121"/>
      <c r="AG28" s="121"/>
      <c r="AH28" s="121"/>
      <c r="AI28" s="121"/>
      <c r="AJ28" s="121"/>
      <c r="AK28" s="121"/>
      <c r="AL28" s="121"/>
      <c r="AM28" s="121"/>
      <c r="AN28" s="121"/>
      <c r="AO28" s="121"/>
      <c r="AP28" s="121"/>
      <c r="AQ28" s="121"/>
      <c r="AR28" s="121"/>
      <c r="AS28" s="121"/>
      <c r="AT28" s="121"/>
      <c r="AU28" s="121"/>
      <c r="AV28" s="121"/>
      <c r="AW28" s="121"/>
      <c r="AX28" s="121"/>
      <c r="AY28" s="121"/>
      <c r="AZ28" s="121"/>
      <c r="BA28" s="121"/>
      <c r="BB28" s="121"/>
      <c r="BC28" s="121"/>
      <c r="BD28" s="121"/>
      <c r="BE28" s="121"/>
      <c r="BF28" s="121"/>
      <c r="BG28" s="121"/>
      <c r="BH28" s="121"/>
      <c r="BI28" s="121"/>
      <c r="BJ28" s="121"/>
      <c r="BK28" s="121"/>
      <c r="BL28" s="121"/>
      <c r="BM28" s="121"/>
      <c r="BN28" s="121"/>
      <c r="BO28" s="121"/>
      <c r="BP28" s="121"/>
      <c r="BQ28" s="121"/>
      <c r="BR28" s="121"/>
      <c r="BS28" s="121"/>
      <c r="BT28" s="121"/>
      <c r="BU28" s="121"/>
      <c r="BV28" s="121"/>
      <c r="BW28" s="121"/>
      <c r="BX28" s="121"/>
      <c r="BY28" s="121"/>
      <c r="BZ28" s="121"/>
      <c r="CA28" s="121"/>
      <c r="CB28" s="121"/>
      <c r="CC28" s="121"/>
      <c r="CD28" s="121"/>
      <c r="CE28" s="121"/>
      <c r="CF28" s="121"/>
      <c r="CG28" s="121"/>
      <c r="CH28" s="121"/>
      <c r="CI28" s="121"/>
      <c r="CJ28" s="121"/>
      <c r="CK28" s="121"/>
      <c r="CL28" s="121"/>
      <c r="CM28" s="121"/>
      <c r="CN28" s="121"/>
      <c r="CO28" s="121"/>
      <c r="CP28" s="121"/>
      <c r="CQ28" s="121"/>
      <c r="CR28" s="121"/>
      <c r="CS28" s="121"/>
      <c r="CT28" s="121"/>
      <c r="CU28" s="121"/>
      <c r="CV28" s="121"/>
      <c r="CW28" s="121"/>
      <c r="CX28" s="121"/>
      <c r="CY28" s="121"/>
      <c r="CZ28" s="121"/>
      <c r="DA28" s="121"/>
      <c r="DB28" s="121"/>
      <c r="DC28" s="121"/>
      <c r="DD28" s="121"/>
      <c r="DE28" s="121"/>
      <c r="DF28" s="121"/>
      <c r="DG28" s="121"/>
      <c r="DH28" s="121"/>
      <c r="DI28" s="121"/>
      <c r="DJ28" s="121"/>
      <c r="DK28" s="121"/>
      <c r="DL28" s="121"/>
      <c r="DM28" s="121"/>
      <c r="DN28" s="121"/>
      <c r="DO28" s="121"/>
      <c r="DP28" s="121"/>
      <c r="DQ28" s="121"/>
      <c r="DR28" s="121"/>
      <c r="DS28" s="121"/>
      <c r="DT28" s="121"/>
      <c r="DU28" s="121"/>
      <c r="DV28" s="121"/>
      <c r="DW28" s="121"/>
      <c r="DX28" s="121"/>
      <c r="DY28" s="121"/>
      <c r="DZ28" s="121"/>
      <c r="EA28" s="121"/>
      <c r="EB28" s="121"/>
      <c r="EC28" s="121"/>
      <c r="ED28" s="121"/>
      <c r="EE28" s="121"/>
      <c r="EF28" s="121"/>
      <c r="EG28" s="121"/>
      <c r="EH28" s="121"/>
      <c r="EI28" s="121"/>
      <c r="EJ28" s="121"/>
      <c r="EK28" s="121"/>
      <c r="EL28" s="121"/>
      <c r="EM28" s="121"/>
      <c r="EN28" s="121"/>
      <c r="EO28" s="121"/>
      <c r="EP28" s="121"/>
      <c r="EQ28" s="121"/>
      <c r="ER28" s="121"/>
      <c r="ES28" s="121"/>
      <c r="ET28" s="121"/>
      <c r="EU28" s="121"/>
      <c r="EV28" s="121"/>
      <c r="EW28" s="121"/>
      <c r="EX28" s="121"/>
      <c r="EY28" s="121"/>
      <c r="EZ28" s="121"/>
      <c r="FA28" s="121"/>
      <c r="FB28" s="121"/>
      <c r="FC28" s="121"/>
      <c r="FD28" s="121"/>
      <c r="FE28" s="121"/>
      <c r="FF28" s="121"/>
      <c r="FG28" s="121"/>
      <c r="FH28" s="121"/>
      <c r="FI28" s="121"/>
      <c r="FJ28" s="121"/>
      <c r="FK28" s="121"/>
      <c r="FL28" s="121"/>
      <c r="FM28" s="121"/>
      <c r="FN28" s="121"/>
      <c r="FO28" s="121"/>
      <c r="FP28" s="121"/>
      <c r="FQ28" s="121"/>
      <c r="FR28" s="121"/>
      <c r="FS28" s="121"/>
      <c r="FT28" s="121"/>
      <c r="FU28" s="121"/>
      <c r="FV28" s="121"/>
      <c r="FW28" s="121"/>
      <c r="FX28" s="121"/>
      <c r="FY28" s="121"/>
      <c r="FZ28" s="121"/>
      <c r="GA28" s="121"/>
      <c r="GB28" s="121"/>
      <c r="GC28" s="121"/>
      <c r="GD28" s="121"/>
      <c r="GE28" s="121"/>
      <c r="GF28" s="121"/>
      <c r="GG28" s="121"/>
      <c r="GH28" s="121"/>
      <c r="GI28" s="121"/>
      <c r="GJ28" s="121"/>
      <c r="GK28" s="121"/>
      <c r="GL28" s="121"/>
      <c r="GM28" s="121"/>
      <c r="GN28" s="121"/>
      <c r="GO28" s="121"/>
      <c r="GP28" s="121"/>
    </row>
    <row r="29" spans="2:198" s="112" customFormat="1">
      <c r="B29" s="694">
        <v>2.11</v>
      </c>
      <c r="C29" s="239" t="s">
        <v>177</v>
      </c>
      <c r="D29" s="205"/>
      <c r="E29" s="633"/>
      <c r="F29" s="241"/>
      <c r="G29" s="240"/>
      <c r="H29" s="228"/>
      <c r="I29" s="633">
        <v>45867</v>
      </c>
      <c r="J29" s="241">
        <v>21</v>
      </c>
      <c r="K29" s="240">
        <f>WORKDAY.INTL(I29,J29,1,Data!$C$3:$C$41)</f>
        <v>45896</v>
      </c>
      <c r="M29" s="243">
        <v>1</v>
      </c>
      <c r="N29" s="243">
        <f t="shared" ca="1" si="1"/>
        <v>1</v>
      </c>
      <c r="O29" s="122" t="s">
        <v>178</v>
      </c>
      <c r="Q29" s="124"/>
      <c r="R29" s="121"/>
      <c r="S29" s="121"/>
      <c r="T29" s="121"/>
      <c r="U29" s="121"/>
      <c r="V29" s="121"/>
      <c r="W29" s="121"/>
      <c r="X29" s="121"/>
      <c r="Y29" s="121"/>
      <c r="Z29" s="121"/>
      <c r="AA29" s="121"/>
      <c r="AB29" s="121"/>
      <c r="AC29" s="121"/>
      <c r="AD29" s="121"/>
      <c r="AE29" s="121"/>
      <c r="AF29" s="121"/>
      <c r="AG29" s="121"/>
      <c r="AH29" s="121"/>
      <c r="AI29" s="121"/>
      <c r="AJ29" s="121"/>
      <c r="AK29" s="121"/>
      <c r="AL29" s="121"/>
      <c r="AM29" s="121"/>
      <c r="AN29" s="121"/>
      <c r="AO29" s="121"/>
      <c r="AP29" s="121"/>
      <c r="AQ29" s="121"/>
      <c r="AR29" s="121"/>
      <c r="AS29" s="121"/>
      <c r="AT29" s="121"/>
      <c r="AU29" s="121"/>
      <c r="AV29" s="121"/>
      <c r="AW29" s="121"/>
      <c r="AX29" s="121"/>
      <c r="AY29" s="121"/>
      <c r="AZ29" s="121"/>
      <c r="BA29" s="121"/>
      <c r="BB29" s="121"/>
      <c r="BC29" s="121"/>
      <c r="BD29" s="121"/>
      <c r="BE29" s="121"/>
      <c r="BF29" s="121"/>
      <c r="BG29" s="121"/>
      <c r="BH29" s="121"/>
      <c r="BI29" s="121"/>
      <c r="BJ29" s="121"/>
      <c r="BK29" s="121"/>
      <c r="BL29" s="121"/>
      <c r="BM29" s="121"/>
      <c r="BN29" s="121"/>
      <c r="BO29" s="121"/>
      <c r="BP29" s="121"/>
      <c r="BQ29" s="121"/>
      <c r="BR29" s="121"/>
      <c r="BS29" s="121"/>
      <c r="BT29" s="121"/>
      <c r="BU29" s="121"/>
      <c r="BV29" s="121"/>
      <c r="BW29" s="121"/>
      <c r="BX29" s="121"/>
      <c r="BY29" s="121"/>
      <c r="BZ29" s="121"/>
      <c r="CA29" s="121"/>
      <c r="CB29" s="121"/>
      <c r="CC29" s="121"/>
      <c r="CD29" s="121"/>
      <c r="CE29" s="121"/>
      <c r="CF29" s="121"/>
      <c r="CG29" s="121"/>
      <c r="CH29" s="121"/>
      <c r="CI29" s="121"/>
      <c r="CJ29" s="121"/>
      <c r="CK29" s="121"/>
      <c r="CL29" s="121"/>
      <c r="CM29" s="121"/>
      <c r="CN29" s="121"/>
      <c r="CO29" s="121"/>
      <c r="CP29" s="121"/>
      <c r="CQ29" s="121"/>
      <c r="CR29" s="121"/>
      <c r="CS29" s="121"/>
      <c r="CT29" s="121"/>
      <c r="CU29" s="121"/>
      <c r="CV29" s="121"/>
      <c r="CW29" s="121"/>
      <c r="CX29" s="121"/>
      <c r="CY29" s="121"/>
      <c r="CZ29" s="121"/>
      <c r="DA29" s="121"/>
      <c r="DB29" s="121"/>
      <c r="DC29" s="121"/>
      <c r="DD29" s="121"/>
      <c r="DE29" s="121"/>
      <c r="DF29" s="121"/>
      <c r="DG29" s="121"/>
      <c r="DH29" s="121"/>
      <c r="DI29" s="121"/>
      <c r="DJ29" s="121"/>
      <c r="DK29" s="121"/>
      <c r="DL29" s="121"/>
      <c r="DM29" s="121"/>
      <c r="DN29" s="121"/>
      <c r="DO29" s="121"/>
      <c r="DP29" s="121"/>
      <c r="DQ29" s="121"/>
      <c r="DR29" s="121"/>
      <c r="DS29" s="121"/>
      <c r="DT29" s="121"/>
      <c r="DU29" s="121"/>
      <c r="DV29" s="121"/>
      <c r="DW29" s="121"/>
      <c r="DX29" s="121"/>
      <c r="DY29" s="121"/>
      <c r="DZ29" s="121"/>
      <c r="EA29" s="121"/>
      <c r="EB29" s="121"/>
      <c r="EC29" s="121"/>
      <c r="ED29" s="121"/>
      <c r="EE29" s="121"/>
      <c r="EF29" s="121"/>
      <c r="EG29" s="121"/>
      <c r="EH29" s="121"/>
      <c r="EI29" s="121"/>
      <c r="EJ29" s="121"/>
      <c r="EK29" s="121"/>
      <c r="EL29" s="121"/>
      <c r="EM29" s="121"/>
      <c r="EN29" s="121"/>
      <c r="EO29" s="121"/>
      <c r="EP29" s="121"/>
      <c r="EQ29" s="121"/>
      <c r="ER29" s="121"/>
      <c r="ES29" s="121"/>
      <c r="ET29" s="121"/>
      <c r="EU29" s="121"/>
      <c r="EV29" s="121"/>
      <c r="EW29" s="121"/>
      <c r="EX29" s="121"/>
      <c r="EY29" s="121"/>
      <c r="EZ29" s="121"/>
      <c r="FA29" s="121"/>
      <c r="FB29" s="121"/>
      <c r="FC29" s="121"/>
      <c r="FD29" s="121"/>
      <c r="FE29" s="121"/>
      <c r="FF29" s="121"/>
      <c r="FG29" s="121"/>
      <c r="FH29" s="121"/>
      <c r="FI29" s="121"/>
      <c r="FJ29" s="121"/>
      <c r="FK29" s="121"/>
      <c r="FL29" s="121"/>
      <c r="FM29" s="121"/>
      <c r="FN29" s="121"/>
      <c r="FO29" s="121"/>
      <c r="FP29" s="121"/>
      <c r="FQ29" s="121"/>
      <c r="FR29" s="121"/>
      <c r="FS29" s="121"/>
      <c r="FT29" s="121"/>
      <c r="FU29" s="121"/>
      <c r="FV29" s="121"/>
      <c r="FW29" s="121"/>
      <c r="FX29" s="121"/>
      <c r="FY29" s="121"/>
      <c r="FZ29" s="121"/>
      <c r="GA29" s="121"/>
      <c r="GB29" s="121"/>
      <c r="GC29" s="121"/>
      <c r="GD29" s="121"/>
      <c r="GE29" s="121"/>
      <c r="GF29" s="121"/>
      <c r="GG29" s="121"/>
      <c r="GH29" s="121"/>
      <c r="GI29" s="121"/>
      <c r="GJ29" s="121"/>
      <c r="GK29" s="121"/>
      <c r="GL29" s="121"/>
      <c r="GM29" s="121"/>
      <c r="GN29" s="121"/>
      <c r="GO29" s="121"/>
      <c r="GP29" s="121"/>
    </row>
    <row r="30" spans="2:198" s="112" customFormat="1">
      <c r="B30" s="694">
        <v>2.12</v>
      </c>
      <c r="C30" s="696" t="s">
        <v>179</v>
      </c>
      <c r="D30" s="205"/>
      <c r="E30" s="633"/>
      <c r="F30" s="241"/>
      <c r="G30" s="240"/>
      <c r="H30" s="228"/>
      <c r="I30" s="633">
        <v>45867</v>
      </c>
      <c r="J30" s="241">
        <f>K30-I30</f>
        <v>23</v>
      </c>
      <c r="K30" s="240">
        <f>K23</f>
        <v>45890</v>
      </c>
      <c r="M30" s="243">
        <v>1</v>
      </c>
      <c r="N30" s="243">
        <f t="shared" ca="1" si="1"/>
        <v>1</v>
      </c>
      <c r="O30" s="122"/>
      <c r="Q30" s="124"/>
      <c r="R30" s="121"/>
      <c r="S30" s="121"/>
      <c r="T30" s="121"/>
      <c r="U30" s="121"/>
      <c r="V30" s="121"/>
      <c r="W30" s="121"/>
      <c r="X30" s="121"/>
      <c r="Y30" s="121"/>
      <c r="Z30" s="121"/>
      <c r="AA30" s="121"/>
      <c r="AB30" s="121"/>
      <c r="AC30" s="121"/>
      <c r="AD30" s="121"/>
      <c r="AE30" s="121"/>
      <c r="AF30" s="121"/>
      <c r="AG30" s="121"/>
      <c r="AH30" s="121"/>
      <c r="AI30" s="121"/>
      <c r="AJ30" s="121"/>
      <c r="AK30" s="121"/>
      <c r="AL30" s="121"/>
      <c r="AM30" s="121"/>
      <c r="AN30" s="121"/>
      <c r="AO30" s="121"/>
      <c r="AP30" s="121"/>
      <c r="AQ30" s="121"/>
      <c r="AR30" s="121"/>
      <c r="AS30" s="121"/>
      <c r="AT30" s="121"/>
      <c r="AU30" s="121"/>
      <c r="AV30" s="121"/>
      <c r="AW30" s="121"/>
      <c r="AX30" s="121"/>
      <c r="AY30" s="121"/>
      <c r="AZ30" s="121"/>
      <c r="BA30" s="121"/>
      <c r="BB30" s="121"/>
      <c r="BC30" s="121"/>
      <c r="BD30" s="121"/>
      <c r="BE30" s="121"/>
      <c r="BF30" s="121"/>
      <c r="BG30" s="121"/>
      <c r="BH30" s="121"/>
      <c r="BI30" s="121"/>
      <c r="BJ30" s="121"/>
      <c r="BK30" s="121"/>
      <c r="BL30" s="121"/>
      <c r="BM30" s="121"/>
      <c r="BN30" s="121"/>
      <c r="BO30" s="121"/>
      <c r="BP30" s="121"/>
      <c r="BQ30" s="121"/>
      <c r="BR30" s="121"/>
      <c r="BS30" s="121"/>
      <c r="BT30" s="121"/>
      <c r="BU30" s="121"/>
      <c r="BV30" s="121"/>
      <c r="BW30" s="121"/>
      <c r="BX30" s="121"/>
      <c r="BY30" s="121"/>
      <c r="BZ30" s="121"/>
      <c r="CA30" s="121"/>
      <c r="CB30" s="121"/>
      <c r="CC30" s="121"/>
      <c r="CD30" s="121"/>
      <c r="CE30" s="121"/>
      <c r="CF30" s="121"/>
      <c r="CG30" s="121"/>
      <c r="CH30" s="121"/>
      <c r="CI30" s="121"/>
      <c r="CJ30" s="121"/>
      <c r="CK30" s="121"/>
      <c r="CL30" s="121"/>
      <c r="CM30" s="121"/>
      <c r="CN30" s="121"/>
      <c r="CO30" s="121"/>
      <c r="CP30" s="121"/>
      <c r="CQ30" s="121"/>
      <c r="CR30" s="121"/>
      <c r="CS30" s="121"/>
      <c r="CT30" s="121"/>
      <c r="CU30" s="121"/>
      <c r="CV30" s="121"/>
      <c r="CW30" s="121"/>
      <c r="CX30" s="121"/>
      <c r="CY30" s="121"/>
      <c r="CZ30" s="121"/>
      <c r="DA30" s="121"/>
      <c r="DB30" s="121"/>
      <c r="DC30" s="121"/>
      <c r="DD30" s="121"/>
      <c r="DE30" s="121"/>
      <c r="DF30" s="121"/>
      <c r="DG30" s="121"/>
      <c r="DH30" s="121"/>
      <c r="DI30" s="121"/>
      <c r="DJ30" s="121"/>
      <c r="DK30" s="121"/>
      <c r="DL30" s="121"/>
      <c r="DM30" s="121"/>
      <c r="DN30" s="121"/>
      <c r="DO30" s="121"/>
      <c r="DP30" s="121"/>
      <c r="DQ30" s="121"/>
      <c r="DR30" s="121"/>
      <c r="DS30" s="121"/>
      <c r="DT30" s="121"/>
      <c r="DU30" s="121"/>
      <c r="DV30" s="121"/>
      <c r="DW30" s="121"/>
      <c r="DX30" s="121"/>
      <c r="DY30" s="121"/>
      <c r="DZ30" s="121"/>
      <c r="EA30" s="121"/>
      <c r="EB30" s="121"/>
      <c r="EC30" s="121"/>
      <c r="ED30" s="121"/>
      <c r="EE30" s="121"/>
      <c r="EF30" s="121"/>
      <c r="EG30" s="121"/>
      <c r="EH30" s="121"/>
      <c r="EI30" s="121"/>
      <c r="EJ30" s="121"/>
      <c r="EK30" s="121"/>
      <c r="EL30" s="121"/>
      <c r="EM30" s="121"/>
      <c r="EN30" s="121"/>
      <c r="EO30" s="121"/>
      <c r="EP30" s="121"/>
      <c r="EQ30" s="121"/>
      <c r="ER30" s="121"/>
      <c r="ES30" s="121"/>
      <c r="ET30" s="121"/>
      <c r="EU30" s="121"/>
      <c r="EV30" s="121"/>
      <c r="EW30" s="121"/>
      <c r="EX30" s="121"/>
      <c r="EY30" s="121"/>
      <c r="EZ30" s="121"/>
      <c r="FA30" s="121"/>
      <c r="FB30" s="121"/>
      <c r="FC30" s="121"/>
      <c r="FD30" s="121"/>
      <c r="FE30" s="121"/>
      <c r="FF30" s="121"/>
      <c r="FG30" s="121"/>
      <c r="FH30" s="121"/>
      <c r="FI30" s="121"/>
      <c r="FJ30" s="121"/>
      <c r="FK30" s="121"/>
      <c r="FL30" s="121"/>
      <c r="FM30" s="121"/>
      <c r="FN30" s="121"/>
      <c r="FO30" s="121"/>
      <c r="FP30" s="121"/>
      <c r="FQ30" s="121"/>
      <c r="FR30" s="121"/>
      <c r="FS30" s="121"/>
      <c r="FT30" s="121"/>
      <c r="FU30" s="121"/>
      <c r="FV30" s="121"/>
      <c r="FW30" s="121"/>
      <c r="FX30" s="121"/>
      <c r="FY30" s="121"/>
      <c r="FZ30" s="121"/>
      <c r="GA30" s="121"/>
      <c r="GB30" s="121"/>
      <c r="GC30" s="121"/>
      <c r="GD30" s="121"/>
      <c r="GE30" s="121"/>
      <c r="GF30" s="121"/>
      <c r="GG30" s="121"/>
      <c r="GH30" s="121"/>
      <c r="GI30" s="121"/>
      <c r="GJ30" s="121"/>
      <c r="GK30" s="121"/>
      <c r="GL30" s="121"/>
      <c r="GM30" s="121"/>
      <c r="GN30" s="121"/>
      <c r="GO30" s="121"/>
      <c r="GP30" s="121"/>
    </row>
    <row r="31" spans="2:198" s="112" customFormat="1" ht="4.5" customHeight="1">
      <c r="B31" s="229"/>
      <c r="C31" s="205"/>
      <c r="D31" s="205"/>
      <c r="E31" s="230"/>
      <c r="F31" s="230"/>
      <c r="G31" s="231"/>
      <c r="H31" s="228"/>
      <c r="I31" s="230"/>
      <c r="J31" s="230"/>
      <c r="K31" s="231"/>
      <c r="N31" s="168"/>
      <c r="Q31" s="3"/>
    </row>
    <row r="32" spans="2:198" s="114" customFormat="1">
      <c r="B32" s="234">
        <v>3</v>
      </c>
      <c r="C32" s="235" t="s">
        <v>180</v>
      </c>
      <c r="D32" s="209"/>
      <c r="E32" s="236">
        <f>MIN(E33:E40)</f>
        <v>45795</v>
      </c>
      <c r="F32" s="237">
        <f>G32-E32</f>
        <v>124</v>
      </c>
      <c r="G32" s="236">
        <f>MAX(G33:G40)</f>
        <v>45919</v>
      </c>
      <c r="H32" s="242"/>
      <c r="I32" s="236">
        <v>45796</v>
      </c>
      <c r="J32" s="237">
        <f>K32-I32</f>
        <v>193</v>
      </c>
      <c r="K32" s="236">
        <f>MAX(K33:K40)</f>
        <v>45989</v>
      </c>
      <c r="M32" s="350">
        <f>AVERAGE(M33:M40)</f>
        <v>1</v>
      </c>
      <c r="N32" s="350">
        <f ca="1">AVERAGE(N33:N40)</f>
        <v>1</v>
      </c>
      <c r="O32" s="119"/>
      <c r="P32" s="112"/>
      <c r="Q32" s="123"/>
      <c r="R32" s="118"/>
      <c r="S32" s="121"/>
      <c r="T32" s="118"/>
      <c r="U32" s="118"/>
      <c r="V32" s="118"/>
      <c r="W32" s="118"/>
      <c r="X32" s="118"/>
      <c r="Y32" s="118"/>
      <c r="Z32" s="118"/>
      <c r="AA32" s="118"/>
      <c r="AB32" s="118"/>
      <c r="AC32" s="118"/>
      <c r="AD32" s="118"/>
      <c r="AE32" s="118"/>
      <c r="AF32" s="118"/>
      <c r="AG32" s="118"/>
      <c r="AH32" s="118"/>
      <c r="AI32" s="118"/>
      <c r="AJ32" s="118"/>
      <c r="AK32" s="118"/>
      <c r="AL32" s="118"/>
      <c r="AM32" s="118"/>
      <c r="AN32" s="118"/>
      <c r="AO32" s="118"/>
      <c r="AP32" s="118"/>
      <c r="AQ32" s="118"/>
      <c r="AR32" s="118"/>
      <c r="AS32" s="118"/>
      <c r="AT32" s="118"/>
      <c r="AU32" s="118"/>
      <c r="AV32" s="118"/>
      <c r="AW32" s="118"/>
      <c r="AX32" s="118"/>
      <c r="AY32" s="118"/>
      <c r="AZ32" s="118"/>
      <c r="BA32" s="118"/>
      <c r="BB32" s="118"/>
      <c r="BC32" s="118"/>
      <c r="BD32" s="118"/>
      <c r="BE32" s="118"/>
      <c r="BF32" s="118"/>
      <c r="BG32" s="118"/>
      <c r="BH32" s="118"/>
      <c r="BI32" s="118"/>
      <c r="BJ32" s="118"/>
      <c r="BK32" s="118"/>
      <c r="BL32" s="118"/>
      <c r="BM32" s="118"/>
      <c r="BN32" s="118"/>
      <c r="BO32" s="118"/>
      <c r="BP32" s="118"/>
      <c r="BQ32" s="118"/>
      <c r="BR32" s="118"/>
      <c r="BS32" s="118"/>
      <c r="BT32" s="118"/>
      <c r="BU32" s="118"/>
      <c r="BV32" s="118"/>
      <c r="BW32" s="118"/>
      <c r="BX32" s="118"/>
      <c r="BY32" s="118"/>
      <c r="BZ32" s="118"/>
      <c r="CA32" s="118"/>
      <c r="CB32" s="118"/>
      <c r="CC32" s="118"/>
      <c r="CD32" s="118"/>
      <c r="CE32" s="118"/>
      <c r="CF32" s="118"/>
      <c r="CG32" s="118"/>
      <c r="CH32" s="118"/>
      <c r="CI32" s="118"/>
      <c r="CJ32" s="118"/>
      <c r="CK32" s="118"/>
      <c r="CL32" s="118"/>
      <c r="CM32" s="118"/>
      <c r="CN32" s="118"/>
      <c r="CO32" s="118"/>
      <c r="CP32" s="118"/>
      <c r="CQ32" s="118"/>
      <c r="CR32" s="118"/>
      <c r="CS32" s="118"/>
      <c r="CT32" s="118"/>
      <c r="CU32" s="118"/>
      <c r="CV32" s="118"/>
      <c r="CW32" s="118"/>
      <c r="CX32" s="118"/>
      <c r="CY32" s="118"/>
      <c r="CZ32" s="118"/>
      <c r="DA32" s="118"/>
      <c r="DB32" s="118"/>
      <c r="DC32" s="118"/>
      <c r="DD32" s="118"/>
      <c r="DE32" s="118"/>
      <c r="DF32" s="118"/>
      <c r="DG32" s="118"/>
      <c r="DH32" s="118"/>
      <c r="DI32" s="118"/>
      <c r="DJ32" s="118"/>
      <c r="DK32" s="118"/>
      <c r="DL32" s="118"/>
      <c r="DM32" s="118"/>
      <c r="DN32" s="118"/>
      <c r="DO32" s="118"/>
      <c r="DP32" s="118"/>
      <c r="DQ32" s="118"/>
      <c r="DR32" s="118"/>
      <c r="DS32" s="118"/>
      <c r="DT32" s="118"/>
      <c r="DU32" s="118"/>
      <c r="DV32" s="118"/>
      <c r="DW32" s="118"/>
      <c r="DX32" s="118"/>
      <c r="DY32" s="118"/>
      <c r="DZ32" s="118"/>
      <c r="EA32" s="118"/>
      <c r="EB32" s="118"/>
      <c r="EC32" s="118"/>
      <c r="ED32" s="118"/>
      <c r="EE32" s="118"/>
      <c r="EF32" s="118"/>
      <c r="EG32" s="118"/>
      <c r="EH32" s="118"/>
      <c r="EI32" s="118"/>
      <c r="EJ32" s="118"/>
      <c r="EK32" s="118"/>
      <c r="EL32" s="118"/>
      <c r="EM32" s="118"/>
      <c r="EN32" s="118"/>
      <c r="EO32" s="118"/>
      <c r="EP32" s="118"/>
      <c r="EQ32" s="118"/>
      <c r="ER32" s="118"/>
      <c r="ES32" s="118"/>
      <c r="ET32" s="118"/>
      <c r="EU32" s="118"/>
      <c r="EV32" s="118"/>
      <c r="EW32" s="118"/>
      <c r="EX32" s="118"/>
      <c r="EY32" s="118"/>
      <c r="EZ32" s="118"/>
      <c r="FA32" s="118"/>
      <c r="FB32" s="118"/>
      <c r="FC32" s="118"/>
      <c r="FD32" s="118"/>
      <c r="FE32" s="118"/>
      <c r="FF32" s="118"/>
      <c r="FG32" s="118"/>
      <c r="FH32" s="118"/>
      <c r="FI32" s="118"/>
      <c r="FJ32" s="118"/>
      <c r="FK32" s="118"/>
      <c r="FL32" s="118"/>
      <c r="FM32" s="118"/>
      <c r="FN32" s="118"/>
      <c r="FO32" s="118"/>
      <c r="FP32" s="118"/>
      <c r="FQ32" s="118"/>
      <c r="FR32" s="118"/>
      <c r="FS32" s="118"/>
      <c r="FT32" s="118"/>
      <c r="FU32" s="118"/>
      <c r="FV32" s="118"/>
      <c r="FW32" s="118"/>
      <c r="FX32" s="118"/>
      <c r="FY32" s="118"/>
      <c r="FZ32" s="118"/>
      <c r="GA32" s="118"/>
      <c r="GB32" s="118"/>
      <c r="GC32" s="118"/>
      <c r="GD32" s="118"/>
      <c r="GE32" s="118"/>
      <c r="GF32" s="118"/>
      <c r="GG32" s="118"/>
      <c r="GH32" s="118"/>
      <c r="GI32" s="118"/>
      <c r="GJ32" s="118"/>
      <c r="GK32" s="118"/>
      <c r="GL32" s="118"/>
      <c r="GM32" s="118"/>
      <c r="GN32" s="118"/>
      <c r="GO32" s="118"/>
      <c r="GP32" s="118"/>
    </row>
    <row r="33" spans="2:198" s="112" customFormat="1">
      <c r="B33" s="238">
        <f>B32+0.1</f>
        <v>3.1</v>
      </c>
      <c r="C33" s="239" t="s">
        <v>181</v>
      </c>
      <c r="D33" s="205"/>
      <c r="E33" s="240">
        <v>45795</v>
      </c>
      <c r="F33" s="241">
        <v>89</v>
      </c>
      <c r="G33" s="240">
        <f>WORKDAY.INTL(E33,F33,1,Data!$C$3:$C$41)</f>
        <v>45919</v>
      </c>
      <c r="H33" s="228"/>
      <c r="I33" s="240">
        <v>45795</v>
      </c>
      <c r="J33" s="241">
        <v>138</v>
      </c>
      <c r="K33" s="240">
        <f>WORKDAY.INTL(I33,J33,1,Data!$C$3:$C$41)</f>
        <v>45989</v>
      </c>
      <c r="M33" s="243">
        <v>1</v>
      </c>
      <c r="N33" s="243">
        <f t="shared" ref="N33:N40" ca="1" si="3">_xlfn.LET(
  _xlpm.s,VALUE(I33),
  _xlpm.e,VALUE(K33),
  IF(OR(_xlpm.s="",_xlpm.e=""),"", IF(_xlpm.e&lt;=_xlpm.s, IF(TODAY()&gt;=_xlpm.e,1,0), MAX(0,MIN(1,(TODAY()-_xlpm.s)/(_xlpm.e-_xlpm.s)))))
)</f>
        <v>1</v>
      </c>
      <c r="O33" s="122" t="s">
        <v>182</v>
      </c>
      <c r="Q33" s="124"/>
      <c r="R33" s="121"/>
      <c r="S33" s="118"/>
      <c r="T33" s="121"/>
      <c r="U33" s="121"/>
      <c r="V33" s="121"/>
      <c r="W33" s="121"/>
      <c r="X33" s="121"/>
      <c r="Y33" s="121"/>
      <c r="Z33" s="121"/>
      <c r="AA33" s="121"/>
      <c r="AB33" s="121"/>
      <c r="AC33" s="121"/>
      <c r="AD33" s="121"/>
      <c r="AE33" s="121"/>
      <c r="AF33" s="121"/>
      <c r="AG33" s="121"/>
      <c r="AH33" s="121"/>
      <c r="AI33" s="121"/>
      <c r="AJ33" s="121"/>
      <c r="AK33" s="121"/>
      <c r="AL33" s="121"/>
      <c r="AM33" s="121"/>
      <c r="AN33" s="121"/>
      <c r="AO33" s="121"/>
      <c r="AP33" s="121"/>
      <c r="AQ33" s="121"/>
      <c r="AR33" s="121"/>
      <c r="AS33" s="121"/>
      <c r="AT33" s="121"/>
      <c r="AU33" s="121"/>
      <c r="AV33" s="121"/>
      <c r="AW33" s="121"/>
      <c r="AX33" s="121"/>
      <c r="AY33" s="121"/>
      <c r="AZ33" s="121"/>
      <c r="BA33" s="121"/>
      <c r="BB33" s="121"/>
      <c r="BC33" s="121"/>
      <c r="BD33" s="121"/>
      <c r="BE33" s="121"/>
      <c r="BF33" s="121"/>
      <c r="BG33" s="121"/>
      <c r="BH33" s="121"/>
      <c r="BI33" s="121"/>
      <c r="BJ33" s="121"/>
      <c r="BK33" s="121"/>
      <c r="BL33" s="121"/>
      <c r="BM33" s="121"/>
      <c r="BN33" s="121"/>
      <c r="BO33" s="121"/>
      <c r="BP33" s="121"/>
      <c r="BQ33" s="121"/>
      <c r="BR33" s="121"/>
      <c r="BS33" s="121"/>
      <c r="BT33" s="121"/>
      <c r="BU33" s="121"/>
      <c r="BV33" s="121"/>
      <c r="BW33" s="121"/>
      <c r="BX33" s="121"/>
      <c r="BY33" s="121"/>
      <c r="BZ33" s="121"/>
      <c r="CA33" s="121"/>
      <c r="CB33" s="121"/>
      <c r="CC33" s="121"/>
      <c r="CD33" s="121"/>
      <c r="CE33" s="121"/>
      <c r="CF33" s="121"/>
      <c r="CG33" s="121"/>
      <c r="CH33" s="121"/>
      <c r="CI33" s="121"/>
      <c r="CJ33" s="121"/>
      <c r="CK33" s="121"/>
      <c r="CL33" s="121"/>
      <c r="CM33" s="121"/>
      <c r="CN33" s="121"/>
      <c r="CO33" s="121"/>
      <c r="CP33" s="121"/>
      <c r="CQ33" s="121"/>
      <c r="CR33" s="121"/>
      <c r="CS33" s="121"/>
      <c r="CT33" s="121"/>
      <c r="CU33" s="121"/>
      <c r="CV33" s="121"/>
      <c r="CW33" s="121"/>
      <c r="CX33" s="121"/>
      <c r="CY33" s="121"/>
      <c r="CZ33" s="121"/>
      <c r="DA33" s="121"/>
      <c r="DB33" s="121"/>
      <c r="DC33" s="121"/>
      <c r="DD33" s="121"/>
      <c r="DE33" s="121"/>
      <c r="DF33" s="121"/>
      <c r="DG33" s="121"/>
      <c r="DH33" s="121"/>
      <c r="DI33" s="121"/>
      <c r="DJ33" s="121"/>
      <c r="DK33" s="121"/>
      <c r="DL33" s="121"/>
      <c r="DM33" s="121"/>
      <c r="DN33" s="121"/>
      <c r="DO33" s="121"/>
      <c r="DP33" s="121"/>
      <c r="DQ33" s="121"/>
      <c r="DR33" s="121"/>
      <c r="DS33" s="121"/>
      <c r="DT33" s="121"/>
      <c r="DU33" s="121"/>
      <c r="DV33" s="121"/>
      <c r="DW33" s="121"/>
      <c r="DX33" s="121"/>
      <c r="DY33" s="121"/>
      <c r="DZ33" s="121"/>
      <c r="EA33" s="121"/>
      <c r="EB33" s="121"/>
      <c r="EC33" s="121"/>
      <c r="ED33" s="121"/>
      <c r="EE33" s="121"/>
      <c r="EF33" s="121"/>
      <c r="EG33" s="121"/>
      <c r="EH33" s="121"/>
      <c r="EI33" s="121"/>
      <c r="EJ33" s="121"/>
      <c r="EK33" s="121"/>
      <c r="EL33" s="121"/>
      <c r="EM33" s="121"/>
      <c r="EN33" s="121"/>
      <c r="EO33" s="121"/>
      <c r="EP33" s="121"/>
      <c r="EQ33" s="121"/>
      <c r="ER33" s="121"/>
      <c r="ES33" s="121"/>
      <c r="ET33" s="121"/>
      <c r="EU33" s="121"/>
      <c r="EV33" s="121"/>
      <c r="EW33" s="121"/>
      <c r="EX33" s="121"/>
      <c r="EY33" s="121"/>
      <c r="EZ33" s="121"/>
      <c r="FA33" s="121"/>
      <c r="FB33" s="121"/>
      <c r="FC33" s="121"/>
      <c r="FD33" s="121"/>
      <c r="FE33" s="121"/>
      <c r="FF33" s="121"/>
      <c r="FG33" s="121"/>
      <c r="FH33" s="121"/>
      <c r="FI33" s="121"/>
      <c r="FJ33" s="121"/>
      <c r="FK33" s="121"/>
      <c r="FL33" s="121"/>
      <c r="FM33" s="121"/>
      <c r="FN33" s="121"/>
      <c r="FO33" s="121"/>
      <c r="FP33" s="121"/>
      <c r="FQ33" s="121"/>
      <c r="FR33" s="121"/>
      <c r="FS33" s="121"/>
      <c r="FT33" s="121"/>
      <c r="FU33" s="121"/>
      <c r="FV33" s="121"/>
      <c r="FW33" s="121"/>
      <c r="FX33" s="121"/>
      <c r="FY33" s="121"/>
      <c r="FZ33" s="121"/>
      <c r="GA33" s="121"/>
      <c r="GB33" s="121"/>
      <c r="GC33" s="121"/>
      <c r="GD33" s="121"/>
      <c r="GE33" s="121"/>
      <c r="GF33" s="121"/>
      <c r="GG33" s="121"/>
      <c r="GH33" s="121"/>
      <c r="GI33" s="121"/>
      <c r="GJ33" s="121"/>
      <c r="GK33" s="121"/>
      <c r="GL33" s="121"/>
      <c r="GM33" s="121"/>
      <c r="GN33" s="121"/>
      <c r="GO33" s="121"/>
      <c r="GP33" s="121"/>
    </row>
    <row r="34" spans="2:198" s="112" customFormat="1">
      <c r="B34" s="238">
        <f t="shared" ref="B34:B40" si="4">B33+0.1</f>
        <v>3.2</v>
      </c>
      <c r="C34" s="749" t="s">
        <v>183</v>
      </c>
      <c r="D34" s="750"/>
      <c r="E34" s="633">
        <v>45820</v>
      </c>
      <c r="F34" s="760">
        <v>36</v>
      </c>
      <c r="G34" s="633">
        <f>WORKDAY.INTL(E34,F34,1,Data!$C$3:$C$41)</f>
        <v>45873</v>
      </c>
      <c r="H34" s="761"/>
      <c r="I34" s="633">
        <v>45820</v>
      </c>
      <c r="J34" s="760">
        <v>93</v>
      </c>
      <c r="K34" s="633">
        <f>WORKDAY.INTL(I34,J34,1,Data!$C$3:$C$41)</f>
        <v>45953</v>
      </c>
      <c r="M34" s="243">
        <v>1</v>
      </c>
      <c r="N34" s="243">
        <f t="shared" ca="1" si="3"/>
        <v>1</v>
      </c>
      <c r="O34" s="122" t="s">
        <v>184</v>
      </c>
      <c r="Q34" s="124"/>
      <c r="R34" s="121"/>
      <c r="S34" s="118"/>
      <c r="T34" s="121"/>
      <c r="U34" s="121"/>
      <c r="V34" s="121"/>
      <c r="W34" s="121"/>
      <c r="X34" s="121"/>
      <c r="Y34" s="121"/>
      <c r="Z34" s="121"/>
      <c r="AA34" s="121"/>
      <c r="AB34" s="121"/>
      <c r="AC34" s="121"/>
      <c r="AD34" s="121"/>
      <c r="AE34" s="121"/>
      <c r="AF34" s="121"/>
      <c r="AG34" s="121"/>
      <c r="AH34" s="121"/>
      <c r="AI34" s="121"/>
      <c r="AJ34" s="121"/>
      <c r="AK34" s="121"/>
      <c r="AL34" s="121"/>
      <c r="AM34" s="121"/>
      <c r="AN34" s="121"/>
      <c r="AO34" s="121"/>
      <c r="AP34" s="121"/>
      <c r="AQ34" s="121"/>
      <c r="AR34" s="121"/>
      <c r="AS34" s="121"/>
      <c r="AT34" s="121"/>
      <c r="AU34" s="121"/>
      <c r="AV34" s="121"/>
      <c r="AW34" s="121"/>
      <c r="AX34" s="121"/>
      <c r="AY34" s="121"/>
      <c r="AZ34" s="121"/>
      <c r="BA34" s="121"/>
      <c r="BB34" s="121"/>
      <c r="BC34" s="121"/>
      <c r="BD34" s="121"/>
      <c r="BE34" s="121"/>
      <c r="BF34" s="121"/>
      <c r="BG34" s="121"/>
      <c r="BH34" s="121"/>
      <c r="BI34" s="121"/>
      <c r="BJ34" s="121"/>
      <c r="BK34" s="121"/>
      <c r="BL34" s="121"/>
      <c r="BM34" s="121"/>
      <c r="BN34" s="121"/>
      <c r="BO34" s="121"/>
      <c r="BP34" s="121"/>
      <c r="BQ34" s="121"/>
      <c r="BR34" s="121"/>
      <c r="BS34" s="121"/>
      <c r="BT34" s="121"/>
      <c r="BU34" s="121"/>
      <c r="BV34" s="121"/>
      <c r="BW34" s="121"/>
      <c r="BX34" s="121"/>
      <c r="BY34" s="121"/>
      <c r="BZ34" s="121"/>
      <c r="CA34" s="121"/>
      <c r="CB34" s="121"/>
      <c r="CC34" s="121"/>
      <c r="CD34" s="121"/>
      <c r="CE34" s="121"/>
      <c r="CF34" s="121"/>
      <c r="CG34" s="121"/>
      <c r="CH34" s="121"/>
      <c r="CI34" s="121"/>
      <c r="CJ34" s="121"/>
      <c r="CK34" s="121"/>
      <c r="CL34" s="121"/>
      <c r="CM34" s="121"/>
      <c r="CN34" s="121"/>
      <c r="CO34" s="121"/>
      <c r="CP34" s="121"/>
      <c r="CQ34" s="121"/>
      <c r="CR34" s="121"/>
      <c r="CS34" s="121"/>
      <c r="CT34" s="121"/>
      <c r="CU34" s="121"/>
      <c r="CV34" s="121"/>
      <c r="CW34" s="121"/>
      <c r="CX34" s="121"/>
      <c r="CY34" s="121"/>
      <c r="CZ34" s="121"/>
      <c r="DA34" s="121"/>
      <c r="DB34" s="121"/>
      <c r="DC34" s="121"/>
      <c r="DD34" s="121"/>
      <c r="DE34" s="121"/>
      <c r="DF34" s="121"/>
      <c r="DG34" s="121"/>
      <c r="DH34" s="121"/>
      <c r="DI34" s="121"/>
      <c r="DJ34" s="121"/>
      <c r="DK34" s="121"/>
      <c r="DL34" s="121"/>
      <c r="DM34" s="121"/>
      <c r="DN34" s="121"/>
      <c r="DO34" s="121"/>
      <c r="DP34" s="121"/>
      <c r="DQ34" s="121"/>
      <c r="DR34" s="121"/>
      <c r="DS34" s="121"/>
      <c r="DT34" s="121"/>
      <c r="DU34" s="121"/>
      <c r="DV34" s="121"/>
      <c r="DW34" s="121"/>
      <c r="DX34" s="121"/>
      <c r="DY34" s="121"/>
      <c r="DZ34" s="121"/>
      <c r="EA34" s="121"/>
      <c r="EB34" s="121"/>
      <c r="EC34" s="121"/>
      <c r="ED34" s="121"/>
      <c r="EE34" s="121"/>
      <c r="EF34" s="121"/>
      <c r="EG34" s="121"/>
      <c r="EH34" s="121"/>
      <c r="EI34" s="121"/>
      <c r="EJ34" s="121"/>
      <c r="EK34" s="121"/>
      <c r="EL34" s="121"/>
      <c r="EM34" s="121"/>
      <c r="EN34" s="121"/>
      <c r="EO34" s="121"/>
      <c r="EP34" s="121"/>
      <c r="EQ34" s="121"/>
      <c r="ER34" s="121"/>
      <c r="ES34" s="121"/>
      <c r="ET34" s="121"/>
      <c r="EU34" s="121"/>
      <c r="EV34" s="121"/>
      <c r="EW34" s="121"/>
      <c r="EX34" s="121"/>
      <c r="EY34" s="121"/>
      <c r="EZ34" s="121"/>
      <c r="FA34" s="121"/>
      <c r="FB34" s="121"/>
      <c r="FC34" s="121"/>
      <c r="FD34" s="121"/>
      <c r="FE34" s="121"/>
      <c r="FF34" s="121"/>
      <c r="FG34" s="121"/>
      <c r="FH34" s="121"/>
      <c r="FI34" s="121"/>
      <c r="FJ34" s="121"/>
      <c r="FK34" s="121"/>
      <c r="FL34" s="121"/>
      <c r="FM34" s="121"/>
      <c r="FN34" s="121"/>
      <c r="FO34" s="121"/>
      <c r="FP34" s="121"/>
      <c r="FQ34" s="121"/>
      <c r="FR34" s="121"/>
      <c r="FS34" s="121"/>
      <c r="FT34" s="121"/>
      <c r="FU34" s="121"/>
      <c r="FV34" s="121"/>
      <c r="FW34" s="121"/>
      <c r="FX34" s="121"/>
      <c r="FY34" s="121"/>
      <c r="FZ34" s="121"/>
      <c r="GA34" s="121"/>
      <c r="GB34" s="121"/>
      <c r="GC34" s="121"/>
      <c r="GD34" s="121"/>
      <c r="GE34" s="121"/>
      <c r="GF34" s="121"/>
      <c r="GG34" s="121"/>
      <c r="GH34" s="121"/>
      <c r="GI34" s="121"/>
      <c r="GJ34" s="121"/>
      <c r="GK34" s="121"/>
      <c r="GL34" s="121"/>
      <c r="GM34" s="121"/>
      <c r="GN34" s="121"/>
      <c r="GO34" s="121"/>
      <c r="GP34" s="121"/>
    </row>
    <row r="35" spans="2:198" s="112" customFormat="1">
      <c r="B35" s="238">
        <f t="shared" si="4"/>
        <v>3.3000000000000003</v>
      </c>
      <c r="C35" s="239" t="s">
        <v>185</v>
      </c>
      <c r="D35" s="205"/>
      <c r="E35" s="240">
        <v>45820</v>
      </c>
      <c r="F35" s="241">
        <v>58</v>
      </c>
      <c r="G35" s="240">
        <f>WORKDAY.INTL(E35,F35,1,Data!$C$3:$C$41)</f>
        <v>45903</v>
      </c>
      <c r="H35" s="228"/>
      <c r="I35" s="240">
        <v>45820</v>
      </c>
      <c r="J35" s="241">
        <v>66</v>
      </c>
      <c r="K35" s="240">
        <f>WORKDAY.INTL(I35,J35,1,Data!$C$3:$C$41)</f>
        <v>45915</v>
      </c>
      <c r="M35" s="243">
        <v>1</v>
      </c>
      <c r="N35" s="243">
        <f t="shared" ca="1" si="3"/>
        <v>1</v>
      </c>
      <c r="O35" s="122"/>
      <c r="Q35" s="124"/>
      <c r="R35" s="121"/>
      <c r="S35" s="118"/>
      <c r="T35" s="121"/>
      <c r="U35" s="121"/>
      <c r="V35" s="121"/>
      <c r="W35" s="121"/>
      <c r="X35" s="121"/>
      <c r="Y35" s="121"/>
      <c r="Z35" s="121"/>
      <c r="AA35" s="121"/>
      <c r="AB35" s="121"/>
      <c r="AC35" s="121"/>
      <c r="AD35" s="121"/>
      <c r="AE35" s="121"/>
      <c r="AF35" s="121"/>
      <c r="AG35" s="121"/>
      <c r="AH35" s="121"/>
      <c r="AI35" s="121"/>
      <c r="AJ35" s="121"/>
      <c r="AK35" s="121"/>
      <c r="AL35" s="121"/>
      <c r="AM35" s="121"/>
      <c r="AN35" s="121"/>
      <c r="AO35" s="121"/>
      <c r="AP35" s="121"/>
      <c r="AQ35" s="121"/>
      <c r="AR35" s="121"/>
      <c r="AS35" s="121"/>
      <c r="AT35" s="121"/>
      <c r="AU35" s="121"/>
      <c r="AV35" s="121"/>
      <c r="AW35" s="121"/>
      <c r="AX35" s="121"/>
      <c r="AY35" s="121"/>
      <c r="AZ35" s="121"/>
      <c r="BA35" s="121"/>
      <c r="BB35" s="121"/>
      <c r="BC35" s="121"/>
      <c r="BD35" s="121"/>
      <c r="BE35" s="121"/>
      <c r="BF35" s="121"/>
      <c r="BG35" s="121"/>
      <c r="BH35" s="121"/>
      <c r="BI35" s="121"/>
      <c r="BJ35" s="121"/>
      <c r="BK35" s="121"/>
      <c r="BL35" s="121"/>
      <c r="BM35" s="121"/>
      <c r="BN35" s="121"/>
      <c r="BO35" s="121"/>
      <c r="BP35" s="121"/>
      <c r="BQ35" s="121"/>
      <c r="BR35" s="121"/>
      <c r="BS35" s="121"/>
      <c r="BT35" s="121"/>
      <c r="BU35" s="121"/>
      <c r="BV35" s="121"/>
      <c r="BW35" s="121"/>
      <c r="BX35" s="121"/>
      <c r="BY35" s="121"/>
      <c r="BZ35" s="121"/>
      <c r="CA35" s="121"/>
      <c r="CB35" s="121"/>
      <c r="CC35" s="121"/>
      <c r="CD35" s="121"/>
      <c r="CE35" s="121"/>
      <c r="CF35" s="121"/>
      <c r="CG35" s="121"/>
      <c r="CH35" s="121"/>
      <c r="CI35" s="121"/>
      <c r="CJ35" s="121"/>
      <c r="CK35" s="121"/>
      <c r="CL35" s="121"/>
      <c r="CM35" s="121"/>
      <c r="CN35" s="121"/>
      <c r="CO35" s="121"/>
      <c r="CP35" s="121"/>
      <c r="CQ35" s="121"/>
      <c r="CR35" s="121"/>
      <c r="CS35" s="121"/>
      <c r="CT35" s="121"/>
      <c r="CU35" s="121"/>
      <c r="CV35" s="121"/>
      <c r="CW35" s="121"/>
      <c r="CX35" s="121"/>
      <c r="CY35" s="121"/>
      <c r="CZ35" s="121"/>
      <c r="DA35" s="121"/>
      <c r="DB35" s="121"/>
      <c r="DC35" s="121"/>
      <c r="DD35" s="121"/>
      <c r="DE35" s="121"/>
      <c r="DF35" s="121"/>
      <c r="DG35" s="121"/>
      <c r="DH35" s="121"/>
      <c r="DI35" s="121"/>
      <c r="DJ35" s="121"/>
      <c r="DK35" s="121"/>
      <c r="DL35" s="121"/>
      <c r="DM35" s="121"/>
      <c r="DN35" s="121"/>
      <c r="DO35" s="121"/>
      <c r="DP35" s="121"/>
      <c r="DQ35" s="121"/>
      <c r="DR35" s="121"/>
      <c r="DS35" s="121"/>
      <c r="DT35" s="121"/>
      <c r="DU35" s="121"/>
      <c r="DV35" s="121"/>
      <c r="DW35" s="121"/>
      <c r="DX35" s="121"/>
      <c r="DY35" s="121"/>
      <c r="DZ35" s="121"/>
      <c r="EA35" s="121"/>
      <c r="EB35" s="121"/>
      <c r="EC35" s="121"/>
      <c r="ED35" s="121"/>
      <c r="EE35" s="121"/>
      <c r="EF35" s="121"/>
      <c r="EG35" s="121"/>
      <c r="EH35" s="121"/>
      <c r="EI35" s="121"/>
      <c r="EJ35" s="121"/>
      <c r="EK35" s="121"/>
      <c r="EL35" s="121"/>
      <c r="EM35" s="121"/>
      <c r="EN35" s="121"/>
      <c r="EO35" s="121"/>
      <c r="EP35" s="121"/>
      <c r="EQ35" s="121"/>
      <c r="ER35" s="121"/>
      <c r="ES35" s="121"/>
      <c r="ET35" s="121"/>
      <c r="EU35" s="121"/>
      <c r="EV35" s="121"/>
      <c r="EW35" s="121"/>
      <c r="EX35" s="121"/>
      <c r="EY35" s="121"/>
      <c r="EZ35" s="121"/>
      <c r="FA35" s="121"/>
      <c r="FB35" s="121"/>
      <c r="FC35" s="121"/>
      <c r="FD35" s="121"/>
      <c r="FE35" s="121"/>
      <c r="FF35" s="121"/>
      <c r="FG35" s="121"/>
      <c r="FH35" s="121"/>
      <c r="FI35" s="121"/>
      <c r="FJ35" s="121"/>
      <c r="FK35" s="121"/>
      <c r="FL35" s="121"/>
      <c r="FM35" s="121"/>
      <c r="FN35" s="121"/>
      <c r="FO35" s="121"/>
      <c r="FP35" s="121"/>
      <c r="FQ35" s="121"/>
      <c r="FR35" s="121"/>
      <c r="FS35" s="121"/>
      <c r="FT35" s="121"/>
      <c r="FU35" s="121"/>
      <c r="FV35" s="121"/>
      <c r="FW35" s="121"/>
      <c r="FX35" s="121"/>
      <c r="FY35" s="121"/>
      <c r="FZ35" s="121"/>
      <c r="GA35" s="121"/>
      <c r="GB35" s="121"/>
      <c r="GC35" s="121"/>
      <c r="GD35" s="121"/>
      <c r="GE35" s="121"/>
      <c r="GF35" s="121"/>
      <c r="GG35" s="121"/>
      <c r="GH35" s="121"/>
      <c r="GI35" s="121"/>
      <c r="GJ35" s="121"/>
      <c r="GK35" s="121"/>
      <c r="GL35" s="121"/>
      <c r="GM35" s="121"/>
      <c r="GN35" s="121"/>
      <c r="GO35" s="121"/>
      <c r="GP35" s="121"/>
    </row>
    <row r="36" spans="2:198" s="112" customFormat="1">
      <c r="B36" s="238">
        <f t="shared" si="4"/>
        <v>3.4000000000000004</v>
      </c>
      <c r="C36" s="239" t="s">
        <v>186</v>
      </c>
      <c r="D36" s="205"/>
      <c r="E36" s="240">
        <v>45820</v>
      </c>
      <c r="F36" s="241">
        <v>18</v>
      </c>
      <c r="G36" s="240">
        <f>WORKDAY.INTL(E36,F36,1,Data!$C$3:$C$41)</f>
        <v>45847</v>
      </c>
      <c r="H36" s="228"/>
      <c r="I36" s="240">
        <v>45820</v>
      </c>
      <c r="J36" s="241">
        <v>18</v>
      </c>
      <c r="K36" s="240">
        <f>WORKDAY.INTL(I36,J36,1,Data!$C$3:$C$41)</f>
        <v>45847</v>
      </c>
      <c r="M36" s="243">
        <v>1</v>
      </c>
      <c r="N36" s="243">
        <f t="shared" ca="1" si="3"/>
        <v>1</v>
      </c>
      <c r="O36" s="122"/>
      <c r="Q36" s="124"/>
      <c r="R36" s="121"/>
      <c r="S36" s="118"/>
      <c r="T36" s="121"/>
      <c r="U36" s="121"/>
      <c r="V36" s="121"/>
      <c r="W36" s="121"/>
      <c r="X36" s="121"/>
      <c r="Y36" s="121"/>
      <c r="Z36" s="121"/>
      <c r="AA36" s="121"/>
      <c r="AB36" s="121"/>
      <c r="AC36" s="121"/>
      <c r="AD36" s="121"/>
      <c r="AE36" s="121"/>
      <c r="AF36" s="121"/>
      <c r="AG36" s="121"/>
      <c r="AH36" s="121"/>
      <c r="AI36" s="121"/>
      <c r="AJ36" s="121"/>
      <c r="AK36" s="121"/>
      <c r="AL36" s="121"/>
      <c r="AM36" s="121"/>
      <c r="AN36" s="121"/>
      <c r="AO36" s="121"/>
      <c r="AP36" s="121"/>
      <c r="AQ36" s="121"/>
      <c r="AR36" s="121"/>
      <c r="AS36" s="121"/>
      <c r="AT36" s="121"/>
      <c r="AU36" s="121"/>
      <c r="AV36" s="121"/>
      <c r="AW36" s="121"/>
      <c r="AX36" s="121"/>
      <c r="AY36" s="121"/>
      <c r="AZ36" s="121"/>
      <c r="BA36" s="121"/>
      <c r="BB36" s="121"/>
      <c r="BC36" s="121"/>
      <c r="BD36" s="121"/>
      <c r="BE36" s="121"/>
      <c r="BF36" s="121"/>
      <c r="BG36" s="121"/>
      <c r="BH36" s="121"/>
      <c r="BI36" s="121"/>
      <c r="BJ36" s="121"/>
      <c r="BK36" s="121"/>
      <c r="BL36" s="121"/>
      <c r="BM36" s="121"/>
      <c r="BN36" s="121"/>
      <c r="BO36" s="121"/>
      <c r="BP36" s="121"/>
      <c r="BQ36" s="121"/>
      <c r="BR36" s="121"/>
      <c r="BS36" s="121"/>
      <c r="BT36" s="121"/>
      <c r="BU36" s="121"/>
      <c r="BV36" s="121"/>
      <c r="BW36" s="121"/>
      <c r="BX36" s="121"/>
      <c r="BY36" s="121"/>
      <c r="BZ36" s="121"/>
      <c r="CA36" s="121"/>
      <c r="CB36" s="121"/>
      <c r="CC36" s="121"/>
      <c r="CD36" s="121"/>
      <c r="CE36" s="121"/>
      <c r="CF36" s="121"/>
      <c r="CG36" s="121"/>
      <c r="CH36" s="121"/>
      <c r="CI36" s="121"/>
      <c r="CJ36" s="121"/>
      <c r="CK36" s="121"/>
      <c r="CL36" s="121"/>
      <c r="CM36" s="121"/>
      <c r="CN36" s="121"/>
      <c r="CO36" s="121"/>
      <c r="CP36" s="121"/>
      <c r="CQ36" s="121"/>
      <c r="CR36" s="121"/>
      <c r="CS36" s="121"/>
      <c r="CT36" s="121"/>
      <c r="CU36" s="121"/>
      <c r="CV36" s="121"/>
      <c r="CW36" s="121"/>
      <c r="CX36" s="121"/>
      <c r="CY36" s="121"/>
      <c r="CZ36" s="121"/>
      <c r="DA36" s="121"/>
      <c r="DB36" s="121"/>
      <c r="DC36" s="121"/>
      <c r="DD36" s="121"/>
      <c r="DE36" s="121"/>
      <c r="DF36" s="121"/>
      <c r="DG36" s="121"/>
      <c r="DH36" s="121"/>
      <c r="DI36" s="121"/>
      <c r="DJ36" s="121"/>
      <c r="DK36" s="121"/>
      <c r="DL36" s="121"/>
      <c r="DM36" s="121"/>
      <c r="DN36" s="121"/>
      <c r="DO36" s="121"/>
      <c r="DP36" s="121"/>
      <c r="DQ36" s="121"/>
      <c r="DR36" s="121"/>
      <c r="DS36" s="121"/>
      <c r="DT36" s="121"/>
      <c r="DU36" s="121"/>
      <c r="DV36" s="121"/>
      <c r="DW36" s="121"/>
      <c r="DX36" s="121"/>
      <c r="DY36" s="121"/>
      <c r="DZ36" s="121"/>
      <c r="EA36" s="121"/>
      <c r="EB36" s="121"/>
      <c r="EC36" s="121"/>
      <c r="ED36" s="121"/>
      <c r="EE36" s="121"/>
      <c r="EF36" s="121"/>
      <c r="EG36" s="121"/>
      <c r="EH36" s="121"/>
      <c r="EI36" s="121"/>
      <c r="EJ36" s="121"/>
      <c r="EK36" s="121"/>
      <c r="EL36" s="121"/>
      <c r="EM36" s="121"/>
      <c r="EN36" s="121"/>
      <c r="EO36" s="121"/>
      <c r="EP36" s="121"/>
      <c r="EQ36" s="121"/>
      <c r="ER36" s="121"/>
      <c r="ES36" s="121"/>
      <c r="ET36" s="121"/>
      <c r="EU36" s="121"/>
      <c r="EV36" s="121"/>
      <c r="EW36" s="121"/>
      <c r="EX36" s="121"/>
      <c r="EY36" s="121"/>
      <c r="EZ36" s="121"/>
      <c r="FA36" s="121"/>
      <c r="FB36" s="121"/>
      <c r="FC36" s="121"/>
      <c r="FD36" s="121"/>
      <c r="FE36" s="121"/>
      <c r="FF36" s="121"/>
      <c r="FG36" s="121"/>
      <c r="FH36" s="121"/>
      <c r="FI36" s="121"/>
      <c r="FJ36" s="121"/>
      <c r="FK36" s="121"/>
      <c r="FL36" s="121"/>
      <c r="FM36" s="121"/>
      <c r="FN36" s="121"/>
      <c r="FO36" s="121"/>
      <c r="FP36" s="121"/>
      <c r="FQ36" s="121"/>
      <c r="FR36" s="121"/>
      <c r="FS36" s="121"/>
      <c r="FT36" s="121"/>
      <c r="FU36" s="121"/>
      <c r="FV36" s="121"/>
      <c r="FW36" s="121"/>
      <c r="FX36" s="121"/>
      <c r="FY36" s="121"/>
      <c r="FZ36" s="121"/>
      <c r="GA36" s="121"/>
      <c r="GB36" s="121"/>
      <c r="GC36" s="121"/>
      <c r="GD36" s="121"/>
      <c r="GE36" s="121"/>
      <c r="GF36" s="121"/>
      <c r="GG36" s="121"/>
      <c r="GH36" s="121"/>
      <c r="GI36" s="121"/>
      <c r="GJ36" s="121"/>
      <c r="GK36" s="121"/>
      <c r="GL36" s="121"/>
      <c r="GM36" s="121"/>
      <c r="GN36" s="121"/>
      <c r="GO36" s="121"/>
      <c r="GP36" s="121"/>
    </row>
    <row r="37" spans="2:198" s="112" customFormat="1">
      <c r="B37" s="238">
        <f t="shared" si="4"/>
        <v>3.5000000000000004</v>
      </c>
      <c r="C37" s="239" t="s">
        <v>187</v>
      </c>
      <c r="D37" s="205"/>
      <c r="E37" s="240">
        <v>45820</v>
      </c>
      <c r="F37" s="241">
        <v>18</v>
      </c>
      <c r="G37" s="240">
        <f>WORKDAY.INTL(E37,F37,1,Data!$C$3:$C$41)</f>
        <v>45847</v>
      </c>
      <c r="H37" s="228"/>
      <c r="I37" s="240">
        <v>45820</v>
      </c>
      <c r="J37" s="241">
        <v>66</v>
      </c>
      <c r="K37" s="240">
        <f>WORKDAY.INTL(I37,J37,1,Data!$C$3:$C$41)</f>
        <v>45915</v>
      </c>
      <c r="M37" s="243">
        <v>1</v>
      </c>
      <c r="N37" s="243">
        <f t="shared" ca="1" si="3"/>
        <v>1</v>
      </c>
      <c r="O37" s="122"/>
      <c r="Q37" s="124"/>
      <c r="R37" s="121"/>
      <c r="S37" s="118"/>
      <c r="T37" s="121"/>
      <c r="U37" s="121"/>
      <c r="V37" s="121"/>
      <c r="W37" s="121"/>
      <c r="X37" s="121"/>
      <c r="Y37" s="121"/>
      <c r="Z37" s="121"/>
      <c r="AA37" s="121"/>
      <c r="AB37" s="121"/>
      <c r="AC37" s="121"/>
      <c r="AD37" s="121"/>
      <c r="AE37" s="121"/>
      <c r="AF37" s="121"/>
      <c r="AG37" s="121"/>
      <c r="AH37" s="121"/>
      <c r="AI37" s="121"/>
      <c r="AJ37" s="121"/>
      <c r="AK37" s="121"/>
      <c r="AL37" s="121"/>
      <c r="AM37" s="121"/>
      <c r="AN37" s="121"/>
      <c r="AO37" s="121"/>
      <c r="AP37" s="121"/>
      <c r="AQ37" s="121"/>
      <c r="AR37" s="121"/>
      <c r="AS37" s="121"/>
      <c r="AT37" s="121"/>
      <c r="AU37" s="121"/>
      <c r="AV37" s="121"/>
      <c r="AW37" s="121"/>
      <c r="AX37" s="121"/>
      <c r="AY37" s="121"/>
      <c r="AZ37" s="121"/>
      <c r="BA37" s="121"/>
      <c r="BB37" s="121"/>
      <c r="BC37" s="121"/>
      <c r="BD37" s="121"/>
      <c r="BE37" s="121"/>
      <c r="BF37" s="121"/>
      <c r="BG37" s="121"/>
      <c r="BH37" s="121"/>
      <c r="BI37" s="121"/>
      <c r="BJ37" s="121"/>
      <c r="BK37" s="121"/>
      <c r="BL37" s="121"/>
      <c r="BM37" s="121"/>
      <c r="BN37" s="121"/>
      <c r="BO37" s="121"/>
      <c r="BP37" s="121"/>
      <c r="BQ37" s="121"/>
      <c r="BR37" s="121"/>
      <c r="BS37" s="121"/>
      <c r="BT37" s="121"/>
      <c r="BU37" s="121"/>
      <c r="BV37" s="121"/>
      <c r="BW37" s="121"/>
      <c r="BX37" s="121"/>
      <c r="BY37" s="121"/>
      <c r="BZ37" s="121"/>
      <c r="CA37" s="121"/>
      <c r="CB37" s="121"/>
      <c r="CC37" s="121"/>
      <c r="CD37" s="121"/>
      <c r="CE37" s="121"/>
      <c r="CF37" s="121"/>
      <c r="CG37" s="121"/>
      <c r="CH37" s="121"/>
      <c r="CI37" s="121"/>
      <c r="CJ37" s="121"/>
      <c r="CK37" s="121"/>
      <c r="CL37" s="121"/>
      <c r="CM37" s="121"/>
      <c r="CN37" s="121"/>
      <c r="CO37" s="121"/>
      <c r="CP37" s="121"/>
      <c r="CQ37" s="121"/>
      <c r="CR37" s="121"/>
      <c r="CS37" s="121"/>
      <c r="CT37" s="121"/>
      <c r="CU37" s="121"/>
      <c r="CV37" s="121"/>
      <c r="CW37" s="121"/>
      <c r="CX37" s="121"/>
      <c r="CY37" s="121"/>
      <c r="CZ37" s="121"/>
      <c r="DA37" s="121"/>
      <c r="DB37" s="121"/>
      <c r="DC37" s="121"/>
      <c r="DD37" s="121"/>
      <c r="DE37" s="121"/>
      <c r="DF37" s="121"/>
      <c r="DG37" s="121"/>
      <c r="DH37" s="121"/>
      <c r="DI37" s="121"/>
      <c r="DJ37" s="121"/>
      <c r="DK37" s="121"/>
      <c r="DL37" s="121"/>
      <c r="DM37" s="121"/>
      <c r="DN37" s="121"/>
      <c r="DO37" s="121"/>
      <c r="DP37" s="121"/>
      <c r="DQ37" s="121"/>
      <c r="DR37" s="121"/>
      <c r="DS37" s="121"/>
      <c r="DT37" s="121"/>
      <c r="DU37" s="121"/>
      <c r="DV37" s="121"/>
      <c r="DW37" s="121"/>
      <c r="DX37" s="121"/>
      <c r="DY37" s="121"/>
      <c r="DZ37" s="121"/>
      <c r="EA37" s="121"/>
      <c r="EB37" s="121"/>
      <c r="EC37" s="121"/>
      <c r="ED37" s="121"/>
      <c r="EE37" s="121"/>
      <c r="EF37" s="121"/>
      <c r="EG37" s="121"/>
      <c r="EH37" s="121"/>
      <c r="EI37" s="121"/>
      <c r="EJ37" s="121"/>
      <c r="EK37" s="121"/>
      <c r="EL37" s="121"/>
      <c r="EM37" s="121"/>
      <c r="EN37" s="121"/>
      <c r="EO37" s="121"/>
      <c r="EP37" s="121"/>
      <c r="EQ37" s="121"/>
      <c r="ER37" s="121"/>
      <c r="ES37" s="121"/>
      <c r="ET37" s="121"/>
      <c r="EU37" s="121"/>
      <c r="EV37" s="121"/>
      <c r="EW37" s="121"/>
      <c r="EX37" s="121"/>
      <c r="EY37" s="121"/>
      <c r="EZ37" s="121"/>
      <c r="FA37" s="121"/>
      <c r="FB37" s="121"/>
      <c r="FC37" s="121"/>
      <c r="FD37" s="121"/>
      <c r="FE37" s="121"/>
      <c r="FF37" s="121"/>
      <c r="FG37" s="121"/>
      <c r="FH37" s="121"/>
      <c r="FI37" s="121"/>
      <c r="FJ37" s="121"/>
      <c r="FK37" s="121"/>
      <c r="FL37" s="121"/>
      <c r="FM37" s="121"/>
      <c r="FN37" s="121"/>
      <c r="FO37" s="121"/>
      <c r="FP37" s="121"/>
      <c r="FQ37" s="121"/>
      <c r="FR37" s="121"/>
      <c r="FS37" s="121"/>
      <c r="FT37" s="121"/>
      <c r="FU37" s="121"/>
      <c r="FV37" s="121"/>
      <c r="FW37" s="121"/>
      <c r="FX37" s="121"/>
      <c r="FY37" s="121"/>
      <c r="FZ37" s="121"/>
      <c r="GA37" s="121"/>
      <c r="GB37" s="121"/>
      <c r="GC37" s="121"/>
      <c r="GD37" s="121"/>
      <c r="GE37" s="121"/>
      <c r="GF37" s="121"/>
      <c r="GG37" s="121"/>
      <c r="GH37" s="121"/>
      <c r="GI37" s="121"/>
      <c r="GJ37" s="121"/>
      <c r="GK37" s="121"/>
      <c r="GL37" s="121"/>
      <c r="GM37" s="121"/>
      <c r="GN37" s="121"/>
      <c r="GO37" s="121"/>
      <c r="GP37" s="121"/>
    </row>
    <row r="38" spans="2:198" s="112" customFormat="1">
      <c r="B38" s="238">
        <f t="shared" si="4"/>
        <v>3.6000000000000005</v>
      </c>
      <c r="C38" s="239" t="s">
        <v>188</v>
      </c>
      <c r="D38" s="205"/>
      <c r="E38" s="240">
        <v>45855</v>
      </c>
      <c r="F38" s="241">
        <v>10</v>
      </c>
      <c r="G38" s="240">
        <f>WORKDAY.INTL(E38,F38,1,Data!$C$3:$C$41)</f>
        <v>45869</v>
      </c>
      <c r="H38" s="228"/>
      <c r="I38" s="240">
        <v>45855</v>
      </c>
      <c r="J38" s="241">
        <v>10</v>
      </c>
      <c r="K38" s="240">
        <f>WORKDAY.INTL(I38,J38,1,Data!$C$3:$C$41)</f>
        <v>45869</v>
      </c>
      <c r="M38" s="243">
        <v>1</v>
      </c>
      <c r="N38" s="243">
        <f t="shared" ca="1" si="3"/>
        <v>1</v>
      </c>
      <c r="O38" s="122"/>
      <c r="Q38" s="124"/>
      <c r="R38" s="121"/>
      <c r="S38" s="118"/>
      <c r="T38" s="121"/>
      <c r="U38" s="121"/>
      <c r="V38" s="121"/>
      <c r="W38" s="121"/>
      <c r="X38" s="121"/>
      <c r="Y38" s="121"/>
      <c r="Z38" s="121"/>
      <c r="AA38" s="121"/>
      <c r="AB38" s="121"/>
      <c r="AC38" s="121"/>
      <c r="AD38" s="121"/>
      <c r="AE38" s="121"/>
      <c r="AF38" s="121"/>
      <c r="AG38" s="121"/>
      <c r="AH38" s="121"/>
      <c r="AI38" s="121"/>
      <c r="AJ38" s="121"/>
      <c r="AK38" s="121"/>
      <c r="AL38" s="121"/>
      <c r="AM38" s="121"/>
      <c r="AN38" s="121"/>
      <c r="AO38" s="121"/>
      <c r="AP38" s="121"/>
      <c r="AQ38" s="121"/>
      <c r="AR38" s="121"/>
      <c r="AS38" s="121"/>
      <c r="AT38" s="121"/>
      <c r="AU38" s="121"/>
      <c r="AV38" s="121"/>
      <c r="AW38" s="121"/>
      <c r="AX38" s="121"/>
      <c r="AY38" s="121"/>
      <c r="AZ38" s="121"/>
      <c r="BA38" s="121"/>
      <c r="BB38" s="121"/>
      <c r="BC38" s="121"/>
      <c r="BD38" s="121"/>
      <c r="BE38" s="121"/>
      <c r="BF38" s="121"/>
      <c r="BG38" s="121"/>
      <c r="BH38" s="121"/>
      <c r="BI38" s="121"/>
      <c r="BJ38" s="121"/>
      <c r="BK38" s="121"/>
      <c r="BL38" s="121"/>
      <c r="BM38" s="121"/>
      <c r="BN38" s="121"/>
      <c r="BO38" s="121"/>
      <c r="BP38" s="121"/>
      <c r="BQ38" s="121"/>
      <c r="BR38" s="121"/>
      <c r="BS38" s="121"/>
      <c r="BT38" s="121"/>
      <c r="BU38" s="121"/>
      <c r="BV38" s="121"/>
      <c r="BW38" s="121"/>
      <c r="BX38" s="121"/>
      <c r="BY38" s="121"/>
      <c r="BZ38" s="121"/>
      <c r="CA38" s="121"/>
      <c r="CB38" s="121"/>
      <c r="CC38" s="121"/>
      <c r="CD38" s="121"/>
      <c r="CE38" s="121"/>
      <c r="CF38" s="121"/>
      <c r="CG38" s="121"/>
      <c r="CH38" s="121"/>
      <c r="CI38" s="121"/>
      <c r="CJ38" s="121"/>
      <c r="CK38" s="121"/>
      <c r="CL38" s="121"/>
      <c r="CM38" s="121"/>
      <c r="CN38" s="121"/>
      <c r="CO38" s="121"/>
      <c r="CP38" s="121"/>
      <c r="CQ38" s="121"/>
      <c r="CR38" s="121"/>
      <c r="CS38" s="121"/>
      <c r="CT38" s="121"/>
      <c r="CU38" s="121"/>
      <c r="CV38" s="121"/>
      <c r="CW38" s="121"/>
      <c r="CX38" s="121"/>
      <c r="CY38" s="121"/>
      <c r="CZ38" s="121"/>
      <c r="DA38" s="121"/>
      <c r="DB38" s="121"/>
      <c r="DC38" s="121"/>
      <c r="DD38" s="121"/>
      <c r="DE38" s="121"/>
      <c r="DF38" s="121"/>
      <c r="DG38" s="121"/>
      <c r="DH38" s="121"/>
      <c r="DI38" s="121"/>
      <c r="DJ38" s="121"/>
      <c r="DK38" s="121"/>
      <c r="DL38" s="121"/>
      <c r="DM38" s="121"/>
      <c r="DN38" s="121"/>
      <c r="DO38" s="121"/>
      <c r="DP38" s="121"/>
      <c r="DQ38" s="121"/>
      <c r="DR38" s="121"/>
      <c r="DS38" s="121"/>
      <c r="DT38" s="121"/>
      <c r="DU38" s="121"/>
      <c r="DV38" s="121"/>
      <c r="DW38" s="121"/>
      <c r="DX38" s="121"/>
      <c r="DY38" s="121"/>
      <c r="DZ38" s="121"/>
      <c r="EA38" s="121"/>
      <c r="EB38" s="121"/>
      <c r="EC38" s="121"/>
      <c r="ED38" s="121"/>
      <c r="EE38" s="121"/>
      <c r="EF38" s="121"/>
      <c r="EG38" s="121"/>
      <c r="EH38" s="121"/>
      <c r="EI38" s="121"/>
      <c r="EJ38" s="121"/>
      <c r="EK38" s="121"/>
      <c r="EL38" s="121"/>
      <c r="EM38" s="121"/>
      <c r="EN38" s="121"/>
      <c r="EO38" s="121"/>
      <c r="EP38" s="121"/>
      <c r="EQ38" s="121"/>
      <c r="ER38" s="121"/>
      <c r="ES38" s="121"/>
      <c r="ET38" s="121"/>
      <c r="EU38" s="121"/>
      <c r="EV38" s="121"/>
      <c r="EW38" s="121"/>
      <c r="EX38" s="121"/>
      <c r="EY38" s="121"/>
      <c r="EZ38" s="121"/>
      <c r="FA38" s="121"/>
      <c r="FB38" s="121"/>
      <c r="FC38" s="121"/>
      <c r="FD38" s="121"/>
      <c r="FE38" s="121"/>
      <c r="FF38" s="121"/>
      <c r="FG38" s="121"/>
      <c r="FH38" s="121"/>
      <c r="FI38" s="121"/>
      <c r="FJ38" s="121"/>
      <c r="FK38" s="121"/>
      <c r="FL38" s="121"/>
      <c r="FM38" s="121"/>
      <c r="FN38" s="121"/>
      <c r="FO38" s="121"/>
      <c r="FP38" s="121"/>
      <c r="FQ38" s="121"/>
      <c r="FR38" s="121"/>
      <c r="FS38" s="121"/>
      <c r="FT38" s="121"/>
      <c r="FU38" s="121"/>
      <c r="FV38" s="121"/>
      <c r="FW38" s="121"/>
      <c r="FX38" s="121"/>
      <c r="FY38" s="121"/>
      <c r="FZ38" s="121"/>
      <c r="GA38" s="121"/>
      <c r="GB38" s="121"/>
      <c r="GC38" s="121"/>
      <c r="GD38" s="121"/>
      <c r="GE38" s="121"/>
      <c r="GF38" s="121"/>
      <c r="GG38" s="121"/>
      <c r="GH38" s="121"/>
      <c r="GI38" s="121"/>
      <c r="GJ38" s="121"/>
      <c r="GK38" s="121"/>
      <c r="GL38" s="121"/>
      <c r="GM38" s="121"/>
      <c r="GN38" s="121"/>
      <c r="GO38" s="121"/>
      <c r="GP38" s="121"/>
    </row>
    <row r="39" spans="2:198" s="112" customFormat="1">
      <c r="B39" s="238">
        <f t="shared" si="4"/>
        <v>3.7000000000000006</v>
      </c>
      <c r="C39" s="239" t="s">
        <v>189</v>
      </c>
      <c r="D39" s="205"/>
      <c r="E39" s="240">
        <v>45855</v>
      </c>
      <c r="F39" s="241">
        <v>10</v>
      </c>
      <c r="G39" s="240">
        <f>WORKDAY.INTL(E39,F39,1,Data!$C$3:$C$41)</f>
        <v>45869</v>
      </c>
      <c r="H39" s="228"/>
      <c r="I39" s="240">
        <v>45855</v>
      </c>
      <c r="J39" s="241">
        <v>10</v>
      </c>
      <c r="K39" s="240">
        <f>WORKDAY.INTL(I39,J39,1,Data!$C$3:$C$41)</f>
        <v>45869</v>
      </c>
      <c r="M39" s="243">
        <v>1</v>
      </c>
      <c r="N39" s="243">
        <f t="shared" ca="1" si="3"/>
        <v>1</v>
      </c>
      <c r="O39" s="122"/>
      <c r="Q39" s="124"/>
      <c r="R39" s="121"/>
      <c r="S39" s="118"/>
      <c r="T39" s="121"/>
      <c r="U39" s="121"/>
      <c r="V39" s="121"/>
      <c r="W39" s="121"/>
      <c r="X39" s="121"/>
      <c r="Y39" s="121"/>
      <c r="Z39" s="121"/>
      <c r="AA39" s="121"/>
      <c r="AB39" s="121"/>
      <c r="AC39" s="121"/>
      <c r="AD39" s="121"/>
      <c r="AE39" s="121"/>
      <c r="AF39" s="121"/>
      <c r="AG39" s="121"/>
      <c r="AH39" s="121"/>
      <c r="AI39" s="121"/>
      <c r="AJ39" s="121"/>
      <c r="AK39" s="121"/>
      <c r="AL39" s="121"/>
      <c r="AM39" s="121"/>
      <c r="AN39" s="121"/>
      <c r="AO39" s="121"/>
      <c r="AP39" s="121"/>
      <c r="AQ39" s="121"/>
      <c r="AR39" s="121"/>
      <c r="AS39" s="121"/>
      <c r="AT39" s="121"/>
      <c r="AU39" s="121"/>
      <c r="AV39" s="121"/>
      <c r="AW39" s="121"/>
      <c r="AX39" s="121"/>
      <c r="AY39" s="121"/>
      <c r="AZ39" s="121"/>
      <c r="BA39" s="121"/>
      <c r="BB39" s="121"/>
      <c r="BC39" s="121"/>
      <c r="BD39" s="121"/>
      <c r="BE39" s="121"/>
      <c r="BF39" s="121"/>
      <c r="BG39" s="121"/>
      <c r="BH39" s="121"/>
      <c r="BI39" s="121"/>
      <c r="BJ39" s="121"/>
      <c r="BK39" s="121"/>
      <c r="BL39" s="121"/>
      <c r="BM39" s="121"/>
      <c r="BN39" s="121"/>
      <c r="BO39" s="121"/>
      <c r="BP39" s="121"/>
      <c r="BQ39" s="121"/>
      <c r="BR39" s="121"/>
      <c r="BS39" s="121"/>
      <c r="BT39" s="121"/>
      <c r="BU39" s="121"/>
      <c r="BV39" s="121"/>
      <c r="BW39" s="121"/>
      <c r="BX39" s="121"/>
      <c r="BY39" s="121"/>
      <c r="BZ39" s="121"/>
      <c r="CA39" s="121"/>
      <c r="CB39" s="121"/>
      <c r="CC39" s="121"/>
      <c r="CD39" s="121"/>
      <c r="CE39" s="121"/>
      <c r="CF39" s="121"/>
      <c r="CG39" s="121"/>
      <c r="CH39" s="121"/>
      <c r="CI39" s="121"/>
      <c r="CJ39" s="121"/>
      <c r="CK39" s="121"/>
      <c r="CL39" s="121"/>
      <c r="CM39" s="121"/>
      <c r="CN39" s="121"/>
      <c r="CO39" s="121"/>
      <c r="CP39" s="121"/>
      <c r="CQ39" s="121"/>
      <c r="CR39" s="121"/>
      <c r="CS39" s="121"/>
      <c r="CT39" s="121"/>
      <c r="CU39" s="121"/>
      <c r="CV39" s="121"/>
      <c r="CW39" s="121"/>
      <c r="CX39" s="121"/>
      <c r="CY39" s="121"/>
      <c r="CZ39" s="121"/>
      <c r="DA39" s="121"/>
      <c r="DB39" s="121"/>
      <c r="DC39" s="121"/>
      <c r="DD39" s="121"/>
      <c r="DE39" s="121"/>
      <c r="DF39" s="121"/>
      <c r="DG39" s="121"/>
      <c r="DH39" s="121"/>
      <c r="DI39" s="121"/>
      <c r="DJ39" s="121"/>
      <c r="DK39" s="121"/>
      <c r="DL39" s="121"/>
      <c r="DM39" s="121"/>
      <c r="DN39" s="121"/>
      <c r="DO39" s="121"/>
      <c r="DP39" s="121"/>
      <c r="DQ39" s="121"/>
      <c r="DR39" s="121"/>
      <c r="DS39" s="121"/>
      <c r="DT39" s="121"/>
      <c r="DU39" s="121"/>
      <c r="DV39" s="121"/>
      <c r="DW39" s="121"/>
      <c r="DX39" s="121"/>
      <c r="DY39" s="121"/>
      <c r="DZ39" s="121"/>
      <c r="EA39" s="121"/>
      <c r="EB39" s="121"/>
      <c r="EC39" s="121"/>
      <c r="ED39" s="121"/>
      <c r="EE39" s="121"/>
      <c r="EF39" s="121"/>
      <c r="EG39" s="121"/>
      <c r="EH39" s="121"/>
      <c r="EI39" s="121"/>
      <c r="EJ39" s="121"/>
      <c r="EK39" s="121"/>
      <c r="EL39" s="121"/>
      <c r="EM39" s="121"/>
      <c r="EN39" s="121"/>
      <c r="EO39" s="121"/>
      <c r="EP39" s="121"/>
      <c r="EQ39" s="121"/>
      <c r="ER39" s="121"/>
      <c r="ES39" s="121"/>
      <c r="ET39" s="121"/>
      <c r="EU39" s="121"/>
      <c r="EV39" s="121"/>
      <c r="EW39" s="121"/>
      <c r="EX39" s="121"/>
      <c r="EY39" s="121"/>
      <c r="EZ39" s="121"/>
      <c r="FA39" s="121"/>
      <c r="FB39" s="121"/>
      <c r="FC39" s="121"/>
      <c r="FD39" s="121"/>
      <c r="FE39" s="121"/>
      <c r="FF39" s="121"/>
      <c r="FG39" s="121"/>
      <c r="FH39" s="121"/>
      <c r="FI39" s="121"/>
      <c r="FJ39" s="121"/>
      <c r="FK39" s="121"/>
      <c r="FL39" s="121"/>
      <c r="FM39" s="121"/>
      <c r="FN39" s="121"/>
      <c r="FO39" s="121"/>
      <c r="FP39" s="121"/>
      <c r="FQ39" s="121"/>
      <c r="FR39" s="121"/>
      <c r="FS39" s="121"/>
      <c r="FT39" s="121"/>
      <c r="FU39" s="121"/>
      <c r="FV39" s="121"/>
      <c r="FW39" s="121"/>
      <c r="FX39" s="121"/>
      <c r="FY39" s="121"/>
      <c r="FZ39" s="121"/>
      <c r="GA39" s="121"/>
      <c r="GB39" s="121"/>
      <c r="GC39" s="121"/>
      <c r="GD39" s="121"/>
      <c r="GE39" s="121"/>
      <c r="GF39" s="121"/>
      <c r="GG39" s="121"/>
      <c r="GH39" s="121"/>
      <c r="GI39" s="121"/>
      <c r="GJ39" s="121"/>
      <c r="GK39" s="121"/>
      <c r="GL39" s="121"/>
      <c r="GM39" s="121"/>
      <c r="GN39" s="121"/>
      <c r="GO39" s="121"/>
      <c r="GP39" s="121"/>
    </row>
    <row r="40" spans="2:198" s="112" customFormat="1">
      <c r="B40" s="238">
        <f t="shared" si="4"/>
        <v>3.8000000000000007</v>
      </c>
      <c r="C40" s="239" t="s">
        <v>190</v>
      </c>
      <c r="D40" s="205"/>
      <c r="E40" s="240">
        <v>45848</v>
      </c>
      <c r="F40" s="241">
        <v>20</v>
      </c>
      <c r="G40" s="240">
        <f>WORKDAY.INTL(E40,F40,1,Data!$C$3:$C$41)</f>
        <v>45876</v>
      </c>
      <c r="H40" s="228"/>
      <c r="I40" s="240">
        <v>45848</v>
      </c>
      <c r="J40" s="241">
        <v>34</v>
      </c>
      <c r="K40" s="240">
        <f>WORKDAY.INTL(I40,J40,1,Data!$C$3:$C$41)</f>
        <v>45896</v>
      </c>
      <c r="M40" s="243">
        <v>1</v>
      </c>
      <c r="N40" s="243">
        <f t="shared" ca="1" si="3"/>
        <v>1</v>
      </c>
      <c r="O40" s="122" t="s">
        <v>191</v>
      </c>
      <c r="Q40" s="124"/>
      <c r="R40" s="121"/>
      <c r="S40" s="118"/>
      <c r="T40" s="121"/>
      <c r="U40" s="121"/>
      <c r="V40" s="121"/>
      <c r="W40" s="121"/>
      <c r="X40" s="121"/>
      <c r="Y40" s="121"/>
      <c r="Z40" s="121"/>
      <c r="AA40" s="121"/>
      <c r="AB40" s="121"/>
      <c r="AC40" s="121"/>
      <c r="AD40" s="121"/>
      <c r="AE40" s="121"/>
      <c r="AF40" s="121"/>
      <c r="AG40" s="121"/>
      <c r="AH40" s="121"/>
      <c r="AI40" s="121"/>
      <c r="AJ40" s="121"/>
      <c r="AK40" s="121"/>
      <c r="AL40" s="121"/>
      <c r="AM40" s="121"/>
      <c r="AN40" s="121"/>
      <c r="AO40" s="121"/>
      <c r="AP40" s="121"/>
      <c r="AQ40" s="121"/>
      <c r="AR40" s="121"/>
      <c r="AS40" s="121"/>
      <c r="AT40" s="121"/>
      <c r="AU40" s="121"/>
      <c r="AV40" s="121"/>
      <c r="AW40" s="121"/>
      <c r="AX40" s="121"/>
      <c r="AY40" s="121"/>
      <c r="AZ40" s="121"/>
      <c r="BA40" s="121"/>
      <c r="BB40" s="121"/>
      <c r="BC40" s="121"/>
      <c r="BD40" s="121"/>
      <c r="BE40" s="121"/>
      <c r="BF40" s="121"/>
      <c r="BG40" s="121"/>
      <c r="BH40" s="121"/>
      <c r="BI40" s="121"/>
      <c r="BJ40" s="121"/>
      <c r="BK40" s="121"/>
      <c r="BL40" s="121"/>
      <c r="BM40" s="121"/>
      <c r="BN40" s="121"/>
      <c r="BO40" s="121"/>
      <c r="BP40" s="121"/>
      <c r="BQ40" s="121"/>
      <c r="BR40" s="121"/>
      <c r="BS40" s="121"/>
      <c r="BT40" s="121"/>
      <c r="BU40" s="121"/>
      <c r="BV40" s="121"/>
      <c r="BW40" s="121"/>
      <c r="BX40" s="121"/>
      <c r="BY40" s="121"/>
      <c r="BZ40" s="121"/>
      <c r="CA40" s="121"/>
      <c r="CB40" s="121"/>
      <c r="CC40" s="121"/>
      <c r="CD40" s="121"/>
      <c r="CE40" s="121"/>
      <c r="CF40" s="121"/>
      <c r="CG40" s="121"/>
      <c r="CH40" s="121"/>
      <c r="CI40" s="121"/>
      <c r="CJ40" s="121"/>
      <c r="CK40" s="121"/>
      <c r="CL40" s="121"/>
      <c r="CM40" s="121"/>
      <c r="CN40" s="121"/>
      <c r="CO40" s="121"/>
      <c r="CP40" s="121"/>
      <c r="CQ40" s="121"/>
      <c r="CR40" s="121"/>
      <c r="CS40" s="121"/>
      <c r="CT40" s="121"/>
      <c r="CU40" s="121"/>
      <c r="CV40" s="121"/>
      <c r="CW40" s="121"/>
      <c r="CX40" s="121"/>
      <c r="CY40" s="121"/>
      <c r="CZ40" s="121"/>
      <c r="DA40" s="121"/>
      <c r="DB40" s="121"/>
      <c r="DC40" s="121"/>
      <c r="DD40" s="121"/>
      <c r="DE40" s="121"/>
      <c r="DF40" s="121"/>
      <c r="DG40" s="121"/>
      <c r="DH40" s="121"/>
      <c r="DI40" s="121"/>
      <c r="DJ40" s="121"/>
      <c r="DK40" s="121"/>
      <c r="DL40" s="121"/>
      <c r="DM40" s="121"/>
      <c r="DN40" s="121"/>
      <c r="DO40" s="121"/>
      <c r="DP40" s="121"/>
      <c r="DQ40" s="121"/>
      <c r="DR40" s="121"/>
      <c r="DS40" s="121"/>
      <c r="DT40" s="121"/>
      <c r="DU40" s="121"/>
      <c r="DV40" s="121"/>
      <c r="DW40" s="121"/>
      <c r="DX40" s="121"/>
      <c r="DY40" s="121"/>
      <c r="DZ40" s="121"/>
      <c r="EA40" s="121"/>
      <c r="EB40" s="121"/>
      <c r="EC40" s="121"/>
      <c r="ED40" s="121"/>
      <c r="EE40" s="121"/>
      <c r="EF40" s="121"/>
      <c r="EG40" s="121"/>
      <c r="EH40" s="121"/>
      <c r="EI40" s="121"/>
      <c r="EJ40" s="121"/>
      <c r="EK40" s="121"/>
      <c r="EL40" s="121"/>
      <c r="EM40" s="121"/>
      <c r="EN40" s="121"/>
      <c r="EO40" s="121"/>
      <c r="EP40" s="121"/>
      <c r="EQ40" s="121"/>
      <c r="ER40" s="121"/>
      <c r="ES40" s="121"/>
      <c r="ET40" s="121"/>
      <c r="EU40" s="121"/>
      <c r="EV40" s="121"/>
      <c r="EW40" s="121"/>
      <c r="EX40" s="121"/>
      <c r="EY40" s="121"/>
      <c r="EZ40" s="121"/>
      <c r="FA40" s="121"/>
      <c r="FB40" s="121"/>
      <c r="FC40" s="121"/>
      <c r="FD40" s="121"/>
      <c r="FE40" s="121"/>
      <c r="FF40" s="121"/>
      <c r="FG40" s="121"/>
      <c r="FH40" s="121"/>
      <c r="FI40" s="121"/>
      <c r="FJ40" s="121"/>
      <c r="FK40" s="121"/>
      <c r="FL40" s="121"/>
      <c r="FM40" s="121"/>
      <c r="FN40" s="121"/>
      <c r="FO40" s="121"/>
      <c r="FP40" s="121"/>
      <c r="FQ40" s="121"/>
      <c r="FR40" s="121"/>
      <c r="FS40" s="121"/>
      <c r="FT40" s="121"/>
      <c r="FU40" s="121"/>
      <c r="FV40" s="121"/>
      <c r="FW40" s="121"/>
      <c r="FX40" s="121"/>
      <c r="FY40" s="121"/>
      <c r="FZ40" s="121"/>
      <c r="GA40" s="121"/>
      <c r="GB40" s="121"/>
      <c r="GC40" s="121"/>
      <c r="GD40" s="121"/>
      <c r="GE40" s="121"/>
      <c r="GF40" s="121"/>
      <c r="GG40" s="121"/>
      <c r="GH40" s="121"/>
      <c r="GI40" s="121"/>
      <c r="GJ40" s="121"/>
      <c r="GK40" s="121"/>
      <c r="GL40" s="121"/>
      <c r="GM40" s="121"/>
      <c r="GN40" s="121"/>
      <c r="GO40" s="121"/>
      <c r="GP40" s="121"/>
    </row>
    <row r="41" spans="2:198" s="112" customFormat="1" ht="4.5" customHeight="1">
      <c r="B41" s="229"/>
      <c r="C41" s="205"/>
      <c r="D41" s="205"/>
      <c r="E41" s="230"/>
      <c r="F41" s="230"/>
      <c r="G41" s="231"/>
      <c r="H41" s="228"/>
      <c r="I41" s="230"/>
      <c r="J41" s="230"/>
      <c r="K41" s="231"/>
      <c r="N41" s="168"/>
      <c r="Q41" s="3"/>
    </row>
    <row r="42" spans="2:198" s="112" customFormat="1">
      <c r="B42" s="234">
        <v>4</v>
      </c>
      <c r="C42" s="235" t="s">
        <v>192</v>
      </c>
      <c r="D42" s="205"/>
      <c r="E42" s="689">
        <f>MIN(E43:E56)</f>
        <v>45830</v>
      </c>
      <c r="F42" s="690">
        <f>G42-E42</f>
        <v>71</v>
      </c>
      <c r="G42" s="689">
        <f>MAX(G43:G56)</f>
        <v>45901</v>
      </c>
      <c r="H42" s="228"/>
      <c r="I42" s="689">
        <f>MIN(I43:I56)</f>
        <v>45830</v>
      </c>
      <c r="J42" s="690">
        <f>K42-I42</f>
        <v>212</v>
      </c>
      <c r="K42" s="689">
        <f>MAX(K43:K56)</f>
        <v>46042</v>
      </c>
      <c r="M42" s="350">
        <f>AVERAGE(M43:M56)</f>
        <v>1</v>
      </c>
      <c r="N42" s="350">
        <f ca="1">AVERAGE(N43:N56)</f>
        <v>1</v>
      </c>
      <c r="O42" s="119"/>
      <c r="Q42" s="124"/>
      <c r="R42" s="121"/>
      <c r="S42" s="118"/>
      <c r="T42" s="121"/>
      <c r="U42" s="121"/>
      <c r="V42" s="121"/>
      <c r="W42" s="121"/>
      <c r="X42" s="121"/>
      <c r="Y42" s="121"/>
      <c r="Z42" s="121"/>
      <c r="AA42" s="121"/>
      <c r="AB42" s="121"/>
      <c r="AC42" s="121"/>
      <c r="AD42" s="121"/>
      <c r="AE42" s="121"/>
      <c r="AF42" s="121"/>
      <c r="AG42" s="121"/>
      <c r="AH42" s="121"/>
      <c r="AI42" s="121"/>
      <c r="AJ42" s="121"/>
      <c r="AK42" s="121"/>
      <c r="AL42" s="121"/>
      <c r="AM42" s="121"/>
      <c r="AN42" s="121"/>
      <c r="AO42" s="121"/>
      <c r="AP42" s="121"/>
      <c r="AQ42" s="121"/>
      <c r="AR42" s="121"/>
      <c r="AS42" s="121"/>
      <c r="AT42" s="121"/>
      <c r="AU42" s="121"/>
      <c r="AV42" s="121"/>
      <c r="AW42" s="121"/>
      <c r="AX42" s="121"/>
      <c r="AY42" s="121"/>
      <c r="AZ42" s="121"/>
      <c r="BA42" s="121"/>
      <c r="BB42" s="121"/>
      <c r="BC42" s="121"/>
      <c r="BD42" s="121"/>
      <c r="BE42" s="121"/>
      <c r="BF42" s="121"/>
      <c r="BG42" s="121"/>
      <c r="BH42" s="121"/>
      <c r="BI42" s="121"/>
      <c r="BJ42" s="121"/>
      <c r="BK42" s="121"/>
      <c r="BL42" s="121"/>
      <c r="BM42" s="121"/>
      <c r="BN42" s="121"/>
      <c r="BO42" s="121"/>
      <c r="BP42" s="121"/>
      <c r="BQ42" s="121"/>
      <c r="BR42" s="121"/>
      <c r="BS42" s="121"/>
      <c r="BT42" s="121"/>
      <c r="BU42" s="121"/>
      <c r="BV42" s="121"/>
      <c r="BW42" s="121"/>
      <c r="BX42" s="121"/>
      <c r="BY42" s="121"/>
      <c r="BZ42" s="121"/>
      <c r="CA42" s="121"/>
      <c r="CB42" s="121"/>
      <c r="CC42" s="121"/>
      <c r="CD42" s="121"/>
      <c r="CE42" s="121"/>
      <c r="CF42" s="121"/>
      <c r="CG42" s="121"/>
      <c r="CH42" s="121"/>
      <c r="CI42" s="121"/>
      <c r="CJ42" s="121"/>
      <c r="CK42" s="121"/>
      <c r="CL42" s="121"/>
      <c r="CM42" s="121"/>
      <c r="CN42" s="121"/>
      <c r="CO42" s="121"/>
      <c r="CP42" s="121"/>
      <c r="CQ42" s="121"/>
      <c r="CR42" s="121"/>
      <c r="CS42" s="121"/>
      <c r="CT42" s="121"/>
      <c r="CU42" s="121"/>
      <c r="CV42" s="121"/>
      <c r="CW42" s="121"/>
      <c r="CX42" s="121"/>
      <c r="CY42" s="121"/>
      <c r="CZ42" s="121"/>
      <c r="DA42" s="121"/>
      <c r="DB42" s="121"/>
      <c r="DC42" s="121"/>
      <c r="DD42" s="121"/>
      <c r="DE42" s="121"/>
      <c r="DF42" s="121"/>
      <c r="DG42" s="121"/>
      <c r="DH42" s="121"/>
      <c r="DI42" s="121"/>
      <c r="DJ42" s="121"/>
      <c r="DK42" s="121"/>
      <c r="DL42" s="121"/>
      <c r="DM42" s="121"/>
      <c r="DN42" s="121"/>
      <c r="DO42" s="121"/>
      <c r="DP42" s="121"/>
      <c r="DQ42" s="121"/>
      <c r="DR42" s="121"/>
      <c r="DS42" s="121"/>
      <c r="DT42" s="121"/>
      <c r="DU42" s="121"/>
      <c r="DV42" s="121"/>
      <c r="DW42" s="121"/>
      <c r="DX42" s="121"/>
      <c r="DY42" s="121"/>
      <c r="DZ42" s="121"/>
      <c r="EA42" s="121"/>
      <c r="EB42" s="121"/>
      <c r="EC42" s="121"/>
      <c r="ED42" s="121"/>
      <c r="EE42" s="121"/>
      <c r="EF42" s="121"/>
      <c r="EG42" s="121"/>
      <c r="EH42" s="121"/>
      <c r="EI42" s="121"/>
      <c r="EJ42" s="121"/>
      <c r="EK42" s="121"/>
      <c r="EL42" s="121"/>
      <c r="EM42" s="121"/>
      <c r="EN42" s="121"/>
      <c r="EO42" s="121"/>
      <c r="EP42" s="121"/>
      <c r="EQ42" s="121"/>
      <c r="ER42" s="121"/>
      <c r="ES42" s="121"/>
      <c r="ET42" s="121"/>
      <c r="EU42" s="121"/>
      <c r="EV42" s="121"/>
      <c r="EW42" s="121"/>
      <c r="EX42" s="121"/>
      <c r="EY42" s="121"/>
      <c r="EZ42" s="121"/>
      <c r="FA42" s="121"/>
      <c r="FB42" s="121"/>
      <c r="FC42" s="121"/>
      <c r="FD42" s="121"/>
      <c r="FE42" s="121"/>
      <c r="FF42" s="121"/>
      <c r="FG42" s="121"/>
      <c r="FH42" s="121"/>
      <c r="FI42" s="121"/>
      <c r="FJ42" s="121"/>
      <c r="FK42" s="121"/>
      <c r="FL42" s="121"/>
      <c r="FM42" s="121"/>
      <c r="FN42" s="121"/>
      <c r="FO42" s="121"/>
      <c r="FP42" s="121"/>
      <c r="FQ42" s="121"/>
      <c r="FR42" s="121"/>
      <c r="FS42" s="121"/>
      <c r="FT42" s="121"/>
      <c r="FU42" s="121"/>
      <c r="FV42" s="121"/>
      <c r="FW42" s="121"/>
      <c r="FX42" s="121"/>
      <c r="FY42" s="121"/>
      <c r="FZ42" s="121"/>
      <c r="GA42" s="121"/>
      <c r="GB42" s="121"/>
      <c r="GC42" s="121"/>
      <c r="GD42" s="121"/>
      <c r="GE42" s="121"/>
      <c r="GF42" s="121"/>
      <c r="GG42" s="121"/>
      <c r="GH42" s="121"/>
      <c r="GI42" s="121"/>
      <c r="GJ42" s="121"/>
      <c r="GK42" s="121"/>
      <c r="GL42" s="121"/>
      <c r="GM42" s="121"/>
      <c r="GN42" s="121"/>
      <c r="GO42" s="121"/>
      <c r="GP42" s="121"/>
    </row>
    <row r="43" spans="2:198" s="112" customFormat="1">
      <c r="B43" s="238">
        <f>B42+0.1</f>
        <v>4.0999999999999996</v>
      </c>
      <c r="C43" s="239" t="s">
        <v>193</v>
      </c>
      <c r="D43" s="205"/>
      <c r="E43" s="240"/>
      <c r="F43" s="241"/>
      <c r="G43" s="240"/>
      <c r="H43" s="228"/>
      <c r="I43" s="240">
        <v>45830</v>
      </c>
      <c r="J43" s="241">
        <v>61</v>
      </c>
      <c r="K43" s="240">
        <f>WORKDAY.INTL(I43,J43,1,Data!$C$3:$C$41)</f>
        <v>45915</v>
      </c>
      <c r="M43" s="243">
        <v>1</v>
      </c>
      <c r="N43" s="243">
        <f t="shared" ref="N43:N56" ca="1" si="5">_xlfn.LET(
  _xlpm.s,VALUE(I43),
  _xlpm.e,VALUE(K43),
  IF(OR(_xlpm.s="",_xlpm.e=""),"", IF(_xlpm.e&lt;=_xlpm.s, IF(TODAY()&gt;=_xlpm.e,1,0), MAX(0,MIN(1,(TODAY()-_xlpm.s)/(_xlpm.e-_xlpm.s)))))
)</f>
        <v>1</v>
      </c>
      <c r="O43" s="122" t="s">
        <v>194</v>
      </c>
      <c r="Q43" s="124"/>
      <c r="R43" s="121"/>
      <c r="S43" s="118"/>
      <c r="T43" s="121"/>
      <c r="U43" s="121"/>
      <c r="V43" s="121"/>
      <c r="W43" s="121"/>
      <c r="X43" s="121"/>
      <c r="Y43" s="121"/>
      <c r="Z43" s="121"/>
      <c r="AA43" s="121"/>
      <c r="AB43" s="121"/>
      <c r="AC43" s="121"/>
      <c r="AD43" s="121"/>
      <c r="AE43" s="121"/>
      <c r="AF43" s="121"/>
      <c r="AG43" s="121"/>
      <c r="AH43" s="121"/>
      <c r="AI43" s="121"/>
      <c r="AJ43" s="121"/>
      <c r="AK43" s="121"/>
      <c r="AL43" s="121"/>
      <c r="AM43" s="121"/>
      <c r="AN43" s="121"/>
      <c r="AO43" s="121"/>
      <c r="AP43" s="121"/>
      <c r="AQ43" s="121"/>
      <c r="AR43" s="121"/>
      <c r="AS43" s="121"/>
      <c r="AT43" s="121"/>
      <c r="AU43" s="121"/>
      <c r="AV43" s="121"/>
      <c r="AW43" s="121"/>
      <c r="AX43" s="121"/>
      <c r="AY43" s="121"/>
      <c r="AZ43" s="121"/>
      <c r="BA43" s="121"/>
      <c r="BB43" s="121"/>
      <c r="BC43" s="121"/>
      <c r="BD43" s="121"/>
      <c r="BE43" s="121"/>
      <c r="BF43" s="121"/>
      <c r="BG43" s="121"/>
      <c r="BH43" s="121"/>
      <c r="BI43" s="121"/>
      <c r="BJ43" s="121"/>
      <c r="BK43" s="121"/>
      <c r="BL43" s="121"/>
      <c r="BM43" s="121"/>
      <c r="BN43" s="121"/>
      <c r="BO43" s="121"/>
      <c r="BP43" s="121"/>
      <c r="BQ43" s="121"/>
      <c r="BR43" s="121"/>
      <c r="BS43" s="121"/>
      <c r="BT43" s="121"/>
      <c r="BU43" s="121"/>
      <c r="BV43" s="121"/>
      <c r="BW43" s="121"/>
      <c r="BX43" s="121"/>
      <c r="BY43" s="121"/>
      <c r="BZ43" s="121"/>
      <c r="CA43" s="121"/>
      <c r="CB43" s="121"/>
      <c r="CC43" s="121"/>
      <c r="CD43" s="121"/>
      <c r="CE43" s="121"/>
      <c r="CF43" s="121"/>
      <c r="CG43" s="121"/>
      <c r="CH43" s="121"/>
      <c r="CI43" s="121"/>
      <c r="CJ43" s="121"/>
      <c r="CK43" s="121"/>
      <c r="CL43" s="121"/>
      <c r="CM43" s="121"/>
      <c r="CN43" s="121"/>
      <c r="CO43" s="121"/>
      <c r="CP43" s="121"/>
      <c r="CQ43" s="121"/>
      <c r="CR43" s="121"/>
      <c r="CS43" s="121"/>
      <c r="CT43" s="121"/>
      <c r="CU43" s="121"/>
      <c r="CV43" s="121"/>
      <c r="CW43" s="121"/>
      <c r="CX43" s="121"/>
      <c r="CY43" s="121"/>
      <c r="CZ43" s="121"/>
      <c r="DA43" s="121"/>
      <c r="DB43" s="121"/>
      <c r="DC43" s="121"/>
      <c r="DD43" s="121"/>
      <c r="DE43" s="121"/>
      <c r="DF43" s="121"/>
      <c r="DG43" s="121"/>
      <c r="DH43" s="121"/>
      <c r="DI43" s="121"/>
      <c r="DJ43" s="121"/>
      <c r="DK43" s="121"/>
      <c r="DL43" s="121"/>
      <c r="DM43" s="121"/>
      <c r="DN43" s="121"/>
      <c r="DO43" s="121"/>
      <c r="DP43" s="121"/>
      <c r="DQ43" s="121"/>
      <c r="DR43" s="121"/>
      <c r="DS43" s="121"/>
      <c r="DT43" s="121"/>
      <c r="DU43" s="121"/>
      <c r="DV43" s="121"/>
      <c r="DW43" s="121"/>
      <c r="DX43" s="121"/>
      <c r="DY43" s="121"/>
      <c r="DZ43" s="121"/>
      <c r="EA43" s="121"/>
      <c r="EB43" s="121"/>
      <c r="EC43" s="121"/>
      <c r="ED43" s="121"/>
      <c r="EE43" s="121"/>
      <c r="EF43" s="121"/>
      <c r="EG43" s="121"/>
      <c r="EH43" s="121"/>
      <c r="EI43" s="121"/>
      <c r="EJ43" s="121"/>
      <c r="EK43" s="121"/>
      <c r="EL43" s="121"/>
      <c r="EM43" s="121"/>
      <c r="EN43" s="121"/>
      <c r="EO43" s="121"/>
      <c r="EP43" s="121"/>
      <c r="EQ43" s="121"/>
      <c r="ER43" s="121"/>
      <c r="ES43" s="121"/>
      <c r="ET43" s="121"/>
      <c r="EU43" s="121"/>
      <c r="EV43" s="121"/>
      <c r="EW43" s="121"/>
      <c r="EX43" s="121"/>
      <c r="EY43" s="121"/>
      <c r="EZ43" s="121"/>
      <c r="FA43" s="121"/>
      <c r="FB43" s="121"/>
      <c r="FC43" s="121"/>
      <c r="FD43" s="121"/>
      <c r="FE43" s="121"/>
      <c r="FF43" s="121"/>
      <c r="FG43" s="121"/>
      <c r="FH43" s="121"/>
      <c r="FI43" s="121"/>
      <c r="FJ43" s="121"/>
      <c r="FK43" s="121"/>
      <c r="FL43" s="121"/>
      <c r="FM43" s="121"/>
      <c r="FN43" s="121"/>
      <c r="FO43" s="121"/>
      <c r="FP43" s="121"/>
      <c r="FQ43" s="121"/>
      <c r="FR43" s="121"/>
      <c r="FS43" s="121"/>
      <c r="FT43" s="121"/>
      <c r="FU43" s="121"/>
      <c r="FV43" s="121"/>
      <c r="FW43" s="121"/>
      <c r="FX43" s="121"/>
      <c r="FY43" s="121"/>
      <c r="FZ43" s="121"/>
      <c r="GA43" s="121"/>
      <c r="GB43" s="121"/>
      <c r="GC43" s="121"/>
      <c r="GD43" s="121"/>
      <c r="GE43" s="121"/>
      <c r="GF43" s="121"/>
      <c r="GG43" s="121"/>
      <c r="GH43" s="121"/>
      <c r="GI43" s="121"/>
      <c r="GJ43" s="121"/>
      <c r="GK43" s="121"/>
      <c r="GL43" s="121"/>
      <c r="GM43" s="121"/>
      <c r="GN43" s="121"/>
      <c r="GO43" s="121"/>
      <c r="GP43" s="121"/>
    </row>
    <row r="44" spans="2:198" s="112" customFormat="1">
      <c r="B44" s="786">
        <f t="shared" ref="B44:B51" si="6">B43+0.1</f>
        <v>4.1999999999999993</v>
      </c>
      <c r="C44" s="696" t="s">
        <v>195</v>
      </c>
      <c r="D44" s="205"/>
      <c r="E44" s="746">
        <v>45830</v>
      </c>
      <c r="F44" s="747">
        <v>42</v>
      </c>
      <c r="G44" s="746">
        <f>WORKDAY.INTL(E44,F44,1,Data!$C$3:$C$41)</f>
        <v>45888</v>
      </c>
      <c r="H44" s="748"/>
      <c r="I44" s="746">
        <v>45830</v>
      </c>
      <c r="J44" s="747">
        <v>135</v>
      </c>
      <c r="K44" s="746">
        <f>WORKDAY.INTL(I44,J44,1,Data!$C$3:$C$41)</f>
        <v>46042</v>
      </c>
      <c r="M44" s="243">
        <v>1</v>
      </c>
      <c r="N44" s="243">
        <f t="shared" ca="1" si="5"/>
        <v>1</v>
      </c>
      <c r="O44" s="122" t="s">
        <v>196</v>
      </c>
      <c r="Q44" s="124"/>
      <c r="R44" s="121"/>
      <c r="S44" s="118"/>
      <c r="T44" s="121"/>
      <c r="U44" s="121"/>
      <c r="V44" s="121"/>
      <c r="W44" s="121"/>
      <c r="X44" s="121"/>
      <c r="Y44" s="121"/>
      <c r="Z44" s="121"/>
      <c r="AA44" s="121"/>
      <c r="AB44" s="121"/>
      <c r="AC44" s="121"/>
      <c r="AD44" s="121"/>
      <c r="AE44" s="121"/>
      <c r="AF44" s="121"/>
      <c r="AG44" s="121"/>
      <c r="AH44" s="121"/>
      <c r="AI44" s="121"/>
      <c r="AJ44" s="121"/>
      <c r="AK44" s="121"/>
      <c r="AL44" s="121"/>
      <c r="AM44" s="121"/>
      <c r="AN44" s="121"/>
      <c r="AO44" s="121"/>
      <c r="AP44" s="121"/>
      <c r="AQ44" s="121"/>
      <c r="AR44" s="121"/>
      <c r="AS44" s="121"/>
      <c r="AT44" s="121"/>
      <c r="AU44" s="121"/>
      <c r="AV44" s="121"/>
      <c r="AW44" s="121"/>
      <c r="AX44" s="121"/>
      <c r="AY44" s="121"/>
      <c r="AZ44" s="121"/>
      <c r="BA44" s="121"/>
      <c r="BB44" s="121"/>
      <c r="BC44" s="121"/>
      <c r="BD44" s="121"/>
      <c r="BE44" s="121"/>
      <c r="BF44" s="121"/>
      <c r="BG44" s="121"/>
      <c r="BH44" s="121"/>
      <c r="BI44" s="121"/>
      <c r="BJ44" s="121"/>
      <c r="BK44" s="121"/>
      <c r="BL44" s="121"/>
      <c r="BM44" s="121"/>
      <c r="BN44" s="121"/>
      <c r="BO44" s="121"/>
      <c r="BP44" s="121"/>
      <c r="BQ44" s="121"/>
      <c r="BR44" s="121"/>
      <c r="BS44" s="121"/>
      <c r="BT44" s="121"/>
      <c r="BU44" s="121"/>
      <c r="BV44" s="121"/>
      <c r="BW44" s="121"/>
      <c r="BX44" s="121"/>
      <c r="BY44" s="121"/>
      <c r="BZ44" s="121"/>
      <c r="CA44" s="121"/>
      <c r="CB44" s="121"/>
      <c r="CC44" s="121"/>
      <c r="CD44" s="121"/>
      <c r="CE44" s="121"/>
      <c r="CF44" s="121"/>
      <c r="CG44" s="121"/>
      <c r="CH44" s="121"/>
      <c r="CI44" s="121"/>
      <c r="CJ44" s="121"/>
      <c r="CK44" s="121"/>
      <c r="CL44" s="121"/>
      <c r="CM44" s="121"/>
      <c r="CN44" s="121"/>
      <c r="CO44" s="121"/>
      <c r="CP44" s="121"/>
      <c r="CQ44" s="121"/>
      <c r="CR44" s="121"/>
      <c r="CS44" s="121"/>
      <c r="CT44" s="121"/>
      <c r="CU44" s="121"/>
      <c r="CV44" s="121"/>
      <c r="CW44" s="121"/>
      <c r="CX44" s="121"/>
      <c r="CY44" s="121"/>
      <c r="CZ44" s="121"/>
      <c r="DA44" s="121"/>
      <c r="DB44" s="121"/>
      <c r="DC44" s="121"/>
      <c r="DD44" s="121"/>
      <c r="DE44" s="121"/>
      <c r="DF44" s="121"/>
      <c r="DG44" s="121"/>
      <c r="DH44" s="121"/>
      <c r="DI44" s="121"/>
      <c r="DJ44" s="121"/>
      <c r="DK44" s="121"/>
      <c r="DL44" s="121"/>
      <c r="DM44" s="121"/>
      <c r="DN44" s="121"/>
      <c r="DO44" s="121"/>
      <c r="DP44" s="121"/>
      <c r="DQ44" s="121"/>
      <c r="DR44" s="121"/>
      <c r="DS44" s="121"/>
      <c r="DT44" s="121"/>
      <c r="DU44" s="121"/>
      <c r="DV44" s="121"/>
      <c r="DW44" s="121"/>
      <c r="DX44" s="121"/>
      <c r="DY44" s="121"/>
      <c r="DZ44" s="121"/>
      <c r="EA44" s="121"/>
      <c r="EB44" s="121"/>
      <c r="EC44" s="121"/>
      <c r="ED44" s="121"/>
      <c r="EE44" s="121"/>
      <c r="EF44" s="121"/>
      <c r="EG44" s="121"/>
      <c r="EH44" s="121"/>
      <c r="EI44" s="121"/>
      <c r="EJ44" s="121"/>
      <c r="EK44" s="121"/>
      <c r="EL44" s="121"/>
      <c r="EM44" s="121"/>
      <c r="EN44" s="121"/>
      <c r="EO44" s="121"/>
      <c r="EP44" s="121"/>
      <c r="EQ44" s="121"/>
      <c r="ER44" s="121"/>
      <c r="ES44" s="121"/>
      <c r="ET44" s="121"/>
      <c r="EU44" s="121"/>
      <c r="EV44" s="121"/>
      <c r="EW44" s="121"/>
      <c r="EX44" s="121"/>
      <c r="EY44" s="121"/>
      <c r="EZ44" s="121"/>
      <c r="FA44" s="121"/>
      <c r="FB44" s="121"/>
      <c r="FC44" s="121"/>
      <c r="FD44" s="121"/>
      <c r="FE44" s="121"/>
      <c r="FF44" s="121"/>
      <c r="FG44" s="121"/>
      <c r="FH44" s="121"/>
      <c r="FI44" s="121"/>
      <c r="FJ44" s="121"/>
      <c r="FK44" s="121"/>
      <c r="FL44" s="121"/>
      <c r="FM44" s="121"/>
      <c r="FN44" s="121"/>
      <c r="FO44" s="121"/>
      <c r="FP44" s="121"/>
      <c r="FQ44" s="121"/>
      <c r="FR44" s="121"/>
      <c r="FS44" s="121"/>
      <c r="FT44" s="121"/>
      <c r="FU44" s="121"/>
      <c r="FV44" s="121"/>
      <c r="FW44" s="121"/>
      <c r="FX44" s="121"/>
      <c r="FY44" s="121"/>
      <c r="FZ44" s="121"/>
      <c r="GA44" s="121"/>
      <c r="GB44" s="121"/>
      <c r="GC44" s="121"/>
      <c r="GD44" s="121"/>
      <c r="GE44" s="121"/>
      <c r="GF44" s="121"/>
      <c r="GG44" s="121"/>
      <c r="GH44" s="121"/>
      <c r="GI44" s="121"/>
      <c r="GJ44" s="121"/>
      <c r="GK44" s="121"/>
      <c r="GL44" s="121"/>
      <c r="GM44" s="121"/>
      <c r="GN44" s="121"/>
      <c r="GO44" s="121"/>
      <c r="GP44" s="121"/>
    </row>
    <row r="45" spans="2:198" s="112" customFormat="1">
      <c r="B45" s="238">
        <f t="shared" si="6"/>
        <v>4.2999999999999989</v>
      </c>
      <c r="C45" s="239" t="s">
        <v>197</v>
      </c>
      <c r="D45" s="205"/>
      <c r="E45" s="240">
        <v>45854</v>
      </c>
      <c r="F45" s="241">
        <v>15</v>
      </c>
      <c r="G45" s="240">
        <f>WORKDAY.INTL(E45,F45,1,Data!$C$3:$C$41)</f>
        <v>45875</v>
      </c>
      <c r="H45" s="228"/>
      <c r="I45" s="240">
        <v>45854</v>
      </c>
      <c r="J45" s="241">
        <v>31</v>
      </c>
      <c r="K45" s="240">
        <f>WORKDAY.INTL(I45,J45,1,Data!$C$3:$C$41)</f>
        <v>45897</v>
      </c>
      <c r="M45" s="243">
        <v>1</v>
      </c>
      <c r="N45" s="243">
        <f t="shared" ca="1" si="5"/>
        <v>1</v>
      </c>
      <c r="O45" s="122"/>
      <c r="Q45" s="124"/>
      <c r="R45" s="121"/>
      <c r="S45" s="118"/>
      <c r="T45" s="121"/>
      <c r="U45" s="121"/>
      <c r="V45" s="121"/>
      <c r="W45" s="121"/>
      <c r="X45" s="121"/>
      <c r="Y45" s="121"/>
      <c r="Z45" s="121"/>
      <c r="AA45" s="121"/>
      <c r="AB45" s="121"/>
      <c r="AC45" s="121"/>
      <c r="AD45" s="121"/>
      <c r="AE45" s="121"/>
      <c r="AF45" s="121"/>
      <c r="AG45" s="121"/>
      <c r="AH45" s="121"/>
      <c r="AI45" s="121"/>
      <c r="AJ45" s="121"/>
      <c r="AK45" s="121"/>
      <c r="AL45" s="121"/>
      <c r="AM45" s="121"/>
      <c r="AN45" s="121"/>
      <c r="AO45" s="121"/>
      <c r="AP45" s="121"/>
      <c r="AQ45" s="121"/>
      <c r="AR45" s="121"/>
      <c r="AS45" s="121"/>
      <c r="AT45" s="121"/>
      <c r="AU45" s="121"/>
      <c r="AV45" s="121"/>
      <c r="AW45" s="121"/>
      <c r="AX45" s="121"/>
      <c r="AY45" s="121"/>
      <c r="AZ45" s="121"/>
      <c r="BA45" s="121"/>
      <c r="BB45" s="121"/>
      <c r="BC45" s="121"/>
      <c r="BD45" s="121"/>
      <c r="BE45" s="121"/>
      <c r="BF45" s="121"/>
      <c r="BG45" s="121"/>
      <c r="BH45" s="121"/>
      <c r="BI45" s="121"/>
      <c r="BJ45" s="121"/>
      <c r="BK45" s="121"/>
      <c r="BL45" s="121"/>
      <c r="BM45" s="121"/>
      <c r="BN45" s="121"/>
      <c r="BO45" s="121"/>
      <c r="BP45" s="121"/>
      <c r="BQ45" s="121"/>
      <c r="BR45" s="121"/>
      <c r="BS45" s="121"/>
      <c r="BT45" s="121"/>
      <c r="BU45" s="121"/>
      <c r="BV45" s="121"/>
      <c r="BW45" s="121"/>
      <c r="BX45" s="121"/>
      <c r="BY45" s="121"/>
      <c r="BZ45" s="121"/>
      <c r="CA45" s="121"/>
      <c r="CB45" s="121"/>
      <c r="CC45" s="121"/>
      <c r="CD45" s="121"/>
      <c r="CE45" s="121"/>
      <c r="CF45" s="121"/>
      <c r="CG45" s="121"/>
      <c r="CH45" s="121"/>
      <c r="CI45" s="121"/>
      <c r="CJ45" s="121"/>
      <c r="CK45" s="121"/>
      <c r="CL45" s="121"/>
      <c r="CM45" s="121"/>
      <c r="CN45" s="121"/>
      <c r="CO45" s="121"/>
      <c r="CP45" s="121"/>
      <c r="CQ45" s="121"/>
      <c r="CR45" s="121"/>
      <c r="CS45" s="121"/>
      <c r="CT45" s="121"/>
      <c r="CU45" s="121"/>
      <c r="CV45" s="121"/>
      <c r="CW45" s="121"/>
      <c r="CX45" s="121"/>
      <c r="CY45" s="121"/>
      <c r="CZ45" s="121"/>
      <c r="DA45" s="121"/>
      <c r="DB45" s="121"/>
      <c r="DC45" s="121"/>
      <c r="DD45" s="121"/>
      <c r="DE45" s="121"/>
      <c r="DF45" s="121"/>
      <c r="DG45" s="121"/>
      <c r="DH45" s="121"/>
      <c r="DI45" s="121"/>
      <c r="DJ45" s="121"/>
      <c r="DK45" s="121"/>
      <c r="DL45" s="121"/>
      <c r="DM45" s="121"/>
      <c r="DN45" s="121"/>
      <c r="DO45" s="121"/>
      <c r="DP45" s="121"/>
      <c r="DQ45" s="121"/>
      <c r="DR45" s="121"/>
      <c r="DS45" s="121"/>
      <c r="DT45" s="121"/>
      <c r="DU45" s="121"/>
      <c r="DV45" s="121"/>
      <c r="DW45" s="121"/>
      <c r="DX45" s="121"/>
      <c r="DY45" s="121"/>
      <c r="DZ45" s="121"/>
      <c r="EA45" s="121"/>
      <c r="EB45" s="121"/>
      <c r="EC45" s="121"/>
      <c r="ED45" s="121"/>
      <c r="EE45" s="121"/>
      <c r="EF45" s="121"/>
      <c r="EG45" s="121"/>
      <c r="EH45" s="121"/>
      <c r="EI45" s="121"/>
      <c r="EJ45" s="121"/>
      <c r="EK45" s="121"/>
      <c r="EL45" s="121"/>
      <c r="EM45" s="121"/>
      <c r="EN45" s="121"/>
      <c r="EO45" s="121"/>
      <c r="EP45" s="121"/>
      <c r="EQ45" s="121"/>
      <c r="ER45" s="121"/>
      <c r="ES45" s="121"/>
      <c r="ET45" s="121"/>
      <c r="EU45" s="121"/>
      <c r="EV45" s="121"/>
      <c r="EW45" s="121"/>
      <c r="EX45" s="121"/>
      <c r="EY45" s="121"/>
      <c r="EZ45" s="121"/>
      <c r="FA45" s="121"/>
      <c r="FB45" s="121"/>
      <c r="FC45" s="121"/>
      <c r="FD45" s="121"/>
      <c r="FE45" s="121"/>
      <c r="FF45" s="121"/>
      <c r="FG45" s="121"/>
      <c r="FH45" s="121"/>
      <c r="FI45" s="121"/>
      <c r="FJ45" s="121"/>
      <c r="FK45" s="121"/>
      <c r="FL45" s="121"/>
      <c r="FM45" s="121"/>
      <c r="FN45" s="121"/>
      <c r="FO45" s="121"/>
      <c r="FP45" s="121"/>
      <c r="FQ45" s="121"/>
      <c r="FR45" s="121"/>
      <c r="FS45" s="121"/>
      <c r="FT45" s="121"/>
      <c r="FU45" s="121"/>
      <c r="FV45" s="121"/>
      <c r="FW45" s="121"/>
      <c r="FX45" s="121"/>
      <c r="FY45" s="121"/>
      <c r="FZ45" s="121"/>
      <c r="GA45" s="121"/>
      <c r="GB45" s="121"/>
      <c r="GC45" s="121"/>
      <c r="GD45" s="121"/>
      <c r="GE45" s="121"/>
      <c r="GF45" s="121"/>
      <c r="GG45" s="121"/>
      <c r="GH45" s="121"/>
      <c r="GI45" s="121"/>
      <c r="GJ45" s="121"/>
      <c r="GK45" s="121"/>
      <c r="GL45" s="121"/>
      <c r="GM45" s="121"/>
      <c r="GN45" s="121"/>
      <c r="GO45" s="121"/>
      <c r="GP45" s="121"/>
    </row>
    <row r="46" spans="2:198" s="112" customFormat="1">
      <c r="B46" s="238">
        <f t="shared" si="6"/>
        <v>4.3999999999999986</v>
      </c>
      <c r="C46" s="239" t="s">
        <v>198</v>
      </c>
      <c r="D46" s="205"/>
      <c r="E46" s="240">
        <f>WORKDAY.INTL(G45,0,1,Data!$C$3:$C$41)</f>
        <v>45875</v>
      </c>
      <c r="F46" s="241">
        <v>5</v>
      </c>
      <c r="G46" s="240">
        <f>WORKDAY.INTL(E46,F46,1,Data!$C$3:$C$41)</f>
        <v>45882</v>
      </c>
      <c r="H46" s="228"/>
      <c r="I46" s="240">
        <f>K22+3</f>
        <v>45913</v>
      </c>
      <c r="J46" s="241">
        <v>15</v>
      </c>
      <c r="K46" s="240">
        <f>WORKDAY.INTL(I46,J46,1,Data!$C$3:$C$41)</f>
        <v>45936</v>
      </c>
      <c r="M46" s="243">
        <v>1</v>
      </c>
      <c r="N46" s="243">
        <f t="shared" ca="1" si="5"/>
        <v>1</v>
      </c>
      <c r="O46" s="784" t="s">
        <v>199</v>
      </c>
      <c r="Q46" s="124"/>
      <c r="R46" s="121"/>
      <c r="S46" s="118"/>
      <c r="T46" s="121"/>
      <c r="U46" s="121"/>
      <c r="V46" s="121"/>
      <c r="W46" s="121"/>
      <c r="X46" s="121"/>
      <c r="Y46" s="121"/>
      <c r="Z46" s="121"/>
      <c r="AA46" s="121"/>
      <c r="AB46" s="121"/>
      <c r="AC46" s="121"/>
      <c r="AD46" s="121"/>
      <c r="AE46" s="121"/>
      <c r="AF46" s="121"/>
      <c r="AG46" s="121"/>
      <c r="AH46" s="121"/>
      <c r="AI46" s="121"/>
      <c r="AJ46" s="121"/>
      <c r="AK46" s="121"/>
      <c r="AL46" s="121"/>
      <c r="AM46" s="121"/>
      <c r="AN46" s="121"/>
      <c r="AO46" s="121"/>
      <c r="AP46" s="121"/>
      <c r="AQ46" s="121"/>
      <c r="AR46" s="121"/>
      <c r="AS46" s="121"/>
      <c r="AT46" s="121"/>
      <c r="AU46" s="121"/>
      <c r="AV46" s="121"/>
      <c r="AW46" s="121"/>
      <c r="AX46" s="121"/>
      <c r="AY46" s="121"/>
      <c r="AZ46" s="121"/>
      <c r="BA46" s="121"/>
      <c r="BB46" s="121"/>
      <c r="BC46" s="121"/>
      <c r="BD46" s="121"/>
      <c r="BE46" s="121"/>
      <c r="BF46" s="121"/>
      <c r="BG46" s="121"/>
      <c r="BH46" s="121"/>
      <c r="BI46" s="121"/>
      <c r="BJ46" s="121"/>
      <c r="BK46" s="121"/>
      <c r="BL46" s="121"/>
      <c r="BM46" s="121"/>
      <c r="BN46" s="121"/>
      <c r="BO46" s="121"/>
      <c r="BP46" s="121"/>
      <c r="BQ46" s="121"/>
      <c r="BR46" s="121"/>
      <c r="BS46" s="121"/>
      <c r="BT46" s="121"/>
      <c r="BU46" s="121"/>
      <c r="BV46" s="121"/>
      <c r="BW46" s="121"/>
      <c r="BX46" s="121"/>
      <c r="BY46" s="121"/>
      <c r="BZ46" s="121"/>
      <c r="CA46" s="121"/>
      <c r="CB46" s="121"/>
      <c r="CC46" s="121"/>
      <c r="CD46" s="121"/>
      <c r="CE46" s="121"/>
      <c r="CF46" s="121"/>
      <c r="CG46" s="121"/>
      <c r="CH46" s="121"/>
      <c r="CI46" s="121"/>
      <c r="CJ46" s="121"/>
      <c r="CK46" s="121"/>
      <c r="CL46" s="121"/>
      <c r="CM46" s="121"/>
      <c r="CN46" s="121"/>
      <c r="CO46" s="121"/>
      <c r="CP46" s="121"/>
      <c r="CQ46" s="121"/>
      <c r="CR46" s="121"/>
      <c r="CS46" s="121"/>
      <c r="CT46" s="121"/>
      <c r="CU46" s="121"/>
      <c r="CV46" s="121"/>
      <c r="CW46" s="121"/>
      <c r="CX46" s="121"/>
      <c r="CY46" s="121"/>
      <c r="CZ46" s="121"/>
      <c r="DA46" s="121"/>
      <c r="DB46" s="121"/>
      <c r="DC46" s="121"/>
      <c r="DD46" s="121"/>
      <c r="DE46" s="121"/>
      <c r="DF46" s="121"/>
      <c r="DG46" s="121"/>
      <c r="DH46" s="121"/>
      <c r="DI46" s="121"/>
      <c r="DJ46" s="121"/>
      <c r="DK46" s="121"/>
      <c r="DL46" s="121"/>
      <c r="DM46" s="121"/>
      <c r="DN46" s="121"/>
      <c r="DO46" s="121"/>
      <c r="DP46" s="121"/>
      <c r="DQ46" s="121"/>
      <c r="DR46" s="121"/>
      <c r="DS46" s="121"/>
      <c r="DT46" s="121"/>
      <c r="DU46" s="121"/>
      <c r="DV46" s="121"/>
      <c r="DW46" s="121"/>
      <c r="DX46" s="121"/>
      <c r="DY46" s="121"/>
      <c r="DZ46" s="121"/>
      <c r="EA46" s="121"/>
      <c r="EB46" s="121"/>
      <c r="EC46" s="121"/>
      <c r="ED46" s="121"/>
      <c r="EE46" s="121"/>
      <c r="EF46" s="121"/>
      <c r="EG46" s="121"/>
      <c r="EH46" s="121"/>
      <c r="EI46" s="121"/>
      <c r="EJ46" s="121"/>
      <c r="EK46" s="121"/>
      <c r="EL46" s="121"/>
      <c r="EM46" s="121"/>
      <c r="EN46" s="121"/>
      <c r="EO46" s="121"/>
      <c r="EP46" s="121"/>
      <c r="EQ46" s="121"/>
      <c r="ER46" s="121"/>
      <c r="ES46" s="121"/>
      <c r="ET46" s="121"/>
      <c r="EU46" s="121"/>
      <c r="EV46" s="121"/>
      <c r="EW46" s="121"/>
      <c r="EX46" s="121"/>
      <c r="EY46" s="121"/>
      <c r="EZ46" s="121"/>
      <c r="FA46" s="121"/>
      <c r="FB46" s="121"/>
      <c r="FC46" s="121"/>
      <c r="FD46" s="121"/>
      <c r="FE46" s="121"/>
      <c r="FF46" s="121"/>
      <c r="FG46" s="121"/>
      <c r="FH46" s="121"/>
      <c r="FI46" s="121"/>
      <c r="FJ46" s="121"/>
      <c r="FK46" s="121"/>
      <c r="FL46" s="121"/>
      <c r="FM46" s="121"/>
      <c r="FN46" s="121"/>
      <c r="FO46" s="121"/>
      <c r="FP46" s="121"/>
      <c r="FQ46" s="121"/>
      <c r="FR46" s="121"/>
      <c r="FS46" s="121"/>
      <c r="FT46" s="121"/>
      <c r="FU46" s="121"/>
      <c r="FV46" s="121"/>
      <c r="FW46" s="121"/>
      <c r="FX46" s="121"/>
      <c r="FY46" s="121"/>
      <c r="FZ46" s="121"/>
      <c r="GA46" s="121"/>
      <c r="GB46" s="121"/>
      <c r="GC46" s="121"/>
      <c r="GD46" s="121"/>
      <c r="GE46" s="121"/>
      <c r="GF46" s="121"/>
      <c r="GG46" s="121"/>
      <c r="GH46" s="121"/>
      <c r="GI46" s="121"/>
      <c r="GJ46" s="121"/>
      <c r="GK46" s="121"/>
      <c r="GL46" s="121"/>
      <c r="GM46" s="121"/>
      <c r="GN46" s="121"/>
      <c r="GO46" s="121"/>
      <c r="GP46" s="121"/>
    </row>
    <row r="47" spans="2:198" s="112" customFormat="1">
      <c r="B47" s="238">
        <f t="shared" si="6"/>
        <v>4.4999999999999982</v>
      </c>
      <c r="C47" s="239" t="s">
        <v>200</v>
      </c>
      <c r="D47" s="205"/>
      <c r="E47" s="240">
        <v>45873</v>
      </c>
      <c r="F47" s="241">
        <v>15</v>
      </c>
      <c r="G47" s="240">
        <f>WORKDAY.INTL(E47,F47,1,Data!$C$3:$C$41)</f>
        <v>45894</v>
      </c>
      <c r="H47" s="228"/>
      <c r="I47" s="240">
        <v>45947</v>
      </c>
      <c r="J47" s="241">
        <v>19</v>
      </c>
      <c r="K47" s="240">
        <f>WORKDAY.INTL(I47,J47,1,Data!$C$3:$C$41)</f>
        <v>45974</v>
      </c>
      <c r="M47" s="243">
        <v>1</v>
      </c>
      <c r="N47" s="243">
        <f t="shared" ca="1" si="5"/>
        <v>1</v>
      </c>
      <c r="O47" s="122"/>
      <c r="Q47" s="124"/>
      <c r="R47" s="121"/>
      <c r="S47" s="118"/>
      <c r="T47" s="121"/>
      <c r="U47" s="121"/>
      <c r="V47" s="121"/>
      <c r="W47" s="121"/>
      <c r="X47" s="121"/>
      <c r="Y47" s="121"/>
      <c r="Z47" s="121"/>
      <c r="AA47" s="121"/>
      <c r="AB47" s="121"/>
      <c r="AC47" s="121"/>
      <c r="AD47" s="121"/>
      <c r="AE47" s="121"/>
      <c r="AF47" s="121"/>
      <c r="AG47" s="121"/>
      <c r="AH47" s="121"/>
      <c r="AI47" s="121"/>
      <c r="AJ47" s="121"/>
      <c r="AK47" s="121"/>
      <c r="AL47" s="121"/>
      <c r="AM47" s="121"/>
      <c r="AN47" s="121"/>
      <c r="AO47" s="121"/>
      <c r="AP47" s="121"/>
      <c r="AQ47" s="121"/>
      <c r="AR47" s="121"/>
      <c r="AS47" s="121"/>
      <c r="AT47" s="121"/>
      <c r="AU47" s="121"/>
      <c r="AV47" s="121"/>
      <c r="AW47" s="121"/>
      <c r="AX47" s="121"/>
      <c r="AY47" s="121"/>
      <c r="AZ47" s="121"/>
      <c r="BA47" s="121"/>
      <c r="BB47" s="121"/>
      <c r="BC47" s="121"/>
      <c r="BD47" s="121"/>
      <c r="BE47" s="121"/>
      <c r="BF47" s="121"/>
      <c r="BG47" s="121"/>
      <c r="BH47" s="121"/>
      <c r="BI47" s="121"/>
      <c r="BJ47" s="121"/>
      <c r="BK47" s="121"/>
      <c r="BL47" s="121"/>
      <c r="BM47" s="121"/>
      <c r="BN47" s="121"/>
      <c r="BO47" s="121"/>
      <c r="BP47" s="121"/>
      <c r="BQ47" s="121"/>
      <c r="BR47" s="121"/>
      <c r="BS47" s="121"/>
      <c r="BT47" s="121"/>
      <c r="BU47" s="121"/>
      <c r="BV47" s="121"/>
      <c r="BW47" s="121"/>
      <c r="BX47" s="121"/>
      <c r="BY47" s="121"/>
      <c r="BZ47" s="121"/>
      <c r="CA47" s="121"/>
      <c r="CB47" s="121"/>
      <c r="CC47" s="121"/>
      <c r="CD47" s="121"/>
      <c r="CE47" s="121"/>
      <c r="CF47" s="121"/>
      <c r="CG47" s="121"/>
      <c r="CH47" s="121"/>
      <c r="CI47" s="121"/>
      <c r="CJ47" s="121"/>
      <c r="CK47" s="121"/>
      <c r="CL47" s="121"/>
      <c r="CM47" s="121"/>
      <c r="CN47" s="121"/>
      <c r="CO47" s="121"/>
      <c r="CP47" s="121"/>
      <c r="CQ47" s="121"/>
      <c r="CR47" s="121"/>
      <c r="CS47" s="121"/>
      <c r="CT47" s="121"/>
      <c r="CU47" s="121"/>
      <c r="CV47" s="121"/>
      <c r="CW47" s="121"/>
      <c r="CX47" s="121"/>
      <c r="CY47" s="121"/>
      <c r="CZ47" s="121"/>
      <c r="DA47" s="121"/>
      <c r="DB47" s="121"/>
      <c r="DC47" s="121"/>
      <c r="DD47" s="121"/>
      <c r="DE47" s="121"/>
      <c r="DF47" s="121"/>
      <c r="DG47" s="121"/>
      <c r="DH47" s="121"/>
      <c r="DI47" s="121"/>
      <c r="DJ47" s="121"/>
      <c r="DK47" s="121"/>
      <c r="DL47" s="121"/>
      <c r="DM47" s="121"/>
      <c r="DN47" s="121"/>
      <c r="DO47" s="121"/>
      <c r="DP47" s="121"/>
      <c r="DQ47" s="121"/>
      <c r="DR47" s="121"/>
      <c r="DS47" s="121"/>
      <c r="DT47" s="121"/>
      <c r="DU47" s="121"/>
      <c r="DV47" s="121"/>
      <c r="DW47" s="121"/>
      <c r="DX47" s="121"/>
      <c r="DY47" s="121"/>
      <c r="DZ47" s="121"/>
      <c r="EA47" s="121"/>
      <c r="EB47" s="121"/>
      <c r="EC47" s="121"/>
      <c r="ED47" s="121"/>
      <c r="EE47" s="121"/>
      <c r="EF47" s="121"/>
      <c r="EG47" s="121"/>
      <c r="EH47" s="121"/>
      <c r="EI47" s="121"/>
      <c r="EJ47" s="121"/>
      <c r="EK47" s="121"/>
      <c r="EL47" s="121"/>
      <c r="EM47" s="121"/>
      <c r="EN47" s="121"/>
      <c r="EO47" s="121"/>
      <c r="EP47" s="121"/>
      <c r="EQ47" s="121"/>
      <c r="ER47" s="121"/>
      <c r="ES47" s="121"/>
      <c r="ET47" s="121"/>
      <c r="EU47" s="121"/>
      <c r="EV47" s="121"/>
      <c r="EW47" s="121"/>
      <c r="EX47" s="121"/>
      <c r="EY47" s="121"/>
      <c r="EZ47" s="121"/>
      <c r="FA47" s="121"/>
      <c r="FB47" s="121"/>
      <c r="FC47" s="121"/>
      <c r="FD47" s="121"/>
      <c r="FE47" s="121"/>
      <c r="FF47" s="121"/>
      <c r="FG47" s="121"/>
      <c r="FH47" s="121"/>
      <c r="FI47" s="121"/>
      <c r="FJ47" s="121"/>
      <c r="FK47" s="121"/>
      <c r="FL47" s="121"/>
      <c r="FM47" s="121"/>
      <c r="FN47" s="121"/>
      <c r="FO47" s="121"/>
      <c r="FP47" s="121"/>
      <c r="FQ47" s="121"/>
      <c r="FR47" s="121"/>
      <c r="FS47" s="121"/>
      <c r="FT47" s="121"/>
      <c r="FU47" s="121"/>
      <c r="FV47" s="121"/>
      <c r="FW47" s="121"/>
      <c r="FX47" s="121"/>
      <c r="FY47" s="121"/>
      <c r="FZ47" s="121"/>
      <c r="GA47" s="121"/>
      <c r="GB47" s="121"/>
      <c r="GC47" s="121"/>
      <c r="GD47" s="121"/>
      <c r="GE47" s="121"/>
      <c r="GF47" s="121"/>
      <c r="GG47" s="121"/>
      <c r="GH47" s="121"/>
      <c r="GI47" s="121"/>
      <c r="GJ47" s="121"/>
      <c r="GK47" s="121"/>
      <c r="GL47" s="121"/>
      <c r="GM47" s="121"/>
      <c r="GN47" s="121"/>
      <c r="GO47" s="121"/>
      <c r="GP47" s="121"/>
    </row>
    <row r="48" spans="2:198" s="112" customFormat="1">
      <c r="B48" s="238">
        <f t="shared" si="6"/>
        <v>4.5999999999999979</v>
      </c>
      <c r="C48" s="239" t="s">
        <v>201</v>
      </c>
      <c r="D48" s="205"/>
      <c r="E48" s="240">
        <f>WORKDAY.INTL(G47,0,1,Data!$C$3:$C$41)</f>
        <v>45894</v>
      </c>
      <c r="F48" s="241">
        <v>5</v>
      </c>
      <c r="G48" s="240">
        <f>WORKDAY.INTL(E48,F48,1,Data!$C$3:$C$41)</f>
        <v>45901</v>
      </c>
      <c r="H48" s="228"/>
      <c r="I48" s="240">
        <f>WORKDAY.INTL(K47,0,1,Data!$C$3:$C$41)</f>
        <v>45974</v>
      </c>
      <c r="J48" s="241">
        <v>5</v>
      </c>
      <c r="K48" s="240">
        <f>WORKDAY.INTL(I48,J48,1,Data!$C$3:$C$41)</f>
        <v>45981</v>
      </c>
      <c r="M48" s="243">
        <v>1</v>
      </c>
      <c r="N48" s="243">
        <f t="shared" ca="1" si="5"/>
        <v>1</v>
      </c>
      <c r="O48" s="122"/>
      <c r="Q48" s="124"/>
      <c r="R48" s="121"/>
      <c r="S48" s="118"/>
      <c r="T48" s="121"/>
      <c r="U48" s="121"/>
      <c r="V48" s="121"/>
      <c r="W48" s="121"/>
      <c r="X48" s="121"/>
      <c r="Y48" s="121"/>
      <c r="Z48" s="121"/>
      <c r="AA48" s="121"/>
      <c r="AB48" s="121"/>
      <c r="AC48" s="121"/>
      <c r="AD48" s="121"/>
      <c r="AE48" s="121"/>
      <c r="AF48" s="121"/>
      <c r="AG48" s="121"/>
      <c r="AH48" s="121"/>
      <c r="AI48" s="121"/>
      <c r="AJ48" s="121"/>
      <c r="AK48" s="121"/>
      <c r="AL48" s="121"/>
      <c r="AM48" s="121"/>
      <c r="AN48" s="121"/>
      <c r="AO48" s="121"/>
      <c r="AP48" s="121"/>
      <c r="AQ48" s="121"/>
      <c r="AR48" s="121"/>
      <c r="AS48" s="121"/>
      <c r="AT48" s="121"/>
      <c r="AU48" s="121"/>
      <c r="AV48" s="121"/>
      <c r="AW48" s="121"/>
      <c r="AX48" s="121"/>
      <c r="AY48" s="121"/>
      <c r="AZ48" s="121"/>
      <c r="BA48" s="121"/>
      <c r="BB48" s="121"/>
      <c r="BC48" s="121"/>
      <c r="BD48" s="121"/>
      <c r="BE48" s="121"/>
      <c r="BF48" s="121"/>
      <c r="BG48" s="121"/>
      <c r="BH48" s="121"/>
      <c r="BI48" s="121"/>
      <c r="BJ48" s="121"/>
      <c r="BK48" s="121"/>
      <c r="BL48" s="121"/>
      <c r="BM48" s="121"/>
      <c r="BN48" s="121"/>
      <c r="BO48" s="121"/>
      <c r="BP48" s="121"/>
      <c r="BQ48" s="121"/>
      <c r="BR48" s="121"/>
      <c r="BS48" s="121"/>
      <c r="BT48" s="121"/>
      <c r="BU48" s="121"/>
      <c r="BV48" s="121"/>
      <c r="BW48" s="121"/>
      <c r="BX48" s="121"/>
      <c r="BY48" s="121"/>
      <c r="BZ48" s="121"/>
      <c r="CA48" s="121"/>
      <c r="CB48" s="121"/>
      <c r="CC48" s="121"/>
      <c r="CD48" s="121"/>
      <c r="CE48" s="121"/>
      <c r="CF48" s="121"/>
      <c r="CG48" s="121"/>
      <c r="CH48" s="121"/>
      <c r="CI48" s="121"/>
      <c r="CJ48" s="121"/>
      <c r="CK48" s="121"/>
      <c r="CL48" s="121"/>
      <c r="CM48" s="121"/>
      <c r="CN48" s="121"/>
      <c r="CO48" s="121"/>
      <c r="CP48" s="121"/>
      <c r="CQ48" s="121"/>
      <c r="CR48" s="121"/>
      <c r="CS48" s="121"/>
      <c r="CT48" s="121"/>
      <c r="CU48" s="121"/>
      <c r="CV48" s="121"/>
      <c r="CW48" s="121"/>
      <c r="CX48" s="121"/>
      <c r="CY48" s="121"/>
      <c r="CZ48" s="121"/>
      <c r="DA48" s="121"/>
      <c r="DB48" s="121"/>
      <c r="DC48" s="121"/>
      <c r="DD48" s="121"/>
      <c r="DE48" s="121"/>
      <c r="DF48" s="121"/>
      <c r="DG48" s="121"/>
      <c r="DH48" s="121"/>
      <c r="DI48" s="121"/>
      <c r="DJ48" s="121"/>
      <c r="DK48" s="121"/>
      <c r="DL48" s="121"/>
      <c r="DM48" s="121"/>
      <c r="DN48" s="121"/>
      <c r="DO48" s="121"/>
      <c r="DP48" s="121"/>
      <c r="DQ48" s="121"/>
      <c r="DR48" s="121"/>
      <c r="DS48" s="121"/>
      <c r="DT48" s="121"/>
      <c r="DU48" s="121"/>
      <c r="DV48" s="121"/>
      <c r="DW48" s="121"/>
      <c r="DX48" s="121"/>
      <c r="DY48" s="121"/>
      <c r="DZ48" s="121"/>
      <c r="EA48" s="121"/>
      <c r="EB48" s="121"/>
      <c r="EC48" s="121"/>
      <c r="ED48" s="121"/>
      <c r="EE48" s="121"/>
      <c r="EF48" s="121"/>
      <c r="EG48" s="121"/>
      <c r="EH48" s="121"/>
      <c r="EI48" s="121"/>
      <c r="EJ48" s="121"/>
      <c r="EK48" s="121"/>
      <c r="EL48" s="121"/>
      <c r="EM48" s="121"/>
      <c r="EN48" s="121"/>
      <c r="EO48" s="121"/>
      <c r="EP48" s="121"/>
      <c r="EQ48" s="121"/>
      <c r="ER48" s="121"/>
      <c r="ES48" s="121"/>
      <c r="ET48" s="121"/>
      <c r="EU48" s="121"/>
      <c r="EV48" s="121"/>
      <c r="EW48" s="121"/>
      <c r="EX48" s="121"/>
      <c r="EY48" s="121"/>
      <c r="EZ48" s="121"/>
      <c r="FA48" s="121"/>
      <c r="FB48" s="121"/>
      <c r="FC48" s="121"/>
      <c r="FD48" s="121"/>
      <c r="FE48" s="121"/>
      <c r="FF48" s="121"/>
      <c r="FG48" s="121"/>
      <c r="FH48" s="121"/>
      <c r="FI48" s="121"/>
      <c r="FJ48" s="121"/>
      <c r="FK48" s="121"/>
      <c r="FL48" s="121"/>
      <c r="FM48" s="121"/>
      <c r="FN48" s="121"/>
      <c r="FO48" s="121"/>
      <c r="FP48" s="121"/>
      <c r="FQ48" s="121"/>
      <c r="FR48" s="121"/>
      <c r="FS48" s="121"/>
      <c r="FT48" s="121"/>
      <c r="FU48" s="121"/>
      <c r="FV48" s="121"/>
      <c r="FW48" s="121"/>
      <c r="FX48" s="121"/>
      <c r="FY48" s="121"/>
      <c r="FZ48" s="121"/>
      <c r="GA48" s="121"/>
      <c r="GB48" s="121"/>
      <c r="GC48" s="121"/>
      <c r="GD48" s="121"/>
      <c r="GE48" s="121"/>
      <c r="GF48" s="121"/>
      <c r="GG48" s="121"/>
      <c r="GH48" s="121"/>
      <c r="GI48" s="121"/>
      <c r="GJ48" s="121"/>
      <c r="GK48" s="121"/>
      <c r="GL48" s="121"/>
      <c r="GM48" s="121"/>
      <c r="GN48" s="121"/>
      <c r="GO48" s="121"/>
      <c r="GP48" s="121"/>
    </row>
    <row r="49" spans="2:198" s="112" customFormat="1">
      <c r="B49" s="238">
        <f>B48+0.1</f>
        <v>4.6999999999999975</v>
      </c>
      <c r="C49" s="749" t="s">
        <v>202</v>
      </c>
      <c r="D49" s="205"/>
      <c r="E49" s="240">
        <v>45880</v>
      </c>
      <c r="F49" s="241">
        <v>15</v>
      </c>
      <c r="G49" s="240">
        <f>WORKDAY.INTL(E49,F49,1,Data!$C$3:$C$41)</f>
        <v>45901</v>
      </c>
      <c r="H49" s="228"/>
      <c r="I49" s="240">
        <v>45953</v>
      </c>
      <c r="J49" s="241">
        <v>32</v>
      </c>
      <c r="K49" s="240">
        <f>WORKDAY.INTL(I49,J49,1,Data!$C$3:$C$41)</f>
        <v>45999</v>
      </c>
      <c r="M49" s="243">
        <v>1</v>
      </c>
      <c r="N49" s="243">
        <f t="shared" ca="1" si="5"/>
        <v>1</v>
      </c>
      <c r="O49" s="122"/>
      <c r="Q49" s="124"/>
      <c r="R49" s="121"/>
      <c r="S49" s="118"/>
      <c r="T49" s="121"/>
      <c r="U49" s="121"/>
      <c r="V49" s="121"/>
      <c r="W49" s="121"/>
      <c r="X49" s="121"/>
      <c r="Y49" s="121"/>
      <c r="Z49" s="121"/>
      <c r="AA49" s="121"/>
      <c r="AB49" s="121"/>
      <c r="AC49" s="121"/>
      <c r="AD49" s="121"/>
      <c r="AE49" s="121"/>
      <c r="AF49" s="121"/>
      <c r="AG49" s="121"/>
      <c r="AH49" s="121"/>
      <c r="AI49" s="121"/>
      <c r="AJ49" s="121"/>
      <c r="AK49" s="121"/>
      <c r="AL49" s="121"/>
      <c r="AM49" s="121"/>
      <c r="AN49" s="121"/>
      <c r="AO49" s="121"/>
      <c r="AP49" s="121"/>
      <c r="AQ49" s="121"/>
      <c r="AR49" s="121"/>
      <c r="AS49" s="121"/>
      <c r="AT49" s="121"/>
      <c r="AU49" s="121"/>
      <c r="AV49" s="121"/>
      <c r="AW49" s="121"/>
      <c r="AX49" s="121"/>
      <c r="AY49" s="121"/>
      <c r="AZ49" s="121"/>
      <c r="BA49" s="121"/>
      <c r="BB49" s="121"/>
      <c r="BC49" s="121"/>
      <c r="BD49" s="121"/>
      <c r="BE49" s="121"/>
      <c r="BF49" s="121"/>
      <c r="BG49" s="121"/>
      <c r="BH49" s="121"/>
      <c r="BI49" s="121"/>
      <c r="BJ49" s="121"/>
      <c r="BK49" s="121"/>
      <c r="BL49" s="121"/>
      <c r="BM49" s="121"/>
      <c r="BN49" s="121"/>
      <c r="BO49" s="121"/>
      <c r="BP49" s="121"/>
      <c r="BQ49" s="121"/>
      <c r="BR49" s="121"/>
      <c r="BS49" s="121"/>
      <c r="BT49" s="121"/>
      <c r="BU49" s="121"/>
      <c r="BV49" s="121"/>
      <c r="BW49" s="121"/>
      <c r="BX49" s="121"/>
      <c r="BY49" s="121"/>
      <c r="BZ49" s="121"/>
      <c r="CA49" s="121"/>
      <c r="CB49" s="121"/>
      <c r="CC49" s="121"/>
      <c r="CD49" s="121"/>
      <c r="CE49" s="121"/>
      <c r="CF49" s="121"/>
      <c r="CG49" s="121"/>
      <c r="CH49" s="121"/>
      <c r="CI49" s="121"/>
      <c r="CJ49" s="121"/>
      <c r="CK49" s="121"/>
      <c r="CL49" s="121"/>
      <c r="CM49" s="121"/>
      <c r="CN49" s="121"/>
      <c r="CO49" s="121"/>
      <c r="CP49" s="121"/>
      <c r="CQ49" s="121"/>
      <c r="CR49" s="121"/>
      <c r="CS49" s="121"/>
      <c r="CT49" s="121"/>
      <c r="CU49" s="121"/>
      <c r="CV49" s="121"/>
      <c r="CW49" s="121"/>
      <c r="CX49" s="121"/>
      <c r="CY49" s="121"/>
      <c r="CZ49" s="121"/>
      <c r="DA49" s="121"/>
      <c r="DB49" s="121"/>
      <c r="DC49" s="121"/>
      <c r="DD49" s="121"/>
      <c r="DE49" s="121"/>
      <c r="DF49" s="121"/>
      <c r="DG49" s="121"/>
      <c r="DH49" s="121"/>
      <c r="DI49" s="121"/>
      <c r="DJ49" s="121"/>
      <c r="DK49" s="121"/>
      <c r="DL49" s="121"/>
      <c r="DM49" s="121"/>
      <c r="DN49" s="121"/>
      <c r="DO49" s="121"/>
      <c r="DP49" s="121"/>
      <c r="DQ49" s="121"/>
      <c r="DR49" s="121"/>
      <c r="DS49" s="121"/>
      <c r="DT49" s="121"/>
      <c r="DU49" s="121"/>
      <c r="DV49" s="121"/>
      <c r="DW49" s="121"/>
      <c r="DX49" s="121"/>
      <c r="DY49" s="121"/>
      <c r="DZ49" s="121"/>
      <c r="EA49" s="121"/>
      <c r="EB49" s="121"/>
      <c r="EC49" s="121"/>
      <c r="ED49" s="121"/>
      <c r="EE49" s="121"/>
      <c r="EF49" s="121"/>
      <c r="EG49" s="121"/>
      <c r="EH49" s="121"/>
      <c r="EI49" s="121"/>
      <c r="EJ49" s="121"/>
      <c r="EK49" s="121"/>
      <c r="EL49" s="121"/>
      <c r="EM49" s="121"/>
      <c r="EN49" s="121"/>
      <c r="EO49" s="121"/>
      <c r="EP49" s="121"/>
      <c r="EQ49" s="121"/>
      <c r="ER49" s="121"/>
      <c r="ES49" s="121"/>
      <c r="ET49" s="121"/>
      <c r="EU49" s="121"/>
      <c r="EV49" s="121"/>
      <c r="EW49" s="121"/>
      <c r="EX49" s="121"/>
      <c r="EY49" s="121"/>
      <c r="EZ49" s="121"/>
      <c r="FA49" s="121"/>
      <c r="FB49" s="121"/>
      <c r="FC49" s="121"/>
      <c r="FD49" s="121"/>
      <c r="FE49" s="121"/>
      <c r="FF49" s="121"/>
      <c r="FG49" s="121"/>
      <c r="FH49" s="121"/>
      <c r="FI49" s="121"/>
      <c r="FJ49" s="121"/>
      <c r="FK49" s="121"/>
      <c r="FL49" s="121"/>
      <c r="FM49" s="121"/>
      <c r="FN49" s="121"/>
      <c r="FO49" s="121"/>
      <c r="FP49" s="121"/>
      <c r="FQ49" s="121"/>
      <c r="FR49" s="121"/>
      <c r="FS49" s="121"/>
      <c r="FT49" s="121"/>
      <c r="FU49" s="121"/>
      <c r="FV49" s="121"/>
      <c r="FW49" s="121"/>
      <c r="FX49" s="121"/>
      <c r="FY49" s="121"/>
      <c r="FZ49" s="121"/>
      <c r="GA49" s="121"/>
      <c r="GB49" s="121"/>
      <c r="GC49" s="121"/>
      <c r="GD49" s="121"/>
      <c r="GE49" s="121"/>
      <c r="GF49" s="121"/>
      <c r="GG49" s="121"/>
      <c r="GH49" s="121"/>
      <c r="GI49" s="121"/>
      <c r="GJ49" s="121"/>
      <c r="GK49" s="121"/>
      <c r="GL49" s="121"/>
      <c r="GM49" s="121"/>
      <c r="GN49" s="121"/>
      <c r="GO49" s="121"/>
      <c r="GP49" s="121"/>
    </row>
    <row r="50" spans="2:198" s="112" customFormat="1">
      <c r="B50" s="238">
        <f t="shared" si="6"/>
        <v>4.7999999999999972</v>
      </c>
      <c r="C50" s="239" t="s">
        <v>203</v>
      </c>
      <c r="D50" s="205"/>
      <c r="E50" s="240">
        <f>WORKDAY.INTL(G51,0,1,Data!$C$3:$C$41)-2</f>
        <v>45878</v>
      </c>
      <c r="F50" s="241">
        <v>5</v>
      </c>
      <c r="G50" s="240">
        <f>WORKDAY.INTL(E50,F50,1,Data!$C$3:$C$41)</f>
        <v>45884</v>
      </c>
      <c r="H50" s="228"/>
      <c r="I50" s="240">
        <f>WORKDAY.INTL(I51,0,1,Data!$C$3:$C$41)+5</f>
        <v>45899</v>
      </c>
      <c r="J50" s="241">
        <v>10</v>
      </c>
      <c r="K50" s="240">
        <f>WORKDAY.INTL(I50,J50,1,Data!$C$3:$C$41)</f>
        <v>45912</v>
      </c>
      <c r="M50" s="243">
        <v>1</v>
      </c>
      <c r="N50" s="243">
        <f t="shared" ca="1" si="5"/>
        <v>1</v>
      </c>
      <c r="O50" s="122" t="s">
        <v>204</v>
      </c>
      <c r="Q50" s="124"/>
      <c r="R50" s="121"/>
      <c r="S50" s="118"/>
      <c r="T50" s="121"/>
      <c r="U50" s="121"/>
      <c r="V50" s="121"/>
      <c r="W50" s="121"/>
      <c r="X50" s="121"/>
      <c r="Y50" s="121"/>
      <c r="Z50" s="121"/>
      <c r="AA50" s="121"/>
      <c r="AB50" s="121"/>
      <c r="AC50" s="121"/>
      <c r="AD50" s="121"/>
      <c r="AE50" s="121"/>
      <c r="AF50" s="121"/>
      <c r="AG50" s="121"/>
      <c r="AH50" s="121"/>
      <c r="AI50" s="121"/>
      <c r="AJ50" s="121"/>
      <c r="AK50" s="121"/>
      <c r="AL50" s="121"/>
      <c r="AM50" s="121"/>
      <c r="AN50" s="121"/>
      <c r="AO50" s="121"/>
      <c r="AP50" s="121"/>
      <c r="AQ50" s="121"/>
      <c r="AR50" s="121"/>
      <c r="AS50" s="121"/>
      <c r="AT50" s="121"/>
      <c r="AU50" s="121"/>
      <c r="AV50" s="121"/>
      <c r="AW50" s="121"/>
      <c r="AX50" s="121"/>
      <c r="AY50" s="121"/>
      <c r="AZ50" s="121"/>
      <c r="BA50" s="121"/>
      <c r="BB50" s="121"/>
      <c r="BC50" s="121"/>
      <c r="BD50" s="121"/>
      <c r="BE50" s="121"/>
      <c r="BF50" s="121"/>
      <c r="BG50" s="121"/>
      <c r="BH50" s="121"/>
      <c r="BI50" s="121"/>
      <c r="BJ50" s="121"/>
      <c r="BK50" s="121"/>
      <c r="BL50" s="121"/>
      <c r="BM50" s="121"/>
      <c r="BN50" s="121"/>
      <c r="BO50" s="121"/>
      <c r="BP50" s="121"/>
      <c r="BQ50" s="121"/>
      <c r="BR50" s="121"/>
      <c r="BS50" s="121"/>
      <c r="BT50" s="121"/>
      <c r="BU50" s="121"/>
      <c r="BV50" s="121"/>
      <c r="BW50" s="121"/>
      <c r="BX50" s="121"/>
      <c r="BY50" s="121"/>
      <c r="BZ50" s="121"/>
      <c r="CA50" s="121"/>
      <c r="CB50" s="121"/>
      <c r="CC50" s="121"/>
      <c r="CD50" s="121"/>
      <c r="CE50" s="121"/>
      <c r="CF50" s="121"/>
      <c r="CG50" s="121"/>
      <c r="CH50" s="121"/>
      <c r="CI50" s="121"/>
      <c r="CJ50" s="121"/>
      <c r="CK50" s="121"/>
      <c r="CL50" s="121"/>
      <c r="CM50" s="121"/>
      <c r="CN50" s="121"/>
      <c r="CO50" s="121"/>
      <c r="CP50" s="121"/>
      <c r="CQ50" s="121"/>
      <c r="CR50" s="121"/>
      <c r="CS50" s="121"/>
      <c r="CT50" s="121"/>
      <c r="CU50" s="121"/>
      <c r="CV50" s="121"/>
      <c r="CW50" s="121"/>
      <c r="CX50" s="121"/>
      <c r="CY50" s="121"/>
      <c r="CZ50" s="121"/>
      <c r="DA50" s="121"/>
      <c r="DB50" s="121"/>
      <c r="DC50" s="121"/>
      <c r="DD50" s="121"/>
      <c r="DE50" s="121"/>
      <c r="DF50" s="121"/>
      <c r="DG50" s="121"/>
      <c r="DH50" s="121"/>
      <c r="DI50" s="121"/>
      <c r="DJ50" s="121"/>
      <c r="DK50" s="121"/>
      <c r="DL50" s="121"/>
      <c r="DM50" s="121"/>
      <c r="DN50" s="121"/>
      <c r="DO50" s="121"/>
      <c r="DP50" s="121"/>
      <c r="DQ50" s="121"/>
      <c r="DR50" s="121"/>
      <c r="DS50" s="121"/>
      <c r="DT50" s="121"/>
      <c r="DU50" s="121"/>
      <c r="DV50" s="121"/>
      <c r="DW50" s="121"/>
      <c r="DX50" s="121"/>
      <c r="DY50" s="121"/>
      <c r="DZ50" s="121"/>
      <c r="EA50" s="121"/>
      <c r="EB50" s="121"/>
      <c r="EC50" s="121"/>
      <c r="ED50" s="121"/>
      <c r="EE50" s="121"/>
      <c r="EF50" s="121"/>
      <c r="EG50" s="121"/>
      <c r="EH50" s="121"/>
      <c r="EI50" s="121"/>
      <c r="EJ50" s="121"/>
      <c r="EK50" s="121"/>
      <c r="EL50" s="121"/>
      <c r="EM50" s="121"/>
      <c r="EN50" s="121"/>
      <c r="EO50" s="121"/>
      <c r="EP50" s="121"/>
      <c r="EQ50" s="121"/>
      <c r="ER50" s="121"/>
      <c r="ES50" s="121"/>
      <c r="ET50" s="121"/>
      <c r="EU50" s="121"/>
      <c r="EV50" s="121"/>
      <c r="EW50" s="121"/>
      <c r="EX50" s="121"/>
      <c r="EY50" s="121"/>
      <c r="EZ50" s="121"/>
      <c r="FA50" s="121"/>
      <c r="FB50" s="121"/>
      <c r="FC50" s="121"/>
      <c r="FD50" s="121"/>
      <c r="FE50" s="121"/>
      <c r="FF50" s="121"/>
      <c r="FG50" s="121"/>
      <c r="FH50" s="121"/>
      <c r="FI50" s="121"/>
      <c r="FJ50" s="121"/>
      <c r="FK50" s="121"/>
      <c r="FL50" s="121"/>
      <c r="FM50" s="121"/>
      <c r="FN50" s="121"/>
      <c r="FO50" s="121"/>
      <c r="FP50" s="121"/>
      <c r="FQ50" s="121"/>
      <c r="FR50" s="121"/>
      <c r="FS50" s="121"/>
      <c r="FT50" s="121"/>
      <c r="FU50" s="121"/>
      <c r="FV50" s="121"/>
      <c r="FW50" s="121"/>
      <c r="FX50" s="121"/>
      <c r="FY50" s="121"/>
      <c r="FZ50" s="121"/>
      <c r="GA50" s="121"/>
      <c r="GB50" s="121"/>
      <c r="GC50" s="121"/>
      <c r="GD50" s="121"/>
      <c r="GE50" s="121"/>
      <c r="GF50" s="121"/>
      <c r="GG50" s="121"/>
      <c r="GH50" s="121"/>
      <c r="GI50" s="121"/>
      <c r="GJ50" s="121"/>
      <c r="GK50" s="121"/>
      <c r="GL50" s="121"/>
      <c r="GM50" s="121"/>
      <c r="GN50" s="121"/>
      <c r="GO50" s="121"/>
      <c r="GP50" s="121"/>
    </row>
    <row r="51" spans="2:198" s="112" customFormat="1">
      <c r="B51" s="238">
        <f t="shared" si="6"/>
        <v>4.8999999999999968</v>
      </c>
      <c r="C51" s="239" t="s">
        <v>205</v>
      </c>
      <c r="D51" s="205"/>
      <c r="E51" s="240">
        <v>45873</v>
      </c>
      <c r="F51" s="241">
        <v>5</v>
      </c>
      <c r="G51" s="240">
        <f>WORKDAY.INTL(E51,F51,1,Data!$C$3:$C$41)</f>
        <v>45880</v>
      </c>
      <c r="H51" s="228"/>
      <c r="I51" s="240">
        <v>45894</v>
      </c>
      <c r="J51" s="241">
        <v>7</v>
      </c>
      <c r="K51" s="240">
        <f>WORKDAY.INTL(I51,J51,1,Data!$C$3:$C$41)</f>
        <v>45903</v>
      </c>
      <c r="M51" s="243">
        <v>1</v>
      </c>
      <c r="N51" s="243">
        <f t="shared" ca="1" si="5"/>
        <v>1</v>
      </c>
      <c r="O51" s="122"/>
      <c r="Q51" s="124"/>
      <c r="R51" s="121"/>
      <c r="S51" s="118"/>
      <c r="T51" s="121"/>
      <c r="U51" s="121"/>
      <c r="V51" s="121"/>
      <c r="W51" s="121"/>
      <c r="X51" s="121"/>
      <c r="Y51" s="121"/>
      <c r="Z51" s="121"/>
      <c r="AA51" s="121"/>
      <c r="AB51" s="121"/>
      <c r="AC51" s="121"/>
      <c r="AD51" s="121"/>
      <c r="AE51" s="121"/>
      <c r="AF51" s="121"/>
      <c r="AG51" s="121"/>
      <c r="AH51" s="121"/>
      <c r="AI51" s="121"/>
      <c r="AJ51" s="121"/>
      <c r="AK51" s="121"/>
      <c r="AL51" s="121"/>
      <c r="AM51" s="121"/>
      <c r="AN51" s="121"/>
      <c r="AO51" s="121"/>
      <c r="AP51" s="121"/>
      <c r="AQ51" s="121"/>
      <c r="AR51" s="121"/>
      <c r="AS51" s="121"/>
      <c r="AT51" s="121"/>
      <c r="AU51" s="121"/>
      <c r="AV51" s="121"/>
      <c r="AW51" s="121"/>
      <c r="AX51" s="121"/>
      <c r="AY51" s="121"/>
      <c r="AZ51" s="121"/>
      <c r="BA51" s="121"/>
      <c r="BB51" s="121"/>
      <c r="BC51" s="121"/>
      <c r="BD51" s="121"/>
      <c r="BE51" s="121"/>
      <c r="BF51" s="121"/>
      <c r="BG51" s="121"/>
      <c r="BH51" s="121"/>
      <c r="BI51" s="121"/>
      <c r="BJ51" s="121"/>
      <c r="BK51" s="121"/>
      <c r="BL51" s="121"/>
      <c r="BM51" s="121"/>
      <c r="BN51" s="121"/>
      <c r="BO51" s="121"/>
      <c r="BP51" s="121"/>
      <c r="BQ51" s="121"/>
      <c r="BR51" s="121"/>
      <c r="BS51" s="121"/>
      <c r="BT51" s="121"/>
      <c r="BU51" s="121"/>
      <c r="BV51" s="121"/>
      <c r="BW51" s="121"/>
      <c r="BX51" s="121"/>
      <c r="BY51" s="121"/>
      <c r="BZ51" s="121"/>
      <c r="CA51" s="121"/>
      <c r="CB51" s="121"/>
      <c r="CC51" s="121"/>
      <c r="CD51" s="121"/>
      <c r="CE51" s="121"/>
      <c r="CF51" s="121"/>
      <c r="CG51" s="121"/>
      <c r="CH51" s="121"/>
      <c r="CI51" s="121"/>
      <c r="CJ51" s="121"/>
      <c r="CK51" s="121"/>
      <c r="CL51" s="121"/>
      <c r="CM51" s="121"/>
      <c r="CN51" s="121"/>
      <c r="CO51" s="121"/>
      <c r="CP51" s="121"/>
      <c r="CQ51" s="121"/>
      <c r="CR51" s="121"/>
      <c r="CS51" s="121"/>
      <c r="CT51" s="121"/>
      <c r="CU51" s="121"/>
      <c r="CV51" s="121"/>
      <c r="CW51" s="121"/>
      <c r="CX51" s="121"/>
      <c r="CY51" s="121"/>
      <c r="CZ51" s="121"/>
      <c r="DA51" s="121"/>
      <c r="DB51" s="121"/>
      <c r="DC51" s="121"/>
      <c r="DD51" s="121"/>
      <c r="DE51" s="121"/>
      <c r="DF51" s="121"/>
      <c r="DG51" s="121"/>
      <c r="DH51" s="121"/>
      <c r="DI51" s="121"/>
      <c r="DJ51" s="121"/>
      <c r="DK51" s="121"/>
      <c r="DL51" s="121"/>
      <c r="DM51" s="121"/>
      <c r="DN51" s="121"/>
      <c r="DO51" s="121"/>
      <c r="DP51" s="121"/>
      <c r="DQ51" s="121"/>
      <c r="DR51" s="121"/>
      <c r="DS51" s="121"/>
      <c r="DT51" s="121"/>
      <c r="DU51" s="121"/>
      <c r="DV51" s="121"/>
      <c r="DW51" s="121"/>
      <c r="DX51" s="121"/>
      <c r="DY51" s="121"/>
      <c r="DZ51" s="121"/>
      <c r="EA51" s="121"/>
      <c r="EB51" s="121"/>
      <c r="EC51" s="121"/>
      <c r="ED51" s="121"/>
      <c r="EE51" s="121"/>
      <c r="EF51" s="121"/>
      <c r="EG51" s="121"/>
      <c r="EH51" s="121"/>
      <c r="EI51" s="121"/>
      <c r="EJ51" s="121"/>
      <c r="EK51" s="121"/>
      <c r="EL51" s="121"/>
      <c r="EM51" s="121"/>
      <c r="EN51" s="121"/>
      <c r="EO51" s="121"/>
      <c r="EP51" s="121"/>
      <c r="EQ51" s="121"/>
      <c r="ER51" s="121"/>
      <c r="ES51" s="121"/>
      <c r="ET51" s="121"/>
      <c r="EU51" s="121"/>
      <c r="EV51" s="121"/>
      <c r="EW51" s="121"/>
      <c r="EX51" s="121"/>
      <c r="EY51" s="121"/>
      <c r="EZ51" s="121"/>
      <c r="FA51" s="121"/>
      <c r="FB51" s="121"/>
      <c r="FC51" s="121"/>
      <c r="FD51" s="121"/>
      <c r="FE51" s="121"/>
      <c r="FF51" s="121"/>
      <c r="FG51" s="121"/>
      <c r="FH51" s="121"/>
      <c r="FI51" s="121"/>
      <c r="FJ51" s="121"/>
      <c r="FK51" s="121"/>
      <c r="FL51" s="121"/>
      <c r="FM51" s="121"/>
      <c r="FN51" s="121"/>
      <c r="FO51" s="121"/>
      <c r="FP51" s="121"/>
      <c r="FQ51" s="121"/>
      <c r="FR51" s="121"/>
      <c r="FS51" s="121"/>
      <c r="FT51" s="121"/>
      <c r="FU51" s="121"/>
      <c r="FV51" s="121"/>
      <c r="FW51" s="121"/>
      <c r="FX51" s="121"/>
      <c r="FY51" s="121"/>
      <c r="FZ51" s="121"/>
      <c r="GA51" s="121"/>
      <c r="GB51" s="121"/>
      <c r="GC51" s="121"/>
      <c r="GD51" s="121"/>
      <c r="GE51" s="121"/>
      <c r="GF51" s="121"/>
      <c r="GG51" s="121"/>
      <c r="GH51" s="121"/>
      <c r="GI51" s="121"/>
      <c r="GJ51" s="121"/>
      <c r="GK51" s="121"/>
      <c r="GL51" s="121"/>
      <c r="GM51" s="121"/>
      <c r="GN51" s="121"/>
      <c r="GO51" s="121"/>
      <c r="GP51" s="121"/>
    </row>
    <row r="52" spans="2:198" s="112" customFormat="1">
      <c r="B52" s="694">
        <v>4.0999999999999996</v>
      </c>
      <c r="C52" s="239" t="s">
        <v>206</v>
      </c>
      <c r="D52" s="205"/>
      <c r="E52" s="240"/>
      <c r="F52" s="241"/>
      <c r="G52" s="240"/>
      <c r="H52" s="228"/>
      <c r="I52" s="240">
        <v>45994</v>
      </c>
      <c r="J52" s="241">
        <v>2</v>
      </c>
      <c r="K52" s="240">
        <f>WORKDAY.INTL(I52,J52,1,Data!$C$3:$C$41)</f>
        <v>45996</v>
      </c>
      <c r="M52" s="243">
        <v>1</v>
      </c>
      <c r="N52" s="243">
        <f t="shared" ca="1" si="5"/>
        <v>1</v>
      </c>
      <c r="O52" s="122"/>
      <c r="Q52" s="124"/>
      <c r="R52" s="121"/>
      <c r="S52" s="118"/>
      <c r="T52" s="121"/>
      <c r="U52" s="121"/>
      <c r="V52" s="121"/>
      <c r="W52" s="121"/>
      <c r="X52" s="121"/>
      <c r="Y52" s="121"/>
      <c r="Z52" s="121"/>
      <c r="AA52" s="121"/>
      <c r="AB52" s="121"/>
      <c r="AC52" s="121"/>
      <c r="AD52" s="121"/>
      <c r="AE52" s="121"/>
      <c r="AF52" s="121"/>
      <c r="AG52" s="121"/>
      <c r="AH52" s="121"/>
      <c r="AI52" s="121"/>
      <c r="AJ52" s="121"/>
      <c r="AK52" s="121"/>
      <c r="AL52" s="121"/>
      <c r="AM52" s="121"/>
      <c r="AN52" s="121"/>
      <c r="AO52" s="121"/>
      <c r="AP52" s="121"/>
      <c r="AQ52" s="121"/>
      <c r="AR52" s="121"/>
      <c r="AS52" s="121"/>
      <c r="AT52" s="121"/>
      <c r="AU52" s="121"/>
      <c r="AV52" s="121"/>
      <c r="AW52" s="121"/>
      <c r="AX52" s="121"/>
      <c r="AY52" s="121"/>
      <c r="AZ52" s="121"/>
      <c r="BA52" s="121"/>
      <c r="BB52" s="121"/>
      <c r="BC52" s="121"/>
      <c r="BD52" s="121"/>
      <c r="BE52" s="121"/>
      <c r="BF52" s="121"/>
      <c r="BG52" s="121"/>
      <c r="BH52" s="121"/>
      <c r="BI52" s="121"/>
      <c r="BJ52" s="121"/>
      <c r="BK52" s="121"/>
      <c r="BL52" s="121"/>
      <c r="BM52" s="121"/>
      <c r="BN52" s="121"/>
      <c r="BO52" s="121"/>
      <c r="BP52" s="121"/>
      <c r="BQ52" s="121"/>
      <c r="BR52" s="121"/>
      <c r="BS52" s="121"/>
      <c r="BT52" s="121"/>
      <c r="BU52" s="121"/>
      <c r="BV52" s="121"/>
      <c r="BW52" s="121"/>
      <c r="BX52" s="121"/>
      <c r="BY52" s="121"/>
      <c r="BZ52" s="121"/>
      <c r="CA52" s="121"/>
      <c r="CB52" s="121"/>
      <c r="CC52" s="121"/>
      <c r="CD52" s="121"/>
      <c r="CE52" s="121"/>
      <c r="CF52" s="121"/>
      <c r="CG52" s="121"/>
      <c r="CH52" s="121"/>
      <c r="CI52" s="121"/>
      <c r="CJ52" s="121"/>
      <c r="CK52" s="121"/>
      <c r="CL52" s="121"/>
      <c r="CM52" s="121"/>
      <c r="CN52" s="121"/>
      <c r="CO52" s="121"/>
      <c r="CP52" s="121"/>
      <c r="CQ52" s="121"/>
      <c r="CR52" s="121"/>
      <c r="CS52" s="121"/>
      <c r="CT52" s="121"/>
      <c r="CU52" s="121"/>
      <c r="CV52" s="121"/>
      <c r="CW52" s="121"/>
      <c r="CX52" s="121"/>
      <c r="CY52" s="121"/>
      <c r="CZ52" s="121"/>
      <c r="DA52" s="121"/>
      <c r="DB52" s="121"/>
      <c r="DC52" s="121"/>
      <c r="DD52" s="121"/>
      <c r="DE52" s="121"/>
      <c r="DF52" s="121"/>
      <c r="DG52" s="121"/>
      <c r="DH52" s="121"/>
      <c r="DI52" s="121"/>
      <c r="DJ52" s="121"/>
      <c r="DK52" s="121"/>
      <c r="DL52" s="121"/>
      <c r="DM52" s="121"/>
      <c r="DN52" s="121"/>
      <c r="DO52" s="121"/>
      <c r="DP52" s="121"/>
      <c r="DQ52" s="121"/>
      <c r="DR52" s="121"/>
      <c r="DS52" s="121"/>
      <c r="DT52" s="121"/>
      <c r="DU52" s="121"/>
      <c r="DV52" s="121"/>
      <c r="DW52" s="121"/>
      <c r="DX52" s="121"/>
      <c r="DY52" s="121"/>
      <c r="DZ52" s="121"/>
      <c r="EA52" s="121"/>
      <c r="EB52" s="121"/>
      <c r="EC52" s="121"/>
      <c r="ED52" s="121"/>
      <c r="EE52" s="121"/>
      <c r="EF52" s="121"/>
      <c r="EG52" s="121"/>
      <c r="EH52" s="121"/>
      <c r="EI52" s="121"/>
      <c r="EJ52" s="121"/>
      <c r="EK52" s="121"/>
      <c r="EL52" s="121"/>
      <c r="EM52" s="121"/>
      <c r="EN52" s="121"/>
      <c r="EO52" s="121"/>
      <c r="EP52" s="121"/>
      <c r="EQ52" s="121"/>
      <c r="ER52" s="121"/>
      <c r="ES52" s="121"/>
      <c r="ET52" s="121"/>
      <c r="EU52" s="121"/>
      <c r="EV52" s="121"/>
      <c r="EW52" s="121"/>
      <c r="EX52" s="121"/>
      <c r="EY52" s="121"/>
      <c r="EZ52" s="121"/>
      <c r="FA52" s="121"/>
      <c r="FB52" s="121"/>
      <c r="FC52" s="121"/>
      <c r="FD52" s="121"/>
      <c r="FE52" s="121"/>
      <c r="FF52" s="121"/>
      <c r="FG52" s="121"/>
      <c r="FH52" s="121"/>
      <c r="FI52" s="121"/>
      <c r="FJ52" s="121"/>
      <c r="FK52" s="121"/>
      <c r="FL52" s="121"/>
      <c r="FM52" s="121"/>
      <c r="FN52" s="121"/>
      <c r="FO52" s="121"/>
      <c r="FP52" s="121"/>
      <c r="FQ52" s="121"/>
      <c r="FR52" s="121"/>
      <c r="FS52" s="121"/>
      <c r="FT52" s="121"/>
      <c r="FU52" s="121"/>
      <c r="FV52" s="121"/>
      <c r="FW52" s="121"/>
      <c r="FX52" s="121"/>
      <c r="FY52" s="121"/>
      <c r="FZ52" s="121"/>
      <c r="GA52" s="121"/>
      <c r="GB52" s="121"/>
      <c r="GC52" s="121"/>
      <c r="GD52" s="121"/>
      <c r="GE52" s="121"/>
      <c r="GF52" s="121"/>
      <c r="GG52" s="121"/>
      <c r="GH52" s="121"/>
      <c r="GI52" s="121"/>
      <c r="GJ52" s="121"/>
      <c r="GK52" s="121"/>
      <c r="GL52" s="121"/>
      <c r="GM52" s="121"/>
      <c r="GN52" s="121"/>
      <c r="GO52" s="121"/>
      <c r="GP52" s="121"/>
    </row>
    <row r="53" spans="2:198" s="112" customFormat="1">
      <c r="B53" s="694">
        <v>4.1100000000000003</v>
      </c>
      <c r="C53" s="749" t="s">
        <v>207</v>
      </c>
      <c r="D53" s="205"/>
      <c r="E53" s="240"/>
      <c r="F53" s="241"/>
      <c r="G53" s="240"/>
      <c r="H53" s="228"/>
      <c r="I53" s="240"/>
      <c r="J53" s="241"/>
      <c r="K53" s="240"/>
      <c r="M53" s="243">
        <v>1</v>
      </c>
      <c r="N53" s="243">
        <f t="shared" ca="1" si="5"/>
        <v>1</v>
      </c>
      <c r="O53" s="122"/>
      <c r="Q53" s="124"/>
      <c r="R53" s="121"/>
      <c r="S53" s="118"/>
      <c r="T53" s="121"/>
      <c r="U53" s="121"/>
      <c r="V53" s="121"/>
      <c r="W53" s="121"/>
      <c r="X53" s="121"/>
      <c r="Y53" s="121"/>
      <c r="Z53" s="121"/>
      <c r="AA53" s="121"/>
      <c r="AB53" s="121"/>
      <c r="AC53" s="121"/>
      <c r="AD53" s="121"/>
      <c r="AE53" s="121"/>
      <c r="AF53" s="121"/>
      <c r="AG53" s="121"/>
      <c r="AH53" s="121"/>
      <c r="AI53" s="121"/>
      <c r="AJ53" s="121"/>
      <c r="AK53" s="121"/>
      <c r="AL53" s="121"/>
      <c r="AM53" s="121"/>
      <c r="AN53" s="121"/>
      <c r="AO53" s="121"/>
      <c r="AP53" s="121"/>
      <c r="AQ53" s="121"/>
      <c r="AR53" s="121"/>
      <c r="AS53" s="121"/>
      <c r="AT53" s="121"/>
      <c r="AU53" s="121"/>
      <c r="AV53" s="121"/>
      <c r="AW53" s="121"/>
      <c r="AX53" s="121"/>
      <c r="AY53" s="121"/>
      <c r="AZ53" s="121"/>
      <c r="BA53" s="121"/>
      <c r="BB53" s="121"/>
      <c r="BC53" s="121"/>
      <c r="BD53" s="121"/>
      <c r="BE53" s="121"/>
      <c r="BF53" s="121"/>
      <c r="BG53" s="121"/>
      <c r="BH53" s="121"/>
      <c r="BI53" s="121"/>
      <c r="BJ53" s="121"/>
      <c r="BK53" s="121"/>
      <c r="BL53" s="121"/>
      <c r="BM53" s="121"/>
      <c r="BN53" s="121"/>
      <c r="BO53" s="121"/>
      <c r="BP53" s="121"/>
      <c r="BQ53" s="121"/>
      <c r="BR53" s="121"/>
      <c r="BS53" s="121"/>
      <c r="BT53" s="121"/>
      <c r="BU53" s="121"/>
      <c r="BV53" s="121"/>
      <c r="BW53" s="121"/>
      <c r="BX53" s="121"/>
      <c r="BY53" s="121"/>
      <c r="BZ53" s="121"/>
      <c r="CA53" s="121"/>
      <c r="CB53" s="121"/>
      <c r="CC53" s="121"/>
      <c r="CD53" s="121"/>
      <c r="CE53" s="121"/>
      <c r="CF53" s="121"/>
      <c r="CG53" s="121"/>
      <c r="CH53" s="121"/>
      <c r="CI53" s="121"/>
      <c r="CJ53" s="121"/>
      <c r="CK53" s="121"/>
      <c r="CL53" s="121"/>
      <c r="CM53" s="121"/>
      <c r="CN53" s="121"/>
      <c r="CO53" s="121"/>
      <c r="CP53" s="121"/>
      <c r="CQ53" s="121"/>
      <c r="CR53" s="121"/>
      <c r="CS53" s="121"/>
      <c r="CT53" s="121"/>
      <c r="CU53" s="121"/>
      <c r="CV53" s="121"/>
      <c r="CW53" s="121"/>
      <c r="CX53" s="121"/>
      <c r="CY53" s="121"/>
      <c r="CZ53" s="121"/>
      <c r="DA53" s="121"/>
      <c r="DB53" s="121"/>
      <c r="DC53" s="121"/>
      <c r="DD53" s="121"/>
      <c r="DE53" s="121"/>
      <c r="DF53" s="121"/>
      <c r="DG53" s="121"/>
      <c r="DH53" s="121"/>
      <c r="DI53" s="121"/>
      <c r="DJ53" s="121"/>
      <c r="DK53" s="121"/>
      <c r="DL53" s="121"/>
      <c r="DM53" s="121"/>
      <c r="DN53" s="121"/>
      <c r="DO53" s="121"/>
      <c r="DP53" s="121"/>
      <c r="DQ53" s="121"/>
      <c r="DR53" s="121"/>
      <c r="DS53" s="121"/>
      <c r="DT53" s="121"/>
      <c r="DU53" s="121"/>
      <c r="DV53" s="121"/>
      <c r="DW53" s="121"/>
      <c r="DX53" s="121"/>
      <c r="DY53" s="121"/>
      <c r="DZ53" s="121"/>
      <c r="EA53" s="121"/>
      <c r="EB53" s="121"/>
      <c r="EC53" s="121"/>
      <c r="ED53" s="121"/>
      <c r="EE53" s="121"/>
      <c r="EF53" s="121"/>
      <c r="EG53" s="121"/>
      <c r="EH53" s="121"/>
      <c r="EI53" s="121"/>
      <c r="EJ53" s="121"/>
      <c r="EK53" s="121"/>
      <c r="EL53" s="121"/>
      <c r="EM53" s="121"/>
      <c r="EN53" s="121"/>
      <c r="EO53" s="121"/>
      <c r="EP53" s="121"/>
      <c r="EQ53" s="121"/>
      <c r="ER53" s="121"/>
      <c r="ES53" s="121"/>
      <c r="ET53" s="121"/>
      <c r="EU53" s="121"/>
      <c r="EV53" s="121"/>
      <c r="EW53" s="121"/>
      <c r="EX53" s="121"/>
      <c r="EY53" s="121"/>
      <c r="EZ53" s="121"/>
      <c r="FA53" s="121"/>
      <c r="FB53" s="121"/>
      <c r="FC53" s="121"/>
      <c r="FD53" s="121"/>
      <c r="FE53" s="121"/>
      <c r="FF53" s="121"/>
      <c r="FG53" s="121"/>
      <c r="FH53" s="121"/>
      <c r="FI53" s="121"/>
      <c r="FJ53" s="121"/>
      <c r="FK53" s="121"/>
      <c r="FL53" s="121"/>
      <c r="FM53" s="121"/>
      <c r="FN53" s="121"/>
      <c r="FO53" s="121"/>
      <c r="FP53" s="121"/>
      <c r="FQ53" s="121"/>
      <c r="FR53" s="121"/>
      <c r="FS53" s="121"/>
      <c r="FT53" s="121"/>
      <c r="FU53" s="121"/>
      <c r="FV53" s="121"/>
      <c r="FW53" s="121"/>
      <c r="FX53" s="121"/>
      <c r="FY53" s="121"/>
      <c r="FZ53" s="121"/>
      <c r="GA53" s="121"/>
      <c r="GB53" s="121"/>
      <c r="GC53" s="121"/>
      <c r="GD53" s="121"/>
      <c r="GE53" s="121"/>
      <c r="GF53" s="121"/>
      <c r="GG53" s="121"/>
      <c r="GH53" s="121"/>
      <c r="GI53" s="121"/>
      <c r="GJ53" s="121"/>
      <c r="GK53" s="121"/>
      <c r="GL53" s="121"/>
      <c r="GM53" s="121"/>
      <c r="GN53" s="121"/>
      <c r="GO53" s="121"/>
      <c r="GP53" s="121"/>
    </row>
    <row r="54" spans="2:198" s="112" customFormat="1">
      <c r="B54" s="694" t="s">
        <v>208</v>
      </c>
      <c r="C54" s="749" t="s">
        <v>209</v>
      </c>
      <c r="D54" s="205"/>
      <c r="E54" s="240"/>
      <c r="F54" s="241"/>
      <c r="G54" s="240"/>
      <c r="H54" s="228"/>
      <c r="I54" s="240"/>
      <c r="J54" s="241"/>
      <c r="K54" s="240"/>
      <c r="M54" s="243">
        <v>1</v>
      </c>
      <c r="N54" s="243">
        <f t="shared" ca="1" si="5"/>
        <v>1</v>
      </c>
      <c r="O54" s="122"/>
      <c r="Q54" s="124"/>
      <c r="R54" s="121"/>
      <c r="S54" s="118"/>
      <c r="T54" s="121"/>
      <c r="U54" s="121"/>
      <c r="V54" s="121"/>
      <c r="W54" s="121"/>
      <c r="X54" s="121"/>
      <c r="Y54" s="121"/>
      <c r="Z54" s="121"/>
      <c r="AA54" s="121"/>
      <c r="AB54" s="121"/>
      <c r="AC54" s="121"/>
      <c r="AD54" s="121"/>
      <c r="AE54" s="121"/>
      <c r="AF54" s="121"/>
      <c r="AG54" s="121"/>
      <c r="AH54" s="121"/>
      <c r="AI54" s="121"/>
      <c r="AJ54" s="121"/>
      <c r="AK54" s="121"/>
      <c r="AL54" s="121"/>
      <c r="AM54" s="121"/>
      <c r="AN54" s="121"/>
      <c r="AO54" s="121"/>
      <c r="AP54" s="121"/>
      <c r="AQ54" s="121"/>
      <c r="AR54" s="121"/>
      <c r="AS54" s="121"/>
      <c r="AT54" s="121"/>
      <c r="AU54" s="121"/>
      <c r="AV54" s="121"/>
      <c r="AW54" s="121"/>
      <c r="AX54" s="121"/>
      <c r="AY54" s="121"/>
      <c r="AZ54" s="121"/>
      <c r="BA54" s="121"/>
      <c r="BB54" s="121"/>
      <c r="BC54" s="121"/>
      <c r="BD54" s="121"/>
      <c r="BE54" s="121"/>
      <c r="BF54" s="121"/>
      <c r="BG54" s="121"/>
      <c r="BH54" s="121"/>
      <c r="BI54" s="121"/>
      <c r="BJ54" s="121"/>
      <c r="BK54" s="121"/>
      <c r="BL54" s="121"/>
      <c r="BM54" s="121"/>
      <c r="BN54" s="121"/>
      <c r="BO54" s="121"/>
      <c r="BP54" s="121"/>
      <c r="BQ54" s="121"/>
      <c r="BR54" s="121"/>
      <c r="BS54" s="121"/>
      <c r="BT54" s="121"/>
      <c r="BU54" s="121"/>
      <c r="BV54" s="121"/>
      <c r="BW54" s="121"/>
      <c r="BX54" s="121"/>
      <c r="BY54" s="121"/>
      <c r="BZ54" s="121"/>
      <c r="CA54" s="121"/>
      <c r="CB54" s="121"/>
      <c r="CC54" s="121"/>
      <c r="CD54" s="121"/>
      <c r="CE54" s="121"/>
      <c r="CF54" s="121"/>
      <c r="CG54" s="121"/>
      <c r="CH54" s="121"/>
      <c r="CI54" s="121"/>
      <c r="CJ54" s="121"/>
      <c r="CK54" s="121"/>
      <c r="CL54" s="121"/>
      <c r="CM54" s="121"/>
      <c r="CN54" s="121"/>
      <c r="CO54" s="121"/>
      <c r="CP54" s="121"/>
      <c r="CQ54" s="121"/>
      <c r="CR54" s="121"/>
      <c r="CS54" s="121"/>
      <c r="CT54" s="121"/>
      <c r="CU54" s="121"/>
      <c r="CV54" s="121"/>
      <c r="CW54" s="121"/>
      <c r="CX54" s="121"/>
      <c r="CY54" s="121"/>
      <c r="CZ54" s="121"/>
      <c r="DA54" s="121"/>
      <c r="DB54" s="121"/>
      <c r="DC54" s="121"/>
      <c r="DD54" s="121"/>
      <c r="DE54" s="121"/>
      <c r="DF54" s="121"/>
      <c r="DG54" s="121"/>
      <c r="DH54" s="121"/>
      <c r="DI54" s="121"/>
      <c r="DJ54" s="121"/>
      <c r="DK54" s="121"/>
      <c r="DL54" s="121"/>
      <c r="DM54" s="121"/>
      <c r="DN54" s="121"/>
      <c r="DO54" s="121"/>
      <c r="DP54" s="121"/>
      <c r="DQ54" s="121"/>
      <c r="DR54" s="121"/>
      <c r="DS54" s="121"/>
      <c r="DT54" s="121"/>
      <c r="DU54" s="121"/>
      <c r="DV54" s="121"/>
      <c r="DW54" s="121"/>
      <c r="DX54" s="121"/>
      <c r="DY54" s="121"/>
      <c r="DZ54" s="121"/>
      <c r="EA54" s="121"/>
      <c r="EB54" s="121"/>
      <c r="EC54" s="121"/>
      <c r="ED54" s="121"/>
      <c r="EE54" s="121"/>
      <c r="EF54" s="121"/>
      <c r="EG54" s="121"/>
      <c r="EH54" s="121"/>
      <c r="EI54" s="121"/>
      <c r="EJ54" s="121"/>
      <c r="EK54" s="121"/>
      <c r="EL54" s="121"/>
      <c r="EM54" s="121"/>
      <c r="EN54" s="121"/>
      <c r="EO54" s="121"/>
      <c r="EP54" s="121"/>
      <c r="EQ54" s="121"/>
      <c r="ER54" s="121"/>
      <c r="ES54" s="121"/>
      <c r="ET54" s="121"/>
      <c r="EU54" s="121"/>
      <c r="EV54" s="121"/>
      <c r="EW54" s="121"/>
      <c r="EX54" s="121"/>
      <c r="EY54" s="121"/>
      <c r="EZ54" s="121"/>
      <c r="FA54" s="121"/>
      <c r="FB54" s="121"/>
      <c r="FC54" s="121"/>
      <c r="FD54" s="121"/>
      <c r="FE54" s="121"/>
      <c r="FF54" s="121"/>
      <c r="FG54" s="121"/>
      <c r="FH54" s="121"/>
      <c r="FI54" s="121"/>
      <c r="FJ54" s="121"/>
      <c r="FK54" s="121"/>
      <c r="FL54" s="121"/>
      <c r="FM54" s="121"/>
      <c r="FN54" s="121"/>
      <c r="FO54" s="121"/>
      <c r="FP54" s="121"/>
      <c r="FQ54" s="121"/>
      <c r="FR54" s="121"/>
      <c r="FS54" s="121"/>
      <c r="FT54" s="121"/>
      <c r="FU54" s="121"/>
      <c r="FV54" s="121"/>
      <c r="FW54" s="121"/>
      <c r="FX54" s="121"/>
      <c r="FY54" s="121"/>
      <c r="FZ54" s="121"/>
      <c r="GA54" s="121"/>
      <c r="GB54" s="121"/>
      <c r="GC54" s="121"/>
      <c r="GD54" s="121"/>
      <c r="GE54" s="121"/>
      <c r="GF54" s="121"/>
      <c r="GG54" s="121"/>
      <c r="GH54" s="121"/>
      <c r="GI54" s="121"/>
      <c r="GJ54" s="121"/>
      <c r="GK54" s="121"/>
      <c r="GL54" s="121"/>
      <c r="GM54" s="121"/>
      <c r="GN54" s="121"/>
      <c r="GO54" s="121"/>
      <c r="GP54" s="121"/>
    </row>
    <row r="55" spans="2:198" s="112" customFormat="1">
      <c r="B55" s="238" t="s">
        <v>210</v>
      </c>
      <c r="C55" s="749" t="s">
        <v>211</v>
      </c>
      <c r="D55" s="205"/>
      <c r="E55" s="240"/>
      <c r="F55" s="241"/>
      <c r="G55" s="240"/>
      <c r="H55" s="228"/>
      <c r="I55" s="240"/>
      <c r="J55" s="241"/>
      <c r="K55" s="240"/>
      <c r="M55" s="243">
        <v>1</v>
      </c>
      <c r="N55" s="243">
        <f t="shared" ca="1" si="5"/>
        <v>1</v>
      </c>
      <c r="O55" s="122"/>
      <c r="Q55" s="124"/>
      <c r="R55" s="121"/>
      <c r="S55" s="118"/>
      <c r="T55" s="121"/>
      <c r="U55" s="121"/>
      <c r="V55" s="121"/>
      <c r="W55" s="121"/>
      <c r="X55" s="121"/>
      <c r="Y55" s="121"/>
      <c r="Z55" s="121"/>
      <c r="AA55" s="121"/>
      <c r="AB55" s="121"/>
      <c r="AC55" s="121"/>
      <c r="AD55" s="121"/>
      <c r="AE55" s="121"/>
      <c r="AF55" s="121"/>
      <c r="AG55" s="121"/>
      <c r="AH55" s="121"/>
      <c r="AI55" s="121"/>
      <c r="AJ55" s="121"/>
      <c r="AK55" s="121"/>
      <c r="AL55" s="121"/>
      <c r="AM55" s="121"/>
      <c r="AN55" s="121"/>
      <c r="AO55" s="121"/>
      <c r="AP55" s="121"/>
      <c r="AQ55" s="121"/>
      <c r="AR55" s="121"/>
      <c r="AS55" s="121"/>
      <c r="AT55" s="121"/>
      <c r="AU55" s="121"/>
      <c r="AV55" s="121"/>
      <c r="AW55" s="121"/>
      <c r="AX55" s="121"/>
      <c r="AY55" s="121"/>
      <c r="AZ55" s="121"/>
      <c r="BA55" s="121"/>
      <c r="BB55" s="121"/>
      <c r="BC55" s="121"/>
      <c r="BD55" s="121"/>
      <c r="BE55" s="121"/>
      <c r="BF55" s="121"/>
      <c r="BG55" s="121"/>
      <c r="BH55" s="121"/>
      <c r="BI55" s="121"/>
      <c r="BJ55" s="121"/>
      <c r="BK55" s="121"/>
      <c r="BL55" s="121"/>
      <c r="BM55" s="121"/>
      <c r="BN55" s="121"/>
      <c r="BO55" s="121"/>
      <c r="BP55" s="121"/>
      <c r="BQ55" s="121"/>
      <c r="BR55" s="121"/>
      <c r="BS55" s="121"/>
      <c r="BT55" s="121"/>
      <c r="BU55" s="121"/>
      <c r="BV55" s="121"/>
      <c r="BW55" s="121"/>
      <c r="BX55" s="121"/>
      <c r="BY55" s="121"/>
      <c r="BZ55" s="121"/>
      <c r="CA55" s="121"/>
      <c r="CB55" s="121"/>
      <c r="CC55" s="121"/>
      <c r="CD55" s="121"/>
      <c r="CE55" s="121"/>
      <c r="CF55" s="121"/>
      <c r="CG55" s="121"/>
      <c r="CH55" s="121"/>
      <c r="CI55" s="121"/>
      <c r="CJ55" s="121"/>
      <c r="CK55" s="121"/>
      <c r="CL55" s="121"/>
      <c r="CM55" s="121"/>
      <c r="CN55" s="121"/>
      <c r="CO55" s="121"/>
      <c r="CP55" s="121"/>
      <c r="CQ55" s="121"/>
      <c r="CR55" s="121"/>
      <c r="CS55" s="121"/>
      <c r="CT55" s="121"/>
      <c r="CU55" s="121"/>
      <c r="CV55" s="121"/>
      <c r="CW55" s="121"/>
      <c r="CX55" s="121"/>
      <c r="CY55" s="121"/>
      <c r="CZ55" s="121"/>
      <c r="DA55" s="121"/>
      <c r="DB55" s="121"/>
      <c r="DC55" s="121"/>
      <c r="DD55" s="121"/>
      <c r="DE55" s="121"/>
      <c r="DF55" s="121"/>
      <c r="DG55" s="121"/>
      <c r="DH55" s="121"/>
      <c r="DI55" s="121"/>
      <c r="DJ55" s="121"/>
      <c r="DK55" s="121"/>
      <c r="DL55" s="121"/>
      <c r="DM55" s="121"/>
      <c r="DN55" s="121"/>
      <c r="DO55" s="121"/>
      <c r="DP55" s="121"/>
      <c r="DQ55" s="121"/>
      <c r="DR55" s="121"/>
      <c r="DS55" s="121"/>
      <c r="DT55" s="121"/>
      <c r="DU55" s="121"/>
      <c r="DV55" s="121"/>
      <c r="DW55" s="121"/>
      <c r="DX55" s="121"/>
      <c r="DY55" s="121"/>
      <c r="DZ55" s="121"/>
      <c r="EA55" s="121"/>
      <c r="EB55" s="121"/>
      <c r="EC55" s="121"/>
      <c r="ED55" s="121"/>
      <c r="EE55" s="121"/>
      <c r="EF55" s="121"/>
      <c r="EG55" s="121"/>
      <c r="EH55" s="121"/>
      <c r="EI55" s="121"/>
      <c r="EJ55" s="121"/>
      <c r="EK55" s="121"/>
      <c r="EL55" s="121"/>
      <c r="EM55" s="121"/>
      <c r="EN55" s="121"/>
      <c r="EO55" s="121"/>
      <c r="EP55" s="121"/>
      <c r="EQ55" s="121"/>
      <c r="ER55" s="121"/>
      <c r="ES55" s="121"/>
      <c r="ET55" s="121"/>
      <c r="EU55" s="121"/>
      <c r="EV55" s="121"/>
      <c r="EW55" s="121"/>
      <c r="EX55" s="121"/>
      <c r="EY55" s="121"/>
      <c r="EZ55" s="121"/>
      <c r="FA55" s="121"/>
      <c r="FB55" s="121"/>
      <c r="FC55" s="121"/>
      <c r="FD55" s="121"/>
      <c r="FE55" s="121"/>
      <c r="FF55" s="121"/>
      <c r="FG55" s="121"/>
      <c r="FH55" s="121"/>
      <c r="FI55" s="121"/>
      <c r="FJ55" s="121"/>
      <c r="FK55" s="121"/>
      <c r="FL55" s="121"/>
      <c r="FM55" s="121"/>
      <c r="FN55" s="121"/>
      <c r="FO55" s="121"/>
      <c r="FP55" s="121"/>
      <c r="FQ55" s="121"/>
      <c r="FR55" s="121"/>
      <c r="FS55" s="121"/>
      <c r="FT55" s="121"/>
      <c r="FU55" s="121"/>
      <c r="FV55" s="121"/>
      <c r="FW55" s="121"/>
      <c r="FX55" s="121"/>
      <c r="FY55" s="121"/>
      <c r="FZ55" s="121"/>
      <c r="GA55" s="121"/>
      <c r="GB55" s="121"/>
      <c r="GC55" s="121"/>
      <c r="GD55" s="121"/>
      <c r="GE55" s="121"/>
      <c r="GF55" s="121"/>
      <c r="GG55" s="121"/>
      <c r="GH55" s="121"/>
      <c r="GI55" s="121"/>
      <c r="GJ55" s="121"/>
      <c r="GK55" s="121"/>
      <c r="GL55" s="121"/>
      <c r="GM55" s="121"/>
      <c r="GN55" s="121"/>
      <c r="GO55" s="121"/>
      <c r="GP55" s="121"/>
    </row>
    <row r="56" spans="2:198" s="112" customFormat="1" ht="23.45">
      <c r="B56" s="786" t="s">
        <v>212</v>
      </c>
      <c r="C56" s="749" t="s">
        <v>213</v>
      </c>
      <c r="D56" s="750"/>
      <c r="E56" s="633"/>
      <c r="F56" s="760"/>
      <c r="G56" s="633"/>
      <c r="H56" s="761"/>
      <c r="I56" s="633">
        <v>45992</v>
      </c>
      <c r="J56" s="760">
        <v>12</v>
      </c>
      <c r="K56" s="633">
        <f>WORKDAY.INTL(I56,J56,1,Data!$C$3:$C$41)</f>
        <v>46008</v>
      </c>
      <c r="M56" s="243">
        <v>1</v>
      </c>
      <c r="N56" s="243">
        <f t="shared" ca="1" si="5"/>
        <v>1</v>
      </c>
      <c r="O56" s="810" t="s">
        <v>214</v>
      </c>
      <c r="Q56" s="124"/>
      <c r="R56" s="121"/>
      <c r="S56" s="118"/>
      <c r="T56" s="121"/>
      <c r="U56" s="121"/>
      <c r="V56" s="121"/>
      <c r="W56" s="121"/>
      <c r="X56" s="121"/>
      <c r="Y56" s="121"/>
      <c r="Z56" s="121"/>
      <c r="AA56" s="121"/>
      <c r="AB56" s="121"/>
      <c r="AC56" s="121"/>
      <c r="AD56" s="121"/>
      <c r="AE56" s="121"/>
      <c r="AF56" s="121"/>
      <c r="AG56" s="121"/>
      <c r="AH56" s="121"/>
      <c r="AI56" s="121"/>
      <c r="AJ56" s="121"/>
      <c r="AK56" s="121"/>
      <c r="AL56" s="121"/>
      <c r="AM56" s="121"/>
      <c r="AN56" s="121"/>
      <c r="AO56" s="121"/>
      <c r="AP56" s="121"/>
      <c r="AQ56" s="121"/>
      <c r="AR56" s="121"/>
      <c r="AS56" s="121"/>
      <c r="AT56" s="121"/>
      <c r="AU56" s="121"/>
      <c r="AV56" s="121"/>
      <c r="AW56" s="121"/>
      <c r="AX56" s="121"/>
      <c r="AY56" s="121"/>
      <c r="AZ56" s="121"/>
      <c r="BA56" s="121"/>
      <c r="BB56" s="121"/>
      <c r="BC56" s="121"/>
      <c r="BD56" s="121"/>
      <c r="BE56" s="121"/>
      <c r="BF56" s="121"/>
      <c r="BG56" s="121"/>
      <c r="BH56" s="121"/>
      <c r="BI56" s="121"/>
      <c r="BJ56" s="121"/>
      <c r="BK56" s="121"/>
      <c r="BL56" s="121"/>
      <c r="BM56" s="121"/>
      <c r="BN56" s="121"/>
      <c r="BO56" s="121"/>
      <c r="BP56" s="121"/>
      <c r="BQ56" s="121"/>
      <c r="BR56" s="121"/>
      <c r="BS56" s="121"/>
      <c r="BT56" s="121"/>
      <c r="BU56" s="121"/>
      <c r="BV56" s="121"/>
      <c r="BW56" s="121"/>
      <c r="BX56" s="121"/>
      <c r="BY56" s="121"/>
      <c r="BZ56" s="121"/>
      <c r="CA56" s="121"/>
      <c r="CB56" s="121"/>
      <c r="CC56" s="121"/>
      <c r="CD56" s="121"/>
      <c r="CE56" s="121"/>
      <c r="CF56" s="121"/>
      <c r="CG56" s="121"/>
      <c r="CH56" s="121"/>
      <c r="CI56" s="121"/>
      <c r="CJ56" s="121"/>
      <c r="CK56" s="121"/>
      <c r="CL56" s="121"/>
      <c r="CM56" s="121"/>
      <c r="CN56" s="121"/>
      <c r="CO56" s="121"/>
      <c r="CP56" s="121"/>
      <c r="CQ56" s="121"/>
      <c r="CR56" s="121"/>
      <c r="CS56" s="121"/>
      <c r="CT56" s="121"/>
      <c r="CU56" s="121"/>
      <c r="CV56" s="121"/>
      <c r="CW56" s="121"/>
      <c r="CX56" s="121"/>
      <c r="CY56" s="121"/>
      <c r="CZ56" s="121"/>
      <c r="DA56" s="121"/>
      <c r="DB56" s="121"/>
      <c r="DC56" s="121"/>
      <c r="DD56" s="121"/>
      <c r="DE56" s="121"/>
      <c r="DF56" s="121"/>
      <c r="DG56" s="121"/>
      <c r="DH56" s="121"/>
      <c r="DI56" s="121"/>
      <c r="DJ56" s="121"/>
      <c r="DK56" s="121"/>
      <c r="DL56" s="121"/>
      <c r="DM56" s="121"/>
      <c r="DN56" s="121"/>
      <c r="DO56" s="121"/>
      <c r="DP56" s="121"/>
      <c r="DQ56" s="121"/>
      <c r="DR56" s="121"/>
      <c r="DS56" s="121"/>
      <c r="DT56" s="121"/>
      <c r="DU56" s="121"/>
      <c r="DV56" s="121"/>
      <c r="DW56" s="121"/>
      <c r="DX56" s="121"/>
      <c r="DY56" s="121"/>
      <c r="DZ56" s="121"/>
      <c r="EA56" s="121"/>
      <c r="EB56" s="121"/>
      <c r="EC56" s="121"/>
      <c r="ED56" s="121"/>
      <c r="EE56" s="121"/>
      <c r="EF56" s="121"/>
      <c r="EG56" s="121"/>
      <c r="EH56" s="121"/>
      <c r="EI56" s="121"/>
      <c r="EJ56" s="121"/>
      <c r="EK56" s="121"/>
      <c r="EL56" s="121"/>
      <c r="EM56" s="121"/>
      <c r="EN56" s="121"/>
      <c r="EO56" s="121"/>
      <c r="EP56" s="121"/>
      <c r="EQ56" s="121"/>
      <c r="ER56" s="121"/>
      <c r="ES56" s="121"/>
      <c r="ET56" s="121"/>
      <c r="EU56" s="121"/>
      <c r="EV56" s="121"/>
      <c r="EW56" s="121"/>
      <c r="EX56" s="121"/>
      <c r="EY56" s="121"/>
      <c r="EZ56" s="121"/>
      <c r="FA56" s="121"/>
      <c r="FB56" s="121"/>
      <c r="FC56" s="121"/>
      <c r="FD56" s="121"/>
      <c r="FE56" s="121"/>
      <c r="FF56" s="121"/>
      <c r="FG56" s="121"/>
      <c r="FH56" s="121"/>
      <c r="FI56" s="121"/>
      <c r="FJ56" s="121"/>
      <c r="FK56" s="121"/>
      <c r="FL56" s="121"/>
      <c r="FM56" s="121"/>
      <c r="FN56" s="121"/>
      <c r="FO56" s="121"/>
      <c r="FP56" s="121"/>
      <c r="FQ56" s="121"/>
      <c r="FR56" s="121"/>
      <c r="FS56" s="121"/>
      <c r="FT56" s="121"/>
      <c r="FU56" s="121"/>
      <c r="FV56" s="121"/>
      <c r="FW56" s="121"/>
      <c r="FX56" s="121"/>
      <c r="FY56" s="121"/>
      <c r="FZ56" s="121"/>
      <c r="GA56" s="121"/>
      <c r="GB56" s="121"/>
      <c r="GC56" s="121"/>
      <c r="GD56" s="121"/>
      <c r="GE56" s="121"/>
      <c r="GF56" s="121"/>
      <c r="GG56" s="121"/>
      <c r="GH56" s="121"/>
      <c r="GI56" s="121"/>
      <c r="GJ56" s="121"/>
      <c r="GK56" s="121"/>
      <c r="GL56" s="121"/>
      <c r="GM56" s="121"/>
      <c r="GN56" s="121"/>
      <c r="GO56" s="121"/>
      <c r="GP56" s="121"/>
    </row>
    <row r="57" spans="2:198" s="112" customFormat="1" ht="4.5" customHeight="1">
      <c r="B57" s="229"/>
      <c r="C57" s="205"/>
      <c r="D57" s="205"/>
      <c r="E57" s="230"/>
      <c r="F57" s="230"/>
      <c r="G57" s="231"/>
      <c r="H57" s="228"/>
      <c r="I57" s="230"/>
      <c r="J57" s="230"/>
      <c r="K57" s="231"/>
      <c r="N57" s="168"/>
      <c r="Q57" s="3"/>
    </row>
    <row r="58" spans="2:198" s="112" customFormat="1">
      <c r="B58" s="234">
        <v>5</v>
      </c>
      <c r="C58" s="235" t="s">
        <v>215</v>
      </c>
      <c r="D58" s="209"/>
      <c r="E58" s="689">
        <f>MIN(E60:E64)</f>
        <v>45878</v>
      </c>
      <c r="F58" s="690">
        <f>G58-E58</f>
        <v>51</v>
      </c>
      <c r="G58" s="689">
        <f>MAX(G60:G64)</f>
        <v>45929</v>
      </c>
      <c r="H58" s="242"/>
      <c r="I58" s="689">
        <f>MIN(I60:I64)</f>
        <v>45894</v>
      </c>
      <c r="J58" s="690">
        <f>K58-I58</f>
        <v>147</v>
      </c>
      <c r="K58" s="689">
        <f>MAX(K60:K64)</f>
        <v>46041</v>
      </c>
      <c r="L58" s="114"/>
      <c r="M58" s="350">
        <f>AVERAGE(M59:M64)</f>
        <v>1</v>
      </c>
      <c r="N58" s="350">
        <f ca="1">AVERAGE(N59:N64)</f>
        <v>1</v>
      </c>
      <c r="O58" s="119"/>
      <c r="Q58" s="124"/>
      <c r="R58" s="121"/>
      <c r="S58" s="121"/>
      <c r="T58" s="121"/>
      <c r="U58" s="121"/>
      <c r="V58" s="121"/>
      <c r="W58" s="121"/>
      <c r="X58" s="121"/>
      <c r="Y58" s="121"/>
      <c r="Z58" s="121"/>
      <c r="AA58" s="121"/>
      <c r="AB58" s="121"/>
      <c r="AC58" s="121"/>
      <c r="AD58" s="121"/>
      <c r="AE58" s="121"/>
      <c r="AF58" s="121"/>
      <c r="AG58" s="121"/>
      <c r="AH58" s="121"/>
      <c r="AI58" s="121"/>
      <c r="AJ58" s="121"/>
      <c r="AK58" s="121"/>
      <c r="AL58" s="121"/>
      <c r="AM58" s="121"/>
      <c r="AN58" s="121"/>
      <c r="AO58" s="121"/>
      <c r="AP58" s="121"/>
      <c r="AQ58" s="121"/>
      <c r="AR58" s="121"/>
      <c r="AS58" s="121"/>
      <c r="AT58" s="121"/>
      <c r="AU58" s="121"/>
      <c r="AV58" s="121"/>
      <c r="AW58" s="121"/>
      <c r="AX58" s="121"/>
      <c r="AY58" s="121"/>
      <c r="AZ58" s="121"/>
      <c r="BA58" s="121"/>
      <c r="BB58" s="121"/>
      <c r="BC58" s="121"/>
      <c r="BD58" s="121"/>
      <c r="BE58" s="121"/>
      <c r="BF58" s="121"/>
      <c r="BG58" s="121"/>
      <c r="BH58" s="121"/>
      <c r="BI58" s="121"/>
      <c r="BJ58" s="121"/>
      <c r="BK58" s="121"/>
      <c r="BL58" s="121"/>
      <c r="BM58" s="121"/>
      <c r="BN58" s="121"/>
      <c r="BO58" s="121"/>
      <c r="BP58" s="121"/>
      <c r="BQ58" s="121"/>
      <c r="BR58" s="121"/>
      <c r="BS58" s="121"/>
      <c r="BT58" s="121"/>
      <c r="BU58" s="121"/>
      <c r="BV58" s="121"/>
      <c r="BW58" s="121"/>
      <c r="BX58" s="121"/>
      <c r="BY58" s="121"/>
      <c r="BZ58" s="121"/>
      <c r="CA58" s="121"/>
      <c r="CB58" s="121"/>
      <c r="CC58" s="121"/>
      <c r="CD58" s="121"/>
      <c r="CE58" s="121"/>
      <c r="CF58" s="121"/>
      <c r="CG58" s="121"/>
      <c r="CH58" s="121"/>
      <c r="CI58" s="121"/>
      <c r="CJ58" s="121"/>
      <c r="CK58" s="121"/>
      <c r="CL58" s="121"/>
      <c r="CM58" s="121"/>
      <c r="CN58" s="121"/>
      <c r="CO58" s="121"/>
      <c r="CP58" s="121"/>
      <c r="CQ58" s="121"/>
      <c r="CR58" s="121"/>
      <c r="CS58" s="121"/>
      <c r="CT58" s="121"/>
      <c r="CU58" s="121"/>
      <c r="CV58" s="121"/>
      <c r="CW58" s="121"/>
      <c r="CX58" s="121"/>
      <c r="CY58" s="121"/>
      <c r="CZ58" s="121"/>
      <c r="DA58" s="121"/>
      <c r="DB58" s="121"/>
      <c r="DC58" s="121"/>
      <c r="DD58" s="121"/>
      <c r="DE58" s="121"/>
      <c r="DF58" s="121"/>
      <c r="DG58" s="121"/>
      <c r="DH58" s="121"/>
      <c r="DI58" s="121"/>
      <c r="DJ58" s="121"/>
      <c r="DK58" s="121"/>
      <c r="DL58" s="121"/>
      <c r="DM58" s="121"/>
      <c r="DN58" s="121"/>
      <c r="DO58" s="121"/>
      <c r="DP58" s="121"/>
      <c r="DQ58" s="121"/>
      <c r="DR58" s="121"/>
      <c r="DS58" s="121"/>
      <c r="DT58" s="121"/>
      <c r="DU58" s="121"/>
      <c r="DV58" s="121"/>
      <c r="DW58" s="121"/>
      <c r="DX58" s="121"/>
      <c r="DY58" s="121"/>
      <c r="DZ58" s="121"/>
      <c r="EA58" s="121"/>
      <c r="EB58" s="121"/>
      <c r="EC58" s="121"/>
      <c r="ED58" s="121"/>
      <c r="EE58" s="121"/>
      <c r="EF58" s="121"/>
      <c r="EG58" s="121"/>
      <c r="EH58" s="121"/>
      <c r="EI58" s="121"/>
      <c r="EJ58" s="121"/>
      <c r="EK58" s="121"/>
      <c r="EL58" s="121"/>
      <c r="EM58" s="121"/>
      <c r="EN58" s="121"/>
      <c r="EO58" s="121"/>
      <c r="EP58" s="121"/>
      <c r="EQ58" s="121"/>
      <c r="ER58" s="121"/>
      <c r="ES58" s="121"/>
      <c r="ET58" s="121"/>
      <c r="EU58" s="121"/>
      <c r="EV58" s="121"/>
      <c r="EW58" s="121"/>
      <c r="EX58" s="121"/>
      <c r="EY58" s="121"/>
      <c r="EZ58" s="121"/>
      <c r="FA58" s="121"/>
      <c r="FB58" s="121"/>
      <c r="FC58" s="121"/>
      <c r="FD58" s="121"/>
      <c r="FE58" s="121"/>
      <c r="FF58" s="121"/>
      <c r="FG58" s="121"/>
      <c r="FH58" s="121"/>
      <c r="FI58" s="121"/>
      <c r="FJ58" s="121"/>
      <c r="FK58" s="121"/>
      <c r="FL58" s="121"/>
      <c r="FM58" s="121"/>
      <c r="FN58" s="121"/>
      <c r="FO58" s="121"/>
      <c r="FP58" s="121"/>
      <c r="FQ58" s="121"/>
      <c r="FR58" s="121"/>
      <c r="FS58" s="121"/>
      <c r="FT58" s="121"/>
      <c r="FU58" s="121"/>
      <c r="FV58" s="121"/>
      <c r="FW58" s="121"/>
      <c r="FX58" s="121"/>
      <c r="FY58" s="121"/>
      <c r="FZ58" s="121"/>
      <c r="GA58" s="121"/>
      <c r="GB58" s="121"/>
      <c r="GC58" s="121"/>
      <c r="GD58" s="121"/>
      <c r="GE58" s="121"/>
      <c r="GF58" s="121"/>
      <c r="GG58" s="121"/>
      <c r="GH58" s="121"/>
      <c r="GI58" s="121"/>
      <c r="GJ58" s="121"/>
      <c r="GK58" s="121"/>
      <c r="GL58" s="121"/>
      <c r="GM58" s="121"/>
      <c r="GN58" s="121"/>
      <c r="GO58" s="121"/>
      <c r="GP58" s="121"/>
    </row>
    <row r="59" spans="2:198" s="112" customFormat="1">
      <c r="B59" s="238">
        <v>5.0999999999999996</v>
      </c>
      <c r="C59" s="239" t="s">
        <v>216</v>
      </c>
      <c r="D59" s="205"/>
      <c r="E59" s="240">
        <v>45835</v>
      </c>
      <c r="F59" s="241">
        <v>1</v>
      </c>
      <c r="G59" s="240">
        <f>WORKDAY.INTL(E59,F59,1,Data!$C$3:$C$41)</f>
        <v>45838</v>
      </c>
      <c r="H59" s="228"/>
      <c r="I59" s="240">
        <v>45835</v>
      </c>
      <c r="J59" s="241">
        <v>1</v>
      </c>
      <c r="K59" s="240">
        <f>WORKDAY.INTL(I59,J59,1,Data!$C$3:$C$41)</f>
        <v>45838</v>
      </c>
      <c r="M59" s="243">
        <v>1</v>
      </c>
      <c r="N59" s="243">
        <f t="shared" ref="N59:N65" ca="1" si="7">_xlfn.LET(
  _xlpm.s,VALUE(I59),
  _xlpm.e,VALUE(K59),
  IF(OR(_xlpm.s="",_xlpm.e=""),"", IF(_xlpm.e&lt;=_xlpm.s, IF(TODAY()&gt;=_xlpm.e,1,0), MAX(0,MIN(1,(TODAY()-_xlpm.s)/(_xlpm.e-_xlpm.s)))))
)</f>
        <v>1</v>
      </c>
      <c r="O59" s="122"/>
      <c r="Q59" s="124"/>
      <c r="R59" s="121"/>
      <c r="S59" s="121"/>
      <c r="T59" s="121"/>
      <c r="U59" s="121"/>
      <c r="V59" s="121"/>
      <c r="W59" s="121"/>
      <c r="X59" s="121"/>
      <c r="Y59" s="121"/>
      <c r="Z59" s="121"/>
      <c r="AA59" s="121"/>
      <c r="AB59" s="121"/>
      <c r="AC59" s="121"/>
      <c r="AD59" s="121"/>
      <c r="AE59" s="121"/>
      <c r="AF59" s="121"/>
      <c r="AG59" s="121"/>
      <c r="AH59" s="121"/>
      <c r="AI59" s="121"/>
      <c r="AJ59" s="121"/>
      <c r="AK59" s="121"/>
      <c r="AL59" s="121"/>
      <c r="AM59" s="121"/>
      <c r="AN59" s="121"/>
      <c r="AO59" s="121"/>
      <c r="AP59" s="121"/>
      <c r="AQ59" s="121"/>
      <c r="AR59" s="121"/>
      <c r="AS59" s="121"/>
      <c r="AT59" s="121"/>
      <c r="AU59" s="121"/>
      <c r="AV59" s="121"/>
      <c r="AW59" s="121"/>
      <c r="AX59" s="121"/>
      <c r="AY59" s="121"/>
      <c r="AZ59" s="121"/>
      <c r="BA59" s="121"/>
      <c r="BB59" s="121"/>
      <c r="BC59" s="121"/>
      <c r="BD59" s="121"/>
      <c r="BE59" s="121"/>
      <c r="BF59" s="121"/>
      <c r="BG59" s="121"/>
      <c r="BH59" s="121"/>
      <c r="BI59" s="121"/>
      <c r="BJ59" s="121"/>
      <c r="BK59" s="121"/>
      <c r="BL59" s="121"/>
      <c r="BM59" s="121"/>
      <c r="BN59" s="121"/>
      <c r="BO59" s="121"/>
      <c r="BP59" s="121"/>
      <c r="BQ59" s="121"/>
      <c r="BR59" s="121"/>
      <c r="BS59" s="121"/>
      <c r="BT59" s="121"/>
      <c r="BU59" s="121"/>
      <c r="BV59" s="121"/>
      <c r="BW59" s="121"/>
      <c r="BX59" s="121"/>
      <c r="BY59" s="121"/>
      <c r="BZ59" s="121"/>
      <c r="CA59" s="121"/>
      <c r="CB59" s="121"/>
      <c r="CC59" s="121"/>
      <c r="CD59" s="121"/>
      <c r="CE59" s="121"/>
      <c r="CF59" s="121"/>
      <c r="CG59" s="121"/>
      <c r="CH59" s="121"/>
      <c r="CI59" s="121"/>
      <c r="CJ59" s="121"/>
      <c r="CK59" s="121"/>
      <c r="CL59" s="121"/>
      <c r="CM59" s="121"/>
      <c r="CN59" s="121"/>
      <c r="CO59" s="121"/>
      <c r="CP59" s="121"/>
      <c r="CQ59" s="121"/>
      <c r="CR59" s="121"/>
      <c r="CS59" s="121"/>
      <c r="CT59" s="121"/>
      <c r="CU59" s="121"/>
      <c r="CV59" s="121"/>
      <c r="CW59" s="121"/>
      <c r="CX59" s="121"/>
      <c r="CY59" s="121"/>
      <c r="CZ59" s="121"/>
      <c r="DA59" s="121"/>
      <c r="DB59" s="121"/>
      <c r="DC59" s="121"/>
      <c r="DD59" s="121"/>
      <c r="DE59" s="121"/>
      <c r="DF59" s="121"/>
      <c r="DG59" s="121"/>
      <c r="DH59" s="121"/>
      <c r="DI59" s="121"/>
      <c r="DJ59" s="121"/>
      <c r="DK59" s="121"/>
      <c r="DL59" s="121"/>
      <c r="DM59" s="121"/>
      <c r="DN59" s="121"/>
      <c r="DO59" s="121"/>
      <c r="DP59" s="121"/>
      <c r="DQ59" s="121"/>
      <c r="DR59" s="121"/>
      <c r="DS59" s="121"/>
      <c r="DT59" s="121"/>
      <c r="DU59" s="121"/>
      <c r="DV59" s="121"/>
      <c r="DW59" s="121"/>
      <c r="DX59" s="121"/>
      <c r="DY59" s="121"/>
      <c r="DZ59" s="121"/>
      <c r="EA59" s="121"/>
      <c r="EB59" s="121"/>
      <c r="EC59" s="121"/>
      <c r="ED59" s="121"/>
      <c r="EE59" s="121"/>
      <c r="EF59" s="121"/>
      <c r="EG59" s="121"/>
      <c r="EH59" s="121"/>
      <c r="EI59" s="121"/>
      <c r="EJ59" s="121"/>
      <c r="EK59" s="121"/>
      <c r="EL59" s="121"/>
      <c r="EM59" s="121"/>
      <c r="EN59" s="121"/>
      <c r="EO59" s="121"/>
      <c r="EP59" s="121"/>
      <c r="EQ59" s="121"/>
      <c r="ER59" s="121"/>
      <c r="ES59" s="121"/>
      <c r="ET59" s="121"/>
      <c r="EU59" s="121"/>
      <c r="EV59" s="121"/>
      <c r="EW59" s="121"/>
      <c r="EX59" s="121"/>
      <c r="EY59" s="121"/>
      <c r="EZ59" s="121"/>
      <c r="FA59" s="121"/>
      <c r="FB59" s="121"/>
      <c r="FC59" s="121"/>
      <c r="FD59" s="121"/>
      <c r="FE59" s="121"/>
      <c r="FF59" s="121"/>
      <c r="FG59" s="121"/>
      <c r="FH59" s="121"/>
      <c r="FI59" s="121"/>
      <c r="FJ59" s="121"/>
      <c r="FK59" s="121"/>
      <c r="FL59" s="121"/>
      <c r="FM59" s="121"/>
      <c r="FN59" s="121"/>
      <c r="FO59" s="121"/>
      <c r="FP59" s="121"/>
      <c r="FQ59" s="121"/>
      <c r="FR59" s="121"/>
      <c r="FS59" s="121"/>
      <c r="FT59" s="121"/>
      <c r="FU59" s="121"/>
      <c r="FV59" s="121"/>
      <c r="FW59" s="121"/>
      <c r="FX59" s="121"/>
      <c r="FY59" s="121"/>
      <c r="FZ59" s="121"/>
      <c r="GA59" s="121"/>
      <c r="GB59" s="121"/>
      <c r="GC59" s="121"/>
      <c r="GD59" s="121"/>
      <c r="GE59" s="121"/>
      <c r="GF59" s="121"/>
      <c r="GG59" s="121"/>
      <c r="GH59" s="121"/>
      <c r="GI59" s="121"/>
      <c r="GJ59" s="121"/>
      <c r="GK59" s="121"/>
      <c r="GL59" s="121"/>
      <c r="GM59" s="121"/>
      <c r="GN59" s="121"/>
      <c r="GO59" s="121"/>
      <c r="GP59" s="121"/>
    </row>
    <row r="60" spans="2:198" s="112" customFormat="1">
      <c r="B60" s="238">
        <v>5.2</v>
      </c>
      <c r="C60" s="239" t="s">
        <v>217</v>
      </c>
      <c r="D60" s="205"/>
      <c r="E60" s="240">
        <f>WORKDAY.INTL(G51,0,1,Data!$C$3:$C$41)-2</f>
        <v>45878</v>
      </c>
      <c r="F60" s="241">
        <v>12</v>
      </c>
      <c r="G60" s="240">
        <f>WORKDAY.INTL(E60,F60,1,Data!$C$3:$C$41)</f>
        <v>45895</v>
      </c>
      <c r="H60" s="228"/>
      <c r="I60" s="240">
        <v>45894</v>
      </c>
      <c r="J60" s="241">
        <v>5</v>
      </c>
      <c r="K60" s="240">
        <f>WORKDAY.INTL(I60,J60,1,Data!$C$3:$C$41)</f>
        <v>45901</v>
      </c>
      <c r="M60" s="243">
        <v>1</v>
      </c>
      <c r="N60" s="243">
        <f t="shared" ca="1" si="7"/>
        <v>1</v>
      </c>
      <c r="O60" s="122"/>
      <c r="Q60" s="124"/>
      <c r="R60" s="121"/>
      <c r="S60" s="121"/>
      <c r="T60" s="121"/>
      <c r="U60" s="121"/>
      <c r="V60" s="121"/>
      <c r="W60" s="121"/>
      <c r="X60" s="121"/>
      <c r="Y60" s="121"/>
      <c r="Z60" s="121"/>
      <c r="AA60" s="121"/>
      <c r="AB60" s="121"/>
      <c r="AC60" s="121"/>
      <c r="AD60" s="121"/>
      <c r="AE60" s="121"/>
      <c r="AF60" s="121"/>
      <c r="AG60" s="121"/>
      <c r="AH60" s="121"/>
      <c r="AI60" s="121"/>
      <c r="AJ60" s="121"/>
      <c r="AK60" s="121"/>
      <c r="AL60" s="121"/>
      <c r="AM60" s="121"/>
      <c r="AN60" s="121"/>
      <c r="AO60" s="121"/>
      <c r="AP60" s="121"/>
      <c r="AQ60" s="121"/>
      <c r="AR60" s="121"/>
      <c r="AS60" s="121"/>
      <c r="AT60" s="121"/>
      <c r="AU60" s="121"/>
      <c r="AV60" s="121"/>
      <c r="AW60" s="121"/>
      <c r="AX60" s="121"/>
      <c r="AY60" s="121"/>
      <c r="AZ60" s="121"/>
      <c r="BA60" s="121"/>
      <c r="BB60" s="121"/>
      <c r="BC60" s="121"/>
      <c r="BD60" s="121"/>
      <c r="BE60" s="121"/>
      <c r="BF60" s="121"/>
      <c r="BG60" s="121"/>
      <c r="BH60" s="121"/>
      <c r="BI60" s="121"/>
      <c r="BJ60" s="121"/>
      <c r="BK60" s="121"/>
      <c r="BL60" s="121"/>
      <c r="BM60" s="121"/>
      <c r="BN60" s="121"/>
      <c r="BO60" s="121"/>
      <c r="BP60" s="121"/>
      <c r="BQ60" s="121"/>
      <c r="BR60" s="121"/>
      <c r="BS60" s="121"/>
      <c r="BT60" s="121"/>
      <c r="BU60" s="121"/>
      <c r="BV60" s="121"/>
      <c r="BW60" s="121"/>
      <c r="BX60" s="121"/>
      <c r="BY60" s="121"/>
      <c r="BZ60" s="121"/>
      <c r="CA60" s="121"/>
      <c r="CB60" s="121"/>
      <c r="CC60" s="121"/>
      <c r="CD60" s="121"/>
      <c r="CE60" s="121"/>
      <c r="CF60" s="121"/>
      <c r="CG60" s="121"/>
      <c r="CH60" s="121"/>
      <c r="CI60" s="121"/>
      <c r="CJ60" s="121"/>
      <c r="CK60" s="121"/>
      <c r="CL60" s="121"/>
      <c r="CM60" s="121"/>
      <c r="CN60" s="121"/>
      <c r="CO60" s="121"/>
      <c r="CP60" s="121"/>
      <c r="CQ60" s="121"/>
      <c r="CR60" s="121"/>
      <c r="CS60" s="121"/>
      <c r="CT60" s="121"/>
      <c r="CU60" s="121"/>
      <c r="CV60" s="121"/>
      <c r="CW60" s="121"/>
      <c r="CX60" s="121"/>
      <c r="CY60" s="121"/>
      <c r="CZ60" s="121"/>
      <c r="DA60" s="121"/>
      <c r="DB60" s="121"/>
      <c r="DC60" s="121"/>
      <c r="DD60" s="121"/>
      <c r="DE60" s="121"/>
      <c r="DF60" s="121"/>
      <c r="DG60" s="121"/>
      <c r="DH60" s="121"/>
      <c r="DI60" s="121"/>
      <c r="DJ60" s="121"/>
      <c r="DK60" s="121"/>
      <c r="DL60" s="121"/>
      <c r="DM60" s="121"/>
      <c r="DN60" s="121"/>
      <c r="DO60" s="121"/>
      <c r="DP60" s="121"/>
      <c r="DQ60" s="121"/>
      <c r="DR60" s="121"/>
      <c r="DS60" s="121"/>
      <c r="DT60" s="121"/>
      <c r="DU60" s="121"/>
      <c r="DV60" s="121"/>
      <c r="DW60" s="121"/>
      <c r="DX60" s="121"/>
      <c r="DY60" s="121"/>
      <c r="DZ60" s="121"/>
      <c r="EA60" s="121"/>
      <c r="EB60" s="121"/>
      <c r="EC60" s="121"/>
      <c r="ED60" s="121"/>
      <c r="EE60" s="121"/>
      <c r="EF60" s="121"/>
      <c r="EG60" s="121"/>
      <c r="EH60" s="121"/>
      <c r="EI60" s="121"/>
      <c r="EJ60" s="121"/>
      <c r="EK60" s="121"/>
      <c r="EL60" s="121"/>
      <c r="EM60" s="121"/>
      <c r="EN60" s="121"/>
      <c r="EO60" s="121"/>
      <c r="EP60" s="121"/>
      <c r="EQ60" s="121"/>
      <c r="ER60" s="121"/>
      <c r="ES60" s="121"/>
      <c r="ET60" s="121"/>
      <c r="EU60" s="121"/>
      <c r="EV60" s="121"/>
      <c r="EW60" s="121"/>
      <c r="EX60" s="121"/>
      <c r="EY60" s="121"/>
      <c r="EZ60" s="121"/>
      <c r="FA60" s="121"/>
      <c r="FB60" s="121"/>
      <c r="FC60" s="121"/>
      <c r="FD60" s="121"/>
      <c r="FE60" s="121"/>
      <c r="FF60" s="121"/>
      <c r="FG60" s="121"/>
      <c r="FH60" s="121"/>
      <c r="FI60" s="121"/>
      <c r="FJ60" s="121"/>
      <c r="FK60" s="121"/>
      <c r="FL60" s="121"/>
      <c r="FM60" s="121"/>
      <c r="FN60" s="121"/>
      <c r="FO60" s="121"/>
      <c r="FP60" s="121"/>
      <c r="FQ60" s="121"/>
      <c r="FR60" s="121"/>
      <c r="FS60" s="121"/>
      <c r="FT60" s="121"/>
      <c r="FU60" s="121"/>
      <c r="FV60" s="121"/>
      <c r="FW60" s="121"/>
      <c r="FX60" s="121"/>
      <c r="FY60" s="121"/>
      <c r="FZ60" s="121"/>
      <c r="GA60" s="121"/>
      <c r="GB60" s="121"/>
      <c r="GC60" s="121"/>
      <c r="GD60" s="121"/>
      <c r="GE60" s="121"/>
      <c r="GF60" s="121"/>
      <c r="GG60" s="121"/>
      <c r="GH60" s="121"/>
      <c r="GI60" s="121"/>
      <c r="GJ60" s="121"/>
      <c r="GK60" s="121"/>
      <c r="GL60" s="121"/>
      <c r="GM60" s="121"/>
      <c r="GN60" s="121"/>
      <c r="GO60" s="121"/>
      <c r="GP60" s="121"/>
    </row>
    <row r="61" spans="2:198" s="112" customFormat="1">
      <c r="B61" s="238">
        <v>5.3</v>
      </c>
      <c r="C61" s="239" t="s">
        <v>218</v>
      </c>
      <c r="D61" s="205"/>
      <c r="E61" s="240"/>
      <c r="F61" s="241"/>
      <c r="G61" s="240"/>
      <c r="H61" s="228"/>
      <c r="I61" s="240">
        <v>45901</v>
      </c>
      <c r="J61" s="241">
        <v>5</v>
      </c>
      <c r="K61" s="240">
        <f>WORKDAY.INTL(I61,J61,1,Data!$C$3:$C$41)</f>
        <v>45908</v>
      </c>
      <c r="M61" s="243">
        <v>1</v>
      </c>
      <c r="N61" s="243">
        <f t="shared" ca="1" si="7"/>
        <v>1</v>
      </c>
      <c r="O61" s="122"/>
      <c r="Q61" s="124"/>
      <c r="R61" s="121"/>
      <c r="S61" s="121"/>
      <c r="T61" s="121"/>
      <c r="U61" s="121"/>
      <c r="V61" s="121"/>
      <c r="W61" s="121"/>
      <c r="X61" s="121"/>
      <c r="Y61" s="121"/>
      <c r="Z61" s="121"/>
      <c r="AA61" s="121"/>
      <c r="AB61" s="121"/>
      <c r="AC61" s="121"/>
      <c r="AD61" s="121"/>
      <c r="AE61" s="121"/>
      <c r="AF61" s="121"/>
      <c r="AG61" s="121"/>
      <c r="AH61" s="121"/>
      <c r="AI61" s="121"/>
      <c r="AJ61" s="121"/>
      <c r="AK61" s="121"/>
      <c r="AL61" s="121"/>
      <c r="AM61" s="121"/>
      <c r="AN61" s="121"/>
      <c r="AO61" s="121"/>
      <c r="AP61" s="121"/>
      <c r="AQ61" s="121"/>
      <c r="AR61" s="121"/>
      <c r="AS61" s="121"/>
      <c r="AT61" s="121"/>
      <c r="AU61" s="121"/>
      <c r="AV61" s="121"/>
      <c r="AW61" s="121"/>
      <c r="AX61" s="121"/>
      <c r="AY61" s="121"/>
      <c r="AZ61" s="121"/>
      <c r="BA61" s="121"/>
      <c r="BB61" s="121"/>
      <c r="BC61" s="121"/>
      <c r="BD61" s="121"/>
      <c r="BE61" s="121"/>
      <c r="BF61" s="121"/>
      <c r="BG61" s="121"/>
      <c r="BH61" s="121"/>
      <c r="BI61" s="121"/>
      <c r="BJ61" s="121"/>
      <c r="BK61" s="121"/>
      <c r="BL61" s="121"/>
      <c r="BM61" s="121"/>
      <c r="BN61" s="121"/>
      <c r="BO61" s="121"/>
      <c r="BP61" s="121"/>
      <c r="BQ61" s="121"/>
      <c r="BR61" s="121"/>
      <c r="BS61" s="121"/>
      <c r="BT61" s="121"/>
      <c r="BU61" s="121"/>
      <c r="BV61" s="121"/>
      <c r="BW61" s="121"/>
      <c r="BX61" s="121"/>
      <c r="BY61" s="121"/>
      <c r="BZ61" s="121"/>
      <c r="CA61" s="121"/>
      <c r="CB61" s="121"/>
      <c r="CC61" s="121"/>
      <c r="CD61" s="121"/>
      <c r="CE61" s="121"/>
      <c r="CF61" s="121"/>
      <c r="CG61" s="121"/>
      <c r="CH61" s="121"/>
      <c r="CI61" s="121"/>
      <c r="CJ61" s="121"/>
      <c r="CK61" s="121"/>
      <c r="CL61" s="121"/>
      <c r="CM61" s="121"/>
      <c r="CN61" s="121"/>
      <c r="CO61" s="121"/>
      <c r="CP61" s="121"/>
      <c r="CQ61" s="121"/>
      <c r="CR61" s="121"/>
      <c r="CS61" s="121"/>
      <c r="CT61" s="121"/>
      <c r="CU61" s="121"/>
      <c r="CV61" s="121"/>
      <c r="CW61" s="121"/>
      <c r="CX61" s="121"/>
      <c r="CY61" s="121"/>
      <c r="CZ61" s="121"/>
      <c r="DA61" s="121"/>
      <c r="DB61" s="121"/>
      <c r="DC61" s="121"/>
      <c r="DD61" s="121"/>
      <c r="DE61" s="121"/>
      <c r="DF61" s="121"/>
      <c r="DG61" s="121"/>
      <c r="DH61" s="121"/>
      <c r="DI61" s="121"/>
      <c r="DJ61" s="121"/>
      <c r="DK61" s="121"/>
      <c r="DL61" s="121"/>
      <c r="DM61" s="121"/>
      <c r="DN61" s="121"/>
      <c r="DO61" s="121"/>
      <c r="DP61" s="121"/>
      <c r="DQ61" s="121"/>
      <c r="DR61" s="121"/>
      <c r="DS61" s="121"/>
      <c r="DT61" s="121"/>
      <c r="DU61" s="121"/>
      <c r="DV61" s="121"/>
      <c r="DW61" s="121"/>
      <c r="DX61" s="121"/>
      <c r="DY61" s="121"/>
      <c r="DZ61" s="121"/>
      <c r="EA61" s="121"/>
      <c r="EB61" s="121"/>
      <c r="EC61" s="121"/>
      <c r="ED61" s="121"/>
      <c r="EE61" s="121"/>
      <c r="EF61" s="121"/>
      <c r="EG61" s="121"/>
      <c r="EH61" s="121"/>
      <c r="EI61" s="121"/>
      <c r="EJ61" s="121"/>
      <c r="EK61" s="121"/>
      <c r="EL61" s="121"/>
      <c r="EM61" s="121"/>
      <c r="EN61" s="121"/>
      <c r="EO61" s="121"/>
      <c r="EP61" s="121"/>
      <c r="EQ61" s="121"/>
      <c r="ER61" s="121"/>
      <c r="ES61" s="121"/>
      <c r="ET61" s="121"/>
      <c r="EU61" s="121"/>
      <c r="EV61" s="121"/>
      <c r="EW61" s="121"/>
      <c r="EX61" s="121"/>
      <c r="EY61" s="121"/>
      <c r="EZ61" s="121"/>
      <c r="FA61" s="121"/>
      <c r="FB61" s="121"/>
      <c r="FC61" s="121"/>
      <c r="FD61" s="121"/>
      <c r="FE61" s="121"/>
      <c r="FF61" s="121"/>
      <c r="FG61" s="121"/>
      <c r="FH61" s="121"/>
      <c r="FI61" s="121"/>
      <c r="FJ61" s="121"/>
      <c r="FK61" s="121"/>
      <c r="FL61" s="121"/>
      <c r="FM61" s="121"/>
      <c r="FN61" s="121"/>
      <c r="FO61" s="121"/>
      <c r="FP61" s="121"/>
      <c r="FQ61" s="121"/>
      <c r="FR61" s="121"/>
      <c r="FS61" s="121"/>
      <c r="FT61" s="121"/>
      <c r="FU61" s="121"/>
      <c r="FV61" s="121"/>
      <c r="FW61" s="121"/>
      <c r="FX61" s="121"/>
      <c r="FY61" s="121"/>
      <c r="FZ61" s="121"/>
      <c r="GA61" s="121"/>
      <c r="GB61" s="121"/>
      <c r="GC61" s="121"/>
      <c r="GD61" s="121"/>
      <c r="GE61" s="121"/>
      <c r="GF61" s="121"/>
      <c r="GG61" s="121"/>
      <c r="GH61" s="121"/>
      <c r="GI61" s="121"/>
      <c r="GJ61" s="121"/>
      <c r="GK61" s="121"/>
      <c r="GL61" s="121"/>
      <c r="GM61" s="121"/>
      <c r="GN61" s="121"/>
      <c r="GO61" s="121"/>
      <c r="GP61" s="121"/>
    </row>
    <row r="62" spans="2:198" s="112" customFormat="1">
      <c r="B62" s="238">
        <v>5.4</v>
      </c>
      <c r="C62" s="239" t="s">
        <v>219</v>
      </c>
      <c r="D62" s="205"/>
      <c r="E62" s="240">
        <f>WORKDAY.INTL(G60,0,1,Data!$C$3:$C$41)+1</f>
        <v>45896</v>
      </c>
      <c r="F62" s="241">
        <v>17</v>
      </c>
      <c r="G62" s="240">
        <f>WORKDAY.INTL(E62,F62,1,Data!$C$3:$C$41)</f>
        <v>45919</v>
      </c>
      <c r="H62" s="228"/>
      <c r="I62" s="240">
        <v>45915</v>
      </c>
      <c r="J62" s="241">
        <v>24</v>
      </c>
      <c r="K62" s="240">
        <f>WORKDAY.INTL(I62,J62,1,Data!$C$3:$C$41)</f>
        <v>45950</v>
      </c>
      <c r="M62" s="243">
        <v>1</v>
      </c>
      <c r="N62" s="243">
        <f t="shared" ca="1" si="7"/>
        <v>1</v>
      </c>
      <c r="O62" s="122" t="s">
        <v>220</v>
      </c>
      <c r="Q62" s="124"/>
      <c r="R62" s="121"/>
      <c r="S62" s="121"/>
      <c r="T62" s="121"/>
      <c r="U62" s="121"/>
      <c r="V62" s="121"/>
      <c r="W62" s="121"/>
      <c r="X62" s="121"/>
      <c r="Y62" s="121"/>
      <c r="Z62" s="121"/>
      <c r="AA62" s="121"/>
      <c r="AB62" s="121"/>
      <c r="AC62" s="121"/>
      <c r="AD62" s="121"/>
      <c r="AE62" s="121"/>
      <c r="AF62" s="121"/>
      <c r="AG62" s="121"/>
      <c r="AH62" s="121"/>
      <c r="AI62" s="121"/>
      <c r="AJ62" s="121"/>
      <c r="AK62" s="121"/>
      <c r="AL62" s="121"/>
      <c r="AM62" s="121"/>
      <c r="AN62" s="121"/>
      <c r="AO62" s="121"/>
      <c r="AP62" s="121"/>
      <c r="AQ62" s="121"/>
      <c r="AR62" s="121"/>
      <c r="AS62" s="121"/>
      <c r="AT62" s="121"/>
      <c r="AU62" s="121"/>
      <c r="AV62" s="121"/>
      <c r="AW62" s="121"/>
      <c r="AX62" s="121"/>
      <c r="AY62" s="121"/>
      <c r="AZ62" s="121"/>
      <c r="BA62" s="121"/>
      <c r="BB62" s="121"/>
      <c r="BC62" s="121"/>
      <c r="BD62" s="121"/>
      <c r="BE62" s="121"/>
      <c r="BF62" s="121"/>
      <c r="BG62" s="121"/>
      <c r="BH62" s="121"/>
      <c r="BI62" s="121"/>
      <c r="BJ62" s="121"/>
      <c r="BK62" s="121"/>
      <c r="BL62" s="121"/>
      <c r="BM62" s="121"/>
      <c r="BN62" s="121"/>
      <c r="BO62" s="121"/>
      <c r="BP62" s="121"/>
      <c r="BQ62" s="121"/>
      <c r="BR62" s="121"/>
      <c r="BS62" s="121"/>
      <c r="BT62" s="121"/>
      <c r="BU62" s="121"/>
      <c r="BV62" s="121"/>
      <c r="BW62" s="121"/>
      <c r="BX62" s="121"/>
      <c r="BY62" s="121"/>
      <c r="BZ62" s="121"/>
      <c r="CA62" s="121"/>
      <c r="CB62" s="121"/>
      <c r="CC62" s="121"/>
      <c r="CD62" s="121"/>
      <c r="CE62" s="121"/>
      <c r="CF62" s="121"/>
      <c r="CG62" s="121"/>
      <c r="CH62" s="121"/>
      <c r="CI62" s="121"/>
      <c r="CJ62" s="121"/>
      <c r="CK62" s="121"/>
      <c r="CL62" s="121"/>
      <c r="CM62" s="121"/>
      <c r="CN62" s="121"/>
      <c r="CO62" s="121"/>
      <c r="CP62" s="121"/>
      <c r="CQ62" s="121"/>
      <c r="CR62" s="121"/>
      <c r="CS62" s="121"/>
      <c r="CT62" s="121"/>
      <c r="CU62" s="121"/>
      <c r="CV62" s="121"/>
      <c r="CW62" s="121"/>
      <c r="CX62" s="121"/>
      <c r="CY62" s="121"/>
      <c r="CZ62" s="121"/>
      <c r="DA62" s="121"/>
      <c r="DB62" s="121"/>
      <c r="DC62" s="121"/>
      <c r="DD62" s="121"/>
      <c r="DE62" s="121"/>
      <c r="DF62" s="121"/>
      <c r="DG62" s="121"/>
      <c r="DH62" s="121"/>
      <c r="DI62" s="121"/>
      <c r="DJ62" s="121"/>
      <c r="DK62" s="121"/>
      <c r="DL62" s="121"/>
      <c r="DM62" s="121"/>
      <c r="DN62" s="121"/>
      <c r="DO62" s="121"/>
      <c r="DP62" s="121"/>
      <c r="DQ62" s="121"/>
      <c r="DR62" s="121"/>
      <c r="DS62" s="121"/>
      <c r="DT62" s="121"/>
      <c r="DU62" s="121"/>
      <c r="DV62" s="121"/>
      <c r="DW62" s="121"/>
      <c r="DX62" s="121"/>
      <c r="DY62" s="121"/>
      <c r="DZ62" s="121"/>
      <c r="EA62" s="121"/>
      <c r="EB62" s="121"/>
      <c r="EC62" s="121"/>
      <c r="ED62" s="121"/>
      <c r="EE62" s="121"/>
      <c r="EF62" s="121"/>
      <c r="EG62" s="121"/>
      <c r="EH62" s="121"/>
      <c r="EI62" s="121"/>
      <c r="EJ62" s="121"/>
      <c r="EK62" s="121"/>
      <c r="EL62" s="121"/>
      <c r="EM62" s="121"/>
      <c r="EN62" s="121"/>
      <c r="EO62" s="121"/>
      <c r="EP62" s="121"/>
      <c r="EQ62" s="121"/>
      <c r="ER62" s="121"/>
      <c r="ES62" s="121"/>
      <c r="ET62" s="121"/>
      <c r="EU62" s="121"/>
      <c r="EV62" s="121"/>
      <c r="EW62" s="121"/>
      <c r="EX62" s="121"/>
      <c r="EY62" s="121"/>
      <c r="EZ62" s="121"/>
      <c r="FA62" s="121"/>
      <c r="FB62" s="121"/>
      <c r="FC62" s="121"/>
      <c r="FD62" s="121"/>
      <c r="FE62" s="121"/>
      <c r="FF62" s="121"/>
      <c r="FG62" s="121"/>
      <c r="FH62" s="121"/>
      <c r="FI62" s="121"/>
      <c r="FJ62" s="121"/>
      <c r="FK62" s="121"/>
      <c r="FL62" s="121"/>
      <c r="FM62" s="121"/>
      <c r="FN62" s="121"/>
      <c r="FO62" s="121"/>
      <c r="FP62" s="121"/>
      <c r="FQ62" s="121"/>
      <c r="FR62" s="121"/>
      <c r="FS62" s="121"/>
      <c r="FT62" s="121"/>
      <c r="FU62" s="121"/>
      <c r="FV62" s="121"/>
      <c r="FW62" s="121"/>
      <c r="FX62" s="121"/>
      <c r="FY62" s="121"/>
      <c r="FZ62" s="121"/>
      <c r="GA62" s="121"/>
      <c r="GB62" s="121"/>
      <c r="GC62" s="121"/>
      <c r="GD62" s="121"/>
      <c r="GE62" s="121"/>
      <c r="GF62" s="121"/>
      <c r="GG62" s="121"/>
      <c r="GH62" s="121"/>
      <c r="GI62" s="121"/>
      <c r="GJ62" s="121"/>
      <c r="GK62" s="121"/>
      <c r="GL62" s="121"/>
      <c r="GM62" s="121"/>
      <c r="GN62" s="121"/>
      <c r="GO62" s="121"/>
      <c r="GP62" s="121"/>
    </row>
    <row r="63" spans="2:198" s="112" customFormat="1">
      <c r="B63" s="238">
        <v>5.5</v>
      </c>
      <c r="C63" s="239" t="s">
        <v>221</v>
      </c>
      <c r="D63" s="205"/>
      <c r="E63" s="240"/>
      <c r="F63" s="241"/>
      <c r="G63" s="240"/>
      <c r="H63" s="228"/>
      <c r="I63" s="240">
        <v>45951</v>
      </c>
      <c r="J63" s="241">
        <v>22</v>
      </c>
      <c r="K63" s="240">
        <f>WORKDAY.INTL(I63,J63,1,Data!$C$3:$C$41)</f>
        <v>45981</v>
      </c>
      <c r="M63" s="243">
        <v>1</v>
      </c>
      <c r="N63" s="243">
        <f t="shared" ca="1" si="7"/>
        <v>1</v>
      </c>
      <c r="O63" s="122" t="s">
        <v>222</v>
      </c>
      <c r="Q63" s="124"/>
      <c r="R63" s="121"/>
      <c r="S63" s="121"/>
      <c r="T63" s="121"/>
      <c r="U63" s="121"/>
      <c r="V63" s="121"/>
      <c r="W63" s="121"/>
      <c r="X63" s="121"/>
      <c r="Y63" s="121"/>
      <c r="Z63" s="121"/>
      <c r="AA63" s="121"/>
      <c r="AB63" s="121"/>
      <c r="AC63" s="121"/>
      <c r="AD63" s="121"/>
      <c r="AE63" s="121"/>
      <c r="AF63" s="121"/>
      <c r="AG63" s="121"/>
      <c r="AH63" s="121"/>
      <c r="AI63" s="121"/>
      <c r="AJ63" s="121"/>
      <c r="AK63" s="121"/>
      <c r="AL63" s="121"/>
      <c r="AM63" s="121"/>
      <c r="AN63" s="121"/>
      <c r="AO63" s="121"/>
      <c r="AP63" s="121"/>
      <c r="AQ63" s="121"/>
      <c r="AR63" s="121"/>
      <c r="AS63" s="121"/>
      <c r="AT63" s="121"/>
      <c r="AU63" s="121"/>
      <c r="AV63" s="121"/>
      <c r="AW63" s="121"/>
      <c r="AX63" s="121"/>
      <c r="AY63" s="121"/>
      <c r="AZ63" s="121"/>
      <c r="BA63" s="121"/>
      <c r="BB63" s="121"/>
      <c r="BC63" s="121"/>
      <c r="BD63" s="121"/>
      <c r="BE63" s="121"/>
      <c r="BF63" s="121"/>
      <c r="BG63" s="121"/>
      <c r="BH63" s="121"/>
      <c r="BI63" s="121"/>
      <c r="BJ63" s="121"/>
      <c r="BK63" s="121"/>
      <c r="BL63" s="121"/>
      <c r="BM63" s="121"/>
      <c r="BN63" s="121"/>
      <c r="BO63" s="121"/>
      <c r="BP63" s="121"/>
      <c r="BQ63" s="121"/>
      <c r="BR63" s="121"/>
      <c r="BS63" s="121"/>
      <c r="BT63" s="121"/>
      <c r="BU63" s="121"/>
      <c r="BV63" s="121"/>
      <c r="BW63" s="121"/>
      <c r="BX63" s="121"/>
      <c r="BY63" s="121"/>
      <c r="BZ63" s="121"/>
      <c r="CA63" s="121"/>
      <c r="CB63" s="121"/>
      <c r="CC63" s="121"/>
      <c r="CD63" s="121"/>
      <c r="CE63" s="121"/>
      <c r="CF63" s="121"/>
      <c r="CG63" s="121"/>
      <c r="CH63" s="121"/>
      <c r="CI63" s="121"/>
      <c r="CJ63" s="121"/>
      <c r="CK63" s="121"/>
      <c r="CL63" s="121"/>
      <c r="CM63" s="121"/>
      <c r="CN63" s="121"/>
      <c r="CO63" s="121"/>
      <c r="CP63" s="121"/>
      <c r="CQ63" s="121"/>
      <c r="CR63" s="121"/>
      <c r="CS63" s="121"/>
      <c r="CT63" s="121"/>
      <c r="CU63" s="121"/>
      <c r="CV63" s="121"/>
      <c r="CW63" s="121"/>
      <c r="CX63" s="121"/>
      <c r="CY63" s="121"/>
      <c r="CZ63" s="121"/>
      <c r="DA63" s="121"/>
      <c r="DB63" s="121"/>
      <c r="DC63" s="121"/>
      <c r="DD63" s="121"/>
      <c r="DE63" s="121"/>
      <c r="DF63" s="121"/>
      <c r="DG63" s="121"/>
      <c r="DH63" s="121"/>
      <c r="DI63" s="121"/>
      <c r="DJ63" s="121"/>
      <c r="DK63" s="121"/>
      <c r="DL63" s="121"/>
      <c r="DM63" s="121"/>
      <c r="DN63" s="121"/>
      <c r="DO63" s="121"/>
      <c r="DP63" s="121"/>
      <c r="DQ63" s="121"/>
      <c r="DR63" s="121"/>
      <c r="DS63" s="121"/>
      <c r="DT63" s="121"/>
      <c r="DU63" s="121"/>
      <c r="DV63" s="121"/>
      <c r="DW63" s="121"/>
      <c r="DX63" s="121"/>
      <c r="DY63" s="121"/>
      <c r="DZ63" s="121"/>
      <c r="EA63" s="121"/>
      <c r="EB63" s="121"/>
      <c r="EC63" s="121"/>
      <c r="ED63" s="121"/>
      <c r="EE63" s="121"/>
      <c r="EF63" s="121"/>
      <c r="EG63" s="121"/>
      <c r="EH63" s="121"/>
      <c r="EI63" s="121"/>
      <c r="EJ63" s="121"/>
      <c r="EK63" s="121"/>
      <c r="EL63" s="121"/>
      <c r="EM63" s="121"/>
      <c r="EN63" s="121"/>
      <c r="EO63" s="121"/>
      <c r="EP63" s="121"/>
      <c r="EQ63" s="121"/>
      <c r="ER63" s="121"/>
      <c r="ES63" s="121"/>
      <c r="ET63" s="121"/>
      <c r="EU63" s="121"/>
      <c r="EV63" s="121"/>
      <c r="EW63" s="121"/>
      <c r="EX63" s="121"/>
      <c r="EY63" s="121"/>
      <c r="EZ63" s="121"/>
      <c r="FA63" s="121"/>
      <c r="FB63" s="121"/>
      <c r="FC63" s="121"/>
      <c r="FD63" s="121"/>
      <c r="FE63" s="121"/>
      <c r="FF63" s="121"/>
      <c r="FG63" s="121"/>
      <c r="FH63" s="121"/>
      <c r="FI63" s="121"/>
      <c r="FJ63" s="121"/>
      <c r="FK63" s="121"/>
      <c r="FL63" s="121"/>
      <c r="FM63" s="121"/>
      <c r="FN63" s="121"/>
      <c r="FO63" s="121"/>
      <c r="FP63" s="121"/>
      <c r="FQ63" s="121"/>
      <c r="FR63" s="121"/>
      <c r="FS63" s="121"/>
      <c r="FT63" s="121"/>
      <c r="FU63" s="121"/>
      <c r="FV63" s="121"/>
      <c r="FW63" s="121"/>
      <c r="FX63" s="121"/>
      <c r="FY63" s="121"/>
      <c r="FZ63" s="121"/>
      <c r="GA63" s="121"/>
      <c r="GB63" s="121"/>
      <c r="GC63" s="121"/>
      <c r="GD63" s="121"/>
      <c r="GE63" s="121"/>
      <c r="GF63" s="121"/>
      <c r="GG63" s="121"/>
      <c r="GH63" s="121"/>
      <c r="GI63" s="121"/>
      <c r="GJ63" s="121"/>
      <c r="GK63" s="121"/>
      <c r="GL63" s="121"/>
      <c r="GM63" s="121"/>
      <c r="GN63" s="121"/>
      <c r="GO63" s="121"/>
      <c r="GP63" s="121"/>
    </row>
    <row r="64" spans="2:198" s="112" customFormat="1">
      <c r="B64" s="786">
        <v>5.6</v>
      </c>
      <c r="C64" s="749" t="s">
        <v>223</v>
      </c>
      <c r="D64" s="750"/>
      <c r="E64" s="633">
        <f>WORKDAY.INTL(G62,0,1,Data!$C$3:$C$41)+2</f>
        <v>45921</v>
      </c>
      <c r="F64" s="760">
        <v>5</v>
      </c>
      <c r="G64" s="633">
        <f>WORKDAY.INTL(E64,F64,1,Data!$C$3:$C$41)</f>
        <v>45929</v>
      </c>
      <c r="H64" s="761"/>
      <c r="I64" s="633">
        <v>45940</v>
      </c>
      <c r="J64" s="760">
        <v>55</v>
      </c>
      <c r="K64" s="633">
        <f>WORKDAY.INTL(I64,J64,1,Data!$C$3:$C$41)</f>
        <v>46041</v>
      </c>
      <c r="M64" s="243">
        <v>1</v>
      </c>
      <c r="N64" s="243">
        <f t="shared" ca="1" si="7"/>
        <v>1</v>
      </c>
      <c r="O64" s="787"/>
      <c r="Q64" s="124"/>
      <c r="R64" s="121"/>
      <c r="S64" s="121"/>
      <c r="T64" s="121"/>
      <c r="U64" s="121"/>
      <c r="V64" s="121"/>
      <c r="W64" s="121"/>
      <c r="X64" s="121"/>
      <c r="Y64" s="121"/>
      <c r="Z64" s="121"/>
      <c r="AA64" s="121"/>
      <c r="AB64" s="121"/>
      <c r="AC64" s="121"/>
      <c r="AD64" s="121"/>
      <c r="AE64" s="121"/>
      <c r="AF64" s="121"/>
      <c r="AG64" s="121"/>
      <c r="AH64" s="121"/>
      <c r="AI64" s="121"/>
      <c r="AJ64" s="121"/>
      <c r="AK64" s="121"/>
      <c r="AL64" s="121"/>
      <c r="AM64" s="121"/>
      <c r="AN64" s="121"/>
      <c r="AO64" s="121"/>
      <c r="AP64" s="121"/>
      <c r="AQ64" s="121"/>
      <c r="AR64" s="121"/>
      <c r="AS64" s="121"/>
      <c r="AT64" s="121"/>
      <c r="AU64" s="121"/>
      <c r="AV64" s="121"/>
      <c r="AW64" s="121"/>
      <c r="AX64" s="121"/>
      <c r="AY64" s="121"/>
      <c r="AZ64" s="121"/>
      <c r="BA64" s="121"/>
      <c r="BB64" s="121"/>
      <c r="BC64" s="121"/>
      <c r="BD64" s="121"/>
      <c r="BE64" s="121"/>
      <c r="BF64" s="121"/>
      <c r="BG64" s="121"/>
      <c r="BH64" s="121"/>
      <c r="BI64" s="121"/>
      <c r="BJ64" s="121"/>
      <c r="BK64" s="121"/>
      <c r="BL64" s="121"/>
      <c r="BM64" s="121"/>
      <c r="BN64" s="121"/>
      <c r="BO64" s="121"/>
      <c r="BP64" s="121"/>
      <c r="BQ64" s="121"/>
      <c r="BR64" s="121"/>
      <c r="BS64" s="121"/>
      <c r="BT64" s="121"/>
      <c r="BU64" s="121"/>
      <c r="BV64" s="121"/>
      <c r="BW64" s="121"/>
      <c r="BX64" s="121"/>
      <c r="BY64" s="121"/>
      <c r="BZ64" s="121"/>
      <c r="CA64" s="121"/>
      <c r="CB64" s="121"/>
      <c r="CC64" s="121"/>
      <c r="CD64" s="121"/>
      <c r="CE64" s="121"/>
      <c r="CF64" s="121"/>
      <c r="CG64" s="121"/>
      <c r="CH64" s="121"/>
      <c r="CI64" s="121"/>
      <c r="CJ64" s="121"/>
      <c r="CK64" s="121"/>
      <c r="CL64" s="121"/>
      <c r="CM64" s="121"/>
      <c r="CN64" s="121"/>
      <c r="CO64" s="121"/>
      <c r="CP64" s="121"/>
      <c r="CQ64" s="121"/>
      <c r="CR64" s="121"/>
      <c r="CS64" s="121"/>
      <c r="CT64" s="121"/>
      <c r="CU64" s="121"/>
      <c r="CV64" s="121"/>
      <c r="CW64" s="121"/>
      <c r="CX64" s="121"/>
      <c r="CY64" s="121"/>
      <c r="CZ64" s="121"/>
      <c r="DA64" s="121"/>
      <c r="DB64" s="121"/>
      <c r="DC64" s="121"/>
      <c r="DD64" s="121"/>
      <c r="DE64" s="121"/>
      <c r="DF64" s="121"/>
      <c r="DG64" s="121"/>
      <c r="DH64" s="121"/>
      <c r="DI64" s="121"/>
      <c r="DJ64" s="121"/>
      <c r="DK64" s="121"/>
      <c r="DL64" s="121"/>
      <c r="DM64" s="121"/>
      <c r="DN64" s="121"/>
      <c r="DO64" s="121"/>
      <c r="DP64" s="121"/>
      <c r="DQ64" s="121"/>
      <c r="DR64" s="121"/>
      <c r="DS64" s="121"/>
      <c r="DT64" s="121"/>
      <c r="DU64" s="121"/>
      <c r="DV64" s="121"/>
      <c r="DW64" s="121"/>
      <c r="DX64" s="121"/>
      <c r="DY64" s="121"/>
      <c r="DZ64" s="121"/>
      <c r="EA64" s="121"/>
      <c r="EB64" s="121"/>
      <c r="EC64" s="121"/>
      <c r="ED64" s="121"/>
      <c r="EE64" s="121"/>
      <c r="EF64" s="121"/>
      <c r="EG64" s="121"/>
      <c r="EH64" s="121"/>
      <c r="EI64" s="121"/>
      <c r="EJ64" s="121"/>
      <c r="EK64" s="121"/>
      <c r="EL64" s="121"/>
      <c r="EM64" s="121"/>
      <c r="EN64" s="121"/>
      <c r="EO64" s="121"/>
      <c r="EP64" s="121"/>
      <c r="EQ64" s="121"/>
      <c r="ER64" s="121"/>
      <c r="ES64" s="121"/>
      <c r="ET64" s="121"/>
      <c r="EU64" s="121"/>
      <c r="EV64" s="121"/>
      <c r="EW64" s="121"/>
      <c r="EX64" s="121"/>
      <c r="EY64" s="121"/>
      <c r="EZ64" s="121"/>
      <c r="FA64" s="121"/>
      <c r="FB64" s="121"/>
      <c r="FC64" s="121"/>
      <c r="FD64" s="121"/>
      <c r="FE64" s="121"/>
      <c r="FF64" s="121"/>
      <c r="FG64" s="121"/>
      <c r="FH64" s="121"/>
      <c r="FI64" s="121"/>
      <c r="FJ64" s="121"/>
      <c r="FK64" s="121"/>
      <c r="FL64" s="121"/>
      <c r="FM64" s="121"/>
      <c r="FN64" s="121"/>
      <c r="FO64" s="121"/>
      <c r="FP64" s="121"/>
      <c r="FQ64" s="121"/>
      <c r="FR64" s="121"/>
      <c r="FS64" s="121"/>
      <c r="FT64" s="121"/>
      <c r="FU64" s="121"/>
      <c r="FV64" s="121"/>
      <c r="FW64" s="121"/>
      <c r="FX64" s="121"/>
      <c r="FY64" s="121"/>
      <c r="FZ64" s="121"/>
      <c r="GA64" s="121"/>
      <c r="GB64" s="121"/>
      <c r="GC64" s="121"/>
      <c r="GD64" s="121"/>
      <c r="GE64" s="121"/>
      <c r="GF64" s="121"/>
      <c r="GG64" s="121"/>
      <c r="GH64" s="121"/>
      <c r="GI64" s="121"/>
      <c r="GJ64" s="121"/>
      <c r="GK64" s="121"/>
      <c r="GL64" s="121"/>
      <c r="GM64" s="121"/>
      <c r="GN64" s="121"/>
      <c r="GO64" s="121"/>
      <c r="GP64" s="121"/>
    </row>
    <row r="65" spans="2:198" s="112" customFormat="1">
      <c r="B65" s="238">
        <v>5.7</v>
      </c>
      <c r="C65" s="239" t="s">
        <v>224</v>
      </c>
      <c r="D65" s="205"/>
      <c r="E65" s="240"/>
      <c r="F65" s="241"/>
      <c r="G65" s="240"/>
      <c r="H65" s="228"/>
      <c r="I65" s="240">
        <v>45929</v>
      </c>
      <c r="J65" s="241">
        <v>9</v>
      </c>
      <c r="K65" s="240">
        <f>WORKDAY.INTL(I65,J65,1,Data!$C$3:$C$41)</f>
        <v>45940</v>
      </c>
      <c r="M65" s="243">
        <v>1</v>
      </c>
      <c r="N65" s="243">
        <f t="shared" ca="1" si="7"/>
        <v>1</v>
      </c>
      <c r="O65" s="119"/>
      <c r="Q65" s="124"/>
      <c r="R65" s="121"/>
      <c r="S65" s="121"/>
      <c r="T65" s="121"/>
      <c r="U65" s="121"/>
      <c r="V65" s="121"/>
      <c r="W65" s="121"/>
      <c r="X65" s="121"/>
      <c r="Y65" s="121"/>
      <c r="Z65" s="121"/>
      <c r="AA65" s="121"/>
      <c r="AB65" s="121"/>
      <c r="AC65" s="121"/>
      <c r="AD65" s="121"/>
      <c r="AE65" s="121"/>
      <c r="AF65" s="121"/>
      <c r="AG65" s="121"/>
      <c r="AH65" s="121"/>
      <c r="AI65" s="121"/>
      <c r="AJ65" s="121"/>
      <c r="AK65" s="121"/>
      <c r="AL65" s="121"/>
      <c r="AM65" s="121"/>
      <c r="AN65" s="121"/>
      <c r="AO65" s="121"/>
      <c r="AP65" s="121"/>
      <c r="AQ65" s="121"/>
      <c r="AR65" s="121"/>
      <c r="AS65" s="121"/>
      <c r="AT65" s="121"/>
      <c r="AU65" s="121"/>
      <c r="AV65" s="121"/>
      <c r="AW65" s="121"/>
      <c r="AX65" s="121"/>
      <c r="AY65" s="121"/>
      <c r="AZ65" s="121"/>
      <c r="BA65" s="121"/>
      <c r="BB65" s="121"/>
      <c r="BC65" s="121"/>
      <c r="BD65" s="121"/>
      <c r="BE65" s="121"/>
      <c r="BF65" s="121"/>
      <c r="BG65" s="121"/>
      <c r="BH65" s="121"/>
      <c r="BI65" s="121"/>
      <c r="BJ65" s="121"/>
      <c r="BK65" s="121"/>
      <c r="BL65" s="121"/>
      <c r="BM65" s="121"/>
      <c r="BN65" s="121"/>
      <c r="BO65" s="121"/>
      <c r="BP65" s="121"/>
      <c r="BQ65" s="121"/>
      <c r="BR65" s="121"/>
      <c r="BS65" s="121"/>
      <c r="BT65" s="121"/>
      <c r="BU65" s="121"/>
      <c r="BV65" s="121"/>
      <c r="BW65" s="121"/>
      <c r="BX65" s="121"/>
      <c r="BY65" s="121"/>
      <c r="BZ65" s="121"/>
      <c r="CA65" s="121"/>
      <c r="CB65" s="121"/>
      <c r="CC65" s="121"/>
      <c r="CD65" s="121"/>
      <c r="CE65" s="121"/>
      <c r="CF65" s="121"/>
      <c r="CG65" s="121"/>
      <c r="CH65" s="121"/>
      <c r="CI65" s="121"/>
      <c r="CJ65" s="121"/>
      <c r="CK65" s="121"/>
      <c r="CL65" s="121"/>
      <c r="CM65" s="121"/>
      <c r="CN65" s="121"/>
      <c r="CO65" s="121"/>
      <c r="CP65" s="121"/>
      <c r="CQ65" s="121"/>
      <c r="CR65" s="121"/>
      <c r="CS65" s="121"/>
      <c r="CT65" s="121"/>
      <c r="CU65" s="121"/>
      <c r="CV65" s="121"/>
      <c r="CW65" s="121"/>
      <c r="CX65" s="121"/>
      <c r="CY65" s="121"/>
      <c r="CZ65" s="121"/>
      <c r="DA65" s="121"/>
      <c r="DB65" s="121"/>
      <c r="DC65" s="121"/>
      <c r="DD65" s="121"/>
      <c r="DE65" s="121"/>
      <c r="DF65" s="121"/>
      <c r="DG65" s="121"/>
      <c r="DH65" s="121"/>
      <c r="DI65" s="121"/>
      <c r="DJ65" s="121"/>
      <c r="DK65" s="121"/>
      <c r="DL65" s="121"/>
      <c r="DM65" s="121"/>
      <c r="DN65" s="121"/>
      <c r="DO65" s="121"/>
      <c r="DP65" s="121"/>
      <c r="DQ65" s="121"/>
      <c r="DR65" s="121"/>
      <c r="DS65" s="121"/>
      <c r="DT65" s="121"/>
      <c r="DU65" s="121"/>
      <c r="DV65" s="121"/>
      <c r="DW65" s="121"/>
      <c r="DX65" s="121"/>
      <c r="DY65" s="121"/>
      <c r="DZ65" s="121"/>
      <c r="EA65" s="121"/>
      <c r="EB65" s="121"/>
      <c r="EC65" s="121"/>
      <c r="ED65" s="121"/>
      <c r="EE65" s="121"/>
      <c r="EF65" s="121"/>
      <c r="EG65" s="121"/>
      <c r="EH65" s="121"/>
      <c r="EI65" s="121"/>
      <c r="EJ65" s="121"/>
      <c r="EK65" s="121"/>
      <c r="EL65" s="121"/>
      <c r="EM65" s="121"/>
      <c r="EN65" s="121"/>
      <c r="EO65" s="121"/>
      <c r="EP65" s="121"/>
      <c r="EQ65" s="121"/>
      <c r="ER65" s="121"/>
      <c r="ES65" s="121"/>
      <c r="ET65" s="121"/>
      <c r="EU65" s="121"/>
      <c r="EV65" s="121"/>
      <c r="EW65" s="121"/>
      <c r="EX65" s="121"/>
      <c r="EY65" s="121"/>
      <c r="EZ65" s="121"/>
      <c r="FA65" s="121"/>
      <c r="FB65" s="121"/>
      <c r="FC65" s="121"/>
      <c r="FD65" s="121"/>
      <c r="FE65" s="121"/>
      <c r="FF65" s="121"/>
      <c r="FG65" s="121"/>
      <c r="FH65" s="121"/>
      <c r="FI65" s="121"/>
      <c r="FJ65" s="121"/>
      <c r="FK65" s="121"/>
      <c r="FL65" s="121"/>
      <c r="FM65" s="121"/>
      <c r="FN65" s="121"/>
      <c r="FO65" s="121"/>
      <c r="FP65" s="121"/>
      <c r="FQ65" s="121"/>
      <c r="FR65" s="121"/>
      <c r="FS65" s="121"/>
      <c r="FT65" s="121"/>
      <c r="FU65" s="121"/>
      <c r="FV65" s="121"/>
      <c r="FW65" s="121"/>
      <c r="FX65" s="121"/>
      <c r="FY65" s="121"/>
      <c r="FZ65" s="121"/>
      <c r="GA65" s="121"/>
      <c r="GB65" s="121"/>
      <c r="GC65" s="121"/>
      <c r="GD65" s="121"/>
      <c r="GE65" s="121"/>
      <c r="GF65" s="121"/>
      <c r="GG65" s="121"/>
      <c r="GH65" s="121"/>
      <c r="GI65" s="121"/>
      <c r="GJ65" s="121"/>
      <c r="GK65" s="121"/>
      <c r="GL65" s="121"/>
      <c r="GM65" s="121"/>
      <c r="GN65" s="121"/>
      <c r="GO65" s="121"/>
      <c r="GP65" s="121"/>
    </row>
    <row r="66" spans="2:198" s="112" customFormat="1" ht="4.5" customHeight="1">
      <c r="B66" s="229"/>
      <c r="C66" s="205"/>
      <c r="D66" s="205"/>
      <c r="E66" s="230"/>
      <c r="F66" s="230"/>
      <c r="G66" s="231"/>
      <c r="H66" s="228"/>
      <c r="I66" s="230"/>
      <c r="J66" s="230"/>
      <c r="K66" s="231"/>
      <c r="N66" s="168"/>
      <c r="Q66" s="3"/>
    </row>
    <row r="67" spans="2:198" s="112" customFormat="1">
      <c r="B67" s="234">
        <v>6</v>
      </c>
      <c r="C67" s="235" t="s">
        <v>225</v>
      </c>
      <c r="D67" s="205"/>
      <c r="E67" s="689">
        <f>MIN(E68:E71)</f>
        <v>45894</v>
      </c>
      <c r="F67" s="690">
        <f>G67-E67</f>
        <v>58</v>
      </c>
      <c r="G67" s="689">
        <f>MAX(G68:G71)</f>
        <v>45952</v>
      </c>
      <c r="H67" s="228"/>
      <c r="I67" s="689">
        <f>MIN(I68:I71)</f>
        <v>45938</v>
      </c>
      <c r="J67" s="690">
        <f>K67-I67</f>
        <v>120</v>
      </c>
      <c r="K67" s="689">
        <f>MAX(K68:K72)</f>
        <v>46058</v>
      </c>
      <c r="M67" s="350">
        <f>AVERAGE(M68:M72)</f>
        <v>0.99</v>
      </c>
      <c r="N67" s="350">
        <f ca="1">AVERAGE(N68:N72)</f>
        <v>1</v>
      </c>
      <c r="O67" s="119"/>
      <c r="Q67" s="124"/>
      <c r="R67" s="121"/>
      <c r="S67" s="121"/>
      <c r="T67" s="121"/>
      <c r="U67" s="121"/>
      <c r="V67" s="121"/>
      <c r="W67" s="121"/>
      <c r="X67" s="121"/>
      <c r="Y67" s="121"/>
      <c r="Z67" s="121"/>
      <c r="AA67" s="121"/>
      <c r="AB67" s="121"/>
      <c r="AC67" s="121"/>
      <c r="AD67" s="121"/>
      <c r="AE67" s="121"/>
      <c r="AF67" s="121"/>
      <c r="AG67" s="121"/>
      <c r="AH67" s="121"/>
      <c r="AI67" s="121"/>
      <c r="AJ67" s="121"/>
      <c r="AK67" s="121"/>
      <c r="AL67" s="121"/>
      <c r="AM67" s="121"/>
      <c r="AN67" s="121"/>
      <c r="AO67" s="121"/>
      <c r="AP67" s="121"/>
      <c r="AQ67" s="121"/>
      <c r="AR67" s="121"/>
      <c r="AS67" s="121"/>
      <c r="AT67" s="121"/>
      <c r="AU67" s="121"/>
      <c r="AV67" s="121"/>
      <c r="AW67" s="121"/>
      <c r="AX67" s="121"/>
      <c r="AY67" s="121"/>
      <c r="AZ67" s="121"/>
      <c r="BA67" s="121"/>
      <c r="BB67" s="121"/>
      <c r="BC67" s="121"/>
      <c r="BD67" s="121"/>
      <c r="BE67" s="121"/>
      <c r="BF67" s="121"/>
      <c r="BG67" s="121"/>
      <c r="BH67" s="121"/>
      <c r="BI67" s="121"/>
      <c r="BJ67" s="121"/>
      <c r="BK67" s="121"/>
      <c r="BL67" s="121"/>
      <c r="BM67" s="121"/>
      <c r="BN67" s="121"/>
      <c r="BO67" s="121"/>
      <c r="BP67" s="121"/>
      <c r="BQ67" s="121"/>
      <c r="BR67" s="121"/>
      <c r="BS67" s="121"/>
      <c r="BT67" s="121"/>
      <c r="BU67" s="121"/>
      <c r="BV67" s="121"/>
      <c r="BW67" s="121"/>
      <c r="BX67" s="121"/>
      <c r="BY67" s="121"/>
      <c r="BZ67" s="121"/>
      <c r="CA67" s="121"/>
      <c r="CB67" s="121"/>
      <c r="CC67" s="121"/>
      <c r="CD67" s="121"/>
      <c r="CE67" s="121"/>
      <c r="CF67" s="121"/>
      <c r="CG67" s="121"/>
      <c r="CH67" s="121"/>
      <c r="CI67" s="121"/>
      <c r="CJ67" s="121"/>
      <c r="CK67" s="121"/>
      <c r="CL67" s="121"/>
      <c r="CM67" s="121"/>
      <c r="CN67" s="121"/>
      <c r="CO67" s="121"/>
      <c r="CP67" s="121"/>
      <c r="CQ67" s="121"/>
      <c r="CR67" s="121"/>
      <c r="CS67" s="121"/>
      <c r="CT67" s="121"/>
      <c r="CU67" s="121"/>
      <c r="CV67" s="121"/>
      <c r="CW67" s="121"/>
      <c r="CX67" s="121"/>
      <c r="CY67" s="121"/>
      <c r="CZ67" s="121"/>
      <c r="DA67" s="121"/>
      <c r="DB67" s="121"/>
      <c r="DC67" s="121"/>
      <c r="DD67" s="121"/>
      <c r="DE67" s="121"/>
      <c r="DF67" s="121"/>
      <c r="DG67" s="121"/>
      <c r="DH67" s="121"/>
      <c r="DI67" s="121"/>
      <c r="DJ67" s="121"/>
      <c r="DK67" s="121"/>
      <c r="DL67" s="121"/>
      <c r="DM67" s="121"/>
      <c r="DN67" s="121"/>
      <c r="DO67" s="121"/>
      <c r="DP67" s="121"/>
      <c r="DQ67" s="121"/>
      <c r="DR67" s="121"/>
      <c r="DS67" s="121"/>
      <c r="DT67" s="121"/>
      <c r="DU67" s="121"/>
      <c r="DV67" s="121"/>
      <c r="DW67" s="121"/>
      <c r="DX67" s="121"/>
      <c r="DY67" s="121"/>
      <c r="DZ67" s="121"/>
      <c r="EA67" s="121"/>
      <c r="EB67" s="121"/>
      <c r="EC67" s="121"/>
      <c r="ED67" s="121"/>
      <c r="EE67" s="121"/>
      <c r="EF67" s="121"/>
      <c r="EG67" s="121"/>
      <c r="EH67" s="121"/>
      <c r="EI67" s="121"/>
      <c r="EJ67" s="121"/>
      <c r="EK67" s="121"/>
      <c r="EL67" s="121"/>
      <c r="EM67" s="121"/>
      <c r="EN67" s="121"/>
      <c r="EO67" s="121"/>
      <c r="EP67" s="121"/>
      <c r="EQ67" s="121"/>
      <c r="ER67" s="121"/>
      <c r="ES67" s="121"/>
      <c r="ET67" s="121"/>
      <c r="EU67" s="121"/>
      <c r="EV67" s="121"/>
      <c r="EW67" s="121"/>
      <c r="EX67" s="121"/>
      <c r="EY67" s="121"/>
      <c r="EZ67" s="121"/>
      <c r="FA67" s="121"/>
      <c r="FB67" s="121"/>
      <c r="FC67" s="121"/>
      <c r="FD67" s="121"/>
      <c r="FE67" s="121"/>
      <c r="FF67" s="121"/>
      <c r="FG67" s="121"/>
      <c r="FH67" s="121"/>
      <c r="FI67" s="121"/>
      <c r="FJ67" s="121"/>
      <c r="FK67" s="121"/>
      <c r="FL67" s="121"/>
      <c r="FM67" s="121"/>
      <c r="FN67" s="121"/>
      <c r="FO67" s="121"/>
      <c r="FP67" s="121"/>
      <c r="FQ67" s="121"/>
      <c r="FR67" s="121"/>
      <c r="FS67" s="121"/>
      <c r="FT67" s="121"/>
      <c r="FU67" s="121"/>
      <c r="FV67" s="121"/>
      <c r="FW67" s="121"/>
      <c r="FX67" s="121"/>
      <c r="FY67" s="121"/>
      <c r="FZ67" s="121"/>
      <c r="GA67" s="121"/>
      <c r="GB67" s="121"/>
      <c r="GC67" s="121"/>
      <c r="GD67" s="121"/>
      <c r="GE67" s="121"/>
      <c r="GF67" s="121"/>
      <c r="GG67" s="121"/>
      <c r="GH67" s="121"/>
      <c r="GI67" s="121"/>
      <c r="GJ67" s="121"/>
      <c r="GK67" s="121"/>
      <c r="GL67" s="121"/>
      <c r="GM67" s="121"/>
      <c r="GN67" s="121"/>
      <c r="GO67" s="121"/>
      <c r="GP67" s="121"/>
    </row>
    <row r="68" spans="2:198" s="245" customFormat="1" ht="69">
      <c r="B68" s="811">
        <v>6.1</v>
      </c>
      <c r="C68" s="812" t="s">
        <v>226</v>
      </c>
      <c r="D68" s="813"/>
      <c r="E68" s="814">
        <v>45894</v>
      </c>
      <c r="F68" s="815">
        <v>7</v>
      </c>
      <c r="G68" s="814">
        <f>WORKDAY.INTL(E68,F68,1,Data!$C$3:$C$41)</f>
        <v>45903</v>
      </c>
      <c r="H68" s="816"/>
      <c r="I68" s="814">
        <v>45938</v>
      </c>
      <c r="J68" s="815">
        <v>34</v>
      </c>
      <c r="K68" s="814">
        <f>WORKDAY.INTL(I68,J68,1,Data!$C$3:$C$41)</f>
        <v>45986</v>
      </c>
      <c r="M68" s="817">
        <v>1</v>
      </c>
      <c r="N68" s="817">
        <f ca="1">_xlfn.LET(
  _xlpm.s,VALUE(I68),
  _xlpm.e,VALUE(K68),
  IF(OR(_xlpm.s="",_xlpm.e=""),"", IF(_xlpm.e&lt;=_xlpm.s, IF(TODAY()&gt;=_xlpm.e,1,0), MAX(0,MIN(1,(TODAY()-_xlpm.s)/(_xlpm.e-_xlpm.s)))))
)</f>
        <v>1</v>
      </c>
      <c r="O68" s="818" t="s">
        <v>227</v>
      </c>
      <c r="Q68" s="819"/>
      <c r="R68" s="820"/>
      <c r="S68" s="820"/>
      <c r="T68" s="820"/>
      <c r="U68" s="820"/>
      <c r="V68" s="820"/>
      <c r="W68" s="820"/>
      <c r="X68" s="820"/>
      <c r="Y68" s="820"/>
      <c r="Z68" s="820"/>
      <c r="AA68" s="820"/>
      <c r="AB68" s="820"/>
      <c r="AC68" s="820"/>
      <c r="AD68" s="820"/>
      <c r="AE68" s="820"/>
      <c r="AF68" s="820"/>
      <c r="AG68" s="820"/>
      <c r="AH68" s="820"/>
      <c r="AI68" s="820"/>
      <c r="AJ68" s="820"/>
      <c r="AK68" s="820"/>
      <c r="AL68" s="820"/>
      <c r="AM68" s="820"/>
      <c r="AN68" s="820"/>
      <c r="AO68" s="820"/>
      <c r="AP68" s="820"/>
      <c r="AQ68" s="820"/>
      <c r="AR68" s="820"/>
      <c r="AS68" s="820"/>
      <c r="AT68" s="820"/>
      <c r="AU68" s="820"/>
      <c r="AV68" s="820"/>
      <c r="AW68" s="820"/>
      <c r="AX68" s="820"/>
      <c r="AY68" s="820"/>
      <c r="AZ68" s="820"/>
      <c r="BA68" s="820"/>
      <c r="BB68" s="820"/>
      <c r="BC68" s="820"/>
      <c r="BD68" s="820"/>
      <c r="BE68" s="820"/>
      <c r="BF68" s="820"/>
      <c r="BG68" s="820"/>
      <c r="BH68" s="820"/>
      <c r="BI68" s="820"/>
      <c r="BJ68" s="820"/>
      <c r="BK68" s="820"/>
      <c r="BL68" s="820"/>
      <c r="BM68" s="820"/>
      <c r="BN68" s="820"/>
      <c r="BO68" s="820"/>
      <c r="BP68" s="820"/>
      <c r="BQ68" s="820"/>
      <c r="BR68" s="820"/>
      <c r="BS68" s="820"/>
      <c r="BT68" s="820"/>
      <c r="BU68" s="820"/>
      <c r="BV68" s="820"/>
      <c r="BW68" s="820"/>
      <c r="BX68" s="820"/>
      <c r="BY68" s="820"/>
      <c r="BZ68" s="820"/>
      <c r="CA68" s="820"/>
      <c r="CB68" s="820"/>
      <c r="CC68" s="820"/>
      <c r="CD68" s="820"/>
      <c r="CE68" s="820"/>
      <c r="CF68" s="820"/>
      <c r="CG68" s="820"/>
      <c r="CH68" s="820"/>
      <c r="CI68" s="820"/>
      <c r="CJ68" s="820"/>
      <c r="CK68" s="820"/>
      <c r="CL68" s="820"/>
      <c r="CM68" s="820"/>
      <c r="CN68" s="820"/>
      <c r="CO68" s="820"/>
      <c r="CP68" s="820"/>
      <c r="CQ68" s="820"/>
      <c r="CR68" s="820"/>
      <c r="CS68" s="820"/>
      <c r="CT68" s="820"/>
      <c r="CU68" s="820"/>
      <c r="CV68" s="820"/>
      <c r="CW68" s="820"/>
      <c r="CX68" s="820"/>
      <c r="CY68" s="820"/>
      <c r="CZ68" s="820"/>
      <c r="DA68" s="820"/>
      <c r="DB68" s="820"/>
      <c r="DC68" s="820"/>
      <c r="DD68" s="820"/>
      <c r="DE68" s="820"/>
      <c r="DF68" s="820"/>
      <c r="DG68" s="820"/>
      <c r="DH68" s="820"/>
      <c r="DI68" s="820"/>
      <c r="DJ68" s="820"/>
      <c r="DK68" s="820"/>
      <c r="DL68" s="820"/>
      <c r="DM68" s="820"/>
      <c r="DN68" s="820"/>
      <c r="DO68" s="820"/>
      <c r="DP68" s="820"/>
      <c r="DQ68" s="820"/>
      <c r="DR68" s="820"/>
      <c r="DS68" s="820"/>
      <c r="DT68" s="820"/>
      <c r="DU68" s="820"/>
      <c r="DV68" s="820"/>
      <c r="DW68" s="820"/>
      <c r="DX68" s="820"/>
      <c r="DY68" s="820"/>
      <c r="DZ68" s="820"/>
      <c r="EA68" s="820"/>
      <c r="EB68" s="820"/>
      <c r="EC68" s="820"/>
      <c r="ED68" s="820"/>
      <c r="EE68" s="820"/>
      <c r="EF68" s="820"/>
      <c r="EG68" s="820"/>
      <c r="EH68" s="820"/>
      <c r="EI68" s="820"/>
      <c r="EJ68" s="820"/>
      <c r="EK68" s="820"/>
      <c r="EL68" s="820"/>
      <c r="EM68" s="820"/>
      <c r="EN68" s="820"/>
      <c r="EO68" s="820"/>
      <c r="EP68" s="820"/>
      <c r="EQ68" s="820"/>
      <c r="ER68" s="820"/>
      <c r="ES68" s="820"/>
      <c r="ET68" s="820"/>
      <c r="EU68" s="820"/>
      <c r="EV68" s="820"/>
      <c r="EW68" s="820"/>
      <c r="EX68" s="820"/>
      <c r="EY68" s="820"/>
      <c r="EZ68" s="820"/>
      <c r="FA68" s="820"/>
      <c r="FB68" s="820"/>
      <c r="FC68" s="820"/>
      <c r="FD68" s="820"/>
      <c r="FE68" s="820"/>
      <c r="FF68" s="820"/>
      <c r="FG68" s="820"/>
      <c r="FH68" s="820"/>
      <c r="FI68" s="820"/>
      <c r="FJ68" s="820"/>
      <c r="FK68" s="820"/>
      <c r="FL68" s="820"/>
      <c r="FM68" s="820"/>
      <c r="FN68" s="820"/>
      <c r="FO68" s="820"/>
      <c r="FP68" s="820"/>
      <c r="FQ68" s="820"/>
      <c r="FR68" s="820"/>
      <c r="FS68" s="820"/>
      <c r="FT68" s="820"/>
      <c r="FU68" s="820"/>
      <c r="FV68" s="820"/>
      <c r="FW68" s="820"/>
      <c r="FX68" s="820"/>
      <c r="FY68" s="820"/>
      <c r="FZ68" s="820"/>
      <c r="GA68" s="820"/>
      <c r="GB68" s="820"/>
      <c r="GC68" s="820"/>
      <c r="GD68" s="820"/>
      <c r="GE68" s="820"/>
      <c r="GF68" s="820"/>
      <c r="GG68" s="820"/>
      <c r="GH68" s="820"/>
      <c r="GI68" s="820"/>
      <c r="GJ68" s="820"/>
      <c r="GK68" s="820"/>
      <c r="GL68" s="820"/>
      <c r="GM68" s="820"/>
      <c r="GN68" s="820"/>
      <c r="GO68" s="820"/>
      <c r="GP68" s="820"/>
    </row>
    <row r="69" spans="2:198" s="112" customFormat="1">
      <c r="B69" s="238">
        <v>6.2</v>
      </c>
      <c r="C69" s="239" t="s">
        <v>228</v>
      </c>
      <c r="D69" s="205"/>
      <c r="E69" s="240">
        <f>WORKDAY.INTL(G68,0,1,Data!$C$3:$C$41)</f>
        <v>45903</v>
      </c>
      <c r="F69" s="241">
        <v>7</v>
      </c>
      <c r="G69" s="240">
        <f>WORKDAY.INTL(E69,F69,1,Data!$C$3:$C$41)</f>
        <v>45912</v>
      </c>
      <c r="H69" s="228"/>
      <c r="I69" s="240">
        <v>45956</v>
      </c>
      <c r="J69" s="241">
        <v>37</v>
      </c>
      <c r="K69" s="240">
        <f>WORKDAY.INTL(I69,J69,1,Data!$C$3:$C$41)</f>
        <v>46007</v>
      </c>
      <c r="M69" s="243">
        <v>1</v>
      </c>
      <c r="N69" s="243">
        <f ca="1">_xlfn.LET(
  _xlpm.s,VALUE(I69),
  _xlpm.e,VALUE(K69),
  IF(OR(_xlpm.s="",_xlpm.e=""),"", IF(_xlpm.e&lt;=_xlpm.s, IF(TODAY()&gt;=_xlpm.e,1,0), MAX(0,MIN(1,(TODAY()-_xlpm.s)/(_xlpm.e-_xlpm.s)))))
)</f>
        <v>1</v>
      </c>
      <c r="O69" s="122" t="s">
        <v>229</v>
      </c>
      <c r="Q69" s="124"/>
      <c r="R69" s="121"/>
      <c r="S69" s="121"/>
      <c r="T69" s="121"/>
      <c r="U69" s="121"/>
      <c r="V69" s="121"/>
      <c r="W69" s="121"/>
      <c r="X69" s="121"/>
      <c r="Y69" s="121"/>
      <c r="Z69" s="121"/>
      <c r="AA69" s="121"/>
      <c r="AB69" s="121"/>
      <c r="AC69" s="121"/>
      <c r="AD69" s="121"/>
      <c r="AE69" s="121"/>
      <c r="AF69" s="121"/>
      <c r="AG69" s="121"/>
      <c r="AH69" s="121"/>
      <c r="AI69" s="121"/>
      <c r="AJ69" s="121"/>
      <c r="AK69" s="121"/>
      <c r="AL69" s="121"/>
      <c r="AM69" s="121"/>
      <c r="AN69" s="121"/>
      <c r="AO69" s="121"/>
      <c r="AP69" s="121"/>
      <c r="AQ69" s="121"/>
      <c r="AR69" s="121"/>
      <c r="AS69" s="121"/>
      <c r="AT69" s="121"/>
      <c r="AU69" s="121"/>
      <c r="AV69" s="121"/>
      <c r="AW69" s="121"/>
      <c r="AX69" s="121"/>
      <c r="AY69" s="121"/>
      <c r="AZ69" s="121"/>
      <c r="BA69" s="121"/>
      <c r="BB69" s="121"/>
      <c r="BC69" s="121"/>
      <c r="BD69" s="121"/>
      <c r="BE69" s="121"/>
      <c r="BF69" s="121"/>
      <c r="BG69" s="121"/>
      <c r="BH69" s="121"/>
      <c r="BI69" s="121"/>
      <c r="BJ69" s="121"/>
      <c r="BK69" s="121"/>
      <c r="BL69" s="121"/>
      <c r="BM69" s="121"/>
      <c r="BN69" s="121"/>
      <c r="BO69" s="121"/>
      <c r="BP69" s="121"/>
      <c r="BQ69" s="121"/>
      <c r="BR69" s="121"/>
      <c r="BS69" s="121"/>
      <c r="BT69" s="121"/>
      <c r="BU69" s="121"/>
      <c r="BV69" s="121"/>
      <c r="BW69" s="121"/>
      <c r="BX69" s="121"/>
      <c r="BY69" s="121"/>
      <c r="BZ69" s="121"/>
      <c r="CA69" s="121"/>
      <c r="CB69" s="121"/>
      <c r="CC69" s="121"/>
      <c r="CD69" s="121"/>
      <c r="CE69" s="121"/>
      <c r="CF69" s="121"/>
      <c r="CG69" s="121"/>
      <c r="CH69" s="121"/>
      <c r="CI69" s="121"/>
      <c r="CJ69" s="121"/>
      <c r="CK69" s="121"/>
      <c r="CL69" s="121"/>
      <c r="CM69" s="121"/>
      <c r="CN69" s="121"/>
      <c r="CO69" s="121"/>
      <c r="CP69" s="121"/>
      <c r="CQ69" s="121"/>
      <c r="CR69" s="121"/>
      <c r="CS69" s="121"/>
      <c r="CT69" s="121"/>
      <c r="CU69" s="121"/>
      <c r="CV69" s="121"/>
      <c r="CW69" s="121"/>
      <c r="CX69" s="121"/>
      <c r="CY69" s="121"/>
      <c r="CZ69" s="121"/>
      <c r="DA69" s="121"/>
      <c r="DB69" s="121"/>
      <c r="DC69" s="121"/>
      <c r="DD69" s="121"/>
      <c r="DE69" s="121"/>
      <c r="DF69" s="121"/>
      <c r="DG69" s="121"/>
      <c r="DH69" s="121"/>
      <c r="DI69" s="121"/>
      <c r="DJ69" s="121"/>
      <c r="DK69" s="121"/>
      <c r="DL69" s="121"/>
      <c r="DM69" s="121"/>
      <c r="DN69" s="121"/>
      <c r="DO69" s="121"/>
      <c r="DP69" s="121"/>
      <c r="DQ69" s="121"/>
      <c r="DR69" s="121"/>
      <c r="DS69" s="121"/>
      <c r="DT69" s="121"/>
      <c r="DU69" s="121"/>
      <c r="DV69" s="121"/>
      <c r="DW69" s="121"/>
      <c r="DX69" s="121"/>
      <c r="DY69" s="121"/>
      <c r="DZ69" s="121"/>
      <c r="EA69" s="121"/>
      <c r="EB69" s="121"/>
      <c r="EC69" s="121"/>
      <c r="ED69" s="121"/>
      <c r="EE69" s="121"/>
      <c r="EF69" s="121"/>
      <c r="EG69" s="121"/>
      <c r="EH69" s="121"/>
      <c r="EI69" s="121"/>
      <c r="EJ69" s="121"/>
      <c r="EK69" s="121"/>
      <c r="EL69" s="121"/>
      <c r="EM69" s="121"/>
      <c r="EN69" s="121"/>
      <c r="EO69" s="121"/>
      <c r="EP69" s="121"/>
      <c r="EQ69" s="121"/>
      <c r="ER69" s="121"/>
      <c r="ES69" s="121"/>
      <c r="ET69" s="121"/>
      <c r="EU69" s="121"/>
      <c r="EV69" s="121"/>
      <c r="EW69" s="121"/>
      <c r="EX69" s="121"/>
      <c r="EY69" s="121"/>
      <c r="EZ69" s="121"/>
      <c r="FA69" s="121"/>
      <c r="FB69" s="121"/>
      <c r="FC69" s="121"/>
      <c r="FD69" s="121"/>
      <c r="FE69" s="121"/>
      <c r="FF69" s="121"/>
      <c r="FG69" s="121"/>
      <c r="FH69" s="121"/>
      <c r="FI69" s="121"/>
      <c r="FJ69" s="121"/>
      <c r="FK69" s="121"/>
      <c r="FL69" s="121"/>
      <c r="FM69" s="121"/>
      <c r="FN69" s="121"/>
      <c r="FO69" s="121"/>
      <c r="FP69" s="121"/>
      <c r="FQ69" s="121"/>
      <c r="FR69" s="121"/>
      <c r="FS69" s="121"/>
      <c r="FT69" s="121"/>
      <c r="FU69" s="121"/>
      <c r="FV69" s="121"/>
      <c r="FW69" s="121"/>
      <c r="FX69" s="121"/>
      <c r="FY69" s="121"/>
      <c r="FZ69" s="121"/>
      <c r="GA69" s="121"/>
      <c r="GB69" s="121"/>
      <c r="GC69" s="121"/>
      <c r="GD69" s="121"/>
      <c r="GE69" s="121"/>
      <c r="GF69" s="121"/>
      <c r="GG69" s="121"/>
      <c r="GH69" s="121"/>
      <c r="GI69" s="121"/>
      <c r="GJ69" s="121"/>
      <c r="GK69" s="121"/>
      <c r="GL69" s="121"/>
      <c r="GM69" s="121"/>
      <c r="GN69" s="121"/>
      <c r="GO69" s="121"/>
      <c r="GP69" s="121"/>
    </row>
    <row r="70" spans="2:198" s="112" customFormat="1">
      <c r="B70" s="238">
        <v>6.3</v>
      </c>
      <c r="C70" s="239" t="s">
        <v>230</v>
      </c>
      <c r="D70" s="205"/>
      <c r="E70" s="240">
        <v>45915</v>
      </c>
      <c r="F70" s="241">
        <v>14</v>
      </c>
      <c r="G70" s="240">
        <f>WORKDAY.INTL(E70,F70,1,Data!$C$3:$C$41)</f>
        <v>45936</v>
      </c>
      <c r="H70" s="228"/>
      <c r="I70" s="240">
        <v>45963</v>
      </c>
      <c r="J70" s="241">
        <v>42</v>
      </c>
      <c r="K70" s="240">
        <f>WORKDAY.INTL(I70,J70,1,Data!$C$3:$C$41)</f>
        <v>46043</v>
      </c>
      <c r="M70" s="243">
        <v>1</v>
      </c>
      <c r="N70" s="243">
        <f t="shared" ref="N70:N72" ca="1" si="8">_xlfn.LET(
  _xlpm.s,VALUE(I70),
  _xlpm.e,VALUE(K70),
  IF(OR(_xlpm.s="",_xlpm.e=""),"", IF(_xlpm.e&lt;=_xlpm.s, IF(TODAY()&gt;=_xlpm.e,1,0), MAX(0,MIN(1,(TODAY()-_xlpm.s)/(_xlpm.e-_xlpm.s)))))
)</f>
        <v>1</v>
      </c>
      <c r="O70" s="122"/>
      <c r="Q70" s="124"/>
      <c r="R70" s="121"/>
      <c r="S70" s="121"/>
      <c r="T70" s="121"/>
      <c r="U70" s="121"/>
      <c r="V70" s="121"/>
      <c r="W70" s="121"/>
      <c r="X70" s="121"/>
      <c r="Y70" s="121"/>
      <c r="Z70" s="121"/>
      <c r="AA70" s="121"/>
      <c r="AB70" s="121"/>
      <c r="AC70" s="121"/>
      <c r="AD70" s="121"/>
      <c r="AE70" s="121"/>
      <c r="AF70" s="121"/>
      <c r="AG70" s="121"/>
      <c r="AH70" s="121"/>
      <c r="AI70" s="121"/>
      <c r="AJ70" s="121"/>
      <c r="AK70" s="121"/>
      <c r="AL70" s="121"/>
      <c r="AM70" s="121"/>
      <c r="AN70" s="121"/>
      <c r="AO70" s="121"/>
      <c r="AP70" s="121"/>
      <c r="AQ70" s="121"/>
      <c r="AR70" s="121"/>
      <c r="AS70" s="121"/>
      <c r="AT70" s="121"/>
      <c r="AU70" s="121"/>
      <c r="AV70" s="121"/>
      <c r="AW70" s="121"/>
      <c r="AX70" s="121"/>
      <c r="AY70" s="121"/>
      <c r="AZ70" s="121"/>
      <c r="BA70" s="121"/>
      <c r="BB70" s="121"/>
      <c r="BC70" s="121"/>
      <c r="BD70" s="121"/>
      <c r="BE70" s="121"/>
      <c r="BF70" s="121"/>
      <c r="BG70" s="121"/>
      <c r="BH70" s="121"/>
      <c r="BI70" s="121"/>
      <c r="BJ70" s="121"/>
      <c r="BK70" s="121"/>
      <c r="BL70" s="121"/>
      <c r="BM70" s="121"/>
      <c r="BN70" s="121"/>
      <c r="BO70" s="121"/>
      <c r="BP70" s="121"/>
      <c r="BQ70" s="121"/>
      <c r="BR70" s="121"/>
      <c r="BS70" s="121"/>
      <c r="BT70" s="121"/>
      <c r="BU70" s="121"/>
      <c r="BV70" s="121"/>
      <c r="BW70" s="121"/>
      <c r="BX70" s="121"/>
      <c r="BY70" s="121"/>
      <c r="BZ70" s="121"/>
      <c r="CA70" s="121"/>
      <c r="CB70" s="121"/>
      <c r="CC70" s="121"/>
      <c r="CD70" s="121"/>
      <c r="CE70" s="121"/>
      <c r="CF70" s="121"/>
      <c r="CG70" s="121"/>
      <c r="CH70" s="121"/>
      <c r="CI70" s="121"/>
      <c r="CJ70" s="121"/>
      <c r="CK70" s="121"/>
      <c r="CL70" s="121"/>
      <c r="CM70" s="121"/>
      <c r="CN70" s="121"/>
      <c r="CO70" s="121"/>
      <c r="CP70" s="121"/>
      <c r="CQ70" s="121"/>
      <c r="CR70" s="121"/>
      <c r="CS70" s="121"/>
      <c r="CT70" s="121"/>
      <c r="CU70" s="121"/>
      <c r="CV70" s="121"/>
      <c r="CW70" s="121"/>
      <c r="CX70" s="121"/>
      <c r="CY70" s="121"/>
      <c r="CZ70" s="121"/>
      <c r="DA70" s="121"/>
      <c r="DB70" s="121"/>
      <c r="DC70" s="121"/>
      <c r="DD70" s="121"/>
      <c r="DE70" s="121"/>
      <c r="DF70" s="121"/>
      <c r="DG70" s="121"/>
      <c r="DH70" s="121"/>
      <c r="DI70" s="121"/>
      <c r="DJ70" s="121"/>
      <c r="DK70" s="121"/>
      <c r="DL70" s="121"/>
      <c r="DM70" s="121"/>
      <c r="DN70" s="121"/>
      <c r="DO70" s="121"/>
      <c r="DP70" s="121"/>
      <c r="DQ70" s="121"/>
      <c r="DR70" s="121"/>
      <c r="DS70" s="121"/>
      <c r="DT70" s="121"/>
      <c r="DU70" s="121"/>
      <c r="DV70" s="121"/>
      <c r="DW70" s="121"/>
      <c r="DX70" s="121"/>
      <c r="DY70" s="121"/>
      <c r="DZ70" s="121"/>
      <c r="EA70" s="121"/>
      <c r="EB70" s="121"/>
      <c r="EC70" s="121"/>
      <c r="ED70" s="121"/>
      <c r="EE70" s="121"/>
      <c r="EF70" s="121"/>
      <c r="EG70" s="121"/>
      <c r="EH70" s="121"/>
      <c r="EI70" s="121"/>
      <c r="EJ70" s="121"/>
      <c r="EK70" s="121"/>
      <c r="EL70" s="121"/>
      <c r="EM70" s="121"/>
      <c r="EN70" s="121"/>
      <c r="EO70" s="121"/>
      <c r="EP70" s="121"/>
      <c r="EQ70" s="121"/>
      <c r="ER70" s="121"/>
      <c r="ES70" s="121"/>
      <c r="ET70" s="121"/>
      <c r="EU70" s="121"/>
      <c r="EV70" s="121"/>
      <c r="EW70" s="121"/>
      <c r="EX70" s="121"/>
      <c r="EY70" s="121"/>
      <c r="EZ70" s="121"/>
      <c r="FA70" s="121"/>
      <c r="FB70" s="121"/>
      <c r="FC70" s="121"/>
      <c r="FD70" s="121"/>
      <c r="FE70" s="121"/>
      <c r="FF70" s="121"/>
      <c r="FG70" s="121"/>
      <c r="FH70" s="121"/>
      <c r="FI70" s="121"/>
      <c r="FJ70" s="121"/>
      <c r="FK70" s="121"/>
      <c r="FL70" s="121"/>
      <c r="FM70" s="121"/>
      <c r="FN70" s="121"/>
      <c r="FO70" s="121"/>
      <c r="FP70" s="121"/>
      <c r="FQ70" s="121"/>
      <c r="FR70" s="121"/>
      <c r="FS70" s="121"/>
      <c r="FT70" s="121"/>
      <c r="FU70" s="121"/>
      <c r="FV70" s="121"/>
      <c r="FW70" s="121"/>
      <c r="FX70" s="121"/>
      <c r="FY70" s="121"/>
      <c r="FZ70" s="121"/>
      <c r="GA70" s="121"/>
      <c r="GB70" s="121"/>
      <c r="GC70" s="121"/>
      <c r="GD70" s="121"/>
      <c r="GE70" s="121"/>
      <c r="GF70" s="121"/>
      <c r="GG70" s="121"/>
      <c r="GH70" s="121"/>
      <c r="GI70" s="121"/>
      <c r="GJ70" s="121"/>
      <c r="GK70" s="121"/>
      <c r="GL70" s="121"/>
      <c r="GM70" s="121"/>
      <c r="GN70" s="121"/>
      <c r="GO70" s="121"/>
      <c r="GP70" s="121"/>
    </row>
    <row r="71" spans="2:198" s="112" customFormat="1">
      <c r="B71" s="238">
        <v>6.4</v>
      </c>
      <c r="C71" s="239" t="s">
        <v>231</v>
      </c>
      <c r="D71" s="205"/>
      <c r="E71" s="240">
        <f>WORKDAY.INTL(G70,0,1,Data!$C$3:$C$41)+2</f>
        <v>45938</v>
      </c>
      <c r="F71" s="241">
        <v>10</v>
      </c>
      <c r="G71" s="240">
        <f>WORKDAY.INTL(E71,F71,1,Data!$C$3:$C$41)</f>
        <v>45952</v>
      </c>
      <c r="H71" s="228"/>
      <c r="I71" s="240">
        <v>45985</v>
      </c>
      <c r="J71" s="241">
        <v>33</v>
      </c>
      <c r="K71" s="240">
        <f>WORKDAY.INTL(I71,J71,1,Data!$C$3:$C$41)</f>
        <v>46052</v>
      </c>
      <c r="M71" s="243">
        <v>1</v>
      </c>
      <c r="N71" s="243">
        <f t="shared" ca="1" si="8"/>
        <v>1</v>
      </c>
      <c r="O71" s="122"/>
      <c r="Q71" s="124"/>
      <c r="R71" s="121"/>
      <c r="S71" s="121"/>
      <c r="T71" s="121"/>
      <c r="U71" s="121"/>
      <c r="V71" s="121"/>
      <c r="W71" s="121"/>
      <c r="X71" s="121"/>
      <c r="Y71" s="121"/>
      <c r="Z71" s="121"/>
      <c r="AA71" s="121"/>
      <c r="AB71" s="121"/>
      <c r="AC71" s="121"/>
      <c r="AD71" s="121"/>
      <c r="AE71" s="121"/>
      <c r="AF71" s="121"/>
      <c r="AG71" s="121"/>
      <c r="AH71" s="121"/>
      <c r="AI71" s="121"/>
      <c r="AJ71" s="121"/>
      <c r="AK71" s="121"/>
      <c r="AL71" s="121"/>
      <c r="AM71" s="121"/>
      <c r="AN71" s="121"/>
      <c r="AO71" s="121"/>
      <c r="AP71" s="121"/>
      <c r="AQ71" s="121"/>
      <c r="AR71" s="121"/>
      <c r="AS71" s="121"/>
      <c r="AT71" s="121"/>
      <c r="AU71" s="121"/>
      <c r="AV71" s="121"/>
      <c r="AW71" s="121"/>
      <c r="AX71" s="121"/>
      <c r="AY71" s="121"/>
      <c r="AZ71" s="121"/>
      <c r="BA71" s="121"/>
      <c r="BB71" s="121"/>
      <c r="BC71" s="121"/>
      <c r="BD71" s="121"/>
      <c r="BE71" s="121"/>
      <c r="BF71" s="121"/>
      <c r="BG71" s="121"/>
      <c r="BH71" s="121"/>
      <c r="BI71" s="121"/>
      <c r="BJ71" s="121"/>
      <c r="BK71" s="121"/>
      <c r="BL71" s="121"/>
      <c r="BM71" s="121"/>
      <c r="BN71" s="121"/>
      <c r="BO71" s="121"/>
      <c r="BP71" s="121"/>
      <c r="BQ71" s="121"/>
      <c r="BR71" s="121"/>
      <c r="BS71" s="121"/>
      <c r="BT71" s="121"/>
      <c r="BU71" s="121"/>
      <c r="BV71" s="121"/>
      <c r="BW71" s="121"/>
      <c r="BX71" s="121"/>
      <c r="BY71" s="121"/>
      <c r="BZ71" s="121"/>
      <c r="CA71" s="121"/>
      <c r="CB71" s="121"/>
      <c r="CC71" s="121"/>
      <c r="CD71" s="121"/>
      <c r="CE71" s="121"/>
      <c r="CF71" s="121"/>
      <c r="CG71" s="121"/>
      <c r="CH71" s="121"/>
      <c r="CI71" s="121"/>
      <c r="CJ71" s="121"/>
      <c r="CK71" s="121"/>
      <c r="CL71" s="121"/>
      <c r="CM71" s="121"/>
      <c r="CN71" s="121"/>
      <c r="CO71" s="121"/>
      <c r="CP71" s="121"/>
      <c r="CQ71" s="121"/>
      <c r="CR71" s="121"/>
      <c r="CS71" s="121"/>
      <c r="CT71" s="121"/>
      <c r="CU71" s="121"/>
      <c r="CV71" s="121"/>
      <c r="CW71" s="121"/>
      <c r="CX71" s="121"/>
      <c r="CY71" s="121"/>
      <c r="CZ71" s="121"/>
      <c r="DA71" s="121"/>
      <c r="DB71" s="121"/>
      <c r="DC71" s="121"/>
      <c r="DD71" s="121"/>
      <c r="DE71" s="121"/>
      <c r="DF71" s="121"/>
      <c r="DG71" s="121"/>
      <c r="DH71" s="121"/>
      <c r="DI71" s="121"/>
      <c r="DJ71" s="121"/>
      <c r="DK71" s="121"/>
      <c r="DL71" s="121"/>
      <c r="DM71" s="121"/>
      <c r="DN71" s="121"/>
      <c r="DO71" s="121"/>
      <c r="DP71" s="121"/>
      <c r="DQ71" s="121"/>
      <c r="DR71" s="121"/>
      <c r="DS71" s="121"/>
      <c r="DT71" s="121"/>
      <c r="DU71" s="121"/>
      <c r="DV71" s="121"/>
      <c r="DW71" s="121"/>
      <c r="DX71" s="121"/>
      <c r="DY71" s="121"/>
      <c r="DZ71" s="121"/>
      <c r="EA71" s="121"/>
      <c r="EB71" s="121"/>
      <c r="EC71" s="121"/>
      <c r="ED71" s="121"/>
      <c r="EE71" s="121"/>
      <c r="EF71" s="121"/>
      <c r="EG71" s="121"/>
      <c r="EH71" s="121"/>
      <c r="EI71" s="121"/>
      <c r="EJ71" s="121"/>
      <c r="EK71" s="121"/>
      <c r="EL71" s="121"/>
      <c r="EM71" s="121"/>
      <c r="EN71" s="121"/>
      <c r="EO71" s="121"/>
      <c r="EP71" s="121"/>
      <c r="EQ71" s="121"/>
      <c r="ER71" s="121"/>
      <c r="ES71" s="121"/>
      <c r="ET71" s="121"/>
      <c r="EU71" s="121"/>
      <c r="EV71" s="121"/>
      <c r="EW71" s="121"/>
      <c r="EX71" s="121"/>
      <c r="EY71" s="121"/>
      <c r="EZ71" s="121"/>
      <c r="FA71" s="121"/>
      <c r="FB71" s="121"/>
      <c r="FC71" s="121"/>
      <c r="FD71" s="121"/>
      <c r="FE71" s="121"/>
      <c r="FF71" s="121"/>
      <c r="FG71" s="121"/>
      <c r="FH71" s="121"/>
      <c r="FI71" s="121"/>
      <c r="FJ71" s="121"/>
      <c r="FK71" s="121"/>
      <c r="FL71" s="121"/>
      <c r="FM71" s="121"/>
      <c r="FN71" s="121"/>
      <c r="FO71" s="121"/>
      <c r="FP71" s="121"/>
      <c r="FQ71" s="121"/>
      <c r="FR71" s="121"/>
      <c r="FS71" s="121"/>
      <c r="FT71" s="121"/>
      <c r="FU71" s="121"/>
      <c r="FV71" s="121"/>
      <c r="FW71" s="121"/>
      <c r="FX71" s="121"/>
      <c r="FY71" s="121"/>
      <c r="FZ71" s="121"/>
      <c r="GA71" s="121"/>
      <c r="GB71" s="121"/>
      <c r="GC71" s="121"/>
      <c r="GD71" s="121"/>
      <c r="GE71" s="121"/>
      <c r="GF71" s="121"/>
      <c r="GG71" s="121"/>
      <c r="GH71" s="121"/>
      <c r="GI71" s="121"/>
      <c r="GJ71" s="121"/>
      <c r="GK71" s="121"/>
      <c r="GL71" s="121"/>
      <c r="GM71" s="121"/>
      <c r="GN71" s="121"/>
      <c r="GO71" s="121"/>
      <c r="GP71" s="121"/>
    </row>
    <row r="72" spans="2:198" s="112" customFormat="1">
      <c r="B72" s="238">
        <v>6.5</v>
      </c>
      <c r="C72" s="233" t="s">
        <v>232</v>
      </c>
      <c r="D72" s="205"/>
      <c r="E72" s="240">
        <f>WORKDAY.INTL(G71,0,1,Data!$C$3:$C$41)+2</f>
        <v>45954</v>
      </c>
      <c r="F72" s="241">
        <v>10</v>
      </c>
      <c r="G72" s="240">
        <f>WORKDAY.INTL(E72,F72,1,Data!$C$3:$C$41)</f>
        <v>45968</v>
      </c>
      <c r="H72" s="228"/>
      <c r="I72" s="240">
        <f>K70-20</f>
        <v>46023</v>
      </c>
      <c r="J72" s="241">
        <v>18</v>
      </c>
      <c r="K72" s="240">
        <f>WORKDAY.INTL(I72,J72,1,Data!$C$3:$C$41)</f>
        <v>46058</v>
      </c>
      <c r="M72" s="243">
        <v>0.95</v>
      </c>
      <c r="N72" s="243">
        <f t="shared" ca="1" si="8"/>
        <v>1</v>
      </c>
      <c r="O72" s="122"/>
      <c r="Q72" s="124"/>
      <c r="R72" s="121"/>
      <c r="S72" s="121"/>
      <c r="T72" s="121"/>
      <c r="U72" s="121"/>
      <c r="V72" s="121"/>
      <c r="W72" s="121"/>
      <c r="X72" s="121"/>
      <c r="Y72" s="121"/>
      <c r="Z72" s="121"/>
      <c r="AA72" s="121"/>
      <c r="AB72" s="121"/>
      <c r="AC72" s="121"/>
      <c r="AD72" s="121"/>
      <c r="AE72" s="121"/>
      <c r="AF72" s="121"/>
      <c r="AG72" s="121"/>
      <c r="AH72" s="121"/>
      <c r="AI72" s="121"/>
      <c r="AJ72" s="121"/>
      <c r="AK72" s="121"/>
      <c r="AL72" s="121"/>
      <c r="AM72" s="121"/>
      <c r="AN72" s="121"/>
      <c r="AO72" s="121"/>
      <c r="AP72" s="121"/>
      <c r="AQ72" s="121"/>
      <c r="AR72" s="121"/>
      <c r="AS72" s="121"/>
      <c r="AT72" s="121"/>
      <c r="AU72" s="121"/>
      <c r="AV72" s="121"/>
      <c r="AW72" s="121"/>
      <c r="AX72" s="121"/>
      <c r="AY72" s="121"/>
      <c r="AZ72" s="121"/>
      <c r="BA72" s="121"/>
      <c r="BB72" s="121"/>
      <c r="BC72" s="121"/>
      <c r="BD72" s="121"/>
      <c r="BE72" s="121"/>
      <c r="BF72" s="121"/>
      <c r="BG72" s="121"/>
      <c r="BH72" s="121"/>
      <c r="BI72" s="121"/>
      <c r="BJ72" s="121"/>
      <c r="BK72" s="121"/>
      <c r="BL72" s="121"/>
      <c r="BM72" s="121"/>
      <c r="BN72" s="121"/>
      <c r="BO72" s="121"/>
      <c r="BP72" s="121"/>
      <c r="BQ72" s="121"/>
      <c r="BR72" s="121"/>
      <c r="BS72" s="121"/>
      <c r="BT72" s="121"/>
      <c r="BU72" s="121"/>
      <c r="BV72" s="121"/>
      <c r="BW72" s="121"/>
      <c r="BX72" s="121"/>
      <c r="BY72" s="121"/>
      <c r="BZ72" s="121"/>
      <c r="CA72" s="121"/>
      <c r="CB72" s="121"/>
      <c r="CC72" s="121"/>
      <c r="CD72" s="121"/>
      <c r="CE72" s="121"/>
      <c r="CF72" s="121"/>
      <c r="CG72" s="121"/>
      <c r="CH72" s="121"/>
      <c r="CI72" s="121"/>
      <c r="CJ72" s="121"/>
      <c r="CK72" s="121"/>
      <c r="CL72" s="121"/>
      <c r="CM72" s="121"/>
      <c r="CN72" s="121"/>
      <c r="CO72" s="121"/>
      <c r="CP72" s="121"/>
      <c r="CQ72" s="121"/>
      <c r="CR72" s="121"/>
      <c r="CS72" s="121"/>
      <c r="CT72" s="121"/>
      <c r="CU72" s="121"/>
      <c r="CV72" s="121"/>
      <c r="CW72" s="121"/>
      <c r="CX72" s="121"/>
      <c r="CY72" s="121"/>
      <c r="CZ72" s="121"/>
      <c r="DA72" s="121"/>
      <c r="DB72" s="121"/>
      <c r="DC72" s="121"/>
      <c r="DD72" s="121"/>
      <c r="DE72" s="121"/>
      <c r="DF72" s="121"/>
      <c r="DG72" s="121"/>
      <c r="DH72" s="121"/>
      <c r="DI72" s="121"/>
      <c r="DJ72" s="121"/>
      <c r="DK72" s="121"/>
      <c r="DL72" s="121"/>
      <c r="DM72" s="121"/>
      <c r="DN72" s="121"/>
      <c r="DO72" s="121"/>
      <c r="DP72" s="121"/>
      <c r="DQ72" s="121"/>
      <c r="DR72" s="121"/>
      <c r="DS72" s="121"/>
      <c r="DT72" s="121"/>
      <c r="DU72" s="121"/>
      <c r="DV72" s="121"/>
      <c r="DW72" s="121"/>
      <c r="DX72" s="121"/>
      <c r="DY72" s="121"/>
      <c r="DZ72" s="121"/>
      <c r="EA72" s="121"/>
      <c r="EB72" s="121"/>
      <c r="EC72" s="121"/>
      <c r="ED72" s="121"/>
      <c r="EE72" s="121"/>
      <c r="EF72" s="121"/>
      <c r="EG72" s="121"/>
      <c r="EH72" s="121"/>
      <c r="EI72" s="121"/>
      <c r="EJ72" s="121"/>
      <c r="EK72" s="121"/>
      <c r="EL72" s="121"/>
      <c r="EM72" s="121"/>
      <c r="EN72" s="121"/>
      <c r="EO72" s="121"/>
      <c r="EP72" s="121"/>
      <c r="EQ72" s="121"/>
      <c r="ER72" s="121"/>
      <c r="ES72" s="121"/>
      <c r="ET72" s="121"/>
      <c r="EU72" s="121"/>
      <c r="EV72" s="121"/>
      <c r="EW72" s="121"/>
      <c r="EX72" s="121"/>
      <c r="EY72" s="121"/>
      <c r="EZ72" s="121"/>
      <c r="FA72" s="121"/>
      <c r="FB72" s="121"/>
      <c r="FC72" s="121"/>
      <c r="FD72" s="121"/>
      <c r="FE72" s="121"/>
      <c r="FF72" s="121"/>
      <c r="FG72" s="121"/>
      <c r="FH72" s="121"/>
      <c r="FI72" s="121"/>
      <c r="FJ72" s="121"/>
      <c r="FK72" s="121"/>
      <c r="FL72" s="121"/>
      <c r="FM72" s="121"/>
      <c r="FN72" s="121"/>
      <c r="FO72" s="121"/>
      <c r="FP72" s="121"/>
      <c r="FQ72" s="121"/>
      <c r="FR72" s="121"/>
      <c r="FS72" s="121"/>
      <c r="FT72" s="121"/>
      <c r="FU72" s="121"/>
      <c r="FV72" s="121"/>
      <c r="FW72" s="121"/>
      <c r="FX72" s="121"/>
      <c r="FY72" s="121"/>
      <c r="FZ72" s="121"/>
      <c r="GA72" s="121"/>
      <c r="GB72" s="121"/>
      <c r="GC72" s="121"/>
      <c r="GD72" s="121"/>
      <c r="GE72" s="121"/>
      <c r="GF72" s="121"/>
      <c r="GG72" s="121"/>
      <c r="GH72" s="121"/>
      <c r="GI72" s="121"/>
      <c r="GJ72" s="121"/>
      <c r="GK72" s="121"/>
      <c r="GL72" s="121"/>
      <c r="GM72" s="121"/>
      <c r="GN72" s="121"/>
      <c r="GO72" s="121"/>
      <c r="GP72" s="121"/>
    </row>
    <row r="73" spans="2:198" s="112" customFormat="1" ht="4.5" customHeight="1">
      <c r="B73" s="229"/>
      <c r="C73" s="205"/>
      <c r="D73" s="205"/>
      <c r="E73" s="230"/>
      <c r="F73" s="230"/>
      <c r="G73" s="231"/>
      <c r="H73" s="228"/>
      <c r="I73" s="230"/>
      <c r="J73" s="230"/>
      <c r="K73" s="231"/>
      <c r="N73" s="168"/>
      <c r="Q73" s="3"/>
    </row>
    <row r="74" spans="2:198" s="112" customFormat="1">
      <c r="B74" s="234">
        <v>7</v>
      </c>
      <c r="C74" s="235" t="s">
        <v>233</v>
      </c>
      <c r="D74" s="209"/>
      <c r="E74" s="689">
        <f>MIN(E76:E79)</f>
        <v>45945</v>
      </c>
      <c r="F74" s="690">
        <f>G74-E74</f>
        <v>26</v>
      </c>
      <c r="G74" s="689">
        <f>MAX(G75:G79)</f>
        <v>45971</v>
      </c>
      <c r="H74" s="242"/>
      <c r="I74" s="689">
        <f>MIN(I76:I79)</f>
        <v>45990</v>
      </c>
      <c r="J74" s="690">
        <f>K74-I74</f>
        <v>17</v>
      </c>
      <c r="K74" s="689">
        <f>MAX(K75:K79)</f>
        <v>46007</v>
      </c>
      <c r="L74" s="114"/>
      <c r="M74" s="350">
        <f>AVERAGE(M75:M79)</f>
        <v>1</v>
      </c>
      <c r="N74" s="350">
        <f ca="1">AVERAGE(N75:N79)</f>
        <v>1</v>
      </c>
      <c r="Q74" s="124"/>
      <c r="R74" s="121"/>
      <c r="S74" s="121"/>
      <c r="T74" s="121"/>
      <c r="U74" s="121"/>
      <c r="V74" s="121"/>
      <c r="W74" s="121"/>
      <c r="X74" s="121"/>
      <c r="Y74" s="121"/>
      <c r="Z74" s="121"/>
      <c r="AA74" s="121"/>
      <c r="AB74" s="121"/>
      <c r="AC74" s="121"/>
      <c r="AD74" s="121"/>
      <c r="AE74" s="121"/>
      <c r="AF74" s="121"/>
      <c r="AG74" s="121"/>
      <c r="AH74" s="121"/>
      <c r="AI74" s="121"/>
      <c r="AJ74" s="121"/>
      <c r="AK74" s="121"/>
      <c r="AL74" s="121"/>
      <c r="AM74" s="121"/>
      <c r="AN74" s="121"/>
      <c r="AO74" s="121"/>
      <c r="AP74" s="121"/>
      <c r="AQ74" s="121"/>
      <c r="AR74" s="121"/>
      <c r="AS74" s="121"/>
      <c r="AT74" s="121"/>
      <c r="AU74" s="121"/>
      <c r="AV74" s="121"/>
      <c r="AW74" s="121"/>
      <c r="AX74" s="121"/>
      <c r="AY74" s="121"/>
      <c r="AZ74" s="121"/>
      <c r="BA74" s="121"/>
      <c r="BB74" s="121"/>
      <c r="BC74" s="121"/>
      <c r="BD74" s="121"/>
      <c r="BE74" s="121"/>
      <c r="BF74" s="121"/>
      <c r="BG74" s="121"/>
      <c r="BH74" s="121"/>
      <c r="BI74" s="121"/>
      <c r="BJ74" s="121"/>
      <c r="BK74" s="121"/>
      <c r="BL74" s="121"/>
      <c r="BM74" s="121"/>
      <c r="BN74" s="121"/>
      <c r="BO74" s="121"/>
      <c r="BP74" s="121"/>
      <c r="BQ74" s="121"/>
      <c r="BR74" s="121"/>
      <c r="BS74" s="121"/>
      <c r="BT74" s="121"/>
      <c r="BU74" s="121"/>
      <c r="BV74" s="121"/>
      <c r="BW74" s="121"/>
      <c r="BX74" s="121"/>
      <c r="BY74" s="121"/>
      <c r="BZ74" s="121"/>
      <c r="CA74" s="121"/>
      <c r="CB74" s="121"/>
      <c r="CC74" s="121"/>
      <c r="CD74" s="121"/>
      <c r="CE74" s="121"/>
      <c r="CF74" s="121"/>
      <c r="CG74" s="121"/>
      <c r="CH74" s="121"/>
      <c r="CI74" s="121"/>
      <c r="CJ74" s="121"/>
      <c r="CK74" s="121"/>
      <c r="CL74" s="121"/>
      <c r="CM74" s="121"/>
      <c r="CN74" s="121"/>
      <c r="CO74" s="121"/>
      <c r="CP74" s="121"/>
      <c r="CQ74" s="121"/>
      <c r="CR74" s="121"/>
      <c r="CS74" s="121"/>
      <c r="CT74" s="121"/>
      <c r="CU74" s="121"/>
      <c r="CV74" s="121"/>
      <c r="CW74" s="121"/>
      <c r="CX74" s="121"/>
      <c r="CY74" s="121"/>
      <c r="CZ74" s="121"/>
      <c r="DA74" s="121"/>
      <c r="DB74" s="121"/>
      <c r="DC74" s="121"/>
      <c r="DD74" s="121"/>
      <c r="DE74" s="121"/>
      <c r="DF74" s="121"/>
      <c r="DG74" s="121"/>
      <c r="DH74" s="121"/>
      <c r="DI74" s="121"/>
      <c r="DJ74" s="121"/>
      <c r="DK74" s="121"/>
      <c r="DL74" s="121"/>
      <c r="DM74" s="121"/>
      <c r="DN74" s="121"/>
      <c r="DO74" s="121"/>
      <c r="DP74" s="121"/>
      <c r="DQ74" s="121"/>
      <c r="DR74" s="121"/>
      <c r="DS74" s="121"/>
      <c r="DT74" s="121"/>
      <c r="DU74" s="121"/>
      <c r="DV74" s="121"/>
      <c r="DW74" s="121"/>
      <c r="DX74" s="121"/>
      <c r="DY74" s="121"/>
      <c r="DZ74" s="121"/>
      <c r="EA74" s="121"/>
      <c r="EB74" s="121"/>
      <c r="EC74" s="121"/>
      <c r="ED74" s="121"/>
      <c r="EE74" s="121"/>
      <c r="EF74" s="121"/>
      <c r="EG74" s="121"/>
      <c r="EH74" s="121"/>
      <c r="EI74" s="121"/>
      <c r="EJ74" s="121"/>
      <c r="EK74" s="121"/>
      <c r="EL74" s="121"/>
      <c r="EM74" s="121"/>
      <c r="EN74" s="121"/>
      <c r="EO74" s="121"/>
      <c r="EP74" s="121"/>
      <c r="EQ74" s="121"/>
      <c r="ER74" s="121"/>
      <c r="ES74" s="121"/>
      <c r="ET74" s="121"/>
      <c r="EU74" s="121"/>
      <c r="EV74" s="121"/>
      <c r="EW74" s="121"/>
      <c r="EX74" s="121"/>
      <c r="EY74" s="121"/>
      <c r="EZ74" s="121"/>
      <c r="FA74" s="121"/>
      <c r="FB74" s="121"/>
      <c r="FC74" s="121"/>
      <c r="FD74" s="121"/>
      <c r="FE74" s="121"/>
      <c r="FF74" s="121"/>
      <c r="FG74" s="121"/>
      <c r="FH74" s="121"/>
      <c r="FI74" s="121"/>
      <c r="FJ74" s="121"/>
      <c r="FK74" s="121"/>
      <c r="FL74" s="121"/>
      <c r="FM74" s="121"/>
      <c r="FN74" s="121"/>
      <c r="FO74" s="121"/>
      <c r="FP74" s="121"/>
      <c r="FQ74" s="121"/>
      <c r="FR74" s="121"/>
      <c r="FS74" s="121"/>
      <c r="FT74" s="121"/>
      <c r="FU74" s="121"/>
      <c r="FV74" s="121"/>
      <c r="FW74" s="121"/>
      <c r="FX74" s="121"/>
      <c r="FY74" s="121"/>
      <c r="FZ74" s="121"/>
      <c r="GA74" s="121"/>
      <c r="GB74" s="121"/>
      <c r="GC74" s="121"/>
      <c r="GD74" s="121"/>
      <c r="GE74" s="121"/>
      <c r="GF74" s="121"/>
      <c r="GG74" s="121"/>
      <c r="GH74" s="121"/>
      <c r="GI74" s="121"/>
      <c r="GJ74" s="121"/>
      <c r="GK74" s="121"/>
      <c r="GL74" s="121"/>
      <c r="GM74" s="121"/>
      <c r="GN74" s="121"/>
      <c r="GO74" s="121"/>
      <c r="GP74" s="121"/>
    </row>
    <row r="75" spans="2:198" s="112" customFormat="1">
      <c r="B75" s="238">
        <v>7.1</v>
      </c>
      <c r="C75" s="239" t="s">
        <v>234</v>
      </c>
      <c r="D75" s="205"/>
      <c r="E75" s="240">
        <v>45848</v>
      </c>
      <c r="F75" s="241">
        <v>1</v>
      </c>
      <c r="G75" s="240">
        <f>E75+F75</f>
        <v>45849</v>
      </c>
      <c r="H75" s="228"/>
      <c r="I75" s="240">
        <v>45848</v>
      </c>
      <c r="J75" s="241">
        <v>1</v>
      </c>
      <c r="K75" s="240">
        <f>I75+J75</f>
        <v>45849</v>
      </c>
      <c r="M75" s="243">
        <v>1</v>
      </c>
      <c r="N75" s="243">
        <f ca="1">_xlfn.LET(
  _xlpm.s,VALUE(I75),
  _xlpm.e,VALUE(K75),
  IF(OR(_xlpm.s="",_xlpm.e=""),"", IF(_xlpm.e&lt;=_xlpm.s, IF(TODAY()&gt;=_xlpm.e,1,0), MAX(0,MIN(1,(TODAY()-_xlpm.s)/(_xlpm.e-_xlpm.s)))))
)</f>
        <v>1</v>
      </c>
      <c r="O75" s="122"/>
      <c r="Q75" s="124"/>
      <c r="R75" s="121"/>
      <c r="S75" s="121"/>
      <c r="T75" s="121"/>
      <c r="U75" s="121"/>
      <c r="V75" s="121"/>
      <c r="W75" s="121"/>
      <c r="X75" s="121"/>
      <c r="Y75" s="121"/>
      <c r="Z75" s="121"/>
      <c r="AA75" s="121"/>
      <c r="AB75" s="121"/>
      <c r="AC75" s="121"/>
      <c r="AD75" s="121"/>
      <c r="AE75" s="121"/>
      <c r="AF75" s="121"/>
      <c r="AG75" s="121"/>
      <c r="AH75" s="121"/>
      <c r="AI75" s="121"/>
      <c r="AJ75" s="121"/>
      <c r="AK75" s="121"/>
      <c r="AL75" s="121"/>
      <c r="AM75" s="121"/>
      <c r="AN75" s="121"/>
      <c r="AO75" s="121"/>
      <c r="AP75" s="121"/>
      <c r="AQ75" s="121"/>
      <c r="AR75" s="121"/>
      <c r="AS75" s="121"/>
      <c r="AT75" s="121"/>
      <c r="AU75" s="121"/>
      <c r="AV75" s="121"/>
      <c r="AW75" s="121"/>
      <c r="AX75" s="121"/>
      <c r="AY75" s="121"/>
      <c r="AZ75" s="121"/>
      <c r="BA75" s="121"/>
      <c r="BB75" s="121"/>
      <c r="BC75" s="121"/>
      <c r="BD75" s="121"/>
      <c r="BE75" s="121"/>
      <c r="BF75" s="121"/>
      <c r="BG75" s="121"/>
      <c r="BH75" s="121"/>
      <c r="BI75" s="121"/>
      <c r="BJ75" s="121"/>
      <c r="BK75" s="121"/>
      <c r="BL75" s="121"/>
      <c r="BM75" s="121"/>
      <c r="BN75" s="121"/>
      <c r="BO75" s="121"/>
      <c r="BP75" s="121"/>
      <c r="BQ75" s="121"/>
      <c r="BR75" s="121"/>
      <c r="BS75" s="121"/>
      <c r="BT75" s="121"/>
      <c r="BU75" s="121"/>
      <c r="BV75" s="121"/>
      <c r="BW75" s="121"/>
      <c r="BX75" s="121"/>
      <c r="BY75" s="121"/>
      <c r="BZ75" s="121"/>
      <c r="CA75" s="121"/>
      <c r="CB75" s="121"/>
      <c r="CC75" s="121"/>
      <c r="CD75" s="121"/>
      <c r="CE75" s="121"/>
      <c r="CF75" s="121"/>
      <c r="CG75" s="121"/>
      <c r="CH75" s="121"/>
      <c r="CI75" s="121"/>
      <c r="CJ75" s="121"/>
      <c r="CK75" s="121"/>
      <c r="CL75" s="121"/>
      <c r="CM75" s="121"/>
      <c r="CN75" s="121"/>
      <c r="CO75" s="121"/>
      <c r="CP75" s="121"/>
      <c r="CQ75" s="121"/>
      <c r="CR75" s="121"/>
      <c r="CS75" s="121"/>
      <c r="CT75" s="121"/>
      <c r="CU75" s="121"/>
      <c r="CV75" s="121"/>
      <c r="CW75" s="121"/>
      <c r="CX75" s="121"/>
      <c r="CY75" s="121"/>
      <c r="CZ75" s="121"/>
      <c r="DA75" s="121"/>
      <c r="DB75" s="121"/>
      <c r="DC75" s="121"/>
      <c r="DD75" s="121"/>
      <c r="DE75" s="121"/>
      <c r="DF75" s="121"/>
      <c r="DG75" s="121"/>
      <c r="DH75" s="121"/>
      <c r="DI75" s="121"/>
      <c r="DJ75" s="121"/>
      <c r="DK75" s="121"/>
      <c r="DL75" s="121"/>
      <c r="DM75" s="121"/>
      <c r="DN75" s="121"/>
      <c r="DO75" s="121"/>
      <c r="DP75" s="121"/>
      <c r="DQ75" s="121"/>
      <c r="DR75" s="121"/>
      <c r="DS75" s="121"/>
      <c r="DT75" s="121"/>
      <c r="DU75" s="121"/>
      <c r="DV75" s="121"/>
      <c r="DW75" s="121"/>
      <c r="DX75" s="121"/>
      <c r="DY75" s="121"/>
      <c r="DZ75" s="121"/>
      <c r="EA75" s="121"/>
      <c r="EB75" s="121"/>
      <c r="EC75" s="121"/>
      <c r="ED75" s="121"/>
      <c r="EE75" s="121"/>
      <c r="EF75" s="121"/>
      <c r="EG75" s="121"/>
      <c r="EH75" s="121"/>
      <c r="EI75" s="121"/>
      <c r="EJ75" s="121"/>
      <c r="EK75" s="121"/>
      <c r="EL75" s="121"/>
      <c r="EM75" s="121"/>
      <c r="EN75" s="121"/>
      <c r="EO75" s="121"/>
      <c r="EP75" s="121"/>
      <c r="EQ75" s="121"/>
      <c r="ER75" s="121"/>
      <c r="ES75" s="121"/>
      <c r="ET75" s="121"/>
      <c r="EU75" s="121"/>
      <c r="EV75" s="121"/>
      <c r="EW75" s="121"/>
      <c r="EX75" s="121"/>
      <c r="EY75" s="121"/>
      <c r="EZ75" s="121"/>
      <c r="FA75" s="121"/>
      <c r="FB75" s="121"/>
      <c r="FC75" s="121"/>
      <c r="FD75" s="121"/>
      <c r="FE75" s="121"/>
      <c r="FF75" s="121"/>
      <c r="FG75" s="121"/>
      <c r="FH75" s="121"/>
      <c r="FI75" s="121"/>
      <c r="FJ75" s="121"/>
      <c r="FK75" s="121"/>
      <c r="FL75" s="121"/>
      <c r="FM75" s="121"/>
      <c r="FN75" s="121"/>
      <c r="FO75" s="121"/>
      <c r="FP75" s="121"/>
      <c r="FQ75" s="121"/>
      <c r="FR75" s="121"/>
      <c r="FS75" s="121"/>
      <c r="FT75" s="121"/>
      <c r="FU75" s="121"/>
      <c r="FV75" s="121"/>
      <c r="FW75" s="121"/>
      <c r="FX75" s="121"/>
      <c r="FY75" s="121"/>
      <c r="FZ75" s="121"/>
      <c r="GA75" s="121"/>
      <c r="GB75" s="121"/>
      <c r="GC75" s="121"/>
      <c r="GD75" s="121"/>
      <c r="GE75" s="121"/>
      <c r="GF75" s="121"/>
      <c r="GG75" s="121"/>
      <c r="GH75" s="121"/>
      <c r="GI75" s="121"/>
      <c r="GJ75" s="121"/>
      <c r="GK75" s="121"/>
      <c r="GL75" s="121"/>
      <c r="GM75" s="121"/>
      <c r="GN75" s="121"/>
      <c r="GO75" s="121"/>
      <c r="GP75" s="121"/>
    </row>
    <row r="76" spans="2:198" s="112" customFormat="1">
      <c r="B76" s="238">
        <v>7.2</v>
      </c>
      <c r="C76" s="239" t="s">
        <v>235</v>
      </c>
      <c r="D76" s="205"/>
      <c r="E76" s="240">
        <v>45945</v>
      </c>
      <c r="F76" s="241">
        <v>6</v>
      </c>
      <c r="G76" s="240">
        <f>WORKDAY.INTL(E76,F76,1,Data!$C$3:$C$41)</f>
        <v>45953</v>
      </c>
      <c r="H76" s="228"/>
      <c r="I76" s="240">
        <v>45990</v>
      </c>
      <c r="J76" s="241">
        <v>4</v>
      </c>
      <c r="K76" s="240">
        <f>WORKDAY.INTL(I76,J76,1,Data!$C$3:$C$41)</f>
        <v>45995</v>
      </c>
      <c r="M76" s="243">
        <v>1</v>
      </c>
      <c r="N76" s="243">
        <f ca="1">_xlfn.LET(
  _xlpm.s,VALUE(I76),
  _xlpm.e,VALUE(K76),
  IF(OR(_xlpm.s="",_xlpm.e=""),"", IF(_xlpm.e&lt;=_xlpm.s, IF(TODAY()&gt;=_xlpm.e,1,0), MAX(0,MIN(1,(TODAY()-_xlpm.s)/(_xlpm.e-_xlpm.s)))))
)</f>
        <v>1</v>
      </c>
      <c r="O76" s="122"/>
      <c r="Q76" s="124"/>
      <c r="R76" s="121"/>
      <c r="S76" s="121"/>
      <c r="T76" s="121"/>
      <c r="U76" s="121"/>
      <c r="V76" s="121"/>
      <c r="W76" s="121"/>
      <c r="X76" s="121"/>
      <c r="Y76" s="121"/>
      <c r="Z76" s="121"/>
      <c r="AA76" s="121"/>
      <c r="AB76" s="121"/>
      <c r="AC76" s="121"/>
      <c r="AD76" s="121"/>
      <c r="AE76" s="121"/>
      <c r="AF76" s="121"/>
      <c r="AG76" s="121"/>
      <c r="AH76" s="121"/>
      <c r="AI76" s="121"/>
      <c r="AJ76" s="121"/>
      <c r="AK76" s="121"/>
      <c r="AL76" s="121"/>
      <c r="AM76" s="121"/>
      <c r="AN76" s="121"/>
      <c r="AO76" s="121"/>
      <c r="AP76" s="121"/>
      <c r="AQ76" s="121"/>
      <c r="AR76" s="121"/>
      <c r="AS76" s="121"/>
      <c r="AT76" s="121"/>
      <c r="AU76" s="121"/>
      <c r="AV76" s="121"/>
      <c r="AW76" s="121"/>
      <c r="AX76" s="121"/>
      <c r="AY76" s="121"/>
      <c r="AZ76" s="121"/>
      <c r="BA76" s="121"/>
      <c r="BB76" s="121"/>
      <c r="BC76" s="121"/>
      <c r="BD76" s="121"/>
      <c r="BE76" s="121"/>
      <c r="BF76" s="121"/>
      <c r="BG76" s="121"/>
      <c r="BH76" s="121"/>
      <c r="BI76" s="121"/>
      <c r="BJ76" s="121"/>
      <c r="BK76" s="121"/>
      <c r="BL76" s="121"/>
      <c r="BM76" s="121"/>
      <c r="BN76" s="121"/>
      <c r="BO76" s="121"/>
      <c r="BP76" s="121"/>
      <c r="BQ76" s="121"/>
      <c r="BR76" s="121"/>
      <c r="BS76" s="121"/>
      <c r="BT76" s="121"/>
      <c r="BU76" s="121"/>
      <c r="BV76" s="121"/>
      <c r="BW76" s="121"/>
      <c r="BX76" s="121"/>
      <c r="BY76" s="121"/>
      <c r="BZ76" s="121"/>
      <c r="CA76" s="121"/>
      <c r="CB76" s="121"/>
      <c r="CC76" s="121"/>
      <c r="CD76" s="121"/>
      <c r="CE76" s="121"/>
      <c r="CF76" s="121"/>
      <c r="CG76" s="121"/>
      <c r="CH76" s="121"/>
      <c r="CI76" s="121"/>
      <c r="CJ76" s="121"/>
      <c r="CK76" s="121"/>
      <c r="CL76" s="121"/>
      <c r="CM76" s="121"/>
      <c r="CN76" s="121"/>
      <c r="CO76" s="121"/>
      <c r="CP76" s="121"/>
      <c r="CQ76" s="121"/>
      <c r="CR76" s="121"/>
      <c r="CS76" s="121"/>
      <c r="CT76" s="121"/>
      <c r="CU76" s="121"/>
      <c r="CV76" s="121"/>
      <c r="CW76" s="121"/>
      <c r="CX76" s="121"/>
      <c r="CY76" s="121"/>
      <c r="CZ76" s="121"/>
      <c r="DA76" s="121"/>
      <c r="DB76" s="121"/>
      <c r="DC76" s="121"/>
      <c r="DD76" s="121"/>
      <c r="DE76" s="121"/>
      <c r="DF76" s="121"/>
      <c r="DG76" s="121"/>
      <c r="DH76" s="121"/>
      <c r="DI76" s="121"/>
      <c r="DJ76" s="121"/>
      <c r="DK76" s="121"/>
      <c r="DL76" s="121"/>
      <c r="DM76" s="121"/>
      <c r="DN76" s="121"/>
      <c r="DO76" s="121"/>
      <c r="DP76" s="121"/>
      <c r="DQ76" s="121"/>
      <c r="DR76" s="121"/>
      <c r="DS76" s="121"/>
      <c r="DT76" s="121"/>
      <c r="DU76" s="121"/>
      <c r="DV76" s="121"/>
      <c r="DW76" s="121"/>
      <c r="DX76" s="121"/>
      <c r="DY76" s="121"/>
      <c r="DZ76" s="121"/>
      <c r="EA76" s="121"/>
      <c r="EB76" s="121"/>
      <c r="EC76" s="121"/>
      <c r="ED76" s="121"/>
      <c r="EE76" s="121"/>
      <c r="EF76" s="121"/>
      <c r="EG76" s="121"/>
      <c r="EH76" s="121"/>
      <c r="EI76" s="121"/>
      <c r="EJ76" s="121"/>
      <c r="EK76" s="121"/>
      <c r="EL76" s="121"/>
      <c r="EM76" s="121"/>
      <c r="EN76" s="121"/>
      <c r="EO76" s="121"/>
      <c r="EP76" s="121"/>
      <c r="EQ76" s="121"/>
      <c r="ER76" s="121"/>
      <c r="ES76" s="121"/>
      <c r="ET76" s="121"/>
      <c r="EU76" s="121"/>
      <c r="EV76" s="121"/>
      <c r="EW76" s="121"/>
      <c r="EX76" s="121"/>
      <c r="EY76" s="121"/>
      <c r="EZ76" s="121"/>
      <c r="FA76" s="121"/>
      <c r="FB76" s="121"/>
      <c r="FC76" s="121"/>
      <c r="FD76" s="121"/>
      <c r="FE76" s="121"/>
      <c r="FF76" s="121"/>
      <c r="FG76" s="121"/>
      <c r="FH76" s="121"/>
      <c r="FI76" s="121"/>
      <c r="FJ76" s="121"/>
      <c r="FK76" s="121"/>
      <c r="FL76" s="121"/>
      <c r="FM76" s="121"/>
      <c r="FN76" s="121"/>
      <c r="FO76" s="121"/>
      <c r="FP76" s="121"/>
      <c r="FQ76" s="121"/>
      <c r="FR76" s="121"/>
      <c r="FS76" s="121"/>
      <c r="FT76" s="121"/>
      <c r="FU76" s="121"/>
      <c r="FV76" s="121"/>
      <c r="FW76" s="121"/>
      <c r="FX76" s="121"/>
      <c r="FY76" s="121"/>
      <c r="FZ76" s="121"/>
      <c r="GA76" s="121"/>
      <c r="GB76" s="121"/>
      <c r="GC76" s="121"/>
      <c r="GD76" s="121"/>
      <c r="GE76" s="121"/>
      <c r="GF76" s="121"/>
      <c r="GG76" s="121"/>
      <c r="GH76" s="121"/>
      <c r="GI76" s="121"/>
      <c r="GJ76" s="121"/>
      <c r="GK76" s="121"/>
      <c r="GL76" s="121"/>
      <c r="GM76" s="121"/>
      <c r="GN76" s="121"/>
      <c r="GO76" s="121"/>
      <c r="GP76" s="121"/>
    </row>
    <row r="77" spans="2:198" s="112" customFormat="1">
      <c r="B77" s="238">
        <v>7.3</v>
      </c>
      <c r="C77" s="239" t="s">
        <v>236</v>
      </c>
      <c r="D77" s="205"/>
      <c r="E77" s="240">
        <f>WORKDAY.INTL(G76,0,1,Data!$C$3:$C$41)</f>
        <v>45953</v>
      </c>
      <c r="F77" s="241">
        <v>2</v>
      </c>
      <c r="G77" s="240">
        <f>WORKDAY.INTL(E77,F77,1,Data!$C$3:$C$41)</f>
        <v>45957</v>
      </c>
      <c r="H77" s="228"/>
      <c r="I77" s="240">
        <f>WORKDAY.INTL(I76,0,1,Data!$C$3:$C$41)</f>
        <v>45990</v>
      </c>
      <c r="J77" s="241">
        <v>4</v>
      </c>
      <c r="K77" s="240">
        <f>WORKDAY.INTL(I77,J77,1,Data!$C$3:$C$41)</f>
        <v>45995</v>
      </c>
      <c r="M77" s="243">
        <v>1</v>
      </c>
      <c r="N77" s="243">
        <f ca="1">_xlfn.LET(
  _xlpm.s,VALUE(I77),
  _xlpm.e,VALUE(K77),
  IF(OR(_xlpm.s="",_xlpm.e=""),"", IF(_xlpm.e&lt;=_xlpm.s, IF(TODAY()&gt;=_xlpm.e,1,0), MAX(0,MIN(1,(TODAY()-_xlpm.s)/(_xlpm.e-_xlpm.s)))))
)</f>
        <v>1</v>
      </c>
      <c r="O77" s="122"/>
      <c r="Q77" s="124"/>
      <c r="R77" s="121"/>
      <c r="S77" s="121"/>
      <c r="T77" s="121"/>
      <c r="U77" s="121"/>
      <c r="V77" s="121"/>
      <c r="W77" s="121"/>
      <c r="X77" s="121"/>
      <c r="Y77" s="121"/>
      <c r="Z77" s="121"/>
      <c r="AA77" s="121"/>
      <c r="AB77" s="121"/>
      <c r="AC77" s="121"/>
      <c r="AD77" s="121"/>
      <c r="AE77" s="121"/>
      <c r="AF77" s="121"/>
      <c r="AG77" s="121"/>
      <c r="AH77" s="121"/>
      <c r="AI77" s="121"/>
      <c r="AJ77" s="121"/>
      <c r="AK77" s="121"/>
      <c r="AL77" s="121"/>
      <c r="AM77" s="121"/>
      <c r="AN77" s="121"/>
      <c r="AO77" s="121"/>
      <c r="AP77" s="121"/>
      <c r="AQ77" s="121"/>
      <c r="AR77" s="121"/>
      <c r="AS77" s="121"/>
      <c r="AT77" s="121"/>
      <c r="AU77" s="121"/>
      <c r="AV77" s="121"/>
      <c r="AW77" s="121"/>
      <c r="AX77" s="121"/>
      <c r="AY77" s="121"/>
      <c r="AZ77" s="121"/>
      <c r="BA77" s="121"/>
      <c r="BB77" s="121"/>
      <c r="BC77" s="121"/>
      <c r="BD77" s="121"/>
      <c r="BE77" s="121"/>
      <c r="BF77" s="121"/>
      <c r="BG77" s="121"/>
      <c r="BH77" s="121"/>
      <c r="BI77" s="121"/>
      <c r="BJ77" s="121"/>
      <c r="BK77" s="121"/>
      <c r="BL77" s="121"/>
      <c r="BM77" s="121"/>
      <c r="BN77" s="121"/>
      <c r="BO77" s="121"/>
      <c r="BP77" s="121"/>
      <c r="BQ77" s="121"/>
      <c r="BR77" s="121"/>
      <c r="BS77" s="121"/>
      <c r="BT77" s="121"/>
      <c r="BU77" s="121"/>
      <c r="BV77" s="121"/>
      <c r="BW77" s="121"/>
      <c r="BX77" s="121"/>
      <c r="BY77" s="121"/>
      <c r="BZ77" s="121"/>
      <c r="CA77" s="121"/>
      <c r="CB77" s="121"/>
      <c r="CC77" s="121"/>
      <c r="CD77" s="121"/>
      <c r="CE77" s="121"/>
      <c r="CF77" s="121"/>
      <c r="CG77" s="121"/>
      <c r="CH77" s="121"/>
      <c r="CI77" s="121"/>
      <c r="CJ77" s="121"/>
      <c r="CK77" s="121"/>
      <c r="CL77" s="121"/>
      <c r="CM77" s="121"/>
      <c r="CN77" s="121"/>
      <c r="CO77" s="121"/>
      <c r="CP77" s="121"/>
      <c r="CQ77" s="121"/>
      <c r="CR77" s="121"/>
      <c r="CS77" s="121"/>
      <c r="CT77" s="121"/>
      <c r="CU77" s="121"/>
      <c r="CV77" s="121"/>
      <c r="CW77" s="121"/>
      <c r="CX77" s="121"/>
      <c r="CY77" s="121"/>
      <c r="CZ77" s="121"/>
      <c r="DA77" s="121"/>
      <c r="DB77" s="121"/>
      <c r="DC77" s="121"/>
      <c r="DD77" s="121"/>
      <c r="DE77" s="121"/>
      <c r="DF77" s="121"/>
      <c r="DG77" s="121"/>
      <c r="DH77" s="121"/>
      <c r="DI77" s="121"/>
      <c r="DJ77" s="121"/>
      <c r="DK77" s="121"/>
      <c r="DL77" s="121"/>
      <c r="DM77" s="121"/>
      <c r="DN77" s="121"/>
      <c r="DO77" s="121"/>
      <c r="DP77" s="121"/>
      <c r="DQ77" s="121"/>
      <c r="DR77" s="121"/>
      <c r="DS77" s="121"/>
      <c r="DT77" s="121"/>
      <c r="DU77" s="121"/>
      <c r="DV77" s="121"/>
      <c r="DW77" s="121"/>
      <c r="DX77" s="121"/>
      <c r="DY77" s="121"/>
      <c r="DZ77" s="121"/>
      <c r="EA77" s="121"/>
      <c r="EB77" s="121"/>
      <c r="EC77" s="121"/>
      <c r="ED77" s="121"/>
      <c r="EE77" s="121"/>
      <c r="EF77" s="121"/>
      <c r="EG77" s="121"/>
      <c r="EH77" s="121"/>
      <c r="EI77" s="121"/>
      <c r="EJ77" s="121"/>
      <c r="EK77" s="121"/>
      <c r="EL77" s="121"/>
      <c r="EM77" s="121"/>
      <c r="EN77" s="121"/>
      <c r="EO77" s="121"/>
      <c r="EP77" s="121"/>
      <c r="EQ77" s="121"/>
      <c r="ER77" s="121"/>
      <c r="ES77" s="121"/>
      <c r="ET77" s="121"/>
      <c r="EU77" s="121"/>
      <c r="EV77" s="121"/>
      <c r="EW77" s="121"/>
      <c r="EX77" s="121"/>
      <c r="EY77" s="121"/>
      <c r="EZ77" s="121"/>
      <c r="FA77" s="121"/>
      <c r="FB77" s="121"/>
      <c r="FC77" s="121"/>
      <c r="FD77" s="121"/>
      <c r="FE77" s="121"/>
      <c r="FF77" s="121"/>
      <c r="FG77" s="121"/>
      <c r="FH77" s="121"/>
      <c r="FI77" s="121"/>
      <c r="FJ77" s="121"/>
      <c r="FK77" s="121"/>
      <c r="FL77" s="121"/>
      <c r="FM77" s="121"/>
      <c r="FN77" s="121"/>
      <c r="FO77" s="121"/>
      <c r="FP77" s="121"/>
      <c r="FQ77" s="121"/>
      <c r="FR77" s="121"/>
      <c r="FS77" s="121"/>
      <c r="FT77" s="121"/>
      <c r="FU77" s="121"/>
      <c r="FV77" s="121"/>
      <c r="FW77" s="121"/>
      <c r="FX77" s="121"/>
      <c r="FY77" s="121"/>
      <c r="FZ77" s="121"/>
      <c r="GA77" s="121"/>
      <c r="GB77" s="121"/>
      <c r="GC77" s="121"/>
      <c r="GD77" s="121"/>
      <c r="GE77" s="121"/>
      <c r="GF77" s="121"/>
      <c r="GG77" s="121"/>
      <c r="GH77" s="121"/>
      <c r="GI77" s="121"/>
      <c r="GJ77" s="121"/>
      <c r="GK77" s="121"/>
      <c r="GL77" s="121"/>
      <c r="GM77" s="121"/>
      <c r="GN77" s="121"/>
      <c r="GO77" s="121"/>
      <c r="GP77" s="121"/>
    </row>
    <row r="78" spans="2:198" s="112" customFormat="1">
      <c r="B78" s="238">
        <v>7.4</v>
      </c>
      <c r="C78" s="239" t="s">
        <v>237</v>
      </c>
      <c r="D78" s="205"/>
      <c r="E78" s="240">
        <f>WORKDAY.INTL(G77,0,1,Data!$C$3:$C$41)</f>
        <v>45957</v>
      </c>
      <c r="F78" s="241">
        <v>5</v>
      </c>
      <c r="G78" s="240">
        <f>WORKDAY.INTL(E78,F78,1,Data!$C$3:$C$41)</f>
        <v>45964</v>
      </c>
      <c r="H78" s="228"/>
      <c r="I78" s="240">
        <f>WORKDAY.INTL(K77,0,1,Data!$C$3:$C$41)</f>
        <v>45995</v>
      </c>
      <c r="J78" s="241">
        <v>5</v>
      </c>
      <c r="K78" s="240">
        <f>WORKDAY.INTL(I78,J78,1,Data!$C$3:$C$41)</f>
        <v>46002</v>
      </c>
      <c r="M78" s="243">
        <v>1</v>
      </c>
      <c r="N78" s="243">
        <f ca="1">_xlfn.LET(
  _xlpm.s,VALUE(I78),
  _xlpm.e,VALUE(K78),
  IF(OR(_xlpm.s="",_xlpm.e=""),"", IF(_xlpm.e&lt;=_xlpm.s, IF(TODAY()&gt;=_xlpm.e,1,0), MAX(0,MIN(1,(TODAY()-_xlpm.s)/(_xlpm.e-_xlpm.s)))))
)</f>
        <v>1</v>
      </c>
      <c r="O78" s="122"/>
      <c r="Q78" s="124"/>
      <c r="R78" s="121"/>
      <c r="S78" s="121"/>
      <c r="T78" s="121"/>
      <c r="U78" s="121"/>
      <c r="V78" s="121"/>
      <c r="W78" s="121"/>
      <c r="X78" s="121"/>
      <c r="Y78" s="121"/>
      <c r="Z78" s="121"/>
      <c r="AA78" s="121"/>
      <c r="AB78" s="121"/>
      <c r="AC78" s="121"/>
      <c r="AD78" s="121"/>
      <c r="AE78" s="121"/>
      <c r="AF78" s="121"/>
      <c r="AG78" s="121"/>
      <c r="AH78" s="121"/>
      <c r="AI78" s="121"/>
      <c r="AJ78" s="121"/>
      <c r="AK78" s="121"/>
      <c r="AL78" s="121"/>
      <c r="AM78" s="121"/>
      <c r="AN78" s="121"/>
      <c r="AO78" s="121"/>
      <c r="AP78" s="121"/>
      <c r="AQ78" s="121"/>
      <c r="AR78" s="121"/>
      <c r="AS78" s="121"/>
      <c r="AT78" s="121"/>
      <c r="AU78" s="121"/>
      <c r="AV78" s="121"/>
      <c r="AW78" s="121"/>
      <c r="AX78" s="121"/>
      <c r="AY78" s="121"/>
      <c r="AZ78" s="121"/>
      <c r="BA78" s="121"/>
      <c r="BB78" s="121"/>
      <c r="BC78" s="121"/>
      <c r="BD78" s="121"/>
      <c r="BE78" s="121"/>
      <c r="BF78" s="121"/>
      <c r="BG78" s="121"/>
      <c r="BH78" s="121"/>
      <c r="BI78" s="121"/>
      <c r="BJ78" s="121"/>
      <c r="BK78" s="121"/>
      <c r="BL78" s="121"/>
      <c r="BM78" s="121"/>
      <c r="BN78" s="121"/>
      <c r="BO78" s="121"/>
      <c r="BP78" s="121"/>
      <c r="BQ78" s="121"/>
      <c r="BR78" s="121"/>
      <c r="BS78" s="121"/>
      <c r="BT78" s="121"/>
      <c r="BU78" s="121"/>
      <c r="BV78" s="121"/>
      <c r="BW78" s="121"/>
      <c r="BX78" s="121"/>
      <c r="BY78" s="121"/>
      <c r="BZ78" s="121"/>
      <c r="CA78" s="121"/>
      <c r="CB78" s="121"/>
      <c r="CC78" s="121"/>
      <c r="CD78" s="121"/>
      <c r="CE78" s="121"/>
      <c r="CF78" s="121"/>
      <c r="CG78" s="121"/>
      <c r="CH78" s="121"/>
      <c r="CI78" s="121"/>
      <c r="CJ78" s="121"/>
      <c r="CK78" s="121"/>
      <c r="CL78" s="121"/>
      <c r="CM78" s="121"/>
      <c r="CN78" s="121"/>
      <c r="CO78" s="121"/>
      <c r="CP78" s="121"/>
      <c r="CQ78" s="121"/>
      <c r="CR78" s="121"/>
      <c r="CS78" s="121"/>
      <c r="CT78" s="121"/>
      <c r="CU78" s="121"/>
      <c r="CV78" s="121"/>
      <c r="CW78" s="121"/>
      <c r="CX78" s="121"/>
      <c r="CY78" s="121"/>
      <c r="CZ78" s="121"/>
      <c r="DA78" s="121"/>
      <c r="DB78" s="121"/>
      <c r="DC78" s="121"/>
      <c r="DD78" s="121"/>
      <c r="DE78" s="121"/>
      <c r="DF78" s="121"/>
      <c r="DG78" s="121"/>
      <c r="DH78" s="121"/>
      <c r="DI78" s="121"/>
      <c r="DJ78" s="121"/>
      <c r="DK78" s="121"/>
      <c r="DL78" s="121"/>
      <c r="DM78" s="121"/>
      <c r="DN78" s="121"/>
      <c r="DO78" s="121"/>
      <c r="DP78" s="121"/>
      <c r="DQ78" s="121"/>
      <c r="DR78" s="121"/>
      <c r="DS78" s="121"/>
      <c r="DT78" s="121"/>
      <c r="DU78" s="121"/>
      <c r="DV78" s="121"/>
      <c r="DW78" s="121"/>
      <c r="DX78" s="121"/>
      <c r="DY78" s="121"/>
      <c r="DZ78" s="121"/>
      <c r="EA78" s="121"/>
      <c r="EB78" s="121"/>
      <c r="EC78" s="121"/>
      <c r="ED78" s="121"/>
      <c r="EE78" s="121"/>
      <c r="EF78" s="121"/>
      <c r="EG78" s="121"/>
      <c r="EH78" s="121"/>
      <c r="EI78" s="121"/>
      <c r="EJ78" s="121"/>
      <c r="EK78" s="121"/>
      <c r="EL78" s="121"/>
      <c r="EM78" s="121"/>
      <c r="EN78" s="121"/>
      <c r="EO78" s="121"/>
      <c r="EP78" s="121"/>
      <c r="EQ78" s="121"/>
      <c r="ER78" s="121"/>
      <c r="ES78" s="121"/>
      <c r="ET78" s="121"/>
      <c r="EU78" s="121"/>
      <c r="EV78" s="121"/>
      <c r="EW78" s="121"/>
      <c r="EX78" s="121"/>
      <c r="EY78" s="121"/>
      <c r="EZ78" s="121"/>
      <c r="FA78" s="121"/>
      <c r="FB78" s="121"/>
      <c r="FC78" s="121"/>
      <c r="FD78" s="121"/>
      <c r="FE78" s="121"/>
      <c r="FF78" s="121"/>
      <c r="FG78" s="121"/>
      <c r="FH78" s="121"/>
      <c r="FI78" s="121"/>
      <c r="FJ78" s="121"/>
      <c r="FK78" s="121"/>
      <c r="FL78" s="121"/>
      <c r="FM78" s="121"/>
      <c r="FN78" s="121"/>
      <c r="FO78" s="121"/>
      <c r="FP78" s="121"/>
      <c r="FQ78" s="121"/>
      <c r="FR78" s="121"/>
      <c r="FS78" s="121"/>
      <c r="FT78" s="121"/>
      <c r="FU78" s="121"/>
      <c r="FV78" s="121"/>
      <c r="FW78" s="121"/>
      <c r="FX78" s="121"/>
      <c r="FY78" s="121"/>
      <c r="FZ78" s="121"/>
      <c r="GA78" s="121"/>
      <c r="GB78" s="121"/>
      <c r="GC78" s="121"/>
      <c r="GD78" s="121"/>
      <c r="GE78" s="121"/>
      <c r="GF78" s="121"/>
      <c r="GG78" s="121"/>
      <c r="GH78" s="121"/>
      <c r="GI78" s="121"/>
      <c r="GJ78" s="121"/>
      <c r="GK78" s="121"/>
      <c r="GL78" s="121"/>
      <c r="GM78" s="121"/>
      <c r="GN78" s="121"/>
      <c r="GO78" s="121"/>
      <c r="GP78" s="121"/>
    </row>
    <row r="79" spans="2:198" s="112" customFormat="1">
      <c r="B79" s="238">
        <v>7.5</v>
      </c>
      <c r="C79" s="239" t="s">
        <v>238</v>
      </c>
      <c r="D79" s="205"/>
      <c r="E79" s="240">
        <f>WORKDAY.INTL(G78,0,1,Data!$C$3:$C$41)</f>
        <v>45964</v>
      </c>
      <c r="F79" s="241">
        <v>5</v>
      </c>
      <c r="G79" s="240">
        <f>WORKDAY.INTL(E79,F79,1,Data!$C$3:$C$41)</f>
        <v>45971</v>
      </c>
      <c r="H79" s="228"/>
      <c r="I79" s="240">
        <f>WORKDAY.INTL(K76,0,1,Data!$C$3:$C$41)</f>
        <v>45995</v>
      </c>
      <c r="J79" s="241">
        <v>8</v>
      </c>
      <c r="K79" s="240">
        <f>WORKDAY.INTL(I79,J79,1,Data!$C$3:$C$41)</f>
        <v>46007</v>
      </c>
      <c r="M79" s="243">
        <v>1</v>
      </c>
      <c r="N79" s="243">
        <f ca="1">_xlfn.LET(
  _xlpm.s,VALUE(I79),
  _xlpm.e,VALUE(K79),
  IF(OR(_xlpm.s="",_xlpm.e=""),"", IF(_xlpm.e&lt;=_xlpm.s, IF(TODAY()&gt;=_xlpm.e,1,0), MAX(0,MIN(1,(TODAY()-_xlpm.s)/(_xlpm.e-_xlpm.s)))))
)</f>
        <v>1</v>
      </c>
      <c r="O79" s="122"/>
      <c r="Q79" s="124"/>
      <c r="R79" s="121"/>
      <c r="S79" s="121"/>
      <c r="T79" s="121"/>
      <c r="U79" s="121"/>
      <c r="V79" s="121"/>
      <c r="W79" s="121"/>
      <c r="X79" s="121"/>
      <c r="Y79" s="121"/>
      <c r="Z79" s="121"/>
      <c r="AA79" s="121"/>
      <c r="AB79" s="121"/>
      <c r="AC79" s="121"/>
      <c r="AD79" s="121"/>
      <c r="AE79" s="121"/>
      <c r="AF79" s="121"/>
      <c r="AG79" s="121"/>
      <c r="AH79" s="121"/>
      <c r="AI79" s="121"/>
      <c r="AJ79" s="121"/>
      <c r="AK79" s="121"/>
      <c r="AL79" s="121"/>
      <c r="AM79" s="121"/>
      <c r="AN79" s="121"/>
      <c r="AO79" s="121"/>
      <c r="AP79" s="121"/>
      <c r="AQ79" s="121"/>
      <c r="AR79" s="121"/>
      <c r="AS79" s="121"/>
      <c r="AT79" s="121"/>
      <c r="AU79" s="121"/>
      <c r="AV79" s="121"/>
      <c r="AW79" s="121"/>
      <c r="AX79" s="121"/>
      <c r="AY79" s="121"/>
      <c r="AZ79" s="121"/>
      <c r="BA79" s="121"/>
      <c r="BB79" s="121"/>
      <c r="BC79" s="121"/>
      <c r="BD79" s="121"/>
      <c r="BE79" s="121"/>
      <c r="BF79" s="121"/>
      <c r="BG79" s="121"/>
      <c r="BH79" s="121"/>
      <c r="BI79" s="121"/>
      <c r="BJ79" s="121"/>
      <c r="BK79" s="121"/>
      <c r="BL79" s="121"/>
      <c r="BM79" s="121"/>
      <c r="BN79" s="121"/>
      <c r="BO79" s="121"/>
      <c r="BP79" s="121"/>
      <c r="BQ79" s="121"/>
      <c r="BR79" s="121"/>
      <c r="BS79" s="121"/>
      <c r="BT79" s="121"/>
      <c r="BU79" s="121"/>
      <c r="BV79" s="121"/>
      <c r="BW79" s="121"/>
      <c r="BX79" s="121"/>
      <c r="BY79" s="121"/>
      <c r="BZ79" s="121"/>
      <c r="CA79" s="121"/>
      <c r="CB79" s="121"/>
      <c r="CC79" s="121"/>
      <c r="CD79" s="121"/>
      <c r="CE79" s="121"/>
      <c r="CF79" s="121"/>
      <c r="CG79" s="121"/>
      <c r="CH79" s="121"/>
      <c r="CI79" s="121"/>
      <c r="CJ79" s="121"/>
      <c r="CK79" s="121"/>
      <c r="CL79" s="121"/>
      <c r="CM79" s="121"/>
      <c r="CN79" s="121"/>
      <c r="CO79" s="121"/>
      <c r="CP79" s="121"/>
      <c r="CQ79" s="121"/>
      <c r="CR79" s="121"/>
      <c r="CS79" s="121"/>
      <c r="CT79" s="121"/>
      <c r="CU79" s="121"/>
      <c r="CV79" s="121"/>
      <c r="CW79" s="121"/>
      <c r="CX79" s="121"/>
      <c r="CY79" s="121"/>
      <c r="CZ79" s="121"/>
      <c r="DA79" s="121"/>
      <c r="DB79" s="121"/>
      <c r="DC79" s="121"/>
      <c r="DD79" s="121"/>
      <c r="DE79" s="121"/>
      <c r="DF79" s="121"/>
      <c r="DG79" s="121"/>
      <c r="DH79" s="121"/>
      <c r="DI79" s="121"/>
      <c r="DJ79" s="121"/>
      <c r="DK79" s="121"/>
      <c r="DL79" s="121"/>
      <c r="DM79" s="121"/>
      <c r="DN79" s="121"/>
      <c r="DO79" s="121"/>
      <c r="DP79" s="121"/>
      <c r="DQ79" s="121"/>
      <c r="DR79" s="121"/>
      <c r="DS79" s="121"/>
      <c r="DT79" s="121"/>
      <c r="DU79" s="121"/>
      <c r="DV79" s="121"/>
      <c r="DW79" s="121"/>
      <c r="DX79" s="121"/>
      <c r="DY79" s="121"/>
      <c r="DZ79" s="121"/>
      <c r="EA79" s="121"/>
      <c r="EB79" s="121"/>
      <c r="EC79" s="121"/>
      <c r="ED79" s="121"/>
      <c r="EE79" s="121"/>
      <c r="EF79" s="121"/>
      <c r="EG79" s="121"/>
      <c r="EH79" s="121"/>
      <c r="EI79" s="121"/>
      <c r="EJ79" s="121"/>
      <c r="EK79" s="121"/>
      <c r="EL79" s="121"/>
      <c r="EM79" s="121"/>
      <c r="EN79" s="121"/>
      <c r="EO79" s="121"/>
      <c r="EP79" s="121"/>
      <c r="EQ79" s="121"/>
      <c r="ER79" s="121"/>
      <c r="ES79" s="121"/>
      <c r="ET79" s="121"/>
      <c r="EU79" s="121"/>
      <c r="EV79" s="121"/>
      <c r="EW79" s="121"/>
      <c r="EX79" s="121"/>
      <c r="EY79" s="121"/>
      <c r="EZ79" s="121"/>
      <c r="FA79" s="121"/>
      <c r="FB79" s="121"/>
      <c r="FC79" s="121"/>
      <c r="FD79" s="121"/>
      <c r="FE79" s="121"/>
      <c r="FF79" s="121"/>
      <c r="FG79" s="121"/>
      <c r="FH79" s="121"/>
      <c r="FI79" s="121"/>
      <c r="FJ79" s="121"/>
      <c r="FK79" s="121"/>
      <c r="FL79" s="121"/>
      <c r="FM79" s="121"/>
      <c r="FN79" s="121"/>
      <c r="FO79" s="121"/>
      <c r="FP79" s="121"/>
      <c r="FQ79" s="121"/>
      <c r="FR79" s="121"/>
      <c r="FS79" s="121"/>
      <c r="FT79" s="121"/>
      <c r="FU79" s="121"/>
      <c r="FV79" s="121"/>
      <c r="FW79" s="121"/>
      <c r="FX79" s="121"/>
      <c r="FY79" s="121"/>
      <c r="FZ79" s="121"/>
      <c r="GA79" s="121"/>
      <c r="GB79" s="121"/>
      <c r="GC79" s="121"/>
      <c r="GD79" s="121"/>
      <c r="GE79" s="121"/>
      <c r="GF79" s="121"/>
      <c r="GG79" s="121"/>
      <c r="GH79" s="121"/>
      <c r="GI79" s="121"/>
      <c r="GJ79" s="121"/>
      <c r="GK79" s="121"/>
      <c r="GL79" s="121"/>
      <c r="GM79" s="121"/>
      <c r="GN79" s="121"/>
      <c r="GO79" s="121"/>
      <c r="GP79" s="121"/>
    </row>
    <row r="80" spans="2:198" s="112" customFormat="1" ht="4.5" customHeight="1">
      <c r="B80" s="229"/>
      <c r="C80" s="205"/>
      <c r="D80" s="205"/>
      <c r="E80" s="230"/>
      <c r="F80" s="230"/>
      <c r="G80" s="231"/>
      <c r="H80" s="228"/>
      <c r="I80" s="230"/>
      <c r="J80" s="230"/>
      <c r="K80" s="231"/>
      <c r="N80" s="168"/>
      <c r="Q80" s="3"/>
    </row>
    <row r="81" spans="2:198" s="112" customFormat="1">
      <c r="B81" s="234">
        <v>8</v>
      </c>
      <c r="C81" s="235" t="s">
        <v>239</v>
      </c>
      <c r="D81" s="205"/>
      <c r="E81" s="689">
        <f>MIN(E83:E86)</f>
        <v>45950</v>
      </c>
      <c r="F81" s="690">
        <f>G81-E81</f>
        <v>21</v>
      </c>
      <c r="G81" s="689">
        <f>MAX(G82:G86)</f>
        <v>45971</v>
      </c>
      <c r="H81" s="228"/>
      <c r="I81" s="689">
        <f>MIN(I83:I86)</f>
        <v>45915</v>
      </c>
      <c r="J81" s="690">
        <f>K81-I81</f>
        <v>92</v>
      </c>
      <c r="K81" s="689">
        <f>MAX(K82:K86)</f>
        <v>46007</v>
      </c>
      <c r="M81" s="350">
        <f>AVERAGE(M82:M86)</f>
        <v>1</v>
      </c>
      <c r="N81" s="350">
        <f ca="1">AVERAGE(N82:N86)</f>
        <v>1</v>
      </c>
      <c r="O81" s="119"/>
      <c r="Q81" s="124"/>
      <c r="R81" s="121"/>
      <c r="S81" s="121"/>
      <c r="T81" s="121"/>
      <c r="U81" s="121"/>
      <c r="V81" s="121"/>
      <c r="W81" s="121"/>
      <c r="X81" s="121"/>
      <c r="Y81" s="121"/>
      <c r="Z81" s="121"/>
      <c r="AA81" s="121"/>
      <c r="AB81" s="121"/>
      <c r="AC81" s="121"/>
      <c r="AD81" s="121"/>
      <c r="AE81" s="121"/>
      <c r="AF81" s="121"/>
      <c r="AG81" s="121"/>
      <c r="AH81" s="121"/>
      <c r="AI81" s="121"/>
      <c r="AJ81" s="121"/>
      <c r="AK81" s="121"/>
      <c r="AL81" s="121"/>
      <c r="AM81" s="121"/>
      <c r="AN81" s="121"/>
      <c r="AO81" s="121"/>
      <c r="AP81" s="121"/>
      <c r="AQ81" s="121"/>
      <c r="AR81" s="121"/>
      <c r="AS81" s="121"/>
      <c r="AT81" s="121"/>
      <c r="AU81" s="121"/>
      <c r="AV81" s="121"/>
      <c r="AW81" s="121"/>
      <c r="AX81" s="121"/>
      <c r="AY81" s="121"/>
      <c r="AZ81" s="121"/>
      <c r="BA81" s="121"/>
      <c r="BB81" s="121"/>
      <c r="BC81" s="121"/>
      <c r="BD81" s="121"/>
      <c r="BE81" s="121"/>
      <c r="BF81" s="121"/>
      <c r="BG81" s="121"/>
      <c r="BH81" s="121"/>
      <c r="BI81" s="121"/>
      <c r="BJ81" s="121"/>
      <c r="BK81" s="121"/>
      <c r="BL81" s="121"/>
      <c r="BM81" s="121"/>
      <c r="BN81" s="121"/>
      <c r="BO81" s="121"/>
      <c r="BP81" s="121"/>
      <c r="BQ81" s="121"/>
      <c r="BR81" s="121"/>
      <c r="BS81" s="121"/>
      <c r="BT81" s="121"/>
      <c r="BU81" s="121"/>
      <c r="BV81" s="121"/>
      <c r="BW81" s="121"/>
      <c r="BX81" s="121"/>
      <c r="BY81" s="121"/>
      <c r="BZ81" s="121"/>
      <c r="CA81" s="121"/>
      <c r="CB81" s="121"/>
      <c r="CC81" s="121"/>
      <c r="CD81" s="121"/>
      <c r="CE81" s="121"/>
      <c r="CF81" s="121"/>
      <c r="CG81" s="121"/>
      <c r="CH81" s="121"/>
      <c r="CI81" s="121"/>
      <c r="CJ81" s="121"/>
      <c r="CK81" s="121"/>
      <c r="CL81" s="121"/>
      <c r="CM81" s="121"/>
      <c r="CN81" s="121"/>
      <c r="CO81" s="121"/>
      <c r="CP81" s="121"/>
      <c r="CQ81" s="121"/>
      <c r="CR81" s="121"/>
      <c r="CS81" s="121"/>
      <c r="CT81" s="121"/>
      <c r="CU81" s="121"/>
      <c r="CV81" s="121"/>
      <c r="CW81" s="121"/>
      <c r="CX81" s="121"/>
      <c r="CY81" s="121"/>
      <c r="CZ81" s="121"/>
      <c r="DA81" s="121"/>
      <c r="DB81" s="121"/>
      <c r="DC81" s="121"/>
      <c r="DD81" s="121"/>
      <c r="DE81" s="121"/>
      <c r="DF81" s="121"/>
      <c r="DG81" s="121"/>
      <c r="DH81" s="121"/>
      <c r="DI81" s="121"/>
      <c r="DJ81" s="121"/>
      <c r="DK81" s="121"/>
      <c r="DL81" s="121"/>
      <c r="DM81" s="121"/>
      <c r="DN81" s="121"/>
      <c r="DO81" s="121"/>
      <c r="DP81" s="121"/>
      <c r="DQ81" s="121"/>
      <c r="DR81" s="121"/>
      <c r="DS81" s="121"/>
      <c r="DT81" s="121"/>
      <c r="DU81" s="121"/>
      <c r="DV81" s="121"/>
      <c r="DW81" s="121"/>
      <c r="DX81" s="121"/>
      <c r="DY81" s="121"/>
      <c r="DZ81" s="121"/>
      <c r="EA81" s="121"/>
      <c r="EB81" s="121"/>
      <c r="EC81" s="121"/>
      <c r="ED81" s="121"/>
      <c r="EE81" s="121"/>
      <c r="EF81" s="121"/>
      <c r="EG81" s="121"/>
      <c r="EH81" s="121"/>
      <c r="EI81" s="121"/>
      <c r="EJ81" s="121"/>
      <c r="EK81" s="121"/>
      <c r="EL81" s="121"/>
      <c r="EM81" s="121"/>
      <c r="EN81" s="121"/>
      <c r="EO81" s="121"/>
      <c r="EP81" s="121"/>
      <c r="EQ81" s="121"/>
      <c r="ER81" s="121"/>
      <c r="ES81" s="121"/>
      <c r="ET81" s="121"/>
      <c r="EU81" s="121"/>
      <c r="EV81" s="121"/>
      <c r="EW81" s="121"/>
      <c r="EX81" s="121"/>
      <c r="EY81" s="121"/>
      <c r="EZ81" s="121"/>
      <c r="FA81" s="121"/>
      <c r="FB81" s="121"/>
      <c r="FC81" s="121"/>
      <c r="FD81" s="121"/>
      <c r="FE81" s="121"/>
      <c r="FF81" s="121"/>
      <c r="FG81" s="121"/>
      <c r="FH81" s="121"/>
      <c r="FI81" s="121"/>
      <c r="FJ81" s="121"/>
      <c r="FK81" s="121"/>
      <c r="FL81" s="121"/>
      <c r="FM81" s="121"/>
      <c r="FN81" s="121"/>
      <c r="FO81" s="121"/>
      <c r="FP81" s="121"/>
      <c r="FQ81" s="121"/>
      <c r="FR81" s="121"/>
      <c r="FS81" s="121"/>
      <c r="FT81" s="121"/>
      <c r="FU81" s="121"/>
      <c r="FV81" s="121"/>
      <c r="FW81" s="121"/>
      <c r="FX81" s="121"/>
      <c r="FY81" s="121"/>
      <c r="FZ81" s="121"/>
      <c r="GA81" s="121"/>
      <c r="GB81" s="121"/>
      <c r="GC81" s="121"/>
      <c r="GD81" s="121"/>
      <c r="GE81" s="121"/>
      <c r="GF81" s="121"/>
      <c r="GG81" s="121"/>
      <c r="GH81" s="121"/>
      <c r="GI81" s="121"/>
      <c r="GJ81" s="121"/>
      <c r="GK81" s="121"/>
      <c r="GL81" s="121"/>
      <c r="GM81" s="121"/>
      <c r="GN81" s="121"/>
      <c r="GO81" s="121"/>
      <c r="GP81" s="121"/>
    </row>
    <row r="82" spans="2:198" s="112" customFormat="1">
      <c r="B82" s="238">
        <v>8.1</v>
      </c>
      <c r="C82" s="749" t="s">
        <v>234</v>
      </c>
      <c r="D82" s="205"/>
      <c r="E82" s="240">
        <v>45848</v>
      </c>
      <c r="F82" s="241">
        <v>1</v>
      </c>
      <c r="G82" s="240">
        <f>E82+F82</f>
        <v>45849</v>
      </c>
      <c r="H82" s="228"/>
      <c r="I82" s="240">
        <v>45848</v>
      </c>
      <c r="J82" s="241">
        <v>1</v>
      </c>
      <c r="K82" s="240">
        <f>I82+J82</f>
        <v>45849</v>
      </c>
      <c r="M82" s="243">
        <v>1</v>
      </c>
      <c r="N82" s="243">
        <f ca="1">_xlfn.LET(
  _xlpm.s,VALUE(I82),
  _xlpm.e,VALUE(K82),
  IF(OR(_xlpm.s="",_xlpm.e=""),"", IF(_xlpm.e&lt;=_xlpm.s, IF(TODAY()&gt;=_xlpm.e,1,0), MAX(0,MIN(1,(TODAY()-_xlpm.s)/(_xlpm.e-_xlpm.s)))))
)</f>
        <v>1</v>
      </c>
      <c r="O82" s="122"/>
      <c r="Q82" s="124"/>
      <c r="R82" s="121"/>
      <c r="S82" s="121"/>
      <c r="T82" s="121"/>
      <c r="U82" s="121"/>
      <c r="V82" s="121"/>
      <c r="W82" s="121"/>
      <c r="X82" s="121"/>
      <c r="Y82" s="121"/>
      <c r="Z82" s="121"/>
      <c r="AA82" s="121"/>
      <c r="AB82" s="121"/>
      <c r="AC82" s="121"/>
      <c r="AD82" s="121"/>
      <c r="AE82" s="121"/>
      <c r="AF82" s="121"/>
      <c r="AG82" s="121"/>
      <c r="AH82" s="121"/>
      <c r="AI82" s="121"/>
      <c r="AJ82" s="121"/>
      <c r="AK82" s="121"/>
      <c r="AL82" s="121"/>
      <c r="AM82" s="121"/>
      <c r="AN82" s="121"/>
      <c r="AO82" s="121"/>
      <c r="AP82" s="121"/>
      <c r="AQ82" s="121"/>
      <c r="AR82" s="121"/>
      <c r="AS82" s="121"/>
      <c r="AT82" s="121"/>
      <c r="AU82" s="121"/>
      <c r="AV82" s="121"/>
      <c r="AW82" s="121"/>
      <c r="AX82" s="121"/>
      <c r="AY82" s="121"/>
      <c r="AZ82" s="121"/>
      <c r="BA82" s="121"/>
      <c r="BB82" s="121"/>
      <c r="BC82" s="121"/>
      <c r="BD82" s="121"/>
      <c r="BE82" s="121"/>
      <c r="BF82" s="121"/>
      <c r="BG82" s="121"/>
      <c r="BH82" s="121"/>
      <c r="BI82" s="121"/>
      <c r="BJ82" s="121"/>
      <c r="BK82" s="121"/>
      <c r="BL82" s="121"/>
      <c r="BM82" s="121"/>
      <c r="BN82" s="121"/>
      <c r="BO82" s="121"/>
      <c r="BP82" s="121"/>
      <c r="BQ82" s="121"/>
      <c r="BR82" s="121"/>
      <c r="BS82" s="121"/>
      <c r="BT82" s="121"/>
      <c r="BU82" s="121"/>
      <c r="BV82" s="121"/>
      <c r="BW82" s="121"/>
      <c r="BX82" s="121"/>
      <c r="BY82" s="121"/>
      <c r="BZ82" s="121"/>
      <c r="CA82" s="121"/>
      <c r="CB82" s="121"/>
      <c r="CC82" s="121"/>
      <c r="CD82" s="121"/>
      <c r="CE82" s="121"/>
      <c r="CF82" s="121"/>
      <c r="CG82" s="121"/>
      <c r="CH82" s="121"/>
      <c r="CI82" s="121"/>
      <c r="CJ82" s="121"/>
      <c r="CK82" s="121"/>
      <c r="CL82" s="121"/>
      <c r="CM82" s="121"/>
      <c r="CN82" s="121"/>
      <c r="CO82" s="121"/>
      <c r="CP82" s="121"/>
      <c r="CQ82" s="121"/>
      <c r="CR82" s="121"/>
      <c r="CS82" s="121"/>
      <c r="CT82" s="121"/>
      <c r="CU82" s="121"/>
      <c r="CV82" s="121"/>
      <c r="CW82" s="121"/>
      <c r="CX82" s="121"/>
      <c r="CY82" s="121"/>
      <c r="CZ82" s="121"/>
      <c r="DA82" s="121"/>
      <c r="DB82" s="121"/>
      <c r="DC82" s="121"/>
      <c r="DD82" s="121"/>
      <c r="DE82" s="121"/>
      <c r="DF82" s="121"/>
      <c r="DG82" s="121"/>
      <c r="DH82" s="121"/>
      <c r="DI82" s="121"/>
      <c r="DJ82" s="121"/>
      <c r="DK82" s="121"/>
      <c r="DL82" s="121"/>
      <c r="DM82" s="121"/>
      <c r="DN82" s="121"/>
      <c r="DO82" s="121"/>
      <c r="DP82" s="121"/>
      <c r="DQ82" s="121"/>
      <c r="DR82" s="121"/>
      <c r="DS82" s="121"/>
      <c r="DT82" s="121"/>
      <c r="DU82" s="121"/>
      <c r="DV82" s="121"/>
      <c r="DW82" s="121"/>
      <c r="DX82" s="121"/>
      <c r="DY82" s="121"/>
      <c r="DZ82" s="121"/>
      <c r="EA82" s="121"/>
      <c r="EB82" s="121"/>
      <c r="EC82" s="121"/>
      <c r="ED82" s="121"/>
      <c r="EE82" s="121"/>
      <c r="EF82" s="121"/>
      <c r="EG82" s="121"/>
      <c r="EH82" s="121"/>
      <c r="EI82" s="121"/>
      <c r="EJ82" s="121"/>
      <c r="EK82" s="121"/>
      <c r="EL82" s="121"/>
      <c r="EM82" s="121"/>
      <c r="EN82" s="121"/>
      <c r="EO82" s="121"/>
      <c r="EP82" s="121"/>
      <c r="EQ82" s="121"/>
      <c r="ER82" s="121"/>
      <c r="ES82" s="121"/>
      <c r="ET82" s="121"/>
      <c r="EU82" s="121"/>
      <c r="EV82" s="121"/>
      <c r="EW82" s="121"/>
      <c r="EX82" s="121"/>
      <c r="EY82" s="121"/>
      <c r="EZ82" s="121"/>
      <c r="FA82" s="121"/>
      <c r="FB82" s="121"/>
      <c r="FC82" s="121"/>
      <c r="FD82" s="121"/>
      <c r="FE82" s="121"/>
      <c r="FF82" s="121"/>
      <c r="FG82" s="121"/>
      <c r="FH82" s="121"/>
      <c r="FI82" s="121"/>
      <c r="FJ82" s="121"/>
      <c r="FK82" s="121"/>
      <c r="FL82" s="121"/>
      <c r="FM82" s="121"/>
      <c r="FN82" s="121"/>
      <c r="FO82" s="121"/>
      <c r="FP82" s="121"/>
      <c r="FQ82" s="121"/>
      <c r="FR82" s="121"/>
      <c r="FS82" s="121"/>
      <c r="FT82" s="121"/>
      <c r="FU82" s="121"/>
      <c r="FV82" s="121"/>
      <c r="FW82" s="121"/>
      <c r="FX82" s="121"/>
      <c r="FY82" s="121"/>
      <c r="FZ82" s="121"/>
      <c r="GA82" s="121"/>
      <c r="GB82" s="121"/>
      <c r="GC82" s="121"/>
      <c r="GD82" s="121"/>
      <c r="GE82" s="121"/>
      <c r="GF82" s="121"/>
      <c r="GG82" s="121"/>
      <c r="GH82" s="121"/>
      <c r="GI82" s="121"/>
      <c r="GJ82" s="121"/>
      <c r="GK82" s="121"/>
      <c r="GL82" s="121"/>
      <c r="GM82" s="121"/>
      <c r="GN82" s="121"/>
      <c r="GO82" s="121"/>
      <c r="GP82" s="121"/>
    </row>
    <row r="83" spans="2:198" s="112" customFormat="1">
      <c r="B83" s="238">
        <v>8.1999999999999993</v>
      </c>
      <c r="C83" s="749" t="s">
        <v>235</v>
      </c>
      <c r="D83" s="205"/>
      <c r="E83" s="240">
        <v>45950</v>
      </c>
      <c r="F83" s="241">
        <v>4</v>
      </c>
      <c r="G83" s="240">
        <f>WORKDAY.INTL(E83,F83,1,Data!$C$3:$C$41)</f>
        <v>45954</v>
      </c>
      <c r="H83" s="228"/>
      <c r="I83" s="240">
        <v>45915</v>
      </c>
      <c r="J83" s="241">
        <v>3</v>
      </c>
      <c r="K83" s="240">
        <f>WORKDAY.INTL(I83,J83,1,Data!$C$3:$C$41)</f>
        <v>45918</v>
      </c>
      <c r="M83" s="243">
        <v>1</v>
      </c>
      <c r="N83" s="243">
        <v>1</v>
      </c>
      <c r="O83" s="122"/>
      <c r="Q83" s="124"/>
      <c r="R83" s="121"/>
      <c r="S83" s="121"/>
      <c r="T83" s="121"/>
      <c r="U83" s="121"/>
      <c r="V83" s="121"/>
      <c r="W83" s="121"/>
      <c r="X83" s="121"/>
      <c r="Y83" s="121"/>
      <c r="Z83" s="121"/>
      <c r="AA83" s="121"/>
      <c r="AB83" s="121"/>
      <c r="AC83" s="121"/>
      <c r="AD83" s="121"/>
      <c r="AE83" s="121"/>
      <c r="AF83" s="121"/>
      <c r="AG83" s="121"/>
      <c r="AH83" s="121"/>
      <c r="AI83" s="121"/>
      <c r="AJ83" s="121"/>
      <c r="AK83" s="121"/>
      <c r="AL83" s="121"/>
      <c r="AM83" s="121"/>
      <c r="AN83" s="121"/>
      <c r="AO83" s="121"/>
      <c r="AP83" s="121"/>
      <c r="AQ83" s="121"/>
      <c r="AR83" s="121"/>
      <c r="AS83" s="121"/>
      <c r="AT83" s="121"/>
      <c r="AU83" s="121"/>
      <c r="AV83" s="121"/>
      <c r="AW83" s="121"/>
      <c r="AX83" s="121"/>
      <c r="AY83" s="121"/>
      <c r="AZ83" s="121"/>
      <c r="BA83" s="121"/>
      <c r="BB83" s="121"/>
      <c r="BC83" s="121"/>
      <c r="BD83" s="121"/>
      <c r="BE83" s="121"/>
      <c r="BF83" s="121"/>
      <c r="BG83" s="121"/>
      <c r="BH83" s="121"/>
      <c r="BI83" s="121"/>
      <c r="BJ83" s="121"/>
      <c r="BK83" s="121"/>
      <c r="BL83" s="121"/>
      <c r="BM83" s="121"/>
      <c r="BN83" s="121"/>
      <c r="BO83" s="121"/>
      <c r="BP83" s="121"/>
      <c r="BQ83" s="121"/>
      <c r="BR83" s="121"/>
      <c r="BS83" s="121"/>
      <c r="BT83" s="121"/>
      <c r="BU83" s="121"/>
      <c r="BV83" s="121"/>
      <c r="BW83" s="121"/>
      <c r="BX83" s="121"/>
      <c r="BY83" s="121"/>
      <c r="BZ83" s="121"/>
      <c r="CA83" s="121"/>
      <c r="CB83" s="121"/>
      <c r="CC83" s="121"/>
      <c r="CD83" s="121"/>
      <c r="CE83" s="121"/>
      <c r="CF83" s="121"/>
      <c r="CG83" s="121"/>
      <c r="CH83" s="121"/>
      <c r="CI83" s="121"/>
      <c r="CJ83" s="121"/>
      <c r="CK83" s="121"/>
      <c r="CL83" s="121"/>
      <c r="CM83" s="121"/>
      <c r="CN83" s="121"/>
      <c r="CO83" s="121"/>
      <c r="CP83" s="121"/>
      <c r="CQ83" s="121"/>
      <c r="CR83" s="121"/>
      <c r="CS83" s="121"/>
      <c r="CT83" s="121"/>
      <c r="CU83" s="121"/>
      <c r="CV83" s="121"/>
      <c r="CW83" s="121"/>
      <c r="CX83" s="121"/>
      <c r="CY83" s="121"/>
      <c r="CZ83" s="121"/>
      <c r="DA83" s="121"/>
      <c r="DB83" s="121"/>
      <c r="DC83" s="121"/>
      <c r="DD83" s="121"/>
      <c r="DE83" s="121"/>
      <c r="DF83" s="121"/>
      <c r="DG83" s="121"/>
      <c r="DH83" s="121"/>
      <c r="DI83" s="121"/>
      <c r="DJ83" s="121"/>
      <c r="DK83" s="121"/>
      <c r="DL83" s="121"/>
      <c r="DM83" s="121"/>
      <c r="DN83" s="121"/>
      <c r="DO83" s="121"/>
      <c r="DP83" s="121"/>
      <c r="DQ83" s="121"/>
      <c r="DR83" s="121"/>
      <c r="DS83" s="121"/>
      <c r="DT83" s="121"/>
      <c r="DU83" s="121"/>
      <c r="DV83" s="121"/>
      <c r="DW83" s="121"/>
      <c r="DX83" s="121"/>
      <c r="DY83" s="121"/>
      <c r="DZ83" s="121"/>
      <c r="EA83" s="121"/>
      <c r="EB83" s="121"/>
      <c r="EC83" s="121"/>
      <c r="ED83" s="121"/>
      <c r="EE83" s="121"/>
      <c r="EF83" s="121"/>
      <c r="EG83" s="121"/>
      <c r="EH83" s="121"/>
      <c r="EI83" s="121"/>
      <c r="EJ83" s="121"/>
      <c r="EK83" s="121"/>
      <c r="EL83" s="121"/>
      <c r="EM83" s="121"/>
      <c r="EN83" s="121"/>
      <c r="EO83" s="121"/>
      <c r="EP83" s="121"/>
      <c r="EQ83" s="121"/>
      <c r="ER83" s="121"/>
      <c r="ES83" s="121"/>
      <c r="ET83" s="121"/>
      <c r="EU83" s="121"/>
      <c r="EV83" s="121"/>
      <c r="EW83" s="121"/>
      <c r="EX83" s="121"/>
      <c r="EY83" s="121"/>
      <c r="EZ83" s="121"/>
      <c r="FA83" s="121"/>
      <c r="FB83" s="121"/>
      <c r="FC83" s="121"/>
      <c r="FD83" s="121"/>
      <c r="FE83" s="121"/>
      <c r="FF83" s="121"/>
      <c r="FG83" s="121"/>
      <c r="FH83" s="121"/>
      <c r="FI83" s="121"/>
      <c r="FJ83" s="121"/>
      <c r="FK83" s="121"/>
      <c r="FL83" s="121"/>
      <c r="FM83" s="121"/>
      <c r="FN83" s="121"/>
      <c r="FO83" s="121"/>
      <c r="FP83" s="121"/>
      <c r="FQ83" s="121"/>
      <c r="FR83" s="121"/>
      <c r="FS83" s="121"/>
      <c r="FT83" s="121"/>
      <c r="FU83" s="121"/>
      <c r="FV83" s="121"/>
      <c r="FW83" s="121"/>
      <c r="FX83" s="121"/>
      <c r="FY83" s="121"/>
      <c r="FZ83" s="121"/>
      <c r="GA83" s="121"/>
      <c r="GB83" s="121"/>
      <c r="GC83" s="121"/>
      <c r="GD83" s="121"/>
      <c r="GE83" s="121"/>
      <c r="GF83" s="121"/>
      <c r="GG83" s="121"/>
      <c r="GH83" s="121"/>
      <c r="GI83" s="121"/>
      <c r="GJ83" s="121"/>
      <c r="GK83" s="121"/>
      <c r="GL83" s="121"/>
      <c r="GM83" s="121"/>
      <c r="GN83" s="121"/>
      <c r="GO83" s="121"/>
      <c r="GP83" s="121"/>
    </row>
    <row r="84" spans="2:198" s="112" customFormat="1">
      <c r="B84" s="238">
        <v>8.3000000000000007</v>
      </c>
      <c r="C84" s="749" t="s">
        <v>236</v>
      </c>
      <c r="D84" s="205"/>
      <c r="E84" s="240">
        <f>WORKDAY.INTL(G83,0,1,Data!$C$3:$C$41)</f>
        <v>45954</v>
      </c>
      <c r="F84" s="241">
        <v>2</v>
      </c>
      <c r="G84" s="240">
        <f>WORKDAY.INTL(E84,F84,1,Data!$C$3:$C$41)</f>
        <v>45958</v>
      </c>
      <c r="H84" s="228"/>
      <c r="I84" s="240">
        <f>WORKDAY.INTL(K83,0,1,Data!$C$3:$C$41)</f>
        <v>45918</v>
      </c>
      <c r="J84" s="241">
        <v>2</v>
      </c>
      <c r="K84" s="240">
        <f>WORKDAY.INTL(I84,J84,1,Data!$C$3:$C$41)</f>
        <v>45922</v>
      </c>
      <c r="M84" s="243">
        <v>1</v>
      </c>
      <c r="N84" s="243">
        <f ca="1">_xlfn.LET(
  _xlpm.s,VALUE(I84),
  _xlpm.e,VALUE(K84),
  IF(OR(_xlpm.s="",_xlpm.e=""),"", IF(_xlpm.e&lt;=_xlpm.s, IF(TODAY()&gt;=_xlpm.e,1,0), MAX(0,MIN(1,(TODAY()-_xlpm.s)/(_xlpm.e-_xlpm.s)))))
)</f>
        <v>1</v>
      </c>
      <c r="O84" s="122"/>
      <c r="Q84" s="124"/>
      <c r="R84" s="121"/>
      <c r="S84" s="121"/>
      <c r="T84" s="121"/>
      <c r="U84" s="121"/>
      <c r="V84" s="121"/>
      <c r="W84" s="121"/>
      <c r="X84" s="121"/>
      <c r="Y84" s="121"/>
      <c r="Z84" s="121"/>
      <c r="AA84" s="121"/>
      <c r="AB84" s="121"/>
      <c r="AC84" s="121"/>
      <c r="AD84" s="121"/>
      <c r="AE84" s="121"/>
      <c r="AF84" s="121"/>
      <c r="AG84" s="121"/>
      <c r="AH84" s="121"/>
      <c r="AI84" s="121"/>
      <c r="AJ84" s="121"/>
      <c r="AK84" s="121"/>
      <c r="AL84" s="121"/>
      <c r="AM84" s="121"/>
      <c r="AN84" s="121"/>
      <c r="AO84" s="121"/>
      <c r="AP84" s="121"/>
      <c r="AQ84" s="121"/>
      <c r="AR84" s="121"/>
      <c r="AS84" s="121"/>
      <c r="AT84" s="121"/>
      <c r="AU84" s="121"/>
      <c r="AV84" s="121"/>
      <c r="AW84" s="121"/>
      <c r="AX84" s="121"/>
      <c r="AY84" s="121"/>
      <c r="AZ84" s="121"/>
      <c r="BA84" s="121"/>
      <c r="BB84" s="121"/>
      <c r="BC84" s="121"/>
      <c r="BD84" s="121"/>
      <c r="BE84" s="121"/>
      <c r="BF84" s="121"/>
      <c r="BG84" s="121"/>
      <c r="BH84" s="121"/>
      <c r="BI84" s="121"/>
      <c r="BJ84" s="121"/>
      <c r="BK84" s="121"/>
      <c r="BL84" s="121"/>
      <c r="BM84" s="121"/>
      <c r="BN84" s="121"/>
      <c r="BO84" s="121"/>
      <c r="BP84" s="121"/>
      <c r="BQ84" s="121"/>
      <c r="BR84" s="121"/>
      <c r="BS84" s="121"/>
      <c r="BT84" s="121"/>
      <c r="BU84" s="121"/>
      <c r="BV84" s="121"/>
      <c r="BW84" s="121"/>
      <c r="BX84" s="121"/>
      <c r="BY84" s="121"/>
      <c r="BZ84" s="121"/>
      <c r="CA84" s="121"/>
      <c r="CB84" s="121"/>
      <c r="CC84" s="121"/>
      <c r="CD84" s="121"/>
      <c r="CE84" s="121"/>
      <c r="CF84" s="121"/>
      <c r="CG84" s="121"/>
      <c r="CH84" s="121"/>
      <c r="CI84" s="121"/>
      <c r="CJ84" s="121"/>
      <c r="CK84" s="121"/>
      <c r="CL84" s="121"/>
      <c r="CM84" s="121"/>
      <c r="CN84" s="121"/>
      <c r="CO84" s="121"/>
      <c r="CP84" s="121"/>
      <c r="CQ84" s="121"/>
      <c r="CR84" s="121"/>
      <c r="CS84" s="121"/>
      <c r="CT84" s="121"/>
      <c r="CU84" s="121"/>
      <c r="CV84" s="121"/>
      <c r="CW84" s="121"/>
      <c r="CX84" s="121"/>
      <c r="CY84" s="121"/>
      <c r="CZ84" s="121"/>
      <c r="DA84" s="121"/>
      <c r="DB84" s="121"/>
      <c r="DC84" s="121"/>
      <c r="DD84" s="121"/>
      <c r="DE84" s="121"/>
      <c r="DF84" s="121"/>
      <c r="DG84" s="121"/>
      <c r="DH84" s="121"/>
      <c r="DI84" s="121"/>
      <c r="DJ84" s="121"/>
      <c r="DK84" s="121"/>
      <c r="DL84" s="121"/>
      <c r="DM84" s="121"/>
      <c r="DN84" s="121"/>
      <c r="DO84" s="121"/>
      <c r="DP84" s="121"/>
      <c r="DQ84" s="121"/>
      <c r="DR84" s="121"/>
      <c r="DS84" s="121"/>
      <c r="DT84" s="121"/>
      <c r="DU84" s="121"/>
      <c r="DV84" s="121"/>
      <c r="DW84" s="121"/>
      <c r="DX84" s="121"/>
      <c r="DY84" s="121"/>
      <c r="DZ84" s="121"/>
      <c r="EA84" s="121"/>
      <c r="EB84" s="121"/>
      <c r="EC84" s="121"/>
      <c r="ED84" s="121"/>
      <c r="EE84" s="121"/>
      <c r="EF84" s="121"/>
      <c r="EG84" s="121"/>
      <c r="EH84" s="121"/>
      <c r="EI84" s="121"/>
      <c r="EJ84" s="121"/>
      <c r="EK84" s="121"/>
      <c r="EL84" s="121"/>
      <c r="EM84" s="121"/>
      <c r="EN84" s="121"/>
      <c r="EO84" s="121"/>
      <c r="EP84" s="121"/>
      <c r="EQ84" s="121"/>
      <c r="ER84" s="121"/>
      <c r="ES84" s="121"/>
      <c r="ET84" s="121"/>
      <c r="EU84" s="121"/>
      <c r="EV84" s="121"/>
      <c r="EW84" s="121"/>
      <c r="EX84" s="121"/>
      <c r="EY84" s="121"/>
      <c r="EZ84" s="121"/>
      <c r="FA84" s="121"/>
      <c r="FB84" s="121"/>
      <c r="FC84" s="121"/>
      <c r="FD84" s="121"/>
      <c r="FE84" s="121"/>
      <c r="FF84" s="121"/>
      <c r="FG84" s="121"/>
      <c r="FH84" s="121"/>
      <c r="FI84" s="121"/>
      <c r="FJ84" s="121"/>
      <c r="FK84" s="121"/>
      <c r="FL84" s="121"/>
      <c r="FM84" s="121"/>
      <c r="FN84" s="121"/>
      <c r="FO84" s="121"/>
      <c r="FP84" s="121"/>
      <c r="FQ84" s="121"/>
      <c r="FR84" s="121"/>
      <c r="FS84" s="121"/>
      <c r="FT84" s="121"/>
      <c r="FU84" s="121"/>
      <c r="FV84" s="121"/>
      <c r="FW84" s="121"/>
      <c r="FX84" s="121"/>
      <c r="FY84" s="121"/>
      <c r="FZ84" s="121"/>
      <c r="GA84" s="121"/>
      <c r="GB84" s="121"/>
      <c r="GC84" s="121"/>
      <c r="GD84" s="121"/>
      <c r="GE84" s="121"/>
      <c r="GF84" s="121"/>
      <c r="GG84" s="121"/>
      <c r="GH84" s="121"/>
      <c r="GI84" s="121"/>
      <c r="GJ84" s="121"/>
      <c r="GK84" s="121"/>
      <c r="GL84" s="121"/>
      <c r="GM84" s="121"/>
      <c r="GN84" s="121"/>
      <c r="GO84" s="121"/>
      <c r="GP84" s="121"/>
    </row>
    <row r="85" spans="2:198" s="112" customFormat="1">
      <c r="B85" s="238">
        <v>8.4</v>
      </c>
      <c r="C85" s="749" t="s">
        <v>237</v>
      </c>
      <c r="D85" s="205"/>
      <c r="E85" s="240">
        <f>WORKDAY.INTL(G84,0,1,Data!$C$3:$C$41)</f>
        <v>45958</v>
      </c>
      <c r="F85" s="241">
        <v>4</v>
      </c>
      <c r="G85" s="240">
        <f>WORKDAY.INTL(E85,F85,1,Data!$C$3:$C$41)</f>
        <v>45964</v>
      </c>
      <c r="H85" s="228"/>
      <c r="I85" s="240">
        <f>WORKDAY.INTL(K84,0,1,Data!$C$3:$C$41)</f>
        <v>45922</v>
      </c>
      <c r="J85" s="241">
        <v>7</v>
      </c>
      <c r="K85" s="240">
        <f>WORKDAY.INTL(I85,J85,1,Data!$C$3:$C$41)</f>
        <v>45932</v>
      </c>
      <c r="M85" s="243">
        <v>1</v>
      </c>
      <c r="N85" s="243">
        <f ca="1">_xlfn.LET(
  _xlpm.s,VALUE(I85),
  _xlpm.e,VALUE(K85),
  IF(OR(_xlpm.s="",_xlpm.e=""),"", IF(_xlpm.e&lt;=_xlpm.s, IF(TODAY()&gt;=_xlpm.e,1,0), MAX(0,MIN(1,(TODAY()-_xlpm.s)/(_xlpm.e-_xlpm.s)))))
)</f>
        <v>1</v>
      </c>
      <c r="O85" s="122"/>
      <c r="Q85" s="124"/>
      <c r="R85" s="121"/>
      <c r="S85" s="121"/>
      <c r="T85" s="121"/>
      <c r="U85" s="121"/>
      <c r="V85" s="121"/>
      <c r="W85" s="121"/>
      <c r="X85" s="121"/>
      <c r="Y85" s="121"/>
      <c r="Z85" s="121"/>
      <c r="AA85" s="121"/>
      <c r="AB85" s="121"/>
      <c r="AC85" s="121"/>
      <c r="AD85" s="121"/>
      <c r="AE85" s="121"/>
      <c r="AF85" s="121"/>
      <c r="AG85" s="121"/>
      <c r="AH85" s="121"/>
      <c r="AI85" s="121"/>
      <c r="AJ85" s="121"/>
      <c r="AK85" s="121"/>
      <c r="AL85" s="121"/>
      <c r="AM85" s="121"/>
      <c r="AN85" s="121"/>
      <c r="AO85" s="121"/>
      <c r="AP85" s="121"/>
      <c r="AQ85" s="121"/>
      <c r="AR85" s="121"/>
      <c r="AS85" s="121"/>
      <c r="AT85" s="121"/>
      <c r="AU85" s="121"/>
      <c r="AV85" s="121"/>
      <c r="AW85" s="121"/>
      <c r="AX85" s="121"/>
      <c r="AY85" s="121"/>
      <c r="AZ85" s="121"/>
      <c r="BA85" s="121"/>
      <c r="BB85" s="121"/>
      <c r="BC85" s="121"/>
      <c r="BD85" s="121"/>
      <c r="BE85" s="121"/>
      <c r="BF85" s="121"/>
      <c r="BG85" s="121"/>
      <c r="BH85" s="121"/>
      <c r="BI85" s="121"/>
      <c r="BJ85" s="121"/>
      <c r="BK85" s="121"/>
      <c r="BL85" s="121"/>
      <c r="BM85" s="121"/>
      <c r="BN85" s="121"/>
      <c r="BO85" s="121"/>
      <c r="BP85" s="121"/>
      <c r="BQ85" s="121"/>
      <c r="BR85" s="121"/>
      <c r="BS85" s="121"/>
      <c r="BT85" s="121"/>
      <c r="BU85" s="121"/>
      <c r="BV85" s="121"/>
      <c r="BW85" s="121"/>
      <c r="BX85" s="121"/>
      <c r="BY85" s="121"/>
      <c r="BZ85" s="121"/>
      <c r="CA85" s="121"/>
      <c r="CB85" s="121"/>
      <c r="CC85" s="121"/>
      <c r="CD85" s="121"/>
      <c r="CE85" s="121"/>
      <c r="CF85" s="121"/>
      <c r="CG85" s="121"/>
      <c r="CH85" s="121"/>
      <c r="CI85" s="121"/>
      <c r="CJ85" s="121"/>
      <c r="CK85" s="121"/>
      <c r="CL85" s="121"/>
      <c r="CM85" s="121"/>
      <c r="CN85" s="121"/>
      <c r="CO85" s="121"/>
      <c r="CP85" s="121"/>
      <c r="CQ85" s="121"/>
      <c r="CR85" s="121"/>
      <c r="CS85" s="121"/>
      <c r="CT85" s="121"/>
      <c r="CU85" s="121"/>
      <c r="CV85" s="121"/>
      <c r="CW85" s="121"/>
      <c r="CX85" s="121"/>
      <c r="CY85" s="121"/>
      <c r="CZ85" s="121"/>
      <c r="DA85" s="121"/>
      <c r="DB85" s="121"/>
      <c r="DC85" s="121"/>
      <c r="DD85" s="121"/>
      <c r="DE85" s="121"/>
      <c r="DF85" s="121"/>
      <c r="DG85" s="121"/>
      <c r="DH85" s="121"/>
      <c r="DI85" s="121"/>
      <c r="DJ85" s="121"/>
      <c r="DK85" s="121"/>
      <c r="DL85" s="121"/>
      <c r="DM85" s="121"/>
      <c r="DN85" s="121"/>
      <c r="DO85" s="121"/>
      <c r="DP85" s="121"/>
      <c r="DQ85" s="121"/>
      <c r="DR85" s="121"/>
      <c r="DS85" s="121"/>
      <c r="DT85" s="121"/>
      <c r="DU85" s="121"/>
      <c r="DV85" s="121"/>
      <c r="DW85" s="121"/>
      <c r="DX85" s="121"/>
      <c r="DY85" s="121"/>
      <c r="DZ85" s="121"/>
      <c r="EA85" s="121"/>
      <c r="EB85" s="121"/>
      <c r="EC85" s="121"/>
      <c r="ED85" s="121"/>
      <c r="EE85" s="121"/>
      <c r="EF85" s="121"/>
      <c r="EG85" s="121"/>
      <c r="EH85" s="121"/>
      <c r="EI85" s="121"/>
      <c r="EJ85" s="121"/>
      <c r="EK85" s="121"/>
      <c r="EL85" s="121"/>
      <c r="EM85" s="121"/>
      <c r="EN85" s="121"/>
      <c r="EO85" s="121"/>
      <c r="EP85" s="121"/>
      <c r="EQ85" s="121"/>
      <c r="ER85" s="121"/>
      <c r="ES85" s="121"/>
      <c r="ET85" s="121"/>
      <c r="EU85" s="121"/>
      <c r="EV85" s="121"/>
      <c r="EW85" s="121"/>
      <c r="EX85" s="121"/>
      <c r="EY85" s="121"/>
      <c r="EZ85" s="121"/>
      <c r="FA85" s="121"/>
      <c r="FB85" s="121"/>
      <c r="FC85" s="121"/>
      <c r="FD85" s="121"/>
      <c r="FE85" s="121"/>
      <c r="FF85" s="121"/>
      <c r="FG85" s="121"/>
      <c r="FH85" s="121"/>
      <c r="FI85" s="121"/>
      <c r="FJ85" s="121"/>
      <c r="FK85" s="121"/>
      <c r="FL85" s="121"/>
      <c r="FM85" s="121"/>
      <c r="FN85" s="121"/>
      <c r="FO85" s="121"/>
      <c r="FP85" s="121"/>
      <c r="FQ85" s="121"/>
      <c r="FR85" s="121"/>
      <c r="FS85" s="121"/>
      <c r="FT85" s="121"/>
      <c r="FU85" s="121"/>
      <c r="FV85" s="121"/>
      <c r="FW85" s="121"/>
      <c r="FX85" s="121"/>
      <c r="FY85" s="121"/>
      <c r="FZ85" s="121"/>
      <c r="GA85" s="121"/>
      <c r="GB85" s="121"/>
      <c r="GC85" s="121"/>
      <c r="GD85" s="121"/>
      <c r="GE85" s="121"/>
      <c r="GF85" s="121"/>
      <c r="GG85" s="121"/>
      <c r="GH85" s="121"/>
      <c r="GI85" s="121"/>
      <c r="GJ85" s="121"/>
      <c r="GK85" s="121"/>
      <c r="GL85" s="121"/>
      <c r="GM85" s="121"/>
      <c r="GN85" s="121"/>
      <c r="GO85" s="121"/>
      <c r="GP85" s="121"/>
    </row>
    <row r="86" spans="2:198" s="112" customFormat="1">
      <c r="B86" s="238">
        <v>8.5</v>
      </c>
      <c r="C86" s="749" t="s">
        <v>238</v>
      </c>
      <c r="D86" s="205"/>
      <c r="E86" s="240">
        <f>WORKDAY.INTL(G85,0,1,Data!$C$3:$C$41)</f>
        <v>45964</v>
      </c>
      <c r="F86" s="241">
        <v>5</v>
      </c>
      <c r="G86" s="240">
        <f>WORKDAY.INTL(E86,F86,1,Data!$C$3:$C$41)</f>
        <v>45971</v>
      </c>
      <c r="H86" s="228"/>
      <c r="I86" s="240">
        <f>WORKDAY.INTL(K49,0,1,Data!$C$3:$C$41)</f>
        <v>45999</v>
      </c>
      <c r="J86" s="241">
        <v>6</v>
      </c>
      <c r="K86" s="240">
        <f>WORKDAY.INTL(I86,J86,1,Data!$C$3:$C$41)</f>
        <v>46007</v>
      </c>
      <c r="M86" s="243">
        <v>1</v>
      </c>
      <c r="N86" s="243">
        <f ca="1">_xlfn.LET(
  _xlpm.s,VALUE(I86),
  _xlpm.e,VALUE(K86),
  IF(OR(_xlpm.s="",_xlpm.e=""),"", IF(_xlpm.e&lt;=_xlpm.s, IF(TODAY()&gt;=_xlpm.e,1,0), MAX(0,MIN(1,(TODAY()-_xlpm.s)/(_xlpm.e-_xlpm.s)))))
)</f>
        <v>1</v>
      </c>
      <c r="O86" s="122"/>
      <c r="Q86" s="124"/>
      <c r="R86" s="121"/>
      <c r="S86" s="121"/>
      <c r="T86" s="121"/>
      <c r="U86" s="121"/>
      <c r="V86" s="121"/>
      <c r="W86" s="121"/>
      <c r="X86" s="121"/>
      <c r="Y86" s="121"/>
      <c r="Z86" s="121"/>
      <c r="AA86" s="121"/>
      <c r="AB86" s="121"/>
      <c r="AC86" s="121"/>
      <c r="AD86" s="121"/>
      <c r="AE86" s="121"/>
      <c r="AF86" s="121"/>
      <c r="AG86" s="121"/>
      <c r="AH86" s="121"/>
      <c r="AI86" s="121"/>
      <c r="AJ86" s="121"/>
      <c r="AK86" s="121"/>
      <c r="AL86" s="121"/>
      <c r="AM86" s="121"/>
      <c r="AN86" s="121"/>
      <c r="AO86" s="121"/>
      <c r="AP86" s="121"/>
      <c r="AQ86" s="121"/>
      <c r="AR86" s="121"/>
      <c r="AS86" s="121"/>
      <c r="AT86" s="121"/>
      <c r="AU86" s="121"/>
      <c r="AV86" s="121"/>
      <c r="AW86" s="121"/>
      <c r="AX86" s="121"/>
      <c r="AY86" s="121"/>
      <c r="AZ86" s="121"/>
      <c r="BA86" s="121"/>
      <c r="BB86" s="121"/>
      <c r="BC86" s="121"/>
      <c r="BD86" s="121"/>
      <c r="BE86" s="121"/>
      <c r="BF86" s="121"/>
      <c r="BG86" s="121"/>
      <c r="BH86" s="121"/>
      <c r="BI86" s="121"/>
      <c r="BJ86" s="121"/>
      <c r="BK86" s="121"/>
      <c r="BL86" s="121"/>
      <c r="BM86" s="121"/>
      <c r="BN86" s="121"/>
      <c r="BO86" s="121"/>
      <c r="BP86" s="121"/>
      <c r="BQ86" s="121"/>
      <c r="BR86" s="121"/>
      <c r="BS86" s="121"/>
      <c r="BT86" s="121"/>
      <c r="BU86" s="121"/>
      <c r="BV86" s="121"/>
      <c r="BW86" s="121"/>
      <c r="BX86" s="121"/>
      <c r="BY86" s="121"/>
      <c r="BZ86" s="121"/>
      <c r="CA86" s="121"/>
      <c r="CB86" s="121"/>
      <c r="CC86" s="121"/>
      <c r="CD86" s="121"/>
      <c r="CE86" s="121"/>
      <c r="CF86" s="121"/>
      <c r="CG86" s="121"/>
      <c r="CH86" s="121"/>
      <c r="CI86" s="121"/>
      <c r="CJ86" s="121"/>
      <c r="CK86" s="121"/>
      <c r="CL86" s="121"/>
      <c r="CM86" s="121"/>
      <c r="CN86" s="121"/>
      <c r="CO86" s="121"/>
      <c r="CP86" s="121"/>
      <c r="CQ86" s="121"/>
      <c r="CR86" s="121"/>
      <c r="CS86" s="121"/>
      <c r="CT86" s="121"/>
      <c r="CU86" s="121"/>
      <c r="CV86" s="121"/>
      <c r="CW86" s="121"/>
      <c r="CX86" s="121"/>
      <c r="CY86" s="121"/>
      <c r="CZ86" s="121"/>
      <c r="DA86" s="121"/>
      <c r="DB86" s="121"/>
      <c r="DC86" s="121"/>
      <c r="DD86" s="121"/>
      <c r="DE86" s="121"/>
      <c r="DF86" s="121"/>
      <c r="DG86" s="121"/>
      <c r="DH86" s="121"/>
      <c r="DI86" s="121"/>
      <c r="DJ86" s="121"/>
      <c r="DK86" s="121"/>
      <c r="DL86" s="121"/>
      <c r="DM86" s="121"/>
      <c r="DN86" s="121"/>
      <c r="DO86" s="121"/>
      <c r="DP86" s="121"/>
      <c r="DQ86" s="121"/>
      <c r="DR86" s="121"/>
      <c r="DS86" s="121"/>
      <c r="DT86" s="121"/>
      <c r="DU86" s="121"/>
      <c r="DV86" s="121"/>
      <c r="DW86" s="121"/>
      <c r="DX86" s="121"/>
      <c r="DY86" s="121"/>
      <c r="DZ86" s="121"/>
      <c r="EA86" s="121"/>
      <c r="EB86" s="121"/>
      <c r="EC86" s="121"/>
      <c r="ED86" s="121"/>
      <c r="EE86" s="121"/>
      <c r="EF86" s="121"/>
      <c r="EG86" s="121"/>
      <c r="EH86" s="121"/>
      <c r="EI86" s="121"/>
      <c r="EJ86" s="121"/>
      <c r="EK86" s="121"/>
      <c r="EL86" s="121"/>
      <c r="EM86" s="121"/>
      <c r="EN86" s="121"/>
      <c r="EO86" s="121"/>
      <c r="EP86" s="121"/>
      <c r="EQ86" s="121"/>
      <c r="ER86" s="121"/>
      <c r="ES86" s="121"/>
      <c r="ET86" s="121"/>
      <c r="EU86" s="121"/>
      <c r="EV86" s="121"/>
      <c r="EW86" s="121"/>
      <c r="EX86" s="121"/>
      <c r="EY86" s="121"/>
      <c r="EZ86" s="121"/>
      <c r="FA86" s="121"/>
      <c r="FB86" s="121"/>
      <c r="FC86" s="121"/>
      <c r="FD86" s="121"/>
      <c r="FE86" s="121"/>
      <c r="FF86" s="121"/>
      <c r="FG86" s="121"/>
      <c r="FH86" s="121"/>
      <c r="FI86" s="121"/>
      <c r="FJ86" s="121"/>
      <c r="FK86" s="121"/>
      <c r="FL86" s="121"/>
      <c r="FM86" s="121"/>
      <c r="FN86" s="121"/>
      <c r="FO86" s="121"/>
      <c r="FP86" s="121"/>
      <c r="FQ86" s="121"/>
      <c r="FR86" s="121"/>
      <c r="FS86" s="121"/>
      <c r="FT86" s="121"/>
      <c r="FU86" s="121"/>
      <c r="FV86" s="121"/>
      <c r="FW86" s="121"/>
      <c r="FX86" s="121"/>
      <c r="FY86" s="121"/>
      <c r="FZ86" s="121"/>
      <c r="GA86" s="121"/>
      <c r="GB86" s="121"/>
      <c r="GC86" s="121"/>
      <c r="GD86" s="121"/>
      <c r="GE86" s="121"/>
      <c r="GF86" s="121"/>
      <c r="GG86" s="121"/>
      <c r="GH86" s="121"/>
      <c r="GI86" s="121"/>
      <c r="GJ86" s="121"/>
      <c r="GK86" s="121"/>
      <c r="GL86" s="121"/>
      <c r="GM86" s="121"/>
      <c r="GN86" s="121"/>
      <c r="GO86" s="121"/>
      <c r="GP86" s="121"/>
    </row>
    <row r="87" spans="2:198" s="112" customFormat="1" ht="4.5" customHeight="1">
      <c r="B87" s="229"/>
      <c r="C87" s="205"/>
      <c r="D87" s="205"/>
      <c r="E87" s="230"/>
      <c r="F87" s="230"/>
      <c r="G87" s="231"/>
      <c r="H87" s="228"/>
      <c r="I87" s="230"/>
      <c r="J87" s="230"/>
      <c r="K87" s="231"/>
      <c r="N87" s="168"/>
      <c r="Q87" s="3"/>
    </row>
    <row r="88" spans="2:198" s="112" customFormat="1">
      <c r="B88" s="234">
        <v>9</v>
      </c>
      <c r="C88" s="235" t="s">
        <v>240</v>
      </c>
      <c r="D88" s="205"/>
      <c r="E88" s="689">
        <f>MIN(E89:E96)</f>
        <v>45922</v>
      </c>
      <c r="F88" s="690">
        <f>G88-E88</f>
        <v>43</v>
      </c>
      <c r="G88" s="689">
        <f>MAX(G89:G96)</f>
        <v>45965</v>
      </c>
      <c r="H88" s="228"/>
      <c r="I88" s="689">
        <f>MIN(I89:I96)</f>
        <v>45986</v>
      </c>
      <c r="J88" s="690">
        <f>K88-I88</f>
        <v>22</v>
      </c>
      <c r="K88" s="689">
        <f>MAX(K89:K96)</f>
        <v>46008</v>
      </c>
      <c r="M88" s="350">
        <f>AVERAGE(M89:M96)</f>
        <v>1</v>
      </c>
      <c r="N88" s="350">
        <f ca="1">AVERAGE(N89:N96)</f>
        <v>1</v>
      </c>
      <c r="O88" s="119"/>
      <c r="Q88" s="124"/>
      <c r="R88" s="121"/>
      <c r="S88" s="121"/>
      <c r="T88" s="121"/>
      <c r="U88" s="121"/>
      <c r="V88" s="121"/>
      <c r="W88" s="121"/>
      <c r="X88" s="121"/>
      <c r="Y88" s="121"/>
      <c r="Z88" s="121"/>
      <c r="AA88" s="121"/>
      <c r="AB88" s="121"/>
      <c r="AC88" s="121"/>
      <c r="AD88" s="121"/>
      <c r="AE88" s="121"/>
      <c r="AF88" s="121"/>
      <c r="AG88" s="121"/>
      <c r="AH88" s="121"/>
      <c r="AI88" s="121"/>
      <c r="AJ88" s="121"/>
      <c r="AK88" s="121"/>
      <c r="AL88" s="121"/>
      <c r="AM88" s="121"/>
      <c r="AN88" s="121"/>
      <c r="AO88" s="121"/>
      <c r="AP88" s="121"/>
      <c r="AQ88" s="121"/>
      <c r="AR88" s="121"/>
      <c r="AS88" s="121"/>
      <c r="AT88" s="121"/>
      <c r="AU88" s="121"/>
      <c r="AV88" s="121"/>
      <c r="AW88" s="121"/>
      <c r="AX88" s="121"/>
      <c r="AY88" s="121"/>
      <c r="AZ88" s="121"/>
      <c r="BA88" s="121"/>
      <c r="BB88" s="121"/>
      <c r="BC88" s="121"/>
      <c r="BD88" s="121"/>
      <c r="BE88" s="121"/>
      <c r="BF88" s="121"/>
      <c r="BG88" s="121"/>
      <c r="BH88" s="121"/>
      <c r="BI88" s="121"/>
      <c r="BJ88" s="121"/>
      <c r="BK88" s="121"/>
      <c r="BL88" s="121"/>
      <c r="BM88" s="121"/>
      <c r="BN88" s="121"/>
      <c r="BO88" s="121"/>
      <c r="BP88" s="121"/>
      <c r="BQ88" s="121"/>
      <c r="BR88" s="121"/>
      <c r="BS88" s="121"/>
      <c r="BT88" s="121"/>
      <c r="BU88" s="121"/>
      <c r="BV88" s="121"/>
      <c r="BW88" s="121"/>
      <c r="BX88" s="121"/>
      <c r="BY88" s="121"/>
      <c r="BZ88" s="121"/>
      <c r="CA88" s="121"/>
      <c r="CB88" s="121"/>
      <c r="CC88" s="121"/>
      <c r="CD88" s="121"/>
      <c r="CE88" s="121"/>
      <c r="CF88" s="121"/>
      <c r="CG88" s="121"/>
      <c r="CH88" s="121"/>
      <c r="CI88" s="121"/>
      <c r="CJ88" s="121"/>
      <c r="CK88" s="121"/>
      <c r="CL88" s="121"/>
      <c r="CM88" s="121"/>
      <c r="CN88" s="121"/>
      <c r="CO88" s="121"/>
      <c r="CP88" s="121"/>
      <c r="CQ88" s="121"/>
      <c r="CR88" s="121"/>
      <c r="CS88" s="121"/>
      <c r="CT88" s="121"/>
      <c r="CU88" s="121"/>
      <c r="CV88" s="121"/>
      <c r="CW88" s="121"/>
      <c r="CX88" s="121"/>
      <c r="CY88" s="121"/>
      <c r="CZ88" s="121"/>
      <c r="DA88" s="121"/>
      <c r="DB88" s="121"/>
      <c r="DC88" s="121"/>
      <c r="DD88" s="121"/>
      <c r="DE88" s="121"/>
      <c r="DF88" s="121"/>
      <c r="DG88" s="121"/>
      <c r="DH88" s="121"/>
      <c r="DI88" s="121"/>
      <c r="DJ88" s="121"/>
      <c r="DK88" s="121"/>
      <c r="DL88" s="121"/>
      <c r="DM88" s="121"/>
      <c r="DN88" s="121"/>
      <c r="DO88" s="121"/>
      <c r="DP88" s="121"/>
      <c r="DQ88" s="121"/>
      <c r="DR88" s="121"/>
      <c r="DS88" s="121"/>
      <c r="DT88" s="121"/>
      <c r="DU88" s="121"/>
      <c r="DV88" s="121"/>
      <c r="DW88" s="121"/>
      <c r="DX88" s="121"/>
      <c r="DY88" s="121"/>
      <c r="DZ88" s="121"/>
      <c r="EA88" s="121"/>
      <c r="EB88" s="121"/>
      <c r="EC88" s="121"/>
      <c r="ED88" s="121"/>
      <c r="EE88" s="121"/>
      <c r="EF88" s="121"/>
      <c r="EG88" s="121"/>
      <c r="EH88" s="121"/>
      <c r="EI88" s="121"/>
      <c r="EJ88" s="121"/>
      <c r="EK88" s="121"/>
      <c r="EL88" s="121"/>
      <c r="EM88" s="121"/>
      <c r="EN88" s="121"/>
      <c r="EO88" s="121"/>
      <c r="EP88" s="121"/>
      <c r="EQ88" s="121"/>
      <c r="ER88" s="121"/>
      <c r="ES88" s="121"/>
      <c r="ET88" s="121"/>
      <c r="EU88" s="121"/>
      <c r="EV88" s="121"/>
      <c r="EW88" s="121"/>
      <c r="EX88" s="121"/>
      <c r="EY88" s="121"/>
      <c r="EZ88" s="121"/>
      <c r="FA88" s="121"/>
      <c r="FB88" s="121"/>
      <c r="FC88" s="121"/>
      <c r="FD88" s="121"/>
      <c r="FE88" s="121"/>
      <c r="FF88" s="121"/>
      <c r="FG88" s="121"/>
      <c r="FH88" s="121"/>
      <c r="FI88" s="121"/>
      <c r="FJ88" s="121"/>
      <c r="FK88" s="121"/>
      <c r="FL88" s="121"/>
      <c r="FM88" s="121"/>
      <c r="FN88" s="121"/>
      <c r="FO88" s="121"/>
      <c r="FP88" s="121"/>
      <c r="FQ88" s="121"/>
      <c r="FR88" s="121"/>
      <c r="FS88" s="121"/>
      <c r="FT88" s="121"/>
      <c r="FU88" s="121"/>
      <c r="FV88" s="121"/>
      <c r="FW88" s="121"/>
      <c r="FX88" s="121"/>
      <c r="FY88" s="121"/>
      <c r="FZ88" s="121"/>
      <c r="GA88" s="121"/>
      <c r="GB88" s="121"/>
      <c r="GC88" s="121"/>
      <c r="GD88" s="121"/>
      <c r="GE88" s="121"/>
      <c r="GF88" s="121"/>
      <c r="GG88" s="121"/>
      <c r="GH88" s="121"/>
      <c r="GI88" s="121"/>
      <c r="GJ88" s="121"/>
      <c r="GK88" s="121"/>
      <c r="GL88" s="121"/>
      <c r="GM88" s="121"/>
      <c r="GN88" s="121"/>
      <c r="GO88" s="121"/>
      <c r="GP88" s="121"/>
    </row>
    <row r="89" spans="2:198" s="112" customFormat="1">
      <c r="B89" s="238">
        <v>9.1</v>
      </c>
      <c r="C89" s="749" t="s">
        <v>241</v>
      </c>
      <c r="D89" s="205"/>
      <c r="E89" s="240">
        <v>45922</v>
      </c>
      <c r="F89" s="241">
        <v>2</v>
      </c>
      <c r="G89" s="240">
        <f>WORKDAY.INTL(E89,F89,1,Data!$C$3:$C$41)</f>
        <v>45925</v>
      </c>
      <c r="H89" s="228"/>
      <c r="I89" s="240">
        <f>K33-1</f>
        <v>45988</v>
      </c>
      <c r="J89" s="241">
        <v>1</v>
      </c>
      <c r="K89" s="240">
        <f>WORKDAY.INTL(I89,J89,1,Data!$C$3:$C$41)</f>
        <v>45989</v>
      </c>
      <c r="M89" s="243">
        <v>1</v>
      </c>
      <c r="N89" s="243">
        <f t="shared" ref="N89:N96" ca="1" si="9">_xlfn.LET(
  _xlpm.s,VALUE(I89),
  _xlpm.e,VALUE(K89),
  IF(OR(_xlpm.s="",_xlpm.e=""),"", IF(_xlpm.e&lt;=_xlpm.s, IF(TODAY()&gt;=_xlpm.e,1,0), MAX(0,MIN(1,(TODAY()-_xlpm.s)/(_xlpm.e-_xlpm.s)))))
)</f>
        <v>1</v>
      </c>
      <c r="O89" s="122"/>
      <c r="Q89" s="124"/>
      <c r="R89" s="121"/>
      <c r="S89" s="121"/>
      <c r="T89" s="121"/>
      <c r="U89" s="121"/>
      <c r="V89" s="121"/>
      <c r="W89" s="121"/>
      <c r="X89" s="121"/>
      <c r="Y89" s="121"/>
      <c r="Z89" s="121"/>
      <c r="AA89" s="121"/>
      <c r="AB89" s="121"/>
      <c r="AC89" s="121"/>
      <c r="AD89" s="121"/>
      <c r="AE89" s="121"/>
      <c r="AF89" s="121"/>
      <c r="AG89" s="121"/>
      <c r="AH89" s="121"/>
      <c r="AI89" s="121"/>
      <c r="AJ89" s="121"/>
      <c r="AK89" s="121"/>
      <c r="AL89" s="121"/>
      <c r="AM89" s="121"/>
      <c r="AN89" s="121"/>
      <c r="AO89" s="121"/>
      <c r="AP89" s="121"/>
      <c r="AQ89" s="121"/>
      <c r="AR89" s="121"/>
      <c r="AS89" s="121"/>
      <c r="AT89" s="121"/>
      <c r="AU89" s="121"/>
      <c r="AV89" s="121"/>
      <c r="AW89" s="121"/>
      <c r="AX89" s="121"/>
      <c r="AY89" s="121"/>
      <c r="AZ89" s="121"/>
      <c r="BA89" s="121"/>
      <c r="BB89" s="121"/>
      <c r="BC89" s="121"/>
      <c r="BD89" s="121"/>
      <c r="BE89" s="121"/>
      <c r="BF89" s="121"/>
      <c r="BG89" s="121"/>
      <c r="BH89" s="121"/>
      <c r="BI89" s="121"/>
      <c r="BJ89" s="121"/>
      <c r="BK89" s="121"/>
      <c r="BL89" s="121"/>
      <c r="BM89" s="121"/>
      <c r="BN89" s="121"/>
      <c r="BO89" s="121"/>
      <c r="BP89" s="121"/>
      <c r="BQ89" s="121"/>
      <c r="BR89" s="121"/>
      <c r="BS89" s="121"/>
      <c r="BT89" s="121"/>
      <c r="BU89" s="121"/>
      <c r="BV89" s="121"/>
      <c r="BW89" s="121"/>
      <c r="BX89" s="121"/>
      <c r="BY89" s="121"/>
      <c r="BZ89" s="121"/>
      <c r="CA89" s="121"/>
      <c r="CB89" s="121"/>
      <c r="CC89" s="121"/>
      <c r="CD89" s="121"/>
      <c r="CE89" s="121"/>
      <c r="CF89" s="121"/>
      <c r="CG89" s="121"/>
      <c r="CH89" s="121"/>
      <c r="CI89" s="121"/>
      <c r="CJ89" s="121"/>
      <c r="CK89" s="121"/>
      <c r="CL89" s="121"/>
      <c r="CM89" s="121"/>
      <c r="CN89" s="121"/>
      <c r="CO89" s="121"/>
      <c r="CP89" s="121"/>
      <c r="CQ89" s="121"/>
      <c r="CR89" s="121"/>
      <c r="CS89" s="121"/>
      <c r="CT89" s="121"/>
      <c r="CU89" s="121"/>
      <c r="CV89" s="121"/>
      <c r="CW89" s="121"/>
      <c r="CX89" s="121"/>
      <c r="CY89" s="121"/>
      <c r="CZ89" s="121"/>
      <c r="DA89" s="121"/>
      <c r="DB89" s="121"/>
      <c r="DC89" s="121"/>
      <c r="DD89" s="121"/>
      <c r="DE89" s="121"/>
      <c r="DF89" s="121"/>
      <c r="DG89" s="121"/>
      <c r="DH89" s="121"/>
      <c r="DI89" s="121"/>
      <c r="DJ89" s="121"/>
      <c r="DK89" s="121"/>
      <c r="DL89" s="121"/>
      <c r="DM89" s="121"/>
      <c r="DN89" s="121"/>
      <c r="DO89" s="121"/>
      <c r="DP89" s="121"/>
      <c r="DQ89" s="121"/>
      <c r="DR89" s="121"/>
      <c r="DS89" s="121"/>
      <c r="DT89" s="121"/>
      <c r="DU89" s="121"/>
      <c r="DV89" s="121"/>
      <c r="DW89" s="121"/>
      <c r="DX89" s="121"/>
      <c r="DY89" s="121"/>
      <c r="DZ89" s="121"/>
      <c r="EA89" s="121"/>
      <c r="EB89" s="121"/>
      <c r="EC89" s="121"/>
      <c r="ED89" s="121"/>
      <c r="EE89" s="121"/>
      <c r="EF89" s="121"/>
      <c r="EG89" s="121"/>
      <c r="EH89" s="121"/>
      <c r="EI89" s="121"/>
      <c r="EJ89" s="121"/>
      <c r="EK89" s="121"/>
      <c r="EL89" s="121"/>
      <c r="EM89" s="121"/>
      <c r="EN89" s="121"/>
      <c r="EO89" s="121"/>
      <c r="EP89" s="121"/>
      <c r="EQ89" s="121"/>
      <c r="ER89" s="121"/>
      <c r="ES89" s="121"/>
      <c r="ET89" s="121"/>
      <c r="EU89" s="121"/>
      <c r="EV89" s="121"/>
      <c r="EW89" s="121"/>
      <c r="EX89" s="121"/>
      <c r="EY89" s="121"/>
      <c r="EZ89" s="121"/>
      <c r="FA89" s="121"/>
      <c r="FB89" s="121"/>
      <c r="FC89" s="121"/>
      <c r="FD89" s="121"/>
      <c r="FE89" s="121"/>
      <c r="FF89" s="121"/>
      <c r="FG89" s="121"/>
      <c r="FH89" s="121"/>
      <c r="FI89" s="121"/>
      <c r="FJ89" s="121"/>
      <c r="FK89" s="121"/>
      <c r="FL89" s="121"/>
      <c r="FM89" s="121"/>
      <c r="FN89" s="121"/>
      <c r="FO89" s="121"/>
      <c r="FP89" s="121"/>
      <c r="FQ89" s="121"/>
      <c r="FR89" s="121"/>
      <c r="FS89" s="121"/>
      <c r="FT89" s="121"/>
      <c r="FU89" s="121"/>
      <c r="FV89" s="121"/>
      <c r="FW89" s="121"/>
      <c r="FX89" s="121"/>
      <c r="FY89" s="121"/>
      <c r="FZ89" s="121"/>
      <c r="GA89" s="121"/>
      <c r="GB89" s="121"/>
      <c r="GC89" s="121"/>
      <c r="GD89" s="121"/>
      <c r="GE89" s="121"/>
      <c r="GF89" s="121"/>
      <c r="GG89" s="121"/>
      <c r="GH89" s="121"/>
      <c r="GI89" s="121"/>
      <c r="GJ89" s="121"/>
      <c r="GK89" s="121"/>
      <c r="GL89" s="121"/>
      <c r="GM89" s="121"/>
      <c r="GN89" s="121"/>
      <c r="GO89" s="121"/>
      <c r="GP89" s="121"/>
    </row>
    <row r="90" spans="2:198" s="112" customFormat="1">
      <c r="B90" s="238"/>
      <c r="C90" s="749" t="s">
        <v>242</v>
      </c>
      <c r="D90" s="205"/>
      <c r="E90" s="240"/>
      <c r="F90" s="241"/>
      <c r="G90" s="240"/>
      <c r="H90" s="228"/>
      <c r="I90" s="240">
        <v>45986</v>
      </c>
      <c r="J90" s="241">
        <v>4</v>
      </c>
      <c r="K90" s="240">
        <f>WORKDAY.INTL(I90,J90,1,Data!$C$3:$C$41)</f>
        <v>45992</v>
      </c>
      <c r="M90" s="243">
        <v>1</v>
      </c>
      <c r="N90" s="243">
        <f t="shared" ca="1" si="9"/>
        <v>1</v>
      </c>
      <c r="O90" s="122"/>
      <c r="Q90" s="124"/>
      <c r="R90" s="121"/>
      <c r="S90" s="121"/>
      <c r="T90" s="121"/>
      <c r="U90" s="121"/>
      <c r="V90" s="121"/>
      <c r="W90" s="121"/>
      <c r="X90" s="121"/>
      <c r="Y90" s="121"/>
      <c r="Z90" s="121"/>
      <c r="AA90" s="121"/>
      <c r="AB90" s="121"/>
      <c r="AC90" s="121"/>
      <c r="AD90" s="121"/>
      <c r="AE90" s="121"/>
      <c r="AF90" s="121"/>
      <c r="AG90" s="121"/>
      <c r="AH90" s="121"/>
      <c r="AI90" s="121"/>
      <c r="AJ90" s="121"/>
      <c r="AK90" s="121"/>
      <c r="AL90" s="121"/>
      <c r="AM90" s="121"/>
      <c r="AN90" s="121"/>
      <c r="AO90" s="121"/>
      <c r="AP90" s="121"/>
      <c r="AQ90" s="121"/>
      <c r="AR90" s="121"/>
      <c r="AS90" s="121"/>
      <c r="AT90" s="121"/>
      <c r="AU90" s="121"/>
      <c r="AV90" s="121"/>
      <c r="AW90" s="121"/>
      <c r="AX90" s="121"/>
      <c r="AY90" s="121"/>
      <c r="AZ90" s="121"/>
      <c r="BA90" s="121"/>
      <c r="BB90" s="121"/>
      <c r="BC90" s="121"/>
      <c r="BD90" s="121"/>
      <c r="BE90" s="121"/>
      <c r="BF90" s="121"/>
      <c r="BG90" s="121"/>
      <c r="BH90" s="121"/>
      <c r="BI90" s="121"/>
      <c r="BJ90" s="121"/>
      <c r="BK90" s="121"/>
      <c r="BL90" s="121"/>
      <c r="BM90" s="121"/>
      <c r="BN90" s="121"/>
      <c r="BO90" s="121"/>
      <c r="BP90" s="121"/>
      <c r="BQ90" s="121"/>
      <c r="BR90" s="121"/>
      <c r="BS90" s="121"/>
      <c r="BT90" s="121"/>
      <c r="BU90" s="121"/>
      <c r="BV90" s="121"/>
      <c r="BW90" s="121"/>
      <c r="BX90" s="121"/>
      <c r="BY90" s="121"/>
      <c r="BZ90" s="121"/>
      <c r="CA90" s="121"/>
      <c r="CB90" s="121"/>
      <c r="CC90" s="121"/>
      <c r="CD90" s="121"/>
      <c r="CE90" s="121"/>
      <c r="CF90" s="121"/>
      <c r="CG90" s="121"/>
      <c r="CH90" s="121"/>
      <c r="CI90" s="121"/>
      <c r="CJ90" s="121"/>
      <c r="CK90" s="121"/>
      <c r="CL90" s="121"/>
      <c r="CM90" s="121"/>
      <c r="CN90" s="121"/>
      <c r="CO90" s="121"/>
      <c r="CP90" s="121"/>
      <c r="CQ90" s="121"/>
      <c r="CR90" s="121"/>
      <c r="CS90" s="121"/>
      <c r="CT90" s="121"/>
      <c r="CU90" s="121"/>
      <c r="CV90" s="121"/>
      <c r="CW90" s="121"/>
      <c r="CX90" s="121"/>
      <c r="CY90" s="121"/>
      <c r="CZ90" s="121"/>
      <c r="DA90" s="121"/>
      <c r="DB90" s="121"/>
      <c r="DC90" s="121"/>
      <c r="DD90" s="121"/>
      <c r="DE90" s="121"/>
      <c r="DF90" s="121"/>
      <c r="DG90" s="121"/>
      <c r="DH90" s="121"/>
      <c r="DI90" s="121"/>
      <c r="DJ90" s="121"/>
      <c r="DK90" s="121"/>
      <c r="DL90" s="121"/>
      <c r="DM90" s="121"/>
      <c r="DN90" s="121"/>
      <c r="DO90" s="121"/>
      <c r="DP90" s="121"/>
      <c r="DQ90" s="121"/>
      <c r="DR90" s="121"/>
      <c r="DS90" s="121"/>
      <c r="DT90" s="121"/>
      <c r="DU90" s="121"/>
      <c r="DV90" s="121"/>
      <c r="DW90" s="121"/>
      <c r="DX90" s="121"/>
      <c r="DY90" s="121"/>
      <c r="DZ90" s="121"/>
      <c r="EA90" s="121"/>
      <c r="EB90" s="121"/>
      <c r="EC90" s="121"/>
      <c r="ED90" s="121"/>
      <c r="EE90" s="121"/>
      <c r="EF90" s="121"/>
      <c r="EG90" s="121"/>
      <c r="EH90" s="121"/>
      <c r="EI90" s="121"/>
      <c r="EJ90" s="121"/>
      <c r="EK90" s="121"/>
      <c r="EL90" s="121"/>
      <c r="EM90" s="121"/>
      <c r="EN90" s="121"/>
      <c r="EO90" s="121"/>
      <c r="EP90" s="121"/>
      <c r="EQ90" s="121"/>
      <c r="ER90" s="121"/>
      <c r="ES90" s="121"/>
      <c r="ET90" s="121"/>
      <c r="EU90" s="121"/>
      <c r="EV90" s="121"/>
      <c r="EW90" s="121"/>
      <c r="EX90" s="121"/>
      <c r="EY90" s="121"/>
      <c r="EZ90" s="121"/>
      <c r="FA90" s="121"/>
      <c r="FB90" s="121"/>
      <c r="FC90" s="121"/>
      <c r="FD90" s="121"/>
      <c r="FE90" s="121"/>
      <c r="FF90" s="121"/>
      <c r="FG90" s="121"/>
      <c r="FH90" s="121"/>
      <c r="FI90" s="121"/>
      <c r="FJ90" s="121"/>
      <c r="FK90" s="121"/>
      <c r="FL90" s="121"/>
      <c r="FM90" s="121"/>
      <c r="FN90" s="121"/>
      <c r="FO90" s="121"/>
      <c r="FP90" s="121"/>
      <c r="FQ90" s="121"/>
      <c r="FR90" s="121"/>
      <c r="FS90" s="121"/>
      <c r="FT90" s="121"/>
      <c r="FU90" s="121"/>
      <c r="FV90" s="121"/>
      <c r="FW90" s="121"/>
      <c r="FX90" s="121"/>
      <c r="FY90" s="121"/>
      <c r="FZ90" s="121"/>
      <c r="GA90" s="121"/>
      <c r="GB90" s="121"/>
      <c r="GC90" s="121"/>
      <c r="GD90" s="121"/>
      <c r="GE90" s="121"/>
      <c r="GF90" s="121"/>
      <c r="GG90" s="121"/>
      <c r="GH90" s="121"/>
      <c r="GI90" s="121"/>
      <c r="GJ90" s="121"/>
      <c r="GK90" s="121"/>
      <c r="GL90" s="121"/>
      <c r="GM90" s="121"/>
      <c r="GN90" s="121"/>
      <c r="GO90" s="121"/>
      <c r="GP90" s="121"/>
    </row>
    <row r="91" spans="2:198" s="112" customFormat="1">
      <c r="B91" s="238">
        <f>B89+0.1</f>
        <v>9.1999999999999993</v>
      </c>
      <c r="C91" s="749" t="s">
        <v>243</v>
      </c>
      <c r="D91" s="205"/>
      <c r="E91" s="240">
        <v>45953</v>
      </c>
      <c r="F91" s="241">
        <v>2</v>
      </c>
      <c r="G91" s="240">
        <f>WORKDAY.INTL(E91,F91,1,Data!$C$3:$C$41)</f>
        <v>45957</v>
      </c>
      <c r="H91" s="228"/>
      <c r="I91" s="240">
        <f>K78-7</f>
        <v>45995</v>
      </c>
      <c r="J91" s="241">
        <v>2</v>
      </c>
      <c r="K91" s="240">
        <f>WORKDAY.INTL(I91,J91,1,Data!$C$3:$C$41)</f>
        <v>45999</v>
      </c>
      <c r="M91" s="243">
        <v>1</v>
      </c>
      <c r="N91" s="243">
        <f t="shared" ca="1" si="9"/>
        <v>1</v>
      </c>
      <c r="O91" s="122"/>
      <c r="Q91" s="124"/>
      <c r="R91" s="121"/>
      <c r="S91" s="121"/>
      <c r="T91" s="121"/>
      <c r="U91" s="121"/>
      <c r="V91" s="121"/>
      <c r="W91" s="121"/>
      <c r="X91" s="121"/>
      <c r="Y91" s="121"/>
      <c r="Z91" s="121"/>
      <c r="AA91" s="121"/>
      <c r="AB91" s="121"/>
      <c r="AC91" s="121"/>
      <c r="AD91" s="121"/>
      <c r="AE91" s="121"/>
      <c r="AF91" s="121"/>
      <c r="AG91" s="121"/>
      <c r="AH91" s="121"/>
      <c r="AI91" s="121"/>
      <c r="AJ91" s="121"/>
      <c r="AK91" s="121"/>
      <c r="AL91" s="121"/>
      <c r="AM91" s="121"/>
      <c r="AN91" s="121"/>
      <c r="AO91" s="121"/>
      <c r="AP91" s="121"/>
      <c r="AQ91" s="121"/>
      <c r="AR91" s="121"/>
      <c r="AS91" s="121"/>
      <c r="AT91" s="121"/>
      <c r="AU91" s="121"/>
      <c r="AV91" s="121"/>
      <c r="AW91" s="121"/>
      <c r="AX91" s="121"/>
      <c r="AY91" s="121"/>
      <c r="AZ91" s="121"/>
      <c r="BA91" s="121"/>
      <c r="BB91" s="121"/>
      <c r="BC91" s="121"/>
      <c r="BD91" s="121"/>
      <c r="BE91" s="121"/>
      <c r="BF91" s="121"/>
      <c r="BG91" s="121"/>
      <c r="BH91" s="121"/>
      <c r="BI91" s="121"/>
      <c r="BJ91" s="121"/>
      <c r="BK91" s="121"/>
      <c r="BL91" s="121"/>
      <c r="BM91" s="121"/>
      <c r="BN91" s="121"/>
      <c r="BO91" s="121"/>
      <c r="BP91" s="121"/>
      <c r="BQ91" s="121"/>
      <c r="BR91" s="121"/>
      <c r="BS91" s="121"/>
      <c r="BT91" s="121"/>
      <c r="BU91" s="121"/>
      <c r="BV91" s="121"/>
      <c r="BW91" s="121"/>
      <c r="BX91" s="121"/>
      <c r="BY91" s="121"/>
      <c r="BZ91" s="121"/>
      <c r="CA91" s="121"/>
      <c r="CB91" s="121"/>
      <c r="CC91" s="121"/>
      <c r="CD91" s="121"/>
      <c r="CE91" s="121"/>
      <c r="CF91" s="121"/>
      <c r="CG91" s="121"/>
      <c r="CH91" s="121"/>
      <c r="CI91" s="121"/>
      <c r="CJ91" s="121"/>
      <c r="CK91" s="121"/>
      <c r="CL91" s="121"/>
      <c r="CM91" s="121"/>
      <c r="CN91" s="121"/>
      <c r="CO91" s="121"/>
      <c r="CP91" s="121"/>
      <c r="CQ91" s="121"/>
      <c r="CR91" s="121"/>
      <c r="CS91" s="121"/>
      <c r="CT91" s="121"/>
      <c r="CU91" s="121"/>
      <c r="CV91" s="121"/>
      <c r="CW91" s="121"/>
      <c r="CX91" s="121"/>
      <c r="CY91" s="121"/>
      <c r="CZ91" s="121"/>
      <c r="DA91" s="121"/>
      <c r="DB91" s="121"/>
      <c r="DC91" s="121"/>
      <c r="DD91" s="121"/>
      <c r="DE91" s="121"/>
      <c r="DF91" s="121"/>
      <c r="DG91" s="121"/>
      <c r="DH91" s="121"/>
      <c r="DI91" s="121"/>
      <c r="DJ91" s="121"/>
      <c r="DK91" s="121"/>
      <c r="DL91" s="121"/>
      <c r="DM91" s="121"/>
      <c r="DN91" s="121"/>
      <c r="DO91" s="121"/>
      <c r="DP91" s="121"/>
      <c r="DQ91" s="121"/>
      <c r="DR91" s="121"/>
      <c r="DS91" s="121"/>
      <c r="DT91" s="121"/>
      <c r="DU91" s="121"/>
      <c r="DV91" s="121"/>
      <c r="DW91" s="121"/>
      <c r="DX91" s="121"/>
      <c r="DY91" s="121"/>
      <c r="DZ91" s="121"/>
      <c r="EA91" s="121"/>
      <c r="EB91" s="121"/>
      <c r="EC91" s="121"/>
      <c r="ED91" s="121"/>
      <c r="EE91" s="121"/>
      <c r="EF91" s="121"/>
      <c r="EG91" s="121"/>
      <c r="EH91" s="121"/>
      <c r="EI91" s="121"/>
      <c r="EJ91" s="121"/>
      <c r="EK91" s="121"/>
      <c r="EL91" s="121"/>
      <c r="EM91" s="121"/>
      <c r="EN91" s="121"/>
      <c r="EO91" s="121"/>
      <c r="EP91" s="121"/>
      <c r="EQ91" s="121"/>
      <c r="ER91" s="121"/>
      <c r="ES91" s="121"/>
      <c r="ET91" s="121"/>
      <c r="EU91" s="121"/>
      <c r="EV91" s="121"/>
      <c r="EW91" s="121"/>
      <c r="EX91" s="121"/>
      <c r="EY91" s="121"/>
      <c r="EZ91" s="121"/>
      <c r="FA91" s="121"/>
      <c r="FB91" s="121"/>
      <c r="FC91" s="121"/>
      <c r="FD91" s="121"/>
      <c r="FE91" s="121"/>
      <c r="FF91" s="121"/>
      <c r="FG91" s="121"/>
      <c r="FH91" s="121"/>
      <c r="FI91" s="121"/>
      <c r="FJ91" s="121"/>
      <c r="FK91" s="121"/>
      <c r="FL91" s="121"/>
      <c r="FM91" s="121"/>
      <c r="FN91" s="121"/>
      <c r="FO91" s="121"/>
      <c r="FP91" s="121"/>
      <c r="FQ91" s="121"/>
      <c r="FR91" s="121"/>
      <c r="FS91" s="121"/>
      <c r="FT91" s="121"/>
      <c r="FU91" s="121"/>
      <c r="FV91" s="121"/>
      <c r="FW91" s="121"/>
      <c r="FX91" s="121"/>
      <c r="FY91" s="121"/>
      <c r="FZ91" s="121"/>
      <c r="GA91" s="121"/>
      <c r="GB91" s="121"/>
      <c r="GC91" s="121"/>
      <c r="GD91" s="121"/>
      <c r="GE91" s="121"/>
      <c r="GF91" s="121"/>
      <c r="GG91" s="121"/>
      <c r="GH91" s="121"/>
      <c r="GI91" s="121"/>
      <c r="GJ91" s="121"/>
      <c r="GK91" s="121"/>
      <c r="GL91" s="121"/>
      <c r="GM91" s="121"/>
      <c r="GN91" s="121"/>
      <c r="GO91" s="121"/>
      <c r="GP91" s="121"/>
    </row>
    <row r="92" spans="2:198" s="112" customFormat="1">
      <c r="B92" s="238">
        <f t="shared" ref="B92:B96" si="10">B91+0.1</f>
        <v>9.2999999999999989</v>
      </c>
      <c r="C92" s="696" t="s">
        <v>244</v>
      </c>
      <c r="D92" s="205"/>
      <c r="E92" s="240">
        <f>WORKDAY.INTL(G91,0,1,Data!$C$3:$C$41)</f>
        <v>45957</v>
      </c>
      <c r="F92" s="241">
        <v>0</v>
      </c>
      <c r="G92" s="240">
        <f>WORKDAY.INTL(E92,F92,1,Data!$C$3:$C$41)</f>
        <v>45957</v>
      </c>
      <c r="H92" s="228"/>
      <c r="I92" s="240">
        <v>46002</v>
      </c>
      <c r="J92" s="241">
        <v>0</v>
      </c>
      <c r="K92" s="240">
        <f>WORKDAY.INTL(I92,J92,1,Data!$C$3:$C$41)</f>
        <v>46002</v>
      </c>
      <c r="M92" s="243">
        <v>1</v>
      </c>
      <c r="N92" s="243">
        <f t="shared" ca="1" si="9"/>
        <v>1</v>
      </c>
      <c r="O92" s="122"/>
      <c r="Q92" s="124"/>
      <c r="R92" s="121"/>
      <c r="S92" s="121"/>
      <c r="T92" s="121"/>
      <c r="U92" s="121"/>
      <c r="V92" s="121"/>
      <c r="W92" s="121"/>
      <c r="X92" s="121"/>
      <c r="Y92" s="121"/>
      <c r="Z92" s="121"/>
      <c r="AA92" s="121"/>
      <c r="AB92" s="121"/>
      <c r="AC92" s="121"/>
      <c r="AD92" s="121"/>
      <c r="AE92" s="121"/>
      <c r="AF92" s="121"/>
      <c r="AG92" s="121"/>
      <c r="AH92" s="121"/>
      <c r="AI92" s="121"/>
      <c r="AJ92" s="121"/>
      <c r="AK92" s="121"/>
      <c r="AL92" s="121"/>
      <c r="AM92" s="121"/>
      <c r="AN92" s="121"/>
      <c r="AO92" s="121"/>
      <c r="AP92" s="121"/>
      <c r="AQ92" s="121"/>
      <c r="AR92" s="121"/>
      <c r="AS92" s="121"/>
      <c r="AT92" s="121"/>
      <c r="AU92" s="121"/>
      <c r="AV92" s="121"/>
      <c r="AW92" s="121"/>
      <c r="AX92" s="121"/>
      <c r="AY92" s="121"/>
      <c r="AZ92" s="121"/>
      <c r="BA92" s="121"/>
      <c r="BB92" s="121"/>
      <c r="BC92" s="121"/>
      <c r="BD92" s="121"/>
      <c r="BE92" s="121"/>
      <c r="BF92" s="121"/>
      <c r="BG92" s="121"/>
      <c r="BH92" s="121"/>
      <c r="BI92" s="121"/>
      <c r="BJ92" s="121"/>
      <c r="BK92" s="121"/>
      <c r="BL92" s="121"/>
      <c r="BM92" s="121"/>
      <c r="BN92" s="121"/>
      <c r="BO92" s="121"/>
      <c r="BP92" s="121"/>
      <c r="BQ92" s="121"/>
      <c r="BR92" s="121"/>
      <c r="BS92" s="121"/>
      <c r="BT92" s="121"/>
      <c r="BU92" s="121"/>
      <c r="BV92" s="121"/>
      <c r="BW92" s="121"/>
      <c r="BX92" s="121"/>
      <c r="BY92" s="121"/>
      <c r="BZ92" s="121"/>
      <c r="CA92" s="121"/>
      <c r="CB92" s="121"/>
      <c r="CC92" s="121"/>
      <c r="CD92" s="121"/>
      <c r="CE92" s="121"/>
      <c r="CF92" s="121"/>
      <c r="CG92" s="121"/>
      <c r="CH92" s="121"/>
      <c r="CI92" s="121"/>
      <c r="CJ92" s="121"/>
      <c r="CK92" s="121"/>
      <c r="CL92" s="121"/>
      <c r="CM92" s="121"/>
      <c r="CN92" s="121"/>
      <c r="CO92" s="121"/>
      <c r="CP92" s="121"/>
      <c r="CQ92" s="121"/>
      <c r="CR92" s="121"/>
      <c r="CS92" s="121"/>
      <c r="CT92" s="121"/>
      <c r="CU92" s="121"/>
      <c r="CV92" s="121"/>
      <c r="CW92" s="121"/>
      <c r="CX92" s="121"/>
      <c r="CY92" s="121"/>
      <c r="CZ92" s="121"/>
      <c r="DA92" s="121"/>
      <c r="DB92" s="121"/>
      <c r="DC92" s="121"/>
      <c r="DD92" s="121"/>
      <c r="DE92" s="121"/>
      <c r="DF92" s="121"/>
      <c r="DG92" s="121"/>
      <c r="DH92" s="121"/>
      <c r="DI92" s="121"/>
      <c r="DJ92" s="121"/>
      <c r="DK92" s="121"/>
      <c r="DL92" s="121"/>
      <c r="DM92" s="121"/>
      <c r="DN92" s="121"/>
      <c r="DO92" s="121"/>
      <c r="DP92" s="121"/>
      <c r="DQ92" s="121"/>
      <c r="DR92" s="121"/>
      <c r="DS92" s="121"/>
      <c r="DT92" s="121"/>
      <c r="DU92" s="121"/>
      <c r="DV92" s="121"/>
      <c r="DW92" s="121"/>
      <c r="DX92" s="121"/>
      <c r="DY92" s="121"/>
      <c r="DZ92" s="121"/>
      <c r="EA92" s="121"/>
      <c r="EB92" s="121"/>
      <c r="EC92" s="121"/>
      <c r="ED92" s="121"/>
      <c r="EE92" s="121"/>
      <c r="EF92" s="121"/>
      <c r="EG92" s="121"/>
      <c r="EH92" s="121"/>
      <c r="EI92" s="121"/>
      <c r="EJ92" s="121"/>
      <c r="EK92" s="121"/>
      <c r="EL92" s="121"/>
      <c r="EM92" s="121"/>
      <c r="EN92" s="121"/>
      <c r="EO92" s="121"/>
      <c r="EP92" s="121"/>
      <c r="EQ92" s="121"/>
      <c r="ER92" s="121"/>
      <c r="ES92" s="121"/>
      <c r="ET92" s="121"/>
      <c r="EU92" s="121"/>
      <c r="EV92" s="121"/>
      <c r="EW92" s="121"/>
      <c r="EX92" s="121"/>
      <c r="EY92" s="121"/>
      <c r="EZ92" s="121"/>
      <c r="FA92" s="121"/>
      <c r="FB92" s="121"/>
      <c r="FC92" s="121"/>
      <c r="FD92" s="121"/>
      <c r="FE92" s="121"/>
      <c r="FF92" s="121"/>
      <c r="FG92" s="121"/>
      <c r="FH92" s="121"/>
      <c r="FI92" s="121"/>
      <c r="FJ92" s="121"/>
      <c r="FK92" s="121"/>
      <c r="FL92" s="121"/>
      <c r="FM92" s="121"/>
      <c r="FN92" s="121"/>
      <c r="FO92" s="121"/>
      <c r="FP92" s="121"/>
      <c r="FQ92" s="121"/>
      <c r="FR92" s="121"/>
      <c r="FS92" s="121"/>
      <c r="FT92" s="121"/>
      <c r="FU92" s="121"/>
      <c r="FV92" s="121"/>
      <c r="FW92" s="121"/>
      <c r="FX92" s="121"/>
      <c r="FY92" s="121"/>
      <c r="FZ92" s="121"/>
      <c r="GA92" s="121"/>
      <c r="GB92" s="121"/>
      <c r="GC92" s="121"/>
      <c r="GD92" s="121"/>
      <c r="GE92" s="121"/>
      <c r="GF92" s="121"/>
      <c r="GG92" s="121"/>
      <c r="GH92" s="121"/>
      <c r="GI92" s="121"/>
      <c r="GJ92" s="121"/>
      <c r="GK92" s="121"/>
      <c r="GL92" s="121"/>
      <c r="GM92" s="121"/>
      <c r="GN92" s="121"/>
      <c r="GO92" s="121"/>
      <c r="GP92" s="121"/>
    </row>
    <row r="93" spans="2:198" s="112" customFormat="1">
      <c r="B93" s="238">
        <f t="shared" si="10"/>
        <v>9.3999999999999986</v>
      </c>
      <c r="C93" s="749" t="s">
        <v>245</v>
      </c>
      <c r="D93" s="205"/>
      <c r="E93" s="240">
        <f>WORKDAY.INTL(G92,0,1,Data!$C$3:$C$41)</f>
        <v>45957</v>
      </c>
      <c r="F93" s="241">
        <v>2</v>
      </c>
      <c r="G93" s="240">
        <f>WORKDAY.INTL(E93,F93,1,Data!$C$3:$C$41)</f>
        <v>45959</v>
      </c>
      <c r="H93" s="228"/>
      <c r="I93" s="240">
        <f>WORKDAY.INTL(K92,0,1,Data!$C$3:$C$41)</f>
        <v>46002</v>
      </c>
      <c r="J93" s="241">
        <v>2</v>
      </c>
      <c r="K93" s="240">
        <f>WORKDAY.INTL(I93,J93,1,Data!$C$3:$C$41)</f>
        <v>46006</v>
      </c>
      <c r="M93" s="243">
        <v>1</v>
      </c>
      <c r="N93" s="243">
        <f t="shared" ca="1" si="9"/>
        <v>1</v>
      </c>
      <c r="O93" s="122"/>
      <c r="Q93" s="124"/>
      <c r="R93" s="121"/>
      <c r="S93" s="121"/>
      <c r="T93" s="121"/>
      <c r="U93" s="121"/>
      <c r="V93" s="121"/>
      <c r="W93" s="121"/>
      <c r="X93" s="121"/>
      <c r="Y93" s="121"/>
      <c r="Z93" s="121"/>
      <c r="AA93" s="121"/>
      <c r="AB93" s="121"/>
      <c r="AC93" s="121"/>
      <c r="AD93" s="121"/>
      <c r="AE93" s="121"/>
      <c r="AF93" s="121"/>
      <c r="AG93" s="121"/>
      <c r="AH93" s="121"/>
      <c r="AI93" s="121"/>
      <c r="AJ93" s="121"/>
      <c r="AK93" s="121"/>
      <c r="AL93" s="121"/>
      <c r="AM93" s="121"/>
      <c r="AN93" s="121"/>
      <c r="AO93" s="121"/>
      <c r="AP93" s="121"/>
      <c r="AQ93" s="121"/>
      <c r="AR93" s="121"/>
      <c r="AS93" s="121"/>
      <c r="AT93" s="121"/>
      <c r="AU93" s="121"/>
      <c r="AV93" s="121"/>
      <c r="AW93" s="121"/>
      <c r="AX93" s="121"/>
      <c r="AY93" s="121"/>
      <c r="AZ93" s="121"/>
      <c r="BA93" s="121"/>
      <c r="BB93" s="121"/>
      <c r="BC93" s="121"/>
      <c r="BD93" s="121"/>
      <c r="BE93" s="121"/>
      <c r="BF93" s="121"/>
      <c r="BG93" s="121"/>
      <c r="BH93" s="121"/>
      <c r="BI93" s="121"/>
      <c r="BJ93" s="121"/>
      <c r="BK93" s="121"/>
      <c r="BL93" s="121"/>
      <c r="BM93" s="121"/>
      <c r="BN93" s="121"/>
      <c r="BO93" s="121"/>
      <c r="BP93" s="121"/>
      <c r="BQ93" s="121"/>
      <c r="BR93" s="121"/>
      <c r="BS93" s="121"/>
      <c r="BT93" s="121"/>
      <c r="BU93" s="121"/>
      <c r="BV93" s="121"/>
      <c r="BW93" s="121"/>
      <c r="BX93" s="121"/>
      <c r="BY93" s="121"/>
      <c r="BZ93" s="121"/>
      <c r="CA93" s="121"/>
      <c r="CB93" s="121"/>
      <c r="CC93" s="121"/>
      <c r="CD93" s="121"/>
      <c r="CE93" s="121"/>
      <c r="CF93" s="121"/>
      <c r="CG93" s="121"/>
      <c r="CH93" s="121"/>
      <c r="CI93" s="121"/>
      <c r="CJ93" s="121"/>
      <c r="CK93" s="121"/>
      <c r="CL93" s="121"/>
      <c r="CM93" s="121"/>
      <c r="CN93" s="121"/>
      <c r="CO93" s="121"/>
      <c r="CP93" s="121"/>
      <c r="CQ93" s="121"/>
      <c r="CR93" s="121"/>
      <c r="CS93" s="121"/>
      <c r="CT93" s="121"/>
      <c r="CU93" s="121"/>
      <c r="CV93" s="121"/>
      <c r="CW93" s="121"/>
      <c r="CX93" s="121"/>
      <c r="CY93" s="121"/>
      <c r="CZ93" s="121"/>
      <c r="DA93" s="121"/>
      <c r="DB93" s="121"/>
      <c r="DC93" s="121"/>
      <c r="DD93" s="121"/>
      <c r="DE93" s="121"/>
      <c r="DF93" s="121"/>
      <c r="DG93" s="121"/>
      <c r="DH93" s="121"/>
      <c r="DI93" s="121"/>
      <c r="DJ93" s="121"/>
      <c r="DK93" s="121"/>
      <c r="DL93" s="121"/>
      <c r="DM93" s="121"/>
      <c r="DN93" s="121"/>
      <c r="DO93" s="121"/>
      <c r="DP93" s="121"/>
      <c r="DQ93" s="121"/>
      <c r="DR93" s="121"/>
      <c r="DS93" s="121"/>
      <c r="DT93" s="121"/>
      <c r="DU93" s="121"/>
      <c r="DV93" s="121"/>
      <c r="DW93" s="121"/>
      <c r="DX93" s="121"/>
      <c r="DY93" s="121"/>
      <c r="DZ93" s="121"/>
      <c r="EA93" s="121"/>
      <c r="EB93" s="121"/>
      <c r="EC93" s="121"/>
      <c r="ED93" s="121"/>
      <c r="EE93" s="121"/>
      <c r="EF93" s="121"/>
      <c r="EG93" s="121"/>
      <c r="EH93" s="121"/>
      <c r="EI93" s="121"/>
      <c r="EJ93" s="121"/>
      <c r="EK93" s="121"/>
      <c r="EL93" s="121"/>
      <c r="EM93" s="121"/>
      <c r="EN93" s="121"/>
      <c r="EO93" s="121"/>
      <c r="EP93" s="121"/>
      <c r="EQ93" s="121"/>
      <c r="ER93" s="121"/>
      <c r="ES93" s="121"/>
      <c r="ET93" s="121"/>
      <c r="EU93" s="121"/>
      <c r="EV93" s="121"/>
      <c r="EW93" s="121"/>
      <c r="EX93" s="121"/>
      <c r="EY93" s="121"/>
      <c r="EZ93" s="121"/>
      <c r="FA93" s="121"/>
      <c r="FB93" s="121"/>
      <c r="FC93" s="121"/>
      <c r="FD93" s="121"/>
      <c r="FE93" s="121"/>
      <c r="FF93" s="121"/>
      <c r="FG93" s="121"/>
      <c r="FH93" s="121"/>
      <c r="FI93" s="121"/>
      <c r="FJ93" s="121"/>
      <c r="FK93" s="121"/>
      <c r="FL93" s="121"/>
      <c r="FM93" s="121"/>
      <c r="FN93" s="121"/>
      <c r="FO93" s="121"/>
      <c r="FP93" s="121"/>
      <c r="FQ93" s="121"/>
      <c r="FR93" s="121"/>
      <c r="FS93" s="121"/>
      <c r="FT93" s="121"/>
      <c r="FU93" s="121"/>
      <c r="FV93" s="121"/>
      <c r="FW93" s="121"/>
      <c r="FX93" s="121"/>
      <c r="FY93" s="121"/>
      <c r="FZ93" s="121"/>
      <c r="GA93" s="121"/>
      <c r="GB93" s="121"/>
      <c r="GC93" s="121"/>
      <c r="GD93" s="121"/>
      <c r="GE93" s="121"/>
      <c r="GF93" s="121"/>
      <c r="GG93" s="121"/>
      <c r="GH93" s="121"/>
      <c r="GI93" s="121"/>
      <c r="GJ93" s="121"/>
      <c r="GK93" s="121"/>
      <c r="GL93" s="121"/>
      <c r="GM93" s="121"/>
      <c r="GN93" s="121"/>
      <c r="GO93" s="121"/>
      <c r="GP93" s="121"/>
    </row>
    <row r="94" spans="2:198" s="112" customFormat="1">
      <c r="B94" s="238">
        <f t="shared" si="10"/>
        <v>9.4999999999999982</v>
      </c>
      <c r="C94" s="749" t="s">
        <v>246</v>
      </c>
      <c r="D94" s="205"/>
      <c r="E94" s="240">
        <f>WORKDAY.INTL(G93,0,1,Data!$C$3:$C$41)</f>
        <v>45959</v>
      </c>
      <c r="F94" s="241">
        <v>2</v>
      </c>
      <c r="G94" s="240">
        <f>WORKDAY.INTL(E94,F94,1,Data!$C$3:$C$41)</f>
        <v>45961</v>
      </c>
      <c r="H94" s="228"/>
      <c r="I94" s="240">
        <f>WORKDAY.INTL(K93,0,1,Data!$C$3:$C$41)</f>
        <v>46006</v>
      </c>
      <c r="J94" s="241">
        <v>2</v>
      </c>
      <c r="K94" s="240">
        <f>WORKDAY.INTL(I94,J94,1,Data!$C$3:$C$41)</f>
        <v>46008</v>
      </c>
      <c r="M94" s="243">
        <v>1</v>
      </c>
      <c r="N94" s="243">
        <f t="shared" ca="1" si="9"/>
        <v>1</v>
      </c>
      <c r="O94" s="122"/>
      <c r="Q94" s="124"/>
      <c r="R94" s="121"/>
      <c r="S94" s="121"/>
      <c r="T94" s="121"/>
      <c r="U94" s="121"/>
      <c r="V94" s="121"/>
      <c r="W94" s="121"/>
      <c r="X94" s="121"/>
      <c r="Y94" s="121"/>
      <c r="Z94" s="121"/>
      <c r="AA94" s="121"/>
      <c r="AB94" s="121"/>
      <c r="AC94" s="121"/>
      <c r="AD94" s="121"/>
      <c r="AE94" s="121"/>
      <c r="AF94" s="121"/>
      <c r="AG94" s="121"/>
      <c r="AH94" s="121"/>
      <c r="AI94" s="121"/>
      <c r="AJ94" s="121"/>
      <c r="AK94" s="121"/>
      <c r="AL94" s="121"/>
      <c r="AM94" s="121"/>
      <c r="AN94" s="121"/>
      <c r="AO94" s="121"/>
      <c r="AP94" s="121"/>
      <c r="AQ94" s="121"/>
      <c r="AR94" s="121"/>
      <c r="AS94" s="121"/>
      <c r="AT94" s="121"/>
      <c r="AU94" s="121"/>
      <c r="AV94" s="121"/>
      <c r="AW94" s="121"/>
      <c r="AX94" s="121"/>
      <c r="AY94" s="121"/>
      <c r="AZ94" s="121"/>
      <c r="BA94" s="121"/>
      <c r="BB94" s="121"/>
      <c r="BC94" s="121"/>
      <c r="BD94" s="121"/>
      <c r="BE94" s="121"/>
      <c r="BF94" s="121"/>
      <c r="BG94" s="121"/>
      <c r="BH94" s="121"/>
      <c r="BI94" s="121"/>
      <c r="BJ94" s="121"/>
      <c r="BK94" s="121"/>
      <c r="BL94" s="121"/>
      <c r="BM94" s="121"/>
      <c r="BN94" s="121"/>
      <c r="BO94" s="121"/>
      <c r="BP94" s="121"/>
      <c r="BQ94" s="121"/>
      <c r="BR94" s="121"/>
      <c r="BS94" s="121"/>
      <c r="BT94" s="121"/>
      <c r="BU94" s="121"/>
      <c r="BV94" s="121"/>
      <c r="BW94" s="121"/>
      <c r="BX94" s="121"/>
      <c r="BY94" s="121"/>
      <c r="BZ94" s="121"/>
      <c r="CA94" s="121"/>
      <c r="CB94" s="121"/>
      <c r="CC94" s="121"/>
      <c r="CD94" s="121"/>
      <c r="CE94" s="121"/>
      <c r="CF94" s="121"/>
      <c r="CG94" s="121"/>
      <c r="CH94" s="121"/>
      <c r="CI94" s="121"/>
      <c r="CJ94" s="121"/>
      <c r="CK94" s="121"/>
      <c r="CL94" s="121"/>
      <c r="CM94" s="121"/>
      <c r="CN94" s="121"/>
      <c r="CO94" s="121"/>
      <c r="CP94" s="121"/>
      <c r="CQ94" s="121"/>
      <c r="CR94" s="121"/>
      <c r="CS94" s="121"/>
      <c r="CT94" s="121"/>
      <c r="CU94" s="121"/>
      <c r="CV94" s="121"/>
      <c r="CW94" s="121"/>
      <c r="CX94" s="121"/>
      <c r="CY94" s="121"/>
      <c r="CZ94" s="121"/>
      <c r="DA94" s="121"/>
      <c r="DB94" s="121"/>
      <c r="DC94" s="121"/>
      <c r="DD94" s="121"/>
      <c r="DE94" s="121"/>
      <c r="DF94" s="121"/>
      <c r="DG94" s="121"/>
      <c r="DH94" s="121"/>
      <c r="DI94" s="121"/>
      <c r="DJ94" s="121"/>
      <c r="DK94" s="121"/>
      <c r="DL94" s="121"/>
      <c r="DM94" s="121"/>
      <c r="DN94" s="121"/>
      <c r="DO94" s="121"/>
      <c r="DP94" s="121"/>
      <c r="DQ94" s="121"/>
      <c r="DR94" s="121"/>
      <c r="DS94" s="121"/>
      <c r="DT94" s="121"/>
      <c r="DU94" s="121"/>
      <c r="DV94" s="121"/>
      <c r="DW94" s="121"/>
      <c r="DX94" s="121"/>
      <c r="DY94" s="121"/>
      <c r="DZ94" s="121"/>
      <c r="EA94" s="121"/>
      <c r="EB94" s="121"/>
      <c r="EC94" s="121"/>
      <c r="ED94" s="121"/>
      <c r="EE94" s="121"/>
      <c r="EF94" s="121"/>
      <c r="EG94" s="121"/>
      <c r="EH94" s="121"/>
      <c r="EI94" s="121"/>
      <c r="EJ94" s="121"/>
      <c r="EK94" s="121"/>
      <c r="EL94" s="121"/>
      <c r="EM94" s="121"/>
      <c r="EN94" s="121"/>
      <c r="EO94" s="121"/>
      <c r="EP94" s="121"/>
      <c r="EQ94" s="121"/>
      <c r="ER94" s="121"/>
      <c r="ES94" s="121"/>
      <c r="ET94" s="121"/>
      <c r="EU94" s="121"/>
      <c r="EV94" s="121"/>
      <c r="EW94" s="121"/>
      <c r="EX94" s="121"/>
      <c r="EY94" s="121"/>
      <c r="EZ94" s="121"/>
      <c r="FA94" s="121"/>
      <c r="FB94" s="121"/>
      <c r="FC94" s="121"/>
      <c r="FD94" s="121"/>
      <c r="FE94" s="121"/>
      <c r="FF94" s="121"/>
      <c r="FG94" s="121"/>
      <c r="FH94" s="121"/>
      <c r="FI94" s="121"/>
      <c r="FJ94" s="121"/>
      <c r="FK94" s="121"/>
      <c r="FL94" s="121"/>
      <c r="FM94" s="121"/>
      <c r="FN94" s="121"/>
      <c r="FO94" s="121"/>
      <c r="FP94" s="121"/>
      <c r="FQ94" s="121"/>
      <c r="FR94" s="121"/>
      <c r="FS94" s="121"/>
      <c r="FT94" s="121"/>
      <c r="FU94" s="121"/>
      <c r="FV94" s="121"/>
      <c r="FW94" s="121"/>
      <c r="FX94" s="121"/>
      <c r="FY94" s="121"/>
      <c r="FZ94" s="121"/>
      <c r="GA94" s="121"/>
      <c r="GB94" s="121"/>
      <c r="GC94" s="121"/>
      <c r="GD94" s="121"/>
      <c r="GE94" s="121"/>
      <c r="GF94" s="121"/>
      <c r="GG94" s="121"/>
      <c r="GH94" s="121"/>
      <c r="GI94" s="121"/>
      <c r="GJ94" s="121"/>
      <c r="GK94" s="121"/>
      <c r="GL94" s="121"/>
      <c r="GM94" s="121"/>
      <c r="GN94" s="121"/>
      <c r="GO94" s="121"/>
      <c r="GP94" s="121"/>
    </row>
    <row r="95" spans="2:198" s="112" customFormat="1">
      <c r="B95" s="238">
        <f t="shared" si="10"/>
        <v>9.5999999999999979</v>
      </c>
      <c r="C95" s="749" t="s">
        <v>247</v>
      </c>
      <c r="D95" s="205"/>
      <c r="E95" s="240">
        <f>WORKDAY.INTL(G94,0,1,Data!$C$3:$C$41)</f>
        <v>45961</v>
      </c>
      <c r="F95" s="241">
        <v>0</v>
      </c>
      <c r="G95" s="240">
        <f>WORKDAY.INTL(E95,F95,1,Data!$C$3:$C$41)</f>
        <v>45961</v>
      </c>
      <c r="H95" s="228"/>
      <c r="I95" s="240">
        <f>WORKDAY.INTL(K94,0,1,Data!$C$3:$C$41)-2</f>
        <v>46006</v>
      </c>
      <c r="J95" s="241">
        <v>0</v>
      </c>
      <c r="K95" s="240">
        <f>WORKDAY.INTL(I95,J95,1,Data!$C$3:$C$41)</f>
        <v>46006</v>
      </c>
      <c r="M95" s="243">
        <v>1</v>
      </c>
      <c r="N95" s="243">
        <f t="shared" ca="1" si="9"/>
        <v>1</v>
      </c>
      <c r="O95" s="122"/>
      <c r="Q95" s="124"/>
      <c r="R95" s="121"/>
      <c r="S95" s="121"/>
      <c r="T95" s="121"/>
      <c r="U95" s="121"/>
      <c r="V95" s="121"/>
      <c r="W95" s="121"/>
      <c r="X95" s="121"/>
      <c r="Y95" s="121"/>
      <c r="Z95" s="121"/>
      <c r="AA95" s="121"/>
      <c r="AB95" s="121"/>
      <c r="AC95" s="121"/>
      <c r="AD95" s="121"/>
      <c r="AE95" s="121"/>
      <c r="AF95" s="121"/>
      <c r="AG95" s="121"/>
      <c r="AH95" s="121"/>
      <c r="AI95" s="121"/>
      <c r="AJ95" s="121"/>
      <c r="AK95" s="121"/>
      <c r="AL95" s="121"/>
      <c r="AM95" s="121"/>
      <c r="AN95" s="121"/>
      <c r="AO95" s="121"/>
      <c r="AP95" s="121"/>
      <c r="AQ95" s="121"/>
      <c r="AR95" s="121"/>
      <c r="AS95" s="121"/>
      <c r="AT95" s="121"/>
      <c r="AU95" s="121"/>
      <c r="AV95" s="121"/>
      <c r="AW95" s="121"/>
      <c r="AX95" s="121"/>
      <c r="AY95" s="121"/>
      <c r="AZ95" s="121"/>
      <c r="BA95" s="121"/>
      <c r="BB95" s="121"/>
      <c r="BC95" s="121"/>
      <c r="BD95" s="121"/>
      <c r="BE95" s="121"/>
      <c r="BF95" s="121"/>
      <c r="BG95" s="121"/>
      <c r="BH95" s="121"/>
      <c r="BI95" s="121"/>
      <c r="BJ95" s="121"/>
      <c r="BK95" s="121"/>
      <c r="BL95" s="121"/>
      <c r="BM95" s="121"/>
      <c r="BN95" s="121"/>
      <c r="BO95" s="121"/>
      <c r="BP95" s="121"/>
      <c r="BQ95" s="121"/>
      <c r="BR95" s="121"/>
      <c r="BS95" s="121"/>
      <c r="BT95" s="121"/>
      <c r="BU95" s="121"/>
      <c r="BV95" s="121"/>
      <c r="BW95" s="121"/>
      <c r="BX95" s="121"/>
      <c r="BY95" s="121"/>
      <c r="BZ95" s="121"/>
      <c r="CA95" s="121"/>
      <c r="CB95" s="121"/>
      <c r="CC95" s="121"/>
      <c r="CD95" s="121"/>
      <c r="CE95" s="121"/>
      <c r="CF95" s="121"/>
      <c r="CG95" s="121"/>
      <c r="CH95" s="121"/>
      <c r="CI95" s="121"/>
      <c r="CJ95" s="121"/>
      <c r="CK95" s="121"/>
      <c r="CL95" s="121"/>
      <c r="CM95" s="121"/>
      <c r="CN95" s="121"/>
      <c r="CO95" s="121"/>
      <c r="CP95" s="121"/>
      <c r="CQ95" s="121"/>
      <c r="CR95" s="121"/>
      <c r="CS95" s="121"/>
      <c r="CT95" s="121"/>
      <c r="CU95" s="121"/>
      <c r="CV95" s="121"/>
      <c r="CW95" s="121"/>
      <c r="CX95" s="121"/>
      <c r="CY95" s="121"/>
      <c r="CZ95" s="121"/>
      <c r="DA95" s="121"/>
      <c r="DB95" s="121"/>
      <c r="DC95" s="121"/>
      <c r="DD95" s="121"/>
      <c r="DE95" s="121"/>
      <c r="DF95" s="121"/>
      <c r="DG95" s="121"/>
      <c r="DH95" s="121"/>
      <c r="DI95" s="121"/>
      <c r="DJ95" s="121"/>
      <c r="DK95" s="121"/>
      <c r="DL95" s="121"/>
      <c r="DM95" s="121"/>
      <c r="DN95" s="121"/>
      <c r="DO95" s="121"/>
      <c r="DP95" s="121"/>
      <c r="DQ95" s="121"/>
      <c r="DR95" s="121"/>
      <c r="DS95" s="121"/>
      <c r="DT95" s="121"/>
      <c r="DU95" s="121"/>
      <c r="DV95" s="121"/>
      <c r="DW95" s="121"/>
      <c r="DX95" s="121"/>
      <c r="DY95" s="121"/>
      <c r="DZ95" s="121"/>
      <c r="EA95" s="121"/>
      <c r="EB95" s="121"/>
      <c r="EC95" s="121"/>
      <c r="ED95" s="121"/>
      <c r="EE95" s="121"/>
      <c r="EF95" s="121"/>
      <c r="EG95" s="121"/>
      <c r="EH95" s="121"/>
      <c r="EI95" s="121"/>
      <c r="EJ95" s="121"/>
      <c r="EK95" s="121"/>
      <c r="EL95" s="121"/>
      <c r="EM95" s="121"/>
      <c r="EN95" s="121"/>
      <c r="EO95" s="121"/>
      <c r="EP95" s="121"/>
      <c r="EQ95" s="121"/>
      <c r="ER95" s="121"/>
      <c r="ES95" s="121"/>
      <c r="ET95" s="121"/>
      <c r="EU95" s="121"/>
      <c r="EV95" s="121"/>
      <c r="EW95" s="121"/>
      <c r="EX95" s="121"/>
      <c r="EY95" s="121"/>
      <c r="EZ95" s="121"/>
      <c r="FA95" s="121"/>
      <c r="FB95" s="121"/>
      <c r="FC95" s="121"/>
      <c r="FD95" s="121"/>
      <c r="FE95" s="121"/>
      <c r="FF95" s="121"/>
      <c r="FG95" s="121"/>
      <c r="FH95" s="121"/>
      <c r="FI95" s="121"/>
      <c r="FJ95" s="121"/>
      <c r="FK95" s="121"/>
      <c r="FL95" s="121"/>
      <c r="FM95" s="121"/>
      <c r="FN95" s="121"/>
      <c r="FO95" s="121"/>
      <c r="FP95" s="121"/>
      <c r="FQ95" s="121"/>
      <c r="FR95" s="121"/>
      <c r="FS95" s="121"/>
      <c r="FT95" s="121"/>
      <c r="FU95" s="121"/>
      <c r="FV95" s="121"/>
      <c r="FW95" s="121"/>
      <c r="FX95" s="121"/>
      <c r="FY95" s="121"/>
      <c r="FZ95" s="121"/>
      <c r="GA95" s="121"/>
      <c r="GB95" s="121"/>
      <c r="GC95" s="121"/>
      <c r="GD95" s="121"/>
      <c r="GE95" s="121"/>
      <c r="GF95" s="121"/>
      <c r="GG95" s="121"/>
      <c r="GH95" s="121"/>
      <c r="GI95" s="121"/>
      <c r="GJ95" s="121"/>
      <c r="GK95" s="121"/>
      <c r="GL95" s="121"/>
      <c r="GM95" s="121"/>
      <c r="GN95" s="121"/>
      <c r="GO95" s="121"/>
      <c r="GP95" s="121"/>
    </row>
    <row r="96" spans="2:198" s="112" customFormat="1">
      <c r="B96" s="238">
        <f t="shared" si="10"/>
        <v>9.6999999999999975</v>
      </c>
      <c r="C96" s="749" t="s">
        <v>248</v>
      </c>
      <c r="D96" s="205"/>
      <c r="E96" s="240">
        <f>WORKDAY.INTL(G95,0,1,Data!$C$3:$C$41)</f>
        <v>45961</v>
      </c>
      <c r="F96" s="241">
        <v>2</v>
      </c>
      <c r="G96" s="240">
        <f>WORKDAY.INTL(E96,F96,1,Data!$C$3:$C$41)</f>
        <v>45965</v>
      </c>
      <c r="H96" s="228"/>
      <c r="I96" s="240">
        <f>WORKDAY.INTL(K95,0,1,Data!$C$3:$C$41)</f>
        <v>46006</v>
      </c>
      <c r="J96" s="241">
        <v>2</v>
      </c>
      <c r="K96" s="240">
        <f>WORKDAY.INTL(I96,J96,1,Data!$C$3:$C$41)</f>
        <v>46008</v>
      </c>
      <c r="M96" s="243">
        <v>1</v>
      </c>
      <c r="N96" s="243">
        <f t="shared" ca="1" si="9"/>
        <v>1</v>
      </c>
      <c r="O96" s="122"/>
      <c r="Q96" s="124"/>
      <c r="R96" s="121"/>
      <c r="S96" s="121"/>
      <c r="T96" s="121"/>
      <c r="U96" s="121"/>
      <c r="V96" s="121"/>
      <c r="W96" s="121"/>
      <c r="X96" s="121"/>
      <c r="Y96" s="121"/>
      <c r="Z96" s="121"/>
      <c r="AA96" s="121"/>
      <c r="AB96" s="121"/>
      <c r="AC96" s="121"/>
      <c r="AD96" s="121"/>
      <c r="AE96" s="121"/>
      <c r="AF96" s="121"/>
      <c r="AG96" s="121"/>
      <c r="AH96" s="121"/>
      <c r="AI96" s="121"/>
      <c r="AJ96" s="121"/>
      <c r="AK96" s="121"/>
      <c r="AL96" s="121"/>
      <c r="AM96" s="121"/>
      <c r="AN96" s="121"/>
      <c r="AO96" s="121"/>
      <c r="AP96" s="121"/>
      <c r="AQ96" s="121"/>
      <c r="AR96" s="121"/>
      <c r="AS96" s="121"/>
      <c r="AT96" s="121"/>
      <c r="AU96" s="121"/>
      <c r="AV96" s="121"/>
      <c r="AW96" s="121"/>
      <c r="AX96" s="121"/>
      <c r="AY96" s="121"/>
      <c r="AZ96" s="121"/>
      <c r="BA96" s="121"/>
      <c r="BB96" s="121"/>
      <c r="BC96" s="121"/>
      <c r="BD96" s="121"/>
      <c r="BE96" s="121"/>
      <c r="BF96" s="121"/>
      <c r="BG96" s="121"/>
      <c r="BH96" s="121"/>
      <c r="BI96" s="121"/>
      <c r="BJ96" s="121"/>
      <c r="BK96" s="121"/>
      <c r="BL96" s="121"/>
      <c r="BM96" s="121"/>
      <c r="BN96" s="121"/>
      <c r="BO96" s="121"/>
      <c r="BP96" s="121"/>
      <c r="BQ96" s="121"/>
      <c r="BR96" s="121"/>
      <c r="BS96" s="121"/>
      <c r="BT96" s="121"/>
      <c r="BU96" s="121"/>
      <c r="BV96" s="121"/>
      <c r="BW96" s="121"/>
      <c r="BX96" s="121"/>
      <c r="BY96" s="121"/>
      <c r="BZ96" s="121"/>
      <c r="CA96" s="121"/>
      <c r="CB96" s="121"/>
      <c r="CC96" s="121"/>
      <c r="CD96" s="121"/>
      <c r="CE96" s="121"/>
      <c r="CF96" s="121"/>
      <c r="CG96" s="121"/>
      <c r="CH96" s="121"/>
      <c r="CI96" s="121"/>
      <c r="CJ96" s="121"/>
      <c r="CK96" s="121"/>
      <c r="CL96" s="121"/>
      <c r="CM96" s="121"/>
      <c r="CN96" s="121"/>
      <c r="CO96" s="121"/>
      <c r="CP96" s="121"/>
      <c r="CQ96" s="121"/>
      <c r="CR96" s="121"/>
      <c r="CS96" s="121"/>
      <c r="CT96" s="121"/>
      <c r="CU96" s="121"/>
      <c r="CV96" s="121"/>
      <c r="CW96" s="121"/>
      <c r="CX96" s="121"/>
      <c r="CY96" s="121"/>
      <c r="CZ96" s="121"/>
      <c r="DA96" s="121"/>
      <c r="DB96" s="121"/>
      <c r="DC96" s="121"/>
      <c r="DD96" s="121"/>
      <c r="DE96" s="121"/>
      <c r="DF96" s="121"/>
      <c r="DG96" s="121"/>
      <c r="DH96" s="121"/>
      <c r="DI96" s="121"/>
      <c r="DJ96" s="121"/>
      <c r="DK96" s="121"/>
      <c r="DL96" s="121"/>
      <c r="DM96" s="121"/>
      <c r="DN96" s="121"/>
      <c r="DO96" s="121"/>
      <c r="DP96" s="121"/>
      <c r="DQ96" s="121"/>
      <c r="DR96" s="121"/>
      <c r="DS96" s="121"/>
      <c r="DT96" s="121"/>
      <c r="DU96" s="121"/>
      <c r="DV96" s="121"/>
      <c r="DW96" s="121"/>
      <c r="DX96" s="121"/>
      <c r="DY96" s="121"/>
      <c r="DZ96" s="121"/>
      <c r="EA96" s="121"/>
      <c r="EB96" s="121"/>
      <c r="EC96" s="121"/>
      <c r="ED96" s="121"/>
      <c r="EE96" s="121"/>
      <c r="EF96" s="121"/>
      <c r="EG96" s="121"/>
      <c r="EH96" s="121"/>
      <c r="EI96" s="121"/>
      <c r="EJ96" s="121"/>
      <c r="EK96" s="121"/>
      <c r="EL96" s="121"/>
      <c r="EM96" s="121"/>
      <c r="EN96" s="121"/>
      <c r="EO96" s="121"/>
      <c r="EP96" s="121"/>
      <c r="EQ96" s="121"/>
      <c r="ER96" s="121"/>
      <c r="ES96" s="121"/>
      <c r="ET96" s="121"/>
      <c r="EU96" s="121"/>
      <c r="EV96" s="121"/>
      <c r="EW96" s="121"/>
      <c r="EX96" s="121"/>
      <c r="EY96" s="121"/>
      <c r="EZ96" s="121"/>
      <c r="FA96" s="121"/>
      <c r="FB96" s="121"/>
      <c r="FC96" s="121"/>
      <c r="FD96" s="121"/>
      <c r="FE96" s="121"/>
      <c r="FF96" s="121"/>
      <c r="FG96" s="121"/>
      <c r="FH96" s="121"/>
      <c r="FI96" s="121"/>
      <c r="FJ96" s="121"/>
      <c r="FK96" s="121"/>
      <c r="FL96" s="121"/>
      <c r="FM96" s="121"/>
      <c r="FN96" s="121"/>
      <c r="FO96" s="121"/>
      <c r="FP96" s="121"/>
      <c r="FQ96" s="121"/>
      <c r="FR96" s="121"/>
      <c r="FS96" s="121"/>
      <c r="FT96" s="121"/>
      <c r="FU96" s="121"/>
      <c r="FV96" s="121"/>
      <c r="FW96" s="121"/>
      <c r="FX96" s="121"/>
      <c r="FY96" s="121"/>
      <c r="FZ96" s="121"/>
      <c r="GA96" s="121"/>
      <c r="GB96" s="121"/>
      <c r="GC96" s="121"/>
      <c r="GD96" s="121"/>
      <c r="GE96" s="121"/>
      <c r="GF96" s="121"/>
      <c r="GG96" s="121"/>
      <c r="GH96" s="121"/>
      <c r="GI96" s="121"/>
      <c r="GJ96" s="121"/>
      <c r="GK96" s="121"/>
      <c r="GL96" s="121"/>
      <c r="GM96" s="121"/>
      <c r="GN96" s="121"/>
      <c r="GO96" s="121"/>
      <c r="GP96" s="121"/>
    </row>
    <row r="97" spans="2:198" s="112" customFormat="1" ht="4.5" customHeight="1">
      <c r="B97" s="229"/>
      <c r="C97" s="750"/>
      <c r="D97" s="205"/>
      <c r="E97" s="230"/>
      <c r="F97" s="230"/>
      <c r="G97" s="231"/>
      <c r="H97" s="228"/>
      <c r="I97" s="230"/>
      <c r="J97" s="230"/>
      <c r="K97" s="231"/>
      <c r="N97" s="168"/>
      <c r="Q97" s="3"/>
    </row>
    <row r="98" spans="2:198" s="112" customFormat="1">
      <c r="B98" s="234">
        <v>10</v>
      </c>
      <c r="C98" s="235" t="s">
        <v>249</v>
      </c>
      <c r="D98" s="209"/>
      <c r="E98" s="689">
        <f>MIN(E99:E108)</f>
        <v>45971</v>
      </c>
      <c r="F98" s="690">
        <f>G98-E98</f>
        <v>4</v>
      </c>
      <c r="G98" s="689">
        <f>MAX(G99:G108)</f>
        <v>45975</v>
      </c>
      <c r="H98" s="210"/>
      <c r="I98" s="689">
        <f>MIN(I99:I108)</f>
        <v>46006</v>
      </c>
      <c r="J98" s="690">
        <f>K98-I98</f>
        <v>59</v>
      </c>
      <c r="K98" s="689">
        <f>MAX(K99:K108)</f>
        <v>46065</v>
      </c>
      <c r="L98" s="114"/>
      <c r="M98" s="350">
        <f>AVERAGE(M99:M108)</f>
        <v>0.89</v>
      </c>
      <c r="N98" s="350">
        <f ca="1">AVERAGE(N99:N108)</f>
        <v>0.90142857142857158</v>
      </c>
      <c r="Q98" s="124"/>
      <c r="R98" s="121"/>
      <c r="S98" s="121"/>
      <c r="T98" s="121"/>
      <c r="U98" s="121"/>
      <c r="V98" s="121"/>
      <c r="W98" s="121"/>
      <c r="X98" s="121"/>
      <c r="Y98" s="121"/>
      <c r="Z98" s="121"/>
      <c r="AA98" s="121"/>
      <c r="AB98" s="121"/>
      <c r="AC98" s="121"/>
      <c r="AD98" s="121"/>
      <c r="AE98" s="121"/>
      <c r="AF98" s="121"/>
      <c r="AG98" s="121"/>
      <c r="AH98" s="121"/>
      <c r="AI98" s="121"/>
      <c r="AJ98" s="121"/>
      <c r="AK98" s="121"/>
      <c r="AL98" s="121"/>
      <c r="AM98" s="121"/>
      <c r="AN98" s="121"/>
      <c r="AO98" s="121"/>
      <c r="AP98" s="121"/>
      <c r="AQ98" s="121"/>
      <c r="AR98" s="121"/>
      <c r="AS98" s="121"/>
      <c r="AT98" s="121"/>
      <c r="AU98" s="121"/>
      <c r="AV98" s="121"/>
      <c r="AW98" s="121"/>
      <c r="AX98" s="121"/>
      <c r="AY98" s="121"/>
      <c r="AZ98" s="121"/>
      <c r="BA98" s="121"/>
      <c r="BB98" s="121"/>
      <c r="BC98" s="121"/>
      <c r="BD98" s="121"/>
      <c r="BE98" s="121"/>
      <c r="BF98" s="121"/>
      <c r="BG98" s="121"/>
      <c r="BH98" s="121"/>
      <c r="BI98" s="121"/>
      <c r="BJ98" s="121"/>
      <c r="BK98" s="121"/>
      <c r="BL98" s="121"/>
      <c r="BM98" s="121"/>
      <c r="BN98" s="121"/>
      <c r="BO98" s="121"/>
      <c r="BP98" s="121"/>
      <c r="BQ98" s="121"/>
      <c r="BR98" s="121"/>
      <c r="BS98" s="121"/>
      <c r="BT98" s="121"/>
      <c r="BU98" s="121"/>
      <c r="BV98" s="121"/>
      <c r="BW98" s="121"/>
      <c r="BX98" s="121"/>
      <c r="BY98" s="121"/>
      <c r="BZ98" s="121"/>
      <c r="CA98" s="121"/>
      <c r="CB98" s="121"/>
      <c r="CC98" s="121"/>
      <c r="CD98" s="121"/>
      <c r="CE98" s="121"/>
      <c r="CF98" s="121"/>
      <c r="CG98" s="121"/>
      <c r="CH98" s="121"/>
      <c r="CI98" s="121"/>
      <c r="CJ98" s="121"/>
      <c r="CK98" s="121"/>
      <c r="CL98" s="121"/>
      <c r="CM98" s="121"/>
      <c r="CN98" s="121"/>
      <c r="CO98" s="121"/>
      <c r="CP98" s="121"/>
      <c r="CQ98" s="121"/>
      <c r="CR98" s="121"/>
      <c r="CS98" s="121"/>
      <c r="CT98" s="121"/>
      <c r="CU98" s="121"/>
      <c r="CV98" s="121"/>
      <c r="CW98" s="121"/>
      <c r="CX98" s="121"/>
      <c r="CY98" s="121"/>
      <c r="CZ98" s="121"/>
      <c r="DA98" s="121"/>
      <c r="DB98" s="121"/>
      <c r="DC98" s="121"/>
      <c r="DD98" s="121"/>
      <c r="DE98" s="121"/>
      <c r="DF98" s="121"/>
      <c r="DG98" s="121"/>
      <c r="DH98" s="121"/>
      <c r="DI98" s="121"/>
      <c r="DJ98" s="121"/>
      <c r="DK98" s="121"/>
      <c r="DL98" s="121"/>
      <c r="DM98" s="121"/>
      <c r="DN98" s="121"/>
      <c r="DO98" s="121"/>
      <c r="DP98" s="121"/>
      <c r="DQ98" s="121"/>
      <c r="DR98" s="121"/>
      <c r="DS98" s="121"/>
      <c r="DT98" s="121"/>
      <c r="DU98" s="121"/>
      <c r="DV98" s="121"/>
      <c r="DW98" s="121"/>
      <c r="DX98" s="121"/>
      <c r="DY98" s="121"/>
      <c r="DZ98" s="121"/>
      <c r="EA98" s="121"/>
      <c r="EB98" s="121"/>
      <c r="EC98" s="121"/>
      <c r="ED98" s="121"/>
      <c r="EE98" s="121"/>
      <c r="EF98" s="121"/>
      <c r="EG98" s="121"/>
      <c r="EH98" s="121"/>
      <c r="EI98" s="121"/>
      <c r="EJ98" s="121"/>
      <c r="EK98" s="121"/>
      <c r="EL98" s="121"/>
      <c r="EM98" s="121"/>
      <c r="EN98" s="121"/>
      <c r="EO98" s="121"/>
      <c r="EP98" s="121"/>
      <c r="EQ98" s="121"/>
      <c r="ER98" s="121"/>
      <c r="ES98" s="121"/>
      <c r="ET98" s="121"/>
      <c r="EU98" s="121"/>
      <c r="EV98" s="121"/>
      <c r="EW98" s="121"/>
      <c r="EX98" s="121"/>
      <c r="EY98" s="121"/>
      <c r="EZ98" s="121"/>
      <c r="FA98" s="121"/>
      <c r="FB98" s="121"/>
      <c r="FC98" s="121"/>
      <c r="FD98" s="121"/>
      <c r="FE98" s="121"/>
      <c r="FF98" s="121"/>
      <c r="FG98" s="121"/>
      <c r="FH98" s="121"/>
      <c r="FI98" s="121"/>
      <c r="FJ98" s="121"/>
      <c r="FK98" s="121"/>
      <c r="FL98" s="121"/>
      <c r="FM98" s="121"/>
      <c r="FN98" s="121"/>
      <c r="FO98" s="121"/>
      <c r="FP98" s="121"/>
      <c r="FQ98" s="121"/>
      <c r="FR98" s="121"/>
      <c r="FS98" s="121"/>
      <c r="FT98" s="121"/>
      <c r="FU98" s="121"/>
      <c r="FV98" s="121"/>
      <c r="FW98" s="121"/>
      <c r="FX98" s="121"/>
      <c r="FY98" s="121"/>
      <c r="FZ98" s="121"/>
      <c r="GA98" s="121"/>
      <c r="GB98" s="121"/>
      <c r="GC98" s="121"/>
      <c r="GD98" s="121"/>
      <c r="GE98" s="121"/>
      <c r="GF98" s="121"/>
      <c r="GG98" s="121"/>
      <c r="GH98" s="121"/>
      <c r="GI98" s="121"/>
      <c r="GJ98" s="121"/>
      <c r="GK98" s="121"/>
      <c r="GL98" s="121"/>
      <c r="GM98" s="121"/>
      <c r="GN98" s="121"/>
      <c r="GO98" s="121"/>
      <c r="GP98" s="121"/>
    </row>
    <row r="99" spans="2:198">
      <c r="B99" s="238">
        <f>B98+0.1</f>
        <v>10.1</v>
      </c>
      <c r="C99" s="233" t="s">
        <v>250</v>
      </c>
      <c r="D99" s="205"/>
      <c r="E99" s="240">
        <f>WORKDAY.INTL(MAX(G88,G81,G74,G67,G58),0,1,Data!$C$3:$C$41)</f>
        <v>45971</v>
      </c>
      <c r="F99" s="241">
        <v>2</v>
      </c>
      <c r="G99" s="240">
        <f>WORKDAY.INTL(E99,F99,1,Data!$C$3:$C$41)</f>
        <v>45973</v>
      </c>
      <c r="H99" s="228"/>
      <c r="I99" s="240">
        <v>46006</v>
      </c>
      <c r="J99" s="241">
        <v>3</v>
      </c>
      <c r="K99" s="240">
        <f>WORKDAY.INTL(I99,J99,1,Data!$C$3:$C$41)</f>
        <v>46009</v>
      </c>
      <c r="M99" s="243">
        <v>1</v>
      </c>
      <c r="N99" s="243">
        <f t="shared" ref="N99:N106" ca="1" si="11">_xlfn.LET(
  _xlpm.s,VALUE(I99),
  _xlpm.e,VALUE(K99),
  IF(OR(_xlpm.s="",_xlpm.e=""),"", IF(_xlpm.e&lt;=_xlpm.s, IF(TODAY()&gt;=_xlpm.e,1,0), MAX(0,MIN(1,(TODAY()-_xlpm.s)/(_xlpm.e-_xlpm.s)))))
)</f>
        <v>1</v>
      </c>
      <c r="O99" s="122"/>
      <c r="Y99" s="112"/>
      <c r="Z99" s="112"/>
      <c r="AA99" s="112"/>
      <c r="AB99" s="112"/>
      <c r="AC99" s="112"/>
      <c r="AD99" s="112"/>
      <c r="AE99" s="112"/>
      <c r="AF99" s="112"/>
      <c r="AG99" s="112"/>
      <c r="AH99" s="112"/>
      <c r="AI99" s="112"/>
      <c r="AJ99" s="112"/>
      <c r="AK99" s="112"/>
      <c r="AL99" s="112"/>
      <c r="AM99" s="112"/>
      <c r="AN99" s="112"/>
      <c r="AO99" s="112"/>
      <c r="AP99" s="112"/>
      <c r="AQ99" s="112"/>
      <c r="AR99" s="112"/>
      <c r="AS99" s="112"/>
      <c r="AT99" s="112"/>
      <c r="AU99" s="112"/>
      <c r="AV99" s="112"/>
      <c r="AW99" s="112"/>
      <c r="AX99" s="112"/>
      <c r="AY99" s="112"/>
      <c r="AZ99" s="112"/>
      <c r="BA99" s="112"/>
      <c r="BB99" s="112"/>
      <c r="BC99" s="112"/>
      <c r="BD99" s="112"/>
      <c r="BE99" s="112"/>
      <c r="BF99" s="112"/>
      <c r="BG99" s="112"/>
      <c r="BH99" s="112"/>
      <c r="BI99" s="112"/>
      <c r="BJ99" s="112"/>
      <c r="BK99" s="112"/>
      <c r="BL99" s="112"/>
      <c r="BM99" s="112"/>
      <c r="BN99" s="112"/>
      <c r="BO99" s="112"/>
      <c r="BP99" s="112"/>
      <c r="BQ99" s="112"/>
      <c r="BR99" s="112"/>
      <c r="BS99" s="112"/>
      <c r="BT99" s="112"/>
      <c r="BU99" s="112"/>
      <c r="BV99" s="112"/>
      <c r="BW99" s="112"/>
      <c r="BX99" s="112"/>
      <c r="BY99" s="112"/>
      <c r="BZ99" s="112"/>
      <c r="CA99" s="112"/>
      <c r="CB99" s="112"/>
      <c r="CC99" s="112"/>
      <c r="CD99" s="112"/>
      <c r="CE99" s="112"/>
      <c r="CF99" s="112"/>
      <c r="CG99" s="112"/>
      <c r="CH99" s="112"/>
      <c r="CI99" s="112"/>
      <c r="CJ99" s="112"/>
      <c r="CK99" s="112"/>
      <c r="CL99" s="112"/>
      <c r="CM99" s="112"/>
      <c r="CN99" s="112"/>
      <c r="CO99" s="112"/>
      <c r="CP99" s="112"/>
      <c r="CQ99" s="112"/>
      <c r="CR99" s="112"/>
      <c r="CS99" s="112"/>
      <c r="CT99" s="112"/>
      <c r="CU99" s="112"/>
      <c r="CV99" s="112"/>
      <c r="CW99" s="112"/>
      <c r="CX99" s="112"/>
      <c r="CY99" s="112"/>
      <c r="CZ99" s="112"/>
      <c r="DA99" s="112"/>
      <c r="DB99" s="112"/>
      <c r="DC99" s="112"/>
      <c r="DD99" s="112"/>
      <c r="DE99" s="112"/>
      <c r="DF99" s="112"/>
      <c r="DG99" s="112"/>
      <c r="DH99" s="112"/>
      <c r="DI99" s="112"/>
      <c r="DJ99" s="112"/>
      <c r="DK99" s="112"/>
      <c r="DL99" s="112"/>
      <c r="DM99" s="112"/>
      <c r="DN99" s="112"/>
      <c r="DO99" s="112"/>
      <c r="DP99" s="112"/>
      <c r="DQ99" s="112"/>
      <c r="DR99" s="112"/>
      <c r="DS99" s="112"/>
      <c r="DT99" s="112"/>
      <c r="DU99" s="112"/>
      <c r="DV99" s="112"/>
      <c r="DW99" s="112"/>
      <c r="DX99" s="112"/>
      <c r="DY99" s="112"/>
      <c r="DZ99" s="112"/>
      <c r="EA99" s="112"/>
      <c r="EB99" s="112"/>
      <c r="EC99" s="112"/>
      <c r="ED99" s="112"/>
      <c r="EE99" s="112"/>
      <c r="EF99" s="112"/>
      <c r="EG99" s="112"/>
      <c r="EH99" s="112"/>
      <c r="EI99" s="112"/>
      <c r="EJ99" s="112"/>
      <c r="EK99" s="112"/>
      <c r="EL99" s="112"/>
      <c r="EM99" s="112"/>
      <c r="EN99" s="112"/>
      <c r="EO99" s="112"/>
      <c r="EP99" s="112"/>
      <c r="EQ99" s="112"/>
      <c r="ER99" s="112"/>
      <c r="ES99" s="112"/>
      <c r="ET99" s="112"/>
      <c r="EU99" s="112"/>
      <c r="EV99" s="112"/>
      <c r="EW99" s="112"/>
      <c r="EX99" s="112"/>
      <c r="EY99" s="112"/>
      <c r="EZ99" s="112"/>
      <c r="FA99" s="112"/>
      <c r="FB99" s="112"/>
      <c r="FC99" s="112"/>
      <c r="FD99" s="112"/>
      <c r="FE99" s="112"/>
      <c r="FF99" s="112"/>
      <c r="FG99" s="112"/>
      <c r="FH99" s="112"/>
      <c r="FI99" s="112"/>
      <c r="FJ99" s="112"/>
      <c r="FK99" s="112"/>
      <c r="FL99" s="112"/>
      <c r="FM99" s="112"/>
      <c r="FN99" s="112"/>
      <c r="FO99" s="112"/>
      <c r="FP99" s="112"/>
      <c r="FQ99" s="112"/>
      <c r="FR99" s="112"/>
      <c r="FS99" s="112"/>
      <c r="FT99" s="112"/>
      <c r="FU99" s="112"/>
      <c r="FV99" s="112"/>
      <c r="FW99" s="112"/>
      <c r="FX99" s="112"/>
      <c r="FY99" s="112"/>
      <c r="FZ99" s="112"/>
      <c r="GA99" s="112"/>
      <c r="GB99" s="112"/>
      <c r="GC99" s="112"/>
      <c r="GD99" s="112"/>
      <c r="GE99" s="112"/>
      <c r="GF99" s="112"/>
      <c r="GG99" s="112"/>
      <c r="GH99" s="112"/>
      <c r="GI99" s="112"/>
      <c r="GJ99" s="112"/>
      <c r="GK99" s="112"/>
      <c r="GL99" s="112"/>
      <c r="GM99" s="112"/>
      <c r="GN99" s="112"/>
      <c r="GO99" s="112"/>
      <c r="GP99" s="112"/>
    </row>
    <row r="100" spans="2:198">
      <c r="B100" s="238">
        <v>10.199999999999999</v>
      </c>
      <c r="C100" s="233" t="s">
        <v>251</v>
      </c>
      <c r="D100" s="205"/>
      <c r="E100" s="240"/>
      <c r="F100" s="241"/>
      <c r="G100" s="240"/>
      <c r="H100" s="228"/>
      <c r="I100" s="240">
        <v>46006</v>
      </c>
      <c r="J100" s="241">
        <v>2</v>
      </c>
      <c r="K100" s="240">
        <f>WORKDAY.INTL(I100,J100,1,Data!$C$3:$C$41)</f>
        <v>46008</v>
      </c>
      <c r="M100" s="243">
        <v>1</v>
      </c>
      <c r="N100" s="243">
        <f t="shared" ca="1" si="11"/>
        <v>1</v>
      </c>
      <c r="O100" s="122"/>
      <c r="Y100" s="112"/>
      <c r="Z100" s="112"/>
      <c r="AA100" s="112"/>
      <c r="AB100" s="112"/>
      <c r="AC100" s="112"/>
      <c r="AD100" s="112"/>
      <c r="AE100" s="112"/>
      <c r="AF100" s="112"/>
      <c r="AG100" s="112"/>
      <c r="AH100" s="112"/>
      <c r="AI100" s="112"/>
      <c r="AJ100" s="112"/>
      <c r="AK100" s="112"/>
      <c r="AL100" s="112"/>
      <c r="AM100" s="112"/>
      <c r="AN100" s="112"/>
      <c r="AO100" s="112"/>
      <c r="AP100" s="112"/>
      <c r="AQ100" s="112"/>
      <c r="AR100" s="112"/>
      <c r="AS100" s="112"/>
      <c r="AT100" s="112"/>
      <c r="AU100" s="112"/>
      <c r="AV100" s="112"/>
      <c r="AW100" s="112"/>
      <c r="AX100" s="112"/>
      <c r="AY100" s="112"/>
      <c r="AZ100" s="112"/>
      <c r="BA100" s="112"/>
      <c r="BB100" s="112"/>
      <c r="BC100" s="112"/>
      <c r="BD100" s="112"/>
      <c r="BE100" s="112"/>
      <c r="BF100" s="112"/>
      <c r="BG100" s="112"/>
      <c r="BH100" s="112"/>
      <c r="BI100" s="112"/>
      <c r="BJ100" s="112"/>
      <c r="BK100" s="112"/>
      <c r="BL100" s="112"/>
      <c r="BM100" s="112"/>
      <c r="BN100" s="112"/>
      <c r="BO100" s="112"/>
      <c r="BP100" s="112"/>
      <c r="BQ100" s="112"/>
      <c r="BR100" s="112"/>
      <c r="BS100" s="112"/>
      <c r="BT100" s="112"/>
      <c r="BU100" s="112"/>
      <c r="BV100" s="112"/>
      <c r="BW100" s="112"/>
      <c r="BX100" s="112"/>
      <c r="BY100" s="112"/>
      <c r="BZ100" s="112"/>
      <c r="CA100" s="112"/>
      <c r="CB100" s="112"/>
      <c r="CC100" s="112"/>
      <c r="CD100" s="112"/>
      <c r="CE100" s="112"/>
      <c r="CF100" s="112"/>
      <c r="CG100" s="112"/>
      <c r="CH100" s="112"/>
      <c r="CI100" s="112"/>
      <c r="CJ100" s="112"/>
      <c r="CK100" s="112"/>
      <c r="CL100" s="112"/>
      <c r="CM100" s="112"/>
      <c r="CN100" s="112"/>
      <c r="CO100" s="112"/>
      <c r="CP100" s="112"/>
      <c r="CQ100" s="112"/>
      <c r="CR100" s="112"/>
      <c r="CS100" s="112"/>
      <c r="CT100" s="112"/>
      <c r="CU100" s="112"/>
      <c r="CV100" s="112"/>
      <c r="CW100" s="112"/>
      <c r="CX100" s="112"/>
      <c r="CY100" s="112"/>
      <c r="CZ100" s="112"/>
      <c r="DA100" s="112"/>
      <c r="DB100" s="112"/>
      <c r="DC100" s="112"/>
      <c r="DD100" s="112"/>
      <c r="DE100" s="112"/>
      <c r="DF100" s="112"/>
      <c r="DG100" s="112"/>
      <c r="DH100" s="112"/>
      <c r="DI100" s="112"/>
      <c r="DJ100" s="112"/>
      <c r="DK100" s="112"/>
      <c r="DL100" s="112"/>
      <c r="DM100" s="112"/>
      <c r="DN100" s="112"/>
      <c r="DO100" s="112"/>
      <c r="DP100" s="112"/>
      <c r="DQ100" s="112"/>
      <c r="DR100" s="112"/>
      <c r="DS100" s="112"/>
      <c r="DT100" s="112"/>
      <c r="DU100" s="112"/>
      <c r="DV100" s="112"/>
      <c r="DW100" s="112"/>
      <c r="DX100" s="112"/>
      <c r="DY100" s="112"/>
      <c r="DZ100" s="112"/>
      <c r="EA100" s="112"/>
      <c r="EB100" s="112"/>
      <c r="EC100" s="112"/>
      <c r="ED100" s="112"/>
      <c r="EE100" s="112"/>
      <c r="EF100" s="112"/>
      <c r="EG100" s="112"/>
      <c r="EH100" s="112"/>
      <c r="EI100" s="112"/>
      <c r="EJ100" s="112"/>
      <c r="EK100" s="112"/>
      <c r="EL100" s="112"/>
      <c r="EM100" s="112"/>
      <c r="EN100" s="112"/>
      <c r="EO100" s="112"/>
      <c r="EP100" s="112"/>
      <c r="EQ100" s="112"/>
      <c r="ER100" s="112"/>
      <c r="ES100" s="112"/>
      <c r="ET100" s="112"/>
      <c r="EU100" s="112"/>
      <c r="EV100" s="112"/>
      <c r="EW100" s="112"/>
      <c r="EX100" s="112"/>
      <c r="EY100" s="112"/>
      <c r="EZ100" s="112"/>
      <c r="FA100" s="112"/>
      <c r="FB100" s="112"/>
      <c r="FC100" s="112"/>
      <c r="FD100" s="112"/>
      <c r="FE100" s="112"/>
      <c r="FF100" s="112"/>
      <c r="FG100" s="112"/>
      <c r="FH100" s="112"/>
      <c r="FI100" s="112"/>
      <c r="FJ100" s="112"/>
      <c r="FK100" s="112"/>
      <c r="FL100" s="112"/>
      <c r="FM100" s="112"/>
      <c r="FN100" s="112"/>
      <c r="FO100" s="112"/>
      <c r="FP100" s="112"/>
      <c r="FQ100" s="112"/>
      <c r="FR100" s="112"/>
      <c r="FS100" s="112"/>
      <c r="FT100" s="112"/>
      <c r="FU100" s="112"/>
      <c r="FV100" s="112"/>
      <c r="FW100" s="112"/>
      <c r="FX100" s="112"/>
      <c r="FY100" s="112"/>
      <c r="FZ100" s="112"/>
      <c r="GA100" s="112"/>
      <c r="GB100" s="112"/>
      <c r="GC100" s="112"/>
      <c r="GD100" s="112"/>
      <c r="GE100" s="112"/>
      <c r="GF100" s="112"/>
      <c r="GG100" s="112"/>
      <c r="GH100" s="112"/>
      <c r="GI100" s="112"/>
      <c r="GJ100" s="112"/>
      <c r="GK100" s="112"/>
      <c r="GL100" s="112"/>
      <c r="GM100" s="112"/>
      <c r="GN100" s="112"/>
      <c r="GO100" s="112"/>
      <c r="GP100" s="112"/>
    </row>
    <row r="101" spans="2:198">
      <c r="B101" s="238">
        <v>10.3</v>
      </c>
      <c r="C101" s="233" t="s">
        <v>252</v>
      </c>
      <c r="D101" s="205"/>
      <c r="E101" s="240"/>
      <c r="F101" s="241"/>
      <c r="G101" s="240"/>
      <c r="H101" s="228"/>
      <c r="I101" s="240">
        <f>K100</f>
        <v>46008</v>
      </c>
      <c r="J101" s="241">
        <v>2</v>
      </c>
      <c r="K101" s="240">
        <f>WORKDAY.INTL(I101,J101,1,Data!$C$3:$C$41)</f>
        <v>46010</v>
      </c>
      <c r="M101" s="243">
        <v>1</v>
      </c>
      <c r="N101" s="243">
        <f t="shared" ca="1" si="11"/>
        <v>1</v>
      </c>
      <c r="O101" s="122"/>
      <c r="Y101" s="112"/>
      <c r="Z101" s="112"/>
      <c r="AA101" s="112"/>
      <c r="AB101" s="112"/>
      <c r="AC101" s="112"/>
      <c r="AD101" s="112"/>
      <c r="AE101" s="112"/>
      <c r="AF101" s="112"/>
      <c r="AG101" s="112"/>
      <c r="AH101" s="112"/>
      <c r="AI101" s="112"/>
      <c r="AJ101" s="112"/>
      <c r="AK101" s="112"/>
      <c r="AL101" s="112"/>
      <c r="AM101" s="112"/>
      <c r="AN101" s="112"/>
      <c r="AO101" s="112"/>
      <c r="AP101" s="112"/>
      <c r="AQ101" s="112"/>
      <c r="AR101" s="112"/>
      <c r="AS101" s="112"/>
      <c r="AT101" s="112"/>
      <c r="AU101" s="112"/>
      <c r="AV101" s="112"/>
      <c r="AW101" s="112"/>
      <c r="AX101" s="112"/>
      <c r="AY101" s="112"/>
      <c r="AZ101" s="112"/>
      <c r="BA101" s="112"/>
      <c r="BB101" s="112"/>
      <c r="BC101" s="112"/>
      <c r="BD101" s="112"/>
      <c r="BE101" s="112"/>
      <c r="BF101" s="112"/>
      <c r="BG101" s="112"/>
      <c r="BH101" s="112"/>
      <c r="BI101" s="112"/>
      <c r="BJ101" s="112"/>
      <c r="BK101" s="112"/>
      <c r="BL101" s="112"/>
      <c r="BM101" s="112"/>
      <c r="BN101" s="112"/>
      <c r="BO101" s="112"/>
      <c r="BP101" s="112"/>
      <c r="BQ101" s="112"/>
      <c r="BR101" s="112"/>
      <c r="BS101" s="112"/>
      <c r="BT101" s="112"/>
      <c r="BU101" s="112"/>
      <c r="BV101" s="112"/>
      <c r="BW101" s="112"/>
      <c r="BX101" s="112"/>
      <c r="BY101" s="112"/>
      <c r="BZ101" s="112"/>
      <c r="CA101" s="112"/>
      <c r="CB101" s="112"/>
      <c r="CC101" s="112"/>
      <c r="CD101" s="112"/>
      <c r="CE101" s="112"/>
      <c r="CF101" s="112"/>
      <c r="CG101" s="112"/>
      <c r="CH101" s="112"/>
      <c r="CI101" s="112"/>
      <c r="CJ101" s="112"/>
      <c r="CK101" s="112"/>
      <c r="CL101" s="112"/>
      <c r="CM101" s="112"/>
      <c r="CN101" s="112"/>
      <c r="CO101" s="112"/>
      <c r="CP101" s="112"/>
      <c r="CQ101" s="112"/>
      <c r="CR101" s="112"/>
      <c r="CS101" s="112"/>
      <c r="CT101" s="112"/>
      <c r="CU101" s="112"/>
      <c r="CV101" s="112"/>
      <c r="CW101" s="112"/>
      <c r="CX101" s="112"/>
      <c r="CY101" s="112"/>
      <c r="CZ101" s="112"/>
      <c r="DA101" s="112"/>
      <c r="DB101" s="112"/>
      <c r="DC101" s="112"/>
      <c r="DD101" s="112"/>
      <c r="DE101" s="112"/>
      <c r="DF101" s="112"/>
      <c r="DG101" s="112"/>
      <c r="DH101" s="112"/>
      <c r="DI101" s="112"/>
      <c r="DJ101" s="112"/>
      <c r="DK101" s="112"/>
      <c r="DL101" s="112"/>
      <c r="DM101" s="112"/>
      <c r="DN101" s="112"/>
      <c r="DO101" s="112"/>
      <c r="DP101" s="112"/>
      <c r="DQ101" s="112"/>
      <c r="DR101" s="112"/>
      <c r="DS101" s="112"/>
      <c r="DT101" s="112"/>
      <c r="DU101" s="112"/>
      <c r="DV101" s="112"/>
      <c r="DW101" s="112"/>
      <c r="DX101" s="112"/>
      <c r="DY101" s="112"/>
      <c r="DZ101" s="112"/>
      <c r="EA101" s="112"/>
      <c r="EB101" s="112"/>
      <c r="EC101" s="112"/>
      <c r="ED101" s="112"/>
      <c r="EE101" s="112"/>
      <c r="EF101" s="112"/>
      <c r="EG101" s="112"/>
      <c r="EH101" s="112"/>
      <c r="EI101" s="112"/>
      <c r="EJ101" s="112"/>
      <c r="EK101" s="112"/>
      <c r="EL101" s="112"/>
      <c r="EM101" s="112"/>
      <c r="EN101" s="112"/>
      <c r="EO101" s="112"/>
      <c r="EP101" s="112"/>
      <c r="EQ101" s="112"/>
      <c r="ER101" s="112"/>
      <c r="ES101" s="112"/>
      <c r="ET101" s="112"/>
      <c r="EU101" s="112"/>
      <c r="EV101" s="112"/>
      <c r="EW101" s="112"/>
      <c r="EX101" s="112"/>
      <c r="EY101" s="112"/>
      <c r="EZ101" s="112"/>
      <c r="FA101" s="112"/>
      <c r="FB101" s="112"/>
      <c r="FC101" s="112"/>
      <c r="FD101" s="112"/>
      <c r="FE101" s="112"/>
      <c r="FF101" s="112"/>
      <c r="FG101" s="112"/>
      <c r="FH101" s="112"/>
      <c r="FI101" s="112"/>
      <c r="FJ101" s="112"/>
      <c r="FK101" s="112"/>
      <c r="FL101" s="112"/>
      <c r="FM101" s="112"/>
      <c r="FN101" s="112"/>
      <c r="FO101" s="112"/>
      <c r="FP101" s="112"/>
      <c r="FQ101" s="112"/>
      <c r="FR101" s="112"/>
      <c r="FS101" s="112"/>
      <c r="FT101" s="112"/>
      <c r="FU101" s="112"/>
      <c r="FV101" s="112"/>
      <c r="FW101" s="112"/>
      <c r="FX101" s="112"/>
      <c r="FY101" s="112"/>
      <c r="FZ101" s="112"/>
      <c r="GA101" s="112"/>
      <c r="GB101" s="112"/>
      <c r="GC101" s="112"/>
      <c r="GD101" s="112"/>
      <c r="GE101" s="112"/>
      <c r="GF101" s="112"/>
      <c r="GG101" s="112"/>
      <c r="GH101" s="112"/>
      <c r="GI101" s="112"/>
      <c r="GJ101" s="112"/>
      <c r="GK101" s="112"/>
      <c r="GL101" s="112"/>
      <c r="GM101" s="112"/>
      <c r="GN101" s="112"/>
      <c r="GO101" s="112"/>
      <c r="GP101" s="112"/>
    </row>
    <row r="102" spans="2:198">
      <c r="B102" s="238">
        <v>10.4</v>
      </c>
      <c r="C102" s="233" t="s">
        <v>253</v>
      </c>
      <c r="D102" s="205"/>
      <c r="E102" s="240"/>
      <c r="F102" s="241"/>
      <c r="G102" s="240"/>
      <c r="H102" s="228"/>
      <c r="I102" s="240">
        <f>K101-1</f>
        <v>46009</v>
      </c>
      <c r="J102" s="241">
        <v>1</v>
      </c>
      <c r="K102" s="240">
        <f>WORKDAY.INTL(I102,J102,1,Data!$C$3:$C$41)</f>
        <v>46010</v>
      </c>
      <c r="M102" s="243">
        <v>1</v>
      </c>
      <c r="N102" s="243">
        <f t="shared" ca="1" si="11"/>
        <v>1</v>
      </c>
      <c r="O102" s="122" t="s">
        <v>254</v>
      </c>
      <c r="Y102" s="112"/>
      <c r="Z102" s="112"/>
      <c r="AA102" s="112"/>
      <c r="AB102" s="112"/>
      <c r="AC102" s="112"/>
      <c r="AD102" s="112"/>
      <c r="AE102" s="112"/>
      <c r="AF102" s="112"/>
      <c r="AG102" s="112"/>
      <c r="AH102" s="112"/>
      <c r="AI102" s="112"/>
      <c r="AJ102" s="112"/>
      <c r="AK102" s="112"/>
      <c r="AL102" s="112"/>
      <c r="AM102" s="112"/>
      <c r="AN102" s="112"/>
      <c r="AO102" s="112"/>
      <c r="AP102" s="112"/>
      <c r="AQ102" s="112"/>
      <c r="AR102" s="112"/>
      <c r="AS102" s="112"/>
      <c r="AT102" s="112"/>
      <c r="AU102" s="112"/>
      <c r="AV102" s="112"/>
      <c r="AW102" s="112"/>
      <c r="AX102" s="112"/>
      <c r="AY102" s="112"/>
      <c r="AZ102" s="112"/>
      <c r="BA102" s="112"/>
      <c r="BB102" s="112"/>
      <c r="BC102" s="112"/>
      <c r="BD102" s="112"/>
      <c r="BE102" s="112"/>
      <c r="BF102" s="112"/>
      <c r="BG102" s="112"/>
      <c r="BH102" s="112"/>
      <c r="BI102" s="112"/>
      <c r="BJ102" s="112"/>
      <c r="BK102" s="112"/>
      <c r="BL102" s="112"/>
      <c r="BM102" s="112"/>
      <c r="BN102" s="112"/>
      <c r="BO102" s="112"/>
      <c r="BP102" s="112"/>
      <c r="BQ102" s="112"/>
      <c r="BR102" s="112"/>
      <c r="BS102" s="112"/>
      <c r="BT102" s="112"/>
      <c r="BU102" s="112"/>
      <c r="BV102" s="112"/>
      <c r="BW102" s="112"/>
      <c r="BX102" s="112"/>
      <c r="BY102" s="112"/>
      <c r="BZ102" s="112"/>
      <c r="CA102" s="112"/>
      <c r="CB102" s="112"/>
      <c r="CC102" s="112"/>
      <c r="CD102" s="112"/>
      <c r="CE102" s="112"/>
      <c r="CF102" s="112"/>
      <c r="CG102" s="112"/>
      <c r="CH102" s="112"/>
      <c r="CI102" s="112"/>
      <c r="CJ102" s="112"/>
      <c r="CK102" s="112"/>
      <c r="CL102" s="112"/>
      <c r="CM102" s="112"/>
      <c r="CN102" s="112"/>
      <c r="CO102" s="112"/>
      <c r="CP102" s="112"/>
      <c r="CQ102" s="112"/>
      <c r="CR102" s="112"/>
      <c r="CS102" s="112"/>
      <c r="CT102" s="112"/>
      <c r="CU102" s="112"/>
      <c r="CV102" s="112"/>
      <c r="CW102" s="112"/>
      <c r="CX102" s="112"/>
      <c r="CY102" s="112"/>
      <c r="CZ102" s="112"/>
      <c r="DA102" s="112"/>
      <c r="DB102" s="112"/>
      <c r="DC102" s="112"/>
      <c r="DD102" s="112"/>
      <c r="DE102" s="112"/>
      <c r="DF102" s="112"/>
      <c r="DG102" s="112"/>
      <c r="DH102" s="112"/>
      <c r="DI102" s="112"/>
      <c r="DJ102" s="112"/>
      <c r="DK102" s="112"/>
      <c r="DL102" s="112"/>
      <c r="DM102" s="112"/>
      <c r="DN102" s="112"/>
      <c r="DO102" s="112"/>
      <c r="DP102" s="112"/>
      <c r="DQ102" s="112"/>
      <c r="DR102" s="112"/>
      <c r="DS102" s="112"/>
      <c r="DT102" s="112"/>
      <c r="DU102" s="112"/>
      <c r="DV102" s="112"/>
      <c r="DW102" s="112"/>
      <c r="DX102" s="112"/>
      <c r="DY102" s="112"/>
      <c r="DZ102" s="112"/>
      <c r="EA102" s="112"/>
      <c r="EB102" s="112"/>
      <c r="EC102" s="112"/>
      <c r="ED102" s="112"/>
      <c r="EE102" s="112"/>
      <c r="EF102" s="112"/>
      <c r="EG102" s="112"/>
      <c r="EH102" s="112"/>
      <c r="EI102" s="112"/>
      <c r="EJ102" s="112"/>
      <c r="EK102" s="112"/>
      <c r="EL102" s="112"/>
      <c r="EM102" s="112"/>
      <c r="EN102" s="112"/>
      <c r="EO102" s="112"/>
      <c r="EP102" s="112"/>
      <c r="EQ102" s="112"/>
      <c r="ER102" s="112"/>
      <c r="ES102" s="112"/>
      <c r="ET102" s="112"/>
      <c r="EU102" s="112"/>
      <c r="EV102" s="112"/>
      <c r="EW102" s="112"/>
      <c r="EX102" s="112"/>
      <c r="EY102" s="112"/>
      <c r="EZ102" s="112"/>
      <c r="FA102" s="112"/>
      <c r="FB102" s="112"/>
      <c r="FC102" s="112"/>
      <c r="FD102" s="112"/>
      <c r="FE102" s="112"/>
      <c r="FF102" s="112"/>
      <c r="FG102" s="112"/>
      <c r="FH102" s="112"/>
      <c r="FI102" s="112"/>
      <c r="FJ102" s="112"/>
      <c r="FK102" s="112"/>
      <c r="FL102" s="112"/>
      <c r="FM102" s="112"/>
      <c r="FN102" s="112"/>
      <c r="FO102" s="112"/>
      <c r="FP102" s="112"/>
      <c r="FQ102" s="112"/>
      <c r="FR102" s="112"/>
      <c r="FS102" s="112"/>
      <c r="FT102" s="112"/>
      <c r="FU102" s="112"/>
      <c r="FV102" s="112"/>
      <c r="FW102" s="112"/>
      <c r="FX102" s="112"/>
      <c r="FY102" s="112"/>
      <c r="FZ102" s="112"/>
      <c r="GA102" s="112"/>
      <c r="GB102" s="112"/>
      <c r="GC102" s="112"/>
      <c r="GD102" s="112"/>
      <c r="GE102" s="112"/>
      <c r="GF102" s="112"/>
      <c r="GG102" s="112"/>
      <c r="GH102" s="112"/>
      <c r="GI102" s="112"/>
      <c r="GJ102" s="112"/>
      <c r="GK102" s="112"/>
      <c r="GL102" s="112"/>
      <c r="GM102" s="112"/>
      <c r="GN102" s="112"/>
      <c r="GO102" s="112"/>
      <c r="GP102" s="112"/>
    </row>
    <row r="103" spans="2:198">
      <c r="B103" s="238">
        <v>10.5</v>
      </c>
      <c r="C103" s="233" t="s">
        <v>255</v>
      </c>
      <c r="D103" s="205"/>
      <c r="E103" s="240"/>
      <c r="F103" s="241"/>
      <c r="G103" s="240"/>
      <c r="H103" s="228"/>
      <c r="I103" s="240">
        <v>46055</v>
      </c>
      <c r="J103" s="241">
        <v>3</v>
      </c>
      <c r="K103" s="240">
        <f>WORKDAY.INTL(I103,J103,1,Data!$C$3:$C$41)</f>
        <v>46058</v>
      </c>
      <c r="M103" s="243">
        <v>0.9</v>
      </c>
      <c r="N103" s="243">
        <v>0.5</v>
      </c>
      <c r="O103" s="122" t="s">
        <v>256</v>
      </c>
      <c r="Y103" s="112"/>
      <c r="Z103" s="112"/>
      <c r="AA103" s="112"/>
      <c r="AB103" s="112"/>
      <c r="AC103" s="112"/>
      <c r="AD103" s="112"/>
      <c r="AE103" s="112"/>
      <c r="AF103" s="112"/>
      <c r="AG103" s="112"/>
      <c r="AH103" s="112"/>
      <c r="AI103" s="112"/>
      <c r="AJ103" s="112"/>
      <c r="AK103" s="112"/>
      <c r="AL103" s="112"/>
      <c r="AM103" s="112"/>
      <c r="AN103" s="112"/>
      <c r="AO103" s="112"/>
      <c r="AP103" s="112"/>
      <c r="AQ103" s="112"/>
      <c r="AR103" s="112"/>
      <c r="AS103" s="112"/>
      <c r="AT103" s="112"/>
      <c r="AU103" s="112"/>
      <c r="AV103" s="112"/>
      <c r="AW103" s="112"/>
      <c r="AX103" s="112"/>
      <c r="AY103" s="112"/>
      <c r="AZ103" s="112"/>
      <c r="BA103" s="112"/>
      <c r="BB103" s="112"/>
      <c r="BC103" s="112"/>
      <c r="BD103" s="112"/>
      <c r="BE103" s="112"/>
      <c r="BF103" s="112"/>
      <c r="BG103" s="112"/>
      <c r="BH103" s="112"/>
      <c r="BI103" s="112"/>
      <c r="BJ103" s="112"/>
      <c r="BK103" s="112"/>
      <c r="BL103" s="112"/>
      <c r="BM103" s="112"/>
      <c r="BN103" s="112"/>
      <c r="BO103" s="112"/>
      <c r="BP103" s="112"/>
      <c r="BQ103" s="112"/>
      <c r="BR103" s="112"/>
      <c r="BS103" s="112"/>
      <c r="BT103" s="112"/>
      <c r="BU103" s="112"/>
      <c r="BV103" s="112"/>
      <c r="BW103" s="112"/>
      <c r="BX103" s="112"/>
      <c r="BY103" s="112"/>
      <c r="BZ103" s="112"/>
      <c r="CA103" s="112"/>
      <c r="CB103" s="112"/>
      <c r="CC103" s="112"/>
      <c r="CD103" s="112"/>
      <c r="CE103" s="112"/>
      <c r="CF103" s="112"/>
      <c r="CG103" s="112"/>
      <c r="CH103" s="112"/>
      <c r="CI103" s="112"/>
      <c r="CJ103" s="112"/>
      <c r="CK103" s="112"/>
      <c r="CL103" s="112"/>
      <c r="CM103" s="112"/>
      <c r="CN103" s="112"/>
      <c r="CO103" s="112"/>
      <c r="CP103" s="112"/>
      <c r="CQ103" s="112"/>
      <c r="CR103" s="112"/>
      <c r="CS103" s="112"/>
      <c r="CT103" s="112"/>
      <c r="CU103" s="112"/>
      <c r="CV103" s="112"/>
      <c r="CW103" s="112"/>
      <c r="CX103" s="112"/>
      <c r="CY103" s="112"/>
      <c r="CZ103" s="112"/>
      <c r="DA103" s="112"/>
      <c r="DB103" s="112"/>
      <c r="DC103" s="112"/>
      <c r="DD103" s="112"/>
      <c r="DE103" s="112"/>
      <c r="DF103" s="112"/>
      <c r="DG103" s="112"/>
      <c r="DH103" s="112"/>
      <c r="DI103" s="112"/>
      <c r="DJ103" s="112"/>
      <c r="DK103" s="112"/>
      <c r="DL103" s="112"/>
      <c r="DM103" s="112"/>
      <c r="DN103" s="112"/>
      <c r="DO103" s="112"/>
      <c r="DP103" s="112"/>
      <c r="DQ103" s="112"/>
      <c r="DR103" s="112"/>
      <c r="DS103" s="112"/>
      <c r="DT103" s="112"/>
      <c r="DU103" s="112"/>
      <c r="DV103" s="112"/>
      <c r="DW103" s="112"/>
      <c r="DX103" s="112"/>
      <c r="DY103" s="112"/>
      <c r="DZ103" s="112"/>
      <c r="EA103" s="112"/>
      <c r="EB103" s="112"/>
      <c r="EC103" s="112"/>
      <c r="ED103" s="112"/>
      <c r="EE103" s="112"/>
      <c r="EF103" s="112"/>
      <c r="EG103" s="112"/>
      <c r="EH103" s="112"/>
      <c r="EI103" s="112"/>
      <c r="EJ103" s="112"/>
      <c r="EK103" s="112"/>
      <c r="EL103" s="112"/>
      <c r="EM103" s="112"/>
      <c r="EN103" s="112"/>
      <c r="EO103" s="112"/>
      <c r="EP103" s="112"/>
      <c r="EQ103" s="112"/>
      <c r="ER103" s="112"/>
      <c r="ES103" s="112"/>
      <c r="ET103" s="112"/>
      <c r="EU103" s="112"/>
      <c r="EV103" s="112"/>
      <c r="EW103" s="112"/>
      <c r="EX103" s="112"/>
      <c r="EY103" s="112"/>
      <c r="EZ103" s="112"/>
      <c r="FA103" s="112"/>
      <c r="FB103" s="112"/>
      <c r="FC103" s="112"/>
      <c r="FD103" s="112"/>
      <c r="FE103" s="112"/>
      <c r="FF103" s="112"/>
      <c r="FG103" s="112"/>
      <c r="FH103" s="112"/>
      <c r="FI103" s="112"/>
      <c r="FJ103" s="112"/>
      <c r="FK103" s="112"/>
      <c r="FL103" s="112"/>
      <c r="FM103" s="112"/>
      <c r="FN103" s="112"/>
      <c r="FO103" s="112"/>
      <c r="FP103" s="112"/>
      <c r="FQ103" s="112"/>
      <c r="FR103" s="112"/>
      <c r="FS103" s="112"/>
      <c r="FT103" s="112"/>
      <c r="FU103" s="112"/>
      <c r="FV103" s="112"/>
      <c r="FW103" s="112"/>
      <c r="FX103" s="112"/>
      <c r="FY103" s="112"/>
      <c r="FZ103" s="112"/>
      <c r="GA103" s="112"/>
      <c r="GB103" s="112"/>
      <c r="GC103" s="112"/>
      <c r="GD103" s="112"/>
      <c r="GE103" s="112"/>
      <c r="GF103" s="112"/>
      <c r="GG103" s="112"/>
      <c r="GH103" s="112"/>
      <c r="GI103" s="112"/>
      <c r="GJ103" s="112"/>
      <c r="GK103" s="112"/>
      <c r="GL103" s="112"/>
      <c r="GM103" s="112"/>
      <c r="GN103" s="112"/>
      <c r="GO103" s="112"/>
      <c r="GP103" s="112"/>
    </row>
    <row r="104" spans="2:198">
      <c r="B104" s="238">
        <v>10.6</v>
      </c>
      <c r="C104" s="839" t="s">
        <v>257</v>
      </c>
      <c r="D104" s="205"/>
      <c r="E104" s="240"/>
      <c r="F104" s="241"/>
      <c r="G104" s="240"/>
      <c r="H104" s="228"/>
      <c r="I104" s="240">
        <f>K103</f>
        <v>46058</v>
      </c>
      <c r="J104" s="241">
        <v>5</v>
      </c>
      <c r="K104" s="240">
        <f>WORKDAY.INTL(I104,J104,1,Data!$C$3:$C$41)</f>
        <v>46065</v>
      </c>
      <c r="M104" s="243">
        <v>0</v>
      </c>
      <c r="N104" s="243">
        <f t="shared" ca="1" si="11"/>
        <v>0.7142857142857143</v>
      </c>
      <c r="O104" s="122"/>
      <c r="Y104" s="112"/>
      <c r="Z104" s="112"/>
      <c r="AA104" s="112"/>
      <c r="AB104" s="112"/>
      <c r="AC104" s="112"/>
      <c r="AD104" s="112"/>
      <c r="AE104" s="112"/>
      <c r="AF104" s="112"/>
      <c r="AG104" s="112"/>
      <c r="AH104" s="112"/>
      <c r="AI104" s="112"/>
      <c r="AJ104" s="112"/>
      <c r="AK104" s="112"/>
      <c r="AL104" s="112"/>
      <c r="AM104" s="112"/>
      <c r="AN104" s="112"/>
      <c r="AO104" s="112"/>
      <c r="AP104" s="112"/>
      <c r="AQ104" s="112"/>
      <c r="AR104" s="112"/>
      <c r="AS104" s="112"/>
      <c r="AT104" s="112"/>
      <c r="AU104" s="112"/>
      <c r="AV104" s="112"/>
      <c r="AW104" s="112"/>
      <c r="AX104" s="112"/>
      <c r="AY104" s="112"/>
      <c r="AZ104" s="112"/>
      <c r="BA104" s="112"/>
      <c r="BB104" s="112"/>
      <c r="BC104" s="112"/>
      <c r="BD104" s="112"/>
      <c r="BE104" s="112"/>
      <c r="BF104" s="112"/>
      <c r="BG104" s="112"/>
      <c r="BH104" s="112"/>
      <c r="BI104" s="112"/>
      <c r="BJ104" s="112"/>
      <c r="BK104" s="112"/>
      <c r="BL104" s="112"/>
      <c r="BM104" s="112"/>
      <c r="BN104" s="112"/>
      <c r="BO104" s="112"/>
      <c r="BP104" s="112"/>
      <c r="BQ104" s="112"/>
      <c r="BR104" s="112"/>
      <c r="BS104" s="112"/>
      <c r="BT104" s="112"/>
      <c r="BU104" s="112"/>
      <c r="BV104" s="112"/>
      <c r="BW104" s="112"/>
      <c r="BX104" s="112"/>
      <c r="BY104" s="112"/>
      <c r="BZ104" s="112"/>
      <c r="CA104" s="112"/>
      <c r="CB104" s="112"/>
      <c r="CC104" s="112"/>
      <c r="CD104" s="112"/>
      <c r="CE104" s="112"/>
      <c r="CF104" s="112"/>
      <c r="CG104" s="112"/>
      <c r="CH104" s="112"/>
      <c r="CI104" s="112"/>
      <c r="CJ104" s="112"/>
      <c r="CK104" s="112"/>
      <c r="CL104" s="112"/>
      <c r="CM104" s="112"/>
      <c r="CN104" s="112"/>
      <c r="CO104" s="112"/>
      <c r="CP104" s="112"/>
      <c r="CQ104" s="112"/>
      <c r="CR104" s="112"/>
      <c r="CS104" s="112"/>
      <c r="CT104" s="112"/>
      <c r="CU104" s="112"/>
      <c r="CV104" s="112"/>
      <c r="CW104" s="112"/>
      <c r="CX104" s="112"/>
      <c r="CY104" s="112"/>
      <c r="CZ104" s="112"/>
      <c r="DA104" s="112"/>
      <c r="DB104" s="112"/>
      <c r="DC104" s="112"/>
      <c r="DD104" s="112"/>
      <c r="DE104" s="112"/>
      <c r="DF104" s="112"/>
      <c r="DG104" s="112"/>
      <c r="DH104" s="112"/>
      <c r="DI104" s="112"/>
      <c r="DJ104" s="112"/>
      <c r="DK104" s="112"/>
      <c r="DL104" s="112"/>
      <c r="DM104" s="112"/>
      <c r="DN104" s="112"/>
      <c r="DO104" s="112"/>
      <c r="DP104" s="112"/>
      <c r="DQ104" s="112"/>
      <c r="DR104" s="112"/>
      <c r="DS104" s="112"/>
      <c r="DT104" s="112"/>
      <c r="DU104" s="112"/>
      <c r="DV104" s="112"/>
      <c r="DW104" s="112"/>
      <c r="DX104" s="112"/>
      <c r="DY104" s="112"/>
      <c r="DZ104" s="112"/>
      <c r="EA104" s="112"/>
      <c r="EB104" s="112"/>
      <c r="EC104" s="112"/>
      <c r="ED104" s="112"/>
      <c r="EE104" s="112"/>
      <c r="EF104" s="112"/>
      <c r="EG104" s="112"/>
      <c r="EH104" s="112"/>
      <c r="EI104" s="112"/>
      <c r="EJ104" s="112"/>
      <c r="EK104" s="112"/>
      <c r="EL104" s="112"/>
      <c r="EM104" s="112"/>
      <c r="EN104" s="112"/>
      <c r="EO104" s="112"/>
      <c r="EP104" s="112"/>
      <c r="EQ104" s="112"/>
      <c r="ER104" s="112"/>
      <c r="ES104" s="112"/>
      <c r="ET104" s="112"/>
      <c r="EU104" s="112"/>
      <c r="EV104" s="112"/>
      <c r="EW104" s="112"/>
      <c r="EX104" s="112"/>
      <c r="EY104" s="112"/>
      <c r="EZ104" s="112"/>
      <c r="FA104" s="112"/>
      <c r="FB104" s="112"/>
      <c r="FC104" s="112"/>
      <c r="FD104" s="112"/>
      <c r="FE104" s="112"/>
      <c r="FF104" s="112"/>
      <c r="FG104" s="112"/>
      <c r="FH104" s="112"/>
      <c r="FI104" s="112"/>
      <c r="FJ104" s="112"/>
      <c r="FK104" s="112"/>
      <c r="FL104" s="112"/>
      <c r="FM104" s="112"/>
      <c r="FN104" s="112"/>
      <c r="FO104" s="112"/>
      <c r="FP104" s="112"/>
      <c r="FQ104" s="112"/>
      <c r="FR104" s="112"/>
      <c r="FS104" s="112"/>
      <c r="FT104" s="112"/>
      <c r="FU104" s="112"/>
      <c r="FV104" s="112"/>
      <c r="FW104" s="112"/>
      <c r="FX104" s="112"/>
      <c r="FY104" s="112"/>
      <c r="FZ104" s="112"/>
      <c r="GA104" s="112"/>
      <c r="GB104" s="112"/>
      <c r="GC104" s="112"/>
      <c r="GD104" s="112"/>
      <c r="GE104" s="112"/>
      <c r="GF104" s="112"/>
      <c r="GG104" s="112"/>
      <c r="GH104" s="112"/>
      <c r="GI104" s="112"/>
      <c r="GJ104" s="112"/>
      <c r="GK104" s="112"/>
      <c r="GL104" s="112"/>
      <c r="GM104" s="112"/>
      <c r="GN104" s="112"/>
      <c r="GO104" s="112"/>
      <c r="GP104" s="112"/>
    </row>
    <row r="105" spans="2:198">
      <c r="B105" s="238">
        <v>10.7</v>
      </c>
      <c r="C105" s="233" t="s">
        <v>258</v>
      </c>
      <c r="D105" s="205"/>
      <c r="E105" s="240"/>
      <c r="F105" s="241"/>
      <c r="G105" s="240"/>
      <c r="H105" s="228"/>
      <c r="I105" s="240">
        <v>46048</v>
      </c>
      <c r="J105" s="241">
        <v>2</v>
      </c>
      <c r="K105" s="240">
        <f>WORKDAY.INTL(I105,J105,1,Data!$C$3:$C$41)</f>
        <v>46050</v>
      </c>
      <c r="M105" s="243">
        <v>1</v>
      </c>
      <c r="N105" s="243">
        <f t="shared" ca="1" si="11"/>
        <v>1</v>
      </c>
      <c r="O105" s="122"/>
      <c r="Y105" s="112"/>
      <c r="Z105" s="112"/>
      <c r="AA105" s="112"/>
      <c r="AB105" s="112"/>
      <c r="AC105" s="112"/>
      <c r="AD105" s="112"/>
      <c r="AE105" s="112"/>
      <c r="AF105" s="112"/>
      <c r="AG105" s="112"/>
      <c r="AH105" s="112"/>
      <c r="AI105" s="112"/>
      <c r="AJ105" s="112"/>
      <c r="AK105" s="112"/>
      <c r="AL105" s="112"/>
      <c r="AM105" s="112"/>
      <c r="AN105" s="112"/>
      <c r="AO105" s="112"/>
      <c r="AP105" s="112"/>
      <c r="AQ105" s="112"/>
      <c r="AR105" s="112"/>
      <c r="AS105" s="112"/>
      <c r="AT105" s="112"/>
      <c r="AU105" s="112"/>
      <c r="AV105" s="112"/>
      <c r="AW105" s="112"/>
      <c r="AX105" s="112"/>
      <c r="AY105" s="112"/>
      <c r="AZ105" s="112"/>
      <c r="BA105" s="112"/>
      <c r="BB105" s="112"/>
      <c r="BC105" s="112"/>
      <c r="BD105" s="112"/>
      <c r="BE105" s="112"/>
      <c r="BF105" s="112"/>
      <c r="BG105" s="112"/>
      <c r="BH105" s="112"/>
      <c r="BI105" s="112"/>
      <c r="BJ105" s="112"/>
      <c r="BK105" s="112"/>
      <c r="BL105" s="112"/>
      <c r="BM105" s="112"/>
      <c r="BN105" s="112"/>
      <c r="BO105" s="112"/>
      <c r="BP105" s="112"/>
      <c r="BQ105" s="112"/>
      <c r="BR105" s="112"/>
      <c r="BS105" s="112"/>
      <c r="BT105" s="112"/>
      <c r="BU105" s="112"/>
      <c r="BV105" s="112"/>
      <c r="BW105" s="112"/>
      <c r="BX105" s="112"/>
      <c r="BY105" s="112"/>
      <c r="BZ105" s="112"/>
      <c r="CA105" s="112"/>
      <c r="CB105" s="112"/>
      <c r="CC105" s="112"/>
      <c r="CD105" s="112"/>
      <c r="CE105" s="112"/>
      <c r="CF105" s="112"/>
      <c r="CG105" s="112"/>
      <c r="CH105" s="112"/>
      <c r="CI105" s="112"/>
      <c r="CJ105" s="112"/>
      <c r="CK105" s="112"/>
      <c r="CL105" s="112"/>
      <c r="CM105" s="112"/>
      <c r="CN105" s="112"/>
      <c r="CO105" s="112"/>
      <c r="CP105" s="112"/>
      <c r="CQ105" s="112"/>
      <c r="CR105" s="112"/>
      <c r="CS105" s="112"/>
      <c r="CT105" s="112"/>
      <c r="CU105" s="112"/>
      <c r="CV105" s="112"/>
      <c r="CW105" s="112"/>
      <c r="CX105" s="112"/>
      <c r="CY105" s="112"/>
      <c r="CZ105" s="112"/>
      <c r="DA105" s="112"/>
      <c r="DB105" s="112"/>
      <c r="DC105" s="112"/>
      <c r="DD105" s="112"/>
      <c r="DE105" s="112"/>
      <c r="DF105" s="112"/>
      <c r="DG105" s="112"/>
      <c r="DH105" s="112"/>
      <c r="DI105" s="112"/>
      <c r="DJ105" s="112"/>
      <c r="DK105" s="112"/>
      <c r="DL105" s="112"/>
      <c r="DM105" s="112"/>
      <c r="DN105" s="112"/>
      <c r="DO105" s="112"/>
      <c r="DP105" s="112"/>
      <c r="DQ105" s="112"/>
      <c r="DR105" s="112"/>
      <c r="DS105" s="112"/>
      <c r="DT105" s="112"/>
      <c r="DU105" s="112"/>
      <c r="DV105" s="112"/>
      <c r="DW105" s="112"/>
      <c r="DX105" s="112"/>
      <c r="DY105" s="112"/>
      <c r="DZ105" s="112"/>
      <c r="EA105" s="112"/>
      <c r="EB105" s="112"/>
      <c r="EC105" s="112"/>
      <c r="ED105" s="112"/>
      <c r="EE105" s="112"/>
      <c r="EF105" s="112"/>
      <c r="EG105" s="112"/>
      <c r="EH105" s="112"/>
      <c r="EI105" s="112"/>
      <c r="EJ105" s="112"/>
      <c r="EK105" s="112"/>
      <c r="EL105" s="112"/>
      <c r="EM105" s="112"/>
      <c r="EN105" s="112"/>
      <c r="EO105" s="112"/>
      <c r="EP105" s="112"/>
      <c r="EQ105" s="112"/>
      <c r="ER105" s="112"/>
      <c r="ES105" s="112"/>
      <c r="ET105" s="112"/>
      <c r="EU105" s="112"/>
      <c r="EV105" s="112"/>
      <c r="EW105" s="112"/>
      <c r="EX105" s="112"/>
      <c r="EY105" s="112"/>
      <c r="EZ105" s="112"/>
      <c r="FA105" s="112"/>
      <c r="FB105" s="112"/>
      <c r="FC105" s="112"/>
      <c r="FD105" s="112"/>
      <c r="FE105" s="112"/>
      <c r="FF105" s="112"/>
      <c r="FG105" s="112"/>
      <c r="FH105" s="112"/>
      <c r="FI105" s="112"/>
      <c r="FJ105" s="112"/>
      <c r="FK105" s="112"/>
      <c r="FL105" s="112"/>
      <c r="FM105" s="112"/>
      <c r="FN105" s="112"/>
      <c r="FO105" s="112"/>
      <c r="FP105" s="112"/>
      <c r="FQ105" s="112"/>
      <c r="FR105" s="112"/>
      <c r="FS105" s="112"/>
      <c r="FT105" s="112"/>
      <c r="FU105" s="112"/>
      <c r="FV105" s="112"/>
      <c r="FW105" s="112"/>
      <c r="FX105" s="112"/>
      <c r="FY105" s="112"/>
      <c r="FZ105" s="112"/>
      <c r="GA105" s="112"/>
      <c r="GB105" s="112"/>
      <c r="GC105" s="112"/>
      <c r="GD105" s="112"/>
      <c r="GE105" s="112"/>
      <c r="GF105" s="112"/>
      <c r="GG105" s="112"/>
      <c r="GH105" s="112"/>
      <c r="GI105" s="112"/>
      <c r="GJ105" s="112"/>
      <c r="GK105" s="112"/>
      <c r="GL105" s="112"/>
      <c r="GM105" s="112"/>
      <c r="GN105" s="112"/>
      <c r="GO105" s="112"/>
      <c r="GP105" s="112"/>
    </row>
    <row r="106" spans="2:198">
      <c r="B106" s="238">
        <v>10.8</v>
      </c>
      <c r="C106" s="233" t="s">
        <v>259</v>
      </c>
      <c r="D106" s="205"/>
      <c r="E106" s="240"/>
      <c r="F106" s="241"/>
      <c r="G106" s="240"/>
      <c r="H106" s="228"/>
      <c r="I106" s="240">
        <v>46034</v>
      </c>
      <c r="J106" s="241">
        <v>10</v>
      </c>
      <c r="K106" s="240">
        <f>WORKDAY.INTL(I106,J106,1,Data!$C$3:$C$41)</f>
        <v>46048</v>
      </c>
      <c r="M106" s="243">
        <v>1</v>
      </c>
      <c r="N106" s="243">
        <f t="shared" ca="1" si="11"/>
        <v>1</v>
      </c>
      <c r="O106" s="122"/>
      <c r="Y106" s="112"/>
      <c r="Z106" s="112"/>
      <c r="AA106" s="112"/>
      <c r="AB106" s="112"/>
      <c r="AC106" s="112"/>
      <c r="AD106" s="112"/>
      <c r="AE106" s="112"/>
      <c r="AF106" s="112"/>
      <c r="AG106" s="112"/>
      <c r="AH106" s="112"/>
      <c r="AI106" s="112"/>
      <c r="AJ106" s="112"/>
      <c r="AK106" s="112"/>
      <c r="AL106" s="112"/>
      <c r="AM106" s="112"/>
      <c r="AN106" s="112"/>
      <c r="AO106" s="112"/>
      <c r="AP106" s="112"/>
      <c r="AQ106" s="112"/>
      <c r="AR106" s="112"/>
      <c r="AS106" s="112"/>
      <c r="AT106" s="112"/>
      <c r="AU106" s="112"/>
      <c r="AV106" s="112"/>
      <c r="AW106" s="112"/>
      <c r="AX106" s="112"/>
      <c r="AY106" s="112"/>
      <c r="AZ106" s="112"/>
      <c r="BA106" s="112"/>
      <c r="BB106" s="112"/>
      <c r="BC106" s="112"/>
      <c r="BD106" s="112"/>
      <c r="BE106" s="112"/>
      <c r="BF106" s="112"/>
      <c r="BG106" s="112"/>
      <c r="BH106" s="112"/>
      <c r="BI106" s="112"/>
      <c r="BJ106" s="112"/>
      <c r="BK106" s="112"/>
      <c r="BL106" s="112"/>
      <c r="BM106" s="112"/>
      <c r="BN106" s="112"/>
      <c r="BO106" s="112"/>
      <c r="BP106" s="112"/>
      <c r="BQ106" s="112"/>
      <c r="BR106" s="112"/>
      <c r="BS106" s="112"/>
      <c r="BT106" s="112"/>
      <c r="BU106" s="112"/>
      <c r="BV106" s="112"/>
      <c r="BW106" s="112"/>
      <c r="BX106" s="112"/>
      <c r="BY106" s="112"/>
      <c r="BZ106" s="112"/>
      <c r="CA106" s="112"/>
      <c r="CB106" s="112"/>
      <c r="CC106" s="112"/>
      <c r="CD106" s="112"/>
      <c r="CE106" s="112"/>
      <c r="CF106" s="112"/>
      <c r="CG106" s="112"/>
      <c r="CH106" s="112"/>
      <c r="CI106" s="112"/>
      <c r="CJ106" s="112"/>
      <c r="CK106" s="112"/>
      <c r="CL106" s="112"/>
      <c r="CM106" s="112"/>
      <c r="CN106" s="112"/>
      <c r="CO106" s="112"/>
      <c r="CP106" s="112"/>
      <c r="CQ106" s="112"/>
      <c r="CR106" s="112"/>
      <c r="CS106" s="112"/>
      <c r="CT106" s="112"/>
      <c r="CU106" s="112"/>
      <c r="CV106" s="112"/>
      <c r="CW106" s="112"/>
      <c r="CX106" s="112"/>
      <c r="CY106" s="112"/>
      <c r="CZ106" s="112"/>
      <c r="DA106" s="112"/>
      <c r="DB106" s="112"/>
      <c r="DC106" s="112"/>
      <c r="DD106" s="112"/>
      <c r="DE106" s="112"/>
      <c r="DF106" s="112"/>
      <c r="DG106" s="112"/>
      <c r="DH106" s="112"/>
      <c r="DI106" s="112"/>
      <c r="DJ106" s="112"/>
      <c r="DK106" s="112"/>
      <c r="DL106" s="112"/>
      <c r="DM106" s="112"/>
      <c r="DN106" s="112"/>
      <c r="DO106" s="112"/>
      <c r="DP106" s="112"/>
      <c r="DQ106" s="112"/>
      <c r="DR106" s="112"/>
      <c r="DS106" s="112"/>
      <c r="DT106" s="112"/>
      <c r="DU106" s="112"/>
      <c r="DV106" s="112"/>
      <c r="DW106" s="112"/>
      <c r="DX106" s="112"/>
      <c r="DY106" s="112"/>
      <c r="DZ106" s="112"/>
      <c r="EA106" s="112"/>
      <c r="EB106" s="112"/>
      <c r="EC106" s="112"/>
      <c r="ED106" s="112"/>
      <c r="EE106" s="112"/>
      <c r="EF106" s="112"/>
      <c r="EG106" s="112"/>
      <c r="EH106" s="112"/>
      <c r="EI106" s="112"/>
      <c r="EJ106" s="112"/>
      <c r="EK106" s="112"/>
      <c r="EL106" s="112"/>
      <c r="EM106" s="112"/>
      <c r="EN106" s="112"/>
      <c r="EO106" s="112"/>
      <c r="EP106" s="112"/>
      <c r="EQ106" s="112"/>
      <c r="ER106" s="112"/>
      <c r="ES106" s="112"/>
      <c r="ET106" s="112"/>
      <c r="EU106" s="112"/>
      <c r="EV106" s="112"/>
      <c r="EW106" s="112"/>
      <c r="EX106" s="112"/>
      <c r="EY106" s="112"/>
      <c r="EZ106" s="112"/>
      <c r="FA106" s="112"/>
      <c r="FB106" s="112"/>
      <c r="FC106" s="112"/>
      <c r="FD106" s="112"/>
      <c r="FE106" s="112"/>
      <c r="FF106" s="112"/>
      <c r="FG106" s="112"/>
      <c r="FH106" s="112"/>
      <c r="FI106" s="112"/>
      <c r="FJ106" s="112"/>
      <c r="FK106" s="112"/>
      <c r="FL106" s="112"/>
      <c r="FM106" s="112"/>
      <c r="FN106" s="112"/>
      <c r="FO106" s="112"/>
      <c r="FP106" s="112"/>
      <c r="FQ106" s="112"/>
      <c r="FR106" s="112"/>
      <c r="FS106" s="112"/>
      <c r="FT106" s="112"/>
      <c r="FU106" s="112"/>
      <c r="FV106" s="112"/>
      <c r="FW106" s="112"/>
      <c r="FX106" s="112"/>
      <c r="FY106" s="112"/>
      <c r="FZ106" s="112"/>
      <c r="GA106" s="112"/>
      <c r="GB106" s="112"/>
      <c r="GC106" s="112"/>
      <c r="GD106" s="112"/>
      <c r="GE106" s="112"/>
      <c r="GF106" s="112"/>
      <c r="GG106" s="112"/>
      <c r="GH106" s="112"/>
      <c r="GI106" s="112"/>
      <c r="GJ106" s="112"/>
      <c r="GK106" s="112"/>
      <c r="GL106" s="112"/>
      <c r="GM106" s="112"/>
      <c r="GN106" s="112"/>
      <c r="GO106" s="112"/>
      <c r="GP106" s="112"/>
    </row>
    <row r="107" spans="2:198">
      <c r="B107" s="238">
        <v>10.9</v>
      </c>
      <c r="C107" s="233" t="s">
        <v>260</v>
      </c>
      <c r="D107" s="205"/>
      <c r="E107" s="240"/>
      <c r="F107" s="241"/>
      <c r="G107" s="240"/>
      <c r="H107" s="228"/>
      <c r="I107" s="240">
        <v>46048</v>
      </c>
      <c r="J107" s="241">
        <v>2</v>
      </c>
      <c r="K107" s="240">
        <f>WORKDAY.INTL(I107,J107,1,Data!$C$3:$C$41)</f>
        <v>46050</v>
      </c>
      <c r="M107" s="243">
        <v>1</v>
      </c>
      <c r="N107" s="243">
        <v>1</v>
      </c>
      <c r="O107" s="122"/>
      <c r="Y107" s="112"/>
      <c r="Z107" s="112"/>
      <c r="AA107" s="112"/>
      <c r="AB107" s="112"/>
      <c r="AC107" s="112"/>
      <c r="AD107" s="112"/>
      <c r="AE107" s="112"/>
      <c r="AF107" s="112"/>
      <c r="AG107" s="112"/>
      <c r="AH107" s="112"/>
      <c r="AI107" s="112"/>
      <c r="AJ107" s="112"/>
      <c r="AK107" s="112"/>
      <c r="AL107" s="112"/>
      <c r="AM107" s="112"/>
      <c r="AN107" s="112"/>
      <c r="AO107" s="112"/>
      <c r="AP107" s="112"/>
      <c r="AQ107" s="112"/>
      <c r="AR107" s="112"/>
      <c r="AS107" s="112"/>
      <c r="AT107" s="112"/>
      <c r="AU107" s="112"/>
      <c r="AV107" s="112"/>
      <c r="AW107" s="112"/>
      <c r="AX107" s="112"/>
      <c r="AY107" s="112"/>
      <c r="AZ107" s="112"/>
      <c r="BA107" s="112"/>
      <c r="BB107" s="112"/>
      <c r="BC107" s="112"/>
      <c r="BD107" s="112"/>
      <c r="BE107" s="112"/>
      <c r="BF107" s="112"/>
      <c r="BG107" s="112"/>
      <c r="BH107" s="112"/>
      <c r="BI107" s="112"/>
      <c r="BJ107" s="112"/>
      <c r="BK107" s="112"/>
      <c r="BL107" s="112"/>
      <c r="BM107" s="112"/>
      <c r="BN107" s="112"/>
      <c r="BO107" s="112"/>
      <c r="BP107" s="112"/>
      <c r="BQ107" s="112"/>
      <c r="BR107" s="112"/>
      <c r="BS107" s="112"/>
      <c r="BT107" s="112"/>
      <c r="BU107" s="112"/>
      <c r="BV107" s="112"/>
      <c r="BW107" s="112"/>
      <c r="BX107" s="112"/>
      <c r="BY107" s="112"/>
      <c r="BZ107" s="112"/>
      <c r="CA107" s="112"/>
      <c r="CB107" s="112"/>
      <c r="CC107" s="112"/>
      <c r="CD107" s="112"/>
      <c r="CE107" s="112"/>
      <c r="CF107" s="112"/>
      <c r="CG107" s="112"/>
      <c r="CH107" s="112"/>
      <c r="CI107" s="112"/>
      <c r="CJ107" s="112"/>
      <c r="CK107" s="112"/>
      <c r="CL107" s="112"/>
      <c r="CM107" s="112"/>
      <c r="CN107" s="112"/>
      <c r="CO107" s="112"/>
      <c r="CP107" s="112"/>
      <c r="CQ107" s="112"/>
      <c r="CR107" s="112"/>
      <c r="CS107" s="112"/>
      <c r="CT107" s="112"/>
      <c r="CU107" s="112"/>
      <c r="CV107" s="112"/>
      <c r="CW107" s="112"/>
      <c r="CX107" s="112"/>
      <c r="CY107" s="112"/>
      <c r="CZ107" s="112"/>
      <c r="DA107" s="112"/>
      <c r="DB107" s="112"/>
      <c r="DC107" s="112"/>
      <c r="DD107" s="112"/>
      <c r="DE107" s="112"/>
      <c r="DF107" s="112"/>
      <c r="DG107" s="112"/>
      <c r="DH107" s="112"/>
      <c r="DI107" s="112"/>
      <c r="DJ107" s="112"/>
      <c r="DK107" s="112"/>
      <c r="DL107" s="112"/>
      <c r="DM107" s="112"/>
      <c r="DN107" s="112"/>
      <c r="DO107" s="112"/>
      <c r="DP107" s="112"/>
      <c r="DQ107" s="112"/>
      <c r="DR107" s="112"/>
      <c r="DS107" s="112"/>
      <c r="DT107" s="112"/>
      <c r="DU107" s="112"/>
      <c r="DV107" s="112"/>
      <c r="DW107" s="112"/>
      <c r="DX107" s="112"/>
      <c r="DY107" s="112"/>
      <c r="DZ107" s="112"/>
      <c r="EA107" s="112"/>
      <c r="EB107" s="112"/>
      <c r="EC107" s="112"/>
      <c r="ED107" s="112"/>
      <c r="EE107" s="112"/>
      <c r="EF107" s="112"/>
      <c r="EG107" s="112"/>
      <c r="EH107" s="112"/>
      <c r="EI107" s="112"/>
      <c r="EJ107" s="112"/>
      <c r="EK107" s="112"/>
      <c r="EL107" s="112"/>
      <c r="EM107" s="112"/>
      <c r="EN107" s="112"/>
      <c r="EO107" s="112"/>
      <c r="EP107" s="112"/>
      <c r="EQ107" s="112"/>
      <c r="ER107" s="112"/>
      <c r="ES107" s="112"/>
      <c r="ET107" s="112"/>
      <c r="EU107" s="112"/>
      <c r="EV107" s="112"/>
      <c r="EW107" s="112"/>
      <c r="EX107" s="112"/>
      <c r="EY107" s="112"/>
      <c r="EZ107" s="112"/>
      <c r="FA107" s="112"/>
      <c r="FB107" s="112"/>
      <c r="FC107" s="112"/>
      <c r="FD107" s="112"/>
      <c r="FE107" s="112"/>
      <c r="FF107" s="112"/>
      <c r="FG107" s="112"/>
      <c r="FH107" s="112"/>
      <c r="FI107" s="112"/>
      <c r="FJ107" s="112"/>
      <c r="FK107" s="112"/>
      <c r="FL107" s="112"/>
      <c r="FM107" s="112"/>
      <c r="FN107" s="112"/>
      <c r="FO107" s="112"/>
      <c r="FP107" s="112"/>
      <c r="FQ107" s="112"/>
      <c r="FR107" s="112"/>
      <c r="FS107" s="112"/>
      <c r="FT107" s="112"/>
      <c r="FU107" s="112"/>
      <c r="FV107" s="112"/>
      <c r="FW107" s="112"/>
      <c r="FX107" s="112"/>
      <c r="FY107" s="112"/>
      <c r="FZ107" s="112"/>
      <c r="GA107" s="112"/>
      <c r="GB107" s="112"/>
      <c r="GC107" s="112"/>
      <c r="GD107" s="112"/>
      <c r="GE107" s="112"/>
      <c r="GF107" s="112"/>
      <c r="GG107" s="112"/>
      <c r="GH107" s="112"/>
      <c r="GI107" s="112"/>
      <c r="GJ107" s="112"/>
      <c r="GK107" s="112"/>
      <c r="GL107" s="112"/>
      <c r="GM107" s="112"/>
      <c r="GN107" s="112"/>
      <c r="GO107" s="112"/>
      <c r="GP107" s="112"/>
    </row>
    <row r="108" spans="2:198">
      <c r="B108" s="694">
        <v>10.1</v>
      </c>
      <c r="C108" s="233" t="s">
        <v>101</v>
      </c>
      <c r="D108" s="205"/>
      <c r="E108" s="240">
        <f>WORKDAY.INTL(G99,0,1,Data!$C$3:$C$41)</f>
        <v>45973</v>
      </c>
      <c r="F108" s="241">
        <v>2</v>
      </c>
      <c r="G108" s="240">
        <f>WORKDAY.INTL(E108,F108,1,Data!$C$3:$C$41)</f>
        <v>45975</v>
      </c>
      <c r="H108" s="228"/>
      <c r="I108" s="240">
        <v>46055</v>
      </c>
      <c r="J108" s="241">
        <v>0</v>
      </c>
      <c r="K108" s="240">
        <f>WORKDAY.INTL(I108,J108,1,Data!$C$3:$C$41)</f>
        <v>46055</v>
      </c>
      <c r="M108" s="243">
        <v>1</v>
      </c>
      <c r="N108" s="243">
        <v>0.8</v>
      </c>
      <c r="O108" s="122"/>
      <c r="Y108" s="112"/>
      <c r="Z108" s="112"/>
      <c r="AA108" s="112"/>
      <c r="AB108" s="112"/>
      <c r="AC108" s="112"/>
      <c r="AD108" s="112"/>
      <c r="AE108" s="112"/>
      <c r="AF108" s="112"/>
      <c r="AG108" s="112"/>
      <c r="AH108" s="112"/>
      <c r="AI108" s="112"/>
      <c r="AJ108" s="112"/>
      <c r="AK108" s="112"/>
      <c r="AL108" s="112"/>
      <c r="AM108" s="112"/>
      <c r="AN108" s="112"/>
      <c r="AO108" s="112"/>
      <c r="AP108" s="112"/>
      <c r="AQ108" s="112"/>
      <c r="AR108" s="112"/>
      <c r="AS108" s="112"/>
      <c r="AT108" s="112"/>
      <c r="AU108" s="112"/>
      <c r="AV108" s="112"/>
      <c r="AW108" s="112"/>
      <c r="AX108" s="112"/>
      <c r="AY108" s="112"/>
      <c r="AZ108" s="112"/>
      <c r="BA108" s="112"/>
      <c r="BB108" s="112"/>
      <c r="BC108" s="112"/>
      <c r="BD108" s="112"/>
      <c r="BE108" s="112"/>
      <c r="BF108" s="112"/>
      <c r="BG108" s="112"/>
      <c r="BH108" s="112"/>
      <c r="BI108" s="112"/>
      <c r="BJ108" s="112"/>
      <c r="BK108" s="112"/>
      <c r="BL108" s="112"/>
      <c r="BM108" s="112"/>
      <c r="BN108" s="112"/>
      <c r="BO108" s="112"/>
      <c r="BP108" s="112"/>
      <c r="BQ108" s="112"/>
      <c r="BR108" s="112"/>
      <c r="BS108" s="112"/>
      <c r="BT108" s="112"/>
      <c r="BU108" s="112"/>
      <c r="BV108" s="112"/>
      <c r="BW108" s="112"/>
      <c r="BX108" s="112"/>
      <c r="BY108" s="112"/>
      <c r="BZ108" s="112"/>
      <c r="CA108" s="112"/>
      <c r="CB108" s="112"/>
      <c r="CC108" s="112"/>
      <c r="CD108" s="112"/>
      <c r="CE108" s="112"/>
      <c r="CF108" s="112"/>
      <c r="CG108" s="112"/>
      <c r="CH108" s="112"/>
      <c r="CI108" s="112"/>
      <c r="CJ108" s="112"/>
      <c r="CK108" s="112"/>
      <c r="CL108" s="112"/>
      <c r="CM108" s="112"/>
      <c r="CN108" s="112"/>
      <c r="CO108" s="112"/>
      <c r="CP108" s="112"/>
      <c r="CQ108" s="112"/>
      <c r="CR108" s="112"/>
      <c r="CS108" s="112"/>
      <c r="CT108" s="112"/>
      <c r="CU108" s="112"/>
      <c r="CV108" s="112"/>
      <c r="CW108" s="112"/>
      <c r="CX108" s="112"/>
      <c r="CY108" s="112"/>
      <c r="CZ108" s="112"/>
      <c r="DA108" s="112"/>
      <c r="DB108" s="112"/>
      <c r="DC108" s="112"/>
      <c r="DD108" s="112"/>
      <c r="DE108" s="112"/>
      <c r="DF108" s="112"/>
      <c r="DG108" s="112"/>
      <c r="DH108" s="112"/>
      <c r="DI108" s="112"/>
      <c r="DJ108" s="112"/>
      <c r="DK108" s="112"/>
      <c r="DL108" s="112"/>
      <c r="DM108" s="112"/>
      <c r="DN108" s="112"/>
      <c r="DO108" s="112"/>
      <c r="DP108" s="112"/>
      <c r="DQ108" s="112"/>
      <c r="DR108" s="112"/>
      <c r="DS108" s="112"/>
      <c r="DT108" s="112"/>
      <c r="DU108" s="112"/>
      <c r="DV108" s="112"/>
      <c r="DW108" s="112"/>
      <c r="DX108" s="112"/>
      <c r="DY108" s="112"/>
      <c r="DZ108" s="112"/>
      <c r="EA108" s="112"/>
      <c r="EB108" s="112"/>
      <c r="EC108" s="112"/>
      <c r="ED108" s="112"/>
      <c r="EE108" s="112"/>
      <c r="EF108" s="112"/>
      <c r="EG108" s="112"/>
      <c r="EH108" s="112"/>
      <c r="EI108" s="112"/>
      <c r="EJ108" s="112"/>
      <c r="EK108" s="112"/>
      <c r="EL108" s="112"/>
      <c r="EM108" s="112"/>
      <c r="EN108" s="112"/>
      <c r="EO108" s="112"/>
      <c r="EP108" s="112"/>
      <c r="EQ108" s="112"/>
      <c r="ER108" s="112"/>
      <c r="ES108" s="112"/>
      <c r="ET108" s="112"/>
      <c r="EU108" s="112"/>
      <c r="EV108" s="112"/>
      <c r="EW108" s="112"/>
      <c r="EX108" s="112"/>
      <c r="EY108" s="112"/>
      <c r="EZ108" s="112"/>
      <c r="FA108" s="112"/>
      <c r="FB108" s="112"/>
      <c r="FC108" s="112"/>
      <c r="FD108" s="112"/>
      <c r="FE108" s="112"/>
      <c r="FF108" s="112"/>
      <c r="FG108" s="112"/>
      <c r="FH108" s="112"/>
      <c r="FI108" s="112"/>
      <c r="FJ108" s="112"/>
      <c r="FK108" s="112"/>
      <c r="FL108" s="112"/>
      <c r="FM108" s="112"/>
      <c r="FN108" s="112"/>
      <c r="FO108" s="112"/>
      <c r="FP108" s="112"/>
      <c r="FQ108" s="112"/>
      <c r="FR108" s="112"/>
      <c r="FS108" s="112"/>
      <c r="FT108" s="112"/>
      <c r="FU108" s="112"/>
      <c r="FV108" s="112"/>
      <c r="FW108" s="112"/>
      <c r="FX108" s="112"/>
      <c r="FY108" s="112"/>
      <c r="FZ108" s="112"/>
      <c r="GA108" s="112"/>
      <c r="GB108" s="112"/>
      <c r="GC108" s="112"/>
      <c r="GD108" s="112"/>
      <c r="GE108" s="112"/>
      <c r="GF108" s="112"/>
      <c r="GG108" s="112"/>
      <c r="GH108" s="112"/>
      <c r="GI108" s="112"/>
      <c r="GJ108" s="112"/>
      <c r="GK108" s="112"/>
      <c r="GL108" s="112"/>
      <c r="GM108" s="112"/>
      <c r="GN108" s="112"/>
      <c r="GO108" s="112"/>
      <c r="GP108" s="112"/>
    </row>
    <row r="109" spans="2:198" s="112" customFormat="1" ht="4.5" customHeight="1">
      <c r="B109" s="229"/>
      <c r="C109" s="205"/>
      <c r="D109" s="205"/>
      <c r="E109" s="230"/>
      <c r="F109" s="230"/>
      <c r="G109" s="231"/>
      <c r="H109" s="228"/>
      <c r="I109" s="230"/>
      <c r="J109" s="230" t="s">
        <v>261</v>
      </c>
      <c r="K109" s="231"/>
      <c r="N109" s="168"/>
      <c r="Q109" s="3"/>
    </row>
    <row r="110" spans="2:198" s="112" customFormat="1">
      <c r="B110" s="234">
        <v>11</v>
      </c>
      <c r="C110" s="235" t="s">
        <v>262</v>
      </c>
      <c r="D110" s="209"/>
      <c r="E110" s="689">
        <f>MIN(E111:E115)</f>
        <v>45929</v>
      </c>
      <c r="F110" s="690">
        <f>G110-E110</f>
        <v>58</v>
      </c>
      <c r="G110" s="689">
        <f>MAX(G111:G115)</f>
        <v>45987</v>
      </c>
      <c r="H110" s="210"/>
      <c r="I110" s="689">
        <f>MIN(I111:I115)</f>
        <v>46048</v>
      </c>
      <c r="J110" s="690">
        <f>K110-I110</f>
        <v>22</v>
      </c>
      <c r="K110" s="689">
        <f>MAX(K111:K115)</f>
        <v>46070</v>
      </c>
      <c r="L110" s="114"/>
      <c r="M110" s="350">
        <f>AVERAGE(M111:M115)</f>
        <v>0.52</v>
      </c>
      <c r="N110" s="350">
        <f ca="1">AVERAGE(N111:N115)</f>
        <v>0.9</v>
      </c>
      <c r="Q110" s="124"/>
      <c r="R110" s="121"/>
      <c r="S110" s="121"/>
      <c r="T110" s="121"/>
      <c r="U110" s="121"/>
      <c r="V110" s="121"/>
      <c r="W110" s="121"/>
      <c r="X110" s="121"/>
      <c r="Y110" s="121"/>
      <c r="Z110" s="121"/>
      <c r="AA110" s="121"/>
      <c r="AB110" s="121"/>
      <c r="AC110" s="121"/>
      <c r="AD110" s="121"/>
      <c r="AE110" s="121"/>
      <c r="AF110" s="121"/>
      <c r="AG110" s="121"/>
      <c r="AH110" s="121"/>
      <c r="AI110" s="121"/>
      <c r="AJ110" s="121"/>
      <c r="AK110" s="121"/>
      <c r="AL110" s="121"/>
      <c r="AM110" s="121"/>
      <c r="AN110" s="121"/>
      <c r="AO110" s="121"/>
      <c r="AP110" s="121"/>
      <c r="AQ110" s="121"/>
      <c r="AR110" s="121"/>
      <c r="AS110" s="121"/>
      <c r="AT110" s="121"/>
      <c r="AU110" s="121"/>
      <c r="AV110" s="121"/>
      <c r="AW110" s="121"/>
      <c r="AX110" s="121"/>
      <c r="AY110" s="121"/>
      <c r="AZ110" s="121"/>
      <c r="BA110" s="121"/>
      <c r="BB110" s="121"/>
      <c r="BC110" s="121"/>
      <c r="BD110" s="121"/>
      <c r="BE110" s="121"/>
      <c r="BF110" s="121"/>
      <c r="BG110" s="121"/>
      <c r="BH110" s="121"/>
      <c r="BI110" s="121"/>
      <c r="BJ110" s="121"/>
      <c r="BK110" s="121"/>
      <c r="BL110" s="121"/>
      <c r="BM110" s="121"/>
      <c r="BN110" s="121"/>
      <c r="BO110" s="121"/>
      <c r="BP110" s="121"/>
      <c r="BQ110" s="121"/>
      <c r="BR110" s="121"/>
      <c r="BS110" s="121"/>
      <c r="BT110" s="121"/>
      <c r="BU110" s="121"/>
      <c r="BV110" s="121"/>
      <c r="BW110" s="121"/>
      <c r="BX110" s="121"/>
      <c r="BY110" s="121"/>
      <c r="BZ110" s="121"/>
      <c r="CA110" s="121"/>
      <c r="CB110" s="121"/>
      <c r="CC110" s="121"/>
      <c r="CD110" s="121"/>
      <c r="CE110" s="121"/>
      <c r="CF110" s="121"/>
      <c r="CG110" s="121"/>
      <c r="CH110" s="121"/>
      <c r="CI110" s="121"/>
      <c r="CJ110" s="121"/>
      <c r="CK110" s="121"/>
      <c r="CL110" s="121"/>
      <c r="CM110" s="121"/>
      <c r="CN110" s="121"/>
      <c r="CO110" s="121"/>
      <c r="CP110" s="121"/>
      <c r="CQ110" s="121"/>
      <c r="CR110" s="121"/>
      <c r="CS110" s="121"/>
      <c r="CT110" s="121"/>
      <c r="CU110" s="121"/>
      <c r="CV110" s="121"/>
      <c r="CW110" s="121"/>
      <c r="CX110" s="121"/>
      <c r="CY110" s="121"/>
      <c r="CZ110" s="121"/>
      <c r="DA110" s="121"/>
      <c r="DB110" s="121"/>
      <c r="DC110" s="121"/>
      <c r="DD110" s="121"/>
      <c r="DE110" s="121"/>
      <c r="DF110" s="121"/>
      <c r="DG110" s="121"/>
      <c r="DH110" s="121"/>
      <c r="DI110" s="121"/>
      <c r="DJ110" s="121"/>
      <c r="DK110" s="121"/>
      <c r="DL110" s="121"/>
      <c r="DM110" s="121"/>
      <c r="DN110" s="121"/>
      <c r="DO110" s="121"/>
      <c r="DP110" s="121"/>
      <c r="DQ110" s="121"/>
      <c r="DR110" s="121"/>
      <c r="DS110" s="121"/>
      <c r="DT110" s="121"/>
      <c r="DU110" s="121"/>
      <c r="DV110" s="121"/>
      <c r="DW110" s="121"/>
      <c r="DX110" s="121"/>
      <c r="DY110" s="121"/>
      <c r="DZ110" s="121"/>
      <c r="EA110" s="121"/>
      <c r="EB110" s="121"/>
      <c r="EC110" s="121"/>
      <c r="ED110" s="121"/>
      <c r="EE110" s="121"/>
      <c r="EF110" s="121"/>
      <c r="EG110" s="121"/>
      <c r="EH110" s="121"/>
      <c r="EI110" s="121"/>
      <c r="EJ110" s="121"/>
      <c r="EK110" s="121"/>
      <c r="EL110" s="121"/>
      <c r="EM110" s="121"/>
      <c r="EN110" s="121"/>
      <c r="EO110" s="121"/>
      <c r="EP110" s="121"/>
      <c r="EQ110" s="121"/>
      <c r="ER110" s="121"/>
      <c r="ES110" s="121"/>
      <c r="ET110" s="121"/>
      <c r="EU110" s="121"/>
      <c r="EV110" s="121"/>
      <c r="EW110" s="121"/>
      <c r="EX110" s="121"/>
      <c r="EY110" s="121"/>
      <c r="EZ110" s="121"/>
      <c r="FA110" s="121"/>
      <c r="FB110" s="121"/>
      <c r="FC110" s="121"/>
      <c r="FD110" s="121"/>
      <c r="FE110" s="121"/>
      <c r="FF110" s="121"/>
      <c r="FG110" s="121"/>
      <c r="FH110" s="121"/>
      <c r="FI110" s="121"/>
      <c r="FJ110" s="121"/>
      <c r="FK110" s="121"/>
      <c r="FL110" s="121"/>
      <c r="FM110" s="121"/>
      <c r="FN110" s="121"/>
      <c r="FO110" s="121"/>
      <c r="FP110" s="121"/>
      <c r="FQ110" s="121"/>
      <c r="FR110" s="121"/>
      <c r="FS110" s="121"/>
      <c r="FT110" s="121"/>
      <c r="FU110" s="121"/>
      <c r="FV110" s="121"/>
      <c r="FW110" s="121"/>
      <c r="FX110" s="121"/>
      <c r="FY110" s="121"/>
      <c r="FZ110" s="121"/>
      <c r="GA110" s="121"/>
      <c r="GB110" s="121"/>
      <c r="GC110" s="121"/>
      <c r="GD110" s="121"/>
      <c r="GE110" s="121"/>
      <c r="GF110" s="121"/>
      <c r="GG110" s="121"/>
      <c r="GH110" s="121"/>
      <c r="GI110" s="121"/>
      <c r="GJ110" s="121"/>
      <c r="GK110" s="121"/>
      <c r="GL110" s="121"/>
      <c r="GM110" s="121"/>
      <c r="GN110" s="121"/>
      <c r="GO110" s="121"/>
      <c r="GP110" s="121"/>
    </row>
    <row r="111" spans="2:198">
      <c r="B111" s="238">
        <f>B110+0.1</f>
        <v>11.1</v>
      </c>
      <c r="C111" s="233" t="s">
        <v>263</v>
      </c>
      <c r="D111" s="205"/>
      <c r="E111" s="240">
        <f>WORKDAY.INTL(G58,0,1,Data!$C$3:$C$41)</f>
        <v>45929</v>
      </c>
      <c r="F111" s="241">
        <v>1</v>
      </c>
      <c r="G111" s="240">
        <f>WORKDAY.INTL(E111,F111,1,Data!$C$3:$C$41)</f>
        <v>45930</v>
      </c>
      <c r="H111" s="228"/>
      <c r="I111" s="240">
        <v>46048</v>
      </c>
      <c r="J111" s="241">
        <v>1</v>
      </c>
      <c r="K111" s="240">
        <f>WORKDAY.INTL(I111,J111,1,Data!$C$3:$C$41)</f>
        <v>46049</v>
      </c>
      <c r="M111" s="243">
        <v>1</v>
      </c>
      <c r="N111" s="243">
        <f ca="1">_xlfn.LET(
  _xlpm.s,VALUE(I111),
  _xlpm.e,VALUE(K111),
  IF(OR(_xlpm.s="",_xlpm.e=""),"", IF(_xlpm.e&lt;=_xlpm.s, IF(TODAY()&gt;=_xlpm.e,1,0), MAX(0,MIN(1,(TODAY()-_xlpm.s)/(_xlpm.e-_xlpm.s)))))
)</f>
        <v>1</v>
      </c>
      <c r="O111" s="122"/>
      <c r="Y111" s="112"/>
      <c r="Z111" s="112"/>
      <c r="AA111" s="112"/>
      <c r="AB111" s="112"/>
      <c r="AC111" s="112"/>
      <c r="AD111" s="112"/>
      <c r="AE111" s="112"/>
      <c r="AF111" s="112"/>
      <c r="AG111" s="112"/>
      <c r="AH111" s="112"/>
      <c r="AI111" s="112"/>
      <c r="AJ111" s="112"/>
      <c r="AK111" s="112"/>
      <c r="AL111" s="112"/>
      <c r="AM111" s="112"/>
      <c r="AN111" s="112"/>
      <c r="AO111" s="112"/>
      <c r="AP111" s="112"/>
      <c r="AQ111" s="112"/>
      <c r="AR111" s="112"/>
      <c r="AS111" s="112"/>
      <c r="AT111" s="112"/>
      <c r="AU111" s="112"/>
      <c r="AV111" s="112"/>
      <c r="AW111" s="112"/>
      <c r="AX111" s="112"/>
      <c r="AY111" s="112"/>
      <c r="AZ111" s="112"/>
      <c r="BA111" s="112"/>
      <c r="BB111" s="112"/>
      <c r="BC111" s="112"/>
      <c r="BD111" s="112"/>
      <c r="BE111" s="112"/>
      <c r="BF111" s="112"/>
      <c r="BG111" s="112"/>
      <c r="BH111" s="112"/>
      <c r="BI111" s="112"/>
      <c r="BJ111" s="112"/>
      <c r="BK111" s="112"/>
      <c r="BL111" s="112"/>
      <c r="BM111" s="112"/>
      <c r="BN111" s="112"/>
      <c r="BO111" s="112"/>
      <c r="BP111" s="112"/>
      <c r="BQ111" s="112"/>
      <c r="BR111" s="112"/>
      <c r="BS111" s="112"/>
      <c r="BT111" s="112"/>
      <c r="BU111" s="112"/>
      <c r="BV111" s="112"/>
      <c r="BW111" s="112"/>
      <c r="BX111" s="112"/>
      <c r="BY111" s="112"/>
      <c r="BZ111" s="112"/>
      <c r="CA111" s="112"/>
      <c r="CB111" s="112"/>
      <c r="CC111" s="112"/>
      <c r="CD111" s="112"/>
      <c r="CE111" s="112"/>
      <c r="CF111" s="112"/>
      <c r="CG111" s="112"/>
      <c r="CH111" s="112"/>
      <c r="CI111" s="112"/>
      <c r="CJ111" s="112"/>
      <c r="CK111" s="112"/>
      <c r="CL111" s="112"/>
      <c r="CM111" s="112"/>
      <c r="CN111" s="112"/>
      <c r="CO111" s="112"/>
      <c r="CP111" s="112"/>
      <c r="CQ111" s="112"/>
      <c r="CR111" s="112"/>
      <c r="CS111" s="112"/>
      <c r="CT111" s="112"/>
      <c r="CU111" s="112"/>
      <c r="CV111" s="112"/>
      <c r="CW111" s="112"/>
      <c r="CX111" s="112"/>
      <c r="CY111" s="112"/>
      <c r="CZ111" s="112"/>
      <c r="DA111" s="112"/>
      <c r="DB111" s="112"/>
      <c r="DC111" s="112"/>
      <c r="DD111" s="112"/>
      <c r="DE111" s="112"/>
      <c r="DF111" s="112"/>
      <c r="DG111" s="112"/>
      <c r="DH111" s="112"/>
      <c r="DI111" s="112"/>
      <c r="DJ111" s="112"/>
      <c r="DK111" s="112"/>
      <c r="DL111" s="112"/>
      <c r="DM111" s="112"/>
      <c r="DN111" s="112"/>
      <c r="DO111" s="112"/>
      <c r="DP111" s="112"/>
      <c r="DQ111" s="112"/>
      <c r="DR111" s="112"/>
      <c r="DS111" s="112"/>
      <c r="DT111" s="112"/>
      <c r="DU111" s="112"/>
      <c r="DV111" s="112"/>
      <c r="DW111" s="112"/>
      <c r="DX111" s="112"/>
      <c r="DY111" s="112"/>
      <c r="DZ111" s="112"/>
      <c r="EA111" s="112"/>
      <c r="EB111" s="112"/>
      <c r="EC111" s="112"/>
      <c r="ED111" s="112"/>
      <c r="EE111" s="112"/>
      <c r="EF111" s="112"/>
      <c r="EG111" s="112"/>
      <c r="EH111" s="112"/>
      <c r="EI111" s="112"/>
      <c r="EJ111" s="112"/>
      <c r="EK111" s="112"/>
      <c r="EL111" s="112"/>
      <c r="EM111" s="112"/>
      <c r="EN111" s="112"/>
      <c r="EO111" s="112"/>
      <c r="EP111" s="112"/>
      <c r="EQ111" s="112"/>
      <c r="ER111" s="112"/>
      <c r="ES111" s="112"/>
      <c r="ET111" s="112"/>
      <c r="EU111" s="112"/>
      <c r="EV111" s="112"/>
      <c r="EW111" s="112"/>
      <c r="EX111" s="112"/>
      <c r="EY111" s="112"/>
      <c r="EZ111" s="112"/>
      <c r="FA111" s="112"/>
      <c r="FB111" s="112"/>
      <c r="FC111" s="112"/>
      <c r="FD111" s="112"/>
      <c r="FE111" s="112"/>
      <c r="FF111" s="112"/>
      <c r="FG111" s="112"/>
      <c r="FH111" s="112"/>
      <c r="FI111" s="112"/>
      <c r="FJ111" s="112"/>
      <c r="FK111" s="112"/>
      <c r="FL111" s="112"/>
      <c r="FM111" s="112"/>
      <c r="FN111" s="112"/>
      <c r="FO111" s="112"/>
      <c r="FP111" s="112"/>
      <c r="FQ111" s="112"/>
      <c r="FR111" s="112"/>
      <c r="FS111" s="112"/>
      <c r="FT111" s="112"/>
      <c r="FU111" s="112"/>
      <c r="FV111" s="112"/>
      <c r="FW111" s="112"/>
      <c r="FX111" s="112"/>
      <c r="FY111" s="112"/>
      <c r="FZ111" s="112"/>
      <c r="GA111" s="112"/>
      <c r="GB111" s="112"/>
      <c r="GC111" s="112"/>
      <c r="GD111" s="112"/>
      <c r="GE111" s="112"/>
      <c r="GF111" s="112"/>
      <c r="GG111" s="112"/>
      <c r="GH111" s="112"/>
      <c r="GI111" s="112"/>
      <c r="GJ111" s="112"/>
      <c r="GK111" s="112"/>
      <c r="GL111" s="112"/>
      <c r="GM111" s="112"/>
      <c r="GN111" s="112"/>
      <c r="GO111" s="112"/>
      <c r="GP111" s="112"/>
    </row>
    <row r="112" spans="2:198">
      <c r="B112" s="238">
        <f t="shared" ref="B112:B115" si="12">B111+0.1</f>
        <v>11.2</v>
      </c>
      <c r="C112" s="233" t="s">
        <v>264</v>
      </c>
      <c r="D112" s="205"/>
      <c r="E112" s="240">
        <f>WORKDAY.INTL(G67,0,1,Data!$C$3:$C$41)</f>
        <v>45952</v>
      </c>
      <c r="F112" s="241">
        <v>1</v>
      </c>
      <c r="G112" s="240">
        <f>WORKDAY.INTL(E112,F112,1,Data!$C$3:$C$41)</f>
        <v>45953</v>
      </c>
      <c r="H112" s="228"/>
      <c r="I112" s="240">
        <v>46048</v>
      </c>
      <c r="J112" s="241">
        <v>7</v>
      </c>
      <c r="K112" s="240">
        <f>WORKDAY.INTL(I112,J112,1,Data!$C$3:$C$41)</f>
        <v>46057</v>
      </c>
      <c r="M112" s="243">
        <v>0.5</v>
      </c>
      <c r="N112" s="243">
        <f ca="1">_xlfn.LET(
  _xlpm.s,VALUE(I112),
  _xlpm.e,VALUE(K112),
  IF(OR(_xlpm.s="",_xlpm.e=""),"", IF(_xlpm.e&lt;=_xlpm.s, IF(TODAY()&gt;=_xlpm.e,1,0), MAX(0,MIN(1,(TODAY()-_xlpm.s)/(_xlpm.e-_xlpm.s)))))
)</f>
        <v>1</v>
      </c>
      <c r="O112" s="122" t="s">
        <v>265</v>
      </c>
      <c r="Y112" s="112"/>
      <c r="Z112" s="112"/>
      <c r="AA112" s="112"/>
      <c r="AB112" s="112"/>
      <c r="AC112" s="112"/>
      <c r="AD112" s="112"/>
      <c r="AE112" s="112"/>
      <c r="AF112" s="112"/>
      <c r="AG112" s="112"/>
      <c r="AH112" s="112"/>
      <c r="AI112" s="112"/>
      <c r="AJ112" s="112"/>
      <c r="AK112" s="112"/>
      <c r="AL112" s="112"/>
      <c r="AM112" s="112"/>
      <c r="AN112" s="112"/>
      <c r="AO112" s="112"/>
      <c r="AP112" s="112"/>
      <c r="AQ112" s="112"/>
      <c r="AR112" s="112"/>
      <c r="AS112" s="112"/>
      <c r="AT112" s="112"/>
      <c r="AU112" s="112"/>
      <c r="AV112" s="112"/>
      <c r="AW112" s="112"/>
      <c r="AX112" s="112"/>
      <c r="AY112" s="112"/>
      <c r="AZ112" s="112"/>
      <c r="BA112" s="112"/>
      <c r="BB112" s="112"/>
      <c r="BC112" s="112"/>
      <c r="BD112" s="112"/>
      <c r="BE112" s="112"/>
      <c r="BF112" s="112"/>
      <c r="BG112" s="112"/>
      <c r="BH112" s="112"/>
      <c r="BI112" s="112"/>
      <c r="BJ112" s="112"/>
      <c r="BK112" s="112"/>
      <c r="BL112" s="112"/>
      <c r="BM112" s="112"/>
      <c r="BN112" s="112"/>
      <c r="BO112" s="112"/>
      <c r="BP112" s="112"/>
      <c r="BQ112" s="112"/>
      <c r="BR112" s="112"/>
      <c r="BS112" s="112"/>
      <c r="BT112" s="112"/>
      <c r="BU112" s="112"/>
      <c r="BV112" s="112"/>
      <c r="BW112" s="112"/>
      <c r="BX112" s="112"/>
      <c r="BY112" s="112"/>
      <c r="BZ112" s="112"/>
      <c r="CA112" s="112"/>
      <c r="CB112" s="112"/>
      <c r="CC112" s="112"/>
      <c r="CD112" s="112"/>
      <c r="CE112" s="112"/>
      <c r="CF112" s="112"/>
      <c r="CG112" s="112"/>
      <c r="CH112" s="112"/>
      <c r="CI112" s="112"/>
      <c r="CJ112" s="112"/>
      <c r="CK112" s="112"/>
      <c r="CL112" s="112"/>
      <c r="CM112" s="112"/>
      <c r="CN112" s="112"/>
      <c r="CO112" s="112"/>
      <c r="CP112" s="112"/>
      <c r="CQ112" s="112"/>
      <c r="CR112" s="112"/>
      <c r="CS112" s="112"/>
      <c r="CT112" s="112"/>
      <c r="CU112" s="112"/>
      <c r="CV112" s="112"/>
      <c r="CW112" s="112"/>
      <c r="CX112" s="112"/>
      <c r="CY112" s="112"/>
      <c r="CZ112" s="112"/>
      <c r="DA112" s="112"/>
      <c r="DB112" s="112"/>
      <c r="DC112" s="112"/>
      <c r="DD112" s="112"/>
      <c r="DE112" s="112"/>
      <c r="DF112" s="112"/>
      <c r="DG112" s="112"/>
      <c r="DH112" s="112"/>
      <c r="DI112" s="112"/>
      <c r="DJ112" s="112"/>
      <c r="DK112" s="112"/>
      <c r="DL112" s="112"/>
      <c r="DM112" s="112"/>
      <c r="DN112" s="112"/>
      <c r="DO112" s="112"/>
      <c r="DP112" s="112"/>
      <c r="DQ112" s="112"/>
      <c r="DR112" s="112"/>
      <c r="DS112" s="112"/>
      <c r="DT112" s="112"/>
      <c r="DU112" s="112"/>
      <c r="DV112" s="112"/>
      <c r="DW112" s="112"/>
      <c r="DX112" s="112"/>
      <c r="DY112" s="112"/>
      <c r="DZ112" s="112"/>
      <c r="EA112" s="112"/>
      <c r="EB112" s="112"/>
      <c r="EC112" s="112"/>
      <c r="ED112" s="112"/>
      <c r="EE112" s="112"/>
      <c r="EF112" s="112"/>
      <c r="EG112" s="112"/>
      <c r="EH112" s="112"/>
      <c r="EI112" s="112"/>
      <c r="EJ112" s="112"/>
      <c r="EK112" s="112"/>
      <c r="EL112" s="112"/>
      <c r="EM112" s="112"/>
      <c r="EN112" s="112"/>
      <c r="EO112" s="112"/>
      <c r="EP112" s="112"/>
      <c r="EQ112" s="112"/>
      <c r="ER112" s="112"/>
      <c r="ES112" s="112"/>
      <c r="ET112" s="112"/>
      <c r="EU112" s="112"/>
      <c r="EV112" s="112"/>
      <c r="EW112" s="112"/>
      <c r="EX112" s="112"/>
      <c r="EY112" s="112"/>
      <c r="EZ112" s="112"/>
      <c r="FA112" s="112"/>
      <c r="FB112" s="112"/>
      <c r="FC112" s="112"/>
      <c r="FD112" s="112"/>
      <c r="FE112" s="112"/>
      <c r="FF112" s="112"/>
      <c r="FG112" s="112"/>
      <c r="FH112" s="112"/>
      <c r="FI112" s="112"/>
      <c r="FJ112" s="112"/>
      <c r="FK112" s="112"/>
      <c r="FL112" s="112"/>
      <c r="FM112" s="112"/>
      <c r="FN112" s="112"/>
      <c r="FO112" s="112"/>
      <c r="FP112" s="112"/>
      <c r="FQ112" s="112"/>
      <c r="FR112" s="112"/>
      <c r="FS112" s="112"/>
      <c r="FT112" s="112"/>
      <c r="FU112" s="112"/>
      <c r="FV112" s="112"/>
      <c r="FW112" s="112"/>
      <c r="FX112" s="112"/>
      <c r="FY112" s="112"/>
      <c r="FZ112" s="112"/>
      <c r="GA112" s="112"/>
      <c r="GB112" s="112"/>
      <c r="GC112" s="112"/>
      <c r="GD112" s="112"/>
      <c r="GE112" s="112"/>
      <c r="GF112" s="112"/>
      <c r="GG112" s="112"/>
      <c r="GH112" s="112"/>
      <c r="GI112" s="112"/>
      <c r="GJ112" s="112"/>
      <c r="GK112" s="112"/>
      <c r="GL112" s="112"/>
      <c r="GM112" s="112"/>
      <c r="GN112" s="112"/>
      <c r="GO112" s="112"/>
      <c r="GP112" s="112"/>
    </row>
    <row r="113" spans="2:198">
      <c r="B113" s="238">
        <f t="shared" si="12"/>
        <v>11.299999999999999</v>
      </c>
      <c r="C113" s="233" t="s">
        <v>266</v>
      </c>
      <c r="D113" s="205"/>
      <c r="E113" s="240">
        <f>WORKDAY.INTL(G88,0,1,Data!$C$3:$C$41)</f>
        <v>45965</v>
      </c>
      <c r="F113" s="241">
        <v>1</v>
      </c>
      <c r="G113" s="240">
        <f>WORKDAY.INTL(E113,F113,1,Data!$C$3:$C$41)</f>
        <v>45966</v>
      </c>
      <c r="H113" s="228"/>
      <c r="I113" s="240">
        <v>46055</v>
      </c>
      <c r="J113" s="241">
        <v>1</v>
      </c>
      <c r="K113" s="240">
        <f>WORKDAY.INTL(I113,J113,1,Data!$C$3:$C$41)</f>
        <v>46056</v>
      </c>
      <c r="M113" s="243">
        <v>0.1</v>
      </c>
      <c r="N113" s="243">
        <f ca="1">_xlfn.LET(
  _xlpm.s,VALUE(I113),
  _xlpm.e,VALUE(K113),
  IF(OR(_xlpm.s="",_xlpm.e=""),"", IF(_xlpm.e&lt;=_xlpm.s, IF(TODAY()&gt;=_xlpm.e,1,0), MAX(0,MIN(1,(TODAY()-_xlpm.s)/(_xlpm.e-_xlpm.s)))))
)</f>
        <v>1</v>
      </c>
      <c r="O113" s="122"/>
      <c r="Y113" s="112"/>
      <c r="Z113" s="112"/>
      <c r="AA113" s="112"/>
      <c r="AB113" s="112"/>
      <c r="AC113" s="112"/>
      <c r="AD113" s="112"/>
      <c r="AE113" s="112"/>
      <c r="AF113" s="112"/>
      <c r="AG113" s="112"/>
      <c r="AH113" s="112"/>
      <c r="AI113" s="112"/>
      <c r="AJ113" s="112"/>
      <c r="AK113" s="112"/>
      <c r="AL113" s="112"/>
      <c r="AM113" s="112"/>
      <c r="AN113" s="112"/>
      <c r="AO113" s="112"/>
      <c r="AP113" s="112"/>
      <c r="AQ113" s="112"/>
      <c r="AR113" s="112"/>
      <c r="AS113" s="112"/>
      <c r="AT113" s="112"/>
      <c r="AU113" s="112"/>
      <c r="AV113" s="112"/>
      <c r="AW113" s="112"/>
      <c r="AX113" s="112"/>
      <c r="AY113" s="112"/>
      <c r="AZ113" s="112"/>
      <c r="BA113" s="112"/>
      <c r="BB113" s="112"/>
      <c r="BC113" s="112"/>
      <c r="BD113" s="112"/>
      <c r="BE113" s="112"/>
      <c r="BF113" s="112"/>
      <c r="BG113" s="112"/>
      <c r="BH113" s="112"/>
      <c r="BI113" s="112"/>
      <c r="BJ113" s="112"/>
      <c r="BK113" s="112"/>
      <c r="BL113" s="112"/>
      <c r="BM113" s="112"/>
      <c r="BN113" s="112"/>
      <c r="BO113" s="112"/>
      <c r="BP113" s="112"/>
      <c r="BQ113" s="112"/>
      <c r="BR113" s="112"/>
      <c r="BS113" s="112"/>
      <c r="BT113" s="112"/>
      <c r="BU113" s="112"/>
      <c r="BV113" s="112"/>
      <c r="BW113" s="112"/>
      <c r="BX113" s="112"/>
      <c r="BY113" s="112"/>
      <c r="BZ113" s="112"/>
      <c r="CA113" s="112"/>
      <c r="CB113" s="112"/>
      <c r="CC113" s="112"/>
      <c r="CD113" s="112"/>
      <c r="CE113" s="112"/>
      <c r="CF113" s="112"/>
      <c r="CG113" s="112"/>
      <c r="CH113" s="112"/>
      <c r="CI113" s="112"/>
      <c r="CJ113" s="112"/>
      <c r="CK113" s="112"/>
      <c r="CL113" s="112"/>
      <c r="CM113" s="112"/>
      <c r="CN113" s="112"/>
      <c r="CO113" s="112"/>
      <c r="CP113" s="112"/>
      <c r="CQ113" s="112"/>
      <c r="CR113" s="112"/>
      <c r="CS113" s="112"/>
      <c r="CT113" s="112"/>
      <c r="CU113" s="112"/>
      <c r="CV113" s="112"/>
      <c r="CW113" s="112"/>
      <c r="CX113" s="112"/>
      <c r="CY113" s="112"/>
      <c r="CZ113" s="112"/>
      <c r="DA113" s="112"/>
      <c r="DB113" s="112"/>
      <c r="DC113" s="112"/>
      <c r="DD113" s="112"/>
      <c r="DE113" s="112"/>
      <c r="DF113" s="112"/>
      <c r="DG113" s="112"/>
      <c r="DH113" s="112"/>
      <c r="DI113" s="112"/>
      <c r="DJ113" s="112"/>
      <c r="DK113" s="112"/>
      <c r="DL113" s="112"/>
      <c r="DM113" s="112"/>
      <c r="DN113" s="112"/>
      <c r="DO113" s="112"/>
      <c r="DP113" s="112"/>
      <c r="DQ113" s="112"/>
      <c r="DR113" s="112"/>
      <c r="DS113" s="112"/>
      <c r="DT113" s="112"/>
      <c r="DU113" s="112"/>
      <c r="DV113" s="112"/>
      <c r="DW113" s="112"/>
      <c r="DX113" s="112"/>
      <c r="DY113" s="112"/>
      <c r="DZ113" s="112"/>
      <c r="EA113" s="112"/>
      <c r="EB113" s="112"/>
      <c r="EC113" s="112"/>
      <c r="ED113" s="112"/>
      <c r="EE113" s="112"/>
      <c r="EF113" s="112"/>
      <c r="EG113" s="112"/>
      <c r="EH113" s="112"/>
      <c r="EI113" s="112"/>
      <c r="EJ113" s="112"/>
      <c r="EK113" s="112"/>
      <c r="EL113" s="112"/>
      <c r="EM113" s="112"/>
      <c r="EN113" s="112"/>
      <c r="EO113" s="112"/>
      <c r="EP113" s="112"/>
      <c r="EQ113" s="112"/>
      <c r="ER113" s="112"/>
      <c r="ES113" s="112"/>
      <c r="ET113" s="112"/>
      <c r="EU113" s="112"/>
      <c r="EV113" s="112"/>
      <c r="EW113" s="112"/>
      <c r="EX113" s="112"/>
      <c r="EY113" s="112"/>
      <c r="EZ113" s="112"/>
      <c r="FA113" s="112"/>
      <c r="FB113" s="112"/>
      <c r="FC113" s="112"/>
      <c r="FD113" s="112"/>
      <c r="FE113" s="112"/>
      <c r="FF113" s="112"/>
      <c r="FG113" s="112"/>
      <c r="FH113" s="112"/>
      <c r="FI113" s="112"/>
      <c r="FJ113" s="112"/>
      <c r="FK113" s="112"/>
      <c r="FL113" s="112"/>
      <c r="FM113" s="112"/>
      <c r="FN113" s="112"/>
      <c r="FO113" s="112"/>
      <c r="FP113" s="112"/>
      <c r="FQ113" s="112"/>
      <c r="FR113" s="112"/>
      <c r="FS113" s="112"/>
      <c r="FT113" s="112"/>
      <c r="FU113" s="112"/>
      <c r="FV113" s="112"/>
      <c r="FW113" s="112"/>
      <c r="FX113" s="112"/>
      <c r="FY113" s="112"/>
      <c r="FZ113" s="112"/>
      <c r="GA113" s="112"/>
      <c r="GB113" s="112"/>
      <c r="GC113" s="112"/>
      <c r="GD113" s="112"/>
      <c r="GE113" s="112"/>
      <c r="GF113" s="112"/>
      <c r="GG113" s="112"/>
      <c r="GH113" s="112"/>
      <c r="GI113" s="112"/>
      <c r="GJ113" s="112"/>
      <c r="GK113" s="112"/>
      <c r="GL113" s="112"/>
      <c r="GM113" s="112"/>
      <c r="GN113" s="112"/>
      <c r="GO113" s="112"/>
      <c r="GP113" s="112"/>
    </row>
    <row r="114" spans="2:198">
      <c r="B114" s="238">
        <f t="shared" si="12"/>
        <v>11.399999999999999</v>
      </c>
      <c r="C114" s="233" t="s">
        <v>267</v>
      </c>
      <c r="D114" s="205"/>
      <c r="E114" s="240"/>
      <c r="F114" s="241"/>
      <c r="G114" s="240"/>
      <c r="H114" s="228"/>
      <c r="I114" s="240">
        <v>46050</v>
      </c>
      <c r="J114" s="241">
        <v>1</v>
      </c>
      <c r="K114" s="240">
        <f>WORKDAY.INTL(I114,J114,1,Data!$C$3:$C$41)</f>
        <v>46051</v>
      </c>
      <c r="M114" s="243">
        <v>1</v>
      </c>
      <c r="N114" s="243">
        <f ca="1">_xlfn.LET(
  _xlpm.s,VALUE(I114),
  _xlpm.e,VALUE(K114),
  IF(OR(_xlpm.s="",_xlpm.e=""),"", IF(_xlpm.e&lt;=_xlpm.s, IF(TODAY()&gt;=_xlpm.e,1,0), MAX(0,MIN(1,(TODAY()-_xlpm.s)/(_xlpm.e-_xlpm.s)))))
)</f>
        <v>1</v>
      </c>
      <c r="O114" s="119"/>
      <c r="Y114" s="112"/>
      <c r="Z114" s="112"/>
      <c r="AA114" s="112"/>
      <c r="AB114" s="112"/>
      <c r="AC114" s="112"/>
      <c r="AD114" s="112"/>
      <c r="AE114" s="112"/>
      <c r="AF114" s="112"/>
      <c r="AG114" s="112"/>
      <c r="AH114" s="112"/>
      <c r="AI114" s="112"/>
      <c r="AJ114" s="112"/>
      <c r="AK114" s="112"/>
      <c r="AL114" s="112"/>
      <c r="AM114" s="112"/>
      <c r="AN114" s="112"/>
      <c r="AO114" s="112"/>
      <c r="AP114" s="112"/>
      <c r="AQ114" s="112"/>
      <c r="AR114" s="112"/>
      <c r="AS114" s="112"/>
      <c r="AT114" s="112"/>
      <c r="AU114" s="112"/>
      <c r="AV114" s="112"/>
      <c r="AW114" s="112"/>
      <c r="AX114" s="112"/>
      <c r="AY114" s="112"/>
      <c r="AZ114" s="112"/>
      <c r="BA114" s="112"/>
      <c r="BB114" s="112"/>
      <c r="BC114" s="112"/>
      <c r="BD114" s="112"/>
      <c r="BE114" s="112"/>
      <c r="BF114" s="112"/>
      <c r="BG114" s="112"/>
      <c r="BH114" s="112"/>
      <c r="BI114" s="112"/>
      <c r="BJ114" s="112"/>
      <c r="BK114" s="112"/>
      <c r="BL114" s="112"/>
      <c r="BM114" s="112"/>
      <c r="BN114" s="112"/>
      <c r="BO114" s="112"/>
      <c r="BP114" s="112"/>
      <c r="BQ114" s="112"/>
      <c r="BR114" s="112"/>
      <c r="BS114" s="112"/>
      <c r="BT114" s="112"/>
      <c r="BU114" s="112"/>
      <c r="BV114" s="112"/>
      <c r="BW114" s="112"/>
      <c r="BX114" s="112"/>
      <c r="BY114" s="112"/>
      <c r="BZ114" s="112"/>
      <c r="CA114" s="112"/>
      <c r="CB114" s="112"/>
      <c r="CC114" s="112"/>
      <c r="CD114" s="112"/>
      <c r="CE114" s="112"/>
      <c r="CF114" s="112"/>
      <c r="CG114" s="112"/>
      <c r="CH114" s="112"/>
      <c r="CI114" s="112"/>
      <c r="CJ114" s="112"/>
      <c r="CK114" s="112"/>
      <c r="CL114" s="112"/>
      <c r="CM114" s="112"/>
      <c r="CN114" s="112"/>
      <c r="CO114" s="112"/>
      <c r="CP114" s="112"/>
      <c r="CQ114" s="112"/>
      <c r="CR114" s="112"/>
      <c r="CS114" s="112"/>
      <c r="CT114" s="112"/>
      <c r="CU114" s="112"/>
      <c r="CV114" s="112"/>
      <c r="CW114" s="112"/>
      <c r="CX114" s="112"/>
      <c r="CY114" s="112"/>
      <c r="CZ114" s="112"/>
      <c r="DA114" s="112"/>
      <c r="DB114" s="112"/>
      <c r="DC114" s="112"/>
      <c r="DD114" s="112"/>
      <c r="DE114" s="112"/>
      <c r="DF114" s="112"/>
      <c r="DG114" s="112"/>
      <c r="DH114" s="112"/>
      <c r="DI114" s="112"/>
      <c r="DJ114" s="112"/>
      <c r="DK114" s="112"/>
      <c r="DL114" s="112"/>
      <c r="DM114" s="112"/>
      <c r="DN114" s="112"/>
      <c r="DO114" s="112"/>
      <c r="DP114" s="112"/>
      <c r="DQ114" s="112"/>
      <c r="DR114" s="112"/>
      <c r="DS114" s="112"/>
      <c r="DT114" s="112"/>
      <c r="DU114" s="112"/>
      <c r="DV114" s="112"/>
      <c r="DW114" s="112"/>
      <c r="DX114" s="112"/>
      <c r="DY114" s="112"/>
      <c r="DZ114" s="112"/>
      <c r="EA114" s="112"/>
      <c r="EB114" s="112"/>
      <c r="EC114" s="112"/>
      <c r="ED114" s="112"/>
      <c r="EE114" s="112"/>
      <c r="EF114" s="112"/>
      <c r="EG114" s="112"/>
      <c r="EH114" s="112"/>
      <c r="EI114" s="112"/>
      <c r="EJ114" s="112"/>
      <c r="EK114" s="112"/>
      <c r="EL114" s="112"/>
      <c r="EM114" s="112"/>
      <c r="EN114" s="112"/>
      <c r="EO114" s="112"/>
      <c r="EP114" s="112"/>
      <c r="EQ114" s="112"/>
      <c r="ER114" s="112"/>
      <c r="ES114" s="112"/>
      <c r="ET114" s="112"/>
      <c r="EU114" s="112"/>
      <c r="EV114" s="112"/>
      <c r="EW114" s="112"/>
      <c r="EX114" s="112"/>
      <c r="EY114" s="112"/>
      <c r="EZ114" s="112"/>
      <c r="FA114" s="112"/>
      <c r="FB114" s="112"/>
      <c r="FC114" s="112"/>
      <c r="FD114" s="112"/>
      <c r="FE114" s="112"/>
      <c r="FF114" s="112"/>
      <c r="FG114" s="112"/>
      <c r="FH114" s="112"/>
      <c r="FI114" s="112"/>
      <c r="FJ114" s="112"/>
      <c r="FK114" s="112"/>
      <c r="FL114" s="112"/>
      <c r="FM114" s="112"/>
      <c r="FN114" s="112"/>
      <c r="FO114" s="112"/>
      <c r="FP114" s="112"/>
      <c r="FQ114" s="112"/>
      <c r="FR114" s="112"/>
      <c r="FS114" s="112"/>
      <c r="FT114" s="112"/>
      <c r="FU114" s="112"/>
      <c r="FV114" s="112"/>
      <c r="FW114" s="112"/>
      <c r="FX114" s="112"/>
      <c r="FY114" s="112"/>
      <c r="FZ114" s="112"/>
      <c r="GA114" s="112"/>
      <c r="GB114" s="112"/>
      <c r="GC114" s="112"/>
      <c r="GD114" s="112"/>
      <c r="GE114" s="112"/>
      <c r="GF114" s="112"/>
      <c r="GG114" s="112"/>
      <c r="GH114" s="112"/>
      <c r="GI114" s="112"/>
      <c r="GJ114" s="112"/>
      <c r="GK114" s="112"/>
      <c r="GL114" s="112"/>
      <c r="GM114" s="112"/>
      <c r="GN114" s="112"/>
      <c r="GO114" s="112"/>
      <c r="GP114" s="112"/>
    </row>
    <row r="115" spans="2:198">
      <c r="B115" s="238">
        <f t="shared" si="12"/>
        <v>11.499999999999998</v>
      </c>
      <c r="C115" s="233" t="s">
        <v>268</v>
      </c>
      <c r="D115" s="205"/>
      <c r="E115" s="240">
        <f>WORKDAY.INTL(G113,0,1,Data!$C$3:$C$41)</f>
        <v>45966</v>
      </c>
      <c r="F115" s="241">
        <v>15</v>
      </c>
      <c r="G115" s="240">
        <f>WORKDAY.INTL(E115,F115,1,Data!$C$3:$C$41)</f>
        <v>45987</v>
      </c>
      <c r="H115" s="228"/>
      <c r="I115" s="240">
        <f>WORKDAY.INTL(K113,0,1,Data!$C$3:$C$41)</f>
        <v>46056</v>
      </c>
      <c r="J115" s="241">
        <v>10</v>
      </c>
      <c r="K115" s="240">
        <f>WORKDAY.INTL(I115,J115,1,Data!$C$3:$C$41)</f>
        <v>46070</v>
      </c>
      <c r="M115" s="243">
        <v>0</v>
      </c>
      <c r="N115" s="243">
        <f ca="1">_xlfn.LET(
  _xlpm.s,VALUE(I115),
  _xlpm.e,VALUE(K115),
  IF(OR(_xlpm.s="",_xlpm.e=""),"", IF(_xlpm.e&lt;=_xlpm.s, IF(TODAY()&gt;=_xlpm.e,1,0), MAX(0,MIN(1,(TODAY()-_xlpm.s)/(_xlpm.e-_xlpm.s)))))
)</f>
        <v>0.5</v>
      </c>
      <c r="O115" s="119" t="s">
        <v>269</v>
      </c>
      <c r="Y115" s="112"/>
      <c r="Z115" s="112"/>
      <c r="AA115" s="112"/>
      <c r="AB115" s="112"/>
      <c r="AC115" s="112"/>
      <c r="AD115" s="112"/>
      <c r="AE115" s="112"/>
      <c r="AF115" s="112"/>
      <c r="AG115" s="112"/>
      <c r="AH115" s="112"/>
      <c r="AI115" s="112"/>
      <c r="AJ115" s="112"/>
      <c r="AK115" s="112"/>
      <c r="AL115" s="112"/>
      <c r="AM115" s="112"/>
      <c r="AN115" s="112"/>
      <c r="AO115" s="112"/>
      <c r="AP115" s="112"/>
      <c r="AQ115" s="112"/>
      <c r="AR115" s="112"/>
      <c r="AS115" s="112"/>
      <c r="AT115" s="112"/>
      <c r="AU115" s="112"/>
      <c r="AV115" s="112"/>
      <c r="AW115" s="112"/>
      <c r="AX115" s="112"/>
      <c r="AY115" s="112"/>
      <c r="AZ115" s="112"/>
      <c r="BA115" s="112"/>
      <c r="BB115" s="112"/>
      <c r="BC115" s="112"/>
      <c r="BD115" s="112"/>
      <c r="BE115" s="112"/>
      <c r="BF115" s="112"/>
      <c r="BG115" s="112"/>
      <c r="BH115" s="112"/>
      <c r="BI115" s="112"/>
      <c r="BJ115" s="112"/>
      <c r="BK115" s="112"/>
      <c r="BL115" s="112"/>
      <c r="BM115" s="112"/>
      <c r="BN115" s="112"/>
      <c r="BO115" s="112"/>
      <c r="BP115" s="112"/>
      <c r="BQ115" s="112"/>
      <c r="BR115" s="112"/>
      <c r="BS115" s="112"/>
      <c r="BT115" s="112"/>
      <c r="BU115" s="112"/>
      <c r="BV115" s="112"/>
      <c r="BW115" s="112"/>
      <c r="BX115" s="112"/>
      <c r="BY115" s="112"/>
      <c r="BZ115" s="112"/>
      <c r="CA115" s="112"/>
      <c r="CB115" s="112"/>
      <c r="CC115" s="112"/>
      <c r="CD115" s="112"/>
      <c r="CE115" s="112"/>
      <c r="CF115" s="112"/>
      <c r="CG115" s="112"/>
      <c r="CH115" s="112"/>
      <c r="CI115" s="112"/>
      <c r="CJ115" s="112"/>
      <c r="CK115" s="112"/>
      <c r="CL115" s="112"/>
      <c r="CM115" s="112"/>
      <c r="CN115" s="112"/>
      <c r="CO115" s="112"/>
      <c r="CP115" s="112"/>
      <c r="CQ115" s="112"/>
      <c r="CR115" s="112"/>
      <c r="CS115" s="112"/>
      <c r="CT115" s="112"/>
      <c r="CU115" s="112"/>
      <c r="CV115" s="112"/>
      <c r="CW115" s="112"/>
      <c r="CX115" s="112"/>
      <c r="CY115" s="112"/>
      <c r="CZ115" s="112"/>
      <c r="DA115" s="112"/>
      <c r="DB115" s="112"/>
      <c r="DC115" s="112"/>
      <c r="DD115" s="112"/>
      <c r="DE115" s="112"/>
      <c r="DF115" s="112"/>
      <c r="DG115" s="112"/>
      <c r="DH115" s="112"/>
      <c r="DI115" s="112"/>
      <c r="DJ115" s="112"/>
      <c r="DK115" s="112"/>
      <c r="DL115" s="112"/>
      <c r="DM115" s="112"/>
      <c r="DN115" s="112"/>
      <c r="DO115" s="112"/>
      <c r="DP115" s="112"/>
      <c r="DQ115" s="112"/>
      <c r="DR115" s="112"/>
      <c r="DS115" s="112"/>
      <c r="DT115" s="112"/>
      <c r="DU115" s="112"/>
      <c r="DV115" s="112"/>
      <c r="DW115" s="112"/>
      <c r="DX115" s="112"/>
      <c r="DY115" s="112"/>
      <c r="DZ115" s="112"/>
      <c r="EA115" s="112"/>
      <c r="EB115" s="112"/>
      <c r="EC115" s="112"/>
      <c r="ED115" s="112"/>
      <c r="EE115" s="112"/>
      <c r="EF115" s="112"/>
      <c r="EG115" s="112"/>
      <c r="EH115" s="112"/>
      <c r="EI115" s="112"/>
      <c r="EJ115" s="112"/>
      <c r="EK115" s="112"/>
      <c r="EL115" s="112"/>
      <c r="EM115" s="112"/>
      <c r="EN115" s="112"/>
      <c r="EO115" s="112"/>
      <c r="EP115" s="112"/>
      <c r="EQ115" s="112"/>
      <c r="ER115" s="112"/>
      <c r="ES115" s="112"/>
      <c r="ET115" s="112"/>
      <c r="EU115" s="112"/>
      <c r="EV115" s="112"/>
      <c r="EW115" s="112"/>
      <c r="EX115" s="112"/>
      <c r="EY115" s="112"/>
      <c r="EZ115" s="112"/>
      <c r="FA115" s="112"/>
      <c r="FB115" s="112"/>
      <c r="FC115" s="112"/>
      <c r="FD115" s="112"/>
      <c r="FE115" s="112"/>
      <c r="FF115" s="112"/>
      <c r="FG115" s="112"/>
      <c r="FH115" s="112"/>
      <c r="FI115" s="112"/>
      <c r="FJ115" s="112"/>
      <c r="FK115" s="112"/>
      <c r="FL115" s="112"/>
      <c r="FM115" s="112"/>
      <c r="FN115" s="112"/>
      <c r="FO115" s="112"/>
      <c r="FP115" s="112"/>
      <c r="FQ115" s="112"/>
      <c r="FR115" s="112"/>
      <c r="FS115" s="112"/>
      <c r="FT115" s="112"/>
      <c r="FU115" s="112"/>
      <c r="FV115" s="112"/>
      <c r="FW115" s="112"/>
      <c r="FX115" s="112"/>
      <c r="FY115" s="112"/>
      <c r="FZ115" s="112"/>
      <c r="GA115" s="112"/>
      <c r="GB115" s="112"/>
      <c r="GC115" s="112"/>
      <c r="GD115" s="112"/>
      <c r="GE115" s="112"/>
      <c r="GF115" s="112"/>
      <c r="GG115" s="112"/>
      <c r="GH115" s="112"/>
      <c r="GI115" s="112"/>
      <c r="GJ115" s="112"/>
      <c r="GK115" s="112"/>
      <c r="GL115" s="112"/>
      <c r="GM115" s="112"/>
      <c r="GN115" s="112"/>
      <c r="GO115" s="112"/>
      <c r="GP115" s="112"/>
    </row>
    <row r="116" spans="2:198" s="112" customFormat="1" ht="4.5" customHeight="1">
      <c r="B116" s="229"/>
      <c r="C116" s="205"/>
      <c r="D116" s="205"/>
      <c r="E116" s="230"/>
      <c r="F116" s="230"/>
      <c r="G116" s="231"/>
      <c r="H116" s="228"/>
      <c r="I116" s="230"/>
      <c r="J116" s="230"/>
      <c r="K116" s="231"/>
      <c r="Q116" s="3"/>
    </row>
    <row r="117" spans="2:198" s="112" customFormat="1">
      <c r="B117" s="234">
        <v>12</v>
      </c>
      <c r="C117" s="235" t="s">
        <v>270</v>
      </c>
      <c r="D117" s="209"/>
      <c r="E117" s="689">
        <f>MIN(E118:E124)</f>
        <v>45929</v>
      </c>
      <c r="F117" s="690">
        <f>G117-E117</f>
        <v>70</v>
      </c>
      <c r="G117" s="689">
        <f>MAX(G118:G124)</f>
        <v>45999</v>
      </c>
      <c r="H117" s="210"/>
      <c r="I117" s="689">
        <f>MIN(I118:I124)</f>
        <v>46006</v>
      </c>
      <c r="J117" s="690">
        <f>K117-I117</f>
        <v>72</v>
      </c>
      <c r="K117" s="689">
        <f>MAX(K118:K124)</f>
        <v>46078</v>
      </c>
      <c r="L117" s="114"/>
      <c r="M117" s="350">
        <f>AVERAGE(M118:M123)</f>
        <v>0.18333333333333335</v>
      </c>
      <c r="N117" s="350">
        <f ca="1">AVERAGE(N118:N123)</f>
        <v>0.45238095238095238</v>
      </c>
      <c r="Q117" s="124"/>
      <c r="R117" s="121"/>
      <c r="S117" s="121"/>
      <c r="T117" s="121"/>
      <c r="U117" s="121"/>
      <c r="V117" s="121"/>
      <c r="W117" s="121"/>
      <c r="X117" s="121"/>
      <c r="Y117" s="121"/>
      <c r="Z117" s="121"/>
      <c r="AA117" s="121"/>
      <c r="AB117" s="121"/>
      <c r="AC117" s="121"/>
      <c r="AD117" s="121"/>
      <c r="AE117" s="121"/>
      <c r="AF117" s="121"/>
      <c r="AG117" s="121"/>
      <c r="AH117" s="121"/>
      <c r="AI117" s="121"/>
      <c r="AJ117" s="121"/>
      <c r="AK117" s="121"/>
      <c r="AL117" s="121"/>
      <c r="AM117" s="121"/>
      <c r="AN117" s="121"/>
      <c r="AO117" s="121"/>
      <c r="AP117" s="121"/>
      <c r="AQ117" s="121"/>
      <c r="AR117" s="121"/>
      <c r="AS117" s="121"/>
      <c r="AT117" s="121"/>
      <c r="AU117" s="121"/>
      <c r="AV117" s="121"/>
      <c r="AW117" s="121"/>
      <c r="AX117" s="121"/>
      <c r="AY117" s="121"/>
      <c r="AZ117" s="121"/>
      <c r="BA117" s="121"/>
      <c r="BB117" s="121"/>
      <c r="BC117" s="121"/>
      <c r="BD117" s="121"/>
      <c r="BE117" s="121"/>
      <c r="BF117" s="121"/>
      <c r="BG117" s="121"/>
      <c r="BH117" s="121"/>
      <c r="BI117" s="121"/>
      <c r="BJ117" s="121"/>
      <c r="BK117" s="121"/>
      <c r="BL117" s="121"/>
      <c r="BM117" s="121"/>
      <c r="BN117" s="121"/>
      <c r="BO117" s="121"/>
      <c r="BP117" s="121"/>
      <c r="BQ117" s="121"/>
      <c r="BR117" s="121"/>
      <c r="BS117" s="121"/>
      <c r="BT117" s="121"/>
      <c r="BU117" s="121"/>
      <c r="BV117" s="121"/>
      <c r="BW117" s="121"/>
      <c r="BX117" s="121"/>
      <c r="BY117" s="121"/>
      <c r="BZ117" s="121"/>
      <c r="CA117" s="121"/>
      <c r="CB117" s="121"/>
      <c r="CC117" s="121"/>
      <c r="CD117" s="121"/>
      <c r="CE117" s="121"/>
      <c r="CF117" s="121"/>
      <c r="CG117" s="121"/>
      <c r="CH117" s="121"/>
      <c r="CI117" s="121"/>
      <c r="CJ117" s="121"/>
      <c r="CK117" s="121"/>
      <c r="CL117" s="121"/>
      <c r="CM117" s="121"/>
      <c r="CN117" s="121"/>
      <c r="CO117" s="121"/>
      <c r="CP117" s="121"/>
      <c r="CQ117" s="121"/>
      <c r="CR117" s="121"/>
      <c r="CS117" s="121"/>
      <c r="CT117" s="121"/>
      <c r="CU117" s="121"/>
      <c r="CV117" s="121"/>
      <c r="CW117" s="121"/>
      <c r="CX117" s="121"/>
      <c r="CY117" s="121"/>
      <c r="CZ117" s="121"/>
      <c r="DA117" s="121"/>
      <c r="DB117" s="121"/>
      <c r="DC117" s="121"/>
      <c r="DD117" s="121"/>
      <c r="DE117" s="121"/>
      <c r="DF117" s="121"/>
      <c r="DG117" s="121"/>
      <c r="DH117" s="121"/>
      <c r="DI117" s="121"/>
      <c r="DJ117" s="121"/>
      <c r="DK117" s="121"/>
      <c r="DL117" s="121"/>
      <c r="DM117" s="121"/>
      <c r="DN117" s="121"/>
      <c r="DO117" s="121"/>
      <c r="DP117" s="121"/>
      <c r="DQ117" s="121"/>
      <c r="DR117" s="121"/>
      <c r="DS117" s="121"/>
      <c r="DT117" s="121"/>
      <c r="DU117" s="121"/>
      <c r="DV117" s="121"/>
      <c r="DW117" s="121"/>
      <c r="DX117" s="121"/>
      <c r="DY117" s="121"/>
      <c r="DZ117" s="121"/>
      <c r="EA117" s="121"/>
      <c r="EB117" s="121"/>
      <c r="EC117" s="121"/>
      <c r="ED117" s="121"/>
      <c r="EE117" s="121"/>
      <c r="EF117" s="121"/>
      <c r="EG117" s="121"/>
      <c r="EH117" s="121"/>
      <c r="EI117" s="121"/>
      <c r="EJ117" s="121"/>
      <c r="EK117" s="121"/>
      <c r="EL117" s="121"/>
      <c r="EM117" s="121"/>
      <c r="EN117" s="121"/>
      <c r="EO117" s="121"/>
      <c r="EP117" s="121"/>
      <c r="EQ117" s="121"/>
      <c r="ER117" s="121"/>
      <c r="ES117" s="121"/>
      <c r="ET117" s="121"/>
      <c r="EU117" s="121"/>
      <c r="EV117" s="121"/>
      <c r="EW117" s="121"/>
      <c r="EX117" s="121"/>
      <c r="EY117" s="121"/>
      <c r="EZ117" s="121"/>
      <c r="FA117" s="121"/>
      <c r="FB117" s="121"/>
      <c r="FC117" s="121"/>
      <c r="FD117" s="121"/>
      <c r="FE117" s="121"/>
      <c r="FF117" s="121"/>
      <c r="FG117" s="121"/>
      <c r="FH117" s="121"/>
      <c r="FI117" s="121"/>
      <c r="FJ117" s="121"/>
      <c r="FK117" s="121"/>
      <c r="FL117" s="121"/>
      <c r="FM117" s="121"/>
      <c r="FN117" s="121"/>
      <c r="FO117" s="121"/>
      <c r="FP117" s="121"/>
      <c r="FQ117" s="121"/>
      <c r="FR117" s="121"/>
      <c r="FS117" s="121"/>
      <c r="FT117" s="121"/>
      <c r="FU117" s="121"/>
      <c r="FV117" s="121"/>
      <c r="FW117" s="121"/>
      <c r="FX117" s="121"/>
      <c r="FY117" s="121"/>
      <c r="FZ117" s="121"/>
      <c r="GA117" s="121"/>
      <c r="GB117" s="121"/>
      <c r="GC117" s="121"/>
      <c r="GD117" s="121"/>
      <c r="GE117" s="121"/>
      <c r="GF117" s="121"/>
      <c r="GG117" s="121"/>
      <c r="GH117" s="121"/>
      <c r="GI117" s="121"/>
      <c r="GJ117" s="121"/>
      <c r="GK117" s="121"/>
      <c r="GL117" s="121"/>
      <c r="GM117" s="121"/>
      <c r="GN117" s="121"/>
      <c r="GO117" s="121"/>
      <c r="GP117" s="121"/>
    </row>
    <row r="118" spans="2:198">
      <c r="B118" s="238">
        <f>B117+0.1</f>
        <v>12.1</v>
      </c>
      <c r="C118" s="233" t="s">
        <v>271</v>
      </c>
      <c r="D118" s="205"/>
      <c r="E118" s="240">
        <f>WORKDAY.INTL(E99,0,1,Data!$C$3:$C$41)</f>
        <v>45971</v>
      </c>
      <c r="F118" s="241">
        <v>5</v>
      </c>
      <c r="G118" s="240">
        <f>WORKDAY.INTL(E118,F118,1,Data!$C$3:$C$41)</f>
        <v>45978</v>
      </c>
      <c r="H118" s="228"/>
      <c r="I118" s="240">
        <f>WORKDAY.INTL(I99,0,1,Data!$C$3:$C$41)</f>
        <v>46006</v>
      </c>
      <c r="J118" s="241">
        <v>5</v>
      </c>
      <c r="K118" s="240">
        <f>WORKDAY.INTL(I118,J118,1,Data!$C$3:$C$41)</f>
        <v>46035</v>
      </c>
      <c r="M118" s="243">
        <v>1</v>
      </c>
      <c r="N118" s="243">
        <f t="shared" ref="N118:N123" ca="1" si="13">_xlfn.LET(
  _xlpm.s,VALUE(I118),
  _xlpm.e,VALUE(K118),
  IF(OR(_xlpm.s="",_xlpm.e=""),"", IF(_xlpm.e&lt;=_xlpm.s, IF(TODAY()&gt;=_xlpm.e,1,0), MAX(0,MIN(1,(TODAY()-_xlpm.s)/(_xlpm.e-_xlpm.s)))))
)</f>
        <v>1</v>
      </c>
      <c r="O118" s="122"/>
      <c r="Y118" s="112"/>
      <c r="Z118" s="112"/>
      <c r="AA118" s="112"/>
      <c r="AB118" s="112"/>
      <c r="AC118" s="112"/>
      <c r="AD118" s="112"/>
      <c r="AE118" s="112"/>
      <c r="AF118" s="112"/>
      <c r="AG118" s="112"/>
      <c r="AH118" s="112"/>
      <c r="AI118" s="112"/>
      <c r="AJ118" s="112"/>
      <c r="AK118" s="112"/>
      <c r="AL118" s="112"/>
      <c r="AM118" s="112"/>
      <c r="AN118" s="112"/>
      <c r="AO118" s="112"/>
      <c r="AP118" s="112"/>
      <c r="AQ118" s="112"/>
      <c r="AR118" s="112"/>
      <c r="AS118" s="112"/>
      <c r="AT118" s="112"/>
      <c r="AU118" s="112"/>
      <c r="AV118" s="112"/>
      <c r="AW118" s="112"/>
      <c r="AX118" s="112"/>
      <c r="AY118" s="112"/>
      <c r="AZ118" s="112"/>
      <c r="BA118" s="112"/>
      <c r="BB118" s="112"/>
      <c r="BC118" s="112"/>
      <c r="BD118" s="112"/>
      <c r="BE118" s="112"/>
      <c r="BF118" s="112"/>
      <c r="BG118" s="112"/>
      <c r="BH118" s="112"/>
      <c r="BI118" s="112"/>
      <c r="BJ118" s="112"/>
      <c r="BK118" s="112"/>
      <c r="BL118" s="112"/>
      <c r="BM118" s="112"/>
      <c r="BN118" s="112"/>
      <c r="BO118" s="112"/>
      <c r="BP118" s="112"/>
      <c r="BQ118" s="112"/>
      <c r="BR118" s="112"/>
      <c r="BS118" s="112"/>
      <c r="BT118" s="112"/>
      <c r="BU118" s="112"/>
      <c r="BV118" s="112"/>
      <c r="BW118" s="112"/>
      <c r="BX118" s="112"/>
      <c r="BY118" s="112"/>
      <c r="BZ118" s="112"/>
      <c r="CA118" s="112"/>
      <c r="CB118" s="112"/>
      <c r="CC118" s="112"/>
      <c r="CD118" s="112"/>
      <c r="CE118" s="112"/>
      <c r="CF118" s="112"/>
      <c r="CG118" s="112"/>
      <c r="CH118" s="112"/>
      <c r="CI118" s="112"/>
      <c r="CJ118" s="112"/>
      <c r="CK118" s="112"/>
      <c r="CL118" s="112"/>
      <c r="CM118" s="112"/>
      <c r="CN118" s="112"/>
      <c r="CO118" s="112"/>
      <c r="CP118" s="112"/>
      <c r="CQ118" s="112"/>
      <c r="CR118" s="112"/>
      <c r="CS118" s="112"/>
      <c r="CT118" s="112"/>
      <c r="CU118" s="112"/>
      <c r="CV118" s="112"/>
      <c r="CW118" s="112"/>
      <c r="CX118" s="112"/>
      <c r="CY118" s="112"/>
      <c r="CZ118" s="112"/>
      <c r="DA118" s="112"/>
      <c r="DB118" s="112"/>
      <c r="DC118" s="112"/>
      <c r="DD118" s="112"/>
      <c r="DE118" s="112"/>
      <c r="DF118" s="112"/>
      <c r="DG118" s="112"/>
      <c r="DH118" s="112"/>
      <c r="DI118" s="112"/>
      <c r="DJ118" s="112"/>
      <c r="DK118" s="112"/>
      <c r="DL118" s="112"/>
      <c r="DM118" s="112"/>
      <c r="DN118" s="112"/>
      <c r="DO118" s="112"/>
      <c r="DP118" s="112"/>
      <c r="DQ118" s="112"/>
      <c r="DR118" s="112"/>
      <c r="DS118" s="112"/>
      <c r="DT118" s="112"/>
      <c r="DU118" s="112"/>
      <c r="DV118" s="112"/>
      <c r="DW118" s="112"/>
      <c r="DX118" s="112"/>
      <c r="DY118" s="112"/>
      <c r="DZ118" s="112"/>
      <c r="EA118" s="112"/>
      <c r="EB118" s="112"/>
      <c r="EC118" s="112"/>
      <c r="ED118" s="112"/>
      <c r="EE118" s="112"/>
      <c r="EF118" s="112"/>
      <c r="EG118" s="112"/>
      <c r="EH118" s="112"/>
      <c r="EI118" s="112"/>
      <c r="EJ118" s="112"/>
      <c r="EK118" s="112"/>
      <c r="EL118" s="112"/>
      <c r="EM118" s="112"/>
      <c r="EN118" s="112"/>
      <c r="EO118" s="112"/>
      <c r="EP118" s="112"/>
      <c r="EQ118" s="112"/>
      <c r="ER118" s="112"/>
      <c r="ES118" s="112"/>
      <c r="ET118" s="112"/>
      <c r="EU118" s="112"/>
      <c r="EV118" s="112"/>
      <c r="EW118" s="112"/>
      <c r="EX118" s="112"/>
      <c r="EY118" s="112"/>
      <c r="EZ118" s="112"/>
      <c r="FA118" s="112"/>
      <c r="FB118" s="112"/>
      <c r="FC118" s="112"/>
      <c r="FD118" s="112"/>
      <c r="FE118" s="112"/>
      <c r="FF118" s="112"/>
      <c r="FG118" s="112"/>
      <c r="FH118" s="112"/>
      <c r="FI118" s="112"/>
      <c r="FJ118" s="112"/>
      <c r="FK118" s="112"/>
      <c r="FL118" s="112"/>
      <c r="FM118" s="112"/>
      <c r="FN118" s="112"/>
      <c r="FO118" s="112"/>
      <c r="FP118" s="112"/>
      <c r="FQ118" s="112"/>
      <c r="FR118" s="112"/>
      <c r="FS118" s="112"/>
      <c r="FT118" s="112"/>
      <c r="FU118" s="112"/>
      <c r="FV118" s="112"/>
      <c r="FW118" s="112"/>
      <c r="FX118" s="112"/>
      <c r="FY118" s="112"/>
      <c r="FZ118" s="112"/>
      <c r="GA118" s="112"/>
      <c r="GB118" s="112"/>
      <c r="GC118" s="112"/>
      <c r="GD118" s="112"/>
      <c r="GE118" s="112"/>
      <c r="GF118" s="112"/>
      <c r="GG118" s="112"/>
      <c r="GH118" s="112"/>
      <c r="GI118" s="112"/>
      <c r="GJ118" s="112"/>
      <c r="GK118" s="112"/>
      <c r="GL118" s="112"/>
      <c r="GM118" s="112"/>
      <c r="GN118" s="112"/>
      <c r="GO118" s="112"/>
      <c r="GP118" s="112"/>
    </row>
    <row r="119" spans="2:198">
      <c r="B119" s="238">
        <f t="shared" ref="B119:B123" si="14">B118+0.1</f>
        <v>12.2</v>
      </c>
      <c r="C119" s="233" t="s">
        <v>272</v>
      </c>
      <c r="D119" s="205"/>
      <c r="E119" s="240">
        <f>WORKDAY.INTL(E111,0,1,Data!$C$3:$C$41)</f>
        <v>45929</v>
      </c>
      <c r="F119" s="241">
        <v>45</v>
      </c>
      <c r="G119" s="240">
        <f>WORKDAY.INTL(E119,F119,1,Data!$C$3:$C$41)</f>
        <v>45992</v>
      </c>
      <c r="H119" s="228"/>
      <c r="I119" s="240">
        <f>WORKDAY.INTL(I111,0,1,Data!$C$3:$C$41)</f>
        <v>46048</v>
      </c>
      <c r="J119" s="241">
        <v>15</v>
      </c>
      <c r="K119" s="240">
        <f>WORKDAY.INTL(I119,J119,1,Data!$C$3:$C$41)</f>
        <v>46069</v>
      </c>
      <c r="M119" s="243">
        <v>0</v>
      </c>
      <c r="N119" s="243">
        <f t="shared" ca="1" si="13"/>
        <v>0.7142857142857143</v>
      </c>
      <c r="O119" s="122"/>
      <c r="Y119" s="112"/>
      <c r="Z119" s="112"/>
      <c r="AA119" s="112"/>
      <c r="AB119" s="112"/>
      <c r="AC119" s="112"/>
      <c r="AD119" s="112"/>
      <c r="AE119" s="112"/>
      <c r="AF119" s="112"/>
      <c r="AG119" s="112"/>
      <c r="AH119" s="112"/>
      <c r="AI119" s="112"/>
      <c r="AJ119" s="112"/>
      <c r="AK119" s="112"/>
      <c r="AL119" s="112"/>
      <c r="AM119" s="112"/>
      <c r="AN119" s="112"/>
      <c r="AO119" s="112"/>
      <c r="AP119" s="112"/>
      <c r="AQ119" s="112"/>
      <c r="AR119" s="112"/>
      <c r="AS119" s="112"/>
      <c r="AT119" s="112"/>
      <c r="AU119" s="112"/>
      <c r="AV119" s="112"/>
      <c r="AW119" s="112"/>
      <c r="AX119" s="112"/>
      <c r="AY119" s="112"/>
      <c r="AZ119" s="112"/>
      <c r="BA119" s="112"/>
      <c r="BB119" s="112"/>
      <c r="BC119" s="112"/>
      <c r="BD119" s="112"/>
      <c r="BE119" s="112"/>
      <c r="BF119" s="112"/>
      <c r="BG119" s="112"/>
      <c r="BH119" s="112"/>
      <c r="BI119" s="112"/>
      <c r="BJ119" s="112"/>
      <c r="BK119" s="112"/>
      <c r="BL119" s="112"/>
      <c r="BM119" s="112"/>
      <c r="BN119" s="112"/>
      <c r="BO119" s="112"/>
      <c r="BP119" s="112"/>
      <c r="BQ119" s="112"/>
      <c r="BR119" s="112"/>
      <c r="BS119" s="112"/>
      <c r="BT119" s="112"/>
      <c r="BU119" s="112"/>
      <c r="BV119" s="112"/>
      <c r="BW119" s="112"/>
      <c r="BX119" s="112"/>
      <c r="BY119" s="112"/>
      <c r="BZ119" s="112"/>
      <c r="CA119" s="112"/>
      <c r="CB119" s="112"/>
      <c r="CC119" s="112"/>
      <c r="CD119" s="112"/>
      <c r="CE119" s="112"/>
      <c r="CF119" s="112"/>
      <c r="CG119" s="112"/>
      <c r="CH119" s="112"/>
      <c r="CI119" s="112"/>
      <c r="CJ119" s="112"/>
      <c r="CK119" s="112"/>
      <c r="CL119" s="112"/>
      <c r="CM119" s="112"/>
      <c r="CN119" s="112"/>
      <c r="CO119" s="112"/>
      <c r="CP119" s="112"/>
      <c r="CQ119" s="112"/>
      <c r="CR119" s="112"/>
      <c r="CS119" s="112"/>
      <c r="CT119" s="112"/>
      <c r="CU119" s="112"/>
      <c r="CV119" s="112"/>
      <c r="CW119" s="112"/>
      <c r="CX119" s="112"/>
      <c r="CY119" s="112"/>
      <c r="CZ119" s="112"/>
      <c r="DA119" s="112"/>
      <c r="DB119" s="112"/>
      <c r="DC119" s="112"/>
      <c r="DD119" s="112"/>
      <c r="DE119" s="112"/>
      <c r="DF119" s="112"/>
      <c r="DG119" s="112"/>
      <c r="DH119" s="112"/>
      <c r="DI119" s="112"/>
      <c r="DJ119" s="112"/>
      <c r="DK119" s="112"/>
      <c r="DL119" s="112"/>
      <c r="DM119" s="112"/>
      <c r="DN119" s="112"/>
      <c r="DO119" s="112"/>
      <c r="DP119" s="112"/>
      <c r="DQ119" s="112"/>
      <c r="DR119" s="112"/>
      <c r="DS119" s="112"/>
      <c r="DT119" s="112"/>
      <c r="DU119" s="112"/>
      <c r="DV119" s="112"/>
      <c r="DW119" s="112"/>
      <c r="DX119" s="112"/>
      <c r="DY119" s="112"/>
      <c r="DZ119" s="112"/>
      <c r="EA119" s="112"/>
      <c r="EB119" s="112"/>
      <c r="EC119" s="112"/>
      <c r="ED119" s="112"/>
      <c r="EE119" s="112"/>
      <c r="EF119" s="112"/>
      <c r="EG119" s="112"/>
      <c r="EH119" s="112"/>
      <c r="EI119" s="112"/>
      <c r="EJ119" s="112"/>
      <c r="EK119" s="112"/>
      <c r="EL119" s="112"/>
      <c r="EM119" s="112"/>
      <c r="EN119" s="112"/>
      <c r="EO119" s="112"/>
      <c r="EP119" s="112"/>
      <c r="EQ119" s="112"/>
      <c r="ER119" s="112"/>
      <c r="ES119" s="112"/>
      <c r="ET119" s="112"/>
      <c r="EU119" s="112"/>
      <c r="EV119" s="112"/>
      <c r="EW119" s="112"/>
      <c r="EX119" s="112"/>
      <c r="EY119" s="112"/>
      <c r="EZ119" s="112"/>
      <c r="FA119" s="112"/>
      <c r="FB119" s="112"/>
      <c r="FC119" s="112"/>
      <c r="FD119" s="112"/>
      <c r="FE119" s="112"/>
      <c r="FF119" s="112"/>
      <c r="FG119" s="112"/>
      <c r="FH119" s="112"/>
      <c r="FI119" s="112"/>
      <c r="FJ119" s="112"/>
      <c r="FK119" s="112"/>
      <c r="FL119" s="112"/>
      <c r="FM119" s="112"/>
      <c r="FN119" s="112"/>
      <c r="FO119" s="112"/>
      <c r="FP119" s="112"/>
      <c r="FQ119" s="112"/>
      <c r="FR119" s="112"/>
      <c r="FS119" s="112"/>
      <c r="FT119" s="112"/>
      <c r="FU119" s="112"/>
      <c r="FV119" s="112"/>
      <c r="FW119" s="112"/>
      <c r="FX119" s="112"/>
      <c r="FY119" s="112"/>
      <c r="FZ119" s="112"/>
      <c r="GA119" s="112"/>
      <c r="GB119" s="112"/>
      <c r="GC119" s="112"/>
      <c r="GD119" s="112"/>
      <c r="GE119" s="112"/>
      <c r="GF119" s="112"/>
      <c r="GG119" s="112"/>
      <c r="GH119" s="112"/>
      <c r="GI119" s="112"/>
      <c r="GJ119" s="112"/>
      <c r="GK119" s="112"/>
      <c r="GL119" s="112"/>
      <c r="GM119" s="112"/>
      <c r="GN119" s="112"/>
      <c r="GO119" s="112"/>
      <c r="GP119" s="112"/>
    </row>
    <row r="120" spans="2:198">
      <c r="B120" s="238">
        <f t="shared" si="14"/>
        <v>12.299999999999999</v>
      </c>
      <c r="C120" s="233" t="s">
        <v>273</v>
      </c>
      <c r="D120" s="205"/>
      <c r="E120" s="240">
        <f>WORKDAY.INTL(G108,0,1,Data!$C$3:$C$41)</f>
        <v>45975</v>
      </c>
      <c r="F120" s="241">
        <v>5</v>
      </c>
      <c r="G120" s="240">
        <f>WORKDAY.INTL(E120,F120,1,Data!$C$3:$C$41)</f>
        <v>45982</v>
      </c>
      <c r="H120" s="228"/>
      <c r="I120" s="240">
        <f>WORKDAY.INTL(K108,0,1,Data!$C$3:$C$41)</f>
        <v>46055</v>
      </c>
      <c r="J120" s="241">
        <v>5</v>
      </c>
      <c r="K120" s="240">
        <f>WORKDAY.INTL(I120,J120,1,Data!$C$3:$C$41)</f>
        <v>46062</v>
      </c>
      <c r="M120" s="243">
        <v>0.1</v>
      </c>
      <c r="N120" s="243">
        <f t="shared" ca="1" si="13"/>
        <v>1</v>
      </c>
      <c r="O120" s="122"/>
      <c r="Y120" s="112"/>
      <c r="Z120" s="112"/>
      <c r="AA120" s="112"/>
      <c r="AB120" s="112"/>
      <c r="AC120" s="112"/>
      <c r="AD120" s="112"/>
      <c r="AE120" s="112"/>
      <c r="AF120" s="112"/>
      <c r="AG120" s="112"/>
      <c r="AH120" s="112"/>
      <c r="AI120" s="112"/>
      <c r="AJ120" s="112"/>
      <c r="AK120" s="112"/>
      <c r="AL120" s="112"/>
      <c r="AM120" s="112"/>
      <c r="AN120" s="112"/>
      <c r="AO120" s="112"/>
      <c r="AP120" s="112"/>
      <c r="AQ120" s="112"/>
      <c r="AR120" s="112"/>
      <c r="AS120" s="112"/>
      <c r="AT120" s="112"/>
      <c r="AU120" s="112"/>
      <c r="AV120" s="112"/>
      <c r="AW120" s="112"/>
      <c r="AX120" s="112"/>
      <c r="AY120" s="112"/>
      <c r="AZ120" s="112"/>
      <c r="BA120" s="112"/>
      <c r="BB120" s="112"/>
      <c r="BC120" s="112"/>
      <c r="BD120" s="112"/>
      <c r="BE120" s="112"/>
      <c r="BF120" s="112"/>
      <c r="BG120" s="112"/>
      <c r="BH120" s="112"/>
      <c r="BI120" s="112"/>
      <c r="BJ120" s="112"/>
      <c r="BK120" s="112"/>
      <c r="BL120" s="112"/>
      <c r="BM120" s="112"/>
      <c r="BN120" s="112"/>
      <c r="BO120" s="112"/>
      <c r="BP120" s="112"/>
      <c r="BQ120" s="112"/>
      <c r="BR120" s="112"/>
      <c r="BS120" s="112"/>
      <c r="BT120" s="112"/>
      <c r="BU120" s="112"/>
      <c r="BV120" s="112"/>
      <c r="BW120" s="112"/>
      <c r="BX120" s="112"/>
      <c r="BY120" s="112"/>
      <c r="BZ120" s="112"/>
      <c r="CA120" s="112"/>
      <c r="CB120" s="112"/>
      <c r="CC120" s="112"/>
      <c r="CD120" s="112"/>
      <c r="CE120" s="112"/>
      <c r="CF120" s="112"/>
      <c r="CG120" s="112"/>
      <c r="CH120" s="112"/>
      <c r="CI120" s="112"/>
      <c r="CJ120" s="112"/>
      <c r="CK120" s="112"/>
      <c r="CL120" s="112"/>
      <c r="CM120" s="112"/>
      <c r="CN120" s="112"/>
      <c r="CO120" s="112"/>
      <c r="CP120" s="112"/>
      <c r="CQ120" s="112"/>
      <c r="CR120" s="112"/>
      <c r="CS120" s="112"/>
      <c r="CT120" s="112"/>
      <c r="CU120" s="112"/>
      <c r="CV120" s="112"/>
      <c r="CW120" s="112"/>
      <c r="CX120" s="112"/>
      <c r="CY120" s="112"/>
      <c r="CZ120" s="112"/>
      <c r="DA120" s="112"/>
      <c r="DB120" s="112"/>
      <c r="DC120" s="112"/>
      <c r="DD120" s="112"/>
      <c r="DE120" s="112"/>
      <c r="DF120" s="112"/>
      <c r="DG120" s="112"/>
      <c r="DH120" s="112"/>
      <c r="DI120" s="112"/>
      <c r="DJ120" s="112"/>
      <c r="DK120" s="112"/>
      <c r="DL120" s="112"/>
      <c r="DM120" s="112"/>
      <c r="DN120" s="112"/>
      <c r="DO120" s="112"/>
      <c r="DP120" s="112"/>
      <c r="DQ120" s="112"/>
      <c r="DR120" s="112"/>
      <c r="DS120" s="112"/>
      <c r="DT120" s="112"/>
      <c r="DU120" s="112"/>
      <c r="DV120" s="112"/>
      <c r="DW120" s="112"/>
      <c r="DX120" s="112"/>
      <c r="DY120" s="112"/>
      <c r="DZ120" s="112"/>
      <c r="EA120" s="112"/>
      <c r="EB120" s="112"/>
      <c r="EC120" s="112"/>
      <c r="ED120" s="112"/>
      <c r="EE120" s="112"/>
      <c r="EF120" s="112"/>
      <c r="EG120" s="112"/>
      <c r="EH120" s="112"/>
      <c r="EI120" s="112"/>
      <c r="EJ120" s="112"/>
      <c r="EK120" s="112"/>
      <c r="EL120" s="112"/>
      <c r="EM120" s="112"/>
      <c r="EN120" s="112"/>
      <c r="EO120" s="112"/>
      <c r="EP120" s="112"/>
      <c r="EQ120" s="112"/>
      <c r="ER120" s="112"/>
      <c r="ES120" s="112"/>
      <c r="ET120" s="112"/>
      <c r="EU120" s="112"/>
      <c r="EV120" s="112"/>
      <c r="EW120" s="112"/>
      <c r="EX120" s="112"/>
      <c r="EY120" s="112"/>
      <c r="EZ120" s="112"/>
      <c r="FA120" s="112"/>
      <c r="FB120" s="112"/>
      <c r="FC120" s="112"/>
      <c r="FD120" s="112"/>
      <c r="FE120" s="112"/>
      <c r="FF120" s="112"/>
      <c r="FG120" s="112"/>
      <c r="FH120" s="112"/>
      <c r="FI120" s="112"/>
      <c r="FJ120" s="112"/>
      <c r="FK120" s="112"/>
      <c r="FL120" s="112"/>
      <c r="FM120" s="112"/>
      <c r="FN120" s="112"/>
      <c r="FO120" s="112"/>
      <c r="FP120" s="112"/>
      <c r="FQ120" s="112"/>
      <c r="FR120" s="112"/>
      <c r="FS120" s="112"/>
      <c r="FT120" s="112"/>
      <c r="FU120" s="112"/>
      <c r="FV120" s="112"/>
      <c r="FW120" s="112"/>
      <c r="FX120" s="112"/>
      <c r="FY120" s="112"/>
      <c r="FZ120" s="112"/>
      <c r="GA120" s="112"/>
      <c r="GB120" s="112"/>
      <c r="GC120" s="112"/>
      <c r="GD120" s="112"/>
      <c r="GE120" s="112"/>
      <c r="GF120" s="112"/>
      <c r="GG120" s="112"/>
      <c r="GH120" s="112"/>
      <c r="GI120" s="112"/>
      <c r="GJ120" s="112"/>
      <c r="GK120" s="112"/>
      <c r="GL120" s="112"/>
      <c r="GM120" s="112"/>
      <c r="GN120" s="112"/>
      <c r="GO120" s="112"/>
      <c r="GP120" s="112"/>
    </row>
    <row r="121" spans="2:198">
      <c r="B121" s="238">
        <f t="shared" si="14"/>
        <v>12.399999999999999</v>
      </c>
      <c r="C121" s="233" t="s">
        <v>274</v>
      </c>
      <c r="D121" s="205"/>
      <c r="E121" s="240">
        <f>WORKDAY.INTL(E118,0,1,Data!$C$3:$C$41)</f>
        <v>45971</v>
      </c>
      <c r="F121" s="241">
        <v>15</v>
      </c>
      <c r="G121" s="240">
        <f>WORKDAY.INTL(E121,F121,1,Data!$C$3:$C$41)</f>
        <v>45992</v>
      </c>
      <c r="H121" s="228"/>
      <c r="I121" s="240">
        <f>WORKDAY.INTL(K110,0,1,Data!$C$3:$C$41)</f>
        <v>46070</v>
      </c>
      <c r="J121" s="241">
        <v>5</v>
      </c>
      <c r="K121" s="240">
        <f>WORKDAY.INTL(I121,J121,1,Data!$C$3:$C$41)</f>
        <v>46077</v>
      </c>
      <c r="M121" s="243">
        <v>0</v>
      </c>
      <c r="N121" s="243">
        <f t="shared" ca="1" si="13"/>
        <v>0</v>
      </c>
      <c r="O121" s="122"/>
      <c r="Y121" s="112"/>
      <c r="Z121" s="112"/>
      <c r="AA121" s="112"/>
      <c r="AB121" s="112"/>
      <c r="AC121" s="112"/>
      <c r="AD121" s="112"/>
      <c r="AE121" s="112"/>
      <c r="AF121" s="112"/>
      <c r="AG121" s="112"/>
      <c r="AH121" s="112"/>
      <c r="AI121" s="112"/>
      <c r="AJ121" s="112"/>
      <c r="AK121" s="112"/>
      <c r="AL121" s="112"/>
      <c r="AM121" s="112"/>
      <c r="AN121" s="112"/>
      <c r="AO121" s="112"/>
      <c r="AP121" s="112"/>
      <c r="AQ121" s="112"/>
      <c r="AR121" s="112"/>
      <c r="AS121" s="112"/>
      <c r="AT121" s="112"/>
      <c r="AU121" s="112"/>
      <c r="AV121" s="112"/>
      <c r="AW121" s="112"/>
      <c r="AX121" s="112"/>
      <c r="AY121" s="112"/>
      <c r="AZ121" s="112"/>
      <c r="BA121" s="112"/>
      <c r="BB121" s="112"/>
      <c r="BC121" s="112"/>
      <c r="BD121" s="112"/>
      <c r="BE121" s="112"/>
      <c r="BF121" s="112"/>
      <c r="BG121" s="112"/>
      <c r="BH121" s="112"/>
      <c r="BI121" s="112"/>
      <c r="BJ121" s="112"/>
      <c r="BK121" s="112"/>
      <c r="BL121" s="112"/>
      <c r="BM121" s="112"/>
      <c r="BN121" s="112"/>
      <c r="BO121" s="112"/>
      <c r="BP121" s="112"/>
      <c r="BQ121" s="112"/>
      <c r="BR121" s="112"/>
      <c r="BS121" s="112"/>
      <c r="BT121" s="112"/>
      <c r="BU121" s="112"/>
      <c r="BV121" s="112"/>
      <c r="BW121" s="112"/>
      <c r="BX121" s="112"/>
      <c r="BY121" s="112"/>
      <c r="BZ121" s="112"/>
      <c r="CA121" s="112"/>
      <c r="CB121" s="112"/>
      <c r="CC121" s="112"/>
      <c r="CD121" s="112"/>
      <c r="CE121" s="112"/>
      <c r="CF121" s="112"/>
      <c r="CG121" s="112"/>
      <c r="CH121" s="112"/>
      <c r="CI121" s="112"/>
      <c r="CJ121" s="112"/>
      <c r="CK121" s="112"/>
      <c r="CL121" s="112"/>
      <c r="CM121" s="112"/>
      <c r="CN121" s="112"/>
      <c r="CO121" s="112"/>
      <c r="CP121" s="112"/>
      <c r="CQ121" s="112"/>
      <c r="CR121" s="112"/>
      <c r="CS121" s="112"/>
      <c r="CT121" s="112"/>
      <c r="CU121" s="112"/>
      <c r="CV121" s="112"/>
      <c r="CW121" s="112"/>
      <c r="CX121" s="112"/>
      <c r="CY121" s="112"/>
      <c r="CZ121" s="112"/>
      <c r="DA121" s="112"/>
      <c r="DB121" s="112"/>
      <c r="DC121" s="112"/>
      <c r="DD121" s="112"/>
      <c r="DE121" s="112"/>
      <c r="DF121" s="112"/>
      <c r="DG121" s="112"/>
      <c r="DH121" s="112"/>
      <c r="DI121" s="112"/>
      <c r="DJ121" s="112"/>
      <c r="DK121" s="112"/>
      <c r="DL121" s="112"/>
      <c r="DM121" s="112"/>
      <c r="DN121" s="112"/>
      <c r="DO121" s="112"/>
      <c r="DP121" s="112"/>
      <c r="DQ121" s="112"/>
      <c r="DR121" s="112"/>
      <c r="DS121" s="112"/>
      <c r="DT121" s="112"/>
      <c r="DU121" s="112"/>
      <c r="DV121" s="112"/>
      <c r="DW121" s="112"/>
      <c r="DX121" s="112"/>
      <c r="DY121" s="112"/>
      <c r="DZ121" s="112"/>
      <c r="EA121" s="112"/>
      <c r="EB121" s="112"/>
      <c r="EC121" s="112"/>
      <c r="ED121" s="112"/>
      <c r="EE121" s="112"/>
      <c r="EF121" s="112"/>
      <c r="EG121" s="112"/>
      <c r="EH121" s="112"/>
      <c r="EI121" s="112"/>
      <c r="EJ121" s="112"/>
      <c r="EK121" s="112"/>
      <c r="EL121" s="112"/>
      <c r="EM121" s="112"/>
      <c r="EN121" s="112"/>
      <c r="EO121" s="112"/>
      <c r="EP121" s="112"/>
      <c r="EQ121" s="112"/>
      <c r="ER121" s="112"/>
      <c r="ES121" s="112"/>
      <c r="ET121" s="112"/>
      <c r="EU121" s="112"/>
      <c r="EV121" s="112"/>
      <c r="EW121" s="112"/>
      <c r="EX121" s="112"/>
      <c r="EY121" s="112"/>
      <c r="EZ121" s="112"/>
      <c r="FA121" s="112"/>
      <c r="FB121" s="112"/>
      <c r="FC121" s="112"/>
      <c r="FD121" s="112"/>
      <c r="FE121" s="112"/>
      <c r="FF121" s="112"/>
      <c r="FG121" s="112"/>
      <c r="FH121" s="112"/>
      <c r="FI121" s="112"/>
      <c r="FJ121" s="112"/>
      <c r="FK121" s="112"/>
      <c r="FL121" s="112"/>
      <c r="FM121" s="112"/>
      <c r="FN121" s="112"/>
      <c r="FO121" s="112"/>
      <c r="FP121" s="112"/>
      <c r="FQ121" s="112"/>
      <c r="FR121" s="112"/>
      <c r="FS121" s="112"/>
      <c r="FT121" s="112"/>
      <c r="FU121" s="112"/>
      <c r="FV121" s="112"/>
      <c r="FW121" s="112"/>
      <c r="FX121" s="112"/>
      <c r="FY121" s="112"/>
      <c r="FZ121" s="112"/>
      <c r="GA121" s="112"/>
      <c r="GB121" s="112"/>
      <c r="GC121" s="112"/>
      <c r="GD121" s="112"/>
      <c r="GE121" s="112"/>
      <c r="GF121" s="112"/>
      <c r="GG121" s="112"/>
      <c r="GH121" s="112"/>
      <c r="GI121" s="112"/>
      <c r="GJ121" s="112"/>
      <c r="GK121" s="112"/>
      <c r="GL121" s="112"/>
      <c r="GM121" s="112"/>
      <c r="GN121" s="112"/>
      <c r="GO121" s="112"/>
      <c r="GP121" s="112"/>
    </row>
    <row r="122" spans="2:198">
      <c r="B122" s="238">
        <f t="shared" si="14"/>
        <v>12.499999999999998</v>
      </c>
      <c r="C122" s="233" t="s">
        <v>275</v>
      </c>
      <c r="D122" s="205"/>
      <c r="E122" s="240">
        <f>WORKDAY.INTL(G121,0,1,Data!$C$3:$C$41)</f>
        <v>45992</v>
      </c>
      <c r="F122" s="241">
        <v>2</v>
      </c>
      <c r="G122" s="240">
        <f>WORKDAY.INTL(E122,F122,1,Data!$C$3:$C$41)</f>
        <v>45994</v>
      </c>
      <c r="H122" s="228"/>
      <c r="I122" s="240">
        <f>WORKDAY.INTL(K121,0,1,Data!$C$3:$C$41)</f>
        <v>46077</v>
      </c>
      <c r="J122" s="241">
        <v>1</v>
      </c>
      <c r="K122" s="240">
        <f>WORKDAY.INTL(I122,J122,1,Data!$C$3:$C$41)</f>
        <v>46078</v>
      </c>
      <c r="M122" s="243">
        <v>0</v>
      </c>
      <c r="N122" s="243">
        <f t="shared" ca="1" si="13"/>
        <v>0</v>
      </c>
      <c r="O122" s="122"/>
      <c r="Y122" s="112"/>
      <c r="Z122" s="112"/>
      <c r="AA122" s="112"/>
      <c r="AB122" s="112"/>
      <c r="AC122" s="112"/>
      <c r="AD122" s="112"/>
      <c r="AE122" s="112"/>
      <c r="AF122" s="112"/>
      <c r="AG122" s="112"/>
      <c r="AH122" s="112"/>
      <c r="AI122" s="112"/>
      <c r="AJ122" s="112"/>
      <c r="AK122" s="112"/>
      <c r="AL122" s="112"/>
      <c r="AM122" s="112"/>
      <c r="AN122" s="112"/>
      <c r="AO122" s="112"/>
      <c r="AP122" s="112"/>
      <c r="AQ122" s="112"/>
      <c r="AR122" s="112"/>
      <c r="AS122" s="112"/>
      <c r="AT122" s="112"/>
      <c r="AU122" s="112"/>
      <c r="AV122" s="112"/>
      <c r="AW122" s="112"/>
      <c r="AX122" s="112"/>
      <c r="AY122" s="112"/>
      <c r="AZ122" s="112"/>
      <c r="BA122" s="112"/>
      <c r="BB122" s="112"/>
      <c r="BC122" s="112"/>
      <c r="BD122" s="112"/>
      <c r="BE122" s="112"/>
      <c r="BF122" s="112"/>
      <c r="BG122" s="112"/>
      <c r="BH122" s="112"/>
      <c r="BI122" s="112"/>
      <c r="BJ122" s="112"/>
      <c r="BK122" s="112"/>
      <c r="BL122" s="112"/>
      <c r="BM122" s="112"/>
      <c r="BN122" s="112"/>
      <c r="BO122" s="112"/>
      <c r="BP122" s="112"/>
      <c r="BQ122" s="112"/>
      <c r="BR122" s="112"/>
      <c r="BS122" s="112"/>
      <c r="BT122" s="112"/>
      <c r="BU122" s="112"/>
      <c r="BV122" s="112"/>
      <c r="BW122" s="112"/>
      <c r="BX122" s="112"/>
      <c r="BY122" s="112"/>
      <c r="BZ122" s="112"/>
      <c r="CA122" s="112"/>
      <c r="CB122" s="112"/>
      <c r="CC122" s="112"/>
      <c r="CD122" s="112"/>
      <c r="CE122" s="112"/>
      <c r="CF122" s="112"/>
      <c r="CG122" s="112"/>
      <c r="CH122" s="112"/>
      <c r="CI122" s="112"/>
      <c r="CJ122" s="112"/>
      <c r="CK122" s="112"/>
      <c r="CL122" s="112"/>
      <c r="CM122" s="112"/>
      <c r="CN122" s="112"/>
      <c r="CO122" s="112"/>
      <c r="CP122" s="112"/>
      <c r="CQ122" s="112"/>
      <c r="CR122" s="112"/>
      <c r="CS122" s="112"/>
      <c r="CT122" s="112"/>
      <c r="CU122" s="112"/>
      <c r="CV122" s="112"/>
      <c r="CW122" s="112"/>
      <c r="CX122" s="112"/>
      <c r="CY122" s="112"/>
      <c r="CZ122" s="112"/>
      <c r="DA122" s="112"/>
      <c r="DB122" s="112"/>
      <c r="DC122" s="112"/>
      <c r="DD122" s="112"/>
      <c r="DE122" s="112"/>
      <c r="DF122" s="112"/>
      <c r="DG122" s="112"/>
      <c r="DH122" s="112"/>
      <c r="DI122" s="112"/>
      <c r="DJ122" s="112"/>
      <c r="DK122" s="112"/>
      <c r="DL122" s="112"/>
      <c r="DM122" s="112"/>
      <c r="DN122" s="112"/>
      <c r="DO122" s="112"/>
      <c r="DP122" s="112"/>
      <c r="DQ122" s="112"/>
      <c r="DR122" s="112"/>
      <c r="DS122" s="112"/>
      <c r="DT122" s="112"/>
      <c r="DU122" s="112"/>
      <c r="DV122" s="112"/>
      <c r="DW122" s="112"/>
      <c r="DX122" s="112"/>
      <c r="DY122" s="112"/>
      <c r="DZ122" s="112"/>
      <c r="EA122" s="112"/>
      <c r="EB122" s="112"/>
      <c r="EC122" s="112"/>
      <c r="ED122" s="112"/>
      <c r="EE122" s="112"/>
      <c r="EF122" s="112"/>
      <c r="EG122" s="112"/>
      <c r="EH122" s="112"/>
      <c r="EI122" s="112"/>
      <c r="EJ122" s="112"/>
      <c r="EK122" s="112"/>
      <c r="EL122" s="112"/>
      <c r="EM122" s="112"/>
      <c r="EN122" s="112"/>
      <c r="EO122" s="112"/>
      <c r="EP122" s="112"/>
      <c r="EQ122" s="112"/>
      <c r="ER122" s="112"/>
      <c r="ES122" s="112"/>
      <c r="ET122" s="112"/>
      <c r="EU122" s="112"/>
      <c r="EV122" s="112"/>
      <c r="EW122" s="112"/>
      <c r="EX122" s="112"/>
      <c r="EY122" s="112"/>
      <c r="EZ122" s="112"/>
      <c r="FA122" s="112"/>
      <c r="FB122" s="112"/>
      <c r="FC122" s="112"/>
      <c r="FD122" s="112"/>
      <c r="FE122" s="112"/>
      <c r="FF122" s="112"/>
      <c r="FG122" s="112"/>
      <c r="FH122" s="112"/>
      <c r="FI122" s="112"/>
      <c r="FJ122" s="112"/>
      <c r="FK122" s="112"/>
      <c r="FL122" s="112"/>
      <c r="FM122" s="112"/>
      <c r="FN122" s="112"/>
      <c r="FO122" s="112"/>
      <c r="FP122" s="112"/>
      <c r="FQ122" s="112"/>
      <c r="FR122" s="112"/>
      <c r="FS122" s="112"/>
      <c r="FT122" s="112"/>
      <c r="FU122" s="112"/>
      <c r="FV122" s="112"/>
      <c r="FW122" s="112"/>
      <c r="FX122" s="112"/>
      <c r="FY122" s="112"/>
      <c r="FZ122" s="112"/>
      <c r="GA122" s="112"/>
      <c r="GB122" s="112"/>
      <c r="GC122" s="112"/>
      <c r="GD122" s="112"/>
      <c r="GE122" s="112"/>
      <c r="GF122" s="112"/>
      <c r="GG122" s="112"/>
      <c r="GH122" s="112"/>
      <c r="GI122" s="112"/>
      <c r="GJ122" s="112"/>
      <c r="GK122" s="112"/>
      <c r="GL122" s="112"/>
      <c r="GM122" s="112"/>
      <c r="GN122" s="112"/>
      <c r="GO122" s="112"/>
      <c r="GP122" s="112"/>
    </row>
    <row r="123" spans="2:198">
      <c r="B123" s="238">
        <f t="shared" si="14"/>
        <v>12.599999999999998</v>
      </c>
      <c r="C123" s="233" t="s">
        <v>276</v>
      </c>
      <c r="D123" s="205"/>
      <c r="E123" s="240">
        <f>WORKDAY.INTL(G121,0,1,Data!$C$3:$C$41)</f>
        <v>45992</v>
      </c>
      <c r="F123" s="241">
        <v>5</v>
      </c>
      <c r="G123" s="240">
        <f>WORKDAY.INTL(E123,F123,1,Data!$C$3:$C$41)</f>
        <v>45999</v>
      </c>
      <c r="H123" s="228"/>
      <c r="I123" s="240">
        <f>WORKDAY.INTL(I121,0,1,Data!$C$3:$C$41)</f>
        <v>46070</v>
      </c>
      <c r="J123" s="241">
        <v>5</v>
      </c>
      <c r="K123" s="240">
        <f>WORKDAY.INTL(I123,J123,1,Data!$C$3:$C$41)</f>
        <v>46077</v>
      </c>
      <c r="M123" s="243">
        <v>0</v>
      </c>
      <c r="N123" s="243">
        <f t="shared" ca="1" si="13"/>
        <v>0</v>
      </c>
      <c r="O123" s="122"/>
      <c r="Y123" s="112"/>
      <c r="Z123" s="112"/>
      <c r="AA123" s="112"/>
      <c r="AB123" s="112"/>
      <c r="AC123" s="112"/>
      <c r="AD123" s="112"/>
      <c r="AE123" s="112"/>
      <c r="AF123" s="112"/>
      <c r="AG123" s="112"/>
      <c r="AH123" s="112"/>
      <c r="AI123" s="112"/>
      <c r="AJ123" s="112"/>
      <c r="AK123" s="112"/>
      <c r="AL123" s="112"/>
      <c r="AM123" s="112"/>
      <c r="AN123" s="112"/>
      <c r="AO123" s="112"/>
      <c r="AP123" s="112"/>
      <c r="AQ123" s="112"/>
      <c r="AR123" s="112"/>
      <c r="AS123" s="112"/>
      <c r="AT123" s="112"/>
      <c r="AU123" s="112"/>
      <c r="AV123" s="112"/>
      <c r="AW123" s="112"/>
      <c r="AX123" s="112"/>
      <c r="AY123" s="112"/>
      <c r="AZ123" s="112"/>
      <c r="BA123" s="112"/>
      <c r="BB123" s="112"/>
      <c r="BC123" s="112"/>
      <c r="BD123" s="112"/>
      <c r="BE123" s="112"/>
      <c r="BF123" s="112"/>
      <c r="BG123" s="112"/>
      <c r="BH123" s="112"/>
      <c r="BI123" s="112"/>
      <c r="BJ123" s="112"/>
      <c r="BK123" s="112"/>
      <c r="BL123" s="112"/>
      <c r="BM123" s="112"/>
      <c r="BN123" s="112"/>
      <c r="BO123" s="112"/>
      <c r="BP123" s="112"/>
      <c r="BQ123" s="112"/>
      <c r="BR123" s="112"/>
      <c r="BS123" s="112"/>
      <c r="BT123" s="112"/>
      <c r="BU123" s="112"/>
      <c r="BV123" s="112"/>
      <c r="BW123" s="112"/>
      <c r="BX123" s="112"/>
      <c r="BY123" s="112"/>
      <c r="BZ123" s="112"/>
      <c r="CA123" s="112"/>
      <c r="CB123" s="112"/>
      <c r="CC123" s="112"/>
      <c r="CD123" s="112"/>
      <c r="CE123" s="112"/>
      <c r="CF123" s="112"/>
      <c r="CG123" s="112"/>
      <c r="CH123" s="112"/>
      <c r="CI123" s="112"/>
      <c r="CJ123" s="112"/>
      <c r="CK123" s="112"/>
      <c r="CL123" s="112"/>
      <c r="CM123" s="112"/>
      <c r="CN123" s="112"/>
      <c r="CO123" s="112"/>
      <c r="CP123" s="112"/>
      <c r="CQ123" s="112"/>
      <c r="CR123" s="112"/>
      <c r="CS123" s="112"/>
      <c r="CT123" s="112"/>
      <c r="CU123" s="112"/>
      <c r="CV123" s="112"/>
      <c r="CW123" s="112"/>
      <c r="CX123" s="112"/>
      <c r="CY123" s="112"/>
      <c r="CZ123" s="112"/>
      <c r="DA123" s="112"/>
      <c r="DB123" s="112"/>
      <c r="DC123" s="112"/>
      <c r="DD123" s="112"/>
      <c r="DE123" s="112"/>
      <c r="DF123" s="112"/>
      <c r="DG123" s="112"/>
      <c r="DH123" s="112"/>
      <c r="DI123" s="112"/>
      <c r="DJ123" s="112"/>
      <c r="DK123" s="112"/>
      <c r="DL123" s="112"/>
      <c r="DM123" s="112"/>
      <c r="DN123" s="112"/>
      <c r="DO123" s="112"/>
      <c r="DP123" s="112"/>
      <c r="DQ123" s="112"/>
      <c r="DR123" s="112"/>
      <c r="DS123" s="112"/>
      <c r="DT123" s="112"/>
      <c r="DU123" s="112"/>
      <c r="DV123" s="112"/>
      <c r="DW123" s="112"/>
      <c r="DX123" s="112"/>
      <c r="DY123" s="112"/>
      <c r="DZ123" s="112"/>
      <c r="EA123" s="112"/>
      <c r="EB123" s="112"/>
      <c r="EC123" s="112"/>
      <c r="ED123" s="112"/>
      <c r="EE123" s="112"/>
      <c r="EF123" s="112"/>
      <c r="EG123" s="112"/>
      <c r="EH123" s="112"/>
      <c r="EI123" s="112"/>
      <c r="EJ123" s="112"/>
      <c r="EK123" s="112"/>
      <c r="EL123" s="112"/>
      <c r="EM123" s="112"/>
      <c r="EN123" s="112"/>
      <c r="EO123" s="112"/>
      <c r="EP123" s="112"/>
      <c r="EQ123" s="112"/>
      <c r="ER123" s="112"/>
      <c r="ES123" s="112"/>
      <c r="ET123" s="112"/>
      <c r="EU123" s="112"/>
      <c r="EV123" s="112"/>
      <c r="EW123" s="112"/>
      <c r="EX123" s="112"/>
      <c r="EY123" s="112"/>
      <c r="EZ123" s="112"/>
      <c r="FA123" s="112"/>
      <c r="FB123" s="112"/>
      <c r="FC123" s="112"/>
      <c r="FD123" s="112"/>
      <c r="FE123" s="112"/>
      <c r="FF123" s="112"/>
      <c r="FG123" s="112"/>
      <c r="FH123" s="112"/>
      <c r="FI123" s="112"/>
      <c r="FJ123" s="112"/>
      <c r="FK123" s="112"/>
      <c r="FL123" s="112"/>
      <c r="FM123" s="112"/>
      <c r="FN123" s="112"/>
      <c r="FO123" s="112"/>
      <c r="FP123" s="112"/>
      <c r="FQ123" s="112"/>
      <c r="FR123" s="112"/>
      <c r="FS123" s="112"/>
      <c r="FT123" s="112"/>
      <c r="FU123" s="112"/>
      <c r="FV123" s="112"/>
      <c r="FW123" s="112"/>
      <c r="FX123" s="112"/>
      <c r="FY123" s="112"/>
      <c r="FZ123" s="112"/>
      <c r="GA123" s="112"/>
      <c r="GB123" s="112"/>
      <c r="GC123" s="112"/>
      <c r="GD123" s="112"/>
      <c r="GE123" s="112"/>
      <c r="GF123" s="112"/>
      <c r="GG123" s="112"/>
      <c r="GH123" s="112"/>
      <c r="GI123" s="112"/>
      <c r="GJ123" s="112"/>
      <c r="GK123" s="112"/>
      <c r="GL123" s="112"/>
      <c r="GM123" s="112"/>
      <c r="GN123" s="112"/>
      <c r="GO123" s="112"/>
      <c r="GP123" s="112"/>
    </row>
    <row r="124" spans="2:198" s="112" customFormat="1" ht="4.5" customHeight="1">
      <c r="B124" s="229"/>
      <c r="C124" s="205"/>
      <c r="D124" s="205"/>
      <c r="E124" s="205"/>
      <c r="F124" s="205"/>
      <c r="G124" s="205"/>
      <c r="H124" s="205"/>
      <c r="I124" s="205"/>
      <c r="J124" s="205"/>
      <c r="K124" s="205"/>
      <c r="L124" s="205"/>
      <c r="M124" s="205"/>
      <c r="N124" s="205"/>
      <c r="O124" s="205"/>
      <c r="Q124" s="124"/>
      <c r="R124" s="121"/>
      <c r="S124" s="121"/>
      <c r="T124" s="121"/>
      <c r="U124" s="121"/>
      <c r="V124" s="121"/>
      <c r="W124" s="121"/>
      <c r="X124" s="121"/>
      <c r="Y124" s="121"/>
      <c r="Z124" s="121"/>
      <c r="AA124" s="121"/>
      <c r="AB124" s="121"/>
      <c r="AC124" s="121"/>
      <c r="AD124" s="121"/>
      <c r="AE124" s="121"/>
      <c r="AF124" s="121"/>
      <c r="AG124" s="121"/>
      <c r="AH124" s="121"/>
      <c r="AI124" s="121"/>
      <c r="AJ124" s="121"/>
      <c r="AK124" s="121"/>
      <c r="AL124" s="121"/>
      <c r="AM124" s="121"/>
      <c r="AN124" s="121"/>
      <c r="AO124" s="121"/>
      <c r="AP124" s="121"/>
      <c r="AQ124" s="121"/>
      <c r="AR124" s="121"/>
      <c r="AS124" s="121"/>
      <c r="AT124" s="121"/>
      <c r="AU124" s="121"/>
      <c r="AV124" s="121"/>
      <c r="AW124" s="121"/>
      <c r="AX124" s="121"/>
      <c r="AY124" s="121"/>
      <c r="AZ124" s="121"/>
      <c r="BA124" s="121"/>
      <c r="BB124" s="121"/>
      <c r="BC124" s="121"/>
      <c r="BD124" s="121"/>
      <c r="BE124" s="121"/>
      <c r="BF124" s="121"/>
      <c r="BG124" s="121"/>
      <c r="BH124" s="121"/>
      <c r="BI124" s="121"/>
      <c r="BJ124" s="121"/>
      <c r="BK124" s="121"/>
      <c r="BL124" s="121"/>
      <c r="BM124" s="121"/>
      <c r="BN124" s="121"/>
      <c r="BO124" s="121"/>
      <c r="BP124" s="121"/>
      <c r="BQ124" s="121"/>
      <c r="BR124" s="121"/>
      <c r="BS124" s="121"/>
      <c r="BT124" s="121"/>
      <c r="BU124" s="121"/>
      <c r="BV124" s="121"/>
      <c r="BW124" s="121"/>
      <c r="BX124" s="121"/>
      <c r="BY124" s="121"/>
      <c r="BZ124" s="121"/>
      <c r="CA124" s="121"/>
      <c r="CB124" s="121"/>
      <c r="CC124" s="121"/>
      <c r="CD124" s="121"/>
      <c r="CE124" s="121"/>
      <c r="CF124" s="121"/>
      <c r="CG124" s="121"/>
      <c r="CH124" s="121"/>
      <c r="CI124" s="121"/>
      <c r="CJ124" s="121"/>
      <c r="CK124" s="121"/>
      <c r="CL124" s="121"/>
      <c r="CM124" s="121"/>
      <c r="CN124" s="121"/>
      <c r="CO124" s="121"/>
      <c r="CP124" s="121"/>
      <c r="CQ124" s="121"/>
      <c r="CR124" s="121"/>
      <c r="CS124" s="121"/>
      <c r="CT124" s="121"/>
      <c r="CU124" s="121"/>
      <c r="CV124" s="121"/>
      <c r="CW124" s="121"/>
      <c r="CX124" s="121"/>
      <c r="CY124" s="121"/>
      <c r="CZ124" s="121"/>
      <c r="DA124" s="121"/>
      <c r="DB124" s="121"/>
      <c r="DC124" s="121"/>
      <c r="DD124" s="121"/>
      <c r="DE124" s="121"/>
      <c r="DF124" s="121"/>
      <c r="DG124" s="121"/>
      <c r="DH124" s="121"/>
      <c r="DI124" s="121"/>
      <c r="DJ124" s="121"/>
      <c r="DK124" s="121"/>
      <c r="DL124" s="121"/>
      <c r="DM124" s="121"/>
      <c r="DN124" s="121"/>
      <c r="DO124" s="121"/>
      <c r="DP124" s="121"/>
      <c r="DQ124" s="121"/>
      <c r="DR124" s="121"/>
      <c r="DS124" s="121"/>
      <c r="DT124" s="121"/>
      <c r="DU124" s="121"/>
      <c r="DV124" s="121"/>
      <c r="DW124" s="121"/>
      <c r="DX124" s="121"/>
      <c r="DY124" s="121"/>
      <c r="DZ124" s="121"/>
      <c r="EA124" s="121"/>
      <c r="EB124" s="121"/>
      <c r="EC124" s="121"/>
      <c r="ED124" s="121"/>
      <c r="EE124" s="121"/>
      <c r="EF124" s="121"/>
      <c r="EG124" s="121"/>
      <c r="EH124" s="121"/>
      <c r="EI124" s="121"/>
      <c r="EJ124" s="121"/>
      <c r="EK124" s="121"/>
      <c r="EL124" s="121"/>
      <c r="EM124" s="121"/>
      <c r="EN124" s="121"/>
      <c r="EO124" s="121"/>
      <c r="EP124" s="121"/>
      <c r="EQ124" s="121"/>
      <c r="ER124" s="121"/>
      <c r="ES124" s="121"/>
      <c r="ET124" s="121"/>
      <c r="EU124" s="121"/>
      <c r="EV124" s="121"/>
      <c r="EW124" s="121"/>
      <c r="EX124" s="121"/>
      <c r="EY124" s="121"/>
      <c r="EZ124" s="121"/>
      <c r="FA124" s="121"/>
      <c r="FB124" s="121"/>
      <c r="FC124" s="121"/>
      <c r="FD124" s="121"/>
      <c r="FE124" s="121"/>
      <c r="FF124" s="121"/>
      <c r="FG124" s="121"/>
      <c r="FH124" s="121"/>
      <c r="FI124" s="121"/>
      <c r="FJ124" s="121"/>
      <c r="FK124" s="121"/>
      <c r="FL124" s="121"/>
      <c r="FM124" s="121"/>
      <c r="FN124" s="121"/>
      <c r="FO124" s="121"/>
      <c r="FP124" s="121"/>
      <c r="FQ124" s="121"/>
      <c r="FR124" s="121"/>
      <c r="FS124" s="121"/>
      <c r="FT124" s="121"/>
      <c r="FU124" s="121"/>
      <c r="FV124" s="121"/>
      <c r="FW124" s="121"/>
      <c r="FX124" s="121"/>
      <c r="FY124" s="121"/>
      <c r="FZ124" s="121"/>
      <c r="GA124" s="121"/>
      <c r="GB124" s="121"/>
      <c r="GC124" s="121"/>
      <c r="GD124" s="121"/>
      <c r="GE124" s="121"/>
      <c r="GF124" s="121"/>
      <c r="GG124" s="121"/>
      <c r="GH124" s="121"/>
      <c r="GI124" s="121"/>
      <c r="GJ124" s="121"/>
      <c r="GK124" s="121"/>
      <c r="GL124" s="121"/>
      <c r="GM124" s="121"/>
      <c r="GN124" s="121"/>
      <c r="GO124" s="121"/>
      <c r="GP124" s="121"/>
    </row>
    <row r="125" spans="2:198" s="3" customFormat="1">
      <c r="B125" s="159"/>
      <c r="E125" s="160"/>
      <c r="F125" s="109"/>
      <c r="J125" s="109"/>
    </row>
    <row r="126" spans="2:198">
      <c r="B126" s="157"/>
      <c r="C126" s="112"/>
      <c r="E126" s="112"/>
      <c r="G126" s="113"/>
    </row>
    <row r="127" spans="2:198">
      <c r="B127" s="157"/>
      <c r="C127" s="112"/>
      <c r="E127" s="112"/>
      <c r="G127" s="113"/>
    </row>
    <row r="128" spans="2:198">
      <c r="B128" s="157"/>
      <c r="C128" s="112"/>
      <c r="E128" s="112"/>
      <c r="G128" s="113"/>
    </row>
    <row r="129" spans="2:7">
      <c r="B129" s="157"/>
      <c r="C129" s="112"/>
      <c r="E129" s="112"/>
      <c r="G129" s="113"/>
    </row>
    <row r="130" spans="2:7">
      <c r="B130" s="157"/>
      <c r="C130" s="112"/>
      <c r="E130" s="112"/>
      <c r="G130" s="113"/>
    </row>
    <row r="131" spans="2:7">
      <c r="B131" s="157"/>
      <c r="C131" s="112"/>
      <c r="E131" s="112"/>
      <c r="G131" s="113"/>
    </row>
    <row r="132" spans="2:7">
      <c r="B132" s="157"/>
      <c r="C132" s="112"/>
      <c r="E132" s="112"/>
      <c r="G132" s="113"/>
    </row>
    <row r="133" spans="2:7">
      <c r="B133" s="157"/>
      <c r="C133" s="112"/>
      <c r="E133" s="112"/>
      <c r="G133" s="113"/>
    </row>
    <row r="134" spans="2:7">
      <c r="B134" s="157"/>
      <c r="C134" s="112"/>
      <c r="E134" s="112"/>
      <c r="G134" s="113"/>
    </row>
    <row r="135" spans="2:7">
      <c r="B135" s="157"/>
      <c r="C135" s="112"/>
      <c r="E135" s="112"/>
      <c r="G135" s="113"/>
    </row>
    <row r="136" spans="2:7">
      <c r="B136" s="157"/>
      <c r="C136" s="112"/>
      <c r="E136" s="112"/>
      <c r="G136" s="113"/>
    </row>
    <row r="137" spans="2:7">
      <c r="B137" s="157"/>
      <c r="C137" s="112"/>
      <c r="E137" s="112"/>
      <c r="G137" s="113"/>
    </row>
    <row r="138" spans="2:7">
      <c r="B138" s="157"/>
      <c r="C138" s="112"/>
      <c r="E138" s="112"/>
      <c r="G138" s="113"/>
    </row>
    <row r="139" spans="2:7">
      <c r="B139" s="157"/>
      <c r="C139" s="112"/>
      <c r="E139" s="112"/>
      <c r="G139" s="113"/>
    </row>
    <row r="140" spans="2:7">
      <c r="B140" s="157"/>
      <c r="C140" s="112"/>
      <c r="E140" s="112"/>
      <c r="G140" s="113"/>
    </row>
    <row r="141" spans="2:7">
      <c r="B141" s="157"/>
      <c r="C141" s="112"/>
      <c r="E141" s="112"/>
      <c r="G141" s="113"/>
    </row>
    <row r="142" spans="2:7">
      <c r="B142" s="157"/>
      <c r="C142" s="112"/>
      <c r="E142" s="112"/>
      <c r="G142" s="113"/>
    </row>
    <row r="143" spans="2:7">
      <c r="B143" s="157"/>
      <c r="C143" s="112"/>
      <c r="E143" s="112"/>
      <c r="G143" s="113"/>
    </row>
    <row r="144" spans="2:7">
      <c r="B144" s="157"/>
      <c r="C144" s="112"/>
      <c r="E144" s="112"/>
      <c r="G144" s="113"/>
    </row>
    <row r="145" spans="2:7">
      <c r="B145" s="157"/>
      <c r="C145" s="112"/>
      <c r="E145" s="112"/>
      <c r="G145" s="113"/>
    </row>
    <row r="146" spans="2:7">
      <c r="B146" s="157"/>
      <c r="C146" s="112"/>
      <c r="E146" s="112"/>
      <c r="G146" s="113"/>
    </row>
    <row r="147" spans="2:7">
      <c r="B147" s="157"/>
      <c r="C147" s="112"/>
      <c r="E147" s="112"/>
      <c r="G147" s="113"/>
    </row>
    <row r="148" spans="2:7">
      <c r="B148" s="157"/>
      <c r="C148" s="112"/>
      <c r="E148" s="112"/>
      <c r="G148" s="113"/>
    </row>
    <row r="149" spans="2:7">
      <c r="B149" s="157"/>
      <c r="C149" s="112"/>
      <c r="E149" s="112"/>
      <c r="G149" s="113"/>
    </row>
    <row r="150" spans="2:7">
      <c r="B150" s="157"/>
      <c r="C150" s="112"/>
      <c r="E150" s="112"/>
      <c r="G150" s="113"/>
    </row>
    <row r="151" spans="2:7">
      <c r="B151" s="157"/>
      <c r="C151" s="112"/>
      <c r="E151" s="112"/>
      <c r="G151" s="113"/>
    </row>
    <row r="152" spans="2:7">
      <c r="B152" s="157"/>
      <c r="C152" s="112"/>
      <c r="E152" s="112"/>
      <c r="G152" s="113"/>
    </row>
    <row r="153" spans="2:7">
      <c r="B153" s="157"/>
      <c r="C153" s="112"/>
      <c r="E153" s="112"/>
      <c r="G153" s="113"/>
    </row>
    <row r="154" spans="2:7">
      <c r="B154" s="157"/>
      <c r="C154" s="112"/>
      <c r="E154" s="112"/>
      <c r="G154" s="113"/>
    </row>
    <row r="155" spans="2:7">
      <c r="B155" s="157"/>
      <c r="C155" s="112"/>
      <c r="E155" s="112"/>
      <c r="G155" s="113"/>
    </row>
    <row r="156" spans="2:7">
      <c r="B156" s="157"/>
      <c r="C156" s="112"/>
      <c r="E156" s="112"/>
      <c r="G156" s="113"/>
    </row>
    <row r="157" spans="2:7">
      <c r="B157" s="157"/>
      <c r="C157" s="112"/>
      <c r="E157" s="112"/>
      <c r="G157" s="113"/>
    </row>
    <row r="158" spans="2:7">
      <c r="B158" s="157"/>
      <c r="C158" s="112"/>
      <c r="E158" s="112"/>
      <c r="G158" s="113"/>
    </row>
    <row r="159" spans="2:7">
      <c r="B159" s="157"/>
      <c r="C159" s="112"/>
      <c r="E159" s="112"/>
      <c r="G159" s="113"/>
    </row>
    <row r="160" spans="2:7">
      <c r="B160" s="157"/>
      <c r="C160" s="112"/>
      <c r="E160" s="112"/>
      <c r="G160" s="113"/>
    </row>
    <row r="161" spans="2:7">
      <c r="B161" s="157"/>
      <c r="C161" s="112"/>
      <c r="E161" s="112"/>
      <c r="G161" s="113"/>
    </row>
    <row r="162" spans="2:7">
      <c r="B162" s="157"/>
      <c r="C162" s="112"/>
      <c r="E162" s="112"/>
      <c r="G162" s="113"/>
    </row>
    <row r="163" spans="2:7">
      <c r="B163" s="157"/>
      <c r="C163" s="112"/>
      <c r="E163" s="112"/>
      <c r="G163" s="113"/>
    </row>
    <row r="164" spans="2:7">
      <c r="B164" s="157"/>
      <c r="C164" s="112"/>
      <c r="E164" s="112"/>
      <c r="G164" s="113"/>
    </row>
    <row r="165" spans="2:7">
      <c r="B165" s="157"/>
      <c r="C165" s="112"/>
      <c r="E165" s="112"/>
      <c r="G165" s="113"/>
    </row>
    <row r="166" spans="2:7">
      <c r="B166" s="157"/>
      <c r="C166" s="112"/>
      <c r="E166" s="112"/>
      <c r="G166" s="113"/>
    </row>
    <row r="167" spans="2:7">
      <c r="B167" s="157"/>
      <c r="C167" s="112"/>
      <c r="E167" s="112"/>
      <c r="G167" s="113"/>
    </row>
    <row r="168" spans="2:7">
      <c r="B168" s="157"/>
      <c r="C168" s="112"/>
      <c r="E168" s="112"/>
      <c r="G168" s="113"/>
    </row>
    <row r="169" spans="2:7">
      <c r="B169" s="157"/>
      <c r="C169" s="112"/>
      <c r="E169" s="112"/>
      <c r="G169" s="113"/>
    </row>
    <row r="170" spans="2:7">
      <c r="B170" s="157"/>
      <c r="C170" s="112"/>
      <c r="E170" s="112"/>
      <c r="G170" s="113"/>
    </row>
    <row r="171" spans="2:7">
      <c r="B171" s="157"/>
      <c r="C171" s="112"/>
      <c r="E171" s="112"/>
      <c r="G171" s="113"/>
    </row>
    <row r="172" spans="2:7">
      <c r="B172" s="157"/>
      <c r="C172" s="112"/>
      <c r="E172" s="112"/>
      <c r="G172" s="113"/>
    </row>
    <row r="173" spans="2:7">
      <c r="B173" s="157"/>
      <c r="C173" s="112"/>
      <c r="E173" s="112"/>
      <c r="G173" s="113"/>
    </row>
    <row r="174" spans="2:7">
      <c r="B174" s="157"/>
      <c r="C174" s="112"/>
      <c r="E174" s="112"/>
      <c r="G174" s="113"/>
    </row>
    <row r="175" spans="2:7">
      <c r="B175" s="157"/>
      <c r="C175" s="112"/>
      <c r="E175" s="112"/>
      <c r="G175" s="113"/>
    </row>
    <row r="176" spans="2:7">
      <c r="B176" s="157"/>
      <c r="C176" s="112"/>
      <c r="E176" s="112"/>
      <c r="G176" s="113"/>
    </row>
    <row r="177" spans="2:7">
      <c r="B177" s="157"/>
      <c r="C177" s="112"/>
      <c r="E177" s="112"/>
      <c r="G177" s="113"/>
    </row>
    <row r="178" spans="2:7">
      <c r="B178" s="157"/>
      <c r="C178" s="112"/>
      <c r="E178" s="112"/>
      <c r="G178" s="113"/>
    </row>
    <row r="179" spans="2:7">
      <c r="B179" s="157"/>
      <c r="C179" s="112"/>
      <c r="E179" s="112"/>
      <c r="G179" s="113"/>
    </row>
    <row r="180" spans="2:7">
      <c r="B180" s="157"/>
      <c r="C180" s="112"/>
      <c r="E180" s="112"/>
      <c r="G180" s="113"/>
    </row>
    <row r="181" spans="2:7">
      <c r="B181" s="157"/>
      <c r="C181" s="112"/>
      <c r="E181" s="112"/>
      <c r="G181" s="113"/>
    </row>
    <row r="182" spans="2:7">
      <c r="B182" s="157"/>
      <c r="C182" s="112"/>
      <c r="E182" s="112"/>
      <c r="G182" s="113"/>
    </row>
    <row r="183" spans="2:7">
      <c r="B183" s="157"/>
      <c r="C183" s="112"/>
      <c r="E183" s="112"/>
      <c r="G183" s="113"/>
    </row>
    <row r="184" spans="2:7">
      <c r="B184" s="157"/>
      <c r="C184" s="112"/>
      <c r="E184" s="112"/>
      <c r="G184" s="113"/>
    </row>
    <row r="185" spans="2:7">
      <c r="B185" s="157"/>
      <c r="C185" s="112"/>
      <c r="E185" s="112"/>
      <c r="G185" s="113"/>
    </row>
    <row r="186" spans="2:7">
      <c r="B186" s="157"/>
      <c r="C186" s="112"/>
      <c r="E186" s="112"/>
      <c r="G186" s="113"/>
    </row>
    <row r="187" spans="2:7">
      <c r="B187" s="157"/>
      <c r="C187" s="112"/>
      <c r="E187" s="112"/>
      <c r="G187" s="113"/>
    </row>
    <row r="188" spans="2:7">
      <c r="B188" s="157"/>
      <c r="C188" s="112"/>
      <c r="E188" s="112"/>
      <c r="G188" s="113"/>
    </row>
    <row r="189" spans="2:7">
      <c r="B189" s="157"/>
      <c r="C189" s="112"/>
      <c r="E189" s="112"/>
      <c r="G189" s="113"/>
    </row>
    <row r="190" spans="2:7">
      <c r="B190" s="157"/>
      <c r="C190" s="112"/>
      <c r="E190" s="112"/>
      <c r="G190" s="113"/>
    </row>
    <row r="191" spans="2:7">
      <c r="B191" s="157"/>
      <c r="C191" s="112"/>
      <c r="E191" s="112"/>
      <c r="G191" s="113"/>
    </row>
    <row r="192" spans="2:7">
      <c r="B192" s="157"/>
      <c r="C192" s="112"/>
      <c r="E192" s="112"/>
      <c r="G192" s="113"/>
    </row>
    <row r="193" spans="2:7">
      <c r="B193" s="157"/>
      <c r="C193" s="112"/>
      <c r="E193" s="112"/>
      <c r="G193" s="113"/>
    </row>
    <row r="194" spans="2:7">
      <c r="B194" s="157"/>
      <c r="C194" s="112"/>
      <c r="E194" s="112"/>
      <c r="G194" s="113"/>
    </row>
    <row r="195" spans="2:7">
      <c r="B195" s="157"/>
      <c r="C195" s="112"/>
      <c r="E195" s="112"/>
      <c r="G195" s="113"/>
    </row>
    <row r="196" spans="2:7">
      <c r="B196" s="157"/>
      <c r="C196" s="112"/>
      <c r="E196" s="112"/>
      <c r="G196" s="113"/>
    </row>
    <row r="197" spans="2:7">
      <c r="B197" s="157"/>
      <c r="C197" s="112"/>
      <c r="E197" s="112"/>
      <c r="G197" s="113"/>
    </row>
    <row r="198" spans="2:7">
      <c r="B198" s="157"/>
      <c r="C198" s="112"/>
      <c r="E198" s="112"/>
      <c r="G198" s="113"/>
    </row>
    <row r="199" spans="2:7">
      <c r="B199" s="157"/>
      <c r="C199" s="112"/>
      <c r="E199" s="112"/>
      <c r="G199" s="113"/>
    </row>
    <row r="200" spans="2:7">
      <c r="B200" s="157"/>
      <c r="C200" s="112"/>
      <c r="E200" s="112"/>
      <c r="G200" s="113"/>
    </row>
    <row r="201" spans="2:7">
      <c r="B201" s="157"/>
      <c r="C201" s="112"/>
      <c r="E201" s="112"/>
      <c r="G201" s="113"/>
    </row>
    <row r="202" spans="2:7">
      <c r="B202" s="157"/>
      <c r="C202" s="112"/>
      <c r="E202" s="112"/>
      <c r="G202" s="113"/>
    </row>
    <row r="203" spans="2:7">
      <c r="B203" s="157"/>
      <c r="C203" s="112"/>
      <c r="E203" s="112"/>
      <c r="G203" s="113"/>
    </row>
    <row r="204" spans="2:7">
      <c r="B204" s="157"/>
      <c r="C204" s="112"/>
      <c r="E204" s="112"/>
      <c r="G204" s="113"/>
    </row>
    <row r="205" spans="2:7">
      <c r="B205" s="157"/>
      <c r="C205" s="112"/>
      <c r="E205" s="112"/>
      <c r="G205" s="113"/>
    </row>
    <row r="206" spans="2:7">
      <c r="B206" s="157"/>
      <c r="C206" s="112"/>
      <c r="E206" s="112"/>
      <c r="G206" s="113"/>
    </row>
    <row r="207" spans="2:7">
      <c r="B207" s="157"/>
      <c r="C207" s="112"/>
      <c r="E207" s="112"/>
      <c r="G207" s="113"/>
    </row>
    <row r="208" spans="2:7">
      <c r="B208" s="157"/>
      <c r="C208" s="112"/>
      <c r="E208" s="112"/>
      <c r="G208" s="113"/>
    </row>
    <row r="209" spans="2:7">
      <c r="B209" s="157"/>
      <c r="C209" s="112"/>
      <c r="E209" s="112"/>
      <c r="G209" s="113"/>
    </row>
    <row r="210" spans="2:7">
      <c r="B210" s="157"/>
      <c r="C210" s="112"/>
      <c r="E210" s="112"/>
      <c r="G210" s="113"/>
    </row>
    <row r="211" spans="2:7">
      <c r="B211" s="157"/>
      <c r="C211" s="112"/>
      <c r="E211" s="112"/>
      <c r="G211" s="113"/>
    </row>
    <row r="212" spans="2:7">
      <c r="B212" s="157"/>
      <c r="C212" s="112"/>
      <c r="E212" s="112"/>
      <c r="G212" s="113"/>
    </row>
    <row r="213" spans="2:7">
      <c r="B213" s="157"/>
      <c r="C213" s="112"/>
      <c r="E213" s="112"/>
      <c r="G213" s="113"/>
    </row>
    <row r="214" spans="2:7">
      <c r="B214" s="157"/>
      <c r="C214" s="112"/>
      <c r="E214" s="112"/>
      <c r="G214" s="113"/>
    </row>
    <row r="215" spans="2:7">
      <c r="B215" s="157"/>
      <c r="C215" s="112"/>
      <c r="E215" s="112"/>
      <c r="G215" s="113"/>
    </row>
    <row r="216" spans="2:7">
      <c r="B216" s="157"/>
      <c r="C216" s="112"/>
      <c r="E216" s="112"/>
      <c r="G216" s="113"/>
    </row>
    <row r="217" spans="2:7">
      <c r="B217" s="157"/>
      <c r="C217" s="112"/>
      <c r="E217" s="112"/>
      <c r="G217" s="113"/>
    </row>
    <row r="218" spans="2:7">
      <c r="B218" s="157"/>
      <c r="C218" s="112"/>
      <c r="E218" s="112"/>
      <c r="G218" s="113"/>
    </row>
    <row r="219" spans="2:7">
      <c r="B219" s="157"/>
      <c r="C219" s="112"/>
      <c r="E219" s="112"/>
      <c r="G219" s="113"/>
    </row>
    <row r="220" spans="2:7">
      <c r="B220" s="157"/>
      <c r="C220" s="112"/>
      <c r="E220" s="112"/>
      <c r="G220" s="113"/>
    </row>
    <row r="221" spans="2:7">
      <c r="B221" s="157"/>
      <c r="C221" s="112"/>
      <c r="E221" s="112"/>
      <c r="G221" s="113"/>
    </row>
    <row r="222" spans="2:7">
      <c r="B222" s="157"/>
      <c r="C222" s="112"/>
      <c r="E222" s="112"/>
      <c r="G222" s="113"/>
    </row>
    <row r="223" spans="2:7">
      <c r="B223" s="157"/>
      <c r="C223" s="112"/>
      <c r="E223" s="112"/>
      <c r="G223" s="113"/>
    </row>
    <row r="224" spans="2:7">
      <c r="B224" s="157"/>
      <c r="C224" s="112"/>
      <c r="E224" s="112"/>
      <c r="G224" s="113"/>
    </row>
    <row r="225" spans="2:7">
      <c r="B225" s="157"/>
      <c r="C225" s="112"/>
      <c r="E225" s="112"/>
      <c r="G225" s="113"/>
    </row>
    <row r="226" spans="2:7">
      <c r="B226" s="157"/>
      <c r="C226" s="112"/>
      <c r="E226" s="112"/>
      <c r="G226" s="113"/>
    </row>
    <row r="227" spans="2:7">
      <c r="B227" s="157"/>
      <c r="C227" s="112"/>
      <c r="E227" s="112"/>
      <c r="G227" s="113"/>
    </row>
    <row r="228" spans="2:7">
      <c r="B228" s="157"/>
      <c r="C228" s="112"/>
      <c r="E228" s="112"/>
      <c r="G228" s="113"/>
    </row>
    <row r="229" spans="2:7">
      <c r="B229" s="157"/>
      <c r="C229" s="112"/>
      <c r="E229" s="112"/>
      <c r="G229" s="113"/>
    </row>
    <row r="230" spans="2:7">
      <c r="B230" s="157"/>
      <c r="C230" s="112"/>
      <c r="E230" s="112"/>
      <c r="G230" s="113"/>
    </row>
    <row r="231" spans="2:7">
      <c r="B231" s="157"/>
      <c r="C231" s="112"/>
      <c r="E231" s="112"/>
      <c r="G231" s="113"/>
    </row>
    <row r="232" spans="2:7">
      <c r="B232" s="157"/>
      <c r="C232" s="112"/>
      <c r="E232" s="112"/>
      <c r="G232" s="113"/>
    </row>
    <row r="233" spans="2:7">
      <c r="B233" s="157"/>
      <c r="C233" s="112"/>
      <c r="E233" s="112"/>
      <c r="G233" s="113"/>
    </row>
    <row r="234" spans="2:7">
      <c r="B234" s="157"/>
      <c r="C234" s="112"/>
      <c r="E234" s="112"/>
      <c r="G234" s="113"/>
    </row>
    <row r="235" spans="2:7">
      <c r="B235" s="157"/>
      <c r="C235" s="112"/>
      <c r="E235" s="112"/>
      <c r="G235" s="113"/>
    </row>
    <row r="236" spans="2:7">
      <c r="B236" s="157"/>
      <c r="C236" s="112"/>
      <c r="E236" s="112"/>
      <c r="G236" s="113"/>
    </row>
    <row r="237" spans="2:7">
      <c r="B237" s="157"/>
      <c r="C237" s="112"/>
      <c r="E237" s="112"/>
      <c r="G237" s="113"/>
    </row>
    <row r="238" spans="2:7">
      <c r="B238" s="157"/>
      <c r="C238" s="112"/>
      <c r="E238" s="112"/>
      <c r="G238" s="113"/>
    </row>
    <row r="239" spans="2:7">
      <c r="B239" s="157"/>
      <c r="C239" s="112"/>
      <c r="E239" s="112"/>
      <c r="G239" s="113"/>
    </row>
    <row r="240" spans="2:7">
      <c r="B240" s="157"/>
      <c r="C240" s="112"/>
      <c r="E240" s="112"/>
      <c r="G240" s="113"/>
    </row>
    <row r="241" spans="2:7">
      <c r="B241" s="157"/>
      <c r="C241" s="112"/>
      <c r="E241" s="112"/>
      <c r="G241" s="113"/>
    </row>
    <row r="242" spans="2:7">
      <c r="B242" s="157"/>
      <c r="C242" s="112"/>
      <c r="E242" s="112"/>
      <c r="G242" s="113"/>
    </row>
    <row r="243" spans="2:7">
      <c r="B243" s="157"/>
      <c r="C243" s="112"/>
      <c r="E243" s="112"/>
      <c r="G243" s="113"/>
    </row>
    <row r="244" spans="2:7">
      <c r="B244" s="157"/>
      <c r="C244" s="112"/>
      <c r="E244" s="112"/>
      <c r="G244" s="113"/>
    </row>
    <row r="245" spans="2:7">
      <c r="B245" s="157"/>
      <c r="C245" s="112"/>
      <c r="E245" s="112"/>
      <c r="G245" s="113"/>
    </row>
    <row r="246" spans="2:7">
      <c r="B246" s="157"/>
      <c r="C246" s="112"/>
      <c r="E246" s="112"/>
      <c r="G246" s="113"/>
    </row>
    <row r="247" spans="2:7">
      <c r="B247" s="157"/>
      <c r="C247" s="112"/>
      <c r="E247" s="112"/>
      <c r="G247" s="113"/>
    </row>
    <row r="248" spans="2:7">
      <c r="B248" s="157"/>
      <c r="C248" s="112"/>
      <c r="E248" s="112"/>
      <c r="G248" s="113"/>
    </row>
    <row r="249" spans="2:7">
      <c r="B249" s="157"/>
      <c r="C249" s="112"/>
      <c r="E249" s="112"/>
      <c r="G249" s="113"/>
    </row>
    <row r="250" spans="2:7">
      <c r="B250" s="157"/>
      <c r="C250" s="112"/>
      <c r="E250" s="112"/>
      <c r="G250" s="113"/>
    </row>
    <row r="251" spans="2:7">
      <c r="B251" s="157"/>
      <c r="C251" s="112"/>
      <c r="E251" s="112"/>
      <c r="G251" s="113"/>
    </row>
    <row r="252" spans="2:7">
      <c r="B252" s="157"/>
      <c r="C252" s="112"/>
      <c r="E252" s="112"/>
      <c r="G252" s="113"/>
    </row>
    <row r="253" spans="2:7">
      <c r="B253" s="157"/>
      <c r="C253" s="112"/>
      <c r="E253" s="112"/>
      <c r="G253" s="113"/>
    </row>
    <row r="254" spans="2:7">
      <c r="B254" s="157"/>
      <c r="C254" s="112"/>
      <c r="E254" s="112"/>
      <c r="G254" s="113"/>
    </row>
    <row r="255" spans="2:7">
      <c r="B255" s="157"/>
      <c r="C255" s="112"/>
      <c r="E255" s="112"/>
      <c r="G255" s="113"/>
    </row>
    <row r="256" spans="2:7">
      <c r="B256" s="157"/>
      <c r="C256" s="112"/>
      <c r="E256" s="112"/>
      <c r="G256" s="113"/>
    </row>
    <row r="257" spans="2:7">
      <c r="B257" s="157"/>
      <c r="C257" s="112"/>
      <c r="E257" s="112"/>
      <c r="G257" s="113"/>
    </row>
    <row r="258" spans="2:7">
      <c r="B258" s="157"/>
      <c r="C258" s="112"/>
      <c r="E258" s="112"/>
      <c r="G258" s="113"/>
    </row>
    <row r="259" spans="2:7">
      <c r="B259" s="157"/>
      <c r="C259" s="112"/>
      <c r="E259" s="112"/>
      <c r="G259" s="113"/>
    </row>
    <row r="260" spans="2:7">
      <c r="B260" s="157"/>
      <c r="C260" s="112"/>
      <c r="E260" s="112"/>
      <c r="G260" s="113"/>
    </row>
    <row r="261" spans="2:7">
      <c r="B261" s="157"/>
      <c r="C261" s="112"/>
      <c r="E261" s="112"/>
      <c r="G261" s="113"/>
    </row>
    <row r="262" spans="2:7">
      <c r="B262" s="157"/>
      <c r="C262" s="112"/>
      <c r="E262" s="112"/>
      <c r="G262" s="113"/>
    </row>
    <row r="263" spans="2:7">
      <c r="B263" s="157"/>
      <c r="C263" s="112"/>
      <c r="E263" s="112"/>
      <c r="G263" s="113"/>
    </row>
    <row r="264" spans="2:7">
      <c r="B264" s="157"/>
      <c r="C264" s="112"/>
      <c r="E264" s="112"/>
      <c r="G264" s="113"/>
    </row>
    <row r="265" spans="2:7">
      <c r="B265" s="157"/>
      <c r="C265" s="112"/>
      <c r="E265" s="112"/>
      <c r="G265" s="113"/>
    </row>
    <row r="266" spans="2:7">
      <c r="B266" s="157"/>
      <c r="C266" s="112"/>
      <c r="E266" s="112"/>
      <c r="G266" s="113"/>
    </row>
    <row r="267" spans="2:7">
      <c r="B267" s="157"/>
      <c r="C267" s="112"/>
      <c r="E267" s="112"/>
      <c r="G267" s="113"/>
    </row>
    <row r="268" spans="2:7">
      <c r="B268" s="157"/>
      <c r="C268" s="112"/>
      <c r="E268" s="112"/>
      <c r="G268" s="113"/>
    </row>
    <row r="269" spans="2:7">
      <c r="B269" s="157"/>
      <c r="C269" s="112"/>
      <c r="E269" s="112"/>
      <c r="G269" s="113"/>
    </row>
    <row r="270" spans="2:7">
      <c r="B270" s="157"/>
      <c r="C270" s="112"/>
      <c r="E270" s="112"/>
      <c r="G270" s="113"/>
    </row>
    <row r="271" spans="2:7">
      <c r="B271" s="157"/>
      <c r="C271" s="112"/>
      <c r="E271" s="112"/>
      <c r="G271" s="113"/>
    </row>
    <row r="272" spans="2:7">
      <c r="B272" s="157"/>
      <c r="C272" s="112"/>
      <c r="E272" s="112"/>
      <c r="G272" s="113"/>
    </row>
    <row r="273" spans="2:7">
      <c r="B273" s="157"/>
      <c r="C273" s="112"/>
      <c r="E273" s="112"/>
      <c r="G273" s="113"/>
    </row>
    <row r="274" spans="2:7">
      <c r="B274" s="157"/>
      <c r="C274" s="112"/>
      <c r="E274" s="112"/>
      <c r="G274" s="113"/>
    </row>
    <row r="275" spans="2:7">
      <c r="B275" s="157"/>
      <c r="C275" s="112"/>
      <c r="E275" s="112"/>
      <c r="G275" s="113"/>
    </row>
    <row r="276" spans="2:7">
      <c r="B276" s="157"/>
      <c r="C276" s="112"/>
      <c r="E276" s="112"/>
      <c r="G276" s="113"/>
    </row>
    <row r="277" spans="2:7">
      <c r="B277" s="157"/>
      <c r="C277" s="112"/>
      <c r="E277" s="112"/>
      <c r="G277" s="113"/>
    </row>
    <row r="278" spans="2:7">
      <c r="B278" s="157"/>
      <c r="C278" s="112"/>
      <c r="E278" s="112"/>
      <c r="G278" s="113"/>
    </row>
    <row r="279" spans="2:7">
      <c r="B279" s="157"/>
      <c r="C279" s="112"/>
      <c r="E279" s="112"/>
      <c r="G279" s="113"/>
    </row>
    <row r="280" spans="2:7">
      <c r="B280" s="157"/>
      <c r="C280" s="112"/>
      <c r="E280" s="112"/>
      <c r="G280" s="113"/>
    </row>
    <row r="281" spans="2:7">
      <c r="B281" s="157"/>
      <c r="C281" s="112"/>
      <c r="E281" s="112"/>
      <c r="G281" s="113"/>
    </row>
    <row r="282" spans="2:7">
      <c r="B282" s="157"/>
      <c r="C282" s="112"/>
      <c r="E282" s="112"/>
      <c r="G282" s="113"/>
    </row>
    <row r="283" spans="2:7">
      <c r="B283" s="157"/>
      <c r="C283" s="112"/>
      <c r="E283" s="112"/>
      <c r="G283" s="113"/>
    </row>
    <row r="284" spans="2:7">
      <c r="B284" s="157"/>
      <c r="C284" s="112"/>
      <c r="E284" s="112"/>
      <c r="G284" s="113"/>
    </row>
    <row r="285" spans="2:7">
      <c r="B285" s="157"/>
      <c r="C285" s="112"/>
      <c r="E285" s="112"/>
      <c r="G285" s="113"/>
    </row>
    <row r="286" spans="2:7">
      <c r="B286" s="157"/>
      <c r="C286" s="112"/>
      <c r="E286" s="112"/>
      <c r="G286" s="113"/>
    </row>
    <row r="287" spans="2:7">
      <c r="B287" s="157"/>
      <c r="C287" s="112"/>
      <c r="E287" s="112"/>
      <c r="G287" s="113"/>
    </row>
    <row r="288" spans="2:7">
      <c r="B288" s="157"/>
      <c r="C288" s="112"/>
      <c r="E288" s="112"/>
      <c r="G288" s="113"/>
    </row>
    <row r="289" spans="2:7">
      <c r="B289" s="157"/>
      <c r="C289" s="112"/>
      <c r="E289" s="112"/>
      <c r="G289" s="113"/>
    </row>
    <row r="290" spans="2:7">
      <c r="B290" s="157"/>
      <c r="C290" s="112"/>
      <c r="E290" s="112"/>
      <c r="G290" s="113"/>
    </row>
    <row r="291" spans="2:7">
      <c r="B291" s="157"/>
      <c r="C291" s="112"/>
      <c r="E291" s="112"/>
      <c r="G291" s="113"/>
    </row>
    <row r="292" spans="2:7">
      <c r="B292" s="157"/>
      <c r="C292" s="112"/>
      <c r="E292" s="112"/>
      <c r="G292" s="113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0fHuZEaiYGK5sqlV/38Hfc0T7yH0tOTbdy5iYtX6c3lYp4VF2ar7IMEIVGfLLUnhvJzWsmOZSDZnUiLySCBxdg==" saltValue="oeJbzSFL5Q9rgT2MjiMjew==" spinCount="100000" sqref="P124 M125:P1048576 N97 N109 N10:P10 O8:P9 N17:P17 O11:P16 N31:P31 O18:P30 N41:P41 N57:P57 N66:P66 N73:P73 N80:P80 N87:P87 O32:P40 O58:P65 O67:P72 O74:P79 O81:P86 M1:P7 O42:P56 O88:P123" name="Range1"/>
    <protectedRange algorithmName="SHA-512" hashValue="0fHuZEaiYGK5sqlV/38Hfc0T7yH0tOTbdy5iYtX6c3lYp4VF2ar7IMEIVGfLLUnhvJzWsmOZSDZnUiLySCBxdg==" saltValue="oeJbzSFL5Q9rgT2MjiMjew==" spinCount="100000" sqref="N8:N9 N18:N30 N32:N40 N58:N65 N74:N79 N81:N86 N110:N113 N117:N123 N11:N16 N88:N96 N42:N56 N98:N108 N115 M115:M123 M114:N114 N67:N72 M8:M113" name="Range1_1"/>
  </protectedRanges>
  <mergeCells count="13">
    <mergeCell ref="Y19:AB28"/>
    <mergeCell ref="Y18:AB18"/>
    <mergeCell ref="E2:H2"/>
    <mergeCell ref="E4:H4"/>
    <mergeCell ref="E5:H5"/>
    <mergeCell ref="E6:H6"/>
    <mergeCell ref="O8:O9"/>
    <mergeCell ref="K8:K9"/>
    <mergeCell ref="B8:B9"/>
    <mergeCell ref="C8:C9"/>
    <mergeCell ref="E8:E9"/>
    <mergeCell ref="G8:G9"/>
    <mergeCell ref="I8:I9"/>
  </mergeCells>
  <phoneticPr fontId="19" type="noConversion"/>
  <conditionalFormatting sqref="M118:N123 M12:N16 M75:N79 M19:N30 M33:N40 M82:N86 M89:N96 M99:N108 M111:N115 M59:N65 M68:N72 M43:N56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Y15:AB18 Y19">
    <cfRule type="dataBar" priority="1">
      <dataBar>
        <cfvo type="min"/>
        <cfvo type="max"/>
        <color rgb="FF92D050"/>
      </dataBar>
      <extLst>
        <ext xmlns:x14="http://schemas.microsoft.com/office/spreadsheetml/2009/9/main" uri="{B025F937-C7B1-47D3-B67F-A62EFF666E3E}">
          <x14:id>{D8023D06-814B-4496-9ADA-8C5178CEAF1C}</x14:id>
        </ext>
      </extLst>
    </cfRule>
  </conditionalFormatting>
  <pageMargins left="0.70866141732283472" right="0.70866141732283472" top="0.74803149606299213" bottom="0.74803149606299213" header="0.31496062992125984" footer="0.31496062992125984"/>
  <pageSetup paperSize="9" scale="85" orientation="portrait" r:id="rId1"/>
  <drawing r:id="rId2"/>
  <legacyDrawing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8023D06-814B-4496-9ADA-8C5178CEAF1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Y15:AB18 Y19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DBD3C-2278-4A9C-9C17-46F15484E67F}">
  <sheetPr codeName="Sheet5"/>
  <dimension ref="A1:L196"/>
  <sheetViews>
    <sheetView zoomScale="130" zoomScaleNormal="130" workbookViewId="0">
      <pane ySplit="7" topLeftCell="A8" activePane="bottomLeft" state="frozen"/>
      <selection pane="bottomLeft" activeCell="J15" sqref="J15"/>
      <selection activeCell="K24" sqref="K24"/>
    </sheetView>
  </sheetViews>
  <sheetFormatPr defaultColWidth="8.42578125" defaultRowHeight="14.1"/>
  <cols>
    <col min="1" max="1" width="1.42578125" style="24" customWidth="1"/>
    <col min="2" max="2" width="8.42578125" style="64"/>
    <col min="3" max="3" width="2.42578125" style="64" customWidth="1"/>
    <col min="4" max="4" width="21.140625" style="24" customWidth="1"/>
    <col min="5" max="5" width="1.42578125" style="24" customWidth="1"/>
    <col min="6" max="6" width="19.5703125" style="24" customWidth="1"/>
    <col min="7" max="7" width="1.42578125" style="24" customWidth="1"/>
    <col min="8" max="8" width="18.42578125" style="24" customWidth="1"/>
    <col min="9" max="9" width="3.140625" style="24" customWidth="1"/>
    <col min="10" max="10" width="21.140625" style="24" customWidth="1"/>
    <col min="11" max="11" width="2" style="24" customWidth="1"/>
    <col min="12" max="12" width="53.140625" style="24" customWidth="1"/>
    <col min="13" max="16384" width="8.42578125" style="24"/>
  </cols>
  <sheetData>
    <row r="1" spans="1:12" ht="6.75" customHeight="1">
      <c r="A1" s="205"/>
      <c r="B1" s="206"/>
      <c r="C1" s="206"/>
      <c r="D1" s="205"/>
      <c r="E1" s="205"/>
      <c r="F1" s="205"/>
      <c r="G1" s="205"/>
      <c r="H1" s="205"/>
      <c r="I1" s="205"/>
      <c r="J1" s="205"/>
      <c r="K1" s="112"/>
      <c r="L1" s="112"/>
    </row>
    <row r="2" spans="1:12">
      <c r="A2" s="205"/>
      <c r="B2" s="209" t="s">
        <v>277</v>
      </c>
      <c r="C2" s="209"/>
      <c r="D2" s="209"/>
      <c r="E2" s="209"/>
      <c r="F2" s="209"/>
      <c r="G2" s="209"/>
      <c r="H2" s="209"/>
      <c r="I2" s="209"/>
      <c r="J2" s="209"/>
      <c r="K2" s="114"/>
      <c r="L2" s="114"/>
    </row>
    <row r="3" spans="1:12" ht="6.75" customHeight="1">
      <c r="A3" s="205"/>
      <c r="B3" s="206"/>
      <c r="C3" s="206"/>
      <c r="D3" s="205"/>
      <c r="E3" s="205"/>
      <c r="F3" s="205"/>
      <c r="G3" s="205"/>
      <c r="H3" s="205"/>
      <c r="I3" s="205"/>
      <c r="J3" s="205"/>
      <c r="K3" s="112"/>
      <c r="L3" s="112"/>
    </row>
    <row r="4" spans="1:12" ht="14.45" thickBot="1">
      <c r="A4" s="205"/>
      <c r="B4" s="866"/>
      <c r="C4" s="866"/>
      <c r="D4" s="866"/>
      <c r="E4" s="402"/>
      <c r="F4" s="210" t="s">
        <v>59</v>
      </c>
      <c r="G4" s="205"/>
      <c r="H4" s="210" t="s">
        <v>60</v>
      </c>
      <c r="I4" s="205"/>
      <c r="J4" s="211" t="s">
        <v>278</v>
      </c>
      <c r="K4" s="112"/>
      <c r="L4" s="112"/>
    </row>
    <row r="5" spans="1:12" ht="14.45" thickBot="1">
      <c r="A5" s="205"/>
      <c r="B5" s="867" t="s">
        <v>279</v>
      </c>
      <c r="C5" s="867"/>
      <c r="D5" s="867"/>
      <c r="E5" s="402"/>
      <c r="F5" s="212">
        <f>SUM(F9:F23)</f>
        <v>56096452.079139791</v>
      </c>
      <c r="G5" s="207"/>
      <c r="H5" s="212">
        <f>SUM(H9:H23)</f>
        <v>48692191.566446096</v>
      </c>
      <c r="I5" s="205"/>
      <c r="J5" s="213">
        <f>SUM(J9:J23)</f>
        <v>7404260.5126936939</v>
      </c>
      <c r="K5" s="112"/>
      <c r="L5" s="112"/>
    </row>
    <row r="6" spans="1:12" ht="6.75" customHeight="1" thickBot="1">
      <c r="A6" s="205"/>
      <c r="B6" s="214"/>
      <c r="C6" s="214"/>
      <c r="D6" s="214"/>
      <c r="E6" s="214"/>
      <c r="F6" s="205"/>
      <c r="G6" s="205"/>
      <c r="H6" s="205"/>
      <c r="I6" s="205"/>
      <c r="J6" s="205"/>
      <c r="K6" s="112"/>
      <c r="L6" s="112"/>
    </row>
    <row r="7" spans="1:12" ht="26.45" thickBot="1">
      <c r="A7" s="205"/>
      <c r="B7" s="215" t="s">
        <v>84</v>
      </c>
      <c r="C7" s="216"/>
      <c r="D7" s="215" t="s">
        <v>280</v>
      </c>
      <c r="E7" s="216"/>
      <c r="F7" s="217" t="s">
        <v>281</v>
      </c>
      <c r="G7" s="218"/>
      <c r="H7" s="217" t="s">
        <v>282</v>
      </c>
      <c r="I7" s="218"/>
      <c r="J7" s="217" t="s">
        <v>283</v>
      </c>
      <c r="K7" s="162"/>
      <c r="L7" s="115" t="s">
        <v>284</v>
      </c>
    </row>
    <row r="8" spans="1:12" ht="6.75" customHeight="1">
      <c r="A8" s="205"/>
      <c r="B8" s="206"/>
      <c r="C8" s="206"/>
      <c r="D8" s="205"/>
      <c r="E8" s="205"/>
      <c r="F8" s="205"/>
      <c r="G8" s="205"/>
      <c r="H8" s="205"/>
      <c r="I8" s="205"/>
      <c r="J8" s="205"/>
      <c r="K8" s="112"/>
      <c r="L8" s="112"/>
    </row>
    <row r="9" spans="1:12">
      <c r="A9" s="205"/>
      <c r="B9" s="219">
        <f>'Expenditure Breakdown'!L6</f>
        <v>1</v>
      </c>
      <c r="C9" s="208"/>
      <c r="D9" s="220" t="str">
        <f>'Expenditure Breakdown'!M6</f>
        <v>1. Panels</v>
      </c>
      <c r="E9" s="86"/>
      <c r="F9" s="221">
        <f>'Expenditure Breakdown'!I6</f>
        <v>14537831.300000001</v>
      </c>
      <c r="G9" s="86"/>
      <c r="H9" s="221">
        <f>'Expenditure Breakdown'!X6</f>
        <v>13735976</v>
      </c>
      <c r="I9" s="89"/>
      <c r="J9" s="222">
        <f t="shared" ref="J9:J23" si="0">F9-H9</f>
        <v>801855.30000000075</v>
      </c>
      <c r="K9" s="163"/>
      <c r="L9" s="244"/>
    </row>
    <row r="10" spans="1:12">
      <c r="A10" s="205"/>
      <c r="B10" s="219">
        <f>'Expenditure Breakdown'!L21</f>
        <v>2</v>
      </c>
      <c r="C10" s="208"/>
      <c r="D10" s="220" t="str">
        <f>'Expenditure Breakdown'!M21</f>
        <v>2. Inverters</v>
      </c>
      <c r="E10" s="86"/>
      <c r="F10" s="221">
        <f>'Expenditure Breakdown'!I21</f>
        <v>2760000</v>
      </c>
      <c r="G10" s="86"/>
      <c r="H10" s="221">
        <f>'Expenditure Breakdown'!X21</f>
        <v>2495176.22371</v>
      </c>
      <c r="I10" s="89"/>
      <c r="J10" s="222">
        <f t="shared" si="0"/>
        <v>264823.77628999995</v>
      </c>
      <c r="K10" s="163"/>
      <c r="L10" s="244"/>
    </row>
    <row r="11" spans="1:12">
      <c r="A11" s="205"/>
      <c r="B11" s="219">
        <f>'Expenditure Breakdown'!L29</f>
        <v>3</v>
      </c>
      <c r="C11" s="208"/>
      <c r="D11" s="220" t="str">
        <f>'Expenditure Breakdown'!M29</f>
        <v>3. Mounting Structures</v>
      </c>
      <c r="E11" s="223"/>
      <c r="F11" s="221">
        <f>'Expenditure Breakdown'!I29</f>
        <v>7358785.9097348731</v>
      </c>
      <c r="G11" s="86"/>
      <c r="H11" s="221">
        <f>'Expenditure Breakdown'!X29</f>
        <v>4071044.26</v>
      </c>
      <c r="I11" s="89"/>
      <c r="J11" s="222">
        <f t="shared" si="0"/>
        <v>3287741.6497348733</v>
      </c>
      <c r="K11" s="163"/>
      <c r="L11" s="244"/>
    </row>
    <row r="12" spans="1:12">
      <c r="A12" s="205"/>
      <c r="B12" s="219">
        <f>'Expenditure Breakdown'!L49</f>
        <v>4</v>
      </c>
      <c r="C12" s="208"/>
      <c r="D12" s="220" t="str">
        <f>'Expenditure Breakdown'!M49</f>
        <v>4. DC Equipment</v>
      </c>
      <c r="E12" s="223"/>
      <c r="F12" s="221">
        <f>'Expenditure Breakdown'!I49</f>
        <v>8057942</v>
      </c>
      <c r="G12" s="86"/>
      <c r="H12" s="221">
        <f>'Expenditure Breakdown'!X49</f>
        <v>3329187</v>
      </c>
      <c r="I12" s="89"/>
      <c r="J12" s="222">
        <f t="shared" si="0"/>
        <v>4728755</v>
      </c>
      <c r="K12" s="163"/>
      <c r="L12" s="244"/>
    </row>
    <row r="13" spans="1:12">
      <c r="A13" s="205"/>
      <c r="B13" s="219">
        <f>'Expenditure Breakdown'!L74</f>
        <v>5</v>
      </c>
      <c r="C13" s="208"/>
      <c r="D13" s="220" t="str">
        <f>'Expenditure Breakdown'!M74</f>
        <v>5. Monitoring</v>
      </c>
      <c r="E13" s="223"/>
      <c r="F13" s="221">
        <f>'Expenditure Breakdown'!I74</f>
        <v>64000</v>
      </c>
      <c r="G13" s="86"/>
      <c r="H13" s="221">
        <f>'Expenditure Breakdown'!X74</f>
        <v>241577.30000000002</v>
      </c>
      <c r="I13" s="89"/>
      <c r="J13" s="222">
        <f t="shared" si="0"/>
        <v>-177577.30000000002</v>
      </c>
      <c r="K13" s="163"/>
      <c r="L13" s="244"/>
    </row>
    <row r="14" spans="1:12">
      <c r="A14" s="205"/>
      <c r="B14" s="219">
        <f>'Expenditure Breakdown'!L96</f>
        <v>6</v>
      </c>
      <c r="C14" s="208"/>
      <c r="D14" s="220" t="str">
        <f>'Expenditure Breakdown'!M96</f>
        <v>6. AC Equipment</v>
      </c>
      <c r="E14" s="223"/>
      <c r="F14" s="221">
        <f>'Expenditure Breakdown'!I96</f>
        <v>2941866.9</v>
      </c>
      <c r="G14" s="86"/>
      <c r="H14" s="221">
        <f>'Expenditure Breakdown'!X96</f>
        <v>2401487</v>
      </c>
      <c r="I14" s="89"/>
      <c r="J14" s="222">
        <f t="shared" si="0"/>
        <v>540379.89999999991</v>
      </c>
      <c r="K14" s="163"/>
      <c r="L14" s="244"/>
    </row>
    <row r="15" spans="1:12">
      <c r="A15" s="205"/>
      <c r="B15" s="219">
        <f>'Expenditure Breakdown'!L122</f>
        <v>7</v>
      </c>
      <c r="C15" s="208"/>
      <c r="D15" s="220" t="str">
        <f>'Expenditure Breakdown'!M122</f>
        <v>7.MV Substation</v>
      </c>
      <c r="E15" s="223"/>
      <c r="F15" s="221">
        <f>'Expenditure Breakdown'!I122</f>
        <v>12030860.6085</v>
      </c>
      <c r="G15" s="86"/>
      <c r="H15" s="221">
        <f>'Expenditure Breakdown'!X122</f>
        <v>7046627.6127361013</v>
      </c>
      <c r="I15" s="89"/>
      <c r="J15" s="222">
        <f t="shared" si="0"/>
        <v>4984232.9957638988</v>
      </c>
      <c r="K15" s="163"/>
      <c r="L15" s="244"/>
    </row>
    <row r="16" spans="1:12">
      <c r="A16" s="205"/>
      <c r="B16" s="219">
        <f>'Expenditure Breakdown'!L161</f>
        <v>8</v>
      </c>
      <c r="C16" s="208"/>
      <c r="D16" s="220" t="str">
        <f>'Expenditure Breakdown'!M161</f>
        <v xml:space="preserve">8. Product Add On </v>
      </c>
      <c r="E16" s="223"/>
      <c r="F16" s="221">
        <f>'Expenditure Breakdown'!I161</f>
        <v>2015000</v>
      </c>
      <c r="G16" s="86"/>
      <c r="H16" s="221">
        <f>'Expenditure Breakdown'!X161</f>
        <v>2216118.21</v>
      </c>
      <c r="I16" s="89"/>
      <c r="J16" s="222">
        <f t="shared" si="0"/>
        <v>-201118.20999999996</v>
      </c>
      <c r="K16" s="163"/>
      <c r="L16" s="244"/>
    </row>
    <row r="17" spans="1:12">
      <c r="A17" s="205"/>
      <c r="B17" s="219">
        <f>'Expenditure Breakdown'!L183</f>
        <v>9</v>
      </c>
      <c r="C17" s="208"/>
      <c r="D17" s="220" t="str">
        <f>'Expenditure Breakdown'!M183</f>
        <v>9. AC &amp; DC installation</v>
      </c>
      <c r="E17" s="223"/>
      <c r="F17" s="221">
        <f>'Expenditure Breakdown'!I183</f>
        <v>4360411.2369999997</v>
      </c>
      <c r="G17" s="86"/>
      <c r="H17" s="221">
        <f>'Expenditure Breakdown'!X183</f>
        <v>8055680</v>
      </c>
      <c r="I17" s="89"/>
      <c r="J17" s="222">
        <f t="shared" si="0"/>
        <v>-3695268.7630000003</v>
      </c>
      <c r="K17" s="163"/>
      <c r="L17" s="244"/>
    </row>
    <row r="18" spans="1:12">
      <c r="A18" s="205"/>
      <c r="B18" s="219">
        <f>'Expenditure Breakdown'!L227</f>
        <v>10</v>
      </c>
      <c r="C18" s="208"/>
      <c r="D18" s="220" t="str">
        <f>'Expenditure Breakdown'!M227</f>
        <v>10. Site Logistics</v>
      </c>
      <c r="E18" s="86"/>
      <c r="F18" s="221">
        <f>'Expenditure Breakdown'!I227</f>
        <v>394304.23333333328</v>
      </c>
      <c r="G18" s="86"/>
      <c r="H18" s="221">
        <f>'Expenditure Breakdown'!X227</f>
        <v>936113.1100000001</v>
      </c>
      <c r="I18" s="89"/>
      <c r="J18" s="222">
        <f t="shared" si="0"/>
        <v>-541808.87666666682</v>
      </c>
      <c r="K18" s="163"/>
      <c r="L18" s="244"/>
    </row>
    <row r="19" spans="1:12">
      <c r="A19" s="205"/>
      <c r="B19" s="219">
        <f>'Expenditure Breakdown'!L283</f>
        <v>11</v>
      </c>
      <c r="C19" s="208"/>
      <c r="D19" s="220" t="str">
        <f>'Expenditure Breakdown'!M283</f>
        <v>11. Due Dilligence</v>
      </c>
      <c r="E19" s="86"/>
      <c r="F19" s="221">
        <f>'Expenditure Breakdown'!I283</f>
        <v>420000</v>
      </c>
      <c r="G19" s="86"/>
      <c r="H19" s="221">
        <f>'Expenditure Breakdown'!X283</f>
        <v>658656</v>
      </c>
      <c r="I19" s="89"/>
      <c r="J19" s="222">
        <f t="shared" si="0"/>
        <v>-238656</v>
      </c>
      <c r="K19" s="163"/>
      <c r="L19" s="244"/>
    </row>
    <row r="20" spans="1:12">
      <c r="A20" s="205"/>
      <c r="B20" s="219">
        <f>'Expenditure Breakdown'!L298</f>
        <v>12</v>
      </c>
      <c r="C20" s="208"/>
      <c r="D20" s="220" t="str">
        <f>'Expenditure Breakdown'!M298</f>
        <v>12. BDP Commission</v>
      </c>
      <c r="E20" s="86"/>
      <c r="F20" s="221">
        <f>'Expenditure Breakdown'!I298</f>
        <v>205449.89057158865</v>
      </c>
      <c r="G20" s="86"/>
      <c r="H20" s="221">
        <f>'Expenditure Breakdown'!X298</f>
        <v>0</v>
      </c>
      <c r="I20" s="89"/>
      <c r="J20" s="222">
        <f t="shared" si="0"/>
        <v>205449.89057158865</v>
      </c>
      <c r="K20" s="163"/>
      <c r="L20" s="244"/>
    </row>
    <row r="21" spans="1:12">
      <c r="A21" s="205"/>
      <c r="B21" s="219">
        <f>'Expenditure Breakdown'!L301</f>
        <v>13</v>
      </c>
      <c r="C21" s="208"/>
      <c r="D21" s="220" t="str">
        <f>'Expenditure Breakdown'!M302</f>
        <v>13. Engineering</v>
      </c>
      <c r="E21" s="86"/>
      <c r="F21" s="221">
        <f>'Expenditure Breakdown'!I301</f>
        <v>950000</v>
      </c>
      <c r="G21" s="86"/>
      <c r="H21" s="221">
        <f>'Expenditure Breakdown'!X301</f>
        <v>984324.26</v>
      </c>
      <c r="I21" s="89"/>
      <c r="J21" s="222">
        <f t="shared" si="0"/>
        <v>-34324.260000000009</v>
      </c>
      <c r="K21" s="163"/>
      <c r="L21" s="244"/>
    </row>
    <row r="22" spans="1:12">
      <c r="A22" s="205"/>
      <c r="B22" s="219">
        <f>'Expenditure Breakdown'!L311</f>
        <v>14</v>
      </c>
      <c r="C22" s="208"/>
      <c r="D22" s="220" t="str">
        <f>'Expenditure Breakdown'!M311</f>
        <v>14. General Expenses</v>
      </c>
      <c r="E22" s="86"/>
      <c r="F22" s="221">
        <f>'Expenditure Breakdown'!I311</f>
        <v>0</v>
      </c>
      <c r="G22" s="86"/>
      <c r="H22" s="221">
        <f>'Expenditure Breakdown'!X311</f>
        <v>271181.58</v>
      </c>
      <c r="I22" s="89"/>
      <c r="J22" s="222">
        <f t="shared" si="0"/>
        <v>-271181.58</v>
      </c>
      <c r="K22" s="163"/>
      <c r="L22" s="244"/>
    </row>
    <row r="23" spans="1:12">
      <c r="A23" s="205"/>
      <c r="B23" s="219">
        <f>'Expenditure Breakdown'!L324</f>
        <v>15</v>
      </c>
      <c r="C23" s="208"/>
      <c r="D23" s="220" t="str">
        <f>'Expenditure Breakdown'!M324</f>
        <v>15. Service Add On</v>
      </c>
      <c r="E23" s="86"/>
      <c r="F23" s="221">
        <f>'Expenditure Breakdown'!I324</f>
        <v>0</v>
      </c>
      <c r="G23" s="86"/>
      <c r="H23" s="221">
        <f>'Expenditure Breakdown'!X324</f>
        <v>2249043.0099999998</v>
      </c>
      <c r="I23" s="89"/>
      <c r="J23" s="222">
        <f t="shared" si="0"/>
        <v>-2249043.0099999998</v>
      </c>
      <c r="K23" s="163"/>
      <c r="L23" s="244"/>
    </row>
    <row r="24" spans="1:12" ht="6.75" customHeight="1">
      <c r="A24" s="205"/>
      <c r="B24" s="87"/>
      <c r="C24" s="87"/>
      <c r="D24" s="86"/>
      <c r="E24" s="86"/>
      <c r="F24" s="86"/>
      <c r="G24" s="86"/>
      <c r="H24" s="89"/>
      <c r="I24" s="89"/>
      <c r="J24" s="89"/>
      <c r="K24" s="163"/>
      <c r="L24" s="112"/>
    </row>
    <row r="25" spans="1:12" ht="15" customHeight="1">
      <c r="A25" s="205"/>
      <c r="B25" s="87"/>
      <c r="C25" s="87"/>
      <c r="D25" s="224" t="s">
        <v>285</v>
      </c>
      <c r="E25" s="86"/>
      <c r="F25" s="225">
        <f>'Expenditure Breakdown'!I2-'Expenditure Tracking'!F5</f>
        <v>0</v>
      </c>
      <c r="G25" s="225" t="e">
        <f>#REF!-G5</f>
        <v>#REF!</v>
      </c>
      <c r="H25" s="225">
        <f>'Expenditure Breakdown'!X2-H5</f>
        <v>0</v>
      </c>
      <c r="I25" s="89"/>
      <c r="J25" s="226"/>
      <c r="K25" s="163"/>
      <c r="L25" s="112"/>
    </row>
    <row r="26" spans="1:12" s="3" customFormat="1">
      <c r="B26" s="109"/>
      <c r="C26" s="109"/>
    </row>
    <row r="27" spans="1:12">
      <c r="A27" s="112"/>
      <c r="B27" s="113"/>
      <c r="C27" s="113"/>
      <c r="D27" s="112"/>
      <c r="E27" s="112"/>
      <c r="F27" s="112"/>
      <c r="G27" s="112"/>
      <c r="H27" s="112"/>
      <c r="I27" s="112"/>
      <c r="J27" s="112"/>
      <c r="K27" s="112"/>
      <c r="L27" s="112"/>
    </row>
    <row r="28" spans="1:12">
      <c r="A28" s="112"/>
      <c r="B28" s="113"/>
      <c r="C28" s="113"/>
      <c r="D28" s="112"/>
      <c r="E28" s="112"/>
      <c r="F28" s="112"/>
      <c r="G28" s="112"/>
      <c r="H28" s="112"/>
      <c r="I28" s="112"/>
      <c r="J28" s="112"/>
      <c r="K28" s="112"/>
      <c r="L28" s="112"/>
    </row>
    <row r="29" spans="1:12">
      <c r="A29" s="112"/>
      <c r="B29" s="113"/>
      <c r="C29" s="113"/>
      <c r="E29" s="112"/>
      <c r="F29" s="112"/>
      <c r="G29" s="112"/>
      <c r="H29" s="112"/>
      <c r="I29" s="112"/>
      <c r="J29" s="112"/>
      <c r="K29" s="112"/>
      <c r="L29" s="112"/>
    </row>
    <row r="30" spans="1:12">
      <c r="A30" s="112"/>
      <c r="B30" s="113"/>
      <c r="C30" s="113"/>
      <c r="D30" s="112"/>
      <c r="E30" s="112"/>
      <c r="F30" s="112"/>
      <c r="G30" s="112"/>
      <c r="H30" s="112"/>
      <c r="I30" s="112"/>
      <c r="J30" s="112"/>
      <c r="K30" s="112"/>
      <c r="L30" s="112"/>
    </row>
    <row r="31" spans="1:12">
      <c r="A31" s="112"/>
      <c r="B31" s="113"/>
      <c r="C31" s="113"/>
      <c r="D31" s="112"/>
      <c r="E31" s="112"/>
      <c r="F31" s="112"/>
      <c r="G31" s="112"/>
      <c r="H31" s="112"/>
      <c r="I31" s="112"/>
      <c r="J31" s="112"/>
      <c r="K31" s="112"/>
      <c r="L31" s="112"/>
    </row>
    <row r="32" spans="1:12">
      <c r="A32" s="112"/>
      <c r="B32" s="113"/>
      <c r="C32" s="113"/>
      <c r="D32" s="112"/>
      <c r="E32" s="112"/>
      <c r="F32" s="112"/>
      <c r="G32" s="112"/>
      <c r="H32" s="112"/>
      <c r="I32" s="112"/>
      <c r="J32" s="112"/>
      <c r="K32" s="112"/>
      <c r="L32" s="112"/>
    </row>
    <row r="33" spans="1:12">
      <c r="A33" s="112"/>
      <c r="B33" s="113"/>
      <c r="C33" s="113"/>
      <c r="D33" s="112"/>
      <c r="E33" s="112"/>
      <c r="F33" s="112"/>
      <c r="G33" s="112"/>
      <c r="H33" s="112"/>
      <c r="I33" s="112"/>
      <c r="J33" s="112"/>
      <c r="K33" s="112"/>
      <c r="L33" s="112"/>
    </row>
    <row r="34" spans="1:12">
      <c r="A34" s="112"/>
      <c r="B34" s="113"/>
      <c r="C34" s="113"/>
      <c r="D34" s="112"/>
      <c r="E34" s="112"/>
      <c r="F34" s="112"/>
      <c r="G34" s="112"/>
      <c r="H34" s="112"/>
      <c r="I34" s="112"/>
      <c r="J34" s="112"/>
      <c r="K34" s="112"/>
      <c r="L34" s="112"/>
    </row>
    <row r="35" spans="1:12">
      <c r="A35" s="112"/>
      <c r="B35" s="113"/>
      <c r="C35" s="113"/>
      <c r="D35" s="112"/>
      <c r="E35" s="112"/>
      <c r="F35" s="112"/>
      <c r="G35" s="112"/>
      <c r="H35" s="112"/>
      <c r="I35" s="112"/>
      <c r="J35" s="112"/>
      <c r="K35" s="112"/>
      <c r="L35" s="112"/>
    </row>
    <row r="36" spans="1:12">
      <c r="A36" s="112"/>
      <c r="B36" s="113"/>
      <c r="C36" s="113"/>
      <c r="D36" s="112"/>
      <c r="E36" s="112"/>
      <c r="F36" s="112"/>
      <c r="G36" s="112"/>
      <c r="H36" s="112"/>
      <c r="I36" s="112"/>
      <c r="J36" s="112"/>
      <c r="K36" s="112"/>
      <c r="L36" s="112"/>
    </row>
    <row r="37" spans="1:12">
      <c r="A37" s="112"/>
      <c r="B37" s="113"/>
      <c r="C37" s="113"/>
      <c r="D37" s="112"/>
      <c r="E37" s="112"/>
      <c r="F37" s="112"/>
      <c r="G37" s="112"/>
      <c r="H37" s="112"/>
      <c r="I37" s="112"/>
      <c r="J37" s="112"/>
      <c r="K37" s="112"/>
      <c r="L37" s="112"/>
    </row>
    <row r="38" spans="1:12">
      <c r="A38" s="112"/>
      <c r="B38" s="113"/>
      <c r="C38" s="113"/>
      <c r="D38" s="112"/>
      <c r="E38" s="112"/>
      <c r="F38" s="112"/>
      <c r="G38" s="112"/>
      <c r="H38" s="112"/>
      <c r="I38" s="112"/>
      <c r="J38" s="112"/>
      <c r="K38" s="112"/>
      <c r="L38" s="112"/>
    </row>
    <row r="39" spans="1:12" s="112" customFormat="1">
      <c r="B39" s="113"/>
      <c r="C39" s="113"/>
    </row>
    <row r="40" spans="1:12" s="112" customFormat="1">
      <c r="B40" s="113"/>
      <c r="C40" s="113"/>
    </row>
    <row r="41" spans="1:12" s="112" customFormat="1">
      <c r="B41" s="113"/>
      <c r="C41" s="113"/>
    </row>
    <row r="42" spans="1:12" s="112" customFormat="1">
      <c r="B42" s="113"/>
      <c r="C42" s="113"/>
    </row>
    <row r="43" spans="1:12" s="112" customFormat="1">
      <c r="B43" s="113"/>
      <c r="C43" s="113"/>
    </row>
    <row r="44" spans="1:12" s="112" customFormat="1">
      <c r="B44" s="113"/>
      <c r="C44" s="113"/>
    </row>
    <row r="45" spans="1:12" s="112" customFormat="1">
      <c r="B45" s="113"/>
      <c r="C45" s="113"/>
    </row>
    <row r="46" spans="1:12" s="112" customFormat="1">
      <c r="B46" s="113"/>
      <c r="C46" s="113"/>
    </row>
    <row r="47" spans="1:12" s="112" customFormat="1">
      <c r="B47" s="113"/>
      <c r="C47" s="113"/>
    </row>
    <row r="48" spans="1:12" s="112" customFormat="1">
      <c r="B48" s="113"/>
      <c r="C48" s="113"/>
    </row>
    <row r="49" spans="2:3" s="112" customFormat="1">
      <c r="B49" s="113"/>
      <c r="C49" s="113"/>
    </row>
    <row r="50" spans="2:3" s="112" customFormat="1">
      <c r="B50" s="113"/>
      <c r="C50" s="113"/>
    </row>
    <row r="51" spans="2:3" s="112" customFormat="1">
      <c r="B51" s="113"/>
      <c r="C51" s="113"/>
    </row>
    <row r="52" spans="2:3" s="112" customFormat="1">
      <c r="B52" s="113"/>
      <c r="C52" s="113"/>
    </row>
    <row r="53" spans="2:3" s="112" customFormat="1">
      <c r="B53" s="113"/>
      <c r="C53" s="113"/>
    </row>
    <row r="54" spans="2:3" s="112" customFormat="1">
      <c r="B54" s="113"/>
      <c r="C54" s="113"/>
    </row>
    <row r="55" spans="2:3" s="112" customFormat="1">
      <c r="B55" s="113"/>
      <c r="C55" s="113"/>
    </row>
    <row r="56" spans="2:3" s="112" customFormat="1">
      <c r="B56" s="113"/>
      <c r="C56" s="113"/>
    </row>
    <row r="57" spans="2:3" s="112" customFormat="1">
      <c r="B57" s="113"/>
      <c r="C57" s="113"/>
    </row>
    <row r="58" spans="2:3" s="112" customFormat="1">
      <c r="B58" s="113"/>
      <c r="C58" s="113"/>
    </row>
    <row r="59" spans="2:3" s="112" customFormat="1">
      <c r="B59" s="113"/>
      <c r="C59" s="113"/>
    </row>
    <row r="60" spans="2:3" s="112" customFormat="1">
      <c r="B60" s="113"/>
      <c r="C60" s="113"/>
    </row>
    <row r="61" spans="2:3" s="112" customFormat="1">
      <c r="B61" s="113"/>
      <c r="C61" s="113"/>
    </row>
    <row r="62" spans="2:3" s="112" customFormat="1">
      <c r="B62" s="113"/>
      <c r="C62" s="113"/>
    </row>
    <row r="63" spans="2:3" s="112" customFormat="1">
      <c r="B63" s="113"/>
      <c r="C63" s="113"/>
    </row>
    <row r="64" spans="2:3" s="112" customFormat="1">
      <c r="B64" s="113"/>
      <c r="C64" s="113"/>
    </row>
    <row r="65" spans="2:3" s="112" customFormat="1">
      <c r="B65" s="113"/>
      <c r="C65" s="113"/>
    </row>
    <row r="66" spans="2:3" s="112" customFormat="1">
      <c r="B66" s="113"/>
      <c r="C66" s="113"/>
    </row>
    <row r="67" spans="2:3" s="112" customFormat="1">
      <c r="B67" s="113"/>
      <c r="C67" s="113"/>
    </row>
    <row r="68" spans="2:3" s="112" customFormat="1">
      <c r="B68" s="113"/>
      <c r="C68" s="113"/>
    </row>
    <row r="69" spans="2:3" s="112" customFormat="1">
      <c r="B69" s="113"/>
      <c r="C69" s="113"/>
    </row>
    <row r="70" spans="2:3" s="112" customFormat="1">
      <c r="B70" s="113"/>
      <c r="C70" s="113"/>
    </row>
    <row r="71" spans="2:3" s="112" customFormat="1">
      <c r="B71" s="113"/>
      <c r="C71" s="113"/>
    </row>
    <row r="72" spans="2:3" s="112" customFormat="1">
      <c r="B72" s="113"/>
      <c r="C72" s="113"/>
    </row>
    <row r="73" spans="2:3" s="112" customFormat="1">
      <c r="B73" s="113"/>
      <c r="C73" s="113"/>
    </row>
    <row r="74" spans="2:3" s="112" customFormat="1">
      <c r="B74" s="113"/>
      <c r="C74" s="113"/>
    </row>
    <row r="75" spans="2:3" s="112" customFormat="1">
      <c r="B75" s="113"/>
      <c r="C75" s="113"/>
    </row>
    <row r="76" spans="2:3" s="112" customFormat="1">
      <c r="B76" s="113"/>
      <c r="C76" s="113"/>
    </row>
    <row r="77" spans="2:3" s="112" customFormat="1">
      <c r="B77" s="113"/>
      <c r="C77" s="113"/>
    </row>
    <row r="78" spans="2:3" s="112" customFormat="1">
      <c r="B78" s="113"/>
      <c r="C78" s="113"/>
    </row>
    <row r="79" spans="2:3" s="112" customFormat="1">
      <c r="B79" s="113"/>
      <c r="C79" s="113"/>
    </row>
    <row r="80" spans="2:3" s="112" customFormat="1">
      <c r="B80" s="113"/>
      <c r="C80" s="113"/>
    </row>
    <row r="81" spans="2:3" s="112" customFormat="1">
      <c r="B81" s="113"/>
      <c r="C81" s="113"/>
    </row>
    <row r="82" spans="2:3" s="112" customFormat="1">
      <c r="B82" s="113"/>
      <c r="C82" s="113"/>
    </row>
    <row r="83" spans="2:3" s="112" customFormat="1">
      <c r="B83" s="113"/>
      <c r="C83" s="113"/>
    </row>
    <row r="84" spans="2:3" s="112" customFormat="1">
      <c r="B84" s="113"/>
      <c r="C84" s="113"/>
    </row>
    <row r="85" spans="2:3" s="112" customFormat="1">
      <c r="B85" s="113"/>
      <c r="C85" s="113"/>
    </row>
    <row r="86" spans="2:3" s="112" customFormat="1">
      <c r="B86" s="113"/>
      <c r="C86" s="113"/>
    </row>
    <row r="87" spans="2:3" s="112" customFormat="1">
      <c r="B87" s="113"/>
      <c r="C87" s="113"/>
    </row>
    <row r="88" spans="2:3" s="112" customFormat="1">
      <c r="B88" s="113"/>
      <c r="C88" s="113"/>
    </row>
    <row r="89" spans="2:3" s="112" customFormat="1">
      <c r="B89" s="113"/>
      <c r="C89" s="113"/>
    </row>
    <row r="90" spans="2:3" s="112" customFormat="1">
      <c r="B90" s="113"/>
      <c r="C90" s="113"/>
    </row>
    <row r="91" spans="2:3" s="112" customFormat="1">
      <c r="B91" s="113"/>
      <c r="C91" s="113"/>
    </row>
    <row r="92" spans="2:3" s="112" customFormat="1">
      <c r="B92" s="113"/>
      <c r="C92" s="113"/>
    </row>
    <row r="93" spans="2:3" s="112" customFormat="1">
      <c r="B93" s="113"/>
      <c r="C93" s="113"/>
    </row>
    <row r="94" spans="2:3" s="112" customFormat="1">
      <c r="B94" s="113"/>
      <c r="C94" s="113"/>
    </row>
    <row r="95" spans="2:3" s="112" customFormat="1">
      <c r="B95" s="113"/>
      <c r="C95" s="113"/>
    </row>
    <row r="96" spans="2:3" s="112" customFormat="1">
      <c r="B96" s="113"/>
      <c r="C96" s="113"/>
    </row>
    <row r="97" spans="2:3" s="112" customFormat="1">
      <c r="B97" s="113"/>
      <c r="C97" s="113"/>
    </row>
    <row r="98" spans="2:3" s="112" customFormat="1">
      <c r="B98" s="113"/>
      <c r="C98" s="113"/>
    </row>
    <row r="99" spans="2:3" s="112" customFormat="1">
      <c r="B99" s="113"/>
      <c r="C99" s="113"/>
    </row>
    <row r="100" spans="2:3" s="112" customFormat="1">
      <c r="B100" s="113"/>
      <c r="C100" s="113"/>
    </row>
    <row r="101" spans="2:3" s="112" customFormat="1">
      <c r="B101" s="113"/>
      <c r="C101" s="113"/>
    </row>
    <row r="102" spans="2:3" s="112" customFormat="1">
      <c r="B102" s="113"/>
      <c r="C102" s="113"/>
    </row>
    <row r="103" spans="2:3" s="112" customFormat="1">
      <c r="B103" s="113"/>
      <c r="C103" s="113"/>
    </row>
    <row r="104" spans="2:3" s="112" customFormat="1">
      <c r="B104" s="113"/>
      <c r="C104" s="113"/>
    </row>
    <row r="105" spans="2:3" s="112" customFormat="1">
      <c r="B105" s="113"/>
      <c r="C105" s="113"/>
    </row>
    <row r="106" spans="2:3" s="112" customFormat="1">
      <c r="B106" s="113"/>
      <c r="C106" s="113"/>
    </row>
    <row r="107" spans="2:3" s="112" customFormat="1">
      <c r="B107" s="113"/>
      <c r="C107" s="113"/>
    </row>
    <row r="108" spans="2:3" s="112" customFormat="1">
      <c r="B108" s="113"/>
      <c r="C108" s="113"/>
    </row>
    <row r="109" spans="2:3" s="112" customFormat="1">
      <c r="B109" s="113"/>
      <c r="C109" s="113"/>
    </row>
    <row r="110" spans="2:3" s="112" customFormat="1">
      <c r="B110" s="113"/>
      <c r="C110" s="113"/>
    </row>
    <row r="111" spans="2:3" s="112" customFormat="1">
      <c r="B111" s="113"/>
      <c r="C111" s="113"/>
    </row>
    <row r="112" spans="2:3" s="112" customFormat="1">
      <c r="B112" s="113"/>
      <c r="C112" s="113"/>
    </row>
    <row r="113" spans="2:3" s="112" customFormat="1">
      <c r="B113" s="113"/>
      <c r="C113" s="113"/>
    </row>
    <row r="114" spans="2:3" s="112" customFormat="1">
      <c r="B114" s="113"/>
      <c r="C114" s="113"/>
    </row>
    <row r="115" spans="2:3" s="112" customFormat="1">
      <c r="B115" s="113"/>
      <c r="C115" s="113"/>
    </row>
    <row r="116" spans="2:3" s="112" customFormat="1">
      <c r="B116" s="113"/>
      <c r="C116" s="113"/>
    </row>
    <row r="117" spans="2:3" s="112" customFormat="1">
      <c r="B117" s="113"/>
      <c r="C117" s="113"/>
    </row>
    <row r="118" spans="2:3" s="112" customFormat="1">
      <c r="B118" s="113"/>
      <c r="C118" s="113"/>
    </row>
    <row r="119" spans="2:3" s="112" customFormat="1">
      <c r="B119" s="113"/>
      <c r="C119" s="113"/>
    </row>
    <row r="120" spans="2:3" s="112" customFormat="1">
      <c r="B120" s="113"/>
      <c r="C120" s="113"/>
    </row>
    <row r="121" spans="2:3" s="112" customFormat="1">
      <c r="B121" s="113"/>
      <c r="C121" s="113"/>
    </row>
    <row r="122" spans="2:3" s="112" customFormat="1">
      <c r="B122" s="113"/>
      <c r="C122" s="113"/>
    </row>
    <row r="123" spans="2:3" s="112" customFormat="1">
      <c r="B123" s="113"/>
      <c r="C123" s="113"/>
    </row>
    <row r="124" spans="2:3" s="112" customFormat="1">
      <c r="B124" s="113"/>
      <c r="C124" s="113"/>
    </row>
    <row r="125" spans="2:3" s="112" customFormat="1">
      <c r="B125" s="113"/>
      <c r="C125" s="113"/>
    </row>
    <row r="126" spans="2:3" s="112" customFormat="1">
      <c r="B126" s="113"/>
      <c r="C126" s="113"/>
    </row>
    <row r="127" spans="2:3" s="112" customFormat="1">
      <c r="B127" s="113"/>
      <c r="C127" s="113"/>
    </row>
    <row r="128" spans="2:3" s="112" customFormat="1">
      <c r="B128" s="113"/>
      <c r="C128" s="113"/>
    </row>
    <row r="129" spans="2:3" s="112" customFormat="1">
      <c r="B129" s="113"/>
      <c r="C129" s="113"/>
    </row>
    <row r="130" spans="2:3" s="112" customFormat="1">
      <c r="B130" s="113"/>
      <c r="C130" s="113"/>
    </row>
    <row r="131" spans="2:3" s="112" customFormat="1">
      <c r="B131" s="113"/>
      <c r="C131" s="113"/>
    </row>
    <row r="132" spans="2:3" s="112" customFormat="1">
      <c r="B132" s="113"/>
      <c r="C132" s="113"/>
    </row>
    <row r="133" spans="2:3" s="112" customFormat="1">
      <c r="B133" s="113"/>
      <c r="C133" s="113"/>
    </row>
    <row r="134" spans="2:3" s="112" customFormat="1">
      <c r="B134" s="113"/>
      <c r="C134" s="113"/>
    </row>
    <row r="135" spans="2:3" s="112" customFormat="1">
      <c r="B135" s="113"/>
      <c r="C135" s="113"/>
    </row>
    <row r="136" spans="2:3" s="112" customFormat="1">
      <c r="B136" s="113"/>
      <c r="C136" s="113"/>
    </row>
    <row r="137" spans="2:3" s="112" customFormat="1">
      <c r="B137" s="113"/>
      <c r="C137" s="113"/>
    </row>
    <row r="138" spans="2:3" s="112" customFormat="1">
      <c r="B138" s="113"/>
      <c r="C138" s="113"/>
    </row>
    <row r="139" spans="2:3" s="112" customFormat="1">
      <c r="B139" s="113"/>
      <c r="C139" s="113"/>
    </row>
    <row r="140" spans="2:3" s="112" customFormat="1">
      <c r="B140" s="113"/>
      <c r="C140" s="113"/>
    </row>
    <row r="141" spans="2:3" s="112" customFormat="1">
      <c r="B141" s="113"/>
      <c r="C141" s="113"/>
    </row>
    <row r="142" spans="2:3" s="112" customFormat="1">
      <c r="B142" s="113"/>
      <c r="C142" s="113"/>
    </row>
    <row r="143" spans="2:3" s="112" customFormat="1">
      <c r="B143" s="113"/>
      <c r="C143" s="113"/>
    </row>
    <row r="144" spans="2:3" s="112" customFormat="1">
      <c r="B144" s="113"/>
      <c r="C144" s="113"/>
    </row>
    <row r="145" spans="2:3" s="112" customFormat="1">
      <c r="B145" s="113"/>
      <c r="C145" s="113"/>
    </row>
    <row r="146" spans="2:3" s="112" customFormat="1">
      <c r="B146" s="113"/>
      <c r="C146" s="113"/>
    </row>
    <row r="147" spans="2:3" s="112" customFormat="1">
      <c r="B147" s="113"/>
      <c r="C147" s="113"/>
    </row>
    <row r="148" spans="2:3" s="112" customFormat="1">
      <c r="B148" s="113"/>
      <c r="C148" s="113"/>
    </row>
    <row r="149" spans="2:3" s="112" customFormat="1">
      <c r="B149" s="113"/>
      <c r="C149" s="113"/>
    </row>
    <row r="150" spans="2:3" s="112" customFormat="1">
      <c r="B150" s="113"/>
      <c r="C150" s="113"/>
    </row>
    <row r="151" spans="2:3" s="112" customFormat="1">
      <c r="B151" s="113"/>
      <c r="C151" s="113"/>
    </row>
    <row r="152" spans="2:3" s="112" customFormat="1">
      <c r="B152" s="113"/>
      <c r="C152" s="113"/>
    </row>
    <row r="153" spans="2:3" s="112" customFormat="1">
      <c r="B153" s="113"/>
      <c r="C153" s="113"/>
    </row>
    <row r="154" spans="2:3" s="112" customFormat="1">
      <c r="B154" s="113"/>
      <c r="C154" s="113"/>
    </row>
    <row r="155" spans="2:3" s="112" customFormat="1">
      <c r="B155" s="113"/>
      <c r="C155" s="113"/>
    </row>
    <row r="156" spans="2:3" s="112" customFormat="1">
      <c r="B156" s="113"/>
      <c r="C156" s="113"/>
    </row>
    <row r="157" spans="2:3" s="112" customFormat="1">
      <c r="B157" s="113"/>
      <c r="C157" s="113"/>
    </row>
    <row r="158" spans="2:3" s="112" customFormat="1">
      <c r="B158" s="113"/>
      <c r="C158" s="113"/>
    </row>
    <row r="159" spans="2:3" s="112" customFormat="1">
      <c r="B159" s="113"/>
      <c r="C159" s="113"/>
    </row>
    <row r="160" spans="2:3" s="112" customFormat="1">
      <c r="B160" s="113"/>
      <c r="C160" s="113"/>
    </row>
    <row r="161" spans="2:3" s="112" customFormat="1">
      <c r="B161" s="113"/>
      <c r="C161" s="113"/>
    </row>
    <row r="162" spans="2:3" s="112" customFormat="1">
      <c r="B162" s="113"/>
      <c r="C162" s="113"/>
    </row>
    <row r="163" spans="2:3" s="112" customFormat="1">
      <c r="B163" s="113"/>
      <c r="C163" s="113"/>
    </row>
    <row r="164" spans="2:3" s="112" customFormat="1">
      <c r="B164" s="113"/>
      <c r="C164" s="113"/>
    </row>
    <row r="165" spans="2:3" s="112" customFormat="1">
      <c r="B165" s="113"/>
      <c r="C165" s="113"/>
    </row>
    <row r="166" spans="2:3" s="112" customFormat="1">
      <c r="B166" s="113"/>
      <c r="C166" s="113"/>
    </row>
    <row r="167" spans="2:3" s="112" customFormat="1">
      <c r="B167" s="113"/>
      <c r="C167" s="113"/>
    </row>
    <row r="168" spans="2:3" s="112" customFormat="1">
      <c r="B168" s="113"/>
      <c r="C168" s="113"/>
    </row>
    <row r="169" spans="2:3" s="112" customFormat="1">
      <c r="B169" s="113"/>
      <c r="C169" s="113"/>
    </row>
    <row r="170" spans="2:3" s="112" customFormat="1">
      <c r="B170" s="113"/>
      <c r="C170" s="113"/>
    </row>
    <row r="171" spans="2:3" s="112" customFormat="1">
      <c r="B171" s="113"/>
      <c r="C171" s="113"/>
    </row>
    <row r="172" spans="2:3" s="112" customFormat="1">
      <c r="B172" s="113"/>
      <c r="C172" s="113"/>
    </row>
    <row r="173" spans="2:3" s="112" customFormat="1">
      <c r="B173" s="113"/>
      <c r="C173" s="113"/>
    </row>
    <row r="174" spans="2:3" s="112" customFormat="1">
      <c r="B174" s="113"/>
      <c r="C174" s="113"/>
    </row>
    <row r="175" spans="2:3" s="112" customFormat="1">
      <c r="B175" s="113"/>
      <c r="C175" s="113"/>
    </row>
    <row r="176" spans="2:3" s="112" customFormat="1">
      <c r="B176" s="113"/>
      <c r="C176" s="113"/>
    </row>
    <row r="177" spans="2:3" s="112" customFormat="1">
      <c r="B177" s="113"/>
      <c r="C177" s="113"/>
    </row>
    <row r="178" spans="2:3" s="112" customFormat="1">
      <c r="B178" s="113"/>
      <c r="C178" s="113"/>
    </row>
    <row r="179" spans="2:3" s="112" customFormat="1">
      <c r="B179" s="113"/>
      <c r="C179" s="113"/>
    </row>
    <row r="180" spans="2:3" s="112" customFormat="1">
      <c r="B180" s="113"/>
      <c r="C180" s="113"/>
    </row>
    <row r="181" spans="2:3" s="112" customFormat="1">
      <c r="B181" s="113"/>
      <c r="C181" s="113"/>
    </row>
    <row r="182" spans="2:3" s="112" customFormat="1">
      <c r="B182" s="113"/>
      <c r="C182" s="113"/>
    </row>
    <row r="183" spans="2:3" s="112" customFormat="1">
      <c r="B183" s="113"/>
      <c r="C183" s="113"/>
    </row>
    <row r="184" spans="2:3" s="112" customFormat="1">
      <c r="B184" s="113"/>
      <c r="C184" s="113"/>
    </row>
    <row r="185" spans="2:3" s="112" customFormat="1">
      <c r="B185" s="113"/>
      <c r="C185" s="113"/>
    </row>
    <row r="186" spans="2:3" s="112" customFormat="1">
      <c r="B186" s="113"/>
      <c r="C186" s="113"/>
    </row>
    <row r="187" spans="2:3" s="112" customFormat="1">
      <c r="B187" s="113"/>
      <c r="C187" s="113"/>
    </row>
    <row r="188" spans="2:3" s="112" customFormat="1">
      <c r="B188" s="113"/>
      <c r="C188" s="113"/>
    </row>
    <row r="189" spans="2:3" s="112" customFormat="1">
      <c r="B189" s="113"/>
      <c r="C189" s="113"/>
    </row>
    <row r="190" spans="2:3" s="112" customFormat="1">
      <c r="B190" s="113"/>
      <c r="C190" s="113"/>
    </row>
    <row r="191" spans="2:3" s="112" customFormat="1">
      <c r="B191" s="113"/>
      <c r="C191" s="113"/>
    </row>
    <row r="192" spans="2:3" s="112" customFormat="1">
      <c r="B192" s="113"/>
      <c r="C192" s="113"/>
    </row>
    <row r="193" spans="2:3" s="112" customFormat="1">
      <c r="B193" s="113"/>
      <c r="C193" s="113"/>
    </row>
    <row r="194" spans="2:3" s="112" customFormat="1">
      <c r="B194" s="113"/>
      <c r="C194" s="113"/>
    </row>
    <row r="195" spans="2:3" s="112" customFormat="1">
      <c r="B195" s="113"/>
      <c r="C195" s="113"/>
    </row>
    <row r="196" spans="2:3" s="112" customFormat="1">
      <c r="B196" s="113"/>
      <c r="C196" s="113"/>
    </row>
  </sheetData>
  <sheetProtection formatCells="0" formatColumns="0" formatRows="0" insertColumns="0" insertRows="0" insertHyperlinks="0" deleteColumns="0" deleteRows="0" sort="0" autoFilter="0" pivotTables="0"/>
  <mergeCells count="2">
    <mergeCell ref="B4:D4"/>
    <mergeCell ref="B5:D5"/>
  </mergeCells>
  <conditionalFormatting sqref="F25">
    <cfRule type="cellIs" dxfId="24" priority="5" operator="notEqual">
      <formula>0</formula>
    </cfRule>
  </conditionalFormatting>
  <conditionalFormatting sqref="H25">
    <cfRule type="cellIs" dxfId="23" priority="4" operator="notEqual">
      <formula>0</formula>
    </cfRule>
  </conditionalFormatting>
  <conditionalFormatting sqref="J5 J9:J23">
    <cfRule type="cellIs" dxfId="22" priority="6" operator="lessThan">
      <formula>0</formula>
    </cfRule>
    <cfRule type="cellIs" dxfId="21" priority="7" operator="greaterThanOrEqual">
      <formula>0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238D0-168A-4EB3-ACF2-56119B64779C}">
  <sheetPr codeName="Sheet6"/>
  <dimension ref="A1:BW720"/>
  <sheetViews>
    <sheetView tabSelected="1" topLeftCell="L1" zoomScale="70" zoomScaleNormal="70" workbookViewId="0">
      <pane ySplit="4" topLeftCell="J282" activePane="bottomLeft" state="frozen"/>
      <selection pane="bottomLeft" activeCell="Q301" sqref="Q301"/>
      <selection activeCell="K24" sqref="K24"/>
    </sheetView>
  </sheetViews>
  <sheetFormatPr defaultColWidth="9.42578125" defaultRowHeight="14.1"/>
  <cols>
    <col min="1" max="1" width="2.42578125" style="112" hidden="1" customWidth="1"/>
    <col min="2" max="2" width="5.85546875" style="24" hidden="1" customWidth="1"/>
    <col min="3" max="3" width="35.5703125" style="24" hidden="1" customWidth="1"/>
    <col min="4" max="4" width="54.140625" style="24" hidden="1" customWidth="1"/>
    <col min="5" max="5" width="7.5703125" style="70" hidden="1" customWidth="1"/>
    <col min="6" max="6" width="14.85546875" style="461" hidden="1" customWidth="1"/>
    <col min="7" max="7" width="16.5703125" style="24" hidden="1" customWidth="1"/>
    <col min="8" max="8" width="16.85546875" style="112" hidden="1" customWidth="1"/>
    <col min="9" max="9" width="20.140625" style="339" hidden="1" customWidth="1"/>
    <col min="10" max="10" width="20.140625" style="339" bestFit="1" customWidth="1"/>
    <col min="11" max="11" width="5.5703125" style="112" customWidth="1"/>
    <col min="12" max="12" width="5.85546875" style="112" bestFit="1" customWidth="1"/>
    <col min="13" max="13" width="23.85546875" style="112" bestFit="1" customWidth="1"/>
    <col min="14" max="14" width="67.140625" style="112" customWidth="1"/>
    <col min="15" max="15" width="20.85546875" style="112" bestFit="1" customWidth="1"/>
    <col min="16" max="16" width="16.5703125" style="112" bestFit="1" customWidth="1"/>
    <col min="17" max="17" width="16.85546875" style="112" bestFit="1" customWidth="1"/>
    <col min="18" max="18" width="43.85546875" style="112" bestFit="1" customWidth="1"/>
    <col min="19" max="19" width="45.140625" style="112" bestFit="1" customWidth="1"/>
    <col min="20" max="20" width="14.140625" style="112" bestFit="1" customWidth="1"/>
    <col min="21" max="21" width="22.42578125" style="112" customWidth="1"/>
    <col min="22" max="22" width="18.140625" style="112" customWidth="1"/>
    <col min="23" max="23" width="16.85546875" style="112" bestFit="1" customWidth="1"/>
    <col min="24" max="24" width="19.5703125" style="112" bestFit="1" customWidth="1"/>
    <col min="25" max="25" width="27.42578125" style="112" bestFit="1" customWidth="1"/>
    <col min="26" max="26" width="22.85546875" style="112" bestFit="1" customWidth="1"/>
    <col min="27" max="27" width="7.85546875" style="112" bestFit="1" customWidth="1"/>
    <col min="28" max="28" width="88.140625" style="112" bestFit="1" customWidth="1"/>
    <col min="29" max="75" width="17.42578125" style="112" customWidth="1"/>
    <col min="76" max="16384" width="9.42578125" style="24"/>
  </cols>
  <sheetData>
    <row r="1" spans="1:75" s="112" customFormat="1" ht="4.5" customHeight="1" thickBot="1">
      <c r="E1" s="155"/>
      <c r="F1" s="451"/>
      <c r="H1" s="352"/>
      <c r="I1" s="245"/>
      <c r="J1" s="245"/>
      <c r="O1" s="155"/>
      <c r="P1" s="451"/>
      <c r="Q1" s="352"/>
      <c r="R1" s="352"/>
      <c r="S1" s="352"/>
      <c r="T1" s="352"/>
      <c r="U1" s="352"/>
      <c r="V1" s="352"/>
      <c r="W1" s="352"/>
      <c r="Y1" s="472"/>
    </row>
    <row r="2" spans="1:75" ht="21.75" customHeight="1" thickBot="1">
      <c r="B2" s="891" t="s">
        <v>286</v>
      </c>
      <c r="C2" s="892"/>
      <c r="D2" s="892"/>
      <c r="E2" s="892"/>
      <c r="F2" s="892"/>
      <c r="G2" s="892"/>
      <c r="H2" s="753"/>
      <c r="I2" s="247">
        <f>SUM(I6:I361)</f>
        <v>56096452.079139791</v>
      </c>
      <c r="J2" s="247">
        <f>SUM(J6:J361)-5000</f>
        <v>59994999.999999985</v>
      </c>
      <c r="L2" s="893" t="s">
        <v>287</v>
      </c>
      <c r="M2" s="894"/>
      <c r="N2" s="894"/>
      <c r="O2" s="894"/>
      <c r="P2" s="894"/>
      <c r="Q2" s="894"/>
      <c r="R2" s="895" t="s">
        <v>288</v>
      </c>
      <c r="S2" s="896"/>
      <c r="T2" s="896"/>
      <c r="U2" s="896"/>
      <c r="V2" s="896"/>
      <c r="W2" s="897"/>
      <c r="X2" s="468">
        <f>SUM(X6:X361)</f>
        <v>48692191.566446096</v>
      </c>
    </row>
    <row r="3" spans="1:75" s="112" customFormat="1" ht="13.5" customHeight="1" thickBot="1">
      <c r="E3" s="155"/>
      <c r="F3" s="451"/>
      <c r="I3" s="245"/>
      <c r="J3" s="358"/>
      <c r="O3" s="155"/>
      <c r="P3" s="451"/>
      <c r="Q3" s="246"/>
      <c r="X3" s="469"/>
    </row>
    <row r="4" spans="1:75" s="70" customFormat="1" ht="42.6" thickBot="1">
      <c r="A4" s="155"/>
      <c r="B4" s="248" t="s">
        <v>289</v>
      </c>
      <c r="C4" s="249" t="s">
        <v>290</v>
      </c>
      <c r="D4" s="249" t="s">
        <v>291</v>
      </c>
      <c r="E4" s="249" t="s">
        <v>292</v>
      </c>
      <c r="F4" s="452" t="s">
        <v>293</v>
      </c>
      <c r="G4" s="250" t="s">
        <v>294</v>
      </c>
      <c r="H4" s="360" t="s">
        <v>295</v>
      </c>
      <c r="I4" s="251" t="s">
        <v>296</v>
      </c>
      <c r="J4" s="251" t="str">
        <f>IF(J2-'Revenue Tracking'!D4&gt;=0, "Total Revenue", "ERROR on REV" )</f>
        <v>ERROR on REV</v>
      </c>
      <c r="K4" s="155"/>
      <c r="L4" s="248" t="s">
        <v>289</v>
      </c>
      <c r="M4" s="249" t="s">
        <v>297</v>
      </c>
      <c r="N4" s="249" t="s">
        <v>291</v>
      </c>
      <c r="O4" s="249" t="s">
        <v>292</v>
      </c>
      <c r="P4" s="452" t="s">
        <v>293</v>
      </c>
      <c r="Q4" s="362" t="s">
        <v>298</v>
      </c>
      <c r="R4" s="605" t="s">
        <v>299</v>
      </c>
      <c r="S4" s="606" t="s">
        <v>89</v>
      </c>
      <c r="T4" s="360" t="s">
        <v>90</v>
      </c>
      <c r="U4" s="361" t="s">
        <v>300</v>
      </c>
      <c r="V4" s="362" t="s">
        <v>301</v>
      </c>
      <c r="W4" s="360" t="s">
        <v>295</v>
      </c>
      <c r="X4" s="470" t="s">
        <v>296</v>
      </c>
      <c r="Y4" s="112"/>
      <c r="Z4" s="112"/>
      <c r="AA4" s="112"/>
      <c r="AB4" s="112"/>
      <c r="AC4" s="112"/>
      <c r="AD4" s="112"/>
      <c r="AE4" s="112"/>
      <c r="AF4" s="112"/>
      <c r="AG4" s="112"/>
      <c r="AH4" s="112"/>
      <c r="AI4" s="112"/>
      <c r="AJ4" s="112"/>
      <c r="AK4" s="112"/>
      <c r="AL4" s="112"/>
      <c r="AM4" s="112"/>
      <c r="AN4" s="112"/>
      <c r="AO4" s="112"/>
      <c r="AP4" s="112"/>
      <c r="AQ4" s="112"/>
      <c r="AR4" s="112"/>
      <c r="AS4" s="112"/>
      <c r="AT4" s="112"/>
      <c r="AU4" s="112"/>
      <c r="AV4" s="112"/>
      <c r="AW4" s="112"/>
      <c r="AX4" s="112"/>
      <c r="AY4" s="112"/>
      <c r="AZ4" s="112"/>
      <c r="BA4" s="112"/>
      <c r="BB4" s="112"/>
      <c r="BC4" s="112"/>
      <c r="BD4" s="112"/>
      <c r="BE4" s="112"/>
      <c r="BF4" s="112"/>
      <c r="BG4" s="112"/>
      <c r="BH4" s="112"/>
      <c r="BI4" s="112"/>
      <c r="BJ4" s="112"/>
      <c r="BK4" s="112"/>
      <c r="BL4" s="112"/>
      <c r="BM4" s="112"/>
      <c r="BN4" s="112"/>
      <c r="BO4" s="112"/>
      <c r="BP4" s="112"/>
      <c r="BQ4" s="112"/>
      <c r="BR4" s="112"/>
      <c r="BS4" s="112"/>
      <c r="BT4" s="112"/>
      <c r="BU4" s="112"/>
      <c r="BV4" s="112"/>
      <c r="BW4" s="112"/>
    </row>
    <row r="5" spans="1:75" s="3" customFormat="1" ht="7.5" customHeight="1" thickBot="1">
      <c r="B5" s="252"/>
      <c r="C5" s="253"/>
      <c r="D5" s="253"/>
      <c r="E5" s="254"/>
      <c r="F5" s="453"/>
      <c r="G5" s="255"/>
      <c r="H5" s="489"/>
      <c r="I5" s="256"/>
      <c r="J5" s="256"/>
      <c r="K5" s="257"/>
      <c r="L5" s="252"/>
      <c r="M5" s="253"/>
      <c r="N5" s="253"/>
      <c r="O5" s="254"/>
      <c r="P5" s="453"/>
      <c r="Q5" s="466"/>
      <c r="R5" s="488"/>
      <c r="S5" s="607"/>
      <c r="T5" s="489"/>
      <c r="U5" s="489"/>
      <c r="V5" s="489"/>
      <c r="W5" s="489"/>
      <c r="X5" s="471"/>
      <c r="Y5" s="472"/>
      <c r="Z5" s="112"/>
      <c r="AA5" s="112"/>
      <c r="AB5" s="112"/>
      <c r="AC5" s="112"/>
      <c r="AD5" s="112"/>
      <c r="AE5" s="112"/>
      <c r="AF5" s="112"/>
      <c r="AG5" s="112"/>
      <c r="AH5" s="112"/>
      <c r="AI5" s="112"/>
      <c r="AJ5" s="112"/>
      <c r="AK5" s="112"/>
      <c r="AL5" s="112"/>
      <c r="AM5" s="112"/>
      <c r="AN5" s="112"/>
      <c r="AO5" s="112"/>
      <c r="AP5" s="112"/>
      <c r="AQ5" s="112"/>
      <c r="AR5" s="112"/>
      <c r="AS5" s="112"/>
      <c r="AT5" s="112"/>
      <c r="AU5" s="112"/>
      <c r="AV5" s="112"/>
      <c r="AW5" s="112"/>
      <c r="AX5" s="112"/>
      <c r="AY5" s="112"/>
      <c r="AZ5" s="112"/>
      <c r="BA5" s="112"/>
      <c r="BB5" s="112"/>
      <c r="BC5" s="112"/>
      <c r="BD5" s="112"/>
      <c r="BE5" s="112"/>
      <c r="BF5" s="112"/>
      <c r="BG5" s="112"/>
      <c r="BH5" s="112"/>
      <c r="BI5" s="112"/>
      <c r="BJ5" s="112"/>
      <c r="BK5" s="112"/>
      <c r="BL5" s="112"/>
      <c r="BM5" s="112"/>
      <c r="BN5" s="112"/>
      <c r="BO5" s="112"/>
      <c r="BP5" s="112"/>
      <c r="BQ5" s="112"/>
      <c r="BR5" s="112"/>
      <c r="BS5" s="112"/>
      <c r="BT5" s="112"/>
      <c r="BU5" s="112"/>
      <c r="BV5" s="112"/>
      <c r="BW5" s="112"/>
    </row>
    <row r="6" spans="1:75" ht="14.25" customHeight="1">
      <c r="B6" s="270">
        <v>1</v>
      </c>
      <c r="C6" s="340" t="s">
        <v>302</v>
      </c>
      <c r="D6" s="271" t="s">
        <v>303</v>
      </c>
      <c r="E6" s="272"/>
      <c r="F6" s="424"/>
      <c r="G6" s="380">
        <f>D362</f>
        <v>14537831.300000001</v>
      </c>
      <c r="H6" s="523">
        <v>45827</v>
      </c>
      <c r="I6" s="885">
        <f>SUM(G6:G19)</f>
        <v>14537831.300000001</v>
      </c>
      <c r="J6" s="885">
        <f>F362</f>
        <v>15101045.605359133</v>
      </c>
      <c r="K6" s="377"/>
      <c r="L6" s="270">
        <v>1</v>
      </c>
      <c r="M6" s="405" t="s">
        <v>304</v>
      </c>
      <c r="N6" s="271" t="s">
        <v>305</v>
      </c>
      <c r="O6" s="539">
        <v>11420</v>
      </c>
      <c r="P6" s="630">
        <v>0.1</v>
      </c>
      <c r="Q6" s="380">
        <f>13735976*0.1</f>
        <v>1373597.6</v>
      </c>
      <c r="R6" s="898" t="s">
        <v>306</v>
      </c>
      <c r="S6" s="608" t="s">
        <v>307</v>
      </c>
      <c r="T6" s="704">
        <v>45869</v>
      </c>
      <c r="U6" s="706">
        <v>1510104.5605359133</v>
      </c>
      <c r="V6" s="888">
        <f>J6-SUM(U6:U19)</f>
        <v>0</v>
      </c>
      <c r="W6" s="523">
        <v>45827</v>
      </c>
      <c r="X6" s="875">
        <f>SUM(Q6:Q19)</f>
        <v>13735976</v>
      </c>
      <c r="Y6" s="472"/>
    </row>
    <row r="7" spans="1:75" ht="15" customHeight="1">
      <c r="B7" s="300">
        <v>1</v>
      </c>
      <c r="C7" s="406"/>
      <c r="D7" s="378" t="s">
        <v>308</v>
      </c>
      <c r="E7" s="379"/>
      <c r="F7" s="446"/>
      <c r="G7" s="304"/>
      <c r="H7" s="560"/>
      <c r="I7" s="886"/>
      <c r="J7" s="886"/>
      <c r="K7" s="277"/>
      <c r="L7" s="300">
        <v>1</v>
      </c>
      <c r="M7" s="302" t="s">
        <v>304</v>
      </c>
      <c r="N7" s="378"/>
      <c r="O7" s="540"/>
      <c r="P7" s="431"/>
      <c r="Q7" s="304"/>
      <c r="R7" s="899"/>
      <c r="S7" s="609"/>
      <c r="T7" s="675" t="s">
        <v>309</v>
      </c>
      <c r="U7" s="680">
        <v>0</v>
      </c>
      <c r="V7" s="889"/>
      <c r="W7" s="560"/>
      <c r="X7" s="876"/>
      <c r="Y7" s="472"/>
    </row>
    <row r="8" spans="1:75" ht="15" customHeight="1">
      <c r="B8" s="372">
        <v>1</v>
      </c>
      <c r="C8" s="475"/>
      <c r="D8" s="476"/>
      <c r="E8" s="477"/>
      <c r="F8" s="431"/>
      <c r="G8" s="375"/>
      <c r="H8" s="560"/>
      <c r="I8" s="886"/>
      <c r="J8" s="886"/>
      <c r="K8" s="277"/>
      <c r="L8" s="300">
        <v>1</v>
      </c>
      <c r="M8" s="302" t="s">
        <v>304</v>
      </c>
      <c r="N8" s="476" t="s">
        <v>310</v>
      </c>
      <c r="O8" s="541">
        <v>5112</v>
      </c>
      <c r="P8" s="431">
        <v>1202.8</v>
      </c>
      <c r="Q8" s="304">
        <f>1675740.96/1.15</f>
        <v>1457166.0521739132</v>
      </c>
      <c r="R8" s="899"/>
      <c r="S8" s="608" t="s">
        <v>311</v>
      </c>
      <c r="T8" s="675">
        <v>45869</v>
      </c>
      <c r="U8" s="680">
        <v>6083790.7724287482</v>
      </c>
      <c r="V8" s="889"/>
      <c r="W8" s="757">
        <v>45925</v>
      </c>
      <c r="X8" s="876"/>
      <c r="Y8" s="472"/>
    </row>
    <row r="9" spans="1:75" ht="15" customHeight="1">
      <c r="B9" s="372"/>
      <c r="C9" s="475"/>
      <c r="D9" s="476"/>
      <c r="E9" s="477"/>
      <c r="F9" s="431"/>
      <c r="G9" s="375"/>
      <c r="H9" s="561"/>
      <c r="I9" s="886"/>
      <c r="J9" s="886"/>
      <c r="K9" s="277"/>
      <c r="L9" s="300">
        <v>1</v>
      </c>
      <c r="M9" s="302" t="s">
        <v>304</v>
      </c>
      <c r="N9" s="476"/>
      <c r="O9" s="776"/>
      <c r="P9" s="431"/>
      <c r="Q9" s="304">
        <f>(2000000+237905.06+2243727.74)/1.15</f>
        <v>3897072.0000000009</v>
      </c>
      <c r="R9" s="899"/>
      <c r="S9" s="608" t="s">
        <v>311</v>
      </c>
      <c r="T9" s="675">
        <v>45869</v>
      </c>
      <c r="U9" s="681">
        <v>0</v>
      </c>
      <c r="V9" s="889"/>
      <c r="W9" s="775">
        <v>45946</v>
      </c>
      <c r="X9" s="876"/>
      <c r="Y9" s="472"/>
    </row>
    <row r="10" spans="1:75" ht="15" customHeight="1">
      <c r="B10" s="372"/>
      <c r="C10" s="475"/>
      <c r="D10" s="476"/>
      <c r="E10" s="477"/>
      <c r="F10" s="431"/>
      <c r="G10" s="375"/>
      <c r="H10" s="561"/>
      <c r="I10" s="886"/>
      <c r="J10" s="886"/>
      <c r="K10" s="277"/>
      <c r="L10" s="300">
        <v>1</v>
      </c>
      <c r="M10" s="302" t="s">
        <v>304</v>
      </c>
      <c r="N10" s="476"/>
      <c r="O10" s="776"/>
      <c r="P10" s="431"/>
      <c r="Q10" s="304">
        <f>6148713.6-Q8-Q9-614871.36</f>
        <v>179604.18782608525</v>
      </c>
      <c r="R10" s="899"/>
      <c r="S10" s="608" t="s">
        <v>311</v>
      </c>
      <c r="T10" s="675">
        <v>45869</v>
      </c>
      <c r="U10" s="681">
        <v>0</v>
      </c>
      <c r="V10" s="889"/>
      <c r="W10" s="775">
        <v>46031</v>
      </c>
      <c r="X10" s="876"/>
      <c r="Y10" s="472"/>
    </row>
    <row r="11" spans="1:75" ht="15" customHeight="1">
      <c r="B11" s="372">
        <v>1</v>
      </c>
      <c r="C11" s="475"/>
      <c r="D11" s="476"/>
      <c r="E11" s="477"/>
      <c r="F11" s="431"/>
      <c r="G11" s="375"/>
      <c r="H11" s="561"/>
      <c r="I11" s="886"/>
      <c r="J11" s="886"/>
      <c r="K11" s="277"/>
      <c r="L11" s="300">
        <v>1</v>
      </c>
      <c r="M11" s="302" t="s">
        <v>304</v>
      </c>
      <c r="N11" s="476" t="s">
        <v>312</v>
      </c>
      <c r="O11" s="541">
        <f>4032+2268</f>
        <v>6300</v>
      </c>
      <c r="P11" s="431">
        <v>1202.8</v>
      </c>
      <c r="Q11" s="304">
        <v>869565.22</v>
      </c>
      <c r="R11" s="899"/>
      <c r="S11" s="608" t="s">
        <v>311</v>
      </c>
      <c r="T11" s="675">
        <v>45869</v>
      </c>
      <c r="U11" s="681">
        <v>7497629.4730635975</v>
      </c>
      <c r="V11" s="889"/>
      <c r="W11" s="775">
        <v>46031</v>
      </c>
      <c r="X11" s="876"/>
      <c r="Y11" s="472"/>
    </row>
    <row r="12" spans="1:75" ht="15" customHeight="1">
      <c r="B12" s="372"/>
      <c r="C12" s="475"/>
      <c r="D12" s="476"/>
      <c r="E12" s="477"/>
      <c r="F12" s="431"/>
      <c r="G12" s="375"/>
      <c r="H12" s="561"/>
      <c r="I12" s="886"/>
      <c r="J12" s="886"/>
      <c r="K12" s="277"/>
      <c r="L12" s="300">
        <v>1</v>
      </c>
      <c r="M12" s="302" t="s">
        <v>304</v>
      </c>
      <c r="N12" s="476"/>
      <c r="O12" s="541"/>
      <c r="P12" s="431"/>
      <c r="Q12" s="304">
        <v>637461.31000000006</v>
      </c>
      <c r="R12" s="899"/>
      <c r="S12" s="608" t="s">
        <v>311</v>
      </c>
      <c r="T12" s="675">
        <v>45869</v>
      </c>
      <c r="U12" s="681">
        <v>0</v>
      </c>
      <c r="V12" s="889"/>
      <c r="W12" s="775">
        <v>46031</v>
      </c>
      <c r="X12" s="876"/>
      <c r="Y12" s="472"/>
    </row>
    <row r="13" spans="1:75" ht="15" customHeight="1">
      <c r="B13" s="372"/>
      <c r="C13" s="475"/>
      <c r="D13" s="476"/>
      <c r="E13" s="477"/>
      <c r="F13" s="431"/>
      <c r="G13" s="375"/>
      <c r="H13" s="561"/>
      <c r="I13" s="886"/>
      <c r="J13" s="886"/>
      <c r="K13" s="277"/>
      <c r="L13" s="300">
        <v>1</v>
      </c>
      <c r="M13" s="302" t="s">
        <v>304</v>
      </c>
      <c r="N13" s="476"/>
      <c r="O13" s="541"/>
      <c r="P13" s="431"/>
      <c r="Q13" s="304">
        <v>1006679.1304347827</v>
      </c>
      <c r="R13" s="899"/>
      <c r="S13" s="608" t="s">
        <v>311</v>
      </c>
      <c r="T13" s="675">
        <v>45869</v>
      </c>
      <c r="U13" s="681">
        <v>0</v>
      </c>
      <c r="V13" s="889"/>
      <c r="W13" s="775">
        <v>46037</v>
      </c>
      <c r="X13" s="876"/>
      <c r="Y13" s="472"/>
    </row>
    <row r="14" spans="1:75" ht="15" customHeight="1">
      <c r="B14" s="372"/>
      <c r="C14" s="475"/>
      <c r="D14" s="476"/>
      <c r="E14" s="477"/>
      <c r="F14" s="431"/>
      <c r="G14" s="375"/>
      <c r="H14" s="561"/>
      <c r="I14" s="886"/>
      <c r="J14" s="886"/>
      <c r="K14" s="277"/>
      <c r="L14" s="300">
        <v>1</v>
      </c>
      <c r="M14" s="302" t="s">
        <v>304</v>
      </c>
      <c r="N14" s="476"/>
      <c r="O14" s="541"/>
      <c r="P14" s="431"/>
      <c r="Q14" s="304">
        <v>1277597.209</v>
      </c>
      <c r="R14" s="899"/>
      <c r="S14" s="608" t="s">
        <v>311</v>
      </c>
      <c r="T14" s="675">
        <v>45869</v>
      </c>
      <c r="U14" s="681">
        <v>0</v>
      </c>
      <c r="V14" s="889"/>
      <c r="W14" s="525">
        <v>46045</v>
      </c>
      <c r="X14" s="876"/>
      <c r="Y14" s="472"/>
    </row>
    <row r="15" spans="1:75" ht="15" customHeight="1">
      <c r="B15" s="372"/>
      <c r="C15" s="475"/>
      <c r="D15" s="476"/>
      <c r="E15" s="477"/>
      <c r="F15" s="431"/>
      <c r="G15" s="375"/>
      <c r="H15" s="561"/>
      <c r="I15" s="886"/>
      <c r="J15" s="886"/>
      <c r="K15" s="277"/>
      <c r="L15" s="300">
        <v>1</v>
      </c>
      <c r="M15" s="302" t="s">
        <v>304</v>
      </c>
      <c r="N15" s="476"/>
      <c r="O15" s="541"/>
      <c r="P15" s="431"/>
      <c r="Q15" s="304">
        <v>1304347.8259999999</v>
      </c>
      <c r="R15" s="899"/>
      <c r="S15" s="608" t="s">
        <v>311</v>
      </c>
      <c r="T15" s="675">
        <v>45869</v>
      </c>
      <c r="U15" s="681">
        <v>0</v>
      </c>
      <c r="V15" s="889"/>
      <c r="W15" s="525">
        <v>46051</v>
      </c>
      <c r="X15" s="876"/>
      <c r="Y15" s="472"/>
    </row>
    <row r="16" spans="1:75" ht="15" customHeight="1">
      <c r="B16" s="372"/>
      <c r="C16" s="475"/>
      <c r="D16" s="476"/>
      <c r="E16" s="477"/>
      <c r="F16" s="431"/>
      <c r="G16" s="375"/>
      <c r="H16" s="561"/>
      <c r="I16" s="886"/>
      <c r="J16" s="886"/>
      <c r="K16" s="277"/>
      <c r="L16" s="300">
        <v>1</v>
      </c>
      <c r="M16" s="302" t="s">
        <v>304</v>
      </c>
      <c r="N16" s="476"/>
      <c r="O16" s="541"/>
      <c r="P16" s="431"/>
      <c r="Q16" s="304">
        <f>6819876-Q11-Q12-Q13-Q14-Q15</f>
        <v>1724225.3045652178</v>
      </c>
      <c r="R16" s="899"/>
      <c r="S16" s="608" t="s">
        <v>311</v>
      </c>
      <c r="T16" s="675">
        <v>45869</v>
      </c>
      <c r="U16" s="681">
        <v>0</v>
      </c>
      <c r="V16" s="889"/>
      <c r="W16" s="525">
        <v>46051</v>
      </c>
      <c r="X16" s="876"/>
      <c r="Y16" s="472"/>
    </row>
    <row r="17" spans="1:31" ht="15" customHeight="1">
      <c r="B17" s="372">
        <v>1</v>
      </c>
      <c r="C17" s="475"/>
      <c r="D17" s="476"/>
      <c r="E17" s="477"/>
      <c r="F17" s="431"/>
      <c r="G17" s="375"/>
      <c r="H17" s="561"/>
      <c r="I17" s="886"/>
      <c r="J17" s="886"/>
      <c r="K17" s="277"/>
      <c r="L17" s="300">
        <v>1</v>
      </c>
      <c r="M17" s="302" t="s">
        <v>304</v>
      </c>
      <c r="N17" s="476" t="s">
        <v>313</v>
      </c>
      <c r="O17" s="541">
        <v>8</v>
      </c>
      <c r="P17" s="431">
        <v>1202.8</v>
      </c>
      <c r="Q17" s="304">
        <f t="shared" ref="Q17" si="0">13735976*0.9*(O17/$O$6)</f>
        <v>8660.16</v>
      </c>
      <c r="R17" s="900"/>
      <c r="S17" s="608" t="s">
        <v>311</v>
      </c>
      <c r="T17" s="675">
        <v>45869</v>
      </c>
      <c r="U17" s="681">
        <v>9520.7993308744099</v>
      </c>
      <c r="V17" s="889"/>
      <c r="W17" s="525">
        <f>W16</f>
        <v>46051</v>
      </c>
      <c r="X17" s="876"/>
      <c r="Y17" s="472"/>
      <c r="AB17" s="868" t="s">
        <v>314</v>
      </c>
      <c r="AC17" s="868"/>
    </row>
    <row r="18" spans="1:31" ht="15" customHeight="1" thickBot="1">
      <c r="B18" s="305">
        <v>1</v>
      </c>
      <c r="C18" s="407"/>
      <c r="D18" s="381"/>
      <c r="E18" s="382"/>
      <c r="F18" s="447"/>
      <c r="G18" s="319"/>
      <c r="H18" s="562"/>
      <c r="I18" s="886"/>
      <c r="J18" s="886"/>
      <c r="K18" s="789"/>
      <c r="L18" s="790">
        <v>1</v>
      </c>
      <c r="M18" s="791" t="s">
        <v>304</v>
      </c>
      <c r="N18" s="791" t="s">
        <v>315</v>
      </c>
      <c r="O18" s="792">
        <v>1</v>
      </c>
      <c r="P18" s="793">
        <v>43292.88</v>
      </c>
      <c r="Q18" s="794">
        <f>P18</f>
        <v>43292.88</v>
      </c>
      <c r="R18" s="800"/>
      <c r="S18" s="801" t="s">
        <v>316</v>
      </c>
      <c r="T18" s="802">
        <v>45900</v>
      </c>
      <c r="U18" s="806">
        <v>0</v>
      </c>
      <c r="V18" s="889"/>
      <c r="W18" s="775">
        <f>W9</f>
        <v>45946</v>
      </c>
      <c r="X18" s="876"/>
      <c r="Y18" s="590" t="s">
        <v>317</v>
      </c>
      <c r="Z18" s="591" t="s">
        <v>318</v>
      </c>
    </row>
    <row r="19" spans="1:31" ht="15" customHeight="1" thickBot="1">
      <c r="B19" s="305">
        <v>1</v>
      </c>
      <c r="C19" s="407"/>
      <c r="D19" s="381"/>
      <c r="E19" s="382"/>
      <c r="F19" s="447"/>
      <c r="G19" s="319"/>
      <c r="H19" s="562"/>
      <c r="I19" s="887"/>
      <c r="J19" s="887"/>
      <c r="K19" s="278"/>
      <c r="L19" s="795">
        <v>1</v>
      </c>
      <c r="M19" s="796" t="s">
        <v>304</v>
      </c>
      <c r="N19" s="796" t="s">
        <v>315</v>
      </c>
      <c r="O19" s="797">
        <v>1</v>
      </c>
      <c r="P19" s="798">
        <v>-43292.88</v>
      </c>
      <c r="Q19" s="799">
        <f>P19</f>
        <v>-43292.88</v>
      </c>
      <c r="R19" s="803"/>
      <c r="S19" s="804" t="s">
        <v>319</v>
      </c>
      <c r="T19" s="805">
        <v>45991</v>
      </c>
      <c r="U19" s="807">
        <v>0</v>
      </c>
      <c r="V19" s="890"/>
      <c r="W19" s="525">
        <f>W16</f>
        <v>46051</v>
      </c>
      <c r="X19" s="877"/>
      <c r="Y19" s="590" t="s">
        <v>317</v>
      </c>
      <c r="Z19" s="591" t="s">
        <v>318</v>
      </c>
    </row>
    <row r="20" spans="1:31" ht="14.45" thickBot="1">
      <c r="A20" s="24"/>
      <c r="B20" s="265"/>
      <c r="C20" s="266"/>
      <c r="D20" s="267"/>
      <c r="E20" s="280"/>
      <c r="F20" s="443"/>
      <c r="G20" s="268"/>
      <c r="H20" s="563"/>
      <c r="I20" s="269"/>
      <c r="J20" s="269"/>
      <c r="K20" s="24"/>
      <c r="L20" s="265"/>
      <c r="M20" s="392"/>
      <c r="N20" s="267"/>
      <c r="O20" s="543"/>
      <c r="P20" s="443"/>
      <c r="Q20" s="268"/>
      <c r="R20" s="577"/>
      <c r="S20" s="612"/>
      <c r="T20" s="512" t="str">
        <f t="shared" ref="T20:T48" si="1">IF(W20&gt;1,EOMONTH(W20,0),"")</f>
        <v/>
      </c>
      <c r="U20" s="496"/>
      <c r="V20" s="487"/>
      <c r="W20" s="563"/>
      <c r="X20" s="339"/>
      <c r="Y20" s="592" t="s">
        <v>320</v>
      </c>
      <c r="Z20" s="593">
        <f>G96</f>
        <v>2941866.9</v>
      </c>
      <c r="AB20" s="657" t="s">
        <v>321</v>
      </c>
      <c r="AC20" s="658">
        <v>4000000</v>
      </c>
      <c r="AD20" s="659" t="s">
        <v>322</v>
      </c>
      <c r="AE20" s="660">
        <f>AC20/4000000</f>
        <v>1</v>
      </c>
    </row>
    <row r="21" spans="1:31" ht="14.25" customHeight="1">
      <c r="B21" s="282">
        <v>2</v>
      </c>
      <c r="C21" s="308" t="s">
        <v>323</v>
      </c>
      <c r="D21" s="308" t="s">
        <v>324</v>
      </c>
      <c r="E21" s="353"/>
      <c r="F21" s="444"/>
      <c r="G21" s="285">
        <f>D363</f>
        <v>2760000</v>
      </c>
      <c r="H21" s="527">
        <v>45820</v>
      </c>
      <c r="I21" s="869">
        <f>SUM(G21:G27)</f>
        <v>2760000</v>
      </c>
      <c r="J21" s="869">
        <f>F363</f>
        <v>2982470.7100577182</v>
      </c>
      <c r="K21" s="286"/>
      <c r="L21" s="282">
        <v>2</v>
      </c>
      <c r="M21" s="408" t="s">
        <v>325</v>
      </c>
      <c r="N21" s="308" t="s">
        <v>326</v>
      </c>
      <c r="O21" s="544">
        <v>23</v>
      </c>
      <c r="P21" s="444">
        <f>6087*17.7457</f>
        <v>108018.0759</v>
      </c>
      <c r="Q21" s="285">
        <f>O21*P21*30%</f>
        <v>745324.72370999993</v>
      </c>
      <c r="R21" s="883" t="s">
        <v>327</v>
      </c>
      <c r="S21" s="613" t="s">
        <v>328</v>
      </c>
      <c r="T21" s="705">
        <v>45869</v>
      </c>
      <c r="U21" s="707">
        <v>886426.77283851232</v>
      </c>
      <c r="V21" s="878">
        <f>J21-SUM(U21:U27)</f>
        <v>-2.8844410553574562E-4</v>
      </c>
      <c r="W21" s="527">
        <v>45820</v>
      </c>
      <c r="X21" s="872">
        <f>SUM(Q21:Q27)</f>
        <v>2495176.22371</v>
      </c>
      <c r="Y21" s="592" t="s">
        <v>329</v>
      </c>
      <c r="Z21" s="594">
        <f>G50</f>
        <v>4558110</v>
      </c>
      <c r="AB21" s="661"/>
      <c r="AE21" s="662"/>
    </row>
    <row r="22" spans="1:31" ht="14.25" customHeight="1">
      <c r="B22" s="287">
        <v>2</v>
      </c>
      <c r="C22" s="414"/>
      <c r="D22" s="397"/>
      <c r="E22" s="478"/>
      <c r="F22" s="440"/>
      <c r="G22" s="467"/>
      <c r="H22" s="528"/>
      <c r="I22" s="870"/>
      <c r="J22" s="870"/>
      <c r="K22" s="290"/>
      <c r="L22" s="287">
        <v>2</v>
      </c>
      <c r="M22" s="414" t="s">
        <v>325</v>
      </c>
      <c r="N22" s="397" t="s">
        <v>330</v>
      </c>
      <c r="O22" s="545"/>
      <c r="P22" s="440"/>
      <c r="Q22" s="467">
        <v>1749851.5</v>
      </c>
      <c r="R22" s="884"/>
      <c r="S22" s="614" t="s">
        <v>331</v>
      </c>
      <c r="T22" s="685">
        <v>45869</v>
      </c>
      <c r="U22" s="682">
        <v>2081126.7475076499</v>
      </c>
      <c r="V22" s="879"/>
      <c r="W22" s="528">
        <v>45855</v>
      </c>
      <c r="X22" s="873"/>
      <c r="Y22" s="592" t="s">
        <v>332</v>
      </c>
      <c r="Z22" s="593">
        <f>G183</f>
        <v>1062060</v>
      </c>
      <c r="AA22" s="629">
        <f>Z22/7080000</f>
        <v>0.1500084745762712</v>
      </c>
      <c r="AB22" s="661" t="s">
        <v>333</v>
      </c>
      <c r="AE22" s="662"/>
    </row>
    <row r="23" spans="1:31" ht="14.25" customHeight="1">
      <c r="B23" s="287">
        <v>2</v>
      </c>
      <c r="C23" s="414"/>
      <c r="D23" s="397"/>
      <c r="E23" s="478"/>
      <c r="F23" s="440"/>
      <c r="G23" s="467"/>
      <c r="H23" s="565"/>
      <c r="I23" s="870"/>
      <c r="J23" s="870"/>
      <c r="K23" s="290"/>
      <c r="L23" s="287">
        <v>2</v>
      </c>
      <c r="M23" s="414" t="s">
        <v>325</v>
      </c>
      <c r="N23" s="397"/>
      <c r="O23" s="545"/>
      <c r="P23" s="440"/>
      <c r="Q23" s="467"/>
      <c r="R23" s="884"/>
      <c r="S23" s="614"/>
      <c r="T23" s="514" t="str">
        <f t="shared" si="1"/>
        <v/>
      </c>
      <c r="U23" s="498">
        <f>(Q23/$X$21*$J$21)</f>
        <v>0</v>
      </c>
      <c r="V23" s="879"/>
      <c r="W23" s="565"/>
      <c r="X23" s="873"/>
      <c r="Y23" s="592" t="s">
        <v>334</v>
      </c>
      <c r="Z23" s="593">
        <f>G184</f>
        <v>3298351.2369999997</v>
      </c>
      <c r="AA23" s="629">
        <f>Z23/7080000</f>
        <v>0.46586881878531072</v>
      </c>
      <c r="AB23" s="663" t="s">
        <v>335</v>
      </c>
      <c r="AC23" s="664">
        <v>550000</v>
      </c>
      <c r="AD23" s="665"/>
      <c r="AE23" s="666"/>
    </row>
    <row r="24" spans="1:31" ht="14.25" customHeight="1">
      <c r="B24" s="287">
        <v>2</v>
      </c>
      <c r="C24" s="414"/>
      <c r="D24" s="397"/>
      <c r="E24" s="478"/>
      <c r="F24" s="440"/>
      <c r="G24" s="467"/>
      <c r="H24" s="528"/>
      <c r="I24" s="870"/>
      <c r="J24" s="870"/>
      <c r="K24" s="290"/>
      <c r="L24" s="287">
        <v>2</v>
      </c>
      <c r="M24" s="414" t="s">
        <v>325</v>
      </c>
      <c r="N24" s="397"/>
      <c r="O24" s="653"/>
      <c r="P24" s="440"/>
      <c r="Q24" s="467"/>
      <c r="R24" s="882"/>
      <c r="S24" s="614"/>
      <c r="T24" s="673">
        <v>45900</v>
      </c>
      <c r="U24" s="682">
        <v>14917.189999999999</v>
      </c>
      <c r="V24" s="879"/>
      <c r="W24" s="528">
        <v>45820</v>
      </c>
      <c r="X24" s="873"/>
      <c r="Y24" s="592" t="s">
        <v>336</v>
      </c>
      <c r="Z24" s="593">
        <f>G227</f>
        <v>85000</v>
      </c>
    </row>
    <row r="25" spans="1:31" ht="14.25" customHeight="1">
      <c r="B25" s="287">
        <v>2</v>
      </c>
      <c r="C25" s="414"/>
      <c r="D25" s="397"/>
      <c r="E25" s="478"/>
      <c r="F25" s="440"/>
      <c r="G25" s="467"/>
      <c r="H25" s="565"/>
      <c r="I25" s="870"/>
      <c r="J25" s="870"/>
      <c r="K25" s="290"/>
      <c r="L25" s="287">
        <v>2</v>
      </c>
      <c r="M25" s="414" t="s">
        <v>325</v>
      </c>
      <c r="N25" s="822" t="s">
        <v>337</v>
      </c>
      <c r="O25" s="653"/>
      <c r="P25" s="440"/>
      <c r="Q25" s="467">
        <v>899.72</v>
      </c>
      <c r="R25" s="579"/>
      <c r="S25" s="614" t="s">
        <v>338</v>
      </c>
      <c r="T25" s="673">
        <v>46022</v>
      </c>
      <c r="U25" s="781">
        <v>0</v>
      </c>
      <c r="V25" s="879"/>
      <c r="W25" s="768">
        <v>46053</v>
      </c>
      <c r="X25" s="873"/>
      <c r="Y25" s="592" t="s">
        <v>339</v>
      </c>
      <c r="Z25" s="593">
        <f>G228</f>
        <v>133245.9</v>
      </c>
      <c r="AB25" s="657" t="s">
        <v>340</v>
      </c>
      <c r="AC25" s="659"/>
      <c r="AD25" s="659"/>
      <c r="AE25" s="667"/>
    </row>
    <row r="26" spans="1:31" ht="14.25" customHeight="1">
      <c r="B26" s="287">
        <v>2</v>
      </c>
      <c r="C26" s="414"/>
      <c r="D26" s="397"/>
      <c r="E26" s="478"/>
      <c r="F26" s="440"/>
      <c r="G26" s="467"/>
      <c r="H26" s="565"/>
      <c r="I26" s="870"/>
      <c r="J26" s="870"/>
      <c r="K26" s="290"/>
      <c r="L26" s="287">
        <v>2</v>
      </c>
      <c r="M26" s="414" t="s">
        <v>325</v>
      </c>
      <c r="N26" s="397"/>
      <c r="O26" s="545"/>
      <c r="P26" s="440"/>
      <c r="Q26" s="467">
        <v>-899.72</v>
      </c>
      <c r="R26" s="579"/>
      <c r="S26" s="614" t="s">
        <v>338</v>
      </c>
      <c r="T26" s="780">
        <v>46053</v>
      </c>
      <c r="U26" s="781">
        <v>0</v>
      </c>
      <c r="V26" s="879"/>
      <c r="W26" s="768">
        <v>46053</v>
      </c>
      <c r="X26" s="873"/>
      <c r="Y26" s="592" t="s">
        <v>341</v>
      </c>
      <c r="Z26" s="593">
        <f>G232</f>
        <v>176058.33333333331</v>
      </c>
      <c r="AB26" s="661"/>
      <c r="AE26" s="662"/>
    </row>
    <row r="27" spans="1:31" ht="15" customHeight="1" thickBot="1">
      <c r="B27" s="384">
        <v>2</v>
      </c>
      <c r="C27" s="385"/>
      <c r="D27" s="385"/>
      <c r="E27" s="386"/>
      <c r="F27" s="454"/>
      <c r="G27" s="387"/>
      <c r="H27" s="566"/>
      <c r="I27" s="871"/>
      <c r="J27" s="871"/>
      <c r="K27" s="295"/>
      <c r="L27" s="384">
        <v>2</v>
      </c>
      <c r="M27" s="409" t="s">
        <v>325</v>
      </c>
      <c r="N27" s="385"/>
      <c r="O27" s="546"/>
      <c r="P27" s="454"/>
      <c r="Q27" s="387"/>
      <c r="R27" s="580"/>
      <c r="S27" s="615"/>
      <c r="T27" s="515" t="str">
        <f t="shared" si="1"/>
        <v/>
      </c>
      <c r="U27" s="499">
        <f>(Q27/$X$21*$J$21)</f>
        <v>0</v>
      </c>
      <c r="V27" s="880"/>
      <c r="W27" s="566"/>
      <c r="X27" s="874"/>
      <c r="Y27" s="592" t="s">
        <v>342</v>
      </c>
      <c r="Z27" s="593">
        <v>0</v>
      </c>
      <c r="AB27" s="661" t="s">
        <v>343</v>
      </c>
      <c r="AC27" s="668">
        <v>2500000</v>
      </c>
      <c r="AD27" s="112" t="s">
        <v>344</v>
      </c>
      <c r="AE27" s="669">
        <f>AC27/3000000</f>
        <v>0.83333333333333337</v>
      </c>
    </row>
    <row r="28" spans="1:31" ht="14.45" thickBot="1">
      <c r="A28" s="24"/>
      <c r="B28" s="279"/>
      <c r="C28" s="266"/>
      <c r="D28" s="266"/>
      <c r="E28" s="280"/>
      <c r="F28" s="443"/>
      <c r="G28" s="281"/>
      <c r="H28" s="563"/>
      <c r="I28" s="269"/>
      <c r="J28" s="269"/>
      <c r="K28" s="24"/>
      <c r="L28" s="279"/>
      <c r="M28" s="266"/>
      <c r="N28" s="266"/>
      <c r="O28" s="543"/>
      <c r="P28" s="443"/>
      <c r="Q28" s="281"/>
      <c r="R28" s="577"/>
      <c r="S28" s="612"/>
      <c r="T28" s="512" t="str">
        <f t="shared" si="1"/>
        <v/>
      </c>
      <c r="U28" s="500"/>
      <c r="V28" s="483"/>
      <c r="W28" s="563"/>
      <c r="X28" s="339"/>
      <c r="Y28" s="592"/>
      <c r="Z28" s="593"/>
      <c r="AB28" s="661"/>
      <c r="AE28" s="662"/>
    </row>
    <row r="29" spans="1:31" ht="14.25" customHeight="1">
      <c r="B29" s="270">
        <v>3</v>
      </c>
      <c r="C29" s="298" t="s">
        <v>345</v>
      </c>
      <c r="D29" s="316" t="s">
        <v>346</v>
      </c>
      <c r="E29" s="272"/>
      <c r="F29" s="424"/>
      <c r="G29" s="273">
        <f>D364</f>
        <v>7358785.9097348731</v>
      </c>
      <c r="H29" s="701">
        <v>45867</v>
      </c>
      <c r="I29" s="885">
        <f>SUM(G29:G47)</f>
        <v>7358785.9097348731</v>
      </c>
      <c r="J29" s="885">
        <f>F364</f>
        <v>7951943.2744093109</v>
      </c>
      <c r="K29" s="274"/>
      <c r="L29" s="270">
        <v>3</v>
      </c>
      <c r="M29" s="410" t="s">
        <v>347</v>
      </c>
      <c r="N29" s="316" t="s">
        <v>348</v>
      </c>
      <c r="O29" s="539">
        <v>19830</v>
      </c>
      <c r="P29" s="424">
        <v>22.88</v>
      </c>
      <c r="Q29" s="273">
        <f>O29*P29</f>
        <v>453710.39999999997</v>
      </c>
      <c r="R29" s="898" t="s">
        <v>349</v>
      </c>
      <c r="S29" s="616" t="s">
        <v>350</v>
      </c>
      <c r="T29" s="674">
        <v>45838</v>
      </c>
      <c r="U29" s="679">
        <v>870407.92269117013</v>
      </c>
      <c r="V29" s="888">
        <f>J29-SUM(U29:U47)</f>
        <v>0</v>
      </c>
      <c r="W29" s="701">
        <v>45867</v>
      </c>
      <c r="X29" s="875">
        <f>SUM(Q29:Q47)</f>
        <v>4071044.26</v>
      </c>
      <c r="Y29" s="592" t="s">
        <v>351</v>
      </c>
      <c r="Z29" s="595">
        <v>0</v>
      </c>
      <c r="AB29" s="661" t="s">
        <v>352</v>
      </c>
      <c r="AE29" s="662"/>
    </row>
    <row r="30" spans="1:31" ht="14.25" customHeight="1">
      <c r="B30" s="300">
        <v>3</v>
      </c>
      <c r="C30" s="301"/>
      <c r="D30" s="317"/>
      <c r="E30" s="303"/>
      <c r="F30" s="446"/>
      <c r="G30" s="304"/>
      <c r="H30" s="702"/>
      <c r="I30" s="886"/>
      <c r="J30" s="886"/>
      <c r="K30" s="277"/>
      <c r="L30" s="300">
        <v>3</v>
      </c>
      <c r="M30" s="411" t="s">
        <v>347</v>
      </c>
      <c r="N30" s="317" t="s">
        <v>353</v>
      </c>
      <c r="O30" s="540">
        <v>39660</v>
      </c>
      <c r="P30" s="446">
        <v>5.87</v>
      </c>
      <c r="Q30" s="304">
        <f t="shared" ref="Q30:Q35" si="2">O30*P30</f>
        <v>232804.2</v>
      </c>
      <c r="R30" s="899"/>
      <c r="S30" s="609" t="s">
        <v>350</v>
      </c>
      <c r="T30" s="675">
        <v>45838</v>
      </c>
      <c r="U30" s="680">
        <v>446616.65263961267</v>
      </c>
      <c r="V30" s="889"/>
      <c r="W30" s="702">
        <v>45867</v>
      </c>
      <c r="X30" s="876"/>
      <c r="Y30" s="592" t="s">
        <v>354</v>
      </c>
      <c r="Z30" s="593">
        <f>SUM(Z20:Z29)</f>
        <v>12254692.370333334</v>
      </c>
      <c r="AB30" s="663" t="s">
        <v>335</v>
      </c>
      <c r="AC30" s="664">
        <v>590000</v>
      </c>
      <c r="AD30" s="665"/>
      <c r="AE30" s="666"/>
    </row>
    <row r="31" spans="1:31" ht="14.25" customHeight="1">
      <c r="B31" s="300"/>
      <c r="C31" s="301"/>
      <c r="D31" s="317"/>
      <c r="E31" s="303"/>
      <c r="F31" s="446"/>
      <c r="G31" s="304"/>
      <c r="H31" s="702"/>
      <c r="I31" s="886"/>
      <c r="J31" s="886"/>
      <c r="K31" s="277"/>
      <c r="L31" s="300">
        <v>3</v>
      </c>
      <c r="M31" s="411" t="s">
        <v>347</v>
      </c>
      <c r="N31" s="317" t="s">
        <v>355</v>
      </c>
      <c r="O31" s="540">
        <v>18030</v>
      </c>
      <c r="P31" s="446">
        <v>10.64</v>
      </c>
      <c r="Q31" s="304">
        <v>197183</v>
      </c>
      <c r="R31" s="899"/>
      <c r="S31" s="609" t="s">
        <v>350</v>
      </c>
      <c r="T31" s="675">
        <v>45838</v>
      </c>
      <c r="U31" s="680">
        <v>378280.16598255851</v>
      </c>
      <c r="V31" s="889"/>
      <c r="W31" s="702">
        <v>45867</v>
      </c>
      <c r="X31" s="876"/>
      <c r="Y31" s="592" t="s">
        <v>356</v>
      </c>
      <c r="Z31" s="596">
        <f>+Z30*0.85</f>
        <v>10416488.514783334</v>
      </c>
    </row>
    <row r="32" spans="1:31" ht="14.25" customHeight="1">
      <c r="B32" s="300"/>
      <c r="C32" s="301"/>
      <c r="D32" s="317"/>
      <c r="E32" s="303"/>
      <c r="F32" s="446"/>
      <c r="G32" s="304"/>
      <c r="H32" s="702"/>
      <c r="I32" s="886"/>
      <c r="J32" s="886"/>
      <c r="K32" s="277"/>
      <c r="L32" s="300">
        <v>3</v>
      </c>
      <c r="M32" s="411" t="s">
        <v>347</v>
      </c>
      <c r="N32" s="317" t="s">
        <v>357</v>
      </c>
      <c r="O32" s="540">
        <v>1820</v>
      </c>
      <c r="P32" s="446">
        <v>10.96</v>
      </c>
      <c r="Q32" s="304">
        <v>20391.2</v>
      </c>
      <c r="R32" s="899"/>
      <c r="S32" s="609" t="s">
        <v>350</v>
      </c>
      <c r="T32" s="675">
        <v>45838</v>
      </c>
      <c r="U32" s="680">
        <v>39118.922628135013</v>
      </c>
      <c r="V32" s="889"/>
      <c r="W32" s="702">
        <v>45867</v>
      </c>
      <c r="X32" s="876"/>
      <c r="Y32" s="597" t="s">
        <v>358</v>
      </c>
      <c r="Z32" s="595">
        <f>Z31/'Project Plan'!$E$3/1000</f>
        <v>1.4712554399411488</v>
      </c>
    </row>
    <row r="33" spans="1:27" ht="14.25" customHeight="1">
      <c r="B33" s="300"/>
      <c r="C33" s="301"/>
      <c r="D33" s="317"/>
      <c r="E33" s="303"/>
      <c r="F33" s="446"/>
      <c r="G33" s="304"/>
      <c r="H33" s="560"/>
      <c r="I33" s="886"/>
      <c r="J33" s="886"/>
      <c r="K33" s="277"/>
      <c r="L33" s="300">
        <v>3</v>
      </c>
      <c r="M33" s="411" t="s">
        <v>347</v>
      </c>
      <c r="N33" s="317"/>
      <c r="O33" s="540"/>
      <c r="P33" s="446"/>
      <c r="Q33" s="304"/>
      <c r="R33" s="899"/>
      <c r="S33" s="609"/>
      <c r="T33" s="509"/>
      <c r="U33" s="680">
        <v>0</v>
      </c>
      <c r="V33" s="889"/>
      <c r="W33" s="560"/>
      <c r="X33" s="876"/>
    </row>
    <row r="34" spans="1:27" ht="14.25" customHeight="1">
      <c r="B34" s="300"/>
      <c r="C34" s="301"/>
      <c r="D34" s="317"/>
      <c r="E34" s="303"/>
      <c r="F34" s="446"/>
      <c r="G34" s="304"/>
      <c r="H34" s="702"/>
      <c r="I34" s="886"/>
      <c r="J34" s="886"/>
      <c r="K34" s="277"/>
      <c r="L34" s="300">
        <v>3</v>
      </c>
      <c r="M34" s="411" t="s">
        <v>347</v>
      </c>
      <c r="N34" s="317" t="s">
        <v>359</v>
      </c>
      <c r="O34" s="540">
        <f>O29*0.1</f>
        <v>1983</v>
      </c>
      <c r="P34" s="446">
        <v>22.88</v>
      </c>
      <c r="Q34" s="304">
        <f t="shared" si="2"/>
        <v>45371.040000000001</v>
      </c>
      <c r="R34" s="899"/>
      <c r="S34" s="609" t="s">
        <v>350</v>
      </c>
      <c r="T34" s="675">
        <v>45838</v>
      </c>
      <c r="U34" s="680">
        <v>87040.79226911701</v>
      </c>
      <c r="V34" s="889"/>
      <c r="W34" s="702">
        <v>45867</v>
      </c>
      <c r="X34" s="876"/>
      <c r="Y34" s="598" t="s">
        <v>60</v>
      </c>
      <c r="Z34" s="599" t="s">
        <v>360</v>
      </c>
    </row>
    <row r="35" spans="1:27" ht="14.25" customHeight="1">
      <c r="B35" s="300"/>
      <c r="C35" s="301"/>
      <c r="D35" s="317"/>
      <c r="E35" s="303"/>
      <c r="F35" s="446"/>
      <c r="G35" s="304"/>
      <c r="H35" s="702"/>
      <c r="I35" s="886"/>
      <c r="J35" s="886"/>
      <c r="K35" s="277"/>
      <c r="L35" s="300">
        <v>3</v>
      </c>
      <c r="M35" s="411" t="s">
        <v>347</v>
      </c>
      <c r="N35" s="317" t="s">
        <v>361</v>
      </c>
      <c r="O35" s="540">
        <f>O34*2</f>
        <v>3966</v>
      </c>
      <c r="P35" s="446">
        <v>5.87</v>
      </c>
      <c r="Q35" s="304">
        <f t="shared" si="2"/>
        <v>23280.420000000002</v>
      </c>
      <c r="R35" s="899"/>
      <c r="S35" s="609" t="s">
        <v>350</v>
      </c>
      <c r="T35" s="675">
        <v>45838</v>
      </c>
      <c r="U35" s="680">
        <v>44661.665263961266</v>
      </c>
      <c r="V35" s="889"/>
      <c r="W35" s="702">
        <v>45867</v>
      </c>
      <c r="X35" s="876"/>
      <c r="Y35" s="600" t="str">
        <f t="shared" ref="Y35:Y42" si="3">Y20</f>
        <v>AC Equipment</v>
      </c>
      <c r="Z35" s="601">
        <v>2941866.9</v>
      </c>
    </row>
    <row r="36" spans="1:27" ht="14.25" customHeight="1">
      <c r="B36" s="300"/>
      <c r="C36" s="301"/>
      <c r="D36" s="317"/>
      <c r="E36" s="303"/>
      <c r="F36" s="446"/>
      <c r="G36" s="304"/>
      <c r="H36" s="560"/>
      <c r="I36" s="886"/>
      <c r="J36" s="886"/>
      <c r="K36" s="277"/>
      <c r="L36" s="300">
        <v>3</v>
      </c>
      <c r="M36" s="411" t="s">
        <v>347</v>
      </c>
      <c r="N36" s="317"/>
      <c r="O36" s="540"/>
      <c r="P36" s="446"/>
      <c r="Q36" s="304"/>
      <c r="R36" s="899"/>
      <c r="S36" s="609"/>
      <c r="T36" s="509"/>
      <c r="U36" s="680">
        <v>0</v>
      </c>
      <c r="V36" s="889"/>
      <c r="W36" s="560"/>
      <c r="X36" s="876"/>
      <c r="Y36" s="600" t="str">
        <f t="shared" si="3"/>
        <v>DC Equipment</v>
      </c>
      <c r="Z36" s="601">
        <v>4558110</v>
      </c>
    </row>
    <row r="37" spans="1:27" ht="14.25" customHeight="1">
      <c r="B37" s="300"/>
      <c r="C37" s="301"/>
      <c r="D37" s="317"/>
      <c r="E37" s="303"/>
      <c r="F37" s="446"/>
      <c r="G37" s="304"/>
      <c r="H37" s="702"/>
      <c r="I37" s="886"/>
      <c r="J37" s="886"/>
      <c r="K37" s="277"/>
      <c r="L37" s="300">
        <v>3</v>
      </c>
      <c r="M37" s="411" t="s">
        <v>347</v>
      </c>
      <c r="N37" s="317" t="s">
        <v>362</v>
      </c>
      <c r="O37" s="540"/>
      <c r="P37" s="446"/>
      <c r="Q37" s="304">
        <v>17564</v>
      </c>
      <c r="R37" s="900"/>
      <c r="S37" s="609" t="s">
        <v>350</v>
      </c>
      <c r="T37" s="675">
        <v>45838</v>
      </c>
      <c r="U37" s="680">
        <v>33695.16051240552</v>
      </c>
      <c r="V37" s="889"/>
      <c r="W37" s="702">
        <v>45867</v>
      </c>
      <c r="X37" s="876"/>
      <c r="Y37" s="600" t="str">
        <f t="shared" si="3"/>
        <v>AC Labour</v>
      </c>
      <c r="Z37" s="601">
        <f>AA37*7080000</f>
        <v>1770000</v>
      </c>
      <c r="AA37" s="634">
        <v>0.25</v>
      </c>
    </row>
    <row r="38" spans="1:27" ht="14.25" customHeight="1">
      <c r="B38" s="300"/>
      <c r="C38" s="301"/>
      <c r="D38" s="317"/>
      <c r="E38" s="303"/>
      <c r="F38" s="446"/>
      <c r="G38" s="304"/>
      <c r="H38" s="560"/>
      <c r="I38" s="886"/>
      <c r="J38" s="886"/>
      <c r="K38" s="277"/>
      <c r="L38" s="300">
        <v>3</v>
      </c>
      <c r="M38" s="411" t="s">
        <v>347</v>
      </c>
      <c r="N38" s="317"/>
      <c r="O38" s="540"/>
      <c r="P38" s="446"/>
      <c r="Q38" s="304"/>
      <c r="R38" s="574"/>
      <c r="S38" s="609"/>
      <c r="T38" s="752"/>
      <c r="U38" s="493">
        <f>(Q38/$X$29*$J$29)</f>
        <v>0</v>
      </c>
      <c r="V38" s="889"/>
      <c r="W38" s="757">
        <v>45930</v>
      </c>
      <c r="X38" s="876"/>
      <c r="Y38" s="600" t="str">
        <f t="shared" si="3"/>
        <v>DC Labour</v>
      </c>
      <c r="Z38" s="601">
        <f>AA38*7080000</f>
        <v>4602000</v>
      </c>
      <c r="AA38" s="629">
        <v>0.65</v>
      </c>
    </row>
    <row r="39" spans="1:27" ht="14.25" customHeight="1">
      <c r="B39" s="300"/>
      <c r="C39" s="301"/>
      <c r="D39" s="317"/>
      <c r="E39" s="303"/>
      <c r="F39" s="446"/>
      <c r="G39" s="304"/>
      <c r="H39" s="560"/>
      <c r="I39" s="886"/>
      <c r="J39" s="886"/>
      <c r="K39" s="277"/>
      <c r="L39" s="300">
        <v>3</v>
      </c>
      <c r="M39" s="411" t="s">
        <v>347</v>
      </c>
      <c r="N39" s="317"/>
      <c r="O39" s="540"/>
      <c r="P39" s="446"/>
      <c r="Q39" s="304"/>
      <c r="R39" s="574"/>
      <c r="S39" s="609"/>
      <c r="T39" s="752"/>
      <c r="U39" s="493">
        <f>(Q39/$X$29*$J$29)</f>
        <v>0</v>
      </c>
      <c r="V39" s="889"/>
      <c r="W39" s="757">
        <v>45930</v>
      </c>
      <c r="X39" s="876"/>
      <c r="Y39" s="600" t="str">
        <f t="shared" si="3"/>
        <v>Offloading</v>
      </c>
      <c r="Z39" s="601">
        <v>85000</v>
      </c>
    </row>
    <row r="40" spans="1:27" ht="14.25" customHeight="1">
      <c r="B40" s="300"/>
      <c r="C40" s="301"/>
      <c r="D40" s="317"/>
      <c r="E40" s="303"/>
      <c r="F40" s="446"/>
      <c r="G40" s="304"/>
      <c r="H40" s="560"/>
      <c r="I40" s="886"/>
      <c r="J40" s="886"/>
      <c r="K40" s="277"/>
      <c r="L40" s="300">
        <v>3</v>
      </c>
      <c r="M40" s="411" t="s">
        <v>347</v>
      </c>
      <c r="N40" s="317"/>
      <c r="O40" s="540"/>
      <c r="P40" s="446"/>
      <c r="Q40" s="304"/>
      <c r="R40" s="574"/>
      <c r="S40" s="609"/>
      <c r="T40" s="509" t="str">
        <f t="shared" ref="T40" si="4">IF(W40&gt;1,EOMONTH(W40,0),"")</f>
        <v/>
      </c>
      <c r="U40" s="493">
        <f>(Q40/$X$29*$J$29)</f>
        <v>0</v>
      </c>
      <c r="V40" s="889"/>
      <c r="W40" s="560"/>
      <c r="X40" s="876"/>
      <c r="Y40" s="600" t="str">
        <f t="shared" si="3"/>
        <v>Scaffolding</v>
      </c>
      <c r="Z40" s="601">
        <v>133245.9</v>
      </c>
    </row>
    <row r="41" spans="1:27" ht="14.25" customHeight="1">
      <c r="B41" s="300">
        <v>3</v>
      </c>
      <c r="C41" s="301"/>
      <c r="D41" s="317"/>
      <c r="E41" s="303"/>
      <c r="F41" s="446"/>
      <c r="G41" s="304"/>
      <c r="H41" s="524"/>
      <c r="I41" s="886"/>
      <c r="J41" s="886"/>
      <c r="K41" s="277"/>
      <c r="L41" s="300">
        <v>3</v>
      </c>
      <c r="M41" s="411" t="s">
        <v>347</v>
      </c>
      <c r="N41" s="317" t="s">
        <v>363</v>
      </c>
      <c r="O41" s="631">
        <f>O8*620/1000</f>
        <v>3169.44</v>
      </c>
      <c r="P41" s="446">
        <v>0.97201398354283397</v>
      </c>
      <c r="Q41" s="304">
        <f>O41*P41*1000*0.5</f>
        <v>1540370</v>
      </c>
      <c r="R41" s="901" t="s">
        <v>364</v>
      </c>
      <c r="S41" s="609" t="s">
        <v>365</v>
      </c>
      <c r="T41" s="675">
        <v>45900</v>
      </c>
      <c r="U41" s="680">
        <v>2955079.389574931</v>
      </c>
      <c r="V41" s="889"/>
      <c r="W41" s="524">
        <v>45827</v>
      </c>
      <c r="X41" s="876"/>
      <c r="Y41" s="600" t="str">
        <f t="shared" si="3"/>
        <v>Storage</v>
      </c>
      <c r="Z41" s="601">
        <v>176058.33333333331</v>
      </c>
    </row>
    <row r="42" spans="1:27" ht="14.25" customHeight="1">
      <c r="B42" s="300">
        <v>3</v>
      </c>
      <c r="C42" s="373"/>
      <c r="D42" s="374"/>
      <c r="E42" s="395"/>
      <c r="F42" s="431"/>
      <c r="G42" s="375"/>
      <c r="H42" s="525"/>
      <c r="I42" s="886"/>
      <c r="J42" s="886"/>
      <c r="K42" s="277"/>
      <c r="L42" s="300">
        <v>3</v>
      </c>
      <c r="M42" s="411" t="s">
        <v>347</v>
      </c>
      <c r="N42" s="317" t="s">
        <v>366</v>
      </c>
      <c r="O42" s="541"/>
      <c r="P42" s="431"/>
      <c r="Q42" s="375">
        <f>O41*P41*1000*0.5</f>
        <v>1540370</v>
      </c>
      <c r="R42" s="899"/>
      <c r="S42" s="610" t="s">
        <v>367</v>
      </c>
      <c r="T42" s="671">
        <v>45900</v>
      </c>
      <c r="U42" s="681">
        <v>2955079.389574931</v>
      </c>
      <c r="V42" s="889"/>
      <c r="W42" s="525">
        <v>45930</v>
      </c>
      <c r="X42" s="876"/>
      <c r="Y42" s="600" t="str">
        <f t="shared" si="3"/>
        <v>Telehandler</v>
      </c>
      <c r="Z42" s="601">
        <v>150000</v>
      </c>
    </row>
    <row r="43" spans="1:27" ht="14.25" customHeight="1">
      <c r="B43" s="300"/>
      <c r="C43" s="373"/>
      <c r="D43" s="374"/>
      <c r="E43" s="395"/>
      <c r="F43" s="431"/>
      <c r="G43" s="375"/>
      <c r="H43" s="525"/>
      <c r="I43" s="886"/>
      <c r="J43" s="886"/>
      <c r="K43" s="277"/>
      <c r="L43" s="300">
        <v>3</v>
      </c>
      <c r="M43" s="411" t="s">
        <v>347</v>
      </c>
      <c r="N43" s="374"/>
      <c r="O43" s="541"/>
      <c r="P43" s="431"/>
      <c r="Q43" s="375">
        <v>-1540370</v>
      </c>
      <c r="R43" s="899"/>
      <c r="S43" s="609" t="s">
        <v>368</v>
      </c>
      <c r="T43" s="752">
        <v>45930</v>
      </c>
      <c r="U43" s="681">
        <v>0</v>
      </c>
      <c r="V43" s="889"/>
      <c r="W43" s="757">
        <v>45930</v>
      </c>
      <c r="X43" s="876"/>
      <c r="Y43" s="600"/>
      <c r="Z43" s="601"/>
    </row>
    <row r="44" spans="1:27" ht="14.25" customHeight="1">
      <c r="B44" s="300"/>
      <c r="C44" s="373"/>
      <c r="D44" s="374"/>
      <c r="E44" s="395"/>
      <c r="F44" s="431"/>
      <c r="G44" s="375"/>
      <c r="H44" s="525"/>
      <c r="I44" s="886"/>
      <c r="J44" s="886"/>
      <c r="K44" s="277"/>
      <c r="L44" s="300">
        <v>3</v>
      </c>
      <c r="M44" s="411" t="s">
        <v>347</v>
      </c>
      <c r="N44" s="374"/>
      <c r="O44" s="541"/>
      <c r="P44" s="431"/>
      <c r="Q44" s="375">
        <v>-1540370</v>
      </c>
      <c r="R44" s="899"/>
      <c r="S44" s="609" t="s">
        <v>369</v>
      </c>
      <c r="T44" s="752">
        <v>45930</v>
      </c>
      <c r="U44" s="681">
        <v>0</v>
      </c>
      <c r="V44" s="889"/>
      <c r="W44" s="757">
        <v>45930</v>
      </c>
      <c r="X44" s="876"/>
      <c r="Y44" s="600"/>
      <c r="Z44" s="601"/>
    </row>
    <row r="45" spans="1:27" ht="14.25" customHeight="1">
      <c r="B45" s="300"/>
      <c r="C45" s="373"/>
      <c r="D45" s="374"/>
      <c r="E45" s="395"/>
      <c r="F45" s="431"/>
      <c r="G45" s="375"/>
      <c r="H45" s="525"/>
      <c r="I45" s="886"/>
      <c r="J45" s="886"/>
      <c r="K45" s="277"/>
      <c r="L45" s="300">
        <v>3</v>
      </c>
      <c r="M45" s="411" t="s">
        <v>347</v>
      </c>
      <c r="N45" s="374"/>
      <c r="O45" s="541"/>
      <c r="P45" s="431"/>
      <c r="Q45" s="375">
        <v>3006740</v>
      </c>
      <c r="R45" s="899"/>
      <c r="S45" s="609" t="s">
        <v>370</v>
      </c>
      <c r="T45" s="671">
        <v>45930</v>
      </c>
      <c r="U45" s="681">
        <v>0</v>
      </c>
      <c r="V45" s="889"/>
      <c r="W45" s="525">
        <v>45930</v>
      </c>
      <c r="X45" s="876"/>
      <c r="Y45" s="600"/>
      <c r="Z45" s="601"/>
    </row>
    <row r="46" spans="1:27" ht="14.25" customHeight="1">
      <c r="B46" s="300">
        <v>3</v>
      </c>
      <c r="C46" s="373"/>
      <c r="D46" s="374"/>
      <c r="E46" s="395"/>
      <c r="F46" s="431"/>
      <c r="G46" s="375"/>
      <c r="H46" s="525"/>
      <c r="I46" s="886"/>
      <c r="J46" s="886"/>
      <c r="K46" s="277"/>
      <c r="L46" s="300">
        <v>3</v>
      </c>
      <c r="M46" s="411" t="s">
        <v>347</v>
      </c>
      <c r="N46" s="374" t="s">
        <v>371</v>
      </c>
      <c r="O46" s="541"/>
      <c r="P46" s="431"/>
      <c r="Q46" s="375">
        <f>74000*50%</f>
        <v>37000</v>
      </c>
      <c r="R46" s="899"/>
      <c r="S46" s="609" t="s">
        <v>365</v>
      </c>
      <c r="T46" s="671">
        <v>45838</v>
      </c>
      <c r="U46" s="681">
        <v>70981.606636244833</v>
      </c>
      <c r="V46" s="889"/>
      <c r="W46" s="525">
        <v>45827</v>
      </c>
      <c r="X46" s="876"/>
      <c r="Y46" s="600" t="s">
        <v>372</v>
      </c>
      <c r="Z46" s="601">
        <v>4500</v>
      </c>
    </row>
    <row r="47" spans="1:27" ht="15" customHeight="1" thickBot="1">
      <c r="B47" s="305">
        <v>3</v>
      </c>
      <c r="C47" s="326"/>
      <c r="D47" s="318"/>
      <c r="E47" s="307"/>
      <c r="F47" s="447"/>
      <c r="G47" s="319"/>
      <c r="H47" s="526"/>
      <c r="I47" s="887"/>
      <c r="J47" s="887"/>
      <c r="K47" s="278"/>
      <c r="L47" s="305">
        <v>3</v>
      </c>
      <c r="M47" s="412" t="s">
        <v>347</v>
      </c>
      <c r="N47" s="318" t="s">
        <v>373</v>
      </c>
      <c r="O47" s="542"/>
      <c r="P47" s="447"/>
      <c r="Q47" s="319">
        <f>74000*50%</f>
        <v>37000</v>
      </c>
      <c r="R47" s="902"/>
      <c r="S47" s="611" t="s">
        <v>367</v>
      </c>
      <c r="T47" s="708">
        <v>45900</v>
      </c>
      <c r="U47" s="715">
        <v>70981.606636244833</v>
      </c>
      <c r="V47" s="890"/>
      <c r="W47" s="526">
        <f>W42</f>
        <v>45930</v>
      </c>
      <c r="X47" s="877"/>
      <c r="Y47" s="600" t="s">
        <v>351</v>
      </c>
      <c r="Z47" s="601">
        <v>0</v>
      </c>
    </row>
    <row r="48" spans="1:27" ht="14.45" thickBot="1">
      <c r="A48" s="24"/>
      <c r="B48" s="279"/>
      <c r="C48" s="296"/>
      <c r="D48" s="297"/>
      <c r="E48" s="280"/>
      <c r="F48" s="443"/>
      <c r="G48" s="281"/>
      <c r="H48" s="563"/>
      <c r="I48" s="269"/>
      <c r="J48" s="269"/>
      <c r="K48" s="24"/>
      <c r="L48" s="279"/>
      <c r="M48" s="296"/>
      <c r="N48" s="297"/>
      <c r="O48" s="543"/>
      <c r="P48" s="443"/>
      <c r="Q48" s="281"/>
      <c r="R48" s="577"/>
      <c r="S48" s="612"/>
      <c r="T48" s="512" t="str">
        <f t="shared" si="1"/>
        <v/>
      </c>
      <c r="U48" s="500"/>
      <c r="V48" s="483"/>
      <c r="W48" s="563"/>
      <c r="X48" s="339"/>
      <c r="Y48" s="600" t="s">
        <v>351</v>
      </c>
      <c r="Z48" s="602">
        <v>0</v>
      </c>
    </row>
    <row r="49" spans="2:26" ht="14.25" customHeight="1">
      <c r="B49" s="282">
        <v>4</v>
      </c>
      <c r="C49" s="283" t="s">
        <v>329</v>
      </c>
      <c r="D49" s="283" t="s">
        <v>374</v>
      </c>
      <c r="E49" s="353">
        <v>249988</v>
      </c>
      <c r="F49" s="444"/>
      <c r="G49" s="285">
        <v>3499832</v>
      </c>
      <c r="H49" s="564">
        <f>H50</f>
        <v>45901</v>
      </c>
      <c r="I49" s="869">
        <f>SUM(G49:G72)</f>
        <v>8057942</v>
      </c>
      <c r="J49" s="869">
        <f>F365</f>
        <v>8707455.0718637351</v>
      </c>
      <c r="K49" s="286"/>
      <c r="L49" s="282">
        <v>4</v>
      </c>
      <c r="M49" s="413" t="s">
        <v>375</v>
      </c>
      <c r="N49" s="283" t="s">
        <v>374</v>
      </c>
      <c r="O49" s="536">
        <v>24000</v>
      </c>
      <c r="P49" s="444">
        <v>0</v>
      </c>
      <c r="Q49" s="285">
        <f>O49*P49</f>
        <v>0</v>
      </c>
      <c r="R49" s="578"/>
      <c r="S49" s="613"/>
      <c r="T49" s="513"/>
      <c r="U49" s="497">
        <f>(Q49/$X$49*$J$49)</f>
        <v>0</v>
      </c>
      <c r="V49" s="878">
        <f>J49-SUM(U49:U72)</f>
        <v>-4.7537833452224731E-3</v>
      </c>
      <c r="W49" s="564"/>
      <c r="X49" s="872">
        <f>SUM(Q49:Q72)</f>
        <v>3329187</v>
      </c>
      <c r="Y49" s="600" t="s">
        <v>354</v>
      </c>
      <c r="Z49" s="601">
        <f>SUM(Z35:Z48)</f>
        <v>14420781.133333335</v>
      </c>
    </row>
    <row r="50" spans="2:26" ht="14.25" customHeight="1">
      <c r="B50" s="309">
        <v>4</v>
      </c>
      <c r="C50" s="397"/>
      <c r="D50" s="397" t="s">
        <v>376</v>
      </c>
      <c r="E50" s="383"/>
      <c r="F50" s="440"/>
      <c r="G50" s="625">
        <f>D365-G49</f>
        <v>4558110</v>
      </c>
      <c r="H50" s="528">
        <v>45901</v>
      </c>
      <c r="I50" s="870"/>
      <c r="J50" s="870"/>
      <c r="K50" s="290"/>
      <c r="L50" s="287">
        <v>4</v>
      </c>
      <c r="M50" s="414" t="s">
        <v>375</v>
      </c>
      <c r="N50" s="397" t="s">
        <v>377</v>
      </c>
      <c r="O50" s="652">
        <v>0.1</v>
      </c>
      <c r="P50" s="440">
        <v>2376000</v>
      </c>
      <c r="Q50" s="289">
        <f>O50*P50</f>
        <v>237600</v>
      </c>
      <c r="R50" s="881" t="s">
        <v>306</v>
      </c>
      <c r="S50" s="614" t="s">
        <v>307</v>
      </c>
      <c r="T50" s="673">
        <v>45838</v>
      </c>
      <c r="U50" s="682">
        <v>465334.01673059782</v>
      </c>
      <c r="V50" s="879"/>
      <c r="W50" s="528">
        <v>45901</v>
      </c>
      <c r="X50" s="873"/>
      <c r="Y50" s="603" t="s">
        <v>358</v>
      </c>
      <c r="Z50" s="602">
        <f>Z49/'Project Plan'!$E$3/1000</f>
        <v>2.0368334934086629</v>
      </c>
    </row>
    <row r="51" spans="2:26" ht="14.25" customHeight="1">
      <c r="B51" s="309"/>
      <c r="C51" s="397"/>
      <c r="D51" s="397"/>
      <c r="E51" s="383"/>
      <c r="F51" s="440"/>
      <c r="G51" s="625"/>
      <c r="H51" s="528"/>
      <c r="I51" s="870"/>
      <c r="J51" s="870"/>
      <c r="K51" s="290"/>
      <c r="L51" s="287">
        <v>4</v>
      </c>
      <c r="M51" s="414" t="s">
        <v>375</v>
      </c>
      <c r="N51" s="397" t="s">
        <v>187</v>
      </c>
      <c r="O51" s="652">
        <v>0.9</v>
      </c>
      <c r="P51" s="440"/>
      <c r="Q51" s="289">
        <f>O51*P50</f>
        <v>2138400</v>
      </c>
      <c r="R51" s="884"/>
      <c r="S51" s="614" t="s">
        <v>378</v>
      </c>
      <c r="T51" s="673">
        <v>45838</v>
      </c>
      <c r="U51" s="682">
        <v>4188006.1505753803</v>
      </c>
      <c r="V51" s="879"/>
      <c r="W51" s="528">
        <v>45901</v>
      </c>
      <c r="X51" s="873"/>
      <c r="Y51" s="472"/>
    </row>
    <row r="52" spans="2:26" ht="14.25" customHeight="1">
      <c r="B52" s="309">
        <v>4</v>
      </c>
      <c r="C52" s="397"/>
      <c r="D52" s="397"/>
      <c r="E52" s="383"/>
      <c r="F52" s="440"/>
      <c r="G52" s="289"/>
      <c r="H52" s="528"/>
      <c r="I52" s="870"/>
      <c r="J52" s="870"/>
      <c r="K52" s="290"/>
      <c r="L52" s="287">
        <v>4</v>
      </c>
      <c r="M52" s="414" t="s">
        <v>375</v>
      </c>
      <c r="N52" s="397" t="s">
        <v>379</v>
      </c>
      <c r="O52" s="537">
        <v>500</v>
      </c>
      <c r="P52" s="440">
        <v>13</v>
      </c>
      <c r="Q52" s="289">
        <f>O52*P52</f>
        <v>6500</v>
      </c>
      <c r="R52" s="881" t="s">
        <v>380</v>
      </c>
      <c r="S52" s="614" t="s">
        <v>381</v>
      </c>
      <c r="T52" s="673">
        <v>45869</v>
      </c>
      <c r="U52" s="682">
        <v>13627.717212616306</v>
      </c>
      <c r="V52" s="879"/>
      <c r="W52" s="528">
        <v>45925</v>
      </c>
      <c r="X52" s="873"/>
      <c r="Y52" s="472"/>
    </row>
    <row r="53" spans="2:26" ht="14.25" customHeight="1">
      <c r="B53" s="309">
        <v>4</v>
      </c>
      <c r="C53" s="397"/>
      <c r="D53" s="397"/>
      <c r="E53" s="383"/>
      <c r="F53" s="440"/>
      <c r="G53" s="289"/>
      <c r="H53" s="528"/>
      <c r="I53" s="870"/>
      <c r="J53" s="870"/>
      <c r="K53" s="290"/>
      <c r="L53" s="287">
        <v>4</v>
      </c>
      <c r="M53" s="414" t="s">
        <v>375</v>
      </c>
      <c r="N53" s="397" t="s">
        <v>382</v>
      </c>
      <c r="O53" s="545">
        <v>500</v>
      </c>
      <c r="P53" s="440">
        <v>13</v>
      </c>
      <c r="Q53" s="289">
        <f>O53*P53</f>
        <v>6500</v>
      </c>
      <c r="R53" s="882"/>
      <c r="S53" s="614" t="s">
        <v>381</v>
      </c>
      <c r="T53" s="673">
        <v>45869</v>
      </c>
      <c r="U53" s="682">
        <v>13627.717212616306</v>
      </c>
      <c r="V53" s="879"/>
      <c r="W53" s="528">
        <f>W52</f>
        <v>45925</v>
      </c>
      <c r="X53" s="873"/>
      <c r="Y53" s="472"/>
    </row>
    <row r="54" spans="2:26" ht="14.25" customHeight="1">
      <c r="B54" s="309"/>
      <c r="C54" s="397"/>
      <c r="D54" s="397"/>
      <c r="E54" s="383"/>
      <c r="F54" s="440"/>
      <c r="G54" s="289"/>
      <c r="H54" s="565"/>
      <c r="I54" s="870"/>
      <c r="J54" s="870"/>
      <c r="K54" s="290"/>
      <c r="L54" s="287">
        <v>4</v>
      </c>
      <c r="M54" s="414" t="s">
        <v>375</v>
      </c>
      <c r="N54" s="397"/>
      <c r="O54" s="545"/>
      <c r="P54" s="440"/>
      <c r="Q54" s="289"/>
      <c r="R54" s="583"/>
      <c r="S54" s="614"/>
      <c r="T54" s="514" t="str">
        <f t="shared" ref="T54:T144" si="5">IF(W54&gt;1,EOMONTH(W54,0),"")</f>
        <v/>
      </c>
      <c r="U54" s="498">
        <f>(Q54/$X$49*$J$49)</f>
        <v>0</v>
      </c>
      <c r="V54" s="879"/>
      <c r="W54" s="565"/>
      <c r="X54" s="873"/>
      <c r="Y54" s="472"/>
    </row>
    <row r="55" spans="2:26" ht="14.25" customHeight="1">
      <c r="B55" s="309"/>
      <c r="C55" s="397"/>
      <c r="D55" s="397"/>
      <c r="E55" s="383"/>
      <c r="F55" s="440"/>
      <c r="G55" s="289"/>
      <c r="H55" s="528"/>
      <c r="I55" s="870"/>
      <c r="J55" s="870"/>
      <c r="K55" s="290"/>
      <c r="L55" s="287">
        <v>4</v>
      </c>
      <c r="M55" s="414" t="s">
        <v>375</v>
      </c>
      <c r="N55" s="397" t="s">
        <v>383</v>
      </c>
      <c r="O55" s="545"/>
      <c r="P55" s="440"/>
      <c r="Q55" s="289">
        <v>370187</v>
      </c>
      <c r="R55" s="583" t="s">
        <v>384</v>
      </c>
      <c r="S55" s="614" t="s">
        <v>385</v>
      </c>
      <c r="T55" s="673">
        <v>45869</v>
      </c>
      <c r="U55" s="682">
        <v>1724074.1776282564</v>
      </c>
      <c r="V55" s="879"/>
      <c r="W55" s="528">
        <v>45904</v>
      </c>
      <c r="X55" s="873"/>
      <c r="Y55" s="472"/>
    </row>
    <row r="56" spans="2:26" ht="14.25" customHeight="1">
      <c r="B56" s="309"/>
      <c r="C56" s="397"/>
      <c r="D56" s="397"/>
      <c r="E56" s="383"/>
      <c r="F56" s="440"/>
      <c r="G56" s="289"/>
      <c r="H56" s="565"/>
      <c r="I56" s="870"/>
      <c r="J56" s="870"/>
      <c r="K56" s="290"/>
      <c r="L56" s="287">
        <v>4</v>
      </c>
      <c r="M56" s="414" t="s">
        <v>375</v>
      </c>
      <c r="N56" s="397"/>
      <c r="O56" s="545"/>
      <c r="P56" s="440"/>
      <c r="Q56" s="289"/>
      <c r="R56" s="583"/>
      <c r="S56" s="614"/>
      <c r="T56" s="514"/>
      <c r="U56" s="498">
        <f>(Q56/$X$49*$J$49)</f>
        <v>0</v>
      </c>
      <c r="V56" s="879"/>
      <c r="W56" s="565"/>
      <c r="X56" s="873"/>
      <c r="Y56" s="472"/>
    </row>
    <row r="57" spans="2:26" ht="14.25" customHeight="1">
      <c r="B57" s="309"/>
      <c r="C57" s="397"/>
      <c r="D57" s="397"/>
      <c r="E57" s="383"/>
      <c r="F57" s="440"/>
      <c r="G57" s="289"/>
      <c r="H57" s="673"/>
      <c r="I57" s="870"/>
      <c r="J57" s="870"/>
      <c r="K57" s="290"/>
      <c r="L57" s="287">
        <v>4</v>
      </c>
      <c r="M57" s="414" t="s">
        <v>375</v>
      </c>
      <c r="N57" s="397"/>
      <c r="O57" s="545"/>
      <c r="P57" s="440"/>
      <c r="Q57" s="289"/>
      <c r="R57" s="583"/>
      <c r="S57" s="614"/>
      <c r="T57" s="673">
        <v>45900</v>
      </c>
      <c r="U57" s="682">
        <v>1117518.18</v>
      </c>
      <c r="V57" s="879"/>
      <c r="W57" s="673">
        <v>45900</v>
      </c>
      <c r="X57" s="873"/>
      <c r="Y57" s="472"/>
      <c r="Z57" s="751"/>
    </row>
    <row r="58" spans="2:26" ht="14.25" customHeight="1">
      <c r="B58" s="309"/>
      <c r="C58" s="397"/>
      <c r="D58" s="397"/>
      <c r="E58" s="383"/>
      <c r="F58" s="440"/>
      <c r="G58" s="289"/>
      <c r="H58" s="565"/>
      <c r="I58" s="870"/>
      <c r="J58" s="870"/>
      <c r="K58" s="290"/>
      <c r="L58" s="287">
        <v>4</v>
      </c>
      <c r="M58" s="414" t="s">
        <v>375</v>
      </c>
      <c r="N58" s="397"/>
      <c r="O58" s="545"/>
      <c r="P58" s="440"/>
      <c r="Q58" s="289"/>
      <c r="R58" s="583"/>
      <c r="S58" s="614"/>
      <c r="T58" s="514" t="str">
        <f t="shared" si="5"/>
        <v/>
      </c>
      <c r="U58" s="498">
        <f>(Q58/$X$49*$J$49)</f>
        <v>0</v>
      </c>
      <c r="V58" s="879"/>
      <c r="W58" s="565"/>
      <c r="X58" s="873"/>
      <c r="Y58" s="472"/>
    </row>
    <row r="59" spans="2:26" ht="14.25" customHeight="1">
      <c r="B59" s="309"/>
      <c r="C59" s="397"/>
      <c r="D59" s="397"/>
      <c r="E59" s="383"/>
      <c r="F59" s="440"/>
      <c r="G59" s="289"/>
      <c r="H59" s="565"/>
      <c r="I59" s="870"/>
      <c r="J59" s="870"/>
      <c r="K59" s="290"/>
      <c r="L59" s="287">
        <v>4</v>
      </c>
      <c r="M59" s="414" t="s">
        <v>375</v>
      </c>
      <c r="N59" s="397"/>
      <c r="O59" s="545"/>
      <c r="P59" s="440"/>
      <c r="Q59" s="289"/>
      <c r="R59" s="583"/>
      <c r="S59" s="614"/>
      <c r="T59" s="514"/>
      <c r="U59" s="498">
        <f>(Q59/$X$49*$J$49)</f>
        <v>0</v>
      </c>
      <c r="V59" s="879"/>
      <c r="W59" s="565"/>
      <c r="X59" s="873"/>
      <c r="Y59" s="472"/>
    </row>
    <row r="60" spans="2:26" ht="14.25" customHeight="1">
      <c r="B60" s="309"/>
      <c r="C60" s="397"/>
      <c r="D60" s="397"/>
      <c r="E60" s="383"/>
      <c r="F60" s="440"/>
      <c r="G60" s="289"/>
      <c r="H60" s="565"/>
      <c r="I60" s="870"/>
      <c r="J60" s="870"/>
      <c r="K60" s="290"/>
      <c r="L60" s="287">
        <v>4</v>
      </c>
      <c r="M60" s="414" t="s">
        <v>375</v>
      </c>
      <c r="N60" s="397"/>
      <c r="O60" s="545"/>
      <c r="P60" s="440"/>
      <c r="Q60" s="289"/>
      <c r="R60" s="583"/>
      <c r="S60" s="614"/>
      <c r="T60" s="514" t="str">
        <f t="shared" si="5"/>
        <v/>
      </c>
      <c r="U60" s="498">
        <f>(Q60/$X$49*$J$49)</f>
        <v>0</v>
      </c>
      <c r="V60" s="879"/>
      <c r="W60" s="565"/>
      <c r="X60" s="873"/>
      <c r="Y60" s="472"/>
      <c r="Z60" s="751"/>
    </row>
    <row r="61" spans="2:26" ht="14.25" customHeight="1">
      <c r="B61" s="309"/>
      <c r="C61" s="397"/>
      <c r="D61" s="397"/>
      <c r="E61" s="383"/>
      <c r="F61" s="440"/>
      <c r="G61" s="289"/>
      <c r="H61" s="565"/>
      <c r="I61" s="870"/>
      <c r="J61" s="870"/>
      <c r="K61" s="290"/>
      <c r="L61" s="287">
        <v>4</v>
      </c>
      <c r="M61" s="414" t="s">
        <v>375</v>
      </c>
      <c r="N61" s="397"/>
      <c r="O61" s="545"/>
      <c r="P61" s="440"/>
      <c r="Q61" s="289"/>
      <c r="R61" s="583"/>
      <c r="S61" s="614"/>
      <c r="T61" s="514" t="str">
        <f t="shared" si="5"/>
        <v/>
      </c>
      <c r="U61" s="498">
        <f>(Q61/$X$49*$J$49)</f>
        <v>0</v>
      </c>
      <c r="V61" s="879"/>
      <c r="W61" s="565"/>
      <c r="X61" s="873"/>
      <c r="Y61" s="472"/>
    </row>
    <row r="62" spans="2:26" ht="14.25" customHeight="1">
      <c r="B62" s="309">
        <v>4</v>
      </c>
      <c r="C62" s="397"/>
      <c r="D62" s="397"/>
      <c r="E62" s="383"/>
      <c r="F62" s="440"/>
      <c r="G62" s="289"/>
      <c r="H62" s="528"/>
      <c r="I62" s="870"/>
      <c r="J62" s="870"/>
      <c r="K62" s="290"/>
      <c r="L62" s="287">
        <v>4</v>
      </c>
      <c r="M62" s="414" t="s">
        <v>375</v>
      </c>
      <c r="N62" s="397" t="s">
        <v>386</v>
      </c>
      <c r="O62" s="555">
        <f>AC23/2</f>
        <v>275000</v>
      </c>
      <c r="P62" s="556">
        <v>0.5</v>
      </c>
      <c r="Q62" s="289">
        <f>$O$62*P62</f>
        <v>137500</v>
      </c>
      <c r="R62" s="881" t="s">
        <v>387</v>
      </c>
      <c r="S62" s="614" t="s">
        <v>388</v>
      </c>
      <c r="T62" s="673">
        <v>45838</v>
      </c>
      <c r="U62" s="682">
        <v>269290.51894131815</v>
      </c>
      <c r="V62" s="879"/>
      <c r="W62" s="528">
        <f>W67</f>
        <v>45834</v>
      </c>
      <c r="X62" s="873"/>
      <c r="Y62" s="472"/>
    </row>
    <row r="63" spans="2:26" ht="14.1" customHeight="1">
      <c r="B63" s="309">
        <v>4</v>
      </c>
      <c r="C63" s="397"/>
      <c r="D63" s="397"/>
      <c r="E63" s="383"/>
      <c r="F63" s="440"/>
      <c r="G63" s="289"/>
      <c r="H63" s="528"/>
      <c r="I63" s="870"/>
      <c r="J63" s="870"/>
      <c r="K63" s="290"/>
      <c r="L63" s="287">
        <v>4</v>
      </c>
      <c r="M63" s="414" t="s">
        <v>375</v>
      </c>
      <c r="N63" s="397" t="s">
        <v>389</v>
      </c>
      <c r="O63" s="545"/>
      <c r="P63" s="556">
        <v>0.4</v>
      </c>
      <c r="Q63" s="289">
        <f t="shared" ref="Q63:Q64" si="6">$O$62*P63</f>
        <v>110000</v>
      </c>
      <c r="R63" s="884"/>
      <c r="S63" s="614" t="s">
        <v>390</v>
      </c>
      <c r="T63" s="673">
        <f t="shared" ref="T63:T64" si="7">T68</f>
        <v>45869</v>
      </c>
      <c r="U63" s="682">
        <v>230622.90667504517</v>
      </c>
      <c r="V63" s="879"/>
      <c r="W63" s="528">
        <f t="shared" ref="W63" si="8">W68</f>
        <v>45910</v>
      </c>
      <c r="X63" s="873"/>
      <c r="Y63" s="472"/>
    </row>
    <row r="64" spans="2:26" ht="14.25" customHeight="1">
      <c r="B64" s="309">
        <v>4</v>
      </c>
      <c r="C64" s="397"/>
      <c r="D64" s="397"/>
      <c r="E64" s="383"/>
      <c r="F64" s="440"/>
      <c r="G64" s="289"/>
      <c r="H64" s="565"/>
      <c r="I64" s="870"/>
      <c r="J64" s="870"/>
      <c r="K64" s="290"/>
      <c r="L64" s="287">
        <v>4</v>
      </c>
      <c r="M64" s="414" t="s">
        <v>375</v>
      </c>
      <c r="N64" s="397" t="s">
        <v>391</v>
      </c>
      <c r="O64" s="545"/>
      <c r="P64" s="556">
        <v>0.1</v>
      </c>
      <c r="Q64" s="289">
        <f t="shared" si="6"/>
        <v>27500</v>
      </c>
      <c r="R64" s="884"/>
      <c r="S64" s="614" t="s">
        <v>392</v>
      </c>
      <c r="T64" s="673">
        <f t="shared" si="7"/>
        <v>45900</v>
      </c>
      <c r="U64" s="682">
        <v>71925.973060766104</v>
      </c>
      <c r="V64" s="879"/>
      <c r="W64" s="565">
        <f>W203</f>
        <v>46100</v>
      </c>
      <c r="X64" s="873"/>
      <c r="Y64" s="472"/>
    </row>
    <row r="65" spans="1:25" ht="14.25" customHeight="1">
      <c r="B65" s="309">
        <v>4</v>
      </c>
      <c r="C65" s="397"/>
      <c r="D65" s="397"/>
      <c r="E65" s="383"/>
      <c r="F65" s="440"/>
      <c r="G65" s="289"/>
      <c r="H65" s="565"/>
      <c r="I65" s="870"/>
      <c r="J65" s="870"/>
      <c r="K65" s="290"/>
      <c r="L65" s="287">
        <v>4</v>
      </c>
      <c r="M65" s="414" t="s">
        <v>375</v>
      </c>
      <c r="N65" s="397"/>
      <c r="O65" s="545"/>
      <c r="P65" s="556"/>
      <c r="Q65" s="289"/>
      <c r="R65" s="884"/>
      <c r="S65" s="614"/>
      <c r="T65" s="514" t="str">
        <f t="shared" si="5"/>
        <v/>
      </c>
      <c r="U65" s="498">
        <f>(Q65/$X$49*$J$49)</f>
        <v>0</v>
      </c>
      <c r="V65" s="879"/>
      <c r="W65" s="565"/>
      <c r="X65" s="873"/>
      <c r="Y65" s="472"/>
    </row>
    <row r="66" spans="1:25" ht="14.25" customHeight="1">
      <c r="B66" s="309">
        <v>4</v>
      </c>
      <c r="C66" s="397"/>
      <c r="D66" s="397"/>
      <c r="E66" s="383"/>
      <c r="F66" s="440"/>
      <c r="G66" s="289"/>
      <c r="H66" s="565"/>
      <c r="I66" s="870"/>
      <c r="J66" s="870"/>
      <c r="K66" s="290"/>
      <c r="L66" s="287">
        <v>4</v>
      </c>
      <c r="M66" s="414" t="s">
        <v>375</v>
      </c>
      <c r="N66" s="397"/>
      <c r="O66" s="545"/>
      <c r="P66" s="556"/>
      <c r="Q66" s="289"/>
      <c r="R66" s="884"/>
      <c r="S66" s="614"/>
      <c r="T66" s="514" t="str">
        <f t="shared" si="5"/>
        <v/>
      </c>
      <c r="U66" s="498">
        <f>(Q66/$X$49*$J$49)</f>
        <v>0</v>
      </c>
      <c r="V66" s="879"/>
      <c r="W66" s="565"/>
      <c r="X66" s="873"/>
      <c r="Y66" s="472"/>
    </row>
    <row r="67" spans="1:25" ht="14.25" customHeight="1">
      <c r="B67" s="309">
        <v>4</v>
      </c>
      <c r="C67" s="397"/>
      <c r="D67" s="397"/>
      <c r="E67" s="383"/>
      <c r="F67" s="440"/>
      <c r="G67" s="289"/>
      <c r="H67" s="528"/>
      <c r="I67" s="870"/>
      <c r="J67" s="870"/>
      <c r="K67" s="290"/>
      <c r="L67" s="287">
        <v>4</v>
      </c>
      <c r="M67" s="414" t="s">
        <v>375</v>
      </c>
      <c r="N67" s="397" t="s">
        <v>393</v>
      </c>
      <c r="O67" s="555">
        <f>AC30/2</f>
        <v>295000</v>
      </c>
      <c r="P67" s="556">
        <v>0.5</v>
      </c>
      <c r="Q67" s="289">
        <f>$O$67*P67</f>
        <v>147500</v>
      </c>
      <c r="R67" s="884"/>
      <c r="S67" s="614" t="s">
        <v>388</v>
      </c>
      <c r="T67" s="673">
        <v>45838</v>
      </c>
      <c r="U67" s="682">
        <v>288875.28395523224</v>
      </c>
      <c r="V67" s="879"/>
      <c r="W67" s="528">
        <f>W184</f>
        <v>45834</v>
      </c>
      <c r="X67" s="873"/>
      <c r="Y67" s="472"/>
    </row>
    <row r="68" spans="1:25" ht="14.25" customHeight="1">
      <c r="B68" s="309">
        <v>4</v>
      </c>
      <c r="C68" s="397"/>
      <c r="D68" s="397"/>
      <c r="E68" s="383"/>
      <c r="F68" s="440"/>
      <c r="G68" s="289"/>
      <c r="H68" s="528"/>
      <c r="I68" s="870"/>
      <c r="J68" s="870"/>
      <c r="K68" s="290"/>
      <c r="L68" s="287">
        <v>4</v>
      </c>
      <c r="M68" s="414" t="s">
        <v>375</v>
      </c>
      <c r="N68" s="397" t="s">
        <v>394</v>
      </c>
      <c r="O68" s="545"/>
      <c r="P68" s="556">
        <v>0.4</v>
      </c>
      <c r="Q68" s="289">
        <f t="shared" ref="Q68:Q69" si="9">$O$67*P68</f>
        <v>118000</v>
      </c>
      <c r="R68" s="884"/>
      <c r="S68" s="614" t="s">
        <v>390</v>
      </c>
      <c r="T68" s="673">
        <v>45869</v>
      </c>
      <c r="U68" s="682">
        <v>247395.48170595756</v>
      </c>
      <c r="V68" s="879"/>
      <c r="W68" s="528">
        <v>45910</v>
      </c>
      <c r="X68" s="873"/>
      <c r="Y68" s="472"/>
    </row>
    <row r="69" spans="1:25" ht="14.25" customHeight="1">
      <c r="B69" s="309">
        <v>4</v>
      </c>
      <c r="C69" s="397"/>
      <c r="D69" s="397"/>
      <c r="E69" s="383"/>
      <c r="F69" s="440"/>
      <c r="G69" s="289"/>
      <c r="H69" s="565"/>
      <c r="I69" s="870"/>
      <c r="J69" s="870"/>
      <c r="K69" s="290"/>
      <c r="L69" s="287">
        <v>4</v>
      </c>
      <c r="M69" s="414" t="s">
        <v>375</v>
      </c>
      <c r="N69" s="397" t="s">
        <v>395</v>
      </c>
      <c r="O69" s="545"/>
      <c r="P69" s="556">
        <v>0.1</v>
      </c>
      <c r="Q69" s="289">
        <f t="shared" si="9"/>
        <v>29500</v>
      </c>
      <c r="R69" s="882"/>
      <c r="S69" s="614" t="s">
        <v>392</v>
      </c>
      <c r="T69" s="673">
        <v>45900</v>
      </c>
      <c r="U69" s="682">
        <v>77156.952919730917</v>
      </c>
      <c r="V69" s="879"/>
      <c r="W69" s="565">
        <f>W191</f>
        <v>46100</v>
      </c>
      <c r="X69" s="873"/>
      <c r="Y69" s="472"/>
    </row>
    <row r="70" spans="1:25" ht="14.25" customHeight="1">
      <c r="B70" s="309">
        <v>4</v>
      </c>
      <c r="C70" s="397"/>
      <c r="D70" s="397"/>
      <c r="E70" s="383"/>
      <c r="F70" s="440"/>
      <c r="G70" s="289"/>
      <c r="H70" s="565"/>
      <c r="I70" s="870"/>
      <c r="J70" s="870"/>
      <c r="K70" s="290"/>
      <c r="L70" s="287">
        <v>4</v>
      </c>
      <c r="M70" s="414" t="s">
        <v>375</v>
      </c>
      <c r="N70" s="397"/>
      <c r="O70" s="545"/>
      <c r="P70" s="556"/>
      <c r="Q70" s="289"/>
      <c r="R70" s="579"/>
      <c r="S70" s="614"/>
      <c r="T70" s="514" t="str">
        <f t="shared" si="5"/>
        <v/>
      </c>
      <c r="U70" s="498">
        <f>(Q70/$X$49*$J$49)</f>
        <v>0</v>
      </c>
      <c r="V70" s="879"/>
      <c r="W70" s="565"/>
      <c r="X70" s="873"/>
      <c r="Y70" s="472"/>
    </row>
    <row r="71" spans="1:25" ht="14.25" customHeight="1">
      <c r="B71" s="309">
        <v>4</v>
      </c>
      <c r="C71" s="397"/>
      <c r="D71" s="397"/>
      <c r="E71" s="383"/>
      <c r="F71" s="440"/>
      <c r="G71" s="289"/>
      <c r="H71" s="565"/>
      <c r="I71" s="870"/>
      <c r="J71" s="870"/>
      <c r="K71" s="290"/>
      <c r="L71" s="287">
        <v>4</v>
      </c>
      <c r="M71" s="414" t="s">
        <v>375</v>
      </c>
      <c r="N71" s="397"/>
      <c r="O71" s="545"/>
      <c r="P71" s="440"/>
      <c r="Q71" s="289"/>
      <c r="R71" s="579"/>
      <c r="S71" s="614"/>
      <c r="T71" s="514" t="str">
        <f t="shared" si="5"/>
        <v/>
      </c>
      <c r="U71" s="498">
        <f>(Q71/$X$49*$J$49)</f>
        <v>0</v>
      </c>
      <c r="V71" s="879"/>
      <c r="W71" s="565"/>
      <c r="X71" s="873"/>
      <c r="Y71" s="472"/>
    </row>
    <row r="72" spans="1:25" ht="15" customHeight="1" thickBot="1">
      <c r="B72" s="291">
        <v>4</v>
      </c>
      <c r="C72" s="314"/>
      <c r="D72" s="314"/>
      <c r="E72" s="386"/>
      <c r="F72" s="442"/>
      <c r="G72" s="294"/>
      <c r="H72" s="566"/>
      <c r="I72" s="871"/>
      <c r="J72" s="871"/>
      <c r="K72" s="295"/>
      <c r="L72" s="291">
        <v>4</v>
      </c>
      <c r="M72" s="415" t="s">
        <v>375</v>
      </c>
      <c r="N72" s="314"/>
      <c r="O72" s="546"/>
      <c r="P72" s="442"/>
      <c r="Q72" s="294"/>
      <c r="R72" s="580"/>
      <c r="S72" s="615"/>
      <c r="T72" s="515" t="str">
        <f t="shared" si="5"/>
        <v/>
      </c>
      <c r="U72" s="499">
        <f>(Q72/$X$49*$J$49)</f>
        <v>0</v>
      </c>
      <c r="V72" s="880"/>
      <c r="W72" s="566"/>
      <c r="X72" s="874"/>
      <c r="Y72" s="472"/>
    </row>
    <row r="73" spans="1:25" ht="14.45" thickBot="1">
      <c r="A73" s="24"/>
      <c r="B73" s="265"/>
      <c r="C73" s="266"/>
      <c r="D73" s="297"/>
      <c r="E73" s="280"/>
      <c r="F73" s="443"/>
      <c r="G73" s="281"/>
      <c r="H73" s="563"/>
      <c r="I73" s="269"/>
      <c r="J73" s="269"/>
      <c r="K73" s="24"/>
      <c r="L73" s="265"/>
      <c r="M73" s="266"/>
      <c r="N73" s="297"/>
      <c r="O73" s="543"/>
      <c r="P73" s="443"/>
      <c r="Q73" s="281"/>
      <c r="R73" s="582"/>
      <c r="S73" s="617"/>
      <c r="T73" s="512" t="str">
        <f t="shared" si="5"/>
        <v/>
      </c>
      <c r="U73" s="502"/>
      <c r="V73" s="486"/>
      <c r="W73" s="563"/>
      <c r="X73" s="339"/>
      <c r="Y73" s="472"/>
    </row>
    <row r="74" spans="1:25" ht="14.25" customHeight="1">
      <c r="B74" s="270">
        <v>5</v>
      </c>
      <c r="C74" s="298" t="s">
        <v>396</v>
      </c>
      <c r="D74" s="316" t="s">
        <v>397</v>
      </c>
      <c r="E74" s="272"/>
      <c r="F74" s="424"/>
      <c r="G74" s="273">
        <v>26000</v>
      </c>
      <c r="H74" s="567">
        <f>H75</f>
        <v>45862</v>
      </c>
      <c r="I74" s="885">
        <f>SUM(G74:G94)</f>
        <v>64000</v>
      </c>
      <c r="J74" s="885">
        <f>F367</f>
        <v>69158.741102787666</v>
      </c>
      <c r="K74" s="274"/>
      <c r="L74" s="270">
        <v>5</v>
      </c>
      <c r="M74" s="410" t="s">
        <v>398</v>
      </c>
      <c r="N74" s="316" t="s">
        <v>399</v>
      </c>
      <c r="O74" s="539"/>
      <c r="P74" s="424"/>
      <c r="Q74" s="273"/>
      <c r="R74" s="581"/>
      <c r="S74" s="616"/>
      <c r="T74" s="516"/>
      <c r="U74" s="501">
        <f>(Q74/$X$74*$J$74)</f>
        <v>0</v>
      </c>
      <c r="V74" s="888">
        <f>J74-SUM(U74:U94)</f>
        <v>5.4425999405793846E-4</v>
      </c>
      <c r="W74" s="567"/>
      <c r="X74" s="875">
        <f>SUM(Q74:Q94)</f>
        <v>241577.30000000002</v>
      </c>
      <c r="Y74" s="472"/>
    </row>
    <row r="75" spans="1:25" ht="14.25" customHeight="1">
      <c r="B75" s="275">
        <v>5</v>
      </c>
      <c r="C75" s="299"/>
      <c r="D75" s="302" t="s">
        <v>400</v>
      </c>
      <c r="E75" s="438"/>
      <c r="F75" s="439"/>
      <c r="G75" s="304">
        <v>8000</v>
      </c>
      <c r="H75" s="524">
        <v>45862</v>
      </c>
      <c r="I75" s="886"/>
      <c r="J75" s="886"/>
      <c r="K75" s="277"/>
      <c r="L75" s="275">
        <v>5</v>
      </c>
      <c r="M75" s="688" t="s">
        <v>398</v>
      </c>
      <c r="N75" s="276" t="s">
        <v>401</v>
      </c>
      <c r="O75" s="547">
        <v>1</v>
      </c>
      <c r="P75" s="439"/>
      <c r="Q75" s="304">
        <v>19205.5</v>
      </c>
      <c r="R75" s="627" t="s">
        <v>402</v>
      </c>
      <c r="S75" s="609" t="s">
        <v>403</v>
      </c>
      <c r="T75" s="675">
        <v>45869</v>
      </c>
      <c r="U75" s="680">
        <v>3006.8451525953706</v>
      </c>
      <c r="V75" s="889"/>
      <c r="W75" s="524">
        <v>45862</v>
      </c>
      <c r="X75" s="876"/>
      <c r="Y75" s="472"/>
    </row>
    <row r="76" spans="1:25" ht="14.25" customHeight="1">
      <c r="B76" s="275"/>
      <c r="C76" s="299"/>
      <c r="D76" s="302"/>
      <c r="E76" s="438"/>
      <c r="F76" s="439"/>
      <c r="G76" s="304"/>
      <c r="H76" s="524"/>
      <c r="I76" s="886"/>
      <c r="J76" s="886"/>
      <c r="K76" s="277"/>
      <c r="L76" s="275">
        <v>5</v>
      </c>
      <c r="M76" s="688" t="s">
        <v>398</v>
      </c>
      <c r="N76" s="276" t="s">
        <v>404</v>
      </c>
      <c r="O76" s="547"/>
      <c r="P76" s="439"/>
      <c r="Q76" s="304">
        <v>264.26</v>
      </c>
      <c r="R76" s="627"/>
      <c r="S76" s="574" t="s">
        <v>405</v>
      </c>
      <c r="T76" s="675">
        <v>45869</v>
      </c>
      <c r="U76" s="680">
        <v>41.372986906086929</v>
      </c>
      <c r="V76" s="889"/>
      <c r="W76" s="524">
        <v>45900</v>
      </c>
      <c r="X76" s="876"/>
      <c r="Y76" s="472"/>
    </row>
    <row r="77" spans="1:25" ht="14.25" customHeight="1">
      <c r="B77" s="275">
        <v>5</v>
      </c>
      <c r="C77" s="299"/>
      <c r="D77" s="302" t="s">
        <v>406</v>
      </c>
      <c r="E77" s="303"/>
      <c r="F77" s="446"/>
      <c r="G77" s="304">
        <v>30000</v>
      </c>
      <c r="H77" s="524">
        <v>45900</v>
      </c>
      <c r="I77" s="886"/>
      <c r="J77" s="886"/>
      <c r="K77" s="277"/>
      <c r="L77" s="275">
        <v>5</v>
      </c>
      <c r="M77" s="688" t="s">
        <v>398</v>
      </c>
      <c r="N77" s="302" t="s">
        <v>407</v>
      </c>
      <c r="O77" s="540">
        <v>1</v>
      </c>
      <c r="P77" s="446"/>
      <c r="Q77" s="304">
        <v>11169</v>
      </c>
      <c r="R77" s="574"/>
      <c r="S77" s="609" t="s">
        <v>408</v>
      </c>
      <c r="T77" s="675">
        <v>45900</v>
      </c>
      <c r="U77" s="680">
        <v>26948.87</v>
      </c>
      <c r="V77" s="889"/>
      <c r="W77" s="524">
        <v>45900</v>
      </c>
      <c r="X77" s="876"/>
      <c r="Y77" s="472" t="s">
        <v>409</v>
      </c>
    </row>
    <row r="78" spans="1:25" ht="14.25" customHeight="1">
      <c r="B78" s="275"/>
      <c r="C78" s="299"/>
      <c r="D78" s="302"/>
      <c r="E78" s="303"/>
      <c r="F78" s="446"/>
      <c r="G78" s="304"/>
      <c r="H78" s="524"/>
      <c r="I78" s="886"/>
      <c r="J78" s="886"/>
      <c r="K78" s="277"/>
      <c r="L78" s="275">
        <v>5</v>
      </c>
      <c r="M78" s="688" t="s">
        <v>398</v>
      </c>
      <c r="N78" s="302" t="s">
        <v>410</v>
      </c>
      <c r="O78" s="540"/>
      <c r="P78" s="446"/>
      <c r="Q78" s="304">
        <v>175.56</v>
      </c>
      <c r="R78" s="574"/>
      <c r="S78" s="609" t="s">
        <v>405</v>
      </c>
      <c r="T78" s="675">
        <v>45869</v>
      </c>
      <c r="U78" s="680">
        <v>27.48596677981012</v>
      </c>
      <c r="V78" s="889"/>
      <c r="W78" s="524">
        <v>45900</v>
      </c>
      <c r="X78" s="876"/>
      <c r="Y78" s="472"/>
    </row>
    <row r="79" spans="1:25" ht="14.25" customHeight="1">
      <c r="B79" s="275"/>
      <c r="C79" s="299"/>
      <c r="D79" s="302"/>
      <c r="E79" s="303"/>
      <c r="F79" s="446"/>
      <c r="G79" s="304"/>
      <c r="H79" s="524"/>
      <c r="I79" s="886"/>
      <c r="J79" s="886"/>
      <c r="K79" s="277"/>
      <c r="L79" s="275">
        <v>5</v>
      </c>
      <c r="M79" s="688" t="s">
        <v>398</v>
      </c>
      <c r="N79" s="302" t="s">
        <v>411</v>
      </c>
      <c r="O79" s="540">
        <v>1</v>
      </c>
      <c r="P79" s="446"/>
      <c r="Q79" s="304">
        <v>95374</v>
      </c>
      <c r="R79" s="574" t="s">
        <v>412</v>
      </c>
      <c r="S79" s="609" t="s">
        <v>413</v>
      </c>
      <c r="T79" s="675">
        <v>45869</v>
      </c>
      <c r="U79" s="680">
        <v>14931.912711651916</v>
      </c>
      <c r="V79" s="889"/>
      <c r="W79" s="524">
        <v>45930</v>
      </c>
      <c r="X79" s="876"/>
      <c r="Y79" s="472"/>
    </row>
    <row r="80" spans="1:25" ht="14.25" customHeight="1">
      <c r="B80" s="275"/>
      <c r="C80" s="299"/>
      <c r="D80" s="302"/>
      <c r="E80" s="303"/>
      <c r="F80" s="446"/>
      <c r="G80" s="304"/>
      <c r="H80" s="524"/>
      <c r="I80" s="886"/>
      <c r="J80" s="886"/>
      <c r="K80" s="277"/>
      <c r="L80" s="275">
        <v>5</v>
      </c>
      <c r="M80" s="688" t="s">
        <v>398</v>
      </c>
      <c r="N80" s="302" t="s">
        <v>414</v>
      </c>
      <c r="O80" s="540"/>
      <c r="P80" s="446"/>
      <c r="Q80" s="304">
        <v>15921</v>
      </c>
      <c r="R80" s="574" t="s">
        <v>415</v>
      </c>
      <c r="S80" s="609" t="s">
        <v>416</v>
      </c>
      <c r="T80" s="675">
        <v>45869</v>
      </c>
      <c r="U80" s="680">
        <v>2492.6183475812081</v>
      </c>
      <c r="V80" s="889"/>
      <c r="W80" s="524">
        <f>T80+30</f>
        <v>45899</v>
      </c>
      <c r="X80" s="876"/>
      <c r="Y80" s="472"/>
    </row>
    <row r="81" spans="1:25" ht="14.25" customHeight="1">
      <c r="B81" s="275"/>
      <c r="C81" s="299"/>
      <c r="D81" s="302"/>
      <c r="E81" s="303"/>
      <c r="F81" s="446"/>
      <c r="G81" s="304"/>
      <c r="H81" s="560"/>
      <c r="I81" s="886"/>
      <c r="J81" s="886"/>
      <c r="K81" s="277"/>
      <c r="L81" s="275">
        <v>5</v>
      </c>
      <c r="M81" s="688" t="s">
        <v>398</v>
      </c>
      <c r="N81" s="302" t="s">
        <v>206</v>
      </c>
      <c r="O81" s="540"/>
      <c r="P81" s="446"/>
      <c r="Q81" s="304">
        <v>83760</v>
      </c>
      <c r="R81" s="574" t="s">
        <v>417</v>
      </c>
      <c r="S81" s="609" t="s">
        <v>418</v>
      </c>
      <c r="T81" s="752">
        <v>46022</v>
      </c>
      <c r="U81" s="758">
        <v>17237.103282812757</v>
      </c>
      <c r="V81" s="889"/>
      <c r="W81" s="757">
        <v>46037</v>
      </c>
      <c r="X81" s="876"/>
      <c r="Y81" s="472"/>
    </row>
    <row r="82" spans="1:25" ht="14.25" customHeight="1">
      <c r="B82" s="275"/>
      <c r="C82" s="299"/>
      <c r="D82" s="302"/>
      <c r="E82" s="303"/>
      <c r="F82" s="446"/>
      <c r="G82" s="304"/>
      <c r="H82" s="560"/>
      <c r="I82" s="886"/>
      <c r="J82" s="886"/>
      <c r="K82" s="277"/>
      <c r="L82" s="275">
        <v>5</v>
      </c>
      <c r="M82" s="688" t="s">
        <v>398</v>
      </c>
      <c r="N82" s="302"/>
      <c r="O82" s="540"/>
      <c r="P82" s="446"/>
      <c r="Q82" s="304">
        <v>-1980</v>
      </c>
      <c r="R82" s="574"/>
      <c r="S82" s="609" t="s">
        <v>419</v>
      </c>
      <c r="T82" s="752">
        <v>46053</v>
      </c>
      <c r="U82" s="758"/>
      <c r="V82" s="889"/>
      <c r="W82" s="757">
        <v>46053</v>
      </c>
      <c r="X82" s="876"/>
      <c r="Y82" s="472"/>
    </row>
    <row r="83" spans="1:25" ht="14.25" customHeight="1">
      <c r="B83" s="275"/>
      <c r="C83" s="299"/>
      <c r="D83" s="302"/>
      <c r="E83" s="303"/>
      <c r="F83" s="446"/>
      <c r="G83" s="304"/>
      <c r="H83" s="524"/>
      <c r="I83" s="886"/>
      <c r="J83" s="886"/>
      <c r="K83" s="277"/>
      <c r="L83" s="275">
        <v>5</v>
      </c>
      <c r="M83" s="688" t="s">
        <v>398</v>
      </c>
      <c r="N83" s="302" t="s">
        <v>420</v>
      </c>
      <c r="O83" s="540">
        <v>1</v>
      </c>
      <c r="P83" s="446"/>
      <c r="Q83" s="304">
        <v>1060</v>
      </c>
      <c r="R83" s="574" t="s">
        <v>421</v>
      </c>
      <c r="S83" s="609" t="s">
        <v>422</v>
      </c>
      <c r="T83" s="675">
        <v>45930</v>
      </c>
      <c r="U83" s="758">
        <v>335.81690215918718</v>
      </c>
      <c r="V83" s="889"/>
      <c r="W83" s="524">
        <v>45904</v>
      </c>
      <c r="X83" s="876"/>
      <c r="Y83" s="472"/>
    </row>
    <row r="84" spans="1:25" ht="14.25" customHeight="1">
      <c r="B84" s="275"/>
      <c r="C84" s="299"/>
      <c r="D84" s="302"/>
      <c r="E84" s="303"/>
      <c r="F84" s="446"/>
      <c r="G84" s="304"/>
      <c r="H84" s="560"/>
      <c r="I84" s="886"/>
      <c r="J84" s="886"/>
      <c r="K84" s="277"/>
      <c r="L84" s="275">
        <v>5</v>
      </c>
      <c r="M84" s="688" t="s">
        <v>398</v>
      </c>
      <c r="N84" s="302"/>
      <c r="O84" s="540"/>
      <c r="P84" s="446"/>
      <c r="Q84" s="304"/>
      <c r="R84" s="574"/>
      <c r="S84" s="609"/>
      <c r="T84" s="509"/>
      <c r="U84" s="493">
        <f t="shared" ref="U84:U94" si="10">(Q84/$X$74*$J$74)</f>
        <v>0</v>
      </c>
      <c r="V84" s="889"/>
      <c r="W84" s="560"/>
      <c r="X84" s="876"/>
      <c r="Y84" s="472"/>
    </row>
    <row r="85" spans="1:25" ht="14.25" customHeight="1">
      <c r="B85" s="275"/>
      <c r="C85" s="299"/>
      <c r="D85" s="302"/>
      <c r="E85" s="303"/>
      <c r="F85" s="446"/>
      <c r="G85" s="304"/>
      <c r="H85" s="560"/>
      <c r="I85" s="886"/>
      <c r="J85" s="886"/>
      <c r="K85" s="277"/>
      <c r="L85" s="275">
        <v>5</v>
      </c>
      <c r="M85" s="688" t="s">
        <v>398</v>
      </c>
      <c r="N85" s="302" t="s">
        <v>423</v>
      </c>
      <c r="O85" s="540"/>
      <c r="P85" s="446"/>
      <c r="Q85" s="304">
        <v>11169</v>
      </c>
      <c r="R85" s="574"/>
      <c r="S85" s="609" t="s">
        <v>424</v>
      </c>
      <c r="T85" s="752">
        <v>45961</v>
      </c>
      <c r="U85" s="758">
        <v>3469.3217718440114</v>
      </c>
      <c r="V85" s="889"/>
      <c r="W85" s="524">
        <v>45974</v>
      </c>
      <c r="X85" s="876"/>
      <c r="Y85" s="472"/>
    </row>
    <row r="86" spans="1:25" ht="14.25" customHeight="1">
      <c r="B86" s="275"/>
      <c r="C86" s="299"/>
      <c r="D86" s="302"/>
      <c r="E86" s="303"/>
      <c r="F86" s="446"/>
      <c r="G86" s="304"/>
      <c r="H86" s="560"/>
      <c r="I86" s="886"/>
      <c r="J86" s="886"/>
      <c r="K86" s="277"/>
      <c r="L86" s="275">
        <v>5</v>
      </c>
      <c r="M86" s="688" t="s">
        <v>398</v>
      </c>
      <c r="N86" s="302" t="s">
        <v>410</v>
      </c>
      <c r="O86" s="540"/>
      <c r="P86" s="446"/>
      <c r="Q86" s="304">
        <v>308.98</v>
      </c>
      <c r="R86" s="574"/>
      <c r="S86" s="574" t="s">
        <v>425</v>
      </c>
      <c r="T86" s="752">
        <v>45961</v>
      </c>
      <c r="U86" s="758">
        <v>97.749104563019316</v>
      </c>
      <c r="V86" s="889"/>
      <c r="W86" s="524">
        <v>45991</v>
      </c>
      <c r="X86" s="876"/>
      <c r="Y86" s="472"/>
    </row>
    <row r="87" spans="1:25" ht="14.25" customHeight="1">
      <c r="B87" s="275"/>
      <c r="C87" s="299"/>
      <c r="D87" s="302"/>
      <c r="E87" s="303"/>
      <c r="F87" s="446"/>
      <c r="G87" s="304"/>
      <c r="H87" s="560"/>
      <c r="I87" s="886"/>
      <c r="J87" s="886"/>
      <c r="K87" s="277"/>
      <c r="L87" s="275">
        <v>5</v>
      </c>
      <c r="M87" s="688" t="s">
        <v>398</v>
      </c>
      <c r="N87" s="302" t="s">
        <v>426</v>
      </c>
      <c r="O87" s="540"/>
      <c r="P87" s="446"/>
      <c r="Q87" s="304">
        <v>1980</v>
      </c>
      <c r="R87" s="574"/>
      <c r="S87" s="609" t="s">
        <v>427</v>
      </c>
      <c r="T87" s="675">
        <v>46053</v>
      </c>
      <c r="U87" s="758">
        <v>562.22433163430321</v>
      </c>
      <c r="V87" s="889"/>
      <c r="W87" s="560">
        <v>46065</v>
      </c>
      <c r="X87" s="876"/>
      <c r="Y87" s="472"/>
    </row>
    <row r="88" spans="1:25" ht="14.25" customHeight="1">
      <c r="B88" s="275"/>
      <c r="C88" s="299"/>
      <c r="D88" s="302"/>
      <c r="E88" s="303"/>
      <c r="F88" s="446"/>
      <c r="G88" s="304"/>
      <c r="H88" s="560"/>
      <c r="I88" s="886"/>
      <c r="J88" s="886"/>
      <c r="K88" s="277"/>
      <c r="L88" s="275">
        <v>5</v>
      </c>
      <c r="M88" s="688" t="s">
        <v>398</v>
      </c>
      <c r="N88" s="302" t="s">
        <v>428</v>
      </c>
      <c r="O88" s="540"/>
      <c r="P88" s="446"/>
      <c r="Q88" s="304">
        <v>3170</v>
      </c>
      <c r="R88" s="574"/>
      <c r="S88" s="609" t="s">
        <v>429</v>
      </c>
      <c r="T88" s="675">
        <v>46053</v>
      </c>
      <c r="U88" s="758">
        <v>7.42</v>
      </c>
      <c r="V88" s="889"/>
      <c r="W88" s="560">
        <v>46081</v>
      </c>
      <c r="X88" s="876"/>
      <c r="Y88" s="472"/>
    </row>
    <row r="89" spans="1:25" ht="14.25" customHeight="1">
      <c r="B89" s="275"/>
      <c r="C89" s="299"/>
      <c r="D89" s="302"/>
      <c r="E89" s="303"/>
      <c r="F89" s="446"/>
      <c r="G89" s="304"/>
      <c r="H89" s="560"/>
      <c r="I89" s="886"/>
      <c r="J89" s="886"/>
      <c r="K89" s="277"/>
      <c r="L89" s="275">
        <v>5</v>
      </c>
      <c r="M89" s="688" t="s">
        <v>398</v>
      </c>
      <c r="N89" s="302"/>
      <c r="O89" s="540"/>
      <c r="P89" s="446"/>
      <c r="Q89" s="304"/>
      <c r="R89" s="574"/>
      <c r="S89" s="609"/>
      <c r="T89" s="509" t="str">
        <f t="shared" ref="T89:T92" si="11">IF(W89&gt;1,EOMONTH(W89,0),"")</f>
        <v/>
      </c>
      <c r="U89" s="493">
        <f t="shared" si="10"/>
        <v>0</v>
      </c>
      <c r="V89" s="889"/>
      <c r="W89" s="560"/>
      <c r="X89" s="876"/>
      <c r="Y89" s="472"/>
    </row>
    <row r="90" spans="1:25" ht="14.25" customHeight="1">
      <c r="B90" s="275"/>
      <c r="C90" s="299"/>
      <c r="D90" s="302"/>
      <c r="E90" s="303"/>
      <c r="F90" s="446"/>
      <c r="G90" s="304"/>
      <c r="H90" s="560"/>
      <c r="I90" s="886"/>
      <c r="J90" s="886"/>
      <c r="K90" s="277"/>
      <c r="L90" s="275">
        <v>5</v>
      </c>
      <c r="M90" s="688" t="s">
        <v>398</v>
      </c>
      <c r="N90" s="302"/>
      <c r="O90" s="540"/>
      <c r="P90" s="446"/>
      <c r="Q90" s="304"/>
      <c r="R90" s="574"/>
      <c r="S90" s="609"/>
      <c r="T90" s="509" t="str">
        <f t="shared" si="11"/>
        <v/>
      </c>
      <c r="U90" s="493">
        <f t="shared" si="10"/>
        <v>0</v>
      </c>
      <c r="V90" s="889"/>
      <c r="W90" s="560"/>
      <c r="X90" s="876"/>
      <c r="Y90" s="472"/>
    </row>
    <row r="91" spans="1:25" ht="14.25" customHeight="1">
      <c r="B91" s="300">
        <v>5</v>
      </c>
      <c r="C91" s="301"/>
      <c r="D91" s="302"/>
      <c r="E91" s="303"/>
      <c r="F91" s="446"/>
      <c r="G91" s="304"/>
      <c r="H91" s="560"/>
      <c r="I91" s="886"/>
      <c r="J91" s="886"/>
      <c r="K91" s="277"/>
      <c r="L91" s="300">
        <v>5</v>
      </c>
      <c r="M91" s="688" t="s">
        <v>398</v>
      </c>
      <c r="N91" s="302"/>
      <c r="O91" s="540"/>
      <c r="P91" s="446"/>
      <c r="Q91" s="304"/>
      <c r="R91" s="574"/>
      <c r="S91" s="609"/>
      <c r="T91" s="509" t="str">
        <f t="shared" si="11"/>
        <v/>
      </c>
      <c r="U91" s="493">
        <f t="shared" si="10"/>
        <v>0</v>
      </c>
      <c r="V91" s="889"/>
      <c r="W91" s="560"/>
      <c r="X91" s="876"/>
      <c r="Y91" s="472"/>
    </row>
    <row r="92" spans="1:25" ht="14.25" customHeight="1">
      <c r="B92" s="372">
        <v>5</v>
      </c>
      <c r="C92" s="373"/>
      <c r="D92" s="376"/>
      <c r="E92" s="395"/>
      <c r="F92" s="431"/>
      <c r="G92" s="375"/>
      <c r="H92" s="561"/>
      <c r="I92" s="886"/>
      <c r="J92" s="886"/>
      <c r="K92" s="277"/>
      <c r="L92" s="300">
        <v>5</v>
      </c>
      <c r="M92" s="688" t="s">
        <v>398</v>
      </c>
      <c r="N92" s="376"/>
      <c r="O92" s="541"/>
      <c r="P92" s="431"/>
      <c r="Q92" s="375"/>
      <c r="R92" s="575"/>
      <c r="S92" s="610"/>
      <c r="T92" s="510" t="str">
        <f t="shared" si="11"/>
        <v/>
      </c>
      <c r="U92" s="494">
        <f t="shared" si="10"/>
        <v>0</v>
      </c>
      <c r="V92" s="889"/>
      <c r="W92" s="561"/>
      <c r="X92" s="876"/>
      <c r="Y92" s="472"/>
    </row>
    <row r="93" spans="1:25" ht="14.25" customHeight="1">
      <c r="B93" s="372">
        <v>5</v>
      </c>
      <c r="C93" s="373"/>
      <c r="D93" s="376"/>
      <c r="E93" s="395"/>
      <c r="F93" s="431"/>
      <c r="G93" s="375"/>
      <c r="H93" s="561"/>
      <c r="I93" s="886"/>
      <c r="J93" s="886"/>
      <c r="K93" s="277"/>
      <c r="L93" s="300">
        <v>5</v>
      </c>
      <c r="M93" s="688" t="s">
        <v>398</v>
      </c>
      <c r="N93" s="376"/>
      <c r="O93" s="541"/>
      <c r="P93" s="431"/>
      <c r="Q93" s="375"/>
      <c r="R93" s="575"/>
      <c r="S93" s="610"/>
      <c r="T93" s="510" t="str">
        <f t="shared" si="5"/>
        <v/>
      </c>
      <c r="U93" s="494">
        <f t="shared" si="10"/>
        <v>0</v>
      </c>
      <c r="V93" s="889"/>
      <c r="W93" s="561"/>
      <c r="X93" s="876"/>
      <c r="Y93" s="472"/>
    </row>
    <row r="94" spans="1:25" ht="15" customHeight="1" thickBot="1">
      <c r="B94" s="305">
        <v>5</v>
      </c>
      <c r="C94" s="326"/>
      <c r="D94" s="306"/>
      <c r="E94" s="307"/>
      <c r="F94" s="447"/>
      <c r="G94" s="319"/>
      <c r="H94" s="562"/>
      <c r="I94" s="887"/>
      <c r="J94" s="887"/>
      <c r="K94" s="278"/>
      <c r="L94" s="305">
        <v>5</v>
      </c>
      <c r="M94" s="412" t="s">
        <v>398</v>
      </c>
      <c r="N94" s="306"/>
      <c r="O94" s="542"/>
      <c r="P94" s="447"/>
      <c r="Q94" s="319"/>
      <c r="R94" s="576"/>
      <c r="S94" s="611"/>
      <c r="T94" s="511" t="str">
        <f t="shared" si="5"/>
        <v/>
      </c>
      <c r="U94" s="495">
        <f t="shared" si="10"/>
        <v>0</v>
      </c>
      <c r="V94" s="890"/>
      <c r="W94" s="562"/>
      <c r="X94" s="877"/>
      <c r="Y94" s="472"/>
    </row>
    <row r="95" spans="1:25" ht="14.45" thickBot="1">
      <c r="A95" s="24"/>
      <c r="B95" s="279"/>
      <c r="C95" s="296"/>
      <c r="D95" s="267"/>
      <c r="E95" s="280"/>
      <c r="F95" s="443"/>
      <c r="G95" s="281"/>
      <c r="H95" s="563"/>
      <c r="I95" s="315"/>
      <c r="J95" s="315"/>
      <c r="K95" s="24"/>
      <c r="L95" s="279"/>
      <c r="M95" s="296"/>
      <c r="N95" s="267"/>
      <c r="O95" s="543"/>
      <c r="P95" s="443"/>
      <c r="Q95" s="281"/>
      <c r="R95" s="577"/>
      <c r="S95" s="612"/>
      <c r="T95" s="512" t="str">
        <f t="shared" si="5"/>
        <v/>
      </c>
      <c r="U95" s="500"/>
      <c r="V95" s="483"/>
      <c r="W95" s="563"/>
      <c r="X95" s="473"/>
      <c r="Y95" s="472"/>
    </row>
    <row r="96" spans="1:25" ht="14.25" customHeight="1">
      <c r="B96" s="282">
        <v>6</v>
      </c>
      <c r="C96" s="283" t="s">
        <v>320</v>
      </c>
      <c r="D96" s="284" t="s">
        <v>430</v>
      </c>
      <c r="E96" s="465"/>
      <c r="F96" s="444"/>
      <c r="G96" s="285">
        <f>D366</f>
        <v>2941866.9</v>
      </c>
      <c r="H96" s="564">
        <f>H97</f>
        <v>45901</v>
      </c>
      <c r="I96" s="869">
        <f>SUM(G96:G120)</f>
        <v>2941866.9</v>
      </c>
      <c r="J96" s="869">
        <f>F366</f>
        <v>3178997.0514993835</v>
      </c>
      <c r="K96" s="286"/>
      <c r="L96" s="282">
        <v>6</v>
      </c>
      <c r="M96" s="418" t="s">
        <v>431</v>
      </c>
      <c r="N96" s="284"/>
      <c r="O96" s="535"/>
      <c r="P96" s="444"/>
      <c r="Q96" s="285"/>
      <c r="R96" s="578"/>
      <c r="S96" s="613"/>
      <c r="T96" s="513"/>
      <c r="U96" s="497">
        <f>(Q96/$X$96*$J$96)</f>
        <v>0</v>
      </c>
      <c r="V96" s="878">
        <f>J96-SUM(U96:U120)</f>
        <v>2.9870779253542423E-3</v>
      </c>
      <c r="W96" s="564"/>
      <c r="X96" s="872">
        <f>SUM(Q96:Q120)</f>
        <v>2401487</v>
      </c>
      <c r="Y96" s="472"/>
    </row>
    <row r="97" spans="2:25" ht="14.25" customHeight="1">
      <c r="B97" s="287">
        <v>6</v>
      </c>
      <c r="C97" s="397"/>
      <c r="D97" s="430"/>
      <c r="E97" s="383"/>
      <c r="F97" s="440"/>
      <c r="G97" s="310"/>
      <c r="H97" s="528">
        <v>45901</v>
      </c>
      <c r="I97" s="870"/>
      <c r="J97" s="870"/>
      <c r="K97" s="290"/>
      <c r="L97" s="287">
        <v>6</v>
      </c>
      <c r="M97" s="416" t="s">
        <v>431</v>
      </c>
      <c r="N97" s="430" t="s">
        <v>432</v>
      </c>
      <c r="O97" s="545"/>
      <c r="P97" s="440">
        <f>Q97/20</f>
        <v>27122.75</v>
      </c>
      <c r="Q97" s="310">
        <v>542455</v>
      </c>
      <c r="R97" s="579" t="s">
        <v>433</v>
      </c>
      <c r="S97" s="614" t="s">
        <v>434</v>
      </c>
      <c r="T97" s="673">
        <v>45869</v>
      </c>
      <c r="U97" s="682">
        <v>819376.53083841596</v>
      </c>
      <c r="V97" s="879"/>
      <c r="W97" s="528">
        <v>45901</v>
      </c>
      <c r="X97" s="873"/>
      <c r="Y97" s="472"/>
    </row>
    <row r="98" spans="2:25" ht="14.25" customHeight="1">
      <c r="B98" s="287"/>
      <c r="C98" s="397"/>
      <c r="D98" s="430"/>
      <c r="E98" s="383"/>
      <c r="F98" s="440"/>
      <c r="G98" s="310"/>
      <c r="H98" s="565"/>
      <c r="I98" s="870"/>
      <c r="J98" s="870"/>
      <c r="K98" s="290"/>
      <c r="L98" s="287">
        <v>6</v>
      </c>
      <c r="M98" s="416" t="s">
        <v>431</v>
      </c>
      <c r="N98" s="430"/>
      <c r="O98" s="545"/>
      <c r="P98" s="440"/>
      <c r="Q98" s="310"/>
      <c r="R98" s="579"/>
      <c r="S98" s="614"/>
      <c r="T98" s="514"/>
      <c r="U98" s="498"/>
      <c r="V98" s="879"/>
      <c r="W98" s="565"/>
      <c r="X98" s="873"/>
      <c r="Y98" s="472"/>
    </row>
    <row r="99" spans="2:25" ht="14.25" customHeight="1">
      <c r="B99" s="287"/>
      <c r="C99" s="397"/>
      <c r="D99" s="430"/>
      <c r="E99" s="383"/>
      <c r="F99" s="440"/>
      <c r="G99" s="310"/>
      <c r="H99" s="565"/>
      <c r="I99" s="870"/>
      <c r="J99" s="870"/>
      <c r="K99" s="290"/>
      <c r="L99" s="287">
        <v>6</v>
      </c>
      <c r="M99" s="416" t="s">
        <v>431</v>
      </c>
      <c r="N99" s="430" t="s">
        <v>435</v>
      </c>
      <c r="O99" s="545"/>
      <c r="P99" s="440"/>
      <c r="Q99" s="310">
        <v>111600</v>
      </c>
      <c r="R99" s="579"/>
      <c r="S99" s="614" t="s">
        <v>436</v>
      </c>
      <c r="T99" s="673">
        <v>46022</v>
      </c>
      <c r="U99" s="498"/>
      <c r="V99" s="879"/>
      <c r="W99" s="528">
        <v>46051</v>
      </c>
      <c r="X99" s="873"/>
      <c r="Y99" s="472"/>
    </row>
    <row r="100" spans="2:25" ht="14.25" customHeight="1">
      <c r="B100" s="287"/>
      <c r="C100" s="397"/>
      <c r="D100" s="430"/>
      <c r="E100" s="383"/>
      <c r="F100" s="440"/>
      <c r="G100" s="310"/>
      <c r="H100" s="565"/>
      <c r="I100" s="870"/>
      <c r="J100" s="870"/>
      <c r="K100" s="290"/>
      <c r="L100" s="287">
        <v>6</v>
      </c>
      <c r="M100" s="416" t="s">
        <v>431</v>
      </c>
      <c r="N100" s="430" t="s">
        <v>437</v>
      </c>
      <c r="O100" s="545"/>
      <c r="P100" s="440"/>
      <c r="Q100" s="310"/>
      <c r="R100" s="579"/>
      <c r="S100" s="614"/>
      <c r="T100" s="673">
        <v>45900</v>
      </c>
      <c r="U100" s="682">
        <v>720273.72</v>
      </c>
      <c r="V100" s="879"/>
      <c r="W100" s="565"/>
      <c r="X100" s="873"/>
      <c r="Y100" s="472"/>
    </row>
    <row r="101" spans="2:25" ht="14.25" customHeight="1">
      <c r="B101" s="287"/>
      <c r="C101" s="397"/>
      <c r="D101" s="430"/>
      <c r="E101" s="383"/>
      <c r="F101" s="440"/>
      <c r="G101" s="310"/>
      <c r="H101" s="565"/>
      <c r="I101" s="870"/>
      <c r="J101" s="870"/>
      <c r="K101" s="290"/>
      <c r="L101" s="287">
        <v>6</v>
      </c>
      <c r="M101" s="416" t="s">
        <v>431</v>
      </c>
      <c r="N101" s="430"/>
      <c r="O101" s="545"/>
      <c r="P101" s="440"/>
      <c r="Q101" s="310"/>
      <c r="R101" s="579"/>
      <c r="S101" s="614"/>
      <c r="T101" s="514"/>
      <c r="U101" s="498"/>
      <c r="V101" s="879"/>
      <c r="W101" s="565"/>
      <c r="X101" s="873"/>
      <c r="Y101" s="472"/>
    </row>
    <row r="102" spans="2:25" ht="14.25" customHeight="1">
      <c r="B102" s="287"/>
      <c r="C102" s="397"/>
      <c r="D102" s="430"/>
      <c r="E102" s="383"/>
      <c r="F102" s="440"/>
      <c r="G102" s="310"/>
      <c r="H102" s="528"/>
      <c r="I102" s="870"/>
      <c r="J102" s="870"/>
      <c r="K102" s="290"/>
      <c r="L102" s="287">
        <v>6</v>
      </c>
      <c r="M102" s="416" t="s">
        <v>431</v>
      </c>
      <c r="N102" s="430" t="s">
        <v>438</v>
      </c>
      <c r="O102" s="545"/>
      <c r="P102" s="440">
        <f>Q102+Q103+Q104</f>
        <v>1126388</v>
      </c>
      <c r="Q102" s="310">
        <v>602839</v>
      </c>
      <c r="R102" s="881" t="s">
        <v>439</v>
      </c>
      <c r="S102" s="614" t="s">
        <v>440</v>
      </c>
      <c r="T102" s="673">
        <v>45869</v>
      </c>
      <c r="U102" s="682">
        <v>586595.33735154092</v>
      </c>
      <c r="V102" s="879"/>
      <c r="W102" s="528">
        <v>45900</v>
      </c>
      <c r="X102" s="873"/>
      <c r="Y102" s="472"/>
    </row>
    <row r="103" spans="2:25" ht="14.25" customHeight="1">
      <c r="B103" s="287"/>
      <c r="C103" s="397"/>
      <c r="D103" s="430"/>
      <c r="E103" s="383"/>
      <c r="F103" s="440"/>
      <c r="G103" s="310"/>
      <c r="H103" s="528"/>
      <c r="I103" s="870"/>
      <c r="J103" s="870"/>
      <c r="K103" s="290"/>
      <c r="L103" s="287">
        <v>6</v>
      </c>
      <c r="M103" s="416" t="s">
        <v>431</v>
      </c>
      <c r="N103" s="430" t="s">
        <v>441</v>
      </c>
      <c r="O103" s="545"/>
      <c r="P103" s="440"/>
      <c r="Q103" s="310">
        <v>517469.18</v>
      </c>
      <c r="R103" s="884"/>
      <c r="S103" s="614" t="s">
        <v>442</v>
      </c>
      <c r="T103" s="673">
        <v>45869</v>
      </c>
      <c r="U103" s="682">
        <v>460970.25062994479</v>
      </c>
      <c r="V103" s="879"/>
      <c r="W103" s="528">
        <v>45900</v>
      </c>
      <c r="X103" s="873"/>
      <c r="Y103" s="472"/>
    </row>
    <row r="104" spans="2:25" ht="14.25" customHeight="1">
      <c r="B104" s="287"/>
      <c r="C104" s="397"/>
      <c r="D104" s="430"/>
      <c r="E104" s="383"/>
      <c r="F104" s="440"/>
      <c r="G104" s="310"/>
      <c r="H104" s="528"/>
      <c r="I104" s="870"/>
      <c r="J104" s="870"/>
      <c r="K104" s="290"/>
      <c r="L104" s="287">
        <v>6</v>
      </c>
      <c r="M104" s="416" t="s">
        <v>431</v>
      </c>
      <c r="N104" s="430" t="s">
        <v>443</v>
      </c>
      <c r="O104" s="545"/>
      <c r="P104" s="440"/>
      <c r="Q104" s="310">
        <v>6079.82</v>
      </c>
      <c r="R104" s="882"/>
      <c r="S104" s="614" t="s">
        <v>444</v>
      </c>
      <c r="T104" s="673">
        <v>45869</v>
      </c>
      <c r="U104" s="682">
        <v>5915.9975780210725</v>
      </c>
      <c r="V104" s="879"/>
      <c r="W104" s="528">
        <v>45900</v>
      </c>
      <c r="X104" s="873"/>
      <c r="Y104" s="472"/>
    </row>
    <row r="105" spans="2:25" ht="14.25" customHeight="1">
      <c r="B105" s="287"/>
      <c r="C105" s="397"/>
      <c r="D105" s="430"/>
      <c r="E105" s="383"/>
      <c r="F105" s="440"/>
      <c r="G105" s="310"/>
      <c r="H105" s="565"/>
      <c r="I105" s="870"/>
      <c r="J105" s="870"/>
      <c r="K105" s="290"/>
      <c r="L105" s="287">
        <v>6</v>
      </c>
      <c r="M105" s="416" t="s">
        <v>431</v>
      </c>
      <c r="N105" s="430"/>
      <c r="O105" s="545"/>
      <c r="P105" s="440"/>
      <c r="Q105" s="310"/>
      <c r="R105" s="579"/>
      <c r="S105" s="614"/>
      <c r="T105" s="514"/>
      <c r="U105" s="498"/>
      <c r="V105" s="879"/>
      <c r="W105" s="565"/>
      <c r="X105" s="873"/>
      <c r="Y105" s="472"/>
    </row>
    <row r="106" spans="2:25" ht="14.25" customHeight="1">
      <c r="B106" s="287">
        <v>6</v>
      </c>
      <c r="C106" s="397"/>
      <c r="D106" s="430"/>
      <c r="E106" s="383"/>
      <c r="F106" s="440"/>
      <c r="G106" s="310"/>
      <c r="H106" s="565"/>
      <c r="I106" s="870"/>
      <c r="J106" s="870"/>
      <c r="K106" s="290"/>
      <c r="L106" s="287">
        <v>6</v>
      </c>
      <c r="M106" s="416" t="s">
        <v>431</v>
      </c>
      <c r="N106" s="430" t="s">
        <v>445</v>
      </c>
      <c r="O106" s="545"/>
      <c r="P106" s="440"/>
      <c r="Q106" s="310">
        <v>51044</v>
      </c>
      <c r="R106" s="579"/>
      <c r="S106" s="614" t="s">
        <v>446</v>
      </c>
      <c r="T106" s="673">
        <v>45991</v>
      </c>
      <c r="U106" s="498" t="s">
        <v>104</v>
      </c>
      <c r="V106" s="879"/>
      <c r="W106" s="528">
        <v>46029</v>
      </c>
      <c r="X106" s="873"/>
      <c r="Y106" s="472"/>
    </row>
    <row r="107" spans="2:25" ht="14.25" customHeight="1">
      <c r="B107" s="287">
        <v>6</v>
      </c>
      <c r="C107" s="397"/>
      <c r="D107" s="430"/>
      <c r="E107" s="383"/>
      <c r="F107" s="440"/>
      <c r="G107" s="310"/>
      <c r="H107" s="565"/>
      <c r="I107" s="870"/>
      <c r="J107" s="870"/>
      <c r="K107" s="290"/>
      <c r="L107" s="287">
        <v>6</v>
      </c>
      <c r="M107" s="416" t="s">
        <v>431</v>
      </c>
      <c r="N107" s="430"/>
      <c r="O107" s="545"/>
      <c r="P107" s="440"/>
      <c r="Q107" s="310"/>
      <c r="R107" s="579"/>
      <c r="S107" s="614"/>
      <c r="T107" s="514" t="str">
        <f t="shared" si="5"/>
        <v/>
      </c>
      <c r="U107" s="498">
        <f>(Q107/$X$96*$J$96)</f>
        <v>0</v>
      </c>
      <c r="V107" s="879"/>
      <c r="W107" s="565"/>
      <c r="X107" s="873"/>
      <c r="Y107" s="472"/>
    </row>
    <row r="108" spans="2:25" ht="14.25" customHeight="1">
      <c r="B108" s="287">
        <v>6</v>
      </c>
      <c r="C108" s="397"/>
      <c r="D108" s="430"/>
      <c r="E108" s="383"/>
      <c r="F108" s="440"/>
      <c r="G108" s="310"/>
      <c r="H108" s="565"/>
      <c r="I108" s="870"/>
      <c r="J108" s="870"/>
      <c r="K108" s="290"/>
      <c r="L108" s="287">
        <v>6</v>
      </c>
      <c r="M108" s="416" t="s">
        <v>431</v>
      </c>
      <c r="N108" s="430"/>
      <c r="O108" s="545"/>
      <c r="P108" s="440"/>
      <c r="Q108" s="310"/>
      <c r="R108" s="579"/>
      <c r="S108" s="614"/>
      <c r="T108" s="514" t="str">
        <f t="shared" si="5"/>
        <v/>
      </c>
      <c r="U108" s="498">
        <f>(Q108/$X$96*$J$96)</f>
        <v>0</v>
      </c>
      <c r="V108" s="879"/>
      <c r="W108" s="565"/>
      <c r="X108" s="873"/>
      <c r="Y108" s="472"/>
    </row>
    <row r="109" spans="2:25" ht="14.25" customHeight="1">
      <c r="B109" s="287">
        <v>6</v>
      </c>
      <c r="C109" s="397"/>
      <c r="D109" s="430"/>
      <c r="E109" s="383"/>
      <c r="F109" s="440"/>
      <c r="G109" s="310"/>
      <c r="H109" s="565"/>
      <c r="I109" s="870"/>
      <c r="J109" s="870"/>
      <c r="K109" s="290"/>
      <c r="L109" s="287">
        <v>6</v>
      </c>
      <c r="M109" s="416" t="s">
        <v>431</v>
      </c>
      <c r="N109" s="430"/>
      <c r="O109" s="545"/>
      <c r="P109" s="440"/>
      <c r="Q109" s="310"/>
      <c r="R109" s="579"/>
      <c r="S109" s="614"/>
      <c r="T109" s="514" t="str">
        <f t="shared" si="5"/>
        <v/>
      </c>
      <c r="U109" s="498">
        <f>(Q109/$X$96*$J$96)</f>
        <v>0</v>
      </c>
      <c r="V109" s="879"/>
      <c r="W109" s="565"/>
      <c r="X109" s="873"/>
      <c r="Y109" s="472"/>
    </row>
    <row r="110" spans="2:25" ht="14.25" customHeight="1">
      <c r="B110" s="287">
        <v>6</v>
      </c>
      <c r="C110" s="437"/>
      <c r="D110" s="288"/>
      <c r="E110" s="388"/>
      <c r="F110" s="441"/>
      <c r="G110" s="310"/>
      <c r="H110" s="528"/>
      <c r="I110" s="870"/>
      <c r="J110" s="870"/>
      <c r="K110" s="290"/>
      <c r="L110" s="287">
        <v>6</v>
      </c>
      <c r="M110" s="416" t="s">
        <v>431</v>
      </c>
      <c r="N110" s="397" t="s">
        <v>386</v>
      </c>
      <c r="O110" s="555">
        <f>AC23/2</f>
        <v>275000</v>
      </c>
      <c r="P110" s="556">
        <v>0.5</v>
      </c>
      <c r="Q110" s="289">
        <f>$O$110*P110</f>
        <v>137500</v>
      </c>
      <c r="R110" s="881" t="s">
        <v>387</v>
      </c>
      <c r="S110" s="614" t="s">
        <v>388</v>
      </c>
      <c r="T110" s="673">
        <v>45838</v>
      </c>
      <c r="U110" s="682">
        <v>136570.21466011828</v>
      </c>
      <c r="V110" s="879"/>
      <c r="W110" s="528">
        <f>W67</f>
        <v>45834</v>
      </c>
      <c r="X110" s="873"/>
      <c r="Y110" s="472"/>
    </row>
    <row r="111" spans="2:25" ht="14.25" customHeight="1">
      <c r="B111" s="287">
        <v>6</v>
      </c>
      <c r="C111" s="389"/>
      <c r="D111" s="288"/>
      <c r="E111" s="388"/>
      <c r="F111" s="441"/>
      <c r="G111" s="310"/>
      <c r="H111" s="528"/>
      <c r="I111" s="870"/>
      <c r="J111" s="870"/>
      <c r="K111" s="290"/>
      <c r="L111" s="287">
        <v>6</v>
      </c>
      <c r="M111" s="417" t="s">
        <v>431</v>
      </c>
      <c r="N111" s="397" t="s">
        <v>447</v>
      </c>
      <c r="O111" s="545"/>
      <c r="P111" s="556">
        <v>0.4</v>
      </c>
      <c r="Q111" s="289">
        <f t="shared" ref="Q111:Q112" si="12">$O$110*P111</f>
        <v>110000</v>
      </c>
      <c r="R111" s="884"/>
      <c r="S111" s="614" t="s">
        <v>390</v>
      </c>
      <c r="T111" s="673">
        <v>45869</v>
      </c>
      <c r="U111" s="682">
        <v>107036.01974767643</v>
      </c>
      <c r="V111" s="879"/>
      <c r="W111" s="528">
        <f>W68</f>
        <v>45910</v>
      </c>
      <c r="X111" s="873"/>
      <c r="Y111" s="472"/>
    </row>
    <row r="112" spans="2:25" ht="14.25" customHeight="1">
      <c r="B112" s="287">
        <v>6</v>
      </c>
      <c r="C112" s="389"/>
      <c r="D112" s="288"/>
      <c r="E112" s="388"/>
      <c r="F112" s="441"/>
      <c r="G112" s="310"/>
      <c r="H112" s="565"/>
      <c r="I112" s="870"/>
      <c r="J112" s="870"/>
      <c r="K112" s="290"/>
      <c r="L112" s="287">
        <v>6</v>
      </c>
      <c r="M112" s="417" t="s">
        <v>431</v>
      </c>
      <c r="N112" s="397" t="s">
        <v>391</v>
      </c>
      <c r="O112" s="545"/>
      <c r="P112" s="556">
        <v>0.1</v>
      </c>
      <c r="Q112" s="289">
        <f t="shared" si="12"/>
        <v>27500</v>
      </c>
      <c r="R112" s="884"/>
      <c r="S112" s="614" t="s">
        <v>392</v>
      </c>
      <c r="T112" s="673">
        <f>T69</f>
        <v>45900</v>
      </c>
      <c r="U112" s="716">
        <v>39048.034594758567</v>
      </c>
      <c r="V112" s="879"/>
      <c r="W112" s="565">
        <f>W191</f>
        <v>46100</v>
      </c>
      <c r="X112" s="873"/>
      <c r="Y112" s="472"/>
    </row>
    <row r="113" spans="1:25" ht="14.25" customHeight="1">
      <c r="B113" s="287">
        <v>6</v>
      </c>
      <c r="C113" s="389"/>
      <c r="D113" s="288"/>
      <c r="E113" s="388"/>
      <c r="F113" s="441"/>
      <c r="G113" s="310"/>
      <c r="H113" s="565"/>
      <c r="I113" s="870"/>
      <c r="J113" s="870"/>
      <c r="K113" s="290"/>
      <c r="L113" s="287">
        <v>6</v>
      </c>
      <c r="M113" s="417" t="s">
        <v>431</v>
      </c>
      <c r="N113" s="397"/>
      <c r="O113" s="545"/>
      <c r="P113" s="556"/>
      <c r="Q113" s="289"/>
      <c r="R113" s="884"/>
      <c r="S113" s="614"/>
      <c r="T113" s="514" t="str">
        <f t="shared" si="5"/>
        <v/>
      </c>
      <c r="U113" s="498">
        <f>(Q113/$X$96*$J$96)</f>
        <v>0</v>
      </c>
      <c r="V113" s="879"/>
      <c r="W113" s="565"/>
      <c r="X113" s="873"/>
      <c r="Y113" s="472"/>
    </row>
    <row r="114" spans="1:25" ht="14.25" customHeight="1">
      <c r="B114" s="287">
        <v>6</v>
      </c>
      <c r="C114" s="389"/>
      <c r="D114" s="288"/>
      <c r="E114" s="388"/>
      <c r="F114" s="441"/>
      <c r="G114" s="310"/>
      <c r="H114" s="565"/>
      <c r="I114" s="870"/>
      <c r="J114" s="870"/>
      <c r="K114" s="290"/>
      <c r="L114" s="287">
        <v>6</v>
      </c>
      <c r="M114" s="417" t="s">
        <v>431</v>
      </c>
      <c r="N114" s="397"/>
      <c r="O114" s="545"/>
      <c r="P114" s="556"/>
      <c r="Q114" s="289"/>
      <c r="R114" s="884"/>
      <c r="S114" s="614"/>
      <c r="T114" s="514" t="str">
        <f t="shared" si="5"/>
        <v/>
      </c>
      <c r="U114" s="498">
        <f>(Q114/$X$96*$J$96)</f>
        <v>0</v>
      </c>
      <c r="V114" s="879"/>
      <c r="W114" s="565"/>
      <c r="X114" s="873"/>
      <c r="Y114" s="472"/>
    </row>
    <row r="115" spans="1:25" ht="14.25" customHeight="1">
      <c r="B115" s="287">
        <v>6</v>
      </c>
      <c r="C115" s="490"/>
      <c r="D115" s="324"/>
      <c r="E115" s="403"/>
      <c r="F115" s="448"/>
      <c r="G115" s="310"/>
      <c r="H115" s="528"/>
      <c r="I115" s="870"/>
      <c r="J115" s="870"/>
      <c r="K115" s="290"/>
      <c r="L115" s="287">
        <v>6</v>
      </c>
      <c r="M115" s="417" t="s">
        <v>431</v>
      </c>
      <c r="N115" s="397" t="s">
        <v>393</v>
      </c>
      <c r="O115" s="555">
        <f>AC30/2</f>
        <v>295000</v>
      </c>
      <c r="P115" s="556">
        <v>0.5</v>
      </c>
      <c r="Q115" s="289">
        <f>$O$115*P115</f>
        <v>147500</v>
      </c>
      <c r="R115" s="884"/>
      <c r="S115" s="618" t="s">
        <v>388</v>
      </c>
      <c r="T115" s="676">
        <v>45838</v>
      </c>
      <c r="U115" s="683">
        <v>146502.59390812687</v>
      </c>
      <c r="V115" s="879"/>
      <c r="W115" s="528">
        <f>W110</f>
        <v>45834</v>
      </c>
      <c r="X115" s="873"/>
      <c r="Y115" s="472"/>
    </row>
    <row r="116" spans="1:25" ht="14.25" customHeight="1">
      <c r="B116" s="287">
        <v>6</v>
      </c>
      <c r="C116" s="490"/>
      <c r="D116" s="324"/>
      <c r="E116" s="403"/>
      <c r="F116" s="448"/>
      <c r="G116" s="310"/>
      <c r="H116" s="528"/>
      <c r="I116" s="870"/>
      <c r="J116" s="870"/>
      <c r="K116" s="290"/>
      <c r="L116" s="287">
        <v>6</v>
      </c>
      <c r="M116" s="417" t="s">
        <v>431</v>
      </c>
      <c r="N116" s="397" t="s">
        <v>448</v>
      </c>
      <c r="O116" s="545"/>
      <c r="P116" s="556">
        <v>0.4</v>
      </c>
      <c r="Q116" s="289">
        <f t="shared" ref="Q116:Q117" si="13">$O$115*P116</f>
        <v>118000</v>
      </c>
      <c r="R116" s="884"/>
      <c r="S116" s="618" t="s">
        <v>390</v>
      </c>
      <c r="T116" s="676">
        <v>45869</v>
      </c>
      <c r="U116" s="683">
        <v>114820.45754750744</v>
      </c>
      <c r="V116" s="879"/>
      <c r="W116" s="528">
        <f t="shared" ref="W116:W117" si="14">W111</f>
        <v>45910</v>
      </c>
      <c r="X116" s="873"/>
      <c r="Y116" s="472"/>
    </row>
    <row r="117" spans="1:25" ht="14.25" customHeight="1">
      <c r="B117" s="287">
        <v>6</v>
      </c>
      <c r="C117" s="490"/>
      <c r="D117" s="324"/>
      <c r="E117" s="403"/>
      <c r="F117" s="448"/>
      <c r="G117" s="310"/>
      <c r="H117" s="565"/>
      <c r="I117" s="870"/>
      <c r="J117" s="870"/>
      <c r="K117" s="290"/>
      <c r="L117" s="287">
        <v>6</v>
      </c>
      <c r="M117" s="417" t="s">
        <v>431</v>
      </c>
      <c r="N117" s="397" t="s">
        <v>395</v>
      </c>
      <c r="O117" s="545"/>
      <c r="P117" s="556">
        <v>0.1</v>
      </c>
      <c r="Q117" s="289">
        <f t="shared" si="13"/>
        <v>29500</v>
      </c>
      <c r="R117" s="882"/>
      <c r="S117" s="618" t="s">
        <v>392</v>
      </c>
      <c r="T117" s="676">
        <f t="shared" ref="T117" si="15">T112</f>
        <v>45900</v>
      </c>
      <c r="U117" s="717">
        <v>41887.891656195548</v>
      </c>
      <c r="V117" s="879"/>
      <c r="W117" s="565">
        <f t="shared" si="14"/>
        <v>46100</v>
      </c>
      <c r="X117" s="873"/>
      <c r="Y117" s="472"/>
    </row>
    <row r="118" spans="1:25" ht="14.25" customHeight="1">
      <c r="B118" s="287">
        <v>6</v>
      </c>
      <c r="C118" s="490"/>
      <c r="D118" s="324"/>
      <c r="E118" s="403"/>
      <c r="F118" s="448"/>
      <c r="G118" s="310"/>
      <c r="H118" s="568"/>
      <c r="I118" s="870"/>
      <c r="J118" s="870"/>
      <c r="K118" s="290"/>
      <c r="L118" s="287">
        <v>6</v>
      </c>
      <c r="M118" s="417" t="s">
        <v>431</v>
      </c>
      <c r="N118" s="397"/>
      <c r="O118" s="545"/>
      <c r="P118" s="556"/>
      <c r="Q118" s="289"/>
      <c r="R118" s="583"/>
      <c r="S118" s="618"/>
      <c r="T118" s="517" t="str">
        <f t="shared" si="5"/>
        <v/>
      </c>
      <c r="U118" s="503">
        <f>(Q118/$X$96*$J$96)</f>
        <v>0</v>
      </c>
      <c r="V118" s="879"/>
      <c r="W118" s="568"/>
      <c r="X118" s="873"/>
      <c r="Y118" s="472"/>
    </row>
    <row r="119" spans="1:25" ht="14.25" customHeight="1">
      <c r="B119" s="287">
        <v>6</v>
      </c>
      <c r="C119" s="490"/>
      <c r="D119" s="324"/>
      <c r="E119" s="403"/>
      <c r="F119" s="448"/>
      <c r="G119" s="310"/>
      <c r="H119" s="568"/>
      <c r="I119" s="870"/>
      <c r="J119" s="870"/>
      <c r="K119" s="290"/>
      <c r="L119" s="287">
        <v>6</v>
      </c>
      <c r="M119" s="417" t="s">
        <v>431</v>
      </c>
      <c r="N119" s="397"/>
      <c r="O119" s="545"/>
      <c r="P119" s="556"/>
      <c r="Q119" s="289"/>
      <c r="R119" s="583"/>
      <c r="S119" s="618"/>
      <c r="T119" s="517" t="str">
        <f t="shared" si="5"/>
        <v/>
      </c>
      <c r="U119" s="503">
        <f>(Q119/$X$96*$J$96)</f>
        <v>0</v>
      </c>
      <c r="V119" s="879"/>
      <c r="W119" s="568"/>
      <c r="X119" s="873"/>
      <c r="Y119" s="472"/>
    </row>
    <row r="120" spans="1:25" ht="15" customHeight="1" thickBot="1">
      <c r="B120" s="291">
        <v>6</v>
      </c>
      <c r="C120" s="390"/>
      <c r="D120" s="293"/>
      <c r="E120" s="445"/>
      <c r="F120" s="442"/>
      <c r="G120" s="294"/>
      <c r="H120" s="566"/>
      <c r="I120" s="871"/>
      <c r="J120" s="871"/>
      <c r="K120" s="295"/>
      <c r="L120" s="291">
        <v>6</v>
      </c>
      <c r="M120" s="419" t="s">
        <v>431</v>
      </c>
      <c r="N120" s="293"/>
      <c r="O120" s="549"/>
      <c r="P120" s="442"/>
      <c r="Q120" s="294"/>
      <c r="R120" s="580"/>
      <c r="S120" s="615"/>
      <c r="T120" s="515" t="str">
        <f t="shared" si="5"/>
        <v/>
      </c>
      <c r="U120" s="499">
        <f>(Q120/$X$96*$J$96)</f>
        <v>0</v>
      </c>
      <c r="V120" s="880"/>
      <c r="W120" s="566"/>
      <c r="X120" s="874"/>
      <c r="Y120" s="472"/>
    </row>
    <row r="121" spans="1:25" ht="14.45" thickBot="1">
      <c r="A121" s="24"/>
      <c r="B121" s="279"/>
      <c r="C121" s="320"/>
      <c r="D121" s="297"/>
      <c r="E121" s="280"/>
      <c r="F121" s="443"/>
      <c r="G121" s="281"/>
      <c r="H121" s="569"/>
      <c r="I121" s="269"/>
      <c r="J121" s="269"/>
      <c r="K121" s="24"/>
      <c r="L121" s="279"/>
      <c r="M121" s="320"/>
      <c r="N121" s="297"/>
      <c r="O121" s="543"/>
      <c r="P121" s="443"/>
      <c r="Q121" s="281"/>
      <c r="R121" s="584"/>
      <c r="S121" s="619"/>
      <c r="T121" s="518" t="str">
        <f t="shared" si="5"/>
        <v/>
      </c>
      <c r="U121" s="504"/>
      <c r="V121" s="479"/>
      <c r="W121" s="569"/>
      <c r="X121" s="339"/>
      <c r="Y121" s="472"/>
    </row>
    <row r="122" spans="1:25" ht="14.25" customHeight="1">
      <c r="B122" s="369">
        <v>7</v>
      </c>
      <c r="C122" s="298" t="s">
        <v>449</v>
      </c>
      <c r="D122" s="370"/>
      <c r="E122" s="449"/>
      <c r="F122" s="455"/>
      <c r="G122" s="371"/>
      <c r="H122" s="529"/>
      <c r="I122" s="885">
        <f>D385</f>
        <v>12030860.6085</v>
      </c>
      <c r="J122" s="885">
        <f>F385</f>
        <v>12664063.798421053</v>
      </c>
      <c r="K122" s="274"/>
      <c r="L122" s="369">
        <v>7</v>
      </c>
      <c r="M122" s="650" t="s">
        <v>450</v>
      </c>
      <c r="N122" s="370" t="s">
        <v>451</v>
      </c>
      <c r="O122" s="649">
        <v>0.3</v>
      </c>
      <c r="P122" s="455">
        <f>1423.48*17.7457*(23)</f>
        <v>580994.92782799993</v>
      </c>
      <c r="Q122" s="371">
        <f>O122*P122</f>
        <v>174298.47834839998</v>
      </c>
      <c r="R122" s="898" t="s">
        <v>327</v>
      </c>
      <c r="S122" s="620" t="s">
        <v>328</v>
      </c>
      <c r="T122" s="714">
        <v>45900</v>
      </c>
      <c r="U122" s="718">
        <v>312323.78861163039</v>
      </c>
      <c r="V122" s="903">
        <f>J122-SUM(U122:U159)</f>
        <v>7.3705613613128662E-4</v>
      </c>
      <c r="W122" s="529">
        <v>45820</v>
      </c>
      <c r="X122" s="875">
        <f>SUM(Q122:Q159)</f>
        <v>7046627.6127361013</v>
      </c>
      <c r="Y122" s="472"/>
    </row>
    <row r="123" spans="1:25" ht="14.25" customHeight="1">
      <c r="B123" s="643"/>
      <c r="C123" s="644"/>
      <c r="D123" s="645"/>
      <c r="E123" s="646"/>
      <c r="F123" s="647"/>
      <c r="G123" s="648"/>
      <c r="H123" s="561"/>
      <c r="I123" s="886"/>
      <c r="J123" s="886"/>
      <c r="K123" s="277"/>
      <c r="L123" s="372">
        <v>7</v>
      </c>
      <c r="M123" s="373" t="s">
        <v>450</v>
      </c>
      <c r="N123" s="317" t="s">
        <v>451</v>
      </c>
      <c r="O123" s="651">
        <v>0.7</v>
      </c>
      <c r="P123" s="446"/>
      <c r="Q123" s="304">
        <v>408046.32</v>
      </c>
      <c r="R123" s="899"/>
      <c r="S123" s="609" t="s">
        <v>452</v>
      </c>
      <c r="T123" s="671">
        <v>45900</v>
      </c>
      <c r="U123" s="719">
        <v>731174.32693068369</v>
      </c>
      <c r="V123" s="904"/>
      <c r="W123" s="763">
        <v>45960</v>
      </c>
      <c r="X123" s="876"/>
      <c r="Y123" s="472"/>
    </row>
    <row r="124" spans="1:25" ht="14.25" customHeight="1">
      <c r="B124" s="372"/>
      <c r="C124" s="373"/>
      <c r="D124" s="374"/>
      <c r="E124" s="395"/>
      <c r="F124" s="431"/>
      <c r="G124" s="375"/>
      <c r="H124" s="561"/>
      <c r="I124" s="886"/>
      <c r="J124" s="886"/>
      <c r="K124" s="277"/>
      <c r="L124" s="372">
        <v>7</v>
      </c>
      <c r="M124" s="373" t="s">
        <v>450</v>
      </c>
      <c r="N124" s="374"/>
      <c r="O124" s="395"/>
      <c r="P124" s="431"/>
      <c r="Q124" s="375"/>
      <c r="R124" s="899"/>
      <c r="S124" s="610"/>
      <c r="T124" s="510" t="str">
        <f t="shared" ref="T124:T143" si="16">IF(W124&gt;1,EOMONTH(W124,0),"")</f>
        <v/>
      </c>
      <c r="U124" s="494">
        <f t="shared" ref="U124:U159" si="17">(Q124/$X$122*$J$122)</f>
        <v>0</v>
      </c>
      <c r="V124" s="904"/>
      <c r="W124" s="561"/>
      <c r="X124" s="876"/>
      <c r="Y124" s="472"/>
    </row>
    <row r="125" spans="1:25" ht="14.25" customHeight="1">
      <c r="B125" s="372"/>
      <c r="C125" s="373"/>
      <c r="D125" s="374"/>
      <c r="E125" s="395"/>
      <c r="F125" s="431"/>
      <c r="G125" s="375"/>
      <c r="H125" s="525"/>
      <c r="I125" s="886"/>
      <c r="J125" s="886"/>
      <c r="K125" s="277"/>
      <c r="L125" s="372">
        <v>7</v>
      </c>
      <c r="M125" s="373" t="s">
        <v>450</v>
      </c>
      <c r="N125" s="374" t="s">
        <v>453</v>
      </c>
      <c r="O125" s="632">
        <v>0.3</v>
      </c>
      <c r="P125" s="431">
        <f>17.7457*161957.61</f>
        <v>2874051.1597769996</v>
      </c>
      <c r="Q125" s="375">
        <f>O125*P125</f>
        <v>862215.34793309984</v>
      </c>
      <c r="R125" s="899"/>
      <c r="S125" s="610" t="s">
        <v>328</v>
      </c>
      <c r="T125" s="671">
        <v>45991</v>
      </c>
      <c r="U125" s="808">
        <v>1549556.8624156141</v>
      </c>
      <c r="V125" s="904"/>
      <c r="W125" s="525">
        <v>45820</v>
      </c>
      <c r="X125" s="876"/>
      <c r="Y125" s="472"/>
    </row>
    <row r="126" spans="1:25" ht="14.25" customHeight="1">
      <c r="B126" s="372"/>
      <c r="C126" s="373"/>
      <c r="D126" s="374"/>
      <c r="E126" s="395"/>
      <c r="F126" s="431"/>
      <c r="G126" s="375"/>
      <c r="H126" s="561"/>
      <c r="I126" s="886"/>
      <c r="J126" s="886"/>
      <c r="K126" s="277"/>
      <c r="L126" s="372">
        <v>7</v>
      </c>
      <c r="M126" s="373" t="s">
        <v>450</v>
      </c>
      <c r="N126" s="374" t="s">
        <v>454</v>
      </c>
      <c r="O126" s="632">
        <v>0.7</v>
      </c>
      <c r="P126" s="431"/>
      <c r="Q126" s="375">
        <f>P125*O126</f>
        <v>2011835.8118438995</v>
      </c>
      <c r="R126" s="899"/>
      <c r="S126" s="610" t="s">
        <v>455</v>
      </c>
      <c r="T126" s="783">
        <v>45991</v>
      </c>
      <c r="U126" s="808">
        <v>3615632.678969766</v>
      </c>
      <c r="V126" s="904"/>
      <c r="W126" s="525">
        <v>45988</v>
      </c>
      <c r="X126" s="876"/>
      <c r="Y126" s="472"/>
    </row>
    <row r="127" spans="1:25" ht="14.25" customHeight="1">
      <c r="B127" s="372"/>
      <c r="C127" s="373"/>
      <c r="D127" s="374"/>
      <c r="E127" s="395"/>
      <c r="F127" s="431"/>
      <c r="G127" s="375"/>
      <c r="H127" s="525"/>
      <c r="I127" s="886"/>
      <c r="J127" s="886"/>
      <c r="K127" s="277"/>
      <c r="L127" s="372">
        <v>7</v>
      </c>
      <c r="M127" s="373" t="s">
        <v>450</v>
      </c>
      <c r="N127" s="374" t="s">
        <v>456</v>
      </c>
      <c r="O127" s="632">
        <v>0.3</v>
      </c>
      <c r="P127" s="431">
        <f>17.7457*13967.44</f>
        <v>247862.000008</v>
      </c>
      <c r="Q127" s="375">
        <f>O127*P127</f>
        <v>74358.600002399995</v>
      </c>
      <c r="R127" s="899"/>
      <c r="S127" s="610" t="s">
        <v>328</v>
      </c>
      <c r="T127" s="671">
        <v>45991</v>
      </c>
      <c r="U127" s="808">
        <v>133635.84769112332</v>
      </c>
      <c r="V127" s="904"/>
      <c r="W127" s="525">
        <v>45820</v>
      </c>
      <c r="X127" s="876"/>
      <c r="Y127" s="472"/>
    </row>
    <row r="128" spans="1:25" ht="14.25" customHeight="1">
      <c r="B128" s="372"/>
      <c r="C128" s="373"/>
      <c r="D128" s="374"/>
      <c r="E128" s="395"/>
      <c r="F128" s="431"/>
      <c r="G128" s="375"/>
      <c r="H128" s="561"/>
      <c r="I128" s="886"/>
      <c r="J128" s="886"/>
      <c r="K128" s="277"/>
      <c r="L128" s="372">
        <v>7</v>
      </c>
      <c r="M128" s="373" t="s">
        <v>450</v>
      </c>
      <c r="N128" s="374" t="s">
        <v>457</v>
      </c>
      <c r="O128" s="632">
        <v>0.7</v>
      </c>
      <c r="P128" s="431"/>
      <c r="Q128" s="375">
        <f>P127*O128</f>
        <v>173503.40000559998</v>
      </c>
      <c r="R128" s="899"/>
      <c r="S128" s="610" t="s">
        <v>455</v>
      </c>
      <c r="T128" s="783">
        <v>45991</v>
      </c>
      <c r="U128" s="808">
        <v>311816.97794595436</v>
      </c>
      <c r="V128" s="904"/>
      <c r="W128" s="525">
        <f>W126</f>
        <v>45988</v>
      </c>
      <c r="X128" s="876"/>
      <c r="Y128" s="472"/>
    </row>
    <row r="129" spans="2:25" ht="14.25" customHeight="1">
      <c r="B129" s="372"/>
      <c r="C129" s="373"/>
      <c r="D129" s="374"/>
      <c r="E129" s="395"/>
      <c r="F129" s="431"/>
      <c r="G129" s="375"/>
      <c r="H129" s="561"/>
      <c r="I129" s="886"/>
      <c r="J129" s="886"/>
      <c r="K129" s="277"/>
      <c r="L129" s="372">
        <v>7</v>
      </c>
      <c r="M129" s="373" t="s">
        <v>450</v>
      </c>
      <c r="N129" s="374"/>
      <c r="O129" s="395"/>
      <c r="P129" s="431"/>
      <c r="Q129" s="375"/>
      <c r="R129" s="899"/>
      <c r="S129" s="610"/>
      <c r="T129" s="510" t="str">
        <f t="shared" si="16"/>
        <v/>
      </c>
      <c r="U129" s="494">
        <f t="shared" si="17"/>
        <v>0</v>
      </c>
      <c r="V129" s="904"/>
      <c r="W129" s="561"/>
      <c r="X129" s="876"/>
      <c r="Y129" s="472"/>
    </row>
    <row r="130" spans="2:25" ht="14.25" customHeight="1">
      <c r="B130" s="372"/>
      <c r="C130" s="373"/>
      <c r="D130" s="374"/>
      <c r="E130" s="395"/>
      <c r="F130" s="431"/>
      <c r="G130" s="375"/>
      <c r="H130" s="525"/>
      <c r="I130" s="886"/>
      <c r="J130" s="886"/>
      <c r="K130" s="277"/>
      <c r="L130" s="372">
        <v>7</v>
      </c>
      <c r="M130" s="373" t="s">
        <v>450</v>
      </c>
      <c r="N130" s="374" t="s">
        <v>458</v>
      </c>
      <c r="O130" s="632">
        <v>0.3</v>
      </c>
      <c r="P130" s="431">
        <f>17.7457*130607.61</f>
        <v>2317723.4647769998</v>
      </c>
      <c r="Q130" s="375">
        <f>O130*P130</f>
        <v>695317.03943309991</v>
      </c>
      <c r="R130" s="899"/>
      <c r="S130" s="610" t="s">
        <v>328</v>
      </c>
      <c r="T130" s="671">
        <v>45991</v>
      </c>
      <c r="U130" s="808">
        <v>1252691.1980570836</v>
      </c>
      <c r="V130" s="904"/>
      <c r="W130" s="525">
        <v>45820</v>
      </c>
      <c r="X130" s="876"/>
      <c r="Y130" s="472"/>
    </row>
    <row r="131" spans="2:25" ht="14.25" customHeight="1">
      <c r="B131" s="372">
        <v>7</v>
      </c>
      <c r="C131" s="373"/>
      <c r="D131" s="374" t="s">
        <v>459</v>
      </c>
      <c r="E131" s="395"/>
      <c r="F131" s="431"/>
      <c r="G131" s="375">
        <v>12030860.6085</v>
      </c>
      <c r="H131" s="561">
        <v>45946</v>
      </c>
      <c r="I131" s="886"/>
      <c r="J131" s="886"/>
      <c r="K131" s="277"/>
      <c r="L131" s="372">
        <v>7</v>
      </c>
      <c r="M131" s="373" t="s">
        <v>450</v>
      </c>
      <c r="N131" s="374" t="s">
        <v>460</v>
      </c>
      <c r="O131" s="632">
        <v>0.7</v>
      </c>
      <c r="P131" s="431"/>
      <c r="Q131" s="375">
        <f>P130*O131</f>
        <v>1622406.4253438998</v>
      </c>
      <c r="R131" s="899"/>
      <c r="S131" s="610" t="s">
        <v>455</v>
      </c>
      <c r="T131" s="783">
        <f t="shared" si="16"/>
        <v>45991</v>
      </c>
      <c r="U131" s="808">
        <v>2915757.6654665284</v>
      </c>
      <c r="V131" s="904"/>
      <c r="W131" s="525">
        <f>W126</f>
        <v>45988</v>
      </c>
      <c r="X131" s="876"/>
      <c r="Y131" s="472"/>
    </row>
    <row r="132" spans="2:25" ht="14.25" customHeight="1">
      <c r="B132" s="372">
        <v>7</v>
      </c>
      <c r="C132" s="373"/>
      <c r="D132" s="374" t="s">
        <v>461</v>
      </c>
      <c r="E132" s="395"/>
      <c r="F132" s="431"/>
      <c r="G132" s="375"/>
      <c r="H132" s="561">
        <v>45946</v>
      </c>
      <c r="I132" s="886"/>
      <c r="J132" s="886"/>
      <c r="K132" s="277"/>
      <c r="L132" s="372">
        <v>7</v>
      </c>
      <c r="M132" s="373" t="s">
        <v>450</v>
      </c>
      <c r="N132" s="374" t="s">
        <v>462</v>
      </c>
      <c r="O132" s="632">
        <v>0.3</v>
      </c>
      <c r="P132" s="431">
        <f>17.7457*10852.53</f>
        <v>192585.74162099999</v>
      </c>
      <c r="Q132" s="375">
        <f>O132*P132</f>
        <v>57775.722486299994</v>
      </c>
      <c r="R132" s="899"/>
      <c r="S132" s="610" t="s">
        <v>328</v>
      </c>
      <c r="T132" s="671">
        <v>45991</v>
      </c>
      <c r="U132" s="808">
        <v>103833.41873266298</v>
      </c>
      <c r="V132" s="904"/>
      <c r="W132" s="525">
        <f>W130</f>
        <v>45820</v>
      </c>
      <c r="X132" s="876"/>
      <c r="Y132" s="472"/>
    </row>
    <row r="133" spans="2:25" ht="14.25" customHeight="1">
      <c r="B133" s="372"/>
      <c r="C133" s="373"/>
      <c r="D133" s="374"/>
      <c r="E133" s="395"/>
      <c r="F133" s="431"/>
      <c r="G133" s="375"/>
      <c r="H133" s="561"/>
      <c r="I133" s="886"/>
      <c r="J133" s="886"/>
      <c r="K133" s="277"/>
      <c r="L133" s="372">
        <v>7</v>
      </c>
      <c r="M133" s="373" t="s">
        <v>450</v>
      </c>
      <c r="N133" s="374" t="s">
        <v>463</v>
      </c>
      <c r="O133" s="632">
        <v>0.7</v>
      </c>
      <c r="P133" s="431"/>
      <c r="Q133" s="375">
        <f>P132*O133</f>
        <v>134810.01913469998</v>
      </c>
      <c r="R133" s="899"/>
      <c r="S133" s="610" t="s">
        <v>455</v>
      </c>
      <c r="T133" s="783">
        <f t="shared" si="16"/>
        <v>45991</v>
      </c>
      <c r="U133" s="808">
        <v>242277.97704288029</v>
      </c>
      <c r="V133" s="904"/>
      <c r="W133" s="525">
        <f>W131</f>
        <v>45988</v>
      </c>
      <c r="X133" s="876"/>
      <c r="Y133" s="472"/>
    </row>
    <row r="134" spans="2:25" ht="14.25" customHeight="1">
      <c r="B134" s="372"/>
      <c r="C134" s="373"/>
      <c r="D134" s="374"/>
      <c r="E134" s="395"/>
      <c r="F134" s="431"/>
      <c r="G134" s="375"/>
      <c r="H134" s="561"/>
      <c r="I134" s="886"/>
      <c r="J134" s="886"/>
      <c r="K134" s="277"/>
      <c r="L134" s="372">
        <v>7</v>
      </c>
      <c r="M134" s="373" t="s">
        <v>450</v>
      </c>
      <c r="N134" s="374"/>
      <c r="O134" s="395"/>
      <c r="P134" s="431"/>
      <c r="Q134" s="375"/>
      <c r="R134" s="899"/>
      <c r="S134" s="610"/>
      <c r="T134" s="510" t="str">
        <f t="shared" si="16"/>
        <v/>
      </c>
      <c r="U134" s="494">
        <f t="shared" si="17"/>
        <v>0</v>
      </c>
      <c r="V134" s="904"/>
      <c r="W134" s="561"/>
      <c r="X134" s="876"/>
      <c r="Y134" s="472"/>
    </row>
    <row r="135" spans="2:25" ht="14.25" customHeight="1">
      <c r="B135" s="372">
        <v>7</v>
      </c>
      <c r="C135" s="373"/>
      <c r="D135" s="374" t="s">
        <v>451</v>
      </c>
      <c r="E135" s="395"/>
      <c r="F135" s="431"/>
      <c r="G135" s="375"/>
      <c r="H135" s="525">
        <v>45820</v>
      </c>
      <c r="I135" s="886"/>
      <c r="J135" s="886"/>
      <c r="K135" s="277"/>
      <c r="L135" s="372">
        <v>7</v>
      </c>
      <c r="M135" s="373" t="s">
        <v>450</v>
      </c>
      <c r="N135" s="376" t="s">
        <v>464</v>
      </c>
      <c r="O135" s="632">
        <v>0.3</v>
      </c>
      <c r="P135" s="431">
        <f>17.7457*(2333.33*2+3333.34+24.5+51.89+121.45+56.76+4635.94+764.04)</f>
        <v>242310.08030600002</v>
      </c>
      <c r="Q135" s="375">
        <f>O135*$P$135</f>
        <v>72693.024091800005</v>
      </c>
      <c r="R135" s="899"/>
      <c r="S135" s="610" t="s">
        <v>328</v>
      </c>
      <c r="T135" s="671">
        <v>45991</v>
      </c>
      <c r="U135" s="808">
        <v>130642.50665592682</v>
      </c>
      <c r="V135" s="904"/>
      <c r="W135" s="525">
        <v>45820</v>
      </c>
      <c r="X135" s="876"/>
      <c r="Y135" s="472"/>
    </row>
    <row r="136" spans="2:25" ht="14.25" customHeight="1">
      <c r="B136" s="372"/>
      <c r="C136" s="373"/>
      <c r="D136" s="374"/>
      <c r="E136" s="395"/>
      <c r="F136" s="431"/>
      <c r="G136" s="375"/>
      <c r="H136" s="561"/>
      <c r="I136" s="886"/>
      <c r="J136" s="886"/>
      <c r="K136" s="277"/>
      <c r="L136" s="372">
        <v>7</v>
      </c>
      <c r="M136" s="373" t="s">
        <v>450</v>
      </c>
      <c r="N136" s="376" t="s">
        <v>465</v>
      </c>
      <c r="O136" s="632">
        <v>0.7</v>
      </c>
      <c r="P136" s="431"/>
      <c r="Q136" s="375">
        <f>O136*$P$135</f>
        <v>169617.05621420001</v>
      </c>
      <c r="R136" s="899"/>
      <c r="S136" s="610" t="s">
        <v>455</v>
      </c>
      <c r="T136" s="783">
        <v>45991</v>
      </c>
      <c r="U136" s="808">
        <v>304832.51553049596</v>
      </c>
      <c r="V136" s="904"/>
      <c r="W136" s="525">
        <f>W126</f>
        <v>45988</v>
      </c>
      <c r="X136" s="876"/>
      <c r="Y136" s="472"/>
    </row>
    <row r="137" spans="2:25" ht="14.25" customHeight="1">
      <c r="B137" s="372"/>
      <c r="C137" s="373"/>
      <c r="D137" s="374"/>
      <c r="E137" s="395"/>
      <c r="F137" s="431"/>
      <c r="G137" s="375"/>
      <c r="H137" s="561"/>
      <c r="I137" s="886"/>
      <c r="J137" s="886"/>
      <c r="K137" s="277"/>
      <c r="L137" s="372">
        <v>7</v>
      </c>
      <c r="M137" s="373" t="s">
        <v>450</v>
      </c>
      <c r="N137" s="376"/>
      <c r="O137" s="395"/>
      <c r="P137" s="431"/>
      <c r="Q137" s="375"/>
      <c r="R137" s="899"/>
      <c r="S137" s="610"/>
      <c r="T137" s="510" t="str">
        <f t="shared" si="16"/>
        <v/>
      </c>
      <c r="U137" s="494">
        <f t="shared" si="17"/>
        <v>0</v>
      </c>
      <c r="V137" s="904"/>
      <c r="W137" s="561"/>
      <c r="X137" s="876"/>
      <c r="Y137" s="472"/>
    </row>
    <row r="138" spans="2:25" ht="14.25" customHeight="1">
      <c r="B138" s="372"/>
      <c r="C138" s="373"/>
      <c r="D138" s="374"/>
      <c r="E138" s="395"/>
      <c r="F138" s="431"/>
      <c r="G138" s="375"/>
      <c r="H138" s="525"/>
      <c r="I138" s="886"/>
      <c r="J138" s="886"/>
      <c r="K138" s="277"/>
      <c r="L138" s="372">
        <v>7</v>
      </c>
      <c r="M138" s="373" t="s">
        <v>450</v>
      </c>
      <c r="N138" s="376" t="s">
        <v>466</v>
      </c>
      <c r="O138" s="632">
        <v>0.3</v>
      </c>
      <c r="P138" s="431">
        <f>17.7457*((2*(283.34+1691.67+34.19+20.76+13.43+408.34+20.76+8.18+19.53))+93+57.4)</f>
        <v>91404.551560000007</v>
      </c>
      <c r="Q138" s="375">
        <f>O138*$P$138</f>
        <v>27421.365468</v>
      </c>
      <c r="R138" s="899"/>
      <c r="S138" s="610" t="s">
        <v>328</v>
      </c>
      <c r="T138" s="671">
        <v>45991</v>
      </c>
      <c r="U138" s="808">
        <v>49281.151326759806</v>
      </c>
      <c r="V138" s="904"/>
      <c r="W138" s="525">
        <v>45820</v>
      </c>
      <c r="X138" s="876"/>
      <c r="Y138" s="472"/>
    </row>
    <row r="139" spans="2:25" ht="14.25" customHeight="1">
      <c r="B139" s="372"/>
      <c r="C139" s="373"/>
      <c r="D139" s="374"/>
      <c r="E139" s="395"/>
      <c r="F139" s="431"/>
      <c r="G139" s="375"/>
      <c r="H139" s="561"/>
      <c r="I139" s="886"/>
      <c r="J139" s="886"/>
      <c r="K139" s="277"/>
      <c r="L139" s="372">
        <v>7</v>
      </c>
      <c r="M139" s="373" t="s">
        <v>450</v>
      </c>
      <c r="N139" s="376" t="s">
        <v>467</v>
      </c>
      <c r="O139" s="632">
        <v>0.7</v>
      </c>
      <c r="P139" s="431"/>
      <c r="Q139" s="375">
        <f>O139*$P$138</f>
        <v>63983.186092000004</v>
      </c>
      <c r="R139" s="899"/>
      <c r="S139" s="610" t="s">
        <v>455</v>
      </c>
      <c r="T139" s="783">
        <v>45991</v>
      </c>
      <c r="U139" s="808">
        <v>114989.35309577289</v>
      </c>
      <c r="V139" s="904"/>
      <c r="W139" s="525">
        <f>W126</f>
        <v>45988</v>
      </c>
      <c r="X139" s="876"/>
      <c r="Y139" s="472"/>
    </row>
    <row r="140" spans="2:25" ht="14.25" customHeight="1">
      <c r="B140" s="372"/>
      <c r="C140" s="373"/>
      <c r="D140" s="374"/>
      <c r="E140" s="395"/>
      <c r="F140" s="431"/>
      <c r="G140" s="375"/>
      <c r="H140" s="561"/>
      <c r="I140" s="886"/>
      <c r="J140" s="886"/>
      <c r="K140" s="277"/>
      <c r="L140" s="372">
        <v>7</v>
      </c>
      <c r="M140" s="373" t="s">
        <v>450</v>
      </c>
      <c r="N140" s="376"/>
      <c r="O140" s="395"/>
      <c r="P140" s="431"/>
      <c r="Q140" s="375"/>
      <c r="R140" s="899"/>
      <c r="S140" s="610"/>
      <c r="T140" s="510" t="str">
        <f t="shared" si="16"/>
        <v/>
      </c>
      <c r="U140" s="494">
        <f t="shared" si="17"/>
        <v>0</v>
      </c>
      <c r="V140" s="904"/>
      <c r="W140" s="561"/>
      <c r="X140" s="876"/>
      <c r="Y140" s="472"/>
    </row>
    <row r="141" spans="2:25" ht="14.25" customHeight="1">
      <c r="B141" s="372"/>
      <c r="C141" s="373"/>
      <c r="D141" s="374"/>
      <c r="E141" s="395"/>
      <c r="F141" s="431"/>
      <c r="G141" s="375"/>
      <c r="H141" s="525"/>
      <c r="I141" s="886"/>
      <c r="J141" s="886"/>
      <c r="K141" s="277"/>
      <c r="L141" s="372">
        <v>7</v>
      </c>
      <c r="M141" s="373" t="s">
        <v>450</v>
      </c>
      <c r="N141" s="374" t="s">
        <v>468</v>
      </c>
      <c r="O141" s="632">
        <v>0.3</v>
      </c>
      <c r="P141" s="375">
        <f>17.7457*(3297.63+2*8793.67+2*4185)</f>
        <v>519149.92112900002</v>
      </c>
      <c r="Q141" s="375">
        <v>159507.76633870002</v>
      </c>
      <c r="R141" s="899"/>
      <c r="S141" s="610" t="s">
        <v>328</v>
      </c>
      <c r="T141" s="671">
        <v>45991</v>
      </c>
      <c r="U141" s="808">
        <v>286664.29393912485</v>
      </c>
      <c r="V141" s="904"/>
      <c r="W141" s="525">
        <v>45820</v>
      </c>
      <c r="X141" s="876"/>
      <c r="Y141" s="472"/>
    </row>
    <row r="142" spans="2:25" ht="14.25" customHeight="1">
      <c r="B142" s="372"/>
      <c r="C142" s="373"/>
      <c r="D142" s="374"/>
      <c r="E142" s="395"/>
      <c r="F142" s="431"/>
      <c r="G142" s="375"/>
      <c r="H142" s="561"/>
      <c r="I142" s="886"/>
      <c r="J142" s="886"/>
      <c r="K142" s="277"/>
      <c r="L142" s="372">
        <v>7</v>
      </c>
      <c r="M142" s="373" t="s">
        <v>450</v>
      </c>
      <c r="N142" s="374" t="s">
        <v>469</v>
      </c>
      <c r="O142" s="632">
        <v>0.7</v>
      </c>
      <c r="P142" s="431"/>
      <c r="Q142" s="375">
        <v>338838.05</v>
      </c>
      <c r="R142" s="900"/>
      <c r="S142" s="610" t="s">
        <v>455</v>
      </c>
      <c r="T142" s="783">
        <v>45991</v>
      </c>
      <c r="U142" s="808">
        <v>608953.23527198925</v>
      </c>
      <c r="V142" s="904"/>
      <c r="W142" s="525">
        <v>45988</v>
      </c>
      <c r="X142" s="876"/>
      <c r="Y142" s="472"/>
    </row>
    <row r="143" spans="2:25" ht="14.25" customHeight="1">
      <c r="B143" s="372"/>
      <c r="C143" s="373"/>
      <c r="D143" s="374"/>
      <c r="E143" s="395"/>
      <c r="F143" s="431"/>
      <c r="G143" s="375"/>
      <c r="H143" s="561"/>
      <c r="I143" s="886"/>
      <c r="J143" s="886"/>
      <c r="K143" s="277"/>
      <c r="L143" s="372">
        <v>7</v>
      </c>
      <c r="M143" s="373" t="s">
        <v>450</v>
      </c>
      <c r="N143" s="376"/>
      <c r="O143" s="395"/>
      <c r="P143" s="431"/>
      <c r="Q143" s="375"/>
      <c r="R143" s="575"/>
      <c r="S143" s="610"/>
      <c r="T143" s="510" t="str">
        <f t="shared" si="16"/>
        <v/>
      </c>
      <c r="U143" s="494">
        <f t="shared" si="17"/>
        <v>0</v>
      </c>
      <c r="V143" s="904"/>
      <c r="W143" s="561"/>
      <c r="X143" s="876"/>
      <c r="Y143" s="472"/>
    </row>
    <row r="144" spans="2:25" ht="14.25" customHeight="1">
      <c r="B144" s="372">
        <v>7</v>
      </c>
      <c r="C144" s="373"/>
      <c r="D144" s="374" t="s">
        <v>470</v>
      </c>
      <c r="E144" s="395"/>
      <c r="F144" s="431"/>
      <c r="G144" s="375"/>
      <c r="H144" s="561">
        <f>H131</f>
        <v>45946</v>
      </c>
      <c r="I144" s="886"/>
      <c r="J144" s="886"/>
      <c r="K144" s="277"/>
      <c r="L144" s="372">
        <v>7</v>
      </c>
      <c r="M144" s="373" t="s">
        <v>450</v>
      </c>
      <c r="N144" s="654"/>
      <c r="O144" s="655"/>
      <c r="P144" s="431"/>
      <c r="Q144" s="375"/>
      <c r="R144" s="575"/>
      <c r="S144" s="610"/>
      <c r="T144" s="510" t="str">
        <f t="shared" si="5"/>
        <v/>
      </c>
      <c r="U144" s="494">
        <f t="shared" si="17"/>
        <v>0</v>
      </c>
      <c r="V144" s="904"/>
      <c r="W144" s="561"/>
      <c r="X144" s="876"/>
      <c r="Y144" s="472"/>
    </row>
    <row r="145" spans="1:25" ht="14.25" customHeight="1">
      <c r="B145" s="372">
        <v>7</v>
      </c>
      <c r="C145" s="373"/>
      <c r="D145" s="374" t="s">
        <v>471</v>
      </c>
      <c r="E145" s="395"/>
      <c r="F145" s="431"/>
      <c r="G145" s="375"/>
      <c r="H145" s="561">
        <f>H132</f>
        <v>45946</v>
      </c>
      <c r="I145" s="886"/>
      <c r="J145" s="886"/>
      <c r="K145" s="277"/>
      <c r="L145" s="372">
        <v>7</v>
      </c>
      <c r="M145" s="373" t="s">
        <v>450</v>
      </c>
      <c r="N145" s="374"/>
      <c r="O145" s="754"/>
      <c r="P145" s="431"/>
      <c r="Q145" s="375"/>
      <c r="R145" s="575"/>
      <c r="S145" s="610"/>
      <c r="T145" s="510"/>
      <c r="U145" s="494">
        <f t="shared" si="17"/>
        <v>0</v>
      </c>
      <c r="V145" s="904"/>
      <c r="W145" s="561"/>
      <c r="X145" s="876"/>
      <c r="Y145" s="472"/>
    </row>
    <row r="146" spans="1:25" ht="14.25" customHeight="1">
      <c r="B146" s="372">
        <v>7</v>
      </c>
      <c r="C146" s="373"/>
      <c r="D146" s="374" t="s">
        <v>472</v>
      </c>
      <c r="E146" s="395"/>
      <c r="F146" s="431"/>
      <c r="G146" s="375"/>
      <c r="H146" s="561">
        <f>H145</f>
        <v>45946</v>
      </c>
      <c r="I146" s="886"/>
      <c r="J146" s="886"/>
      <c r="K146" s="277"/>
      <c r="L146" s="372">
        <v>7</v>
      </c>
      <c r="M146" s="373" t="s">
        <v>450</v>
      </c>
      <c r="N146" s="374"/>
      <c r="O146" s="754"/>
      <c r="P146" s="431"/>
      <c r="Q146" s="375"/>
      <c r="R146" s="575"/>
      <c r="S146" s="610"/>
      <c r="T146" s="510"/>
      <c r="U146" s="494">
        <f t="shared" si="17"/>
        <v>0</v>
      </c>
      <c r="V146" s="904"/>
      <c r="W146" s="561"/>
      <c r="X146" s="876"/>
      <c r="Y146" s="472"/>
    </row>
    <row r="147" spans="1:25" ht="14.25" customHeight="1">
      <c r="B147" s="372"/>
      <c r="C147" s="373"/>
      <c r="D147" s="374"/>
      <c r="E147" s="395"/>
      <c r="F147" s="431"/>
      <c r="G147" s="375"/>
      <c r="H147" s="561"/>
      <c r="I147" s="886"/>
      <c r="J147" s="886"/>
      <c r="K147" s="277"/>
      <c r="L147" s="372">
        <v>7</v>
      </c>
      <c r="M147" s="373" t="s">
        <v>450</v>
      </c>
      <c r="N147" s="374"/>
      <c r="O147" s="788"/>
      <c r="P147" s="431"/>
      <c r="Q147" s="375"/>
      <c r="R147" s="575"/>
      <c r="S147" s="610"/>
      <c r="T147" s="510" t="str">
        <f t="shared" ref="T147:T153" si="18">IF(W147&gt;1,EOMONTH(W147,0),"")</f>
        <v/>
      </c>
      <c r="U147" s="494">
        <f t="shared" si="17"/>
        <v>0</v>
      </c>
      <c r="V147" s="904"/>
      <c r="W147" s="561"/>
      <c r="X147" s="876"/>
      <c r="Y147" s="472"/>
    </row>
    <row r="148" spans="1:25" ht="14.25" customHeight="1">
      <c r="B148" s="372"/>
      <c r="C148" s="373"/>
      <c r="D148" s="374"/>
      <c r="E148" s="395"/>
      <c r="F148" s="431"/>
      <c r="G148" s="375"/>
      <c r="H148" s="561"/>
      <c r="I148" s="886"/>
      <c r="J148" s="886"/>
      <c r="K148" s="277"/>
      <c r="L148" s="372">
        <v>7</v>
      </c>
      <c r="M148" s="373" t="s">
        <v>450</v>
      </c>
      <c r="N148" s="374"/>
      <c r="O148" s="754"/>
      <c r="P148" s="431"/>
      <c r="Q148" s="375"/>
      <c r="R148" s="575"/>
      <c r="S148" s="610"/>
      <c r="T148" s="510"/>
      <c r="U148" s="494">
        <f t="shared" si="17"/>
        <v>0</v>
      </c>
      <c r="V148" s="904"/>
      <c r="W148" s="561"/>
      <c r="X148" s="876"/>
      <c r="Y148" s="472"/>
    </row>
    <row r="149" spans="1:25" ht="14.25" customHeight="1">
      <c r="B149" s="372"/>
      <c r="C149" s="373"/>
      <c r="D149" s="374"/>
      <c r="E149" s="395"/>
      <c r="F149" s="431"/>
      <c r="G149" s="375"/>
      <c r="H149" s="561"/>
      <c r="I149" s="886"/>
      <c r="J149" s="886"/>
      <c r="K149" s="277"/>
      <c r="L149" s="372">
        <v>7</v>
      </c>
      <c r="M149" s="373" t="s">
        <v>450</v>
      </c>
      <c r="N149" s="374"/>
      <c r="O149" s="632"/>
      <c r="P149" s="431"/>
      <c r="Q149" s="375"/>
      <c r="R149" s="575"/>
      <c r="S149" s="610"/>
      <c r="T149" s="510"/>
      <c r="U149" s="494">
        <f t="shared" si="17"/>
        <v>0</v>
      </c>
      <c r="V149" s="904"/>
      <c r="W149" s="561"/>
      <c r="X149" s="876"/>
      <c r="Y149" s="472"/>
    </row>
    <row r="150" spans="1:25" ht="14.25" customHeight="1">
      <c r="B150" s="372"/>
      <c r="C150" s="373"/>
      <c r="D150" s="374"/>
      <c r="E150" s="395"/>
      <c r="F150" s="431"/>
      <c r="G150" s="375"/>
      <c r="H150" s="561"/>
      <c r="I150" s="886"/>
      <c r="J150" s="886"/>
      <c r="K150" s="277"/>
      <c r="L150" s="372">
        <v>7</v>
      </c>
      <c r="M150" s="373" t="s">
        <v>450</v>
      </c>
      <c r="N150" s="374"/>
      <c r="O150" s="754"/>
      <c r="P150" s="375"/>
      <c r="Q150" s="375"/>
      <c r="R150" s="575"/>
      <c r="S150" s="610"/>
      <c r="T150" s="510"/>
      <c r="U150" s="494">
        <f t="shared" si="17"/>
        <v>0</v>
      </c>
      <c r="V150" s="904"/>
      <c r="W150" s="561"/>
      <c r="X150" s="876"/>
      <c r="Y150" s="472"/>
    </row>
    <row r="151" spans="1:25" ht="14.25" customHeight="1">
      <c r="B151" s="372"/>
      <c r="C151" s="373"/>
      <c r="D151" s="374"/>
      <c r="E151" s="395"/>
      <c r="F151" s="431"/>
      <c r="G151" s="375"/>
      <c r="H151" s="561"/>
      <c r="I151" s="886"/>
      <c r="J151" s="886"/>
      <c r="K151" s="277"/>
      <c r="L151" s="372">
        <v>7</v>
      </c>
      <c r="M151" s="373" t="s">
        <v>450</v>
      </c>
      <c r="N151" s="374"/>
      <c r="O151" s="632"/>
      <c r="P151" s="431"/>
      <c r="Q151" s="375"/>
      <c r="R151" s="575"/>
      <c r="S151" s="610"/>
      <c r="T151" s="510" t="str">
        <f t="shared" si="18"/>
        <v/>
      </c>
      <c r="U151" s="494">
        <f t="shared" si="17"/>
        <v>0</v>
      </c>
      <c r="V151" s="904"/>
      <c r="W151" s="561"/>
      <c r="X151" s="876"/>
      <c r="Y151" s="472"/>
    </row>
    <row r="152" spans="1:25" ht="14.25" customHeight="1">
      <c r="B152" s="372"/>
      <c r="C152" s="373"/>
      <c r="D152" s="374"/>
      <c r="E152" s="395"/>
      <c r="F152" s="431"/>
      <c r="G152" s="375"/>
      <c r="H152" s="561"/>
      <c r="I152" s="886"/>
      <c r="J152" s="886"/>
      <c r="K152" s="277"/>
      <c r="L152" s="372">
        <v>7</v>
      </c>
      <c r="M152" s="373" t="s">
        <v>450</v>
      </c>
      <c r="N152" s="374"/>
      <c r="O152" s="632"/>
      <c r="P152" s="375"/>
      <c r="Q152" s="375"/>
      <c r="R152" s="575"/>
      <c r="S152" s="610"/>
      <c r="T152" s="510" t="str">
        <f t="shared" si="18"/>
        <v/>
      </c>
      <c r="U152" s="494">
        <f t="shared" si="17"/>
        <v>0</v>
      </c>
      <c r="V152" s="904"/>
      <c r="W152" s="561"/>
      <c r="X152" s="876"/>
      <c r="Y152" s="472"/>
    </row>
    <row r="153" spans="1:25" ht="14.25" customHeight="1">
      <c r="B153" s="372"/>
      <c r="C153" s="373"/>
      <c r="D153" s="374"/>
      <c r="E153" s="395"/>
      <c r="F153" s="431"/>
      <c r="G153" s="375"/>
      <c r="H153" s="561"/>
      <c r="I153" s="886"/>
      <c r="J153" s="886"/>
      <c r="K153" s="277"/>
      <c r="L153" s="372">
        <v>7</v>
      </c>
      <c r="M153" s="373" t="s">
        <v>450</v>
      </c>
      <c r="N153" s="374"/>
      <c r="O153" s="632"/>
      <c r="P153" s="431"/>
      <c r="Q153" s="375"/>
      <c r="R153" s="575"/>
      <c r="S153" s="610"/>
      <c r="T153" s="510" t="str">
        <f t="shared" si="18"/>
        <v/>
      </c>
      <c r="U153" s="494">
        <f t="shared" si="17"/>
        <v>0</v>
      </c>
      <c r="V153" s="904"/>
      <c r="W153" s="561"/>
      <c r="X153" s="876"/>
      <c r="Y153" s="472"/>
    </row>
    <row r="154" spans="1:25" ht="14.25" customHeight="1">
      <c r="B154" s="372"/>
      <c r="C154" s="373"/>
      <c r="D154" s="374"/>
      <c r="E154" s="395"/>
      <c r="F154" s="431"/>
      <c r="G154" s="375"/>
      <c r="H154" s="561"/>
      <c r="I154" s="886"/>
      <c r="J154" s="886"/>
      <c r="K154" s="277"/>
      <c r="L154" s="372">
        <v>7</v>
      </c>
      <c r="M154" s="373" t="s">
        <v>450</v>
      </c>
      <c r="N154" s="374"/>
      <c r="O154" s="632"/>
      <c r="P154" s="431"/>
      <c r="Q154" s="375"/>
      <c r="R154" s="575"/>
      <c r="S154" s="610"/>
      <c r="T154" s="510"/>
      <c r="U154" s="494">
        <f t="shared" si="17"/>
        <v>0</v>
      </c>
      <c r="V154" s="904"/>
      <c r="W154" s="561"/>
      <c r="X154" s="876"/>
      <c r="Y154" s="472"/>
    </row>
    <row r="155" spans="1:25" ht="14.25" customHeight="1">
      <c r="B155" s="372">
        <v>7</v>
      </c>
      <c r="C155" s="373"/>
      <c r="D155" s="374"/>
      <c r="E155" s="395"/>
      <c r="F155" s="431"/>
      <c r="G155" s="375"/>
      <c r="H155" s="561"/>
      <c r="I155" s="886"/>
      <c r="J155" s="886"/>
      <c r="K155" s="277"/>
      <c r="L155" s="372">
        <v>7</v>
      </c>
      <c r="M155" s="373" t="s">
        <v>450</v>
      </c>
      <c r="N155" s="374"/>
      <c r="O155" s="632"/>
      <c r="P155" s="431"/>
      <c r="Q155" s="375"/>
      <c r="R155" s="575"/>
      <c r="S155" s="610"/>
      <c r="T155" s="510"/>
      <c r="U155" s="494">
        <f t="shared" si="17"/>
        <v>0</v>
      </c>
      <c r="V155" s="904"/>
      <c r="W155" s="561"/>
      <c r="X155" s="876"/>
      <c r="Y155" s="472"/>
    </row>
    <row r="156" spans="1:25" ht="14.25" customHeight="1">
      <c r="B156" s="372">
        <v>7</v>
      </c>
      <c r="C156" s="373"/>
      <c r="D156" s="374"/>
      <c r="E156" s="395"/>
      <c r="F156" s="431"/>
      <c r="G156" s="375"/>
      <c r="H156" s="561"/>
      <c r="I156" s="886"/>
      <c r="J156" s="886"/>
      <c r="K156" s="277"/>
      <c r="L156" s="372">
        <v>7</v>
      </c>
      <c r="M156" s="373" t="s">
        <v>450</v>
      </c>
      <c r="N156" s="374"/>
      <c r="O156" s="541"/>
      <c r="P156" s="431"/>
      <c r="Q156" s="375"/>
      <c r="R156" s="575"/>
      <c r="S156" s="610"/>
      <c r="T156" s="510" t="str">
        <f t="shared" ref="T156:T310" si="19">IF(W156&gt;1,EOMONTH(W156,0),"")</f>
        <v/>
      </c>
      <c r="U156" s="494">
        <f t="shared" si="17"/>
        <v>0</v>
      </c>
      <c r="V156" s="904"/>
      <c r="W156" s="561"/>
      <c r="X156" s="876"/>
      <c r="Y156" s="472"/>
    </row>
    <row r="157" spans="1:25" ht="14.25" customHeight="1">
      <c r="B157" s="372">
        <v>7</v>
      </c>
      <c r="C157" s="373"/>
      <c r="D157" s="374"/>
      <c r="E157" s="395"/>
      <c r="F157" s="431"/>
      <c r="G157" s="375"/>
      <c r="H157" s="561"/>
      <c r="I157" s="886"/>
      <c r="J157" s="886"/>
      <c r="K157" s="277"/>
      <c r="L157" s="372">
        <v>7</v>
      </c>
      <c r="M157" s="373" t="s">
        <v>450</v>
      </c>
      <c r="N157" s="374"/>
      <c r="O157" s="541"/>
      <c r="P157" s="431"/>
      <c r="Q157" s="375"/>
      <c r="R157" s="575"/>
      <c r="S157" s="610"/>
      <c r="T157" s="510" t="str">
        <f t="shared" si="19"/>
        <v/>
      </c>
      <c r="U157" s="494">
        <f t="shared" si="17"/>
        <v>0</v>
      </c>
      <c r="V157" s="904"/>
      <c r="W157" s="561"/>
      <c r="X157" s="876"/>
      <c r="Y157" s="472"/>
    </row>
    <row r="158" spans="1:25" ht="14.25" customHeight="1">
      <c r="B158" s="372">
        <v>7</v>
      </c>
      <c r="C158" s="373"/>
      <c r="D158" s="374"/>
      <c r="E158" s="395"/>
      <c r="F158" s="431"/>
      <c r="G158" s="375"/>
      <c r="H158" s="561"/>
      <c r="I158" s="886"/>
      <c r="J158" s="886"/>
      <c r="K158" s="277"/>
      <c r="L158" s="372">
        <v>7</v>
      </c>
      <c r="M158" s="373" t="s">
        <v>450</v>
      </c>
      <c r="N158" s="374"/>
      <c r="O158" s="541"/>
      <c r="P158" s="431"/>
      <c r="Q158" s="375"/>
      <c r="R158" s="575"/>
      <c r="S158" s="610"/>
      <c r="T158" s="510" t="str">
        <f t="shared" si="19"/>
        <v/>
      </c>
      <c r="U158" s="494">
        <f t="shared" si="17"/>
        <v>0</v>
      </c>
      <c r="V158" s="904"/>
      <c r="W158" s="561"/>
      <c r="X158" s="876"/>
      <c r="Y158" s="472"/>
    </row>
    <row r="159" spans="1:25" ht="15" customHeight="1" thickBot="1">
      <c r="B159" s="305">
        <v>7</v>
      </c>
      <c r="C159" s="326"/>
      <c r="D159" s="318"/>
      <c r="E159" s="307"/>
      <c r="F159" s="447"/>
      <c r="G159" s="319"/>
      <c r="H159" s="562"/>
      <c r="I159" s="887"/>
      <c r="J159" s="887"/>
      <c r="K159" s="278"/>
      <c r="L159" s="305">
        <v>7</v>
      </c>
      <c r="M159" s="326" t="s">
        <v>450</v>
      </c>
      <c r="N159" s="318"/>
      <c r="O159" s="542"/>
      <c r="P159" s="447"/>
      <c r="Q159" s="319"/>
      <c r="R159" s="576"/>
      <c r="S159" s="611"/>
      <c r="T159" s="511" t="str">
        <f t="shared" si="19"/>
        <v/>
      </c>
      <c r="U159" s="495">
        <f t="shared" si="17"/>
        <v>0</v>
      </c>
      <c r="V159" s="905"/>
      <c r="W159" s="562"/>
      <c r="X159" s="877"/>
      <c r="Y159" s="472"/>
    </row>
    <row r="160" spans="1:25" ht="14.45" thickBot="1">
      <c r="A160" s="24"/>
      <c r="B160" s="279"/>
      <c r="C160" s="320"/>
      <c r="D160" s="297"/>
      <c r="E160" s="280"/>
      <c r="F160" s="443"/>
      <c r="G160" s="281"/>
      <c r="H160" s="563"/>
      <c r="I160" s="269"/>
      <c r="J160" s="269"/>
      <c r="K160" s="24"/>
      <c r="L160" s="279"/>
      <c r="M160" s="320"/>
      <c r="N160" s="297"/>
      <c r="O160" s="543"/>
      <c r="P160" s="443"/>
      <c r="Q160" s="281"/>
      <c r="R160" s="577"/>
      <c r="S160" s="612"/>
      <c r="T160" s="512" t="str">
        <f t="shared" si="19"/>
        <v/>
      </c>
      <c r="U160" s="500"/>
      <c r="V160" s="483"/>
      <c r="W160" s="563"/>
      <c r="X160" s="339"/>
      <c r="Y160" s="472"/>
    </row>
    <row r="161" spans="2:25" ht="14.25" customHeight="1">
      <c r="B161" s="321">
        <v>8</v>
      </c>
      <c r="C161" s="283" t="s">
        <v>473</v>
      </c>
      <c r="D161" s="322"/>
      <c r="E161" s="450"/>
      <c r="F161" s="404"/>
      <c r="G161" s="323"/>
      <c r="H161" s="564"/>
      <c r="I161" s="869">
        <f>D368+D369+D370</f>
        <v>2015000</v>
      </c>
      <c r="J161" s="869">
        <f>F368+F369+F370</f>
        <v>2177419.7394080805</v>
      </c>
      <c r="K161" s="286"/>
      <c r="L161" s="321">
        <v>8</v>
      </c>
      <c r="M161" s="413" t="s">
        <v>474</v>
      </c>
      <c r="N161" s="322"/>
      <c r="O161" s="550"/>
      <c r="P161" s="404"/>
      <c r="Q161" s="323"/>
      <c r="R161" s="578"/>
      <c r="S161" s="613"/>
      <c r="T161" s="513" t="str">
        <f t="shared" si="19"/>
        <v/>
      </c>
      <c r="U161" s="497">
        <f>(Q161/$X$161*$J$161)</f>
        <v>0</v>
      </c>
      <c r="V161" s="912">
        <f>J161-SUM(U161:U181)</f>
        <v>-4.2484239675104618E-3</v>
      </c>
      <c r="W161" s="564"/>
      <c r="X161" s="872">
        <f>SUM(Q161:Q181)</f>
        <v>2216118.21</v>
      </c>
      <c r="Y161" s="472"/>
    </row>
    <row r="162" spans="2:25" ht="14.25" customHeight="1">
      <c r="B162" s="311">
        <v>8</v>
      </c>
      <c r="C162" s="312"/>
      <c r="D162" s="324" t="s">
        <v>475</v>
      </c>
      <c r="E162" s="403"/>
      <c r="F162" s="448"/>
      <c r="G162" s="313">
        <v>25000</v>
      </c>
      <c r="H162" s="528">
        <v>45899</v>
      </c>
      <c r="I162" s="870"/>
      <c r="J162" s="870"/>
      <c r="K162" s="290"/>
      <c r="L162" s="311">
        <v>8</v>
      </c>
      <c r="M162" s="420" t="s">
        <v>474</v>
      </c>
      <c r="N162" s="324" t="s">
        <v>476</v>
      </c>
      <c r="O162" s="313">
        <v>78963</v>
      </c>
      <c r="P162" s="703">
        <v>2</v>
      </c>
      <c r="Q162" s="313">
        <f>O162*P162</f>
        <v>157926</v>
      </c>
      <c r="R162" s="579" t="s">
        <v>477</v>
      </c>
      <c r="S162" s="614" t="s">
        <v>478</v>
      </c>
      <c r="T162" s="673">
        <v>45869</v>
      </c>
      <c r="U162" s="682">
        <v>159363.64106558694</v>
      </c>
      <c r="V162" s="913"/>
      <c r="W162" s="528">
        <v>45899</v>
      </c>
      <c r="X162" s="873"/>
      <c r="Y162" s="472"/>
    </row>
    <row r="163" spans="2:25" ht="14.25" customHeight="1">
      <c r="B163" s="311">
        <v>8</v>
      </c>
      <c r="C163" s="312"/>
      <c r="D163" s="324" t="s">
        <v>479</v>
      </c>
      <c r="E163" s="403"/>
      <c r="F163" s="448"/>
      <c r="G163" s="313">
        <v>540000</v>
      </c>
      <c r="H163" s="528">
        <v>45899</v>
      </c>
      <c r="I163" s="870"/>
      <c r="J163" s="870"/>
      <c r="K163" s="290"/>
      <c r="L163" s="311">
        <v>8</v>
      </c>
      <c r="M163" s="420" t="s">
        <v>474</v>
      </c>
      <c r="N163" s="324" t="s">
        <v>480</v>
      </c>
      <c r="O163" s="403"/>
      <c r="P163" s="448"/>
      <c r="Q163" s="313">
        <v>416290</v>
      </c>
      <c r="R163" s="579" t="s">
        <v>481</v>
      </c>
      <c r="S163" s="614" t="s">
        <v>482</v>
      </c>
      <c r="T163" s="673">
        <v>45869</v>
      </c>
      <c r="U163" s="682">
        <v>373906.90512172278</v>
      </c>
      <c r="V163" s="913"/>
      <c r="W163" s="528">
        <v>45899</v>
      </c>
      <c r="X163" s="873"/>
      <c r="Y163" s="472"/>
    </row>
    <row r="164" spans="2:25" ht="14.25" customHeight="1">
      <c r="B164" s="311"/>
      <c r="C164" s="312"/>
      <c r="D164" s="324"/>
      <c r="E164" s="403"/>
      <c r="F164" s="448"/>
      <c r="G164" s="313"/>
      <c r="H164" s="528"/>
      <c r="I164" s="870"/>
      <c r="J164" s="870"/>
      <c r="K164" s="290"/>
      <c r="L164" s="311">
        <v>8</v>
      </c>
      <c r="M164" s="420" t="s">
        <v>474</v>
      </c>
      <c r="N164" s="324" t="s">
        <v>483</v>
      </c>
      <c r="O164" s="403"/>
      <c r="P164" s="448"/>
      <c r="Q164" s="313">
        <v>49639</v>
      </c>
      <c r="R164" s="579"/>
      <c r="S164" s="614" t="s">
        <v>484</v>
      </c>
      <c r="T164" s="673">
        <v>45869</v>
      </c>
      <c r="U164" s="682">
        <v>50090.876605844955</v>
      </c>
      <c r="V164" s="913"/>
      <c r="W164" s="528">
        <v>45899</v>
      </c>
      <c r="X164" s="873"/>
      <c r="Y164" s="472"/>
    </row>
    <row r="165" spans="2:25" ht="14.25" customHeight="1">
      <c r="B165" s="311"/>
      <c r="C165" s="312"/>
      <c r="D165" s="324"/>
      <c r="E165" s="403"/>
      <c r="F165" s="448"/>
      <c r="G165" s="313"/>
      <c r="H165" s="528"/>
      <c r="I165" s="870"/>
      <c r="J165" s="870"/>
      <c r="K165" s="290"/>
      <c r="L165" s="311">
        <v>8</v>
      </c>
      <c r="M165" s="420" t="s">
        <v>474</v>
      </c>
      <c r="N165" s="324" t="s">
        <v>483</v>
      </c>
      <c r="O165" s="403"/>
      <c r="P165" s="448"/>
      <c r="Q165" s="313">
        <f>-Q164</f>
        <v>-49639</v>
      </c>
      <c r="R165" s="579"/>
      <c r="S165" s="614" t="s">
        <v>484</v>
      </c>
      <c r="T165" s="673">
        <v>45900</v>
      </c>
      <c r="U165" s="498">
        <v>0</v>
      </c>
      <c r="V165" s="913"/>
      <c r="W165" s="528">
        <v>45900</v>
      </c>
      <c r="X165" s="873"/>
      <c r="Y165" s="472"/>
    </row>
    <row r="166" spans="2:25" ht="14.25" customHeight="1">
      <c r="B166" s="311"/>
      <c r="C166" s="312"/>
      <c r="D166" s="324"/>
      <c r="E166" s="403"/>
      <c r="F166" s="448"/>
      <c r="G166" s="313"/>
      <c r="H166" s="565"/>
      <c r="I166" s="870"/>
      <c r="J166" s="870"/>
      <c r="K166" s="290"/>
      <c r="L166" s="311">
        <v>8</v>
      </c>
      <c r="M166" s="420" t="s">
        <v>474</v>
      </c>
      <c r="N166" s="324" t="s">
        <v>485</v>
      </c>
      <c r="O166" s="687">
        <v>376996</v>
      </c>
      <c r="P166" s="686">
        <v>0.5</v>
      </c>
      <c r="Q166" s="313">
        <f>$O$166*P166</f>
        <v>188498</v>
      </c>
      <c r="R166" s="881" t="s">
        <v>486</v>
      </c>
      <c r="S166" s="614" t="s">
        <v>487</v>
      </c>
      <c r="T166" s="673">
        <v>45869</v>
      </c>
      <c r="U166" s="682">
        <v>190213.94585806647</v>
      </c>
      <c r="V166" s="913"/>
      <c r="W166" s="528">
        <v>45989</v>
      </c>
      <c r="X166" s="873"/>
      <c r="Y166" s="472"/>
    </row>
    <row r="167" spans="2:25" ht="14.25" customHeight="1">
      <c r="B167" s="311"/>
      <c r="C167" s="312"/>
      <c r="D167" s="324"/>
      <c r="E167" s="403"/>
      <c r="F167" s="448"/>
      <c r="G167" s="313"/>
      <c r="H167" s="565"/>
      <c r="I167" s="870"/>
      <c r="J167" s="870"/>
      <c r="K167" s="290"/>
      <c r="L167" s="311">
        <v>8</v>
      </c>
      <c r="M167" s="420" t="s">
        <v>474</v>
      </c>
      <c r="N167" s="324" t="s">
        <v>488</v>
      </c>
      <c r="O167" s="841">
        <f>O166/2</f>
        <v>188498</v>
      </c>
      <c r="P167" s="686">
        <v>0.5</v>
      </c>
      <c r="Q167" s="313">
        <f>$O$166*P167</f>
        <v>188498</v>
      </c>
      <c r="R167" s="882"/>
      <c r="S167" s="614" t="s">
        <v>487</v>
      </c>
      <c r="T167" s="673">
        <v>45869</v>
      </c>
      <c r="U167" s="682">
        <v>190213.94585806647</v>
      </c>
      <c r="V167" s="913"/>
      <c r="W167" s="528">
        <v>45989</v>
      </c>
      <c r="X167" s="873"/>
      <c r="Y167" s="472"/>
    </row>
    <row r="168" spans="2:25" ht="14.25" customHeight="1">
      <c r="B168" s="311"/>
      <c r="C168" s="312"/>
      <c r="D168" s="324"/>
      <c r="E168" s="403"/>
      <c r="F168" s="448"/>
      <c r="G168" s="313"/>
      <c r="H168" s="528"/>
      <c r="I168" s="870"/>
      <c r="J168" s="870"/>
      <c r="K168" s="290"/>
      <c r="L168" s="311">
        <v>8</v>
      </c>
      <c r="M168" s="420" t="s">
        <v>474</v>
      </c>
      <c r="N168" s="324" t="s">
        <v>479</v>
      </c>
      <c r="O168" s="403"/>
      <c r="P168" s="448"/>
      <c r="Q168" s="313">
        <v>264744.74</v>
      </c>
      <c r="R168" s="881" t="s">
        <v>489</v>
      </c>
      <c r="S168" s="614" t="s">
        <v>490</v>
      </c>
      <c r="T168" s="673">
        <v>45838</v>
      </c>
      <c r="U168" s="682">
        <v>311742.46060635644</v>
      </c>
      <c r="V168" s="913"/>
      <c r="W168" s="528">
        <v>45834</v>
      </c>
      <c r="X168" s="873"/>
      <c r="Y168" s="472"/>
    </row>
    <row r="169" spans="2:25" ht="14.25" customHeight="1">
      <c r="B169" s="311"/>
      <c r="C169" s="312"/>
      <c r="D169" s="324"/>
      <c r="E169" s="403"/>
      <c r="F169" s="448"/>
      <c r="G169" s="313"/>
      <c r="H169" s="528"/>
      <c r="I169" s="870"/>
      <c r="J169" s="870"/>
      <c r="K169" s="290"/>
      <c r="L169" s="311">
        <v>8</v>
      </c>
      <c r="M169" s="420" t="s">
        <v>474</v>
      </c>
      <c r="N169" s="324" t="s">
        <v>491</v>
      </c>
      <c r="O169" s="403"/>
      <c r="P169" s="448"/>
      <c r="Q169" s="313">
        <v>8911.2000000000007</v>
      </c>
      <c r="R169" s="884"/>
      <c r="S169" s="614" t="s">
        <v>490</v>
      </c>
      <c r="T169" s="673">
        <v>45838</v>
      </c>
      <c r="U169" s="682">
        <v>10493.124112514432</v>
      </c>
      <c r="V169" s="913"/>
      <c r="W169" s="528">
        <v>45834</v>
      </c>
      <c r="X169" s="873"/>
      <c r="Y169" s="472"/>
    </row>
    <row r="170" spans="2:25" ht="14.25" customHeight="1">
      <c r="B170" s="311"/>
      <c r="C170" s="312"/>
      <c r="D170" s="324"/>
      <c r="E170" s="403"/>
      <c r="F170" s="448"/>
      <c r="G170" s="313"/>
      <c r="H170" s="528"/>
      <c r="I170" s="870"/>
      <c r="J170" s="870"/>
      <c r="K170" s="290"/>
      <c r="L170" s="311">
        <v>8</v>
      </c>
      <c r="M170" s="420" t="s">
        <v>474</v>
      </c>
      <c r="N170" s="324" t="s">
        <v>492</v>
      </c>
      <c r="O170" s="403"/>
      <c r="P170" s="448"/>
      <c r="Q170" s="313">
        <v>500</v>
      </c>
      <c r="R170" s="882"/>
      <c r="S170" s="614" t="s">
        <v>490</v>
      </c>
      <c r="T170" s="673">
        <v>45838</v>
      </c>
      <c r="U170" s="682">
        <v>588.76044261796551</v>
      </c>
      <c r="V170" s="913"/>
      <c r="W170" s="528">
        <v>45834</v>
      </c>
      <c r="X170" s="873"/>
      <c r="Y170" s="472"/>
    </row>
    <row r="171" spans="2:25" ht="14.25" customHeight="1">
      <c r="B171" s="311"/>
      <c r="C171" s="312"/>
      <c r="D171" s="324"/>
      <c r="E171" s="403"/>
      <c r="F171" s="448"/>
      <c r="G171" s="313"/>
      <c r="H171" s="528"/>
      <c r="I171" s="870"/>
      <c r="J171" s="870"/>
      <c r="K171" s="290"/>
      <c r="L171" s="311">
        <v>8</v>
      </c>
      <c r="M171" s="420" t="s">
        <v>474</v>
      </c>
      <c r="N171" s="324" t="s">
        <v>493</v>
      </c>
      <c r="O171" s="403">
        <v>5</v>
      </c>
      <c r="P171" s="448">
        <v>2900</v>
      </c>
      <c r="Q171" s="313">
        <v>56604</v>
      </c>
      <c r="R171" s="579" t="s">
        <v>494</v>
      </c>
      <c r="S171" s="614" t="s">
        <v>495</v>
      </c>
      <c r="T171" s="673">
        <v>45900</v>
      </c>
      <c r="U171" s="716">
        <v>37374.055508281563</v>
      </c>
      <c r="V171" s="913"/>
      <c r="W171" s="528">
        <v>45897</v>
      </c>
      <c r="X171" s="873"/>
      <c r="Y171" s="472"/>
    </row>
    <row r="172" spans="2:25" ht="14.25" customHeight="1">
      <c r="B172" s="311"/>
      <c r="C172" s="312"/>
      <c r="D172" s="324"/>
      <c r="E172" s="403"/>
      <c r="F172" s="448"/>
      <c r="G172" s="313"/>
      <c r="H172" s="565"/>
      <c r="I172" s="870"/>
      <c r="J172" s="870"/>
      <c r="K172" s="290"/>
      <c r="L172" s="311">
        <v>8</v>
      </c>
      <c r="M172" s="420" t="s">
        <v>474</v>
      </c>
      <c r="N172" s="324"/>
      <c r="O172" s="403"/>
      <c r="P172" s="448"/>
      <c r="Q172" s="313"/>
      <c r="R172" s="583"/>
      <c r="S172" s="614"/>
      <c r="T172" s="514"/>
      <c r="U172" s="498"/>
      <c r="V172" s="913"/>
      <c r="W172" s="565"/>
      <c r="X172" s="873"/>
      <c r="Y172" s="472"/>
    </row>
    <row r="173" spans="2:25" ht="14.25" customHeight="1">
      <c r="B173" s="311"/>
      <c r="C173" s="312"/>
      <c r="D173" s="324"/>
      <c r="E173" s="403"/>
      <c r="F173" s="448"/>
      <c r="G173" s="313"/>
      <c r="H173" s="565"/>
      <c r="I173" s="870"/>
      <c r="J173" s="870"/>
      <c r="K173" s="290"/>
      <c r="L173" s="311">
        <v>8</v>
      </c>
      <c r="M173" s="420" t="s">
        <v>474</v>
      </c>
      <c r="N173" s="324"/>
      <c r="O173" s="403"/>
      <c r="P173" s="448"/>
      <c r="Q173" s="313"/>
      <c r="R173" s="583"/>
      <c r="S173" s="614"/>
      <c r="T173" s="514"/>
      <c r="U173" s="498"/>
      <c r="V173" s="913"/>
      <c r="W173" s="565"/>
      <c r="X173" s="873"/>
      <c r="Y173" s="472"/>
    </row>
    <row r="174" spans="2:25" ht="14.25" customHeight="1">
      <c r="B174" s="311"/>
      <c r="C174" s="312"/>
      <c r="D174" s="324"/>
      <c r="E174" s="403"/>
      <c r="F174" s="448"/>
      <c r="G174" s="313"/>
      <c r="H174" s="528"/>
      <c r="I174" s="870"/>
      <c r="J174" s="870"/>
      <c r="K174" s="290"/>
      <c r="L174" s="311">
        <v>8</v>
      </c>
      <c r="M174" s="420" t="s">
        <v>474</v>
      </c>
      <c r="N174" s="324" t="s">
        <v>496</v>
      </c>
      <c r="O174" s="687">
        <v>282770</v>
      </c>
      <c r="P174" s="686">
        <v>0.5</v>
      </c>
      <c r="Q174" s="313">
        <f>O174*P174</f>
        <v>141385</v>
      </c>
      <c r="R174" s="915" t="s">
        <v>497</v>
      </c>
      <c r="S174" s="614" t="s">
        <v>498</v>
      </c>
      <c r="T174" s="673">
        <v>45869</v>
      </c>
      <c r="U174" s="682">
        <v>142672.06408101268</v>
      </c>
      <c r="V174" s="913"/>
      <c r="W174" s="528">
        <v>45855</v>
      </c>
      <c r="X174" s="873"/>
      <c r="Y174" s="472"/>
    </row>
    <row r="175" spans="2:25" ht="14.25" customHeight="1">
      <c r="B175" s="311"/>
      <c r="C175" s="312"/>
      <c r="D175" s="324"/>
      <c r="E175" s="403"/>
      <c r="F175" s="448"/>
      <c r="G175" s="313"/>
      <c r="H175" s="528"/>
      <c r="I175" s="870"/>
      <c r="J175" s="870"/>
      <c r="K175" s="290"/>
      <c r="L175" s="311">
        <v>8</v>
      </c>
      <c r="M175" s="420" t="s">
        <v>474</v>
      </c>
      <c r="N175" s="324" t="s">
        <v>499</v>
      </c>
      <c r="O175" s="403"/>
      <c r="P175" s="686">
        <v>0.5</v>
      </c>
      <c r="Q175" s="313">
        <f>O174*P175</f>
        <v>141385</v>
      </c>
      <c r="R175" s="916"/>
      <c r="S175" s="614" t="s">
        <v>500</v>
      </c>
      <c r="T175" s="673">
        <v>45900</v>
      </c>
      <c r="U175" s="716">
        <v>139002.42023511391</v>
      </c>
      <c r="V175" s="913"/>
      <c r="W175" s="528">
        <v>45910</v>
      </c>
      <c r="X175" s="873"/>
      <c r="Y175" s="472"/>
    </row>
    <row r="176" spans="2:25" ht="14.25" customHeight="1">
      <c r="B176" s="311">
        <v>8</v>
      </c>
      <c r="C176" s="312"/>
      <c r="D176" s="324" t="s">
        <v>501</v>
      </c>
      <c r="E176" s="403"/>
      <c r="F176" s="448"/>
      <c r="G176" s="313">
        <v>250000</v>
      </c>
      <c r="H176" s="565">
        <f>H162</f>
        <v>45899</v>
      </c>
      <c r="I176" s="870"/>
      <c r="J176" s="870"/>
      <c r="K176" s="290"/>
      <c r="L176" s="311">
        <v>8</v>
      </c>
      <c r="M176" s="420" t="s">
        <v>474</v>
      </c>
      <c r="N176" s="324"/>
      <c r="O176" s="403"/>
      <c r="P176" s="448"/>
      <c r="Q176" s="313"/>
      <c r="R176" s="579"/>
      <c r="S176" s="614"/>
      <c r="T176" s="514" t="str">
        <f t="shared" si="19"/>
        <v/>
      </c>
      <c r="U176" s="498">
        <f>(Q176/$X$161*$J$161)</f>
        <v>0</v>
      </c>
      <c r="V176" s="913"/>
      <c r="W176" s="565"/>
      <c r="X176" s="873"/>
      <c r="Y176" s="472"/>
    </row>
    <row r="177" spans="1:25" ht="14.25" customHeight="1">
      <c r="B177" s="311">
        <v>8</v>
      </c>
      <c r="C177" s="312"/>
      <c r="D177" s="324" t="s">
        <v>502</v>
      </c>
      <c r="E177" s="403"/>
      <c r="F177" s="448"/>
      <c r="G177" s="313">
        <v>600000</v>
      </c>
      <c r="H177" s="565">
        <f>H162</f>
        <v>45899</v>
      </c>
      <c r="I177" s="870"/>
      <c r="J177" s="870"/>
      <c r="K177" s="290"/>
      <c r="L177" s="311">
        <v>8</v>
      </c>
      <c r="M177" s="420" t="s">
        <v>474</v>
      </c>
      <c r="N177" s="324" t="s">
        <v>503</v>
      </c>
      <c r="O177" s="403"/>
      <c r="P177" s="448"/>
      <c r="Q177" s="313">
        <v>50000</v>
      </c>
      <c r="R177" s="579"/>
      <c r="S177" s="614"/>
      <c r="T177" s="514">
        <v>46081</v>
      </c>
      <c r="U177" s="498">
        <f>(Q177/$X$161*$J$161)-1321.7</f>
        <v>47805.186137722783</v>
      </c>
      <c r="V177" s="913"/>
      <c r="W177" s="565">
        <f>T177</f>
        <v>46081</v>
      </c>
      <c r="X177" s="873"/>
      <c r="Y177" s="472"/>
    </row>
    <row r="178" spans="1:25" ht="14.25" customHeight="1">
      <c r="B178" s="311">
        <v>8</v>
      </c>
      <c r="C178" s="312"/>
      <c r="D178" s="324" t="s">
        <v>504</v>
      </c>
      <c r="E178" s="403"/>
      <c r="F178" s="448"/>
      <c r="G178" s="313">
        <v>600000</v>
      </c>
      <c r="H178" s="565">
        <f>H163</f>
        <v>45899</v>
      </c>
      <c r="I178" s="870"/>
      <c r="J178" s="870"/>
      <c r="K178" s="290"/>
      <c r="L178" s="311">
        <v>8</v>
      </c>
      <c r="M178" s="420" t="s">
        <v>474</v>
      </c>
      <c r="N178" s="324"/>
      <c r="O178" s="403"/>
      <c r="P178" s="448"/>
      <c r="Q178" s="313"/>
      <c r="R178" s="579"/>
      <c r="S178" s="614"/>
      <c r="T178" s="514" t="str">
        <f t="shared" si="19"/>
        <v/>
      </c>
      <c r="U178" s="498">
        <f>(Q178/$X$161*$J$161)</f>
        <v>0</v>
      </c>
      <c r="V178" s="913"/>
      <c r="W178" s="565"/>
      <c r="X178" s="873"/>
      <c r="Y178" s="472"/>
    </row>
    <row r="179" spans="1:25" ht="14.25" customHeight="1">
      <c r="B179" s="311">
        <v>8</v>
      </c>
      <c r="C179" s="312"/>
      <c r="D179" s="324"/>
      <c r="E179" s="403"/>
      <c r="F179" s="448"/>
      <c r="G179" s="313"/>
      <c r="H179" s="565"/>
      <c r="I179" s="870"/>
      <c r="J179" s="870"/>
      <c r="K179" s="290"/>
      <c r="L179" s="311">
        <v>8</v>
      </c>
      <c r="M179" s="420" t="s">
        <v>474</v>
      </c>
      <c r="N179" s="324" t="s">
        <v>505</v>
      </c>
      <c r="O179" s="548"/>
      <c r="P179" s="448"/>
      <c r="Q179" s="313">
        <v>1376.27</v>
      </c>
      <c r="R179" s="579"/>
      <c r="S179" s="779" t="s">
        <v>506</v>
      </c>
      <c r="T179" s="780">
        <v>45961</v>
      </c>
      <c r="U179" s="781">
        <v>1352.2371916952748</v>
      </c>
      <c r="V179" s="913"/>
      <c r="W179" s="768">
        <v>45940</v>
      </c>
      <c r="X179" s="873"/>
      <c r="Y179" s="472"/>
    </row>
    <row r="180" spans="1:25" ht="14.25" customHeight="1">
      <c r="B180" s="311">
        <v>8</v>
      </c>
      <c r="C180" s="312"/>
      <c r="D180" s="324"/>
      <c r="E180" s="403"/>
      <c r="F180" s="448"/>
      <c r="G180" s="313"/>
      <c r="H180" s="568"/>
      <c r="I180" s="870"/>
      <c r="J180" s="870"/>
      <c r="K180" s="290"/>
      <c r="L180" s="311">
        <v>8</v>
      </c>
      <c r="M180" s="420" t="s">
        <v>474</v>
      </c>
      <c r="N180" s="324"/>
      <c r="O180" s="548"/>
      <c r="P180" s="448"/>
      <c r="Q180" s="313"/>
      <c r="R180" s="583"/>
      <c r="S180" s="618"/>
      <c r="T180" s="517" t="str">
        <f t="shared" si="19"/>
        <v/>
      </c>
      <c r="U180" s="503">
        <f>(Q180/$X$161*$J$161)</f>
        <v>0</v>
      </c>
      <c r="V180" s="913"/>
      <c r="W180" s="568"/>
      <c r="X180" s="873"/>
      <c r="Y180" s="472"/>
    </row>
    <row r="181" spans="1:25" ht="15" customHeight="1" thickBot="1">
      <c r="B181" s="311">
        <v>8</v>
      </c>
      <c r="C181" s="292"/>
      <c r="D181" s="293"/>
      <c r="E181" s="445"/>
      <c r="F181" s="442"/>
      <c r="G181" s="294"/>
      <c r="H181" s="566"/>
      <c r="I181" s="871"/>
      <c r="J181" s="871"/>
      <c r="K181" s="295"/>
      <c r="L181" s="291">
        <v>8</v>
      </c>
      <c r="M181" s="419" t="s">
        <v>474</v>
      </c>
      <c r="N181" s="293" t="s">
        <v>504</v>
      </c>
      <c r="O181" s="549"/>
      <c r="P181" s="442"/>
      <c r="Q181" s="294">
        <v>600000</v>
      </c>
      <c r="R181" s="697"/>
      <c r="S181" s="615" t="s">
        <v>507</v>
      </c>
      <c r="T181" s="713">
        <v>45900</v>
      </c>
      <c r="U181" s="720">
        <v>522600.12083190132</v>
      </c>
      <c r="V181" s="914"/>
      <c r="W181" s="566">
        <v>46065</v>
      </c>
      <c r="X181" s="874"/>
      <c r="Y181" s="472"/>
    </row>
    <row r="182" spans="1:25" ht="22.5" customHeight="1" thickBot="1">
      <c r="A182" s="24"/>
      <c r="B182" s="325"/>
      <c r="C182" s="154"/>
      <c r="D182" s="154"/>
      <c r="E182" s="154"/>
      <c r="F182" s="456"/>
      <c r="G182" s="154"/>
      <c r="H182" s="530"/>
      <c r="I182" s="426"/>
      <c r="J182" s="427"/>
      <c r="K182" s="154"/>
      <c r="L182" s="325"/>
      <c r="M182" s="154"/>
      <c r="N182" s="154"/>
      <c r="O182" s="551"/>
      <c r="P182" s="456"/>
      <c r="Q182" s="154"/>
      <c r="R182" s="585"/>
      <c r="S182" s="325"/>
      <c r="T182" s="519" t="str">
        <f t="shared" si="19"/>
        <v/>
      </c>
      <c r="U182" s="485"/>
      <c r="V182" s="485"/>
      <c r="W182" s="530"/>
      <c r="X182" s="426"/>
      <c r="Y182" s="472"/>
    </row>
    <row r="183" spans="1:25" ht="15" customHeight="1" thickBot="1">
      <c r="B183" s="300">
        <v>9</v>
      </c>
      <c r="C183" s="429" t="s">
        <v>508</v>
      </c>
      <c r="D183" s="316" t="s">
        <v>509</v>
      </c>
      <c r="E183" s="303"/>
      <c r="F183" s="424">
        <f>G183/7000000</f>
        <v>0.15172285714285713</v>
      </c>
      <c r="G183" s="604">
        <f>D375</f>
        <v>1062060</v>
      </c>
      <c r="H183" s="567">
        <f>H184</f>
        <v>45834</v>
      </c>
      <c r="I183" s="906">
        <f>SUM(G183:G225)</f>
        <v>4360411.2369999997</v>
      </c>
      <c r="J183" s="885">
        <f>F375+F376</f>
        <v>5129895.5729411766</v>
      </c>
      <c r="K183" s="277"/>
      <c r="L183" s="300">
        <v>9</v>
      </c>
      <c r="M183" s="411" t="s">
        <v>510</v>
      </c>
      <c r="N183" s="635" t="s">
        <v>511</v>
      </c>
      <c r="O183" s="540"/>
      <c r="P183" s="424"/>
      <c r="Q183" s="304"/>
      <c r="R183" s="581"/>
      <c r="S183" s="616"/>
      <c r="T183" s="516"/>
      <c r="U183" s="501">
        <f>(Q183/$X$183*$J$183)</f>
        <v>0</v>
      </c>
      <c r="V183" s="888">
        <f>J183-SUM(U183:U225)</f>
        <v>2.478407695889473E-3</v>
      </c>
      <c r="W183" s="567"/>
      <c r="X183" s="909">
        <f>SUM(Q183:Q225)</f>
        <v>8055680</v>
      </c>
      <c r="Y183" s="472"/>
    </row>
    <row r="184" spans="1:25" ht="15" customHeight="1">
      <c r="B184" s="300">
        <v>9</v>
      </c>
      <c r="C184" s="429"/>
      <c r="D184" s="317" t="s">
        <v>512</v>
      </c>
      <c r="E184" s="303"/>
      <c r="F184" s="424">
        <f>G184/7000000</f>
        <v>0.47119303385714284</v>
      </c>
      <c r="G184" s="604">
        <f>D376</f>
        <v>3298351.2369999997</v>
      </c>
      <c r="H184" s="524">
        <v>45834</v>
      </c>
      <c r="I184" s="907"/>
      <c r="J184" s="886"/>
      <c r="K184" s="277"/>
      <c r="L184" s="300">
        <v>9</v>
      </c>
      <c r="M184" s="411" t="s">
        <v>510</v>
      </c>
      <c r="N184" s="317" t="s">
        <v>513</v>
      </c>
      <c r="O184" s="558">
        <f>AC20*0.6</f>
        <v>2400000</v>
      </c>
      <c r="P184" s="638">
        <v>0.17499999999999999</v>
      </c>
      <c r="Q184" s="304">
        <f>$O$184*P184</f>
        <v>420000</v>
      </c>
      <c r="R184" s="901" t="s">
        <v>387</v>
      </c>
      <c r="S184" s="609" t="s">
        <v>388</v>
      </c>
      <c r="T184" s="671">
        <v>45838</v>
      </c>
      <c r="U184" s="680">
        <v>326447.90009625664</v>
      </c>
      <c r="V184" s="889"/>
      <c r="W184" s="524">
        <v>45834</v>
      </c>
      <c r="X184" s="910"/>
      <c r="Y184" s="472"/>
    </row>
    <row r="185" spans="1:25" ht="15" customHeight="1">
      <c r="B185" s="372">
        <v>9</v>
      </c>
      <c r="C185" s="491"/>
      <c r="D185" s="374"/>
      <c r="E185" s="395"/>
      <c r="F185" s="431"/>
      <c r="G185" s="375"/>
      <c r="H185" s="525"/>
      <c r="I185" s="907"/>
      <c r="J185" s="886"/>
      <c r="K185" s="277"/>
      <c r="L185" s="372">
        <v>9</v>
      </c>
      <c r="M185" s="492" t="s">
        <v>510</v>
      </c>
      <c r="N185" s="374" t="s">
        <v>514</v>
      </c>
      <c r="O185" s="637">
        <f>O184/4000000</f>
        <v>0.6</v>
      </c>
      <c r="P185" s="639">
        <v>0.2</v>
      </c>
      <c r="Q185" s="304">
        <f t="shared" ref="Q185:Q191" si="20">$O$184*P185</f>
        <v>480000</v>
      </c>
      <c r="R185" s="899"/>
      <c r="S185" s="610" t="s">
        <v>390</v>
      </c>
      <c r="T185" s="671">
        <v>45869</v>
      </c>
      <c r="U185" s="681">
        <v>242313.05694970069</v>
      </c>
      <c r="V185" s="889"/>
      <c r="W185" s="525">
        <v>45904</v>
      </c>
      <c r="X185" s="910"/>
      <c r="Y185" s="472"/>
    </row>
    <row r="186" spans="1:25" ht="15" customHeight="1">
      <c r="B186" s="372">
        <v>9</v>
      </c>
      <c r="C186" s="491"/>
      <c r="D186" s="374"/>
      <c r="E186" s="395"/>
      <c r="F186" s="431"/>
      <c r="G186" s="375"/>
      <c r="H186" s="561"/>
      <c r="I186" s="907"/>
      <c r="J186" s="886"/>
      <c r="K186" s="277"/>
      <c r="L186" s="372">
        <v>9</v>
      </c>
      <c r="M186" s="492" t="s">
        <v>510</v>
      </c>
      <c r="N186" s="374" t="s">
        <v>515</v>
      </c>
      <c r="O186" s="541"/>
      <c r="P186" s="639">
        <v>0.2</v>
      </c>
      <c r="Q186" s="777">
        <f t="shared" si="20"/>
        <v>480000</v>
      </c>
      <c r="R186" s="899"/>
      <c r="S186" s="610" t="s">
        <v>392</v>
      </c>
      <c r="T186" s="671">
        <v>45900</v>
      </c>
      <c r="U186" s="719">
        <v>242313.04694970069</v>
      </c>
      <c r="V186" s="889"/>
      <c r="W186" s="763">
        <v>45995</v>
      </c>
      <c r="X186" s="910"/>
      <c r="Y186" s="472"/>
    </row>
    <row r="187" spans="1:25" ht="15" customHeight="1">
      <c r="B187" s="372">
        <v>9</v>
      </c>
      <c r="C187" s="491"/>
      <c r="D187" s="374"/>
      <c r="E187" s="395"/>
      <c r="F187" s="431"/>
      <c r="G187" s="375"/>
      <c r="H187" s="561"/>
      <c r="I187" s="907"/>
      <c r="J187" s="886"/>
      <c r="K187" s="277"/>
      <c r="L187" s="372">
        <v>9</v>
      </c>
      <c r="M187" s="492" t="s">
        <v>510</v>
      </c>
      <c r="N187" s="374" t="s">
        <v>516</v>
      </c>
      <c r="O187" s="541"/>
      <c r="P187" s="639">
        <v>0.1</v>
      </c>
      <c r="Q187" s="777">
        <f t="shared" si="20"/>
        <v>240000</v>
      </c>
      <c r="R187" s="899"/>
      <c r="S187" s="610" t="s">
        <v>392</v>
      </c>
      <c r="T187" s="671">
        <v>45900</v>
      </c>
      <c r="U187" s="719">
        <v>152833.14847485034</v>
      </c>
      <c r="V187" s="889"/>
      <c r="W187" s="763">
        <v>45995</v>
      </c>
      <c r="X187" s="910"/>
      <c r="Y187" s="472"/>
    </row>
    <row r="188" spans="1:25" ht="15" customHeight="1">
      <c r="B188" s="372">
        <v>9</v>
      </c>
      <c r="C188" s="491"/>
      <c r="D188" s="374"/>
      <c r="E188" s="395"/>
      <c r="F188" s="431"/>
      <c r="G188" s="375"/>
      <c r="H188" s="561"/>
      <c r="I188" s="907"/>
      <c r="J188" s="886"/>
      <c r="K188" s="277"/>
      <c r="L188" s="372">
        <v>9</v>
      </c>
      <c r="M188" s="492" t="s">
        <v>510</v>
      </c>
      <c r="N188" s="831" t="s">
        <v>517</v>
      </c>
      <c r="O188" s="832"/>
      <c r="P188" s="833">
        <v>0.2</v>
      </c>
      <c r="Q188" s="834">
        <f t="shared" si="20"/>
        <v>480000</v>
      </c>
      <c r="R188" s="899"/>
      <c r="S188" s="610" t="s">
        <v>518</v>
      </c>
      <c r="T188" s="671">
        <v>46053</v>
      </c>
      <c r="U188" s="808">
        <v>305666.29694970069</v>
      </c>
      <c r="V188" s="889"/>
      <c r="W188" s="525">
        <v>46045</v>
      </c>
      <c r="X188" s="910"/>
      <c r="Y188" s="472"/>
    </row>
    <row r="189" spans="1:25" ht="15" customHeight="1">
      <c r="B189" s="372">
        <v>9</v>
      </c>
      <c r="C189" s="491"/>
      <c r="D189" s="374"/>
      <c r="E189" s="395"/>
      <c r="F189" s="431"/>
      <c r="G189" s="375"/>
      <c r="H189" s="561"/>
      <c r="I189" s="907"/>
      <c r="J189" s="886"/>
      <c r="K189" s="277"/>
      <c r="L189" s="372">
        <v>9</v>
      </c>
      <c r="M189" s="492" t="s">
        <v>510</v>
      </c>
      <c r="N189" s="831" t="s">
        <v>519</v>
      </c>
      <c r="O189" s="832"/>
      <c r="P189" s="833">
        <v>0.05</v>
      </c>
      <c r="Q189" s="834">
        <f t="shared" si="20"/>
        <v>120000</v>
      </c>
      <c r="R189" s="899"/>
      <c r="S189" s="610" t="s">
        <v>518</v>
      </c>
      <c r="T189" s="671">
        <v>46053</v>
      </c>
      <c r="U189" s="808">
        <v>76416.574237425171</v>
      </c>
      <c r="V189" s="889"/>
      <c r="W189" s="525">
        <f>W188</f>
        <v>46045</v>
      </c>
      <c r="X189" s="910"/>
      <c r="Y189" s="472"/>
    </row>
    <row r="190" spans="1:25" ht="15" customHeight="1">
      <c r="B190" s="372">
        <v>9</v>
      </c>
      <c r="C190" s="491"/>
      <c r="D190" s="374"/>
      <c r="E190" s="395"/>
      <c r="F190" s="431"/>
      <c r="G190" s="375"/>
      <c r="H190" s="561"/>
      <c r="I190" s="907"/>
      <c r="J190" s="886"/>
      <c r="K190" s="277"/>
      <c r="L190" s="372">
        <v>9</v>
      </c>
      <c r="M190" s="492" t="s">
        <v>510</v>
      </c>
      <c r="N190" s="374" t="s">
        <v>520</v>
      </c>
      <c r="O190" s="541"/>
      <c r="P190" s="639">
        <v>0.05</v>
      </c>
      <c r="Q190" s="304">
        <f t="shared" si="20"/>
        <v>120000</v>
      </c>
      <c r="R190" s="899"/>
      <c r="S190" s="610" t="s">
        <v>518</v>
      </c>
      <c r="T190" s="671">
        <v>46053</v>
      </c>
      <c r="U190" s="808">
        <v>76416.574237425171</v>
      </c>
      <c r="V190" s="889"/>
      <c r="W190" s="561">
        <f>'Project Plan'!K110</f>
        <v>46070</v>
      </c>
      <c r="X190" s="910"/>
      <c r="Y190" s="472"/>
    </row>
    <row r="191" spans="1:25" ht="15" customHeight="1">
      <c r="B191" s="372">
        <v>9</v>
      </c>
      <c r="C191" s="491"/>
      <c r="D191" s="374"/>
      <c r="E191" s="395"/>
      <c r="F191" s="431"/>
      <c r="G191" s="375"/>
      <c r="H191" s="561"/>
      <c r="I191" s="907"/>
      <c r="J191" s="886"/>
      <c r="K191" s="277"/>
      <c r="L191" s="372">
        <v>9</v>
      </c>
      <c r="M191" s="492" t="s">
        <v>510</v>
      </c>
      <c r="N191" s="374" t="s">
        <v>521</v>
      </c>
      <c r="O191" s="541"/>
      <c r="P191" s="639">
        <v>2.5000000000000001E-2</v>
      </c>
      <c r="Q191" s="304">
        <f t="shared" si="20"/>
        <v>60000</v>
      </c>
      <c r="R191" s="899"/>
      <c r="S191" s="610" t="s">
        <v>518</v>
      </c>
      <c r="T191" s="671">
        <v>46053</v>
      </c>
      <c r="U191" s="808">
        <v>38208.287118712586</v>
      </c>
      <c r="V191" s="889"/>
      <c r="W191" s="561">
        <f>W190+30</f>
        <v>46100</v>
      </c>
      <c r="X191" s="910"/>
      <c r="Y191" s="472"/>
    </row>
    <row r="192" spans="1:25" ht="15" customHeight="1">
      <c r="B192" s="372">
        <v>9</v>
      </c>
      <c r="C192" s="491"/>
      <c r="D192" s="374"/>
      <c r="E192" s="395"/>
      <c r="F192" s="431"/>
      <c r="G192" s="375"/>
      <c r="H192" s="561"/>
      <c r="I192" s="907"/>
      <c r="J192" s="886"/>
      <c r="K192" s="277"/>
      <c r="L192" s="372">
        <v>9</v>
      </c>
      <c r="M192" s="492" t="s">
        <v>510</v>
      </c>
      <c r="N192" s="374"/>
      <c r="O192" s="541"/>
      <c r="P192" s="640"/>
      <c r="Q192" s="375"/>
      <c r="R192" s="899"/>
      <c r="S192" s="610"/>
      <c r="T192" s="510"/>
      <c r="U192" s="494">
        <f t="shared" ref="U188:U193" si="21">(Q192/$X$183*$J$183)</f>
        <v>0</v>
      </c>
      <c r="V192" s="889"/>
      <c r="W192" s="561"/>
      <c r="X192" s="910"/>
      <c r="Y192" s="472"/>
    </row>
    <row r="193" spans="2:25" ht="15" customHeight="1">
      <c r="B193" s="372"/>
      <c r="C193" s="491"/>
      <c r="D193" s="374"/>
      <c r="E193" s="395"/>
      <c r="F193" s="431"/>
      <c r="G193" s="375"/>
      <c r="H193" s="561"/>
      <c r="I193" s="907"/>
      <c r="J193" s="886"/>
      <c r="K193" s="277"/>
      <c r="L193" s="372">
        <v>9</v>
      </c>
      <c r="M193" s="492" t="s">
        <v>510</v>
      </c>
      <c r="N193" s="636" t="s">
        <v>522</v>
      </c>
      <c r="O193" s="541"/>
      <c r="P193" s="640"/>
      <c r="Q193" s="375"/>
      <c r="R193" s="899"/>
      <c r="S193" s="610"/>
      <c r="T193" s="510"/>
      <c r="U193" s="494">
        <f t="shared" si="21"/>
        <v>0</v>
      </c>
      <c r="V193" s="889"/>
      <c r="W193" s="561"/>
      <c r="X193" s="910"/>
      <c r="Y193" s="472"/>
    </row>
    <row r="194" spans="2:25" ht="15" customHeight="1">
      <c r="B194" s="372"/>
      <c r="C194" s="491"/>
      <c r="D194" s="374"/>
      <c r="E194" s="395"/>
      <c r="F194" s="431"/>
      <c r="G194" s="375"/>
      <c r="H194" s="525"/>
      <c r="I194" s="907"/>
      <c r="J194" s="886"/>
      <c r="K194" s="277"/>
      <c r="L194" s="372">
        <v>9</v>
      </c>
      <c r="M194" s="492" t="s">
        <v>510</v>
      </c>
      <c r="N194" s="317" t="s">
        <v>513</v>
      </c>
      <c r="O194" s="558">
        <f>AC27*0.6</f>
        <v>1500000</v>
      </c>
      <c r="P194" s="638">
        <f>P184</f>
        <v>0.17499999999999999</v>
      </c>
      <c r="Q194" s="304">
        <f>$O$194*P194</f>
        <v>262500</v>
      </c>
      <c r="R194" s="899"/>
      <c r="S194" s="610" t="s">
        <v>388</v>
      </c>
      <c r="T194" s="671">
        <v>45838</v>
      </c>
      <c r="U194" s="681">
        <v>204029.93756016044</v>
      </c>
      <c r="V194" s="889"/>
      <c r="W194" s="525">
        <f>W184</f>
        <v>45834</v>
      </c>
      <c r="X194" s="910"/>
      <c r="Y194" s="472"/>
    </row>
    <row r="195" spans="2:25" ht="15" customHeight="1">
      <c r="B195" s="372"/>
      <c r="C195" s="491"/>
      <c r="D195" s="374"/>
      <c r="E195" s="395"/>
      <c r="F195" s="431"/>
      <c r="G195" s="375"/>
      <c r="H195" s="525"/>
      <c r="I195" s="907"/>
      <c r="J195" s="886"/>
      <c r="K195" s="277"/>
      <c r="L195" s="372">
        <v>9</v>
      </c>
      <c r="M195" s="492" t="s">
        <v>510</v>
      </c>
      <c r="N195" s="374" t="s">
        <v>514</v>
      </c>
      <c r="O195" s="637">
        <f>O194/3000000</f>
        <v>0.5</v>
      </c>
      <c r="P195" s="638">
        <f t="shared" ref="P195:P197" si="22">P185</f>
        <v>0.2</v>
      </c>
      <c r="Q195" s="304">
        <f t="shared" ref="Q195:Q203" si="23">$O$194*P195</f>
        <v>300000</v>
      </c>
      <c r="R195" s="899"/>
      <c r="S195" s="610" t="s">
        <v>390</v>
      </c>
      <c r="T195" s="671">
        <v>45869</v>
      </c>
      <c r="U195" s="681">
        <v>191041.43559356293</v>
      </c>
      <c r="V195" s="889"/>
      <c r="W195" s="525">
        <f>W185</f>
        <v>45904</v>
      </c>
      <c r="X195" s="910"/>
      <c r="Y195" s="472"/>
    </row>
    <row r="196" spans="2:25" ht="15" customHeight="1">
      <c r="B196" s="372"/>
      <c r="C196" s="491"/>
      <c r="D196" s="374"/>
      <c r="E196" s="395"/>
      <c r="F196" s="431"/>
      <c r="G196" s="375"/>
      <c r="H196" s="561"/>
      <c r="I196" s="907"/>
      <c r="J196" s="886"/>
      <c r="K196" s="277"/>
      <c r="L196" s="372">
        <v>9</v>
      </c>
      <c r="M196" s="492" t="s">
        <v>510</v>
      </c>
      <c r="N196" s="374" t="s">
        <v>515</v>
      </c>
      <c r="O196" s="541"/>
      <c r="P196" s="638">
        <f t="shared" si="22"/>
        <v>0.2</v>
      </c>
      <c r="Q196" s="721">
        <f t="shared" si="23"/>
        <v>300000</v>
      </c>
      <c r="R196" s="899"/>
      <c r="S196" s="610" t="s">
        <v>392</v>
      </c>
      <c r="T196" s="671">
        <v>45900</v>
      </c>
      <c r="U196" s="719">
        <v>191041.43559356293</v>
      </c>
      <c r="V196" s="889"/>
      <c r="W196" s="525">
        <v>46044</v>
      </c>
      <c r="X196" s="910"/>
      <c r="Y196" s="472"/>
    </row>
    <row r="197" spans="2:25" ht="15" customHeight="1">
      <c r="B197" s="372"/>
      <c r="C197" s="491"/>
      <c r="D197" s="374"/>
      <c r="E197" s="395"/>
      <c r="F197" s="431"/>
      <c r="G197" s="375"/>
      <c r="H197" s="561"/>
      <c r="I197" s="907"/>
      <c r="J197" s="886"/>
      <c r="K197" s="277"/>
      <c r="L197" s="372">
        <v>9</v>
      </c>
      <c r="M197" s="492" t="s">
        <v>510</v>
      </c>
      <c r="N197" s="374" t="s">
        <v>516</v>
      </c>
      <c r="O197" s="541"/>
      <c r="P197" s="638">
        <f t="shared" si="22"/>
        <v>0.1</v>
      </c>
      <c r="Q197" s="721">
        <f t="shared" si="23"/>
        <v>150000</v>
      </c>
      <c r="R197" s="899"/>
      <c r="S197" s="610" t="s">
        <v>392</v>
      </c>
      <c r="T197" s="671">
        <v>45900</v>
      </c>
      <c r="U197" s="719">
        <v>95520.717796781464</v>
      </c>
      <c r="V197" s="889"/>
      <c r="W197" s="525">
        <v>46044</v>
      </c>
      <c r="X197" s="910"/>
      <c r="Y197" s="472"/>
    </row>
    <row r="198" spans="2:25" ht="15" customHeight="1">
      <c r="B198" s="372"/>
      <c r="C198" s="491"/>
      <c r="D198" s="374"/>
      <c r="E198" s="395"/>
      <c r="F198" s="431"/>
      <c r="G198" s="375"/>
      <c r="H198" s="561"/>
      <c r="I198" s="907"/>
      <c r="J198" s="886"/>
      <c r="K198" s="277"/>
      <c r="L198" s="372">
        <v>9</v>
      </c>
      <c r="M198" s="492" t="s">
        <v>510</v>
      </c>
      <c r="N198" s="374" t="s">
        <v>523</v>
      </c>
      <c r="O198" s="541"/>
      <c r="P198" s="638">
        <v>0.15</v>
      </c>
      <c r="Q198" s="721">
        <f t="shared" si="23"/>
        <v>225000</v>
      </c>
      <c r="R198" s="899"/>
      <c r="S198" s="610" t="s">
        <v>392</v>
      </c>
      <c r="T198" s="671">
        <v>45900</v>
      </c>
      <c r="U198" s="719">
        <v>191041.43559356293</v>
      </c>
      <c r="V198" s="889"/>
      <c r="W198" s="525">
        <v>46008</v>
      </c>
      <c r="X198" s="910"/>
      <c r="Y198" s="472"/>
    </row>
    <row r="199" spans="2:25" ht="15" customHeight="1">
      <c r="B199" s="372"/>
      <c r="C199" s="491"/>
      <c r="D199" s="374"/>
      <c r="E199" s="395"/>
      <c r="F199" s="431"/>
      <c r="G199" s="375"/>
      <c r="H199" s="561"/>
      <c r="I199" s="907"/>
      <c r="J199" s="886"/>
      <c r="K199" s="277"/>
      <c r="L199" s="372"/>
      <c r="M199" s="492" t="s">
        <v>510</v>
      </c>
      <c r="N199" s="374" t="s">
        <v>524</v>
      </c>
      <c r="O199" s="541"/>
      <c r="P199" s="638">
        <v>0.05</v>
      </c>
      <c r="Q199" s="721">
        <f>O194*P199</f>
        <v>75000</v>
      </c>
      <c r="R199" s="899"/>
      <c r="S199" s="610" t="s">
        <v>392</v>
      </c>
      <c r="T199" s="671">
        <v>45900</v>
      </c>
      <c r="U199" s="719" t="s">
        <v>104</v>
      </c>
      <c r="V199" s="889"/>
      <c r="W199" s="525">
        <v>46015</v>
      </c>
      <c r="X199" s="910"/>
      <c r="Y199" s="472"/>
    </row>
    <row r="200" spans="2:25" ht="15" customHeight="1">
      <c r="B200" s="372"/>
      <c r="C200" s="491"/>
      <c r="D200" s="374"/>
      <c r="E200" s="395"/>
      <c r="F200" s="431"/>
      <c r="G200" s="375"/>
      <c r="H200" s="561"/>
      <c r="I200" s="907"/>
      <c r="J200" s="886"/>
      <c r="K200" s="277"/>
      <c r="L200" s="372">
        <v>9</v>
      </c>
      <c r="M200" s="492" t="s">
        <v>510</v>
      </c>
      <c r="N200" s="374" t="s">
        <v>525</v>
      </c>
      <c r="O200" s="541"/>
      <c r="P200" s="821">
        <v>3.7499999999999999E-2</v>
      </c>
      <c r="Q200" s="721">
        <f t="shared" si="23"/>
        <v>56250</v>
      </c>
      <c r="R200" s="899"/>
      <c r="S200" s="610" t="s">
        <v>392</v>
      </c>
      <c r="T200" s="671">
        <v>45900</v>
      </c>
      <c r="U200" s="719">
        <v>47760.358898390732</v>
      </c>
      <c r="V200" s="889"/>
      <c r="W200" s="525">
        <v>46009</v>
      </c>
      <c r="X200" s="910"/>
      <c r="Y200" s="472"/>
    </row>
    <row r="201" spans="2:25" ht="15" customHeight="1">
      <c r="B201" s="372"/>
      <c r="C201" s="491"/>
      <c r="D201" s="374"/>
      <c r="E201" s="395"/>
      <c r="F201" s="431"/>
      <c r="G201" s="375"/>
      <c r="H201" s="561"/>
      <c r="I201" s="907"/>
      <c r="J201" s="886"/>
      <c r="K201" s="277"/>
      <c r="L201" s="372"/>
      <c r="M201" s="492" t="s">
        <v>510</v>
      </c>
      <c r="N201" s="374" t="s">
        <v>526</v>
      </c>
      <c r="O201" s="541"/>
      <c r="P201" s="821">
        <v>1.2500000000000001E-2</v>
      </c>
      <c r="Q201" s="721">
        <f>O194*P201</f>
        <v>18750</v>
      </c>
      <c r="R201" s="899"/>
      <c r="S201" s="610" t="s">
        <v>392</v>
      </c>
      <c r="T201" s="671">
        <v>45900</v>
      </c>
      <c r="U201" s="719">
        <v>0</v>
      </c>
      <c r="V201" s="889"/>
      <c r="W201" s="775">
        <v>46015</v>
      </c>
      <c r="X201" s="910"/>
      <c r="Y201" s="472"/>
    </row>
    <row r="202" spans="2:25" ht="15" customHeight="1">
      <c r="B202" s="372"/>
      <c r="C202" s="491"/>
      <c r="D202" s="374"/>
      <c r="E202" s="395"/>
      <c r="F202" s="431"/>
      <c r="G202" s="375"/>
      <c r="H202" s="561"/>
      <c r="I202" s="907"/>
      <c r="J202" s="886"/>
      <c r="K202" s="277"/>
      <c r="L202" s="372">
        <v>9</v>
      </c>
      <c r="M202" s="492" t="s">
        <v>510</v>
      </c>
      <c r="N202" s="374" t="s">
        <v>520</v>
      </c>
      <c r="O202" s="541"/>
      <c r="P202" s="638">
        <f>P190</f>
        <v>0.05</v>
      </c>
      <c r="Q202" s="304">
        <f t="shared" si="23"/>
        <v>75000</v>
      </c>
      <c r="R202" s="899"/>
      <c r="S202" s="610" t="s">
        <v>518</v>
      </c>
      <c r="T202" s="671">
        <v>46053</v>
      </c>
      <c r="U202" s="808">
        <v>47760.358898390732</v>
      </c>
      <c r="V202" s="889"/>
      <c r="W202" s="561">
        <f>W190</f>
        <v>46070</v>
      </c>
      <c r="X202" s="910"/>
      <c r="Y202" s="472"/>
    </row>
    <row r="203" spans="2:25" ht="15" customHeight="1">
      <c r="B203" s="372"/>
      <c r="C203" s="491"/>
      <c r="D203" s="374"/>
      <c r="E203" s="395"/>
      <c r="F203" s="431"/>
      <c r="G203" s="375"/>
      <c r="H203" s="561"/>
      <c r="I203" s="907"/>
      <c r="J203" s="886"/>
      <c r="K203" s="277"/>
      <c r="L203" s="372">
        <v>9</v>
      </c>
      <c r="M203" s="492" t="s">
        <v>510</v>
      </c>
      <c r="N203" s="374" t="s">
        <v>521</v>
      </c>
      <c r="O203" s="541"/>
      <c r="P203" s="638">
        <f>P191</f>
        <v>2.5000000000000001E-2</v>
      </c>
      <c r="Q203" s="304">
        <f t="shared" si="23"/>
        <v>37500</v>
      </c>
      <c r="R203" s="899"/>
      <c r="S203" s="610" t="s">
        <v>518</v>
      </c>
      <c r="T203" s="671">
        <v>46053</v>
      </c>
      <c r="U203" s="808">
        <v>23880.179449195366</v>
      </c>
      <c r="V203" s="889"/>
      <c r="W203" s="561">
        <f>W202+30</f>
        <v>46100</v>
      </c>
      <c r="X203" s="910"/>
      <c r="Y203" s="472"/>
    </row>
    <row r="204" spans="2:25" ht="15" customHeight="1">
      <c r="B204" s="372"/>
      <c r="C204" s="491"/>
      <c r="D204" s="374"/>
      <c r="E204" s="395"/>
      <c r="F204" s="431"/>
      <c r="G204" s="375"/>
      <c r="H204" s="561"/>
      <c r="I204" s="907"/>
      <c r="J204" s="886"/>
      <c r="K204" s="277"/>
      <c r="L204" s="372">
        <v>9</v>
      </c>
      <c r="M204" s="492" t="s">
        <v>510</v>
      </c>
      <c r="N204" s="374"/>
      <c r="O204" s="541"/>
      <c r="P204" s="557"/>
      <c r="Q204" s="375"/>
      <c r="R204" s="899"/>
      <c r="S204" s="610"/>
      <c r="T204" s="510"/>
      <c r="U204" s="494"/>
      <c r="V204" s="889"/>
      <c r="W204" s="561"/>
      <c r="X204" s="910"/>
      <c r="Y204" s="472"/>
    </row>
    <row r="205" spans="2:25" ht="15" customHeight="1">
      <c r="B205" s="372"/>
      <c r="C205" s="491"/>
      <c r="D205" s="374"/>
      <c r="E205" s="395"/>
      <c r="F205" s="431"/>
      <c r="G205" s="375"/>
      <c r="H205" s="561"/>
      <c r="I205" s="907"/>
      <c r="J205" s="886"/>
      <c r="K205" s="277"/>
      <c r="L205" s="372">
        <v>9</v>
      </c>
      <c r="M205" s="492" t="s">
        <v>510</v>
      </c>
      <c r="N205" s="636" t="s">
        <v>527</v>
      </c>
      <c r="O205" s="637"/>
      <c r="P205" s="557"/>
      <c r="Q205" s="375"/>
      <c r="R205" s="899"/>
      <c r="S205" s="610"/>
      <c r="T205" s="510"/>
      <c r="U205" s="494"/>
      <c r="V205" s="889"/>
      <c r="W205" s="561"/>
      <c r="X205" s="910"/>
      <c r="Y205" s="472"/>
    </row>
    <row r="206" spans="2:25" ht="15" customHeight="1">
      <c r="B206" s="372"/>
      <c r="C206" s="491"/>
      <c r="D206" s="374"/>
      <c r="E206" s="395"/>
      <c r="F206" s="431"/>
      <c r="G206" s="375"/>
      <c r="H206" s="525"/>
      <c r="I206" s="907"/>
      <c r="J206" s="886"/>
      <c r="K206" s="277"/>
      <c r="L206" s="372">
        <v>9</v>
      </c>
      <c r="M206" s="492" t="s">
        <v>510</v>
      </c>
      <c r="N206" s="317" t="s">
        <v>513</v>
      </c>
      <c r="O206" s="637">
        <f>AC20*0.3+AC27*0.3</f>
        <v>1950000</v>
      </c>
      <c r="P206" s="639">
        <v>0.17499999999999999</v>
      </c>
      <c r="Q206" s="304">
        <f>$O$206*P206</f>
        <v>341250</v>
      </c>
      <c r="R206" s="899"/>
      <c r="S206" s="610" t="s">
        <v>388</v>
      </c>
      <c r="T206" s="671">
        <v>45838</v>
      </c>
      <c r="U206" s="681">
        <v>265238.91882820858</v>
      </c>
      <c r="V206" s="889"/>
      <c r="W206" s="525">
        <f>W194</f>
        <v>45834</v>
      </c>
      <c r="X206" s="910"/>
      <c r="Y206" s="472"/>
    </row>
    <row r="207" spans="2:25" ht="15" customHeight="1">
      <c r="B207" s="372"/>
      <c r="C207" s="491"/>
      <c r="D207" s="374"/>
      <c r="E207" s="395"/>
      <c r="F207" s="431"/>
      <c r="G207" s="375"/>
      <c r="H207" s="525"/>
      <c r="I207" s="907"/>
      <c r="J207" s="886"/>
      <c r="K207" s="277"/>
      <c r="L207" s="372">
        <v>9</v>
      </c>
      <c r="M207" s="492" t="s">
        <v>510</v>
      </c>
      <c r="N207" s="374" t="s">
        <v>514</v>
      </c>
      <c r="O207" s="637">
        <f>O206/7000000</f>
        <v>0.27857142857142858</v>
      </c>
      <c r="P207" s="639">
        <v>0.2</v>
      </c>
      <c r="Q207" s="304">
        <f t="shared" ref="Q207:Q214" si="24">$O$206*P207</f>
        <v>390000</v>
      </c>
      <c r="R207" s="899"/>
      <c r="S207" s="610" t="s">
        <v>390</v>
      </c>
      <c r="T207" s="671">
        <v>45869</v>
      </c>
      <c r="U207" s="681">
        <v>248353.86627163179</v>
      </c>
      <c r="V207" s="889"/>
      <c r="W207" s="525">
        <f>W195</f>
        <v>45904</v>
      </c>
      <c r="X207" s="910"/>
      <c r="Y207" s="472"/>
    </row>
    <row r="208" spans="2:25" ht="15" customHeight="1">
      <c r="B208" s="372"/>
      <c r="C208" s="491"/>
      <c r="D208" s="374"/>
      <c r="E208" s="395"/>
      <c r="F208" s="431"/>
      <c r="G208" s="375"/>
      <c r="H208" s="561"/>
      <c r="I208" s="907"/>
      <c r="J208" s="886"/>
      <c r="K208" s="277"/>
      <c r="L208" s="372">
        <v>9</v>
      </c>
      <c r="M208" s="492" t="s">
        <v>510</v>
      </c>
      <c r="N208" s="374" t="s">
        <v>528</v>
      </c>
      <c r="O208" s="541"/>
      <c r="P208" s="639">
        <v>0.2</v>
      </c>
      <c r="Q208" s="721">
        <f t="shared" si="24"/>
        <v>390000</v>
      </c>
      <c r="R208" s="899"/>
      <c r="S208" s="610" t="s">
        <v>392</v>
      </c>
      <c r="T208" s="671">
        <v>45900</v>
      </c>
      <c r="U208" s="719">
        <v>248353.86627163179</v>
      </c>
      <c r="V208" s="889"/>
      <c r="W208" s="775">
        <v>45939</v>
      </c>
      <c r="X208" s="910"/>
      <c r="Y208" s="472"/>
    </row>
    <row r="209" spans="2:25" ht="15" customHeight="1">
      <c r="B209" s="372"/>
      <c r="C209" s="491"/>
      <c r="D209" s="374"/>
      <c r="E209" s="395"/>
      <c r="F209" s="431"/>
      <c r="G209" s="375"/>
      <c r="H209" s="561"/>
      <c r="I209" s="907"/>
      <c r="J209" s="886"/>
      <c r="K209" s="277"/>
      <c r="L209" s="372">
        <v>9</v>
      </c>
      <c r="M209" s="492" t="s">
        <v>510</v>
      </c>
      <c r="N209" s="374" t="s">
        <v>529</v>
      </c>
      <c r="O209" s="541"/>
      <c r="P209" s="639">
        <v>0.1</v>
      </c>
      <c r="Q209" s="721">
        <f t="shared" si="24"/>
        <v>195000</v>
      </c>
      <c r="R209" s="899"/>
      <c r="S209" s="610" t="s">
        <v>392</v>
      </c>
      <c r="T209" s="671">
        <v>45900</v>
      </c>
      <c r="U209" s="719">
        <v>124176.9331358159</v>
      </c>
      <c r="V209" s="889"/>
      <c r="W209" s="525">
        <v>46009</v>
      </c>
      <c r="X209" s="910"/>
      <c r="Y209" s="472"/>
    </row>
    <row r="210" spans="2:25">
      <c r="B210" s="372"/>
      <c r="C210" s="491"/>
      <c r="D210" s="374"/>
      <c r="E210" s="395"/>
      <c r="F210" s="431"/>
      <c r="G210" s="375"/>
      <c r="H210" s="561"/>
      <c r="I210" s="907"/>
      <c r="J210" s="886"/>
      <c r="K210" s="277"/>
      <c r="L210" s="372">
        <v>9</v>
      </c>
      <c r="M210" s="492" t="s">
        <v>510</v>
      </c>
      <c r="N210" s="374" t="s">
        <v>530</v>
      </c>
      <c r="O210" s="541"/>
      <c r="P210" s="639">
        <v>0.1</v>
      </c>
      <c r="Q210" s="721">
        <f t="shared" si="24"/>
        <v>195000</v>
      </c>
      <c r="R210" s="899"/>
      <c r="S210" s="610" t="s">
        <v>392</v>
      </c>
      <c r="T210" s="671">
        <v>45900</v>
      </c>
      <c r="U210" s="719">
        <v>248353.86627163179</v>
      </c>
      <c r="V210" s="889"/>
      <c r="W210" s="775">
        <v>46015</v>
      </c>
      <c r="X210" s="910"/>
      <c r="Y210" s="472"/>
    </row>
    <row r="211" spans="2:25">
      <c r="B211" s="372"/>
      <c r="C211" s="491"/>
      <c r="D211" s="374"/>
      <c r="E211" s="395"/>
      <c r="F211" s="431"/>
      <c r="G211" s="375"/>
      <c r="H211" s="561"/>
      <c r="I211" s="907"/>
      <c r="J211" s="886"/>
      <c r="K211" s="277"/>
      <c r="L211" s="372">
        <v>9</v>
      </c>
      <c r="M211" s="492" t="s">
        <v>510</v>
      </c>
      <c r="N211" s="374" t="s">
        <v>530</v>
      </c>
      <c r="O211" s="541"/>
      <c r="P211" s="639">
        <v>0.1</v>
      </c>
      <c r="Q211" s="721">
        <f t="shared" si="24"/>
        <v>195000</v>
      </c>
      <c r="R211" s="899"/>
      <c r="S211" s="610" t="s">
        <v>392</v>
      </c>
      <c r="T211" s="671">
        <v>45900</v>
      </c>
      <c r="U211" s="719"/>
      <c r="V211" s="889"/>
      <c r="W211" s="525">
        <v>46051</v>
      </c>
      <c r="X211" s="910"/>
      <c r="Y211" s="472"/>
    </row>
    <row r="212" spans="2:25" ht="15" customHeight="1">
      <c r="B212" s="372"/>
      <c r="C212" s="491"/>
      <c r="D212" s="374"/>
      <c r="E212" s="395"/>
      <c r="F212" s="431"/>
      <c r="G212" s="375"/>
      <c r="H212" s="561"/>
      <c r="I212" s="907"/>
      <c r="J212" s="886"/>
      <c r="K212" s="277"/>
      <c r="L212" s="372">
        <v>9</v>
      </c>
      <c r="M212" s="492" t="s">
        <v>510</v>
      </c>
      <c r="N212" s="374" t="s">
        <v>531</v>
      </c>
      <c r="O212" s="541"/>
      <c r="P212" s="639">
        <v>0.05</v>
      </c>
      <c r="Q212" s="721">
        <f t="shared" si="24"/>
        <v>97500</v>
      </c>
      <c r="R212" s="899"/>
      <c r="S212" s="610" t="s">
        <v>392</v>
      </c>
      <c r="T212" s="671">
        <v>45900</v>
      </c>
      <c r="U212" s="719">
        <v>62088.466567907948</v>
      </c>
      <c r="V212" s="889"/>
      <c r="W212" s="525">
        <v>46052</v>
      </c>
      <c r="X212" s="910"/>
      <c r="Y212" s="472"/>
    </row>
    <row r="213" spans="2:25" ht="15" customHeight="1">
      <c r="B213" s="372"/>
      <c r="C213" s="491"/>
      <c r="D213" s="374"/>
      <c r="E213" s="395"/>
      <c r="F213" s="431"/>
      <c r="G213" s="375"/>
      <c r="H213" s="561"/>
      <c r="I213" s="907"/>
      <c r="J213" s="886"/>
      <c r="K213" s="277"/>
      <c r="L213" s="372">
        <v>9</v>
      </c>
      <c r="M213" s="492" t="s">
        <v>510</v>
      </c>
      <c r="N213" s="374" t="s">
        <v>520</v>
      </c>
      <c r="O213" s="541"/>
      <c r="P213" s="639">
        <v>0.05</v>
      </c>
      <c r="Q213" s="304">
        <f t="shared" si="24"/>
        <v>97500</v>
      </c>
      <c r="R213" s="899"/>
      <c r="S213" s="610" t="s">
        <v>518</v>
      </c>
      <c r="T213" s="671">
        <v>46053</v>
      </c>
      <c r="U213" s="808">
        <v>62088.466567907948</v>
      </c>
      <c r="V213" s="889"/>
      <c r="W213" s="561">
        <f>W190</f>
        <v>46070</v>
      </c>
      <c r="X213" s="910"/>
      <c r="Y213" s="472"/>
    </row>
    <row r="214" spans="2:25" ht="15" customHeight="1">
      <c r="B214" s="372"/>
      <c r="C214" s="491"/>
      <c r="D214" s="374"/>
      <c r="E214" s="395"/>
      <c r="F214" s="431"/>
      <c r="G214" s="375"/>
      <c r="H214" s="561"/>
      <c r="I214" s="907"/>
      <c r="J214" s="886"/>
      <c r="K214" s="277"/>
      <c r="L214" s="372">
        <v>9</v>
      </c>
      <c r="M214" s="492" t="s">
        <v>510</v>
      </c>
      <c r="N214" s="374" t="s">
        <v>521</v>
      </c>
      <c r="O214" s="541"/>
      <c r="P214" s="639">
        <v>2.5000000000000001E-2</v>
      </c>
      <c r="Q214" s="304">
        <f t="shared" si="24"/>
        <v>48750</v>
      </c>
      <c r="R214" s="900"/>
      <c r="S214" s="610" t="s">
        <v>518</v>
      </c>
      <c r="T214" s="671">
        <v>46053</v>
      </c>
      <c r="U214" s="808">
        <v>31044.233283953974</v>
      </c>
      <c r="V214" s="889"/>
      <c r="W214" s="561">
        <f>W213+39</f>
        <v>46109</v>
      </c>
      <c r="X214" s="910"/>
      <c r="Y214" s="472"/>
    </row>
    <row r="215" spans="2:25" ht="15" customHeight="1">
      <c r="B215" s="372"/>
      <c r="C215" s="491"/>
      <c r="D215" s="374"/>
      <c r="E215" s="395"/>
      <c r="F215" s="431"/>
      <c r="G215" s="375"/>
      <c r="H215" s="561"/>
      <c r="I215" s="907"/>
      <c r="J215" s="886"/>
      <c r="K215" s="277"/>
      <c r="L215" s="372">
        <v>9</v>
      </c>
      <c r="M215" s="492" t="s">
        <v>510</v>
      </c>
      <c r="N215" s="374"/>
      <c r="O215" s="541"/>
      <c r="P215" s="431"/>
      <c r="Q215" s="375"/>
      <c r="R215" s="575"/>
      <c r="S215" s="610"/>
      <c r="T215" s="510"/>
      <c r="U215" s="494">
        <f>(Q215/$X$183*$J$183)</f>
        <v>0</v>
      </c>
      <c r="V215" s="889"/>
      <c r="W215" s="561"/>
      <c r="X215" s="910"/>
      <c r="Y215" s="472"/>
    </row>
    <row r="216" spans="2:25" ht="15" customHeight="1">
      <c r="B216" s="372"/>
      <c r="C216" s="491"/>
      <c r="D216" s="374"/>
      <c r="E216" s="395"/>
      <c r="F216" s="431"/>
      <c r="G216" s="375"/>
      <c r="H216" s="561"/>
      <c r="I216" s="907"/>
      <c r="J216" s="886"/>
      <c r="K216" s="277"/>
      <c r="L216" s="372">
        <v>9</v>
      </c>
      <c r="M216" s="492" t="s">
        <v>510</v>
      </c>
      <c r="N216" s="636" t="s">
        <v>532</v>
      </c>
      <c r="O216" s="541"/>
      <c r="P216" s="431"/>
      <c r="Q216" s="375"/>
      <c r="R216" s="575"/>
      <c r="S216" s="610"/>
      <c r="T216" s="510"/>
      <c r="U216" s="494">
        <f>(Q216/$X$183*$J$183)</f>
        <v>0</v>
      </c>
      <c r="V216" s="889"/>
      <c r="W216" s="561"/>
      <c r="X216" s="910"/>
      <c r="Y216" s="472"/>
    </row>
    <row r="217" spans="2:25" ht="15" customHeight="1">
      <c r="B217" s="372"/>
      <c r="C217" s="491"/>
      <c r="D217" s="374"/>
      <c r="E217" s="395"/>
      <c r="F217" s="431"/>
      <c r="G217" s="375"/>
      <c r="H217" s="561"/>
      <c r="I217" s="907"/>
      <c r="J217" s="886"/>
      <c r="K217" s="277"/>
      <c r="L217" s="372">
        <v>9</v>
      </c>
      <c r="M217" s="492" t="s">
        <v>510</v>
      </c>
      <c r="N217" s="374" t="s">
        <v>513</v>
      </c>
      <c r="O217" s="672">
        <v>2205680</v>
      </c>
      <c r="P217" s="557">
        <v>0.25</v>
      </c>
      <c r="Q217" s="375">
        <f>$O$217*P217</f>
        <v>551420</v>
      </c>
      <c r="R217" s="901" t="s">
        <v>533</v>
      </c>
      <c r="S217" s="610" t="s">
        <v>534</v>
      </c>
      <c r="T217" s="671">
        <v>45869</v>
      </c>
      <c r="U217" s="681">
        <v>351146.89471667493</v>
      </c>
      <c r="V217" s="889"/>
      <c r="W217" s="763">
        <v>45932</v>
      </c>
      <c r="X217" s="910"/>
      <c r="Y217" s="472"/>
    </row>
    <row r="218" spans="2:25" ht="15" customHeight="1">
      <c r="B218" s="372"/>
      <c r="C218" s="491"/>
      <c r="D218" s="374"/>
      <c r="E218" s="395"/>
      <c r="F218" s="431"/>
      <c r="G218" s="375"/>
      <c r="H218" s="561"/>
      <c r="I218" s="907"/>
      <c r="J218" s="886"/>
      <c r="K218" s="277"/>
      <c r="L218" s="372">
        <v>9</v>
      </c>
      <c r="M218" s="492" t="s">
        <v>510</v>
      </c>
      <c r="N218" s="374" t="s">
        <v>514</v>
      </c>
      <c r="O218" s="828">
        <f>O217/'Project Plan'!E3/100</f>
        <v>3.1153672316384182</v>
      </c>
      <c r="P218" s="557">
        <v>0.25</v>
      </c>
      <c r="Q218" s="375">
        <f t="shared" ref="Q218:Q222" si="25">$O$217*P218</f>
        <v>551420</v>
      </c>
      <c r="R218" s="899"/>
      <c r="S218" s="610" t="s">
        <v>534</v>
      </c>
      <c r="T218" s="671">
        <v>45869</v>
      </c>
      <c r="U218" s="681">
        <v>351146.89471667493</v>
      </c>
      <c r="V218" s="889"/>
      <c r="W218" s="763">
        <v>45932</v>
      </c>
      <c r="X218" s="910"/>
      <c r="Y218" s="472"/>
    </row>
    <row r="219" spans="2:25" ht="15" customHeight="1">
      <c r="B219" s="372"/>
      <c r="C219" s="491"/>
      <c r="D219" s="374"/>
      <c r="E219" s="395"/>
      <c r="F219" s="431"/>
      <c r="G219" s="375"/>
      <c r="H219" s="561"/>
      <c r="I219" s="907"/>
      <c r="J219" s="886"/>
      <c r="K219" s="277"/>
      <c r="L219" s="372">
        <v>9</v>
      </c>
      <c r="M219" s="492" t="s">
        <v>510</v>
      </c>
      <c r="N219" s="374" t="s">
        <v>535</v>
      </c>
      <c r="O219" s="541"/>
      <c r="P219" s="557">
        <v>0.2</v>
      </c>
      <c r="Q219" s="375">
        <f t="shared" si="25"/>
        <v>441136</v>
      </c>
      <c r="R219" s="899"/>
      <c r="S219" s="610" t="s">
        <v>534</v>
      </c>
      <c r="T219" s="671">
        <v>45900</v>
      </c>
      <c r="U219" s="719">
        <v>561835.03154667979</v>
      </c>
      <c r="V219" s="889"/>
      <c r="W219" s="525">
        <v>46009</v>
      </c>
      <c r="X219" s="910"/>
      <c r="Y219" s="472"/>
    </row>
    <row r="220" spans="2:25" ht="15" customHeight="1">
      <c r="B220" s="372"/>
      <c r="C220" s="491"/>
      <c r="D220" s="374"/>
      <c r="E220" s="395"/>
      <c r="F220" s="431"/>
      <c r="G220" s="375"/>
      <c r="H220" s="561"/>
      <c r="I220" s="907"/>
      <c r="J220" s="886"/>
      <c r="K220" s="277"/>
      <c r="L220" s="372">
        <v>9</v>
      </c>
      <c r="M220" s="492" t="s">
        <v>510</v>
      </c>
      <c r="N220" s="374"/>
      <c r="O220" s="541"/>
      <c r="P220" s="557">
        <v>0.1</v>
      </c>
      <c r="Q220" s="375">
        <f t="shared" si="25"/>
        <v>220568</v>
      </c>
      <c r="R220" s="899"/>
      <c r="S220" s="610" t="s">
        <v>534</v>
      </c>
      <c r="T220" s="671">
        <v>45900</v>
      </c>
      <c r="U220" s="719"/>
      <c r="V220" s="889"/>
      <c r="W220" s="525">
        <v>46015</v>
      </c>
      <c r="X220" s="910"/>
      <c r="Y220" s="472"/>
    </row>
    <row r="221" spans="2:25" ht="15" customHeight="1">
      <c r="B221" s="372"/>
      <c r="C221" s="491"/>
      <c r="D221" s="374"/>
      <c r="E221" s="395"/>
      <c r="F221" s="431"/>
      <c r="G221" s="375"/>
      <c r="H221" s="561"/>
      <c r="I221" s="907"/>
      <c r="J221" s="886"/>
      <c r="K221" s="277"/>
      <c r="L221" s="372">
        <v>9</v>
      </c>
      <c r="M221" s="492" t="s">
        <v>510</v>
      </c>
      <c r="N221" s="374"/>
      <c r="O221" s="541"/>
      <c r="P221" s="557">
        <v>0.1</v>
      </c>
      <c r="Q221" s="375">
        <f t="shared" si="25"/>
        <v>220568</v>
      </c>
      <c r="R221" s="899"/>
      <c r="S221" s="610" t="s">
        <v>534</v>
      </c>
      <c r="T221" s="671">
        <v>45900</v>
      </c>
      <c r="U221" s="719"/>
      <c r="V221" s="889"/>
      <c r="W221" s="525">
        <v>46022</v>
      </c>
      <c r="X221" s="910"/>
      <c r="Y221" s="472"/>
    </row>
    <row r="222" spans="2:25" ht="15" customHeight="1">
      <c r="B222" s="372"/>
      <c r="C222" s="491"/>
      <c r="D222" s="374"/>
      <c r="E222" s="395"/>
      <c r="F222" s="431"/>
      <c r="G222" s="375"/>
      <c r="H222" s="561"/>
      <c r="I222" s="907"/>
      <c r="J222" s="886"/>
      <c r="K222" s="277"/>
      <c r="L222" s="372">
        <v>9</v>
      </c>
      <c r="M222" s="492" t="s">
        <v>510</v>
      </c>
      <c r="N222" s="374" t="s">
        <v>521</v>
      </c>
      <c r="O222" s="541"/>
      <c r="P222" s="557">
        <v>0.1</v>
      </c>
      <c r="Q222" s="375">
        <f t="shared" si="25"/>
        <v>220568</v>
      </c>
      <c r="R222" s="900"/>
      <c r="S222" s="610" t="s">
        <v>534</v>
      </c>
      <c r="T222" s="671">
        <v>45900</v>
      </c>
      <c r="U222" s="719">
        <v>123377.38788666995</v>
      </c>
      <c r="V222" s="889"/>
      <c r="W222" s="525">
        <v>46029</v>
      </c>
      <c r="X222" s="910"/>
      <c r="Y222" s="472"/>
    </row>
    <row r="223" spans="2:25" ht="15" customHeight="1">
      <c r="B223" s="372"/>
      <c r="C223" s="491"/>
      <c r="D223" s="374"/>
      <c r="E223" s="395"/>
      <c r="F223" s="431"/>
      <c r="G223" s="375"/>
      <c r="H223" s="561"/>
      <c r="I223" s="907"/>
      <c r="J223" s="886"/>
      <c r="K223" s="277"/>
      <c r="L223" s="372">
        <v>9</v>
      </c>
      <c r="M223" s="492" t="s">
        <v>510</v>
      </c>
      <c r="N223" s="374"/>
      <c r="O223" s="541"/>
      <c r="P223" s="431"/>
      <c r="Q223" s="375"/>
      <c r="R223" s="575"/>
      <c r="S223" s="610"/>
      <c r="T223" s="510"/>
      <c r="U223" s="494">
        <f>(Q223/$X$183*$J$183)</f>
        <v>0</v>
      </c>
      <c r="V223" s="889"/>
      <c r="W223" s="561"/>
      <c r="X223" s="910"/>
      <c r="Y223" s="472"/>
    </row>
    <row r="224" spans="2:25" ht="15" customHeight="1">
      <c r="B224" s="372">
        <v>9</v>
      </c>
      <c r="C224" s="491"/>
      <c r="D224" s="374"/>
      <c r="E224" s="395"/>
      <c r="F224" s="431"/>
      <c r="G224" s="375"/>
      <c r="H224" s="561"/>
      <c r="I224" s="907"/>
      <c r="J224" s="886"/>
      <c r="K224" s="277"/>
      <c r="L224" s="372">
        <v>9</v>
      </c>
      <c r="M224" s="492" t="s">
        <v>510</v>
      </c>
      <c r="N224" s="374"/>
      <c r="O224" s="541"/>
      <c r="P224" s="431"/>
      <c r="Q224" s="375"/>
      <c r="R224" s="575"/>
      <c r="S224" s="610"/>
      <c r="T224" s="510" t="str">
        <f t="shared" si="19"/>
        <v/>
      </c>
      <c r="U224" s="494">
        <f>(Q224/$X$183*$J$183)</f>
        <v>0</v>
      </c>
      <c r="V224" s="889"/>
      <c r="W224" s="561"/>
      <c r="X224" s="910"/>
      <c r="Y224" s="472"/>
    </row>
    <row r="225" spans="1:25" ht="15" customHeight="1" thickBot="1">
      <c r="B225" s="305">
        <v>9</v>
      </c>
      <c r="C225" s="425"/>
      <c r="D225" s="318"/>
      <c r="E225" s="307"/>
      <c r="F225" s="447"/>
      <c r="G225" s="319"/>
      <c r="H225" s="562"/>
      <c r="I225" s="908"/>
      <c r="J225" s="887"/>
      <c r="K225" s="278"/>
      <c r="L225" s="305">
        <v>9</v>
      </c>
      <c r="M225" s="428" t="s">
        <v>510</v>
      </c>
      <c r="N225" s="318"/>
      <c r="O225" s="542"/>
      <c r="P225" s="447"/>
      <c r="Q225" s="319"/>
      <c r="R225" s="576"/>
      <c r="S225" s="611"/>
      <c r="T225" s="511" t="str">
        <f t="shared" si="19"/>
        <v/>
      </c>
      <c r="U225" s="495">
        <f>(Q225/$X$183*$J$183)</f>
        <v>0</v>
      </c>
      <c r="V225" s="890"/>
      <c r="W225" s="562"/>
      <c r="X225" s="911"/>
      <c r="Y225" s="472"/>
    </row>
    <row r="226" spans="1:25" ht="14.45" thickBot="1">
      <c r="A226" s="24"/>
      <c r="B226" s="279"/>
      <c r="C226" s="296"/>
      <c r="D226" s="297"/>
      <c r="E226" s="280"/>
      <c r="F226" s="443"/>
      <c r="G226" s="281"/>
      <c r="H226" s="563"/>
      <c r="I226" s="269"/>
      <c r="J226" s="391"/>
      <c r="K226" s="24"/>
      <c r="L226" s="279"/>
      <c r="M226" s="296"/>
      <c r="N226" s="297"/>
      <c r="O226" s="543"/>
      <c r="P226" s="443"/>
      <c r="Q226" s="281"/>
      <c r="R226" s="577"/>
      <c r="S226" s="612"/>
      <c r="T226" s="512" t="str">
        <f t="shared" si="19"/>
        <v/>
      </c>
      <c r="U226" s="500"/>
      <c r="V226" s="483"/>
      <c r="W226" s="563"/>
      <c r="X226" s="339"/>
      <c r="Y226" s="472"/>
    </row>
    <row r="227" spans="1:25" ht="14.25" customHeight="1">
      <c r="B227" s="258">
        <v>10</v>
      </c>
      <c r="C227" s="259" t="s">
        <v>536</v>
      </c>
      <c r="D227" s="259" t="s">
        <v>336</v>
      </c>
      <c r="E227" s="260"/>
      <c r="F227" s="457"/>
      <c r="G227" s="327">
        <f>D379</f>
        <v>85000</v>
      </c>
      <c r="H227" s="570">
        <f>H228</f>
        <v>45925</v>
      </c>
      <c r="I227" s="917">
        <f>SUM(G227:G281)</f>
        <v>394304.23333333328</v>
      </c>
      <c r="J227" s="917">
        <f>F379+F382+F383+F381</f>
        <v>463887.33333333331</v>
      </c>
      <c r="K227" s="328"/>
      <c r="L227" s="258">
        <v>10</v>
      </c>
      <c r="M227" s="421" t="s">
        <v>537</v>
      </c>
      <c r="N227" s="259"/>
      <c r="O227" s="552"/>
      <c r="P227" s="457"/>
      <c r="Q227" s="327"/>
      <c r="R227" s="586"/>
      <c r="S227" s="621"/>
      <c r="T227" s="520" t="str">
        <f t="shared" si="19"/>
        <v/>
      </c>
      <c r="U227" s="505">
        <f>(Q227/$X$227*$J$227)</f>
        <v>0</v>
      </c>
      <c r="V227" s="923">
        <f>J227-SUM(U227:U281)</f>
        <v>5.9088593116030097E-4</v>
      </c>
      <c r="W227" s="570"/>
      <c r="X227" s="920">
        <f>SUM(Q227:Q281)</f>
        <v>936113.1100000001</v>
      </c>
      <c r="Y227" s="472"/>
    </row>
    <row r="228" spans="1:25" ht="14.25" customHeight="1">
      <c r="B228" s="329">
        <v>10</v>
      </c>
      <c r="C228" s="330"/>
      <c r="D228" s="330" t="s">
        <v>339</v>
      </c>
      <c r="E228" s="331"/>
      <c r="F228" s="458"/>
      <c r="G228" s="332">
        <f>D383</f>
        <v>133245.9</v>
      </c>
      <c r="H228" s="532">
        <v>45925</v>
      </c>
      <c r="I228" s="918"/>
      <c r="J228" s="918"/>
      <c r="K228" s="261"/>
      <c r="L228" s="329">
        <v>10</v>
      </c>
      <c r="M228" s="422" t="s">
        <v>537</v>
      </c>
      <c r="N228" s="330" t="s">
        <v>538</v>
      </c>
      <c r="O228" s="744">
        <v>82020</v>
      </c>
      <c r="P228" s="743">
        <v>0.5</v>
      </c>
      <c r="Q228" s="332">
        <f>O228*P228</f>
        <v>41010</v>
      </c>
      <c r="R228" s="587" t="s">
        <v>539</v>
      </c>
      <c r="S228" s="622" t="s">
        <v>540</v>
      </c>
      <c r="T228" s="712">
        <v>45900</v>
      </c>
      <c r="U228" s="506">
        <v>0</v>
      </c>
      <c r="V228" s="924"/>
      <c r="W228" s="532">
        <v>45925</v>
      </c>
      <c r="X228" s="921"/>
      <c r="Y228" s="472"/>
    </row>
    <row r="229" spans="1:25" ht="14.25" customHeight="1">
      <c r="B229" s="329">
        <v>10</v>
      </c>
      <c r="C229" s="330"/>
      <c r="D229" s="330" t="s">
        <v>541</v>
      </c>
      <c r="E229" s="331"/>
      <c r="F229" s="458"/>
      <c r="G229" s="332">
        <f>D382</f>
        <v>0</v>
      </c>
      <c r="H229" s="571"/>
      <c r="I229" s="918"/>
      <c r="J229" s="918"/>
      <c r="K229" s="261"/>
      <c r="L229" s="329">
        <v>10</v>
      </c>
      <c r="M229" s="422" t="s">
        <v>537</v>
      </c>
      <c r="N229" s="330"/>
      <c r="O229" s="553"/>
      <c r="P229" s="458"/>
      <c r="Q229" s="332">
        <f>O228*P228</f>
        <v>41010</v>
      </c>
      <c r="R229" s="587"/>
      <c r="S229" s="622" t="s">
        <v>540</v>
      </c>
      <c r="T229" s="677">
        <v>45900</v>
      </c>
      <c r="U229" s="506">
        <v>0</v>
      </c>
      <c r="V229" s="924"/>
      <c r="W229" s="532">
        <v>45967</v>
      </c>
      <c r="X229" s="921"/>
      <c r="Y229" s="472"/>
    </row>
    <row r="230" spans="1:25" ht="14.25" customHeight="1">
      <c r="B230" s="329"/>
      <c r="C230" s="330"/>
      <c r="D230" s="330"/>
      <c r="E230" s="331"/>
      <c r="F230" s="458"/>
      <c r="G230" s="332"/>
      <c r="H230" s="571"/>
      <c r="I230" s="918"/>
      <c r="J230" s="918"/>
      <c r="K230" s="261"/>
      <c r="L230" s="329">
        <v>10</v>
      </c>
      <c r="M230" s="422" t="s">
        <v>537</v>
      </c>
      <c r="N230" s="330"/>
      <c r="O230" s="553"/>
      <c r="P230" s="458"/>
      <c r="Q230" s="332">
        <v>41010</v>
      </c>
      <c r="R230" s="587"/>
      <c r="S230" s="622" t="s">
        <v>542</v>
      </c>
      <c r="T230" s="677">
        <v>45991</v>
      </c>
      <c r="U230" s="506">
        <v>0</v>
      </c>
      <c r="V230" s="924"/>
      <c r="W230" s="532">
        <v>46037</v>
      </c>
      <c r="X230" s="921"/>
      <c r="Y230" s="472"/>
    </row>
    <row r="231" spans="1:25" ht="14.25" customHeight="1">
      <c r="B231" s="329"/>
      <c r="C231" s="330"/>
      <c r="D231" s="330"/>
      <c r="E231" s="331"/>
      <c r="F231" s="458"/>
      <c r="G231" s="332"/>
      <c r="H231" s="571"/>
      <c r="I231" s="918"/>
      <c r="J231" s="918"/>
      <c r="K231" s="261"/>
      <c r="L231" s="329">
        <v>10</v>
      </c>
      <c r="M231" s="422" t="s">
        <v>537</v>
      </c>
      <c r="N231" s="330"/>
      <c r="O231" s="553"/>
      <c r="P231" s="458"/>
      <c r="Q231" s="332">
        <v>41010</v>
      </c>
      <c r="R231" s="587"/>
      <c r="S231" s="622" t="s">
        <v>543</v>
      </c>
      <c r="T231" s="677">
        <v>46022</v>
      </c>
      <c r="U231" s="506">
        <v>0</v>
      </c>
      <c r="V231" s="924"/>
      <c r="W231" s="824">
        <v>46031</v>
      </c>
      <c r="X231" s="921"/>
      <c r="Y231" s="472"/>
    </row>
    <row r="232" spans="1:25" ht="14.25" customHeight="1">
      <c r="B232" s="329">
        <v>10</v>
      </c>
      <c r="C232" s="330"/>
      <c r="D232" s="330" t="s">
        <v>341</v>
      </c>
      <c r="E232" s="331"/>
      <c r="F232" s="458"/>
      <c r="G232" s="332">
        <f>D381</f>
        <v>176058.33333333331</v>
      </c>
      <c r="H232" s="571">
        <f>H228</f>
        <v>45925</v>
      </c>
      <c r="I232" s="918"/>
      <c r="J232" s="918"/>
      <c r="K232" s="261"/>
      <c r="L232" s="329">
        <v>10</v>
      </c>
      <c r="M232" s="422" t="s">
        <v>537</v>
      </c>
      <c r="N232" s="330" t="s">
        <v>544</v>
      </c>
      <c r="O232" s="553"/>
      <c r="P232" s="458"/>
      <c r="Q232" s="332">
        <f>41010+460</f>
        <v>41470</v>
      </c>
      <c r="R232" s="587"/>
      <c r="S232" s="622" t="s">
        <v>545</v>
      </c>
      <c r="T232" s="677">
        <v>46022</v>
      </c>
      <c r="U232" s="830">
        <v>790.55</v>
      </c>
      <c r="V232" s="924"/>
      <c r="W232" s="532">
        <v>46053</v>
      </c>
      <c r="X232" s="921"/>
      <c r="Y232" s="472"/>
    </row>
    <row r="233" spans="1:25" ht="14.25" customHeight="1">
      <c r="B233" s="329"/>
      <c r="C233" s="330"/>
      <c r="D233" s="330"/>
      <c r="E233" s="331"/>
      <c r="F233" s="458"/>
      <c r="G233" s="332"/>
      <c r="H233" s="572"/>
      <c r="I233" s="918"/>
      <c r="J233" s="918"/>
      <c r="K233" s="261"/>
      <c r="L233" s="329">
        <v>10</v>
      </c>
      <c r="M233" s="422" t="s">
        <v>537</v>
      </c>
      <c r="N233" s="330" t="s">
        <v>546</v>
      </c>
      <c r="O233" s="553"/>
      <c r="P233" s="458"/>
      <c r="Q233" s="332">
        <v>460</v>
      </c>
      <c r="R233" s="588"/>
      <c r="S233" s="622" t="s">
        <v>547</v>
      </c>
      <c r="T233" s="677">
        <v>46022</v>
      </c>
      <c r="U233" s="507">
        <v>0</v>
      </c>
      <c r="V233" s="924"/>
      <c r="W233" s="756">
        <v>46031</v>
      </c>
      <c r="X233" s="921"/>
      <c r="Y233" s="472"/>
    </row>
    <row r="234" spans="1:25" ht="14.25" customHeight="1">
      <c r="B234" s="329"/>
      <c r="C234" s="330"/>
      <c r="D234" s="330"/>
      <c r="E234" s="331"/>
      <c r="F234" s="458"/>
      <c r="G234" s="332"/>
      <c r="H234" s="572"/>
      <c r="I234" s="918"/>
      <c r="J234" s="918"/>
      <c r="K234" s="261"/>
      <c r="L234" s="329">
        <v>10</v>
      </c>
      <c r="M234" s="422" t="s">
        <v>537</v>
      </c>
      <c r="N234" s="330" t="s">
        <v>548</v>
      </c>
      <c r="O234" s="553"/>
      <c r="P234" s="458"/>
      <c r="Q234" s="332"/>
      <c r="R234" s="588"/>
      <c r="S234" s="829"/>
      <c r="T234" s="677"/>
      <c r="U234" s="507"/>
      <c r="V234" s="924"/>
      <c r="W234" s="756"/>
      <c r="X234" s="921"/>
      <c r="Y234" s="472"/>
    </row>
    <row r="235" spans="1:25" ht="14.25" customHeight="1">
      <c r="B235" s="329">
        <v>10</v>
      </c>
      <c r="C235" s="330"/>
      <c r="D235" s="330"/>
      <c r="E235" s="331"/>
      <c r="F235" s="458"/>
      <c r="G235" s="332"/>
      <c r="H235" s="533"/>
      <c r="I235" s="918"/>
      <c r="J235" s="918"/>
      <c r="K235" s="261"/>
      <c r="L235" s="329">
        <v>10</v>
      </c>
      <c r="M235" s="422" t="s">
        <v>537</v>
      </c>
      <c r="N235" s="330" t="s">
        <v>386</v>
      </c>
      <c r="O235" s="670">
        <f>AC20*0.1</f>
        <v>400000</v>
      </c>
      <c r="P235" s="559">
        <v>0.5</v>
      </c>
      <c r="Q235" s="332">
        <f>$O$235*P235</f>
        <v>200000</v>
      </c>
      <c r="R235" s="926" t="s">
        <v>387</v>
      </c>
      <c r="S235" s="623" t="s">
        <v>388</v>
      </c>
      <c r="T235" s="677">
        <v>45838</v>
      </c>
      <c r="U235" s="684">
        <v>130552.96794014869</v>
      </c>
      <c r="V235" s="924"/>
      <c r="W235" s="533">
        <v>45834</v>
      </c>
      <c r="X235" s="921"/>
      <c r="Y235" s="472"/>
    </row>
    <row r="236" spans="1:25" ht="14.25" customHeight="1">
      <c r="B236" s="329">
        <v>10</v>
      </c>
      <c r="C236" s="330"/>
      <c r="D236" s="330"/>
      <c r="E236" s="331"/>
      <c r="F236" s="458"/>
      <c r="G236" s="332"/>
      <c r="H236" s="533"/>
      <c r="I236" s="918"/>
      <c r="J236" s="918"/>
      <c r="K236" s="261"/>
      <c r="L236" s="329">
        <v>10</v>
      </c>
      <c r="M236" s="422" t="s">
        <v>537</v>
      </c>
      <c r="N236" s="330" t="s">
        <v>549</v>
      </c>
      <c r="O236" s="553"/>
      <c r="P236" s="559">
        <v>0.4</v>
      </c>
      <c r="Q236" s="332">
        <f>$O$235*P236</f>
        <v>160000</v>
      </c>
      <c r="R236" s="927"/>
      <c r="S236" s="623" t="s">
        <v>390</v>
      </c>
      <c r="T236" s="677">
        <v>45869</v>
      </c>
      <c r="U236" s="684">
        <v>105639.01698453363</v>
      </c>
      <c r="V236" s="924"/>
      <c r="W236" s="533">
        <v>45904</v>
      </c>
      <c r="X236" s="921"/>
      <c r="Y236" s="472"/>
    </row>
    <row r="237" spans="1:25" ht="14.25" customHeight="1">
      <c r="B237" s="329">
        <v>10</v>
      </c>
      <c r="C237" s="330"/>
      <c r="D237" s="330"/>
      <c r="E237" s="331"/>
      <c r="F237" s="458"/>
      <c r="G237" s="332"/>
      <c r="H237" s="572"/>
      <c r="I237" s="918"/>
      <c r="J237" s="918"/>
      <c r="K237" s="261"/>
      <c r="L237" s="329">
        <v>10</v>
      </c>
      <c r="M237" s="422" t="s">
        <v>537</v>
      </c>
      <c r="N237" s="330" t="s">
        <v>550</v>
      </c>
      <c r="O237" s="553"/>
      <c r="P237" s="559">
        <v>0.1</v>
      </c>
      <c r="Q237" s="778">
        <f>$O$235*P237</f>
        <v>40000</v>
      </c>
      <c r="R237" s="927"/>
      <c r="S237" s="623" t="s">
        <v>392</v>
      </c>
      <c r="T237" s="677">
        <v>45900</v>
      </c>
      <c r="U237" s="722">
        <v>16629.772302381578</v>
      </c>
      <c r="V237" s="924"/>
      <c r="W237" s="572">
        <f>W191</f>
        <v>46100</v>
      </c>
      <c r="X237" s="921"/>
      <c r="Y237" s="472"/>
    </row>
    <row r="238" spans="1:25" ht="14.25" customHeight="1">
      <c r="B238" s="329">
        <v>10</v>
      </c>
      <c r="C238" s="330"/>
      <c r="D238" s="330"/>
      <c r="E238" s="331"/>
      <c r="F238" s="458"/>
      <c r="G238" s="332"/>
      <c r="H238" s="572"/>
      <c r="I238" s="918"/>
      <c r="J238" s="918"/>
      <c r="K238" s="261"/>
      <c r="L238" s="329">
        <v>10</v>
      </c>
      <c r="M238" s="422" t="s">
        <v>537</v>
      </c>
      <c r="N238" s="330"/>
      <c r="O238" s="553"/>
      <c r="P238" s="559"/>
      <c r="Q238" s="332"/>
      <c r="R238" s="927"/>
      <c r="S238" s="623"/>
      <c r="T238" s="521"/>
      <c r="U238" s="507">
        <f>(Q238/$X$227*$J$227)</f>
        <v>0</v>
      </c>
      <c r="V238" s="924"/>
      <c r="W238" s="572"/>
      <c r="X238" s="921"/>
      <c r="Y238" s="472"/>
    </row>
    <row r="239" spans="1:25" ht="14.25" customHeight="1">
      <c r="B239" s="329">
        <v>10</v>
      </c>
      <c r="C239" s="330"/>
      <c r="D239" s="330"/>
      <c r="E239" s="331"/>
      <c r="F239" s="458"/>
      <c r="G239" s="332"/>
      <c r="H239" s="572"/>
      <c r="I239" s="918"/>
      <c r="J239" s="918"/>
      <c r="K239" s="261"/>
      <c r="L239" s="329">
        <v>10</v>
      </c>
      <c r="M239" s="422" t="s">
        <v>537</v>
      </c>
      <c r="N239" s="330"/>
      <c r="O239" s="553"/>
      <c r="P239" s="559"/>
      <c r="Q239" s="332"/>
      <c r="R239" s="927"/>
      <c r="S239" s="623"/>
      <c r="T239" s="521" t="str">
        <f t="shared" si="19"/>
        <v/>
      </c>
      <c r="U239" s="507">
        <f>(Q239/$X$227*$J$227)</f>
        <v>0</v>
      </c>
      <c r="V239" s="924"/>
      <c r="W239" s="572"/>
      <c r="X239" s="921"/>
      <c r="Y239" s="472"/>
    </row>
    <row r="240" spans="1:25" ht="14.25" customHeight="1">
      <c r="B240" s="329"/>
      <c r="C240" s="330"/>
      <c r="D240" s="330"/>
      <c r="E240" s="331"/>
      <c r="F240" s="458"/>
      <c r="G240" s="332"/>
      <c r="H240" s="572"/>
      <c r="I240" s="918"/>
      <c r="J240" s="918"/>
      <c r="K240" s="261"/>
      <c r="L240" s="329">
        <v>10</v>
      </c>
      <c r="M240" s="422" t="s">
        <v>537</v>
      </c>
      <c r="N240" s="330"/>
      <c r="O240" s="553"/>
      <c r="P240" s="559"/>
      <c r="Q240" s="332"/>
      <c r="R240" s="927"/>
      <c r="S240" s="623"/>
      <c r="T240" s="521"/>
      <c r="U240" s="507">
        <f>(Q240/$X$227*$J$227)</f>
        <v>0</v>
      </c>
      <c r="V240" s="924"/>
      <c r="W240" s="572"/>
      <c r="X240" s="921"/>
      <c r="Y240" s="472"/>
    </row>
    <row r="241" spans="2:25" ht="14.25" customHeight="1">
      <c r="B241" s="329"/>
      <c r="C241" s="330"/>
      <c r="D241" s="330"/>
      <c r="E241" s="331"/>
      <c r="F241" s="458"/>
      <c r="G241" s="332"/>
      <c r="H241" s="533"/>
      <c r="I241" s="918"/>
      <c r="J241" s="918"/>
      <c r="K241" s="261"/>
      <c r="L241" s="329">
        <v>10</v>
      </c>
      <c r="M241" s="422" t="s">
        <v>537</v>
      </c>
      <c r="N241" s="330" t="s">
        <v>393</v>
      </c>
      <c r="O241" s="670">
        <f>AC27*0.1</f>
        <v>250000</v>
      </c>
      <c r="P241" s="559">
        <v>0.5</v>
      </c>
      <c r="Q241" s="332">
        <f>$O$241*P241</f>
        <v>125000</v>
      </c>
      <c r="R241" s="927"/>
      <c r="S241" s="623" t="s">
        <v>388</v>
      </c>
      <c r="T241" s="677">
        <v>45838</v>
      </c>
      <c r="U241" s="684">
        <v>81595.60496259293</v>
      </c>
      <c r="V241" s="924"/>
      <c r="W241" s="533">
        <v>45834</v>
      </c>
      <c r="X241" s="921"/>
      <c r="Y241" s="472"/>
    </row>
    <row r="242" spans="2:25" ht="14.25" customHeight="1">
      <c r="B242" s="329"/>
      <c r="C242" s="330"/>
      <c r="D242" s="330"/>
      <c r="E242" s="331"/>
      <c r="F242" s="458"/>
      <c r="G242" s="332"/>
      <c r="H242" s="533"/>
      <c r="I242" s="918"/>
      <c r="J242" s="918"/>
      <c r="K242" s="261"/>
      <c r="L242" s="329">
        <v>10</v>
      </c>
      <c r="M242" s="422" t="s">
        <v>537</v>
      </c>
      <c r="N242" s="330" t="s">
        <v>551</v>
      </c>
      <c r="O242" s="553"/>
      <c r="P242" s="559">
        <v>0.4</v>
      </c>
      <c r="Q242" s="332">
        <f t="shared" ref="Q242:Q243" si="26">$O$241*P242</f>
        <v>100000</v>
      </c>
      <c r="R242" s="927"/>
      <c r="S242" s="623" t="s">
        <v>390</v>
      </c>
      <c r="T242" s="677">
        <v>45869</v>
      </c>
      <c r="U242" s="684">
        <v>68657.965615333524</v>
      </c>
      <c r="V242" s="924"/>
      <c r="W242" s="533">
        <f>W236</f>
        <v>45904</v>
      </c>
      <c r="X242" s="921"/>
      <c r="Y242" s="472"/>
    </row>
    <row r="243" spans="2:25" ht="14.25" customHeight="1">
      <c r="B243" s="329"/>
      <c r="C243" s="330"/>
      <c r="D243" s="330"/>
      <c r="E243" s="331"/>
      <c r="F243" s="458"/>
      <c r="G243" s="332"/>
      <c r="H243" s="521"/>
      <c r="I243" s="918"/>
      <c r="J243" s="918"/>
      <c r="K243" s="261"/>
      <c r="L243" s="329">
        <v>10</v>
      </c>
      <c r="M243" s="422" t="s">
        <v>537</v>
      </c>
      <c r="N243" s="330" t="s">
        <v>552</v>
      </c>
      <c r="O243" s="553"/>
      <c r="P243" s="559">
        <v>0.1</v>
      </c>
      <c r="Q243" s="332">
        <f t="shared" si="26"/>
        <v>25000</v>
      </c>
      <c r="R243" s="928"/>
      <c r="S243" s="623" t="s">
        <v>392</v>
      </c>
      <c r="T243" s="677">
        <v>45900</v>
      </c>
      <c r="U243" s="722">
        <v>22162.210188988483</v>
      </c>
      <c r="V243" s="924"/>
      <c r="W243" s="521">
        <f>W191</f>
        <v>46100</v>
      </c>
      <c r="X243" s="921"/>
      <c r="Y243" s="472"/>
    </row>
    <row r="244" spans="2:25" ht="14.25" customHeight="1">
      <c r="B244" s="329"/>
      <c r="C244" s="330"/>
      <c r="D244" s="330"/>
      <c r="E244" s="331"/>
      <c r="F244" s="458"/>
      <c r="G244" s="332"/>
      <c r="H244" s="572"/>
      <c r="I244" s="918"/>
      <c r="J244" s="918"/>
      <c r="K244" s="261"/>
      <c r="L244" s="329">
        <v>10</v>
      </c>
      <c r="M244" s="422" t="s">
        <v>537</v>
      </c>
      <c r="N244" s="330"/>
      <c r="O244" s="553"/>
      <c r="P244" s="559"/>
      <c r="Q244" s="332"/>
      <c r="R244" s="588"/>
      <c r="S244" s="623"/>
      <c r="T244" s="521"/>
      <c r="U244" s="507">
        <f>(Q244/$X$227*$J$227)</f>
        <v>0</v>
      </c>
      <c r="V244" s="924"/>
      <c r="W244" s="572"/>
      <c r="X244" s="921"/>
      <c r="Y244" s="472"/>
    </row>
    <row r="245" spans="2:25" ht="14.25" customHeight="1">
      <c r="B245" s="329">
        <v>10</v>
      </c>
      <c r="C245" s="330"/>
      <c r="D245" s="330"/>
      <c r="E245" s="331"/>
      <c r="F245" s="458"/>
      <c r="G245" s="332"/>
      <c r="H245" s="533"/>
      <c r="I245" s="918"/>
      <c r="J245" s="918"/>
      <c r="K245" s="261"/>
      <c r="L245" s="329">
        <v>10</v>
      </c>
      <c r="M245" s="422" t="s">
        <v>537</v>
      </c>
      <c r="N245" s="330" t="s">
        <v>553</v>
      </c>
      <c r="O245" s="553"/>
      <c r="P245" s="559"/>
      <c r="Q245" s="332">
        <v>10400</v>
      </c>
      <c r="R245" s="588"/>
      <c r="S245" s="623" t="s">
        <v>554</v>
      </c>
      <c r="T245" s="677">
        <v>45838</v>
      </c>
      <c r="U245" s="684">
        <v>6788.7543328877318</v>
      </c>
      <c r="V245" s="924"/>
      <c r="W245" s="533">
        <v>45835</v>
      </c>
      <c r="X245" s="921"/>
      <c r="Y245" s="472"/>
    </row>
    <row r="246" spans="2:25" ht="14.25" customHeight="1">
      <c r="B246" s="329">
        <v>10</v>
      </c>
      <c r="C246" s="330"/>
      <c r="D246" s="330"/>
      <c r="E246" s="331"/>
      <c r="F246" s="458"/>
      <c r="G246" s="332"/>
      <c r="H246" s="533"/>
      <c r="I246" s="918"/>
      <c r="J246" s="918"/>
      <c r="K246" s="261"/>
      <c r="L246" s="329">
        <v>10</v>
      </c>
      <c r="M246" s="422" t="s">
        <v>537</v>
      </c>
      <c r="N246" s="330" t="s">
        <v>555</v>
      </c>
      <c r="O246" s="553"/>
      <c r="P246" s="559"/>
      <c r="Q246" s="332">
        <v>10400</v>
      </c>
      <c r="R246" s="588"/>
      <c r="S246" s="623" t="s">
        <v>556</v>
      </c>
      <c r="T246" s="677">
        <v>45869</v>
      </c>
      <c r="U246" s="684">
        <v>6743.2861039946856</v>
      </c>
      <c r="V246" s="924"/>
      <c r="W246" s="533">
        <v>45845</v>
      </c>
      <c r="X246" s="921"/>
      <c r="Y246" s="472"/>
    </row>
    <row r="247" spans="2:25" ht="14.25" customHeight="1">
      <c r="B247" s="329">
        <v>10</v>
      </c>
      <c r="C247" s="330"/>
      <c r="D247" s="330"/>
      <c r="E247" s="331"/>
      <c r="F247" s="458"/>
      <c r="G247" s="332"/>
      <c r="H247" s="572"/>
      <c r="I247" s="918"/>
      <c r="J247" s="918"/>
      <c r="K247" s="261"/>
      <c r="L247" s="329">
        <v>10</v>
      </c>
      <c r="M247" s="422" t="s">
        <v>537</v>
      </c>
      <c r="N247" s="330" t="s">
        <v>557</v>
      </c>
      <c r="O247" s="553"/>
      <c r="P247" s="559"/>
      <c r="Q247" s="332">
        <v>1550</v>
      </c>
      <c r="R247" s="588"/>
      <c r="S247" s="623" t="s">
        <v>558</v>
      </c>
      <c r="T247" s="677">
        <v>45869</v>
      </c>
      <c r="U247" s="684">
        <v>1023.3779770376696</v>
      </c>
      <c r="V247" s="924"/>
      <c r="W247" s="756">
        <v>45901</v>
      </c>
      <c r="X247" s="921"/>
      <c r="Y247" s="472"/>
    </row>
    <row r="248" spans="2:25" ht="14.25" customHeight="1">
      <c r="B248" s="329"/>
      <c r="C248" s="330"/>
      <c r="D248" s="330"/>
      <c r="E248" s="331"/>
      <c r="F248" s="458"/>
      <c r="G248" s="332"/>
      <c r="H248" s="533"/>
      <c r="I248" s="918"/>
      <c r="J248" s="918"/>
      <c r="K248" s="261"/>
      <c r="L248" s="329">
        <v>10</v>
      </c>
      <c r="M248" s="422" t="s">
        <v>537</v>
      </c>
      <c r="N248" s="330" t="s">
        <v>557</v>
      </c>
      <c r="O248" s="553"/>
      <c r="P248" s="559"/>
      <c r="Q248" s="332">
        <v>11850</v>
      </c>
      <c r="R248" s="588"/>
      <c r="S248" s="623" t="s">
        <v>559</v>
      </c>
      <c r="T248" s="677">
        <v>45900</v>
      </c>
      <c r="U248" s="722">
        <v>6908.749169580542</v>
      </c>
      <c r="V248" s="924"/>
      <c r="W248" s="533">
        <v>45890</v>
      </c>
      <c r="X248" s="921"/>
      <c r="Y248" s="472"/>
    </row>
    <row r="249" spans="2:25" ht="14.25" customHeight="1">
      <c r="B249" s="329">
        <v>10</v>
      </c>
      <c r="C249" s="330"/>
      <c r="D249" s="330"/>
      <c r="E249" s="331"/>
      <c r="F249" s="458"/>
      <c r="G249" s="332"/>
      <c r="H249" s="572"/>
      <c r="I249" s="918"/>
      <c r="J249" s="918"/>
      <c r="K249" s="261"/>
      <c r="L249" s="329">
        <v>10</v>
      </c>
      <c r="M249" s="422" t="s">
        <v>537</v>
      </c>
      <c r="N249" s="330" t="s">
        <v>560</v>
      </c>
      <c r="O249" s="553"/>
      <c r="P249" s="458"/>
      <c r="Q249" s="332">
        <v>1500</v>
      </c>
      <c r="R249" s="588"/>
      <c r="S249" s="623" t="s">
        <v>561</v>
      </c>
      <c r="T249" s="677">
        <v>45900</v>
      </c>
      <c r="U249" s="722">
        <v>874.52521133930907</v>
      </c>
      <c r="V249" s="924"/>
      <c r="W249" s="756">
        <v>45930</v>
      </c>
      <c r="X249" s="921"/>
      <c r="Y249" s="472"/>
    </row>
    <row r="250" spans="2:25" ht="14.25" customHeight="1">
      <c r="B250" s="329"/>
      <c r="C250" s="330"/>
      <c r="D250" s="330"/>
      <c r="E250" s="331"/>
      <c r="F250" s="458"/>
      <c r="G250" s="332"/>
      <c r="H250" s="572"/>
      <c r="I250" s="918"/>
      <c r="J250" s="918"/>
      <c r="K250" s="261"/>
      <c r="L250" s="329">
        <v>10</v>
      </c>
      <c r="M250" s="422" t="s">
        <v>537</v>
      </c>
      <c r="N250" s="330" t="s">
        <v>562</v>
      </c>
      <c r="O250" s="553"/>
      <c r="P250" s="458"/>
      <c r="Q250" s="332">
        <v>1500</v>
      </c>
      <c r="R250" s="588"/>
      <c r="S250" s="623" t="s">
        <v>563</v>
      </c>
      <c r="T250" s="677">
        <v>45900</v>
      </c>
      <c r="U250" s="722">
        <v>874.52521133930907</v>
      </c>
      <c r="V250" s="924"/>
      <c r="W250" s="756">
        <v>45930</v>
      </c>
      <c r="X250" s="921"/>
      <c r="Y250" s="472"/>
    </row>
    <row r="251" spans="2:25" ht="14.25" customHeight="1">
      <c r="B251" s="329"/>
      <c r="C251" s="330"/>
      <c r="D251" s="330"/>
      <c r="E251" s="331"/>
      <c r="F251" s="458"/>
      <c r="G251" s="332"/>
      <c r="H251" s="533"/>
      <c r="I251" s="918"/>
      <c r="J251" s="918"/>
      <c r="K251" s="261"/>
      <c r="L251" s="329">
        <v>10</v>
      </c>
      <c r="M251" s="422" t="s">
        <v>537</v>
      </c>
      <c r="N251" s="330" t="s">
        <v>564</v>
      </c>
      <c r="O251" s="553"/>
      <c r="P251" s="458"/>
      <c r="Q251" s="332">
        <v>250</v>
      </c>
      <c r="R251" s="588"/>
      <c r="S251" s="623" t="s">
        <v>565</v>
      </c>
      <c r="T251" s="677">
        <v>45838</v>
      </c>
      <c r="U251" s="684">
        <v>163.19120992518586</v>
      </c>
      <c r="V251" s="924"/>
      <c r="W251" s="533">
        <v>45876</v>
      </c>
      <c r="X251" s="921"/>
      <c r="Y251" s="472"/>
    </row>
    <row r="252" spans="2:25" ht="14.25" customHeight="1">
      <c r="B252" s="329"/>
      <c r="C252" s="330"/>
      <c r="D252" s="330"/>
      <c r="E252" s="331"/>
      <c r="F252" s="458"/>
      <c r="G252" s="332"/>
      <c r="H252" s="572"/>
      <c r="I252" s="918"/>
      <c r="J252" s="918"/>
      <c r="K252" s="261"/>
      <c r="L252" s="329">
        <v>10</v>
      </c>
      <c r="M252" s="422" t="s">
        <v>537</v>
      </c>
      <c r="N252" s="330" t="s">
        <v>564</v>
      </c>
      <c r="O252" s="553"/>
      <c r="P252" s="458"/>
      <c r="Q252" s="332">
        <v>2635</v>
      </c>
      <c r="R252" s="588"/>
      <c r="S252" s="623" t="s">
        <v>566</v>
      </c>
      <c r="T252" s="677">
        <v>45930</v>
      </c>
      <c r="U252" s="684">
        <v>0</v>
      </c>
      <c r="V252" s="924"/>
      <c r="W252" s="756">
        <v>45930</v>
      </c>
      <c r="X252" s="921"/>
      <c r="Y252" s="472"/>
    </row>
    <row r="253" spans="2:25" ht="14.25" customHeight="1">
      <c r="B253" s="329"/>
      <c r="C253" s="330"/>
      <c r="D253" s="330"/>
      <c r="E253" s="331"/>
      <c r="F253" s="458"/>
      <c r="G253" s="332"/>
      <c r="H253" s="572"/>
      <c r="I253" s="918"/>
      <c r="J253" s="918"/>
      <c r="K253" s="261"/>
      <c r="L253" s="329">
        <v>10</v>
      </c>
      <c r="M253" s="422" t="s">
        <v>537</v>
      </c>
      <c r="N253" s="330" t="s">
        <v>564</v>
      </c>
      <c r="O253" s="553"/>
      <c r="P253" s="458"/>
      <c r="Q253" s="332">
        <v>1550</v>
      </c>
      <c r="R253" s="588"/>
      <c r="S253" s="623" t="s">
        <v>567</v>
      </c>
      <c r="T253" s="677">
        <v>45930</v>
      </c>
      <c r="U253" s="684">
        <v>0</v>
      </c>
      <c r="V253" s="924"/>
      <c r="W253" s="756">
        <v>45930</v>
      </c>
      <c r="X253" s="921"/>
      <c r="Y253" s="472"/>
    </row>
    <row r="254" spans="2:25" ht="14.25" customHeight="1">
      <c r="B254" s="329"/>
      <c r="C254" s="330"/>
      <c r="D254" s="330"/>
      <c r="E254" s="331"/>
      <c r="F254" s="458"/>
      <c r="G254" s="332"/>
      <c r="H254" s="572"/>
      <c r="I254" s="918"/>
      <c r="J254" s="918"/>
      <c r="K254" s="261"/>
      <c r="L254" s="329">
        <v>10</v>
      </c>
      <c r="M254" s="422" t="s">
        <v>537</v>
      </c>
      <c r="N254" s="330" t="s">
        <v>564</v>
      </c>
      <c r="O254" s="553"/>
      <c r="P254" s="458"/>
      <c r="Q254" s="332">
        <v>1550</v>
      </c>
      <c r="R254" s="588"/>
      <c r="S254" s="623" t="s">
        <v>568</v>
      </c>
      <c r="T254" s="677">
        <v>45930</v>
      </c>
      <c r="U254" s="684">
        <v>0</v>
      </c>
      <c r="V254" s="924"/>
      <c r="W254" s="756">
        <v>45930</v>
      </c>
      <c r="X254" s="921"/>
      <c r="Y254" s="472"/>
    </row>
    <row r="255" spans="2:25" ht="14.25" customHeight="1">
      <c r="B255" s="329"/>
      <c r="C255" s="330"/>
      <c r="D255" s="330"/>
      <c r="E255" s="331"/>
      <c r="F255" s="458"/>
      <c r="G255" s="332"/>
      <c r="H255" s="572"/>
      <c r="I255" s="918"/>
      <c r="J255" s="918"/>
      <c r="K255" s="261"/>
      <c r="L255" s="329">
        <v>10</v>
      </c>
      <c r="M255" s="422" t="s">
        <v>537</v>
      </c>
      <c r="N255" s="330" t="s">
        <v>569</v>
      </c>
      <c r="O255" s="553"/>
      <c r="P255" s="458"/>
      <c r="Q255" s="332">
        <v>595</v>
      </c>
      <c r="R255" s="588"/>
      <c r="S255" s="623" t="s">
        <v>570</v>
      </c>
      <c r="T255" s="677">
        <v>45900</v>
      </c>
      <c r="U255" s="684">
        <v>346.89500049792593</v>
      </c>
      <c r="V255" s="924"/>
      <c r="W255" s="533">
        <v>45901</v>
      </c>
      <c r="X255" s="921"/>
      <c r="Y255" s="472"/>
    </row>
    <row r="256" spans="2:25" ht="14.25" customHeight="1">
      <c r="B256" s="329"/>
      <c r="C256" s="330"/>
      <c r="D256" s="330"/>
      <c r="E256" s="331"/>
      <c r="F256" s="458"/>
      <c r="G256" s="332"/>
      <c r="H256" s="572"/>
      <c r="I256" s="918"/>
      <c r="J256" s="918"/>
      <c r="K256" s="261"/>
      <c r="L256" s="329">
        <v>10</v>
      </c>
      <c r="M256" s="422" t="s">
        <v>537</v>
      </c>
      <c r="N256" s="330" t="s">
        <v>569</v>
      </c>
      <c r="O256" s="553"/>
      <c r="P256" s="458"/>
      <c r="Q256" s="332">
        <v>1250</v>
      </c>
      <c r="R256" s="588"/>
      <c r="S256" s="623" t="s">
        <v>571</v>
      </c>
      <c r="T256" s="677">
        <v>45900</v>
      </c>
      <c r="U256" s="684">
        <v>728.77100944942424</v>
      </c>
      <c r="V256" s="924"/>
      <c r="W256" s="533">
        <v>45901</v>
      </c>
      <c r="X256" s="921"/>
      <c r="Y256" s="472"/>
    </row>
    <row r="257" spans="2:25" ht="14.25" customHeight="1">
      <c r="B257" s="329"/>
      <c r="C257" s="330"/>
      <c r="D257" s="330"/>
      <c r="E257" s="331"/>
      <c r="F257" s="458"/>
      <c r="G257" s="332"/>
      <c r="H257" s="572"/>
      <c r="I257" s="918"/>
      <c r="J257" s="918"/>
      <c r="K257" s="261"/>
      <c r="L257" s="329">
        <v>10</v>
      </c>
      <c r="M257" s="422" t="s">
        <v>537</v>
      </c>
      <c r="N257" s="330" t="s">
        <v>572</v>
      </c>
      <c r="O257" s="553"/>
      <c r="P257" s="458"/>
      <c r="Q257" s="332">
        <v>1500</v>
      </c>
      <c r="R257" s="588"/>
      <c r="S257" s="623" t="s">
        <v>573</v>
      </c>
      <c r="T257" s="755">
        <v>45961</v>
      </c>
      <c r="U257" s="759">
        <v>865.42161616940507</v>
      </c>
      <c r="V257" s="924"/>
      <c r="W257" s="533">
        <v>45974</v>
      </c>
      <c r="X257" s="921"/>
      <c r="Y257" s="472"/>
    </row>
    <row r="258" spans="2:25" ht="14.25" customHeight="1">
      <c r="B258" s="329"/>
      <c r="C258" s="330"/>
      <c r="D258" s="330"/>
      <c r="E258" s="331"/>
      <c r="F258" s="458"/>
      <c r="G258" s="332"/>
      <c r="H258" s="572"/>
      <c r="I258" s="918"/>
      <c r="J258" s="918"/>
      <c r="K258" s="261"/>
      <c r="L258" s="329">
        <v>10</v>
      </c>
      <c r="M258" s="422" t="s">
        <v>537</v>
      </c>
      <c r="N258" s="330" t="s">
        <v>572</v>
      </c>
      <c r="O258" s="553"/>
      <c r="P258" s="458"/>
      <c r="Q258" s="332">
        <v>1500</v>
      </c>
      <c r="R258" s="588"/>
      <c r="S258" s="623" t="s">
        <v>574</v>
      </c>
      <c r="T258" s="755">
        <v>45961</v>
      </c>
      <c r="U258" s="759">
        <v>865.42161616940507</v>
      </c>
      <c r="V258" s="924"/>
      <c r="W258" s="533">
        <v>45974</v>
      </c>
      <c r="X258" s="921"/>
      <c r="Y258" s="472"/>
    </row>
    <row r="259" spans="2:25" ht="14.25" customHeight="1">
      <c r="B259" s="329"/>
      <c r="C259" s="330"/>
      <c r="D259" s="330"/>
      <c r="E259" s="331"/>
      <c r="F259" s="458"/>
      <c r="G259" s="332"/>
      <c r="H259" s="572"/>
      <c r="I259" s="918"/>
      <c r="J259" s="918"/>
      <c r="K259" s="261"/>
      <c r="L259" s="329">
        <v>10</v>
      </c>
      <c r="M259" s="422" t="s">
        <v>537</v>
      </c>
      <c r="N259" s="330" t="s">
        <v>572</v>
      </c>
      <c r="O259" s="553"/>
      <c r="P259" s="458"/>
      <c r="Q259" s="332">
        <v>2550</v>
      </c>
      <c r="R259" s="588"/>
      <c r="S259" s="623" t="s">
        <v>575</v>
      </c>
      <c r="T259" s="755">
        <v>45961</v>
      </c>
      <c r="U259" s="759">
        <v>1471.2167474879886</v>
      </c>
      <c r="V259" s="924"/>
      <c r="W259" s="533">
        <v>45974</v>
      </c>
      <c r="X259" s="921"/>
      <c r="Y259" s="472"/>
    </row>
    <row r="260" spans="2:25" ht="14.25" customHeight="1">
      <c r="B260" s="329"/>
      <c r="C260" s="330"/>
      <c r="D260" s="330"/>
      <c r="E260" s="331"/>
      <c r="F260" s="458"/>
      <c r="G260" s="332"/>
      <c r="H260" s="572"/>
      <c r="I260" s="918"/>
      <c r="J260" s="918"/>
      <c r="K260" s="261"/>
      <c r="L260" s="329">
        <v>10</v>
      </c>
      <c r="M260" s="422" t="s">
        <v>537</v>
      </c>
      <c r="N260" s="330" t="s">
        <v>576</v>
      </c>
      <c r="O260" s="553"/>
      <c r="P260" s="458"/>
      <c r="Q260" s="332">
        <v>1550</v>
      </c>
      <c r="R260" s="785"/>
      <c r="S260" s="623" t="s">
        <v>577</v>
      </c>
      <c r="T260" s="677">
        <v>45991</v>
      </c>
      <c r="U260" s="759">
        <v>1770.4386486937569</v>
      </c>
      <c r="V260" s="924"/>
      <c r="W260" s="533">
        <v>45995</v>
      </c>
      <c r="X260" s="921"/>
      <c r="Y260" s="472"/>
    </row>
    <row r="261" spans="2:25" ht="14.25" customHeight="1">
      <c r="B261" s="329"/>
      <c r="C261" s="330"/>
      <c r="D261" s="330"/>
      <c r="E261" s="331"/>
      <c r="F261" s="458"/>
      <c r="G261" s="332"/>
      <c r="H261" s="572"/>
      <c r="I261" s="918"/>
      <c r="J261" s="918"/>
      <c r="K261" s="261"/>
      <c r="L261" s="329">
        <v>10</v>
      </c>
      <c r="M261" s="422" t="s">
        <v>537</v>
      </c>
      <c r="N261" s="330" t="s">
        <v>578</v>
      </c>
      <c r="O261" s="553"/>
      <c r="P261" s="458"/>
      <c r="Q261" s="332">
        <v>1550</v>
      </c>
      <c r="R261" s="588"/>
      <c r="S261" s="623" t="s">
        <v>579</v>
      </c>
      <c r="T261" s="677">
        <v>45991</v>
      </c>
      <c r="U261" s="759">
        <v>1770.4386486937569</v>
      </c>
      <c r="V261" s="924"/>
      <c r="W261" s="533">
        <v>45995</v>
      </c>
      <c r="X261" s="921"/>
      <c r="Y261" s="472"/>
    </row>
    <row r="262" spans="2:25" ht="14.25" customHeight="1">
      <c r="B262" s="329"/>
      <c r="C262" s="330"/>
      <c r="D262" s="330"/>
      <c r="E262" s="331"/>
      <c r="F262" s="458"/>
      <c r="G262" s="332"/>
      <c r="H262" s="572"/>
      <c r="I262" s="918"/>
      <c r="J262" s="918"/>
      <c r="K262" s="261"/>
      <c r="L262" s="329">
        <v>10</v>
      </c>
      <c r="M262" s="422" t="s">
        <v>537</v>
      </c>
      <c r="N262" s="330" t="s">
        <v>580</v>
      </c>
      <c r="O262" s="553"/>
      <c r="P262" s="458"/>
      <c r="Q262" s="332">
        <v>2635</v>
      </c>
      <c r="R262" s="588"/>
      <c r="S262" s="623" t="s">
        <v>581</v>
      </c>
      <c r="T262" s="677">
        <v>45991</v>
      </c>
      <c r="U262" s="759">
        <v>988.11070277938666</v>
      </c>
      <c r="V262" s="924"/>
      <c r="W262" s="533">
        <v>45995</v>
      </c>
      <c r="X262" s="921"/>
      <c r="Y262" s="472"/>
    </row>
    <row r="263" spans="2:25" ht="14.25" customHeight="1">
      <c r="B263" s="329"/>
      <c r="C263" s="330"/>
      <c r="D263" s="330"/>
      <c r="E263" s="331"/>
      <c r="F263" s="458"/>
      <c r="G263" s="332"/>
      <c r="H263" s="572"/>
      <c r="I263" s="918"/>
      <c r="J263" s="918"/>
      <c r="K263" s="261"/>
      <c r="L263" s="329">
        <v>10</v>
      </c>
      <c r="M263" s="422" t="s">
        <v>537</v>
      </c>
      <c r="N263" s="330" t="s">
        <v>582</v>
      </c>
      <c r="O263" s="553"/>
      <c r="P263" s="458"/>
      <c r="Q263" s="332">
        <v>1550</v>
      </c>
      <c r="R263" s="588"/>
      <c r="S263" s="623" t="s">
        <v>583</v>
      </c>
      <c r="T263" s="677">
        <v>46022</v>
      </c>
      <c r="U263" s="759">
        <v>0</v>
      </c>
      <c r="V263" s="924"/>
      <c r="W263" s="756">
        <v>46031</v>
      </c>
      <c r="X263" s="921"/>
      <c r="Y263" s="472"/>
    </row>
    <row r="264" spans="2:25" ht="14.25" customHeight="1">
      <c r="B264" s="329"/>
      <c r="C264" s="330"/>
      <c r="D264" s="330"/>
      <c r="E264" s="331"/>
      <c r="F264" s="458"/>
      <c r="G264" s="332"/>
      <c r="H264" s="572"/>
      <c r="I264" s="918"/>
      <c r="J264" s="918"/>
      <c r="K264" s="261"/>
      <c r="L264" s="329">
        <v>10</v>
      </c>
      <c r="M264" s="422" t="s">
        <v>537</v>
      </c>
      <c r="N264" s="330" t="s">
        <v>584</v>
      </c>
      <c r="O264" s="553"/>
      <c r="P264" s="458"/>
      <c r="Q264" s="332">
        <v>1550</v>
      </c>
      <c r="R264" s="588"/>
      <c r="S264" s="623" t="s">
        <v>585</v>
      </c>
      <c r="T264" s="677">
        <v>46022</v>
      </c>
      <c r="U264" s="759">
        <v>0</v>
      </c>
      <c r="V264" s="924"/>
      <c r="W264" s="756">
        <v>46031</v>
      </c>
      <c r="X264" s="921"/>
      <c r="Y264" s="472"/>
    </row>
    <row r="265" spans="2:25" ht="14.25" customHeight="1">
      <c r="B265" s="329"/>
      <c r="C265" s="330"/>
      <c r="D265" s="330"/>
      <c r="E265" s="331"/>
      <c r="F265" s="458"/>
      <c r="G265" s="332"/>
      <c r="H265" s="572"/>
      <c r="I265" s="918"/>
      <c r="J265" s="918"/>
      <c r="K265" s="261"/>
      <c r="L265" s="329">
        <v>10</v>
      </c>
      <c r="M265" s="422" t="s">
        <v>537</v>
      </c>
      <c r="N265" s="330" t="s">
        <v>586</v>
      </c>
      <c r="O265" s="553"/>
      <c r="P265" s="458"/>
      <c r="Q265" s="332">
        <v>2635</v>
      </c>
      <c r="R265" s="588"/>
      <c r="S265" s="623" t="s">
        <v>587</v>
      </c>
      <c r="T265" s="677">
        <v>46022</v>
      </c>
      <c r="U265" s="759">
        <v>0</v>
      </c>
      <c r="V265" s="924"/>
      <c r="W265" s="756">
        <v>46031</v>
      </c>
      <c r="X265" s="921"/>
      <c r="Y265" s="472"/>
    </row>
    <row r="266" spans="2:25" ht="14.25" customHeight="1">
      <c r="B266" s="329"/>
      <c r="C266" s="330"/>
      <c r="D266" s="330"/>
      <c r="E266" s="331"/>
      <c r="F266" s="458"/>
      <c r="G266" s="332"/>
      <c r="H266" s="572"/>
      <c r="I266" s="918"/>
      <c r="J266" s="918"/>
      <c r="K266" s="261"/>
      <c r="L266" s="329">
        <v>10</v>
      </c>
      <c r="M266" s="422" t="s">
        <v>537</v>
      </c>
      <c r="N266" s="330" t="s">
        <v>588</v>
      </c>
      <c r="O266" s="553"/>
      <c r="P266" s="458"/>
      <c r="Q266" s="332">
        <v>1400</v>
      </c>
      <c r="R266" s="588"/>
      <c r="S266" s="623" t="s">
        <v>589</v>
      </c>
      <c r="T266" s="677">
        <v>46053</v>
      </c>
      <c r="U266" s="759">
        <v>0</v>
      </c>
      <c r="V266" s="924"/>
      <c r="W266" s="533">
        <v>46058</v>
      </c>
      <c r="X266" s="921"/>
      <c r="Y266" s="472"/>
    </row>
    <row r="267" spans="2:25" ht="14.25" customHeight="1">
      <c r="B267" s="329"/>
      <c r="C267" s="330"/>
      <c r="D267" s="330"/>
      <c r="E267" s="331"/>
      <c r="F267" s="458"/>
      <c r="G267" s="332"/>
      <c r="H267" s="572"/>
      <c r="I267" s="918"/>
      <c r="J267" s="918"/>
      <c r="K267" s="261"/>
      <c r="L267" s="329">
        <v>10</v>
      </c>
      <c r="M267" s="422" t="s">
        <v>537</v>
      </c>
      <c r="N267" s="330" t="s">
        <v>588</v>
      </c>
      <c r="O267" s="553"/>
      <c r="P267" s="458"/>
      <c r="Q267" s="332">
        <v>1400</v>
      </c>
      <c r="R267" s="588"/>
      <c r="S267" s="623" t="s">
        <v>590</v>
      </c>
      <c r="T267" s="677">
        <v>46053</v>
      </c>
      <c r="U267" s="759">
        <v>0</v>
      </c>
      <c r="V267" s="924"/>
      <c r="W267" s="533">
        <v>46058</v>
      </c>
      <c r="X267" s="921"/>
      <c r="Y267" s="472"/>
    </row>
    <row r="268" spans="2:25" ht="14.25" customHeight="1">
      <c r="B268" s="329"/>
      <c r="C268" s="330"/>
      <c r="D268" s="330"/>
      <c r="E268" s="331"/>
      <c r="F268" s="458"/>
      <c r="G268" s="332"/>
      <c r="H268" s="572"/>
      <c r="I268" s="918"/>
      <c r="J268" s="918"/>
      <c r="K268" s="261"/>
      <c r="L268" s="329">
        <v>10</v>
      </c>
      <c r="M268" s="422" t="s">
        <v>537</v>
      </c>
      <c r="N268" s="330" t="s">
        <v>588</v>
      </c>
      <c r="O268" s="553"/>
      <c r="P268" s="458"/>
      <c r="Q268" s="332">
        <v>2380</v>
      </c>
      <c r="R268" s="588"/>
      <c r="S268" s="623" t="s">
        <v>591</v>
      </c>
      <c r="T268" s="677">
        <v>46053</v>
      </c>
      <c r="U268" s="759">
        <v>0</v>
      </c>
      <c r="V268" s="924"/>
      <c r="W268" s="533">
        <v>46058</v>
      </c>
      <c r="X268" s="921"/>
      <c r="Y268" s="472"/>
    </row>
    <row r="269" spans="2:25" ht="14.25" customHeight="1">
      <c r="B269" s="329"/>
      <c r="C269" s="330"/>
      <c r="D269" s="330"/>
      <c r="E269" s="331"/>
      <c r="F269" s="458"/>
      <c r="G269" s="332"/>
      <c r="H269" s="572"/>
      <c r="I269" s="918"/>
      <c r="J269" s="918"/>
      <c r="K269" s="261"/>
      <c r="L269" s="329">
        <v>10</v>
      </c>
      <c r="M269" s="422" t="s">
        <v>537</v>
      </c>
      <c r="N269" s="330"/>
      <c r="O269" s="553"/>
      <c r="P269" s="458"/>
      <c r="Q269" s="332"/>
      <c r="R269" s="588"/>
      <c r="S269" s="623"/>
      <c r="T269" s="755"/>
      <c r="U269" s="507"/>
      <c r="V269" s="924"/>
      <c r="W269" s="572"/>
      <c r="X269" s="921"/>
      <c r="Y269" s="472"/>
    </row>
    <row r="270" spans="2:25" ht="14.25" customHeight="1">
      <c r="B270" s="329"/>
      <c r="C270" s="330"/>
      <c r="D270" s="330"/>
      <c r="E270" s="331"/>
      <c r="F270" s="458"/>
      <c r="G270" s="332"/>
      <c r="H270" s="533"/>
      <c r="I270" s="918"/>
      <c r="J270" s="918"/>
      <c r="K270" s="261"/>
      <c r="L270" s="329">
        <v>10</v>
      </c>
      <c r="M270" s="422" t="s">
        <v>537</v>
      </c>
      <c r="N270" s="330" t="s">
        <v>592</v>
      </c>
      <c r="O270" s="553"/>
      <c r="P270" s="458"/>
      <c r="Q270" s="332">
        <v>652.16999999999996</v>
      </c>
      <c r="R270" s="588"/>
      <c r="S270" s="623" t="s">
        <v>593</v>
      </c>
      <c r="T270" s="677">
        <v>45900</v>
      </c>
      <c r="U270" s="684">
        <v>380.22607138610476</v>
      </c>
      <c r="V270" s="924"/>
      <c r="W270" s="533">
        <v>45932</v>
      </c>
      <c r="X270" s="921"/>
      <c r="Y270" s="472"/>
    </row>
    <row r="271" spans="2:25" ht="14.25" customHeight="1">
      <c r="B271" s="329"/>
      <c r="C271" s="330"/>
      <c r="D271" s="330"/>
      <c r="E271" s="331"/>
      <c r="F271" s="458"/>
      <c r="G271" s="332"/>
      <c r="H271" s="572"/>
      <c r="I271" s="918"/>
      <c r="J271" s="918"/>
      <c r="K271" s="261"/>
      <c r="L271" s="329">
        <v>10</v>
      </c>
      <c r="M271" s="422" t="s">
        <v>537</v>
      </c>
      <c r="N271" s="330" t="s">
        <v>594</v>
      </c>
      <c r="O271" s="553"/>
      <c r="P271" s="458"/>
      <c r="Q271" s="332">
        <v>2173.92</v>
      </c>
      <c r="R271" s="588"/>
      <c r="S271" s="623" t="s">
        <v>595</v>
      </c>
      <c r="T271" s="677">
        <v>45930</v>
      </c>
      <c r="U271" s="759">
        <v>1258.8741122956246</v>
      </c>
      <c r="V271" s="924"/>
      <c r="W271" s="533">
        <v>45939</v>
      </c>
      <c r="X271" s="921"/>
      <c r="Y271" s="472"/>
    </row>
    <row r="272" spans="2:25" ht="14.25" customHeight="1">
      <c r="B272" s="329"/>
      <c r="C272" s="330"/>
      <c r="D272" s="330"/>
      <c r="E272" s="331"/>
      <c r="F272" s="458"/>
      <c r="G272" s="332"/>
      <c r="H272" s="572"/>
      <c r="I272" s="918"/>
      <c r="J272" s="918"/>
      <c r="K272" s="261"/>
      <c r="L272" s="329">
        <v>10</v>
      </c>
      <c r="M272" s="422" t="s">
        <v>537</v>
      </c>
      <c r="N272" s="330" t="s">
        <v>596</v>
      </c>
      <c r="O272" s="553"/>
      <c r="P272" s="458"/>
      <c r="Q272" s="332">
        <f>2434.8+652.17</f>
        <v>3086.9700000000003</v>
      </c>
      <c r="R272" s="588"/>
      <c r="S272" s="623" t="s">
        <v>597</v>
      </c>
      <c r="T272" s="755">
        <v>45961</v>
      </c>
      <c r="U272" s="759">
        <v>1781.0203776443125</v>
      </c>
      <c r="V272" s="924"/>
      <c r="W272" s="533">
        <v>45967</v>
      </c>
      <c r="X272" s="921"/>
      <c r="Y272" s="472"/>
    </row>
    <row r="273" spans="1:25" ht="14.25" customHeight="1">
      <c r="B273" s="329"/>
      <c r="C273" s="330"/>
      <c r="D273" s="330"/>
      <c r="E273" s="331"/>
      <c r="F273" s="458"/>
      <c r="G273" s="332"/>
      <c r="H273" s="572"/>
      <c r="I273" s="918"/>
      <c r="J273" s="918"/>
      <c r="K273" s="261"/>
      <c r="L273" s="329">
        <v>10</v>
      </c>
      <c r="M273" s="422" t="s">
        <v>537</v>
      </c>
      <c r="N273" s="330" t="s">
        <v>598</v>
      </c>
      <c r="O273" s="553"/>
      <c r="P273" s="458"/>
      <c r="Q273" s="332">
        <v>2434.8000000000002</v>
      </c>
      <c r="R273" s="588"/>
      <c r="S273" s="623" t="s">
        <v>599</v>
      </c>
      <c r="T273" s="677">
        <v>45991</v>
      </c>
      <c r="U273" s="759">
        <v>1343.363433444877</v>
      </c>
      <c r="V273" s="924"/>
      <c r="W273" s="533">
        <v>45995</v>
      </c>
      <c r="X273" s="921"/>
      <c r="Y273" s="472"/>
    </row>
    <row r="274" spans="1:25" ht="14.25" customHeight="1">
      <c r="B274" s="329"/>
      <c r="C274" s="330"/>
      <c r="D274" s="330"/>
      <c r="E274" s="331"/>
      <c r="F274" s="458"/>
      <c r="G274" s="332"/>
      <c r="H274" s="533"/>
      <c r="I274" s="918"/>
      <c r="J274" s="918"/>
      <c r="K274" s="261"/>
      <c r="L274" s="329">
        <v>10</v>
      </c>
      <c r="M274" s="422" t="s">
        <v>537</v>
      </c>
      <c r="N274" s="330" t="s">
        <v>600</v>
      </c>
      <c r="O274" s="553"/>
      <c r="P274" s="458"/>
      <c r="Q274" s="332">
        <v>1217.4000000000001</v>
      </c>
      <c r="R274" s="588"/>
      <c r="S274" s="623" t="s">
        <v>601</v>
      </c>
      <c r="T274" s="677">
        <v>46022</v>
      </c>
      <c r="U274" s="759">
        <v>608.42503176814455</v>
      </c>
      <c r="V274" s="924"/>
      <c r="W274" s="756">
        <v>46029</v>
      </c>
      <c r="X274" s="921"/>
      <c r="Y274" s="472"/>
    </row>
    <row r="275" spans="1:25" ht="14.25" customHeight="1">
      <c r="B275" s="329"/>
      <c r="C275" s="330"/>
      <c r="D275" s="330"/>
      <c r="E275" s="331"/>
      <c r="F275" s="458"/>
      <c r="G275" s="332"/>
      <c r="H275" s="533"/>
      <c r="I275" s="918"/>
      <c r="J275" s="918"/>
      <c r="K275" s="261"/>
      <c r="L275" s="329">
        <v>10</v>
      </c>
      <c r="M275" s="422" t="s">
        <v>537</v>
      </c>
      <c r="N275" s="330" t="s">
        <v>600</v>
      </c>
      <c r="O275" s="553"/>
      <c r="P275" s="458"/>
      <c r="Q275" s="332">
        <v>608.70000000000005</v>
      </c>
      <c r="R275" s="588"/>
      <c r="S275" s="623" t="s">
        <v>602</v>
      </c>
      <c r="T275" s="677">
        <v>46022</v>
      </c>
      <c r="U275" s="759">
        <v>304.21251588407227</v>
      </c>
      <c r="V275" s="924"/>
      <c r="W275" s="756">
        <v>46029</v>
      </c>
      <c r="X275" s="921"/>
      <c r="Y275" s="472"/>
    </row>
    <row r="276" spans="1:25" ht="14.25" customHeight="1">
      <c r="B276" s="329"/>
      <c r="C276" s="330"/>
      <c r="D276" s="330"/>
      <c r="E276" s="331"/>
      <c r="F276" s="458"/>
      <c r="G276" s="332"/>
      <c r="H276" s="572"/>
      <c r="I276" s="918"/>
      <c r="J276" s="918"/>
      <c r="K276" s="261"/>
      <c r="L276" s="329">
        <v>10</v>
      </c>
      <c r="M276" s="422" t="s">
        <v>537</v>
      </c>
      <c r="N276" s="840" t="s">
        <v>603</v>
      </c>
      <c r="O276" s="553"/>
      <c r="P276" s="458"/>
      <c r="Q276" s="332">
        <v>1826.1</v>
      </c>
      <c r="R276" s="588"/>
      <c r="S276" s="623" t="s">
        <v>604</v>
      </c>
      <c r="T276" s="755">
        <v>46053</v>
      </c>
      <c r="U276" s="507">
        <v>0</v>
      </c>
      <c r="V276" s="924"/>
      <c r="W276" s="533">
        <v>46058</v>
      </c>
      <c r="X276" s="921"/>
      <c r="Y276" s="472"/>
    </row>
    <row r="277" spans="1:25" ht="14.25" customHeight="1">
      <c r="B277" s="329"/>
      <c r="C277" s="330"/>
      <c r="D277" s="330"/>
      <c r="E277" s="331"/>
      <c r="F277" s="458"/>
      <c r="G277" s="332"/>
      <c r="H277" s="572"/>
      <c r="I277" s="918"/>
      <c r="J277" s="918"/>
      <c r="K277" s="261"/>
      <c r="L277" s="329">
        <v>10</v>
      </c>
      <c r="M277" s="422" t="s">
        <v>537</v>
      </c>
      <c r="N277" s="330" t="s">
        <v>603</v>
      </c>
      <c r="O277" s="553"/>
      <c r="P277" s="458"/>
      <c r="Q277" s="332">
        <v>913.05</v>
      </c>
      <c r="R277" s="588"/>
      <c r="S277" s="623" t="s">
        <v>605</v>
      </c>
      <c r="T277" s="755">
        <v>46053</v>
      </c>
      <c r="U277" s="507">
        <v>0</v>
      </c>
      <c r="V277" s="924"/>
      <c r="W277" s="533">
        <v>46058</v>
      </c>
      <c r="X277" s="921"/>
      <c r="Y277" s="472"/>
    </row>
    <row r="278" spans="1:25" ht="14.25" customHeight="1">
      <c r="B278" s="329"/>
      <c r="C278" s="330"/>
      <c r="D278" s="330"/>
      <c r="E278" s="331"/>
      <c r="F278" s="458"/>
      <c r="G278" s="332"/>
      <c r="H278" s="572"/>
      <c r="I278" s="918"/>
      <c r="J278" s="918"/>
      <c r="K278" s="261"/>
      <c r="L278" s="329">
        <v>10</v>
      </c>
      <c r="M278" s="422" t="s">
        <v>537</v>
      </c>
      <c r="N278" s="330"/>
      <c r="O278" s="553"/>
      <c r="P278" s="458"/>
      <c r="Q278" s="332"/>
      <c r="R278" s="588"/>
      <c r="S278" s="623"/>
      <c r="T278" s="521"/>
      <c r="U278" s="507">
        <f t="shared" ref="U278:U281" si="27">(Q278/$X$227*$J$227)</f>
        <v>0</v>
      </c>
      <c r="V278" s="924"/>
      <c r="W278" s="572"/>
      <c r="X278" s="921"/>
      <c r="Y278" s="472"/>
    </row>
    <row r="279" spans="1:25" ht="14.25" customHeight="1">
      <c r="B279" s="329"/>
      <c r="C279" s="330"/>
      <c r="D279" s="330"/>
      <c r="E279" s="331"/>
      <c r="F279" s="458"/>
      <c r="G279" s="332"/>
      <c r="H279" s="572"/>
      <c r="I279" s="918"/>
      <c r="J279" s="918"/>
      <c r="K279" s="261"/>
      <c r="L279" s="329">
        <v>10</v>
      </c>
      <c r="M279" s="422" t="s">
        <v>537</v>
      </c>
      <c r="N279" s="330"/>
      <c r="O279" s="553"/>
      <c r="P279" s="458"/>
      <c r="Q279" s="332"/>
      <c r="R279" s="588"/>
      <c r="S279" s="623"/>
      <c r="T279" s="521"/>
      <c r="U279" s="507">
        <f t="shared" si="27"/>
        <v>0</v>
      </c>
      <c r="V279" s="924"/>
      <c r="W279" s="572"/>
      <c r="X279" s="921"/>
      <c r="Y279" s="472"/>
    </row>
    <row r="280" spans="1:25" ht="14.25" customHeight="1">
      <c r="B280" s="329">
        <v>10</v>
      </c>
      <c r="C280" s="330"/>
      <c r="D280" s="330"/>
      <c r="E280" s="331"/>
      <c r="F280" s="458"/>
      <c r="G280" s="332"/>
      <c r="H280" s="572"/>
      <c r="I280" s="918"/>
      <c r="J280" s="918"/>
      <c r="K280" s="261"/>
      <c r="L280" s="329">
        <v>10</v>
      </c>
      <c r="M280" s="422" t="s">
        <v>537</v>
      </c>
      <c r="N280" s="330"/>
      <c r="O280" s="553"/>
      <c r="P280" s="458"/>
      <c r="Q280" s="332"/>
      <c r="R280" s="588"/>
      <c r="S280" s="623"/>
      <c r="T280" s="521"/>
      <c r="U280" s="507">
        <f t="shared" si="27"/>
        <v>0</v>
      </c>
      <c r="V280" s="924"/>
      <c r="W280" s="572"/>
      <c r="X280" s="921"/>
      <c r="Y280" s="472"/>
    </row>
    <row r="281" spans="1:25" ht="15" customHeight="1" thickBot="1">
      <c r="B281" s="262">
        <v>10</v>
      </c>
      <c r="C281" s="333"/>
      <c r="D281" s="333"/>
      <c r="E281" s="334"/>
      <c r="F281" s="459"/>
      <c r="G281" s="263"/>
      <c r="H281" s="573"/>
      <c r="I281" s="919"/>
      <c r="J281" s="919"/>
      <c r="K281" s="264"/>
      <c r="L281" s="329">
        <v>10</v>
      </c>
      <c r="M281" s="423" t="s">
        <v>537</v>
      </c>
      <c r="N281" s="333"/>
      <c r="O281" s="554"/>
      <c r="P281" s="459"/>
      <c r="Q281" s="263"/>
      <c r="R281" s="589"/>
      <c r="S281" s="624"/>
      <c r="T281" s="522" t="str">
        <f t="shared" si="19"/>
        <v/>
      </c>
      <c r="U281" s="507">
        <f t="shared" si="27"/>
        <v>0</v>
      </c>
      <c r="V281" s="925"/>
      <c r="W281" s="573"/>
      <c r="X281" s="922"/>
      <c r="Y281" s="472"/>
    </row>
    <row r="282" spans="1:25" ht="14.45" thickBot="1">
      <c r="A282" s="24"/>
      <c r="B282" s="265"/>
      <c r="C282" s="266"/>
      <c r="D282" s="266"/>
      <c r="E282" s="280"/>
      <c r="F282" s="443"/>
      <c r="G282" s="268"/>
      <c r="H282" s="563"/>
      <c r="I282" s="269"/>
      <c r="J282" s="391"/>
      <c r="K282" s="24"/>
      <c r="L282" s="265"/>
      <c r="M282" s="266"/>
      <c r="N282" s="266"/>
      <c r="O282" s="543"/>
      <c r="P282" s="443"/>
      <c r="Q282" s="268"/>
      <c r="R282" s="582"/>
      <c r="S282" s="617"/>
      <c r="T282" s="512" t="str">
        <f t="shared" si="19"/>
        <v/>
      </c>
      <c r="U282" s="496"/>
      <c r="V282" s="484"/>
      <c r="W282" s="563"/>
      <c r="X282" s="339"/>
      <c r="Y282" s="472"/>
    </row>
    <row r="283" spans="1:25" ht="14.25" customHeight="1">
      <c r="B283" s="270">
        <v>11</v>
      </c>
      <c r="C283" s="271" t="s">
        <v>606</v>
      </c>
      <c r="D283" s="340" t="s">
        <v>607</v>
      </c>
      <c r="E283" s="272"/>
      <c r="F283" s="424"/>
      <c r="G283" s="273">
        <v>300000</v>
      </c>
      <c r="H283" s="567">
        <v>45991</v>
      </c>
      <c r="I283" s="885">
        <f>SUM(G283:G296)</f>
        <v>420000</v>
      </c>
      <c r="J283" s="885">
        <f>F378</f>
        <v>494117.64705882355</v>
      </c>
      <c r="K283" s="274"/>
      <c r="L283" s="270">
        <v>11</v>
      </c>
      <c r="M283" s="340" t="s">
        <v>608</v>
      </c>
      <c r="N283" s="340" t="s">
        <v>607</v>
      </c>
      <c r="O283" s="272"/>
      <c r="P283" s="424"/>
      <c r="Q283" s="273">
        <f>300000-SUM(Q284:Q285)</f>
        <v>236000</v>
      </c>
      <c r="R283" s="581"/>
      <c r="S283" s="616"/>
      <c r="T283" s="516">
        <v>46081</v>
      </c>
      <c r="U283" s="501">
        <f>(Q283/$X$283*$J$283)-4171.27+2311.1+2367.25</f>
        <v>177552.1000193764</v>
      </c>
      <c r="V283" s="888">
        <f>J283-SUM(U283:U296)</f>
        <v>-1.6990787698887289E-3</v>
      </c>
      <c r="W283" s="567">
        <f>T283</f>
        <v>46081</v>
      </c>
      <c r="X283" s="875">
        <f>SUM(Q283:Q296)</f>
        <v>658656</v>
      </c>
      <c r="Y283" s="472"/>
    </row>
    <row r="284" spans="1:25" ht="14.25" customHeight="1">
      <c r="B284" s="275"/>
      <c r="C284" s="276"/>
      <c r="D284" s="764"/>
      <c r="E284" s="438"/>
      <c r="F284" s="439"/>
      <c r="G284" s="765"/>
      <c r="H284" s="567"/>
      <c r="I284" s="886"/>
      <c r="J284" s="886"/>
      <c r="K284" s="277"/>
      <c r="L284" s="300">
        <v>11</v>
      </c>
      <c r="M284" s="378" t="s">
        <v>608</v>
      </c>
      <c r="N284" s="835" t="s">
        <v>609</v>
      </c>
      <c r="O284" s="438"/>
      <c r="P284" s="439"/>
      <c r="Q284" s="765">
        <v>35600</v>
      </c>
      <c r="R284" s="581" t="s">
        <v>610</v>
      </c>
      <c r="S284" s="616"/>
      <c r="T284" s="516">
        <v>46081</v>
      </c>
      <c r="U284" s="501">
        <f t="shared" ref="U284" si="28">(Q284/$X$283*$J$283)-4171.27+2311.1+2367.25</f>
        <v>27213.871155465244</v>
      </c>
      <c r="V284" s="889"/>
      <c r="W284" s="567">
        <f>T284+14</f>
        <v>46095</v>
      </c>
      <c r="X284" s="876"/>
      <c r="Y284" s="472"/>
    </row>
    <row r="285" spans="1:25" ht="14.25" customHeight="1">
      <c r="B285" s="275"/>
      <c r="C285" s="276"/>
      <c r="D285" s="764"/>
      <c r="E285" s="438"/>
      <c r="F285" s="439"/>
      <c r="G285" s="765"/>
      <c r="H285" s="567"/>
      <c r="I285" s="886"/>
      <c r="J285" s="886"/>
      <c r="K285" s="277"/>
      <c r="L285" s="300">
        <v>11</v>
      </c>
      <c r="M285" s="378" t="s">
        <v>608</v>
      </c>
      <c r="N285" s="764" t="s">
        <v>611</v>
      </c>
      <c r="O285" s="438"/>
      <c r="P285" s="439"/>
      <c r="Q285" s="765">
        <v>28400</v>
      </c>
      <c r="R285" s="581" t="s">
        <v>612</v>
      </c>
      <c r="S285" s="616" t="s">
        <v>613</v>
      </c>
      <c r="T285" s="782">
        <v>45991</v>
      </c>
      <c r="U285" s="809">
        <v>21812.49766334868</v>
      </c>
      <c r="V285" s="889"/>
      <c r="W285" s="823">
        <v>45995</v>
      </c>
      <c r="X285" s="876"/>
      <c r="Y285" s="472"/>
    </row>
    <row r="286" spans="1:25" ht="14.25" customHeight="1">
      <c r="B286" s="275"/>
      <c r="C286" s="276"/>
      <c r="D286" s="764"/>
      <c r="E286" s="438"/>
      <c r="F286" s="439"/>
      <c r="G286" s="765"/>
      <c r="H286" s="567"/>
      <c r="I286" s="886"/>
      <c r="J286" s="886"/>
      <c r="K286" s="277"/>
      <c r="L286" s="300">
        <v>11</v>
      </c>
      <c r="M286" s="378" t="s">
        <v>608</v>
      </c>
      <c r="N286" s="764"/>
      <c r="O286" s="438"/>
      <c r="P286" s="439"/>
      <c r="Q286" s="765"/>
      <c r="R286" s="581"/>
      <c r="S286" s="616"/>
      <c r="T286" s="516"/>
      <c r="U286" s="501"/>
      <c r="V286" s="889"/>
      <c r="W286" s="567"/>
      <c r="X286" s="876"/>
      <c r="Y286" s="472"/>
    </row>
    <row r="287" spans="1:25" ht="14.25" customHeight="1">
      <c r="B287" s="275"/>
      <c r="C287" s="276"/>
      <c r="D287" s="764"/>
      <c r="E287" s="438"/>
      <c r="F287" s="439"/>
      <c r="G287" s="765"/>
      <c r="H287" s="567"/>
      <c r="I287" s="886"/>
      <c r="J287" s="886"/>
      <c r="K287" s="277"/>
      <c r="L287" s="300">
        <v>11</v>
      </c>
      <c r="M287" s="378" t="s">
        <v>608</v>
      </c>
      <c r="N287" s="764"/>
      <c r="O287" s="438"/>
      <c r="P287" s="439"/>
      <c r="Q287" s="765"/>
      <c r="R287" s="581"/>
      <c r="S287" s="616"/>
      <c r="T287" s="674">
        <v>46053</v>
      </c>
      <c r="U287" s="501"/>
      <c r="V287" s="889"/>
      <c r="W287" s="567">
        <v>46053</v>
      </c>
      <c r="X287" s="876"/>
      <c r="Y287" s="472"/>
    </row>
    <row r="288" spans="1:25" ht="14.25" customHeight="1">
      <c r="B288" s="275"/>
      <c r="C288" s="276"/>
      <c r="D288" s="764"/>
      <c r="E288" s="438"/>
      <c r="F288" s="439"/>
      <c r="G288" s="765"/>
      <c r="H288" s="567"/>
      <c r="I288" s="886"/>
      <c r="J288" s="886"/>
      <c r="K288" s="277"/>
      <c r="L288" s="300">
        <v>11</v>
      </c>
      <c r="M288" s="378" t="s">
        <v>608</v>
      </c>
      <c r="N288" s="764"/>
      <c r="O288" s="438"/>
      <c r="P288" s="439"/>
      <c r="Q288" s="765"/>
      <c r="R288" s="581"/>
      <c r="S288" s="616"/>
      <c r="T288" s="516"/>
      <c r="U288" s="501"/>
      <c r="V288" s="889"/>
      <c r="W288" s="567"/>
      <c r="X288" s="876"/>
      <c r="Y288" s="472"/>
    </row>
    <row r="289" spans="1:25" ht="14.25" customHeight="1">
      <c r="B289" s="275"/>
      <c r="C289" s="276"/>
      <c r="D289" s="764"/>
      <c r="E289" s="438"/>
      <c r="F289" s="439"/>
      <c r="G289" s="765"/>
      <c r="H289" s="567"/>
      <c r="I289" s="886"/>
      <c r="J289" s="886"/>
      <c r="K289" s="277"/>
      <c r="L289" s="300">
        <v>11</v>
      </c>
      <c r="M289" s="378" t="s">
        <v>608</v>
      </c>
      <c r="N289" s="764"/>
      <c r="O289" s="438"/>
      <c r="P289" s="439"/>
      <c r="Q289" s="765"/>
      <c r="R289" s="581"/>
      <c r="S289" s="616"/>
      <c r="T289" s="516"/>
      <c r="U289" s="501"/>
      <c r="V289" s="889"/>
      <c r="W289" s="567"/>
      <c r="X289" s="876"/>
      <c r="Y289" s="472"/>
    </row>
    <row r="290" spans="1:25" ht="15" customHeight="1">
      <c r="B290" s="300">
        <v>11</v>
      </c>
      <c r="C290" s="302"/>
      <c r="D290" s="302" t="s">
        <v>614</v>
      </c>
      <c r="E290" s="303"/>
      <c r="F290" s="446"/>
      <c r="G290" s="304">
        <v>40000</v>
      </c>
      <c r="H290" s="524">
        <v>45841</v>
      </c>
      <c r="I290" s="886"/>
      <c r="J290" s="886"/>
      <c r="K290" s="277"/>
      <c r="L290" s="300">
        <v>11</v>
      </c>
      <c r="M290" s="378" t="s">
        <v>608</v>
      </c>
      <c r="N290" s="302" t="s">
        <v>614</v>
      </c>
      <c r="O290" s="303"/>
      <c r="P290" s="446"/>
      <c r="Q290" s="304">
        <v>10400</v>
      </c>
      <c r="R290" s="574" t="s">
        <v>615</v>
      </c>
      <c r="S290" s="609" t="s">
        <v>616</v>
      </c>
      <c r="T290" s="678">
        <v>45838</v>
      </c>
      <c r="U290" s="680">
        <v>12174.422007609013</v>
      </c>
      <c r="V290" s="889"/>
      <c r="W290" s="524">
        <v>45841</v>
      </c>
      <c r="X290" s="876"/>
      <c r="Y290" s="472"/>
    </row>
    <row r="291" spans="1:25" ht="15" customHeight="1">
      <c r="B291" s="300">
        <v>11</v>
      </c>
      <c r="C291" s="302"/>
      <c r="D291" s="302" t="s">
        <v>617</v>
      </c>
      <c r="E291" s="303"/>
      <c r="F291" s="446"/>
      <c r="G291" s="304">
        <v>80000</v>
      </c>
      <c r="H291" s="524">
        <v>45841</v>
      </c>
      <c r="I291" s="886"/>
      <c r="J291" s="886"/>
      <c r="K291" s="277"/>
      <c r="L291" s="300">
        <v>11</v>
      </c>
      <c r="M291" s="378" t="s">
        <v>608</v>
      </c>
      <c r="N291" s="302" t="s">
        <v>617</v>
      </c>
      <c r="O291" s="303"/>
      <c r="P291" s="446"/>
      <c r="Q291" s="304">
        <v>79700</v>
      </c>
      <c r="R291" s="574" t="s">
        <v>618</v>
      </c>
      <c r="S291" s="609" t="s">
        <v>619</v>
      </c>
      <c r="T291" s="675">
        <v>45961</v>
      </c>
      <c r="U291" s="758">
        <v>58776.043794679215</v>
      </c>
      <c r="V291" s="889"/>
      <c r="W291" s="757">
        <v>46031</v>
      </c>
      <c r="X291" s="876"/>
      <c r="Y291" s="472"/>
    </row>
    <row r="292" spans="1:25" ht="15" customHeight="1">
      <c r="B292" s="300">
        <v>11</v>
      </c>
      <c r="C292" s="376"/>
      <c r="D292" s="376"/>
      <c r="E292" s="395"/>
      <c r="F292" s="431"/>
      <c r="G292" s="375"/>
      <c r="H292" s="561"/>
      <c r="I292" s="886"/>
      <c r="J292" s="886"/>
      <c r="K292" s="277"/>
      <c r="L292" s="300">
        <v>11</v>
      </c>
      <c r="M292" s="378" t="s">
        <v>608</v>
      </c>
      <c r="N292" s="376" t="s">
        <v>620</v>
      </c>
      <c r="O292" s="395"/>
      <c r="P292" s="431"/>
      <c r="Q292" s="375">
        <v>252556</v>
      </c>
      <c r="R292" s="628" t="s">
        <v>621</v>
      </c>
      <c r="S292" s="610" t="s">
        <v>622</v>
      </c>
      <c r="T292" s="675">
        <v>45869</v>
      </c>
      <c r="U292" s="680">
        <v>184585.6619127203</v>
      </c>
      <c r="V292" s="889"/>
      <c r="W292" s="561">
        <v>46053</v>
      </c>
      <c r="X292" s="876"/>
      <c r="Y292" s="472"/>
    </row>
    <row r="293" spans="1:25" ht="15" customHeight="1">
      <c r="B293" s="372"/>
      <c r="C293" s="376"/>
      <c r="D293" s="376"/>
      <c r="E293" s="395"/>
      <c r="F293" s="431"/>
      <c r="G293" s="375"/>
      <c r="H293" s="561"/>
      <c r="I293" s="886"/>
      <c r="J293" s="886"/>
      <c r="K293" s="277"/>
      <c r="L293" s="300">
        <v>11</v>
      </c>
      <c r="M293" s="378" t="s">
        <v>608</v>
      </c>
      <c r="N293" s="376"/>
      <c r="O293" s="395"/>
      <c r="P293" s="431"/>
      <c r="Q293" s="375"/>
      <c r="R293" s="628"/>
      <c r="S293" s="610"/>
      <c r="T293" s="510"/>
      <c r="U293" s="493">
        <f>(Q293/$X$283*$J$283)</f>
        <v>0</v>
      </c>
      <c r="V293" s="889"/>
      <c r="W293" s="561"/>
      <c r="X293" s="876"/>
      <c r="Y293" s="472"/>
    </row>
    <row r="294" spans="1:25" ht="15" customHeight="1">
      <c r="B294" s="372"/>
      <c r="C294" s="376"/>
      <c r="D294" s="376"/>
      <c r="E294" s="395"/>
      <c r="F294" s="431"/>
      <c r="G294" s="375"/>
      <c r="H294" s="561"/>
      <c r="I294" s="886"/>
      <c r="J294" s="886"/>
      <c r="K294" s="277"/>
      <c r="L294" s="300">
        <v>11</v>
      </c>
      <c r="M294" s="378" t="s">
        <v>608</v>
      </c>
      <c r="N294" s="376"/>
      <c r="O294" s="395"/>
      <c r="P294" s="431"/>
      <c r="Q294" s="375"/>
      <c r="R294" s="628"/>
      <c r="S294" s="610"/>
      <c r="T294" s="510"/>
      <c r="U294" s="493">
        <f>(Q294/$X$283*$J$283)</f>
        <v>0</v>
      </c>
      <c r="V294" s="889"/>
      <c r="W294" s="561"/>
      <c r="X294" s="876"/>
      <c r="Y294" s="472"/>
    </row>
    <row r="295" spans="1:25" ht="15" customHeight="1">
      <c r="B295" s="372"/>
      <c r="C295" s="376"/>
      <c r="D295" s="376"/>
      <c r="E295" s="395"/>
      <c r="F295" s="431"/>
      <c r="G295" s="375"/>
      <c r="H295" s="561"/>
      <c r="I295" s="886"/>
      <c r="J295" s="886"/>
      <c r="K295" s="277"/>
      <c r="L295" s="300">
        <v>11</v>
      </c>
      <c r="M295" s="378" t="s">
        <v>608</v>
      </c>
      <c r="N295" s="376" t="s">
        <v>623</v>
      </c>
      <c r="O295" s="395"/>
      <c r="P295" s="431"/>
      <c r="Q295" s="375">
        <v>8000</v>
      </c>
      <c r="R295" s="628"/>
      <c r="S295" s="610"/>
      <c r="T295" s="510">
        <v>46081</v>
      </c>
      <c r="U295" s="493">
        <f>(Q295/$X$283*$J$283)</f>
        <v>6001.5261023517414</v>
      </c>
      <c r="V295" s="889"/>
      <c r="W295" s="561">
        <f>T295</f>
        <v>46081</v>
      </c>
      <c r="X295" s="876"/>
      <c r="Y295" s="472"/>
    </row>
    <row r="296" spans="1:25" ht="15" customHeight="1" thickBot="1">
      <c r="B296" s="305">
        <v>11</v>
      </c>
      <c r="C296" s="306"/>
      <c r="D296" s="306"/>
      <c r="E296" s="307"/>
      <c r="F296" s="447"/>
      <c r="G296" s="319"/>
      <c r="H296" s="562"/>
      <c r="I296" s="887"/>
      <c r="J296" s="887"/>
      <c r="K296" s="278"/>
      <c r="L296" s="305">
        <v>11</v>
      </c>
      <c r="M296" s="407" t="s">
        <v>608</v>
      </c>
      <c r="N296" s="306" t="s">
        <v>624</v>
      </c>
      <c r="O296" s="542"/>
      <c r="P296" s="447"/>
      <c r="Q296" s="319">
        <v>8000</v>
      </c>
      <c r="R296" s="576"/>
      <c r="S296" s="611"/>
      <c r="T296" s="511">
        <v>46081</v>
      </c>
      <c r="U296" s="495">
        <f>(Q296/$X$283*$J$283)</f>
        <v>6001.5261023517414</v>
      </c>
      <c r="V296" s="890"/>
      <c r="W296" s="562">
        <f>T296</f>
        <v>46081</v>
      </c>
      <c r="X296" s="877"/>
      <c r="Y296" s="472"/>
    </row>
    <row r="297" spans="1:25" ht="15" customHeight="1" thickBot="1">
      <c r="A297" s="24"/>
      <c r="B297" s="279"/>
      <c r="C297" s="266"/>
      <c r="D297" s="266"/>
      <c r="E297" s="280"/>
      <c r="F297" s="443"/>
      <c r="G297" s="281"/>
      <c r="H297" s="563"/>
      <c r="I297" s="269"/>
      <c r="J297" s="269"/>
      <c r="K297" s="24"/>
      <c r="L297" s="279"/>
      <c r="M297" s="266"/>
      <c r="N297" s="266"/>
      <c r="O297" s="543"/>
      <c r="P297" s="443"/>
      <c r="Q297" s="281"/>
      <c r="R297" s="577"/>
      <c r="S297" s="612"/>
      <c r="T297" s="512" t="str">
        <f t="shared" si="19"/>
        <v/>
      </c>
      <c r="U297" s="500"/>
      <c r="V297" s="483"/>
      <c r="W297" s="563"/>
      <c r="X297" s="339"/>
      <c r="Y297" s="472"/>
    </row>
    <row r="298" spans="1:25">
      <c r="B298" s="258">
        <v>12</v>
      </c>
      <c r="C298" s="259" t="s">
        <v>625</v>
      </c>
      <c r="D298" s="259"/>
      <c r="E298" s="260"/>
      <c r="F298" s="457"/>
      <c r="G298" s="327"/>
      <c r="H298" s="570"/>
      <c r="I298" s="917">
        <f>SUM(G298:G299)</f>
        <v>205449.89057158865</v>
      </c>
      <c r="J298" s="917">
        <v>0</v>
      </c>
      <c r="K298" s="462"/>
      <c r="L298" s="258">
        <v>12</v>
      </c>
      <c r="M298" s="259" t="s">
        <v>626</v>
      </c>
      <c r="N298" s="259"/>
      <c r="O298" s="552"/>
      <c r="P298" s="457"/>
      <c r="Q298" s="327"/>
      <c r="R298" s="586"/>
      <c r="S298" s="621"/>
      <c r="T298" s="520" t="str">
        <f t="shared" si="19"/>
        <v/>
      </c>
      <c r="U298" s="505"/>
      <c r="V298" s="482"/>
      <c r="W298" s="570"/>
      <c r="X298" s="920">
        <f>SUM(Q298:Q299)</f>
        <v>0</v>
      </c>
      <c r="Y298" s="472"/>
    </row>
    <row r="299" spans="1:25" ht="15" customHeight="1" thickBot="1">
      <c r="B299" s="262">
        <v>12</v>
      </c>
      <c r="C299" s="333" t="s">
        <v>625</v>
      </c>
      <c r="D299" s="333" t="s">
        <v>627</v>
      </c>
      <c r="E299" s="334"/>
      <c r="F299" s="459"/>
      <c r="G299" s="263">
        <v>205449.89057158865</v>
      </c>
      <c r="H299" s="573">
        <f>H283</f>
        <v>45991</v>
      </c>
      <c r="I299" s="919"/>
      <c r="J299" s="919"/>
      <c r="K299" s="463"/>
      <c r="L299" s="262">
        <v>12</v>
      </c>
      <c r="M299" s="333" t="s">
        <v>626</v>
      </c>
      <c r="N299" s="333" t="s">
        <v>627</v>
      </c>
      <c r="O299" s="554"/>
      <c r="P299" s="459"/>
      <c r="Q299" s="263">
        <v>0</v>
      </c>
      <c r="R299" s="589"/>
      <c r="S299" s="624"/>
      <c r="T299" s="522" t="str">
        <f t="shared" si="19"/>
        <v/>
      </c>
      <c r="U299" s="508"/>
      <c r="V299" s="481"/>
      <c r="W299" s="573"/>
      <c r="X299" s="922"/>
      <c r="Y299" s="472"/>
    </row>
    <row r="300" spans="1:25" ht="14.45" thickBot="1">
      <c r="A300" s="24"/>
      <c r="B300" s="279"/>
      <c r="C300" s="266"/>
      <c r="D300" s="266"/>
      <c r="E300" s="280"/>
      <c r="F300" s="443"/>
      <c r="G300" s="281"/>
      <c r="H300" s="563"/>
      <c r="I300" s="315"/>
      <c r="J300" s="315"/>
      <c r="K300" s="24"/>
      <c r="L300" s="279"/>
      <c r="M300" s="266"/>
      <c r="N300" s="266"/>
      <c r="O300" s="543"/>
      <c r="P300" s="443"/>
      <c r="Q300" s="281"/>
      <c r="R300" s="577"/>
      <c r="S300" s="612"/>
      <c r="T300" s="512" t="str">
        <f t="shared" si="19"/>
        <v/>
      </c>
      <c r="U300" s="500"/>
      <c r="V300" s="483"/>
      <c r="W300" s="563"/>
      <c r="X300" s="473"/>
      <c r="Y300" s="472"/>
    </row>
    <row r="301" spans="1:25" ht="15.75" customHeight="1">
      <c r="B301" s="270">
        <v>13</v>
      </c>
      <c r="C301" s="271" t="s">
        <v>628</v>
      </c>
      <c r="D301" s="340" t="s">
        <v>629</v>
      </c>
      <c r="E301" s="272"/>
      <c r="F301" s="424"/>
      <c r="G301" s="273">
        <v>950000</v>
      </c>
      <c r="H301" s="567">
        <v>46022</v>
      </c>
      <c r="I301" s="885">
        <f>SUM(G301:G305)</f>
        <v>950000</v>
      </c>
      <c r="J301" s="885">
        <f>F377</f>
        <v>1079545.4545454546</v>
      </c>
      <c r="K301" s="274"/>
      <c r="L301" s="270">
        <v>13</v>
      </c>
      <c r="M301" s="340" t="s">
        <v>630</v>
      </c>
      <c r="N301" s="340" t="s">
        <v>631</v>
      </c>
      <c r="O301" s="539"/>
      <c r="P301" s="424"/>
      <c r="Q301" s="273">
        <v>950000</v>
      </c>
      <c r="R301" s="641"/>
      <c r="S301" s="616"/>
      <c r="T301" s="516">
        <v>46081</v>
      </c>
      <c r="U301" s="501">
        <f>(Q301/$X$301*$J$301)-64.36</f>
        <v>1041836.3870345005</v>
      </c>
      <c r="V301" s="888">
        <f>J301-SUM(U301:U309)</f>
        <v>-195.47706760861911</v>
      </c>
      <c r="W301" s="567">
        <v>46112</v>
      </c>
      <c r="X301" s="875">
        <f>SUM(Q301:Q309)</f>
        <v>984324.26</v>
      </c>
      <c r="Y301" s="472"/>
    </row>
    <row r="302" spans="1:25" ht="15.75" customHeight="1">
      <c r="B302" s="300">
        <v>13</v>
      </c>
      <c r="C302" s="302"/>
      <c r="D302" s="302"/>
      <c r="E302" s="303"/>
      <c r="F302" s="446"/>
      <c r="G302" s="304"/>
      <c r="H302" s="524"/>
      <c r="I302" s="886"/>
      <c r="J302" s="886"/>
      <c r="K302" s="277"/>
      <c r="L302" s="300">
        <v>13</v>
      </c>
      <c r="M302" s="378" t="s">
        <v>630</v>
      </c>
      <c r="N302" s="302" t="s">
        <v>632</v>
      </c>
      <c r="O302" s="540"/>
      <c r="P302" s="446"/>
      <c r="Q302" s="304">
        <v>11372</v>
      </c>
      <c r="R302" s="574"/>
      <c r="S302" s="609" t="s">
        <v>633</v>
      </c>
      <c r="T302" s="675">
        <v>45900</v>
      </c>
      <c r="U302" s="680">
        <v>12657.57114292171</v>
      </c>
      <c r="V302" s="889"/>
      <c r="W302" s="524">
        <v>45900</v>
      </c>
      <c r="X302" s="876"/>
      <c r="Y302" s="472"/>
    </row>
    <row r="303" spans="1:25" ht="15.75" customHeight="1">
      <c r="B303" s="300">
        <v>13</v>
      </c>
      <c r="C303" s="302"/>
      <c r="D303" s="302"/>
      <c r="E303" s="303"/>
      <c r="F303" s="446"/>
      <c r="G303" s="304"/>
      <c r="H303" s="560"/>
      <c r="I303" s="886"/>
      <c r="J303" s="886"/>
      <c r="K303" s="277"/>
      <c r="L303" s="300">
        <v>13</v>
      </c>
      <c r="M303" s="378" t="s">
        <v>630</v>
      </c>
      <c r="N303" s="302" t="s">
        <v>634</v>
      </c>
      <c r="O303" s="540"/>
      <c r="P303" s="446"/>
      <c r="Q303" s="304">
        <v>2843</v>
      </c>
      <c r="R303" s="574"/>
      <c r="S303" s="609" t="s">
        <v>635</v>
      </c>
      <c r="T303" s="675">
        <v>45930</v>
      </c>
      <c r="U303" s="758">
        <v>3164.3927857304275</v>
      </c>
      <c r="V303" s="889"/>
      <c r="W303" s="524">
        <v>45900</v>
      </c>
      <c r="X303" s="876"/>
      <c r="Y303" s="472"/>
    </row>
    <row r="304" spans="1:25" ht="15.75" customHeight="1">
      <c r="B304" s="300">
        <v>13</v>
      </c>
      <c r="C304" s="302"/>
      <c r="D304" s="302"/>
      <c r="E304" s="303"/>
      <c r="F304" s="446"/>
      <c r="G304" s="304"/>
      <c r="H304" s="560"/>
      <c r="I304" s="886"/>
      <c r="J304" s="886"/>
      <c r="K304" s="277"/>
      <c r="L304" s="300">
        <v>13</v>
      </c>
      <c r="M304" s="378" t="s">
        <v>630</v>
      </c>
      <c r="N304" s="302" t="s">
        <v>636</v>
      </c>
      <c r="O304" s="540"/>
      <c r="P304" s="446"/>
      <c r="Q304" s="304">
        <v>2843</v>
      </c>
      <c r="R304" s="574"/>
      <c r="S304" s="609" t="s">
        <v>637</v>
      </c>
      <c r="T304" s="752">
        <v>45961</v>
      </c>
      <c r="U304" s="758">
        <v>3108.9043414431007</v>
      </c>
      <c r="V304" s="889"/>
      <c r="W304" s="524">
        <v>45989</v>
      </c>
      <c r="X304" s="876"/>
      <c r="Y304" s="472"/>
    </row>
    <row r="305" spans="1:25" ht="15.75" customHeight="1">
      <c r="B305" s="300">
        <v>13</v>
      </c>
      <c r="C305" s="302"/>
      <c r="D305" s="302"/>
      <c r="E305" s="303"/>
      <c r="F305" s="446"/>
      <c r="G305" s="304"/>
      <c r="H305" s="560"/>
      <c r="I305" s="886"/>
      <c r="J305" s="886"/>
      <c r="K305" s="277"/>
      <c r="L305" s="300">
        <v>13</v>
      </c>
      <c r="M305" s="378" t="s">
        <v>630</v>
      </c>
      <c r="N305" s="302" t="s">
        <v>638</v>
      </c>
      <c r="O305" s="540"/>
      <c r="P305" s="446"/>
      <c r="Q305" s="304">
        <v>2843</v>
      </c>
      <c r="R305" s="574"/>
      <c r="S305" s="609" t="s">
        <v>639</v>
      </c>
      <c r="T305" s="675">
        <v>45991</v>
      </c>
      <c r="U305" s="758">
        <v>3155.1443414431005</v>
      </c>
      <c r="V305" s="889"/>
      <c r="W305" s="757">
        <v>46021</v>
      </c>
      <c r="X305" s="876"/>
      <c r="Y305" s="472"/>
    </row>
    <row r="306" spans="1:25" ht="15.75" customHeight="1">
      <c r="B306" s="372"/>
      <c r="C306" s="376"/>
      <c r="D306" s="376"/>
      <c r="E306" s="395"/>
      <c r="F306" s="431"/>
      <c r="G306" s="375"/>
      <c r="H306" s="561"/>
      <c r="I306" s="886"/>
      <c r="J306" s="886"/>
      <c r="K306" s="277"/>
      <c r="L306" s="300">
        <v>13</v>
      </c>
      <c r="M306" s="378" t="s">
        <v>630</v>
      </c>
      <c r="N306" s="302" t="s">
        <v>640</v>
      </c>
      <c r="O306" s="541"/>
      <c r="P306" s="431"/>
      <c r="Q306" s="304">
        <v>2843</v>
      </c>
      <c r="R306" s="575"/>
      <c r="S306" s="609" t="s">
        <v>641</v>
      </c>
      <c r="T306" s="783">
        <v>46022</v>
      </c>
      <c r="U306" s="758">
        <v>3118.0250777042997</v>
      </c>
      <c r="V306" s="889"/>
      <c r="W306" s="525">
        <v>46051</v>
      </c>
      <c r="X306" s="876"/>
      <c r="Y306" s="472"/>
    </row>
    <row r="307" spans="1:25" ht="15.75" customHeight="1">
      <c r="B307" s="372"/>
      <c r="C307" s="376"/>
      <c r="D307" s="376"/>
      <c r="E307" s="395"/>
      <c r="F307" s="431"/>
      <c r="G307" s="375"/>
      <c r="H307" s="561"/>
      <c r="I307" s="886"/>
      <c r="J307" s="886"/>
      <c r="K307" s="277"/>
      <c r="L307" s="300">
        <v>13</v>
      </c>
      <c r="M307" s="378" t="s">
        <v>630</v>
      </c>
      <c r="N307" s="302" t="s">
        <v>642</v>
      </c>
      <c r="O307" s="541"/>
      <c r="P307" s="431"/>
      <c r="Q307" s="304">
        <v>2843</v>
      </c>
      <c r="R307" s="575"/>
      <c r="S307" s="609" t="s">
        <v>643</v>
      </c>
      <c r="T307" s="783">
        <v>46053</v>
      </c>
      <c r="U307" s="493">
        <f>(Q307/$X$301*$J$301)</f>
        <v>3118.0250777042997</v>
      </c>
      <c r="V307" s="889"/>
      <c r="W307" s="561">
        <v>46081</v>
      </c>
      <c r="X307" s="876"/>
      <c r="Y307" s="472"/>
    </row>
    <row r="308" spans="1:25" ht="15.75" customHeight="1">
      <c r="B308" s="372"/>
      <c r="C308" s="376"/>
      <c r="D308" s="376"/>
      <c r="E308" s="395"/>
      <c r="F308" s="431"/>
      <c r="G308" s="375"/>
      <c r="H308" s="561"/>
      <c r="I308" s="886"/>
      <c r="J308" s="886"/>
      <c r="K308" s="277"/>
      <c r="L308" s="300">
        <v>13</v>
      </c>
      <c r="M308" s="378" t="s">
        <v>630</v>
      </c>
      <c r="N308" s="376" t="s">
        <v>644</v>
      </c>
      <c r="O308" s="541"/>
      <c r="P308" s="431"/>
      <c r="Q308" s="375">
        <v>8737.26</v>
      </c>
      <c r="R308" s="575"/>
      <c r="S308" s="609" t="s">
        <v>645</v>
      </c>
      <c r="T308" s="783">
        <v>46053</v>
      </c>
      <c r="U308" s="493">
        <f>(Q308/$X$301*$J$301)</f>
        <v>9582.4818116154311</v>
      </c>
      <c r="V308" s="889"/>
      <c r="W308" s="561">
        <v>46081</v>
      </c>
      <c r="X308" s="876"/>
      <c r="Y308" s="472"/>
    </row>
    <row r="309" spans="1:25" ht="15.75" customHeight="1" thickBot="1">
      <c r="B309" s="305">
        <v>13</v>
      </c>
      <c r="C309" s="306"/>
      <c r="D309" s="306"/>
      <c r="E309" s="307"/>
      <c r="F309" s="447"/>
      <c r="G309" s="319"/>
      <c r="H309" s="562"/>
      <c r="I309" s="887"/>
      <c r="J309" s="887"/>
      <c r="K309" s="464"/>
      <c r="L309" s="305">
        <v>13</v>
      </c>
      <c r="M309" s="407" t="s">
        <v>630</v>
      </c>
      <c r="N309" s="306"/>
      <c r="O309" s="542"/>
      <c r="P309" s="447"/>
      <c r="Q309" s="319"/>
      <c r="R309" s="576"/>
      <c r="S309" s="611"/>
      <c r="T309" s="511" t="str">
        <f t="shared" si="19"/>
        <v/>
      </c>
      <c r="U309" s="495">
        <f>(Q309/$X$301*$J$301)</f>
        <v>0</v>
      </c>
      <c r="V309" s="890"/>
      <c r="W309" s="562"/>
      <c r="X309" s="877"/>
      <c r="Y309" s="472"/>
    </row>
    <row r="310" spans="1:25" ht="14.45" thickBot="1">
      <c r="A310" s="24"/>
      <c r="B310" s="279"/>
      <c r="C310" s="266"/>
      <c r="D310" s="266"/>
      <c r="E310" s="280"/>
      <c r="F310" s="443"/>
      <c r="G310" s="281"/>
      <c r="H310" s="563"/>
      <c r="I310" s="269"/>
      <c r="J310" s="269"/>
      <c r="K310" s="24"/>
      <c r="L310" s="279"/>
      <c r="M310" s="266"/>
      <c r="N310" s="266"/>
      <c r="O310" s="543"/>
      <c r="P310" s="443"/>
      <c r="Q310" s="281"/>
      <c r="R310" s="577"/>
      <c r="S310" s="612"/>
      <c r="T310" s="512" t="str">
        <f t="shared" si="19"/>
        <v/>
      </c>
      <c r="U310" s="500"/>
      <c r="V310" s="483"/>
      <c r="W310" s="563"/>
      <c r="X310" s="473"/>
      <c r="Y310" s="472"/>
    </row>
    <row r="311" spans="1:25" ht="14.25" customHeight="1">
      <c r="B311" s="258">
        <v>14</v>
      </c>
      <c r="C311" s="259" t="s">
        <v>646</v>
      </c>
      <c r="D311" s="259" t="s">
        <v>647</v>
      </c>
      <c r="E311" s="260"/>
      <c r="F311" s="457"/>
      <c r="G311" s="327">
        <v>0</v>
      </c>
      <c r="H311" s="531">
        <v>45817</v>
      </c>
      <c r="I311" s="917">
        <f>SUM(G311:G322)</f>
        <v>0</v>
      </c>
      <c r="J311" s="917">
        <f>F388</f>
        <v>0</v>
      </c>
      <c r="K311" s="328"/>
      <c r="L311" s="258">
        <v>14</v>
      </c>
      <c r="M311" s="421" t="s">
        <v>648</v>
      </c>
      <c r="N311" s="259" t="s">
        <v>649</v>
      </c>
      <c r="O311" s="552"/>
      <c r="P311" s="457"/>
      <c r="Q311" s="327">
        <v>6509.8599999999988</v>
      </c>
      <c r="R311" s="588"/>
      <c r="S311" s="586" t="s">
        <v>650</v>
      </c>
      <c r="T311" s="642">
        <v>45808</v>
      </c>
      <c r="U311" s="507">
        <f t="shared" ref="U311:U322" si="29">(Q311/$X$311*$J$311)</f>
        <v>0</v>
      </c>
      <c r="V311" s="923">
        <f>J311-SUM(U311:U322)</f>
        <v>0</v>
      </c>
      <c r="W311" s="531">
        <v>45817</v>
      </c>
      <c r="X311" s="920">
        <f>SUM(Q311:Q322)</f>
        <v>271181.58</v>
      </c>
      <c r="Y311" s="472"/>
    </row>
    <row r="312" spans="1:25" ht="14.25" customHeight="1">
      <c r="B312" s="329">
        <v>14</v>
      </c>
      <c r="C312" s="330"/>
      <c r="D312" s="330"/>
      <c r="E312" s="331"/>
      <c r="F312" s="458"/>
      <c r="G312" s="332"/>
      <c r="H312" s="533">
        <v>45842</v>
      </c>
      <c r="I312" s="918"/>
      <c r="J312" s="918"/>
      <c r="K312" s="261"/>
      <c r="L312" s="329">
        <v>14</v>
      </c>
      <c r="M312" s="422" t="s">
        <v>648</v>
      </c>
      <c r="N312" s="330" t="s">
        <v>649</v>
      </c>
      <c r="O312" s="553"/>
      <c r="P312" s="458"/>
      <c r="Q312" s="332">
        <f>5408.52+362.32</f>
        <v>5770.84</v>
      </c>
      <c r="R312" s="588"/>
      <c r="S312" s="586" t="s">
        <v>650</v>
      </c>
      <c r="T312" s="677">
        <v>45838</v>
      </c>
      <c r="U312" s="507">
        <f t="shared" si="29"/>
        <v>0</v>
      </c>
      <c r="V312" s="924"/>
      <c r="W312" s="533">
        <v>45842</v>
      </c>
      <c r="X312" s="921"/>
      <c r="Y312" s="472"/>
    </row>
    <row r="313" spans="1:25" ht="14.25" customHeight="1">
      <c r="B313" s="329">
        <v>14</v>
      </c>
      <c r="C313" s="330"/>
      <c r="D313" s="330"/>
      <c r="E313" s="331"/>
      <c r="F313" s="458"/>
      <c r="G313" s="332"/>
      <c r="H313" s="533">
        <v>45876</v>
      </c>
      <c r="I313" s="918"/>
      <c r="J313" s="918"/>
      <c r="K313" s="261"/>
      <c r="L313" s="329">
        <v>14</v>
      </c>
      <c r="M313" s="422" t="s">
        <v>648</v>
      </c>
      <c r="N313" s="330" t="s">
        <v>649</v>
      </c>
      <c r="O313" s="553"/>
      <c r="P313" s="458"/>
      <c r="Q313" s="332">
        <v>21295.980000000003</v>
      </c>
      <c r="R313" s="588"/>
      <c r="S313" s="623" t="s">
        <v>650</v>
      </c>
      <c r="T313" s="677">
        <v>45869</v>
      </c>
      <c r="U313" s="507">
        <f t="shared" si="29"/>
        <v>0</v>
      </c>
      <c r="V313" s="924"/>
      <c r="W313" s="533">
        <v>45876</v>
      </c>
      <c r="X313" s="921"/>
      <c r="Y313" s="472"/>
    </row>
    <row r="314" spans="1:25" ht="14.25" customHeight="1">
      <c r="B314" s="329">
        <v>14</v>
      </c>
      <c r="C314" s="330"/>
      <c r="D314" s="330"/>
      <c r="E314" s="331"/>
      <c r="F314" s="458"/>
      <c r="G314" s="332"/>
      <c r="H314" s="533">
        <v>45905</v>
      </c>
      <c r="I314" s="918"/>
      <c r="J314" s="918"/>
      <c r="K314" s="261"/>
      <c r="L314" s="329">
        <v>14</v>
      </c>
      <c r="M314" s="422" t="s">
        <v>648</v>
      </c>
      <c r="N314" s="330" t="s">
        <v>649</v>
      </c>
      <c r="O314" s="553"/>
      <c r="P314" s="458"/>
      <c r="Q314" s="332">
        <v>50534.6</v>
      </c>
      <c r="R314" s="588"/>
      <c r="S314" s="623" t="s">
        <v>650</v>
      </c>
      <c r="T314" s="677">
        <v>45900</v>
      </c>
      <c r="U314" s="507">
        <f t="shared" si="29"/>
        <v>0</v>
      </c>
      <c r="V314" s="924"/>
      <c r="W314" s="533">
        <v>45905</v>
      </c>
      <c r="X314" s="921"/>
      <c r="Y314" s="472"/>
    </row>
    <row r="315" spans="1:25" ht="14.25" customHeight="1">
      <c r="B315" s="329">
        <v>14</v>
      </c>
      <c r="C315" s="330"/>
      <c r="D315" s="330"/>
      <c r="E315" s="331"/>
      <c r="F315" s="458"/>
      <c r="G315" s="332"/>
      <c r="H315" s="572">
        <v>45930</v>
      </c>
      <c r="I315" s="918"/>
      <c r="J315" s="918"/>
      <c r="K315" s="261"/>
      <c r="L315" s="329">
        <v>14</v>
      </c>
      <c r="M315" s="422" t="s">
        <v>648</v>
      </c>
      <c r="N315" s="330" t="s">
        <v>649</v>
      </c>
      <c r="O315" s="553"/>
      <c r="P315" s="458"/>
      <c r="Q315" s="332">
        <v>32154.959999999999</v>
      </c>
      <c r="R315" s="588"/>
      <c r="S315" s="623" t="s">
        <v>650</v>
      </c>
      <c r="T315" s="755">
        <v>45930</v>
      </c>
      <c r="U315" s="507">
        <f t="shared" si="29"/>
        <v>0</v>
      </c>
      <c r="V315" s="924"/>
      <c r="W315" s="756">
        <v>45940</v>
      </c>
      <c r="X315" s="921"/>
      <c r="Y315" s="472"/>
    </row>
    <row r="316" spans="1:25" ht="14.25" customHeight="1">
      <c r="B316" s="329">
        <v>14</v>
      </c>
      <c r="C316" s="330"/>
      <c r="D316" s="330"/>
      <c r="E316" s="331"/>
      <c r="F316" s="458"/>
      <c r="G316" s="332"/>
      <c r="H316" s="572">
        <v>45961</v>
      </c>
      <c r="I316" s="918"/>
      <c r="J316" s="918"/>
      <c r="K316" s="261"/>
      <c r="L316" s="329">
        <v>14</v>
      </c>
      <c r="M316" s="422" t="s">
        <v>648</v>
      </c>
      <c r="N316" s="330" t="s">
        <v>649</v>
      </c>
      <c r="O316" s="553"/>
      <c r="P316" s="458"/>
      <c r="Q316" s="332">
        <v>20629.91</v>
      </c>
      <c r="R316" s="588"/>
      <c r="S316" s="623" t="s">
        <v>650</v>
      </c>
      <c r="T316" s="755">
        <v>45961</v>
      </c>
      <c r="U316" s="507">
        <f t="shared" si="29"/>
        <v>0</v>
      </c>
      <c r="V316" s="924"/>
      <c r="W316" s="756">
        <v>45967</v>
      </c>
      <c r="X316" s="921"/>
      <c r="Y316" s="472"/>
    </row>
    <row r="317" spans="1:25" ht="14.25" customHeight="1">
      <c r="B317" s="329">
        <v>14</v>
      </c>
      <c r="C317" s="330"/>
      <c r="D317" s="330"/>
      <c r="E317" s="331"/>
      <c r="F317" s="458"/>
      <c r="G317" s="332"/>
      <c r="H317" s="572">
        <v>45991</v>
      </c>
      <c r="I317" s="918"/>
      <c r="J317" s="918"/>
      <c r="K317" s="261"/>
      <c r="L317" s="329">
        <v>14</v>
      </c>
      <c r="M317" s="422" t="s">
        <v>648</v>
      </c>
      <c r="N317" s="330" t="s">
        <v>649</v>
      </c>
      <c r="O317" s="553"/>
      <c r="P317" s="458"/>
      <c r="Q317" s="332">
        <v>15266.94</v>
      </c>
      <c r="R317" s="588"/>
      <c r="S317" s="623" t="s">
        <v>650</v>
      </c>
      <c r="T317" s="755">
        <v>45991</v>
      </c>
      <c r="U317" s="507">
        <f t="shared" si="29"/>
        <v>0</v>
      </c>
      <c r="V317" s="924"/>
      <c r="W317" s="756">
        <v>45996</v>
      </c>
      <c r="X317" s="921"/>
      <c r="Y317" s="472"/>
    </row>
    <row r="318" spans="1:25" ht="14.25" customHeight="1">
      <c r="B318" s="329">
        <v>14</v>
      </c>
      <c r="C318" s="330"/>
      <c r="D318" s="330"/>
      <c r="E318" s="331"/>
      <c r="F318" s="458"/>
      <c r="G318" s="332"/>
      <c r="H318" s="572">
        <v>46022</v>
      </c>
      <c r="I318" s="918"/>
      <c r="J318" s="918"/>
      <c r="K318" s="261"/>
      <c r="L318" s="329">
        <v>14</v>
      </c>
      <c r="M318" s="422" t="s">
        <v>648</v>
      </c>
      <c r="N318" s="330" t="s">
        <v>649</v>
      </c>
      <c r="O318" s="553"/>
      <c r="P318" s="458"/>
      <c r="Q318" s="332">
        <v>59700.29</v>
      </c>
      <c r="R318" s="588"/>
      <c r="S318" s="623" t="s">
        <v>650</v>
      </c>
      <c r="T318" s="755">
        <v>46022</v>
      </c>
      <c r="U318" s="507">
        <f t="shared" si="29"/>
        <v>0</v>
      </c>
      <c r="V318" s="924"/>
      <c r="W318" s="756">
        <v>46030</v>
      </c>
      <c r="X318" s="921"/>
      <c r="Y318" s="472"/>
    </row>
    <row r="319" spans="1:25" ht="14.25" customHeight="1">
      <c r="B319" s="329">
        <v>14</v>
      </c>
      <c r="C319" s="330"/>
      <c r="D319" s="330"/>
      <c r="E319" s="331"/>
      <c r="F319" s="458"/>
      <c r="G319" s="332"/>
      <c r="H319" s="572">
        <v>46053</v>
      </c>
      <c r="I319" s="918"/>
      <c r="J319" s="918"/>
      <c r="K319" s="261"/>
      <c r="L319" s="329">
        <v>14</v>
      </c>
      <c r="M319" s="422" t="s">
        <v>648</v>
      </c>
      <c r="N319" s="330" t="s">
        <v>649</v>
      </c>
      <c r="O319" s="553"/>
      <c r="P319" s="458"/>
      <c r="Q319" s="332">
        <v>28655.7</v>
      </c>
      <c r="R319" s="588"/>
      <c r="S319" s="623" t="s">
        <v>650</v>
      </c>
      <c r="T319" s="755">
        <v>46053</v>
      </c>
      <c r="U319" s="507">
        <f t="shared" si="29"/>
        <v>0</v>
      </c>
      <c r="V319" s="924"/>
      <c r="W319" s="756">
        <v>46058</v>
      </c>
      <c r="X319" s="921"/>
      <c r="Y319" s="472"/>
    </row>
    <row r="320" spans="1:25" ht="14.25" customHeight="1">
      <c r="B320" s="329">
        <v>14</v>
      </c>
      <c r="C320" s="330"/>
      <c r="D320" s="330"/>
      <c r="E320" s="331"/>
      <c r="F320" s="458"/>
      <c r="G320" s="332"/>
      <c r="H320" s="572">
        <v>46081</v>
      </c>
      <c r="I320" s="918"/>
      <c r="J320" s="918"/>
      <c r="K320" s="261"/>
      <c r="L320" s="329">
        <v>14</v>
      </c>
      <c r="M320" s="422" t="s">
        <v>648</v>
      </c>
      <c r="N320" s="330" t="s">
        <v>649</v>
      </c>
      <c r="O320" s="553"/>
      <c r="P320" s="458"/>
      <c r="Q320" s="332">
        <v>30662.5</v>
      </c>
      <c r="R320" s="588"/>
      <c r="S320" s="623"/>
      <c r="T320" s="521">
        <f t="shared" ref="T319:T360" si="30">IF(W320&gt;1,EOMONTH(W320,0),"")</f>
        <v>46081</v>
      </c>
      <c r="U320" s="507">
        <f t="shared" si="29"/>
        <v>0</v>
      </c>
      <c r="V320" s="924"/>
      <c r="W320" s="572">
        <v>46081</v>
      </c>
      <c r="X320" s="921"/>
      <c r="Y320" s="472"/>
    </row>
    <row r="321" spans="1:25" ht="14.25" customHeight="1">
      <c r="B321" s="329">
        <v>14</v>
      </c>
      <c r="C321" s="330"/>
      <c r="D321" s="330"/>
      <c r="E321" s="331"/>
      <c r="F321" s="458"/>
      <c r="G321" s="332"/>
      <c r="H321" s="572"/>
      <c r="I321" s="918"/>
      <c r="J321" s="918"/>
      <c r="K321" s="261"/>
      <c r="L321" s="329">
        <v>14</v>
      </c>
      <c r="M321" s="422" t="s">
        <v>648</v>
      </c>
      <c r="N321" s="330"/>
      <c r="O321" s="553"/>
      <c r="P321" s="458"/>
      <c r="Q321" s="332"/>
      <c r="R321" s="588"/>
      <c r="S321" s="623"/>
      <c r="T321" s="521" t="str">
        <f t="shared" si="30"/>
        <v/>
      </c>
      <c r="U321" s="507">
        <f t="shared" si="29"/>
        <v>0</v>
      </c>
      <c r="V321" s="924"/>
      <c r="W321" s="572"/>
      <c r="X321" s="921"/>
      <c r="Y321" s="472"/>
    </row>
    <row r="322" spans="1:25" ht="15" customHeight="1" thickBot="1">
      <c r="B322" s="262">
        <v>14</v>
      </c>
      <c r="C322" s="333"/>
      <c r="D322" s="333"/>
      <c r="E322" s="334"/>
      <c r="F322" s="459"/>
      <c r="G322" s="263"/>
      <c r="H322" s="573"/>
      <c r="I322" s="919"/>
      <c r="J322" s="919"/>
      <c r="K322" s="264"/>
      <c r="L322" s="262">
        <v>14</v>
      </c>
      <c r="M322" s="423" t="s">
        <v>648</v>
      </c>
      <c r="N322" s="333"/>
      <c r="O322" s="554"/>
      <c r="P322" s="459"/>
      <c r="Q322" s="263"/>
      <c r="R322" s="589"/>
      <c r="S322" s="624"/>
      <c r="T322" s="522" t="str">
        <f t="shared" si="30"/>
        <v/>
      </c>
      <c r="U322" s="508">
        <f t="shared" si="29"/>
        <v>0</v>
      </c>
      <c r="V322" s="925"/>
      <c r="W322" s="573"/>
      <c r="X322" s="922"/>
      <c r="Y322" s="472"/>
    </row>
    <row r="323" spans="1:25" ht="14.45" thickBot="1">
      <c r="A323" s="24"/>
      <c r="B323" s="279"/>
      <c r="C323" s="266"/>
      <c r="D323" s="266"/>
      <c r="E323" s="280"/>
      <c r="F323" s="443"/>
      <c r="G323" s="281"/>
      <c r="H323" s="563"/>
      <c r="I323" s="335"/>
      <c r="J323" s="335"/>
      <c r="K323" s="24"/>
      <c r="L323" s="279"/>
      <c r="M323" s="266"/>
      <c r="N323" s="266"/>
      <c r="O323" s="543"/>
      <c r="P323" s="443"/>
      <c r="Q323" s="281"/>
      <c r="R323" s="577"/>
      <c r="S323" s="612"/>
      <c r="T323" s="512" t="str">
        <f t="shared" si="30"/>
        <v/>
      </c>
      <c r="U323" s="500"/>
      <c r="V323" s="483"/>
      <c r="W323" s="563"/>
      <c r="X323" s="480"/>
      <c r="Y323" s="472"/>
    </row>
    <row r="324" spans="1:25">
      <c r="B324" s="270">
        <v>15</v>
      </c>
      <c r="C324" s="271" t="s">
        <v>651</v>
      </c>
      <c r="D324" s="271"/>
      <c r="E324" s="272"/>
      <c r="F324" s="424"/>
      <c r="G324" s="273"/>
      <c r="H324" s="567"/>
      <c r="I324" s="885">
        <v>0</v>
      </c>
      <c r="J324" s="885">
        <v>0</v>
      </c>
      <c r="K324" s="274"/>
      <c r="L324" s="270">
        <v>15</v>
      </c>
      <c r="M324" s="340" t="s">
        <v>652</v>
      </c>
      <c r="N324" s="271"/>
      <c r="O324" s="272"/>
      <c r="P324" s="424"/>
      <c r="Q324" s="273"/>
      <c r="R324" s="581"/>
      <c r="S324" s="616"/>
      <c r="T324" s="516" t="str">
        <f t="shared" si="30"/>
        <v/>
      </c>
      <c r="U324" s="501"/>
      <c r="V324" s="888">
        <v>0</v>
      </c>
      <c r="W324" s="567"/>
      <c r="X324" s="875">
        <f>SUM(Q324:Q360)</f>
        <v>2249043.0099999998</v>
      </c>
      <c r="Y324" s="472"/>
    </row>
    <row r="325" spans="1:25">
      <c r="B325" s="300">
        <v>15</v>
      </c>
      <c r="C325" s="302"/>
      <c r="D325" s="302"/>
      <c r="E325" s="303"/>
      <c r="F325" s="446"/>
      <c r="G325" s="304"/>
      <c r="H325" s="560"/>
      <c r="I325" s="886"/>
      <c r="J325" s="886"/>
      <c r="K325" s="277"/>
      <c r="L325" s="300">
        <v>15</v>
      </c>
      <c r="M325" s="378" t="s">
        <v>652</v>
      </c>
      <c r="N325" s="302" t="s">
        <v>653</v>
      </c>
      <c r="O325" s="540"/>
      <c r="P325" s="446"/>
      <c r="Q325" s="304"/>
      <c r="R325" s="574"/>
      <c r="S325" s="609"/>
      <c r="T325" s="509">
        <v>46022</v>
      </c>
      <c r="U325" s="493"/>
      <c r="V325" s="889"/>
      <c r="W325" s="560">
        <f>T325</f>
        <v>46022</v>
      </c>
      <c r="X325" s="876"/>
      <c r="Y325" s="472"/>
    </row>
    <row r="326" spans="1:25">
      <c r="B326" s="300">
        <v>15</v>
      </c>
      <c r="C326" s="302"/>
      <c r="D326" s="302"/>
      <c r="E326" s="303"/>
      <c r="F326" s="446"/>
      <c r="G326" s="304"/>
      <c r="H326" s="560"/>
      <c r="I326" s="886"/>
      <c r="J326" s="886"/>
      <c r="K326" s="277"/>
      <c r="L326" s="300">
        <v>15</v>
      </c>
      <c r="M326" s="378" t="s">
        <v>652</v>
      </c>
      <c r="N326" s="302" t="s">
        <v>654</v>
      </c>
      <c r="O326" s="540"/>
      <c r="P326" s="446"/>
      <c r="Q326" s="304">
        <v>140.75</v>
      </c>
      <c r="R326" s="574" t="s">
        <v>655</v>
      </c>
      <c r="S326" s="609" t="s">
        <v>656</v>
      </c>
      <c r="T326" s="675">
        <v>46053</v>
      </c>
      <c r="U326" s="493"/>
      <c r="V326" s="889"/>
      <c r="W326" s="524">
        <v>46041</v>
      </c>
      <c r="X326" s="876"/>
      <c r="Y326" s="472"/>
    </row>
    <row r="327" spans="1:25">
      <c r="B327" s="300">
        <v>15</v>
      </c>
      <c r="C327" s="302"/>
      <c r="D327" s="302"/>
      <c r="E327" s="303"/>
      <c r="F327" s="446"/>
      <c r="G327" s="304"/>
      <c r="H327" s="524"/>
      <c r="I327" s="886"/>
      <c r="J327" s="886"/>
      <c r="K327" s="277"/>
      <c r="L327" s="300">
        <v>15</v>
      </c>
      <c r="M327" s="378" t="s">
        <v>652</v>
      </c>
      <c r="N327" s="302" t="s">
        <v>654</v>
      </c>
      <c r="O327" s="540"/>
      <c r="P327" s="446"/>
      <c r="Q327" s="304">
        <v>3127.77</v>
      </c>
      <c r="R327" s="574" t="s">
        <v>657</v>
      </c>
      <c r="S327" s="609" t="s">
        <v>658</v>
      </c>
      <c r="T327" s="675">
        <v>45900</v>
      </c>
      <c r="U327" s="493"/>
      <c r="V327" s="889"/>
      <c r="W327" s="524">
        <v>45883</v>
      </c>
      <c r="X327" s="876"/>
      <c r="Y327" s="472"/>
    </row>
    <row r="328" spans="1:25">
      <c r="B328" s="300">
        <v>15</v>
      </c>
      <c r="C328" s="302"/>
      <c r="D328" s="302"/>
      <c r="E328" s="303"/>
      <c r="F328" s="446"/>
      <c r="G328" s="304"/>
      <c r="H328" s="702"/>
      <c r="I328" s="886"/>
      <c r="J328" s="886"/>
      <c r="K328" s="277"/>
      <c r="L328" s="300">
        <v>15</v>
      </c>
      <c r="M328" s="378" t="s">
        <v>652</v>
      </c>
      <c r="N328" s="302" t="s">
        <v>654</v>
      </c>
      <c r="O328" s="540"/>
      <c r="P328" s="446"/>
      <c r="Q328" s="304">
        <v>1495.89</v>
      </c>
      <c r="R328" s="574" t="s">
        <v>659</v>
      </c>
      <c r="S328" s="609" t="s">
        <v>660</v>
      </c>
      <c r="T328" s="675">
        <v>45900</v>
      </c>
      <c r="U328" s="493"/>
      <c r="V328" s="889"/>
      <c r="W328" s="702">
        <v>45888</v>
      </c>
      <c r="X328" s="876"/>
      <c r="Y328" s="472"/>
    </row>
    <row r="329" spans="1:25">
      <c r="B329" s="300">
        <v>15</v>
      </c>
      <c r="C329" s="302"/>
      <c r="D329" s="302"/>
      <c r="E329" s="303"/>
      <c r="F329" s="446"/>
      <c r="G329" s="304"/>
      <c r="H329" s="524"/>
      <c r="I329" s="886"/>
      <c r="J329" s="886"/>
      <c r="K329" s="277"/>
      <c r="L329" s="300">
        <v>15</v>
      </c>
      <c r="M329" s="378" t="s">
        <v>652</v>
      </c>
      <c r="N329" s="302" t="s">
        <v>654</v>
      </c>
      <c r="O329" s="540"/>
      <c r="P329" s="446"/>
      <c r="Q329" s="304">
        <v>407.97</v>
      </c>
      <c r="R329" s="574" t="s">
        <v>661</v>
      </c>
      <c r="S329" s="609" t="s">
        <v>662</v>
      </c>
      <c r="T329" s="678">
        <v>45900</v>
      </c>
      <c r="U329" s="493"/>
      <c r="V329" s="889"/>
      <c r="W329" s="524">
        <v>45890</v>
      </c>
      <c r="X329" s="876"/>
      <c r="Y329" s="472"/>
    </row>
    <row r="330" spans="1:25">
      <c r="B330" s="300">
        <v>15</v>
      </c>
      <c r="C330" s="302"/>
      <c r="D330" s="302"/>
      <c r="E330" s="303"/>
      <c r="F330" s="446"/>
      <c r="G330" s="304"/>
      <c r="H330" s="524"/>
      <c r="I330" s="886"/>
      <c r="J330" s="886"/>
      <c r="K330" s="277"/>
      <c r="L330" s="300">
        <v>15</v>
      </c>
      <c r="M330" s="378" t="s">
        <v>652</v>
      </c>
      <c r="N330" s="302" t="s">
        <v>654</v>
      </c>
      <c r="O330" s="540"/>
      <c r="P330" s="446"/>
      <c r="Q330" s="304">
        <v>951.93</v>
      </c>
      <c r="R330" s="574" t="s">
        <v>663</v>
      </c>
      <c r="S330" s="609" t="s">
        <v>664</v>
      </c>
      <c r="T330" s="675">
        <v>45900</v>
      </c>
      <c r="U330" s="493"/>
      <c r="V330" s="889"/>
      <c r="W330" s="524">
        <v>45901</v>
      </c>
      <c r="X330" s="876"/>
      <c r="Y330" s="472"/>
    </row>
    <row r="331" spans="1:25">
      <c r="B331" s="300">
        <v>15</v>
      </c>
      <c r="C331" s="302"/>
      <c r="D331" s="302"/>
      <c r="E331" s="303"/>
      <c r="F331" s="446"/>
      <c r="G331" s="304"/>
      <c r="H331" s="524"/>
      <c r="I331" s="886"/>
      <c r="J331" s="886"/>
      <c r="K331" s="277"/>
      <c r="L331" s="300">
        <v>15</v>
      </c>
      <c r="M331" s="378" t="s">
        <v>652</v>
      </c>
      <c r="N331" s="302" t="s">
        <v>654</v>
      </c>
      <c r="O331" s="540"/>
      <c r="P331" s="446"/>
      <c r="Q331" s="304">
        <v>135.99</v>
      </c>
      <c r="R331" s="574" t="s">
        <v>665</v>
      </c>
      <c r="S331" s="609" t="s">
        <v>666</v>
      </c>
      <c r="T331" s="675">
        <v>45930</v>
      </c>
      <c r="U331" s="493"/>
      <c r="V331" s="889"/>
      <c r="W331" s="524">
        <v>45910</v>
      </c>
      <c r="X331" s="876"/>
      <c r="Y331" s="472"/>
    </row>
    <row r="332" spans="1:25">
      <c r="B332" s="300">
        <v>15</v>
      </c>
      <c r="C332" s="302"/>
      <c r="D332" s="302"/>
      <c r="E332" s="303"/>
      <c r="F332" s="446"/>
      <c r="G332" s="304"/>
      <c r="H332" s="524"/>
      <c r="I332" s="886"/>
      <c r="J332" s="886"/>
      <c r="K332" s="277"/>
      <c r="L332" s="300">
        <v>15</v>
      </c>
      <c r="M332" s="378" t="s">
        <v>652</v>
      </c>
      <c r="N332" s="302" t="s">
        <v>654</v>
      </c>
      <c r="O332" s="540"/>
      <c r="P332" s="446"/>
      <c r="Q332" s="304">
        <v>2719.8</v>
      </c>
      <c r="R332" s="574" t="s">
        <v>667</v>
      </c>
      <c r="S332" s="609" t="s">
        <v>668</v>
      </c>
      <c r="T332" s="675">
        <v>45930</v>
      </c>
      <c r="U332" s="493"/>
      <c r="V332" s="889"/>
      <c r="W332" s="524">
        <v>45923</v>
      </c>
      <c r="X332" s="876"/>
      <c r="Y332" s="472"/>
    </row>
    <row r="333" spans="1:25">
      <c r="B333" s="300">
        <v>15</v>
      </c>
      <c r="C333" s="302"/>
      <c r="D333" s="302"/>
      <c r="E333" s="303"/>
      <c r="F333" s="446"/>
      <c r="G333" s="304"/>
      <c r="H333" s="524"/>
      <c r="I333" s="886"/>
      <c r="J333" s="886"/>
      <c r="K333" s="277"/>
      <c r="L333" s="300">
        <v>15</v>
      </c>
      <c r="M333" s="378" t="s">
        <v>652</v>
      </c>
      <c r="N333" s="302" t="s">
        <v>654</v>
      </c>
      <c r="O333" s="540"/>
      <c r="P333" s="446"/>
      <c r="Q333" s="304">
        <v>271.98</v>
      </c>
      <c r="R333" s="574" t="s">
        <v>669</v>
      </c>
      <c r="S333" s="609" t="s">
        <v>670</v>
      </c>
      <c r="T333" s="675">
        <v>45930</v>
      </c>
      <c r="U333" s="493"/>
      <c r="V333" s="889"/>
      <c r="W333" s="524">
        <v>45930</v>
      </c>
      <c r="X333" s="876"/>
      <c r="Y333" s="472"/>
    </row>
    <row r="334" spans="1:25">
      <c r="B334" s="300">
        <v>15</v>
      </c>
      <c r="C334" s="302"/>
      <c r="D334" s="302"/>
      <c r="E334" s="303"/>
      <c r="F334" s="446"/>
      <c r="G334" s="304"/>
      <c r="H334" s="524"/>
      <c r="I334" s="886"/>
      <c r="J334" s="886"/>
      <c r="K334" s="277"/>
      <c r="L334" s="300">
        <v>15</v>
      </c>
      <c r="M334" s="378" t="s">
        <v>652</v>
      </c>
      <c r="N334" s="302" t="s">
        <v>654</v>
      </c>
      <c r="O334" s="540"/>
      <c r="P334" s="446"/>
      <c r="Q334" s="304">
        <v>271.98</v>
      </c>
      <c r="R334" s="574" t="s">
        <v>671</v>
      </c>
      <c r="S334" s="609" t="s">
        <v>672</v>
      </c>
      <c r="T334" s="675">
        <v>45930</v>
      </c>
      <c r="U334" s="493"/>
      <c r="V334" s="889"/>
      <c r="W334" s="524">
        <v>45930</v>
      </c>
      <c r="X334" s="876"/>
      <c r="Y334" s="472"/>
    </row>
    <row r="335" spans="1:25">
      <c r="B335" s="300">
        <v>15</v>
      </c>
      <c r="C335" s="302"/>
      <c r="D335" s="302"/>
      <c r="E335" s="303"/>
      <c r="F335" s="446"/>
      <c r="G335" s="304"/>
      <c r="H335" s="524"/>
      <c r="I335" s="886"/>
      <c r="J335" s="886"/>
      <c r="K335" s="277"/>
      <c r="L335" s="300">
        <v>15</v>
      </c>
      <c r="M335" s="378" t="s">
        <v>652</v>
      </c>
      <c r="N335" s="302" t="s">
        <v>654</v>
      </c>
      <c r="O335" s="540"/>
      <c r="P335" s="446"/>
      <c r="Q335" s="304">
        <v>271.98</v>
      </c>
      <c r="R335" s="574" t="s">
        <v>673</v>
      </c>
      <c r="S335" s="609" t="s">
        <v>674</v>
      </c>
      <c r="T335" s="675">
        <v>45961</v>
      </c>
      <c r="U335" s="493"/>
      <c r="V335" s="889"/>
      <c r="W335" s="524">
        <v>45932</v>
      </c>
      <c r="X335" s="876"/>
      <c r="Y335" s="472"/>
    </row>
    <row r="336" spans="1:25">
      <c r="B336" s="300">
        <v>15</v>
      </c>
      <c r="C336" s="302"/>
      <c r="D336" s="302"/>
      <c r="E336" s="303"/>
      <c r="F336" s="446"/>
      <c r="G336" s="304"/>
      <c r="H336" s="560"/>
      <c r="I336" s="886"/>
      <c r="J336" s="886"/>
      <c r="K336" s="277"/>
      <c r="L336" s="300">
        <v>15</v>
      </c>
      <c r="M336" s="378" t="s">
        <v>652</v>
      </c>
      <c r="N336" s="302" t="s">
        <v>675</v>
      </c>
      <c r="O336" s="540"/>
      <c r="P336" s="446"/>
      <c r="Q336" s="304">
        <v>12722.45</v>
      </c>
      <c r="R336" s="574" t="s">
        <v>676</v>
      </c>
      <c r="S336" s="609" t="s">
        <v>677</v>
      </c>
      <c r="T336" s="678">
        <v>45961</v>
      </c>
      <c r="U336" s="493"/>
      <c r="V336" s="889"/>
      <c r="W336" s="757">
        <v>45960</v>
      </c>
      <c r="X336" s="876"/>
      <c r="Y336" s="472"/>
    </row>
    <row r="337" spans="2:25">
      <c r="B337" s="300">
        <v>15</v>
      </c>
      <c r="C337" s="302"/>
      <c r="D337" s="302"/>
      <c r="E337" s="303"/>
      <c r="F337" s="446"/>
      <c r="G337" s="304"/>
      <c r="H337" s="560"/>
      <c r="I337" s="886"/>
      <c r="J337" s="886"/>
      <c r="K337" s="277"/>
      <c r="L337" s="300">
        <v>15</v>
      </c>
      <c r="M337" s="378" t="s">
        <v>652</v>
      </c>
      <c r="N337" s="302" t="s">
        <v>675</v>
      </c>
      <c r="O337" s="540"/>
      <c r="P337" s="446"/>
      <c r="Q337" s="304">
        <v>14381.9</v>
      </c>
      <c r="R337" s="574" t="s">
        <v>678</v>
      </c>
      <c r="S337" s="609" t="s">
        <v>679</v>
      </c>
      <c r="T337" s="752">
        <v>45991</v>
      </c>
      <c r="U337" s="493"/>
      <c r="V337" s="889"/>
      <c r="W337" s="757">
        <v>46009</v>
      </c>
      <c r="X337" s="876"/>
      <c r="Y337" s="472"/>
    </row>
    <row r="338" spans="2:25">
      <c r="B338" s="300"/>
      <c r="C338" s="302"/>
      <c r="D338" s="302"/>
      <c r="E338" s="303"/>
      <c r="F338" s="446"/>
      <c r="G338" s="304"/>
      <c r="H338" s="560"/>
      <c r="I338" s="886"/>
      <c r="J338" s="886"/>
      <c r="K338" s="277"/>
      <c r="L338" s="300">
        <v>15</v>
      </c>
      <c r="M338" s="378" t="s">
        <v>652</v>
      </c>
      <c r="N338" s="302" t="s">
        <v>675</v>
      </c>
      <c r="O338" s="540"/>
      <c r="P338" s="446"/>
      <c r="Q338" s="304">
        <v>9126.98</v>
      </c>
      <c r="R338" s="574"/>
      <c r="S338" s="609" t="s">
        <v>680</v>
      </c>
      <c r="T338" s="752">
        <v>45991</v>
      </c>
      <c r="U338" s="493"/>
      <c r="V338" s="889"/>
      <c r="W338" s="757">
        <v>45995</v>
      </c>
      <c r="X338" s="876"/>
      <c r="Y338" s="472"/>
    </row>
    <row r="339" spans="2:25">
      <c r="B339" s="300"/>
      <c r="C339" s="302"/>
      <c r="D339" s="302"/>
      <c r="E339" s="303"/>
      <c r="F339" s="446"/>
      <c r="G339" s="304"/>
      <c r="H339" s="560"/>
      <c r="I339" s="886"/>
      <c r="J339" s="886"/>
      <c r="K339" s="277"/>
      <c r="L339" s="300">
        <v>15</v>
      </c>
      <c r="M339" s="378" t="s">
        <v>652</v>
      </c>
      <c r="N339" s="302" t="s">
        <v>675</v>
      </c>
      <c r="O339" s="540"/>
      <c r="P339" s="446"/>
      <c r="Q339" s="304">
        <v>1936.03</v>
      </c>
      <c r="R339" s="574" t="s">
        <v>681</v>
      </c>
      <c r="S339" s="609" t="s">
        <v>682</v>
      </c>
      <c r="T339" s="675">
        <v>46053</v>
      </c>
      <c r="U339" s="493"/>
      <c r="V339" s="889"/>
      <c r="W339" s="524">
        <v>46051</v>
      </c>
      <c r="X339" s="876"/>
      <c r="Y339" s="472"/>
    </row>
    <row r="340" spans="2:25">
      <c r="B340" s="300"/>
      <c r="C340" s="302"/>
      <c r="D340" s="302"/>
      <c r="E340" s="303"/>
      <c r="F340" s="446"/>
      <c r="G340" s="304"/>
      <c r="H340" s="560"/>
      <c r="I340" s="886"/>
      <c r="J340" s="886"/>
      <c r="K340" s="277"/>
      <c r="L340" s="300">
        <v>15</v>
      </c>
      <c r="M340" s="378" t="s">
        <v>652</v>
      </c>
      <c r="N340" s="302" t="s">
        <v>675</v>
      </c>
      <c r="O340" s="540"/>
      <c r="P340" s="446"/>
      <c r="Q340" s="304">
        <v>5215.6099999999997</v>
      </c>
      <c r="R340" s="574" t="s">
        <v>683</v>
      </c>
      <c r="S340" s="609"/>
      <c r="T340" s="509">
        <v>46081</v>
      </c>
      <c r="U340" s="493"/>
      <c r="V340" s="889"/>
      <c r="W340" s="560">
        <f>T340</f>
        <v>46081</v>
      </c>
      <c r="X340" s="876"/>
      <c r="Y340" s="472"/>
    </row>
    <row r="341" spans="2:25">
      <c r="B341" s="300"/>
      <c r="C341" s="302"/>
      <c r="D341" s="302"/>
      <c r="E341" s="303"/>
      <c r="F341" s="446"/>
      <c r="G341" s="304"/>
      <c r="H341" s="560"/>
      <c r="I341" s="886"/>
      <c r="J341" s="886"/>
      <c r="K341" s="277"/>
      <c r="L341" s="300">
        <v>15</v>
      </c>
      <c r="M341" s="378" t="s">
        <v>652</v>
      </c>
      <c r="N341" s="764"/>
      <c r="O341" s="438"/>
      <c r="P341" s="439"/>
      <c r="Q341" s="765"/>
      <c r="R341" s="574"/>
      <c r="S341" s="609"/>
      <c r="T341" s="752"/>
      <c r="U341" s="493"/>
      <c r="V341" s="889"/>
      <c r="W341" s="560"/>
      <c r="X341" s="876"/>
      <c r="Y341" s="472"/>
    </row>
    <row r="342" spans="2:25">
      <c r="B342" s="300"/>
      <c r="C342" s="302"/>
      <c r="D342" s="302"/>
      <c r="E342" s="303"/>
      <c r="F342" s="446"/>
      <c r="G342" s="304"/>
      <c r="H342" s="560"/>
      <c r="I342" s="886"/>
      <c r="J342" s="886"/>
      <c r="K342" s="277"/>
      <c r="L342" s="300">
        <v>15</v>
      </c>
      <c r="M342" s="378" t="s">
        <v>652</v>
      </c>
      <c r="N342" s="302"/>
      <c r="O342" s="540"/>
      <c r="P342" s="446"/>
      <c r="Q342" s="304"/>
      <c r="R342" s="574"/>
      <c r="S342" s="609"/>
      <c r="T342" s="752"/>
      <c r="U342" s="493"/>
      <c r="V342" s="889"/>
      <c r="W342" s="757"/>
      <c r="X342" s="876"/>
      <c r="Y342" s="472"/>
    </row>
    <row r="343" spans="2:25">
      <c r="B343" s="300"/>
      <c r="C343" s="302"/>
      <c r="D343" s="302"/>
      <c r="E343" s="303"/>
      <c r="F343" s="446"/>
      <c r="G343" s="304"/>
      <c r="H343" s="560"/>
      <c r="I343" s="886"/>
      <c r="J343" s="886"/>
      <c r="K343" s="277"/>
      <c r="L343" s="300">
        <v>15</v>
      </c>
      <c r="M343" s="378" t="s">
        <v>652</v>
      </c>
      <c r="N343" s="302" t="s">
        <v>684</v>
      </c>
      <c r="O343" s="540"/>
      <c r="P343" s="446"/>
      <c r="Q343" s="304">
        <v>319.08999999999997</v>
      </c>
      <c r="R343" s="574"/>
      <c r="S343" s="609" t="s">
        <v>685</v>
      </c>
      <c r="T343" s="752">
        <v>46022</v>
      </c>
      <c r="U343" s="493"/>
      <c r="V343" s="889"/>
      <c r="W343" s="757">
        <v>46051</v>
      </c>
      <c r="X343" s="876"/>
      <c r="Y343" s="472"/>
    </row>
    <row r="344" spans="2:25">
      <c r="B344" s="300"/>
      <c r="C344" s="302"/>
      <c r="D344" s="302"/>
      <c r="E344" s="303"/>
      <c r="F344" s="446"/>
      <c r="G344" s="304"/>
      <c r="H344" s="560"/>
      <c r="I344" s="886"/>
      <c r="J344" s="886"/>
      <c r="K344" s="277"/>
      <c r="L344" s="300">
        <v>15</v>
      </c>
      <c r="M344" s="378" t="s">
        <v>652</v>
      </c>
      <c r="N344" s="302"/>
      <c r="O344" s="540"/>
      <c r="P344" s="446"/>
      <c r="Q344" s="304"/>
      <c r="R344" s="574"/>
      <c r="S344" s="609"/>
      <c r="T344" s="752"/>
      <c r="U344" s="493"/>
      <c r="V344" s="889"/>
      <c r="W344" s="757"/>
      <c r="X344" s="876"/>
      <c r="Y344" s="472"/>
    </row>
    <row r="345" spans="2:25">
      <c r="B345" s="300"/>
      <c r="C345" s="302"/>
      <c r="D345" s="302"/>
      <c r="E345" s="303"/>
      <c r="F345" s="446"/>
      <c r="G345" s="304"/>
      <c r="H345" s="560"/>
      <c r="I345" s="886"/>
      <c r="J345" s="886"/>
      <c r="K345" s="277"/>
      <c r="L345" s="300">
        <v>15</v>
      </c>
      <c r="M345" s="378" t="s">
        <v>652</v>
      </c>
      <c r="N345" s="302"/>
      <c r="O345" s="540"/>
      <c r="P345" s="446"/>
      <c r="Q345" s="304"/>
      <c r="R345" s="574"/>
      <c r="S345" s="609"/>
      <c r="T345" s="752"/>
      <c r="U345" s="493"/>
      <c r="V345" s="889"/>
      <c r="W345" s="757"/>
      <c r="X345" s="876"/>
      <c r="Y345" s="472"/>
    </row>
    <row r="346" spans="2:25">
      <c r="B346" s="300">
        <v>15</v>
      </c>
      <c r="C346" s="302"/>
      <c r="D346" s="302"/>
      <c r="E346" s="303"/>
      <c r="F346" s="446"/>
      <c r="G346" s="304"/>
      <c r="H346" s="560"/>
      <c r="I346" s="886"/>
      <c r="J346" s="886"/>
      <c r="K346" s="277"/>
      <c r="L346" s="300">
        <v>15</v>
      </c>
      <c r="M346" s="378" t="s">
        <v>652</v>
      </c>
      <c r="N346" s="302"/>
      <c r="O346" s="540"/>
      <c r="P346" s="446"/>
      <c r="Q346" s="304"/>
      <c r="R346" s="574"/>
      <c r="S346" s="609"/>
      <c r="T346" s="509"/>
      <c r="U346" s="493"/>
      <c r="V346" s="889"/>
      <c r="W346" s="560"/>
      <c r="X346" s="876"/>
      <c r="Y346" s="472"/>
    </row>
    <row r="347" spans="2:25">
      <c r="B347" s="300">
        <v>15</v>
      </c>
      <c r="C347" s="302"/>
      <c r="D347" s="302"/>
      <c r="E347" s="303"/>
      <c r="F347" s="446"/>
      <c r="G347" s="304"/>
      <c r="H347" s="560"/>
      <c r="I347" s="886"/>
      <c r="J347" s="886"/>
      <c r="K347" s="277"/>
      <c r="L347" s="300">
        <v>15</v>
      </c>
      <c r="M347" s="378" t="s">
        <v>652</v>
      </c>
      <c r="N347" s="302" t="s">
        <v>209</v>
      </c>
      <c r="O347" s="540"/>
      <c r="P347" s="446"/>
      <c r="Q347" s="304">
        <v>160210.04999999999</v>
      </c>
      <c r="R347" s="574" t="s">
        <v>686</v>
      </c>
      <c r="S347" s="609" t="s">
        <v>687</v>
      </c>
      <c r="T347" s="675">
        <v>45991</v>
      </c>
      <c r="U347" s="493"/>
      <c r="V347" s="889"/>
      <c r="W347" s="524">
        <v>46003</v>
      </c>
      <c r="X347" s="876"/>
      <c r="Y347" s="472"/>
    </row>
    <row r="348" spans="2:25">
      <c r="B348" s="300">
        <v>15</v>
      </c>
      <c r="C348" s="302"/>
      <c r="D348" s="302"/>
      <c r="E348" s="303"/>
      <c r="F348" s="446"/>
      <c r="G348" s="304"/>
      <c r="H348" s="560"/>
      <c r="I348" s="886"/>
      <c r="J348" s="886"/>
      <c r="K348" s="277"/>
      <c r="L348" s="300">
        <v>15</v>
      </c>
      <c r="M348" s="378" t="s">
        <v>652</v>
      </c>
      <c r="N348" s="302" t="s">
        <v>688</v>
      </c>
      <c r="O348" s="540"/>
      <c r="P348" s="446"/>
      <c r="Q348" s="304">
        <v>1200</v>
      </c>
      <c r="R348" s="574" t="s">
        <v>689</v>
      </c>
      <c r="S348" s="609" t="s">
        <v>690</v>
      </c>
      <c r="T348" s="752">
        <v>45961</v>
      </c>
      <c r="U348" s="493"/>
      <c r="V348" s="889"/>
      <c r="W348" s="757">
        <v>45946</v>
      </c>
      <c r="X348" s="876"/>
      <c r="Y348" s="472"/>
    </row>
    <row r="349" spans="2:25">
      <c r="B349" s="300">
        <v>15</v>
      </c>
      <c r="C349" s="302"/>
      <c r="D349" s="302"/>
      <c r="E349" s="303"/>
      <c r="F349" s="446"/>
      <c r="G349" s="304"/>
      <c r="H349" s="560"/>
      <c r="I349" s="886"/>
      <c r="J349" s="886"/>
      <c r="K349" s="277"/>
      <c r="L349" s="300">
        <v>15</v>
      </c>
      <c r="M349" s="378" t="s">
        <v>652</v>
      </c>
      <c r="N349" s="302" t="s">
        <v>688</v>
      </c>
      <c r="O349" s="540"/>
      <c r="P349" s="446"/>
      <c r="Q349" s="304">
        <v>1200</v>
      </c>
      <c r="R349" s="574" t="s">
        <v>691</v>
      </c>
      <c r="S349" s="609" t="s">
        <v>692</v>
      </c>
      <c r="T349" s="675">
        <v>46022</v>
      </c>
      <c r="U349" s="493"/>
      <c r="V349" s="889"/>
      <c r="W349" s="524">
        <v>46003</v>
      </c>
      <c r="X349" s="876"/>
      <c r="Y349" s="472"/>
    </row>
    <row r="350" spans="2:25">
      <c r="B350" s="300">
        <v>15</v>
      </c>
      <c r="C350" s="302"/>
      <c r="D350" s="302"/>
      <c r="E350" s="303"/>
      <c r="F350" s="446"/>
      <c r="G350" s="304"/>
      <c r="H350" s="560"/>
      <c r="I350" s="886"/>
      <c r="J350" s="886"/>
      <c r="K350" s="277"/>
      <c r="L350" s="300">
        <v>15</v>
      </c>
      <c r="M350" s="378" t="s">
        <v>652</v>
      </c>
      <c r="N350" s="302" t="s">
        <v>688</v>
      </c>
      <c r="O350" s="540"/>
      <c r="P350" s="446"/>
      <c r="Q350" s="304">
        <v>1200</v>
      </c>
      <c r="R350" s="574" t="s">
        <v>693</v>
      </c>
      <c r="S350" s="609" t="s">
        <v>694</v>
      </c>
      <c r="T350" s="675">
        <v>46053</v>
      </c>
      <c r="U350" s="493"/>
      <c r="V350" s="889"/>
      <c r="W350" s="560">
        <v>46051</v>
      </c>
      <c r="X350" s="876"/>
      <c r="Y350" s="472"/>
    </row>
    <row r="351" spans="2:25">
      <c r="B351" s="300">
        <v>15</v>
      </c>
      <c r="C351" s="302"/>
      <c r="D351" s="302"/>
      <c r="E351" s="303"/>
      <c r="F351" s="446"/>
      <c r="G351" s="304"/>
      <c r="H351" s="560"/>
      <c r="I351" s="886"/>
      <c r="J351" s="886"/>
      <c r="K351" s="277"/>
      <c r="L351" s="300">
        <v>15</v>
      </c>
      <c r="M351" s="378" t="s">
        <v>652</v>
      </c>
      <c r="N351" s="302" t="s">
        <v>688</v>
      </c>
      <c r="O351" s="540"/>
      <c r="P351" s="446"/>
      <c r="Q351" s="304">
        <v>1200</v>
      </c>
      <c r="R351" s="574" t="s">
        <v>695</v>
      </c>
      <c r="S351" s="609"/>
      <c r="T351" s="509">
        <v>46081</v>
      </c>
      <c r="U351" s="493"/>
      <c r="V351" s="889"/>
      <c r="W351" s="560">
        <v>46053</v>
      </c>
      <c r="X351" s="876"/>
      <c r="Y351" s="472"/>
    </row>
    <row r="352" spans="2:25">
      <c r="B352" s="300"/>
      <c r="C352" s="302"/>
      <c r="D352" s="302"/>
      <c r="E352" s="303"/>
      <c r="F352" s="446"/>
      <c r="G352" s="304"/>
      <c r="H352" s="560"/>
      <c r="I352" s="886"/>
      <c r="J352" s="886"/>
      <c r="K352" s="277"/>
      <c r="L352" s="300">
        <v>15</v>
      </c>
      <c r="M352" s="378" t="s">
        <v>652</v>
      </c>
      <c r="N352" s="302" t="s">
        <v>688</v>
      </c>
      <c r="O352" s="540"/>
      <c r="P352" s="446"/>
      <c r="Q352" s="304">
        <v>1200</v>
      </c>
      <c r="R352" s="574" t="s">
        <v>696</v>
      </c>
      <c r="S352" s="609"/>
      <c r="T352" s="509">
        <v>46081</v>
      </c>
      <c r="U352" s="493"/>
      <c r="V352" s="889"/>
      <c r="W352" s="560">
        <f>W351+14</f>
        <v>46067</v>
      </c>
      <c r="X352" s="876"/>
      <c r="Y352" s="472"/>
    </row>
    <row r="353" spans="2:25">
      <c r="B353" s="300">
        <v>15</v>
      </c>
      <c r="C353" s="302"/>
      <c r="D353" s="302"/>
      <c r="E353" s="303"/>
      <c r="F353" s="446"/>
      <c r="G353" s="304"/>
      <c r="H353" s="560"/>
      <c r="I353" s="886"/>
      <c r="J353" s="886"/>
      <c r="K353" s="277"/>
      <c r="L353" s="300">
        <v>15</v>
      </c>
      <c r="M353" s="378" t="s">
        <v>652</v>
      </c>
      <c r="N353" s="302" t="s">
        <v>697</v>
      </c>
      <c r="O353" s="540">
        <v>270</v>
      </c>
      <c r="P353" s="446">
        <v>1005.8</v>
      </c>
      <c r="Q353" s="304">
        <f>O353*P353</f>
        <v>271566</v>
      </c>
      <c r="R353" s="574"/>
      <c r="S353" s="609"/>
      <c r="T353" s="509">
        <v>46112</v>
      </c>
      <c r="U353" s="493"/>
      <c r="V353" s="889"/>
      <c r="W353" s="560">
        <f>T353</f>
        <v>46112</v>
      </c>
      <c r="X353" s="876"/>
      <c r="Y353" s="472"/>
    </row>
    <row r="354" spans="2:25">
      <c r="B354" s="300">
        <v>15</v>
      </c>
      <c r="C354" s="302"/>
      <c r="D354" s="302"/>
      <c r="E354" s="303"/>
      <c r="F354" s="446"/>
      <c r="G354" s="304"/>
      <c r="H354" s="560"/>
      <c r="I354" s="886"/>
      <c r="J354" s="886"/>
      <c r="K354" s="277"/>
      <c r="L354" s="300">
        <v>15</v>
      </c>
      <c r="M354" s="378" t="s">
        <v>652</v>
      </c>
      <c r="N354" s="302" t="s">
        <v>698</v>
      </c>
      <c r="O354" s="540">
        <v>85</v>
      </c>
      <c r="P354" s="446">
        <v>1005.8</v>
      </c>
      <c r="Q354" s="304">
        <f>O354*P354</f>
        <v>85493</v>
      </c>
      <c r="R354" s="574"/>
      <c r="S354" s="609"/>
      <c r="T354" s="509">
        <v>46112</v>
      </c>
      <c r="U354" s="493"/>
      <c r="V354" s="889"/>
      <c r="W354" s="560">
        <f>T354</f>
        <v>46112</v>
      </c>
      <c r="X354" s="876"/>
      <c r="Y354" s="472"/>
    </row>
    <row r="355" spans="2:25">
      <c r="B355" s="300">
        <v>15</v>
      </c>
      <c r="C355" s="302"/>
      <c r="D355" s="302"/>
      <c r="E355" s="303"/>
      <c r="F355" s="446"/>
      <c r="G355" s="304"/>
      <c r="H355" s="560"/>
      <c r="I355" s="886"/>
      <c r="J355" s="886"/>
      <c r="K355" s="277"/>
      <c r="L355" s="300">
        <v>15</v>
      </c>
      <c r="M355" s="378" t="s">
        <v>652</v>
      </c>
      <c r="N355" s="302" t="s">
        <v>699</v>
      </c>
      <c r="O355" s="540"/>
      <c r="P355" s="446"/>
      <c r="Q355" s="304">
        <v>250000</v>
      </c>
      <c r="R355" s="574"/>
      <c r="S355" s="609"/>
      <c r="T355" s="509">
        <v>46112</v>
      </c>
      <c r="U355" s="493"/>
      <c r="V355" s="889"/>
      <c r="W355" s="560">
        <f>T355</f>
        <v>46112</v>
      </c>
      <c r="X355" s="876"/>
      <c r="Y355" s="472"/>
    </row>
    <row r="356" spans="2:25">
      <c r="B356" s="300"/>
      <c r="C356" s="302"/>
      <c r="D356" s="302"/>
      <c r="E356" s="303"/>
      <c r="F356" s="446"/>
      <c r="G356" s="304"/>
      <c r="H356" s="560"/>
      <c r="I356" s="886"/>
      <c r="J356" s="886"/>
      <c r="K356" s="277"/>
      <c r="L356" s="300">
        <v>15</v>
      </c>
      <c r="M356" s="378" t="s">
        <v>652</v>
      </c>
      <c r="N356" s="302"/>
      <c r="O356" s="540"/>
      <c r="P356" s="446"/>
      <c r="Q356" s="304"/>
      <c r="R356" s="574"/>
      <c r="S356" s="609"/>
      <c r="T356" s="509"/>
      <c r="U356" s="493"/>
      <c r="V356" s="889"/>
      <c r="W356" s="560"/>
      <c r="X356" s="876"/>
      <c r="Y356" s="472"/>
    </row>
    <row r="357" spans="2:25">
      <c r="B357" s="300">
        <v>15</v>
      </c>
      <c r="C357" s="302"/>
      <c r="D357" s="302"/>
      <c r="E357" s="303"/>
      <c r="F357" s="446"/>
      <c r="G357" s="304"/>
      <c r="H357" s="560"/>
      <c r="I357" s="886"/>
      <c r="J357" s="886"/>
      <c r="K357" s="277"/>
      <c r="L357" s="300">
        <v>15</v>
      </c>
      <c r="M357" s="378" t="s">
        <v>652</v>
      </c>
      <c r="N357" s="302" t="s">
        <v>700</v>
      </c>
      <c r="O357" s="540"/>
      <c r="P357" s="446"/>
      <c r="Q357" s="604">
        <f>1151150.17-Q287</f>
        <v>1151150.17</v>
      </c>
      <c r="R357" s="574"/>
      <c r="S357" s="609"/>
      <c r="T357" s="509">
        <v>46081</v>
      </c>
      <c r="U357" s="493"/>
      <c r="V357" s="889"/>
      <c r="W357" s="560">
        <f>T357</f>
        <v>46081</v>
      </c>
      <c r="X357" s="876"/>
      <c r="Y357" s="472"/>
    </row>
    <row r="358" spans="2:25">
      <c r="B358" s="300">
        <v>15</v>
      </c>
      <c r="C358" s="302"/>
      <c r="D358" s="302"/>
      <c r="E358" s="303"/>
      <c r="F358" s="446"/>
      <c r="G358" s="304"/>
      <c r="H358" s="560"/>
      <c r="I358" s="886"/>
      <c r="J358" s="886"/>
      <c r="K358" s="277"/>
      <c r="L358" s="300">
        <v>15</v>
      </c>
      <c r="M358" s="378" t="s">
        <v>652</v>
      </c>
      <c r="N358" s="302" t="s">
        <v>701</v>
      </c>
      <c r="O358" s="540"/>
      <c r="P358" s="446"/>
      <c r="Q358" s="304">
        <v>271125.69</v>
      </c>
      <c r="R358" s="574"/>
      <c r="S358" s="609" t="s">
        <v>702</v>
      </c>
      <c r="T358" s="752">
        <v>46053</v>
      </c>
      <c r="U358" s="493"/>
      <c r="V358" s="889"/>
      <c r="W358" s="524">
        <v>46051</v>
      </c>
      <c r="X358" s="876"/>
      <c r="Y358" s="472"/>
    </row>
    <row r="359" spans="2:25">
      <c r="B359" s="300">
        <v>15</v>
      </c>
      <c r="C359" s="302"/>
      <c r="D359" s="302"/>
      <c r="E359" s="303"/>
      <c r="F359" s="446"/>
      <c r="G359" s="304"/>
      <c r="H359" s="560"/>
      <c r="I359" s="886"/>
      <c r="J359" s="886"/>
      <c r="K359" s="277"/>
      <c r="L359" s="300">
        <v>15</v>
      </c>
      <c r="M359" s="378" t="s">
        <v>652</v>
      </c>
      <c r="N359" s="302"/>
      <c r="O359" s="540"/>
      <c r="P359" s="446"/>
      <c r="Q359" s="304"/>
      <c r="R359" s="574"/>
      <c r="S359" s="609"/>
      <c r="T359" s="509" t="str">
        <f t="shared" si="30"/>
        <v/>
      </c>
      <c r="U359" s="493"/>
      <c r="V359" s="889"/>
      <c r="W359" s="560"/>
      <c r="X359" s="876"/>
      <c r="Y359" s="472"/>
    </row>
    <row r="360" spans="2:25" ht="15" customHeight="1" thickBot="1">
      <c r="B360" s="305">
        <v>15</v>
      </c>
      <c r="C360" s="306"/>
      <c r="D360" s="306"/>
      <c r="E360" s="307"/>
      <c r="F360" s="447"/>
      <c r="G360" s="319"/>
      <c r="H360" s="562"/>
      <c r="I360" s="887"/>
      <c r="J360" s="887"/>
      <c r="K360" s="278"/>
      <c r="L360" s="305">
        <v>15</v>
      </c>
      <c r="M360" s="407" t="s">
        <v>652</v>
      </c>
      <c r="N360" s="306"/>
      <c r="O360" s="542"/>
      <c r="P360" s="447"/>
      <c r="Q360" s="319"/>
      <c r="R360" s="576"/>
      <c r="S360" s="611"/>
      <c r="T360" s="511" t="str">
        <f t="shared" si="30"/>
        <v/>
      </c>
      <c r="U360" s="495"/>
      <c r="V360" s="890"/>
      <c r="W360" s="562"/>
      <c r="X360" s="877"/>
      <c r="Y360" s="472"/>
    </row>
    <row r="361" spans="2:25" s="3" customFormat="1">
      <c r="B361" s="109"/>
      <c r="E361" s="4"/>
      <c r="F361" s="460"/>
      <c r="G361" s="5"/>
      <c r="H361" s="337"/>
      <c r="I361" s="336"/>
      <c r="J361" s="336"/>
      <c r="L361" s="109"/>
      <c r="O361" s="4"/>
      <c r="P361" s="460"/>
      <c r="Q361" s="337"/>
      <c r="R361" s="337"/>
      <c r="S361" s="337"/>
      <c r="T361" s="337"/>
      <c r="U361" s="337"/>
      <c r="V361" s="337"/>
      <c r="W361" s="337"/>
      <c r="X361" s="337"/>
    </row>
    <row r="362" spans="2:25">
      <c r="B362" s="112"/>
      <c r="C362" s="626" t="s">
        <v>703</v>
      </c>
      <c r="D362" s="65">
        <v>14537831.300000001</v>
      </c>
      <c r="E362" s="534"/>
      <c r="F362" s="626">
        <v>15101045.605359133</v>
      </c>
      <c r="G362" s="112"/>
      <c r="I362" s="112"/>
      <c r="J362" s="112"/>
    </row>
    <row r="363" spans="2:25">
      <c r="B363" s="112"/>
      <c r="C363" s="626" t="s">
        <v>704</v>
      </c>
      <c r="D363" s="65">
        <v>2760000</v>
      </c>
      <c r="E363" s="534"/>
      <c r="F363" s="626">
        <v>2982470.7100577182</v>
      </c>
      <c r="G363" s="112"/>
      <c r="I363" s="245"/>
      <c r="J363" s="245"/>
    </row>
    <row r="364" spans="2:25">
      <c r="B364" s="112"/>
      <c r="C364" s="626" t="s">
        <v>705</v>
      </c>
      <c r="D364" s="65">
        <v>7358785.9097348731</v>
      </c>
      <c r="E364" s="534"/>
      <c r="F364" s="626">
        <v>7951943.2744093109</v>
      </c>
      <c r="G364" s="112"/>
      <c r="I364" s="338"/>
      <c r="J364" s="338"/>
    </row>
    <row r="365" spans="2:25">
      <c r="B365" s="112"/>
      <c r="C365" s="626" t="s">
        <v>376</v>
      </c>
      <c r="D365" s="65">
        <v>8057942</v>
      </c>
      <c r="E365" s="534"/>
      <c r="F365" s="626">
        <v>8707455.0718637351</v>
      </c>
      <c r="G365" s="112"/>
      <c r="I365" s="245"/>
      <c r="J365" s="245"/>
    </row>
    <row r="366" spans="2:25">
      <c r="B366" s="112"/>
      <c r="C366" s="626" t="s">
        <v>430</v>
      </c>
      <c r="D366" s="65">
        <v>2941866.9</v>
      </c>
      <c r="E366" s="534"/>
      <c r="F366" s="626">
        <v>3178997.0514993835</v>
      </c>
      <c r="G366" s="112"/>
      <c r="I366" s="338"/>
      <c r="J366" s="338"/>
    </row>
    <row r="367" spans="2:25">
      <c r="B367" s="112"/>
      <c r="C367" s="626" t="s">
        <v>397</v>
      </c>
      <c r="D367" s="65">
        <v>64000</v>
      </c>
      <c r="E367" s="534"/>
      <c r="F367" s="626">
        <v>69158.741102787666</v>
      </c>
      <c r="G367" s="112"/>
      <c r="I367" s="245"/>
      <c r="J367" s="245"/>
      <c r="O367" s="474" t="s">
        <v>706</v>
      </c>
      <c r="P367" s="762">
        <v>45982</v>
      </c>
    </row>
    <row r="368" spans="2:25">
      <c r="B368" s="112"/>
      <c r="C368" s="626" t="s">
        <v>707</v>
      </c>
      <c r="D368" s="65">
        <v>565000</v>
      </c>
      <c r="E368" s="534"/>
      <c r="F368" s="626">
        <v>610542.01129804738</v>
      </c>
      <c r="G368" s="112"/>
      <c r="I368" s="245"/>
      <c r="J368" s="245"/>
      <c r="O368" s="474" t="s">
        <v>708</v>
      </c>
      <c r="P368" s="762">
        <f>'Project Plan'!I99</f>
        <v>46006</v>
      </c>
    </row>
    <row r="369" spans="2:75">
      <c r="B369" s="112"/>
      <c r="C369" s="626" t="s">
        <v>709</v>
      </c>
      <c r="D369" s="65">
        <v>250000</v>
      </c>
      <c r="E369" s="534"/>
      <c r="F369" s="626">
        <v>270151.33243276435</v>
      </c>
      <c r="G369" s="112"/>
      <c r="I369" s="245"/>
      <c r="J369" s="245"/>
      <c r="O369" s="474" t="s">
        <v>710</v>
      </c>
      <c r="P369" s="474">
        <f>P368-P367</f>
        <v>24</v>
      </c>
      <c r="BV369" s="24"/>
      <c r="BW369" s="24"/>
    </row>
    <row r="370" spans="2:75">
      <c r="B370" s="112"/>
      <c r="C370" s="626" t="s">
        <v>711</v>
      </c>
      <c r="D370" s="65">
        <v>1200000</v>
      </c>
      <c r="E370" s="534"/>
      <c r="F370" s="626">
        <v>1296726.3956772687</v>
      </c>
      <c r="G370" s="112"/>
      <c r="I370" s="245"/>
      <c r="J370" s="245"/>
    </row>
    <row r="371" spans="2:75">
      <c r="B371" s="112"/>
      <c r="C371" s="626" t="s">
        <v>712</v>
      </c>
      <c r="D371" s="65">
        <v>0</v>
      </c>
      <c r="E371" s="534"/>
      <c r="F371" s="626">
        <v>0</v>
      </c>
      <c r="G371" s="112"/>
      <c r="I371" s="245"/>
      <c r="J371" s="245"/>
    </row>
    <row r="372" spans="2:75">
      <c r="B372" s="112"/>
      <c r="C372" s="626" t="s">
        <v>713</v>
      </c>
      <c r="D372" s="65">
        <v>0</v>
      </c>
      <c r="E372" s="534"/>
      <c r="F372" s="626">
        <v>0</v>
      </c>
      <c r="G372" s="112"/>
      <c r="I372" s="245"/>
      <c r="J372" s="245"/>
    </row>
    <row r="373" spans="2:75">
      <c r="B373" s="112"/>
      <c r="C373" s="626" t="s">
        <v>714</v>
      </c>
      <c r="D373" s="65"/>
      <c r="E373" s="534"/>
      <c r="F373" s="626"/>
      <c r="G373" s="112"/>
      <c r="I373" s="245"/>
      <c r="J373" s="245"/>
    </row>
    <row r="374" spans="2:75">
      <c r="B374" s="112"/>
      <c r="C374" s="626"/>
      <c r="D374" s="65"/>
      <c r="E374" s="534"/>
      <c r="F374" s="626"/>
      <c r="G374" s="112"/>
      <c r="I374" s="245"/>
      <c r="J374" s="245"/>
    </row>
    <row r="375" spans="2:75" s="112" customFormat="1">
      <c r="C375" s="626" t="s">
        <v>715</v>
      </c>
      <c r="D375" s="626">
        <v>1062060</v>
      </c>
      <c r="E375" s="534"/>
      <c r="F375" s="626">
        <v>1249482.3529411764</v>
      </c>
      <c r="I375" s="245"/>
      <c r="J375" s="245"/>
    </row>
    <row r="376" spans="2:75" s="112" customFormat="1">
      <c r="C376" s="626" t="s">
        <v>716</v>
      </c>
      <c r="D376" s="626">
        <v>3298351.2369999997</v>
      </c>
      <c r="E376" s="534"/>
      <c r="F376" s="626">
        <v>3880413.2199999997</v>
      </c>
      <c r="I376" s="245"/>
      <c r="J376" s="245"/>
    </row>
    <row r="377" spans="2:75" s="112" customFormat="1">
      <c r="C377" s="626" t="s">
        <v>717</v>
      </c>
      <c r="D377" s="626">
        <v>950000</v>
      </c>
      <c r="E377" s="534"/>
      <c r="F377" s="626">
        <v>1079545.4545454546</v>
      </c>
      <c r="I377" s="245"/>
      <c r="J377" s="245"/>
    </row>
    <row r="378" spans="2:75" s="112" customFormat="1">
      <c r="C378" s="626" t="s">
        <v>718</v>
      </c>
      <c r="D378" s="626">
        <v>420000</v>
      </c>
      <c r="E378" s="534"/>
      <c r="F378" s="626">
        <v>494117.64705882355</v>
      </c>
      <c r="I378" s="245"/>
      <c r="J378" s="245"/>
    </row>
    <row r="379" spans="2:75" s="112" customFormat="1">
      <c r="C379" s="626" t="s">
        <v>719</v>
      </c>
      <c r="D379" s="626">
        <v>85000</v>
      </c>
      <c r="E379" s="534"/>
      <c r="F379" s="626">
        <v>100000</v>
      </c>
      <c r="I379" s="245"/>
      <c r="J379" s="245"/>
    </row>
    <row r="380" spans="2:75" s="112" customFormat="1">
      <c r="C380" s="626" t="s">
        <v>720</v>
      </c>
      <c r="D380" s="626">
        <v>0</v>
      </c>
      <c r="E380" s="534"/>
      <c r="F380" s="626">
        <v>0</v>
      </c>
      <c r="I380" s="245"/>
      <c r="J380" s="245"/>
    </row>
    <row r="381" spans="2:75" s="112" customFormat="1">
      <c r="C381" s="626" t="s">
        <v>721</v>
      </c>
      <c r="D381" s="626">
        <v>176058.33333333331</v>
      </c>
      <c r="E381" s="534"/>
      <c r="F381" s="626">
        <v>207127.45098039214</v>
      </c>
      <c r="I381" s="245"/>
      <c r="J381" s="245"/>
    </row>
    <row r="382" spans="2:75" s="112" customFormat="1">
      <c r="C382" s="626" t="s">
        <v>722</v>
      </c>
      <c r="D382" s="626">
        <v>0</v>
      </c>
      <c r="E382" s="534"/>
      <c r="F382" s="626">
        <v>0</v>
      </c>
      <c r="I382" s="245"/>
      <c r="J382" s="245"/>
    </row>
    <row r="383" spans="2:75" s="112" customFormat="1">
      <c r="C383" s="626" t="s">
        <v>723</v>
      </c>
      <c r="D383" s="626">
        <v>133245.9</v>
      </c>
      <c r="E383" s="534"/>
      <c r="F383" s="626">
        <v>156759.88235294117</v>
      </c>
      <c r="I383" s="245"/>
      <c r="J383" s="245"/>
    </row>
    <row r="384" spans="2:75" s="112" customFormat="1">
      <c r="C384" s="626" t="s">
        <v>724</v>
      </c>
      <c r="D384" s="626">
        <v>0</v>
      </c>
      <c r="E384" s="534"/>
      <c r="F384" s="626">
        <v>0</v>
      </c>
      <c r="I384" s="245"/>
      <c r="J384" s="245"/>
    </row>
    <row r="385" spans="3:10" s="112" customFormat="1">
      <c r="C385" s="626" t="s">
        <v>725</v>
      </c>
      <c r="D385" s="626">
        <v>12030860.6085</v>
      </c>
      <c r="E385" s="534"/>
      <c r="F385" s="626">
        <v>12664063.798421053</v>
      </c>
      <c r="I385" s="245"/>
      <c r="J385" s="245"/>
    </row>
    <row r="386" spans="3:10" s="112" customFormat="1">
      <c r="C386" s="626"/>
      <c r="D386" s="626"/>
      <c r="E386" s="534"/>
      <c r="F386" s="626"/>
      <c r="I386" s="245"/>
      <c r="J386" s="245"/>
    </row>
    <row r="387" spans="3:10" s="112" customFormat="1">
      <c r="C387" s="626" t="s">
        <v>726</v>
      </c>
      <c r="D387" s="626"/>
      <c r="E387" s="534"/>
      <c r="F387" s="626"/>
      <c r="I387" s="245"/>
      <c r="J387" s="245"/>
    </row>
    <row r="388" spans="3:10" s="112" customFormat="1">
      <c r="C388" s="626" t="s">
        <v>727</v>
      </c>
      <c r="D388" s="626">
        <v>0</v>
      </c>
      <c r="E388" s="534"/>
      <c r="F388" s="626">
        <v>0</v>
      </c>
      <c r="I388" s="245"/>
      <c r="J388" s="245"/>
    </row>
    <row r="389" spans="3:10" s="112" customFormat="1">
      <c r="C389" s="538"/>
      <c r="D389" s="538"/>
      <c r="E389" s="155"/>
      <c r="F389" s="451"/>
      <c r="I389" s="245"/>
      <c r="J389" s="245"/>
    </row>
    <row r="390" spans="3:10" s="112" customFormat="1">
      <c r="C390" s="538"/>
      <c r="D390" s="538"/>
      <c r="E390" s="155"/>
      <c r="F390" s="451"/>
      <c r="I390" s="245"/>
      <c r="J390" s="245"/>
    </row>
    <row r="391" spans="3:10" s="112" customFormat="1">
      <c r="C391" s="538"/>
      <c r="D391" s="538"/>
      <c r="E391" s="155"/>
      <c r="F391" s="451"/>
      <c r="I391" s="245"/>
      <c r="J391" s="245"/>
    </row>
    <row r="392" spans="3:10" s="112" customFormat="1">
      <c r="C392" s="538"/>
      <c r="D392" s="538"/>
      <c r="E392" s="155"/>
      <c r="F392" s="451"/>
      <c r="I392" s="245"/>
      <c r="J392" s="245"/>
    </row>
    <row r="393" spans="3:10" s="112" customFormat="1">
      <c r="C393" s="538"/>
      <c r="D393" s="538"/>
      <c r="E393" s="155"/>
      <c r="F393" s="451"/>
      <c r="I393" s="245"/>
      <c r="J393" s="245"/>
    </row>
    <row r="394" spans="3:10" s="112" customFormat="1">
      <c r="C394" s="538"/>
      <c r="D394" s="538"/>
      <c r="E394" s="155"/>
      <c r="F394" s="451"/>
      <c r="I394" s="245"/>
      <c r="J394" s="245"/>
    </row>
    <row r="395" spans="3:10" s="112" customFormat="1">
      <c r="C395" s="538"/>
      <c r="D395" s="538"/>
      <c r="E395" s="155"/>
      <c r="F395" s="451"/>
      <c r="I395" s="245"/>
      <c r="J395" s="245"/>
    </row>
    <row r="396" spans="3:10" s="112" customFormat="1">
      <c r="C396" s="538"/>
      <c r="D396" s="538"/>
      <c r="E396" s="155"/>
      <c r="F396" s="451"/>
      <c r="I396" s="245"/>
      <c r="J396" s="245"/>
    </row>
    <row r="397" spans="3:10" s="112" customFormat="1">
      <c r="C397" s="538"/>
      <c r="D397" s="538"/>
      <c r="E397" s="155"/>
      <c r="F397" s="451"/>
      <c r="I397" s="245"/>
      <c r="J397" s="245"/>
    </row>
    <row r="398" spans="3:10" s="112" customFormat="1">
      <c r="C398" s="538"/>
      <c r="D398" s="538"/>
      <c r="E398" s="155"/>
      <c r="F398" s="451"/>
      <c r="I398" s="245"/>
      <c r="J398" s="245"/>
    </row>
    <row r="399" spans="3:10" s="112" customFormat="1">
      <c r="C399" s="538"/>
      <c r="D399" s="538"/>
      <c r="E399" s="155"/>
      <c r="F399" s="451"/>
      <c r="I399" s="245"/>
      <c r="J399" s="245"/>
    </row>
    <row r="400" spans="3:10" s="112" customFormat="1">
      <c r="C400" s="538"/>
      <c r="D400" s="538"/>
      <c r="E400" s="155"/>
      <c r="F400" s="451"/>
      <c r="I400" s="245"/>
      <c r="J400" s="245"/>
    </row>
    <row r="401" spans="3:10" s="112" customFormat="1">
      <c r="C401" s="538"/>
      <c r="D401" s="538"/>
      <c r="E401" s="155"/>
      <c r="F401" s="451"/>
      <c r="I401" s="245"/>
      <c r="J401" s="245"/>
    </row>
    <row r="402" spans="3:10" s="112" customFormat="1">
      <c r="C402" s="538"/>
      <c r="D402" s="538"/>
      <c r="E402" s="155"/>
      <c r="F402" s="451"/>
      <c r="I402" s="245"/>
      <c r="J402" s="245"/>
    </row>
    <row r="403" spans="3:10" s="112" customFormat="1">
      <c r="C403" s="538"/>
      <c r="D403" s="538"/>
      <c r="E403" s="155"/>
      <c r="F403" s="451"/>
      <c r="I403" s="245"/>
      <c r="J403" s="245"/>
    </row>
    <row r="404" spans="3:10" s="112" customFormat="1">
      <c r="C404" s="538"/>
      <c r="D404" s="538"/>
      <c r="E404" s="155"/>
      <c r="F404" s="451"/>
      <c r="I404" s="245"/>
      <c r="J404" s="245"/>
    </row>
    <row r="405" spans="3:10" s="112" customFormat="1">
      <c r="C405" s="538"/>
      <c r="D405" s="538"/>
      <c r="E405" s="155"/>
      <c r="F405" s="451"/>
      <c r="I405" s="245"/>
      <c r="J405" s="245"/>
    </row>
    <row r="406" spans="3:10" s="112" customFormat="1">
      <c r="C406" s="538"/>
      <c r="D406" s="538"/>
      <c r="E406" s="155"/>
      <c r="F406" s="451"/>
      <c r="I406" s="245"/>
      <c r="J406" s="245"/>
    </row>
    <row r="407" spans="3:10" s="112" customFormat="1">
      <c r="C407" s="538"/>
      <c r="D407" s="538"/>
      <c r="E407" s="155"/>
      <c r="F407" s="451"/>
      <c r="I407" s="245"/>
      <c r="J407" s="245"/>
    </row>
    <row r="408" spans="3:10" s="112" customFormat="1">
      <c r="C408" s="538"/>
      <c r="D408" s="538"/>
      <c r="E408" s="155"/>
      <c r="F408" s="451"/>
      <c r="I408" s="245"/>
      <c r="J408" s="245"/>
    </row>
    <row r="409" spans="3:10" s="112" customFormat="1">
      <c r="E409" s="155"/>
      <c r="F409" s="451"/>
      <c r="I409" s="245"/>
      <c r="J409" s="245"/>
    </row>
    <row r="410" spans="3:10" s="112" customFormat="1">
      <c r="E410" s="155"/>
      <c r="F410" s="451"/>
      <c r="I410" s="245"/>
      <c r="J410" s="245"/>
    </row>
    <row r="411" spans="3:10" s="112" customFormat="1">
      <c r="E411" s="155"/>
      <c r="F411" s="451"/>
      <c r="I411" s="245"/>
      <c r="J411" s="245"/>
    </row>
    <row r="412" spans="3:10" s="112" customFormat="1">
      <c r="E412" s="155"/>
      <c r="F412" s="451"/>
      <c r="I412" s="245"/>
      <c r="J412" s="245"/>
    </row>
    <row r="413" spans="3:10" s="112" customFormat="1">
      <c r="E413" s="155"/>
      <c r="F413" s="451"/>
      <c r="I413" s="245"/>
      <c r="J413" s="245"/>
    </row>
    <row r="414" spans="3:10" s="112" customFormat="1">
      <c r="E414" s="155"/>
      <c r="F414" s="451"/>
      <c r="I414" s="245"/>
      <c r="J414" s="245"/>
    </row>
    <row r="415" spans="3:10" s="112" customFormat="1">
      <c r="E415" s="155"/>
      <c r="F415" s="451"/>
      <c r="I415" s="245"/>
      <c r="J415" s="245"/>
    </row>
    <row r="416" spans="3:10" s="112" customFormat="1">
      <c r="E416" s="155"/>
      <c r="F416" s="451"/>
      <c r="I416" s="245"/>
      <c r="J416" s="245"/>
    </row>
    <row r="417" spans="5:10" s="112" customFormat="1">
      <c r="E417" s="155"/>
      <c r="F417" s="451"/>
      <c r="I417" s="245"/>
      <c r="J417" s="245"/>
    </row>
    <row r="418" spans="5:10" s="112" customFormat="1">
      <c r="E418" s="155"/>
      <c r="F418" s="451"/>
      <c r="I418" s="245"/>
      <c r="J418" s="245"/>
    </row>
    <row r="419" spans="5:10" s="112" customFormat="1">
      <c r="E419" s="155"/>
      <c r="F419" s="451"/>
      <c r="I419" s="245"/>
      <c r="J419" s="245"/>
    </row>
    <row r="420" spans="5:10" s="112" customFormat="1">
      <c r="E420" s="155"/>
      <c r="F420" s="451"/>
      <c r="I420" s="245"/>
      <c r="J420" s="245"/>
    </row>
    <row r="421" spans="5:10" s="112" customFormat="1">
      <c r="E421" s="155"/>
      <c r="F421" s="451"/>
      <c r="I421" s="245"/>
      <c r="J421" s="245"/>
    </row>
    <row r="422" spans="5:10" s="112" customFormat="1">
      <c r="E422" s="155"/>
      <c r="F422" s="451"/>
      <c r="I422" s="245"/>
      <c r="J422" s="245"/>
    </row>
    <row r="423" spans="5:10" s="112" customFormat="1">
      <c r="E423" s="155"/>
      <c r="F423" s="451"/>
      <c r="I423" s="245"/>
      <c r="J423" s="245"/>
    </row>
    <row r="424" spans="5:10" s="112" customFormat="1">
      <c r="E424" s="155"/>
      <c r="F424" s="451"/>
      <c r="I424" s="245"/>
      <c r="J424" s="245"/>
    </row>
    <row r="425" spans="5:10" s="112" customFormat="1">
      <c r="E425" s="155"/>
      <c r="F425" s="451"/>
      <c r="I425" s="245"/>
      <c r="J425" s="245"/>
    </row>
    <row r="426" spans="5:10" s="112" customFormat="1">
      <c r="E426" s="155"/>
      <c r="F426" s="451"/>
      <c r="I426" s="245"/>
      <c r="J426" s="245"/>
    </row>
    <row r="427" spans="5:10" s="112" customFormat="1">
      <c r="E427" s="155"/>
      <c r="F427" s="451"/>
      <c r="I427" s="245"/>
      <c r="J427" s="245"/>
    </row>
    <row r="428" spans="5:10" s="112" customFormat="1">
      <c r="E428" s="155"/>
      <c r="F428" s="451"/>
      <c r="I428" s="245"/>
      <c r="J428" s="245"/>
    </row>
    <row r="429" spans="5:10" s="112" customFormat="1">
      <c r="E429" s="155"/>
      <c r="F429" s="451"/>
      <c r="I429" s="245"/>
      <c r="J429" s="245"/>
    </row>
    <row r="430" spans="5:10" s="112" customFormat="1">
      <c r="E430" s="155"/>
      <c r="F430" s="451"/>
      <c r="I430" s="245"/>
      <c r="J430" s="245"/>
    </row>
    <row r="431" spans="5:10" s="112" customFormat="1">
      <c r="E431" s="155"/>
      <c r="F431" s="451"/>
      <c r="I431" s="245"/>
      <c r="J431" s="245"/>
    </row>
    <row r="432" spans="5:10" s="112" customFormat="1">
      <c r="E432" s="155"/>
      <c r="F432" s="451"/>
      <c r="I432" s="245"/>
      <c r="J432" s="245"/>
    </row>
    <row r="433" spans="5:10" s="112" customFormat="1">
      <c r="E433" s="155"/>
      <c r="F433" s="451"/>
      <c r="I433" s="245"/>
      <c r="J433" s="245"/>
    </row>
    <row r="434" spans="5:10" s="112" customFormat="1">
      <c r="E434" s="155"/>
      <c r="F434" s="451"/>
      <c r="I434" s="245"/>
      <c r="J434" s="245"/>
    </row>
    <row r="435" spans="5:10" s="112" customFormat="1">
      <c r="E435" s="155"/>
      <c r="F435" s="451"/>
      <c r="I435" s="245"/>
      <c r="J435" s="245"/>
    </row>
    <row r="436" spans="5:10" s="112" customFormat="1">
      <c r="E436" s="155"/>
      <c r="F436" s="451"/>
      <c r="I436" s="245"/>
      <c r="J436" s="245"/>
    </row>
    <row r="437" spans="5:10" s="112" customFormat="1">
      <c r="E437" s="155"/>
      <c r="F437" s="451"/>
      <c r="I437" s="245"/>
      <c r="J437" s="245"/>
    </row>
    <row r="438" spans="5:10" s="112" customFormat="1">
      <c r="E438" s="155"/>
      <c r="F438" s="451"/>
      <c r="I438" s="245"/>
      <c r="J438" s="245"/>
    </row>
    <row r="439" spans="5:10" s="112" customFormat="1">
      <c r="E439" s="155"/>
      <c r="F439" s="451"/>
      <c r="I439" s="245"/>
      <c r="J439" s="245"/>
    </row>
    <row r="440" spans="5:10" s="112" customFormat="1">
      <c r="E440" s="155"/>
      <c r="F440" s="451"/>
      <c r="I440" s="245"/>
      <c r="J440" s="245"/>
    </row>
    <row r="441" spans="5:10" s="112" customFormat="1">
      <c r="E441" s="155"/>
      <c r="F441" s="451"/>
      <c r="I441" s="245"/>
      <c r="J441" s="245"/>
    </row>
    <row r="442" spans="5:10" s="112" customFormat="1">
      <c r="E442" s="155"/>
      <c r="F442" s="451"/>
      <c r="I442" s="245"/>
      <c r="J442" s="245"/>
    </row>
    <row r="443" spans="5:10" s="112" customFormat="1">
      <c r="E443" s="155"/>
      <c r="F443" s="451"/>
      <c r="I443" s="245"/>
      <c r="J443" s="245"/>
    </row>
    <row r="444" spans="5:10" s="112" customFormat="1">
      <c r="E444" s="155"/>
      <c r="F444" s="451"/>
      <c r="I444" s="245"/>
      <c r="J444" s="245"/>
    </row>
    <row r="445" spans="5:10" s="112" customFormat="1">
      <c r="E445" s="155"/>
      <c r="F445" s="451"/>
      <c r="I445" s="245"/>
      <c r="J445" s="245"/>
    </row>
    <row r="446" spans="5:10" s="112" customFormat="1">
      <c r="E446" s="155"/>
      <c r="F446" s="451"/>
      <c r="I446" s="245"/>
      <c r="J446" s="245"/>
    </row>
    <row r="447" spans="5:10" s="112" customFormat="1">
      <c r="E447" s="155"/>
      <c r="F447" s="451"/>
      <c r="I447" s="245"/>
      <c r="J447" s="245"/>
    </row>
    <row r="448" spans="5:10" s="112" customFormat="1">
      <c r="E448" s="155"/>
      <c r="F448" s="451"/>
      <c r="I448" s="245"/>
      <c r="J448" s="245"/>
    </row>
    <row r="449" spans="5:10" s="112" customFormat="1">
      <c r="E449" s="155"/>
      <c r="F449" s="451"/>
      <c r="I449" s="245"/>
      <c r="J449" s="245"/>
    </row>
    <row r="450" spans="5:10" s="112" customFormat="1">
      <c r="E450" s="155"/>
      <c r="F450" s="451"/>
      <c r="I450" s="245"/>
      <c r="J450" s="245"/>
    </row>
    <row r="451" spans="5:10" s="112" customFormat="1">
      <c r="E451" s="155"/>
      <c r="F451" s="451"/>
      <c r="I451" s="245"/>
      <c r="J451" s="245"/>
    </row>
    <row r="452" spans="5:10" s="112" customFormat="1">
      <c r="E452" s="155"/>
      <c r="F452" s="451"/>
      <c r="I452" s="245"/>
      <c r="J452" s="245"/>
    </row>
    <row r="453" spans="5:10" s="112" customFormat="1">
      <c r="E453" s="155"/>
      <c r="F453" s="451"/>
      <c r="I453" s="245"/>
      <c r="J453" s="245"/>
    </row>
    <row r="454" spans="5:10" s="112" customFormat="1">
      <c r="E454" s="155"/>
      <c r="F454" s="451"/>
      <c r="I454" s="245"/>
      <c r="J454" s="245"/>
    </row>
    <row r="455" spans="5:10" s="112" customFormat="1">
      <c r="E455" s="155"/>
      <c r="F455" s="451"/>
      <c r="I455" s="245"/>
      <c r="J455" s="245"/>
    </row>
    <row r="456" spans="5:10" s="112" customFormat="1">
      <c r="E456" s="155"/>
      <c r="F456" s="451"/>
      <c r="I456" s="245"/>
      <c r="J456" s="245"/>
    </row>
    <row r="457" spans="5:10" s="112" customFormat="1">
      <c r="E457" s="155"/>
      <c r="F457" s="451"/>
      <c r="I457" s="245"/>
      <c r="J457" s="245"/>
    </row>
    <row r="458" spans="5:10" s="112" customFormat="1">
      <c r="E458" s="155"/>
      <c r="F458" s="451"/>
      <c r="I458" s="245"/>
      <c r="J458" s="245"/>
    </row>
    <row r="459" spans="5:10" s="112" customFormat="1">
      <c r="E459" s="155"/>
      <c r="F459" s="451"/>
      <c r="I459" s="245"/>
      <c r="J459" s="245"/>
    </row>
    <row r="460" spans="5:10" s="112" customFormat="1">
      <c r="E460" s="155"/>
      <c r="F460" s="451"/>
      <c r="I460" s="245"/>
      <c r="J460" s="245"/>
    </row>
    <row r="461" spans="5:10" s="112" customFormat="1">
      <c r="E461" s="155"/>
      <c r="F461" s="451"/>
      <c r="I461" s="245"/>
      <c r="J461" s="245"/>
    </row>
    <row r="462" spans="5:10" s="112" customFormat="1">
      <c r="E462" s="155"/>
      <c r="F462" s="451"/>
      <c r="I462" s="245"/>
      <c r="J462" s="245"/>
    </row>
    <row r="463" spans="5:10" s="112" customFormat="1">
      <c r="E463" s="155"/>
      <c r="F463" s="451"/>
      <c r="I463" s="245"/>
      <c r="J463" s="245"/>
    </row>
    <row r="464" spans="5:10" s="112" customFormat="1">
      <c r="E464" s="155"/>
      <c r="F464" s="451"/>
      <c r="I464" s="245"/>
      <c r="J464" s="245"/>
    </row>
    <row r="465" spans="5:10" s="112" customFormat="1">
      <c r="E465" s="155"/>
      <c r="F465" s="451"/>
      <c r="I465" s="245"/>
      <c r="J465" s="245"/>
    </row>
    <row r="466" spans="5:10" s="112" customFormat="1">
      <c r="E466" s="155"/>
      <c r="F466" s="451"/>
      <c r="I466" s="245"/>
      <c r="J466" s="245"/>
    </row>
    <row r="467" spans="5:10" s="112" customFormat="1">
      <c r="E467" s="155"/>
      <c r="F467" s="451"/>
      <c r="I467" s="245"/>
      <c r="J467" s="245"/>
    </row>
    <row r="468" spans="5:10" s="112" customFormat="1">
      <c r="E468" s="155"/>
      <c r="F468" s="451"/>
      <c r="I468" s="245"/>
      <c r="J468" s="245"/>
    </row>
    <row r="469" spans="5:10" s="112" customFormat="1">
      <c r="E469" s="155"/>
      <c r="F469" s="451"/>
      <c r="I469" s="245"/>
      <c r="J469" s="245"/>
    </row>
    <row r="470" spans="5:10" s="112" customFormat="1">
      <c r="E470" s="155"/>
      <c r="F470" s="451"/>
      <c r="I470" s="245"/>
      <c r="J470" s="245"/>
    </row>
    <row r="471" spans="5:10" s="112" customFormat="1">
      <c r="E471" s="155"/>
      <c r="F471" s="451"/>
      <c r="I471" s="245"/>
      <c r="J471" s="245"/>
    </row>
    <row r="472" spans="5:10" s="112" customFormat="1">
      <c r="E472" s="155"/>
      <c r="F472" s="451"/>
      <c r="I472" s="245"/>
      <c r="J472" s="245"/>
    </row>
    <row r="473" spans="5:10" s="112" customFormat="1">
      <c r="E473" s="155"/>
      <c r="F473" s="451"/>
      <c r="I473" s="245"/>
      <c r="J473" s="245"/>
    </row>
    <row r="474" spans="5:10" s="112" customFormat="1">
      <c r="E474" s="155"/>
      <c r="F474" s="451"/>
      <c r="I474" s="245"/>
      <c r="J474" s="245"/>
    </row>
    <row r="475" spans="5:10" s="112" customFormat="1">
      <c r="E475" s="155"/>
      <c r="F475" s="451"/>
      <c r="I475" s="245"/>
      <c r="J475" s="245"/>
    </row>
    <row r="476" spans="5:10" s="112" customFormat="1">
      <c r="E476" s="155"/>
      <c r="F476" s="451"/>
      <c r="I476" s="245"/>
      <c r="J476" s="245"/>
    </row>
    <row r="477" spans="5:10" s="112" customFormat="1">
      <c r="E477" s="155"/>
      <c r="F477" s="451"/>
      <c r="I477" s="245"/>
      <c r="J477" s="245"/>
    </row>
    <row r="478" spans="5:10" s="112" customFormat="1">
      <c r="E478" s="155"/>
      <c r="F478" s="451"/>
      <c r="I478" s="245"/>
      <c r="J478" s="245"/>
    </row>
    <row r="479" spans="5:10" s="112" customFormat="1">
      <c r="E479" s="155"/>
      <c r="F479" s="451"/>
      <c r="I479" s="245"/>
      <c r="J479" s="245"/>
    </row>
    <row r="480" spans="5:10" s="112" customFormat="1">
      <c r="E480" s="155"/>
      <c r="F480" s="451"/>
      <c r="I480" s="245"/>
      <c r="J480" s="245"/>
    </row>
    <row r="481" spans="5:10" s="112" customFormat="1">
      <c r="E481" s="155"/>
      <c r="F481" s="451"/>
      <c r="I481" s="245"/>
      <c r="J481" s="245"/>
    </row>
    <row r="482" spans="5:10" s="112" customFormat="1">
      <c r="E482" s="155"/>
      <c r="F482" s="451"/>
      <c r="I482" s="245"/>
      <c r="J482" s="245"/>
    </row>
    <row r="483" spans="5:10" s="112" customFormat="1">
      <c r="E483" s="155"/>
      <c r="F483" s="451"/>
      <c r="I483" s="245"/>
      <c r="J483" s="245"/>
    </row>
    <row r="484" spans="5:10" s="112" customFormat="1">
      <c r="E484" s="155"/>
      <c r="F484" s="451"/>
      <c r="I484" s="245"/>
      <c r="J484" s="245"/>
    </row>
    <row r="485" spans="5:10" s="112" customFormat="1">
      <c r="E485" s="155"/>
      <c r="F485" s="451"/>
      <c r="I485" s="245"/>
      <c r="J485" s="245"/>
    </row>
    <row r="486" spans="5:10" s="112" customFormat="1">
      <c r="E486" s="155"/>
      <c r="F486" s="451"/>
      <c r="I486" s="245"/>
      <c r="J486" s="245"/>
    </row>
    <row r="487" spans="5:10" s="112" customFormat="1">
      <c r="E487" s="155"/>
      <c r="F487" s="451"/>
      <c r="I487" s="245"/>
      <c r="J487" s="245"/>
    </row>
    <row r="488" spans="5:10" s="112" customFormat="1">
      <c r="E488" s="155"/>
      <c r="F488" s="451"/>
      <c r="I488" s="245"/>
      <c r="J488" s="245"/>
    </row>
    <row r="489" spans="5:10" s="112" customFormat="1">
      <c r="E489" s="155"/>
      <c r="F489" s="451"/>
      <c r="I489" s="245"/>
      <c r="J489" s="245"/>
    </row>
    <row r="490" spans="5:10" s="112" customFormat="1">
      <c r="E490" s="155"/>
      <c r="F490" s="451"/>
      <c r="I490" s="245"/>
      <c r="J490" s="245"/>
    </row>
    <row r="491" spans="5:10" s="112" customFormat="1">
      <c r="E491" s="155"/>
      <c r="F491" s="451"/>
      <c r="I491" s="245"/>
      <c r="J491" s="245"/>
    </row>
    <row r="492" spans="5:10" s="112" customFormat="1">
      <c r="E492" s="155"/>
      <c r="F492" s="451"/>
      <c r="I492" s="245"/>
      <c r="J492" s="245"/>
    </row>
    <row r="493" spans="5:10" s="112" customFormat="1">
      <c r="E493" s="155"/>
      <c r="F493" s="451"/>
      <c r="I493" s="245"/>
      <c r="J493" s="245"/>
    </row>
    <row r="494" spans="5:10" s="112" customFormat="1">
      <c r="E494" s="155"/>
      <c r="F494" s="451"/>
      <c r="I494" s="245"/>
      <c r="J494" s="245"/>
    </row>
    <row r="495" spans="5:10" s="112" customFormat="1">
      <c r="E495" s="155"/>
      <c r="F495" s="451"/>
      <c r="I495" s="245"/>
      <c r="J495" s="245"/>
    </row>
    <row r="496" spans="5:10" s="112" customFormat="1">
      <c r="E496" s="155"/>
      <c r="F496" s="451"/>
      <c r="I496" s="245"/>
      <c r="J496" s="245"/>
    </row>
    <row r="497" spans="5:10" s="112" customFormat="1">
      <c r="E497" s="155"/>
      <c r="F497" s="451"/>
      <c r="I497" s="245"/>
      <c r="J497" s="245"/>
    </row>
    <row r="498" spans="5:10" s="112" customFormat="1">
      <c r="E498" s="155"/>
      <c r="F498" s="451"/>
      <c r="I498" s="245"/>
      <c r="J498" s="245"/>
    </row>
    <row r="499" spans="5:10" s="112" customFormat="1">
      <c r="E499" s="155"/>
      <c r="F499" s="451"/>
      <c r="I499" s="245"/>
      <c r="J499" s="245"/>
    </row>
    <row r="500" spans="5:10" s="112" customFormat="1">
      <c r="E500" s="155"/>
      <c r="F500" s="451"/>
      <c r="I500" s="245"/>
      <c r="J500" s="245"/>
    </row>
    <row r="501" spans="5:10" s="112" customFormat="1">
      <c r="E501" s="155"/>
      <c r="F501" s="451"/>
      <c r="I501" s="245"/>
      <c r="J501" s="245"/>
    </row>
    <row r="502" spans="5:10" s="112" customFormat="1">
      <c r="E502" s="155"/>
      <c r="F502" s="451"/>
      <c r="I502" s="245"/>
      <c r="J502" s="245"/>
    </row>
    <row r="503" spans="5:10" s="112" customFormat="1">
      <c r="E503" s="155"/>
      <c r="F503" s="451"/>
      <c r="I503" s="245"/>
      <c r="J503" s="245"/>
    </row>
    <row r="504" spans="5:10" s="112" customFormat="1">
      <c r="E504" s="155"/>
      <c r="F504" s="451"/>
      <c r="I504" s="245"/>
      <c r="J504" s="245"/>
    </row>
    <row r="505" spans="5:10" s="112" customFormat="1">
      <c r="E505" s="155"/>
      <c r="F505" s="451"/>
      <c r="I505" s="245"/>
      <c r="J505" s="245"/>
    </row>
    <row r="506" spans="5:10" s="112" customFormat="1">
      <c r="E506" s="155"/>
      <c r="F506" s="451"/>
      <c r="I506" s="245"/>
      <c r="J506" s="245"/>
    </row>
    <row r="507" spans="5:10" s="112" customFormat="1">
      <c r="E507" s="155"/>
      <c r="F507" s="451"/>
      <c r="I507" s="245"/>
      <c r="J507" s="245"/>
    </row>
    <row r="508" spans="5:10" s="112" customFormat="1">
      <c r="E508" s="155"/>
      <c r="F508" s="451"/>
      <c r="I508" s="245"/>
      <c r="J508" s="245"/>
    </row>
    <row r="509" spans="5:10" s="112" customFormat="1">
      <c r="E509" s="155"/>
      <c r="F509" s="451"/>
      <c r="I509" s="245"/>
      <c r="J509" s="245"/>
    </row>
    <row r="510" spans="5:10" s="112" customFormat="1">
      <c r="E510" s="155"/>
      <c r="F510" s="451"/>
      <c r="I510" s="245"/>
      <c r="J510" s="245"/>
    </row>
    <row r="511" spans="5:10" s="112" customFormat="1">
      <c r="E511" s="155"/>
      <c r="F511" s="451"/>
      <c r="I511" s="245"/>
      <c r="J511" s="245"/>
    </row>
    <row r="512" spans="5:10" s="112" customFormat="1">
      <c r="E512" s="155"/>
      <c r="F512" s="451"/>
      <c r="I512" s="245"/>
      <c r="J512" s="245"/>
    </row>
    <row r="513" spans="5:10" s="112" customFormat="1">
      <c r="E513" s="155"/>
      <c r="F513" s="451"/>
      <c r="I513" s="245"/>
      <c r="J513" s="245"/>
    </row>
    <row r="514" spans="5:10" s="112" customFormat="1">
      <c r="E514" s="155"/>
      <c r="F514" s="451"/>
      <c r="I514" s="245"/>
      <c r="J514" s="245"/>
    </row>
    <row r="515" spans="5:10" s="112" customFormat="1">
      <c r="E515" s="155"/>
      <c r="F515" s="451"/>
      <c r="I515" s="245"/>
      <c r="J515" s="245"/>
    </row>
    <row r="516" spans="5:10" s="112" customFormat="1">
      <c r="E516" s="155"/>
      <c r="F516" s="451"/>
      <c r="I516" s="245"/>
      <c r="J516" s="245"/>
    </row>
    <row r="517" spans="5:10" s="112" customFormat="1">
      <c r="E517" s="155"/>
      <c r="F517" s="451"/>
      <c r="I517" s="245"/>
      <c r="J517" s="245"/>
    </row>
    <row r="518" spans="5:10" s="112" customFormat="1">
      <c r="E518" s="155"/>
      <c r="F518" s="451"/>
      <c r="I518" s="245"/>
      <c r="J518" s="245"/>
    </row>
    <row r="519" spans="5:10" s="112" customFormat="1">
      <c r="E519" s="155"/>
      <c r="F519" s="451"/>
      <c r="I519" s="245"/>
      <c r="J519" s="245"/>
    </row>
    <row r="520" spans="5:10" s="112" customFormat="1">
      <c r="E520" s="155"/>
      <c r="F520" s="451"/>
      <c r="I520" s="245"/>
      <c r="J520" s="245"/>
    </row>
    <row r="521" spans="5:10" s="112" customFormat="1">
      <c r="E521" s="155"/>
      <c r="F521" s="451"/>
      <c r="I521" s="245"/>
      <c r="J521" s="245"/>
    </row>
    <row r="522" spans="5:10" s="112" customFormat="1">
      <c r="E522" s="155"/>
      <c r="F522" s="451"/>
      <c r="I522" s="245"/>
      <c r="J522" s="245"/>
    </row>
    <row r="523" spans="5:10" s="112" customFormat="1">
      <c r="E523" s="155"/>
      <c r="F523" s="451"/>
      <c r="I523" s="245"/>
      <c r="J523" s="245"/>
    </row>
    <row r="524" spans="5:10" s="112" customFormat="1">
      <c r="E524" s="155"/>
      <c r="F524" s="451"/>
      <c r="I524" s="245"/>
      <c r="J524" s="245"/>
    </row>
    <row r="525" spans="5:10" s="112" customFormat="1">
      <c r="E525" s="155"/>
      <c r="F525" s="451"/>
      <c r="I525" s="245"/>
      <c r="J525" s="245"/>
    </row>
    <row r="526" spans="5:10" s="112" customFormat="1">
      <c r="E526" s="155"/>
      <c r="F526" s="451"/>
      <c r="I526" s="245"/>
      <c r="J526" s="245"/>
    </row>
    <row r="527" spans="5:10" s="112" customFormat="1">
      <c r="E527" s="155"/>
      <c r="F527" s="451"/>
      <c r="I527" s="245"/>
      <c r="J527" s="245"/>
    </row>
    <row r="528" spans="5:10" s="112" customFormat="1">
      <c r="E528" s="155"/>
      <c r="F528" s="451"/>
      <c r="I528" s="245"/>
      <c r="J528" s="245"/>
    </row>
    <row r="529" spans="5:10" s="112" customFormat="1">
      <c r="E529" s="155"/>
      <c r="F529" s="451"/>
      <c r="I529" s="245"/>
      <c r="J529" s="245"/>
    </row>
    <row r="530" spans="5:10" s="112" customFormat="1">
      <c r="E530" s="155"/>
      <c r="F530" s="451"/>
      <c r="I530" s="245"/>
      <c r="J530" s="245"/>
    </row>
    <row r="531" spans="5:10" s="112" customFormat="1">
      <c r="E531" s="155"/>
      <c r="F531" s="451"/>
      <c r="I531" s="245"/>
      <c r="J531" s="245"/>
    </row>
    <row r="532" spans="5:10" s="112" customFormat="1">
      <c r="E532" s="155"/>
      <c r="F532" s="451"/>
      <c r="I532" s="245"/>
      <c r="J532" s="245"/>
    </row>
    <row r="533" spans="5:10" s="112" customFormat="1">
      <c r="E533" s="155"/>
      <c r="F533" s="451"/>
      <c r="I533" s="245"/>
      <c r="J533" s="245"/>
    </row>
    <row r="534" spans="5:10" s="112" customFormat="1">
      <c r="E534" s="155"/>
      <c r="F534" s="451"/>
      <c r="I534" s="245"/>
      <c r="J534" s="245"/>
    </row>
    <row r="535" spans="5:10" s="112" customFormat="1">
      <c r="E535" s="155"/>
      <c r="F535" s="451"/>
      <c r="I535" s="245"/>
      <c r="J535" s="245"/>
    </row>
    <row r="536" spans="5:10" s="112" customFormat="1">
      <c r="E536" s="155"/>
      <c r="F536" s="451"/>
      <c r="I536" s="245"/>
      <c r="J536" s="245"/>
    </row>
    <row r="537" spans="5:10" s="112" customFormat="1">
      <c r="E537" s="155"/>
      <c r="F537" s="451"/>
      <c r="I537" s="245"/>
      <c r="J537" s="245"/>
    </row>
    <row r="538" spans="5:10" s="112" customFormat="1">
      <c r="E538" s="155"/>
      <c r="F538" s="451"/>
      <c r="I538" s="245"/>
      <c r="J538" s="245"/>
    </row>
    <row r="539" spans="5:10" s="112" customFormat="1">
      <c r="E539" s="155"/>
      <c r="F539" s="451"/>
      <c r="I539" s="245"/>
      <c r="J539" s="245"/>
    </row>
    <row r="540" spans="5:10" s="112" customFormat="1">
      <c r="E540" s="155"/>
      <c r="F540" s="451"/>
      <c r="I540" s="245"/>
      <c r="J540" s="245"/>
    </row>
    <row r="541" spans="5:10" s="112" customFormat="1">
      <c r="E541" s="155"/>
      <c r="F541" s="451"/>
      <c r="I541" s="245"/>
      <c r="J541" s="245"/>
    </row>
    <row r="542" spans="5:10" s="112" customFormat="1">
      <c r="E542" s="155"/>
      <c r="F542" s="451"/>
      <c r="I542" s="245"/>
      <c r="J542" s="245"/>
    </row>
    <row r="543" spans="5:10" s="112" customFormat="1">
      <c r="E543" s="155"/>
      <c r="F543" s="451"/>
      <c r="I543" s="245"/>
      <c r="J543" s="245"/>
    </row>
    <row r="544" spans="5:10" s="112" customFormat="1">
      <c r="E544" s="155"/>
      <c r="F544" s="451"/>
      <c r="I544" s="245"/>
      <c r="J544" s="245"/>
    </row>
    <row r="545" spans="5:10" s="112" customFormat="1">
      <c r="E545" s="155"/>
      <c r="F545" s="451"/>
      <c r="I545" s="245"/>
      <c r="J545" s="245"/>
    </row>
    <row r="546" spans="5:10" s="112" customFormat="1">
      <c r="E546" s="155"/>
      <c r="F546" s="451"/>
      <c r="I546" s="245"/>
      <c r="J546" s="245"/>
    </row>
    <row r="547" spans="5:10" s="112" customFormat="1">
      <c r="E547" s="155"/>
      <c r="F547" s="451"/>
      <c r="I547" s="245"/>
      <c r="J547" s="245"/>
    </row>
    <row r="548" spans="5:10" s="112" customFormat="1">
      <c r="E548" s="155"/>
      <c r="F548" s="451"/>
      <c r="I548" s="245"/>
      <c r="J548" s="245"/>
    </row>
    <row r="549" spans="5:10" s="112" customFormat="1">
      <c r="E549" s="155"/>
      <c r="F549" s="451"/>
      <c r="I549" s="245"/>
      <c r="J549" s="245"/>
    </row>
    <row r="550" spans="5:10" s="112" customFormat="1">
      <c r="E550" s="155"/>
      <c r="F550" s="451"/>
      <c r="I550" s="245"/>
      <c r="J550" s="245"/>
    </row>
    <row r="551" spans="5:10" s="112" customFormat="1">
      <c r="E551" s="155"/>
      <c r="F551" s="451"/>
      <c r="I551" s="245"/>
      <c r="J551" s="245"/>
    </row>
    <row r="552" spans="5:10" s="112" customFormat="1">
      <c r="E552" s="155"/>
      <c r="F552" s="451"/>
      <c r="I552" s="245"/>
      <c r="J552" s="245"/>
    </row>
    <row r="553" spans="5:10" s="112" customFormat="1">
      <c r="E553" s="155"/>
      <c r="F553" s="451"/>
      <c r="I553" s="245"/>
      <c r="J553" s="245"/>
    </row>
    <row r="554" spans="5:10" s="112" customFormat="1">
      <c r="E554" s="155"/>
      <c r="F554" s="451"/>
      <c r="I554" s="245"/>
      <c r="J554" s="245"/>
    </row>
    <row r="555" spans="5:10" s="112" customFormat="1">
      <c r="E555" s="155"/>
      <c r="F555" s="451"/>
      <c r="I555" s="245"/>
      <c r="J555" s="245"/>
    </row>
    <row r="556" spans="5:10" s="112" customFormat="1">
      <c r="E556" s="155"/>
      <c r="F556" s="451"/>
      <c r="I556" s="245"/>
      <c r="J556" s="245"/>
    </row>
    <row r="557" spans="5:10" s="112" customFormat="1">
      <c r="E557" s="155"/>
      <c r="F557" s="451"/>
      <c r="I557" s="245"/>
      <c r="J557" s="245"/>
    </row>
    <row r="558" spans="5:10" s="112" customFormat="1">
      <c r="E558" s="155"/>
      <c r="F558" s="451"/>
      <c r="I558" s="245"/>
      <c r="J558" s="245"/>
    </row>
    <row r="559" spans="5:10" s="112" customFormat="1">
      <c r="E559" s="155"/>
      <c r="F559" s="451"/>
      <c r="I559" s="245"/>
      <c r="J559" s="245"/>
    </row>
    <row r="560" spans="5:10" s="112" customFormat="1">
      <c r="E560" s="155"/>
      <c r="F560" s="451"/>
      <c r="I560" s="245"/>
      <c r="J560" s="245"/>
    </row>
    <row r="561" spans="5:10" s="112" customFormat="1">
      <c r="E561" s="155"/>
      <c r="F561" s="451"/>
      <c r="I561" s="245"/>
      <c r="J561" s="245"/>
    </row>
    <row r="562" spans="5:10" s="112" customFormat="1">
      <c r="E562" s="155"/>
      <c r="F562" s="451"/>
      <c r="I562" s="245"/>
      <c r="J562" s="245"/>
    </row>
    <row r="563" spans="5:10" s="112" customFormat="1">
      <c r="E563" s="155"/>
      <c r="F563" s="451"/>
      <c r="I563" s="245"/>
      <c r="J563" s="245"/>
    </row>
    <row r="564" spans="5:10" s="112" customFormat="1">
      <c r="E564" s="155"/>
      <c r="F564" s="451"/>
      <c r="I564" s="245"/>
      <c r="J564" s="245"/>
    </row>
    <row r="565" spans="5:10" s="112" customFormat="1">
      <c r="E565" s="155"/>
      <c r="F565" s="451"/>
      <c r="I565" s="245"/>
      <c r="J565" s="245"/>
    </row>
    <row r="566" spans="5:10" s="112" customFormat="1">
      <c r="E566" s="155"/>
      <c r="F566" s="451"/>
      <c r="I566" s="245"/>
      <c r="J566" s="245"/>
    </row>
    <row r="567" spans="5:10" s="112" customFormat="1">
      <c r="E567" s="155"/>
      <c r="F567" s="451"/>
      <c r="I567" s="245"/>
      <c r="J567" s="245"/>
    </row>
    <row r="568" spans="5:10" s="112" customFormat="1">
      <c r="E568" s="155"/>
      <c r="F568" s="451"/>
      <c r="I568" s="245"/>
      <c r="J568" s="245"/>
    </row>
    <row r="569" spans="5:10" s="112" customFormat="1">
      <c r="E569" s="155"/>
      <c r="F569" s="451"/>
      <c r="I569" s="245"/>
      <c r="J569" s="245"/>
    </row>
    <row r="570" spans="5:10" s="112" customFormat="1">
      <c r="E570" s="155"/>
      <c r="F570" s="451"/>
      <c r="I570" s="245"/>
      <c r="J570" s="245"/>
    </row>
    <row r="571" spans="5:10" s="112" customFormat="1">
      <c r="E571" s="155"/>
      <c r="F571" s="451"/>
      <c r="I571" s="245"/>
      <c r="J571" s="245"/>
    </row>
    <row r="572" spans="5:10" s="112" customFormat="1">
      <c r="E572" s="155"/>
      <c r="F572" s="451"/>
      <c r="I572" s="245"/>
      <c r="J572" s="245"/>
    </row>
    <row r="573" spans="5:10" s="112" customFormat="1">
      <c r="E573" s="155"/>
      <c r="F573" s="451"/>
      <c r="I573" s="245"/>
      <c r="J573" s="245"/>
    </row>
    <row r="574" spans="5:10" s="112" customFormat="1">
      <c r="E574" s="155"/>
      <c r="F574" s="451"/>
      <c r="I574" s="245"/>
      <c r="J574" s="245"/>
    </row>
    <row r="575" spans="5:10" s="112" customFormat="1">
      <c r="E575" s="155"/>
      <c r="F575" s="451"/>
      <c r="I575" s="245"/>
      <c r="J575" s="245"/>
    </row>
    <row r="576" spans="5:10" s="112" customFormat="1">
      <c r="E576" s="155"/>
      <c r="F576" s="451"/>
      <c r="I576" s="245"/>
      <c r="J576" s="245"/>
    </row>
    <row r="577" spans="5:10" s="112" customFormat="1">
      <c r="E577" s="155"/>
      <c r="F577" s="451"/>
      <c r="I577" s="245"/>
      <c r="J577" s="245"/>
    </row>
    <row r="578" spans="5:10" s="112" customFormat="1">
      <c r="E578" s="155"/>
      <c r="F578" s="451"/>
      <c r="I578" s="245"/>
      <c r="J578" s="245"/>
    </row>
    <row r="579" spans="5:10" s="112" customFormat="1">
      <c r="E579" s="155"/>
      <c r="F579" s="451"/>
      <c r="I579" s="245"/>
      <c r="J579" s="245"/>
    </row>
    <row r="580" spans="5:10" s="112" customFormat="1">
      <c r="E580" s="155"/>
      <c r="F580" s="451"/>
      <c r="I580" s="245"/>
      <c r="J580" s="245"/>
    </row>
    <row r="581" spans="5:10" s="112" customFormat="1">
      <c r="E581" s="155"/>
      <c r="F581" s="451"/>
      <c r="I581" s="245"/>
      <c r="J581" s="245"/>
    </row>
    <row r="582" spans="5:10" s="112" customFormat="1">
      <c r="E582" s="155"/>
      <c r="F582" s="451"/>
      <c r="I582" s="245"/>
      <c r="J582" s="245"/>
    </row>
    <row r="583" spans="5:10" s="112" customFormat="1">
      <c r="E583" s="155"/>
      <c r="F583" s="451"/>
      <c r="I583" s="245"/>
      <c r="J583" s="245"/>
    </row>
    <row r="584" spans="5:10" s="112" customFormat="1">
      <c r="E584" s="155"/>
      <c r="F584" s="451"/>
      <c r="I584" s="245"/>
      <c r="J584" s="245"/>
    </row>
    <row r="585" spans="5:10" s="112" customFormat="1">
      <c r="E585" s="155"/>
      <c r="F585" s="451"/>
      <c r="I585" s="245"/>
      <c r="J585" s="245"/>
    </row>
    <row r="586" spans="5:10" s="112" customFormat="1">
      <c r="E586" s="155"/>
      <c r="F586" s="451"/>
      <c r="I586" s="245"/>
      <c r="J586" s="245"/>
    </row>
    <row r="587" spans="5:10" s="112" customFormat="1">
      <c r="E587" s="155"/>
      <c r="F587" s="451"/>
      <c r="I587" s="245"/>
      <c r="J587" s="245"/>
    </row>
    <row r="588" spans="5:10" s="112" customFormat="1">
      <c r="E588" s="155"/>
      <c r="F588" s="451"/>
      <c r="I588" s="245"/>
      <c r="J588" s="245"/>
    </row>
    <row r="589" spans="5:10" s="112" customFormat="1">
      <c r="E589" s="155"/>
      <c r="F589" s="451"/>
      <c r="I589" s="245"/>
      <c r="J589" s="245"/>
    </row>
    <row r="590" spans="5:10" s="112" customFormat="1">
      <c r="E590" s="155"/>
      <c r="F590" s="451"/>
      <c r="I590" s="245"/>
      <c r="J590" s="245"/>
    </row>
    <row r="591" spans="5:10" s="112" customFormat="1">
      <c r="E591" s="155"/>
      <c r="F591" s="451"/>
      <c r="I591" s="245"/>
      <c r="J591" s="245"/>
    </row>
    <row r="592" spans="5:10" s="112" customFormat="1">
      <c r="E592" s="155"/>
      <c r="F592" s="451"/>
      <c r="I592" s="245"/>
      <c r="J592" s="245"/>
    </row>
    <row r="593" spans="5:10" s="112" customFormat="1">
      <c r="E593" s="155"/>
      <c r="F593" s="451"/>
      <c r="I593" s="245"/>
      <c r="J593" s="245"/>
    </row>
    <row r="594" spans="5:10" s="112" customFormat="1">
      <c r="E594" s="155"/>
      <c r="F594" s="451"/>
      <c r="I594" s="245"/>
      <c r="J594" s="245"/>
    </row>
    <row r="595" spans="5:10" s="112" customFormat="1">
      <c r="E595" s="155"/>
      <c r="F595" s="451"/>
      <c r="I595" s="245"/>
      <c r="J595" s="245"/>
    </row>
    <row r="596" spans="5:10" s="112" customFormat="1">
      <c r="E596" s="155"/>
      <c r="F596" s="451"/>
      <c r="I596" s="245"/>
      <c r="J596" s="245"/>
    </row>
    <row r="597" spans="5:10" s="112" customFormat="1">
      <c r="E597" s="155"/>
      <c r="F597" s="451"/>
      <c r="I597" s="245"/>
      <c r="J597" s="245"/>
    </row>
    <row r="598" spans="5:10" s="112" customFormat="1">
      <c r="E598" s="155"/>
      <c r="F598" s="451"/>
      <c r="I598" s="245"/>
      <c r="J598" s="245"/>
    </row>
    <row r="599" spans="5:10" s="112" customFormat="1">
      <c r="E599" s="155"/>
      <c r="F599" s="451"/>
      <c r="I599" s="245"/>
      <c r="J599" s="245"/>
    </row>
    <row r="600" spans="5:10" s="112" customFormat="1">
      <c r="E600" s="155"/>
      <c r="F600" s="451"/>
      <c r="I600" s="245"/>
      <c r="J600" s="245"/>
    </row>
    <row r="601" spans="5:10" s="112" customFormat="1">
      <c r="E601" s="155"/>
      <c r="F601" s="451"/>
      <c r="I601" s="245"/>
      <c r="J601" s="245"/>
    </row>
    <row r="602" spans="5:10" s="112" customFormat="1">
      <c r="E602" s="155"/>
      <c r="F602" s="451"/>
      <c r="I602" s="245"/>
      <c r="J602" s="245"/>
    </row>
    <row r="603" spans="5:10" s="112" customFormat="1">
      <c r="E603" s="155"/>
      <c r="F603" s="451"/>
      <c r="I603" s="245"/>
      <c r="J603" s="245"/>
    </row>
    <row r="604" spans="5:10" s="112" customFormat="1">
      <c r="E604" s="155"/>
      <c r="F604" s="451"/>
      <c r="I604" s="245"/>
      <c r="J604" s="245"/>
    </row>
    <row r="605" spans="5:10" s="112" customFormat="1">
      <c r="E605" s="155"/>
      <c r="F605" s="451"/>
      <c r="I605" s="245"/>
      <c r="J605" s="245"/>
    </row>
    <row r="606" spans="5:10" s="112" customFormat="1">
      <c r="E606" s="155"/>
      <c r="F606" s="451"/>
      <c r="I606" s="245"/>
      <c r="J606" s="245"/>
    </row>
    <row r="607" spans="5:10" s="112" customFormat="1">
      <c r="E607" s="155"/>
      <c r="F607" s="451"/>
      <c r="I607" s="245"/>
      <c r="J607" s="245"/>
    </row>
    <row r="608" spans="5:10" s="112" customFormat="1">
      <c r="E608" s="155"/>
      <c r="F608" s="451"/>
      <c r="I608" s="245"/>
      <c r="J608" s="245"/>
    </row>
    <row r="609" spans="5:10" s="112" customFormat="1">
      <c r="E609" s="155"/>
      <c r="F609" s="451"/>
      <c r="I609" s="245"/>
      <c r="J609" s="245"/>
    </row>
    <row r="610" spans="5:10" s="112" customFormat="1">
      <c r="E610" s="155"/>
      <c r="F610" s="451"/>
      <c r="I610" s="245"/>
      <c r="J610" s="245"/>
    </row>
    <row r="611" spans="5:10" s="112" customFormat="1">
      <c r="E611" s="155"/>
      <c r="F611" s="451"/>
      <c r="I611" s="245"/>
      <c r="J611" s="245"/>
    </row>
    <row r="612" spans="5:10" s="112" customFormat="1">
      <c r="E612" s="155"/>
      <c r="F612" s="451"/>
      <c r="I612" s="245"/>
      <c r="J612" s="245"/>
    </row>
    <row r="613" spans="5:10" s="112" customFormat="1">
      <c r="E613" s="155"/>
      <c r="F613" s="451"/>
      <c r="I613" s="245"/>
      <c r="J613" s="245"/>
    </row>
    <row r="614" spans="5:10" s="112" customFormat="1">
      <c r="E614" s="155"/>
      <c r="F614" s="451"/>
      <c r="I614" s="245"/>
      <c r="J614" s="245"/>
    </row>
    <row r="615" spans="5:10" s="112" customFormat="1">
      <c r="E615" s="155"/>
      <c r="F615" s="451"/>
      <c r="I615" s="245"/>
      <c r="J615" s="245"/>
    </row>
    <row r="616" spans="5:10" s="112" customFormat="1">
      <c r="E616" s="155"/>
      <c r="F616" s="451"/>
      <c r="I616" s="245"/>
      <c r="J616" s="245"/>
    </row>
    <row r="617" spans="5:10" s="112" customFormat="1">
      <c r="E617" s="155"/>
      <c r="F617" s="451"/>
      <c r="I617" s="245"/>
      <c r="J617" s="245"/>
    </row>
    <row r="618" spans="5:10" s="112" customFormat="1">
      <c r="E618" s="155"/>
      <c r="F618" s="451"/>
      <c r="I618" s="245"/>
      <c r="J618" s="245"/>
    </row>
    <row r="619" spans="5:10" s="112" customFormat="1">
      <c r="E619" s="155"/>
      <c r="F619" s="451"/>
      <c r="I619" s="245"/>
      <c r="J619" s="245"/>
    </row>
    <row r="620" spans="5:10" s="112" customFormat="1">
      <c r="E620" s="155"/>
      <c r="F620" s="451"/>
      <c r="I620" s="245"/>
      <c r="J620" s="245"/>
    </row>
    <row r="621" spans="5:10" s="112" customFormat="1">
      <c r="E621" s="155"/>
      <c r="F621" s="451"/>
      <c r="I621" s="245"/>
      <c r="J621" s="245"/>
    </row>
    <row r="622" spans="5:10" s="112" customFormat="1">
      <c r="E622" s="155"/>
      <c r="F622" s="451"/>
      <c r="I622" s="245"/>
      <c r="J622" s="245"/>
    </row>
    <row r="623" spans="5:10" s="112" customFormat="1">
      <c r="E623" s="155"/>
      <c r="F623" s="451"/>
      <c r="I623" s="245"/>
      <c r="J623" s="245"/>
    </row>
    <row r="624" spans="5:10" s="112" customFormat="1">
      <c r="E624" s="155"/>
      <c r="F624" s="451"/>
      <c r="I624" s="245"/>
      <c r="J624" s="245"/>
    </row>
    <row r="625" spans="5:10" s="112" customFormat="1">
      <c r="E625" s="155"/>
      <c r="F625" s="451"/>
      <c r="I625" s="245"/>
      <c r="J625" s="245"/>
    </row>
    <row r="626" spans="5:10" s="112" customFormat="1">
      <c r="E626" s="155"/>
      <c r="F626" s="451"/>
      <c r="I626" s="245"/>
      <c r="J626" s="245"/>
    </row>
    <row r="627" spans="5:10" s="112" customFormat="1">
      <c r="E627" s="155"/>
      <c r="F627" s="451"/>
      <c r="I627" s="245"/>
      <c r="J627" s="245"/>
    </row>
    <row r="628" spans="5:10" s="112" customFormat="1">
      <c r="E628" s="155"/>
      <c r="F628" s="451"/>
      <c r="I628" s="245"/>
      <c r="J628" s="245"/>
    </row>
    <row r="629" spans="5:10" s="112" customFormat="1">
      <c r="E629" s="155"/>
      <c r="F629" s="451"/>
      <c r="I629" s="245"/>
      <c r="J629" s="245"/>
    </row>
    <row r="630" spans="5:10" s="112" customFormat="1">
      <c r="E630" s="155"/>
      <c r="F630" s="451"/>
      <c r="I630" s="245"/>
      <c r="J630" s="245"/>
    </row>
    <row r="631" spans="5:10" s="112" customFormat="1">
      <c r="E631" s="155"/>
      <c r="F631" s="451"/>
      <c r="I631" s="245"/>
      <c r="J631" s="245"/>
    </row>
    <row r="632" spans="5:10" s="112" customFormat="1">
      <c r="E632" s="155"/>
      <c r="F632" s="451"/>
      <c r="I632" s="245"/>
      <c r="J632" s="245"/>
    </row>
    <row r="633" spans="5:10" s="112" customFormat="1">
      <c r="E633" s="155"/>
      <c r="F633" s="451"/>
      <c r="I633" s="245"/>
      <c r="J633" s="245"/>
    </row>
    <row r="634" spans="5:10" s="112" customFormat="1">
      <c r="E634" s="155"/>
      <c r="F634" s="451"/>
      <c r="I634" s="245"/>
      <c r="J634" s="245"/>
    </row>
    <row r="635" spans="5:10" s="112" customFormat="1">
      <c r="E635" s="155"/>
      <c r="F635" s="451"/>
      <c r="I635" s="245"/>
      <c r="J635" s="245"/>
    </row>
    <row r="636" spans="5:10" s="112" customFormat="1">
      <c r="E636" s="155"/>
      <c r="F636" s="451"/>
      <c r="I636" s="245"/>
      <c r="J636" s="245"/>
    </row>
    <row r="637" spans="5:10" s="112" customFormat="1">
      <c r="E637" s="155"/>
      <c r="F637" s="451"/>
      <c r="I637" s="245"/>
      <c r="J637" s="245"/>
    </row>
    <row r="638" spans="5:10" s="112" customFormat="1">
      <c r="E638" s="155"/>
      <c r="F638" s="451"/>
      <c r="I638" s="245"/>
      <c r="J638" s="245"/>
    </row>
    <row r="639" spans="5:10" s="112" customFormat="1">
      <c r="E639" s="155"/>
      <c r="F639" s="451"/>
      <c r="I639" s="245"/>
      <c r="J639" s="245"/>
    </row>
    <row r="640" spans="5:10" s="112" customFormat="1">
      <c r="E640" s="155"/>
      <c r="F640" s="451"/>
      <c r="I640" s="245"/>
      <c r="J640" s="245"/>
    </row>
    <row r="641" spans="5:10" s="112" customFormat="1">
      <c r="E641" s="155"/>
      <c r="F641" s="451"/>
      <c r="I641" s="245"/>
      <c r="J641" s="245"/>
    </row>
    <row r="642" spans="5:10" s="112" customFormat="1">
      <c r="E642" s="155"/>
      <c r="F642" s="451"/>
      <c r="I642" s="245"/>
      <c r="J642" s="245"/>
    </row>
    <row r="643" spans="5:10" s="112" customFormat="1">
      <c r="E643" s="155"/>
      <c r="F643" s="451"/>
      <c r="I643" s="245"/>
      <c r="J643" s="245"/>
    </row>
    <row r="644" spans="5:10" s="112" customFormat="1">
      <c r="E644" s="155"/>
      <c r="F644" s="451"/>
      <c r="I644" s="245"/>
      <c r="J644" s="245"/>
    </row>
    <row r="645" spans="5:10" s="112" customFormat="1">
      <c r="E645" s="155"/>
      <c r="F645" s="451"/>
      <c r="I645" s="245"/>
      <c r="J645" s="245"/>
    </row>
    <row r="646" spans="5:10" s="112" customFormat="1">
      <c r="E646" s="155"/>
      <c r="F646" s="451"/>
      <c r="I646" s="245"/>
      <c r="J646" s="245"/>
    </row>
    <row r="647" spans="5:10" s="112" customFormat="1">
      <c r="E647" s="155"/>
      <c r="F647" s="451"/>
      <c r="I647" s="245"/>
      <c r="J647" s="245"/>
    </row>
    <row r="648" spans="5:10" s="112" customFormat="1">
      <c r="E648" s="155"/>
      <c r="F648" s="451"/>
      <c r="I648" s="245"/>
      <c r="J648" s="245"/>
    </row>
    <row r="649" spans="5:10" s="112" customFormat="1">
      <c r="E649" s="155"/>
      <c r="F649" s="451"/>
      <c r="I649" s="245"/>
      <c r="J649" s="245"/>
    </row>
    <row r="650" spans="5:10" s="112" customFormat="1">
      <c r="E650" s="155"/>
      <c r="F650" s="451"/>
      <c r="I650" s="245"/>
      <c r="J650" s="245"/>
    </row>
    <row r="651" spans="5:10" s="112" customFormat="1">
      <c r="E651" s="155"/>
      <c r="F651" s="451"/>
      <c r="I651" s="245"/>
      <c r="J651" s="245"/>
    </row>
    <row r="652" spans="5:10" s="112" customFormat="1">
      <c r="E652" s="155"/>
      <c r="F652" s="451"/>
      <c r="I652" s="245"/>
      <c r="J652" s="245"/>
    </row>
    <row r="653" spans="5:10" s="112" customFormat="1">
      <c r="E653" s="155"/>
      <c r="F653" s="451"/>
      <c r="I653" s="245"/>
      <c r="J653" s="245"/>
    </row>
    <row r="654" spans="5:10" s="112" customFormat="1">
      <c r="E654" s="155"/>
      <c r="F654" s="451"/>
      <c r="I654" s="245"/>
      <c r="J654" s="245"/>
    </row>
    <row r="655" spans="5:10" s="112" customFormat="1">
      <c r="E655" s="155"/>
      <c r="F655" s="451"/>
      <c r="I655" s="245"/>
      <c r="J655" s="245"/>
    </row>
    <row r="656" spans="5:10" s="112" customFormat="1">
      <c r="E656" s="155"/>
      <c r="F656" s="451"/>
      <c r="I656" s="245"/>
      <c r="J656" s="245"/>
    </row>
    <row r="657" spans="5:10" s="112" customFormat="1">
      <c r="E657" s="155"/>
      <c r="F657" s="451"/>
      <c r="I657" s="245"/>
      <c r="J657" s="245"/>
    </row>
    <row r="658" spans="5:10" s="112" customFormat="1">
      <c r="E658" s="155"/>
      <c r="F658" s="451"/>
      <c r="I658" s="245"/>
      <c r="J658" s="245"/>
    </row>
    <row r="659" spans="5:10" s="112" customFormat="1">
      <c r="E659" s="155"/>
      <c r="F659" s="451"/>
      <c r="I659" s="245"/>
      <c r="J659" s="245"/>
    </row>
    <row r="660" spans="5:10" s="112" customFormat="1">
      <c r="E660" s="155"/>
      <c r="F660" s="451"/>
      <c r="I660" s="245"/>
      <c r="J660" s="245"/>
    </row>
    <row r="661" spans="5:10" s="112" customFormat="1">
      <c r="E661" s="155"/>
      <c r="F661" s="451"/>
      <c r="I661" s="245"/>
      <c r="J661" s="245"/>
    </row>
    <row r="662" spans="5:10" s="112" customFormat="1">
      <c r="E662" s="155"/>
      <c r="F662" s="451"/>
      <c r="I662" s="245"/>
      <c r="J662" s="245"/>
    </row>
    <row r="663" spans="5:10" s="112" customFormat="1">
      <c r="E663" s="155"/>
      <c r="F663" s="451"/>
      <c r="I663" s="245"/>
      <c r="J663" s="245"/>
    </row>
    <row r="664" spans="5:10" s="112" customFormat="1">
      <c r="E664" s="155"/>
      <c r="F664" s="451"/>
      <c r="I664" s="245"/>
      <c r="J664" s="245"/>
    </row>
    <row r="665" spans="5:10" s="112" customFormat="1">
      <c r="E665" s="155"/>
      <c r="F665" s="451"/>
      <c r="I665" s="245"/>
      <c r="J665" s="245"/>
    </row>
    <row r="666" spans="5:10" s="112" customFormat="1">
      <c r="E666" s="155"/>
      <c r="F666" s="451"/>
      <c r="I666" s="245"/>
      <c r="J666" s="245"/>
    </row>
    <row r="667" spans="5:10" s="112" customFormat="1">
      <c r="E667" s="155"/>
      <c r="F667" s="451"/>
      <c r="I667" s="245"/>
      <c r="J667" s="245"/>
    </row>
    <row r="668" spans="5:10" s="112" customFormat="1">
      <c r="E668" s="155"/>
      <c r="F668" s="451"/>
      <c r="I668" s="245"/>
      <c r="J668" s="245"/>
    </row>
    <row r="669" spans="5:10" s="112" customFormat="1">
      <c r="E669" s="155"/>
      <c r="F669" s="451"/>
      <c r="I669" s="245"/>
      <c r="J669" s="245"/>
    </row>
    <row r="670" spans="5:10" s="112" customFormat="1">
      <c r="E670" s="155"/>
      <c r="F670" s="451"/>
      <c r="I670" s="245"/>
      <c r="J670" s="245"/>
    </row>
    <row r="671" spans="5:10" s="112" customFormat="1">
      <c r="E671" s="155"/>
      <c r="F671" s="451"/>
      <c r="I671" s="245"/>
      <c r="J671" s="245"/>
    </row>
    <row r="672" spans="5:10" s="112" customFormat="1">
      <c r="E672" s="155"/>
      <c r="F672" s="451"/>
      <c r="I672" s="245"/>
      <c r="J672" s="245"/>
    </row>
    <row r="673" spans="5:10" s="112" customFormat="1">
      <c r="E673" s="155"/>
      <c r="F673" s="451"/>
      <c r="I673" s="245"/>
      <c r="J673" s="245"/>
    </row>
    <row r="674" spans="5:10" s="112" customFormat="1">
      <c r="E674" s="155"/>
      <c r="F674" s="451"/>
      <c r="I674" s="245"/>
      <c r="J674" s="245"/>
    </row>
    <row r="675" spans="5:10" s="112" customFormat="1">
      <c r="E675" s="155"/>
      <c r="F675" s="451"/>
      <c r="I675" s="245"/>
      <c r="J675" s="245"/>
    </row>
    <row r="676" spans="5:10" s="112" customFormat="1">
      <c r="E676" s="155"/>
      <c r="F676" s="451"/>
      <c r="I676" s="245"/>
      <c r="J676" s="245"/>
    </row>
    <row r="677" spans="5:10" s="112" customFormat="1">
      <c r="E677" s="155"/>
      <c r="F677" s="451"/>
      <c r="I677" s="245"/>
      <c r="J677" s="245"/>
    </row>
    <row r="678" spans="5:10" s="112" customFormat="1">
      <c r="E678" s="155"/>
      <c r="F678" s="451"/>
      <c r="I678" s="245"/>
      <c r="J678" s="245"/>
    </row>
    <row r="679" spans="5:10" s="112" customFormat="1">
      <c r="E679" s="155"/>
      <c r="F679" s="451"/>
      <c r="I679" s="245"/>
      <c r="J679" s="245"/>
    </row>
    <row r="680" spans="5:10" s="112" customFormat="1">
      <c r="E680" s="155"/>
      <c r="F680" s="451"/>
      <c r="I680" s="245"/>
      <c r="J680" s="245"/>
    </row>
    <row r="681" spans="5:10" s="112" customFormat="1">
      <c r="E681" s="155"/>
      <c r="F681" s="451"/>
      <c r="I681" s="245"/>
      <c r="J681" s="245"/>
    </row>
    <row r="682" spans="5:10" s="112" customFormat="1">
      <c r="E682" s="155"/>
      <c r="F682" s="451"/>
      <c r="I682" s="245"/>
      <c r="J682" s="245"/>
    </row>
    <row r="683" spans="5:10" s="112" customFormat="1">
      <c r="E683" s="155"/>
      <c r="F683" s="451"/>
      <c r="I683" s="245"/>
      <c r="J683" s="245"/>
    </row>
    <row r="684" spans="5:10" s="112" customFormat="1">
      <c r="E684" s="155"/>
      <c r="F684" s="451"/>
      <c r="I684" s="245"/>
      <c r="J684" s="245"/>
    </row>
    <row r="685" spans="5:10" s="112" customFormat="1">
      <c r="E685" s="155"/>
      <c r="F685" s="451"/>
      <c r="I685" s="245"/>
      <c r="J685" s="245"/>
    </row>
    <row r="686" spans="5:10" s="112" customFormat="1">
      <c r="E686" s="155"/>
      <c r="F686" s="451"/>
      <c r="I686" s="245"/>
      <c r="J686" s="245"/>
    </row>
    <row r="687" spans="5:10" s="112" customFormat="1">
      <c r="E687" s="155"/>
      <c r="F687" s="451"/>
      <c r="I687" s="245"/>
      <c r="J687" s="245"/>
    </row>
    <row r="688" spans="5:10" s="112" customFormat="1">
      <c r="E688" s="155"/>
      <c r="F688" s="451"/>
      <c r="I688" s="245"/>
      <c r="J688" s="245"/>
    </row>
    <row r="689" spans="5:10" s="112" customFormat="1">
      <c r="E689" s="155"/>
      <c r="F689" s="451"/>
      <c r="I689" s="245"/>
      <c r="J689" s="245"/>
    </row>
    <row r="690" spans="5:10" s="112" customFormat="1">
      <c r="E690" s="155"/>
      <c r="F690" s="451"/>
      <c r="I690" s="245"/>
      <c r="J690" s="245"/>
    </row>
    <row r="691" spans="5:10" s="112" customFormat="1">
      <c r="E691" s="155"/>
      <c r="F691" s="451"/>
      <c r="I691" s="245"/>
      <c r="J691" s="245"/>
    </row>
    <row r="692" spans="5:10" s="112" customFormat="1">
      <c r="E692" s="155"/>
      <c r="F692" s="451"/>
      <c r="I692" s="245"/>
      <c r="J692" s="245"/>
    </row>
    <row r="693" spans="5:10" s="112" customFormat="1">
      <c r="E693" s="155"/>
      <c r="F693" s="451"/>
      <c r="I693" s="245"/>
      <c r="J693" s="245"/>
    </row>
    <row r="694" spans="5:10" s="112" customFormat="1">
      <c r="E694" s="155"/>
      <c r="F694" s="451"/>
      <c r="I694" s="245"/>
      <c r="J694" s="245"/>
    </row>
    <row r="695" spans="5:10" s="112" customFormat="1">
      <c r="E695" s="155"/>
      <c r="F695" s="451"/>
      <c r="I695" s="245"/>
      <c r="J695" s="245"/>
    </row>
    <row r="696" spans="5:10" s="112" customFormat="1">
      <c r="E696" s="155"/>
      <c r="F696" s="451"/>
      <c r="I696" s="245"/>
      <c r="J696" s="245"/>
    </row>
    <row r="697" spans="5:10" s="112" customFormat="1">
      <c r="E697" s="155"/>
      <c r="F697" s="451"/>
      <c r="I697" s="245"/>
      <c r="J697" s="245"/>
    </row>
    <row r="698" spans="5:10" s="112" customFormat="1">
      <c r="E698" s="155"/>
      <c r="F698" s="451"/>
      <c r="I698" s="245"/>
      <c r="J698" s="245"/>
    </row>
    <row r="699" spans="5:10" s="112" customFormat="1">
      <c r="E699" s="155"/>
      <c r="F699" s="451"/>
      <c r="I699" s="245"/>
      <c r="J699" s="245"/>
    </row>
    <row r="700" spans="5:10" s="112" customFormat="1">
      <c r="E700" s="155"/>
      <c r="F700" s="451"/>
      <c r="I700" s="245"/>
      <c r="J700" s="245"/>
    </row>
    <row r="701" spans="5:10" s="112" customFormat="1">
      <c r="E701" s="155"/>
      <c r="F701" s="451"/>
      <c r="I701" s="245"/>
      <c r="J701" s="245"/>
    </row>
    <row r="702" spans="5:10" s="112" customFormat="1">
      <c r="E702" s="155"/>
      <c r="F702" s="451"/>
      <c r="I702" s="245"/>
      <c r="J702" s="245"/>
    </row>
    <row r="703" spans="5:10" s="112" customFormat="1">
      <c r="E703" s="155"/>
      <c r="F703" s="451"/>
      <c r="I703" s="245"/>
      <c r="J703" s="245"/>
    </row>
    <row r="704" spans="5:10" s="112" customFormat="1">
      <c r="E704" s="155"/>
      <c r="F704" s="451"/>
      <c r="I704" s="245"/>
      <c r="J704" s="245"/>
    </row>
    <row r="705" spans="5:10" s="112" customFormat="1">
      <c r="E705" s="155"/>
      <c r="F705" s="451"/>
      <c r="I705" s="245"/>
      <c r="J705" s="245"/>
    </row>
    <row r="706" spans="5:10" s="112" customFormat="1">
      <c r="E706" s="155"/>
      <c r="F706" s="451"/>
      <c r="I706" s="245"/>
      <c r="J706" s="245"/>
    </row>
    <row r="707" spans="5:10" s="112" customFormat="1">
      <c r="E707" s="155"/>
      <c r="F707" s="451"/>
      <c r="I707" s="245"/>
      <c r="J707" s="245"/>
    </row>
    <row r="708" spans="5:10" s="112" customFormat="1">
      <c r="E708" s="155"/>
      <c r="F708" s="451"/>
      <c r="I708" s="245"/>
      <c r="J708" s="245"/>
    </row>
    <row r="709" spans="5:10" s="112" customFormat="1">
      <c r="E709" s="155"/>
      <c r="F709" s="451"/>
      <c r="I709" s="245"/>
      <c r="J709" s="245"/>
    </row>
    <row r="710" spans="5:10" s="112" customFormat="1">
      <c r="E710" s="155"/>
      <c r="F710" s="451"/>
      <c r="I710" s="245"/>
      <c r="J710" s="245"/>
    </row>
    <row r="711" spans="5:10" s="112" customFormat="1">
      <c r="E711" s="155"/>
      <c r="F711" s="451"/>
      <c r="I711" s="245"/>
      <c r="J711" s="245"/>
    </row>
    <row r="712" spans="5:10" s="112" customFormat="1">
      <c r="E712" s="155"/>
      <c r="F712" s="451"/>
      <c r="I712" s="245"/>
      <c r="J712" s="245"/>
    </row>
    <row r="713" spans="5:10" s="112" customFormat="1">
      <c r="E713" s="155"/>
      <c r="F713" s="451"/>
      <c r="I713" s="245"/>
      <c r="J713" s="245"/>
    </row>
    <row r="714" spans="5:10" s="112" customFormat="1">
      <c r="E714" s="155"/>
      <c r="F714" s="451"/>
      <c r="I714" s="245"/>
      <c r="J714" s="245"/>
    </row>
    <row r="715" spans="5:10" s="112" customFormat="1">
      <c r="E715" s="155"/>
      <c r="F715" s="451"/>
      <c r="I715" s="245"/>
      <c r="J715" s="245"/>
    </row>
    <row r="716" spans="5:10" s="112" customFormat="1">
      <c r="E716" s="155"/>
      <c r="F716" s="451"/>
      <c r="I716" s="245"/>
      <c r="J716" s="245"/>
    </row>
    <row r="717" spans="5:10" s="112" customFormat="1">
      <c r="E717" s="155"/>
      <c r="F717" s="451"/>
      <c r="I717" s="245"/>
      <c r="J717" s="245"/>
    </row>
    <row r="718" spans="5:10" s="112" customFormat="1">
      <c r="E718" s="155"/>
      <c r="F718" s="451"/>
      <c r="I718" s="245"/>
      <c r="J718" s="245"/>
    </row>
    <row r="719" spans="5:10" s="112" customFormat="1">
      <c r="E719" s="155"/>
      <c r="F719" s="451"/>
      <c r="I719" s="245"/>
      <c r="J719" s="245"/>
    </row>
    <row r="720" spans="5:10" s="112" customFormat="1">
      <c r="E720" s="155"/>
      <c r="F720" s="451"/>
      <c r="I720" s="245"/>
      <c r="J720" s="245"/>
    </row>
  </sheetData>
  <sheetProtection formatCells="0" formatColumns="0" formatRows="0" insertColumns="0" insertRows="0" insertHyperlinks="0" deleteColumns="0" deleteRows="0" sort="0" autoFilter="0" pivotTables="0"/>
  <mergeCells count="79">
    <mergeCell ref="X74:X94"/>
    <mergeCell ref="V74:V94"/>
    <mergeCell ref="R235:R243"/>
    <mergeCell ref="R168:R170"/>
    <mergeCell ref="R166:R167"/>
    <mergeCell ref="R217:R222"/>
    <mergeCell ref="R102:R104"/>
    <mergeCell ref="R110:R117"/>
    <mergeCell ref="R184:R214"/>
    <mergeCell ref="J301:J309"/>
    <mergeCell ref="X301:X309"/>
    <mergeCell ref="I311:I322"/>
    <mergeCell ref="J311:J322"/>
    <mergeCell ref="X311:X322"/>
    <mergeCell ref="V301:V309"/>
    <mergeCell ref="V311:V322"/>
    <mergeCell ref="I324:I360"/>
    <mergeCell ref="J324:J360"/>
    <mergeCell ref="X324:X360"/>
    <mergeCell ref="V324:V360"/>
    <mergeCell ref="I227:I281"/>
    <mergeCell ref="J227:J281"/>
    <mergeCell ref="X227:X281"/>
    <mergeCell ref="V227:V281"/>
    <mergeCell ref="I283:I296"/>
    <mergeCell ref="J283:J296"/>
    <mergeCell ref="X283:X296"/>
    <mergeCell ref="I298:I299"/>
    <mergeCell ref="J298:J299"/>
    <mergeCell ref="X298:X299"/>
    <mergeCell ref="V283:V296"/>
    <mergeCell ref="I301:I309"/>
    <mergeCell ref="I183:I225"/>
    <mergeCell ref="J183:J225"/>
    <mergeCell ref="X183:X225"/>
    <mergeCell ref="V161:V181"/>
    <mergeCell ref="V183:V225"/>
    <mergeCell ref="R174:R175"/>
    <mergeCell ref="I96:I120"/>
    <mergeCell ref="J96:J120"/>
    <mergeCell ref="X96:X120"/>
    <mergeCell ref="I161:I181"/>
    <mergeCell ref="J161:J181"/>
    <mergeCell ref="X161:X181"/>
    <mergeCell ref="I122:I159"/>
    <mergeCell ref="J122:J159"/>
    <mergeCell ref="V122:V159"/>
    <mergeCell ref="V96:V120"/>
    <mergeCell ref="R122:R142"/>
    <mergeCell ref="X122:X159"/>
    <mergeCell ref="I74:I94"/>
    <mergeCell ref="J74:J94"/>
    <mergeCell ref="V29:V47"/>
    <mergeCell ref="R6:R17"/>
    <mergeCell ref="R29:R37"/>
    <mergeCell ref="R41:R47"/>
    <mergeCell ref="R50:R51"/>
    <mergeCell ref="R62:R69"/>
    <mergeCell ref="B2:G2"/>
    <mergeCell ref="L2:Q2"/>
    <mergeCell ref="I6:I19"/>
    <mergeCell ref="J6:J19"/>
    <mergeCell ref="R2:W2"/>
    <mergeCell ref="AB17:AC17"/>
    <mergeCell ref="I49:I72"/>
    <mergeCell ref="J49:J72"/>
    <mergeCell ref="X49:X72"/>
    <mergeCell ref="I21:I27"/>
    <mergeCell ref="J21:J27"/>
    <mergeCell ref="X21:X27"/>
    <mergeCell ref="X6:X19"/>
    <mergeCell ref="V49:V72"/>
    <mergeCell ref="X29:X47"/>
    <mergeCell ref="R52:R53"/>
    <mergeCell ref="R21:R24"/>
    <mergeCell ref="I29:I47"/>
    <mergeCell ref="J29:J47"/>
    <mergeCell ref="V6:V19"/>
    <mergeCell ref="V21:V27"/>
  </mergeCells>
  <phoneticPr fontId="19" type="noConversion"/>
  <conditionalFormatting sqref="J4">
    <cfRule type="containsText" dxfId="20" priority="2" operator="containsText" text="ERROR">
      <formula>NOT(ISERROR(SEARCH("ERROR",J4)))</formula>
    </cfRule>
  </conditionalFormatting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1DF49-0C35-4828-AA32-41E64F7F68B9}">
  <sheetPr codeName="Sheet7"/>
  <dimension ref="A1:ADN19"/>
  <sheetViews>
    <sheetView zoomScale="85" zoomScaleNormal="85" workbookViewId="0">
      <pane xSplit="5" ySplit="15" topLeftCell="AT16" activePane="bottomRight" state="frozen"/>
      <selection pane="bottomRight" activeCell="BF11" sqref="BF11"/>
      <selection pane="bottomLeft" activeCell="K24" sqref="K24"/>
      <selection pane="topRight" activeCell="K24" sqref="K24"/>
    </sheetView>
  </sheetViews>
  <sheetFormatPr defaultColWidth="9.42578125" defaultRowHeight="14.45"/>
  <cols>
    <col min="1" max="1" width="9.42578125" customWidth="1"/>
    <col min="2" max="2" width="34.42578125" customWidth="1"/>
    <col min="3" max="3" width="18.42578125" bestFit="1" customWidth="1"/>
    <col min="4" max="4" width="21.140625" customWidth="1"/>
    <col min="5" max="5" width="4.42578125" customWidth="1"/>
    <col min="6" max="6" width="16.140625" bestFit="1" customWidth="1"/>
    <col min="7" max="7" width="20.42578125" customWidth="1"/>
    <col min="8" max="316" width="15.42578125" bestFit="1" customWidth="1"/>
    <col min="317" max="317" width="9.42578125" style="181"/>
  </cols>
  <sheetData>
    <row r="1" spans="1:794">
      <c r="D1" s="177" t="s">
        <v>728</v>
      </c>
      <c r="E1" s="178"/>
      <c r="F1" s="179">
        <v>45677</v>
      </c>
      <c r="G1" s="180">
        <f>F1+7</f>
        <v>45684</v>
      </c>
      <c r="H1" s="180">
        <f>G1+7</f>
        <v>45691</v>
      </c>
      <c r="I1" s="180">
        <f t="shared" ref="I1:BT1" si="0">H1+7</f>
        <v>45698</v>
      </c>
      <c r="J1" s="180">
        <f t="shared" si="0"/>
        <v>45705</v>
      </c>
      <c r="K1" s="180">
        <f t="shared" si="0"/>
        <v>45712</v>
      </c>
      <c r="L1" s="180">
        <f t="shared" si="0"/>
        <v>45719</v>
      </c>
      <c r="M1" s="180">
        <f t="shared" si="0"/>
        <v>45726</v>
      </c>
      <c r="N1" s="180">
        <f t="shared" si="0"/>
        <v>45733</v>
      </c>
      <c r="O1" s="180">
        <f t="shared" si="0"/>
        <v>45740</v>
      </c>
      <c r="P1" s="180">
        <f t="shared" si="0"/>
        <v>45747</v>
      </c>
      <c r="Q1" s="180">
        <f t="shared" si="0"/>
        <v>45754</v>
      </c>
      <c r="R1" s="180">
        <f t="shared" si="0"/>
        <v>45761</v>
      </c>
      <c r="S1" s="180">
        <f t="shared" si="0"/>
        <v>45768</v>
      </c>
      <c r="T1" s="180">
        <f t="shared" si="0"/>
        <v>45775</v>
      </c>
      <c r="U1" s="180">
        <f t="shared" si="0"/>
        <v>45782</v>
      </c>
      <c r="V1" s="180">
        <f t="shared" si="0"/>
        <v>45789</v>
      </c>
      <c r="W1" s="180">
        <f t="shared" si="0"/>
        <v>45796</v>
      </c>
      <c r="X1" s="180">
        <f t="shared" si="0"/>
        <v>45803</v>
      </c>
      <c r="Y1" s="180">
        <f t="shared" si="0"/>
        <v>45810</v>
      </c>
      <c r="Z1" s="180">
        <f t="shared" si="0"/>
        <v>45817</v>
      </c>
      <c r="AA1" s="180">
        <f t="shared" si="0"/>
        <v>45824</v>
      </c>
      <c r="AB1" s="180">
        <f t="shared" si="0"/>
        <v>45831</v>
      </c>
      <c r="AC1" s="180">
        <f t="shared" si="0"/>
        <v>45838</v>
      </c>
      <c r="AD1" s="180">
        <f t="shared" si="0"/>
        <v>45845</v>
      </c>
      <c r="AE1" s="180">
        <f t="shared" si="0"/>
        <v>45852</v>
      </c>
      <c r="AF1" s="180">
        <f t="shared" si="0"/>
        <v>45859</v>
      </c>
      <c r="AG1" s="180">
        <f t="shared" si="0"/>
        <v>45866</v>
      </c>
      <c r="AH1" s="180">
        <f t="shared" si="0"/>
        <v>45873</v>
      </c>
      <c r="AI1" s="180">
        <f t="shared" si="0"/>
        <v>45880</v>
      </c>
      <c r="AJ1" s="180">
        <f t="shared" si="0"/>
        <v>45887</v>
      </c>
      <c r="AK1" s="180">
        <f t="shared" si="0"/>
        <v>45894</v>
      </c>
      <c r="AL1" s="180">
        <f t="shared" si="0"/>
        <v>45901</v>
      </c>
      <c r="AM1" s="180">
        <f t="shared" si="0"/>
        <v>45908</v>
      </c>
      <c r="AN1" s="180">
        <f t="shared" si="0"/>
        <v>45915</v>
      </c>
      <c r="AO1" s="180">
        <f t="shared" si="0"/>
        <v>45922</v>
      </c>
      <c r="AP1" s="180">
        <f t="shared" si="0"/>
        <v>45929</v>
      </c>
      <c r="AQ1" s="180">
        <f t="shared" si="0"/>
        <v>45936</v>
      </c>
      <c r="AR1" s="180">
        <f t="shared" si="0"/>
        <v>45943</v>
      </c>
      <c r="AS1" s="180">
        <f t="shared" si="0"/>
        <v>45950</v>
      </c>
      <c r="AT1" s="180">
        <f t="shared" si="0"/>
        <v>45957</v>
      </c>
      <c r="AU1" s="180">
        <f t="shared" si="0"/>
        <v>45964</v>
      </c>
      <c r="AV1" s="180">
        <f t="shared" si="0"/>
        <v>45971</v>
      </c>
      <c r="AW1" s="180">
        <f t="shared" si="0"/>
        <v>45978</v>
      </c>
      <c r="AX1" s="180">
        <f t="shared" si="0"/>
        <v>45985</v>
      </c>
      <c r="AY1" s="180">
        <f t="shared" si="0"/>
        <v>45992</v>
      </c>
      <c r="AZ1" s="180">
        <f t="shared" si="0"/>
        <v>45999</v>
      </c>
      <c r="BA1" s="180">
        <f t="shared" si="0"/>
        <v>46006</v>
      </c>
      <c r="BB1" s="180">
        <f t="shared" si="0"/>
        <v>46013</v>
      </c>
      <c r="BC1" s="180">
        <f t="shared" si="0"/>
        <v>46020</v>
      </c>
      <c r="BD1" s="180">
        <f t="shared" si="0"/>
        <v>46027</v>
      </c>
      <c r="BE1" s="180">
        <f t="shared" si="0"/>
        <v>46034</v>
      </c>
      <c r="BF1" s="180">
        <f t="shared" si="0"/>
        <v>46041</v>
      </c>
      <c r="BG1" s="180">
        <f t="shared" si="0"/>
        <v>46048</v>
      </c>
      <c r="BH1" s="180">
        <f t="shared" si="0"/>
        <v>46055</v>
      </c>
      <c r="BI1" s="180">
        <f t="shared" si="0"/>
        <v>46062</v>
      </c>
      <c r="BJ1" s="180">
        <f t="shared" si="0"/>
        <v>46069</v>
      </c>
      <c r="BK1" s="180">
        <f t="shared" si="0"/>
        <v>46076</v>
      </c>
      <c r="BL1" s="180">
        <f t="shared" si="0"/>
        <v>46083</v>
      </c>
      <c r="BM1" s="180">
        <f t="shared" si="0"/>
        <v>46090</v>
      </c>
      <c r="BN1" s="180">
        <f t="shared" si="0"/>
        <v>46097</v>
      </c>
      <c r="BO1" s="180">
        <f t="shared" si="0"/>
        <v>46104</v>
      </c>
      <c r="BP1" s="180">
        <f t="shared" si="0"/>
        <v>46111</v>
      </c>
      <c r="BQ1" s="180">
        <f t="shared" si="0"/>
        <v>46118</v>
      </c>
      <c r="BR1" s="180">
        <f t="shared" si="0"/>
        <v>46125</v>
      </c>
      <c r="BS1" s="180">
        <f t="shared" si="0"/>
        <v>46132</v>
      </c>
      <c r="BT1" s="180">
        <f t="shared" si="0"/>
        <v>46139</v>
      </c>
      <c r="BU1" s="180">
        <f t="shared" ref="BU1:EF1" si="1">BT1+7</f>
        <v>46146</v>
      </c>
      <c r="BV1" s="180">
        <f t="shared" si="1"/>
        <v>46153</v>
      </c>
      <c r="BW1" s="180">
        <f t="shared" si="1"/>
        <v>46160</v>
      </c>
      <c r="BX1" s="180">
        <f t="shared" si="1"/>
        <v>46167</v>
      </c>
      <c r="BY1" s="180">
        <f t="shared" si="1"/>
        <v>46174</v>
      </c>
      <c r="BZ1" s="180">
        <f t="shared" si="1"/>
        <v>46181</v>
      </c>
      <c r="CA1" s="180">
        <f t="shared" si="1"/>
        <v>46188</v>
      </c>
      <c r="CB1" s="180">
        <f t="shared" si="1"/>
        <v>46195</v>
      </c>
      <c r="CC1" s="180">
        <f t="shared" si="1"/>
        <v>46202</v>
      </c>
      <c r="CD1" s="180">
        <f t="shared" si="1"/>
        <v>46209</v>
      </c>
      <c r="CE1" s="180">
        <f t="shared" si="1"/>
        <v>46216</v>
      </c>
      <c r="CF1" s="180">
        <f t="shared" si="1"/>
        <v>46223</v>
      </c>
      <c r="CG1" s="180">
        <f t="shared" si="1"/>
        <v>46230</v>
      </c>
      <c r="CH1" s="180">
        <f t="shared" si="1"/>
        <v>46237</v>
      </c>
      <c r="CI1" s="180">
        <f t="shared" si="1"/>
        <v>46244</v>
      </c>
      <c r="CJ1" s="180">
        <f t="shared" si="1"/>
        <v>46251</v>
      </c>
      <c r="CK1" s="180">
        <f t="shared" si="1"/>
        <v>46258</v>
      </c>
      <c r="CL1" s="180">
        <f t="shared" si="1"/>
        <v>46265</v>
      </c>
      <c r="CM1" s="180">
        <f t="shared" si="1"/>
        <v>46272</v>
      </c>
      <c r="CN1" s="180">
        <f t="shared" si="1"/>
        <v>46279</v>
      </c>
      <c r="CO1" s="180">
        <f t="shared" si="1"/>
        <v>46286</v>
      </c>
      <c r="CP1" s="180">
        <f t="shared" si="1"/>
        <v>46293</v>
      </c>
      <c r="CQ1" s="180">
        <f t="shared" si="1"/>
        <v>46300</v>
      </c>
      <c r="CR1" s="180">
        <f t="shared" si="1"/>
        <v>46307</v>
      </c>
      <c r="CS1" s="180">
        <f t="shared" si="1"/>
        <v>46314</v>
      </c>
      <c r="CT1" s="180">
        <f t="shared" si="1"/>
        <v>46321</v>
      </c>
      <c r="CU1" s="180">
        <f t="shared" si="1"/>
        <v>46328</v>
      </c>
      <c r="CV1" s="180">
        <f t="shared" si="1"/>
        <v>46335</v>
      </c>
      <c r="CW1" s="180">
        <f t="shared" si="1"/>
        <v>46342</v>
      </c>
      <c r="CX1" s="180">
        <f t="shared" si="1"/>
        <v>46349</v>
      </c>
      <c r="CY1" s="180">
        <f t="shared" si="1"/>
        <v>46356</v>
      </c>
      <c r="CZ1" s="180">
        <f t="shared" si="1"/>
        <v>46363</v>
      </c>
      <c r="DA1" s="180">
        <f t="shared" si="1"/>
        <v>46370</v>
      </c>
      <c r="DB1" s="180">
        <f t="shared" si="1"/>
        <v>46377</v>
      </c>
      <c r="DC1" s="180">
        <f t="shared" si="1"/>
        <v>46384</v>
      </c>
      <c r="DD1" s="180">
        <f t="shared" si="1"/>
        <v>46391</v>
      </c>
      <c r="DE1" s="180">
        <f t="shared" si="1"/>
        <v>46398</v>
      </c>
      <c r="DF1" s="180">
        <f t="shared" si="1"/>
        <v>46405</v>
      </c>
      <c r="DG1" s="180">
        <f t="shared" si="1"/>
        <v>46412</v>
      </c>
      <c r="DH1" s="180">
        <f t="shared" si="1"/>
        <v>46419</v>
      </c>
      <c r="DI1" s="180">
        <f t="shared" si="1"/>
        <v>46426</v>
      </c>
      <c r="DJ1" s="180">
        <f t="shared" si="1"/>
        <v>46433</v>
      </c>
      <c r="DK1" s="180">
        <f t="shared" si="1"/>
        <v>46440</v>
      </c>
      <c r="DL1" s="180">
        <f t="shared" si="1"/>
        <v>46447</v>
      </c>
      <c r="DM1" s="180">
        <f t="shared" si="1"/>
        <v>46454</v>
      </c>
      <c r="DN1" s="180">
        <f t="shared" si="1"/>
        <v>46461</v>
      </c>
      <c r="DO1" s="180">
        <f t="shared" si="1"/>
        <v>46468</v>
      </c>
      <c r="DP1" s="180">
        <f t="shared" si="1"/>
        <v>46475</v>
      </c>
      <c r="DQ1" s="180">
        <f t="shared" si="1"/>
        <v>46482</v>
      </c>
      <c r="DR1" s="180">
        <f t="shared" si="1"/>
        <v>46489</v>
      </c>
      <c r="DS1" s="180">
        <f t="shared" si="1"/>
        <v>46496</v>
      </c>
      <c r="DT1" s="180">
        <f t="shared" si="1"/>
        <v>46503</v>
      </c>
      <c r="DU1" s="180">
        <f t="shared" si="1"/>
        <v>46510</v>
      </c>
      <c r="DV1" s="180">
        <f t="shared" si="1"/>
        <v>46517</v>
      </c>
      <c r="DW1" s="180">
        <f t="shared" si="1"/>
        <v>46524</v>
      </c>
      <c r="DX1" s="180">
        <f t="shared" si="1"/>
        <v>46531</v>
      </c>
      <c r="DY1" s="180">
        <f t="shared" si="1"/>
        <v>46538</v>
      </c>
      <c r="DZ1" s="180">
        <f t="shared" si="1"/>
        <v>46545</v>
      </c>
      <c r="EA1" s="180">
        <f t="shared" si="1"/>
        <v>46552</v>
      </c>
      <c r="EB1" s="180">
        <f t="shared" si="1"/>
        <v>46559</v>
      </c>
      <c r="EC1" s="180">
        <f t="shared" si="1"/>
        <v>46566</v>
      </c>
      <c r="ED1" s="180">
        <f t="shared" si="1"/>
        <v>46573</v>
      </c>
      <c r="EE1" s="180">
        <f t="shared" si="1"/>
        <v>46580</v>
      </c>
      <c r="EF1" s="180">
        <f t="shared" si="1"/>
        <v>46587</v>
      </c>
      <c r="EG1" s="180">
        <f t="shared" ref="EG1:GR1" si="2">EF1+7</f>
        <v>46594</v>
      </c>
      <c r="EH1" s="180">
        <f t="shared" si="2"/>
        <v>46601</v>
      </c>
      <c r="EI1" s="180">
        <f t="shared" si="2"/>
        <v>46608</v>
      </c>
      <c r="EJ1" s="180">
        <f t="shared" si="2"/>
        <v>46615</v>
      </c>
      <c r="EK1" s="180">
        <f t="shared" si="2"/>
        <v>46622</v>
      </c>
      <c r="EL1" s="180">
        <f t="shared" si="2"/>
        <v>46629</v>
      </c>
      <c r="EM1" s="180">
        <f t="shared" si="2"/>
        <v>46636</v>
      </c>
      <c r="EN1" s="180">
        <f t="shared" si="2"/>
        <v>46643</v>
      </c>
      <c r="EO1" s="180">
        <f t="shared" si="2"/>
        <v>46650</v>
      </c>
      <c r="EP1" s="180">
        <f t="shared" si="2"/>
        <v>46657</v>
      </c>
      <c r="EQ1" s="180">
        <f t="shared" si="2"/>
        <v>46664</v>
      </c>
      <c r="ER1" s="180">
        <f t="shared" si="2"/>
        <v>46671</v>
      </c>
      <c r="ES1" s="180">
        <f t="shared" si="2"/>
        <v>46678</v>
      </c>
      <c r="ET1" s="180">
        <f t="shared" si="2"/>
        <v>46685</v>
      </c>
      <c r="EU1" s="180">
        <f t="shared" si="2"/>
        <v>46692</v>
      </c>
      <c r="EV1" s="180">
        <f t="shared" si="2"/>
        <v>46699</v>
      </c>
      <c r="EW1" s="180">
        <f t="shared" si="2"/>
        <v>46706</v>
      </c>
      <c r="EX1" s="180">
        <f t="shared" si="2"/>
        <v>46713</v>
      </c>
      <c r="EY1" s="180">
        <f t="shared" si="2"/>
        <v>46720</v>
      </c>
      <c r="EZ1" s="180">
        <f t="shared" si="2"/>
        <v>46727</v>
      </c>
      <c r="FA1" s="180">
        <f t="shared" si="2"/>
        <v>46734</v>
      </c>
      <c r="FB1" s="180">
        <f t="shared" si="2"/>
        <v>46741</v>
      </c>
      <c r="FC1" s="180">
        <f t="shared" si="2"/>
        <v>46748</v>
      </c>
      <c r="FD1" s="180">
        <f t="shared" si="2"/>
        <v>46755</v>
      </c>
      <c r="FE1" s="180">
        <f t="shared" si="2"/>
        <v>46762</v>
      </c>
      <c r="FF1" s="180">
        <f t="shared" si="2"/>
        <v>46769</v>
      </c>
      <c r="FG1" s="180">
        <f t="shared" si="2"/>
        <v>46776</v>
      </c>
      <c r="FH1" s="180">
        <f t="shared" si="2"/>
        <v>46783</v>
      </c>
      <c r="FI1" s="180">
        <f t="shared" si="2"/>
        <v>46790</v>
      </c>
      <c r="FJ1" s="180">
        <f t="shared" si="2"/>
        <v>46797</v>
      </c>
      <c r="FK1" s="180">
        <f t="shared" si="2"/>
        <v>46804</v>
      </c>
      <c r="FL1" s="180">
        <f t="shared" si="2"/>
        <v>46811</v>
      </c>
      <c r="FM1" s="180">
        <f t="shared" si="2"/>
        <v>46818</v>
      </c>
      <c r="FN1" s="180">
        <f t="shared" si="2"/>
        <v>46825</v>
      </c>
      <c r="FO1" s="180">
        <f t="shared" si="2"/>
        <v>46832</v>
      </c>
      <c r="FP1" s="180">
        <f t="shared" si="2"/>
        <v>46839</v>
      </c>
      <c r="FQ1" s="180">
        <f t="shared" si="2"/>
        <v>46846</v>
      </c>
      <c r="FR1" s="180">
        <f t="shared" si="2"/>
        <v>46853</v>
      </c>
      <c r="FS1" s="180">
        <f t="shared" si="2"/>
        <v>46860</v>
      </c>
      <c r="FT1" s="180">
        <f t="shared" si="2"/>
        <v>46867</v>
      </c>
      <c r="FU1" s="180">
        <f t="shared" si="2"/>
        <v>46874</v>
      </c>
      <c r="FV1" s="180">
        <f t="shared" si="2"/>
        <v>46881</v>
      </c>
      <c r="FW1" s="180">
        <f t="shared" si="2"/>
        <v>46888</v>
      </c>
      <c r="FX1" s="180">
        <f t="shared" si="2"/>
        <v>46895</v>
      </c>
      <c r="FY1" s="180">
        <f t="shared" si="2"/>
        <v>46902</v>
      </c>
      <c r="FZ1" s="180">
        <f t="shared" si="2"/>
        <v>46909</v>
      </c>
      <c r="GA1" s="180">
        <f t="shared" si="2"/>
        <v>46916</v>
      </c>
      <c r="GB1" s="180">
        <f t="shared" si="2"/>
        <v>46923</v>
      </c>
      <c r="GC1" s="180">
        <f t="shared" si="2"/>
        <v>46930</v>
      </c>
      <c r="GD1" s="180">
        <f t="shared" si="2"/>
        <v>46937</v>
      </c>
      <c r="GE1" s="180">
        <f t="shared" si="2"/>
        <v>46944</v>
      </c>
      <c r="GF1" s="180">
        <f t="shared" si="2"/>
        <v>46951</v>
      </c>
      <c r="GG1" s="180">
        <f t="shared" si="2"/>
        <v>46958</v>
      </c>
      <c r="GH1" s="180">
        <f t="shared" si="2"/>
        <v>46965</v>
      </c>
      <c r="GI1" s="180">
        <f t="shared" si="2"/>
        <v>46972</v>
      </c>
      <c r="GJ1" s="180">
        <f t="shared" si="2"/>
        <v>46979</v>
      </c>
      <c r="GK1" s="180">
        <f t="shared" si="2"/>
        <v>46986</v>
      </c>
      <c r="GL1" s="180">
        <f t="shared" si="2"/>
        <v>46993</v>
      </c>
      <c r="GM1" s="180">
        <f t="shared" si="2"/>
        <v>47000</v>
      </c>
      <c r="GN1" s="180">
        <f t="shared" si="2"/>
        <v>47007</v>
      </c>
      <c r="GO1" s="180">
        <f t="shared" si="2"/>
        <v>47014</v>
      </c>
      <c r="GP1" s="180">
        <f t="shared" si="2"/>
        <v>47021</v>
      </c>
      <c r="GQ1" s="180">
        <f t="shared" si="2"/>
        <v>47028</v>
      </c>
      <c r="GR1" s="180">
        <f t="shared" si="2"/>
        <v>47035</v>
      </c>
      <c r="GS1" s="180">
        <f t="shared" ref="GS1:JD1" si="3">GR1+7</f>
        <v>47042</v>
      </c>
      <c r="GT1" s="180">
        <f t="shared" si="3"/>
        <v>47049</v>
      </c>
      <c r="GU1" s="180">
        <f t="shared" si="3"/>
        <v>47056</v>
      </c>
      <c r="GV1" s="180">
        <f t="shared" si="3"/>
        <v>47063</v>
      </c>
      <c r="GW1" s="180">
        <f t="shared" si="3"/>
        <v>47070</v>
      </c>
      <c r="GX1" s="180">
        <f t="shared" si="3"/>
        <v>47077</v>
      </c>
      <c r="GY1" s="180">
        <f t="shared" si="3"/>
        <v>47084</v>
      </c>
      <c r="GZ1" s="180">
        <f t="shared" si="3"/>
        <v>47091</v>
      </c>
      <c r="HA1" s="180">
        <f t="shared" si="3"/>
        <v>47098</v>
      </c>
      <c r="HB1" s="180">
        <f t="shared" si="3"/>
        <v>47105</v>
      </c>
      <c r="HC1" s="180">
        <f t="shared" si="3"/>
        <v>47112</v>
      </c>
      <c r="HD1" s="180">
        <f t="shared" si="3"/>
        <v>47119</v>
      </c>
      <c r="HE1" s="180">
        <f t="shared" si="3"/>
        <v>47126</v>
      </c>
      <c r="HF1" s="180">
        <f t="shared" si="3"/>
        <v>47133</v>
      </c>
      <c r="HG1" s="180">
        <f t="shared" si="3"/>
        <v>47140</v>
      </c>
      <c r="HH1" s="180">
        <f t="shared" si="3"/>
        <v>47147</v>
      </c>
      <c r="HI1" s="180">
        <f t="shared" si="3"/>
        <v>47154</v>
      </c>
      <c r="HJ1" s="180">
        <f t="shared" si="3"/>
        <v>47161</v>
      </c>
      <c r="HK1" s="180">
        <f t="shared" si="3"/>
        <v>47168</v>
      </c>
      <c r="HL1" s="180">
        <f t="shared" si="3"/>
        <v>47175</v>
      </c>
      <c r="HM1" s="180">
        <f t="shared" si="3"/>
        <v>47182</v>
      </c>
      <c r="HN1" s="180">
        <f t="shared" si="3"/>
        <v>47189</v>
      </c>
      <c r="HO1" s="180">
        <f t="shared" si="3"/>
        <v>47196</v>
      </c>
      <c r="HP1" s="180">
        <f t="shared" si="3"/>
        <v>47203</v>
      </c>
      <c r="HQ1" s="180">
        <f t="shared" si="3"/>
        <v>47210</v>
      </c>
      <c r="HR1" s="180">
        <f t="shared" si="3"/>
        <v>47217</v>
      </c>
      <c r="HS1" s="180">
        <f t="shared" si="3"/>
        <v>47224</v>
      </c>
      <c r="HT1" s="180">
        <f t="shared" si="3"/>
        <v>47231</v>
      </c>
      <c r="HU1" s="180">
        <f t="shared" si="3"/>
        <v>47238</v>
      </c>
      <c r="HV1" s="180">
        <f t="shared" si="3"/>
        <v>47245</v>
      </c>
      <c r="HW1" s="180">
        <f t="shared" si="3"/>
        <v>47252</v>
      </c>
      <c r="HX1" s="180">
        <f t="shared" si="3"/>
        <v>47259</v>
      </c>
      <c r="HY1" s="180">
        <f t="shared" si="3"/>
        <v>47266</v>
      </c>
      <c r="HZ1" s="180">
        <f t="shared" si="3"/>
        <v>47273</v>
      </c>
      <c r="IA1" s="180">
        <f t="shared" si="3"/>
        <v>47280</v>
      </c>
      <c r="IB1" s="180">
        <f t="shared" si="3"/>
        <v>47287</v>
      </c>
      <c r="IC1" s="180">
        <f t="shared" si="3"/>
        <v>47294</v>
      </c>
      <c r="ID1" s="180">
        <f t="shared" si="3"/>
        <v>47301</v>
      </c>
      <c r="IE1" s="180">
        <f t="shared" si="3"/>
        <v>47308</v>
      </c>
      <c r="IF1" s="180">
        <f t="shared" si="3"/>
        <v>47315</v>
      </c>
      <c r="IG1" s="180">
        <f t="shared" si="3"/>
        <v>47322</v>
      </c>
      <c r="IH1" s="180">
        <f t="shared" si="3"/>
        <v>47329</v>
      </c>
      <c r="II1" s="180">
        <f t="shared" si="3"/>
        <v>47336</v>
      </c>
      <c r="IJ1" s="180">
        <f t="shared" si="3"/>
        <v>47343</v>
      </c>
      <c r="IK1" s="180">
        <f t="shared" si="3"/>
        <v>47350</v>
      </c>
      <c r="IL1" s="180">
        <f t="shared" si="3"/>
        <v>47357</v>
      </c>
      <c r="IM1" s="180">
        <f t="shared" si="3"/>
        <v>47364</v>
      </c>
      <c r="IN1" s="180">
        <f t="shared" si="3"/>
        <v>47371</v>
      </c>
      <c r="IO1" s="180">
        <f t="shared" si="3"/>
        <v>47378</v>
      </c>
      <c r="IP1" s="180">
        <f t="shared" si="3"/>
        <v>47385</v>
      </c>
      <c r="IQ1" s="180">
        <f t="shared" si="3"/>
        <v>47392</v>
      </c>
      <c r="IR1" s="180">
        <f t="shared" si="3"/>
        <v>47399</v>
      </c>
      <c r="IS1" s="180">
        <f t="shared" si="3"/>
        <v>47406</v>
      </c>
      <c r="IT1" s="180">
        <f t="shared" si="3"/>
        <v>47413</v>
      </c>
      <c r="IU1" s="180">
        <f t="shared" si="3"/>
        <v>47420</v>
      </c>
      <c r="IV1" s="180">
        <f t="shared" si="3"/>
        <v>47427</v>
      </c>
      <c r="IW1" s="180">
        <f t="shared" si="3"/>
        <v>47434</v>
      </c>
      <c r="IX1" s="180">
        <f t="shared" si="3"/>
        <v>47441</v>
      </c>
      <c r="IY1" s="180">
        <f t="shared" si="3"/>
        <v>47448</v>
      </c>
      <c r="IZ1" s="180">
        <f t="shared" si="3"/>
        <v>47455</v>
      </c>
      <c r="JA1" s="180">
        <f t="shared" si="3"/>
        <v>47462</v>
      </c>
      <c r="JB1" s="180">
        <f t="shared" si="3"/>
        <v>47469</v>
      </c>
      <c r="JC1" s="180">
        <f t="shared" si="3"/>
        <v>47476</v>
      </c>
      <c r="JD1" s="180">
        <f t="shared" si="3"/>
        <v>47483</v>
      </c>
      <c r="JE1" s="180">
        <f t="shared" ref="JE1:LD1" si="4">JD1+7</f>
        <v>47490</v>
      </c>
      <c r="JF1" s="180">
        <f t="shared" si="4"/>
        <v>47497</v>
      </c>
      <c r="JG1" s="180">
        <f t="shared" si="4"/>
        <v>47504</v>
      </c>
      <c r="JH1" s="180">
        <f t="shared" si="4"/>
        <v>47511</v>
      </c>
      <c r="JI1" s="180">
        <f t="shared" si="4"/>
        <v>47518</v>
      </c>
      <c r="JJ1" s="180">
        <f t="shared" si="4"/>
        <v>47525</v>
      </c>
      <c r="JK1" s="180">
        <f t="shared" si="4"/>
        <v>47532</v>
      </c>
      <c r="JL1" s="180">
        <f t="shared" si="4"/>
        <v>47539</v>
      </c>
      <c r="JM1" s="180">
        <f t="shared" si="4"/>
        <v>47546</v>
      </c>
      <c r="JN1" s="180">
        <f t="shared" si="4"/>
        <v>47553</v>
      </c>
      <c r="JO1" s="180">
        <f t="shared" si="4"/>
        <v>47560</v>
      </c>
      <c r="JP1" s="180">
        <f t="shared" si="4"/>
        <v>47567</v>
      </c>
      <c r="JQ1" s="180">
        <f t="shared" si="4"/>
        <v>47574</v>
      </c>
      <c r="JR1" s="180">
        <f t="shared" si="4"/>
        <v>47581</v>
      </c>
      <c r="JS1" s="180">
        <f t="shared" si="4"/>
        <v>47588</v>
      </c>
      <c r="JT1" s="180">
        <f t="shared" si="4"/>
        <v>47595</v>
      </c>
      <c r="JU1" s="180">
        <f t="shared" si="4"/>
        <v>47602</v>
      </c>
      <c r="JV1" s="180">
        <f t="shared" si="4"/>
        <v>47609</v>
      </c>
      <c r="JW1" s="180">
        <f t="shared" si="4"/>
        <v>47616</v>
      </c>
      <c r="JX1" s="180">
        <f t="shared" si="4"/>
        <v>47623</v>
      </c>
      <c r="JY1" s="180">
        <f t="shared" si="4"/>
        <v>47630</v>
      </c>
      <c r="JZ1" s="180">
        <f t="shared" si="4"/>
        <v>47637</v>
      </c>
      <c r="KA1" s="180">
        <f t="shared" si="4"/>
        <v>47644</v>
      </c>
      <c r="KB1" s="180">
        <f t="shared" si="4"/>
        <v>47651</v>
      </c>
      <c r="KC1" s="180">
        <f t="shared" si="4"/>
        <v>47658</v>
      </c>
      <c r="KD1" s="180">
        <f t="shared" si="4"/>
        <v>47665</v>
      </c>
      <c r="KE1" s="180">
        <f t="shared" si="4"/>
        <v>47672</v>
      </c>
      <c r="KF1" s="180">
        <f t="shared" si="4"/>
        <v>47679</v>
      </c>
      <c r="KG1" s="180">
        <f t="shared" si="4"/>
        <v>47686</v>
      </c>
      <c r="KH1" s="180">
        <f t="shared" si="4"/>
        <v>47693</v>
      </c>
      <c r="KI1" s="180">
        <f t="shared" si="4"/>
        <v>47700</v>
      </c>
      <c r="KJ1" s="180">
        <f t="shared" si="4"/>
        <v>47707</v>
      </c>
      <c r="KK1" s="180">
        <f t="shared" si="4"/>
        <v>47714</v>
      </c>
      <c r="KL1" s="180">
        <f t="shared" si="4"/>
        <v>47721</v>
      </c>
      <c r="KM1" s="180">
        <f t="shared" si="4"/>
        <v>47728</v>
      </c>
      <c r="KN1" s="180">
        <f t="shared" si="4"/>
        <v>47735</v>
      </c>
      <c r="KO1" s="180">
        <f t="shared" si="4"/>
        <v>47742</v>
      </c>
      <c r="KP1" s="180">
        <f t="shared" si="4"/>
        <v>47749</v>
      </c>
      <c r="KQ1" s="180">
        <f t="shared" si="4"/>
        <v>47756</v>
      </c>
      <c r="KR1" s="180">
        <f t="shared" si="4"/>
        <v>47763</v>
      </c>
      <c r="KS1" s="180">
        <f t="shared" si="4"/>
        <v>47770</v>
      </c>
      <c r="KT1" s="180">
        <f t="shared" si="4"/>
        <v>47777</v>
      </c>
      <c r="KU1" s="180">
        <f t="shared" si="4"/>
        <v>47784</v>
      </c>
      <c r="KV1" s="180">
        <f t="shared" si="4"/>
        <v>47791</v>
      </c>
      <c r="KW1" s="180">
        <f t="shared" si="4"/>
        <v>47798</v>
      </c>
      <c r="KX1" s="180">
        <f t="shared" si="4"/>
        <v>47805</v>
      </c>
      <c r="KY1" s="180">
        <f t="shared" si="4"/>
        <v>47812</v>
      </c>
      <c r="KZ1" s="180">
        <f t="shared" si="4"/>
        <v>47819</v>
      </c>
      <c r="LA1" s="180">
        <f t="shared" si="4"/>
        <v>47826</v>
      </c>
      <c r="LB1" s="180">
        <f t="shared" si="4"/>
        <v>47833</v>
      </c>
      <c r="LC1" s="180">
        <f t="shared" si="4"/>
        <v>47840</v>
      </c>
      <c r="LD1" s="180">
        <f t="shared" si="4"/>
        <v>47847</v>
      </c>
    </row>
    <row r="2" spans="1:794" s="181" customFormat="1">
      <c r="A2" s="929" t="s">
        <v>729</v>
      </c>
      <c r="B2" s="182"/>
      <c r="C2" s="183" t="s">
        <v>301</v>
      </c>
      <c r="D2" s="183" t="s">
        <v>301</v>
      </c>
      <c r="E2" s="183"/>
      <c r="F2" s="184"/>
      <c r="G2" s="184"/>
      <c r="H2" s="184"/>
      <c r="I2" s="184"/>
      <c r="J2" s="184"/>
      <c r="K2" s="184"/>
      <c r="L2" s="184"/>
      <c r="M2" s="184"/>
      <c r="N2" s="184"/>
      <c r="O2" s="184"/>
      <c r="P2" s="184"/>
      <c r="Q2" s="184"/>
      <c r="R2" s="184"/>
      <c r="S2" s="184"/>
      <c r="T2" s="184"/>
      <c r="U2" s="184"/>
      <c r="V2" s="184"/>
      <c r="W2" s="184"/>
      <c r="X2" s="184"/>
      <c r="Y2" s="184"/>
      <c r="Z2" s="184"/>
      <c r="AA2" s="184"/>
      <c r="AB2" s="184"/>
      <c r="AC2" s="184"/>
      <c r="AD2" s="184"/>
      <c r="AE2" s="184"/>
      <c r="AF2" s="184"/>
      <c r="AG2" s="184"/>
      <c r="AH2" s="184"/>
      <c r="AI2" s="184"/>
      <c r="AJ2" s="184"/>
      <c r="AK2" s="184"/>
      <c r="AL2" s="184"/>
      <c r="AM2" s="184"/>
      <c r="AN2" s="184"/>
      <c r="AO2" s="184"/>
      <c r="AP2" s="184"/>
      <c r="AQ2" s="184"/>
      <c r="AR2" s="184"/>
      <c r="AS2" s="184"/>
      <c r="AT2" s="184"/>
      <c r="AU2" s="184"/>
      <c r="AV2" s="184"/>
      <c r="AW2" s="184"/>
      <c r="AX2" s="184"/>
      <c r="AY2" s="184"/>
      <c r="AZ2" s="184"/>
      <c r="BA2" s="184"/>
      <c r="BB2" s="184"/>
      <c r="BC2" s="184"/>
      <c r="BD2" s="184"/>
      <c r="BE2" s="184"/>
      <c r="BF2" s="184"/>
      <c r="BG2" s="184"/>
      <c r="BH2" s="184"/>
      <c r="BI2" s="184"/>
      <c r="BJ2" s="184"/>
      <c r="BK2" s="184"/>
      <c r="BL2" s="184"/>
      <c r="BM2" s="184"/>
      <c r="BN2" s="184"/>
      <c r="BO2" s="184"/>
      <c r="BP2" s="184"/>
      <c r="BQ2" s="184"/>
      <c r="BR2" s="184"/>
      <c r="BS2" s="184"/>
      <c r="BT2" s="184"/>
      <c r="BU2" s="184"/>
      <c r="BV2" s="184"/>
      <c r="BW2" s="184"/>
      <c r="BX2" s="184"/>
      <c r="BY2" s="184"/>
      <c r="BZ2" s="184"/>
      <c r="CA2" s="184"/>
      <c r="CB2" s="184"/>
      <c r="CC2" s="184"/>
      <c r="CD2" s="184"/>
      <c r="CE2" s="184"/>
      <c r="CF2" s="184"/>
      <c r="CG2" s="184"/>
      <c r="CH2" s="184"/>
      <c r="CI2" s="184"/>
      <c r="CJ2" s="184"/>
      <c r="CK2" s="184"/>
      <c r="CL2" s="184"/>
      <c r="CM2" s="184"/>
      <c r="CN2" s="184"/>
      <c r="CO2" s="184"/>
      <c r="CP2" s="184"/>
      <c r="CQ2" s="184"/>
      <c r="CR2" s="184"/>
      <c r="CS2" s="184"/>
      <c r="CT2" s="184"/>
      <c r="CU2" s="184"/>
      <c r="CV2" s="184"/>
      <c r="CW2" s="184"/>
      <c r="CX2" s="184"/>
      <c r="CY2" s="184"/>
      <c r="CZ2" s="184"/>
      <c r="DA2" s="184"/>
      <c r="DB2" s="184"/>
      <c r="DC2" s="184"/>
      <c r="DD2" s="184"/>
      <c r="DE2" s="184"/>
      <c r="DF2" s="184"/>
      <c r="DG2" s="184"/>
      <c r="DH2" s="184"/>
      <c r="DI2" s="184"/>
      <c r="DJ2" s="184"/>
      <c r="DK2" s="184"/>
      <c r="DL2" s="184"/>
      <c r="DM2" s="184"/>
      <c r="DN2" s="184"/>
      <c r="DO2" s="184"/>
      <c r="DP2" s="184"/>
      <c r="DQ2" s="184"/>
      <c r="DR2" s="184"/>
      <c r="DS2" s="184"/>
      <c r="DT2" s="184"/>
      <c r="DU2" s="184"/>
      <c r="DV2" s="184"/>
      <c r="DW2" s="184"/>
      <c r="DX2" s="184"/>
      <c r="DY2" s="184"/>
      <c r="DZ2" s="184"/>
      <c r="EA2" s="184"/>
      <c r="EB2" s="184"/>
      <c r="EC2" s="184"/>
      <c r="ED2" s="184"/>
      <c r="EE2" s="184"/>
      <c r="EF2" s="184"/>
      <c r="EG2" s="184"/>
      <c r="EH2" s="184"/>
      <c r="EI2" s="184"/>
      <c r="EJ2" s="184"/>
      <c r="EK2" s="184"/>
      <c r="EL2" s="184"/>
      <c r="EM2" s="184"/>
      <c r="EN2" s="184"/>
      <c r="EO2" s="184"/>
      <c r="EP2" s="184"/>
      <c r="EQ2" s="184"/>
      <c r="ER2" s="184"/>
      <c r="ES2" s="184"/>
      <c r="ET2" s="184"/>
      <c r="EU2" s="184"/>
      <c r="EV2" s="184"/>
      <c r="EW2" s="184"/>
      <c r="EX2" s="184"/>
      <c r="EY2" s="184"/>
      <c r="EZ2" s="184"/>
      <c r="FA2" s="184"/>
      <c r="FB2" s="184"/>
      <c r="FC2" s="184"/>
      <c r="FD2" s="184"/>
      <c r="FE2" s="184"/>
      <c r="FF2" s="184"/>
      <c r="FG2" s="184"/>
      <c r="FH2" s="184"/>
      <c r="FI2" s="184"/>
      <c r="FJ2" s="184"/>
      <c r="FK2" s="184"/>
      <c r="FL2" s="184"/>
      <c r="FM2" s="184"/>
      <c r="FN2" s="184"/>
      <c r="FO2" s="184"/>
      <c r="FP2" s="184"/>
      <c r="FQ2" s="184"/>
      <c r="FR2" s="184"/>
      <c r="FS2" s="184"/>
      <c r="FT2" s="184"/>
      <c r="FU2" s="184"/>
      <c r="FV2" s="184"/>
      <c r="FW2" s="184"/>
      <c r="FX2" s="184"/>
      <c r="FY2" s="184"/>
      <c r="FZ2" s="184"/>
      <c r="GA2" s="184"/>
      <c r="GB2" s="184"/>
      <c r="GC2" s="184"/>
      <c r="GD2" s="184"/>
      <c r="GE2" s="184"/>
      <c r="GF2" s="184"/>
      <c r="GG2" s="184"/>
      <c r="GH2" s="184"/>
      <c r="GI2" s="184"/>
      <c r="GJ2" s="184"/>
      <c r="GK2" s="184"/>
      <c r="GL2" s="184"/>
      <c r="GM2" s="184"/>
      <c r="GN2" s="184"/>
      <c r="GO2" s="184"/>
      <c r="GP2" s="184"/>
      <c r="GQ2" s="184"/>
      <c r="GR2" s="184"/>
      <c r="GS2" s="184"/>
      <c r="GT2" s="184"/>
      <c r="GU2" s="184"/>
      <c r="GV2" s="184"/>
      <c r="GW2" s="184"/>
      <c r="GX2" s="184"/>
      <c r="GY2" s="184"/>
      <c r="GZ2" s="184"/>
      <c r="HA2" s="184"/>
      <c r="HB2" s="184"/>
      <c r="HC2" s="184"/>
      <c r="HD2" s="184"/>
      <c r="HE2" s="184"/>
      <c r="HF2" s="184"/>
      <c r="HG2" s="184"/>
      <c r="HH2" s="184"/>
      <c r="HI2" s="184"/>
      <c r="HJ2" s="184"/>
      <c r="HK2" s="184"/>
      <c r="HL2" s="184"/>
      <c r="HM2" s="184"/>
      <c r="HN2" s="184"/>
      <c r="HO2" s="184"/>
      <c r="HP2" s="184"/>
      <c r="HQ2" s="184"/>
      <c r="HR2" s="184"/>
      <c r="HS2" s="184"/>
      <c r="HT2" s="184"/>
      <c r="HU2" s="184"/>
      <c r="HV2" s="184"/>
      <c r="HW2" s="184"/>
      <c r="HX2" s="184"/>
      <c r="HY2" s="184"/>
      <c r="HZ2" s="184"/>
      <c r="IA2" s="184"/>
      <c r="IB2" s="184"/>
      <c r="IC2" s="184"/>
      <c r="ID2" s="184"/>
      <c r="IE2" s="184"/>
      <c r="IF2" s="184"/>
      <c r="IG2" s="184"/>
      <c r="IH2" s="184"/>
      <c r="II2" s="184"/>
      <c r="IJ2" s="184"/>
      <c r="IK2" s="184"/>
      <c r="IL2" s="184"/>
      <c r="IM2" s="184"/>
      <c r="IN2" s="184"/>
      <c r="IO2" s="184"/>
      <c r="IP2" s="184"/>
      <c r="IQ2" s="184"/>
      <c r="IR2" s="184"/>
      <c r="IS2" s="184"/>
      <c r="IT2" s="184"/>
      <c r="IU2" s="184"/>
      <c r="IV2" s="184"/>
      <c r="IW2" s="184"/>
      <c r="IX2" s="184"/>
      <c r="IY2" s="184"/>
      <c r="IZ2" s="184"/>
      <c r="JA2" s="184"/>
      <c r="JB2" s="184"/>
      <c r="JC2" s="184"/>
      <c r="JD2" s="184"/>
      <c r="JE2" s="184"/>
      <c r="JF2" s="184"/>
      <c r="JG2" s="184"/>
      <c r="JH2" s="184"/>
      <c r="JI2" s="184"/>
      <c r="JJ2" s="184"/>
      <c r="JK2" s="184"/>
      <c r="JL2" s="184"/>
      <c r="JM2" s="184"/>
      <c r="JN2" s="184"/>
      <c r="JO2" s="184"/>
      <c r="JP2" s="184"/>
      <c r="JQ2" s="184"/>
      <c r="JR2" s="184"/>
      <c r="JS2" s="184"/>
      <c r="JT2" s="184"/>
      <c r="JU2" s="184"/>
      <c r="JV2" s="184"/>
      <c r="JW2" s="184"/>
      <c r="JX2" s="184"/>
      <c r="JY2" s="184"/>
      <c r="JZ2" s="184"/>
      <c r="KA2" s="184"/>
      <c r="KB2" s="184"/>
      <c r="KC2" s="184"/>
      <c r="KD2" s="184"/>
      <c r="KE2" s="184"/>
      <c r="KF2" s="184"/>
      <c r="KG2" s="184"/>
      <c r="KH2" s="184"/>
      <c r="KI2" s="184"/>
      <c r="KJ2" s="184"/>
      <c r="KK2" s="184"/>
      <c r="KL2" s="184"/>
      <c r="KM2" s="184"/>
      <c r="KN2" s="184"/>
      <c r="KO2" s="184"/>
      <c r="KP2" s="184"/>
      <c r="KQ2" s="184"/>
      <c r="KR2" s="184"/>
      <c r="KS2" s="184"/>
      <c r="KT2" s="184"/>
      <c r="KU2" s="184"/>
      <c r="KV2" s="184"/>
      <c r="KW2" s="184"/>
      <c r="KX2" s="184"/>
      <c r="KY2" s="184"/>
      <c r="KZ2" s="184"/>
      <c r="LA2" s="184"/>
      <c r="LB2" s="184"/>
      <c r="LC2" s="184"/>
      <c r="LD2" s="184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  <c r="QK2"/>
      <c r="QL2"/>
      <c r="QM2"/>
      <c r="QN2"/>
      <c r="QO2"/>
      <c r="QP2"/>
      <c r="QQ2"/>
      <c r="QR2"/>
      <c r="QS2"/>
      <c r="QT2"/>
      <c r="QU2"/>
      <c r="QV2"/>
      <c r="QW2"/>
      <c r="QX2"/>
      <c r="QY2"/>
      <c r="QZ2"/>
      <c r="RA2"/>
      <c r="RB2"/>
      <c r="RC2"/>
      <c r="RD2"/>
      <c r="RE2"/>
      <c r="RF2"/>
      <c r="RG2"/>
      <c r="RH2"/>
      <c r="RI2"/>
      <c r="RJ2"/>
      <c r="RK2"/>
      <c r="RL2"/>
      <c r="RM2"/>
      <c r="RN2"/>
      <c r="RO2"/>
      <c r="RP2"/>
      <c r="RQ2"/>
      <c r="RR2"/>
      <c r="RS2"/>
      <c r="RT2"/>
      <c r="RU2"/>
      <c r="RV2"/>
      <c r="RW2"/>
      <c r="RX2"/>
      <c r="RY2"/>
      <c r="RZ2"/>
      <c r="SA2"/>
      <c r="SB2"/>
      <c r="SC2"/>
      <c r="SD2"/>
      <c r="SE2"/>
      <c r="SF2"/>
      <c r="SG2"/>
      <c r="SH2"/>
      <c r="SI2"/>
      <c r="SJ2"/>
      <c r="SK2"/>
      <c r="SL2"/>
      <c r="SM2"/>
      <c r="SN2"/>
      <c r="SO2"/>
      <c r="SP2"/>
      <c r="SQ2"/>
      <c r="SR2"/>
      <c r="SS2"/>
      <c r="ST2"/>
      <c r="SU2"/>
      <c r="SV2"/>
      <c r="SW2"/>
      <c r="SX2"/>
      <c r="SY2"/>
      <c r="SZ2"/>
      <c r="TA2"/>
      <c r="TB2"/>
      <c r="TC2"/>
      <c r="TD2"/>
      <c r="TE2"/>
      <c r="TF2"/>
      <c r="TG2"/>
      <c r="TH2"/>
      <c r="TI2"/>
      <c r="TJ2"/>
      <c r="TK2"/>
      <c r="TL2"/>
      <c r="TM2"/>
      <c r="TN2"/>
      <c r="TO2"/>
      <c r="TP2"/>
      <c r="TQ2"/>
      <c r="TR2"/>
      <c r="TS2"/>
      <c r="TT2"/>
      <c r="TU2"/>
      <c r="TV2"/>
      <c r="TW2"/>
      <c r="TX2"/>
      <c r="TY2"/>
      <c r="TZ2"/>
      <c r="UA2"/>
      <c r="UB2"/>
      <c r="UC2"/>
      <c r="UD2"/>
      <c r="UE2"/>
      <c r="UF2"/>
      <c r="UG2"/>
      <c r="UH2"/>
      <c r="UI2"/>
      <c r="UJ2"/>
      <c r="UK2"/>
      <c r="UL2"/>
      <c r="UM2"/>
      <c r="UN2"/>
      <c r="UO2"/>
      <c r="UP2"/>
      <c r="UQ2"/>
      <c r="UR2"/>
      <c r="US2"/>
      <c r="UT2"/>
      <c r="UU2"/>
      <c r="UV2"/>
      <c r="UW2"/>
      <c r="UX2"/>
      <c r="UY2"/>
      <c r="UZ2"/>
      <c r="VA2"/>
      <c r="VB2"/>
      <c r="VC2"/>
      <c r="VD2"/>
      <c r="VE2"/>
      <c r="VF2"/>
      <c r="VG2"/>
      <c r="VH2"/>
      <c r="VI2"/>
      <c r="VJ2"/>
      <c r="VK2"/>
      <c r="VL2"/>
      <c r="VM2"/>
      <c r="VN2"/>
      <c r="VO2"/>
      <c r="VP2"/>
      <c r="VQ2"/>
      <c r="VR2"/>
      <c r="VS2"/>
      <c r="VT2"/>
      <c r="VU2"/>
      <c r="VV2"/>
      <c r="VW2"/>
      <c r="VX2"/>
      <c r="VY2"/>
      <c r="VZ2"/>
      <c r="WA2"/>
      <c r="WB2"/>
      <c r="WC2"/>
      <c r="WD2"/>
      <c r="WE2"/>
      <c r="WF2"/>
      <c r="WG2"/>
      <c r="WH2"/>
      <c r="WI2"/>
      <c r="WJ2"/>
      <c r="WK2"/>
      <c r="WL2"/>
      <c r="WM2"/>
      <c r="WN2"/>
      <c r="WO2"/>
      <c r="WP2"/>
      <c r="WQ2"/>
      <c r="WR2"/>
      <c r="WS2"/>
      <c r="WT2"/>
      <c r="WU2"/>
      <c r="WV2"/>
      <c r="WW2"/>
      <c r="WX2"/>
      <c r="WY2"/>
      <c r="WZ2"/>
      <c r="XA2"/>
      <c r="XB2"/>
      <c r="XC2"/>
      <c r="XD2"/>
      <c r="XE2"/>
      <c r="XF2"/>
      <c r="XG2"/>
      <c r="XH2"/>
      <c r="XI2"/>
      <c r="XJ2"/>
      <c r="XK2"/>
      <c r="XL2"/>
      <c r="XM2"/>
      <c r="XN2"/>
      <c r="XO2"/>
      <c r="XP2"/>
      <c r="XQ2"/>
      <c r="XR2"/>
      <c r="XS2"/>
      <c r="XT2"/>
      <c r="XU2"/>
      <c r="XV2"/>
      <c r="XW2"/>
      <c r="XX2"/>
      <c r="XY2"/>
      <c r="XZ2"/>
      <c r="YA2"/>
      <c r="YB2"/>
      <c r="YC2"/>
      <c r="YD2"/>
      <c r="YE2"/>
      <c r="YF2"/>
      <c r="YG2"/>
      <c r="YH2"/>
      <c r="YI2"/>
      <c r="YJ2"/>
      <c r="YK2"/>
      <c r="YL2"/>
      <c r="YM2"/>
      <c r="YN2"/>
      <c r="YO2"/>
      <c r="YP2"/>
      <c r="YQ2"/>
      <c r="YR2"/>
      <c r="YS2"/>
      <c r="YT2"/>
      <c r="YU2"/>
      <c r="YV2"/>
      <c r="YW2"/>
      <c r="YX2"/>
      <c r="YY2"/>
      <c r="YZ2"/>
      <c r="ZA2"/>
      <c r="ZB2"/>
      <c r="ZC2"/>
      <c r="ZD2"/>
      <c r="ZE2"/>
      <c r="ZF2"/>
      <c r="ZG2"/>
      <c r="ZH2"/>
      <c r="ZI2"/>
      <c r="ZJ2"/>
      <c r="ZK2"/>
      <c r="ZL2"/>
      <c r="ZM2"/>
      <c r="ZN2"/>
      <c r="ZO2"/>
      <c r="ZP2"/>
      <c r="ZQ2"/>
      <c r="ZR2"/>
      <c r="ZS2"/>
      <c r="ZT2"/>
      <c r="ZU2"/>
      <c r="ZV2"/>
      <c r="ZW2"/>
      <c r="ZX2"/>
      <c r="ZY2"/>
      <c r="ZZ2"/>
      <c r="AAA2"/>
      <c r="AAB2"/>
      <c r="AAC2"/>
      <c r="AAD2"/>
      <c r="AAE2"/>
      <c r="AAF2"/>
      <c r="AAG2"/>
      <c r="AAH2"/>
      <c r="AAI2"/>
      <c r="AAJ2"/>
      <c r="AAK2"/>
      <c r="AAL2"/>
      <c r="AAM2"/>
      <c r="AAN2"/>
      <c r="AAO2"/>
      <c r="AAP2"/>
      <c r="AAQ2"/>
      <c r="AAR2"/>
      <c r="AAS2"/>
      <c r="AAT2"/>
      <c r="AAU2"/>
      <c r="AAV2"/>
      <c r="AAW2"/>
      <c r="AAX2"/>
      <c r="AAY2"/>
      <c r="AAZ2"/>
      <c r="ABA2"/>
      <c r="ABB2"/>
      <c r="ABC2"/>
      <c r="ABD2"/>
      <c r="ABE2"/>
      <c r="ABF2"/>
      <c r="ABG2"/>
      <c r="ABH2"/>
      <c r="ABI2"/>
      <c r="ABJ2"/>
      <c r="ABK2"/>
      <c r="ABL2"/>
      <c r="ABM2"/>
      <c r="ABN2"/>
      <c r="ABO2"/>
      <c r="ABP2"/>
      <c r="ABQ2"/>
      <c r="ABR2"/>
      <c r="ABS2"/>
      <c r="ABT2"/>
      <c r="ABU2"/>
      <c r="ABV2"/>
      <c r="ABW2"/>
      <c r="ABX2"/>
      <c r="ABY2"/>
      <c r="ABZ2"/>
      <c r="ACA2"/>
      <c r="ACB2"/>
      <c r="ACC2"/>
      <c r="ACD2"/>
      <c r="ACE2"/>
      <c r="ACF2"/>
      <c r="ACG2"/>
      <c r="ACH2"/>
      <c r="ACI2"/>
      <c r="ACJ2"/>
      <c r="ACK2"/>
      <c r="ACL2"/>
      <c r="ACM2"/>
      <c r="ACN2"/>
      <c r="ACO2"/>
      <c r="ACP2"/>
      <c r="ACQ2"/>
      <c r="ACR2"/>
      <c r="ACS2"/>
      <c r="ACT2"/>
      <c r="ACU2"/>
      <c r="ACV2"/>
      <c r="ACW2"/>
      <c r="ACX2"/>
      <c r="ACY2"/>
      <c r="ACZ2"/>
      <c r="ADA2"/>
      <c r="ADB2"/>
      <c r="ADC2"/>
      <c r="ADD2"/>
      <c r="ADE2"/>
      <c r="ADF2"/>
      <c r="ADG2"/>
      <c r="ADH2"/>
      <c r="ADI2"/>
      <c r="ADJ2"/>
      <c r="ADK2"/>
      <c r="ADL2"/>
      <c r="ADM2"/>
      <c r="ADN2"/>
    </row>
    <row r="3" spans="1:794">
      <c r="A3" s="930"/>
      <c r="B3" s="185" t="s">
        <v>72</v>
      </c>
      <c r="C3" s="186">
        <f>'Revenue Tracking'!D4</f>
        <v>59995000</v>
      </c>
      <c r="D3" s="186">
        <f>SUM(F3:LD3)</f>
        <v>59995000</v>
      </c>
      <c r="E3" s="187"/>
      <c r="F3" s="188">
        <f>SUMIFS('Revenue Tracking'!$F$13:$F$21, 'Revenue Tracking'!$H$13:$H$21, "&gt;="&amp;F1,'Revenue Tracking'!$H$13:$H$21, "&lt;"&amp;G1)</f>
        <v>0</v>
      </c>
      <c r="G3" s="188">
        <f>SUMIFS('Revenue Tracking'!$F$13:$F$21, 'Revenue Tracking'!$H$13:$H$21, "&gt;="&amp;G1,'Revenue Tracking'!$H$13:$H$21, "&lt;"&amp;H1)</f>
        <v>0</v>
      </c>
      <c r="H3" s="188">
        <f>SUMIFS('Revenue Tracking'!$F$13:$F$21, 'Revenue Tracking'!$H$13:$H$21, "&gt;="&amp;H1,'Revenue Tracking'!$H$13:$H$21, "&lt;"&amp;I1)</f>
        <v>0</v>
      </c>
      <c r="I3" s="188">
        <f>SUMIFS('Revenue Tracking'!$F$13:$F$21, 'Revenue Tracking'!$H$13:$H$21, "&gt;="&amp;I1,'Revenue Tracking'!$H$13:$H$21, "&lt;"&amp;J1)</f>
        <v>0</v>
      </c>
      <c r="J3" s="188">
        <f>SUMIFS('Revenue Tracking'!$F$13:$F$21, 'Revenue Tracking'!$H$13:$H$21, "&gt;="&amp;J1,'Revenue Tracking'!$H$13:$H$21, "&lt;"&amp;K1)</f>
        <v>0</v>
      </c>
      <c r="K3" s="188">
        <f>SUMIFS('Revenue Tracking'!$F$13:$F$21, 'Revenue Tracking'!$H$13:$H$21, "&gt;="&amp;K1,'Revenue Tracking'!$H$13:$H$21, "&lt;"&amp;L1)</f>
        <v>0</v>
      </c>
      <c r="L3" s="188">
        <f>SUMIFS('Revenue Tracking'!$F$13:$F$21, 'Revenue Tracking'!$H$13:$H$21, "&gt;="&amp;L1,'Revenue Tracking'!$H$13:$H$21, "&lt;"&amp;M1)</f>
        <v>0</v>
      </c>
      <c r="M3" s="188">
        <f>SUMIFS('Revenue Tracking'!$F$13:$F$21, 'Revenue Tracking'!$H$13:$H$21, "&gt;="&amp;M1,'Revenue Tracking'!$H$13:$H$21, "&lt;"&amp;N1)</f>
        <v>0</v>
      </c>
      <c r="N3" s="188">
        <f>SUMIFS('Revenue Tracking'!$F$13:$F$21, 'Revenue Tracking'!$H$13:$H$21, "&gt;="&amp;N1,'Revenue Tracking'!$H$13:$H$21, "&lt;"&amp;O1)</f>
        <v>0</v>
      </c>
      <c r="O3" s="188">
        <f>SUMIFS('Revenue Tracking'!$F$13:$F$21, 'Revenue Tracking'!$H$13:$H$21, "&gt;="&amp;O1,'Revenue Tracking'!$H$13:$H$21, "&lt;"&amp;P1)</f>
        <v>0</v>
      </c>
      <c r="P3" s="188">
        <f>SUMIFS('Revenue Tracking'!$F$13:$F$21, 'Revenue Tracking'!$H$13:$H$21, "&gt;="&amp;P1,'Revenue Tracking'!$H$13:$H$21, "&lt;"&amp;Q1)</f>
        <v>0</v>
      </c>
      <c r="Q3" s="188">
        <f>SUMIFS('Revenue Tracking'!$F$13:$F$21, 'Revenue Tracking'!$H$13:$H$21, "&gt;="&amp;Q1,'Revenue Tracking'!$H$13:$H$21, "&lt;"&amp;R1)</f>
        <v>0</v>
      </c>
      <c r="R3" s="188">
        <f>SUMIFS('Revenue Tracking'!$F$13:$F$21, 'Revenue Tracking'!$H$13:$H$21, "&gt;="&amp;R1,'Revenue Tracking'!$H$13:$H$21, "&lt;"&amp;S1)</f>
        <v>0</v>
      </c>
      <c r="S3" s="188">
        <f>SUMIFS('Revenue Tracking'!$F$13:$F$21, 'Revenue Tracking'!$H$13:$H$21, "&gt;="&amp;S1,'Revenue Tracking'!$H$13:$H$21, "&lt;"&amp;T1)</f>
        <v>0</v>
      </c>
      <c r="T3" s="188">
        <f>SUMIFS('Revenue Tracking'!$F$13:$F$21, 'Revenue Tracking'!$H$13:$H$21, "&gt;="&amp;T1,'Revenue Tracking'!$H$13:$H$21, "&lt;"&amp;U1)</f>
        <v>0</v>
      </c>
      <c r="U3" s="188">
        <f>SUMIFS('Revenue Tracking'!$F$13:$F$21, 'Revenue Tracking'!$H$13:$H$21, "&gt;="&amp;U1,'Revenue Tracking'!$H$13:$H$21, "&lt;"&amp;V1)</f>
        <v>0</v>
      </c>
      <c r="V3" s="188">
        <f>SUMIFS('Revenue Tracking'!$F$13:$F$21, 'Revenue Tracking'!$H$13:$H$21, "&gt;="&amp;V1,'Revenue Tracking'!$H$13:$H$21, "&lt;"&amp;W1)</f>
        <v>0</v>
      </c>
      <c r="W3" s="188">
        <f>SUMIFS('Revenue Tracking'!$F$13:$F$21, 'Revenue Tracking'!$H$13:$H$21, "&gt;="&amp;W1,'Revenue Tracking'!$H$13:$H$21, "&lt;"&amp;X1)</f>
        <v>0</v>
      </c>
      <c r="X3" s="188">
        <f>SUMIFS('Revenue Tracking'!$F$13:$F$21, 'Revenue Tracking'!$H$13:$H$21, "&gt;="&amp;X1,'Revenue Tracking'!$H$13:$H$21, "&lt;"&amp;Y1)</f>
        <v>15000000</v>
      </c>
      <c r="Y3" s="188">
        <f>SUMIFS('Revenue Tracking'!$F$13:$F$21, 'Revenue Tracking'!$H$13:$H$21, "&gt;="&amp;Y1,'Revenue Tracking'!$H$13:$H$21, "&lt;"&amp;Z1)</f>
        <v>0</v>
      </c>
      <c r="Z3" s="188">
        <f>SUMIFS('Revenue Tracking'!$F$13:$F$21, 'Revenue Tracking'!$H$13:$H$21, "&gt;="&amp;Z1,'Revenue Tracking'!$H$13:$H$21, "&lt;"&amp;AA1)</f>
        <v>0</v>
      </c>
      <c r="AA3" s="188">
        <f>SUMIFS('Revenue Tracking'!$F$13:$F$21, 'Revenue Tracking'!$H$13:$H$21, "&gt;="&amp;AA1,'Revenue Tracking'!$H$13:$H$21, "&lt;"&amp;AB1)</f>
        <v>0</v>
      </c>
      <c r="AB3" s="188">
        <f>SUMIFS('Revenue Tracking'!$F$13:$F$21, 'Revenue Tracking'!$H$13:$H$21, "&gt;="&amp;AB1,'Revenue Tracking'!$H$13:$H$21, "&lt;"&amp;AC1)</f>
        <v>0</v>
      </c>
      <c r="AC3" s="188">
        <f>SUMIFS('Revenue Tracking'!$F$13:$F$21, 'Revenue Tracking'!$H$13:$H$21, "&gt;="&amp;AC1,'Revenue Tracking'!$H$13:$H$21, "&lt;"&amp;AD1)</f>
        <v>0</v>
      </c>
      <c r="AD3" s="188">
        <f>SUMIFS('Revenue Tracking'!$F$13:$F$21, 'Revenue Tracking'!$H$13:$H$21, "&gt;="&amp;AD1,'Revenue Tracking'!$H$13:$H$21, "&lt;"&amp;AE1)</f>
        <v>0</v>
      </c>
      <c r="AE3" s="188">
        <f>SUMIFS('Revenue Tracking'!$F$13:$F$21, 'Revenue Tracking'!$H$13:$H$21, "&gt;="&amp;AE1,'Revenue Tracking'!$H$13:$H$21, "&lt;"&amp;AF1)</f>
        <v>0</v>
      </c>
      <c r="AF3" s="188">
        <f>SUMIFS('Revenue Tracking'!$F$13:$F$21, 'Revenue Tracking'!$H$13:$H$21, "&gt;="&amp;AF1,'Revenue Tracking'!$H$13:$H$21, "&lt;"&amp;AG1)</f>
        <v>17998500</v>
      </c>
      <c r="AG3" s="188">
        <f>SUMIFS('Revenue Tracking'!$F$13:$F$21, 'Revenue Tracking'!$H$13:$H$21, "&gt;="&amp;AG1,'Revenue Tracking'!$H$13:$H$21, "&lt;"&amp;AH1)</f>
        <v>0</v>
      </c>
      <c r="AH3" s="188">
        <f>SUMIFS('Revenue Tracking'!$F$13:$F$21, 'Revenue Tracking'!$H$13:$H$21, "&gt;="&amp;AH1,'Revenue Tracking'!$H$13:$H$21, "&lt;"&amp;AI1)</f>
        <v>0</v>
      </c>
      <c r="AI3" s="188">
        <f>SUMIFS('Revenue Tracking'!$F$13:$F$21, 'Revenue Tracking'!$H$13:$H$21, "&gt;="&amp;AI1,'Revenue Tracking'!$H$13:$H$21, "&lt;"&amp;AJ1)</f>
        <v>0</v>
      </c>
      <c r="AJ3" s="188">
        <f>SUMIFS('Revenue Tracking'!$F$13:$F$21, 'Revenue Tracking'!$H$13:$H$21, "&gt;="&amp;AJ1,'Revenue Tracking'!$H$13:$H$21, "&lt;"&amp;AK1)</f>
        <v>0</v>
      </c>
      <c r="AK3" s="188">
        <f>SUMIFS('Revenue Tracking'!$F$13:$F$21, 'Revenue Tracking'!$H$13:$H$21, "&gt;="&amp;AK1,'Revenue Tracking'!$H$13:$H$21, "&lt;"&amp;AL1)</f>
        <v>8998000</v>
      </c>
      <c r="AL3" s="188">
        <f>SUMIFS('Revenue Tracking'!$F$13:$F$21, 'Revenue Tracking'!$H$13:$H$21, "&gt;="&amp;AL1,'Revenue Tracking'!$H$13:$H$21, "&lt;"&amp;AM1)</f>
        <v>0</v>
      </c>
      <c r="AM3" s="188">
        <f>SUMIFS('Revenue Tracking'!$F$13:$F$21, 'Revenue Tracking'!$H$13:$H$21, "&gt;="&amp;AM1,'Revenue Tracking'!$H$13:$H$21, "&lt;"&amp;AN1)</f>
        <v>0</v>
      </c>
      <c r="AN3" s="188">
        <f>SUMIFS('Revenue Tracking'!$F$13:$F$21, 'Revenue Tracking'!$H$13:$H$21, "&gt;="&amp;AN1,'Revenue Tracking'!$H$13:$H$21, "&lt;"&amp;AO1)</f>
        <v>0</v>
      </c>
      <c r="AO3" s="188">
        <f>SUMIFS('Revenue Tracking'!$F$13:$F$21, 'Revenue Tracking'!$H$13:$H$21, "&gt;="&amp;AO1,'Revenue Tracking'!$H$13:$H$21, "&lt;"&amp;AP1)</f>
        <v>8999250</v>
      </c>
      <c r="AP3" s="188">
        <f>SUMIFS('Revenue Tracking'!$F$13:$F$21, 'Revenue Tracking'!$H$13:$H$21, "&gt;="&amp;AP1,'Revenue Tracking'!$H$13:$H$21, "&lt;"&amp;AQ1)</f>
        <v>0</v>
      </c>
      <c r="AQ3" s="188">
        <f>SUMIFS('Revenue Tracking'!$F$13:$F$21, 'Revenue Tracking'!$H$13:$H$21, "&gt;="&amp;AQ1,'Revenue Tracking'!$H$13:$H$21, "&lt;"&amp;AR1)</f>
        <v>0</v>
      </c>
      <c r="AR3" s="188">
        <f>SUMIFS('Revenue Tracking'!$F$13:$F$21, 'Revenue Tracking'!$H$13:$H$21, "&gt;="&amp;AR1,'Revenue Tracking'!$H$13:$H$21, "&lt;"&amp;AS1)</f>
        <v>0</v>
      </c>
      <c r="AS3" s="188">
        <f>SUMIFS('Revenue Tracking'!$F$13:$F$21, 'Revenue Tracking'!$H$13:$H$21, "&gt;="&amp;AS1,'Revenue Tracking'!$H$13:$H$21, "&lt;"&amp;AT1)</f>
        <v>0</v>
      </c>
      <c r="AT3" s="188">
        <f>SUMIFS('Revenue Tracking'!$F$13:$F$21, 'Revenue Tracking'!$H$13:$H$21, "&gt;="&amp;AT1,'Revenue Tracking'!$H$13:$H$21, "&lt;"&amp;AU1)</f>
        <v>0</v>
      </c>
      <c r="AU3" s="188">
        <f>SUMIFS('Revenue Tracking'!$F$13:$F$21, 'Revenue Tracking'!$H$13:$H$21, "&gt;="&amp;AU1,'Revenue Tracking'!$H$13:$H$21, "&lt;"&amp;AV1)</f>
        <v>0</v>
      </c>
      <c r="AV3" s="188">
        <f>SUMIFS('Revenue Tracking'!$F$13:$F$21, 'Revenue Tracking'!$H$13:$H$21, "&gt;="&amp;AV1,'Revenue Tracking'!$H$13:$H$21, "&lt;"&amp;AW1)</f>
        <v>0</v>
      </c>
      <c r="AW3" s="188">
        <f>SUMIFS('Revenue Tracking'!$F$13:$F$21, 'Revenue Tracking'!$H$13:$H$21, "&gt;="&amp;AW1,'Revenue Tracking'!$H$13:$H$21, "&lt;"&amp;AX1)</f>
        <v>5999500</v>
      </c>
      <c r="AX3" s="188">
        <f>SUMIFS('Revenue Tracking'!$F$13:$F$21, 'Revenue Tracking'!$H$13:$H$21, "&gt;="&amp;AX1,'Revenue Tracking'!$H$13:$H$21, "&lt;"&amp;AY1)</f>
        <v>0</v>
      </c>
      <c r="AY3" s="188">
        <f>SUMIFS('Revenue Tracking'!$F$13:$F$21, 'Revenue Tracking'!$H$13:$H$21, "&gt;="&amp;AY1,'Revenue Tracking'!$H$13:$H$21, "&lt;"&amp;AZ1)</f>
        <v>0</v>
      </c>
      <c r="AZ3" s="188">
        <f>SUMIFS('Revenue Tracking'!$F$13:$F$21, 'Revenue Tracking'!$H$13:$H$21, "&gt;="&amp;AZ1,'Revenue Tracking'!$H$13:$H$21, "&lt;"&amp;BA1)</f>
        <v>2999750</v>
      </c>
      <c r="BA3" s="188">
        <f>SUMIFS('Revenue Tracking'!$F$13:$F$21, 'Revenue Tracking'!$H$13:$H$21, "&gt;="&amp;BA1,'Revenue Tracking'!$H$13:$H$21, "&lt;"&amp;BB1)</f>
        <v>0</v>
      </c>
      <c r="BB3" s="188">
        <f>SUMIFS('Revenue Tracking'!$F$13:$F$21, 'Revenue Tracking'!$H$13:$H$21, "&gt;="&amp;BB1,'Revenue Tracking'!$H$13:$H$21, "&lt;"&amp;BC1)</f>
        <v>0</v>
      </c>
      <c r="BC3" s="188">
        <f>SUMIFS('Revenue Tracking'!$F$13:$F$21, 'Revenue Tracking'!$H$13:$H$21, "&gt;="&amp;BC1,'Revenue Tracking'!$H$13:$H$21, "&lt;"&amp;BD1)</f>
        <v>0</v>
      </c>
      <c r="BD3" s="188">
        <f>SUMIFS('Revenue Tracking'!$F$13:$F$21, 'Revenue Tracking'!$H$13:$H$21, "&gt;="&amp;BD1,'Revenue Tracking'!$H$13:$H$21, "&lt;"&amp;BE1)</f>
        <v>0</v>
      </c>
      <c r="BE3" s="188">
        <f>SUMIFS('Revenue Tracking'!$F$13:$F$21, 'Revenue Tracking'!$H$13:$H$21, "&gt;="&amp;BE1,'Revenue Tracking'!$H$13:$H$21, "&lt;"&amp;BF1)</f>
        <v>0</v>
      </c>
      <c r="BF3" s="188">
        <f>SUMIFS('Revenue Tracking'!$F$13:$F$21, 'Revenue Tracking'!$H$13:$H$21, "&gt;="&amp;BF1,'Revenue Tracking'!$H$13:$H$21, "&lt;"&amp;BG1)</f>
        <v>0</v>
      </c>
      <c r="BG3" s="188">
        <f>SUMIFS('Revenue Tracking'!$F$13:$F$21, 'Revenue Tracking'!$H$13:$H$21, "&gt;="&amp;BG1,'Revenue Tracking'!$H$13:$H$21, "&lt;"&amp;BH1)</f>
        <v>0</v>
      </c>
      <c r="BH3" s="188">
        <f>SUMIFS('Revenue Tracking'!$F$13:$F$21, 'Revenue Tracking'!$H$13:$H$21, "&gt;="&amp;BH1,'Revenue Tracking'!$H$13:$H$21, "&lt;"&amp;BI1)</f>
        <v>0</v>
      </c>
      <c r="BI3" s="188">
        <f>SUMIFS('Revenue Tracking'!$F$13:$F$21, 'Revenue Tracking'!$H$13:$H$21, "&gt;="&amp;BI1,'Revenue Tracking'!$H$13:$H$21, "&lt;"&amp;BJ1)</f>
        <v>0</v>
      </c>
      <c r="BJ3" s="188">
        <f>SUMIFS('Revenue Tracking'!$F$13:$F$21, 'Revenue Tracking'!$H$13:$H$21, "&gt;="&amp;BJ1,'Revenue Tracking'!$H$13:$H$21, "&lt;"&amp;BK1)</f>
        <v>0</v>
      </c>
      <c r="BK3" s="188">
        <f>SUMIFS('Revenue Tracking'!$F$13:$F$21, 'Revenue Tracking'!$H$13:$H$21, "&gt;="&amp;BK1,'Revenue Tracking'!$H$13:$H$21, "&lt;"&amp;BL1)</f>
        <v>0</v>
      </c>
      <c r="BL3" s="188">
        <f>SUMIFS('Revenue Tracking'!$F$13:$F$21, 'Revenue Tracking'!$H$13:$H$21, "&gt;="&amp;BL1,'Revenue Tracking'!$H$13:$H$21, "&lt;"&amp;BM1)</f>
        <v>0</v>
      </c>
      <c r="BM3" s="188">
        <f>SUMIFS('Revenue Tracking'!$F$13:$F$21, 'Revenue Tracking'!$H$13:$H$21, "&gt;="&amp;BM1,'Revenue Tracking'!$H$13:$H$21, "&lt;"&amp;BN1)</f>
        <v>0</v>
      </c>
      <c r="BN3" s="188">
        <f>SUMIFS('Revenue Tracking'!$F$13:$F$21, 'Revenue Tracking'!$H$13:$H$21, "&gt;="&amp;BN1,'Revenue Tracking'!$H$13:$H$21, "&lt;"&amp;BO1)</f>
        <v>0</v>
      </c>
      <c r="BO3" s="188">
        <f>SUMIFS('Revenue Tracking'!$F$13:$F$21, 'Revenue Tracking'!$H$13:$H$21, "&gt;="&amp;BO1,'Revenue Tracking'!$H$13:$H$21, "&lt;"&amp;BP1)</f>
        <v>0</v>
      </c>
      <c r="BP3" s="188">
        <f>SUMIFS('Revenue Tracking'!$F$13:$F$21, 'Revenue Tracking'!$H$13:$H$21, "&gt;="&amp;BP1,'Revenue Tracking'!$H$13:$H$21, "&lt;"&amp;BQ1)</f>
        <v>0</v>
      </c>
      <c r="BQ3" s="188">
        <f>SUMIFS('Revenue Tracking'!$F$13:$F$21, 'Revenue Tracking'!$H$13:$H$21, "&gt;="&amp;BQ1,'Revenue Tracking'!$H$13:$H$21, "&lt;"&amp;BR1)</f>
        <v>0</v>
      </c>
      <c r="BR3" s="188">
        <f>SUMIFS('Revenue Tracking'!$F$13:$F$21, 'Revenue Tracking'!$H$13:$H$21, "&gt;="&amp;BR1,'Revenue Tracking'!$H$13:$H$21, "&lt;"&amp;BS1)</f>
        <v>0</v>
      </c>
      <c r="BS3" s="188">
        <f>SUMIFS('Revenue Tracking'!$F$13:$F$21, 'Revenue Tracking'!$H$13:$H$21, "&gt;="&amp;BS1,'Revenue Tracking'!$H$13:$H$21, "&lt;"&amp;BT1)</f>
        <v>0</v>
      </c>
      <c r="BT3" s="188">
        <f>SUMIFS('Revenue Tracking'!$F$13:$F$21, 'Revenue Tracking'!$H$13:$H$21, "&gt;="&amp;BT1,'Revenue Tracking'!$H$13:$H$21, "&lt;"&amp;BU1)</f>
        <v>0</v>
      </c>
      <c r="BU3" s="188">
        <f>SUMIFS('Revenue Tracking'!$F$13:$F$21, 'Revenue Tracking'!$H$13:$H$21, "&gt;="&amp;BU1,'Revenue Tracking'!$H$13:$H$21, "&lt;"&amp;BV1)</f>
        <v>0</v>
      </c>
      <c r="BV3" s="188">
        <f>SUMIFS('Revenue Tracking'!$F$13:$F$21, 'Revenue Tracking'!$H$13:$H$21, "&gt;="&amp;BV1,'Revenue Tracking'!$H$13:$H$21, "&lt;"&amp;BW1)</f>
        <v>0</v>
      </c>
      <c r="BW3" s="188">
        <f>SUMIFS('Revenue Tracking'!$F$13:$F$21, 'Revenue Tracking'!$H$13:$H$21, "&gt;="&amp;BW1,'Revenue Tracking'!$H$13:$H$21, "&lt;"&amp;BX1)</f>
        <v>0</v>
      </c>
      <c r="BX3" s="188">
        <f>SUMIFS('Revenue Tracking'!$F$13:$F$21, 'Revenue Tracking'!$H$13:$H$21, "&gt;="&amp;BX1,'Revenue Tracking'!$H$13:$H$21, "&lt;"&amp;BY1)</f>
        <v>0</v>
      </c>
      <c r="BY3" s="188">
        <f>SUMIFS('Revenue Tracking'!$F$13:$F$21, 'Revenue Tracking'!$H$13:$H$21, "&gt;="&amp;BY1,'Revenue Tracking'!$H$13:$H$21, "&lt;"&amp;BZ1)</f>
        <v>0</v>
      </c>
      <c r="BZ3" s="188">
        <f>SUMIFS('Revenue Tracking'!$F$13:$F$21, 'Revenue Tracking'!$H$13:$H$21, "&gt;="&amp;BZ1,'Revenue Tracking'!$H$13:$H$21, "&lt;"&amp;CA1)</f>
        <v>0</v>
      </c>
      <c r="CA3" s="188">
        <f>SUMIFS('Revenue Tracking'!$F$13:$F$21, 'Revenue Tracking'!$H$13:$H$21, "&gt;="&amp;CA1,'Revenue Tracking'!$H$13:$H$21, "&lt;"&amp;CB1)</f>
        <v>0</v>
      </c>
      <c r="CB3" s="188">
        <f>SUMIFS('Revenue Tracking'!$F$13:$F$21, 'Revenue Tracking'!$H$13:$H$21, "&gt;="&amp;CB1,'Revenue Tracking'!$H$13:$H$21, "&lt;"&amp;CC1)</f>
        <v>0</v>
      </c>
      <c r="CC3" s="188">
        <f>SUMIFS('Revenue Tracking'!$F$13:$F$21, 'Revenue Tracking'!$H$13:$H$21, "&gt;="&amp;CC1,'Revenue Tracking'!$H$13:$H$21, "&lt;"&amp;CD1)</f>
        <v>0</v>
      </c>
      <c r="CD3" s="188">
        <f>SUMIFS('Revenue Tracking'!$F$13:$F$21, 'Revenue Tracking'!$H$13:$H$21, "&gt;="&amp;CD1,'Revenue Tracking'!$H$13:$H$21, "&lt;"&amp;CE1)</f>
        <v>0</v>
      </c>
      <c r="CE3" s="188">
        <f>SUMIFS('Revenue Tracking'!$F$13:$F$21, 'Revenue Tracking'!$H$13:$H$21, "&gt;="&amp;CE1,'Revenue Tracking'!$H$13:$H$21, "&lt;"&amp;CF1)</f>
        <v>0</v>
      </c>
      <c r="CF3" s="188">
        <f>SUMIFS('Revenue Tracking'!$F$13:$F$21, 'Revenue Tracking'!$H$13:$H$21, "&gt;="&amp;CF1,'Revenue Tracking'!$H$13:$H$21, "&lt;"&amp;CG1)</f>
        <v>0</v>
      </c>
      <c r="CG3" s="188">
        <f>SUMIFS('Revenue Tracking'!$F$13:$F$21, 'Revenue Tracking'!$H$13:$H$21, "&gt;="&amp;CG1,'Revenue Tracking'!$H$13:$H$21, "&lt;"&amp;CH1)</f>
        <v>0</v>
      </c>
      <c r="CH3" s="188">
        <f>SUMIFS('Revenue Tracking'!$F$13:$F$21, 'Revenue Tracking'!$H$13:$H$21, "&gt;="&amp;CH1,'Revenue Tracking'!$H$13:$H$21, "&lt;"&amp;CI1)</f>
        <v>0</v>
      </c>
      <c r="CI3" s="188">
        <f>SUMIFS('Revenue Tracking'!$F$13:$F$21, 'Revenue Tracking'!$H$13:$H$21, "&gt;="&amp;CI1,'Revenue Tracking'!$H$13:$H$21, "&lt;"&amp;CJ1)</f>
        <v>0</v>
      </c>
      <c r="CJ3" s="188">
        <f>SUMIFS('Revenue Tracking'!$F$13:$F$21, 'Revenue Tracking'!$H$13:$H$21, "&gt;="&amp;CJ1,'Revenue Tracking'!$H$13:$H$21, "&lt;"&amp;CK1)</f>
        <v>0</v>
      </c>
      <c r="CK3" s="188">
        <f>SUMIFS('Revenue Tracking'!$F$13:$F$21, 'Revenue Tracking'!$H$13:$H$21, "&gt;="&amp;CK1,'Revenue Tracking'!$H$13:$H$21, "&lt;"&amp;CL1)</f>
        <v>0</v>
      </c>
      <c r="CL3" s="188">
        <f>SUMIFS('Revenue Tracking'!$F$13:$F$21, 'Revenue Tracking'!$H$13:$H$21, "&gt;="&amp;CL1,'Revenue Tracking'!$H$13:$H$21, "&lt;"&amp;CM1)</f>
        <v>0</v>
      </c>
      <c r="CM3" s="188">
        <f>SUMIFS('Revenue Tracking'!$F$13:$F$21, 'Revenue Tracking'!$H$13:$H$21, "&gt;="&amp;CM1,'Revenue Tracking'!$H$13:$H$21, "&lt;"&amp;CN1)</f>
        <v>0</v>
      </c>
      <c r="CN3" s="188">
        <f>SUMIFS('Revenue Tracking'!$F$13:$F$21, 'Revenue Tracking'!$H$13:$H$21, "&gt;="&amp;CN1,'Revenue Tracking'!$H$13:$H$21, "&lt;"&amp;CO1)</f>
        <v>0</v>
      </c>
      <c r="CO3" s="188">
        <f>SUMIFS('Revenue Tracking'!$F$13:$F$21, 'Revenue Tracking'!$H$13:$H$21, "&gt;="&amp;CO1,'Revenue Tracking'!$H$13:$H$21, "&lt;"&amp;CP1)</f>
        <v>0</v>
      </c>
      <c r="CP3" s="188">
        <f>SUMIFS('Revenue Tracking'!$F$13:$F$21, 'Revenue Tracking'!$H$13:$H$21, "&gt;="&amp;CP1,'Revenue Tracking'!$H$13:$H$21, "&lt;"&amp;CQ1)</f>
        <v>0</v>
      </c>
      <c r="CQ3" s="188">
        <f>SUMIFS('Revenue Tracking'!$F$13:$F$21, 'Revenue Tracking'!$H$13:$H$21, "&gt;="&amp;CQ1,'Revenue Tracking'!$H$13:$H$21, "&lt;"&amp;CR1)</f>
        <v>0</v>
      </c>
      <c r="CR3" s="188">
        <f>SUMIFS('Revenue Tracking'!$F$13:$F$21, 'Revenue Tracking'!$H$13:$H$21, "&gt;="&amp;CR1,'Revenue Tracking'!$H$13:$H$21, "&lt;"&amp;CS1)</f>
        <v>0</v>
      </c>
      <c r="CS3" s="188">
        <f>SUMIFS('Revenue Tracking'!$F$13:$F$21, 'Revenue Tracking'!$H$13:$H$21, "&gt;="&amp;CS1,'Revenue Tracking'!$H$13:$H$21, "&lt;"&amp;CT1)</f>
        <v>0</v>
      </c>
      <c r="CT3" s="188">
        <f>SUMIFS('Revenue Tracking'!$F$13:$F$21, 'Revenue Tracking'!$H$13:$H$21, "&gt;="&amp;CT1,'Revenue Tracking'!$H$13:$H$21, "&lt;"&amp;CU1)</f>
        <v>0</v>
      </c>
      <c r="CU3" s="188">
        <f>SUMIFS('Revenue Tracking'!$F$13:$F$21, 'Revenue Tracking'!$H$13:$H$21, "&gt;="&amp;CU1,'Revenue Tracking'!$H$13:$H$21, "&lt;"&amp;CV1)</f>
        <v>0</v>
      </c>
      <c r="CV3" s="188">
        <f>SUMIFS('Revenue Tracking'!$F$13:$F$21, 'Revenue Tracking'!$H$13:$H$21, "&gt;="&amp;CV1,'Revenue Tracking'!$H$13:$H$21, "&lt;"&amp;CW1)</f>
        <v>0</v>
      </c>
      <c r="CW3" s="188">
        <f>SUMIFS('Revenue Tracking'!$F$13:$F$21, 'Revenue Tracking'!$H$13:$H$21, "&gt;="&amp;CW1,'Revenue Tracking'!$H$13:$H$21, "&lt;"&amp;CX1)</f>
        <v>0</v>
      </c>
      <c r="CX3" s="188">
        <f>SUMIFS('Revenue Tracking'!$F$13:$F$21, 'Revenue Tracking'!$H$13:$H$21, "&gt;="&amp;CX1,'Revenue Tracking'!$H$13:$H$21, "&lt;"&amp;CY1)</f>
        <v>0</v>
      </c>
      <c r="CY3" s="188">
        <f>SUMIFS('Revenue Tracking'!$F$13:$F$21, 'Revenue Tracking'!$H$13:$H$21, "&gt;="&amp;CY1,'Revenue Tracking'!$H$13:$H$21, "&lt;"&amp;CZ1)</f>
        <v>0</v>
      </c>
      <c r="CZ3" s="188">
        <f>SUMIFS('Revenue Tracking'!$F$13:$F$21, 'Revenue Tracking'!$H$13:$H$21, "&gt;="&amp;CZ1,'Revenue Tracking'!$H$13:$H$21, "&lt;"&amp;DA1)</f>
        <v>0</v>
      </c>
      <c r="DA3" s="188">
        <f>SUMIFS('Revenue Tracking'!$F$13:$F$21, 'Revenue Tracking'!$H$13:$H$21, "&gt;="&amp;DA1,'Revenue Tracking'!$H$13:$H$21, "&lt;"&amp;DB1)</f>
        <v>0</v>
      </c>
      <c r="DB3" s="188">
        <f>SUMIFS('Revenue Tracking'!$F$13:$F$21, 'Revenue Tracking'!$H$13:$H$21, "&gt;="&amp;DB1,'Revenue Tracking'!$H$13:$H$21, "&lt;"&amp;DC1)</f>
        <v>0</v>
      </c>
      <c r="DC3" s="188">
        <f>SUMIFS('Revenue Tracking'!$F$13:$F$21, 'Revenue Tracking'!$H$13:$H$21, "&gt;="&amp;DC1,'Revenue Tracking'!$H$13:$H$21, "&lt;"&amp;DD1)</f>
        <v>0</v>
      </c>
      <c r="DD3" s="188">
        <f>SUMIFS('Revenue Tracking'!$F$13:$F$21, 'Revenue Tracking'!$H$13:$H$21, "&gt;="&amp;DD1,'Revenue Tracking'!$H$13:$H$21, "&lt;"&amp;DE1)</f>
        <v>0</v>
      </c>
      <c r="DE3" s="188">
        <f>SUMIFS('Revenue Tracking'!$F$13:$F$21, 'Revenue Tracking'!$H$13:$H$21, "&gt;="&amp;DE1,'Revenue Tracking'!$H$13:$H$21, "&lt;"&amp;DF1)</f>
        <v>0</v>
      </c>
      <c r="DF3" s="188">
        <f>SUMIFS('Revenue Tracking'!$F$13:$F$21, 'Revenue Tracking'!$H$13:$H$21, "&gt;="&amp;DF1,'Revenue Tracking'!$H$13:$H$21, "&lt;"&amp;DG1)</f>
        <v>0</v>
      </c>
      <c r="DG3" s="188">
        <f>SUMIFS('Revenue Tracking'!$F$13:$F$21, 'Revenue Tracking'!$H$13:$H$21, "&gt;="&amp;DG1,'Revenue Tracking'!$H$13:$H$21, "&lt;"&amp;DH1)</f>
        <v>0</v>
      </c>
      <c r="DH3" s="188">
        <f>SUMIFS('Revenue Tracking'!$F$13:$F$21, 'Revenue Tracking'!$H$13:$H$21, "&gt;="&amp;DH1,'Revenue Tracking'!$H$13:$H$21, "&lt;"&amp;DI1)</f>
        <v>0</v>
      </c>
      <c r="DI3" s="188">
        <f>SUMIFS('Revenue Tracking'!$F$13:$F$21, 'Revenue Tracking'!$H$13:$H$21, "&gt;="&amp;DI1,'Revenue Tracking'!$H$13:$H$21, "&lt;"&amp;DJ1)</f>
        <v>0</v>
      </c>
      <c r="DJ3" s="188">
        <f>SUMIFS('Revenue Tracking'!$F$13:$F$21, 'Revenue Tracking'!$H$13:$H$21, "&gt;="&amp;DJ1,'Revenue Tracking'!$H$13:$H$21, "&lt;"&amp;DK1)</f>
        <v>0</v>
      </c>
      <c r="DK3" s="188">
        <f>SUMIFS('Revenue Tracking'!$F$13:$F$21, 'Revenue Tracking'!$H$13:$H$21, "&gt;="&amp;DK1,'Revenue Tracking'!$H$13:$H$21, "&lt;"&amp;DL1)</f>
        <v>0</v>
      </c>
      <c r="DL3" s="188">
        <f>SUMIFS('Revenue Tracking'!$F$13:$F$21, 'Revenue Tracking'!$H$13:$H$21, "&gt;="&amp;DL1,'Revenue Tracking'!$H$13:$H$21, "&lt;"&amp;DM1)</f>
        <v>0</v>
      </c>
      <c r="DM3" s="188">
        <f>SUMIFS('Revenue Tracking'!$F$13:$F$21, 'Revenue Tracking'!$H$13:$H$21, "&gt;="&amp;DM1,'Revenue Tracking'!$H$13:$H$21, "&lt;"&amp;DN1)</f>
        <v>0</v>
      </c>
      <c r="DN3" s="188">
        <f>SUMIFS('Revenue Tracking'!$F$13:$F$21, 'Revenue Tracking'!$H$13:$H$21, "&gt;="&amp;DN1,'Revenue Tracking'!$H$13:$H$21, "&lt;"&amp;DO1)</f>
        <v>0</v>
      </c>
      <c r="DO3" s="188">
        <f>SUMIFS('Revenue Tracking'!$F$13:$F$21, 'Revenue Tracking'!$H$13:$H$21, "&gt;="&amp;DO1,'Revenue Tracking'!$H$13:$H$21, "&lt;"&amp;DP1)</f>
        <v>0</v>
      </c>
      <c r="DP3" s="188">
        <f>SUMIFS('Revenue Tracking'!$F$13:$F$21, 'Revenue Tracking'!$H$13:$H$21, "&gt;="&amp;DP1,'Revenue Tracking'!$H$13:$H$21, "&lt;"&amp;DQ1)</f>
        <v>0</v>
      </c>
      <c r="DQ3" s="188">
        <f>SUMIFS('Revenue Tracking'!$F$13:$F$21, 'Revenue Tracking'!$H$13:$H$21, "&gt;="&amp;DQ1,'Revenue Tracking'!$H$13:$H$21, "&lt;"&amp;DR1)</f>
        <v>0</v>
      </c>
      <c r="DR3" s="188">
        <f>SUMIFS('Revenue Tracking'!$F$13:$F$21, 'Revenue Tracking'!$H$13:$H$21, "&gt;="&amp;DR1,'Revenue Tracking'!$H$13:$H$21, "&lt;"&amp;DS1)</f>
        <v>0</v>
      </c>
      <c r="DS3" s="188">
        <f>SUMIFS('Revenue Tracking'!$F$13:$F$21, 'Revenue Tracking'!$H$13:$H$21, "&gt;="&amp;DS1,'Revenue Tracking'!$H$13:$H$21, "&lt;"&amp;DT1)</f>
        <v>0</v>
      </c>
      <c r="DT3" s="188">
        <f>SUMIFS('Revenue Tracking'!$F$13:$F$21, 'Revenue Tracking'!$H$13:$H$21, "&gt;="&amp;DT1,'Revenue Tracking'!$H$13:$H$21, "&lt;"&amp;DU1)</f>
        <v>0</v>
      </c>
      <c r="DU3" s="188">
        <f>SUMIFS('Revenue Tracking'!$F$13:$F$21, 'Revenue Tracking'!$H$13:$H$21, "&gt;="&amp;DU1,'Revenue Tracking'!$H$13:$H$21, "&lt;"&amp;DV1)</f>
        <v>0</v>
      </c>
      <c r="DV3" s="188">
        <f>SUMIFS('Revenue Tracking'!$F$13:$F$21, 'Revenue Tracking'!$H$13:$H$21, "&gt;="&amp;DV1,'Revenue Tracking'!$H$13:$H$21, "&lt;"&amp;DW1)</f>
        <v>0</v>
      </c>
      <c r="DW3" s="188">
        <f>SUMIFS('Revenue Tracking'!$F$13:$F$21, 'Revenue Tracking'!$H$13:$H$21, "&gt;="&amp;DW1,'Revenue Tracking'!$H$13:$H$21, "&lt;"&amp;DX1)</f>
        <v>0</v>
      </c>
      <c r="DX3" s="188">
        <f>SUMIFS('Revenue Tracking'!$F$13:$F$21, 'Revenue Tracking'!$H$13:$H$21, "&gt;="&amp;DX1,'Revenue Tracking'!$H$13:$H$21, "&lt;"&amp;DY1)</f>
        <v>0</v>
      </c>
      <c r="DY3" s="188">
        <f>SUMIFS('Revenue Tracking'!$F$13:$F$21, 'Revenue Tracking'!$H$13:$H$21, "&gt;="&amp;DY1,'Revenue Tracking'!$H$13:$H$21, "&lt;"&amp;DZ1)</f>
        <v>0</v>
      </c>
      <c r="DZ3" s="188">
        <f>SUMIFS('Revenue Tracking'!$F$13:$F$21, 'Revenue Tracking'!$H$13:$H$21, "&gt;="&amp;DZ1,'Revenue Tracking'!$H$13:$H$21, "&lt;"&amp;EA1)</f>
        <v>0</v>
      </c>
      <c r="EA3" s="188">
        <f>SUMIFS('Revenue Tracking'!$F$13:$F$21, 'Revenue Tracking'!$H$13:$H$21, "&gt;="&amp;EA1,'Revenue Tracking'!$H$13:$H$21, "&lt;"&amp;EB1)</f>
        <v>0</v>
      </c>
      <c r="EB3" s="188">
        <f>SUMIFS('Revenue Tracking'!$F$13:$F$21, 'Revenue Tracking'!$H$13:$H$21, "&gt;="&amp;EB1,'Revenue Tracking'!$H$13:$H$21, "&lt;"&amp;EC1)</f>
        <v>0</v>
      </c>
      <c r="EC3" s="188">
        <f>SUMIFS('Revenue Tracking'!$F$13:$F$21, 'Revenue Tracking'!$H$13:$H$21, "&gt;="&amp;EC1,'Revenue Tracking'!$H$13:$H$21, "&lt;"&amp;ED1)</f>
        <v>0</v>
      </c>
      <c r="ED3" s="188">
        <f>SUMIFS('Revenue Tracking'!$F$13:$F$21, 'Revenue Tracking'!$H$13:$H$21, "&gt;="&amp;ED1,'Revenue Tracking'!$H$13:$H$21, "&lt;"&amp;EE1)</f>
        <v>0</v>
      </c>
      <c r="EE3" s="188">
        <f>SUMIFS('Revenue Tracking'!$F$13:$F$21, 'Revenue Tracking'!$H$13:$H$21, "&gt;="&amp;EE1,'Revenue Tracking'!$H$13:$H$21, "&lt;"&amp;EF1)</f>
        <v>0</v>
      </c>
      <c r="EF3" s="188">
        <f>SUMIFS('Revenue Tracking'!$F$13:$F$21, 'Revenue Tracking'!$H$13:$H$21, "&gt;="&amp;EF1,'Revenue Tracking'!$H$13:$H$21, "&lt;"&amp;EG1)</f>
        <v>0</v>
      </c>
      <c r="EG3" s="188">
        <f>SUMIFS('Revenue Tracking'!$F$13:$F$21, 'Revenue Tracking'!$H$13:$H$21, "&gt;="&amp;EG1,'Revenue Tracking'!$H$13:$H$21, "&lt;"&amp;EH1)</f>
        <v>0</v>
      </c>
      <c r="EH3" s="188">
        <f>SUMIFS('Revenue Tracking'!$F$13:$F$21, 'Revenue Tracking'!$H$13:$H$21, "&gt;="&amp;EH1,'Revenue Tracking'!$H$13:$H$21, "&lt;"&amp;EI1)</f>
        <v>0</v>
      </c>
      <c r="EI3" s="188">
        <f>SUMIFS('Revenue Tracking'!$F$13:$F$21, 'Revenue Tracking'!$H$13:$H$21, "&gt;="&amp;EI1,'Revenue Tracking'!$H$13:$H$21, "&lt;"&amp;EJ1)</f>
        <v>0</v>
      </c>
      <c r="EJ3" s="188">
        <f>SUMIFS('Revenue Tracking'!$F$13:$F$21, 'Revenue Tracking'!$H$13:$H$21, "&gt;="&amp;EJ1,'Revenue Tracking'!$H$13:$H$21, "&lt;"&amp;EK1)</f>
        <v>0</v>
      </c>
      <c r="EK3" s="188">
        <f>SUMIFS('Revenue Tracking'!$F$13:$F$21, 'Revenue Tracking'!$H$13:$H$21, "&gt;="&amp;EK1,'Revenue Tracking'!$H$13:$H$21, "&lt;"&amp;EL1)</f>
        <v>0</v>
      </c>
      <c r="EL3" s="188">
        <f>SUMIFS('Revenue Tracking'!$F$13:$F$21, 'Revenue Tracking'!$H$13:$H$21, "&gt;="&amp;EL1,'Revenue Tracking'!$H$13:$H$21, "&lt;"&amp;EM1)</f>
        <v>0</v>
      </c>
      <c r="EM3" s="188">
        <f>SUMIFS('Revenue Tracking'!$F$13:$F$21, 'Revenue Tracking'!$H$13:$H$21, "&gt;="&amp;EM1,'Revenue Tracking'!$H$13:$H$21, "&lt;"&amp;EN1)</f>
        <v>0</v>
      </c>
      <c r="EN3" s="188">
        <f>SUMIFS('Revenue Tracking'!$F$13:$F$21, 'Revenue Tracking'!$H$13:$H$21, "&gt;="&amp;EN1,'Revenue Tracking'!$H$13:$H$21, "&lt;"&amp;EO1)</f>
        <v>0</v>
      </c>
      <c r="EO3" s="188">
        <f>SUMIFS('Revenue Tracking'!$F$13:$F$21, 'Revenue Tracking'!$H$13:$H$21, "&gt;="&amp;EO1,'Revenue Tracking'!$H$13:$H$21, "&lt;"&amp;EP1)</f>
        <v>0</v>
      </c>
      <c r="EP3" s="188">
        <f>SUMIFS('Revenue Tracking'!$F$13:$F$21, 'Revenue Tracking'!$H$13:$H$21, "&gt;="&amp;EP1,'Revenue Tracking'!$H$13:$H$21, "&lt;"&amp;EQ1)</f>
        <v>0</v>
      </c>
      <c r="EQ3" s="188">
        <f>SUMIFS('Revenue Tracking'!$F$13:$F$21, 'Revenue Tracking'!$H$13:$H$21, "&gt;="&amp;EQ1,'Revenue Tracking'!$H$13:$H$21, "&lt;"&amp;ER1)</f>
        <v>0</v>
      </c>
      <c r="ER3" s="188">
        <f>SUMIFS('Revenue Tracking'!$F$13:$F$21, 'Revenue Tracking'!$H$13:$H$21, "&gt;="&amp;ER1,'Revenue Tracking'!$H$13:$H$21, "&lt;"&amp;ES1)</f>
        <v>0</v>
      </c>
      <c r="ES3" s="188">
        <f>SUMIFS('Revenue Tracking'!$F$13:$F$21, 'Revenue Tracking'!$H$13:$H$21, "&gt;="&amp;ES1,'Revenue Tracking'!$H$13:$H$21, "&lt;"&amp;ET1)</f>
        <v>0</v>
      </c>
      <c r="ET3" s="188">
        <f>SUMIFS('Revenue Tracking'!$F$13:$F$21, 'Revenue Tracking'!$H$13:$H$21, "&gt;="&amp;ET1,'Revenue Tracking'!$H$13:$H$21, "&lt;"&amp;EU1)</f>
        <v>0</v>
      </c>
      <c r="EU3" s="188">
        <f>SUMIFS('Revenue Tracking'!$F$13:$F$21, 'Revenue Tracking'!$H$13:$H$21, "&gt;="&amp;EU1,'Revenue Tracking'!$H$13:$H$21, "&lt;"&amp;EV1)</f>
        <v>0</v>
      </c>
      <c r="EV3" s="188">
        <f>SUMIFS('Revenue Tracking'!$F$13:$F$21, 'Revenue Tracking'!$H$13:$H$21, "&gt;="&amp;EV1,'Revenue Tracking'!$H$13:$H$21, "&lt;"&amp;EW1)</f>
        <v>0</v>
      </c>
      <c r="EW3" s="188">
        <f>SUMIFS('Revenue Tracking'!$F$13:$F$21, 'Revenue Tracking'!$H$13:$H$21, "&gt;="&amp;EW1,'Revenue Tracking'!$H$13:$H$21, "&lt;"&amp;EX1)</f>
        <v>0</v>
      </c>
      <c r="EX3" s="188">
        <f>SUMIFS('Revenue Tracking'!$F$13:$F$21, 'Revenue Tracking'!$H$13:$H$21, "&gt;="&amp;EX1,'Revenue Tracking'!$H$13:$H$21, "&lt;"&amp;EY1)</f>
        <v>0</v>
      </c>
      <c r="EY3" s="188">
        <f>SUMIFS('Revenue Tracking'!$F$13:$F$21, 'Revenue Tracking'!$H$13:$H$21, "&gt;="&amp;EY1,'Revenue Tracking'!$H$13:$H$21, "&lt;"&amp;EZ1)</f>
        <v>0</v>
      </c>
      <c r="EZ3" s="188">
        <f>SUMIFS('Revenue Tracking'!$F$13:$F$21, 'Revenue Tracking'!$H$13:$H$21, "&gt;="&amp;EZ1,'Revenue Tracking'!$H$13:$H$21, "&lt;"&amp;FA1)</f>
        <v>0</v>
      </c>
      <c r="FA3" s="188">
        <f>SUMIFS('Revenue Tracking'!$F$13:$F$21, 'Revenue Tracking'!$H$13:$H$21, "&gt;="&amp;FA1,'Revenue Tracking'!$H$13:$H$21, "&lt;"&amp;FB1)</f>
        <v>0</v>
      </c>
      <c r="FB3" s="188">
        <f>SUMIFS('Revenue Tracking'!$F$13:$F$21, 'Revenue Tracking'!$H$13:$H$21, "&gt;="&amp;FB1,'Revenue Tracking'!$H$13:$H$21, "&lt;"&amp;FC1)</f>
        <v>0</v>
      </c>
      <c r="FC3" s="188">
        <f>SUMIFS('Revenue Tracking'!$F$13:$F$21, 'Revenue Tracking'!$H$13:$H$21, "&gt;="&amp;FC1,'Revenue Tracking'!$H$13:$H$21, "&lt;"&amp;FD1)</f>
        <v>0</v>
      </c>
      <c r="FD3" s="188">
        <f>SUMIFS('Revenue Tracking'!$F$13:$F$21, 'Revenue Tracking'!$H$13:$H$21, "&gt;="&amp;FD1,'Revenue Tracking'!$H$13:$H$21, "&lt;"&amp;FE1)</f>
        <v>0</v>
      </c>
      <c r="FE3" s="188">
        <f>SUMIFS('Revenue Tracking'!$F$13:$F$21, 'Revenue Tracking'!$H$13:$H$21, "&gt;="&amp;FE1,'Revenue Tracking'!$H$13:$H$21, "&lt;"&amp;FF1)</f>
        <v>0</v>
      </c>
      <c r="FF3" s="188">
        <f>SUMIFS('Revenue Tracking'!$F$13:$F$21, 'Revenue Tracking'!$H$13:$H$21, "&gt;="&amp;FF1,'Revenue Tracking'!$H$13:$H$21, "&lt;"&amp;FG1)</f>
        <v>0</v>
      </c>
      <c r="FG3" s="188">
        <f>SUMIFS('Revenue Tracking'!$F$13:$F$21, 'Revenue Tracking'!$H$13:$H$21, "&gt;="&amp;FG1,'Revenue Tracking'!$H$13:$H$21, "&lt;"&amp;FH1)</f>
        <v>0</v>
      </c>
      <c r="FH3" s="188">
        <f>SUMIFS('Revenue Tracking'!$F$13:$F$21, 'Revenue Tracking'!$H$13:$H$21, "&gt;="&amp;FH1,'Revenue Tracking'!$H$13:$H$21, "&lt;"&amp;FI1)</f>
        <v>0</v>
      </c>
      <c r="FI3" s="188">
        <f>SUMIFS('Revenue Tracking'!$F$13:$F$21, 'Revenue Tracking'!$H$13:$H$21, "&gt;="&amp;FI1,'Revenue Tracking'!$H$13:$H$21, "&lt;"&amp;FJ1)</f>
        <v>0</v>
      </c>
      <c r="FJ3" s="188">
        <f>SUMIFS('Revenue Tracking'!$F$13:$F$21, 'Revenue Tracking'!$H$13:$H$21, "&gt;="&amp;FJ1,'Revenue Tracking'!$H$13:$H$21, "&lt;"&amp;FK1)</f>
        <v>0</v>
      </c>
      <c r="FK3" s="188">
        <f>SUMIFS('Revenue Tracking'!$F$13:$F$21, 'Revenue Tracking'!$H$13:$H$21, "&gt;="&amp;FK1,'Revenue Tracking'!$H$13:$H$21, "&lt;"&amp;FL1)</f>
        <v>0</v>
      </c>
      <c r="FL3" s="188">
        <f>SUMIFS('Revenue Tracking'!$F$13:$F$21, 'Revenue Tracking'!$H$13:$H$21, "&gt;="&amp;FL1,'Revenue Tracking'!$H$13:$H$21, "&lt;"&amp;FM1)</f>
        <v>0</v>
      </c>
      <c r="FM3" s="188">
        <f>SUMIFS('Revenue Tracking'!$F$13:$F$21, 'Revenue Tracking'!$H$13:$H$21, "&gt;="&amp;FM1,'Revenue Tracking'!$H$13:$H$21, "&lt;"&amp;FN1)</f>
        <v>0</v>
      </c>
      <c r="FN3" s="188">
        <f>SUMIFS('Revenue Tracking'!$F$13:$F$21, 'Revenue Tracking'!$H$13:$H$21, "&gt;="&amp;FN1,'Revenue Tracking'!$H$13:$H$21, "&lt;"&amp;FO1)</f>
        <v>0</v>
      </c>
      <c r="FO3" s="188">
        <f>SUMIFS('Revenue Tracking'!$F$13:$F$21, 'Revenue Tracking'!$H$13:$H$21, "&gt;="&amp;FO1,'Revenue Tracking'!$H$13:$H$21, "&lt;"&amp;FP1)</f>
        <v>0</v>
      </c>
      <c r="FP3" s="188">
        <f>SUMIFS('Revenue Tracking'!$F$13:$F$21, 'Revenue Tracking'!$H$13:$H$21, "&gt;="&amp;FP1,'Revenue Tracking'!$H$13:$H$21, "&lt;"&amp;FQ1)</f>
        <v>0</v>
      </c>
      <c r="FQ3" s="188">
        <f>SUMIFS('Revenue Tracking'!$F$13:$F$21, 'Revenue Tracking'!$H$13:$H$21, "&gt;="&amp;FQ1,'Revenue Tracking'!$H$13:$H$21, "&lt;"&amp;FR1)</f>
        <v>0</v>
      </c>
      <c r="FR3" s="188">
        <f>SUMIFS('Revenue Tracking'!$F$13:$F$21, 'Revenue Tracking'!$H$13:$H$21, "&gt;="&amp;FR1,'Revenue Tracking'!$H$13:$H$21, "&lt;"&amp;FS1)</f>
        <v>0</v>
      </c>
      <c r="FS3" s="188">
        <f>SUMIFS('Revenue Tracking'!$F$13:$F$21, 'Revenue Tracking'!$H$13:$H$21, "&gt;="&amp;FS1,'Revenue Tracking'!$H$13:$H$21, "&lt;"&amp;FT1)</f>
        <v>0</v>
      </c>
      <c r="FT3" s="188">
        <f>SUMIFS('Revenue Tracking'!$F$13:$F$21, 'Revenue Tracking'!$H$13:$H$21, "&gt;="&amp;FT1,'Revenue Tracking'!$H$13:$H$21, "&lt;"&amp;FU1)</f>
        <v>0</v>
      </c>
      <c r="FU3" s="188">
        <f>SUMIFS('Revenue Tracking'!$F$13:$F$21, 'Revenue Tracking'!$H$13:$H$21, "&gt;="&amp;FU1,'Revenue Tracking'!$H$13:$H$21, "&lt;"&amp;FV1)</f>
        <v>0</v>
      </c>
      <c r="FV3" s="188">
        <f>SUMIFS('Revenue Tracking'!$F$13:$F$21, 'Revenue Tracking'!$H$13:$H$21, "&gt;="&amp;FV1,'Revenue Tracking'!$H$13:$H$21, "&lt;"&amp;FW1)</f>
        <v>0</v>
      </c>
      <c r="FW3" s="188">
        <f>SUMIFS('Revenue Tracking'!$F$13:$F$21, 'Revenue Tracking'!$H$13:$H$21, "&gt;="&amp;FW1,'Revenue Tracking'!$H$13:$H$21, "&lt;"&amp;FX1)</f>
        <v>0</v>
      </c>
      <c r="FX3" s="188">
        <f>SUMIFS('Revenue Tracking'!$F$13:$F$21, 'Revenue Tracking'!$H$13:$H$21, "&gt;="&amp;FX1,'Revenue Tracking'!$H$13:$H$21, "&lt;"&amp;FY1)</f>
        <v>0</v>
      </c>
      <c r="FY3" s="188">
        <f>SUMIFS('Revenue Tracking'!$F$13:$F$21, 'Revenue Tracking'!$H$13:$H$21, "&gt;="&amp;FY1,'Revenue Tracking'!$H$13:$H$21, "&lt;"&amp;FZ1)</f>
        <v>0</v>
      </c>
      <c r="FZ3" s="188">
        <f>SUMIFS('Revenue Tracking'!$F$13:$F$21, 'Revenue Tracking'!$H$13:$H$21, "&gt;="&amp;FZ1,'Revenue Tracking'!$H$13:$H$21, "&lt;"&amp;GA1)</f>
        <v>0</v>
      </c>
      <c r="GA3" s="188">
        <f>SUMIFS('Revenue Tracking'!$F$13:$F$21, 'Revenue Tracking'!$H$13:$H$21, "&gt;="&amp;GA1,'Revenue Tracking'!$H$13:$H$21, "&lt;"&amp;GB1)</f>
        <v>0</v>
      </c>
      <c r="GB3" s="188">
        <f>SUMIFS('Revenue Tracking'!$F$13:$F$21, 'Revenue Tracking'!$H$13:$H$21, "&gt;="&amp;GB1,'Revenue Tracking'!$H$13:$H$21, "&lt;"&amp;GC1)</f>
        <v>0</v>
      </c>
      <c r="GC3" s="188">
        <f>SUMIFS('Revenue Tracking'!$F$13:$F$21, 'Revenue Tracking'!$H$13:$H$21, "&gt;="&amp;GC1,'Revenue Tracking'!$H$13:$H$21, "&lt;"&amp;GD1)</f>
        <v>0</v>
      </c>
      <c r="GD3" s="188">
        <f>SUMIFS('Revenue Tracking'!$F$13:$F$21, 'Revenue Tracking'!$H$13:$H$21, "&gt;="&amp;GD1,'Revenue Tracking'!$H$13:$H$21, "&lt;"&amp;GE1)</f>
        <v>0</v>
      </c>
      <c r="GE3" s="188">
        <f>SUMIFS('Revenue Tracking'!$F$13:$F$21, 'Revenue Tracking'!$H$13:$H$21, "&gt;="&amp;GE1,'Revenue Tracking'!$H$13:$H$21, "&lt;"&amp;GF1)</f>
        <v>0</v>
      </c>
      <c r="GF3" s="188">
        <f>SUMIFS('Revenue Tracking'!$F$13:$F$21, 'Revenue Tracking'!$H$13:$H$21, "&gt;="&amp;GF1,'Revenue Tracking'!$H$13:$H$21, "&lt;"&amp;GG1)</f>
        <v>0</v>
      </c>
      <c r="GG3" s="188">
        <f>SUMIFS('Revenue Tracking'!$F$13:$F$21, 'Revenue Tracking'!$H$13:$H$21, "&gt;="&amp;GG1,'Revenue Tracking'!$H$13:$H$21, "&lt;"&amp;GH1)</f>
        <v>0</v>
      </c>
      <c r="GH3" s="188">
        <f>SUMIFS('Revenue Tracking'!$F$13:$F$21, 'Revenue Tracking'!$H$13:$H$21, "&gt;="&amp;GH1,'Revenue Tracking'!$H$13:$H$21, "&lt;"&amp;GI1)</f>
        <v>0</v>
      </c>
      <c r="GI3" s="188">
        <f>SUMIFS('Revenue Tracking'!$F$13:$F$21, 'Revenue Tracking'!$H$13:$H$21, "&gt;="&amp;GI1,'Revenue Tracking'!$H$13:$H$21, "&lt;"&amp;GJ1)</f>
        <v>0</v>
      </c>
      <c r="GJ3" s="188">
        <f>SUMIFS('Revenue Tracking'!$F$13:$F$21, 'Revenue Tracking'!$H$13:$H$21, "&gt;="&amp;GJ1,'Revenue Tracking'!$H$13:$H$21, "&lt;"&amp;GK1)</f>
        <v>0</v>
      </c>
      <c r="GK3" s="188">
        <f>SUMIFS('Revenue Tracking'!$F$13:$F$21, 'Revenue Tracking'!$H$13:$H$21, "&gt;="&amp;GK1,'Revenue Tracking'!$H$13:$H$21, "&lt;"&amp;GL1)</f>
        <v>0</v>
      </c>
      <c r="GL3" s="188">
        <f>SUMIFS('Revenue Tracking'!$F$13:$F$21, 'Revenue Tracking'!$H$13:$H$21, "&gt;="&amp;GL1,'Revenue Tracking'!$H$13:$H$21, "&lt;"&amp;GM1)</f>
        <v>0</v>
      </c>
      <c r="GM3" s="188">
        <f>SUMIFS('Revenue Tracking'!$F$13:$F$21, 'Revenue Tracking'!$H$13:$H$21, "&gt;="&amp;GM1,'Revenue Tracking'!$H$13:$H$21, "&lt;"&amp;GN1)</f>
        <v>0</v>
      </c>
      <c r="GN3" s="188">
        <f>SUMIFS('Revenue Tracking'!$F$13:$F$21, 'Revenue Tracking'!$H$13:$H$21, "&gt;="&amp;GN1,'Revenue Tracking'!$H$13:$H$21, "&lt;"&amp;GO1)</f>
        <v>0</v>
      </c>
      <c r="GO3" s="188">
        <f>SUMIFS('Revenue Tracking'!$F$13:$F$21, 'Revenue Tracking'!$H$13:$H$21, "&gt;="&amp;GO1,'Revenue Tracking'!$H$13:$H$21, "&lt;"&amp;GP1)</f>
        <v>0</v>
      </c>
      <c r="GP3" s="188">
        <f>SUMIFS('Revenue Tracking'!$F$13:$F$21, 'Revenue Tracking'!$H$13:$H$21, "&gt;="&amp;GP1,'Revenue Tracking'!$H$13:$H$21, "&lt;"&amp;GQ1)</f>
        <v>0</v>
      </c>
      <c r="GQ3" s="188">
        <f>SUMIFS('Revenue Tracking'!$F$13:$F$21, 'Revenue Tracking'!$H$13:$H$21, "&gt;="&amp;GQ1,'Revenue Tracking'!$H$13:$H$21, "&lt;"&amp;GR1)</f>
        <v>0</v>
      </c>
      <c r="GR3" s="188">
        <f>SUMIFS('Revenue Tracking'!$F$13:$F$21, 'Revenue Tracking'!$H$13:$H$21, "&gt;="&amp;GR1,'Revenue Tracking'!$H$13:$H$21, "&lt;"&amp;GS1)</f>
        <v>0</v>
      </c>
      <c r="GS3" s="188">
        <f>SUMIFS('Revenue Tracking'!$F$13:$F$21, 'Revenue Tracking'!$H$13:$H$21, "&gt;="&amp;GS1,'Revenue Tracking'!$H$13:$H$21, "&lt;"&amp;GT1)</f>
        <v>0</v>
      </c>
      <c r="GT3" s="188">
        <f>SUMIFS('Revenue Tracking'!$F$13:$F$21, 'Revenue Tracking'!$H$13:$H$21, "&gt;="&amp;GT1,'Revenue Tracking'!$H$13:$H$21, "&lt;"&amp;GU1)</f>
        <v>0</v>
      </c>
      <c r="GU3" s="188">
        <f>SUMIFS('Revenue Tracking'!$F$13:$F$21, 'Revenue Tracking'!$H$13:$H$21, "&gt;="&amp;GU1,'Revenue Tracking'!$H$13:$H$21, "&lt;"&amp;GV1)</f>
        <v>0</v>
      </c>
      <c r="GV3" s="188">
        <f>SUMIFS('Revenue Tracking'!$F$13:$F$21, 'Revenue Tracking'!$H$13:$H$21, "&gt;="&amp;GV1,'Revenue Tracking'!$H$13:$H$21, "&lt;"&amp;GW1)</f>
        <v>0</v>
      </c>
      <c r="GW3" s="188">
        <f>SUMIFS('Revenue Tracking'!$F$13:$F$21, 'Revenue Tracking'!$H$13:$H$21, "&gt;="&amp;GW1,'Revenue Tracking'!$H$13:$H$21, "&lt;"&amp;GX1)</f>
        <v>0</v>
      </c>
      <c r="GX3" s="188">
        <f>SUMIFS('Revenue Tracking'!$F$13:$F$21, 'Revenue Tracking'!$H$13:$H$21, "&gt;="&amp;GX1,'Revenue Tracking'!$H$13:$H$21, "&lt;"&amp;GY1)</f>
        <v>0</v>
      </c>
      <c r="GY3" s="188">
        <f>SUMIFS('Revenue Tracking'!$F$13:$F$21, 'Revenue Tracking'!$H$13:$H$21, "&gt;="&amp;GY1,'Revenue Tracking'!$H$13:$H$21, "&lt;"&amp;GZ1)</f>
        <v>0</v>
      </c>
      <c r="GZ3" s="188">
        <f>SUMIFS('Revenue Tracking'!$F$13:$F$21, 'Revenue Tracking'!$H$13:$H$21, "&gt;="&amp;GZ1,'Revenue Tracking'!$H$13:$H$21, "&lt;"&amp;HA1)</f>
        <v>0</v>
      </c>
      <c r="HA3" s="188">
        <f>SUMIFS('Revenue Tracking'!$F$13:$F$21, 'Revenue Tracking'!$H$13:$H$21, "&gt;="&amp;HA1,'Revenue Tracking'!$H$13:$H$21, "&lt;"&amp;HB1)</f>
        <v>0</v>
      </c>
      <c r="HB3" s="188">
        <f>SUMIFS('Revenue Tracking'!$F$13:$F$21, 'Revenue Tracking'!$H$13:$H$21, "&gt;="&amp;HB1,'Revenue Tracking'!$H$13:$H$21, "&lt;"&amp;HC1)</f>
        <v>0</v>
      </c>
      <c r="HC3" s="188">
        <f>SUMIFS('Revenue Tracking'!$F$13:$F$21, 'Revenue Tracking'!$H$13:$H$21, "&gt;="&amp;HC1,'Revenue Tracking'!$H$13:$H$21, "&lt;"&amp;HD1)</f>
        <v>0</v>
      </c>
      <c r="HD3" s="188">
        <f>SUMIFS('Revenue Tracking'!$F$13:$F$21, 'Revenue Tracking'!$H$13:$H$21, "&gt;="&amp;HD1,'Revenue Tracking'!$H$13:$H$21, "&lt;"&amp;HE1)</f>
        <v>0</v>
      </c>
      <c r="HE3" s="188">
        <f>SUMIFS('Revenue Tracking'!$F$13:$F$21, 'Revenue Tracking'!$H$13:$H$21, "&gt;="&amp;HE1,'Revenue Tracking'!$H$13:$H$21, "&lt;"&amp;HF1)</f>
        <v>0</v>
      </c>
      <c r="HF3" s="188">
        <f>SUMIFS('Revenue Tracking'!$F$13:$F$21, 'Revenue Tracking'!$H$13:$H$21, "&gt;="&amp;HF1,'Revenue Tracking'!$H$13:$H$21, "&lt;"&amp;HG1)</f>
        <v>0</v>
      </c>
      <c r="HG3" s="188">
        <f>SUMIFS('Revenue Tracking'!$F$13:$F$21, 'Revenue Tracking'!$H$13:$H$21, "&gt;="&amp;HG1,'Revenue Tracking'!$H$13:$H$21, "&lt;"&amp;HH1)</f>
        <v>0</v>
      </c>
      <c r="HH3" s="188">
        <f>SUMIFS('Revenue Tracking'!$F$13:$F$21, 'Revenue Tracking'!$H$13:$H$21, "&gt;="&amp;HH1,'Revenue Tracking'!$H$13:$H$21, "&lt;"&amp;HI1)</f>
        <v>0</v>
      </c>
      <c r="HI3" s="188">
        <f>SUMIFS('Revenue Tracking'!$F$13:$F$21, 'Revenue Tracking'!$H$13:$H$21, "&gt;="&amp;HI1,'Revenue Tracking'!$H$13:$H$21, "&lt;"&amp;HJ1)</f>
        <v>0</v>
      </c>
      <c r="HJ3" s="188">
        <f>SUMIFS('Revenue Tracking'!$F$13:$F$21, 'Revenue Tracking'!$H$13:$H$21, "&gt;="&amp;HJ1,'Revenue Tracking'!$H$13:$H$21, "&lt;"&amp;HK1)</f>
        <v>0</v>
      </c>
      <c r="HK3" s="188">
        <f>SUMIFS('Revenue Tracking'!$F$13:$F$21, 'Revenue Tracking'!$H$13:$H$21, "&gt;="&amp;HK1,'Revenue Tracking'!$H$13:$H$21, "&lt;"&amp;HL1)</f>
        <v>0</v>
      </c>
      <c r="HL3" s="188">
        <f>SUMIFS('Revenue Tracking'!$F$13:$F$21, 'Revenue Tracking'!$H$13:$H$21, "&gt;="&amp;HL1,'Revenue Tracking'!$H$13:$H$21, "&lt;"&amp;HM1)</f>
        <v>0</v>
      </c>
      <c r="HM3" s="188">
        <f>SUMIFS('Revenue Tracking'!$F$13:$F$21, 'Revenue Tracking'!$H$13:$H$21, "&gt;="&amp;HM1,'Revenue Tracking'!$H$13:$H$21, "&lt;"&amp;HN1)</f>
        <v>0</v>
      </c>
      <c r="HN3" s="188">
        <f>SUMIFS('Revenue Tracking'!$F$13:$F$21, 'Revenue Tracking'!$H$13:$H$21, "&gt;="&amp;HN1,'Revenue Tracking'!$H$13:$H$21, "&lt;"&amp;HO1)</f>
        <v>0</v>
      </c>
      <c r="HO3" s="188">
        <f>SUMIFS('Revenue Tracking'!$F$13:$F$21, 'Revenue Tracking'!$H$13:$H$21, "&gt;="&amp;HO1,'Revenue Tracking'!$H$13:$H$21, "&lt;"&amp;HP1)</f>
        <v>0</v>
      </c>
      <c r="HP3" s="188">
        <f>SUMIFS('Revenue Tracking'!$F$13:$F$21, 'Revenue Tracking'!$H$13:$H$21, "&gt;="&amp;HP1,'Revenue Tracking'!$H$13:$H$21, "&lt;"&amp;HQ1)</f>
        <v>0</v>
      </c>
      <c r="HQ3" s="188">
        <f>SUMIFS('Revenue Tracking'!$F$13:$F$21, 'Revenue Tracking'!$H$13:$H$21, "&gt;="&amp;HQ1,'Revenue Tracking'!$H$13:$H$21, "&lt;"&amp;HR1)</f>
        <v>0</v>
      </c>
      <c r="HR3" s="188">
        <f>SUMIFS('Revenue Tracking'!$F$13:$F$21, 'Revenue Tracking'!$H$13:$H$21, "&gt;="&amp;HR1,'Revenue Tracking'!$H$13:$H$21, "&lt;"&amp;HS1)</f>
        <v>0</v>
      </c>
      <c r="HS3" s="188">
        <f>SUMIFS('Revenue Tracking'!$F$13:$F$21, 'Revenue Tracking'!$H$13:$H$21, "&gt;="&amp;HS1,'Revenue Tracking'!$H$13:$H$21, "&lt;"&amp;HT1)</f>
        <v>0</v>
      </c>
      <c r="HT3" s="188">
        <f>SUMIFS('Revenue Tracking'!$F$13:$F$21, 'Revenue Tracking'!$H$13:$H$21, "&gt;="&amp;HT1,'Revenue Tracking'!$H$13:$H$21, "&lt;"&amp;HU1)</f>
        <v>0</v>
      </c>
      <c r="HU3" s="188">
        <f>SUMIFS('Revenue Tracking'!$F$13:$F$21, 'Revenue Tracking'!$H$13:$H$21, "&gt;="&amp;HU1,'Revenue Tracking'!$H$13:$H$21, "&lt;"&amp;HV1)</f>
        <v>0</v>
      </c>
      <c r="HV3" s="188">
        <f>SUMIFS('Revenue Tracking'!$F$13:$F$21, 'Revenue Tracking'!$H$13:$H$21, "&gt;="&amp;HV1,'Revenue Tracking'!$H$13:$H$21, "&lt;"&amp;HW1)</f>
        <v>0</v>
      </c>
      <c r="HW3" s="188">
        <f>SUMIFS('Revenue Tracking'!$F$13:$F$21, 'Revenue Tracking'!$H$13:$H$21, "&gt;="&amp;HW1,'Revenue Tracking'!$H$13:$H$21, "&lt;"&amp;HX1)</f>
        <v>0</v>
      </c>
      <c r="HX3" s="188">
        <f>SUMIFS('Revenue Tracking'!$F$13:$F$21, 'Revenue Tracking'!$H$13:$H$21, "&gt;="&amp;HX1,'Revenue Tracking'!$H$13:$H$21, "&lt;"&amp;HY1)</f>
        <v>0</v>
      </c>
      <c r="HY3" s="188">
        <f>SUMIFS('Revenue Tracking'!$F$13:$F$21, 'Revenue Tracking'!$H$13:$H$21, "&gt;="&amp;HY1,'Revenue Tracking'!$H$13:$H$21, "&lt;"&amp;HZ1)</f>
        <v>0</v>
      </c>
      <c r="HZ3" s="188">
        <f>SUMIFS('Revenue Tracking'!$F$13:$F$21, 'Revenue Tracking'!$H$13:$H$21, "&gt;="&amp;HZ1,'Revenue Tracking'!$H$13:$H$21, "&lt;"&amp;IA1)</f>
        <v>0</v>
      </c>
      <c r="IA3" s="188">
        <f>SUMIFS('Revenue Tracking'!$F$13:$F$21, 'Revenue Tracking'!$H$13:$H$21, "&gt;="&amp;IA1,'Revenue Tracking'!$H$13:$H$21, "&lt;"&amp;IB1)</f>
        <v>0</v>
      </c>
      <c r="IB3" s="188">
        <f>SUMIFS('Revenue Tracking'!$F$13:$F$21, 'Revenue Tracking'!$H$13:$H$21, "&gt;="&amp;IB1,'Revenue Tracking'!$H$13:$H$21, "&lt;"&amp;IC1)</f>
        <v>0</v>
      </c>
      <c r="IC3" s="188">
        <f>SUMIFS('Revenue Tracking'!$F$13:$F$21, 'Revenue Tracking'!$H$13:$H$21, "&gt;="&amp;IC1,'Revenue Tracking'!$H$13:$H$21, "&lt;"&amp;ID1)</f>
        <v>0</v>
      </c>
      <c r="ID3" s="188">
        <f>SUMIFS('Revenue Tracking'!$F$13:$F$21, 'Revenue Tracking'!$H$13:$H$21, "&gt;="&amp;ID1,'Revenue Tracking'!$H$13:$H$21, "&lt;"&amp;IE1)</f>
        <v>0</v>
      </c>
      <c r="IE3" s="188">
        <f>SUMIFS('Revenue Tracking'!$F$13:$F$21, 'Revenue Tracking'!$H$13:$H$21, "&gt;="&amp;IE1,'Revenue Tracking'!$H$13:$H$21, "&lt;"&amp;IF1)</f>
        <v>0</v>
      </c>
      <c r="IF3" s="188">
        <f>SUMIFS('Revenue Tracking'!$F$13:$F$21, 'Revenue Tracking'!$H$13:$H$21, "&gt;="&amp;IF1,'Revenue Tracking'!$H$13:$H$21, "&lt;"&amp;IG1)</f>
        <v>0</v>
      </c>
      <c r="IG3" s="188">
        <f>SUMIFS('Revenue Tracking'!$F$13:$F$21, 'Revenue Tracking'!$H$13:$H$21, "&gt;="&amp;IG1,'Revenue Tracking'!$H$13:$H$21, "&lt;"&amp;IH1)</f>
        <v>0</v>
      </c>
      <c r="IH3" s="188">
        <f>SUMIFS('Revenue Tracking'!$F$13:$F$21, 'Revenue Tracking'!$H$13:$H$21, "&gt;="&amp;IH1,'Revenue Tracking'!$H$13:$H$21, "&lt;"&amp;II1)</f>
        <v>0</v>
      </c>
      <c r="II3" s="188">
        <f>SUMIFS('Revenue Tracking'!$F$13:$F$21, 'Revenue Tracking'!$H$13:$H$21, "&gt;="&amp;II1,'Revenue Tracking'!$H$13:$H$21, "&lt;"&amp;IJ1)</f>
        <v>0</v>
      </c>
      <c r="IJ3" s="188">
        <f>SUMIFS('Revenue Tracking'!$F$13:$F$21, 'Revenue Tracking'!$H$13:$H$21, "&gt;="&amp;IJ1,'Revenue Tracking'!$H$13:$H$21, "&lt;"&amp;IK1)</f>
        <v>0</v>
      </c>
      <c r="IK3" s="188">
        <f>SUMIFS('Revenue Tracking'!$F$13:$F$21, 'Revenue Tracking'!$H$13:$H$21, "&gt;="&amp;IK1,'Revenue Tracking'!$H$13:$H$21, "&lt;"&amp;IL1)</f>
        <v>0</v>
      </c>
      <c r="IL3" s="188">
        <f>SUMIFS('Revenue Tracking'!$F$13:$F$21, 'Revenue Tracking'!$H$13:$H$21, "&gt;="&amp;IL1,'Revenue Tracking'!$H$13:$H$21, "&lt;"&amp;IM1)</f>
        <v>0</v>
      </c>
      <c r="IM3" s="188">
        <f>SUMIFS('Revenue Tracking'!$F$13:$F$21, 'Revenue Tracking'!$H$13:$H$21, "&gt;="&amp;IM1,'Revenue Tracking'!$H$13:$H$21, "&lt;"&amp;IN1)</f>
        <v>0</v>
      </c>
      <c r="IN3" s="188">
        <f>SUMIFS('Revenue Tracking'!$F$13:$F$21, 'Revenue Tracking'!$H$13:$H$21, "&gt;="&amp;IN1,'Revenue Tracking'!$H$13:$H$21, "&lt;"&amp;IO1)</f>
        <v>0</v>
      </c>
      <c r="IO3" s="188">
        <f>SUMIFS('Revenue Tracking'!$F$13:$F$21, 'Revenue Tracking'!$H$13:$H$21, "&gt;="&amp;IO1,'Revenue Tracking'!$H$13:$H$21, "&lt;"&amp;IP1)</f>
        <v>0</v>
      </c>
      <c r="IP3" s="188">
        <f>SUMIFS('Revenue Tracking'!$F$13:$F$21, 'Revenue Tracking'!$H$13:$H$21, "&gt;="&amp;IP1,'Revenue Tracking'!$H$13:$H$21, "&lt;"&amp;IQ1)</f>
        <v>0</v>
      </c>
      <c r="IQ3" s="188">
        <f>SUMIFS('Revenue Tracking'!$F$13:$F$21, 'Revenue Tracking'!$H$13:$H$21, "&gt;="&amp;IQ1,'Revenue Tracking'!$H$13:$H$21, "&lt;"&amp;IR1)</f>
        <v>0</v>
      </c>
      <c r="IR3" s="188">
        <f>SUMIFS('Revenue Tracking'!$F$13:$F$21, 'Revenue Tracking'!$H$13:$H$21, "&gt;="&amp;IR1,'Revenue Tracking'!$H$13:$H$21, "&lt;"&amp;IS1)</f>
        <v>0</v>
      </c>
      <c r="IS3" s="188">
        <f>SUMIFS('Revenue Tracking'!$F$13:$F$21, 'Revenue Tracking'!$H$13:$H$21, "&gt;="&amp;IS1,'Revenue Tracking'!$H$13:$H$21, "&lt;"&amp;IT1)</f>
        <v>0</v>
      </c>
      <c r="IT3" s="188">
        <f>SUMIFS('Revenue Tracking'!$F$13:$F$21, 'Revenue Tracking'!$H$13:$H$21, "&gt;="&amp;IT1,'Revenue Tracking'!$H$13:$H$21, "&lt;"&amp;IU1)</f>
        <v>0</v>
      </c>
      <c r="IU3" s="188">
        <f>SUMIFS('Revenue Tracking'!$F$13:$F$21, 'Revenue Tracking'!$H$13:$H$21, "&gt;="&amp;IU1,'Revenue Tracking'!$H$13:$H$21, "&lt;"&amp;IV1)</f>
        <v>0</v>
      </c>
      <c r="IV3" s="188">
        <f>SUMIFS('Revenue Tracking'!$F$13:$F$21, 'Revenue Tracking'!$H$13:$H$21, "&gt;="&amp;IV1,'Revenue Tracking'!$H$13:$H$21, "&lt;"&amp;IW1)</f>
        <v>0</v>
      </c>
      <c r="IW3" s="188">
        <f>SUMIFS('Revenue Tracking'!$F$13:$F$21, 'Revenue Tracking'!$H$13:$H$21, "&gt;="&amp;IW1,'Revenue Tracking'!$H$13:$H$21, "&lt;"&amp;IX1)</f>
        <v>0</v>
      </c>
      <c r="IX3" s="188">
        <f>SUMIFS('Revenue Tracking'!$F$13:$F$21, 'Revenue Tracking'!$H$13:$H$21, "&gt;="&amp;IX1,'Revenue Tracking'!$H$13:$H$21, "&lt;"&amp;IY1)</f>
        <v>0</v>
      </c>
      <c r="IY3" s="188">
        <f>SUMIFS('Revenue Tracking'!$F$13:$F$21, 'Revenue Tracking'!$H$13:$H$21, "&gt;="&amp;IY1,'Revenue Tracking'!$H$13:$H$21, "&lt;"&amp;IZ1)</f>
        <v>0</v>
      </c>
      <c r="IZ3" s="188">
        <f>SUMIFS('Revenue Tracking'!$F$13:$F$21, 'Revenue Tracking'!$H$13:$H$21, "&gt;="&amp;IZ1,'Revenue Tracking'!$H$13:$H$21, "&lt;"&amp;JA1)</f>
        <v>0</v>
      </c>
      <c r="JA3" s="188">
        <f>SUMIFS('Revenue Tracking'!$F$13:$F$21, 'Revenue Tracking'!$H$13:$H$21, "&gt;="&amp;JA1,'Revenue Tracking'!$H$13:$H$21, "&lt;"&amp;JB1)</f>
        <v>0</v>
      </c>
      <c r="JB3" s="188">
        <f>SUMIFS('Revenue Tracking'!$F$13:$F$21, 'Revenue Tracking'!$H$13:$H$21, "&gt;="&amp;JB1,'Revenue Tracking'!$H$13:$H$21, "&lt;"&amp;JC1)</f>
        <v>0</v>
      </c>
      <c r="JC3" s="188">
        <f>SUMIFS('Revenue Tracking'!$F$13:$F$21, 'Revenue Tracking'!$H$13:$H$21, "&gt;="&amp;JC1,'Revenue Tracking'!$H$13:$H$21, "&lt;"&amp;JD1)</f>
        <v>0</v>
      </c>
      <c r="JD3" s="188">
        <f>SUMIFS('Revenue Tracking'!$F$13:$F$21, 'Revenue Tracking'!$H$13:$H$21, "&gt;="&amp;JD1,'Revenue Tracking'!$H$13:$H$21, "&lt;"&amp;JE1)</f>
        <v>0</v>
      </c>
      <c r="JE3" s="188">
        <f>SUMIFS('Revenue Tracking'!$F$13:$F$21, 'Revenue Tracking'!$H$13:$H$21, "&gt;="&amp;JE1,'Revenue Tracking'!$H$13:$H$21, "&lt;"&amp;JF1)</f>
        <v>0</v>
      </c>
      <c r="JF3" s="188">
        <f>SUMIFS('Revenue Tracking'!$F$13:$F$21, 'Revenue Tracking'!$H$13:$H$21, "&gt;="&amp;JF1,'Revenue Tracking'!$H$13:$H$21, "&lt;"&amp;JG1)</f>
        <v>0</v>
      </c>
      <c r="JG3" s="188">
        <f>SUMIFS('Revenue Tracking'!$F$13:$F$21, 'Revenue Tracking'!$H$13:$H$21, "&gt;="&amp;JG1,'Revenue Tracking'!$H$13:$H$21, "&lt;"&amp;JH1)</f>
        <v>0</v>
      </c>
      <c r="JH3" s="188">
        <f>SUMIFS('Revenue Tracking'!$F$13:$F$21, 'Revenue Tracking'!$H$13:$H$21, "&gt;="&amp;JH1,'Revenue Tracking'!$H$13:$H$21, "&lt;"&amp;JI1)</f>
        <v>0</v>
      </c>
      <c r="JI3" s="188">
        <f>SUMIFS('Revenue Tracking'!$F$13:$F$21, 'Revenue Tracking'!$H$13:$H$21, "&gt;="&amp;JI1,'Revenue Tracking'!$H$13:$H$21, "&lt;"&amp;JJ1)</f>
        <v>0</v>
      </c>
      <c r="JJ3" s="188">
        <f>SUMIFS('Revenue Tracking'!$F$13:$F$21, 'Revenue Tracking'!$H$13:$H$21, "&gt;="&amp;JJ1,'Revenue Tracking'!$H$13:$H$21, "&lt;"&amp;JK1)</f>
        <v>0</v>
      </c>
      <c r="JK3" s="188">
        <f>SUMIFS('Revenue Tracking'!$F$13:$F$21, 'Revenue Tracking'!$H$13:$H$21, "&gt;="&amp;JK1,'Revenue Tracking'!$H$13:$H$21, "&lt;"&amp;JL1)</f>
        <v>0</v>
      </c>
      <c r="JL3" s="188">
        <f>SUMIFS('Revenue Tracking'!$F$13:$F$21, 'Revenue Tracking'!$H$13:$H$21, "&gt;="&amp;JL1,'Revenue Tracking'!$H$13:$H$21, "&lt;"&amp;JM1)</f>
        <v>0</v>
      </c>
      <c r="JM3" s="188">
        <f>SUMIFS('Revenue Tracking'!$F$13:$F$21, 'Revenue Tracking'!$H$13:$H$21, "&gt;="&amp;JM1,'Revenue Tracking'!$H$13:$H$21, "&lt;"&amp;JN1)</f>
        <v>0</v>
      </c>
      <c r="JN3" s="188">
        <f>SUMIFS('Revenue Tracking'!$F$13:$F$21, 'Revenue Tracking'!$H$13:$H$21, "&gt;="&amp;JN1,'Revenue Tracking'!$H$13:$H$21, "&lt;"&amp;JO1)</f>
        <v>0</v>
      </c>
      <c r="JO3" s="188">
        <f>SUMIFS('Revenue Tracking'!$F$13:$F$21, 'Revenue Tracking'!$H$13:$H$21, "&gt;="&amp;JO1,'Revenue Tracking'!$H$13:$H$21, "&lt;"&amp;JP1)</f>
        <v>0</v>
      </c>
      <c r="JP3" s="188">
        <f>SUMIFS('Revenue Tracking'!$F$13:$F$21, 'Revenue Tracking'!$H$13:$H$21, "&gt;="&amp;JP1,'Revenue Tracking'!$H$13:$H$21, "&lt;"&amp;JQ1)</f>
        <v>0</v>
      </c>
      <c r="JQ3" s="188">
        <f>SUMIFS('Revenue Tracking'!$F$13:$F$21, 'Revenue Tracking'!$H$13:$H$21, "&gt;="&amp;JQ1,'Revenue Tracking'!$H$13:$H$21, "&lt;"&amp;JR1)</f>
        <v>0</v>
      </c>
      <c r="JR3" s="188">
        <f>SUMIFS('Revenue Tracking'!$F$13:$F$21, 'Revenue Tracking'!$H$13:$H$21, "&gt;="&amp;JR1,'Revenue Tracking'!$H$13:$H$21, "&lt;"&amp;JS1)</f>
        <v>0</v>
      </c>
      <c r="JS3" s="188">
        <f>SUMIFS('Revenue Tracking'!$F$13:$F$21, 'Revenue Tracking'!$H$13:$H$21, "&gt;="&amp;JS1,'Revenue Tracking'!$H$13:$H$21, "&lt;"&amp;JT1)</f>
        <v>0</v>
      </c>
      <c r="JT3" s="188">
        <f>SUMIFS('Revenue Tracking'!$F$13:$F$21, 'Revenue Tracking'!$H$13:$H$21, "&gt;="&amp;JT1,'Revenue Tracking'!$H$13:$H$21, "&lt;"&amp;JU1)</f>
        <v>0</v>
      </c>
      <c r="JU3" s="188">
        <f>SUMIFS('Revenue Tracking'!$F$13:$F$21, 'Revenue Tracking'!$H$13:$H$21, "&gt;="&amp;JU1,'Revenue Tracking'!$H$13:$H$21, "&lt;"&amp;JV1)</f>
        <v>0</v>
      </c>
      <c r="JV3" s="188">
        <f>SUMIFS('Revenue Tracking'!$F$13:$F$21, 'Revenue Tracking'!$H$13:$H$21, "&gt;="&amp;JV1,'Revenue Tracking'!$H$13:$H$21, "&lt;"&amp;JW1)</f>
        <v>0</v>
      </c>
      <c r="JW3" s="188">
        <f>SUMIFS('Revenue Tracking'!$F$13:$F$21, 'Revenue Tracking'!$H$13:$H$21, "&gt;="&amp;JW1,'Revenue Tracking'!$H$13:$H$21, "&lt;"&amp;JX1)</f>
        <v>0</v>
      </c>
      <c r="JX3" s="188">
        <f>SUMIFS('Revenue Tracking'!$F$13:$F$21, 'Revenue Tracking'!$H$13:$H$21, "&gt;="&amp;JX1,'Revenue Tracking'!$H$13:$H$21, "&lt;"&amp;JY1)</f>
        <v>0</v>
      </c>
      <c r="JY3" s="188">
        <f>SUMIFS('Revenue Tracking'!$F$13:$F$21, 'Revenue Tracking'!$H$13:$H$21, "&gt;="&amp;JY1,'Revenue Tracking'!$H$13:$H$21, "&lt;"&amp;JZ1)</f>
        <v>0</v>
      </c>
      <c r="JZ3" s="188">
        <f>SUMIFS('Revenue Tracking'!$F$13:$F$21, 'Revenue Tracking'!$H$13:$H$21, "&gt;="&amp;JZ1,'Revenue Tracking'!$H$13:$H$21, "&lt;"&amp;KA1)</f>
        <v>0</v>
      </c>
      <c r="KA3" s="188">
        <f>SUMIFS('Revenue Tracking'!$F$13:$F$21, 'Revenue Tracking'!$H$13:$H$21, "&gt;="&amp;KA1,'Revenue Tracking'!$H$13:$H$21, "&lt;"&amp;KB1)</f>
        <v>0</v>
      </c>
      <c r="KB3" s="188">
        <f>SUMIFS('Revenue Tracking'!$F$13:$F$21, 'Revenue Tracking'!$H$13:$H$21, "&gt;="&amp;KB1,'Revenue Tracking'!$H$13:$H$21, "&lt;"&amp;KC1)</f>
        <v>0</v>
      </c>
      <c r="KC3" s="188">
        <f>SUMIFS('Revenue Tracking'!$F$13:$F$21, 'Revenue Tracking'!$H$13:$H$21, "&gt;="&amp;KC1,'Revenue Tracking'!$H$13:$H$21, "&lt;"&amp;KD1)</f>
        <v>0</v>
      </c>
      <c r="KD3" s="188">
        <f>SUMIFS('Revenue Tracking'!$F$13:$F$21, 'Revenue Tracking'!$H$13:$H$21, "&gt;="&amp;KD1,'Revenue Tracking'!$H$13:$H$21, "&lt;"&amp;KE1)</f>
        <v>0</v>
      </c>
      <c r="KE3" s="188">
        <f>SUMIFS('Revenue Tracking'!$F$13:$F$21, 'Revenue Tracking'!$H$13:$H$21, "&gt;="&amp;KE1,'Revenue Tracking'!$H$13:$H$21, "&lt;"&amp;KF1)</f>
        <v>0</v>
      </c>
      <c r="KF3" s="188">
        <f>SUMIFS('Revenue Tracking'!$F$13:$F$21, 'Revenue Tracking'!$H$13:$H$21, "&gt;="&amp;KF1,'Revenue Tracking'!$H$13:$H$21, "&lt;"&amp;KG1)</f>
        <v>0</v>
      </c>
      <c r="KG3" s="188">
        <f>SUMIFS('Revenue Tracking'!$F$13:$F$21, 'Revenue Tracking'!$H$13:$H$21, "&gt;="&amp;KG1,'Revenue Tracking'!$H$13:$H$21, "&lt;"&amp;KH1)</f>
        <v>0</v>
      </c>
      <c r="KH3" s="188">
        <f>SUMIFS('Revenue Tracking'!$F$13:$F$21, 'Revenue Tracking'!$H$13:$H$21, "&gt;="&amp;KH1,'Revenue Tracking'!$H$13:$H$21, "&lt;"&amp;KI1)</f>
        <v>0</v>
      </c>
      <c r="KI3" s="188">
        <f>SUMIFS('Revenue Tracking'!$F$13:$F$21, 'Revenue Tracking'!$H$13:$H$21, "&gt;="&amp;KI1,'Revenue Tracking'!$H$13:$H$21, "&lt;"&amp;KJ1)</f>
        <v>0</v>
      </c>
      <c r="KJ3" s="188">
        <f>SUMIFS('Revenue Tracking'!$F$13:$F$21, 'Revenue Tracking'!$H$13:$H$21, "&gt;="&amp;KJ1,'Revenue Tracking'!$H$13:$H$21, "&lt;"&amp;KK1)</f>
        <v>0</v>
      </c>
      <c r="KK3" s="188">
        <f>SUMIFS('Revenue Tracking'!$F$13:$F$21, 'Revenue Tracking'!$H$13:$H$21, "&gt;="&amp;KK1,'Revenue Tracking'!$H$13:$H$21, "&lt;"&amp;KL1)</f>
        <v>0</v>
      </c>
      <c r="KL3" s="188">
        <f>SUMIFS('Revenue Tracking'!$F$13:$F$21, 'Revenue Tracking'!$H$13:$H$21, "&gt;="&amp;KL1,'Revenue Tracking'!$H$13:$H$21, "&lt;"&amp;KM1)</f>
        <v>0</v>
      </c>
      <c r="KM3" s="188">
        <f>SUMIFS('Revenue Tracking'!$F$13:$F$21, 'Revenue Tracking'!$H$13:$H$21, "&gt;="&amp;KM1,'Revenue Tracking'!$H$13:$H$21, "&lt;"&amp;KN1)</f>
        <v>0</v>
      </c>
      <c r="KN3" s="188">
        <f>SUMIFS('Revenue Tracking'!$F$13:$F$21, 'Revenue Tracking'!$H$13:$H$21, "&gt;="&amp;KN1,'Revenue Tracking'!$H$13:$H$21, "&lt;"&amp;KO1)</f>
        <v>0</v>
      </c>
      <c r="KO3" s="188">
        <f>SUMIFS('Revenue Tracking'!$F$13:$F$21, 'Revenue Tracking'!$H$13:$H$21, "&gt;="&amp;KO1,'Revenue Tracking'!$H$13:$H$21, "&lt;"&amp;KP1)</f>
        <v>0</v>
      </c>
      <c r="KP3" s="188">
        <f>SUMIFS('Revenue Tracking'!$F$13:$F$21, 'Revenue Tracking'!$H$13:$H$21, "&gt;="&amp;KP1,'Revenue Tracking'!$H$13:$H$21, "&lt;"&amp;KQ1)</f>
        <v>0</v>
      </c>
      <c r="KQ3" s="188">
        <f>SUMIFS('Revenue Tracking'!$F$13:$F$21, 'Revenue Tracking'!$H$13:$H$21, "&gt;="&amp;KQ1,'Revenue Tracking'!$H$13:$H$21, "&lt;"&amp;KR1)</f>
        <v>0</v>
      </c>
      <c r="KR3" s="188">
        <f>SUMIFS('Revenue Tracking'!$F$13:$F$21, 'Revenue Tracking'!$H$13:$H$21, "&gt;="&amp;KR1,'Revenue Tracking'!$H$13:$H$21, "&lt;"&amp;KS1)</f>
        <v>0</v>
      </c>
      <c r="KS3" s="188">
        <f>SUMIFS('Revenue Tracking'!$F$13:$F$21, 'Revenue Tracking'!$H$13:$H$21, "&gt;="&amp;KS1,'Revenue Tracking'!$H$13:$H$21, "&lt;"&amp;KT1)</f>
        <v>0</v>
      </c>
      <c r="KT3" s="188">
        <f>SUMIFS('Revenue Tracking'!$F$13:$F$21, 'Revenue Tracking'!$H$13:$H$21, "&gt;="&amp;KT1,'Revenue Tracking'!$H$13:$H$21, "&lt;"&amp;KU1)</f>
        <v>0</v>
      </c>
      <c r="KU3" s="188">
        <f>SUMIFS('Revenue Tracking'!$F$13:$F$21, 'Revenue Tracking'!$H$13:$H$21, "&gt;="&amp;KU1,'Revenue Tracking'!$H$13:$H$21, "&lt;"&amp;KV1)</f>
        <v>0</v>
      </c>
      <c r="KV3" s="188">
        <f>SUMIFS('Revenue Tracking'!$F$13:$F$21, 'Revenue Tracking'!$H$13:$H$21, "&gt;="&amp;KV1,'Revenue Tracking'!$H$13:$H$21, "&lt;"&amp;KW1)</f>
        <v>0</v>
      </c>
      <c r="KW3" s="188">
        <f>SUMIFS('Revenue Tracking'!$F$13:$F$21, 'Revenue Tracking'!$H$13:$H$21, "&gt;="&amp;KW1,'Revenue Tracking'!$H$13:$H$21, "&lt;"&amp;KX1)</f>
        <v>0</v>
      </c>
      <c r="KX3" s="188">
        <f>SUMIFS('Revenue Tracking'!$F$13:$F$21, 'Revenue Tracking'!$H$13:$H$21, "&gt;="&amp;KX1,'Revenue Tracking'!$H$13:$H$21, "&lt;"&amp;KY1)</f>
        <v>0</v>
      </c>
      <c r="KY3" s="188">
        <f>SUMIFS('Revenue Tracking'!$F$13:$F$21, 'Revenue Tracking'!$H$13:$H$21, "&gt;="&amp;KY1,'Revenue Tracking'!$H$13:$H$21, "&lt;"&amp;KZ1)</f>
        <v>0</v>
      </c>
      <c r="KZ3" s="188">
        <f>SUMIFS('Revenue Tracking'!$F$13:$F$21, 'Revenue Tracking'!$H$13:$H$21, "&gt;="&amp;KZ1,'Revenue Tracking'!$H$13:$H$21, "&lt;"&amp;LA1)</f>
        <v>0</v>
      </c>
      <c r="LA3" s="188">
        <f>SUMIFS('Revenue Tracking'!$F$13:$F$21, 'Revenue Tracking'!$H$13:$H$21, "&gt;="&amp;LA1,'Revenue Tracking'!$H$13:$H$21, "&lt;"&amp;LB1)</f>
        <v>0</v>
      </c>
      <c r="LB3" s="188">
        <f>SUMIFS('Revenue Tracking'!$F$13:$F$21, 'Revenue Tracking'!$H$13:$H$21, "&gt;="&amp;LB1,'Revenue Tracking'!$H$13:$H$21, "&lt;"&amp;LC1)</f>
        <v>0</v>
      </c>
      <c r="LC3" s="188">
        <f>SUMIFS('Revenue Tracking'!$F$13:$F$21, 'Revenue Tracking'!$H$13:$H$21, "&gt;="&amp;LC1,'Revenue Tracking'!$H$13:$H$21, "&lt;"&amp;LD1)</f>
        <v>0</v>
      </c>
      <c r="LD3" s="188">
        <f>SUMIFS('Revenue Tracking'!$F$13:$F$21, 'Revenue Tracking'!$H$13:$H$21, "&gt;="&amp;LD1,'Revenue Tracking'!$H$13:$H$21, "&lt;"&amp;#REF!)</f>
        <v>0</v>
      </c>
    </row>
    <row r="4" spans="1:794">
      <c r="A4" s="930"/>
      <c r="B4" s="185" t="s">
        <v>730</v>
      </c>
      <c r="C4" s="186"/>
      <c r="D4" s="186"/>
      <c r="E4" s="187"/>
      <c r="F4" s="188">
        <f>F3</f>
        <v>0</v>
      </c>
      <c r="G4" s="188">
        <f>F4+G3</f>
        <v>0</v>
      </c>
      <c r="H4" s="188">
        <f>G4+H3</f>
        <v>0</v>
      </c>
      <c r="I4" s="188">
        <f t="shared" ref="I4:BT4" si="5">H4+I3</f>
        <v>0</v>
      </c>
      <c r="J4" s="188">
        <f t="shared" si="5"/>
        <v>0</v>
      </c>
      <c r="K4" s="188">
        <f t="shared" si="5"/>
        <v>0</v>
      </c>
      <c r="L4" s="188">
        <f t="shared" si="5"/>
        <v>0</v>
      </c>
      <c r="M4" s="188">
        <f t="shared" si="5"/>
        <v>0</v>
      </c>
      <c r="N4" s="188">
        <f t="shared" si="5"/>
        <v>0</v>
      </c>
      <c r="O4" s="188">
        <f t="shared" si="5"/>
        <v>0</v>
      </c>
      <c r="P4" s="188">
        <f t="shared" si="5"/>
        <v>0</v>
      </c>
      <c r="Q4" s="188">
        <f t="shared" si="5"/>
        <v>0</v>
      </c>
      <c r="R4" s="188">
        <f t="shared" si="5"/>
        <v>0</v>
      </c>
      <c r="S4" s="188">
        <f t="shared" si="5"/>
        <v>0</v>
      </c>
      <c r="T4" s="188">
        <f t="shared" si="5"/>
        <v>0</v>
      </c>
      <c r="U4" s="188">
        <f t="shared" si="5"/>
        <v>0</v>
      </c>
      <c r="V4" s="188">
        <f t="shared" si="5"/>
        <v>0</v>
      </c>
      <c r="W4" s="188">
        <f t="shared" si="5"/>
        <v>0</v>
      </c>
      <c r="X4" s="188">
        <f t="shared" si="5"/>
        <v>15000000</v>
      </c>
      <c r="Y4" s="188">
        <f t="shared" si="5"/>
        <v>15000000</v>
      </c>
      <c r="Z4" s="188">
        <f t="shared" si="5"/>
        <v>15000000</v>
      </c>
      <c r="AA4" s="188">
        <f t="shared" si="5"/>
        <v>15000000</v>
      </c>
      <c r="AB4" s="188">
        <f t="shared" si="5"/>
        <v>15000000</v>
      </c>
      <c r="AC4" s="188">
        <f t="shared" si="5"/>
        <v>15000000</v>
      </c>
      <c r="AD4" s="188">
        <f t="shared" si="5"/>
        <v>15000000</v>
      </c>
      <c r="AE4" s="188">
        <f t="shared" si="5"/>
        <v>15000000</v>
      </c>
      <c r="AF4" s="188">
        <f t="shared" si="5"/>
        <v>32998500</v>
      </c>
      <c r="AG4" s="188">
        <f t="shared" si="5"/>
        <v>32998500</v>
      </c>
      <c r="AH4" s="188">
        <f t="shared" si="5"/>
        <v>32998500</v>
      </c>
      <c r="AI4" s="188">
        <f t="shared" si="5"/>
        <v>32998500</v>
      </c>
      <c r="AJ4" s="188">
        <f t="shared" si="5"/>
        <v>32998500</v>
      </c>
      <c r="AK4" s="188">
        <f t="shared" si="5"/>
        <v>41996500</v>
      </c>
      <c r="AL4" s="188">
        <f t="shared" si="5"/>
        <v>41996500</v>
      </c>
      <c r="AM4" s="188">
        <f t="shared" si="5"/>
        <v>41996500</v>
      </c>
      <c r="AN4" s="188">
        <f t="shared" si="5"/>
        <v>41996500</v>
      </c>
      <c r="AO4" s="188">
        <f t="shared" si="5"/>
        <v>50995750</v>
      </c>
      <c r="AP4" s="188">
        <f t="shared" si="5"/>
        <v>50995750</v>
      </c>
      <c r="AQ4" s="188">
        <f t="shared" si="5"/>
        <v>50995750</v>
      </c>
      <c r="AR4" s="188">
        <f t="shared" si="5"/>
        <v>50995750</v>
      </c>
      <c r="AS4" s="188">
        <f t="shared" si="5"/>
        <v>50995750</v>
      </c>
      <c r="AT4" s="188">
        <f t="shared" si="5"/>
        <v>50995750</v>
      </c>
      <c r="AU4" s="188">
        <f t="shared" si="5"/>
        <v>50995750</v>
      </c>
      <c r="AV4" s="188">
        <f t="shared" si="5"/>
        <v>50995750</v>
      </c>
      <c r="AW4" s="188">
        <f t="shared" si="5"/>
        <v>56995250</v>
      </c>
      <c r="AX4" s="188">
        <f t="shared" si="5"/>
        <v>56995250</v>
      </c>
      <c r="AY4" s="188">
        <f t="shared" si="5"/>
        <v>56995250</v>
      </c>
      <c r="AZ4" s="188">
        <f t="shared" si="5"/>
        <v>59995000</v>
      </c>
      <c r="BA4" s="188">
        <f t="shared" si="5"/>
        <v>59995000</v>
      </c>
      <c r="BB4" s="188">
        <f t="shared" si="5"/>
        <v>59995000</v>
      </c>
      <c r="BC4" s="188">
        <f t="shared" si="5"/>
        <v>59995000</v>
      </c>
      <c r="BD4" s="188">
        <f t="shared" si="5"/>
        <v>59995000</v>
      </c>
      <c r="BE4" s="188">
        <f t="shared" si="5"/>
        <v>59995000</v>
      </c>
      <c r="BF4" s="188">
        <f t="shared" si="5"/>
        <v>59995000</v>
      </c>
      <c r="BG4" s="188">
        <f t="shared" si="5"/>
        <v>59995000</v>
      </c>
      <c r="BH4" s="188">
        <f t="shared" si="5"/>
        <v>59995000</v>
      </c>
      <c r="BI4" s="188">
        <f t="shared" si="5"/>
        <v>59995000</v>
      </c>
      <c r="BJ4" s="188">
        <f t="shared" si="5"/>
        <v>59995000</v>
      </c>
      <c r="BK4" s="188">
        <f t="shared" si="5"/>
        <v>59995000</v>
      </c>
      <c r="BL4" s="188">
        <f t="shared" si="5"/>
        <v>59995000</v>
      </c>
      <c r="BM4" s="188">
        <f t="shared" si="5"/>
        <v>59995000</v>
      </c>
      <c r="BN4" s="188">
        <f t="shared" si="5"/>
        <v>59995000</v>
      </c>
      <c r="BO4" s="188">
        <f t="shared" si="5"/>
        <v>59995000</v>
      </c>
      <c r="BP4" s="188">
        <f t="shared" si="5"/>
        <v>59995000</v>
      </c>
      <c r="BQ4" s="188">
        <f t="shared" si="5"/>
        <v>59995000</v>
      </c>
      <c r="BR4" s="188">
        <f t="shared" si="5"/>
        <v>59995000</v>
      </c>
      <c r="BS4" s="188">
        <f t="shared" si="5"/>
        <v>59995000</v>
      </c>
      <c r="BT4" s="188">
        <f t="shared" si="5"/>
        <v>59995000</v>
      </c>
      <c r="BU4" s="188">
        <f t="shared" ref="BU4:EF4" si="6">BT4+BU3</f>
        <v>59995000</v>
      </c>
      <c r="BV4" s="188">
        <f t="shared" si="6"/>
        <v>59995000</v>
      </c>
      <c r="BW4" s="188">
        <f t="shared" si="6"/>
        <v>59995000</v>
      </c>
      <c r="BX4" s="188">
        <f t="shared" si="6"/>
        <v>59995000</v>
      </c>
      <c r="BY4" s="188">
        <f t="shared" si="6"/>
        <v>59995000</v>
      </c>
      <c r="BZ4" s="188">
        <f t="shared" si="6"/>
        <v>59995000</v>
      </c>
      <c r="CA4" s="188">
        <f t="shared" si="6"/>
        <v>59995000</v>
      </c>
      <c r="CB4" s="188">
        <f t="shared" si="6"/>
        <v>59995000</v>
      </c>
      <c r="CC4" s="188">
        <f t="shared" si="6"/>
        <v>59995000</v>
      </c>
      <c r="CD4" s="188">
        <f t="shared" si="6"/>
        <v>59995000</v>
      </c>
      <c r="CE4" s="188">
        <f t="shared" si="6"/>
        <v>59995000</v>
      </c>
      <c r="CF4" s="188">
        <f t="shared" si="6"/>
        <v>59995000</v>
      </c>
      <c r="CG4" s="188">
        <f t="shared" si="6"/>
        <v>59995000</v>
      </c>
      <c r="CH4" s="188">
        <f t="shared" si="6"/>
        <v>59995000</v>
      </c>
      <c r="CI4" s="188">
        <f t="shared" si="6"/>
        <v>59995000</v>
      </c>
      <c r="CJ4" s="188">
        <f t="shared" si="6"/>
        <v>59995000</v>
      </c>
      <c r="CK4" s="188">
        <f t="shared" si="6"/>
        <v>59995000</v>
      </c>
      <c r="CL4" s="188">
        <f t="shared" si="6"/>
        <v>59995000</v>
      </c>
      <c r="CM4" s="188">
        <f t="shared" si="6"/>
        <v>59995000</v>
      </c>
      <c r="CN4" s="188">
        <f t="shared" si="6"/>
        <v>59995000</v>
      </c>
      <c r="CO4" s="188">
        <f t="shared" si="6"/>
        <v>59995000</v>
      </c>
      <c r="CP4" s="188">
        <f t="shared" si="6"/>
        <v>59995000</v>
      </c>
      <c r="CQ4" s="188">
        <f t="shared" si="6"/>
        <v>59995000</v>
      </c>
      <c r="CR4" s="188">
        <f t="shared" si="6"/>
        <v>59995000</v>
      </c>
      <c r="CS4" s="188">
        <f t="shared" si="6"/>
        <v>59995000</v>
      </c>
      <c r="CT4" s="188">
        <f t="shared" si="6"/>
        <v>59995000</v>
      </c>
      <c r="CU4" s="188">
        <f t="shared" si="6"/>
        <v>59995000</v>
      </c>
      <c r="CV4" s="188">
        <f t="shared" si="6"/>
        <v>59995000</v>
      </c>
      <c r="CW4" s="188">
        <f t="shared" si="6"/>
        <v>59995000</v>
      </c>
      <c r="CX4" s="188">
        <f t="shared" si="6"/>
        <v>59995000</v>
      </c>
      <c r="CY4" s="188">
        <f t="shared" si="6"/>
        <v>59995000</v>
      </c>
      <c r="CZ4" s="188">
        <f t="shared" si="6"/>
        <v>59995000</v>
      </c>
      <c r="DA4" s="188">
        <f t="shared" si="6"/>
        <v>59995000</v>
      </c>
      <c r="DB4" s="188">
        <f t="shared" si="6"/>
        <v>59995000</v>
      </c>
      <c r="DC4" s="188">
        <f t="shared" si="6"/>
        <v>59995000</v>
      </c>
      <c r="DD4" s="188">
        <f t="shared" si="6"/>
        <v>59995000</v>
      </c>
      <c r="DE4" s="188">
        <f t="shared" si="6"/>
        <v>59995000</v>
      </c>
      <c r="DF4" s="188">
        <f t="shared" si="6"/>
        <v>59995000</v>
      </c>
      <c r="DG4" s="188">
        <f t="shared" si="6"/>
        <v>59995000</v>
      </c>
      <c r="DH4" s="188">
        <f t="shared" si="6"/>
        <v>59995000</v>
      </c>
      <c r="DI4" s="188">
        <f t="shared" si="6"/>
        <v>59995000</v>
      </c>
      <c r="DJ4" s="188">
        <f t="shared" si="6"/>
        <v>59995000</v>
      </c>
      <c r="DK4" s="188">
        <f t="shared" si="6"/>
        <v>59995000</v>
      </c>
      <c r="DL4" s="188">
        <f t="shared" si="6"/>
        <v>59995000</v>
      </c>
      <c r="DM4" s="188">
        <f t="shared" si="6"/>
        <v>59995000</v>
      </c>
      <c r="DN4" s="188">
        <f t="shared" si="6"/>
        <v>59995000</v>
      </c>
      <c r="DO4" s="188">
        <f t="shared" si="6"/>
        <v>59995000</v>
      </c>
      <c r="DP4" s="188">
        <f t="shared" si="6"/>
        <v>59995000</v>
      </c>
      <c r="DQ4" s="188">
        <f t="shared" si="6"/>
        <v>59995000</v>
      </c>
      <c r="DR4" s="188">
        <f t="shared" si="6"/>
        <v>59995000</v>
      </c>
      <c r="DS4" s="188">
        <f t="shared" si="6"/>
        <v>59995000</v>
      </c>
      <c r="DT4" s="188">
        <f t="shared" si="6"/>
        <v>59995000</v>
      </c>
      <c r="DU4" s="188">
        <f t="shared" si="6"/>
        <v>59995000</v>
      </c>
      <c r="DV4" s="188">
        <f t="shared" si="6"/>
        <v>59995000</v>
      </c>
      <c r="DW4" s="188">
        <f t="shared" si="6"/>
        <v>59995000</v>
      </c>
      <c r="DX4" s="188">
        <f t="shared" si="6"/>
        <v>59995000</v>
      </c>
      <c r="DY4" s="188">
        <f t="shared" si="6"/>
        <v>59995000</v>
      </c>
      <c r="DZ4" s="188">
        <f t="shared" si="6"/>
        <v>59995000</v>
      </c>
      <c r="EA4" s="188">
        <f t="shared" si="6"/>
        <v>59995000</v>
      </c>
      <c r="EB4" s="188">
        <f t="shared" si="6"/>
        <v>59995000</v>
      </c>
      <c r="EC4" s="188">
        <f t="shared" si="6"/>
        <v>59995000</v>
      </c>
      <c r="ED4" s="188">
        <f t="shared" si="6"/>
        <v>59995000</v>
      </c>
      <c r="EE4" s="188">
        <f t="shared" si="6"/>
        <v>59995000</v>
      </c>
      <c r="EF4" s="188">
        <f t="shared" si="6"/>
        <v>59995000</v>
      </c>
      <c r="EG4" s="188">
        <f t="shared" ref="EG4:GR4" si="7">EF4+EG3</f>
        <v>59995000</v>
      </c>
      <c r="EH4" s="188">
        <f t="shared" si="7"/>
        <v>59995000</v>
      </c>
      <c r="EI4" s="188">
        <f t="shared" si="7"/>
        <v>59995000</v>
      </c>
      <c r="EJ4" s="188">
        <f t="shared" si="7"/>
        <v>59995000</v>
      </c>
      <c r="EK4" s="188">
        <f t="shared" si="7"/>
        <v>59995000</v>
      </c>
      <c r="EL4" s="188">
        <f t="shared" si="7"/>
        <v>59995000</v>
      </c>
      <c r="EM4" s="188">
        <f t="shared" si="7"/>
        <v>59995000</v>
      </c>
      <c r="EN4" s="188">
        <f t="shared" si="7"/>
        <v>59995000</v>
      </c>
      <c r="EO4" s="188">
        <f t="shared" si="7"/>
        <v>59995000</v>
      </c>
      <c r="EP4" s="188">
        <f t="shared" si="7"/>
        <v>59995000</v>
      </c>
      <c r="EQ4" s="188">
        <f t="shared" si="7"/>
        <v>59995000</v>
      </c>
      <c r="ER4" s="188">
        <f t="shared" si="7"/>
        <v>59995000</v>
      </c>
      <c r="ES4" s="188">
        <f t="shared" si="7"/>
        <v>59995000</v>
      </c>
      <c r="ET4" s="188">
        <f t="shared" si="7"/>
        <v>59995000</v>
      </c>
      <c r="EU4" s="188">
        <f t="shared" si="7"/>
        <v>59995000</v>
      </c>
      <c r="EV4" s="188">
        <f t="shared" si="7"/>
        <v>59995000</v>
      </c>
      <c r="EW4" s="188">
        <f t="shared" si="7"/>
        <v>59995000</v>
      </c>
      <c r="EX4" s="188">
        <f t="shared" si="7"/>
        <v>59995000</v>
      </c>
      <c r="EY4" s="188">
        <f t="shared" si="7"/>
        <v>59995000</v>
      </c>
      <c r="EZ4" s="188">
        <f t="shared" si="7"/>
        <v>59995000</v>
      </c>
      <c r="FA4" s="188">
        <f t="shared" si="7"/>
        <v>59995000</v>
      </c>
      <c r="FB4" s="188">
        <f t="shared" si="7"/>
        <v>59995000</v>
      </c>
      <c r="FC4" s="188">
        <f t="shared" si="7"/>
        <v>59995000</v>
      </c>
      <c r="FD4" s="188">
        <f t="shared" si="7"/>
        <v>59995000</v>
      </c>
      <c r="FE4" s="188">
        <f t="shared" si="7"/>
        <v>59995000</v>
      </c>
      <c r="FF4" s="188">
        <f t="shared" si="7"/>
        <v>59995000</v>
      </c>
      <c r="FG4" s="188">
        <f t="shared" si="7"/>
        <v>59995000</v>
      </c>
      <c r="FH4" s="188">
        <f t="shared" si="7"/>
        <v>59995000</v>
      </c>
      <c r="FI4" s="188">
        <f t="shared" si="7"/>
        <v>59995000</v>
      </c>
      <c r="FJ4" s="188">
        <f t="shared" si="7"/>
        <v>59995000</v>
      </c>
      <c r="FK4" s="188">
        <f t="shared" si="7"/>
        <v>59995000</v>
      </c>
      <c r="FL4" s="188">
        <f t="shared" si="7"/>
        <v>59995000</v>
      </c>
      <c r="FM4" s="188">
        <f t="shared" si="7"/>
        <v>59995000</v>
      </c>
      <c r="FN4" s="188">
        <f t="shared" si="7"/>
        <v>59995000</v>
      </c>
      <c r="FO4" s="188">
        <f t="shared" si="7"/>
        <v>59995000</v>
      </c>
      <c r="FP4" s="188">
        <f t="shared" si="7"/>
        <v>59995000</v>
      </c>
      <c r="FQ4" s="188">
        <f t="shared" si="7"/>
        <v>59995000</v>
      </c>
      <c r="FR4" s="188">
        <f t="shared" si="7"/>
        <v>59995000</v>
      </c>
      <c r="FS4" s="188">
        <f t="shared" si="7"/>
        <v>59995000</v>
      </c>
      <c r="FT4" s="188">
        <f t="shared" si="7"/>
        <v>59995000</v>
      </c>
      <c r="FU4" s="188">
        <f t="shared" si="7"/>
        <v>59995000</v>
      </c>
      <c r="FV4" s="188">
        <f t="shared" si="7"/>
        <v>59995000</v>
      </c>
      <c r="FW4" s="188">
        <f t="shared" si="7"/>
        <v>59995000</v>
      </c>
      <c r="FX4" s="188">
        <f t="shared" si="7"/>
        <v>59995000</v>
      </c>
      <c r="FY4" s="188">
        <f t="shared" si="7"/>
        <v>59995000</v>
      </c>
      <c r="FZ4" s="188">
        <f t="shared" si="7"/>
        <v>59995000</v>
      </c>
      <c r="GA4" s="188">
        <f t="shared" si="7"/>
        <v>59995000</v>
      </c>
      <c r="GB4" s="188">
        <f t="shared" si="7"/>
        <v>59995000</v>
      </c>
      <c r="GC4" s="188">
        <f t="shared" si="7"/>
        <v>59995000</v>
      </c>
      <c r="GD4" s="188">
        <f t="shared" si="7"/>
        <v>59995000</v>
      </c>
      <c r="GE4" s="188">
        <f t="shared" si="7"/>
        <v>59995000</v>
      </c>
      <c r="GF4" s="188">
        <f t="shared" si="7"/>
        <v>59995000</v>
      </c>
      <c r="GG4" s="188">
        <f t="shared" si="7"/>
        <v>59995000</v>
      </c>
      <c r="GH4" s="188">
        <f t="shared" si="7"/>
        <v>59995000</v>
      </c>
      <c r="GI4" s="188">
        <f t="shared" si="7"/>
        <v>59995000</v>
      </c>
      <c r="GJ4" s="188">
        <f t="shared" si="7"/>
        <v>59995000</v>
      </c>
      <c r="GK4" s="188">
        <f t="shared" si="7"/>
        <v>59995000</v>
      </c>
      <c r="GL4" s="188">
        <f t="shared" si="7"/>
        <v>59995000</v>
      </c>
      <c r="GM4" s="188">
        <f t="shared" si="7"/>
        <v>59995000</v>
      </c>
      <c r="GN4" s="188">
        <f t="shared" si="7"/>
        <v>59995000</v>
      </c>
      <c r="GO4" s="188">
        <f t="shared" si="7"/>
        <v>59995000</v>
      </c>
      <c r="GP4" s="188">
        <f t="shared" si="7"/>
        <v>59995000</v>
      </c>
      <c r="GQ4" s="188">
        <f t="shared" si="7"/>
        <v>59995000</v>
      </c>
      <c r="GR4" s="188">
        <f t="shared" si="7"/>
        <v>59995000</v>
      </c>
      <c r="GS4" s="188">
        <f t="shared" ref="GS4:JD4" si="8">GR4+GS3</f>
        <v>59995000</v>
      </c>
      <c r="GT4" s="188">
        <f t="shared" si="8"/>
        <v>59995000</v>
      </c>
      <c r="GU4" s="188">
        <f t="shared" si="8"/>
        <v>59995000</v>
      </c>
      <c r="GV4" s="188">
        <f t="shared" si="8"/>
        <v>59995000</v>
      </c>
      <c r="GW4" s="188">
        <f t="shared" si="8"/>
        <v>59995000</v>
      </c>
      <c r="GX4" s="188">
        <f t="shared" si="8"/>
        <v>59995000</v>
      </c>
      <c r="GY4" s="188">
        <f t="shared" si="8"/>
        <v>59995000</v>
      </c>
      <c r="GZ4" s="188">
        <f t="shared" si="8"/>
        <v>59995000</v>
      </c>
      <c r="HA4" s="188">
        <f t="shared" si="8"/>
        <v>59995000</v>
      </c>
      <c r="HB4" s="188">
        <f t="shared" si="8"/>
        <v>59995000</v>
      </c>
      <c r="HC4" s="188">
        <f t="shared" si="8"/>
        <v>59995000</v>
      </c>
      <c r="HD4" s="188">
        <f t="shared" si="8"/>
        <v>59995000</v>
      </c>
      <c r="HE4" s="188">
        <f t="shared" si="8"/>
        <v>59995000</v>
      </c>
      <c r="HF4" s="188">
        <f t="shared" si="8"/>
        <v>59995000</v>
      </c>
      <c r="HG4" s="188">
        <f t="shared" si="8"/>
        <v>59995000</v>
      </c>
      <c r="HH4" s="188">
        <f t="shared" si="8"/>
        <v>59995000</v>
      </c>
      <c r="HI4" s="188">
        <f t="shared" si="8"/>
        <v>59995000</v>
      </c>
      <c r="HJ4" s="188">
        <f t="shared" si="8"/>
        <v>59995000</v>
      </c>
      <c r="HK4" s="188">
        <f t="shared" si="8"/>
        <v>59995000</v>
      </c>
      <c r="HL4" s="188">
        <f t="shared" si="8"/>
        <v>59995000</v>
      </c>
      <c r="HM4" s="188">
        <f t="shared" si="8"/>
        <v>59995000</v>
      </c>
      <c r="HN4" s="188">
        <f t="shared" si="8"/>
        <v>59995000</v>
      </c>
      <c r="HO4" s="188">
        <f t="shared" si="8"/>
        <v>59995000</v>
      </c>
      <c r="HP4" s="188">
        <f t="shared" si="8"/>
        <v>59995000</v>
      </c>
      <c r="HQ4" s="188">
        <f t="shared" si="8"/>
        <v>59995000</v>
      </c>
      <c r="HR4" s="188">
        <f t="shared" si="8"/>
        <v>59995000</v>
      </c>
      <c r="HS4" s="188">
        <f t="shared" si="8"/>
        <v>59995000</v>
      </c>
      <c r="HT4" s="188">
        <f t="shared" si="8"/>
        <v>59995000</v>
      </c>
      <c r="HU4" s="188">
        <f t="shared" si="8"/>
        <v>59995000</v>
      </c>
      <c r="HV4" s="188">
        <f t="shared" si="8"/>
        <v>59995000</v>
      </c>
      <c r="HW4" s="188">
        <f t="shared" si="8"/>
        <v>59995000</v>
      </c>
      <c r="HX4" s="188">
        <f t="shared" si="8"/>
        <v>59995000</v>
      </c>
      <c r="HY4" s="188">
        <f t="shared" si="8"/>
        <v>59995000</v>
      </c>
      <c r="HZ4" s="188">
        <f t="shared" si="8"/>
        <v>59995000</v>
      </c>
      <c r="IA4" s="188">
        <f t="shared" si="8"/>
        <v>59995000</v>
      </c>
      <c r="IB4" s="188">
        <f t="shared" si="8"/>
        <v>59995000</v>
      </c>
      <c r="IC4" s="188">
        <f t="shared" si="8"/>
        <v>59995000</v>
      </c>
      <c r="ID4" s="188">
        <f t="shared" si="8"/>
        <v>59995000</v>
      </c>
      <c r="IE4" s="188">
        <f t="shared" si="8"/>
        <v>59995000</v>
      </c>
      <c r="IF4" s="188">
        <f t="shared" si="8"/>
        <v>59995000</v>
      </c>
      <c r="IG4" s="188">
        <f t="shared" si="8"/>
        <v>59995000</v>
      </c>
      <c r="IH4" s="188">
        <f t="shared" si="8"/>
        <v>59995000</v>
      </c>
      <c r="II4" s="188">
        <f t="shared" si="8"/>
        <v>59995000</v>
      </c>
      <c r="IJ4" s="188">
        <f t="shared" si="8"/>
        <v>59995000</v>
      </c>
      <c r="IK4" s="188">
        <f t="shared" si="8"/>
        <v>59995000</v>
      </c>
      <c r="IL4" s="188">
        <f t="shared" si="8"/>
        <v>59995000</v>
      </c>
      <c r="IM4" s="188">
        <f t="shared" si="8"/>
        <v>59995000</v>
      </c>
      <c r="IN4" s="188">
        <f t="shared" si="8"/>
        <v>59995000</v>
      </c>
      <c r="IO4" s="188">
        <f t="shared" si="8"/>
        <v>59995000</v>
      </c>
      <c r="IP4" s="188">
        <f t="shared" si="8"/>
        <v>59995000</v>
      </c>
      <c r="IQ4" s="188">
        <f t="shared" si="8"/>
        <v>59995000</v>
      </c>
      <c r="IR4" s="188">
        <f t="shared" si="8"/>
        <v>59995000</v>
      </c>
      <c r="IS4" s="188">
        <f t="shared" si="8"/>
        <v>59995000</v>
      </c>
      <c r="IT4" s="188">
        <f t="shared" si="8"/>
        <v>59995000</v>
      </c>
      <c r="IU4" s="188">
        <f t="shared" si="8"/>
        <v>59995000</v>
      </c>
      <c r="IV4" s="188">
        <f t="shared" si="8"/>
        <v>59995000</v>
      </c>
      <c r="IW4" s="188">
        <f t="shared" si="8"/>
        <v>59995000</v>
      </c>
      <c r="IX4" s="188">
        <f t="shared" si="8"/>
        <v>59995000</v>
      </c>
      <c r="IY4" s="188">
        <f t="shared" si="8"/>
        <v>59995000</v>
      </c>
      <c r="IZ4" s="188">
        <f t="shared" si="8"/>
        <v>59995000</v>
      </c>
      <c r="JA4" s="188">
        <f t="shared" si="8"/>
        <v>59995000</v>
      </c>
      <c r="JB4" s="188">
        <f t="shared" si="8"/>
        <v>59995000</v>
      </c>
      <c r="JC4" s="188">
        <f t="shared" si="8"/>
        <v>59995000</v>
      </c>
      <c r="JD4" s="188">
        <f t="shared" si="8"/>
        <v>59995000</v>
      </c>
      <c r="JE4" s="188">
        <f t="shared" ref="JE4:LD4" si="9">JD4+JE3</f>
        <v>59995000</v>
      </c>
      <c r="JF4" s="188">
        <f t="shared" si="9"/>
        <v>59995000</v>
      </c>
      <c r="JG4" s="188">
        <f t="shared" si="9"/>
        <v>59995000</v>
      </c>
      <c r="JH4" s="188">
        <f t="shared" si="9"/>
        <v>59995000</v>
      </c>
      <c r="JI4" s="188">
        <f t="shared" si="9"/>
        <v>59995000</v>
      </c>
      <c r="JJ4" s="188">
        <f t="shared" si="9"/>
        <v>59995000</v>
      </c>
      <c r="JK4" s="188">
        <f t="shared" si="9"/>
        <v>59995000</v>
      </c>
      <c r="JL4" s="188">
        <f t="shared" si="9"/>
        <v>59995000</v>
      </c>
      <c r="JM4" s="188">
        <f t="shared" si="9"/>
        <v>59995000</v>
      </c>
      <c r="JN4" s="188">
        <f t="shared" si="9"/>
        <v>59995000</v>
      </c>
      <c r="JO4" s="188">
        <f t="shared" si="9"/>
        <v>59995000</v>
      </c>
      <c r="JP4" s="188">
        <f t="shared" si="9"/>
        <v>59995000</v>
      </c>
      <c r="JQ4" s="188">
        <f t="shared" si="9"/>
        <v>59995000</v>
      </c>
      <c r="JR4" s="188">
        <f t="shared" si="9"/>
        <v>59995000</v>
      </c>
      <c r="JS4" s="188">
        <f t="shared" si="9"/>
        <v>59995000</v>
      </c>
      <c r="JT4" s="188">
        <f t="shared" si="9"/>
        <v>59995000</v>
      </c>
      <c r="JU4" s="188">
        <f t="shared" si="9"/>
        <v>59995000</v>
      </c>
      <c r="JV4" s="188">
        <f t="shared" si="9"/>
        <v>59995000</v>
      </c>
      <c r="JW4" s="188">
        <f t="shared" si="9"/>
        <v>59995000</v>
      </c>
      <c r="JX4" s="188">
        <f t="shared" si="9"/>
        <v>59995000</v>
      </c>
      <c r="JY4" s="188">
        <f t="shared" si="9"/>
        <v>59995000</v>
      </c>
      <c r="JZ4" s="188">
        <f t="shared" si="9"/>
        <v>59995000</v>
      </c>
      <c r="KA4" s="188">
        <f t="shared" si="9"/>
        <v>59995000</v>
      </c>
      <c r="KB4" s="188">
        <f t="shared" si="9"/>
        <v>59995000</v>
      </c>
      <c r="KC4" s="188">
        <f t="shared" si="9"/>
        <v>59995000</v>
      </c>
      <c r="KD4" s="188">
        <f t="shared" si="9"/>
        <v>59995000</v>
      </c>
      <c r="KE4" s="188">
        <f t="shared" si="9"/>
        <v>59995000</v>
      </c>
      <c r="KF4" s="188">
        <f t="shared" si="9"/>
        <v>59995000</v>
      </c>
      <c r="KG4" s="188">
        <f t="shared" si="9"/>
        <v>59995000</v>
      </c>
      <c r="KH4" s="188">
        <f t="shared" si="9"/>
        <v>59995000</v>
      </c>
      <c r="KI4" s="188">
        <f t="shared" si="9"/>
        <v>59995000</v>
      </c>
      <c r="KJ4" s="188">
        <f t="shared" si="9"/>
        <v>59995000</v>
      </c>
      <c r="KK4" s="188">
        <f t="shared" si="9"/>
        <v>59995000</v>
      </c>
      <c r="KL4" s="188">
        <f t="shared" si="9"/>
        <v>59995000</v>
      </c>
      <c r="KM4" s="188">
        <f t="shared" si="9"/>
        <v>59995000</v>
      </c>
      <c r="KN4" s="188">
        <f t="shared" si="9"/>
        <v>59995000</v>
      </c>
      <c r="KO4" s="188">
        <f t="shared" si="9"/>
        <v>59995000</v>
      </c>
      <c r="KP4" s="188">
        <f t="shared" si="9"/>
        <v>59995000</v>
      </c>
      <c r="KQ4" s="188">
        <f t="shared" si="9"/>
        <v>59995000</v>
      </c>
      <c r="KR4" s="188">
        <f t="shared" si="9"/>
        <v>59995000</v>
      </c>
      <c r="KS4" s="188">
        <f t="shared" si="9"/>
        <v>59995000</v>
      </c>
      <c r="KT4" s="188">
        <f t="shared" si="9"/>
        <v>59995000</v>
      </c>
      <c r="KU4" s="188">
        <f t="shared" si="9"/>
        <v>59995000</v>
      </c>
      <c r="KV4" s="188">
        <f t="shared" si="9"/>
        <v>59995000</v>
      </c>
      <c r="KW4" s="188">
        <f t="shared" si="9"/>
        <v>59995000</v>
      </c>
      <c r="KX4" s="188">
        <f t="shared" si="9"/>
        <v>59995000</v>
      </c>
      <c r="KY4" s="188">
        <f t="shared" si="9"/>
        <v>59995000</v>
      </c>
      <c r="KZ4" s="188">
        <f t="shared" si="9"/>
        <v>59995000</v>
      </c>
      <c r="LA4" s="188">
        <f t="shared" si="9"/>
        <v>59995000</v>
      </c>
      <c r="LB4" s="188">
        <f t="shared" si="9"/>
        <v>59995000</v>
      </c>
      <c r="LC4" s="188">
        <f t="shared" si="9"/>
        <v>59995000</v>
      </c>
      <c r="LD4" s="188">
        <f t="shared" si="9"/>
        <v>59995000</v>
      </c>
    </row>
    <row r="5" spans="1:794" s="193" customFormat="1">
      <c r="A5" s="930"/>
      <c r="B5" s="189" t="s">
        <v>75</v>
      </c>
      <c r="C5" s="190">
        <f>'Revenue Tracking'!D5</f>
        <v>56096452.079139791</v>
      </c>
      <c r="D5" s="190">
        <f>SUM(F5:LD5)</f>
        <v>56096452.079139791</v>
      </c>
      <c r="E5" s="187"/>
      <c r="F5" s="191">
        <f>SUMIFS('Expenditure Breakdown'!$G$6:$G$368, 'Expenditure Breakdown'!$H$6:$H$368, "&gt;="&amp;F1,'Expenditure Breakdown'!$H$6:$H$368, "&lt;"&amp;G1)</f>
        <v>0</v>
      </c>
      <c r="G5" s="191">
        <f>SUMIFS('Expenditure Breakdown'!$G$6:$G$368, 'Expenditure Breakdown'!$H$6:$H$368, "&gt;="&amp;G1,'Expenditure Breakdown'!$H$6:$H$368, "&lt;"&amp;H1)</f>
        <v>0</v>
      </c>
      <c r="H5" s="191">
        <f>SUMIFS('Expenditure Breakdown'!$G$6:$G$368, 'Expenditure Breakdown'!$H$6:$H$368, "&gt;="&amp;H1,'Expenditure Breakdown'!$H$6:$H$368, "&lt;"&amp;I1)</f>
        <v>0</v>
      </c>
      <c r="I5" s="191">
        <f>SUMIFS('Expenditure Breakdown'!$G$6:$G$368, 'Expenditure Breakdown'!$H$6:$H$368, "&gt;="&amp;I1,'Expenditure Breakdown'!$H$6:$H$368, "&lt;"&amp;J1)</f>
        <v>0</v>
      </c>
      <c r="J5" s="191">
        <f>SUMIFS('Expenditure Breakdown'!$G$6:$G$368, 'Expenditure Breakdown'!$H$6:$H$368, "&gt;="&amp;J1,'Expenditure Breakdown'!$H$6:$H$368, "&lt;"&amp;K1)</f>
        <v>0</v>
      </c>
      <c r="K5" s="191">
        <f>SUMIFS('Expenditure Breakdown'!$G$6:$G$368, 'Expenditure Breakdown'!$H$6:$H$368, "&gt;="&amp;K1,'Expenditure Breakdown'!$H$6:$H$368, "&lt;"&amp;L1)</f>
        <v>0</v>
      </c>
      <c r="L5" s="191">
        <f>SUMIFS('Expenditure Breakdown'!$G$6:$G$368, 'Expenditure Breakdown'!$H$6:$H$368, "&gt;="&amp;L1,'Expenditure Breakdown'!$H$6:$H$368, "&lt;"&amp;M1)</f>
        <v>0</v>
      </c>
      <c r="M5" s="191">
        <f>SUMIFS('Expenditure Breakdown'!$G$6:$G$368, 'Expenditure Breakdown'!$H$6:$H$368, "&gt;="&amp;M1,'Expenditure Breakdown'!$H$6:$H$368, "&lt;"&amp;N1)</f>
        <v>0</v>
      </c>
      <c r="N5" s="191">
        <f>SUMIFS('Expenditure Breakdown'!$G$6:$G$368, 'Expenditure Breakdown'!$H$6:$H$368, "&gt;="&amp;N1,'Expenditure Breakdown'!$H$6:$H$368, "&lt;"&amp;O1)</f>
        <v>0</v>
      </c>
      <c r="O5" s="191">
        <f>SUMIFS('Expenditure Breakdown'!$G$6:$G$368, 'Expenditure Breakdown'!$H$6:$H$368, "&gt;="&amp;O1,'Expenditure Breakdown'!$H$6:$H$368, "&lt;"&amp;P1)</f>
        <v>0</v>
      </c>
      <c r="P5" s="191">
        <f>SUMIFS('Expenditure Breakdown'!$G$6:$G$368, 'Expenditure Breakdown'!$H$6:$H$368, "&gt;="&amp;P1,'Expenditure Breakdown'!$H$6:$H$368, "&lt;"&amp;Q1)</f>
        <v>0</v>
      </c>
      <c r="Q5" s="191">
        <f>SUMIFS('Expenditure Breakdown'!$G$6:$G$368, 'Expenditure Breakdown'!$H$6:$H$368, "&gt;="&amp;Q1,'Expenditure Breakdown'!$H$6:$H$368, "&lt;"&amp;R1)</f>
        <v>0</v>
      </c>
      <c r="R5" s="191">
        <f>SUMIFS('Expenditure Breakdown'!$G$6:$G$368, 'Expenditure Breakdown'!$H$6:$H$368, "&gt;="&amp;R1,'Expenditure Breakdown'!$H$6:$H$368, "&lt;"&amp;S1)</f>
        <v>0</v>
      </c>
      <c r="S5" s="191">
        <f>SUMIFS('Expenditure Breakdown'!$G$6:$G$368, 'Expenditure Breakdown'!$H$6:$H$368, "&gt;="&amp;S1,'Expenditure Breakdown'!$H$6:$H$368, "&lt;"&amp;T1)</f>
        <v>0</v>
      </c>
      <c r="T5" s="191">
        <f>SUMIFS('Expenditure Breakdown'!$G$6:$G$368, 'Expenditure Breakdown'!$H$6:$H$368, "&gt;="&amp;T1,'Expenditure Breakdown'!$H$6:$H$368, "&lt;"&amp;U1)</f>
        <v>0</v>
      </c>
      <c r="U5" s="191">
        <f>SUMIFS('Expenditure Breakdown'!$G$6:$G$368, 'Expenditure Breakdown'!$H$6:$H$368, "&gt;="&amp;U1,'Expenditure Breakdown'!$H$6:$H$368, "&lt;"&amp;V1)</f>
        <v>0</v>
      </c>
      <c r="V5" s="191">
        <f>SUMIFS('Expenditure Breakdown'!$G$6:$G$368, 'Expenditure Breakdown'!$H$6:$H$368, "&gt;="&amp;V1,'Expenditure Breakdown'!$H$6:$H$368, "&lt;"&amp;W1)</f>
        <v>0</v>
      </c>
      <c r="W5" s="191">
        <f>SUMIFS('Expenditure Breakdown'!$G$6:$G$368, 'Expenditure Breakdown'!$H$6:$H$368, "&gt;="&amp;W1,'Expenditure Breakdown'!$H$6:$H$368, "&lt;"&amp;X1)</f>
        <v>0</v>
      </c>
      <c r="X5" s="191">
        <f>SUMIFS('Expenditure Breakdown'!$G$6:$G$368, 'Expenditure Breakdown'!$H$6:$H$368, "&gt;="&amp;X1,'Expenditure Breakdown'!$H$6:$H$368, "&lt;"&amp;Y1)</f>
        <v>0</v>
      </c>
      <c r="Y5" s="191">
        <f>SUMIFS('Expenditure Breakdown'!$G$6:$G$368, 'Expenditure Breakdown'!$H$6:$H$368, "&gt;="&amp;Y1,'Expenditure Breakdown'!$H$6:$H$368, "&lt;"&amp;Z1)</f>
        <v>0</v>
      </c>
      <c r="Z5" s="191">
        <f>SUMIFS('Expenditure Breakdown'!$G$6:$G$368, 'Expenditure Breakdown'!$H$6:$H$368, "&gt;="&amp;Z1,'Expenditure Breakdown'!$H$6:$H$368, "&lt;"&amp;AA1)</f>
        <v>2760000</v>
      </c>
      <c r="AA5" s="191">
        <f>SUMIFS('Expenditure Breakdown'!$G$6:$G$368, 'Expenditure Breakdown'!$H$6:$H$368, "&gt;="&amp;AA1,'Expenditure Breakdown'!$H$6:$H$368, "&lt;"&amp;AB1)</f>
        <v>14537831.300000001</v>
      </c>
      <c r="AB5" s="191">
        <f>SUMIFS('Expenditure Breakdown'!$G$6:$G$368, 'Expenditure Breakdown'!$H$6:$H$368, "&gt;="&amp;AB1,'Expenditure Breakdown'!$H$6:$H$368, "&lt;"&amp;AC1)</f>
        <v>4360411.2369999997</v>
      </c>
      <c r="AC5" s="191">
        <f>SUMIFS('Expenditure Breakdown'!$G$6:$G$368, 'Expenditure Breakdown'!$H$6:$H$368, "&gt;="&amp;AC1,'Expenditure Breakdown'!$H$6:$H$368, "&lt;"&amp;AD1)</f>
        <v>120000</v>
      </c>
      <c r="AD5" s="191">
        <f>SUMIFS('Expenditure Breakdown'!$G$6:$G$368, 'Expenditure Breakdown'!$H$6:$H$368, "&gt;="&amp;AD1,'Expenditure Breakdown'!$H$6:$H$368, "&lt;"&amp;AE1)</f>
        <v>0</v>
      </c>
      <c r="AE5" s="191">
        <f>SUMIFS('Expenditure Breakdown'!$G$6:$G$368, 'Expenditure Breakdown'!$H$6:$H$368, "&gt;="&amp;AE1,'Expenditure Breakdown'!$H$6:$H$368, "&lt;"&amp;AF1)</f>
        <v>0</v>
      </c>
      <c r="AF5" s="191">
        <f>SUMIFS('Expenditure Breakdown'!$G$6:$G$368, 'Expenditure Breakdown'!$H$6:$H$368, "&gt;="&amp;AF1,'Expenditure Breakdown'!$H$6:$H$368, "&lt;"&amp;AG1)</f>
        <v>34000</v>
      </c>
      <c r="AG5" s="191">
        <f>SUMIFS('Expenditure Breakdown'!$G$6:$G$368, 'Expenditure Breakdown'!$H$6:$H$368, "&gt;="&amp;AG1,'Expenditure Breakdown'!$H$6:$H$368, "&lt;"&amp;AH1)</f>
        <v>7358785.9097348731</v>
      </c>
      <c r="AH5" s="191">
        <f>SUMIFS('Expenditure Breakdown'!$G$6:$G$368, 'Expenditure Breakdown'!$H$6:$H$368, "&gt;="&amp;AH1,'Expenditure Breakdown'!$H$6:$H$368, "&lt;"&amp;AI1)</f>
        <v>0</v>
      </c>
      <c r="AI5" s="191">
        <f>SUMIFS('Expenditure Breakdown'!$G$6:$G$368, 'Expenditure Breakdown'!$H$6:$H$368, "&gt;="&amp;AI1,'Expenditure Breakdown'!$H$6:$H$368, "&lt;"&amp;AJ1)</f>
        <v>0</v>
      </c>
      <c r="AJ5" s="191">
        <f>SUMIFS('Expenditure Breakdown'!$G$6:$G$368, 'Expenditure Breakdown'!$H$6:$H$368, "&gt;="&amp;AJ1,'Expenditure Breakdown'!$H$6:$H$368, "&lt;"&amp;AK1)</f>
        <v>0</v>
      </c>
      <c r="AK5" s="191">
        <f>SUMIFS('Expenditure Breakdown'!$G$6:$G$368, 'Expenditure Breakdown'!$H$6:$H$368, "&gt;="&amp;AK1,'Expenditure Breakdown'!$H$6:$H$368, "&lt;"&amp;AL1)</f>
        <v>2045000</v>
      </c>
      <c r="AL5" s="191">
        <f>SUMIFS('Expenditure Breakdown'!$G$6:$G$368, 'Expenditure Breakdown'!$H$6:$H$368, "&gt;="&amp;AL1,'Expenditure Breakdown'!$H$6:$H$368, "&lt;"&amp;AM1)</f>
        <v>10999808.9</v>
      </c>
      <c r="AM5" s="191">
        <f>SUMIFS('Expenditure Breakdown'!$G$6:$G$368, 'Expenditure Breakdown'!$H$6:$H$368, "&gt;="&amp;AM1,'Expenditure Breakdown'!$H$6:$H$368, "&lt;"&amp;AN1)</f>
        <v>0</v>
      </c>
      <c r="AN5" s="191">
        <f>SUMIFS('Expenditure Breakdown'!$G$6:$G$368, 'Expenditure Breakdown'!$H$6:$H$368, "&gt;="&amp;AN1,'Expenditure Breakdown'!$H$6:$H$368, "&lt;"&amp;AO1)</f>
        <v>0</v>
      </c>
      <c r="AO5" s="191">
        <f>SUMIFS('Expenditure Breakdown'!$G$6:$G$368, 'Expenditure Breakdown'!$H$6:$H$368, "&gt;="&amp;AO1,'Expenditure Breakdown'!$H$6:$H$368, "&lt;"&amp;AP1)</f>
        <v>394304.23333333328</v>
      </c>
      <c r="AP5" s="191">
        <f>SUMIFS('Expenditure Breakdown'!$G$6:$G$368, 'Expenditure Breakdown'!$H$6:$H$368, "&gt;="&amp;AP1,'Expenditure Breakdown'!$H$6:$H$368, "&lt;"&amp;AQ1)</f>
        <v>0</v>
      </c>
      <c r="AQ5" s="191">
        <f>SUMIFS('Expenditure Breakdown'!$G$6:$G$368, 'Expenditure Breakdown'!$H$6:$H$368, "&gt;="&amp;AQ1,'Expenditure Breakdown'!$H$6:$H$368, "&lt;"&amp;AR1)</f>
        <v>0</v>
      </c>
      <c r="AR5" s="191">
        <f>SUMIFS('Expenditure Breakdown'!$G$6:$G$368, 'Expenditure Breakdown'!$H$6:$H$368, "&gt;="&amp;AR1,'Expenditure Breakdown'!$H$6:$H$368, "&lt;"&amp;AS1)</f>
        <v>12030860.6085</v>
      </c>
      <c r="AS5" s="191">
        <f>SUMIFS('Expenditure Breakdown'!$G$6:$G$368, 'Expenditure Breakdown'!$H$6:$H$368, "&gt;="&amp;AS1,'Expenditure Breakdown'!$H$6:$H$368, "&lt;"&amp;AT1)</f>
        <v>0</v>
      </c>
      <c r="AT5" s="191">
        <f>SUMIFS('Expenditure Breakdown'!$G$6:$G$368, 'Expenditure Breakdown'!$H$6:$H$368, "&gt;="&amp;AT1,'Expenditure Breakdown'!$H$6:$H$368, "&lt;"&amp;AU1)</f>
        <v>0</v>
      </c>
      <c r="AU5" s="191">
        <f>SUMIFS('Expenditure Breakdown'!$G$6:$G$368, 'Expenditure Breakdown'!$H$6:$H$368, "&gt;="&amp;AU1,'Expenditure Breakdown'!$H$6:$H$368, "&lt;"&amp;AV1)</f>
        <v>0</v>
      </c>
      <c r="AV5" s="191">
        <f>SUMIFS('Expenditure Breakdown'!$G$6:$G$368, 'Expenditure Breakdown'!$H$6:$H$368, "&gt;="&amp;AV1,'Expenditure Breakdown'!$H$6:$H$368, "&lt;"&amp;AW1)</f>
        <v>0</v>
      </c>
      <c r="AW5" s="191">
        <f>SUMIFS('Expenditure Breakdown'!$G$6:$G$368, 'Expenditure Breakdown'!$H$6:$H$368, "&gt;="&amp;AW1,'Expenditure Breakdown'!$H$6:$H$368, "&lt;"&amp;AX1)</f>
        <v>0</v>
      </c>
      <c r="AX5" s="191">
        <f>SUMIFS('Expenditure Breakdown'!$G$6:$G$368, 'Expenditure Breakdown'!$H$6:$H$368, "&gt;="&amp;AX1,'Expenditure Breakdown'!$H$6:$H$368, "&lt;"&amp;AY1)</f>
        <v>505449.89057158865</v>
      </c>
      <c r="AY5" s="191">
        <f>SUMIFS('Expenditure Breakdown'!$G$6:$G$368, 'Expenditure Breakdown'!$H$6:$H$368, "&gt;="&amp;AY1,'Expenditure Breakdown'!$H$6:$H$368, "&lt;"&amp;AZ1)</f>
        <v>0</v>
      </c>
      <c r="AZ5" s="191">
        <f>SUMIFS('Expenditure Breakdown'!$G$6:$G$368, 'Expenditure Breakdown'!$H$6:$H$368, "&gt;="&amp;AZ1,'Expenditure Breakdown'!$H$6:$H$368, "&lt;"&amp;BA1)</f>
        <v>0</v>
      </c>
      <c r="BA5" s="191">
        <f>SUMIFS('Expenditure Breakdown'!$G$6:$G$368, 'Expenditure Breakdown'!$H$6:$H$368, "&gt;="&amp;BA1,'Expenditure Breakdown'!$H$6:$H$368, "&lt;"&amp;BB1)</f>
        <v>0</v>
      </c>
      <c r="BB5" s="191">
        <f>SUMIFS('Expenditure Breakdown'!$G$6:$G$368, 'Expenditure Breakdown'!$H$6:$H$368, "&gt;="&amp;BB1,'Expenditure Breakdown'!$H$6:$H$368, "&lt;"&amp;BC1)</f>
        <v>0</v>
      </c>
      <c r="BC5" s="191">
        <f>SUMIFS('Expenditure Breakdown'!$G$6:$G$368, 'Expenditure Breakdown'!$H$6:$H$368, "&gt;="&amp;BC1,'Expenditure Breakdown'!$H$6:$H$368, "&lt;"&amp;BD1)</f>
        <v>950000</v>
      </c>
      <c r="BD5" s="191">
        <f>SUMIFS('Expenditure Breakdown'!$G$6:$G$368, 'Expenditure Breakdown'!$H$6:$H$368, "&gt;="&amp;BD1,'Expenditure Breakdown'!$H$6:$H$368, "&lt;"&amp;BE1)</f>
        <v>0</v>
      </c>
      <c r="BE5" s="191">
        <f>SUMIFS('Expenditure Breakdown'!$G$6:$G$368, 'Expenditure Breakdown'!$H$6:$H$368, "&gt;="&amp;BE1,'Expenditure Breakdown'!$H$6:$H$368, "&lt;"&amp;BF1)</f>
        <v>0</v>
      </c>
      <c r="BF5" s="191">
        <f>SUMIFS('Expenditure Breakdown'!$G$6:$G$368, 'Expenditure Breakdown'!$H$6:$H$368, "&gt;="&amp;BF1,'Expenditure Breakdown'!$H$6:$H$368, "&lt;"&amp;BG1)</f>
        <v>0</v>
      </c>
      <c r="BG5" s="191">
        <f>SUMIFS('Expenditure Breakdown'!$G$6:$G$368, 'Expenditure Breakdown'!$H$6:$H$368, "&gt;="&amp;BG1,'Expenditure Breakdown'!$H$6:$H$368, "&lt;"&amp;BH1)</f>
        <v>0</v>
      </c>
      <c r="BH5" s="191">
        <f>SUMIFS('Expenditure Breakdown'!$G$6:$G$368, 'Expenditure Breakdown'!$H$6:$H$368, "&gt;="&amp;BH1,'Expenditure Breakdown'!$H$6:$H$368, "&lt;"&amp;BI1)</f>
        <v>0</v>
      </c>
      <c r="BI5" s="191">
        <f>SUMIFS('Expenditure Breakdown'!$G$6:$G$368, 'Expenditure Breakdown'!$H$6:$H$368, "&gt;="&amp;BI1,'Expenditure Breakdown'!$H$6:$H$368, "&lt;"&amp;BJ1)</f>
        <v>0</v>
      </c>
      <c r="BJ5" s="191">
        <f>SUMIFS('Expenditure Breakdown'!$G$6:$G$368, 'Expenditure Breakdown'!$H$6:$H$368, "&gt;="&amp;BJ1,'Expenditure Breakdown'!$H$6:$H$368, "&lt;"&amp;BK1)</f>
        <v>0</v>
      </c>
      <c r="BK5" s="191">
        <f>SUMIFS('Expenditure Breakdown'!$G$6:$G$368, 'Expenditure Breakdown'!$H$6:$H$368, "&gt;="&amp;BK1,'Expenditure Breakdown'!$H$6:$H$368, "&lt;"&amp;BL1)</f>
        <v>0</v>
      </c>
      <c r="BL5" s="191">
        <f>SUMIFS('Expenditure Breakdown'!$G$6:$G$368, 'Expenditure Breakdown'!$H$6:$H$368, "&gt;="&amp;BL1,'Expenditure Breakdown'!$H$6:$H$368, "&lt;"&amp;BM1)</f>
        <v>0</v>
      </c>
      <c r="BM5" s="191">
        <f>SUMIFS('Expenditure Breakdown'!$G$6:$G$368, 'Expenditure Breakdown'!$H$6:$H$368, "&gt;="&amp;BM1,'Expenditure Breakdown'!$H$6:$H$368, "&lt;"&amp;BN1)</f>
        <v>0</v>
      </c>
      <c r="BN5" s="191">
        <f>SUMIFS('Expenditure Breakdown'!$G$6:$G$368, 'Expenditure Breakdown'!$H$6:$H$368, "&gt;="&amp;BN1,'Expenditure Breakdown'!$H$6:$H$368, "&lt;"&amp;BO1)</f>
        <v>0</v>
      </c>
      <c r="BO5" s="191">
        <f>SUMIFS('Expenditure Breakdown'!$G$6:$G$368, 'Expenditure Breakdown'!$H$6:$H$368, "&gt;="&amp;BO1,'Expenditure Breakdown'!$H$6:$H$368, "&lt;"&amp;BP1)</f>
        <v>0</v>
      </c>
      <c r="BP5" s="191">
        <f>SUMIFS('Expenditure Breakdown'!$G$6:$G$368, 'Expenditure Breakdown'!$H$6:$H$368, "&gt;="&amp;BP1,'Expenditure Breakdown'!$H$6:$H$368, "&lt;"&amp;BQ1)</f>
        <v>0</v>
      </c>
      <c r="BQ5" s="191">
        <f>SUMIFS('Expenditure Breakdown'!$G$6:$G$368, 'Expenditure Breakdown'!$H$6:$H$368, "&gt;="&amp;BQ1,'Expenditure Breakdown'!$H$6:$H$368, "&lt;"&amp;BR1)</f>
        <v>0</v>
      </c>
      <c r="BR5" s="191">
        <f>SUMIFS('Expenditure Breakdown'!$G$6:$G$368, 'Expenditure Breakdown'!$H$6:$H$368, "&gt;="&amp;BR1,'Expenditure Breakdown'!$H$6:$H$368, "&lt;"&amp;BS1)</f>
        <v>0</v>
      </c>
      <c r="BS5" s="191">
        <f>SUMIFS('Expenditure Breakdown'!$G$6:$G$368, 'Expenditure Breakdown'!$H$6:$H$368, "&gt;="&amp;BS1,'Expenditure Breakdown'!$H$6:$H$368, "&lt;"&amp;BT1)</f>
        <v>0</v>
      </c>
      <c r="BT5" s="191">
        <f>SUMIFS('Expenditure Breakdown'!$G$6:$G$368, 'Expenditure Breakdown'!$H$6:$H$368, "&gt;="&amp;BT1,'Expenditure Breakdown'!$H$6:$H$368, "&lt;"&amp;BU1)</f>
        <v>0</v>
      </c>
      <c r="BU5" s="191">
        <f>SUMIFS('Expenditure Breakdown'!$G$6:$G$368, 'Expenditure Breakdown'!$H$6:$H$368, "&gt;="&amp;BU1,'Expenditure Breakdown'!$H$6:$H$368, "&lt;"&amp;BV1)</f>
        <v>0</v>
      </c>
      <c r="BV5" s="191">
        <f>SUMIFS('Expenditure Breakdown'!$G$6:$G$368, 'Expenditure Breakdown'!$H$6:$H$368, "&gt;="&amp;BV1,'Expenditure Breakdown'!$H$6:$H$368, "&lt;"&amp;BW1)</f>
        <v>0</v>
      </c>
      <c r="BW5" s="191">
        <f>SUMIFS('Expenditure Breakdown'!$G$6:$G$368, 'Expenditure Breakdown'!$H$6:$H$368, "&gt;="&amp;BW1,'Expenditure Breakdown'!$H$6:$H$368, "&lt;"&amp;BX1)</f>
        <v>0</v>
      </c>
      <c r="BX5" s="191">
        <f>SUMIFS('Expenditure Breakdown'!$G$6:$G$368, 'Expenditure Breakdown'!$H$6:$H$368, "&gt;="&amp;BX1,'Expenditure Breakdown'!$H$6:$H$368, "&lt;"&amp;BY1)</f>
        <v>0</v>
      </c>
      <c r="BY5" s="191">
        <f>SUMIFS('Expenditure Breakdown'!$G$6:$G$368, 'Expenditure Breakdown'!$H$6:$H$368, "&gt;="&amp;BY1,'Expenditure Breakdown'!$H$6:$H$368, "&lt;"&amp;BZ1)</f>
        <v>0</v>
      </c>
      <c r="BZ5" s="191">
        <f>SUMIFS('Expenditure Breakdown'!$G$6:$G$368, 'Expenditure Breakdown'!$H$6:$H$368, "&gt;="&amp;BZ1,'Expenditure Breakdown'!$H$6:$H$368, "&lt;"&amp;CA1)</f>
        <v>0</v>
      </c>
      <c r="CA5" s="191">
        <f>SUMIFS('Expenditure Breakdown'!$G$6:$G$368, 'Expenditure Breakdown'!$H$6:$H$368, "&gt;="&amp;CA1,'Expenditure Breakdown'!$H$6:$H$368, "&lt;"&amp;CB1)</f>
        <v>0</v>
      </c>
      <c r="CB5" s="191">
        <f>SUMIFS('Expenditure Breakdown'!$G$6:$G$368, 'Expenditure Breakdown'!$H$6:$H$368, "&gt;="&amp;CB1,'Expenditure Breakdown'!$H$6:$H$368, "&lt;"&amp;CC1)</f>
        <v>0</v>
      </c>
      <c r="CC5" s="191">
        <f>SUMIFS('Expenditure Breakdown'!$G$6:$G$368, 'Expenditure Breakdown'!$H$6:$H$368, "&gt;="&amp;CC1,'Expenditure Breakdown'!$H$6:$H$368, "&lt;"&amp;CD1)</f>
        <v>0</v>
      </c>
      <c r="CD5" s="191">
        <f>SUMIFS('Expenditure Breakdown'!$G$6:$G$368, 'Expenditure Breakdown'!$H$6:$H$368, "&gt;="&amp;CD1,'Expenditure Breakdown'!$H$6:$H$368, "&lt;"&amp;CE1)</f>
        <v>0</v>
      </c>
      <c r="CE5" s="191">
        <f>SUMIFS('Expenditure Breakdown'!$G$6:$G$368, 'Expenditure Breakdown'!$H$6:$H$368, "&gt;="&amp;CE1,'Expenditure Breakdown'!$H$6:$H$368, "&lt;"&amp;CF1)</f>
        <v>0</v>
      </c>
      <c r="CF5" s="191">
        <f>SUMIFS('Expenditure Breakdown'!$G$6:$G$368, 'Expenditure Breakdown'!$H$6:$H$368, "&gt;="&amp;CF1,'Expenditure Breakdown'!$H$6:$H$368, "&lt;"&amp;CG1)</f>
        <v>0</v>
      </c>
      <c r="CG5" s="191">
        <f>SUMIFS('Expenditure Breakdown'!$G$6:$G$368, 'Expenditure Breakdown'!$H$6:$H$368, "&gt;="&amp;CG1,'Expenditure Breakdown'!$H$6:$H$368, "&lt;"&amp;CH1)</f>
        <v>0</v>
      </c>
      <c r="CH5" s="191">
        <f>SUMIFS('Expenditure Breakdown'!$G$6:$G$368, 'Expenditure Breakdown'!$H$6:$H$368, "&gt;="&amp;CH1,'Expenditure Breakdown'!$H$6:$H$368, "&lt;"&amp;CI1)</f>
        <v>0</v>
      </c>
      <c r="CI5" s="191">
        <f>SUMIFS('Expenditure Breakdown'!$G$6:$G$368, 'Expenditure Breakdown'!$H$6:$H$368, "&gt;="&amp;CI1,'Expenditure Breakdown'!$H$6:$H$368, "&lt;"&amp;CJ1)</f>
        <v>0</v>
      </c>
      <c r="CJ5" s="191">
        <f>SUMIFS('Expenditure Breakdown'!$G$6:$G$368, 'Expenditure Breakdown'!$H$6:$H$368, "&gt;="&amp;CJ1,'Expenditure Breakdown'!$H$6:$H$368, "&lt;"&amp;CK1)</f>
        <v>0</v>
      </c>
      <c r="CK5" s="191">
        <f>SUMIFS('Expenditure Breakdown'!$G$6:$G$368, 'Expenditure Breakdown'!$H$6:$H$368, "&gt;="&amp;CK1,'Expenditure Breakdown'!$H$6:$H$368, "&lt;"&amp;CL1)</f>
        <v>0</v>
      </c>
      <c r="CL5" s="191">
        <f>SUMIFS('Expenditure Breakdown'!$G$6:$G$368, 'Expenditure Breakdown'!$H$6:$H$368, "&gt;="&amp;CL1,'Expenditure Breakdown'!$H$6:$H$368, "&lt;"&amp;CM1)</f>
        <v>0</v>
      </c>
      <c r="CM5" s="191">
        <f>SUMIFS('Expenditure Breakdown'!$G$6:$G$368, 'Expenditure Breakdown'!$H$6:$H$368, "&gt;="&amp;CM1,'Expenditure Breakdown'!$H$6:$H$368, "&lt;"&amp;CN1)</f>
        <v>0</v>
      </c>
      <c r="CN5" s="191">
        <f>SUMIFS('Expenditure Breakdown'!$G$6:$G$368, 'Expenditure Breakdown'!$H$6:$H$368, "&gt;="&amp;CN1,'Expenditure Breakdown'!$H$6:$H$368, "&lt;"&amp;CO1)</f>
        <v>0</v>
      </c>
      <c r="CO5" s="191">
        <f>SUMIFS('Expenditure Breakdown'!$G$6:$G$368, 'Expenditure Breakdown'!$H$6:$H$368, "&gt;="&amp;CO1,'Expenditure Breakdown'!$H$6:$H$368, "&lt;"&amp;CP1)</f>
        <v>0</v>
      </c>
      <c r="CP5" s="191">
        <f>SUMIFS('Expenditure Breakdown'!$G$6:$G$368, 'Expenditure Breakdown'!$H$6:$H$368, "&gt;="&amp;CP1,'Expenditure Breakdown'!$H$6:$H$368, "&lt;"&amp;CQ1)</f>
        <v>0</v>
      </c>
      <c r="CQ5" s="191">
        <f>SUMIFS('Expenditure Breakdown'!$G$6:$G$368, 'Expenditure Breakdown'!$H$6:$H$368, "&gt;="&amp;CQ1,'Expenditure Breakdown'!$H$6:$H$368, "&lt;"&amp;CR1)</f>
        <v>0</v>
      </c>
      <c r="CR5" s="191">
        <f>SUMIFS('Expenditure Breakdown'!$G$6:$G$368, 'Expenditure Breakdown'!$H$6:$H$368, "&gt;="&amp;CR1,'Expenditure Breakdown'!$H$6:$H$368, "&lt;"&amp;CS1)</f>
        <v>0</v>
      </c>
      <c r="CS5" s="191">
        <f>SUMIFS('Expenditure Breakdown'!$G$6:$G$368, 'Expenditure Breakdown'!$H$6:$H$368, "&gt;="&amp;CS1,'Expenditure Breakdown'!$H$6:$H$368, "&lt;"&amp;CT1)</f>
        <v>0</v>
      </c>
      <c r="CT5" s="191">
        <f>SUMIFS('Expenditure Breakdown'!$G$6:$G$368, 'Expenditure Breakdown'!$H$6:$H$368, "&gt;="&amp;CT1,'Expenditure Breakdown'!$H$6:$H$368, "&lt;"&amp;CU1)</f>
        <v>0</v>
      </c>
      <c r="CU5" s="191">
        <f>SUMIFS('Expenditure Breakdown'!$G$6:$G$368, 'Expenditure Breakdown'!$H$6:$H$368, "&gt;="&amp;CU1,'Expenditure Breakdown'!$H$6:$H$368, "&lt;"&amp;CV1)</f>
        <v>0</v>
      </c>
      <c r="CV5" s="191">
        <f>SUMIFS('Expenditure Breakdown'!$G$6:$G$368, 'Expenditure Breakdown'!$H$6:$H$368, "&gt;="&amp;CV1,'Expenditure Breakdown'!$H$6:$H$368, "&lt;"&amp;CW1)</f>
        <v>0</v>
      </c>
      <c r="CW5" s="191">
        <f>SUMIFS('Expenditure Breakdown'!$G$6:$G$368, 'Expenditure Breakdown'!$H$6:$H$368, "&gt;="&amp;CW1,'Expenditure Breakdown'!$H$6:$H$368, "&lt;"&amp;CX1)</f>
        <v>0</v>
      </c>
      <c r="CX5" s="191">
        <f>SUMIFS('Expenditure Breakdown'!$G$6:$G$368, 'Expenditure Breakdown'!$H$6:$H$368, "&gt;="&amp;CX1,'Expenditure Breakdown'!$H$6:$H$368, "&lt;"&amp;CY1)</f>
        <v>0</v>
      </c>
      <c r="CY5" s="191">
        <f>SUMIFS('Expenditure Breakdown'!$G$6:$G$368, 'Expenditure Breakdown'!$H$6:$H$368, "&gt;="&amp;CY1,'Expenditure Breakdown'!$H$6:$H$368, "&lt;"&amp;CZ1)</f>
        <v>0</v>
      </c>
      <c r="CZ5" s="191">
        <f>SUMIFS('Expenditure Breakdown'!$G$6:$G$368, 'Expenditure Breakdown'!$H$6:$H$368, "&gt;="&amp;CZ1,'Expenditure Breakdown'!$H$6:$H$368, "&lt;"&amp;DA1)</f>
        <v>0</v>
      </c>
      <c r="DA5" s="191">
        <f>SUMIFS('Expenditure Breakdown'!$G$6:$G$368, 'Expenditure Breakdown'!$H$6:$H$368, "&gt;="&amp;DA1,'Expenditure Breakdown'!$H$6:$H$368, "&lt;"&amp;DB1)</f>
        <v>0</v>
      </c>
      <c r="DB5" s="191">
        <f>SUMIFS('Expenditure Breakdown'!$G$6:$G$368, 'Expenditure Breakdown'!$H$6:$H$368, "&gt;="&amp;DB1,'Expenditure Breakdown'!$H$6:$H$368, "&lt;"&amp;DC1)</f>
        <v>0</v>
      </c>
      <c r="DC5" s="191">
        <f>SUMIFS('Expenditure Breakdown'!$G$6:$G$368, 'Expenditure Breakdown'!$H$6:$H$368, "&gt;="&amp;DC1,'Expenditure Breakdown'!$H$6:$H$368, "&lt;"&amp;DD1)</f>
        <v>0</v>
      </c>
      <c r="DD5" s="191">
        <f>SUMIFS('Expenditure Breakdown'!$G$6:$G$368, 'Expenditure Breakdown'!$H$6:$H$368, "&gt;="&amp;DD1,'Expenditure Breakdown'!$H$6:$H$368, "&lt;"&amp;DE1)</f>
        <v>0</v>
      </c>
      <c r="DE5" s="191">
        <f>SUMIFS('Expenditure Breakdown'!$G$6:$G$368, 'Expenditure Breakdown'!$H$6:$H$368, "&gt;="&amp;DE1,'Expenditure Breakdown'!$H$6:$H$368, "&lt;"&amp;DF1)</f>
        <v>0</v>
      </c>
      <c r="DF5" s="191">
        <f>SUMIFS('Expenditure Breakdown'!$G$6:$G$368, 'Expenditure Breakdown'!$H$6:$H$368, "&gt;="&amp;DF1,'Expenditure Breakdown'!$H$6:$H$368, "&lt;"&amp;DG1)</f>
        <v>0</v>
      </c>
      <c r="DG5" s="191">
        <f>SUMIFS('Expenditure Breakdown'!$G$6:$G$368, 'Expenditure Breakdown'!$H$6:$H$368, "&gt;="&amp;DG1,'Expenditure Breakdown'!$H$6:$H$368, "&lt;"&amp;DH1)</f>
        <v>0</v>
      </c>
      <c r="DH5" s="191">
        <f>SUMIFS('Expenditure Breakdown'!$G$6:$G$368, 'Expenditure Breakdown'!$H$6:$H$368, "&gt;="&amp;DH1,'Expenditure Breakdown'!$H$6:$H$368, "&lt;"&amp;DI1)</f>
        <v>0</v>
      </c>
      <c r="DI5" s="191">
        <f>SUMIFS('Expenditure Breakdown'!$G$6:$G$368, 'Expenditure Breakdown'!$H$6:$H$368, "&gt;="&amp;DI1,'Expenditure Breakdown'!$H$6:$H$368, "&lt;"&amp;DJ1)</f>
        <v>0</v>
      </c>
      <c r="DJ5" s="191">
        <f>SUMIFS('Expenditure Breakdown'!$G$6:$G$368, 'Expenditure Breakdown'!$H$6:$H$368, "&gt;="&amp;DJ1,'Expenditure Breakdown'!$H$6:$H$368, "&lt;"&amp;DK1)</f>
        <v>0</v>
      </c>
      <c r="DK5" s="191">
        <f>SUMIFS('Expenditure Breakdown'!$G$6:$G$368, 'Expenditure Breakdown'!$H$6:$H$368, "&gt;="&amp;DK1,'Expenditure Breakdown'!$H$6:$H$368, "&lt;"&amp;DL1)</f>
        <v>0</v>
      </c>
      <c r="DL5" s="191">
        <f>SUMIFS('Expenditure Breakdown'!$G$6:$G$368, 'Expenditure Breakdown'!$H$6:$H$368, "&gt;="&amp;DL1,'Expenditure Breakdown'!$H$6:$H$368, "&lt;"&amp;DM1)</f>
        <v>0</v>
      </c>
      <c r="DM5" s="191">
        <f>SUMIFS('Expenditure Breakdown'!$G$6:$G$368, 'Expenditure Breakdown'!$H$6:$H$368, "&gt;="&amp;DM1,'Expenditure Breakdown'!$H$6:$H$368, "&lt;"&amp;DN1)</f>
        <v>0</v>
      </c>
      <c r="DN5" s="191">
        <f>SUMIFS('Expenditure Breakdown'!$G$6:$G$368, 'Expenditure Breakdown'!$H$6:$H$368, "&gt;="&amp;DN1,'Expenditure Breakdown'!$H$6:$H$368, "&lt;"&amp;DO1)</f>
        <v>0</v>
      </c>
      <c r="DO5" s="191">
        <f>SUMIFS('Expenditure Breakdown'!$G$6:$G$368, 'Expenditure Breakdown'!$H$6:$H$368, "&gt;="&amp;DO1,'Expenditure Breakdown'!$H$6:$H$368, "&lt;"&amp;DP1)</f>
        <v>0</v>
      </c>
      <c r="DP5" s="191">
        <f>SUMIFS('Expenditure Breakdown'!$G$6:$G$368, 'Expenditure Breakdown'!$H$6:$H$368, "&gt;="&amp;DP1,'Expenditure Breakdown'!$H$6:$H$368, "&lt;"&amp;DQ1)</f>
        <v>0</v>
      </c>
      <c r="DQ5" s="191">
        <f>SUMIFS('Expenditure Breakdown'!$G$6:$G$368, 'Expenditure Breakdown'!$H$6:$H$368, "&gt;="&amp;DQ1,'Expenditure Breakdown'!$H$6:$H$368, "&lt;"&amp;DR1)</f>
        <v>0</v>
      </c>
      <c r="DR5" s="191">
        <f>SUMIFS('Expenditure Breakdown'!$G$6:$G$368, 'Expenditure Breakdown'!$H$6:$H$368, "&gt;="&amp;DR1,'Expenditure Breakdown'!$H$6:$H$368, "&lt;"&amp;DS1)</f>
        <v>0</v>
      </c>
      <c r="DS5" s="191">
        <f>SUMIFS('Expenditure Breakdown'!$G$6:$G$368, 'Expenditure Breakdown'!$H$6:$H$368, "&gt;="&amp;DS1,'Expenditure Breakdown'!$H$6:$H$368, "&lt;"&amp;DT1)</f>
        <v>0</v>
      </c>
      <c r="DT5" s="191">
        <f>SUMIFS('Expenditure Breakdown'!$G$6:$G$368, 'Expenditure Breakdown'!$H$6:$H$368, "&gt;="&amp;DT1,'Expenditure Breakdown'!$H$6:$H$368, "&lt;"&amp;DU1)</f>
        <v>0</v>
      </c>
      <c r="DU5" s="191">
        <f>SUMIFS('Expenditure Breakdown'!$G$6:$G$368, 'Expenditure Breakdown'!$H$6:$H$368, "&gt;="&amp;DU1,'Expenditure Breakdown'!$H$6:$H$368, "&lt;"&amp;DV1)</f>
        <v>0</v>
      </c>
      <c r="DV5" s="191">
        <f>SUMIFS('Expenditure Breakdown'!$G$6:$G$368, 'Expenditure Breakdown'!$H$6:$H$368, "&gt;="&amp;DV1,'Expenditure Breakdown'!$H$6:$H$368, "&lt;"&amp;DW1)</f>
        <v>0</v>
      </c>
      <c r="DW5" s="191">
        <f>SUMIFS('Expenditure Breakdown'!$G$6:$G$368, 'Expenditure Breakdown'!$H$6:$H$368, "&gt;="&amp;DW1,'Expenditure Breakdown'!$H$6:$H$368, "&lt;"&amp;DX1)</f>
        <v>0</v>
      </c>
      <c r="DX5" s="191">
        <f>SUMIFS('Expenditure Breakdown'!$G$6:$G$368, 'Expenditure Breakdown'!$H$6:$H$368, "&gt;="&amp;DX1,'Expenditure Breakdown'!$H$6:$H$368, "&lt;"&amp;DY1)</f>
        <v>0</v>
      </c>
      <c r="DY5" s="191">
        <f>SUMIFS('Expenditure Breakdown'!$G$6:$G$368, 'Expenditure Breakdown'!$H$6:$H$368, "&gt;="&amp;DY1,'Expenditure Breakdown'!$H$6:$H$368, "&lt;"&amp;DZ1)</f>
        <v>0</v>
      </c>
      <c r="DZ5" s="191">
        <f>SUMIFS('Expenditure Breakdown'!$G$6:$G$368, 'Expenditure Breakdown'!$H$6:$H$368, "&gt;="&amp;DZ1,'Expenditure Breakdown'!$H$6:$H$368, "&lt;"&amp;EA1)</f>
        <v>0</v>
      </c>
      <c r="EA5" s="191">
        <f>SUMIFS('Expenditure Breakdown'!$G$6:$G$368, 'Expenditure Breakdown'!$H$6:$H$368, "&gt;="&amp;EA1,'Expenditure Breakdown'!$H$6:$H$368, "&lt;"&amp;EB1)</f>
        <v>0</v>
      </c>
      <c r="EB5" s="191">
        <f>SUMIFS('Expenditure Breakdown'!$G$6:$G$368, 'Expenditure Breakdown'!$H$6:$H$368, "&gt;="&amp;EB1,'Expenditure Breakdown'!$H$6:$H$368, "&lt;"&amp;EC1)</f>
        <v>0</v>
      </c>
      <c r="EC5" s="191">
        <f>SUMIFS('Expenditure Breakdown'!$G$6:$G$368, 'Expenditure Breakdown'!$H$6:$H$368, "&gt;="&amp;EC1,'Expenditure Breakdown'!$H$6:$H$368, "&lt;"&amp;ED1)</f>
        <v>0</v>
      </c>
      <c r="ED5" s="191">
        <f>SUMIFS('Expenditure Breakdown'!$G$6:$G$368, 'Expenditure Breakdown'!$H$6:$H$368, "&gt;="&amp;ED1,'Expenditure Breakdown'!$H$6:$H$368, "&lt;"&amp;EE1)</f>
        <v>0</v>
      </c>
      <c r="EE5" s="191">
        <f>SUMIFS('Expenditure Breakdown'!$G$6:$G$368, 'Expenditure Breakdown'!$H$6:$H$368, "&gt;="&amp;EE1,'Expenditure Breakdown'!$H$6:$H$368, "&lt;"&amp;EF1)</f>
        <v>0</v>
      </c>
      <c r="EF5" s="191">
        <f>SUMIFS('Expenditure Breakdown'!$G$6:$G$368, 'Expenditure Breakdown'!$H$6:$H$368, "&gt;="&amp;EF1,'Expenditure Breakdown'!$H$6:$H$368, "&lt;"&amp;EG1)</f>
        <v>0</v>
      </c>
      <c r="EG5" s="191">
        <f>SUMIFS('Expenditure Breakdown'!$G$6:$G$368, 'Expenditure Breakdown'!$H$6:$H$368, "&gt;="&amp;EG1,'Expenditure Breakdown'!$H$6:$H$368, "&lt;"&amp;EH1)</f>
        <v>0</v>
      </c>
      <c r="EH5" s="191">
        <f>SUMIFS('Expenditure Breakdown'!$G$6:$G$368, 'Expenditure Breakdown'!$H$6:$H$368, "&gt;="&amp;EH1,'Expenditure Breakdown'!$H$6:$H$368, "&lt;"&amp;EI1)</f>
        <v>0</v>
      </c>
      <c r="EI5" s="191">
        <f>SUMIFS('Expenditure Breakdown'!$G$6:$G$368, 'Expenditure Breakdown'!$H$6:$H$368, "&gt;="&amp;EI1,'Expenditure Breakdown'!$H$6:$H$368, "&lt;"&amp;EJ1)</f>
        <v>0</v>
      </c>
      <c r="EJ5" s="191">
        <f>SUMIFS('Expenditure Breakdown'!$G$6:$G$368, 'Expenditure Breakdown'!$H$6:$H$368, "&gt;="&amp;EJ1,'Expenditure Breakdown'!$H$6:$H$368, "&lt;"&amp;EK1)</f>
        <v>0</v>
      </c>
      <c r="EK5" s="191">
        <f>SUMIFS('Expenditure Breakdown'!$G$6:$G$368, 'Expenditure Breakdown'!$H$6:$H$368, "&gt;="&amp;EK1,'Expenditure Breakdown'!$H$6:$H$368, "&lt;"&amp;EL1)</f>
        <v>0</v>
      </c>
      <c r="EL5" s="191">
        <f>SUMIFS('Expenditure Breakdown'!$G$6:$G$368, 'Expenditure Breakdown'!$H$6:$H$368, "&gt;="&amp;EL1,'Expenditure Breakdown'!$H$6:$H$368, "&lt;"&amp;EM1)</f>
        <v>0</v>
      </c>
      <c r="EM5" s="191">
        <f>SUMIFS('Expenditure Breakdown'!$G$6:$G$368, 'Expenditure Breakdown'!$H$6:$H$368, "&gt;="&amp;EM1,'Expenditure Breakdown'!$H$6:$H$368, "&lt;"&amp;EN1)</f>
        <v>0</v>
      </c>
      <c r="EN5" s="191">
        <f>SUMIFS('Expenditure Breakdown'!$G$6:$G$368, 'Expenditure Breakdown'!$H$6:$H$368, "&gt;="&amp;EN1,'Expenditure Breakdown'!$H$6:$H$368, "&lt;"&amp;EO1)</f>
        <v>0</v>
      </c>
      <c r="EO5" s="191">
        <f>SUMIFS('Expenditure Breakdown'!$G$6:$G$368, 'Expenditure Breakdown'!$H$6:$H$368, "&gt;="&amp;EO1,'Expenditure Breakdown'!$H$6:$H$368, "&lt;"&amp;EP1)</f>
        <v>0</v>
      </c>
      <c r="EP5" s="191">
        <f>SUMIFS('Expenditure Breakdown'!$G$6:$G$368, 'Expenditure Breakdown'!$H$6:$H$368, "&gt;="&amp;EP1,'Expenditure Breakdown'!$H$6:$H$368, "&lt;"&amp;EQ1)</f>
        <v>0</v>
      </c>
      <c r="EQ5" s="191">
        <f>SUMIFS('Expenditure Breakdown'!$G$6:$G$368, 'Expenditure Breakdown'!$H$6:$H$368, "&gt;="&amp;EQ1,'Expenditure Breakdown'!$H$6:$H$368, "&lt;"&amp;ER1)</f>
        <v>0</v>
      </c>
      <c r="ER5" s="191">
        <f>SUMIFS('Expenditure Breakdown'!$G$6:$G$368, 'Expenditure Breakdown'!$H$6:$H$368, "&gt;="&amp;ER1,'Expenditure Breakdown'!$H$6:$H$368, "&lt;"&amp;ES1)</f>
        <v>0</v>
      </c>
      <c r="ES5" s="191">
        <f>SUMIFS('Expenditure Breakdown'!$G$6:$G$368, 'Expenditure Breakdown'!$H$6:$H$368, "&gt;="&amp;ES1,'Expenditure Breakdown'!$H$6:$H$368, "&lt;"&amp;ET1)</f>
        <v>0</v>
      </c>
      <c r="ET5" s="191">
        <f>SUMIFS('Expenditure Breakdown'!$G$6:$G$368, 'Expenditure Breakdown'!$H$6:$H$368, "&gt;="&amp;ET1,'Expenditure Breakdown'!$H$6:$H$368, "&lt;"&amp;EU1)</f>
        <v>0</v>
      </c>
      <c r="EU5" s="191">
        <f>SUMIFS('Expenditure Breakdown'!$G$6:$G$368, 'Expenditure Breakdown'!$H$6:$H$368, "&gt;="&amp;EU1,'Expenditure Breakdown'!$H$6:$H$368, "&lt;"&amp;EV1)</f>
        <v>0</v>
      </c>
      <c r="EV5" s="191">
        <f>SUMIFS('Expenditure Breakdown'!$G$6:$G$368, 'Expenditure Breakdown'!$H$6:$H$368, "&gt;="&amp;EV1,'Expenditure Breakdown'!$H$6:$H$368, "&lt;"&amp;EW1)</f>
        <v>0</v>
      </c>
      <c r="EW5" s="191">
        <f>SUMIFS('Expenditure Breakdown'!$G$6:$G$368, 'Expenditure Breakdown'!$H$6:$H$368, "&gt;="&amp;EW1,'Expenditure Breakdown'!$H$6:$H$368, "&lt;"&amp;EX1)</f>
        <v>0</v>
      </c>
      <c r="EX5" s="191">
        <f>SUMIFS('Expenditure Breakdown'!$G$6:$G$368, 'Expenditure Breakdown'!$H$6:$H$368, "&gt;="&amp;EX1,'Expenditure Breakdown'!$H$6:$H$368, "&lt;"&amp;EY1)</f>
        <v>0</v>
      </c>
      <c r="EY5" s="191">
        <f>SUMIFS('Expenditure Breakdown'!$G$6:$G$368, 'Expenditure Breakdown'!$H$6:$H$368, "&gt;="&amp;EY1,'Expenditure Breakdown'!$H$6:$H$368, "&lt;"&amp;EZ1)</f>
        <v>0</v>
      </c>
      <c r="EZ5" s="191">
        <f>SUMIFS('Expenditure Breakdown'!$G$6:$G$368, 'Expenditure Breakdown'!$H$6:$H$368, "&gt;="&amp;EZ1,'Expenditure Breakdown'!$H$6:$H$368, "&lt;"&amp;FA1)</f>
        <v>0</v>
      </c>
      <c r="FA5" s="191">
        <f>SUMIFS('Expenditure Breakdown'!$G$6:$G$368, 'Expenditure Breakdown'!$H$6:$H$368, "&gt;="&amp;FA1,'Expenditure Breakdown'!$H$6:$H$368, "&lt;"&amp;FB1)</f>
        <v>0</v>
      </c>
      <c r="FB5" s="191">
        <f>SUMIFS('Expenditure Breakdown'!$G$6:$G$368, 'Expenditure Breakdown'!$H$6:$H$368, "&gt;="&amp;FB1,'Expenditure Breakdown'!$H$6:$H$368, "&lt;"&amp;FC1)</f>
        <v>0</v>
      </c>
      <c r="FC5" s="191">
        <f>SUMIFS('Expenditure Breakdown'!$G$6:$G$368, 'Expenditure Breakdown'!$H$6:$H$368, "&gt;="&amp;FC1,'Expenditure Breakdown'!$H$6:$H$368, "&lt;"&amp;FD1)</f>
        <v>0</v>
      </c>
      <c r="FD5" s="191">
        <f>SUMIFS('Expenditure Breakdown'!$G$6:$G$368, 'Expenditure Breakdown'!$H$6:$H$368, "&gt;="&amp;FD1,'Expenditure Breakdown'!$H$6:$H$368, "&lt;"&amp;FE1)</f>
        <v>0</v>
      </c>
      <c r="FE5" s="191">
        <f>SUMIFS('Expenditure Breakdown'!$G$6:$G$368, 'Expenditure Breakdown'!$H$6:$H$368, "&gt;="&amp;FE1,'Expenditure Breakdown'!$H$6:$H$368, "&lt;"&amp;FF1)</f>
        <v>0</v>
      </c>
      <c r="FF5" s="191">
        <f>SUMIFS('Expenditure Breakdown'!$G$6:$G$368, 'Expenditure Breakdown'!$H$6:$H$368, "&gt;="&amp;FF1,'Expenditure Breakdown'!$H$6:$H$368, "&lt;"&amp;FG1)</f>
        <v>0</v>
      </c>
      <c r="FG5" s="191">
        <f>SUMIFS('Expenditure Breakdown'!$G$6:$G$368, 'Expenditure Breakdown'!$H$6:$H$368, "&gt;="&amp;FG1,'Expenditure Breakdown'!$H$6:$H$368, "&lt;"&amp;FH1)</f>
        <v>0</v>
      </c>
      <c r="FH5" s="191">
        <f>SUMIFS('Expenditure Breakdown'!$G$6:$G$368, 'Expenditure Breakdown'!$H$6:$H$368, "&gt;="&amp;FH1,'Expenditure Breakdown'!$H$6:$H$368, "&lt;"&amp;FI1)</f>
        <v>0</v>
      </c>
      <c r="FI5" s="191">
        <f>SUMIFS('Expenditure Breakdown'!$G$6:$G$368, 'Expenditure Breakdown'!$H$6:$H$368, "&gt;="&amp;FI1,'Expenditure Breakdown'!$H$6:$H$368, "&lt;"&amp;FJ1)</f>
        <v>0</v>
      </c>
      <c r="FJ5" s="191">
        <f>SUMIFS('Expenditure Breakdown'!$G$6:$G$368, 'Expenditure Breakdown'!$H$6:$H$368, "&gt;="&amp;FJ1,'Expenditure Breakdown'!$H$6:$H$368, "&lt;"&amp;FK1)</f>
        <v>0</v>
      </c>
      <c r="FK5" s="191">
        <f>SUMIFS('Expenditure Breakdown'!$G$6:$G$368, 'Expenditure Breakdown'!$H$6:$H$368, "&gt;="&amp;FK1,'Expenditure Breakdown'!$H$6:$H$368, "&lt;"&amp;FL1)</f>
        <v>0</v>
      </c>
      <c r="FL5" s="191">
        <f>SUMIFS('Expenditure Breakdown'!$G$6:$G$368, 'Expenditure Breakdown'!$H$6:$H$368, "&gt;="&amp;FL1,'Expenditure Breakdown'!$H$6:$H$368, "&lt;"&amp;FM1)</f>
        <v>0</v>
      </c>
      <c r="FM5" s="191">
        <f>SUMIFS('Expenditure Breakdown'!$G$6:$G$368, 'Expenditure Breakdown'!$H$6:$H$368, "&gt;="&amp;FM1,'Expenditure Breakdown'!$H$6:$H$368, "&lt;"&amp;FN1)</f>
        <v>0</v>
      </c>
      <c r="FN5" s="191">
        <f>SUMIFS('Expenditure Breakdown'!$G$6:$G$368, 'Expenditure Breakdown'!$H$6:$H$368, "&gt;="&amp;FN1,'Expenditure Breakdown'!$H$6:$H$368, "&lt;"&amp;FO1)</f>
        <v>0</v>
      </c>
      <c r="FO5" s="191">
        <f>SUMIFS('Expenditure Breakdown'!$G$6:$G$368, 'Expenditure Breakdown'!$H$6:$H$368, "&gt;="&amp;FO1,'Expenditure Breakdown'!$H$6:$H$368, "&lt;"&amp;FP1)</f>
        <v>0</v>
      </c>
      <c r="FP5" s="191">
        <f>SUMIFS('Expenditure Breakdown'!$G$6:$G$368, 'Expenditure Breakdown'!$H$6:$H$368, "&gt;="&amp;FP1,'Expenditure Breakdown'!$H$6:$H$368, "&lt;"&amp;FQ1)</f>
        <v>0</v>
      </c>
      <c r="FQ5" s="191">
        <f>SUMIFS('Expenditure Breakdown'!$G$6:$G$368, 'Expenditure Breakdown'!$H$6:$H$368, "&gt;="&amp;FQ1,'Expenditure Breakdown'!$H$6:$H$368, "&lt;"&amp;FR1)</f>
        <v>0</v>
      </c>
      <c r="FR5" s="191">
        <f>SUMIFS('Expenditure Breakdown'!$G$6:$G$368, 'Expenditure Breakdown'!$H$6:$H$368, "&gt;="&amp;FR1,'Expenditure Breakdown'!$H$6:$H$368, "&lt;"&amp;FS1)</f>
        <v>0</v>
      </c>
      <c r="FS5" s="191">
        <f>SUMIFS('Expenditure Breakdown'!$G$6:$G$368, 'Expenditure Breakdown'!$H$6:$H$368, "&gt;="&amp;FS1,'Expenditure Breakdown'!$H$6:$H$368, "&lt;"&amp;FT1)</f>
        <v>0</v>
      </c>
      <c r="FT5" s="191">
        <f>SUMIFS('Expenditure Breakdown'!$G$6:$G$368, 'Expenditure Breakdown'!$H$6:$H$368, "&gt;="&amp;FT1,'Expenditure Breakdown'!$H$6:$H$368, "&lt;"&amp;FU1)</f>
        <v>0</v>
      </c>
      <c r="FU5" s="191">
        <f>SUMIFS('Expenditure Breakdown'!$G$6:$G$368, 'Expenditure Breakdown'!$H$6:$H$368, "&gt;="&amp;FU1,'Expenditure Breakdown'!$H$6:$H$368, "&lt;"&amp;FV1)</f>
        <v>0</v>
      </c>
      <c r="FV5" s="191">
        <f>SUMIFS('Expenditure Breakdown'!$G$6:$G$368, 'Expenditure Breakdown'!$H$6:$H$368, "&gt;="&amp;FV1,'Expenditure Breakdown'!$H$6:$H$368, "&lt;"&amp;FW1)</f>
        <v>0</v>
      </c>
      <c r="FW5" s="191">
        <f>SUMIFS('Expenditure Breakdown'!$G$6:$G$368, 'Expenditure Breakdown'!$H$6:$H$368, "&gt;="&amp;FW1,'Expenditure Breakdown'!$H$6:$H$368, "&lt;"&amp;FX1)</f>
        <v>0</v>
      </c>
      <c r="FX5" s="191">
        <f>SUMIFS('Expenditure Breakdown'!$G$6:$G$368, 'Expenditure Breakdown'!$H$6:$H$368, "&gt;="&amp;FX1,'Expenditure Breakdown'!$H$6:$H$368, "&lt;"&amp;FY1)</f>
        <v>0</v>
      </c>
      <c r="FY5" s="191">
        <f>SUMIFS('Expenditure Breakdown'!$G$6:$G$368, 'Expenditure Breakdown'!$H$6:$H$368, "&gt;="&amp;FY1,'Expenditure Breakdown'!$H$6:$H$368, "&lt;"&amp;FZ1)</f>
        <v>0</v>
      </c>
      <c r="FZ5" s="191">
        <f>SUMIFS('Expenditure Breakdown'!$G$6:$G$368, 'Expenditure Breakdown'!$H$6:$H$368, "&gt;="&amp;FZ1,'Expenditure Breakdown'!$H$6:$H$368, "&lt;"&amp;GA1)</f>
        <v>0</v>
      </c>
      <c r="GA5" s="191">
        <f>SUMIFS('Expenditure Breakdown'!$G$6:$G$368, 'Expenditure Breakdown'!$H$6:$H$368, "&gt;="&amp;GA1,'Expenditure Breakdown'!$H$6:$H$368, "&lt;"&amp;GB1)</f>
        <v>0</v>
      </c>
      <c r="GB5" s="191">
        <f>SUMIFS('Expenditure Breakdown'!$G$6:$G$368, 'Expenditure Breakdown'!$H$6:$H$368, "&gt;="&amp;GB1,'Expenditure Breakdown'!$H$6:$H$368, "&lt;"&amp;GC1)</f>
        <v>0</v>
      </c>
      <c r="GC5" s="191">
        <f>SUMIFS('Expenditure Breakdown'!$G$6:$G$368, 'Expenditure Breakdown'!$H$6:$H$368, "&gt;="&amp;GC1,'Expenditure Breakdown'!$H$6:$H$368, "&lt;"&amp;GD1)</f>
        <v>0</v>
      </c>
      <c r="GD5" s="191">
        <f>SUMIFS('Expenditure Breakdown'!$G$6:$G$368, 'Expenditure Breakdown'!$H$6:$H$368, "&gt;="&amp;GD1,'Expenditure Breakdown'!$H$6:$H$368, "&lt;"&amp;GE1)</f>
        <v>0</v>
      </c>
      <c r="GE5" s="191">
        <f>SUMIFS('Expenditure Breakdown'!$G$6:$G$368, 'Expenditure Breakdown'!$H$6:$H$368, "&gt;="&amp;GE1,'Expenditure Breakdown'!$H$6:$H$368, "&lt;"&amp;GF1)</f>
        <v>0</v>
      </c>
      <c r="GF5" s="191">
        <f>SUMIFS('Expenditure Breakdown'!$G$6:$G$368, 'Expenditure Breakdown'!$H$6:$H$368, "&gt;="&amp;GF1,'Expenditure Breakdown'!$H$6:$H$368, "&lt;"&amp;GG1)</f>
        <v>0</v>
      </c>
      <c r="GG5" s="191">
        <f>SUMIFS('Expenditure Breakdown'!$G$6:$G$368, 'Expenditure Breakdown'!$H$6:$H$368, "&gt;="&amp;GG1,'Expenditure Breakdown'!$H$6:$H$368, "&lt;"&amp;GH1)</f>
        <v>0</v>
      </c>
      <c r="GH5" s="191">
        <f>SUMIFS('Expenditure Breakdown'!$G$6:$G$368, 'Expenditure Breakdown'!$H$6:$H$368, "&gt;="&amp;GH1,'Expenditure Breakdown'!$H$6:$H$368, "&lt;"&amp;GI1)</f>
        <v>0</v>
      </c>
      <c r="GI5" s="191">
        <f>SUMIFS('Expenditure Breakdown'!$G$6:$G$368, 'Expenditure Breakdown'!$H$6:$H$368, "&gt;="&amp;GI1,'Expenditure Breakdown'!$H$6:$H$368, "&lt;"&amp;GJ1)</f>
        <v>0</v>
      </c>
      <c r="GJ5" s="191">
        <f>SUMIFS('Expenditure Breakdown'!$G$6:$G$368, 'Expenditure Breakdown'!$H$6:$H$368, "&gt;="&amp;GJ1,'Expenditure Breakdown'!$H$6:$H$368, "&lt;"&amp;GK1)</f>
        <v>0</v>
      </c>
      <c r="GK5" s="191">
        <f>SUMIFS('Expenditure Breakdown'!$G$6:$G$368, 'Expenditure Breakdown'!$H$6:$H$368, "&gt;="&amp;GK1,'Expenditure Breakdown'!$H$6:$H$368, "&lt;"&amp;GL1)</f>
        <v>0</v>
      </c>
      <c r="GL5" s="191">
        <f>SUMIFS('Expenditure Breakdown'!$G$6:$G$368, 'Expenditure Breakdown'!$H$6:$H$368, "&gt;="&amp;GL1,'Expenditure Breakdown'!$H$6:$H$368, "&lt;"&amp;GM1)</f>
        <v>0</v>
      </c>
      <c r="GM5" s="191">
        <f>SUMIFS('Expenditure Breakdown'!$G$6:$G$368, 'Expenditure Breakdown'!$H$6:$H$368, "&gt;="&amp;GM1,'Expenditure Breakdown'!$H$6:$H$368, "&lt;"&amp;GN1)</f>
        <v>0</v>
      </c>
      <c r="GN5" s="191">
        <f>SUMIFS('Expenditure Breakdown'!$G$6:$G$368, 'Expenditure Breakdown'!$H$6:$H$368, "&gt;="&amp;GN1,'Expenditure Breakdown'!$H$6:$H$368, "&lt;"&amp;GO1)</f>
        <v>0</v>
      </c>
      <c r="GO5" s="191">
        <f>SUMIFS('Expenditure Breakdown'!$G$6:$G$368, 'Expenditure Breakdown'!$H$6:$H$368, "&gt;="&amp;GO1,'Expenditure Breakdown'!$H$6:$H$368, "&lt;"&amp;GP1)</f>
        <v>0</v>
      </c>
      <c r="GP5" s="191">
        <f>SUMIFS('Expenditure Breakdown'!$G$6:$G$368, 'Expenditure Breakdown'!$H$6:$H$368, "&gt;="&amp;GP1,'Expenditure Breakdown'!$H$6:$H$368, "&lt;"&amp;GQ1)</f>
        <v>0</v>
      </c>
      <c r="GQ5" s="191">
        <f>SUMIFS('Expenditure Breakdown'!$G$6:$G$368, 'Expenditure Breakdown'!$H$6:$H$368, "&gt;="&amp;GQ1,'Expenditure Breakdown'!$H$6:$H$368, "&lt;"&amp;GR1)</f>
        <v>0</v>
      </c>
      <c r="GR5" s="191">
        <f>SUMIFS('Expenditure Breakdown'!$G$6:$G$368, 'Expenditure Breakdown'!$H$6:$H$368, "&gt;="&amp;GR1,'Expenditure Breakdown'!$H$6:$H$368, "&lt;"&amp;GS1)</f>
        <v>0</v>
      </c>
      <c r="GS5" s="191">
        <f>SUMIFS('Expenditure Breakdown'!$G$6:$G$368, 'Expenditure Breakdown'!$H$6:$H$368, "&gt;="&amp;GS1,'Expenditure Breakdown'!$H$6:$H$368, "&lt;"&amp;GT1)</f>
        <v>0</v>
      </c>
      <c r="GT5" s="191">
        <f>SUMIFS('Expenditure Breakdown'!$G$6:$G$368, 'Expenditure Breakdown'!$H$6:$H$368, "&gt;="&amp;GT1,'Expenditure Breakdown'!$H$6:$H$368, "&lt;"&amp;GU1)</f>
        <v>0</v>
      </c>
      <c r="GU5" s="191">
        <f>SUMIFS('Expenditure Breakdown'!$G$6:$G$368, 'Expenditure Breakdown'!$H$6:$H$368, "&gt;="&amp;GU1,'Expenditure Breakdown'!$H$6:$H$368, "&lt;"&amp;GV1)</f>
        <v>0</v>
      </c>
      <c r="GV5" s="191">
        <f>SUMIFS('Expenditure Breakdown'!$G$6:$G$368, 'Expenditure Breakdown'!$H$6:$H$368, "&gt;="&amp;GV1,'Expenditure Breakdown'!$H$6:$H$368, "&lt;"&amp;GW1)</f>
        <v>0</v>
      </c>
      <c r="GW5" s="191">
        <f>SUMIFS('Expenditure Breakdown'!$G$6:$G$368, 'Expenditure Breakdown'!$H$6:$H$368, "&gt;="&amp;GW1,'Expenditure Breakdown'!$H$6:$H$368, "&lt;"&amp;GX1)</f>
        <v>0</v>
      </c>
      <c r="GX5" s="191">
        <f>SUMIFS('Expenditure Breakdown'!$G$6:$G$368, 'Expenditure Breakdown'!$H$6:$H$368, "&gt;="&amp;GX1,'Expenditure Breakdown'!$H$6:$H$368, "&lt;"&amp;GY1)</f>
        <v>0</v>
      </c>
      <c r="GY5" s="191">
        <f>SUMIFS('Expenditure Breakdown'!$G$6:$G$368, 'Expenditure Breakdown'!$H$6:$H$368, "&gt;="&amp;GY1,'Expenditure Breakdown'!$H$6:$H$368, "&lt;"&amp;GZ1)</f>
        <v>0</v>
      </c>
      <c r="GZ5" s="191">
        <f>SUMIFS('Expenditure Breakdown'!$G$6:$G$368, 'Expenditure Breakdown'!$H$6:$H$368, "&gt;="&amp;GZ1,'Expenditure Breakdown'!$H$6:$H$368, "&lt;"&amp;HA1)</f>
        <v>0</v>
      </c>
      <c r="HA5" s="191">
        <f>SUMIFS('Expenditure Breakdown'!$G$6:$G$368, 'Expenditure Breakdown'!$H$6:$H$368, "&gt;="&amp;HA1,'Expenditure Breakdown'!$H$6:$H$368, "&lt;"&amp;HB1)</f>
        <v>0</v>
      </c>
      <c r="HB5" s="191">
        <f>SUMIFS('Expenditure Breakdown'!$G$6:$G$368, 'Expenditure Breakdown'!$H$6:$H$368, "&gt;="&amp;HB1,'Expenditure Breakdown'!$H$6:$H$368, "&lt;"&amp;HC1)</f>
        <v>0</v>
      </c>
      <c r="HC5" s="191">
        <f>SUMIFS('Expenditure Breakdown'!$G$6:$G$368, 'Expenditure Breakdown'!$H$6:$H$368, "&gt;="&amp;HC1,'Expenditure Breakdown'!$H$6:$H$368, "&lt;"&amp;HD1)</f>
        <v>0</v>
      </c>
      <c r="HD5" s="191">
        <f>SUMIFS('Expenditure Breakdown'!$G$6:$G$368, 'Expenditure Breakdown'!$H$6:$H$368, "&gt;="&amp;HD1,'Expenditure Breakdown'!$H$6:$H$368, "&lt;"&amp;HE1)</f>
        <v>0</v>
      </c>
      <c r="HE5" s="191">
        <f>SUMIFS('Expenditure Breakdown'!$G$6:$G$368, 'Expenditure Breakdown'!$H$6:$H$368, "&gt;="&amp;HE1,'Expenditure Breakdown'!$H$6:$H$368, "&lt;"&amp;HF1)</f>
        <v>0</v>
      </c>
      <c r="HF5" s="191">
        <f>SUMIFS('Expenditure Breakdown'!$G$6:$G$368, 'Expenditure Breakdown'!$H$6:$H$368, "&gt;="&amp;HF1,'Expenditure Breakdown'!$H$6:$H$368, "&lt;"&amp;HG1)</f>
        <v>0</v>
      </c>
      <c r="HG5" s="191">
        <f>SUMIFS('Expenditure Breakdown'!$G$6:$G$368, 'Expenditure Breakdown'!$H$6:$H$368, "&gt;="&amp;HG1,'Expenditure Breakdown'!$H$6:$H$368, "&lt;"&amp;HH1)</f>
        <v>0</v>
      </c>
      <c r="HH5" s="191">
        <f>SUMIFS('Expenditure Breakdown'!$G$6:$G$368, 'Expenditure Breakdown'!$H$6:$H$368, "&gt;="&amp;HH1,'Expenditure Breakdown'!$H$6:$H$368, "&lt;"&amp;HI1)</f>
        <v>0</v>
      </c>
      <c r="HI5" s="191">
        <f>SUMIFS('Expenditure Breakdown'!$G$6:$G$368, 'Expenditure Breakdown'!$H$6:$H$368, "&gt;="&amp;HI1,'Expenditure Breakdown'!$H$6:$H$368, "&lt;"&amp;HJ1)</f>
        <v>0</v>
      </c>
      <c r="HJ5" s="191">
        <f>SUMIFS('Expenditure Breakdown'!$G$6:$G$368, 'Expenditure Breakdown'!$H$6:$H$368, "&gt;="&amp;HJ1,'Expenditure Breakdown'!$H$6:$H$368, "&lt;"&amp;HK1)</f>
        <v>0</v>
      </c>
      <c r="HK5" s="191">
        <f>SUMIFS('Expenditure Breakdown'!$G$6:$G$368, 'Expenditure Breakdown'!$H$6:$H$368, "&gt;="&amp;HK1,'Expenditure Breakdown'!$H$6:$H$368, "&lt;"&amp;HL1)</f>
        <v>0</v>
      </c>
      <c r="HL5" s="191">
        <f>SUMIFS('Expenditure Breakdown'!$G$6:$G$368, 'Expenditure Breakdown'!$H$6:$H$368, "&gt;="&amp;HL1,'Expenditure Breakdown'!$H$6:$H$368, "&lt;"&amp;HM1)</f>
        <v>0</v>
      </c>
      <c r="HM5" s="191">
        <f>SUMIFS('Expenditure Breakdown'!$G$6:$G$368, 'Expenditure Breakdown'!$H$6:$H$368, "&gt;="&amp;HM1,'Expenditure Breakdown'!$H$6:$H$368, "&lt;"&amp;HN1)</f>
        <v>0</v>
      </c>
      <c r="HN5" s="191">
        <f>SUMIFS('Expenditure Breakdown'!$G$6:$G$368, 'Expenditure Breakdown'!$H$6:$H$368, "&gt;="&amp;HN1,'Expenditure Breakdown'!$H$6:$H$368, "&lt;"&amp;HO1)</f>
        <v>0</v>
      </c>
      <c r="HO5" s="191">
        <f>SUMIFS('Expenditure Breakdown'!$G$6:$G$368, 'Expenditure Breakdown'!$H$6:$H$368, "&gt;="&amp;HO1,'Expenditure Breakdown'!$H$6:$H$368, "&lt;"&amp;HP1)</f>
        <v>0</v>
      </c>
      <c r="HP5" s="191">
        <f>SUMIFS('Expenditure Breakdown'!$G$6:$G$368, 'Expenditure Breakdown'!$H$6:$H$368, "&gt;="&amp;HP1,'Expenditure Breakdown'!$H$6:$H$368, "&lt;"&amp;HQ1)</f>
        <v>0</v>
      </c>
      <c r="HQ5" s="191">
        <f>SUMIFS('Expenditure Breakdown'!$G$6:$G$368, 'Expenditure Breakdown'!$H$6:$H$368, "&gt;="&amp;HQ1,'Expenditure Breakdown'!$H$6:$H$368, "&lt;"&amp;HR1)</f>
        <v>0</v>
      </c>
      <c r="HR5" s="191">
        <f>SUMIFS('Expenditure Breakdown'!$G$6:$G$368, 'Expenditure Breakdown'!$H$6:$H$368, "&gt;="&amp;HR1,'Expenditure Breakdown'!$H$6:$H$368, "&lt;"&amp;HS1)</f>
        <v>0</v>
      </c>
      <c r="HS5" s="191">
        <f>SUMIFS('Expenditure Breakdown'!$G$6:$G$368, 'Expenditure Breakdown'!$H$6:$H$368, "&gt;="&amp;HS1,'Expenditure Breakdown'!$H$6:$H$368, "&lt;"&amp;HT1)</f>
        <v>0</v>
      </c>
      <c r="HT5" s="191">
        <f>SUMIFS('Expenditure Breakdown'!$G$6:$G$368, 'Expenditure Breakdown'!$H$6:$H$368, "&gt;="&amp;HT1,'Expenditure Breakdown'!$H$6:$H$368, "&lt;"&amp;HU1)</f>
        <v>0</v>
      </c>
      <c r="HU5" s="191">
        <f>SUMIFS('Expenditure Breakdown'!$G$6:$G$368, 'Expenditure Breakdown'!$H$6:$H$368, "&gt;="&amp;HU1,'Expenditure Breakdown'!$H$6:$H$368, "&lt;"&amp;HV1)</f>
        <v>0</v>
      </c>
      <c r="HV5" s="191">
        <f>SUMIFS('Expenditure Breakdown'!$G$6:$G$368, 'Expenditure Breakdown'!$H$6:$H$368, "&gt;="&amp;HV1,'Expenditure Breakdown'!$H$6:$H$368, "&lt;"&amp;HW1)</f>
        <v>0</v>
      </c>
      <c r="HW5" s="191">
        <f>SUMIFS('Expenditure Breakdown'!$G$6:$G$368, 'Expenditure Breakdown'!$H$6:$H$368, "&gt;="&amp;HW1,'Expenditure Breakdown'!$H$6:$H$368, "&lt;"&amp;HX1)</f>
        <v>0</v>
      </c>
      <c r="HX5" s="191">
        <f>SUMIFS('Expenditure Breakdown'!$G$6:$G$368, 'Expenditure Breakdown'!$H$6:$H$368, "&gt;="&amp;HX1,'Expenditure Breakdown'!$H$6:$H$368, "&lt;"&amp;HY1)</f>
        <v>0</v>
      </c>
      <c r="HY5" s="191">
        <f>SUMIFS('Expenditure Breakdown'!$G$6:$G$368, 'Expenditure Breakdown'!$H$6:$H$368, "&gt;="&amp;HY1,'Expenditure Breakdown'!$H$6:$H$368, "&lt;"&amp;HZ1)</f>
        <v>0</v>
      </c>
      <c r="HZ5" s="191">
        <f>SUMIFS('Expenditure Breakdown'!$G$6:$G$368, 'Expenditure Breakdown'!$H$6:$H$368, "&gt;="&amp;HZ1,'Expenditure Breakdown'!$H$6:$H$368, "&lt;"&amp;IA1)</f>
        <v>0</v>
      </c>
      <c r="IA5" s="191">
        <f>SUMIFS('Expenditure Breakdown'!$G$6:$G$368, 'Expenditure Breakdown'!$H$6:$H$368, "&gt;="&amp;IA1,'Expenditure Breakdown'!$H$6:$H$368, "&lt;"&amp;IB1)</f>
        <v>0</v>
      </c>
      <c r="IB5" s="191">
        <f>SUMIFS('Expenditure Breakdown'!$G$6:$G$368, 'Expenditure Breakdown'!$H$6:$H$368, "&gt;="&amp;IB1,'Expenditure Breakdown'!$H$6:$H$368, "&lt;"&amp;IC1)</f>
        <v>0</v>
      </c>
      <c r="IC5" s="191">
        <f>SUMIFS('Expenditure Breakdown'!$G$6:$G$368, 'Expenditure Breakdown'!$H$6:$H$368, "&gt;="&amp;IC1,'Expenditure Breakdown'!$H$6:$H$368, "&lt;"&amp;ID1)</f>
        <v>0</v>
      </c>
      <c r="ID5" s="191">
        <f>SUMIFS('Expenditure Breakdown'!$G$6:$G$368, 'Expenditure Breakdown'!$H$6:$H$368, "&gt;="&amp;ID1,'Expenditure Breakdown'!$H$6:$H$368, "&lt;"&amp;IE1)</f>
        <v>0</v>
      </c>
      <c r="IE5" s="191">
        <f>SUMIFS('Expenditure Breakdown'!$G$6:$G$368, 'Expenditure Breakdown'!$H$6:$H$368, "&gt;="&amp;IE1,'Expenditure Breakdown'!$H$6:$H$368, "&lt;"&amp;IF1)</f>
        <v>0</v>
      </c>
      <c r="IF5" s="191">
        <f>SUMIFS('Expenditure Breakdown'!$G$6:$G$368, 'Expenditure Breakdown'!$H$6:$H$368, "&gt;="&amp;IF1,'Expenditure Breakdown'!$H$6:$H$368, "&lt;"&amp;IG1)</f>
        <v>0</v>
      </c>
      <c r="IG5" s="191">
        <f>SUMIFS('Expenditure Breakdown'!$G$6:$G$368, 'Expenditure Breakdown'!$H$6:$H$368, "&gt;="&amp;IG1,'Expenditure Breakdown'!$H$6:$H$368, "&lt;"&amp;IH1)</f>
        <v>0</v>
      </c>
      <c r="IH5" s="191">
        <f>SUMIFS('Expenditure Breakdown'!$G$6:$G$368, 'Expenditure Breakdown'!$H$6:$H$368, "&gt;="&amp;IH1,'Expenditure Breakdown'!$H$6:$H$368, "&lt;"&amp;II1)</f>
        <v>0</v>
      </c>
      <c r="II5" s="191">
        <f>SUMIFS('Expenditure Breakdown'!$G$6:$G$368, 'Expenditure Breakdown'!$H$6:$H$368, "&gt;="&amp;II1,'Expenditure Breakdown'!$H$6:$H$368, "&lt;"&amp;IJ1)</f>
        <v>0</v>
      </c>
      <c r="IJ5" s="191">
        <f>SUMIFS('Expenditure Breakdown'!$G$6:$G$368, 'Expenditure Breakdown'!$H$6:$H$368, "&gt;="&amp;IJ1,'Expenditure Breakdown'!$H$6:$H$368, "&lt;"&amp;IK1)</f>
        <v>0</v>
      </c>
      <c r="IK5" s="191">
        <f>SUMIFS('Expenditure Breakdown'!$G$6:$G$368, 'Expenditure Breakdown'!$H$6:$H$368, "&gt;="&amp;IK1,'Expenditure Breakdown'!$H$6:$H$368, "&lt;"&amp;IL1)</f>
        <v>0</v>
      </c>
      <c r="IL5" s="191">
        <f>SUMIFS('Expenditure Breakdown'!$G$6:$G$368, 'Expenditure Breakdown'!$H$6:$H$368, "&gt;="&amp;IL1,'Expenditure Breakdown'!$H$6:$H$368, "&lt;"&amp;IM1)</f>
        <v>0</v>
      </c>
      <c r="IM5" s="191">
        <f>SUMIFS('Expenditure Breakdown'!$G$6:$G$368, 'Expenditure Breakdown'!$H$6:$H$368, "&gt;="&amp;IM1,'Expenditure Breakdown'!$H$6:$H$368, "&lt;"&amp;IN1)</f>
        <v>0</v>
      </c>
      <c r="IN5" s="191">
        <f>SUMIFS('Expenditure Breakdown'!$G$6:$G$368, 'Expenditure Breakdown'!$H$6:$H$368, "&gt;="&amp;IN1,'Expenditure Breakdown'!$H$6:$H$368, "&lt;"&amp;IO1)</f>
        <v>0</v>
      </c>
      <c r="IO5" s="191">
        <f>SUMIFS('Expenditure Breakdown'!$G$6:$G$368, 'Expenditure Breakdown'!$H$6:$H$368, "&gt;="&amp;IO1,'Expenditure Breakdown'!$H$6:$H$368, "&lt;"&amp;IP1)</f>
        <v>0</v>
      </c>
      <c r="IP5" s="191">
        <f>SUMIFS('Expenditure Breakdown'!$G$6:$G$368, 'Expenditure Breakdown'!$H$6:$H$368, "&gt;="&amp;IP1,'Expenditure Breakdown'!$H$6:$H$368, "&lt;"&amp;IQ1)</f>
        <v>0</v>
      </c>
      <c r="IQ5" s="191">
        <f>SUMIFS('Expenditure Breakdown'!$G$6:$G$368, 'Expenditure Breakdown'!$H$6:$H$368, "&gt;="&amp;IQ1,'Expenditure Breakdown'!$H$6:$H$368, "&lt;"&amp;IR1)</f>
        <v>0</v>
      </c>
      <c r="IR5" s="191">
        <f>SUMIFS('Expenditure Breakdown'!$G$6:$G$368, 'Expenditure Breakdown'!$H$6:$H$368, "&gt;="&amp;IR1,'Expenditure Breakdown'!$H$6:$H$368, "&lt;"&amp;IS1)</f>
        <v>0</v>
      </c>
      <c r="IS5" s="191">
        <f>SUMIFS('Expenditure Breakdown'!$G$6:$G$368, 'Expenditure Breakdown'!$H$6:$H$368, "&gt;="&amp;IS1,'Expenditure Breakdown'!$H$6:$H$368, "&lt;"&amp;IT1)</f>
        <v>0</v>
      </c>
      <c r="IT5" s="191">
        <f>SUMIFS('Expenditure Breakdown'!$G$6:$G$368, 'Expenditure Breakdown'!$H$6:$H$368, "&gt;="&amp;IT1,'Expenditure Breakdown'!$H$6:$H$368, "&lt;"&amp;IU1)</f>
        <v>0</v>
      </c>
      <c r="IU5" s="191">
        <f>SUMIFS('Expenditure Breakdown'!$G$6:$G$368, 'Expenditure Breakdown'!$H$6:$H$368, "&gt;="&amp;IU1,'Expenditure Breakdown'!$H$6:$H$368, "&lt;"&amp;IV1)</f>
        <v>0</v>
      </c>
      <c r="IV5" s="191">
        <f>SUMIFS('Expenditure Breakdown'!$G$6:$G$368, 'Expenditure Breakdown'!$H$6:$H$368, "&gt;="&amp;IV1,'Expenditure Breakdown'!$H$6:$H$368, "&lt;"&amp;IW1)</f>
        <v>0</v>
      </c>
      <c r="IW5" s="191">
        <f>SUMIFS('Expenditure Breakdown'!$G$6:$G$368, 'Expenditure Breakdown'!$H$6:$H$368, "&gt;="&amp;IW1,'Expenditure Breakdown'!$H$6:$H$368, "&lt;"&amp;IX1)</f>
        <v>0</v>
      </c>
      <c r="IX5" s="191">
        <f>SUMIFS('Expenditure Breakdown'!$G$6:$G$368, 'Expenditure Breakdown'!$H$6:$H$368, "&gt;="&amp;IX1,'Expenditure Breakdown'!$H$6:$H$368, "&lt;"&amp;IY1)</f>
        <v>0</v>
      </c>
      <c r="IY5" s="191">
        <f>SUMIFS('Expenditure Breakdown'!$G$6:$G$368, 'Expenditure Breakdown'!$H$6:$H$368, "&gt;="&amp;IY1,'Expenditure Breakdown'!$H$6:$H$368, "&lt;"&amp;IZ1)</f>
        <v>0</v>
      </c>
      <c r="IZ5" s="191">
        <f>SUMIFS('Expenditure Breakdown'!$G$6:$G$368, 'Expenditure Breakdown'!$H$6:$H$368, "&gt;="&amp;IZ1,'Expenditure Breakdown'!$H$6:$H$368, "&lt;"&amp;JA1)</f>
        <v>0</v>
      </c>
      <c r="JA5" s="191">
        <f>SUMIFS('Expenditure Breakdown'!$G$6:$G$368, 'Expenditure Breakdown'!$H$6:$H$368, "&gt;="&amp;JA1,'Expenditure Breakdown'!$H$6:$H$368, "&lt;"&amp;JB1)</f>
        <v>0</v>
      </c>
      <c r="JB5" s="191">
        <f>SUMIFS('Expenditure Breakdown'!$G$6:$G$368, 'Expenditure Breakdown'!$H$6:$H$368, "&gt;="&amp;JB1,'Expenditure Breakdown'!$H$6:$H$368, "&lt;"&amp;JC1)</f>
        <v>0</v>
      </c>
      <c r="JC5" s="191">
        <f>SUMIFS('Expenditure Breakdown'!$G$6:$G$368, 'Expenditure Breakdown'!$H$6:$H$368, "&gt;="&amp;JC1,'Expenditure Breakdown'!$H$6:$H$368, "&lt;"&amp;JD1)</f>
        <v>0</v>
      </c>
      <c r="JD5" s="191">
        <f>SUMIFS('Expenditure Breakdown'!$G$6:$G$368, 'Expenditure Breakdown'!$H$6:$H$368, "&gt;="&amp;JD1,'Expenditure Breakdown'!$H$6:$H$368, "&lt;"&amp;JE1)</f>
        <v>0</v>
      </c>
      <c r="JE5" s="191">
        <f>SUMIFS('Expenditure Breakdown'!$G$6:$G$368, 'Expenditure Breakdown'!$H$6:$H$368, "&gt;="&amp;JE1,'Expenditure Breakdown'!$H$6:$H$368, "&lt;"&amp;JF1)</f>
        <v>0</v>
      </c>
      <c r="JF5" s="191">
        <f>SUMIFS('Expenditure Breakdown'!$G$6:$G$368, 'Expenditure Breakdown'!$H$6:$H$368, "&gt;="&amp;JF1,'Expenditure Breakdown'!$H$6:$H$368, "&lt;"&amp;JG1)</f>
        <v>0</v>
      </c>
      <c r="JG5" s="191">
        <f>SUMIFS('Expenditure Breakdown'!$G$6:$G$368, 'Expenditure Breakdown'!$H$6:$H$368, "&gt;="&amp;JG1,'Expenditure Breakdown'!$H$6:$H$368, "&lt;"&amp;JH1)</f>
        <v>0</v>
      </c>
      <c r="JH5" s="191">
        <f>SUMIFS('Expenditure Breakdown'!$G$6:$G$368, 'Expenditure Breakdown'!$H$6:$H$368, "&gt;="&amp;JH1,'Expenditure Breakdown'!$H$6:$H$368, "&lt;"&amp;JI1)</f>
        <v>0</v>
      </c>
      <c r="JI5" s="191">
        <f>SUMIFS('Expenditure Breakdown'!$G$6:$G$368, 'Expenditure Breakdown'!$H$6:$H$368, "&gt;="&amp;JI1,'Expenditure Breakdown'!$H$6:$H$368, "&lt;"&amp;JJ1)</f>
        <v>0</v>
      </c>
      <c r="JJ5" s="191">
        <f>SUMIFS('Expenditure Breakdown'!$G$6:$G$368, 'Expenditure Breakdown'!$H$6:$H$368, "&gt;="&amp;JJ1,'Expenditure Breakdown'!$H$6:$H$368, "&lt;"&amp;JK1)</f>
        <v>0</v>
      </c>
      <c r="JK5" s="191">
        <f>SUMIFS('Expenditure Breakdown'!$G$6:$G$368, 'Expenditure Breakdown'!$H$6:$H$368, "&gt;="&amp;JK1,'Expenditure Breakdown'!$H$6:$H$368, "&lt;"&amp;JL1)</f>
        <v>0</v>
      </c>
      <c r="JL5" s="191">
        <f>SUMIFS('Expenditure Breakdown'!$G$6:$G$368, 'Expenditure Breakdown'!$H$6:$H$368, "&gt;="&amp;JL1,'Expenditure Breakdown'!$H$6:$H$368, "&lt;"&amp;JM1)</f>
        <v>0</v>
      </c>
      <c r="JM5" s="191">
        <f>SUMIFS('Expenditure Breakdown'!$G$6:$G$368, 'Expenditure Breakdown'!$H$6:$H$368, "&gt;="&amp;JM1,'Expenditure Breakdown'!$H$6:$H$368, "&lt;"&amp;JN1)</f>
        <v>0</v>
      </c>
      <c r="JN5" s="191">
        <f>SUMIFS('Expenditure Breakdown'!$G$6:$G$368, 'Expenditure Breakdown'!$H$6:$H$368, "&gt;="&amp;JN1,'Expenditure Breakdown'!$H$6:$H$368, "&lt;"&amp;JO1)</f>
        <v>0</v>
      </c>
      <c r="JO5" s="191">
        <f>SUMIFS('Expenditure Breakdown'!$G$6:$G$368, 'Expenditure Breakdown'!$H$6:$H$368, "&gt;="&amp;JO1,'Expenditure Breakdown'!$H$6:$H$368, "&lt;"&amp;JP1)</f>
        <v>0</v>
      </c>
      <c r="JP5" s="191">
        <f>SUMIFS('Expenditure Breakdown'!$G$6:$G$368, 'Expenditure Breakdown'!$H$6:$H$368, "&gt;="&amp;JP1,'Expenditure Breakdown'!$H$6:$H$368, "&lt;"&amp;JQ1)</f>
        <v>0</v>
      </c>
      <c r="JQ5" s="191">
        <f>SUMIFS('Expenditure Breakdown'!$G$6:$G$368, 'Expenditure Breakdown'!$H$6:$H$368, "&gt;="&amp;JQ1,'Expenditure Breakdown'!$H$6:$H$368, "&lt;"&amp;JR1)</f>
        <v>0</v>
      </c>
      <c r="JR5" s="191">
        <f>SUMIFS('Expenditure Breakdown'!$G$6:$G$368, 'Expenditure Breakdown'!$H$6:$H$368, "&gt;="&amp;JR1,'Expenditure Breakdown'!$H$6:$H$368, "&lt;"&amp;JS1)</f>
        <v>0</v>
      </c>
      <c r="JS5" s="191">
        <f>SUMIFS('Expenditure Breakdown'!$G$6:$G$368, 'Expenditure Breakdown'!$H$6:$H$368, "&gt;="&amp;JS1,'Expenditure Breakdown'!$H$6:$H$368, "&lt;"&amp;JT1)</f>
        <v>0</v>
      </c>
      <c r="JT5" s="191">
        <f>SUMIFS('Expenditure Breakdown'!$G$6:$G$368, 'Expenditure Breakdown'!$H$6:$H$368, "&gt;="&amp;JT1,'Expenditure Breakdown'!$H$6:$H$368, "&lt;"&amp;JU1)</f>
        <v>0</v>
      </c>
      <c r="JU5" s="191">
        <f>SUMIFS('Expenditure Breakdown'!$G$6:$G$368, 'Expenditure Breakdown'!$H$6:$H$368, "&gt;="&amp;JU1,'Expenditure Breakdown'!$H$6:$H$368, "&lt;"&amp;JV1)</f>
        <v>0</v>
      </c>
      <c r="JV5" s="191">
        <f>SUMIFS('Expenditure Breakdown'!$G$6:$G$368, 'Expenditure Breakdown'!$H$6:$H$368, "&gt;="&amp;JV1,'Expenditure Breakdown'!$H$6:$H$368, "&lt;"&amp;JW1)</f>
        <v>0</v>
      </c>
      <c r="JW5" s="191">
        <f>SUMIFS('Expenditure Breakdown'!$G$6:$G$368, 'Expenditure Breakdown'!$H$6:$H$368, "&gt;="&amp;JW1,'Expenditure Breakdown'!$H$6:$H$368, "&lt;"&amp;JX1)</f>
        <v>0</v>
      </c>
      <c r="JX5" s="191">
        <f>SUMIFS('Expenditure Breakdown'!$G$6:$G$368, 'Expenditure Breakdown'!$H$6:$H$368, "&gt;="&amp;JX1,'Expenditure Breakdown'!$H$6:$H$368, "&lt;"&amp;JY1)</f>
        <v>0</v>
      </c>
      <c r="JY5" s="191">
        <f>SUMIFS('Expenditure Breakdown'!$G$6:$G$368, 'Expenditure Breakdown'!$H$6:$H$368, "&gt;="&amp;JY1,'Expenditure Breakdown'!$H$6:$H$368, "&lt;"&amp;JZ1)</f>
        <v>0</v>
      </c>
      <c r="JZ5" s="191">
        <f>SUMIFS('Expenditure Breakdown'!$G$6:$G$368, 'Expenditure Breakdown'!$H$6:$H$368, "&gt;="&amp;JZ1,'Expenditure Breakdown'!$H$6:$H$368, "&lt;"&amp;KA1)</f>
        <v>0</v>
      </c>
      <c r="KA5" s="191">
        <f>SUMIFS('Expenditure Breakdown'!$G$6:$G$368, 'Expenditure Breakdown'!$H$6:$H$368, "&gt;="&amp;KA1,'Expenditure Breakdown'!$H$6:$H$368, "&lt;"&amp;KB1)</f>
        <v>0</v>
      </c>
      <c r="KB5" s="191">
        <f>SUMIFS('Expenditure Breakdown'!$G$6:$G$368, 'Expenditure Breakdown'!$H$6:$H$368, "&gt;="&amp;KB1,'Expenditure Breakdown'!$H$6:$H$368, "&lt;"&amp;KC1)</f>
        <v>0</v>
      </c>
      <c r="KC5" s="191">
        <f>SUMIFS('Expenditure Breakdown'!$G$6:$G$368, 'Expenditure Breakdown'!$H$6:$H$368, "&gt;="&amp;KC1,'Expenditure Breakdown'!$H$6:$H$368, "&lt;"&amp;KD1)</f>
        <v>0</v>
      </c>
      <c r="KD5" s="191">
        <f>SUMIFS('Expenditure Breakdown'!$G$6:$G$368, 'Expenditure Breakdown'!$H$6:$H$368, "&gt;="&amp;KD1,'Expenditure Breakdown'!$H$6:$H$368, "&lt;"&amp;KE1)</f>
        <v>0</v>
      </c>
      <c r="KE5" s="191">
        <f>SUMIFS('Expenditure Breakdown'!$G$6:$G$368, 'Expenditure Breakdown'!$H$6:$H$368, "&gt;="&amp;KE1,'Expenditure Breakdown'!$H$6:$H$368, "&lt;"&amp;KF1)</f>
        <v>0</v>
      </c>
      <c r="KF5" s="191">
        <f>SUMIFS('Expenditure Breakdown'!$G$6:$G$368, 'Expenditure Breakdown'!$H$6:$H$368, "&gt;="&amp;KF1,'Expenditure Breakdown'!$H$6:$H$368, "&lt;"&amp;KG1)</f>
        <v>0</v>
      </c>
      <c r="KG5" s="191">
        <f>SUMIFS('Expenditure Breakdown'!$G$6:$G$368, 'Expenditure Breakdown'!$H$6:$H$368, "&gt;="&amp;KG1,'Expenditure Breakdown'!$H$6:$H$368, "&lt;"&amp;KH1)</f>
        <v>0</v>
      </c>
      <c r="KH5" s="191">
        <f>SUMIFS('Expenditure Breakdown'!$G$6:$G$368, 'Expenditure Breakdown'!$H$6:$H$368, "&gt;="&amp;KH1,'Expenditure Breakdown'!$H$6:$H$368, "&lt;"&amp;KI1)</f>
        <v>0</v>
      </c>
      <c r="KI5" s="191">
        <f>SUMIFS('Expenditure Breakdown'!$G$6:$G$368, 'Expenditure Breakdown'!$H$6:$H$368, "&gt;="&amp;KI1,'Expenditure Breakdown'!$H$6:$H$368, "&lt;"&amp;KJ1)</f>
        <v>0</v>
      </c>
      <c r="KJ5" s="191">
        <f>SUMIFS('Expenditure Breakdown'!$G$6:$G$368, 'Expenditure Breakdown'!$H$6:$H$368, "&gt;="&amp;KJ1,'Expenditure Breakdown'!$H$6:$H$368, "&lt;"&amp;KK1)</f>
        <v>0</v>
      </c>
      <c r="KK5" s="191">
        <f>SUMIFS('Expenditure Breakdown'!$G$6:$G$368, 'Expenditure Breakdown'!$H$6:$H$368, "&gt;="&amp;KK1,'Expenditure Breakdown'!$H$6:$H$368, "&lt;"&amp;KL1)</f>
        <v>0</v>
      </c>
      <c r="KL5" s="191">
        <f>SUMIFS('Expenditure Breakdown'!$G$6:$G$368, 'Expenditure Breakdown'!$H$6:$H$368, "&gt;="&amp;KL1,'Expenditure Breakdown'!$H$6:$H$368, "&lt;"&amp;KM1)</f>
        <v>0</v>
      </c>
      <c r="KM5" s="191">
        <f>SUMIFS('Expenditure Breakdown'!$G$6:$G$368, 'Expenditure Breakdown'!$H$6:$H$368, "&gt;="&amp;KM1,'Expenditure Breakdown'!$H$6:$H$368, "&lt;"&amp;KN1)</f>
        <v>0</v>
      </c>
      <c r="KN5" s="191">
        <f>SUMIFS('Expenditure Breakdown'!$G$6:$G$368, 'Expenditure Breakdown'!$H$6:$H$368, "&gt;="&amp;KN1,'Expenditure Breakdown'!$H$6:$H$368, "&lt;"&amp;KO1)</f>
        <v>0</v>
      </c>
      <c r="KO5" s="191">
        <f>SUMIFS('Expenditure Breakdown'!$G$6:$G$368, 'Expenditure Breakdown'!$H$6:$H$368, "&gt;="&amp;KO1,'Expenditure Breakdown'!$H$6:$H$368, "&lt;"&amp;KP1)</f>
        <v>0</v>
      </c>
      <c r="KP5" s="191">
        <f>SUMIFS('Expenditure Breakdown'!$G$6:$G$368, 'Expenditure Breakdown'!$H$6:$H$368, "&gt;="&amp;KP1,'Expenditure Breakdown'!$H$6:$H$368, "&lt;"&amp;KQ1)</f>
        <v>0</v>
      </c>
      <c r="KQ5" s="191">
        <f>SUMIFS('Expenditure Breakdown'!$G$6:$G$368, 'Expenditure Breakdown'!$H$6:$H$368, "&gt;="&amp;KQ1,'Expenditure Breakdown'!$H$6:$H$368, "&lt;"&amp;KR1)</f>
        <v>0</v>
      </c>
      <c r="KR5" s="191">
        <f>SUMIFS('Expenditure Breakdown'!$G$6:$G$368, 'Expenditure Breakdown'!$H$6:$H$368, "&gt;="&amp;KR1,'Expenditure Breakdown'!$H$6:$H$368, "&lt;"&amp;KS1)</f>
        <v>0</v>
      </c>
      <c r="KS5" s="191">
        <f>SUMIFS('Expenditure Breakdown'!$G$6:$G$368, 'Expenditure Breakdown'!$H$6:$H$368, "&gt;="&amp;KS1,'Expenditure Breakdown'!$H$6:$H$368, "&lt;"&amp;KT1)</f>
        <v>0</v>
      </c>
      <c r="KT5" s="191">
        <f>SUMIFS('Expenditure Breakdown'!$G$6:$G$368, 'Expenditure Breakdown'!$H$6:$H$368, "&gt;="&amp;KT1,'Expenditure Breakdown'!$H$6:$H$368, "&lt;"&amp;KU1)</f>
        <v>0</v>
      </c>
      <c r="KU5" s="191">
        <f>SUMIFS('Expenditure Breakdown'!$G$6:$G$368, 'Expenditure Breakdown'!$H$6:$H$368, "&gt;="&amp;KU1,'Expenditure Breakdown'!$H$6:$H$368, "&lt;"&amp;KV1)</f>
        <v>0</v>
      </c>
      <c r="KV5" s="191">
        <f>SUMIFS('Expenditure Breakdown'!$G$6:$G$368, 'Expenditure Breakdown'!$H$6:$H$368, "&gt;="&amp;KV1,'Expenditure Breakdown'!$H$6:$H$368, "&lt;"&amp;KW1)</f>
        <v>0</v>
      </c>
      <c r="KW5" s="191">
        <f>SUMIFS('Expenditure Breakdown'!$G$6:$G$368, 'Expenditure Breakdown'!$H$6:$H$368, "&gt;="&amp;KW1,'Expenditure Breakdown'!$H$6:$H$368, "&lt;"&amp;KX1)</f>
        <v>0</v>
      </c>
      <c r="KX5" s="191">
        <f>SUMIFS('Expenditure Breakdown'!$G$6:$G$368, 'Expenditure Breakdown'!$H$6:$H$368, "&gt;="&amp;KX1,'Expenditure Breakdown'!$H$6:$H$368, "&lt;"&amp;KY1)</f>
        <v>0</v>
      </c>
      <c r="KY5" s="191">
        <f>SUMIFS('Expenditure Breakdown'!$G$6:$G$368, 'Expenditure Breakdown'!$H$6:$H$368, "&gt;="&amp;KY1,'Expenditure Breakdown'!$H$6:$H$368, "&lt;"&amp;KZ1)</f>
        <v>0</v>
      </c>
      <c r="KZ5" s="191">
        <f>SUMIFS('Expenditure Breakdown'!$G$6:$G$368, 'Expenditure Breakdown'!$H$6:$H$368, "&gt;="&amp;KZ1,'Expenditure Breakdown'!$H$6:$H$368, "&lt;"&amp;LA1)</f>
        <v>0</v>
      </c>
      <c r="LA5" s="191">
        <f>SUMIFS('Expenditure Breakdown'!$G$6:$G$368, 'Expenditure Breakdown'!$H$6:$H$368, "&gt;="&amp;LA1,'Expenditure Breakdown'!$H$6:$H$368, "&lt;"&amp;LB1)</f>
        <v>0</v>
      </c>
      <c r="LB5" s="191">
        <f>SUMIFS('Expenditure Breakdown'!$G$6:$G$368, 'Expenditure Breakdown'!$H$6:$H$368, "&gt;="&amp;LB1,'Expenditure Breakdown'!$H$6:$H$368, "&lt;"&amp;LC1)</f>
        <v>0</v>
      </c>
      <c r="LC5" s="191">
        <f>SUMIFS('Expenditure Breakdown'!$G$6:$G$368, 'Expenditure Breakdown'!$H$6:$H$368, "&gt;="&amp;LC1,'Expenditure Breakdown'!$H$6:$H$368, "&lt;"&amp;LD1)</f>
        <v>0</v>
      </c>
      <c r="LD5" s="191">
        <f>SUMIFS('Expenditure Breakdown'!$G$6:$G$368, 'Expenditure Breakdown'!$H$6:$H$368, "&gt;="&amp;LD1,'Expenditure Breakdown'!$H$6:$H$368, "&lt;"&amp;#REF!)</f>
        <v>0</v>
      </c>
      <c r="LE5" s="181"/>
      <c r="LF5" s="192"/>
      <c r="LG5" s="192"/>
    </row>
    <row r="6" spans="1:794" s="193" customFormat="1">
      <c r="A6" s="930"/>
      <c r="B6" s="189" t="s">
        <v>731</v>
      </c>
      <c r="C6" s="190"/>
      <c r="D6" s="190"/>
      <c r="E6" s="187"/>
      <c r="F6" s="191">
        <f>F5</f>
        <v>0</v>
      </c>
      <c r="G6" s="191">
        <f>F6+G5</f>
        <v>0</v>
      </c>
      <c r="H6" s="191">
        <f>G6+H5</f>
        <v>0</v>
      </c>
      <c r="I6" s="191">
        <f t="shared" ref="I6:BT6" si="10">H6+I5</f>
        <v>0</v>
      </c>
      <c r="J6" s="191">
        <f t="shared" si="10"/>
        <v>0</v>
      </c>
      <c r="K6" s="191">
        <f t="shared" si="10"/>
        <v>0</v>
      </c>
      <c r="L6" s="191">
        <f t="shared" si="10"/>
        <v>0</v>
      </c>
      <c r="M6" s="191">
        <f t="shared" si="10"/>
        <v>0</v>
      </c>
      <c r="N6" s="191">
        <f t="shared" si="10"/>
        <v>0</v>
      </c>
      <c r="O6" s="191">
        <f t="shared" si="10"/>
        <v>0</v>
      </c>
      <c r="P6" s="191">
        <f t="shared" si="10"/>
        <v>0</v>
      </c>
      <c r="Q6" s="191">
        <f t="shared" si="10"/>
        <v>0</v>
      </c>
      <c r="R6" s="191">
        <f t="shared" si="10"/>
        <v>0</v>
      </c>
      <c r="S6" s="191">
        <f t="shared" si="10"/>
        <v>0</v>
      </c>
      <c r="T6" s="191">
        <f t="shared" si="10"/>
        <v>0</v>
      </c>
      <c r="U6" s="191">
        <f t="shared" si="10"/>
        <v>0</v>
      </c>
      <c r="V6" s="191">
        <f t="shared" si="10"/>
        <v>0</v>
      </c>
      <c r="W6" s="191">
        <f t="shared" si="10"/>
        <v>0</v>
      </c>
      <c r="X6" s="191">
        <f t="shared" si="10"/>
        <v>0</v>
      </c>
      <c r="Y6" s="191">
        <f t="shared" si="10"/>
        <v>0</v>
      </c>
      <c r="Z6" s="191">
        <f t="shared" si="10"/>
        <v>2760000</v>
      </c>
      <c r="AA6" s="191">
        <f t="shared" si="10"/>
        <v>17297831.300000001</v>
      </c>
      <c r="AB6" s="191">
        <f t="shared" si="10"/>
        <v>21658242.537</v>
      </c>
      <c r="AC6" s="191">
        <f t="shared" si="10"/>
        <v>21778242.537</v>
      </c>
      <c r="AD6" s="191">
        <f t="shared" si="10"/>
        <v>21778242.537</v>
      </c>
      <c r="AE6" s="191">
        <f t="shared" si="10"/>
        <v>21778242.537</v>
      </c>
      <c r="AF6" s="191">
        <f t="shared" si="10"/>
        <v>21812242.537</v>
      </c>
      <c r="AG6" s="191">
        <f t="shared" si="10"/>
        <v>29171028.446734875</v>
      </c>
      <c r="AH6" s="191">
        <f t="shared" si="10"/>
        <v>29171028.446734875</v>
      </c>
      <c r="AI6" s="191">
        <f t="shared" si="10"/>
        <v>29171028.446734875</v>
      </c>
      <c r="AJ6" s="191">
        <f t="shared" si="10"/>
        <v>29171028.446734875</v>
      </c>
      <c r="AK6" s="191">
        <f t="shared" si="10"/>
        <v>31216028.446734875</v>
      </c>
      <c r="AL6" s="191">
        <f t="shared" si="10"/>
        <v>42215837.346734874</v>
      </c>
      <c r="AM6" s="191">
        <f t="shared" si="10"/>
        <v>42215837.346734874</v>
      </c>
      <c r="AN6" s="191">
        <f t="shared" si="10"/>
        <v>42215837.346734874</v>
      </c>
      <c r="AO6" s="191">
        <f t="shared" si="10"/>
        <v>42610141.580068208</v>
      </c>
      <c r="AP6" s="191">
        <f t="shared" si="10"/>
        <v>42610141.580068208</v>
      </c>
      <c r="AQ6" s="191">
        <f t="shared" si="10"/>
        <v>42610141.580068208</v>
      </c>
      <c r="AR6" s="191">
        <f t="shared" si="10"/>
        <v>54641002.188568205</v>
      </c>
      <c r="AS6" s="191">
        <f t="shared" si="10"/>
        <v>54641002.188568205</v>
      </c>
      <c r="AT6" s="191">
        <f t="shared" si="10"/>
        <v>54641002.188568205</v>
      </c>
      <c r="AU6" s="191">
        <f t="shared" si="10"/>
        <v>54641002.188568205</v>
      </c>
      <c r="AV6" s="191">
        <f t="shared" si="10"/>
        <v>54641002.188568205</v>
      </c>
      <c r="AW6" s="191">
        <f t="shared" si="10"/>
        <v>54641002.188568205</v>
      </c>
      <c r="AX6" s="191">
        <f t="shared" si="10"/>
        <v>55146452.079139791</v>
      </c>
      <c r="AY6" s="191">
        <f t="shared" si="10"/>
        <v>55146452.079139791</v>
      </c>
      <c r="AZ6" s="191">
        <f t="shared" si="10"/>
        <v>55146452.079139791</v>
      </c>
      <c r="BA6" s="191">
        <f t="shared" si="10"/>
        <v>55146452.079139791</v>
      </c>
      <c r="BB6" s="191">
        <f t="shared" si="10"/>
        <v>55146452.079139791</v>
      </c>
      <c r="BC6" s="191">
        <f t="shared" si="10"/>
        <v>56096452.079139791</v>
      </c>
      <c r="BD6" s="191">
        <f t="shared" si="10"/>
        <v>56096452.079139791</v>
      </c>
      <c r="BE6" s="191">
        <f t="shared" si="10"/>
        <v>56096452.079139791</v>
      </c>
      <c r="BF6" s="191">
        <f t="shared" si="10"/>
        <v>56096452.079139791</v>
      </c>
      <c r="BG6" s="191">
        <f t="shared" si="10"/>
        <v>56096452.079139791</v>
      </c>
      <c r="BH6" s="191">
        <f t="shared" si="10"/>
        <v>56096452.079139791</v>
      </c>
      <c r="BI6" s="191">
        <f t="shared" si="10"/>
        <v>56096452.079139791</v>
      </c>
      <c r="BJ6" s="191">
        <f t="shared" si="10"/>
        <v>56096452.079139791</v>
      </c>
      <c r="BK6" s="191">
        <f t="shared" si="10"/>
        <v>56096452.079139791</v>
      </c>
      <c r="BL6" s="191">
        <f t="shared" si="10"/>
        <v>56096452.079139791</v>
      </c>
      <c r="BM6" s="191">
        <f t="shared" si="10"/>
        <v>56096452.079139791</v>
      </c>
      <c r="BN6" s="191">
        <f t="shared" si="10"/>
        <v>56096452.079139791</v>
      </c>
      <c r="BO6" s="191">
        <f t="shared" si="10"/>
        <v>56096452.079139791</v>
      </c>
      <c r="BP6" s="191">
        <f t="shared" si="10"/>
        <v>56096452.079139791</v>
      </c>
      <c r="BQ6" s="191">
        <f t="shared" si="10"/>
        <v>56096452.079139791</v>
      </c>
      <c r="BR6" s="191">
        <f t="shared" si="10"/>
        <v>56096452.079139791</v>
      </c>
      <c r="BS6" s="191">
        <f t="shared" si="10"/>
        <v>56096452.079139791</v>
      </c>
      <c r="BT6" s="191">
        <f t="shared" si="10"/>
        <v>56096452.079139791</v>
      </c>
      <c r="BU6" s="191">
        <f t="shared" ref="BU6:EF6" si="11">BT6+BU5</f>
        <v>56096452.079139791</v>
      </c>
      <c r="BV6" s="191">
        <f t="shared" si="11"/>
        <v>56096452.079139791</v>
      </c>
      <c r="BW6" s="191">
        <f t="shared" si="11"/>
        <v>56096452.079139791</v>
      </c>
      <c r="BX6" s="191">
        <f t="shared" si="11"/>
        <v>56096452.079139791</v>
      </c>
      <c r="BY6" s="191">
        <f t="shared" si="11"/>
        <v>56096452.079139791</v>
      </c>
      <c r="BZ6" s="191">
        <f t="shared" si="11"/>
        <v>56096452.079139791</v>
      </c>
      <c r="CA6" s="191">
        <f t="shared" si="11"/>
        <v>56096452.079139791</v>
      </c>
      <c r="CB6" s="191">
        <f t="shared" si="11"/>
        <v>56096452.079139791</v>
      </c>
      <c r="CC6" s="191">
        <f t="shared" si="11"/>
        <v>56096452.079139791</v>
      </c>
      <c r="CD6" s="191">
        <f t="shared" si="11"/>
        <v>56096452.079139791</v>
      </c>
      <c r="CE6" s="191">
        <f t="shared" si="11"/>
        <v>56096452.079139791</v>
      </c>
      <c r="CF6" s="191">
        <f t="shared" si="11"/>
        <v>56096452.079139791</v>
      </c>
      <c r="CG6" s="191">
        <f t="shared" si="11"/>
        <v>56096452.079139791</v>
      </c>
      <c r="CH6" s="191">
        <f t="shared" si="11"/>
        <v>56096452.079139791</v>
      </c>
      <c r="CI6" s="191">
        <f t="shared" si="11"/>
        <v>56096452.079139791</v>
      </c>
      <c r="CJ6" s="191">
        <f t="shared" si="11"/>
        <v>56096452.079139791</v>
      </c>
      <c r="CK6" s="191">
        <f t="shared" si="11"/>
        <v>56096452.079139791</v>
      </c>
      <c r="CL6" s="191">
        <f t="shared" si="11"/>
        <v>56096452.079139791</v>
      </c>
      <c r="CM6" s="191">
        <f t="shared" si="11"/>
        <v>56096452.079139791</v>
      </c>
      <c r="CN6" s="191">
        <f t="shared" si="11"/>
        <v>56096452.079139791</v>
      </c>
      <c r="CO6" s="191">
        <f t="shared" si="11"/>
        <v>56096452.079139791</v>
      </c>
      <c r="CP6" s="191">
        <f t="shared" si="11"/>
        <v>56096452.079139791</v>
      </c>
      <c r="CQ6" s="191">
        <f t="shared" si="11"/>
        <v>56096452.079139791</v>
      </c>
      <c r="CR6" s="191">
        <f t="shared" si="11"/>
        <v>56096452.079139791</v>
      </c>
      <c r="CS6" s="191">
        <f t="shared" si="11"/>
        <v>56096452.079139791</v>
      </c>
      <c r="CT6" s="191">
        <f t="shared" si="11"/>
        <v>56096452.079139791</v>
      </c>
      <c r="CU6" s="191">
        <f t="shared" si="11"/>
        <v>56096452.079139791</v>
      </c>
      <c r="CV6" s="191">
        <f t="shared" si="11"/>
        <v>56096452.079139791</v>
      </c>
      <c r="CW6" s="191">
        <f t="shared" si="11"/>
        <v>56096452.079139791</v>
      </c>
      <c r="CX6" s="191">
        <f t="shared" si="11"/>
        <v>56096452.079139791</v>
      </c>
      <c r="CY6" s="191">
        <f t="shared" si="11"/>
        <v>56096452.079139791</v>
      </c>
      <c r="CZ6" s="191">
        <f t="shared" si="11"/>
        <v>56096452.079139791</v>
      </c>
      <c r="DA6" s="191">
        <f t="shared" si="11"/>
        <v>56096452.079139791</v>
      </c>
      <c r="DB6" s="191">
        <f t="shared" si="11"/>
        <v>56096452.079139791</v>
      </c>
      <c r="DC6" s="191">
        <f t="shared" si="11"/>
        <v>56096452.079139791</v>
      </c>
      <c r="DD6" s="191">
        <f t="shared" si="11"/>
        <v>56096452.079139791</v>
      </c>
      <c r="DE6" s="191">
        <f t="shared" si="11"/>
        <v>56096452.079139791</v>
      </c>
      <c r="DF6" s="191">
        <f t="shared" si="11"/>
        <v>56096452.079139791</v>
      </c>
      <c r="DG6" s="191">
        <f t="shared" si="11"/>
        <v>56096452.079139791</v>
      </c>
      <c r="DH6" s="191">
        <f t="shared" si="11"/>
        <v>56096452.079139791</v>
      </c>
      <c r="DI6" s="191">
        <f t="shared" si="11"/>
        <v>56096452.079139791</v>
      </c>
      <c r="DJ6" s="191">
        <f t="shared" si="11"/>
        <v>56096452.079139791</v>
      </c>
      <c r="DK6" s="191">
        <f t="shared" si="11"/>
        <v>56096452.079139791</v>
      </c>
      <c r="DL6" s="191">
        <f t="shared" si="11"/>
        <v>56096452.079139791</v>
      </c>
      <c r="DM6" s="191">
        <f t="shared" si="11"/>
        <v>56096452.079139791</v>
      </c>
      <c r="DN6" s="191">
        <f t="shared" si="11"/>
        <v>56096452.079139791</v>
      </c>
      <c r="DO6" s="191">
        <f t="shared" si="11"/>
        <v>56096452.079139791</v>
      </c>
      <c r="DP6" s="191">
        <f t="shared" si="11"/>
        <v>56096452.079139791</v>
      </c>
      <c r="DQ6" s="191">
        <f t="shared" si="11"/>
        <v>56096452.079139791</v>
      </c>
      <c r="DR6" s="191">
        <f t="shared" si="11"/>
        <v>56096452.079139791</v>
      </c>
      <c r="DS6" s="191">
        <f t="shared" si="11"/>
        <v>56096452.079139791</v>
      </c>
      <c r="DT6" s="191">
        <f t="shared" si="11"/>
        <v>56096452.079139791</v>
      </c>
      <c r="DU6" s="191">
        <f t="shared" si="11"/>
        <v>56096452.079139791</v>
      </c>
      <c r="DV6" s="191">
        <f t="shared" si="11"/>
        <v>56096452.079139791</v>
      </c>
      <c r="DW6" s="191">
        <f t="shared" si="11"/>
        <v>56096452.079139791</v>
      </c>
      <c r="DX6" s="191">
        <f t="shared" si="11"/>
        <v>56096452.079139791</v>
      </c>
      <c r="DY6" s="191">
        <f t="shared" si="11"/>
        <v>56096452.079139791</v>
      </c>
      <c r="DZ6" s="191">
        <f t="shared" si="11"/>
        <v>56096452.079139791</v>
      </c>
      <c r="EA6" s="191">
        <f t="shared" si="11"/>
        <v>56096452.079139791</v>
      </c>
      <c r="EB6" s="191">
        <f t="shared" si="11"/>
        <v>56096452.079139791</v>
      </c>
      <c r="EC6" s="191">
        <f t="shared" si="11"/>
        <v>56096452.079139791</v>
      </c>
      <c r="ED6" s="191">
        <f t="shared" si="11"/>
        <v>56096452.079139791</v>
      </c>
      <c r="EE6" s="191">
        <f t="shared" si="11"/>
        <v>56096452.079139791</v>
      </c>
      <c r="EF6" s="191">
        <f t="shared" si="11"/>
        <v>56096452.079139791</v>
      </c>
      <c r="EG6" s="191">
        <f t="shared" ref="EG6:GR6" si="12">EF6+EG5</f>
        <v>56096452.079139791</v>
      </c>
      <c r="EH6" s="191">
        <f t="shared" si="12"/>
        <v>56096452.079139791</v>
      </c>
      <c r="EI6" s="191">
        <f t="shared" si="12"/>
        <v>56096452.079139791</v>
      </c>
      <c r="EJ6" s="191">
        <f t="shared" si="12"/>
        <v>56096452.079139791</v>
      </c>
      <c r="EK6" s="191">
        <f t="shared" si="12"/>
        <v>56096452.079139791</v>
      </c>
      <c r="EL6" s="191">
        <f t="shared" si="12"/>
        <v>56096452.079139791</v>
      </c>
      <c r="EM6" s="191">
        <f t="shared" si="12"/>
        <v>56096452.079139791</v>
      </c>
      <c r="EN6" s="191">
        <f t="shared" si="12"/>
        <v>56096452.079139791</v>
      </c>
      <c r="EO6" s="191">
        <f t="shared" si="12"/>
        <v>56096452.079139791</v>
      </c>
      <c r="EP6" s="191">
        <f t="shared" si="12"/>
        <v>56096452.079139791</v>
      </c>
      <c r="EQ6" s="191">
        <f t="shared" si="12"/>
        <v>56096452.079139791</v>
      </c>
      <c r="ER6" s="191">
        <f t="shared" si="12"/>
        <v>56096452.079139791</v>
      </c>
      <c r="ES6" s="191">
        <f t="shared" si="12"/>
        <v>56096452.079139791</v>
      </c>
      <c r="ET6" s="191">
        <f t="shared" si="12"/>
        <v>56096452.079139791</v>
      </c>
      <c r="EU6" s="191">
        <f t="shared" si="12"/>
        <v>56096452.079139791</v>
      </c>
      <c r="EV6" s="191">
        <f t="shared" si="12"/>
        <v>56096452.079139791</v>
      </c>
      <c r="EW6" s="191">
        <f t="shared" si="12"/>
        <v>56096452.079139791</v>
      </c>
      <c r="EX6" s="191">
        <f t="shared" si="12"/>
        <v>56096452.079139791</v>
      </c>
      <c r="EY6" s="191">
        <f t="shared" si="12"/>
        <v>56096452.079139791</v>
      </c>
      <c r="EZ6" s="191">
        <f t="shared" si="12"/>
        <v>56096452.079139791</v>
      </c>
      <c r="FA6" s="191">
        <f t="shared" si="12"/>
        <v>56096452.079139791</v>
      </c>
      <c r="FB6" s="191">
        <f t="shared" si="12"/>
        <v>56096452.079139791</v>
      </c>
      <c r="FC6" s="191">
        <f t="shared" si="12"/>
        <v>56096452.079139791</v>
      </c>
      <c r="FD6" s="191">
        <f t="shared" si="12"/>
        <v>56096452.079139791</v>
      </c>
      <c r="FE6" s="191">
        <f t="shared" si="12"/>
        <v>56096452.079139791</v>
      </c>
      <c r="FF6" s="191">
        <f t="shared" si="12"/>
        <v>56096452.079139791</v>
      </c>
      <c r="FG6" s="191">
        <f t="shared" si="12"/>
        <v>56096452.079139791</v>
      </c>
      <c r="FH6" s="191">
        <f t="shared" si="12"/>
        <v>56096452.079139791</v>
      </c>
      <c r="FI6" s="191">
        <f t="shared" si="12"/>
        <v>56096452.079139791</v>
      </c>
      <c r="FJ6" s="191">
        <f t="shared" si="12"/>
        <v>56096452.079139791</v>
      </c>
      <c r="FK6" s="191">
        <f t="shared" si="12"/>
        <v>56096452.079139791</v>
      </c>
      <c r="FL6" s="191">
        <f t="shared" si="12"/>
        <v>56096452.079139791</v>
      </c>
      <c r="FM6" s="191">
        <f t="shared" si="12"/>
        <v>56096452.079139791</v>
      </c>
      <c r="FN6" s="191">
        <f t="shared" si="12"/>
        <v>56096452.079139791</v>
      </c>
      <c r="FO6" s="191">
        <f t="shared" si="12"/>
        <v>56096452.079139791</v>
      </c>
      <c r="FP6" s="191">
        <f t="shared" si="12"/>
        <v>56096452.079139791</v>
      </c>
      <c r="FQ6" s="191">
        <f t="shared" si="12"/>
        <v>56096452.079139791</v>
      </c>
      <c r="FR6" s="191">
        <f t="shared" si="12"/>
        <v>56096452.079139791</v>
      </c>
      <c r="FS6" s="191">
        <f t="shared" si="12"/>
        <v>56096452.079139791</v>
      </c>
      <c r="FT6" s="191">
        <f t="shared" si="12"/>
        <v>56096452.079139791</v>
      </c>
      <c r="FU6" s="191">
        <f t="shared" si="12"/>
        <v>56096452.079139791</v>
      </c>
      <c r="FV6" s="191">
        <f t="shared" si="12"/>
        <v>56096452.079139791</v>
      </c>
      <c r="FW6" s="191">
        <f t="shared" si="12"/>
        <v>56096452.079139791</v>
      </c>
      <c r="FX6" s="191">
        <f t="shared" si="12"/>
        <v>56096452.079139791</v>
      </c>
      <c r="FY6" s="191">
        <f t="shared" si="12"/>
        <v>56096452.079139791</v>
      </c>
      <c r="FZ6" s="191">
        <f t="shared" si="12"/>
        <v>56096452.079139791</v>
      </c>
      <c r="GA6" s="191">
        <f t="shared" si="12"/>
        <v>56096452.079139791</v>
      </c>
      <c r="GB6" s="191">
        <f t="shared" si="12"/>
        <v>56096452.079139791</v>
      </c>
      <c r="GC6" s="191">
        <f t="shared" si="12"/>
        <v>56096452.079139791</v>
      </c>
      <c r="GD6" s="191">
        <f t="shared" si="12"/>
        <v>56096452.079139791</v>
      </c>
      <c r="GE6" s="191">
        <f t="shared" si="12"/>
        <v>56096452.079139791</v>
      </c>
      <c r="GF6" s="191">
        <f t="shared" si="12"/>
        <v>56096452.079139791</v>
      </c>
      <c r="GG6" s="191">
        <f t="shared" si="12"/>
        <v>56096452.079139791</v>
      </c>
      <c r="GH6" s="191">
        <f t="shared" si="12"/>
        <v>56096452.079139791</v>
      </c>
      <c r="GI6" s="191">
        <f t="shared" si="12"/>
        <v>56096452.079139791</v>
      </c>
      <c r="GJ6" s="191">
        <f t="shared" si="12"/>
        <v>56096452.079139791</v>
      </c>
      <c r="GK6" s="191">
        <f t="shared" si="12"/>
        <v>56096452.079139791</v>
      </c>
      <c r="GL6" s="191">
        <f t="shared" si="12"/>
        <v>56096452.079139791</v>
      </c>
      <c r="GM6" s="191">
        <f t="shared" si="12"/>
        <v>56096452.079139791</v>
      </c>
      <c r="GN6" s="191">
        <f t="shared" si="12"/>
        <v>56096452.079139791</v>
      </c>
      <c r="GO6" s="191">
        <f t="shared" si="12"/>
        <v>56096452.079139791</v>
      </c>
      <c r="GP6" s="191">
        <f t="shared" si="12"/>
        <v>56096452.079139791</v>
      </c>
      <c r="GQ6" s="191">
        <f t="shared" si="12"/>
        <v>56096452.079139791</v>
      </c>
      <c r="GR6" s="191">
        <f t="shared" si="12"/>
        <v>56096452.079139791</v>
      </c>
      <c r="GS6" s="191">
        <f t="shared" ref="GS6:JD6" si="13">GR6+GS5</f>
        <v>56096452.079139791</v>
      </c>
      <c r="GT6" s="191">
        <f t="shared" si="13"/>
        <v>56096452.079139791</v>
      </c>
      <c r="GU6" s="191">
        <f t="shared" si="13"/>
        <v>56096452.079139791</v>
      </c>
      <c r="GV6" s="191">
        <f t="shared" si="13"/>
        <v>56096452.079139791</v>
      </c>
      <c r="GW6" s="191">
        <f t="shared" si="13"/>
        <v>56096452.079139791</v>
      </c>
      <c r="GX6" s="191">
        <f t="shared" si="13"/>
        <v>56096452.079139791</v>
      </c>
      <c r="GY6" s="191">
        <f t="shared" si="13"/>
        <v>56096452.079139791</v>
      </c>
      <c r="GZ6" s="191">
        <f t="shared" si="13"/>
        <v>56096452.079139791</v>
      </c>
      <c r="HA6" s="191">
        <f t="shared" si="13"/>
        <v>56096452.079139791</v>
      </c>
      <c r="HB6" s="191">
        <f t="shared" si="13"/>
        <v>56096452.079139791</v>
      </c>
      <c r="HC6" s="191">
        <f t="shared" si="13"/>
        <v>56096452.079139791</v>
      </c>
      <c r="HD6" s="191">
        <f t="shared" si="13"/>
        <v>56096452.079139791</v>
      </c>
      <c r="HE6" s="191">
        <f t="shared" si="13"/>
        <v>56096452.079139791</v>
      </c>
      <c r="HF6" s="191">
        <f t="shared" si="13"/>
        <v>56096452.079139791</v>
      </c>
      <c r="HG6" s="191">
        <f t="shared" si="13"/>
        <v>56096452.079139791</v>
      </c>
      <c r="HH6" s="191">
        <f t="shared" si="13"/>
        <v>56096452.079139791</v>
      </c>
      <c r="HI6" s="191">
        <f t="shared" si="13"/>
        <v>56096452.079139791</v>
      </c>
      <c r="HJ6" s="191">
        <f t="shared" si="13"/>
        <v>56096452.079139791</v>
      </c>
      <c r="HK6" s="191">
        <f t="shared" si="13"/>
        <v>56096452.079139791</v>
      </c>
      <c r="HL6" s="191">
        <f t="shared" si="13"/>
        <v>56096452.079139791</v>
      </c>
      <c r="HM6" s="191">
        <f t="shared" si="13"/>
        <v>56096452.079139791</v>
      </c>
      <c r="HN6" s="191">
        <f t="shared" si="13"/>
        <v>56096452.079139791</v>
      </c>
      <c r="HO6" s="191">
        <f t="shared" si="13"/>
        <v>56096452.079139791</v>
      </c>
      <c r="HP6" s="191">
        <f t="shared" si="13"/>
        <v>56096452.079139791</v>
      </c>
      <c r="HQ6" s="191">
        <f t="shared" si="13"/>
        <v>56096452.079139791</v>
      </c>
      <c r="HR6" s="191">
        <f t="shared" si="13"/>
        <v>56096452.079139791</v>
      </c>
      <c r="HS6" s="191">
        <f t="shared" si="13"/>
        <v>56096452.079139791</v>
      </c>
      <c r="HT6" s="191">
        <f t="shared" si="13"/>
        <v>56096452.079139791</v>
      </c>
      <c r="HU6" s="191">
        <f t="shared" si="13"/>
        <v>56096452.079139791</v>
      </c>
      <c r="HV6" s="191">
        <f t="shared" si="13"/>
        <v>56096452.079139791</v>
      </c>
      <c r="HW6" s="191">
        <f t="shared" si="13"/>
        <v>56096452.079139791</v>
      </c>
      <c r="HX6" s="191">
        <f t="shared" si="13"/>
        <v>56096452.079139791</v>
      </c>
      <c r="HY6" s="191">
        <f t="shared" si="13"/>
        <v>56096452.079139791</v>
      </c>
      <c r="HZ6" s="191">
        <f t="shared" si="13"/>
        <v>56096452.079139791</v>
      </c>
      <c r="IA6" s="191">
        <f t="shared" si="13"/>
        <v>56096452.079139791</v>
      </c>
      <c r="IB6" s="191">
        <f t="shared" si="13"/>
        <v>56096452.079139791</v>
      </c>
      <c r="IC6" s="191">
        <f t="shared" si="13"/>
        <v>56096452.079139791</v>
      </c>
      <c r="ID6" s="191">
        <f t="shared" si="13"/>
        <v>56096452.079139791</v>
      </c>
      <c r="IE6" s="191">
        <f t="shared" si="13"/>
        <v>56096452.079139791</v>
      </c>
      <c r="IF6" s="191">
        <f t="shared" si="13"/>
        <v>56096452.079139791</v>
      </c>
      <c r="IG6" s="191">
        <f t="shared" si="13"/>
        <v>56096452.079139791</v>
      </c>
      <c r="IH6" s="191">
        <f t="shared" si="13"/>
        <v>56096452.079139791</v>
      </c>
      <c r="II6" s="191">
        <f t="shared" si="13"/>
        <v>56096452.079139791</v>
      </c>
      <c r="IJ6" s="191">
        <f t="shared" si="13"/>
        <v>56096452.079139791</v>
      </c>
      <c r="IK6" s="191">
        <f t="shared" si="13"/>
        <v>56096452.079139791</v>
      </c>
      <c r="IL6" s="191">
        <f t="shared" si="13"/>
        <v>56096452.079139791</v>
      </c>
      <c r="IM6" s="191">
        <f t="shared" si="13"/>
        <v>56096452.079139791</v>
      </c>
      <c r="IN6" s="191">
        <f t="shared" si="13"/>
        <v>56096452.079139791</v>
      </c>
      <c r="IO6" s="191">
        <f t="shared" si="13"/>
        <v>56096452.079139791</v>
      </c>
      <c r="IP6" s="191">
        <f t="shared" si="13"/>
        <v>56096452.079139791</v>
      </c>
      <c r="IQ6" s="191">
        <f t="shared" si="13"/>
        <v>56096452.079139791</v>
      </c>
      <c r="IR6" s="191">
        <f t="shared" si="13"/>
        <v>56096452.079139791</v>
      </c>
      <c r="IS6" s="191">
        <f t="shared" si="13"/>
        <v>56096452.079139791</v>
      </c>
      <c r="IT6" s="191">
        <f t="shared" si="13"/>
        <v>56096452.079139791</v>
      </c>
      <c r="IU6" s="191">
        <f t="shared" si="13"/>
        <v>56096452.079139791</v>
      </c>
      <c r="IV6" s="191">
        <f t="shared" si="13"/>
        <v>56096452.079139791</v>
      </c>
      <c r="IW6" s="191">
        <f t="shared" si="13"/>
        <v>56096452.079139791</v>
      </c>
      <c r="IX6" s="191">
        <f t="shared" si="13"/>
        <v>56096452.079139791</v>
      </c>
      <c r="IY6" s="191">
        <f t="shared" si="13"/>
        <v>56096452.079139791</v>
      </c>
      <c r="IZ6" s="191">
        <f t="shared" si="13"/>
        <v>56096452.079139791</v>
      </c>
      <c r="JA6" s="191">
        <f t="shared" si="13"/>
        <v>56096452.079139791</v>
      </c>
      <c r="JB6" s="191">
        <f t="shared" si="13"/>
        <v>56096452.079139791</v>
      </c>
      <c r="JC6" s="191">
        <f t="shared" si="13"/>
        <v>56096452.079139791</v>
      </c>
      <c r="JD6" s="191">
        <f t="shared" si="13"/>
        <v>56096452.079139791</v>
      </c>
      <c r="JE6" s="191">
        <f t="shared" ref="JE6:LD6" si="14">JD6+JE5</f>
        <v>56096452.079139791</v>
      </c>
      <c r="JF6" s="191">
        <f t="shared" si="14"/>
        <v>56096452.079139791</v>
      </c>
      <c r="JG6" s="191">
        <f t="shared" si="14"/>
        <v>56096452.079139791</v>
      </c>
      <c r="JH6" s="191">
        <f t="shared" si="14"/>
        <v>56096452.079139791</v>
      </c>
      <c r="JI6" s="191">
        <f t="shared" si="14"/>
        <v>56096452.079139791</v>
      </c>
      <c r="JJ6" s="191">
        <f t="shared" si="14"/>
        <v>56096452.079139791</v>
      </c>
      <c r="JK6" s="191">
        <f t="shared" si="14"/>
        <v>56096452.079139791</v>
      </c>
      <c r="JL6" s="191">
        <f t="shared" si="14"/>
        <v>56096452.079139791</v>
      </c>
      <c r="JM6" s="191">
        <f t="shared" si="14"/>
        <v>56096452.079139791</v>
      </c>
      <c r="JN6" s="191">
        <f t="shared" si="14"/>
        <v>56096452.079139791</v>
      </c>
      <c r="JO6" s="191">
        <f t="shared" si="14"/>
        <v>56096452.079139791</v>
      </c>
      <c r="JP6" s="191">
        <f t="shared" si="14"/>
        <v>56096452.079139791</v>
      </c>
      <c r="JQ6" s="191">
        <f t="shared" si="14"/>
        <v>56096452.079139791</v>
      </c>
      <c r="JR6" s="191">
        <f t="shared" si="14"/>
        <v>56096452.079139791</v>
      </c>
      <c r="JS6" s="191">
        <f t="shared" si="14"/>
        <v>56096452.079139791</v>
      </c>
      <c r="JT6" s="191">
        <f t="shared" si="14"/>
        <v>56096452.079139791</v>
      </c>
      <c r="JU6" s="191">
        <f t="shared" si="14"/>
        <v>56096452.079139791</v>
      </c>
      <c r="JV6" s="191">
        <f t="shared" si="14"/>
        <v>56096452.079139791</v>
      </c>
      <c r="JW6" s="191">
        <f t="shared" si="14"/>
        <v>56096452.079139791</v>
      </c>
      <c r="JX6" s="191">
        <f t="shared" si="14"/>
        <v>56096452.079139791</v>
      </c>
      <c r="JY6" s="191">
        <f t="shared" si="14"/>
        <v>56096452.079139791</v>
      </c>
      <c r="JZ6" s="191">
        <f t="shared" si="14"/>
        <v>56096452.079139791</v>
      </c>
      <c r="KA6" s="191">
        <f t="shared" si="14"/>
        <v>56096452.079139791</v>
      </c>
      <c r="KB6" s="191">
        <f t="shared" si="14"/>
        <v>56096452.079139791</v>
      </c>
      <c r="KC6" s="191">
        <f t="shared" si="14"/>
        <v>56096452.079139791</v>
      </c>
      <c r="KD6" s="191">
        <f t="shared" si="14"/>
        <v>56096452.079139791</v>
      </c>
      <c r="KE6" s="191">
        <f t="shared" si="14"/>
        <v>56096452.079139791</v>
      </c>
      <c r="KF6" s="191">
        <f t="shared" si="14"/>
        <v>56096452.079139791</v>
      </c>
      <c r="KG6" s="191">
        <f t="shared" si="14"/>
        <v>56096452.079139791</v>
      </c>
      <c r="KH6" s="191">
        <f t="shared" si="14"/>
        <v>56096452.079139791</v>
      </c>
      <c r="KI6" s="191">
        <f t="shared" si="14"/>
        <v>56096452.079139791</v>
      </c>
      <c r="KJ6" s="191">
        <f t="shared" si="14"/>
        <v>56096452.079139791</v>
      </c>
      <c r="KK6" s="191">
        <f t="shared" si="14"/>
        <v>56096452.079139791</v>
      </c>
      <c r="KL6" s="191">
        <f t="shared" si="14"/>
        <v>56096452.079139791</v>
      </c>
      <c r="KM6" s="191">
        <f t="shared" si="14"/>
        <v>56096452.079139791</v>
      </c>
      <c r="KN6" s="191">
        <f t="shared" si="14"/>
        <v>56096452.079139791</v>
      </c>
      <c r="KO6" s="191">
        <f t="shared" si="14"/>
        <v>56096452.079139791</v>
      </c>
      <c r="KP6" s="191">
        <f t="shared" si="14"/>
        <v>56096452.079139791</v>
      </c>
      <c r="KQ6" s="191">
        <f t="shared" si="14"/>
        <v>56096452.079139791</v>
      </c>
      <c r="KR6" s="191">
        <f t="shared" si="14"/>
        <v>56096452.079139791</v>
      </c>
      <c r="KS6" s="191">
        <f t="shared" si="14"/>
        <v>56096452.079139791</v>
      </c>
      <c r="KT6" s="191">
        <f t="shared" si="14"/>
        <v>56096452.079139791</v>
      </c>
      <c r="KU6" s="191">
        <f t="shared" si="14"/>
        <v>56096452.079139791</v>
      </c>
      <c r="KV6" s="191">
        <f t="shared" si="14"/>
        <v>56096452.079139791</v>
      </c>
      <c r="KW6" s="191">
        <f t="shared" si="14"/>
        <v>56096452.079139791</v>
      </c>
      <c r="KX6" s="191">
        <f t="shared" si="14"/>
        <v>56096452.079139791</v>
      </c>
      <c r="KY6" s="191">
        <f t="shared" si="14"/>
        <v>56096452.079139791</v>
      </c>
      <c r="KZ6" s="191">
        <f t="shared" si="14"/>
        <v>56096452.079139791</v>
      </c>
      <c r="LA6" s="191">
        <f t="shared" si="14"/>
        <v>56096452.079139791</v>
      </c>
      <c r="LB6" s="191">
        <f t="shared" si="14"/>
        <v>56096452.079139791</v>
      </c>
      <c r="LC6" s="191">
        <f t="shared" si="14"/>
        <v>56096452.079139791</v>
      </c>
      <c r="LD6" s="191">
        <f t="shared" si="14"/>
        <v>56096452.079139791</v>
      </c>
      <c r="LE6" s="181"/>
      <c r="LF6" s="192"/>
    </row>
    <row r="7" spans="1:794">
      <c r="A7" s="930"/>
      <c r="B7" s="194" t="s">
        <v>732</v>
      </c>
      <c r="C7" s="195"/>
      <c r="D7" s="195"/>
      <c r="E7" s="196"/>
      <c r="F7" s="197">
        <f t="shared" ref="F7:H7" si="15">F4-F6</f>
        <v>0</v>
      </c>
      <c r="G7" s="197">
        <f t="shared" si="15"/>
        <v>0</v>
      </c>
      <c r="H7" s="197">
        <f t="shared" si="15"/>
        <v>0</v>
      </c>
      <c r="I7" s="197">
        <f t="shared" ref="I7:BT7" si="16">I4-I6</f>
        <v>0</v>
      </c>
      <c r="J7" s="197">
        <f t="shared" si="16"/>
        <v>0</v>
      </c>
      <c r="K7" s="197">
        <f t="shared" si="16"/>
        <v>0</v>
      </c>
      <c r="L7" s="197">
        <f t="shared" si="16"/>
        <v>0</v>
      </c>
      <c r="M7" s="197">
        <f t="shared" si="16"/>
        <v>0</v>
      </c>
      <c r="N7" s="197">
        <f t="shared" si="16"/>
        <v>0</v>
      </c>
      <c r="O7" s="197">
        <f t="shared" si="16"/>
        <v>0</v>
      </c>
      <c r="P7" s="197">
        <f t="shared" si="16"/>
        <v>0</v>
      </c>
      <c r="Q7" s="197">
        <f t="shared" si="16"/>
        <v>0</v>
      </c>
      <c r="R7" s="197">
        <f t="shared" si="16"/>
        <v>0</v>
      </c>
      <c r="S7" s="197">
        <f t="shared" si="16"/>
        <v>0</v>
      </c>
      <c r="T7" s="197">
        <f t="shared" si="16"/>
        <v>0</v>
      </c>
      <c r="U7" s="197">
        <f t="shared" si="16"/>
        <v>0</v>
      </c>
      <c r="V7" s="197">
        <f t="shared" si="16"/>
        <v>0</v>
      </c>
      <c r="W7" s="197">
        <f t="shared" si="16"/>
        <v>0</v>
      </c>
      <c r="X7" s="197">
        <f t="shared" si="16"/>
        <v>15000000</v>
      </c>
      <c r="Y7" s="197">
        <f t="shared" si="16"/>
        <v>15000000</v>
      </c>
      <c r="Z7" s="197">
        <f t="shared" si="16"/>
        <v>12240000</v>
      </c>
      <c r="AA7" s="197">
        <f t="shared" si="16"/>
        <v>-2297831.3000000007</v>
      </c>
      <c r="AB7" s="197">
        <f t="shared" si="16"/>
        <v>-6658242.5370000005</v>
      </c>
      <c r="AC7" s="197">
        <f t="shared" si="16"/>
        <v>-6778242.5370000005</v>
      </c>
      <c r="AD7" s="197">
        <f t="shared" si="16"/>
        <v>-6778242.5370000005</v>
      </c>
      <c r="AE7" s="197">
        <f t="shared" si="16"/>
        <v>-6778242.5370000005</v>
      </c>
      <c r="AF7" s="197">
        <f t="shared" si="16"/>
        <v>11186257.463</v>
      </c>
      <c r="AG7" s="197">
        <f t="shared" si="16"/>
        <v>3827471.5532651246</v>
      </c>
      <c r="AH7" s="197">
        <f t="shared" si="16"/>
        <v>3827471.5532651246</v>
      </c>
      <c r="AI7" s="197">
        <f t="shared" si="16"/>
        <v>3827471.5532651246</v>
      </c>
      <c r="AJ7" s="197">
        <f t="shared" si="16"/>
        <v>3827471.5532651246</v>
      </c>
      <c r="AK7" s="197">
        <f t="shared" si="16"/>
        <v>10780471.553265125</v>
      </c>
      <c r="AL7" s="197">
        <f t="shared" si="16"/>
        <v>-219337.34673487395</v>
      </c>
      <c r="AM7" s="197">
        <f t="shared" si="16"/>
        <v>-219337.34673487395</v>
      </c>
      <c r="AN7" s="197">
        <f t="shared" si="16"/>
        <v>-219337.34673487395</v>
      </c>
      <c r="AO7" s="197">
        <f t="shared" si="16"/>
        <v>8385608.4199317917</v>
      </c>
      <c r="AP7" s="197">
        <f t="shared" si="16"/>
        <v>8385608.4199317917</v>
      </c>
      <c r="AQ7" s="197">
        <f t="shared" si="16"/>
        <v>8385608.4199317917</v>
      </c>
      <c r="AR7" s="197">
        <f t="shared" si="16"/>
        <v>-3645252.1885682046</v>
      </c>
      <c r="AS7" s="197">
        <f t="shared" si="16"/>
        <v>-3645252.1885682046</v>
      </c>
      <c r="AT7" s="197">
        <f t="shared" si="16"/>
        <v>-3645252.1885682046</v>
      </c>
      <c r="AU7" s="197">
        <f t="shared" si="16"/>
        <v>-3645252.1885682046</v>
      </c>
      <c r="AV7" s="197">
        <f t="shared" si="16"/>
        <v>-3645252.1885682046</v>
      </c>
      <c r="AW7" s="197">
        <f t="shared" si="16"/>
        <v>2354247.8114317954</v>
      </c>
      <c r="AX7" s="197">
        <f t="shared" si="16"/>
        <v>1848797.9208602086</v>
      </c>
      <c r="AY7" s="197">
        <f t="shared" si="16"/>
        <v>1848797.9208602086</v>
      </c>
      <c r="AZ7" s="197">
        <f t="shared" si="16"/>
        <v>4848547.9208602086</v>
      </c>
      <c r="BA7" s="197">
        <f t="shared" si="16"/>
        <v>4848547.9208602086</v>
      </c>
      <c r="BB7" s="197">
        <f t="shared" si="16"/>
        <v>4848547.9208602086</v>
      </c>
      <c r="BC7" s="197">
        <f t="shared" si="16"/>
        <v>3898547.9208602086</v>
      </c>
      <c r="BD7" s="197">
        <f t="shared" si="16"/>
        <v>3898547.9208602086</v>
      </c>
      <c r="BE7" s="197">
        <f t="shared" si="16"/>
        <v>3898547.9208602086</v>
      </c>
      <c r="BF7" s="197">
        <f t="shared" si="16"/>
        <v>3898547.9208602086</v>
      </c>
      <c r="BG7" s="197">
        <f t="shared" si="16"/>
        <v>3898547.9208602086</v>
      </c>
      <c r="BH7" s="197">
        <f t="shared" si="16"/>
        <v>3898547.9208602086</v>
      </c>
      <c r="BI7" s="197">
        <f t="shared" si="16"/>
        <v>3898547.9208602086</v>
      </c>
      <c r="BJ7" s="197">
        <f t="shared" si="16"/>
        <v>3898547.9208602086</v>
      </c>
      <c r="BK7" s="197">
        <f t="shared" si="16"/>
        <v>3898547.9208602086</v>
      </c>
      <c r="BL7" s="197">
        <f t="shared" si="16"/>
        <v>3898547.9208602086</v>
      </c>
      <c r="BM7" s="197">
        <f t="shared" si="16"/>
        <v>3898547.9208602086</v>
      </c>
      <c r="BN7" s="197">
        <f t="shared" si="16"/>
        <v>3898547.9208602086</v>
      </c>
      <c r="BO7" s="197">
        <f t="shared" si="16"/>
        <v>3898547.9208602086</v>
      </c>
      <c r="BP7" s="197">
        <f t="shared" si="16"/>
        <v>3898547.9208602086</v>
      </c>
      <c r="BQ7" s="197">
        <f t="shared" si="16"/>
        <v>3898547.9208602086</v>
      </c>
      <c r="BR7" s="197">
        <f t="shared" si="16"/>
        <v>3898547.9208602086</v>
      </c>
      <c r="BS7" s="197">
        <f t="shared" si="16"/>
        <v>3898547.9208602086</v>
      </c>
      <c r="BT7" s="197">
        <f t="shared" si="16"/>
        <v>3898547.9208602086</v>
      </c>
      <c r="BU7" s="197">
        <f t="shared" ref="BU7:EF7" si="17">BU4-BU6</f>
        <v>3898547.9208602086</v>
      </c>
      <c r="BV7" s="197">
        <f t="shared" si="17"/>
        <v>3898547.9208602086</v>
      </c>
      <c r="BW7" s="197">
        <f t="shared" si="17"/>
        <v>3898547.9208602086</v>
      </c>
      <c r="BX7" s="197">
        <f t="shared" si="17"/>
        <v>3898547.9208602086</v>
      </c>
      <c r="BY7" s="197">
        <f t="shared" si="17"/>
        <v>3898547.9208602086</v>
      </c>
      <c r="BZ7" s="197">
        <f t="shared" si="17"/>
        <v>3898547.9208602086</v>
      </c>
      <c r="CA7" s="197">
        <f t="shared" si="17"/>
        <v>3898547.9208602086</v>
      </c>
      <c r="CB7" s="197">
        <f t="shared" si="17"/>
        <v>3898547.9208602086</v>
      </c>
      <c r="CC7" s="197">
        <f t="shared" si="17"/>
        <v>3898547.9208602086</v>
      </c>
      <c r="CD7" s="197">
        <f t="shared" si="17"/>
        <v>3898547.9208602086</v>
      </c>
      <c r="CE7" s="197">
        <f t="shared" si="17"/>
        <v>3898547.9208602086</v>
      </c>
      <c r="CF7" s="197">
        <f t="shared" si="17"/>
        <v>3898547.9208602086</v>
      </c>
      <c r="CG7" s="197">
        <f t="shared" si="17"/>
        <v>3898547.9208602086</v>
      </c>
      <c r="CH7" s="197">
        <f t="shared" si="17"/>
        <v>3898547.9208602086</v>
      </c>
      <c r="CI7" s="197">
        <f t="shared" si="17"/>
        <v>3898547.9208602086</v>
      </c>
      <c r="CJ7" s="197">
        <f t="shared" si="17"/>
        <v>3898547.9208602086</v>
      </c>
      <c r="CK7" s="197">
        <f t="shared" si="17"/>
        <v>3898547.9208602086</v>
      </c>
      <c r="CL7" s="197">
        <f t="shared" si="17"/>
        <v>3898547.9208602086</v>
      </c>
      <c r="CM7" s="197">
        <f t="shared" si="17"/>
        <v>3898547.9208602086</v>
      </c>
      <c r="CN7" s="197">
        <f t="shared" si="17"/>
        <v>3898547.9208602086</v>
      </c>
      <c r="CO7" s="197">
        <f t="shared" si="17"/>
        <v>3898547.9208602086</v>
      </c>
      <c r="CP7" s="197">
        <f t="shared" si="17"/>
        <v>3898547.9208602086</v>
      </c>
      <c r="CQ7" s="197">
        <f t="shared" si="17"/>
        <v>3898547.9208602086</v>
      </c>
      <c r="CR7" s="197">
        <f t="shared" si="17"/>
        <v>3898547.9208602086</v>
      </c>
      <c r="CS7" s="197">
        <f t="shared" si="17"/>
        <v>3898547.9208602086</v>
      </c>
      <c r="CT7" s="197">
        <f t="shared" si="17"/>
        <v>3898547.9208602086</v>
      </c>
      <c r="CU7" s="197">
        <f t="shared" si="17"/>
        <v>3898547.9208602086</v>
      </c>
      <c r="CV7" s="197">
        <f t="shared" si="17"/>
        <v>3898547.9208602086</v>
      </c>
      <c r="CW7" s="197">
        <f t="shared" si="17"/>
        <v>3898547.9208602086</v>
      </c>
      <c r="CX7" s="197">
        <f t="shared" si="17"/>
        <v>3898547.9208602086</v>
      </c>
      <c r="CY7" s="197">
        <f t="shared" si="17"/>
        <v>3898547.9208602086</v>
      </c>
      <c r="CZ7" s="197">
        <f t="shared" si="17"/>
        <v>3898547.9208602086</v>
      </c>
      <c r="DA7" s="197">
        <f t="shared" si="17"/>
        <v>3898547.9208602086</v>
      </c>
      <c r="DB7" s="197">
        <f t="shared" si="17"/>
        <v>3898547.9208602086</v>
      </c>
      <c r="DC7" s="197">
        <f t="shared" si="17"/>
        <v>3898547.9208602086</v>
      </c>
      <c r="DD7" s="197">
        <f t="shared" si="17"/>
        <v>3898547.9208602086</v>
      </c>
      <c r="DE7" s="197">
        <f t="shared" si="17"/>
        <v>3898547.9208602086</v>
      </c>
      <c r="DF7" s="197">
        <f t="shared" si="17"/>
        <v>3898547.9208602086</v>
      </c>
      <c r="DG7" s="197">
        <f t="shared" si="17"/>
        <v>3898547.9208602086</v>
      </c>
      <c r="DH7" s="197">
        <f t="shared" si="17"/>
        <v>3898547.9208602086</v>
      </c>
      <c r="DI7" s="197">
        <f t="shared" si="17"/>
        <v>3898547.9208602086</v>
      </c>
      <c r="DJ7" s="197">
        <f t="shared" si="17"/>
        <v>3898547.9208602086</v>
      </c>
      <c r="DK7" s="197">
        <f t="shared" si="17"/>
        <v>3898547.9208602086</v>
      </c>
      <c r="DL7" s="197">
        <f t="shared" si="17"/>
        <v>3898547.9208602086</v>
      </c>
      <c r="DM7" s="197">
        <f t="shared" si="17"/>
        <v>3898547.9208602086</v>
      </c>
      <c r="DN7" s="197">
        <f t="shared" si="17"/>
        <v>3898547.9208602086</v>
      </c>
      <c r="DO7" s="197">
        <f t="shared" si="17"/>
        <v>3898547.9208602086</v>
      </c>
      <c r="DP7" s="197">
        <f t="shared" si="17"/>
        <v>3898547.9208602086</v>
      </c>
      <c r="DQ7" s="197">
        <f t="shared" si="17"/>
        <v>3898547.9208602086</v>
      </c>
      <c r="DR7" s="197">
        <f t="shared" si="17"/>
        <v>3898547.9208602086</v>
      </c>
      <c r="DS7" s="197">
        <f t="shared" si="17"/>
        <v>3898547.9208602086</v>
      </c>
      <c r="DT7" s="197">
        <f t="shared" si="17"/>
        <v>3898547.9208602086</v>
      </c>
      <c r="DU7" s="197">
        <f t="shared" si="17"/>
        <v>3898547.9208602086</v>
      </c>
      <c r="DV7" s="197">
        <f t="shared" si="17"/>
        <v>3898547.9208602086</v>
      </c>
      <c r="DW7" s="197">
        <f t="shared" si="17"/>
        <v>3898547.9208602086</v>
      </c>
      <c r="DX7" s="197">
        <f t="shared" si="17"/>
        <v>3898547.9208602086</v>
      </c>
      <c r="DY7" s="197">
        <f t="shared" si="17"/>
        <v>3898547.9208602086</v>
      </c>
      <c r="DZ7" s="197">
        <f t="shared" si="17"/>
        <v>3898547.9208602086</v>
      </c>
      <c r="EA7" s="197">
        <f t="shared" si="17"/>
        <v>3898547.9208602086</v>
      </c>
      <c r="EB7" s="197">
        <f t="shared" si="17"/>
        <v>3898547.9208602086</v>
      </c>
      <c r="EC7" s="197">
        <f t="shared" si="17"/>
        <v>3898547.9208602086</v>
      </c>
      <c r="ED7" s="197">
        <f t="shared" si="17"/>
        <v>3898547.9208602086</v>
      </c>
      <c r="EE7" s="197">
        <f t="shared" si="17"/>
        <v>3898547.9208602086</v>
      </c>
      <c r="EF7" s="197">
        <f t="shared" si="17"/>
        <v>3898547.9208602086</v>
      </c>
      <c r="EG7" s="197">
        <f t="shared" ref="EG7:GR7" si="18">EG4-EG6</f>
        <v>3898547.9208602086</v>
      </c>
      <c r="EH7" s="197">
        <f t="shared" si="18"/>
        <v>3898547.9208602086</v>
      </c>
      <c r="EI7" s="197">
        <f t="shared" si="18"/>
        <v>3898547.9208602086</v>
      </c>
      <c r="EJ7" s="197">
        <f t="shared" si="18"/>
        <v>3898547.9208602086</v>
      </c>
      <c r="EK7" s="197">
        <f t="shared" si="18"/>
        <v>3898547.9208602086</v>
      </c>
      <c r="EL7" s="197">
        <f t="shared" si="18"/>
        <v>3898547.9208602086</v>
      </c>
      <c r="EM7" s="197">
        <f t="shared" si="18"/>
        <v>3898547.9208602086</v>
      </c>
      <c r="EN7" s="197">
        <f t="shared" si="18"/>
        <v>3898547.9208602086</v>
      </c>
      <c r="EO7" s="197">
        <f t="shared" si="18"/>
        <v>3898547.9208602086</v>
      </c>
      <c r="EP7" s="197">
        <f t="shared" si="18"/>
        <v>3898547.9208602086</v>
      </c>
      <c r="EQ7" s="197">
        <f t="shared" si="18"/>
        <v>3898547.9208602086</v>
      </c>
      <c r="ER7" s="197">
        <f t="shared" si="18"/>
        <v>3898547.9208602086</v>
      </c>
      <c r="ES7" s="197">
        <f t="shared" si="18"/>
        <v>3898547.9208602086</v>
      </c>
      <c r="ET7" s="197">
        <f t="shared" si="18"/>
        <v>3898547.9208602086</v>
      </c>
      <c r="EU7" s="197">
        <f t="shared" si="18"/>
        <v>3898547.9208602086</v>
      </c>
      <c r="EV7" s="197">
        <f t="shared" si="18"/>
        <v>3898547.9208602086</v>
      </c>
      <c r="EW7" s="197">
        <f t="shared" si="18"/>
        <v>3898547.9208602086</v>
      </c>
      <c r="EX7" s="197">
        <f t="shared" si="18"/>
        <v>3898547.9208602086</v>
      </c>
      <c r="EY7" s="197">
        <f t="shared" si="18"/>
        <v>3898547.9208602086</v>
      </c>
      <c r="EZ7" s="197">
        <f t="shared" si="18"/>
        <v>3898547.9208602086</v>
      </c>
      <c r="FA7" s="197">
        <f t="shared" si="18"/>
        <v>3898547.9208602086</v>
      </c>
      <c r="FB7" s="197">
        <f t="shared" si="18"/>
        <v>3898547.9208602086</v>
      </c>
      <c r="FC7" s="197">
        <f t="shared" si="18"/>
        <v>3898547.9208602086</v>
      </c>
      <c r="FD7" s="197">
        <f t="shared" si="18"/>
        <v>3898547.9208602086</v>
      </c>
      <c r="FE7" s="197">
        <f t="shared" si="18"/>
        <v>3898547.9208602086</v>
      </c>
      <c r="FF7" s="197">
        <f t="shared" si="18"/>
        <v>3898547.9208602086</v>
      </c>
      <c r="FG7" s="197">
        <f t="shared" si="18"/>
        <v>3898547.9208602086</v>
      </c>
      <c r="FH7" s="197">
        <f t="shared" si="18"/>
        <v>3898547.9208602086</v>
      </c>
      <c r="FI7" s="197">
        <f t="shared" si="18"/>
        <v>3898547.9208602086</v>
      </c>
      <c r="FJ7" s="197">
        <f t="shared" si="18"/>
        <v>3898547.9208602086</v>
      </c>
      <c r="FK7" s="197">
        <f t="shared" si="18"/>
        <v>3898547.9208602086</v>
      </c>
      <c r="FL7" s="197">
        <f t="shared" si="18"/>
        <v>3898547.9208602086</v>
      </c>
      <c r="FM7" s="197">
        <f t="shared" si="18"/>
        <v>3898547.9208602086</v>
      </c>
      <c r="FN7" s="197">
        <f t="shared" si="18"/>
        <v>3898547.9208602086</v>
      </c>
      <c r="FO7" s="197">
        <f t="shared" si="18"/>
        <v>3898547.9208602086</v>
      </c>
      <c r="FP7" s="197">
        <f t="shared" si="18"/>
        <v>3898547.9208602086</v>
      </c>
      <c r="FQ7" s="197">
        <f t="shared" si="18"/>
        <v>3898547.9208602086</v>
      </c>
      <c r="FR7" s="197">
        <f t="shared" si="18"/>
        <v>3898547.9208602086</v>
      </c>
      <c r="FS7" s="197">
        <f t="shared" si="18"/>
        <v>3898547.9208602086</v>
      </c>
      <c r="FT7" s="197">
        <f t="shared" si="18"/>
        <v>3898547.9208602086</v>
      </c>
      <c r="FU7" s="197">
        <f t="shared" si="18"/>
        <v>3898547.9208602086</v>
      </c>
      <c r="FV7" s="197">
        <f t="shared" si="18"/>
        <v>3898547.9208602086</v>
      </c>
      <c r="FW7" s="197">
        <f t="shared" si="18"/>
        <v>3898547.9208602086</v>
      </c>
      <c r="FX7" s="197">
        <f t="shared" si="18"/>
        <v>3898547.9208602086</v>
      </c>
      <c r="FY7" s="197">
        <f t="shared" si="18"/>
        <v>3898547.9208602086</v>
      </c>
      <c r="FZ7" s="197">
        <f t="shared" si="18"/>
        <v>3898547.9208602086</v>
      </c>
      <c r="GA7" s="197">
        <f t="shared" si="18"/>
        <v>3898547.9208602086</v>
      </c>
      <c r="GB7" s="197">
        <f t="shared" si="18"/>
        <v>3898547.9208602086</v>
      </c>
      <c r="GC7" s="197">
        <f t="shared" si="18"/>
        <v>3898547.9208602086</v>
      </c>
      <c r="GD7" s="197">
        <f t="shared" si="18"/>
        <v>3898547.9208602086</v>
      </c>
      <c r="GE7" s="197">
        <f t="shared" si="18"/>
        <v>3898547.9208602086</v>
      </c>
      <c r="GF7" s="197">
        <f t="shared" si="18"/>
        <v>3898547.9208602086</v>
      </c>
      <c r="GG7" s="197">
        <f t="shared" si="18"/>
        <v>3898547.9208602086</v>
      </c>
      <c r="GH7" s="197">
        <f t="shared" si="18"/>
        <v>3898547.9208602086</v>
      </c>
      <c r="GI7" s="197">
        <f t="shared" si="18"/>
        <v>3898547.9208602086</v>
      </c>
      <c r="GJ7" s="197">
        <f t="shared" si="18"/>
        <v>3898547.9208602086</v>
      </c>
      <c r="GK7" s="197">
        <f t="shared" si="18"/>
        <v>3898547.9208602086</v>
      </c>
      <c r="GL7" s="197">
        <f t="shared" si="18"/>
        <v>3898547.9208602086</v>
      </c>
      <c r="GM7" s="197">
        <f t="shared" si="18"/>
        <v>3898547.9208602086</v>
      </c>
      <c r="GN7" s="197">
        <f t="shared" si="18"/>
        <v>3898547.9208602086</v>
      </c>
      <c r="GO7" s="197">
        <f t="shared" si="18"/>
        <v>3898547.9208602086</v>
      </c>
      <c r="GP7" s="197">
        <f t="shared" si="18"/>
        <v>3898547.9208602086</v>
      </c>
      <c r="GQ7" s="197">
        <f t="shared" si="18"/>
        <v>3898547.9208602086</v>
      </c>
      <c r="GR7" s="197">
        <f t="shared" si="18"/>
        <v>3898547.9208602086</v>
      </c>
      <c r="GS7" s="197">
        <f t="shared" ref="GS7:JD7" si="19">GS4-GS6</f>
        <v>3898547.9208602086</v>
      </c>
      <c r="GT7" s="197">
        <f t="shared" si="19"/>
        <v>3898547.9208602086</v>
      </c>
      <c r="GU7" s="197">
        <f t="shared" si="19"/>
        <v>3898547.9208602086</v>
      </c>
      <c r="GV7" s="197">
        <f t="shared" si="19"/>
        <v>3898547.9208602086</v>
      </c>
      <c r="GW7" s="197">
        <f t="shared" si="19"/>
        <v>3898547.9208602086</v>
      </c>
      <c r="GX7" s="197">
        <f t="shared" si="19"/>
        <v>3898547.9208602086</v>
      </c>
      <c r="GY7" s="197">
        <f t="shared" si="19"/>
        <v>3898547.9208602086</v>
      </c>
      <c r="GZ7" s="197">
        <f t="shared" si="19"/>
        <v>3898547.9208602086</v>
      </c>
      <c r="HA7" s="197">
        <f t="shared" si="19"/>
        <v>3898547.9208602086</v>
      </c>
      <c r="HB7" s="197">
        <f t="shared" si="19"/>
        <v>3898547.9208602086</v>
      </c>
      <c r="HC7" s="197">
        <f t="shared" si="19"/>
        <v>3898547.9208602086</v>
      </c>
      <c r="HD7" s="197">
        <f t="shared" si="19"/>
        <v>3898547.9208602086</v>
      </c>
      <c r="HE7" s="197">
        <f t="shared" si="19"/>
        <v>3898547.9208602086</v>
      </c>
      <c r="HF7" s="197">
        <f t="shared" si="19"/>
        <v>3898547.9208602086</v>
      </c>
      <c r="HG7" s="197">
        <f t="shared" si="19"/>
        <v>3898547.9208602086</v>
      </c>
      <c r="HH7" s="197">
        <f t="shared" si="19"/>
        <v>3898547.9208602086</v>
      </c>
      <c r="HI7" s="197">
        <f t="shared" si="19"/>
        <v>3898547.9208602086</v>
      </c>
      <c r="HJ7" s="197">
        <f t="shared" si="19"/>
        <v>3898547.9208602086</v>
      </c>
      <c r="HK7" s="197">
        <f t="shared" si="19"/>
        <v>3898547.9208602086</v>
      </c>
      <c r="HL7" s="197">
        <f t="shared" si="19"/>
        <v>3898547.9208602086</v>
      </c>
      <c r="HM7" s="197">
        <f t="shared" si="19"/>
        <v>3898547.9208602086</v>
      </c>
      <c r="HN7" s="197">
        <f t="shared" si="19"/>
        <v>3898547.9208602086</v>
      </c>
      <c r="HO7" s="197">
        <f t="shared" si="19"/>
        <v>3898547.9208602086</v>
      </c>
      <c r="HP7" s="197">
        <f t="shared" si="19"/>
        <v>3898547.9208602086</v>
      </c>
      <c r="HQ7" s="197">
        <f t="shared" si="19"/>
        <v>3898547.9208602086</v>
      </c>
      <c r="HR7" s="197">
        <f t="shared" si="19"/>
        <v>3898547.9208602086</v>
      </c>
      <c r="HS7" s="197">
        <f t="shared" si="19"/>
        <v>3898547.9208602086</v>
      </c>
      <c r="HT7" s="197">
        <f t="shared" si="19"/>
        <v>3898547.9208602086</v>
      </c>
      <c r="HU7" s="197">
        <f t="shared" si="19"/>
        <v>3898547.9208602086</v>
      </c>
      <c r="HV7" s="197">
        <f t="shared" si="19"/>
        <v>3898547.9208602086</v>
      </c>
      <c r="HW7" s="197">
        <f t="shared" si="19"/>
        <v>3898547.9208602086</v>
      </c>
      <c r="HX7" s="197">
        <f t="shared" si="19"/>
        <v>3898547.9208602086</v>
      </c>
      <c r="HY7" s="197">
        <f t="shared" si="19"/>
        <v>3898547.9208602086</v>
      </c>
      <c r="HZ7" s="197">
        <f t="shared" si="19"/>
        <v>3898547.9208602086</v>
      </c>
      <c r="IA7" s="197">
        <f t="shared" si="19"/>
        <v>3898547.9208602086</v>
      </c>
      <c r="IB7" s="197">
        <f t="shared" si="19"/>
        <v>3898547.9208602086</v>
      </c>
      <c r="IC7" s="197">
        <f t="shared" si="19"/>
        <v>3898547.9208602086</v>
      </c>
      <c r="ID7" s="197">
        <f t="shared" si="19"/>
        <v>3898547.9208602086</v>
      </c>
      <c r="IE7" s="197">
        <f t="shared" si="19"/>
        <v>3898547.9208602086</v>
      </c>
      <c r="IF7" s="197">
        <f t="shared" si="19"/>
        <v>3898547.9208602086</v>
      </c>
      <c r="IG7" s="197">
        <f t="shared" si="19"/>
        <v>3898547.9208602086</v>
      </c>
      <c r="IH7" s="197">
        <f t="shared" si="19"/>
        <v>3898547.9208602086</v>
      </c>
      <c r="II7" s="197">
        <f t="shared" si="19"/>
        <v>3898547.9208602086</v>
      </c>
      <c r="IJ7" s="197">
        <f t="shared" si="19"/>
        <v>3898547.9208602086</v>
      </c>
      <c r="IK7" s="197">
        <f t="shared" si="19"/>
        <v>3898547.9208602086</v>
      </c>
      <c r="IL7" s="197">
        <f t="shared" si="19"/>
        <v>3898547.9208602086</v>
      </c>
      <c r="IM7" s="197">
        <f t="shared" si="19"/>
        <v>3898547.9208602086</v>
      </c>
      <c r="IN7" s="197">
        <f t="shared" si="19"/>
        <v>3898547.9208602086</v>
      </c>
      <c r="IO7" s="197">
        <f t="shared" si="19"/>
        <v>3898547.9208602086</v>
      </c>
      <c r="IP7" s="197">
        <f t="shared" si="19"/>
        <v>3898547.9208602086</v>
      </c>
      <c r="IQ7" s="197">
        <f t="shared" si="19"/>
        <v>3898547.9208602086</v>
      </c>
      <c r="IR7" s="197">
        <f t="shared" si="19"/>
        <v>3898547.9208602086</v>
      </c>
      <c r="IS7" s="197">
        <f t="shared" si="19"/>
        <v>3898547.9208602086</v>
      </c>
      <c r="IT7" s="197">
        <f t="shared" si="19"/>
        <v>3898547.9208602086</v>
      </c>
      <c r="IU7" s="197">
        <f t="shared" si="19"/>
        <v>3898547.9208602086</v>
      </c>
      <c r="IV7" s="197">
        <f t="shared" si="19"/>
        <v>3898547.9208602086</v>
      </c>
      <c r="IW7" s="197">
        <f t="shared" si="19"/>
        <v>3898547.9208602086</v>
      </c>
      <c r="IX7" s="197">
        <f t="shared" si="19"/>
        <v>3898547.9208602086</v>
      </c>
      <c r="IY7" s="197">
        <f t="shared" si="19"/>
        <v>3898547.9208602086</v>
      </c>
      <c r="IZ7" s="197">
        <f t="shared" si="19"/>
        <v>3898547.9208602086</v>
      </c>
      <c r="JA7" s="197">
        <f t="shared" si="19"/>
        <v>3898547.9208602086</v>
      </c>
      <c r="JB7" s="197">
        <f t="shared" si="19"/>
        <v>3898547.9208602086</v>
      </c>
      <c r="JC7" s="197">
        <f t="shared" si="19"/>
        <v>3898547.9208602086</v>
      </c>
      <c r="JD7" s="197">
        <f t="shared" si="19"/>
        <v>3898547.9208602086</v>
      </c>
      <c r="JE7" s="197">
        <f t="shared" ref="JE7:LD7" si="20">JE4-JE6</f>
        <v>3898547.9208602086</v>
      </c>
      <c r="JF7" s="197">
        <f t="shared" si="20"/>
        <v>3898547.9208602086</v>
      </c>
      <c r="JG7" s="197">
        <f t="shared" si="20"/>
        <v>3898547.9208602086</v>
      </c>
      <c r="JH7" s="197">
        <f t="shared" si="20"/>
        <v>3898547.9208602086</v>
      </c>
      <c r="JI7" s="197">
        <f t="shared" si="20"/>
        <v>3898547.9208602086</v>
      </c>
      <c r="JJ7" s="197">
        <f t="shared" si="20"/>
        <v>3898547.9208602086</v>
      </c>
      <c r="JK7" s="197">
        <f t="shared" si="20"/>
        <v>3898547.9208602086</v>
      </c>
      <c r="JL7" s="197">
        <f t="shared" si="20"/>
        <v>3898547.9208602086</v>
      </c>
      <c r="JM7" s="197">
        <f t="shared" si="20"/>
        <v>3898547.9208602086</v>
      </c>
      <c r="JN7" s="197">
        <f t="shared" si="20"/>
        <v>3898547.9208602086</v>
      </c>
      <c r="JO7" s="197">
        <f t="shared" si="20"/>
        <v>3898547.9208602086</v>
      </c>
      <c r="JP7" s="197">
        <f t="shared" si="20"/>
        <v>3898547.9208602086</v>
      </c>
      <c r="JQ7" s="197">
        <f t="shared" si="20"/>
        <v>3898547.9208602086</v>
      </c>
      <c r="JR7" s="197">
        <f t="shared" si="20"/>
        <v>3898547.9208602086</v>
      </c>
      <c r="JS7" s="197">
        <f t="shared" si="20"/>
        <v>3898547.9208602086</v>
      </c>
      <c r="JT7" s="197">
        <f t="shared" si="20"/>
        <v>3898547.9208602086</v>
      </c>
      <c r="JU7" s="197">
        <f t="shared" si="20"/>
        <v>3898547.9208602086</v>
      </c>
      <c r="JV7" s="197">
        <f t="shared" si="20"/>
        <v>3898547.9208602086</v>
      </c>
      <c r="JW7" s="197">
        <f t="shared" si="20"/>
        <v>3898547.9208602086</v>
      </c>
      <c r="JX7" s="197">
        <f t="shared" si="20"/>
        <v>3898547.9208602086</v>
      </c>
      <c r="JY7" s="197">
        <f t="shared" si="20"/>
        <v>3898547.9208602086</v>
      </c>
      <c r="JZ7" s="197">
        <f t="shared" si="20"/>
        <v>3898547.9208602086</v>
      </c>
      <c r="KA7" s="197">
        <f t="shared" si="20"/>
        <v>3898547.9208602086</v>
      </c>
      <c r="KB7" s="197">
        <f t="shared" si="20"/>
        <v>3898547.9208602086</v>
      </c>
      <c r="KC7" s="197">
        <f t="shared" si="20"/>
        <v>3898547.9208602086</v>
      </c>
      <c r="KD7" s="197">
        <f t="shared" si="20"/>
        <v>3898547.9208602086</v>
      </c>
      <c r="KE7" s="197">
        <f t="shared" si="20"/>
        <v>3898547.9208602086</v>
      </c>
      <c r="KF7" s="197">
        <f t="shared" si="20"/>
        <v>3898547.9208602086</v>
      </c>
      <c r="KG7" s="197">
        <f t="shared" si="20"/>
        <v>3898547.9208602086</v>
      </c>
      <c r="KH7" s="197">
        <f t="shared" si="20"/>
        <v>3898547.9208602086</v>
      </c>
      <c r="KI7" s="197">
        <f t="shared" si="20"/>
        <v>3898547.9208602086</v>
      </c>
      <c r="KJ7" s="197">
        <f t="shared" si="20"/>
        <v>3898547.9208602086</v>
      </c>
      <c r="KK7" s="197">
        <f t="shared" si="20"/>
        <v>3898547.9208602086</v>
      </c>
      <c r="KL7" s="197">
        <f t="shared" si="20"/>
        <v>3898547.9208602086</v>
      </c>
      <c r="KM7" s="197">
        <f t="shared" si="20"/>
        <v>3898547.9208602086</v>
      </c>
      <c r="KN7" s="197">
        <f t="shared" si="20"/>
        <v>3898547.9208602086</v>
      </c>
      <c r="KO7" s="197">
        <f t="shared" si="20"/>
        <v>3898547.9208602086</v>
      </c>
      <c r="KP7" s="197">
        <f t="shared" si="20"/>
        <v>3898547.9208602086</v>
      </c>
      <c r="KQ7" s="197">
        <f t="shared" si="20"/>
        <v>3898547.9208602086</v>
      </c>
      <c r="KR7" s="197">
        <f t="shared" si="20"/>
        <v>3898547.9208602086</v>
      </c>
      <c r="KS7" s="197">
        <f t="shared" si="20"/>
        <v>3898547.9208602086</v>
      </c>
      <c r="KT7" s="197">
        <f t="shared" si="20"/>
        <v>3898547.9208602086</v>
      </c>
      <c r="KU7" s="197">
        <f t="shared" si="20"/>
        <v>3898547.9208602086</v>
      </c>
      <c r="KV7" s="197">
        <f t="shared" si="20"/>
        <v>3898547.9208602086</v>
      </c>
      <c r="KW7" s="197">
        <f t="shared" si="20"/>
        <v>3898547.9208602086</v>
      </c>
      <c r="KX7" s="197">
        <f t="shared" si="20"/>
        <v>3898547.9208602086</v>
      </c>
      <c r="KY7" s="197">
        <f t="shared" si="20"/>
        <v>3898547.9208602086</v>
      </c>
      <c r="KZ7" s="197">
        <f t="shared" si="20"/>
        <v>3898547.9208602086</v>
      </c>
      <c r="LA7" s="197">
        <f t="shared" si="20"/>
        <v>3898547.9208602086</v>
      </c>
      <c r="LB7" s="197">
        <f t="shared" si="20"/>
        <v>3898547.9208602086</v>
      </c>
      <c r="LC7" s="197">
        <f t="shared" si="20"/>
        <v>3898547.9208602086</v>
      </c>
      <c r="LD7" s="197">
        <f t="shared" si="20"/>
        <v>3898547.9208602086</v>
      </c>
    </row>
    <row r="8" spans="1:794" s="181" customFormat="1">
      <c r="A8" s="929" t="s">
        <v>60</v>
      </c>
      <c r="B8" s="182"/>
      <c r="C8" s="183" t="s">
        <v>301</v>
      </c>
      <c r="D8" s="183" t="s">
        <v>301</v>
      </c>
      <c r="E8" s="183"/>
      <c r="F8" s="198"/>
      <c r="G8" s="198"/>
      <c r="H8" s="198"/>
      <c r="I8" s="198"/>
      <c r="J8" s="198"/>
      <c r="K8" s="198"/>
      <c r="L8" s="198"/>
      <c r="M8" s="198"/>
      <c r="N8" s="198"/>
      <c r="O8" s="198"/>
      <c r="P8" s="198"/>
      <c r="Q8" s="198"/>
      <c r="R8" s="198"/>
      <c r="S8" s="198"/>
      <c r="T8" s="198"/>
      <c r="U8" s="198"/>
      <c r="V8" s="198"/>
      <c r="W8" s="198"/>
      <c r="X8" s="198"/>
      <c r="Y8" s="198"/>
      <c r="Z8" s="198"/>
      <c r="AA8" s="198"/>
      <c r="AB8" s="198"/>
      <c r="AC8" s="198"/>
      <c r="AD8" s="198"/>
      <c r="AE8" s="198"/>
      <c r="AF8" s="198"/>
      <c r="AG8" s="198"/>
      <c r="AH8" s="198"/>
      <c r="AI8" s="198"/>
      <c r="AJ8" s="198"/>
      <c r="AK8" s="198"/>
      <c r="AL8" s="198"/>
      <c r="AM8" s="198"/>
      <c r="AN8" s="198"/>
      <c r="AO8" s="198"/>
      <c r="AP8" s="198"/>
      <c r="AQ8" s="198"/>
      <c r="AR8" s="198"/>
      <c r="AS8" s="198"/>
      <c r="AT8" s="198"/>
      <c r="AU8" s="198"/>
      <c r="AV8" s="198"/>
      <c r="AW8" s="198"/>
      <c r="AX8" s="198"/>
      <c r="AY8" s="198"/>
      <c r="AZ8" s="198"/>
      <c r="BA8" s="198"/>
      <c r="BB8" s="198"/>
      <c r="BC8" s="198"/>
      <c r="BD8" s="198"/>
      <c r="BE8" s="198"/>
      <c r="BF8" s="198"/>
      <c r="BG8" s="198"/>
      <c r="BH8" s="198"/>
      <c r="BI8" s="198"/>
      <c r="BJ8" s="198"/>
      <c r="BK8" s="198"/>
      <c r="BL8" s="198"/>
      <c r="BM8" s="198"/>
      <c r="BN8" s="198"/>
      <c r="BO8" s="198"/>
      <c r="BP8" s="198"/>
      <c r="BQ8" s="198"/>
      <c r="BR8" s="198"/>
      <c r="BS8" s="198"/>
      <c r="BT8" s="198"/>
      <c r="BU8" s="198"/>
      <c r="BV8" s="198"/>
      <c r="BW8" s="198"/>
      <c r="BX8" s="198"/>
      <c r="BY8" s="198"/>
      <c r="BZ8" s="198"/>
      <c r="CA8" s="198"/>
      <c r="CB8" s="198"/>
      <c r="CC8" s="198"/>
      <c r="CD8" s="198"/>
      <c r="CE8" s="198"/>
      <c r="CF8" s="198"/>
      <c r="CG8" s="198"/>
      <c r="CH8" s="198"/>
      <c r="CI8" s="198"/>
      <c r="CJ8" s="198"/>
      <c r="CK8" s="198"/>
      <c r="CL8" s="198"/>
      <c r="CM8" s="198"/>
      <c r="CN8" s="198"/>
      <c r="CO8" s="198"/>
      <c r="CP8" s="198"/>
      <c r="CQ8" s="198"/>
      <c r="CR8" s="198"/>
      <c r="CS8" s="198"/>
      <c r="CT8" s="198"/>
      <c r="CU8" s="198"/>
      <c r="CV8" s="198"/>
      <c r="CW8" s="198"/>
      <c r="CX8" s="198"/>
      <c r="CY8" s="198"/>
      <c r="CZ8" s="198"/>
      <c r="DA8" s="198"/>
      <c r="DB8" s="198"/>
      <c r="DC8" s="198"/>
      <c r="DD8" s="198"/>
      <c r="DE8" s="198"/>
      <c r="DF8" s="198"/>
      <c r="DG8" s="198"/>
      <c r="DH8" s="198"/>
      <c r="DI8" s="198"/>
      <c r="DJ8" s="198"/>
      <c r="DK8" s="198"/>
      <c r="DL8" s="198"/>
      <c r="DM8" s="198"/>
      <c r="DN8" s="198"/>
      <c r="DO8" s="198"/>
      <c r="DP8" s="198"/>
      <c r="DQ8" s="198"/>
      <c r="DR8" s="198"/>
      <c r="DS8" s="198"/>
      <c r="DT8" s="198"/>
      <c r="DU8" s="198"/>
      <c r="DV8" s="198"/>
      <c r="DW8" s="198"/>
      <c r="DX8" s="198"/>
      <c r="DY8" s="198"/>
      <c r="DZ8" s="198"/>
      <c r="EA8" s="198"/>
      <c r="EB8" s="198"/>
      <c r="EC8" s="198"/>
      <c r="ED8" s="198"/>
      <c r="EE8" s="198"/>
      <c r="EF8" s="198"/>
      <c r="EG8" s="198"/>
      <c r="EH8" s="198"/>
      <c r="EI8" s="198"/>
      <c r="EJ8" s="198"/>
      <c r="EK8" s="198"/>
      <c r="EL8" s="198"/>
      <c r="EM8" s="198"/>
      <c r="EN8" s="198"/>
      <c r="EO8" s="198"/>
      <c r="EP8" s="198"/>
      <c r="EQ8" s="198"/>
      <c r="ER8" s="198"/>
      <c r="ES8" s="198"/>
      <c r="ET8" s="198"/>
      <c r="EU8" s="198"/>
      <c r="EV8" s="198"/>
      <c r="EW8" s="198"/>
      <c r="EX8" s="198"/>
      <c r="EY8" s="198"/>
      <c r="EZ8" s="198"/>
      <c r="FA8" s="198"/>
      <c r="FB8" s="198"/>
      <c r="FC8" s="198"/>
      <c r="FD8" s="198"/>
      <c r="FE8" s="198"/>
      <c r="FF8" s="198"/>
      <c r="FG8" s="198"/>
      <c r="FH8" s="198"/>
      <c r="FI8" s="198"/>
      <c r="FJ8" s="198"/>
      <c r="FK8" s="198"/>
      <c r="FL8" s="198"/>
      <c r="FM8" s="198"/>
      <c r="FN8" s="198"/>
      <c r="FO8" s="198"/>
      <c r="FP8" s="198"/>
      <c r="FQ8" s="198"/>
      <c r="FR8" s="198"/>
      <c r="FS8" s="198"/>
      <c r="FT8" s="198"/>
      <c r="FU8" s="198"/>
      <c r="FV8" s="198"/>
      <c r="FW8" s="198"/>
      <c r="FX8" s="198"/>
      <c r="FY8" s="198"/>
      <c r="FZ8" s="198"/>
      <c r="GA8" s="198"/>
      <c r="GB8" s="198"/>
      <c r="GC8" s="198"/>
      <c r="GD8" s="198"/>
      <c r="GE8" s="198"/>
      <c r="GF8" s="198"/>
      <c r="GG8" s="198"/>
      <c r="GH8" s="198"/>
      <c r="GI8" s="198"/>
      <c r="GJ8" s="198"/>
      <c r="GK8" s="198"/>
      <c r="GL8" s="198"/>
      <c r="GM8" s="198"/>
      <c r="GN8" s="198"/>
      <c r="GO8" s="198"/>
      <c r="GP8" s="198"/>
      <c r="GQ8" s="198"/>
      <c r="GR8" s="198"/>
      <c r="GS8" s="198"/>
      <c r="GT8" s="198"/>
      <c r="GU8" s="198"/>
      <c r="GV8" s="198"/>
      <c r="GW8" s="198"/>
      <c r="GX8" s="198"/>
      <c r="GY8" s="198"/>
      <c r="GZ8" s="198"/>
      <c r="HA8" s="198"/>
      <c r="HB8" s="198"/>
      <c r="HC8" s="198"/>
      <c r="HD8" s="198"/>
      <c r="HE8" s="198"/>
      <c r="HF8" s="198"/>
      <c r="HG8" s="198"/>
      <c r="HH8" s="198"/>
      <c r="HI8" s="198"/>
      <c r="HJ8" s="198"/>
      <c r="HK8" s="198"/>
      <c r="HL8" s="198"/>
      <c r="HM8" s="198"/>
      <c r="HN8" s="198"/>
      <c r="HO8" s="198"/>
      <c r="HP8" s="198"/>
      <c r="HQ8" s="198"/>
      <c r="HR8" s="198"/>
      <c r="HS8" s="198"/>
      <c r="HT8" s="198"/>
      <c r="HU8" s="198"/>
      <c r="HV8" s="198"/>
      <c r="HW8" s="198"/>
      <c r="HX8" s="198"/>
      <c r="HY8" s="198"/>
      <c r="HZ8" s="198"/>
      <c r="IA8" s="198"/>
      <c r="IB8" s="198"/>
      <c r="IC8" s="198"/>
      <c r="ID8" s="198"/>
      <c r="IE8" s="198"/>
      <c r="IF8" s="198"/>
      <c r="IG8" s="198"/>
      <c r="IH8" s="198"/>
      <c r="II8" s="198"/>
      <c r="IJ8" s="198"/>
      <c r="IK8" s="198"/>
      <c r="IL8" s="198"/>
      <c r="IM8" s="198"/>
      <c r="IN8" s="198"/>
      <c r="IO8" s="198"/>
      <c r="IP8" s="198"/>
      <c r="IQ8" s="198"/>
      <c r="IR8" s="198"/>
      <c r="IS8" s="198"/>
      <c r="IT8" s="198"/>
      <c r="IU8" s="198"/>
      <c r="IV8" s="198"/>
      <c r="IW8" s="198"/>
      <c r="IX8" s="198"/>
      <c r="IY8" s="198"/>
      <c r="IZ8" s="198"/>
      <c r="JA8" s="198"/>
      <c r="JB8" s="198"/>
      <c r="JC8" s="198"/>
      <c r="JD8" s="198"/>
      <c r="JE8" s="198"/>
      <c r="JF8" s="198"/>
      <c r="JG8" s="198"/>
      <c r="JH8" s="198"/>
      <c r="JI8" s="198"/>
      <c r="JJ8" s="198"/>
      <c r="JK8" s="198"/>
      <c r="JL8" s="198"/>
      <c r="JM8" s="198"/>
      <c r="JN8" s="198"/>
      <c r="JO8" s="198"/>
      <c r="JP8" s="198"/>
      <c r="JQ8" s="198"/>
      <c r="JR8" s="198"/>
      <c r="JS8" s="198"/>
      <c r="JT8" s="198"/>
      <c r="JU8" s="198"/>
      <c r="JV8" s="198"/>
      <c r="JW8" s="198"/>
      <c r="JX8" s="198"/>
      <c r="JY8" s="198"/>
      <c r="JZ8" s="198"/>
      <c r="KA8" s="198"/>
      <c r="KB8" s="198"/>
      <c r="KC8" s="198"/>
      <c r="KD8" s="198"/>
      <c r="KE8" s="198"/>
      <c r="KF8" s="198"/>
      <c r="KG8" s="198"/>
      <c r="KH8" s="198"/>
      <c r="KI8" s="198"/>
      <c r="KJ8" s="198"/>
      <c r="KK8" s="198"/>
      <c r="KL8" s="198"/>
      <c r="KM8" s="198"/>
      <c r="KN8" s="198"/>
      <c r="KO8" s="198"/>
      <c r="KP8" s="198"/>
      <c r="KQ8" s="198"/>
      <c r="KR8" s="198"/>
      <c r="KS8" s="198"/>
      <c r="KT8" s="198"/>
      <c r="KU8" s="198"/>
      <c r="KV8" s="198"/>
      <c r="KW8" s="198"/>
      <c r="KX8" s="198"/>
      <c r="KY8" s="198"/>
      <c r="KZ8" s="198"/>
      <c r="LA8" s="198"/>
      <c r="LB8" s="198"/>
      <c r="LC8" s="198"/>
      <c r="LD8" s="198"/>
      <c r="LF8"/>
      <c r="LG8"/>
      <c r="LH8"/>
      <c r="LI8"/>
      <c r="LJ8"/>
      <c r="LK8"/>
      <c r="LL8"/>
      <c r="LM8"/>
      <c r="LN8"/>
      <c r="LO8"/>
      <c r="LP8"/>
      <c r="LQ8"/>
      <c r="LR8"/>
      <c r="LS8"/>
      <c r="LT8"/>
      <c r="LU8"/>
      <c r="LV8"/>
      <c r="LW8"/>
      <c r="LX8"/>
      <c r="LY8"/>
      <c r="LZ8"/>
      <c r="MA8"/>
      <c r="MB8"/>
      <c r="MC8"/>
      <c r="MD8"/>
      <c r="ME8"/>
      <c r="MF8"/>
      <c r="MG8"/>
      <c r="MH8"/>
      <c r="MI8"/>
      <c r="MJ8"/>
      <c r="MK8"/>
      <c r="ML8"/>
      <c r="MM8"/>
      <c r="MN8"/>
      <c r="MO8"/>
      <c r="MP8"/>
      <c r="MQ8"/>
      <c r="MR8"/>
      <c r="MS8"/>
      <c r="MT8"/>
      <c r="MU8"/>
      <c r="MV8"/>
      <c r="MW8"/>
      <c r="MX8"/>
      <c r="MY8"/>
      <c r="MZ8"/>
      <c r="NA8"/>
      <c r="NB8"/>
      <c r="NC8"/>
      <c r="ND8"/>
      <c r="NE8"/>
      <c r="NF8"/>
      <c r="NG8"/>
      <c r="NH8"/>
      <c r="NI8"/>
      <c r="NJ8"/>
      <c r="NK8"/>
      <c r="NL8"/>
      <c r="NM8"/>
      <c r="NN8"/>
      <c r="NO8"/>
      <c r="NP8"/>
      <c r="NQ8"/>
      <c r="NR8"/>
      <c r="NS8"/>
      <c r="NT8"/>
      <c r="NU8"/>
      <c r="NV8"/>
      <c r="NW8"/>
      <c r="NX8"/>
      <c r="NY8"/>
      <c r="NZ8"/>
      <c r="OA8"/>
      <c r="OB8"/>
      <c r="OC8"/>
      <c r="OD8"/>
      <c r="OE8"/>
      <c r="OF8"/>
      <c r="OG8"/>
      <c r="OH8"/>
      <c r="OI8"/>
      <c r="OJ8"/>
      <c r="OK8"/>
      <c r="OL8"/>
      <c r="OM8"/>
      <c r="ON8"/>
      <c r="OO8"/>
      <c r="OP8"/>
      <c r="OQ8"/>
      <c r="OR8"/>
      <c r="OS8"/>
      <c r="OT8"/>
      <c r="OU8"/>
      <c r="OV8"/>
      <c r="OW8"/>
      <c r="OX8"/>
      <c r="OY8"/>
      <c r="OZ8"/>
      <c r="PA8"/>
      <c r="PB8"/>
      <c r="PC8"/>
      <c r="PD8"/>
      <c r="PE8"/>
      <c r="PF8"/>
      <c r="PG8"/>
      <c r="PH8"/>
      <c r="PI8"/>
      <c r="PJ8"/>
      <c r="PK8"/>
      <c r="PL8"/>
      <c r="PM8"/>
      <c r="PN8"/>
      <c r="PO8"/>
      <c r="PP8"/>
      <c r="PQ8"/>
      <c r="PR8"/>
      <c r="PS8"/>
      <c r="PT8"/>
      <c r="PU8"/>
      <c r="PV8"/>
      <c r="PW8"/>
      <c r="PX8"/>
      <c r="PY8"/>
      <c r="PZ8"/>
      <c r="QA8"/>
      <c r="QB8"/>
      <c r="QC8"/>
      <c r="QD8"/>
      <c r="QE8"/>
      <c r="QF8"/>
      <c r="QG8"/>
      <c r="QH8"/>
      <c r="QI8"/>
      <c r="QJ8"/>
      <c r="QK8"/>
      <c r="QL8"/>
      <c r="QM8"/>
      <c r="QN8"/>
      <c r="QO8"/>
      <c r="QP8"/>
      <c r="QQ8"/>
      <c r="QR8"/>
      <c r="QS8"/>
      <c r="QT8"/>
      <c r="QU8"/>
      <c r="QV8"/>
      <c r="QW8"/>
      <c r="QX8"/>
      <c r="QY8"/>
      <c r="QZ8"/>
      <c r="RA8"/>
      <c r="RB8"/>
      <c r="RC8"/>
      <c r="RD8"/>
      <c r="RE8"/>
      <c r="RF8"/>
      <c r="RG8"/>
      <c r="RH8"/>
      <c r="RI8"/>
      <c r="RJ8"/>
      <c r="RK8"/>
      <c r="RL8"/>
      <c r="RM8"/>
      <c r="RN8"/>
      <c r="RO8"/>
      <c r="RP8"/>
      <c r="RQ8"/>
      <c r="RR8"/>
      <c r="RS8"/>
      <c r="RT8"/>
      <c r="RU8"/>
      <c r="RV8"/>
      <c r="RW8"/>
      <c r="RX8"/>
      <c r="RY8"/>
      <c r="RZ8"/>
      <c r="SA8"/>
      <c r="SB8"/>
      <c r="SC8"/>
      <c r="SD8"/>
      <c r="SE8"/>
      <c r="SF8"/>
      <c r="SG8"/>
      <c r="SH8"/>
      <c r="SI8"/>
      <c r="SJ8"/>
      <c r="SK8"/>
      <c r="SL8"/>
      <c r="SM8"/>
      <c r="SN8"/>
      <c r="SO8"/>
      <c r="SP8"/>
      <c r="SQ8"/>
      <c r="SR8"/>
      <c r="SS8"/>
      <c r="ST8"/>
      <c r="SU8"/>
      <c r="SV8"/>
      <c r="SW8"/>
      <c r="SX8"/>
      <c r="SY8"/>
      <c r="SZ8"/>
      <c r="TA8"/>
      <c r="TB8"/>
      <c r="TC8"/>
      <c r="TD8"/>
      <c r="TE8"/>
      <c r="TF8"/>
      <c r="TG8"/>
      <c r="TH8"/>
      <c r="TI8"/>
      <c r="TJ8"/>
      <c r="TK8"/>
      <c r="TL8"/>
      <c r="TM8"/>
      <c r="TN8"/>
      <c r="TO8"/>
      <c r="TP8"/>
      <c r="TQ8"/>
      <c r="TR8"/>
      <c r="TS8"/>
      <c r="TT8"/>
      <c r="TU8"/>
      <c r="TV8"/>
      <c r="TW8"/>
      <c r="TX8"/>
      <c r="TY8"/>
      <c r="TZ8"/>
      <c r="UA8"/>
      <c r="UB8"/>
      <c r="UC8"/>
      <c r="UD8"/>
      <c r="UE8"/>
      <c r="UF8"/>
      <c r="UG8"/>
      <c r="UH8"/>
      <c r="UI8"/>
      <c r="UJ8"/>
      <c r="UK8"/>
      <c r="UL8"/>
      <c r="UM8"/>
      <c r="UN8"/>
      <c r="UO8"/>
      <c r="UP8"/>
      <c r="UQ8"/>
      <c r="UR8"/>
      <c r="US8"/>
      <c r="UT8"/>
      <c r="UU8"/>
      <c r="UV8"/>
      <c r="UW8"/>
      <c r="UX8"/>
      <c r="UY8"/>
      <c r="UZ8"/>
      <c r="VA8"/>
      <c r="VB8"/>
      <c r="VC8"/>
      <c r="VD8"/>
      <c r="VE8"/>
      <c r="VF8"/>
      <c r="VG8"/>
      <c r="VH8"/>
      <c r="VI8"/>
      <c r="VJ8"/>
      <c r="VK8"/>
      <c r="VL8"/>
      <c r="VM8"/>
      <c r="VN8"/>
      <c r="VO8"/>
      <c r="VP8"/>
      <c r="VQ8"/>
      <c r="VR8"/>
      <c r="VS8"/>
      <c r="VT8"/>
      <c r="VU8"/>
      <c r="VV8"/>
      <c r="VW8"/>
      <c r="VX8"/>
      <c r="VY8"/>
      <c r="VZ8"/>
      <c r="WA8"/>
      <c r="WB8"/>
      <c r="WC8"/>
      <c r="WD8"/>
      <c r="WE8"/>
      <c r="WF8"/>
      <c r="WG8"/>
      <c r="WH8"/>
      <c r="WI8"/>
      <c r="WJ8"/>
      <c r="WK8"/>
      <c r="WL8"/>
      <c r="WM8"/>
      <c r="WN8"/>
      <c r="WO8"/>
      <c r="WP8"/>
      <c r="WQ8"/>
      <c r="WR8"/>
      <c r="WS8"/>
      <c r="WT8"/>
      <c r="WU8"/>
      <c r="WV8"/>
      <c r="WW8"/>
      <c r="WX8"/>
      <c r="WY8"/>
      <c r="WZ8"/>
      <c r="XA8"/>
      <c r="XB8"/>
      <c r="XC8"/>
      <c r="XD8"/>
      <c r="XE8"/>
      <c r="XF8"/>
      <c r="XG8"/>
      <c r="XH8"/>
      <c r="XI8"/>
      <c r="XJ8"/>
      <c r="XK8"/>
      <c r="XL8"/>
      <c r="XM8"/>
      <c r="XN8"/>
      <c r="XO8"/>
      <c r="XP8"/>
      <c r="XQ8"/>
      <c r="XR8"/>
      <c r="XS8"/>
      <c r="XT8"/>
      <c r="XU8"/>
      <c r="XV8"/>
      <c r="XW8"/>
      <c r="XX8"/>
      <c r="XY8"/>
      <c r="XZ8"/>
      <c r="YA8"/>
      <c r="YB8"/>
      <c r="YC8"/>
      <c r="YD8"/>
      <c r="YE8"/>
      <c r="YF8"/>
      <c r="YG8"/>
      <c r="YH8"/>
      <c r="YI8"/>
      <c r="YJ8"/>
      <c r="YK8"/>
      <c r="YL8"/>
      <c r="YM8"/>
      <c r="YN8"/>
      <c r="YO8"/>
      <c r="YP8"/>
      <c r="YQ8"/>
      <c r="YR8"/>
      <c r="YS8"/>
      <c r="YT8"/>
      <c r="YU8"/>
      <c r="YV8"/>
      <c r="YW8"/>
      <c r="YX8"/>
      <c r="YY8"/>
      <c r="YZ8"/>
      <c r="ZA8"/>
      <c r="ZB8"/>
      <c r="ZC8"/>
      <c r="ZD8"/>
      <c r="ZE8"/>
      <c r="ZF8"/>
      <c r="ZG8"/>
      <c r="ZH8"/>
      <c r="ZI8"/>
      <c r="ZJ8"/>
      <c r="ZK8"/>
      <c r="ZL8"/>
      <c r="ZM8"/>
      <c r="ZN8"/>
      <c r="ZO8"/>
      <c r="ZP8"/>
      <c r="ZQ8"/>
      <c r="ZR8"/>
      <c r="ZS8"/>
      <c r="ZT8"/>
      <c r="ZU8"/>
      <c r="ZV8"/>
      <c r="ZW8"/>
      <c r="ZX8"/>
      <c r="ZY8"/>
      <c r="ZZ8"/>
      <c r="AAA8"/>
      <c r="AAB8"/>
      <c r="AAC8"/>
      <c r="AAD8"/>
      <c r="AAE8"/>
      <c r="AAF8"/>
      <c r="AAG8"/>
      <c r="AAH8"/>
      <c r="AAI8"/>
      <c r="AAJ8"/>
      <c r="AAK8"/>
      <c r="AAL8"/>
      <c r="AAM8"/>
      <c r="AAN8"/>
      <c r="AAO8"/>
      <c r="AAP8"/>
      <c r="AAQ8"/>
      <c r="AAR8"/>
      <c r="AAS8"/>
      <c r="AAT8"/>
      <c r="AAU8"/>
      <c r="AAV8"/>
      <c r="AAW8"/>
      <c r="AAX8"/>
      <c r="AAY8"/>
      <c r="AAZ8"/>
      <c r="ABA8"/>
      <c r="ABB8"/>
      <c r="ABC8"/>
      <c r="ABD8"/>
      <c r="ABE8"/>
      <c r="ABF8"/>
      <c r="ABG8"/>
      <c r="ABH8"/>
      <c r="ABI8"/>
      <c r="ABJ8"/>
      <c r="ABK8"/>
      <c r="ABL8"/>
      <c r="ABM8"/>
      <c r="ABN8"/>
      <c r="ABO8"/>
      <c r="ABP8"/>
      <c r="ABQ8"/>
      <c r="ABR8"/>
      <c r="ABS8"/>
      <c r="ABT8"/>
      <c r="ABU8"/>
      <c r="ABV8"/>
      <c r="ABW8"/>
      <c r="ABX8"/>
      <c r="ABY8"/>
      <c r="ABZ8"/>
      <c r="ACA8"/>
      <c r="ACB8"/>
      <c r="ACC8"/>
      <c r="ACD8"/>
      <c r="ACE8"/>
      <c r="ACF8"/>
      <c r="ACG8"/>
      <c r="ACH8"/>
      <c r="ACI8"/>
      <c r="ACJ8"/>
      <c r="ACK8"/>
      <c r="ACL8"/>
      <c r="ACM8"/>
      <c r="ACN8"/>
      <c r="ACO8"/>
      <c r="ACP8"/>
      <c r="ACQ8"/>
      <c r="ACR8"/>
      <c r="ACS8"/>
      <c r="ACT8"/>
      <c r="ACU8"/>
      <c r="ACV8"/>
      <c r="ACW8"/>
      <c r="ACX8"/>
      <c r="ACY8"/>
      <c r="ACZ8"/>
      <c r="ADA8"/>
      <c r="ADB8"/>
      <c r="ADC8"/>
      <c r="ADD8"/>
      <c r="ADE8"/>
      <c r="ADF8"/>
      <c r="ADG8"/>
      <c r="ADH8"/>
      <c r="ADI8"/>
      <c r="ADJ8"/>
      <c r="ADK8"/>
      <c r="ADL8"/>
      <c r="ADM8"/>
      <c r="ADN8"/>
    </row>
    <row r="9" spans="1:794">
      <c r="A9" s="930"/>
      <c r="B9" s="199" t="s">
        <v>733</v>
      </c>
      <c r="C9" s="200">
        <f>'Revenue Tracking'!F4</f>
        <v>59995000</v>
      </c>
      <c r="D9" s="200">
        <f>SUM(F9:LD9)</f>
        <v>59995000</v>
      </c>
      <c r="E9" s="187"/>
      <c r="F9" s="201">
        <f>SUMIFS('Revenue Tracking'!$F$13:$F$21, 'Revenue Tracking'!$P$13:$P$21, "&gt;="&amp;F1,'Revenue Tracking'!$P$13:$P$21, "&lt;"&amp;G1)</f>
        <v>0</v>
      </c>
      <c r="G9" s="201">
        <f>SUMIFS('Revenue Tracking'!$F$13:$F$21, 'Revenue Tracking'!$P$13:$P$21, "&gt;="&amp;G1,'Revenue Tracking'!$P$13:$P$21, "&lt;"&amp;H1)</f>
        <v>0</v>
      </c>
      <c r="H9" s="201">
        <f>SUMIFS('Revenue Tracking'!$F$13:$F$21, 'Revenue Tracking'!$P$13:$P$21, "&gt;="&amp;H1,'Revenue Tracking'!$P$13:$P$21, "&lt;"&amp;I1)</f>
        <v>0</v>
      </c>
      <c r="I9" s="201">
        <f>SUMIFS('Revenue Tracking'!$F$13:$F$21, 'Revenue Tracking'!$P$13:$P$21, "&gt;="&amp;I1,'Revenue Tracking'!$P$13:$P$21, "&lt;"&amp;J1)</f>
        <v>0</v>
      </c>
      <c r="J9" s="201">
        <f>SUMIFS('Revenue Tracking'!$F$13:$F$21, 'Revenue Tracking'!$P$13:$P$21, "&gt;="&amp;J1,'Revenue Tracking'!$P$13:$P$21, "&lt;"&amp;K1)</f>
        <v>0</v>
      </c>
      <c r="K9" s="201">
        <f>SUMIFS('Revenue Tracking'!$F$13:$F$21, 'Revenue Tracking'!$P$13:$P$21, "&gt;="&amp;K1,'Revenue Tracking'!$P$13:$P$21, "&lt;"&amp;L1)</f>
        <v>0</v>
      </c>
      <c r="L9" s="201">
        <f>SUMIFS('Revenue Tracking'!$F$13:$F$21, 'Revenue Tracking'!$P$13:$P$21, "&gt;="&amp;L1,'Revenue Tracking'!$P$13:$P$21, "&lt;"&amp;M1)</f>
        <v>0</v>
      </c>
      <c r="M9" s="201">
        <f>SUMIFS('Revenue Tracking'!$F$13:$F$21, 'Revenue Tracking'!$P$13:$P$21, "&gt;="&amp;M1,'Revenue Tracking'!$P$13:$P$21, "&lt;"&amp;N1)</f>
        <v>0</v>
      </c>
      <c r="N9" s="201">
        <f>SUMIFS('Revenue Tracking'!$F$13:$F$21, 'Revenue Tracking'!$P$13:$P$21, "&gt;="&amp;N1,'Revenue Tracking'!$P$13:$P$21, "&lt;"&amp;O1)</f>
        <v>0</v>
      </c>
      <c r="O9" s="201">
        <f>SUMIFS('Revenue Tracking'!$F$13:$F$21, 'Revenue Tracking'!$P$13:$P$21, "&gt;="&amp;O1,'Revenue Tracking'!$P$13:$P$21, "&lt;"&amp;P1)</f>
        <v>0</v>
      </c>
      <c r="P9" s="201">
        <f>SUMIFS('Revenue Tracking'!$F$13:$F$21, 'Revenue Tracking'!$P$13:$P$21, "&gt;="&amp;P1,'Revenue Tracking'!$P$13:$P$21, "&lt;"&amp;Q1)</f>
        <v>0</v>
      </c>
      <c r="Q9" s="201">
        <f>SUMIFS('Revenue Tracking'!$F$13:$F$21, 'Revenue Tracking'!$P$13:$P$21, "&gt;="&amp;Q1,'Revenue Tracking'!$P$13:$P$21, "&lt;"&amp;R1)</f>
        <v>0</v>
      </c>
      <c r="R9" s="201">
        <f>SUMIFS('Revenue Tracking'!$F$13:$F$21, 'Revenue Tracking'!$P$13:$P$21, "&gt;="&amp;R1,'Revenue Tracking'!$P$13:$P$21, "&lt;"&amp;S1)</f>
        <v>0</v>
      </c>
      <c r="S9" s="201">
        <f>SUMIFS('Revenue Tracking'!$F$13:$F$21, 'Revenue Tracking'!$P$13:$P$21, "&gt;="&amp;S1,'Revenue Tracking'!$P$13:$P$21, "&lt;"&amp;T1)</f>
        <v>0</v>
      </c>
      <c r="T9" s="201">
        <f>SUMIFS('Revenue Tracking'!$F$13:$F$21, 'Revenue Tracking'!$P$13:$P$21, "&gt;="&amp;T1,'Revenue Tracking'!$P$13:$P$21, "&lt;"&amp;U1)</f>
        <v>0</v>
      </c>
      <c r="U9" s="201">
        <f>SUMIFS('Revenue Tracking'!$F$13:$F$21, 'Revenue Tracking'!$P$13:$P$21, "&gt;="&amp;U1,'Revenue Tracking'!$P$13:$P$21, "&lt;"&amp;V1)</f>
        <v>0</v>
      </c>
      <c r="V9" s="201">
        <f>SUMIFS('Revenue Tracking'!$F$13:$F$21, 'Revenue Tracking'!$P$13:$P$21, "&gt;="&amp;V1,'Revenue Tracking'!$P$13:$P$21, "&lt;"&amp;W1)</f>
        <v>0</v>
      </c>
      <c r="W9" s="201">
        <f>SUMIFS('Revenue Tracking'!$F$13:$F$21, 'Revenue Tracking'!$P$13:$P$21, "&gt;="&amp;W1,'Revenue Tracking'!$P$13:$P$21, "&lt;"&amp;X1)</f>
        <v>0</v>
      </c>
      <c r="X9" s="201">
        <f>SUMIFS('Revenue Tracking'!$F$13:$F$21, 'Revenue Tracking'!$P$13:$P$21, "&gt;="&amp;X1,'Revenue Tracking'!$P$13:$P$21, "&lt;"&amp;Y1)</f>
        <v>0</v>
      </c>
      <c r="Y9" s="201">
        <f>SUMIFS('Revenue Tracking'!$F$13:$F$21, 'Revenue Tracking'!$P$13:$P$21, "&gt;="&amp;Y1,'Revenue Tracking'!$P$13:$P$21, "&lt;"&amp;Z1)</f>
        <v>0</v>
      </c>
      <c r="Z9" s="201">
        <f>SUMIFS('Revenue Tracking'!$F$13:$F$21, 'Revenue Tracking'!$P$13:$P$21, "&gt;="&amp;Z1,'Revenue Tracking'!$P$13:$P$21, "&lt;"&amp;AA1)</f>
        <v>0</v>
      </c>
      <c r="AA9" s="201">
        <f>SUMIFS('Revenue Tracking'!$F$13:$F$21, 'Revenue Tracking'!$P$13:$P$21, "&gt;="&amp;AA1,'Revenue Tracking'!$P$13:$P$21, "&lt;"&amp;AB1)</f>
        <v>15000000</v>
      </c>
      <c r="AB9" s="201">
        <f>SUMIFS('Revenue Tracking'!$F$13:$F$21, 'Revenue Tracking'!$P$13:$P$21, "&gt;="&amp;AB1,'Revenue Tracking'!$P$13:$P$21, "&lt;"&amp;AC1)</f>
        <v>0</v>
      </c>
      <c r="AC9" s="201">
        <f>SUMIFS('Revenue Tracking'!$F$13:$F$21, 'Revenue Tracking'!$P$13:$P$21, "&gt;="&amp;AC1,'Revenue Tracking'!$P$13:$P$21, "&lt;"&amp;AD1)</f>
        <v>0</v>
      </c>
      <c r="AD9" s="201">
        <f>SUMIFS('Revenue Tracking'!$F$13:$F$21, 'Revenue Tracking'!$P$13:$P$21, "&gt;="&amp;AD1,'Revenue Tracking'!$P$13:$P$21, "&lt;"&amp;AE1)</f>
        <v>0</v>
      </c>
      <c r="AE9" s="201">
        <f>SUMIFS('Revenue Tracking'!$F$13:$F$21, 'Revenue Tracking'!$P$13:$P$21, "&gt;="&amp;AE1,'Revenue Tracking'!$P$13:$P$21, "&lt;"&amp;AF1)</f>
        <v>0</v>
      </c>
      <c r="AF9" s="201">
        <f>SUMIFS('Revenue Tracking'!$F$13:$F$21, 'Revenue Tracking'!$P$13:$P$21, "&gt;="&amp;AF1,'Revenue Tracking'!$P$13:$P$21, "&lt;"&amp;AG1)</f>
        <v>17998500</v>
      </c>
      <c r="AG9" s="201">
        <f>SUMIFS('Revenue Tracking'!$F$13:$F$21, 'Revenue Tracking'!$P$13:$P$21, "&gt;="&amp;AG1,'Revenue Tracking'!$P$13:$P$21, "&lt;"&amp;AH1)</f>
        <v>0</v>
      </c>
      <c r="AH9" s="201">
        <f>SUMIFS('Revenue Tracking'!$F$13:$F$21, 'Revenue Tracking'!$P$13:$P$21, "&gt;="&amp;AH1,'Revenue Tracking'!$P$13:$P$21, "&lt;"&amp;AI1)</f>
        <v>0</v>
      </c>
      <c r="AI9" s="201">
        <f>SUMIFS('Revenue Tracking'!$F$13:$F$21, 'Revenue Tracking'!$P$13:$P$21, "&gt;="&amp;AI1,'Revenue Tracking'!$P$13:$P$21, "&lt;"&amp;AJ1)</f>
        <v>0</v>
      </c>
      <c r="AJ9" s="201">
        <f>SUMIFS('Revenue Tracking'!$F$13:$F$21, 'Revenue Tracking'!$P$13:$P$21, "&gt;="&amp;AJ1,'Revenue Tracking'!$P$13:$P$21, "&lt;"&amp;AK1)</f>
        <v>0</v>
      </c>
      <c r="AK9" s="201">
        <f>SUMIFS('Revenue Tracking'!$F$13:$F$21, 'Revenue Tracking'!$P$13:$P$21, "&gt;="&amp;AK1,'Revenue Tracking'!$P$13:$P$21, "&lt;"&amp;AL1)</f>
        <v>8998000</v>
      </c>
      <c r="AL9" s="201">
        <f>SUMIFS('Revenue Tracking'!$F$13:$F$21, 'Revenue Tracking'!$P$13:$P$21, "&gt;="&amp;AL1,'Revenue Tracking'!$P$13:$P$21, "&lt;"&amp;AM1)</f>
        <v>0</v>
      </c>
      <c r="AM9" s="201">
        <f>SUMIFS('Revenue Tracking'!$F$13:$F$21, 'Revenue Tracking'!$P$13:$P$21, "&gt;="&amp;AM1,'Revenue Tracking'!$P$13:$P$21, "&lt;"&amp;AN1)</f>
        <v>0</v>
      </c>
      <c r="AN9" s="201">
        <f>SUMIFS('Revenue Tracking'!$F$13:$F$21, 'Revenue Tracking'!$P$13:$P$21, "&gt;="&amp;AN1,'Revenue Tracking'!$P$13:$P$21, "&lt;"&amp;AO1)</f>
        <v>8999250</v>
      </c>
      <c r="AO9" s="201">
        <f>SUMIFS('Revenue Tracking'!$F$13:$F$21, 'Revenue Tracking'!$P$13:$P$21, "&gt;="&amp;AO1,'Revenue Tracking'!$P$13:$P$21, "&lt;"&amp;AP1)</f>
        <v>0</v>
      </c>
      <c r="AP9" s="201">
        <f>SUMIFS('Revenue Tracking'!$F$13:$F$21, 'Revenue Tracking'!$P$13:$P$21, "&gt;="&amp;AP1,'Revenue Tracking'!$P$13:$P$21, "&lt;"&amp;AQ1)</f>
        <v>0</v>
      </c>
      <c r="AQ9" s="201">
        <f>SUMIFS('Revenue Tracking'!$F$13:$F$21, 'Revenue Tracking'!$P$13:$P$21, "&gt;="&amp;AQ1,'Revenue Tracking'!$P$13:$P$21, "&lt;"&amp;AR1)</f>
        <v>0</v>
      </c>
      <c r="AR9" s="201">
        <f>SUMIFS('Revenue Tracking'!$F$13:$F$21, 'Revenue Tracking'!$P$13:$P$21, "&gt;="&amp;AR1,'Revenue Tracking'!$P$13:$P$21, "&lt;"&amp;AS1)</f>
        <v>0</v>
      </c>
      <c r="AS9" s="201">
        <f>SUMIFS('Revenue Tracking'!$F$13:$F$21, 'Revenue Tracking'!$P$13:$P$21, "&gt;="&amp;AS1,'Revenue Tracking'!$P$13:$P$21, "&lt;"&amp;AT1)</f>
        <v>0</v>
      </c>
      <c r="AT9" s="201">
        <f>SUMIFS('Revenue Tracking'!$F$13:$F$21, 'Revenue Tracking'!$P$13:$P$21, "&gt;="&amp;AT1,'Revenue Tracking'!$P$13:$P$21, "&lt;"&amp;AU1)</f>
        <v>0</v>
      </c>
      <c r="AU9" s="201">
        <f>SUMIFS('Revenue Tracking'!$F$13:$F$21, 'Revenue Tracking'!$P$13:$P$21, "&gt;="&amp;AU1,'Revenue Tracking'!$P$13:$P$21, "&lt;"&amp;AV1)</f>
        <v>0</v>
      </c>
      <c r="AV9" s="201">
        <f>SUMIFS('Revenue Tracking'!$F$13:$F$21, 'Revenue Tracking'!$P$13:$P$21, "&gt;="&amp;AV1,'Revenue Tracking'!$P$13:$P$21, "&lt;"&amp;AW1)</f>
        <v>0</v>
      </c>
      <c r="AW9" s="201">
        <f>SUMIFS('Revenue Tracking'!$F$13:$F$21, 'Revenue Tracking'!$P$13:$P$21, "&gt;="&amp;AW1,'Revenue Tracking'!$P$13:$P$21, "&lt;"&amp;AX1)</f>
        <v>0</v>
      </c>
      <c r="AX9" s="201">
        <f>SUMIFS('Revenue Tracking'!$F$13:$F$21, 'Revenue Tracking'!$P$13:$P$21, "&gt;="&amp;AX1,'Revenue Tracking'!$P$13:$P$21, "&lt;"&amp;AY1)</f>
        <v>0</v>
      </c>
      <c r="AY9" s="201">
        <f>SUMIFS('Revenue Tracking'!$F$13:$F$21, 'Revenue Tracking'!$P$13:$P$21, "&gt;="&amp;AY1,'Revenue Tracking'!$P$13:$P$21, "&lt;"&amp;AZ1)</f>
        <v>0</v>
      </c>
      <c r="AZ9" s="201">
        <f>SUMIFS('Revenue Tracking'!$F$13:$F$21, 'Revenue Tracking'!$P$13:$P$21, "&gt;="&amp;AZ1,'Revenue Tracking'!$P$13:$P$21, "&lt;"&amp;BA1)</f>
        <v>49840.730434782614</v>
      </c>
      <c r="BA9" s="201">
        <f>SUMIFS('Revenue Tracking'!$F$13:$F$21, 'Revenue Tracking'!$P$13:$P$21, "&gt;="&amp;BA1,'Revenue Tracking'!$P$13:$P$21, "&lt;"&amp;BB1)</f>
        <v>0</v>
      </c>
      <c r="BB9" s="201">
        <f>SUMIFS('Revenue Tracking'!$F$13:$F$21, 'Revenue Tracking'!$P$13:$P$21, "&gt;="&amp;BB1,'Revenue Tracking'!$P$13:$P$21, "&lt;"&amp;BC1)</f>
        <v>0</v>
      </c>
      <c r="BC9" s="201">
        <f>SUMIFS('Revenue Tracking'!$F$13:$F$21, 'Revenue Tracking'!$P$13:$P$21, "&gt;="&amp;BC1,'Revenue Tracking'!$P$13:$P$21, "&lt;"&amp;BD1)</f>
        <v>0</v>
      </c>
      <c r="BD9" s="201">
        <f>SUMIFS('Revenue Tracking'!$F$13:$F$21, 'Revenue Tracking'!$P$13:$P$21, "&gt;="&amp;BD1,'Revenue Tracking'!$P$13:$P$21, "&lt;"&amp;BE1)</f>
        <v>0</v>
      </c>
      <c r="BE9" s="201">
        <f>SUMIFS('Revenue Tracking'!$F$13:$F$21, 'Revenue Tracking'!$P$13:$P$21, "&gt;="&amp;BE1,'Revenue Tracking'!$P$13:$P$21, "&lt;"&amp;BF1)</f>
        <v>0</v>
      </c>
      <c r="BF9" s="201">
        <f>SUMIFS('Revenue Tracking'!$F$13:$F$21, 'Revenue Tracking'!$P$13:$P$21, "&gt;="&amp;BF1,'Revenue Tracking'!$P$13:$P$21, "&lt;"&amp;BG1)</f>
        <v>0</v>
      </c>
      <c r="BG9" s="201">
        <f>SUMIFS('Revenue Tracking'!$F$13:$F$21, 'Revenue Tracking'!$P$13:$P$21, "&gt;="&amp;BG1,'Revenue Tracking'!$P$13:$P$21, "&lt;"&amp;BH1)</f>
        <v>0</v>
      </c>
      <c r="BH9" s="201">
        <f>SUMIFS('Revenue Tracking'!$F$13:$F$21, 'Revenue Tracking'!$P$13:$P$21, "&gt;="&amp;BH1,'Revenue Tracking'!$P$13:$P$21, "&lt;"&amp;BI1)</f>
        <v>0</v>
      </c>
      <c r="BI9" s="201">
        <f>SUMIFS('Revenue Tracking'!$F$13:$F$21, 'Revenue Tracking'!$P$13:$P$21, "&gt;="&amp;BI1,'Revenue Tracking'!$P$13:$P$21, "&lt;"&amp;BJ1)</f>
        <v>5949659.2695652172</v>
      </c>
      <c r="BJ9" s="201">
        <f>SUMIFS('Revenue Tracking'!$F$13:$F$21, 'Revenue Tracking'!$P$13:$P$21, "&gt;="&amp;BJ1,'Revenue Tracking'!$P$13:$P$21, "&lt;"&amp;BK1)</f>
        <v>0</v>
      </c>
      <c r="BK9" s="201">
        <f>SUMIFS('Revenue Tracking'!$F$13:$F$21, 'Revenue Tracking'!$P$13:$P$21, "&gt;="&amp;BK1,'Revenue Tracking'!$P$13:$P$21, "&lt;"&amp;BL1)</f>
        <v>0</v>
      </c>
      <c r="BL9" s="201">
        <f>SUMIFS('Revenue Tracking'!$F$13:$F$21, 'Revenue Tracking'!$P$13:$P$21, "&gt;="&amp;BL1,'Revenue Tracking'!$P$13:$P$21, "&lt;"&amp;BM1)</f>
        <v>0</v>
      </c>
      <c r="BM9" s="201">
        <f>SUMIFS('Revenue Tracking'!$F$13:$F$21, 'Revenue Tracking'!$P$13:$P$21, "&gt;="&amp;BM1,'Revenue Tracking'!$P$13:$P$21, "&lt;"&amp;BN1)</f>
        <v>0</v>
      </c>
      <c r="BN9" s="201">
        <f>SUMIFS('Revenue Tracking'!$F$13:$F$21, 'Revenue Tracking'!$P$13:$P$21, "&gt;="&amp;BN1,'Revenue Tracking'!$P$13:$P$21, "&lt;"&amp;BO1)</f>
        <v>0</v>
      </c>
      <c r="BO9" s="201">
        <f>SUMIFS('Revenue Tracking'!$F$13:$F$21, 'Revenue Tracking'!$P$13:$P$21, "&gt;="&amp;BO1,'Revenue Tracking'!$P$13:$P$21, "&lt;"&amp;BP1)</f>
        <v>0</v>
      </c>
      <c r="BP9" s="201">
        <f>SUMIFS('Revenue Tracking'!$F$13:$F$21, 'Revenue Tracking'!$P$13:$P$21, "&gt;="&amp;BP1,'Revenue Tracking'!$P$13:$P$21, "&lt;"&amp;BQ1)</f>
        <v>0</v>
      </c>
      <c r="BQ9" s="201">
        <f>SUMIFS('Revenue Tracking'!$F$13:$F$21, 'Revenue Tracking'!$P$13:$P$21, "&gt;="&amp;BQ1,'Revenue Tracking'!$P$13:$P$21, "&lt;"&amp;BR1)</f>
        <v>0</v>
      </c>
      <c r="BR9" s="201">
        <f>SUMIFS('Revenue Tracking'!$F$13:$F$21, 'Revenue Tracking'!$P$13:$P$21, "&gt;="&amp;BR1,'Revenue Tracking'!$P$13:$P$21, "&lt;"&amp;BS1)</f>
        <v>0</v>
      </c>
      <c r="BS9" s="201">
        <f>SUMIFS('Revenue Tracking'!$F$13:$F$21, 'Revenue Tracking'!$P$13:$P$21, "&gt;="&amp;BS1,'Revenue Tracking'!$P$13:$P$21, "&lt;"&amp;BT1)</f>
        <v>2999750</v>
      </c>
      <c r="BT9" s="201">
        <f>SUMIFS('Revenue Tracking'!$F$13:$F$21, 'Revenue Tracking'!$P$13:$P$21, "&gt;="&amp;BT1,'Revenue Tracking'!$P$13:$P$21, "&lt;"&amp;BU1)</f>
        <v>0</v>
      </c>
      <c r="BU9" s="201">
        <f>SUMIFS('Revenue Tracking'!$F$13:$F$21, 'Revenue Tracking'!$P$13:$P$21, "&gt;="&amp;BU1,'Revenue Tracking'!$P$13:$P$21, "&lt;"&amp;BV1)</f>
        <v>0</v>
      </c>
      <c r="BV9" s="201">
        <f>SUMIFS('Revenue Tracking'!$F$13:$F$21, 'Revenue Tracking'!$P$13:$P$21, "&gt;="&amp;BV1,'Revenue Tracking'!$P$13:$P$21, "&lt;"&amp;BW1)</f>
        <v>0</v>
      </c>
      <c r="BW9" s="201">
        <f>SUMIFS('Revenue Tracking'!$F$13:$F$21, 'Revenue Tracking'!$P$13:$P$21, "&gt;="&amp;BW1,'Revenue Tracking'!$P$13:$P$21, "&lt;"&amp;BX1)</f>
        <v>0</v>
      </c>
      <c r="BX9" s="201">
        <f>SUMIFS('Revenue Tracking'!$F$13:$F$21, 'Revenue Tracking'!$P$13:$P$21, "&gt;="&amp;BX1,'Revenue Tracking'!$P$13:$P$21, "&lt;"&amp;BY1)</f>
        <v>0</v>
      </c>
      <c r="BY9" s="201">
        <f>SUMIFS('Revenue Tracking'!$F$13:$F$21, 'Revenue Tracking'!$P$13:$P$21, "&gt;="&amp;BY1,'Revenue Tracking'!$P$13:$P$21, "&lt;"&amp;BZ1)</f>
        <v>0</v>
      </c>
      <c r="BZ9" s="201">
        <f>SUMIFS('Revenue Tracking'!$F$13:$F$21, 'Revenue Tracking'!$P$13:$P$21, "&gt;="&amp;BZ1,'Revenue Tracking'!$P$13:$P$21, "&lt;"&amp;CA1)</f>
        <v>0</v>
      </c>
      <c r="CA9" s="201">
        <f>SUMIFS('Revenue Tracking'!$F$13:$F$21, 'Revenue Tracking'!$P$13:$P$21, "&gt;="&amp;CA1,'Revenue Tracking'!$P$13:$P$21, "&lt;"&amp;CB1)</f>
        <v>0</v>
      </c>
      <c r="CB9" s="201">
        <f>SUMIFS('Revenue Tracking'!$F$13:$F$21, 'Revenue Tracking'!$P$13:$P$21, "&gt;="&amp;CB1,'Revenue Tracking'!$P$13:$P$21, "&lt;"&amp;CC1)</f>
        <v>0</v>
      </c>
      <c r="CC9" s="201">
        <f>SUMIFS('Revenue Tracking'!$F$13:$F$21, 'Revenue Tracking'!$P$13:$P$21, "&gt;="&amp;CC1,'Revenue Tracking'!$P$13:$P$21, "&lt;"&amp;CD1)</f>
        <v>0</v>
      </c>
      <c r="CD9" s="201">
        <f>SUMIFS('Revenue Tracking'!$F$13:$F$21, 'Revenue Tracking'!$P$13:$P$21, "&gt;="&amp;CD1,'Revenue Tracking'!$P$13:$P$21, "&lt;"&amp;CE1)</f>
        <v>0</v>
      </c>
      <c r="CE9" s="201">
        <f>SUMIFS('Revenue Tracking'!$F$13:$F$21, 'Revenue Tracking'!$P$13:$P$21, "&gt;="&amp;CE1,'Revenue Tracking'!$P$13:$P$21, "&lt;"&amp;CF1)</f>
        <v>0</v>
      </c>
      <c r="CF9" s="201">
        <f>SUMIFS('Revenue Tracking'!$F$13:$F$21, 'Revenue Tracking'!$P$13:$P$21, "&gt;="&amp;CF1,'Revenue Tracking'!$P$13:$P$21, "&lt;"&amp;CG1)</f>
        <v>0</v>
      </c>
      <c r="CG9" s="201">
        <f>SUMIFS('Revenue Tracking'!$F$13:$F$21, 'Revenue Tracking'!$P$13:$P$21, "&gt;="&amp;CG1,'Revenue Tracking'!$P$13:$P$21, "&lt;"&amp;CH1)</f>
        <v>0</v>
      </c>
      <c r="CH9" s="201">
        <f>SUMIFS('Revenue Tracking'!$F$13:$F$21, 'Revenue Tracking'!$P$13:$P$21, "&gt;="&amp;CH1,'Revenue Tracking'!$P$13:$P$21, "&lt;"&amp;CI1)</f>
        <v>0</v>
      </c>
      <c r="CI9" s="201">
        <f>SUMIFS('Revenue Tracking'!$F$13:$F$21, 'Revenue Tracking'!$P$13:$P$21, "&gt;="&amp;CI1,'Revenue Tracking'!$P$13:$P$21, "&lt;"&amp;CJ1)</f>
        <v>0</v>
      </c>
      <c r="CJ9" s="201">
        <f>SUMIFS('Revenue Tracking'!$F$13:$F$21, 'Revenue Tracking'!$P$13:$P$21, "&gt;="&amp;CJ1,'Revenue Tracking'!$P$13:$P$21, "&lt;"&amp;CK1)</f>
        <v>0</v>
      </c>
      <c r="CK9" s="201">
        <f>SUMIFS('Revenue Tracking'!$F$13:$F$21, 'Revenue Tracking'!$P$13:$P$21, "&gt;="&amp;CK1,'Revenue Tracking'!$P$13:$P$21, "&lt;"&amp;CL1)</f>
        <v>0</v>
      </c>
      <c r="CL9" s="201">
        <f>SUMIFS('Revenue Tracking'!$F$13:$F$21, 'Revenue Tracking'!$P$13:$P$21, "&gt;="&amp;CL1,'Revenue Tracking'!$P$13:$P$21, "&lt;"&amp;CM1)</f>
        <v>0</v>
      </c>
      <c r="CM9" s="201">
        <f>SUMIFS('Revenue Tracking'!$F$13:$F$21, 'Revenue Tracking'!$P$13:$P$21, "&gt;="&amp;CM1,'Revenue Tracking'!$P$13:$P$21, "&lt;"&amp;CN1)</f>
        <v>0</v>
      </c>
      <c r="CN9" s="201">
        <f>SUMIFS('Revenue Tracking'!$F$13:$F$21, 'Revenue Tracking'!$P$13:$P$21, "&gt;="&amp;CN1,'Revenue Tracking'!$P$13:$P$21, "&lt;"&amp;CO1)</f>
        <v>0</v>
      </c>
      <c r="CO9" s="201">
        <f>SUMIFS('Revenue Tracking'!$F$13:$F$21, 'Revenue Tracking'!$P$13:$P$21, "&gt;="&amp;CO1,'Revenue Tracking'!$P$13:$P$21, "&lt;"&amp;CP1)</f>
        <v>0</v>
      </c>
      <c r="CP9" s="201">
        <f>SUMIFS('Revenue Tracking'!$F$13:$F$21, 'Revenue Tracking'!$P$13:$P$21, "&gt;="&amp;CP1,'Revenue Tracking'!$P$13:$P$21, "&lt;"&amp;CQ1)</f>
        <v>0</v>
      </c>
      <c r="CQ9" s="201">
        <f>SUMIFS('Revenue Tracking'!$F$13:$F$21, 'Revenue Tracking'!$P$13:$P$21, "&gt;="&amp;CQ1,'Revenue Tracking'!$P$13:$P$21, "&lt;"&amp;CR1)</f>
        <v>0</v>
      </c>
      <c r="CR9" s="201">
        <f>SUMIFS('Revenue Tracking'!$F$13:$F$21, 'Revenue Tracking'!$P$13:$P$21, "&gt;="&amp;CR1,'Revenue Tracking'!$P$13:$P$21, "&lt;"&amp;CS1)</f>
        <v>0</v>
      </c>
      <c r="CS9" s="201">
        <f>SUMIFS('Revenue Tracking'!$F$13:$F$21, 'Revenue Tracking'!$P$13:$P$21, "&gt;="&amp;CS1,'Revenue Tracking'!$P$13:$P$21, "&lt;"&amp;CT1)</f>
        <v>0</v>
      </c>
      <c r="CT9" s="201">
        <f>SUMIFS('Revenue Tracking'!$F$13:$F$21, 'Revenue Tracking'!$P$13:$P$21, "&gt;="&amp;CT1,'Revenue Tracking'!$P$13:$P$21, "&lt;"&amp;CU1)</f>
        <v>0</v>
      </c>
      <c r="CU9" s="201">
        <f>SUMIFS('Revenue Tracking'!$F$13:$F$21, 'Revenue Tracking'!$P$13:$P$21, "&gt;="&amp;CU1,'Revenue Tracking'!$P$13:$P$21, "&lt;"&amp;CV1)</f>
        <v>0</v>
      </c>
      <c r="CV9" s="201">
        <f>SUMIFS('Revenue Tracking'!$F$13:$F$21, 'Revenue Tracking'!$P$13:$P$21, "&gt;="&amp;CV1,'Revenue Tracking'!$P$13:$P$21, "&lt;"&amp;CW1)</f>
        <v>0</v>
      </c>
      <c r="CW9" s="201">
        <f>SUMIFS('Revenue Tracking'!$F$13:$F$21, 'Revenue Tracking'!$P$13:$P$21, "&gt;="&amp;CW1,'Revenue Tracking'!$P$13:$P$21, "&lt;"&amp;CX1)</f>
        <v>0</v>
      </c>
      <c r="CX9" s="201">
        <f>SUMIFS('Revenue Tracking'!$F$13:$F$21, 'Revenue Tracking'!$P$13:$P$21, "&gt;="&amp;CX1,'Revenue Tracking'!$P$13:$P$21, "&lt;"&amp;CY1)</f>
        <v>0</v>
      </c>
      <c r="CY9" s="201">
        <f>SUMIFS('Revenue Tracking'!$F$13:$F$21, 'Revenue Tracking'!$P$13:$P$21, "&gt;="&amp;CY1,'Revenue Tracking'!$P$13:$P$21, "&lt;"&amp;CZ1)</f>
        <v>0</v>
      </c>
      <c r="CZ9" s="201">
        <f>SUMIFS('Revenue Tracking'!$F$13:$F$21, 'Revenue Tracking'!$P$13:$P$21, "&gt;="&amp;CZ1,'Revenue Tracking'!$P$13:$P$21, "&lt;"&amp;DA1)</f>
        <v>0</v>
      </c>
      <c r="DA9" s="201">
        <f>SUMIFS('Revenue Tracking'!$F$13:$F$21, 'Revenue Tracking'!$P$13:$P$21, "&gt;="&amp;DA1,'Revenue Tracking'!$P$13:$P$21, "&lt;"&amp;DB1)</f>
        <v>0</v>
      </c>
      <c r="DB9" s="201">
        <f>SUMIFS('Revenue Tracking'!$F$13:$F$21, 'Revenue Tracking'!$P$13:$P$21, "&gt;="&amp;DB1,'Revenue Tracking'!$P$13:$P$21, "&lt;"&amp;DC1)</f>
        <v>0</v>
      </c>
      <c r="DC9" s="201">
        <f>SUMIFS('Revenue Tracking'!$F$13:$F$21, 'Revenue Tracking'!$P$13:$P$21, "&gt;="&amp;DC1,'Revenue Tracking'!$P$13:$P$21, "&lt;"&amp;DD1)</f>
        <v>0</v>
      </c>
      <c r="DD9" s="201">
        <f>SUMIFS('Revenue Tracking'!$F$13:$F$21, 'Revenue Tracking'!$P$13:$P$21, "&gt;="&amp;DD1,'Revenue Tracking'!$P$13:$P$21, "&lt;"&amp;DE1)</f>
        <v>0</v>
      </c>
      <c r="DE9" s="201">
        <f>SUMIFS('Revenue Tracking'!$F$13:$F$21, 'Revenue Tracking'!$P$13:$P$21, "&gt;="&amp;DE1,'Revenue Tracking'!$P$13:$P$21, "&lt;"&amp;DF1)</f>
        <v>0</v>
      </c>
      <c r="DF9" s="201">
        <f>SUMIFS('Revenue Tracking'!$F$13:$F$21, 'Revenue Tracking'!$P$13:$P$21, "&gt;="&amp;DF1,'Revenue Tracking'!$P$13:$P$21, "&lt;"&amp;DG1)</f>
        <v>0</v>
      </c>
      <c r="DG9" s="201">
        <f>SUMIFS('Revenue Tracking'!$F$13:$F$21, 'Revenue Tracking'!$P$13:$P$21, "&gt;="&amp;DG1,'Revenue Tracking'!$P$13:$P$21, "&lt;"&amp;DH1)</f>
        <v>0</v>
      </c>
      <c r="DH9" s="201">
        <f>SUMIFS('Revenue Tracking'!$F$13:$F$21, 'Revenue Tracking'!$P$13:$P$21, "&gt;="&amp;DH1,'Revenue Tracking'!$P$13:$P$21, "&lt;"&amp;DI1)</f>
        <v>0</v>
      </c>
      <c r="DI9" s="201">
        <f>SUMIFS('Revenue Tracking'!$F$13:$F$21, 'Revenue Tracking'!$P$13:$P$21, "&gt;="&amp;DI1,'Revenue Tracking'!$P$13:$P$21, "&lt;"&amp;DJ1)</f>
        <v>0</v>
      </c>
      <c r="DJ9" s="201">
        <f>SUMIFS('Revenue Tracking'!$F$13:$F$21, 'Revenue Tracking'!$P$13:$P$21, "&gt;="&amp;DJ1,'Revenue Tracking'!$P$13:$P$21, "&lt;"&amp;DK1)</f>
        <v>0</v>
      </c>
      <c r="DK9" s="201">
        <f>SUMIFS('Revenue Tracking'!$F$13:$F$21, 'Revenue Tracking'!$P$13:$P$21, "&gt;="&amp;DK1,'Revenue Tracking'!$P$13:$P$21, "&lt;"&amp;DL1)</f>
        <v>0</v>
      </c>
      <c r="DL9" s="201">
        <f>SUMIFS('Revenue Tracking'!$F$13:$F$21, 'Revenue Tracking'!$P$13:$P$21, "&gt;="&amp;DL1,'Revenue Tracking'!$P$13:$P$21, "&lt;"&amp;DM1)</f>
        <v>0</v>
      </c>
      <c r="DM9" s="201">
        <f>SUMIFS('Revenue Tracking'!$F$13:$F$21, 'Revenue Tracking'!$P$13:$P$21, "&gt;="&amp;DM1,'Revenue Tracking'!$P$13:$P$21, "&lt;"&amp;DN1)</f>
        <v>0</v>
      </c>
      <c r="DN9" s="201">
        <f>SUMIFS('Revenue Tracking'!$F$13:$F$21, 'Revenue Tracking'!$P$13:$P$21, "&gt;="&amp;DN1,'Revenue Tracking'!$P$13:$P$21, "&lt;"&amp;DO1)</f>
        <v>0</v>
      </c>
      <c r="DO9" s="201">
        <f>SUMIFS('Revenue Tracking'!$F$13:$F$21, 'Revenue Tracking'!$P$13:$P$21, "&gt;="&amp;DO1,'Revenue Tracking'!$P$13:$P$21, "&lt;"&amp;DP1)</f>
        <v>0</v>
      </c>
      <c r="DP9" s="201">
        <f>SUMIFS('Revenue Tracking'!$F$13:$F$21, 'Revenue Tracking'!$P$13:$P$21, "&gt;="&amp;DP1,'Revenue Tracking'!$P$13:$P$21, "&lt;"&amp;DQ1)</f>
        <v>0</v>
      </c>
      <c r="DQ9" s="201">
        <f>SUMIFS('Revenue Tracking'!$F$13:$F$21, 'Revenue Tracking'!$P$13:$P$21, "&gt;="&amp;DQ1,'Revenue Tracking'!$P$13:$P$21, "&lt;"&amp;DR1)</f>
        <v>0</v>
      </c>
      <c r="DR9" s="201">
        <f>SUMIFS('Revenue Tracking'!$F$13:$F$21, 'Revenue Tracking'!$P$13:$P$21, "&gt;="&amp;DR1,'Revenue Tracking'!$P$13:$P$21, "&lt;"&amp;DS1)</f>
        <v>0</v>
      </c>
      <c r="DS9" s="201">
        <f>SUMIFS('Revenue Tracking'!$F$13:$F$21, 'Revenue Tracking'!$P$13:$P$21, "&gt;="&amp;DS1,'Revenue Tracking'!$P$13:$P$21, "&lt;"&amp;DT1)</f>
        <v>0</v>
      </c>
      <c r="DT9" s="201">
        <f>SUMIFS('Revenue Tracking'!$F$13:$F$21, 'Revenue Tracking'!$P$13:$P$21, "&gt;="&amp;DT1,'Revenue Tracking'!$P$13:$P$21, "&lt;"&amp;DU1)</f>
        <v>0</v>
      </c>
      <c r="DU9" s="201">
        <f>SUMIFS('Revenue Tracking'!$F$13:$F$21, 'Revenue Tracking'!$P$13:$P$21, "&gt;="&amp;DU1,'Revenue Tracking'!$P$13:$P$21, "&lt;"&amp;DV1)</f>
        <v>0</v>
      </c>
      <c r="DV9" s="201">
        <f>SUMIFS('Revenue Tracking'!$F$13:$F$21, 'Revenue Tracking'!$P$13:$P$21, "&gt;="&amp;DV1,'Revenue Tracking'!$P$13:$P$21, "&lt;"&amp;DW1)</f>
        <v>0</v>
      </c>
      <c r="DW9" s="201">
        <f>SUMIFS('Revenue Tracking'!$F$13:$F$21, 'Revenue Tracking'!$P$13:$P$21, "&gt;="&amp;DW1,'Revenue Tracking'!$P$13:$P$21, "&lt;"&amp;DX1)</f>
        <v>0</v>
      </c>
      <c r="DX9" s="201">
        <f>SUMIFS('Revenue Tracking'!$F$13:$F$21, 'Revenue Tracking'!$P$13:$P$21, "&gt;="&amp;DX1,'Revenue Tracking'!$P$13:$P$21, "&lt;"&amp;DY1)</f>
        <v>0</v>
      </c>
      <c r="DY9" s="201">
        <f>SUMIFS('Revenue Tracking'!$F$13:$F$21, 'Revenue Tracking'!$P$13:$P$21, "&gt;="&amp;DY1,'Revenue Tracking'!$P$13:$P$21, "&lt;"&amp;DZ1)</f>
        <v>0</v>
      </c>
      <c r="DZ9" s="201">
        <f>SUMIFS('Revenue Tracking'!$F$13:$F$21, 'Revenue Tracking'!$P$13:$P$21, "&gt;="&amp;DZ1,'Revenue Tracking'!$P$13:$P$21, "&lt;"&amp;EA1)</f>
        <v>0</v>
      </c>
      <c r="EA9" s="201">
        <f>SUMIFS('Revenue Tracking'!$F$13:$F$21, 'Revenue Tracking'!$P$13:$P$21, "&gt;="&amp;EA1,'Revenue Tracking'!$P$13:$P$21, "&lt;"&amp;EB1)</f>
        <v>0</v>
      </c>
      <c r="EB9" s="201">
        <f>SUMIFS('Revenue Tracking'!$F$13:$F$21, 'Revenue Tracking'!$P$13:$P$21, "&gt;="&amp;EB1,'Revenue Tracking'!$P$13:$P$21, "&lt;"&amp;EC1)</f>
        <v>0</v>
      </c>
      <c r="EC9" s="201">
        <f>SUMIFS('Revenue Tracking'!$F$13:$F$21, 'Revenue Tracking'!$P$13:$P$21, "&gt;="&amp;EC1,'Revenue Tracking'!$P$13:$P$21, "&lt;"&amp;ED1)</f>
        <v>0</v>
      </c>
      <c r="ED9" s="201">
        <f>SUMIFS('Revenue Tracking'!$F$13:$F$21, 'Revenue Tracking'!$P$13:$P$21, "&gt;="&amp;ED1,'Revenue Tracking'!$P$13:$P$21, "&lt;"&amp;EE1)</f>
        <v>0</v>
      </c>
      <c r="EE9" s="201">
        <f>SUMIFS('Revenue Tracking'!$F$13:$F$21, 'Revenue Tracking'!$P$13:$P$21, "&gt;="&amp;EE1,'Revenue Tracking'!$P$13:$P$21, "&lt;"&amp;EF1)</f>
        <v>0</v>
      </c>
      <c r="EF9" s="201">
        <f>SUMIFS('Revenue Tracking'!$F$13:$F$21, 'Revenue Tracking'!$P$13:$P$21, "&gt;="&amp;EF1,'Revenue Tracking'!$P$13:$P$21, "&lt;"&amp;EG1)</f>
        <v>0</v>
      </c>
      <c r="EG9" s="201">
        <f>SUMIFS('Revenue Tracking'!$F$13:$F$21, 'Revenue Tracking'!$P$13:$P$21, "&gt;="&amp;EG1,'Revenue Tracking'!$P$13:$P$21, "&lt;"&amp;EH1)</f>
        <v>0</v>
      </c>
      <c r="EH9" s="201">
        <f>SUMIFS('Revenue Tracking'!$F$13:$F$21, 'Revenue Tracking'!$P$13:$P$21, "&gt;="&amp;EH1,'Revenue Tracking'!$P$13:$P$21, "&lt;"&amp;EI1)</f>
        <v>0</v>
      </c>
      <c r="EI9" s="201">
        <f>SUMIFS('Revenue Tracking'!$F$13:$F$21, 'Revenue Tracking'!$P$13:$P$21, "&gt;="&amp;EI1,'Revenue Tracking'!$P$13:$P$21, "&lt;"&amp;EJ1)</f>
        <v>0</v>
      </c>
      <c r="EJ9" s="201">
        <f>SUMIFS('Revenue Tracking'!$F$13:$F$21, 'Revenue Tracking'!$P$13:$P$21, "&gt;="&amp;EJ1,'Revenue Tracking'!$P$13:$P$21, "&lt;"&amp;EK1)</f>
        <v>0</v>
      </c>
      <c r="EK9" s="201">
        <f>SUMIFS('Revenue Tracking'!$F$13:$F$21, 'Revenue Tracking'!$P$13:$P$21, "&gt;="&amp;EK1,'Revenue Tracking'!$P$13:$P$21, "&lt;"&amp;EL1)</f>
        <v>0</v>
      </c>
      <c r="EL9" s="201">
        <f>SUMIFS('Revenue Tracking'!$F$13:$F$21, 'Revenue Tracking'!$P$13:$P$21, "&gt;="&amp;EL1,'Revenue Tracking'!$P$13:$P$21, "&lt;"&amp;EM1)</f>
        <v>0</v>
      </c>
      <c r="EM9" s="201">
        <f>SUMIFS('Revenue Tracking'!$F$13:$F$21, 'Revenue Tracking'!$P$13:$P$21, "&gt;="&amp;EM1,'Revenue Tracking'!$P$13:$P$21, "&lt;"&amp;EN1)</f>
        <v>0</v>
      </c>
      <c r="EN9" s="201">
        <f>SUMIFS('Revenue Tracking'!$F$13:$F$21, 'Revenue Tracking'!$P$13:$P$21, "&gt;="&amp;EN1,'Revenue Tracking'!$P$13:$P$21, "&lt;"&amp;EO1)</f>
        <v>0</v>
      </c>
      <c r="EO9" s="201">
        <f>SUMIFS('Revenue Tracking'!$F$13:$F$21, 'Revenue Tracking'!$P$13:$P$21, "&gt;="&amp;EO1,'Revenue Tracking'!$P$13:$P$21, "&lt;"&amp;EP1)</f>
        <v>0</v>
      </c>
      <c r="EP9" s="201">
        <f>SUMIFS('Revenue Tracking'!$F$13:$F$21, 'Revenue Tracking'!$P$13:$P$21, "&gt;="&amp;EP1,'Revenue Tracking'!$P$13:$P$21, "&lt;"&amp;EQ1)</f>
        <v>0</v>
      </c>
      <c r="EQ9" s="201">
        <f>SUMIFS('Revenue Tracking'!$F$13:$F$21, 'Revenue Tracking'!$P$13:$P$21, "&gt;="&amp;EQ1,'Revenue Tracking'!$P$13:$P$21, "&lt;"&amp;ER1)</f>
        <v>0</v>
      </c>
      <c r="ER9" s="201">
        <f>SUMIFS('Revenue Tracking'!$F$13:$F$21, 'Revenue Tracking'!$P$13:$P$21, "&gt;="&amp;ER1,'Revenue Tracking'!$P$13:$P$21, "&lt;"&amp;ES1)</f>
        <v>0</v>
      </c>
      <c r="ES9" s="201">
        <f>SUMIFS('Revenue Tracking'!$F$13:$F$21, 'Revenue Tracking'!$P$13:$P$21, "&gt;="&amp;ES1,'Revenue Tracking'!$P$13:$P$21, "&lt;"&amp;ET1)</f>
        <v>0</v>
      </c>
      <c r="ET9" s="201">
        <f>SUMIFS('Revenue Tracking'!$F$13:$F$21, 'Revenue Tracking'!$P$13:$P$21, "&gt;="&amp;ET1,'Revenue Tracking'!$P$13:$P$21, "&lt;"&amp;EU1)</f>
        <v>0</v>
      </c>
      <c r="EU9" s="201">
        <f>SUMIFS('Revenue Tracking'!$F$13:$F$21, 'Revenue Tracking'!$P$13:$P$21, "&gt;="&amp;EU1,'Revenue Tracking'!$P$13:$P$21, "&lt;"&amp;EV1)</f>
        <v>0</v>
      </c>
      <c r="EV9" s="201">
        <f>SUMIFS('Revenue Tracking'!$F$13:$F$21, 'Revenue Tracking'!$P$13:$P$21, "&gt;="&amp;EV1,'Revenue Tracking'!$P$13:$P$21, "&lt;"&amp;EW1)</f>
        <v>0</v>
      </c>
      <c r="EW9" s="201">
        <f>SUMIFS('Revenue Tracking'!$F$13:$F$21, 'Revenue Tracking'!$P$13:$P$21, "&gt;="&amp;EW1,'Revenue Tracking'!$P$13:$P$21, "&lt;"&amp;EX1)</f>
        <v>0</v>
      </c>
      <c r="EX9" s="201">
        <f>SUMIFS('Revenue Tracking'!$F$13:$F$21, 'Revenue Tracking'!$P$13:$P$21, "&gt;="&amp;EX1,'Revenue Tracking'!$P$13:$P$21, "&lt;"&amp;EY1)</f>
        <v>0</v>
      </c>
      <c r="EY9" s="201">
        <f>SUMIFS('Revenue Tracking'!$F$13:$F$21, 'Revenue Tracking'!$P$13:$P$21, "&gt;="&amp;EY1,'Revenue Tracking'!$P$13:$P$21, "&lt;"&amp;EZ1)</f>
        <v>0</v>
      </c>
      <c r="EZ9" s="201">
        <f>SUMIFS('Revenue Tracking'!$F$13:$F$21, 'Revenue Tracking'!$P$13:$P$21, "&gt;="&amp;EZ1,'Revenue Tracking'!$P$13:$P$21, "&lt;"&amp;FA1)</f>
        <v>0</v>
      </c>
      <c r="FA9" s="201">
        <f>SUMIFS('Revenue Tracking'!$F$13:$F$21, 'Revenue Tracking'!$P$13:$P$21, "&gt;="&amp;FA1,'Revenue Tracking'!$P$13:$P$21, "&lt;"&amp;FB1)</f>
        <v>0</v>
      </c>
      <c r="FB9" s="201">
        <f>SUMIFS('Revenue Tracking'!$F$13:$F$21, 'Revenue Tracking'!$P$13:$P$21, "&gt;="&amp;FB1,'Revenue Tracking'!$P$13:$P$21, "&lt;"&amp;FC1)</f>
        <v>0</v>
      </c>
      <c r="FC9" s="201">
        <f>SUMIFS('Revenue Tracking'!$F$13:$F$21, 'Revenue Tracking'!$P$13:$P$21, "&gt;="&amp;FC1,'Revenue Tracking'!$P$13:$P$21, "&lt;"&amp;FD1)</f>
        <v>0</v>
      </c>
      <c r="FD9" s="201">
        <f>SUMIFS('Revenue Tracking'!$F$13:$F$21, 'Revenue Tracking'!$P$13:$P$21, "&gt;="&amp;FD1,'Revenue Tracking'!$P$13:$P$21, "&lt;"&amp;FE1)</f>
        <v>0</v>
      </c>
      <c r="FE9" s="201">
        <f>SUMIFS('Revenue Tracking'!$F$13:$F$21, 'Revenue Tracking'!$P$13:$P$21, "&gt;="&amp;FE1,'Revenue Tracking'!$P$13:$P$21, "&lt;"&amp;FF1)</f>
        <v>0</v>
      </c>
      <c r="FF9" s="201">
        <f>SUMIFS('Revenue Tracking'!$F$13:$F$21, 'Revenue Tracking'!$P$13:$P$21, "&gt;="&amp;FF1,'Revenue Tracking'!$P$13:$P$21, "&lt;"&amp;FG1)</f>
        <v>0</v>
      </c>
      <c r="FG9" s="201">
        <f>SUMIFS('Revenue Tracking'!$F$13:$F$21, 'Revenue Tracking'!$P$13:$P$21, "&gt;="&amp;FG1,'Revenue Tracking'!$P$13:$P$21, "&lt;"&amp;FH1)</f>
        <v>0</v>
      </c>
      <c r="FH9" s="201">
        <f>SUMIFS('Revenue Tracking'!$F$13:$F$21, 'Revenue Tracking'!$P$13:$P$21, "&gt;="&amp;FH1,'Revenue Tracking'!$P$13:$P$21, "&lt;"&amp;FI1)</f>
        <v>0</v>
      </c>
      <c r="FI9" s="201">
        <f>SUMIFS('Revenue Tracking'!$F$13:$F$21, 'Revenue Tracking'!$P$13:$P$21, "&gt;="&amp;FI1,'Revenue Tracking'!$P$13:$P$21, "&lt;"&amp;FJ1)</f>
        <v>0</v>
      </c>
      <c r="FJ9" s="201">
        <f>SUMIFS('Revenue Tracking'!$F$13:$F$21, 'Revenue Tracking'!$P$13:$P$21, "&gt;="&amp;FJ1,'Revenue Tracking'!$P$13:$P$21, "&lt;"&amp;FK1)</f>
        <v>0</v>
      </c>
      <c r="FK9" s="201">
        <f>SUMIFS('Revenue Tracking'!$F$13:$F$21, 'Revenue Tracking'!$P$13:$P$21, "&gt;="&amp;FK1,'Revenue Tracking'!$P$13:$P$21, "&lt;"&amp;FL1)</f>
        <v>0</v>
      </c>
      <c r="FL9" s="201">
        <f>SUMIFS('Revenue Tracking'!$F$13:$F$21, 'Revenue Tracking'!$P$13:$P$21, "&gt;="&amp;FL1,'Revenue Tracking'!$P$13:$P$21, "&lt;"&amp;FM1)</f>
        <v>0</v>
      </c>
      <c r="FM9" s="201">
        <f>SUMIFS('Revenue Tracking'!$F$13:$F$21, 'Revenue Tracking'!$P$13:$P$21, "&gt;="&amp;FM1,'Revenue Tracking'!$P$13:$P$21, "&lt;"&amp;FN1)</f>
        <v>0</v>
      </c>
      <c r="FN9" s="201">
        <f>SUMIFS('Revenue Tracking'!$F$13:$F$21, 'Revenue Tracking'!$P$13:$P$21, "&gt;="&amp;FN1,'Revenue Tracking'!$P$13:$P$21, "&lt;"&amp;FO1)</f>
        <v>0</v>
      </c>
      <c r="FO9" s="201">
        <f>SUMIFS('Revenue Tracking'!$F$13:$F$21, 'Revenue Tracking'!$P$13:$P$21, "&gt;="&amp;FO1,'Revenue Tracking'!$P$13:$P$21, "&lt;"&amp;FP1)</f>
        <v>0</v>
      </c>
      <c r="FP9" s="201">
        <f>SUMIFS('Revenue Tracking'!$F$13:$F$21, 'Revenue Tracking'!$P$13:$P$21, "&gt;="&amp;FP1,'Revenue Tracking'!$P$13:$P$21, "&lt;"&amp;FQ1)</f>
        <v>0</v>
      </c>
      <c r="FQ9" s="201">
        <f>SUMIFS('Revenue Tracking'!$F$13:$F$21, 'Revenue Tracking'!$P$13:$P$21, "&gt;="&amp;FQ1,'Revenue Tracking'!$P$13:$P$21, "&lt;"&amp;FR1)</f>
        <v>0</v>
      </c>
      <c r="FR9" s="201">
        <f>SUMIFS('Revenue Tracking'!$F$13:$F$21, 'Revenue Tracking'!$P$13:$P$21, "&gt;="&amp;FR1,'Revenue Tracking'!$P$13:$P$21, "&lt;"&amp;FS1)</f>
        <v>0</v>
      </c>
      <c r="FS9" s="201">
        <f>SUMIFS('Revenue Tracking'!$F$13:$F$21, 'Revenue Tracking'!$P$13:$P$21, "&gt;="&amp;FS1,'Revenue Tracking'!$P$13:$P$21, "&lt;"&amp;FT1)</f>
        <v>0</v>
      </c>
      <c r="FT9" s="201">
        <f>SUMIFS('Revenue Tracking'!$F$13:$F$21, 'Revenue Tracking'!$P$13:$P$21, "&gt;="&amp;FT1,'Revenue Tracking'!$P$13:$P$21, "&lt;"&amp;FU1)</f>
        <v>0</v>
      </c>
      <c r="FU9" s="201">
        <f>SUMIFS('Revenue Tracking'!$F$13:$F$21, 'Revenue Tracking'!$P$13:$P$21, "&gt;="&amp;FU1,'Revenue Tracking'!$P$13:$P$21, "&lt;"&amp;FV1)</f>
        <v>0</v>
      </c>
      <c r="FV9" s="201">
        <f>SUMIFS('Revenue Tracking'!$F$13:$F$21, 'Revenue Tracking'!$P$13:$P$21, "&gt;="&amp;FV1,'Revenue Tracking'!$P$13:$P$21, "&lt;"&amp;FW1)</f>
        <v>0</v>
      </c>
      <c r="FW9" s="201">
        <f>SUMIFS('Revenue Tracking'!$F$13:$F$21, 'Revenue Tracking'!$P$13:$P$21, "&gt;="&amp;FW1,'Revenue Tracking'!$P$13:$P$21, "&lt;"&amp;FX1)</f>
        <v>0</v>
      </c>
      <c r="FX9" s="201">
        <f>SUMIFS('Revenue Tracking'!$F$13:$F$21, 'Revenue Tracking'!$P$13:$P$21, "&gt;="&amp;FX1,'Revenue Tracking'!$P$13:$P$21, "&lt;"&amp;FY1)</f>
        <v>0</v>
      </c>
      <c r="FY9" s="201">
        <f>SUMIFS('Revenue Tracking'!$F$13:$F$21, 'Revenue Tracking'!$P$13:$P$21, "&gt;="&amp;FY1,'Revenue Tracking'!$P$13:$P$21, "&lt;"&amp;FZ1)</f>
        <v>0</v>
      </c>
      <c r="FZ9" s="201">
        <f>SUMIFS('Revenue Tracking'!$F$13:$F$21, 'Revenue Tracking'!$P$13:$P$21, "&gt;="&amp;FZ1,'Revenue Tracking'!$P$13:$P$21, "&lt;"&amp;GA1)</f>
        <v>0</v>
      </c>
      <c r="GA9" s="201">
        <f>SUMIFS('Revenue Tracking'!$F$13:$F$21, 'Revenue Tracking'!$P$13:$P$21, "&gt;="&amp;GA1,'Revenue Tracking'!$P$13:$P$21, "&lt;"&amp;GB1)</f>
        <v>0</v>
      </c>
      <c r="GB9" s="201">
        <f>SUMIFS('Revenue Tracking'!$F$13:$F$21, 'Revenue Tracking'!$P$13:$P$21, "&gt;="&amp;GB1,'Revenue Tracking'!$P$13:$P$21, "&lt;"&amp;GC1)</f>
        <v>0</v>
      </c>
      <c r="GC9" s="201">
        <f>SUMIFS('Revenue Tracking'!$F$13:$F$21, 'Revenue Tracking'!$P$13:$P$21, "&gt;="&amp;GC1,'Revenue Tracking'!$P$13:$P$21, "&lt;"&amp;GD1)</f>
        <v>0</v>
      </c>
      <c r="GD9" s="201">
        <f>SUMIFS('Revenue Tracking'!$F$13:$F$21, 'Revenue Tracking'!$P$13:$P$21, "&gt;="&amp;GD1,'Revenue Tracking'!$P$13:$P$21, "&lt;"&amp;GE1)</f>
        <v>0</v>
      </c>
      <c r="GE9" s="201">
        <f>SUMIFS('Revenue Tracking'!$F$13:$F$21, 'Revenue Tracking'!$P$13:$P$21, "&gt;="&amp;GE1,'Revenue Tracking'!$P$13:$P$21, "&lt;"&amp;GF1)</f>
        <v>0</v>
      </c>
      <c r="GF9" s="201">
        <f>SUMIFS('Revenue Tracking'!$F$13:$F$21, 'Revenue Tracking'!$P$13:$P$21, "&gt;="&amp;GF1,'Revenue Tracking'!$P$13:$P$21, "&lt;"&amp;GG1)</f>
        <v>0</v>
      </c>
      <c r="GG9" s="201">
        <f>SUMIFS('Revenue Tracking'!$F$13:$F$21, 'Revenue Tracking'!$P$13:$P$21, "&gt;="&amp;GG1,'Revenue Tracking'!$P$13:$P$21, "&lt;"&amp;GH1)</f>
        <v>0</v>
      </c>
      <c r="GH9" s="201">
        <f>SUMIFS('Revenue Tracking'!$F$13:$F$21, 'Revenue Tracking'!$P$13:$P$21, "&gt;="&amp;GH1,'Revenue Tracking'!$P$13:$P$21, "&lt;"&amp;GI1)</f>
        <v>0</v>
      </c>
      <c r="GI9" s="201">
        <f>SUMIFS('Revenue Tracking'!$F$13:$F$21, 'Revenue Tracking'!$P$13:$P$21, "&gt;="&amp;GI1,'Revenue Tracking'!$P$13:$P$21, "&lt;"&amp;GJ1)</f>
        <v>0</v>
      </c>
      <c r="GJ9" s="201">
        <f>SUMIFS('Revenue Tracking'!$F$13:$F$21, 'Revenue Tracking'!$P$13:$P$21, "&gt;="&amp;GJ1,'Revenue Tracking'!$P$13:$P$21, "&lt;"&amp;GK1)</f>
        <v>0</v>
      </c>
      <c r="GK9" s="201">
        <f>SUMIFS('Revenue Tracking'!$F$13:$F$21, 'Revenue Tracking'!$P$13:$P$21, "&gt;="&amp;GK1,'Revenue Tracking'!$P$13:$P$21, "&lt;"&amp;GL1)</f>
        <v>0</v>
      </c>
      <c r="GL9" s="201">
        <f>SUMIFS('Revenue Tracking'!$F$13:$F$21, 'Revenue Tracking'!$P$13:$P$21, "&gt;="&amp;GL1,'Revenue Tracking'!$P$13:$P$21, "&lt;"&amp;GM1)</f>
        <v>0</v>
      </c>
      <c r="GM9" s="201">
        <f>SUMIFS('Revenue Tracking'!$F$13:$F$21, 'Revenue Tracking'!$P$13:$P$21, "&gt;="&amp;GM1,'Revenue Tracking'!$P$13:$P$21, "&lt;"&amp;GN1)</f>
        <v>0</v>
      </c>
      <c r="GN9" s="201">
        <f>SUMIFS('Revenue Tracking'!$F$13:$F$21, 'Revenue Tracking'!$P$13:$P$21, "&gt;="&amp;GN1,'Revenue Tracking'!$P$13:$P$21, "&lt;"&amp;GO1)</f>
        <v>0</v>
      </c>
      <c r="GO9" s="201">
        <f>SUMIFS('Revenue Tracking'!$F$13:$F$21, 'Revenue Tracking'!$P$13:$P$21, "&gt;="&amp;GO1,'Revenue Tracking'!$P$13:$P$21, "&lt;"&amp;GP1)</f>
        <v>0</v>
      </c>
      <c r="GP9" s="201">
        <f>SUMIFS('Revenue Tracking'!$F$13:$F$21, 'Revenue Tracking'!$P$13:$P$21, "&gt;="&amp;GP1,'Revenue Tracking'!$P$13:$P$21, "&lt;"&amp;GQ1)</f>
        <v>0</v>
      </c>
      <c r="GQ9" s="201">
        <f>SUMIFS('Revenue Tracking'!$F$13:$F$21, 'Revenue Tracking'!$P$13:$P$21, "&gt;="&amp;GQ1,'Revenue Tracking'!$P$13:$P$21, "&lt;"&amp;GR1)</f>
        <v>0</v>
      </c>
      <c r="GR9" s="201">
        <f>SUMIFS('Revenue Tracking'!$F$13:$F$21, 'Revenue Tracking'!$P$13:$P$21, "&gt;="&amp;GR1,'Revenue Tracking'!$P$13:$P$21, "&lt;"&amp;GS1)</f>
        <v>0</v>
      </c>
      <c r="GS9" s="201">
        <f>SUMIFS('Revenue Tracking'!$F$13:$F$21, 'Revenue Tracking'!$P$13:$P$21, "&gt;="&amp;GS1,'Revenue Tracking'!$P$13:$P$21, "&lt;"&amp;GT1)</f>
        <v>0</v>
      </c>
      <c r="GT9" s="201">
        <f>SUMIFS('Revenue Tracking'!$F$13:$F$21, 'Revenue Tracking'!$P$13:$P$21, "&gt;="&amp;GT1,'Revenue Tracking'!$P$13:$P$21, "&lt;"&amp;GU1)</f>
        <v>0</v>
      </c>
      <c r="GU9" s="201">
        <f>SUMIFS('Revenue Tracking'!$F$13:$F$21, 'Revenue Tracking'!$P$13:$P$21, "&gt;="&amp;GU1,'Revenue Tracking'!$P$13:$P$21, "&lt;"&amp;GV1)</f>
        <v>0</v>
      </c>
      <c r="GV9" s="201">
        <f>SUMIFS('Revenue Tracking'!$F$13:$F$21, 'Revenue Tracking'!$P$13:$P$21, "&gt;="&amp;GV1,'Revenue Tracking'!$P$13:$P$21, "&lt;"&amp;GW1)</f>
        <v>0</v>
      </c>
      <c r="GW9" s="201">
        <f>SUMIFS('Revenue Tracking'!$F$13:$F$21, 'Revenue Tracking'!$P$13:$P$21, "&gt;="&amp;GW1,'Revenue Tracking'!$P$13:$P$21, "&lt;"&amp;GX1)</f>
        <v>0</v>
      </c>
      <c r="GX9" s="201">
        <f>SUMIFS('Revenue Tracking'!$F$13:$F$21, 'Revenue Tracking'!$P$13:$P$21, "&gt;="&amp;GX1,'Revenue Tracking'!$P$13:$P$21, "&lt;"&amp;GY1)</f>
        <v>0</v>
      </c>
      <c r="GY9" s="201">
        <f>SUMIFS('Revenue Tracking'!$F$13:$F$21, 'Revenue Tracking'!$P$13:$P$21, "&gt;="&amp;GY1,'Revenue Tracking'!$P$13:$P$21, "&lt;"&amp;GZ1)</f>
        <v>0</v>
      </c>
      <c r="GZ9" s="201">
        <f>SUMIFS('Revenue Tracking'!$F$13:$F$21, 'Revenue Tracking'!$P$13:$P$21, "&gt;="&amp;GZ1,'Revenue Tracking'!$P$13:$P$21, "&lt;"&amp;HA1)</f>
        <v>0</v>
      </c>
      <c r="HA9" s="201">
        <f>SUMIFS('Revenue Tracking'!$F$13:$F$21, 'Revenue Tracking'!$P$13:$P$21, "&gt;="&amp;HA1,'Revenue Tracking'!$P$13:$P$21, "&lt;"&amp;HB1)</f>
        <v>0</v>
      </c>
      <c r="HB9" s="201">
        <f>SUMIFS('Revenue Tracking'!$F$13:$F$21, 'Revenue Tracking'!$P$13:$P$21, "&gt;="&amp;HB1,'Revenue Tracking'!$P$13:$P$21, "&lt;"&amp;HC1)</f>
        <v>0</v>
      </c>
      <c r="HC9" s="201">
        <f>SUMIFS('Revenue Tracking'!$F$13:$F$21, 'Revenue Tracking'!$P$13:$P$21, "&gt;="&amp;HC1,'Revenue Tracking'!$P$13:$P$21, "&lt;"&amp;HD1)</f>
        <v>0</v>
      </c>
      <c r="HD9" s="201">
        <f>SUMIFS('Revenue Tracking'!$F$13:$F$21, 'Revenue Tracking'!$P$13:$P$21, "&gt;="&amp;HD1,'Revenue Tracking'!$P$13:$P$21, "&lt;"&amp;HE1)</f>
        <v>0</v>
      </c>
      <c r="HE9" s="201">
        <f>SUMIFS('Revenue Tracking'!$F$13:$F$21, 'Revenue Tracking'!$P$13:$P$21, "&gt;="&amp;HE1,'Revenue Tracking'!$P$13:$P$21, "&lt;"&amp;HF1)</f>
        <v>0</v>
      </c>
      <c r="HF9" s="201">
        <f>SUMIFS('Revenue Tracking'!$F$13:$F$21, 'Revenue Tracking'!$P$13:$P$21, "&gt;="&amp;HF1,'Revenue Tracking'!$P$13:$P$21, "&lt;"&amp;HG1)</f>
        <v>0</v>
      </c>
      <c r="HG9" s="201">
        <f>SUMIFS('Revenue Tracking'!$F$13:$F$21, 'Revenue Tracking'!$P$13:$P$21, "&gt;="&amp;HG1,'Revenue Tracking'!$P$13:$P$21, "&lt;"&amp;HH1)</f>
        <v>0</v>
      </c>
      <c r="HH9" s="201">
        <f>SUMIFS('Revenue Tracking'!$F$13:$F$21, 'Revenue Tracking'!$P$13:$P$21, "&gt;="&amp;HH1,'Revenue Tracking'!$P$13:$P$21, "&lt;"&amp;HI1)</f>
        <v>0</v>
      </c>
      <c r="HI9" s="201">
        <f>SUMIFS('Revenue Tracking'!$F$13:$F$21, 'Revenue Tracking'!$P$13:$P$21, "&gt;="&amp;HI1,'Revenue Tracking'!$P$13:$P$21, "&lt;"&amp;HJ1)</f>
        <v>0</v>
      </c>
      <c r="HJ9" s="201">
        <f>SUMIFS('Revenue Tracking'!$F$13:$F$21, 'Revenue Tracking'!$P$13:$P$21, "&gt;="&amp;HJ1,'Revenue Tracking'!$P$13:$P$21, "&lt;"&amp;HK1)</f>
        <v>0</v>
      </c>
      <c r="HK9" s="201">
        <f>SUMIFS('Revenue Tracking'!$F$13:$F$21, 'Revenue Tracking'!$P$13:$P$21, "&gt;="&amp;HK1,'Revenue Tracking'!$P$13:$P$21, "&lt;"&amp;HL1)</f>
        <v>0</v>
      </c>
      <c r="HL9" s="201">
        <f>SUMIFS('Revenue Tracking'!$F$13:$F$21, 'Revenue Tracking'!$P$13:$P$21, "&gt;="&amp;HL1,'Revenue Tracking'!$P$13:$P$21, "&lt;"&amp;HM1)</f>
        <v>0</v>
      </c>
      <c r="HM9" s="201">
        <f>SUMIFS('Revenue Tracking'!$F$13:$F$21, 'Revenue Tracking'!$P$13:$P$21, "&gt;="&amp;HM1,'Revenue Tracking'!$P$13:$P$21, "&lt;"&amp;HN1)</f>
        <v>0</v>
      </c>
      <c r="HN9" s="201">
        <f>SUMIFS('Revenue Tracking'!$F$13:$F$21, 'Revenue Tracking'!$P$13:$P$21, "&gt;="&amp;HN1,'Revenue Tracking'!$P$13:$P$21, "&lt;"&amp;HO1)</f>
        <v>0</v>
      </c>
      <c r="HO9" s="201">
        <f>SUMIFS('Revenue Tracking'!$F$13:$F$21, 'Revenue Tracking'!$P$13:$P$21, "&gt;="&amp;HO1,'Revenue Tracking'!$P$13:$P$21, "&lt;"&amp;HP1)</f>
        <v>0</v>
      </c>
      <c r="HP9" s="201">
        <f>SUMIFS('Revenue Tracking'!$F$13:$F$21, 'Revenue Tracking'!$P$13:$P$21, "&gt;="&amp;HP1,'Revenue Tracking'!$P$13:$P$21, "&lt;"&amp;HQ1)</f>
        <v>0</v>
      </c>
      <c r="HQ9" s="201">
        <f>SUMIFS('Revenue Tracking'!$F$13:$F$21, 'Revenue Tracking'!$P$13:$P$21, "&gt;="&amp;HQ1,'Revenue Tracking'!$P$13:$P$21, "&lt;"&amp;HR1)</f>
        <v>0</v>
      </c>
      <c r="HR9" s="201">
        <f>SUMIFS('Revenue Tracking'!$F$13:$F$21, 'Revenue Tracking'!$P$13:$P$21, "&gt;="&amp;HR1,'Revenue Tracking'!$P$13:$P$21, "&lt;"&amp;HS1)</f>
        <v>0</v>
      </c>
      <c r="HS9" s="201">
        <f>SUMIFS('Revenue Tracking'!$F$13:$F$21, 'Revenue Tracking'!$P$13:$P$21, "&gt;="&amp;HS1,'Revenue Tracking'!$P$13:$P$21, "&lt;"&amp;HT1)</f>
        <v>0</v>
      </c>
      <c r="HT9" s="201">
        <f>SUMIFS('Revenue Tracking'!$F$13:$F$21, 'Revenue Tracking'!$P$13:$P$21, "&gt;="&amp;HT1,'Revenue Tracking'!$P$13:$P$21, "&lt;"&amp;HU1)</f>
        <v>0</v>
      </c>
      <c r="HU9" s="201">
        <f>SUMIFS('Revenue Tracking'!$F$13:$F$21, 'Revenue Tracking'!$P$13:$P$21, "&gt;="&amp;HU1,'Revenue Tracking'!$P$13:$P$21, "&lt;"&amp;HV1)</f>
        <v>0</v>
      </c>
      <c r="HV9" s="201">
        <f>SUMIFS('Revenue Tracking'!$F$13:$F$21, 'Revenue Tracking'!$P$13:$P$21, "&gt;="&amp;HV1,'Revenue Tracking'!$P$13:$P$21, "&lt;"&amp;HW1)</f>
        <v>0</v>
      </c>
      <c r="HW9" s="201">
        <f>SUMIFS('Revenue Tracking'!$F$13:$F$21, 'Revenue Tracking'!$P$13:$P$21, "&gt;="&amp;HW1,'Revenue Tracking'!$P$13:$P$21, "&lt;"&amp;HX1)</f>
        <v>0</v>
      </c>
      <c r="HX9" s="201">
        <f>SUMIFS('Revenue Tracking'!$F$13:$F$21, 'Revenue Tracking'!$P$13:$P$21, "&gt;="&amp;HX1,'Revenue Tracking'!$P$13:$P$21, "&lt;"&amp;HY1)</f>
        <v>0</v>
      </c>
      <c r="HY9" s="201">
        <f>SUMIFS('Revenue Tracking'!$F$13:$F$21, 'Revenue Tracking'!$P$13:$P$21, "&gt;="&amp;HY1,'Revenue Tracking'!$P$13:$P$21, "&lt;"&amp;HZ1)</f>
        <v>0</v>
      </c>
      <c r="HZ9" s="201">
        <f>SUMIFS('Revenue Tracking'!$F$13:$F$21, 'Revenue Tracking'!$P$13:$P$21, "&gt;="&amp;HZ1,'Revenue Tracking'!$P$13:$P$21, "&lt;"&amp;IA1)</f>
        <v>0</v>
      </c>
      <c r="IA9" s="201">
        <f>SUMIFS('Revenue Tracking'!$F$13:$F$21, 'Revenue Tracking'!$P$13:$P$21, "&gt;="&amp;IA1,'Revenue Tracking'!$P$13:$P$21, "&lt;"&amp;IB1)</f>
        <v>0</v>
      </c>
      <c r="IB9" s="201">
        <f>SUMIFS('Revenue Tracking'!$F$13:$F$21, 'Revenue Tracking'!$P$13:$P$21, "&gt;="&amp;IB1,'Revenue Tracking'!$P$13:$P$21, "&lt;"&amp;IC1)</f>
        <v>0</v>
      </c>
      <c r="IC9" s="201">
        <f>SUMIFS('Revenue Tracking'!$F$13:$F$21, 'Revenue Tracking'!$P$13:$P$21, "&gt;="&amp;IC1,'Revenue Tracking'!$P$13:$P$21, "&lt;"&amp;ID1)</f>
        <v>0</v>
      </c>
      <c r="ID9" s="201">
        <f>SUMIFS('Revenue Tracking'!$F$13:$F$21, 'Revenue Tracking'!$P$13:$P$21, "&gt;="&amp;ID1,'Revenue Tracking'!$P$13:$P$21, "&lt;"&amp;IE1)</f>
        <v>0</v>
      </c>
      <c r="IE9" s="201">
        <f>SUMIFS('Revenue Tracking'!$F$13:$F$21, 'Revenue Tracking'!$P$13:$P$21, "&gt;="&amp;IE1,'Revenue Tracking'!$P$13:$P$21, "&lt;"&amp;IF1)</f>
        <v>0</v>
      </c>
      <c r="IF9" s="201">
        <f>SUMIFS('Revenue Tracking'!$F$13:$F$21, 'Revenue Tracking'!$P$13:$P$21, "&gt;="&amp;IF1,'Revenue Tracking'!$P$13:$P$21, "&lt;"&amp;IG1)</f>
        <v>0</v>
      </c>
      <c r="IG9" s="201">
        <f>SUMIFS('Revenue Tracking'!$F$13:$F$21, 'Revenue Tracking'!$P$13:$P$21, "&gt;="&amp;IG1,'Revenue Tracking'!$P$13:$P$21, "&lt;"&amp;IH1)</f>
        <v>0</v>
      </c>
      <c r="IH9" s="201">
        <f>SUMIFS('Revenue Tracking'!$F$13:$F$21, 'Revenue Tracking'!$P$13:$P$21, "&gt;="&amp;IH1,'Revenue Tracking'!$P$13:$P$21, "&lt;"&amp;II1)</f>
        <v>0</v>
      </c>
      <c r="II9" s="201">
        <f>SUMIFS('Revenue Tracking'!$F$13:$F$21, 'Revenue Tracking'!$P$13:$P$21, "&gt;="&amp;II1,'Revenue Tracking'!$P$13:$P$21, "&lt;"&amp;IJ1)</f>
        <v>0</v>
      </c>
      <c r="IJ9" s="201">
        <f>SUMIFS('Revenue Tracking'!$F$13:$F$21, 'Revenue Tracking'!$P$13:$P$21, "&gt;="&amp;IJ1,'Revenue Tracking'!$P$13:$P$21, "&lt;"&amp;IK1)</f>
        <v>0</v>
      </c>
      <c r="IK9" s="201">
        <f>SUMIFS('Revenue Tracking'!$F$13:$F$21, 'Revenue Tracking'!$P$13:$P$21, "&gt;="&amp;IK1,'Revenue Tracking'!$P$13:$P$21, "&lt;"&amp;IL1)</f>
        <v>0</v>
      </c>
      <c r="IL9" s="201">
        <f>SUMIFS('Revenue Tracking'!$F$13:$F$21, 'Revenue Tracking'!$P$13:$P$21, "&gt;="&amp;IL1,'Revenue Tracking'!$P$13:$P$21, "&lt;"&amp;IM1)</f>
        <v>0</v>
      </c>
      <c r="IM9" s="201">
        <f>SUMIFS('Revenue Tracking'!$F$13:$F$21, 'Revenue Tracking'!$P$13:$P$21, "&gt;="&amp;IM1,'Revenue Tracking'!$P$13:$P$21, "&lt;"&amp;IN1)</f>
        <v>0</v>
      </c>
      <c r="IN9" s="201">
        <f>SUMIFS('Revenue Tracking'!$F$13:$F$21, 'Revenue Tracking'!$P$13:$P$21, "&gt;="&amp;IN1,'Revenue Tracking'!$P$13:$P$21, "&lt;"&amp;IO1)</f>
        <v>0</v>
      </c>
      <c r="IO9" s="201">
        <f>SUMIFS('Revenue Tracking'!$F$13:$F$21, 'Revenue Tracking'!$P$13:$P$21, "&gt;="&amp;IO1,'Revenue Tracking'!$P$13:$P$21, "&lt;"&amp;IP1)</f>
        <v>0</v>
      </c>
      <c r="IP9" s="201">
        <f>SUMIFS('Revenue Tracking'!$F$13:$F$21, 'Revenue Tracking'!$P$13:$P$21, "&gt;="&amp;IP1,'Revenue Tracking'!$P$13:$P$21, "&lt;"&amp;IQ1)</f>
        <v>0</v>
      </c>
      <c r="IQ9" s="201">
        <f>SUMIFS('Revenue Tracking'!$F$13:$F$21, 'Revenue Tracking'!$P$13:$P$21, "&gt;="&amp;IQ1,'Revenue Tracking'!$P$13:$P$21, "&lt;"&amp;IR1)</f>
        <v>0</v>
      </c>
      <c r="IR9" s="201">
        <f>SUMIFS('Revenue Tracking'!$F$13:$F$21, 'Revenue Tracking'!$P$13:$P$21, "&gt;="&amp;IR1,'Revenue Tracking'!$P$13:$P$21, "&lt;"&amp;IS1)</f>
        <v>0</v>
      </c>
      <c r="IS9" s="201">
        <f>SUMIFS('Revenue Tracking'!$F$13:$F$21, 'Revenue Tracking'!$P$13:$P$21, "&gt;="&amp;IS1,'Revenue Tracking'!$P$13:$P$21, "&lt;"&amp;IT1)</f>
        <v>0</v>
      </c>
      <c r="IT9" s="201">
        <f>SUMIFS('Revenue Tracking'!$F$13:$F$21, 'Revenue Tracking'!$P$13:$P$21, "&gt;="&amp;IT1,'Revenue Tracking'!$P$13:$P$21, "&lt;"&amp;IU1)</f>
        <v>0</v>
      </c>
      <c r="IU9" s="201">
        <f>SUMIFS('Revenue Tracking'!$F$13:$F$21, 'Revenue Tracking'!$P$13:$P$21, "&gt;="&amp;IU1,'Revenue Tracking'!$P$13:$P$21, "&lt;"&amp;IV1)</f>
        <v>0</v>
      </c>
      <c r="IV9" s="201">
        <f>SUMIFS('Revenue Tracking'!$F$13:$F$21, 'Revenue Tracking'!$P$13:$P$21, "&gt;="&amp;IV1,'Revenue Tracking'!$P$13:$P$21, "&lt;"&amp;IW1)</f>
        <v>0</v>
      </c>
      <c r="IW9" s="201">
        <f>SUMIFS('Revenue Tracking'!$F$13:$F$21, 'Revenue Tracking'!$P$13:$P$21, "&gt;="&amp;IW1,'Revenue Tracking'!$P$13:$P$21, "&lt;"&amp;IX1)</f>
        <v>0</v>
      </c>
      <c r="IX9" s="201">
        <f>SUMIFS('Revenue Tracking'!$F$13:$F$21, 'Revenue Tracking'!$P$13:$P$21, "&gt;="&amp;IX1,'Revenue Tracking'!$P$13:$P$21, "&lt;"&amp;IY1)</f>
        <v>0</v>
      </c>
      <c r="IY9" s="201">
        <f>SUMIFS('Revenue Tracking'!$F$13:$F$21, 'Revenue Tracking'!$P$13:$P$21, "&gt;="&amp;IY1,'Revenue Tracking'!$P$13:$P$21, "&lt;"&amp;IZ1)</f>
        <v>0</v>
      </c>
      <c r="IZ9" s="201">
        <f>SUMIFS('Revenue Tracking'!$F$13:$F$21, 'Revenue Tracking'!$P$13:$P$21, "&gt;="&amp;IZ1,'Revenue Tracking'!$P$13:$P$21, "&lt;"&amp;JA1)</f>
        <v>0</v>
      </c>
      <c r="JA9" s="201">
        <f>SUMIFS('Revenue Tracking'!$F$13:$F$21, 'Revenue Tracking'!$P$13:$P$21, "&gt;="&amp;JA1,'Revenue Tracking'!$P$13:$P$21, "&lt;"&amp;JB1)</f>
        <v>0</v>
      </c>
      <c r="JB9" s="201">
        <f>SUMIFS('Revenue Tracking'!$F$13:$F$21, 'Revenue Tracking'!$P$13:$P$21, "&gt;="&amp;JB1,'Revenue Tracking'!$P$13:$P$21, "&lt;"&amp;JC1)</f>
        <v>0</v>
      </c>
      <c r="JC9" s="201">
        <f>SUMIFS('Revenue Tracking'!$F$13:$F$21, 'Revenue Tracking'!$P$13:$P$21, "&gt;="&amp;JC1,'Revenue Tracking'!$P$13:$P$21, "&lt;"&amp;JD1)</f>
        <v>0</v>
      </c>
      <c r="JD9" s="201">
        <f>SUMIFS('Revenue Tracking'!$F$13:$F$21, 'Revenue Tracking'!$P$13:$P$21, "&gt;="&amp;JD1,'Revenue Tracking'!$P$13:$P$21, "&lt;"&amp;JE1)</f>
        <v>0</v>
      </c>
      <c r="JE9" s="201">
        <f>SUMIFS('Revenue Tracking'!$F$13:$F$21, 'Revenue Tracking'!$P$13:$P$21, "&gt;="&amp;JE1,'Revenue Tracking'!$P$13:$P$21, "&lt;"&amp;JF1)</f>
        <v>0</v>
      </c>
      <c r="JF9" s="201">
        <f>SUMIFS('Revenue Tracking'!$F$13:$F$21, 'Revenue Tracking'!$P$13:$P$21, "&gt;="&amp;JF1,'Revenue Tracking'!$P$13:$P$21, "&lt;"&amp;JG1)</f>
        <v>0</v>
      </c>
      <c r="JG9" s="201">
        <f>SUMIFS('Revenue Tracking'!$F$13:$F$21, 'Revenue Tracking'!$P$13:$P$21, "&gt;="&amp;JG1,'Revenue Tracking'!$P$13:$P$21, "&lt;"&amp;JH1)</f>
        <v>0</v>
      </c>
      <c r="JH9" s="201">
        <f>SUMIFS('Revenue Tracking'!$F$13:$F$21, 'Revenue Tracking'!$P$13:$P$21, "&gt;="&amp;JH1,'Revenue Tracking'!$P$13:$P$21, "&lt;"&amp;JI1)</f>
        <v>0</v>
      </c>
      <c r="JI9" s="201">
        <f>SUMIFS('Revenue Tracking'!$F$13:$F$21, 'Revenue Tracking'!$P$13:$P$21, "&gt;="&amp;JI1,'Revenue Tracking'!$P$13:$P$21, "&lt;"&amp;JJ1)</f>
        <v>0</v>
      </c>
      <c r="JJ9" s="201">
        <f>SUMIFS('Revenue Tracking'!$F$13:$F$21, 'Revenue Tracking'!$P$13:$P$21, "&gt;="&amp;JJ1,'Revenue Tracking'!$P$13:$P$21, "&lt;"&amp;JK1)</f>
        <v>0</v>
      </c>
      <c r="JK9" s="201">
        <f>SUMIFS('Revenue Tracking'!$F$13:$F$21, 'Revenue Tracking'!$P$13:$P$21, "&gt;="&amp;JK1,'Revenue Tracking'!$P$13:$P$21, "&lt;"&amp;JL1)</f>
        <v>0</v>
      </c>
      <c r="JL9" s="201">
        <f>SUMIFS('Revenue Tracking'!$F$13:$F$21, 'Revenue Tracking'!$P$13:$P$21, "&gt;="&amp;JL1,'Revenue Tracking'!$P$13:$P$21, "&lt;"&amp;JM1)</f>
        <v>0</v>
      </c>
      <c r="JM9" s="201">
        <f>SUMIFS('Revenue Tracking'!$F$13:$F$21, 'Revenue Tracking'!$P$13:$P$21, "&gt;="&amp;JM1,'Revenue Tracking'!$P$13:$P$21, "&lt;"&amp;JN1)</f>
        <v>0</v>
      </c>
      <c r="JN9" s="201">
        <f>SUMIFS('Revenue Tracking'!$F$13:$F$21, 'Revenue Tracking'!$P$13:$P$21, "&gt;="&amp;JN1,'Revenue Tracking'!$P$13:$P$21, "&lt;"&amp;JO1)</f>
        <v>0</v>
      </c>
      <c r="JO9" s="201">
        <f>SUMIFS('Revenue Tracking'!$F$13:$F$21, 'Revenue Tracking'!$P$13:$P$21, "&gt;="&amp;JO1,'Revenue Tracking'!$P$13:$P$21, "&lt;"&amp;JP1)</f>
        <v>0</v>
      </c>
      <c r="JP9" s="201">
        <f>SUMIFS('Revenue Tracking'!$F$13:$F$21, 'Revenue Tracking'!$P$13:$P$21, "&gt;="&amp;JP1,'Revenue Tracking'!$P$13:$P$21, "&lt;"&amp;JQ1)</f>
        <v>0</v>
      </c>
      <c r="JQ9" s="201">
        <f>SUMIFS('Revenue Tracking'!$F$13:$F$21, 'Revenue Tracking'!$P$13:$P$21, "&gt;="&amp;JQ1,'Revenue Tracking'!$P$13:$P$21, "&lt;"&amp;JR1)</f>
        <v>0</v>
      </c>
      <c r="JR9" s="201">
        <f>SUMIFS('Revenue Tracking'!$F$13:$F$21, 'Revenue Tracking'!$P$13:$P$21, "&gt;="&amp;JR1,'Revenue Tracking'!$P$13:$P$21, "&lt;"&amp;JS1)</f>
        <v>0</v>
      </c>
      <c r="JS9" s="201">
        <f>SUMIFS('Revenue Tracking'!$F$13:$F$21, 'Revenue Tracking'!$P$13:$P$21, "&gt;="&amp;JS1,'Revenue Tracking'!$P$13:$P$21, "&lt;"&amp;JT1)</f>
        <v>0</v>
      </c>
      <c r="JT9" s="201">
        <f>SUMIFS('Revenue Tracking'!$F$13:$F$21, 'Revenue Tracking'!$P$13:$P$21, "&gt;="&amp;JT1,'Revenue Tracking'!$P$13:$P$21, "&lt;"&amp;JU1)</f>
        <v>0</v>
      </c>
      <c r="JU9" s="201">
        <f>SUMIFS('Revenue Tracking'!$F$13:$F$21, 'Revenue Tracking'!$P$13:$P$21, "&gt;="&amp;JU1,'Revenue Tracking'!$P$13:$P$21, "&lt;"&amp;JV1)</f>
        <v>0</v>
      </c>
      <c r="JV9" s="201">
        <f>SUMIFS('Revenue Tracking'!$F$13:$F$21, 'Revenue Tracking'!$P$13:$P$21, "&gt;="&amp;JV1,'Revenue Tracking'!$P$13:$P$21, "&lt;"&amp;JW1)</f>
        <v>0</v>
      </c>
      <c r="JW9" s="201">
        <f>SUMIFS('Revenue Tracking'!$F$13:$F$21, 'Revenue Tracking'!$P$13:$P$21, "&gt;="&amp;JW1,'Revenue Tracking'!$P$13:$P$21, "&lt;"&amp;JX1)</f>
        <v>0</v>
      </c>
      <c r="JX9" s="201">
        <f>SUMIFS('Revenue Tracking'!$F$13:$F$21, 'Revenue Tracking'!$P$13:$P$21, "&gt;="&amp;JX1,'Revenue Tracking'!$P$13:$P$21, "&lt;"&amp;JY1)</f>
        <v>0</v>
      </c>
      <c r="JY9" s="201">
        <f>SUMIFS('Revenue Tracking'!$F$13:$F$21, 'Revenue Tracking'!$P$13:$P$21, "&gt;="&amp;JY1,'Revenue Tracking'!$P$13:$P$21, "&lt;"&amp;JZ1)</f>
        <v>0</v>
      </c>
      <c r="JZ9" s="201">
        <f>SUMIFS('Revenue Tracking'!$F$13:$F$21, 'Revenue Tracking'!$P$13:$P$21, "&gt;="&amp;JZ1,'Revenue Tracking'!$P$13:$P$21, "&lt;"&amp;KA1)</f>
        <v>0</v>
      </c>
      <c r="KA9" s="201">
        <f>SUMIFS('Revenue Tracking'!$F$13:$F$21, 'Revenue Tracking'!$P$13:$P$21, "&gt;="&amp;KA1,'Revenue Tracking'!$P$13:$P$21, "&lt;"&amp;KB1)</f>
        <v>0</v>
      </c>
      <c r="KB9" s="201">
        <f>SUMIFS('Revenue Tracking'!$F$13:$F$21, 'Revenue Tracking'!$P$13:$P$21, "&gt;="&amp;KB1,'Revenue Tracking'!$P$13:$P$21, "&lt;"&amp;KC1)</f>
        <v>0</v>
      </c>
      <c r="KC9" s="201">
        <f>SUMIFS('Revenue Tracking'!$F$13:$F$21, 'Revenue Tracking'!$P$13:$P$21, "&gt;="&amp;KC1,'Revenue Tracking'!$P$13:$P$21, "&lt;"&amp;KD1)</f>
        <v>0</v>
      </c>
      <c r="KD9" s="201">
        <f>SUMIFS('Revenue Tracking'!$F$13:$F$21, 'Revenue Tracking'!$P$13:$P$21, "&gt;="&amp;KD1,'Revenue Tracking'!$P$13:$P$21, "&lt;"&amp;KE1)</f>
        <v>0</v>
      </c>
      <c r="KE9" s="201">
        <f>SUMIFS('Revenue Tracking'!$F$13:$F$21, 'Revenue Tracking'!$P$13:$P$21, "&gt;="&amp;KE1,'Revenue Tracking'!$P$13:$P$21, "&lt;"&amp;KF1)</f>
        <v>0</v>
      </c>
      <c r="KF9" s="201">
        <f>SUMIFS('Revenue Tracking'!$F$13:$F$21, 'Revenue Tracking'!$P$13:$P$21, "&gt;="&amp;KF1,'Revenue Tracking'!$P$13:$P$21, "&lt;"&amp;KG1)</f>
        <v>0</v>
      </c>
      <c r="KG9" s="201">
        <f>SUMIFS('Revenue Tracking'!$F$13:$F$21, 'Revenue Tracking'!$P$13:$P$21, "&gt;="&amp;KG1,'Revenue Tracking'!$P$13:$P$21, "&lt;"&amp;KH1)</f>
        <v>0</v>
      </c>
      <c r="KH9" s="201">
        <f>SUMIFS('Revenue Tracking'!$F$13:$F$21, 'Revenue Tracking'!$P$13:$P$21, "&gt;="&amp;KH1,'Revenue Tracking'!$P$13:$P$21, "&lt;"&amp;KI1)</f>
        <v>0</v>
      </c>
      <c r="KI9" s="201">
        <f>SUMIFS('Revenue Tracking'!$F$13:$F$21, 'Revenue Tracking'!$P$13:$P$21, "&gt;="&amp;KI1,'Revenue Tracking'!$P$13:$P$21, "&lt;"&amp;KJ1)</f>
        <v>0</v>
      </c>
      <c r="KJ9" s="201">
        <f>SUMIFS('Revenue Tracking'!$F$13:$F$21, 'Revenue Tracking'!$P$13:$P$21, "&gt;="&amp;KJ1,'Revenue Tracking'!$P$13:$P$21, "&lt;"&amp;KK1)</f>
        <v>0</v>
      </c>
      <c r="KK9" s="201">
        <f>SUMIFS('Revenue Tracking'!$F$13:$F$21, 'Revenue Tracking'!$P$13:$P$21, "&gt;="&amp;KK1,'Revenue Tracking'!$P$13:$P$21, "&lt;"&amp;KL1)</f>
        <v>0</v>
      </c>
      <c r="KL9" s="201">
        <f>SUMIFS('Revenue Tracking'!$F$13:$F$21, 'Revenue Tracking'!$P$13:$P$21, "&gt;="&amp;KL1,'Revenue Tracking'!$P$13:$P$21, "&lt;"&amp;KM1)</f>
        <v>0</v>
      </c>
      <c r="KM9" s="201">
        <f>SUMIFS('Revenue Tracking'!$F$13:$F$21, 'Revenue Tracking'!$P$13:$P$21, "&gt;="&amp;KM1,'Revenue Tracking'!$P$13:$P$21, "&lt;"&amp;KN1)</f>
        <v>0</v>
      </c>
      <c r="KN9" s="201">
        <f>SUMIFS('Revenue Tracking'!$F$13:$F$21, 'Revenue Tracking'!$P$13:$P$21, "&gt;="&amp;KN1,'Revenue Tracking'!$P$13:$P$21, "&lt;"&amp;KO1)</f>
        <v>0</v>
      </c>
      <c r="KO9" s="201">
        <f>SUMIFS('Revenue Tracking'!$F$13:$F$21, 'Revenue Tracking'!$P$13:$P$21, "&gt;="&amp;KO1,'Revenue Tracking'!$P$13:$P$21, "&lt;"&amp;KP1)</f>
        <v>0</v>
      </c>
      <c r="KP9" s="201">
        <f>SUMIFS('Revenue Tracking'!$F$13:$F$21, 'Revenue Tracking'!$P$13:$P$21, "&gt;="&amp;KP1,'Revenue Tracking'!$P$13:$P$21, "&lt;"&amp;KQ1)</f>
        <v>0</v>
      </c>
      <c r="KQ9" s="201">
        <f>SUMIFS('Revenue Tracking'!$F$13:$F$21, 'Revenue Tracking'!$P$13:$P$21, "&gt;="&amp;KQ1,'Revenue Tracking'!$P$13:$P$21, "&lt;"&amp;KR1)</f>
        <v>0</v>
      </c>
      <c r="KR9" s="201">
        <f>SUMIFS('Revenue Tracking'!$F$13:$F$21, 'Revenue Tracking'!$P$13:$P$21, "&gt;="&amp;KR1,'Revenue Tracking'!$P$13:$P$21, "&lt;"&amp;KS1)</f>
        <v>0</v>
      </c>
      <c r="KS9" s="201">
        <f>SUMIFS('Revenue Tracking'!$F$13:$F$21, 'Revenue Tracking'!$P$13:$P$21, "&gt;="&amp;KS1,'Revenue Tracking'!$P$13:$P$21, "&lt;"&amp;KT1)</f>
        <v>0</v>
      </c>
      <c r="KT9" s="201">
        <f>SUMIFS('Revenue Tracking'!$F$13:$F$21, 'Revenue Tracking'!$P$13:$P$21, "&gt;="&amp;KT1,'Revenue Tracking'!$P$13:$P$21, "&lt;"&amp;KU1)</f>
        <v>0</v>
      </c>
      <c r="KU9" s="201">
        <f>SUMIFS('Revenue Tracking'!$F$13:$F$21, 'Revenue Tracking'!$P$13:$P$21, "&gt;="&amp;KU1,'Revenue Tracking'!$P$13:$P$21, "&lt;"&amp;KV1)</f>
        <v>0</v>
      </c>
      <c r="KV9" s="201">
        <f>SUMIFS('Revenue Tracking'!$F$13:$F$21, 'Revenue Tracking'!$P$13:$P$21, "&gt;="&amp;KV1,'Revenue Tracking'!$P$13:$P$21, "&lt;"&amp;KW1)</f>
        <v>0</v>
      </c>
      <c r="KW9" s="201">
        <f>SUMIFS('Revenue Tracking'!$F$13:$F$21, 'Revenue Tracking'!$P$13:$P$21, "&gt;="&amp;KW1,'Revenue Tracking'!$P$13:$P$21, "&lt;"&amp;KX1)</f>
        <v>0</v>
      </c>
      <c r="KX9" s="201">
        <f>SUMIFS('Revenue Tracking'!$F$13:$F$21, 'Revenue Tracking'!$P$13:$P$21, "&gt;="&amp;KX1,'Revenue Tracking'!$P$13:$P$21, "&lt;"&amp;KY1)</f>
        <v>0</v>
      </c>
      <c r="KY9" s="201">
        <f>SUMIFS('Revenue Tracking'!$F$13:$F$21, 'Revenue Tracking'!$P$13:$P$21, "&gt;="&amp;KY1,'Revenue Tracking'!$P$13:$P$21, "&lt;"&amp;KZ1)</f>
        <v>0</v>
      </c>
      <c r="KZ9" s="201">
        <f>SUMIFS('Revenue Tracking'!$F$13:$F$21, 'Revenue Tracking'!$P$13:$P$21, "&gt;="&amp;KZ1,'Revenue Tracking'!$P$13:$P$21, "&lt;"&amp;LA1)</f>
        <v>0</v>
      </c>
      <c r="LA9" s="201">
        <f>SUMIFS('Revenue Tracking'!$F$13:$F$21, 'Revenue Tracking'!$P$13:$P$21, "&gt;="&amp;LA1,'Revenue Tracking'!$P$13:$P$21, "&lt;"&amp;LB1)</f>
        <v>0</v>
      </c>
      <c r="LB9" s="201">
        <f>SUMIFS('Revenue Tracking'!$F$13:$F$21, 'Revenue Tracking'!$P$13:$P$21, "&gt;="&amp;LB1,'Revenue Tracking'!$P$13:$P$21, "&lt;"&amp;LC1)</f>
        <v>0</v>
      </c>
      <c r="LC9" s="201">
        <f>SUMIFS('Revenue Tracking'!$F$13:$F$21, 'Revenue Tracking'!$P$13:$P$21, "&gt;="&amp;LC1,'Revenue Tracking'!$P$13:$P$21, "&lt;"&amp;LD1)</f>
        <v>0</v>
      </c>
      <c r="LD9" s="201">
        <f>SUMIFS('Revenue Tracking'!$F$13:$F$21, 'Revenue Tracking'!$P$13:$P$21, "&gt;="&amp;LD1,'Revenue Tracking'!$P$13:$P$21, "&lt;"&amp;#REF!)</f>
        <v>0</v>
      </c>
    </row>
    <row r="10" spans="1:794">
      <c r="A10" s="930"/>
      <c r="B10" s="199" t="s">
        <v>734</v>
      </c>
      <c r="C10" s="200"/>
      <c r="D10" s="200"/>
      <c r="E10" s="187"/>
      <c r="F10" s="201">
        <f>F9</f>
        <v>0</v>
      </c>
      <c r="G10" s="201">
        <f>F10+G9</f>
        <v>0</v>
      </c>
      <c r="H10" s="201">
        <f>G10+H9</f>
        <v>0</v>
      </c>
      <c r="I10" s="201">
        <f t="shared" ref="I10:BT10" si="21">H10+I9</f>
        <v>0</v>
      </c>
      <c r="J10" s="201">
        <f t="shared" si="21"/>
        <v>0</v>
      </c>
      <c r="K10" s="201">
        <f t="shared" si="21"/>
        <v>0</v>
      </c>
      <c r="L10" s="201">
        <f t="shared" si="21"/>
        <v>0</v>
      </c>
      <c r="M10" s="201">
        <f t="shared" si="21"/>
        <v>0</v>
      </c>
      <c r="N10" s="201">
        <f t="shared" si="21"/>
        <v>0</v>
      </c>
      <c r="O10" s="201">
        <f t="shared" si="21"/>
        <v>0</v>
      </c>
      <c r="P10" s="201">
        <f t="shared" si="21"/>
        <v>0</v>
      </c>
      <c r="Q10" s="201">
        <f t="shared" si="21"/>
        <v>0</v>
      </c>
      <c r="R10" s="201">
        <f t="shared" si="21"/>
        <v>0</v>
      </c>
      <c r="S10" s="201">
        <f t="shared" si="21"/>
        <v>0</v>
      </c>
      <c r="T10" s="201">
        <f t="shared" si="21"/>
        <v>0</v>
      </c>
      <c r="U10" s="201">
        <f t="shared" si="21"/>
        <v>0</v>
      </c>
      <c r="V10" s="201">
        <f t="shared" si="21"/>
        <v>0</v>
      </c>
      <c r="W10" s="201">
        <f t="shared" si="21"/>
        <v>0</v>
      </c>
      <c r="X10" s="201">
        <f t="shared" si="21"/>
        <v>0</v>
      </c>
      <c r="Y10" s="201">
        <f t="shared" si="21"/>
        <v>0</v>
      </c>
      <c r="Z10" s="201">
        <f t="shared" si="21"/>
        <v>0</v>
      </c>
      <c r="AA10" s="201">
        <f t="shared" si="21"/>
        <v>15000000</v>
      </c>
      <c r="AB10" s="201">
        <f t="shared" si="21"/>
        <v>15000000</v>
      </c>
      <c r="AC10" s="201">
        <f t="shared" si="21"/>
        <v>15000000</v>
      </c>
      <c r="AD10" s="201">
        <f t="shared" si="21"/>
        <v>15000000</v>
      </c>
      <c r="AE10" s="201">
        <f t="shared" si="21"/>
        <v>15000000</v>
      </c>
      <c r="AF10" s="201">
        <f t="shared" si="21"/>
        <v>32998500</v>
      </c>
      <c r="AG10" s="201">
        <f t="shared" si="21"/>
        <v>32998500</v>
      </c>
      <c r="AH10" s="201">
        <f t="shared" si="21"/>
        <v>32998500</v>
      </c>
      <c r="AI10" s="201">
        <f t="shared" si="21"/>
        <v>32998500</v>
      </c>
      <c r="AJ10" s="201">
        <f t="shared" si="21"/>
        <v>32998500</v>
      </c>
      <c r="AK10" s="201">
        <f t="shared" si="21"/>
        <v>41996500</v>
      </c>
      <c r="AL10" s="201">
        <f t="shared" si="21"/>
        <v>41996500</v>
      </c>
      <c r="AM10" s="201">
        <f t="shared" si="21"/>
        <v>41996500</v>
      </c>
      <c r="AN10" s="201">
        <f t="shared" si="21"/>
        <v>50995750</v>
      </c>
      <c r="AO10" s="201">
        <f t="shared" si="21"/>
        <v>50995750</v>
      </c>
      <c r="AP10" s="201">
        <f t="shared" si="21"/>
        <v>50995750</v>
      </c>
      <c r="AQ10" s="201">
        <f t="shared" si="21"/>
        <v>50995750</v>
      </c>
      <c r="AR10" s="201">
        <f t="shared" si="21"/>
        <v>50995750</v>
      </c>
      <c r="AS10" s="201">
        <f t="shared" si="21"/>
        <v>50995750</v>
      </c>
      <c r="AT10" s="201">
        <f t="shared" si="21"/>
        <v>50995750</v>
      </c>
      <c r="AU10" s="201">
        <f t="shared" si="21"/>
        <v>50995750</v>
      </c>
      <c r="AV10" s="201">
        <f t="shared" si="21"/>
        <v>50995750</v>
      </c>
      <c r="AW10" s="201">
        <f t="shared" si="21"/>
        <v>50995750</v>
      </c>
      <c r="AX10" s="201">
        <f t="shared" si="21"/>
        <v>50995750</v>
      </c>
      <c r="AY10" s="201">
        <f t="shared" si="21"/>
        <v>50995750</v>
      </c>
      <c r="AZ10" s="201">
        <f t="shared" si="21"/>
        <v>51045590.730434783</v>
      </c>
      <c r="BA10" s="201">
        <f t="shared" si="21"/>
        <v>51045590.730434783</v>
      </c>
      <c r="BB10" s="201">
        <f t="shared" si="21"/>
        <v>51045590.730434783</v>
      </c>
      <c r="BC10" s="201">
        <f t="shared" si="21"/>
        <v>51045590.730434783</v>
      </c>
      <c r="BD10" s="201">
        <f t="shared" si="21"/>
        <v>51045590.730434783</v>
      </c>
      <c r="BE10" s="201">
        <f t="shared" si="21"/>
        <v>51045590.730434783</v>
      </c>
      <c r="BF10" s="201">
        <f t="shared" si="21"/>
        <v>51045590.730434783</v>
      </c>
      <c r="BG10" s="201">
        <f t="shared" si="21"/>
        <v>51045590.730434783</v>
      </c>
      <c r="BH10" s="201">
        <f t="shared" si="21"/>
        <v>51045590.730434783</v>
      </c>
      <c r="BI10" s="201">
        <f t="shared" si="21"/>
        <v>56995250</v>
      </c>
      <c r="BJ10" s="201">
        <f t="shared" si="21"/>
        <v>56995250</v>
      </c>
      <c r="BK10" s="201">
        <f t="shared" si="21"/>
        <v>56995250</v>
      </c>
      <c r="BL10" s="201">
        <f t="shared" si="21"/>
        <v>56995250</v>
      </c>
      <c r="BM10" s="201">
        <f t="shared" si="21"/>
        <v>56995250</v>
      </c>
      <c r="BN10" s="201">
        <f t="shared" si="21"/>
        <v>56995250</v>
      </c>
      <c r="BO10" s="201">
        <f t="shared" si="21"/>
        <v>56995250</v>
      </c>
      <c r="BP10" s="201">
        <f t="shared" si="21"/>
        <v>56995250</v>
      </c>
      <c r="BQ10" s="201">
        <f t="shared" si="21"/>
        <v>56995250</v>
      </c>
      <c r="BR10" s="201">
        <f t="shared" si="21"/>
        <v>56995250</v>
      </c>
      <c r="BS10" s="201">
        <f t="shared" si="21"/>
        <v>59995000</v>
      </c>
      <c r="BT10" s="201">
        <f t="shared" si="21"/>
        <v>59995000</v>
      </c>
      <c r="BU10" s="201">
        <f t="shared" ref="BU10:EF10" si="22">BT10+BU9</f>
        <v>59995000</v>
      </c>
      <c r="BV10" s="201">
        <f t="shared" si="22"/>
        <v>59995000</v>
      </c>
      <c r="BW10" s="201">
        <f t="shared" si="22"/>
        <v>59995000</v>
      </c>
      <c r="BX10" s="201">
        <f t="shared" si="22"/>
        <v>59995000</v>
      </c>
      <c r="BY10" s="201">
        <f t="shared" si="22"/>
        <v>59995000</v>
      </c>
      <c r="BZ10" s="201">
        <f t="shared" si="22"/>
        <v>59995000</v>
      </c>
      <c r="CA10" s="201">
        <f t="shared" si="22"/>
        <v>59995000</v>
      </c>
      <c r="CB10" s="201">
        <f t="shared" si="22"/>
        <v>59995000</v>
      </c>
      <c r="CC10" s="201">
        <f t="shared" si="22"/>
        <v>59995000</v>
      </c>
      <c r="CD10" s="201">
        <f t="shared" si="22"/>
        <v>59995000</v>
      </c>
      <c r="CE10" s="201">
        <f t="shared" si="22"/>
        <v>59995000</v>
      </c>
      <c r="CF10" s="201">
        <f t="shared" si="22"/>
        <v>59995000</v>
      </c>
      <c r="CG10" s="201">
        <f t="shared" si="22"/>
        <v>59995000</v>
      </c>
      <c r="CH10" s="201">
        <f t="shared" si="22"/>
        <v>59995000</v>
      </c>
      <c r="CI10" s="201">
        <f t="shared" si="22"/>
        <v>59995000</v>
      </c>
      <c r="CJ10" s="201">
        <f t="shared" si="22"/>
        <v>59995000</v>
      </c>
      <c r="CK10" s="201">
        <f t="shared" si="22"/>
        <v>59995000</v>
      </c>
      <c r="CL10" s="201">
        <f t="shared" si="22"/>
        <v>59995000</v>
      </c>
      <c r="CM10" s="201">
        <f t="shared" si="22"/>
        <v>59995000</v>
      </c>
      <c r="CN10" s="201">
        <f t="shared" si="22"/>
        <v>59995000</v>
      </c>
      <c r="CO10" s="201">
        <f t="shared" si="22"/>
        <v>59995000</v>
      </c>
      <c r="CP10" s="201">
        <f t="shared" si="22"/>
        <v>59995000</v>
      </c>
      <c r="CQ10" s="201">
        <f t="shared" si="22"/>
        <v>59995000</v>
      </c>
      <c r="CR10" s="201">
        <f t="shared" si="22"/>
        <v>59995000</v>
      </c>
      <c r="CS10" s="201">
        <f t="shared" si="22"/>
        <v>59995000</v>
      </c>
      <c r="CT10" s="201">
        <f t="shared" si="22"/>
        <v>59995000</v>
      </c>
      <c r="CU10" s="201">
        <f t="shared" si="22"/>
        <v>59995000</v>
      </c>
      <c r="CV10" s="201">
        <f t="shared" si="22"/>
        <v>59995000</v>
      </c>
      <c r="CW10" s="201">
        <f t="shared" si="22"/>
        <v>59995000</v>
      </c>
      <c r="CX10" s="201">
        <f t="shared" si="22"/>
        <v>59995000</v>
      </c>
      <c r="CY10" s="201">
        <f t="shared" si="22"/>
        <v>59995000</v>
      </c>
      <c r="CZ10" s="201">
        <f t="shared" si="22"/>
        <v>59995000</v>
      </c>
      <c r="DA10" s="201">
        <f t="shared" si="22"/>
        <v>59995000</v>
      </c>
      <c r="DB10" s="201">
        <f t="shared" si="22"/>
        <v>59995000</v>
      </c>
      <c r="DC10" s="201">
        <f t="shared" si="22"/>
        <v>59995000</v>
      </c>
      <c r="DD10" s="201">
        <f t="shared" si="22"/>
        <v>59995000</v>
      </c>
      <c r="DE10" s="201">
        <f t="shared" si="22"/>
        <v>59995000</v>
      </c>
      <c r="DF10" s="201">
        <f t="shared" si="22"/>
        <v>59995000</v>
      </c>
      <c r="DG10" s="201">
        <f t="shared" si="22"/>
        <v>59995000</v>
      </c>
      <c r="DH10" s="201">
        <f t="shared" si="22"/>
        <v>59995000</v>
      </c>
      <c r="DI10" s="201">
        <f t="shared" si="22"/>
        <v>59995000</v>
      </c>
      <c r="DJ10" s="201">
        <f t="shared" si="22"/>
        <v>59995000</v>
      </c>
      <c r="DK10" s="201">
        <f t="shared" si="22"/>
        <v>59995000</v>
      </c>
      <c r="DL10" s="201">
        <f t="shared" si="22"/>
        <v>59995000</v>
      </c>
      <c r="DM10" s="201">
        <f t="shared" si="22"/>
        <v>59995000</v>
      </c>
      <c r="DN10" s="201">
        <f t="shared" si="22"/>
        <v>59995000</v>
      </c>
      <c r="DO10" s="201">
        <f t="shared" si="22"/>
        <v>59995000</v>
      </c>
      <c r="DP10" s="201">
        <f t="shared" si="22"/>
        <v>59995000</v>
      </c>
      <c r="DQ10" s="201">
        <f t="shared" si="22"/>
        <v>59995000</v>
      </c>
      <c r="DR10" s="201">
        <f t="shared" si="22"/>
        <v>59995000</v>
      </c>
      <c r="DS10" s="201">
        <f t="shared" si="22"/>
        <v>59995000</v>
      </c>
      <c r="DT10" s="201">
        <f t="shared" si="22"/>
        <v>59995000</v>
      </c>
      <c r="DU10" s="201">
        <f t="shared" si="22"/>
        <v>59995000</v>
      </c>
      <c r="DV10" s="201">
        <f t="shared" si="22"/>
        <v>59995000</v>
      </c>
      <c r="DW10" s="201">
        <f t="shared" si="22"/>
        <v>59995000</v>
      </c>
      <c r="DX10" s="201">
        <f t="shared" si="22"/>
        <v>59995000</v>
      </c>
      <c r="DY10" s="201">
        <f t="shared" si="22"/>
        <v>59995000</v>
      </c>
      <c r="DZ10" s="201">
        <f t="shared" si="22"/>
        <v>59995000</v>
      </c>
      <c r="EA10" s="201">
        <f t="shared" si="22"/>
        <v>59995000</v>
      </c>
      <c r="EB10" s="201">
        <f t="shared" si="22"/>
        <v>59995000</v>
      </c>
      <c r="EC10" s="201">
        <f t="shared" si="22"/>
        <v>59995000</v>
      </c>
      <c r="ED10" s="201">
        <f t="shared" si="22"/>
        <v>59995000</v>
      </c>
      <c r="EE10" s="201">
        <f t="shared" si="22"/>
        <v>59995000</v>
      </c>
      <c r="EF10" s="201">
        <f t="shared" si="22"/>
        <v>59995000</v>
      </c>
      <c r="EG10" s="201">
        <f t="shared" ref="EG10:GR10" si="23">EF10+EG9</f>
        <v>59995000</v>
      </c>
      <c r="EH10" s="201">
        <f t="shared" si="23"/>
        <v>59995000</v>
      </c>
      <c r="EI10" s="201">
        <f t="shared" si="23"/>
        <v>59995000</v>
      </c>
      <c r="EJ10" s="201">
        <f t="shared" si="23"/>
        <v>59995000</v>
      </c>
      <c r="EK10" s="201">
        <f t="shared" si="23"/>
        <v>59995000</v>
      </c>
      <c r="EL10" s="201">
        <f t="shared" si="23"/>
        <v>59995000</v>
      </c>
      <c r="EM10" s="201">
        <f t="shared" si="23"/>
        <v>59995000</v>
      </c>
      <c r="EN10" s="201">
        <f t="shared" si="23"/>
        <v>59995000</v>
      </c>
      <c r="EO10" s="201">
        <f t="shared" si="23"/>
        <v>59995000</v>
      </c>
      <c r="EP10" s="201">
        <f t="shared" si="23"/>
        <v>59995000</v>
      </c>
      <c r="EQ10" s="201">
        <f t="shared" si="23"/>
        <v>59995000</v>
      </c>
      <c r="ER10" s="201">
        <f t="shared" si="23"/>
        <v>59995000</v>
      </c>
      <c r="ES10" s="201">
        <f t="shared" si="23"/>
        <v>59995000</v>
      </c>
      <c r="ET10" s="201">
        <f t="shared" si="23"/>
        <v>59995000</v>
      </c>
      <c r="EU10" s="201">
        <f t="shared" si="23"/>
        <v>59995000</v>
      </c>
      <c r="EV10" s="201">
        <f t="shared" si="23"/>
        <v>59995000</v>
      </c>
      <c r="EW10" s="201">
        <f t="shared" si="23"/>
        <v>59995000</v>
      </c>
      <c r="EX10" s="201">
        <f t="shared" si="23"/>
        <v>59995000</v>
      </c>
      <c r="EY10" s="201">
        <f t="shared" si="23"/>
        <v>59995000</v>
      </c>
      <c r="EZ10" s="201">
        <f t="shared" si="23"/>
        <v>59995000</v>
      </c>
      <c r="FA10" s="201">
        <f t="shared" si="23"/>
        <v>59995000</v>
      </c>
      <c r="FB10" s="201">
        <f t="shared" si="23"/>
        <v>59995000</v>
      </c>
      <c r="FC10" s="201">
        <f t="shared" si="23"/>
        <v>59995000</v>
      </c>
      <c r="FD10" s="201">
        <f t="shared" si="23"/>
        <v>59995000</v>
      </c>
      <c r="FE10" s="201">
        <f t="shared" si="23"/>
        <v>59995000</v>
      </c>
      <c r="FF10" s="201">
        <f t="shared" si="23"/>
        <v>59995000</v>
      </c>
      <c r="FG10" s="201">
        <f t="shared" si="23"/>
        <v>59995000</v>
      </c>
      <c r="FH10" s="201">
        <f t="shared" si="23"/>
        <v>59995000</v>
      </c>
      <c r="FI10" s="201">
        <f t="shared" si="23"/>
        <v>59995000</v>
      </c>
      <c r="FJ10" s="201">
        <f t="shared" si="23"/>
        <v>59995000</v>
      </c>
      <c r="FK10" s="201">
        <f t="shared" si="23"/>
        <v>59995000</v>
      </c>
      <c r="FL10" s="201">
        <f t="shared" si="23"/>
        <v>59995000</v>
      </c>
      <c r="FM10" s="201">
        <f t="shared" si="23"/>
        <v>59995000</v>
      </c>
      <c r="FN10" s="201">
        <f t="shared" si="23"/>
        <v>59995000</v>
      </c>
      <c r="FO10" s="201">
        <f t="shared" si="23"/>
        <v>59995000</v>
      </c>
      <c r="FP10" s="201">
        <f t="shared" si="23"/>
        <v>59995000</v>
      </c>
      <c r="FQ10" s="201">
        <f t="shared" si="23"/>
        <v>59995000</v>
      </c>
      <c r="FR10" s="201">
        <f t="shared" si="23"/>
        <v>59995000</v>
      </c>
      <c r="FS10" s="201">
        <f t="shared" si="23"/>
        <v>59995000</v>
      </c>
      <c r="FT10" s="201">
        <f t="shared" si="23"/>
        <v>59995000</v>
      </c>
      <c r="FU10" s="201">
        <f t="shared" si="23"/>
        <v>59995000</v>
      </c>
      <c r="FV10" s="201">
        <f t="shared" si="23"/>
        <v>59995000</v>
      </c>
      <c r="FW10" s="201">
        <f t="shared" si="23"/>
        <v>59995000</v>
      </c>
      <c r="FX10" s="201">
        <f t="shared" si="23"/>
        <v>59995000</v>
      </c>
      <c r="FY10" s="201">
        <f t="shared" si="23"/>
        <v>59995000</v>
      </c>
      <c r="FZ10" s="201">
        <f t="shared" si="23"/>
        <v>59995000</v>
      </c>
      <c r="GA10" s="201">
        <f t="shared" si="23"/>
        <v>59995000</v>
      </c>
      <c r="GB10" s="201">
        <f t="shared" si="23"/>
        <v>59995000</v>
      </c>
      <c r="GC10" s="201">
        <f t="shared" si="23"/>
        <v>59995000</v>
      </c>
      <c r="GD10" s="201">
        <f t="shared" si="23"/>
        <v>59995000</v>
      </c>
      <c r="GE10" s="201">
        <f t="shared" si="23"/>
        <v>59995000</v>
      </c>
      <c r="GF10" s="201">
        <f t="shared" si="23"/>
        <v>59995000</v>
      </c>
      <c r="GG10" s="201">
        <f t="shared" si="23"/>
        <v>59995000</v>
      </c>
      <c r="GH10" s="201">
        <f t="shared" si="23"/>
        <v>59995000</v>
      </c>
      <c r="GI10" s="201">
        <f t="shared" si="23"/>
        <v>59995000</v>
      </c>
      <c r="GJ10" s="201">
        <f t="shared" si="23"/>
        <v>59995000</v>
      </c>
      <c r="GK10" s="201">
        <f t="shared" si="23"/>
        <v>59995000</v>
      </c>
      <c r="GL10" s="201">
        <f t="shared" si="23"/>
        <v>59995000</v>
      </c>
      <c r="GM10" s="201">
        <f t="shared" si="23"/>
        <v>59995000</v>
      </c>
      <c r="GN10" s="201">
        <f t="shared" si="23"/>
        <v>59995000</v>
      </c>
      <c r="GO10" s="201">
        <f t="shared" si="23"/>
        <v>59995000</v>
      </c>
      <c r="GP10" s="201">
        <f t="shared" si="23"/>
        <v>59995000</v>
      </c>
      <c r="GQ10" s="201">
        <f t="shared" si="23"/>
        <v>59995000</v>
      </c>
      <c r="GR10" s="201">
        <f t="shared" si="23"/>
        <v>59995000</v>
      </c>
      <c r="GS10" s="201">
        <f t="shared" ref="GS10:JD10" si="24">GR10+GS9</f>
        <v>59995000</v>
      </c>
      <c r="GT10" s="201">
        <f t="shared" si="24"/>
        <v>59995000</v>
      </c>
      <c r="GU10" s="201">
        <f t="shared" si="24"/>
        <v>59995000</v>
      </c>
      <c r="GV10" s="201">
        <f t="shared" si="24"/>
        <v>59995000</v>
      </c>
      <c r="GW10" s="201">
        <f t="shared" si="24"/>
        <v>59995000</v>
      </c>
      <c r="GX10" s="201">
        <f t="shared" si="24"/>
        <v>59995000</v>
      </c>
      <c r="GY10" s="201">
        <f t="shared" si="24"/>
        <v>59995000</v>
      </c>
      <c r="GZ10" s="201">
        <f t="shared" si="24"/>
        <v>59995000</v>
      </c>
      <c r="HA10" s="201">
        <f t="shared" si="24"/>
        <v>59995000</v>
      </c>
      <c r="HB10" s="201">
        <f t="shared" si="24"/>
        <v>59995000</v>
      </c>
      <c r="HC10" s="201">
        <f t="shared" si="24"/>
        <v>59995000</v>
      </c>
      <c r="HD10" s="201">
        <f t="shared" si="24"/>
        <v>59995000</v>
      </c>
      <c r="HE10" s="201">
        <f t="shared" si="24"/>
        <v>59995000</v>
      </c>
      <c r="HF10" s="201">
        <f t="shared" si="24"/>
        <v>59995000</v>
      </c>
      <c r="HG10" s="201">
        <f t="shared" si="24"/>
        <v>59995000</v>
      </c>
      <c r="HH10" s="201">
        <f t="shared" si="24"/>
        <v>59995000</v>
      </c>
      <c r="HI10" s="201">
        <f t="shared" si="24"/>
        <v>59995000</v>
      </c>
      <c r="HJ10" s="201">
        <f t="shared" si="24"/>
        <v>59995000</v>
      </c>
      <c r="HK10" s="201">
        <f t="shared" si="24"/>
        <v>59995000</v>
      </c>
      <c r="HL10" s="201">
        <f t="shared" si="24"/>
        <v>59995000</v>
      </c>
      <c r="HM10" s="201">
        <f t="shared" si="24"/>
        <v>59995000</v>
      </c>
      <c r="HN10" s="201">
        <f t="shared" si="24"/>
        <v>59995000</v>
      </c>
      <c r="HO10" s="201">
        <f t="shared" si="24"/>
        <v>59995000</v>
      </c>
      <c r="HP10" s="201">
        <f t="shared" si="24"/>
        <v>59995000</v>
      </c>
      <c r="HQ10" s="201">
        <f t="shared" si="24"/>
        <v>59995000</v>
      </c>
      <c r="HR10" s="201">
        <f t="shared" si="24"/>
        <v>59995000</v>
      </c>
      <c r="HS10" s="201">
        <f t="shared" si="24"/>
        <v>59995000</v>
      </c>
      <c r="HT10" s="201">
        <f t="shared" si="24"/>
        <v>59995000</v>
      </c>
      <c r="HU10" s="201">
        <f t="shared" si="24"/>
        <v>59995000</v>
      </c>
      <c r="HV10" s="201">
        <f t="shared" si="24"/>
        <v>59995000</v>
      </c>
      <c r="HW10" s="201">
        <f t="shared" si="24"/>
        <v>59995000</v>
      </c>
      <c r="HX10" s="201">
        <f t="shared" si="24"/>
        <v>59995000</v>
      </c>
      <c r="HY10" s="201">
        <f t="shared" si="24"/>
        <v>59995000</v>
      </c>
      <c r="HZ10" s="201">
        <f t="shared" si="24"/>
        <v>59995000</v>
      </c>
      <c r="IA10" s="201">
        <f t="shared" si="24"/>
        <v>59995000</v>
      </c>
      <c r="IB10" s="201">
        <f t="shared" si="24"/>
        <v>59995000</v>
      </c>
      <c r="IC10" s="201">
        <f t="shared" si="24"/>
        <v>59995000</v>
      </c>
      <c r="ID10" s="201">
        <f t="shared" si="24"/>
        <v>59995000</v>
      </c>
      <c r="IE10" s="201">
        <f t="shared" si="24"/>
        <v>59995000</v>
      </c>
      <c r="IF10" s="201">
        <f t="shared" si="24"/>
        <v>59995000</v>
      </c>
      <c r="IG10" s="201">
        <f t="shared" si="24"/>
        <v>59995000</v>
      </c>
      <c r="IH10" s="201">
        <f t="shared" si="24"/>
        <v>59995000</v>
      </c>
      <c r="II10" s="201">
        <f t="shared" si="24"/>
        <v>59995000</v>
      </c>
      <c r="IJ10" s="201">
        <f t="shared" si="24"/>
        <v>59995000</v>
      </c>
      <c r="IK10" s="201">
        <f t="shared" si="24"/>
        <v>59995000</v>
      </c>
      <c r="IL10" s="201">
        <f t="shared" si="24"/>
        <v>59995000</v>
      </c>
      <c r="IM10" s="201">
        <f t="shared" si="24"/>
        <v>59995000</v>
      </c>
      <c r="IN10" s="201">
        <f t="shared" si="24"/>
        <v>59995000</v>
      </c>
      <c r="IO10" s="201">
        <f t="shared" si="24"/>
        <v>59995000</v>
      </c>
      <c r="IP10" s="201">
        <f t="shared" si="24"/>
        <v>59995000</v>
      </c>
      <c r="IQ10" s="201">
        <f t="shared" si="24"/>
        <v>59995000</v>
      </c>
      <c r="IR10" s="201">
        <f t="shared" si="24"/>
        <v>59995000</v>
      </c>
      <c r="IS10" s="201">
        <f t="shared" si="24"/>
        <v>59995000</v>
      </c>
      <c r="IT10" s="201">
        <f t="shared" si="24"/>
        <v>59995000</v>
      </c>
      <c r="IU10" s="201">
        <f t="shared" si="24"/>
        <v>59995000</v>
      </c>
      <c r="IV10" s="201">
        <f t="shared" si="24"/>
        <v>59995000</v>
      </c>
      <c r="IW10" s="201">
        <f t="shared" si="24"/>
        <v>59995000</v>
      </c>
      <c r="IX10" s="201">
        <f t="shared" si="24"/>
        <v>59995000</v>
      </c>
      <c r="IY10" s="201">
        <f t="shared" si="24"/>
        <v>59995000</v>
      </c>
      <c r="IZ10" s="201">
        <f t="shared" si="24"/>
        <v>59995000</v>
      </c>
      <c r="JA10" s="201">
        <f t="shared" si="24"/>
        <v>59995000</v>
      </c>
      <c r="JB10" s="201">
        <f t="shared" si="24"/>
        <v>59995000</v>
      </c>
      <c r="JC10" s="201">
        <f t="shared" si="24"/>
        <v>59995000</v>
      </c>
      <c r="JD10" s="201">
        <f t="shared" si="24"/>
        <v>59995000</v>
      </c>
      <c r="JE10" s="201">
        <f t="shared" ref="JE10:LD10" si="25">JD10+JE9</f>
        <v>59995000</v>
      </c>
      <c r="JF10" s="201">
        <f t="shared" si="25"/>
        <v>59995000</v>
      </c>
      <c r="JG10" s="201">
        <f t="shared" si="25"/>
        <v>59995000</v>
      </c>
      <c r="JH10" s="201">
        <f t="shared" si="25"/>
        <v>59995000</v>
      </c>
      <c r="JI10" s="201">
        <f t="shared" si="25"/>
        <v>59995000</v>
      </c>
      <c r="JJ10" s="201">
        <f t="shared" si="25"/>
        <v>59995000</v>
      </c>
      <c r="JK10" s="201">
        <f t="shared" si="25"/>
        <v>59995000</v>
      </c>
      <c r="JL10" s="201">
        <f t="shared" si="25"/>
        <v>59995000</v>
      </c>
      <c r="JM10" s="201">
        <f t="shared" si="25"/>
        <v>59995000</v>
      </c>
      <c r="JN10" s="201">
        <f t="shared" si="25"/>
        <v>59995000</v>
      </c>
      <c r="JO10" s="201">
        <f t="shared" si="25"/>
        <v>59995000</v>
      </c>
      <c r="JP10" s="201">
        <f t="shared" si="25"/>
        <v>59995000</v>
      </c>
      <c r="JQ10" s="201">
        <f t="shared" si="25"/>
        <v>59995000</v>
      </c>
      <c r="JR10" s="201">
        <f t="shared" si="25"/>
        <v>59995000</v>
      </c>
      <c r="JS10" s="201">
        <f t="shared" si="25"/>
        <v>59995000</v>
      </c>
      <c r="JT10" s="201">
        <f t="shared" si="25"/>
        <v>59995000</v>
      </c>
      <c r="JU10" s="201">
        <f t="shared" si="25"/>
        <v>59995000</v>
      </c>
      <c r="JV10" s="201">
        <f t="shared" si="25"/>
        <v>59995000</v>
      </c>
      <c r="JW10" s="201">
        <f t="shared" si="25"/>
        <v>59995000</v>
      </c>
      <c r="JX10" s="201">
        <f t="shared" si="25"/>
        <v>59995000</v>
      </c>
      <c r="JY10" s="201">
        <f t="shared" si="25"/>
        <v>59995000</v>
      </c>
      <c r="JZ10" s="201">
        <f t="shared" si="25"/>
        <v>59995000</v>
      </c>
      <c r="KA10" s="201">
        <f t="shared" si="25"/>
        <v>59995000</v>
      </c>
      <c r="KB10" s="201">
        <f t="shared" si="25"/>
        <v>59995000</v>
      </c>
      <c r="KC10" s="201">
        <f t="shared" si="25"/>
        <v>59995000</v>
      </c>
      <c r="KD10" s="201">
        <f t="shared" si="25"/>
        <v>59995000</v>
      </c>
      <c r="KE10" s="201">
        <f t="shared" si="25"/>
        <v>59995000</v>
      </c>
      <c r="KF10" s="201">
        <f t="shared" si="25"/>
        <v>59995000</v>
      </c>
      <c r="KG10" s="201">
        <f t="shared" si="25"/>
        <v>59995000</v>
      </c>
      <c r="KH10" s="201">
        <f t="shared" si="25"/>
        <v>59995000</v>
      </c>
      <c r="KI10" s="201">
        <f t="shared" si="25"/>
        <v>59995000</v>
      </c>
      <c r="KJ10" s="201">
        <f t="shared" si="25"/>
        <v>59995000</v>
      </c>
      <c r="KK10" s="201">
        <f t="shared" si="25"/>
        <v>59995000</v>
      </c>
      <c r="KL10" s="201">
        <f t="shared" si="25"/>
        <v>59995000</v>
      </c>
      <c r="KM10" s="201">
        <f t="shared" si="25"/>
        <v>59995000</v>
      </c>
      <c r="KN10" s="201">
        <f t="shared" si="25"/>
        <v>59995000</v>
      </c>
      <c r="KO10" s="201">
        <f t="shared" si="25"/>
        <v>59995000</v>
      </c>
      <c r="KP10" s="201">
        <f t="shared" si="25"/>
        <v>59995000</v>
      </c>
      <c r="KQ10" s="201">
        <f t="shared" si="25"/>
        <v>59995000</v>
      </c>
      <c r="KR10" s="201">
        <f t="shared" si="25"/>
        <v>59995000</v>
      </c>
      <c r="KS10" s="201">
        <f t="shared" si="25"/>
        <v>59995000</v>
      </c>
      <c r="KT10" s="201">
        <f t="shared" si="25"/>
        <v>59995000</v>
      </c>
      <c r="KU10" s="201">
        <f t="shared" si="25"/>
        <v>59995000</v>
      </c>
      <c r="KV10" s="201">
        <f t="shared" si="25"/>
        <v>59995000</v>
      </c>
      <c r="KW10" s="201">
        <f t="shared" si="25"/>
        <v>59995000</v>
      </c>
      <c r="KX10" s="201">
        <f t="shared" si="25"/>
        <v>59995000</v>
      </c>
      <c r="KY10" s="201">
        <f t="shared" si="25"/>
        <v>59995000</v>
      </c>
      <c r="KZ10" s="201">
        <f t="shared" si="25"/>
        <v>59995000</v>
      </c>
      <c r="LA10" s="201">
        <f t="shared" si="25"/>
        <v>59995000</v>
      </c>
      <c r="LB10" s="201">
        <f t="shared" si="25"/>
        <v>59995000</v>
      </c>
      <c r="LC10" s="201">
        <f t="shared" si="25"/>
        <v>59995000</v>
      </c>
      <c r="LD10" s="201">
        <f t="shared" si="25"/>
        <v>59995000</v>
      </c>
    </row>
    <row r="11" spans="1:794" s="193" customFormat="1">
      <c r="A11" s="930"/>
      <c r="B11" s="202" t="s">
        <v>735</v>
      </c>
      <c r="C11" s="203">
        <f>'Revenue Tracking'!F5</f>
        <v>48692191.566446096</v>
      </c>
      <c r="D11" s="203">
        <f>SUM(F11:LD11)</f>
        <v>48692191.566446088</v>
      </c>
      <c r="E11" s="187"/>
      <c r="F11" s="204">
        <f>SUMIFS('Expenditure Breakdown'!$Q$6:$Q$368, 'Expenditure Breakdown'!$W$6:$W$368, "&gt;="&amp;F1,'Expenditure Breakdown'!$W$6:$W$368, "&lt;"&amp;G1)</f>
        <v>0</v>
      </c>
      <c r="G11" s="204">
        <f>SUMIFS('Expenditure Breakdown'!$Q$6:$Q$368, 'Expenditure Breakdown'!$W$6:$W$368, "&gt;="&amp;G1,'Expenditure Breakdown'!$W$6:$W$368, "&lt;"&amp;H1)</f>
        <v>0</v>
      </c>
      <c r="H11" s="204">
        <f>SUMIFS('Expenditure Breakdown'!$Q$6:$Q$368, 'Expenditure Breakdown'!$W$6:$W$368, "&gt;="&amp;H1,'Expenditure Breakdown'!$W$6:$W$368, "&lt;"&amp;I1)</f>
        <v>0</v>
      </c>
      <c r="I11" s="204">
        <f>SUMIFS('Expenditure Breakdown'!$Q$6:$Q$368, 'Expenditure Breakdown'!$W$6:$W$368, "&gt;="&amp;I1,'Expenditure Breakdown'!$W$6:$W$368, "&lt;"&amp;J1)</f>
        <v>0</v>
      </c>
      <c r="J11" s="204">
        <f>SUMIFS('Expenditure Breakdown'!$Q$6:$Q$368, 'Expenditure Breakdown'!$W$6:$W$368, "&gt;="&amp;J1,'Expenditure Breakdown'!$W$6:$W$368, "&lt;"&amp;K1)</f>
        <v>0</v>
      </c>
      <c r="K11" s="204">
        <f>SUMIFS('Expenditure Breakdown'!$Q$6:$Q$368, 'Expenditure Breakdown'!$W$6:$W$368, "&gt;="&amp;K1,'Expenditure Breakdown'!$W$6:$W$368, "&lt;"&amp;L1)</f>
        <v>0</v>
      </c>
      <c r="L11" s="204">
        <f>SUMIFS('Expenditure Breakdown'!$Q$6:$Q$368, 'Expenditure Breakdown'!$W$6:$W$368, "&gt;="&amp;L1,'Expenditure Breakdown'!$W$6:$W$368, "&lt;"&amp;M1)</f>
        <v>0</v>
      </c>
      <c r="M11" s="204">
        <f>SUMIFS('Expenditure Breakdown'!$Q$6:$Q$368, 'Expenditure Breakdown'!$W$6:$W$368, "&gt;="&amp;M1,'Expenditure Breakdown'!$W$6:$W$368, "&lt;"&amp;N1)</f>
        <v>0</v>
      </c>
      <c r="N11" s="204">
        <f>SUMIFS('Expenditure Breakdown'!$Q$6:$Q$368, 'Expenditure Breakdown'!$W$6:$W$368, "&gt;="&amp;N1,'Expenditure Breakdown'!$W$6:$W$368, "&lt;"&amp;O1)</f>
        <v>0</v>
      </c>
      <c r="O11" s="204">
        <f>SUMIFS('Expenditure Breakdown'!$Q$6:$Q$368, 'Expenditure Breakdown'!$W$6:$W$368, "&gt;="&amp;O1,'Expenditure Breakdown'!$W$6:$W$368, "&lt;"&amp;P1)</f>
        <v>0</v>
      </c>
      <c r="P11" s="204">
        <f>SUMIFS('Expenditure Breakdown'!$Q$6:$Q$368, 'Expenditure Breakdown'!$W$6:$W$368, "&gt;="&amp;P1,'Expenditure Breakdown'!$W$6:$W$368, "&lt;"&amp;Q1)</f>
        <v>0</v>
      </c>
      <c r="Q11" s="204">
        <f>SUMIFS('Expenditure Breakdown'!$Q$6:$Q$368, 'Expenditure Breakdown'!$W$6:$W$368, "&gt;="&amp;Q1,'Expenditure Breakdown'!$W$6:$W$368, "&lt;"&amp;R1)</f>
        <v>0</v>
      </c>
      <c r="R11" s="204">
        <f>SUMIFS('Expenditure Breakdown'!$Q$6:$Q$368, 'Expenditure Breakdown'!$W$6:$W$368, "&gt;="&amp;R1,'Expenditure Breakdown'!$W$6:$W$368, "&lt;"&amp;S1)</f>
        <v>0</v>
      </c>
      <c r="S11" s="204">
        <f>SUMIFS('Expenditure Breakdown'!$Q$6:$Q$368, 'Expenditure Breakdown'!$W$6:$W$368, "&gt;="&amp;S1,'Expenditure Breakdown'!$W$6:$W$368, "&lt;"&amp;T1)</f>
        <v>0</v>
      </c>
      <c r="T11" s="204">
        <f>SUMIFS('Expenditure Breakdown'!$Q$6:$Q$368, 'Expenditure Breakdown'!$W$6:$W$368, "&gt;="&amp;T1,'Expenditure Breakdown'!$W$6:$W$368, "&lt;"&amp;U1)</f>
        <v>0</v>
      </c>
      <c r="U11" s="204">
        <f>SUMIFS('Expenditure Breakdown'!$Q$6:$Q$368, 'Expenditure Breakdown'!$W$6:$W$368, "&gt;="&amp;U1,'Expenditure Breakdown'!$W$6:$W$368, "&lt;"&amp;V1)</f>
        <v>0</v>
      </c>
      <c r="V11" s="204">
        <f>SUMIFS('Expenditure Breakdown'!$Q$6:$Q$368, 'Expenditure Breakdown'!$W$6:$W$368, "&gt;="&amp;V1,'Expenditure Breakdown'!$W$6:$W$368, "&lt;"&amp;W1)</f>
        <v>0</v>
      </c>
      <c r="W11" s="204">
        <f>SUMIFS('Expenditure Breakdown'!$Q$6:$Q$368, 'Expenditure Breakdown'!$W$6:$W$368, "&gt;="&amp;W1,'Expenditure Breakdown'!$W$6:$W$368, "&lt;"&amp;X1)</f>
        <v>0</v>
      </c>
      <c r="X11" s="204">
        <f>SUMIFS('Expenditure Breakdown'!$Q$6:$Q$368, 'Expenditure Breakdown'!$W$6:$W$368, "&gt;="&amp;X1,'Expenditure Breakdown'!$W$6:$W$368, "&lt;"&amp;Y1)</f>
        <v>0</v>
      </c>
      <c r="Y11" s="204">
        <f>SUMIFS('Expenditure Breakdown'!$Q$6:$Q$368, 'Expenditure Breakdown'!$W$6:$W$368, "&gt;="&amp;Y1,'Expenditure Breakdown'!$W$6:$W$368, "&lt;"&amp;Z1)</f>
        <v>0</v>
      </c>
      <c r="Z11" s="204">
        <f>SUMIFS('Expenditure Breakdown'!$Q$6:$Q$368, 'Expenditure Breakdown'!$W$6:$W$368, "&gt;="&amp;Z1,'Expenditure Breakdown'!$W$6:$W$368, "&lt;"&amp;AA1)</f>
        <v>2875421.9278117996</v>
      </c>
      <c r="AA11" s="204">
        <f>SUMIFS('Expenditure Breakdown'!$Q$6:$Q$368, 'Expenditure Breakdown'!$W$6:$W$368, "&gt;="&amp;AA1,'Expenditure Breakdown'!$W$6:$W$368, "&lt;"&amp;AB1)</f>
        <v>2950967.6</v>
      </c>
      <c r="AB11" s="204">
        <f>SUMIFS('Expenditure Breakdown'!$Q$6:$Q$368, 'Expenditure Breakdown'!$W$6:$W$368, "&gt;="&amp;AB1,'Expenditure Breakdown'!$W$6:$W$368, "&lt;"&amp;AC1)</f>
        <v>2203305.94</v>
      </c>
      <c r="AC11" s="204">
        <f>SUMIFS('Expenditure Breakdown'!$Q$6:$Q$368, 'Expenditure Breakdown'!$W$6:$W$368, "&gt;="&amp;AC1,'Expenditure Breakdown'!$W$6:$W$368, "&lt;"&amp;AD1)</f>
        <v>16170.84</v>
      </c>
      <c r="AD11" s="204">
        <f>SUMIFS('Expenditure Breakdown'!$Q$6:$Q$368, 'Expenditure Breakdown'!$W$6:$W$368, "&gt;="&amp;AD1,'Expenditure Breakdown'!$W$6:$W$368, "&lt;"&amp;AE1)</f>
        <v>10400</v>
      </c>
      <c r="AE11" s="204">
        <f>SUMIFS('Expenditure Breakdown'!$Q$6:$Q$368, 'Expenditure Breakdown'!$W$6:$W$368, "&gt;="&amp;AE1,'Expenditure Breakdown'!$W$6:$W$368, "&lt;"&amp;AF1)</f>
        <v>1891236.5</v>
      </c>
      <c r="AF11" s="204">
        <f>SUMIFS('Expenditure Breakdown'!$Q$6:$Q$368, 'Expenditure Breakdown'!$W$6:$W$368, "&gt;="&amp;AF1,'Expenditure Breakdown'!$W$6:$W$368, "&lt;"&amp;AG1)</f>
        <v>19205.5</v>
      </c>
      <c r="AG11" s="204">
        <f>SUMIFS('Expenditure Breakdown'!$Q$6:$Q$368, 'Expenditure Breakdown'!$W$6:$W$368, "&gt;="&amp;AG1,'Expenditure Breakdown'!$W$6:$W$368, "&lt;"&amp;AH1)</f>
        <v>990304.26</v>
      </c>
      <c r="AH11" s="204">
        <f>SUMIFS('Expenditure Breakdown'!$Q$6:$Q$368, 'Expenditure Breakdown'!$W$6:$W$368, "&gt;="&amp;AH1,'Expenditure Breakdown'!$W$6:$W$368, "&lt;"&amp;AI1)</f>
        <v>21545.980000000003</v>
      </c>
      <c r="AI11" s="204">
        <f>SUMIFS('Expenditure Breakdown'!$Q$6:$Q$368, 'Expenditure Breakdown'!$W$6:$W$368, "&gt;="&amp;AI1,'Expenditure Breakdown'!$W$6:$W$368, "&lt;"&amp;AJ1)</f>
        <v>3127.77</v>
      </c>
      <c r="AJ11" s="204">
        <f>SUMIFS('Expenditure Breakdown'!$Q$6:$Q$368, 'Expenditure Breakdown'!$W$6:$W$368, "&gt;="&amp;AJ1,'Expenditure Breakdown'!$W$6:$W$368, "&lt;"&amp;AK1)</f>
        <v>13753.859999999999</v>
      </c>
      <c r="AK11" s="204">
        <f>SUMIFS('Expenditure Breakdown'!$Q$6:$Q$368, 'Expenditure Breakdown'!$W$6:$W$368, "&gt;="&amp;AK1,'Expenditure Breakdown'!$W$6:$W$368, "&lt;"&amp;AL1)</f>
        <v>1798952.82</v>
      </c>
      <c r="AL11" s="204">
        <f>SUMIFS('Expenditure Breakdown'!$Q$6:$Q$368, 'Expenditure Breakdown'!$W$6:$W$368, "&gt;="&amp;AL1,'Expenditure Breakdown'!$W$6:$W$368, "&lt;"&amp;AM1)</f>
        <v>4774583.5299999993</v>
      </c>
      <c r="AM11" s="204">
        <f>SUMIFS('Expenditure Breakdown'!$Q$6:$Q$368, 'Expenditure Breakdown'!$W$6:$W$368, "&gt;="&amp;AM1,'Expenditure Breakdown'!$W$6:$W$368, "&lt;"&amp;AN1)</f>
        <v>597520.99</v>
      </c>
      <c r="AN11" s="204">
        <f>SUMIFS('Expenditure Breakdown'!$Q$6:$Q$368, 'Expenditure Breakdown'!$W$6:$W$368, "&gt;="&amp;AN1,'Expenditure Breakdown'!$W$6:$W$368, "&lt;"&amp;AO1)</f>
        <v>0</v>
      </c>
      <c r="AO11" s="204">
        <f>SUMIFS('Expenditure Breakdown'!$Q$6:$Q$368, 'Expenditure Breakdown'!$W$6:$W$368, "&gt;="&amp;AO1,'Expenditure Breakdown'!$W$6:$W$368, "&lt;"&amp;AP1)</f>
        <v>1513895.8521739133</v>
      </c>
      <c r="AP11" s="204">
        <f>SUMIFS('Expenditure Breakdown'!$Q$6:$Q$368, 'Expenditure Breakdown'!$W$6:$W$368, "&gt;="&amp;AP1,'Expenditure Breakdown'!$W$6:$W$368, "&lt;"&amp;AQ1)</f>
        <v>2711787.11</v>
      </c>
      <c r="AQ11" s="204">
        <f>SUMIFS('Expenditure Breakdown'!$Q$6:$Q$368, 'Expenditure Breakdown'!$W$6:$W$368, "&gt;="&amp;AQ1,'Expenditure Breakdown'!$W$6:$W$368, "&lt;"&amp;AR1)</f>
        <v>425705.15</v>
      </c>
      <c r="AR11" s="204">
        <f>SUMIFS('Expenditure Breakdown'!$Q$6:$Q$368, 'Expenditure Breakdown'!$W$6:$W$368, "&gt;="&amp;AR1,'Expenditure Breakdown'!$W$6:$W$368, "&lt;"&amp;AS1)</f>
        <v>3941564.8800000008</v>
      </c>
      <c r="AS11" s="204">
        <f>SUMIFS('Expenditure Breakdown'!$Q$6:$Q$368, 'Expenditure Breakdown'!$W$6:$W$368, "&gt;="&amp;AS1,'Expenditure Breakdown'!$W$6:$W$368, "&lt;"&amp;AT1)</f>
        <v>0</v>
      </c>
      <c r="AT11" s="204">
        <f>SUMIFS('Expenditure Breakdown'!$Q$6:$Q$368, 'Expenditure Breakdown'!$W$6:$W$368, "&gt;="&amp;AT1,'Expenditure Breakdown'!$W$6:$W$368, "&lt;"&amp;AU1)</f>
        <v>420768.77</v>
      </c>
      <c r="AU11" s="204">
        <f>SUMIFS('Expenditure Breakdown'!$Q$6:$Q$368, 'Expenditure Breakdown'!$W$6:$W$368, "&gt;="&amp;AU1,'Expenditure Breakdown'!$W$6:$W$368, "&lt;"&amp;AV1)</f>
        <v>64726.880000000005</v>
      </c>
      <c r="AV11" s="204">
        <f>SUMIFS('Expenditure Breakdown'!$Q$6:$Q$368, 'Expenditure Breakdown'!$W$6:$W$368, "&gt;="&amp;AV1,'Expenditure Breakdown'!$W$6:$W$368, "&lt;"&amp;AW1)</f>
        <v>16719</v>
      </c>
      <c r="AW11" s="204">
        <f>SUMIFS('Expenditure Breakdown'!$Q$6:$Q$368, 'Expenditure Breakdown'!$W$6:$W$368, "&gt;="&amp;AW1,'Expenditure Breakdown'!$W$6:$W$368, "&lt;"&amp;AX1)</f>
        <v>0</v>
      </c>
      <c r="AX11" s="204">
        <f>SUMIFS('Expenditure Breakdown'!$Q$6:$Q$368, 'Expenditure Breakdown'!$W$6:$W$368, "&gt;="&amp;AX1,'Expenditure Breakdown'!$W$6:$W$368, "&lt;"&amp;AY1)</f>
        <v>4895141.928634299</v>
      </c>
      <c r="AY11" s="204">
        <f>SUMIFS('Expenditure Breakdown'!$Q$6:$Q$368, 'Expenditure Breakdown'!$W$6:$W$368, "&gt;="&amp;AY1,'Expenditure Breakdown'!$W$6:$W$368, "&lt;"&amp;AZ1)</f>
        <v>780963.72</v>
      </c>
      <c r="AZ11" s="204">
        <f>SUMIFS('Expenditure Breakdown'!$Q$6:$Q$368, 'Expenditure Breakdown'!$W$6:$W$368, "&gt;="&amp;AZ1,'Expenditure Breakdown'!$W$6:$W$368, "&lt;"&amp;BA1)</f>
        <v>161410.04999999999</v>
      </c>
      <c r="BA11" s="204">
        <f>SUMIFS('Expenditure Breakdown'!$Q$6:$Q$368, 'Expenditure Breakdown'!$W$6:$W$368, "&gt;="&amp;BA1,'Expenditure Breakdown'!$W$6:$W$368, "&lt;"&amp;BB1)</f>
        <v>931767.9</v>
      </c>
      <c r="BB11" s="204">
        <f>SUMIFS('Expenditure Breakdown'!$Q$6:$Q$368, 'Expenditure Breakdown'!$W$6:$W$368, "&gt;="&amp;BB1,'Expenditure Breakdown'!$W$6:$W$368, "&lt;"&amp;BC1)</f>
        <v>509318</v>
      </c>
      <c r="BC11" s="204">
        <f>SUMIFS('Expenditure Breakdown'!$Q$6:$Q$368, 'Expenditure Breakdown'!$W$6:$W$368, "&gt;="&amp;BC1,'Expenditure Breakdown'!$W$6:$W$368, "&lt;"&amp;BD1)</f>
        <v>223411</v>
      </c>
      <c r="BD11" s="204">
        <f>SUMIFS('Expenditure Breakdown'!$Q$6:$Q$368, 'Expenditure Breakdown'!$W$6:$W$368, "&gt;="&amp;BD1,'Expenditure Breakdown'!$W$6:$W$368, "&lt;"&amp;BE1)</f>
        <v>2146674.1078260848</v>
      </c>
      <c r="BE11" s="204">
        <f>SUMIFS('Expenditure Breakdown'!$Q$6:$Q$368, 'Expenditure Breakdown'!$W$6:$W$368, "&gt;="&amp;BE1,'Expenditure Breakdown'!$W$6:$W$368, "&lt;"&amp;BF1)</f>
        <v>1131449.1304347827</v>
      </c>
      <c r="BF11" s="204">
        <f>SUMIFS('Expenditure Breakdown'!$Q$6:$Q$368, 'Expenditure Breakdown'!$W$6:$W$368, "&gt;="&amp;BF1,'Expenditure Breakdown'!$W$6:$W$368, "&lt;"&amp;BG1)</f>
        <v>2327737.9589999998</v>
      </c>
      <c r="BG11" s="204">
        <f>SUMIFS('Expenditure Breakdown'!$Q$6:$Q$368, 'Expenditure Breakdown'!$W$6:$W$368, "&gt;="&amp;BG1,'Expenditure Breakdown'!$W$6:$W$368, "&lt;"&amp;BH1)</f>
        <v>3968710.2205652175</v>
      </c>
      <c r="BH11" s="204">
        <f>SUMIFS('Expenditure Breakdown'!$Q$6:$Q$368, 'Expenditure Breakdown'!$W$6:$W$368, "&gt;="&amp;BH1,'Expenditure Breakdown'!$W$6:$W$368, "&lt;"&amp;BI1)</f>
        <v>36574.85</v>
      </c>
      <c r="BI11" s="204">
        <f>SUMIFS('Expenditure Breakdown'!$Q$6:$Q$368, 'Expenditure Breakdown'!$W$6:$W$368, "&gt;="&amp;BI1,'Expenditure Breakdown'!$W$6:$W$368, "&lt;"&amp;BJ1)</f>
        <v>603180</v>
      </c>
      <c r="BJ11" s="204">
        <f>SUMIFS('Expenditure Breakdown'!$Q$6:$Q$368, 'Expenditure Breakdown'!$W$6:$W$368, "&gt;="&amp;BJ1,'Expenditure Breakdown'!$W$6:$W$368, "&lt;"&amp;BK1)</f>
        <v>292500</v>
      </c>
      <c r="BK11" s="204">
        <f>SUMIFS('Expenditure Breakdown'!$Q$6:$Q$368, 'Expenditure Breakdown'!$W$6:$W$368, "&gt;="&amp;BK1,'Expenditure Breakdown'!$W$6:$W$368, "&lt;"&amp;BL1)</f>
        <v>1503778.54</v>
      </c>
      <c r="BL11" s="204">
        <f>SUMIFS('Expenditure Breakdown'!$Q$6:$Q$368, 'Expenditure Breakdown'!$W$6:$W$368, "&gt;="&amp;BL1,'Expenditure Breakdown'!$W$6:$W$368, "&lt;"&amp;BM1)</f>
        <v>0</v>
      </c>
      <c r="BM11" s="204">
        <f>SUMIFS('Expenditure Breakdown'!$Q$6:$Q$368, 'Expenditure Breakdown'!$W$6:$W$368, "&gt;="&amp;BM1,'Expenditure Breakdown'!$W$6:$W$368, "&lt;"&amp;BN1)</f>
        <v>35600</v>
      </c>
      <c r="BN11" s="204">
        <f>SUMIFS('Expenditure Breakdown'!$Q$6:$Q$368, 'Expenditure Breakdown'!$W$6:$W$368, "&gt;="&amp;BN1,'Expenditure Breakdown'!$W$6:$W$368, "&lt;"&amp;BO1)</f>
        <v>276500</v>
      </c>
      <c r="BO11" s="204">
        <f>SUMIFS('Expenditure Breakdown'!$Q$6:$Q$368, 'Expenditure Breakdown'!$W$6:$W$368, "&gt;="&amp;BO1,'Expenditure Breakdown'!$W$6:$W$368, "&lt;"&amp;BP1)</f>
        <v>48750</v>
      </c>
      <c r="BP11" s="204">
        <f>SUMIFS('Expenditure Breakdown'!$Q$6:$Q$368, 'Expenditure Breakdown'!$W$6:$W$368, "&gt;="&amp;BP1,'Expenditure Breakdown'!$W$6:$W$368, "&lt;"&amp;BQ1)</f>
        <v>1557059</v>
      </c>
      <c r="BQ11" s="204">
        <f>SUMIFS('Expenditure Breakdown'!$Q$6:$Q$368, 'Expenditure Breakdown'!$W$6:$W$368, "&gt;="&amp;BQ1,'Expenditure Breakdown'!$W$6:$W$368, "&lt;"&amp;BR1)</f>
        <v>0</v>
      </c>
      <c r="BR11" s="204">
        <f>SUMIFS('Expenditure Breakdown'!$Q$6:$Q$368, 'Expenditure Breakdown'!$W$6:$W$368, "&gt;="&amp;BR1,'Expenditure Breakdown'!$W$6:$W$368, "&lt;"&amp;BS1)</f>
        <v>0</v>
      </c>
      <c r="BS11" s="204">
        <f>SUMIFS('Expenditure Breakdown'!$Q$6:$Q$368, 'Expenditure Breakdown'!$W$6:$W$368, "&gt;="&amp;BS1,'Expenditure Breakdown'!$W$6:$W$368, "&lt;"&amp;BT1)</f>
        <v>0</v>
      </c>
      <c r="BT11" s="204">
        <f>SUMIFS('Expenditure Breakdown'!$Q$6:$Q$368, 'Expenditure Breakdown'!$W$6:$W$368, "&gt;="&amp;BT1,'Expenditure Breakdown'!$W$6:$W$368, "&lt;"&amp;BU1)</f>
        <v>0</v>
      </c>
      <c r="BU11" s="204">
        <f>SUMIFS('Expenditure Breakdown'!$Q$6:$Q$368, 'Expenditure Breakdown'!$W$6:$W$368, "&gt;="&amp;BU1,'Expenditure Breakdown'!$W$6:$W$368, "&lt;"&amp;BV1)</f>
        <v>0</v>
      </c>
      <c r="BV11" s="204">
        <f>SUMIFS('Expenditure Breakdown'!$Q$6:$Q$368, 'Expenditure Breakdown'!$W$6:$W$368, "&gt;="&amp;BV1,'Expenditure Breakdown'!$W$6:$W$368, "&lt;"&amp;BW1)</f>
        <v>0</v>
      </c>
      <c r="BW11" s="204">
        <f>SUMIFS('Expenditure Breakdown'!$Q$6:$Q$368, 'Expenditure Breakdown'!$W$6:$W$368, "&gt;="&amp;BW1,'Expenditure Breakdown'!$W$6:$W$368, "&lt;"&amp;BX1)</f>
        <v>0</v>
      </c>
      <c r="BX11" s="204">
        <f>SUMIFS('Expenditure Breakdown'!$Q$6:$Q$368, 'Expenditure Breakdown'!$W$6:$W$368, "&gt;="&amp;BX1,'Expenditure Breakdown'!$W$6:$W$368, "&lt;"&amp;BY1)</f>
        <v>0</v>
      </c>
      <c r="BY11" s="204">
        <f>SUMIFS('Expenditure Breakdown'!$Q$6:$Q$368, 'Expenditure Breakdown'!$W$6:$W$368, "&gt;="&amp;BY1,'Expenditure Breakdown'!$W$6:$W$368, "&lt;"&amp;BZ1)</f>
        <v>0</v>
      </c>
      <c r="BZ11" s="204">
        <f>SUMIFS('Expenditure Breakdown'!$Q$6:$Q$368, 'Expenditure Breakdown'!$W$6:$W$368, "&gt;="&amp;BZ1,'Expenditure Breakdown'!$W$6:$W$368, "&lt;"&amp;CA1)</f>
        <v>0</v>
      </c>
      <c r="CA11" s="204">
        <f>SUMIFS('Expenditure Breakdown'!$Q$6:$Q$368, 'Expenditure Breakdown'!$W$6:$W$368, "&gt;="&amp;CA1,'Expenditure Breakdown'!$W$6:$W$368, "&lt;"&amp;CB1)</f>
        <v>0</v>
      </c>
      <c r="CB11" s="204">
        <f>SUMIFS('Expenditure Breakdown'!$Q$6:$Q$368, 'Expenditure Breakdown'!$W$6:$W$368, "&gt;="&amp;CB1,'Expenditure Breakdown'!$W$6:$W$368, "&lt;"&amp;CC1)</f>
        <v>0</v>
      </c>
      <c r="CC11" s="204">
        <f>SUMIFS('Expenditure Breakdown'!$Q$6:$Q$368, 'Expenditure Breakdown'!$W$6:$W$368, "&gt;="&amp;CC1,'Expenditure Breakdown'!$W$6:$W$368, "&lt;"&amp;CD1)</f>
        <v>0</v>
      </c>
      <c r="CD11" s="204">
        <f>SUMIFS('Expenditure Breakdown'!$Q$6:$Q$368, 'Expenditure Breakdown'!$W$6:$W$368, "&gt;="&amp;CD1,'Expenditure Breakdown'!$W$6:$W$368, "&lt;"&amp;CE1)</f>
        <v>0</v>
      </c>
      <c r="CE11" s="204">
        <f>SUMIFS('Expenditure Breakdown'!$Q$6:$Q$368, 'Expenditure Breakdown'!$W$6:$W$368, "&gt;="&amp;CE1,'Expenditure Breakdown'!$W$6:$W$368, "&lt;"&amp;CF1)</f>
        <v>0</v>
      </c>
      <c r="CF11" s="204">
        <f>SUMIFS('Expenditure Breakdown'!$Q$6:$Q$368, 'Expenditure Breakdown'!$W$6:$W$368, "&gt;="&amp;CF1,'Expenditure Breakdown'!$W$6:$W$368, "&lt;"&amp;CG1)</f>
        <v>0</v>
      </c>
      <c r="CG11" s="204">
        <f>SUMIFS('Expenditure Breakdown'!$Q$6:$Q$368, 'Expenditure Breakdown'!$W$6:$W$368, "&gt;="&amp;CG1,'Expenditure Breakdown'!$W$6:$W$368, "&lt;"&amp;CH1)</f>
        <v>0</v>
      </c>
      <c r="CH11" s="204">
        <f>SUMIFS('Expenditure Breakdown'!$Q$6:$Q$368, 'Expenditure Breakdown'!$W$6:$W$368, "&gt;="&amp;CH1,'Expenditure Breakdown'!$W$6:$W$368, "&lt;"&amp;CI1)</f>
        <v>0</v>
      </c>
      <c r="CI11" s="204">
        <f>SUMIFS('Expenditure Breakdown'!$Q$6:$Q$368, 'Expenditure Breakdown'!$W$6:$W$368, "&gt;="&amp;CI1,'Expenditure Breakdown'!$W$6:$W$368, "&lt;"&amp;CJ1)</f>
        <v>0</v>
      </c>
      <c r="CJ11" s="204">
        <f>SUMIFS('Expenditure Breakdown'!$Q$6:$Q$368, 'Expenditure Breakdown'!$W$6:$W$368, "&gt;="&amp;CJ1,'Expenditure Breakdown'!$W$6:$W$368, "&lt;"&amp;CK1)</f>
        <v>0</v>
      </c>
      <c r="CK11" s="204">
        <f>SUMIFS('Expenditure Breakdown'!$Q$6:$Q$368, 'Expenditure Breakdown'!$W$6:$W$368, "&gt;="&amp;CK1,'Expenditure Breakdown'!$W$6:$W$368, "&lt;"&amp;CL1)</f>
        <v>0</v>
      </c>
      <c r="CL11" s="204">
        <f>SUMIFS('Expenditure Breakdown'!$Q$6:$Q$368, 'Expenditure Breakdown'!$W$6:$W$368, "&gt;="&amp;CL1,'Expenditure Breakdown'!$W$6:$W$368, "&lt;"&amp;CM1)</f>
        <v>0</v>
      </c>
      <c r="CM11" s="204">
        <f>SUMIFS('Expenditure Breakdown'!$Q$6:$Q$368, 'Expenditure Breakdown'!$W$6:$W$368, "&gt;="&amp;CM1,'Expenditure Breakdown'!$W$6:$W$368, "&lt;"&amp;CN1)</f>
        <v>0</v>
      </c>
      <c r="CN11" s="204">
        <f>SUMIFS('Expenditure Breakdown'!$Q$6:$Q$368, 'Expenditure Breakdown'!$W$6:$W$368, "&gt;="&amp;CN1,'Expenditure Breakdown'!$W$6:$W$368, "&lt;"&amp;CO1)</f>
        <v>0</v>
      </c>
      <c r="CO11" s="204">
        <f>SUMIFS('Expenditure Breakdown'!$Q$6:$Q$368, 'Expenditure Breakdown'!$W$6:$W$368, "&gt;="&amp;CO1,'Expenditure Breakdown'!$W$6:$W$368, "&lt;"&amp;CP1)</f>
        <v>0</v>
      </c>
      <c r="CP11" s="204">
        <f>SUMIFS('Expenditure Breakdown'!$Q$6:$Q$368, 'Expenditure Breakdown'!$W$6:$W$368, "&gt;="&amp;CP1,'Expenditure Breakdown'!$W$6:$W$368, "&lt;"&amp;CQ1)</f>
        <v>0</v>
      </c>
      <c r="CQ11" s="204">
        <f>SUMIFS('Expenditure Breakdown'!$Q$6:$Q$368, 'Expenditure Breakdown'!$W$6:$W$368, "&gt;="&amp;CQ1,'Expenditure Breakdown'!$W$6:$W$368, "&lt;"&amp;CR1)</f>
        <v>0</v>
      </c>
      <c r="CR11" s="204">
        <f>SUMIFS('Expenditure Breakdown'!$Q$6:$Q$368, 'Expenditure Breakdown'!$W$6:$W$368, "&gt;="&amp;CR1,'Expenditure Breakdown'!$W$6:$W$368, "&lt;"&amp;CS1)</f>
        <v>0</v>
      </c>
      <c r="CS11" s="204">
        <f>SUMIFS('Expenditure Breakdown'!$Q$6:$Q$368, 'Expenditure Breakdown'!$W$6:$W$368, "&gt;="&amp;CS1,'Expenditure Breakdown'!$W$6:$W$368, "&lt;"&amp;CT1)</f>
        <v>0</v>
      </c>
      <c r="CT11" s="204">
        <f>SUMIFS('Expenditure Breakdown'!$Q$6:$Q$368, 'Expenditure Breakdown'!$W$6:$W$368, "&gt;="&amp;CT1,'Expenditure Breakdown'!$W$6:$W$368, "&lt;"&amp;CU1)</f>
        <v>0</v>
      </c>
      <c r="CU11" s="204">
        <f>SUMIFS('Expenditure Breakdown'!$Q$6:$Q$368, 'Expenditure Breakdown'!$W$6:$W$368, "&gt;="&amp;CU1,'Expenditure Breakdown'!$W$6:$W$368, "&lt;"&amp;CV1)</f>
        <v>0</v>
      </c>
      <c r="CV11" s="204">
        <f>SUMIFS('Expenditure Breakdown'!$Q$6:$Q$368, 'Expenditure Breakdown'!$W$6:$W$368, "&gt;="&amp;CV1,'Expenditure Breakdown'!$W$6:$W$368, "&lt;"&amp;CW1)</f>
        <v>0</v>
      </c>
      <c r="CW11" s="204">
        <f>SUMIFS('Expenditure Breakdown'!$Q$6:$Q$368, 'Expenditure Breakdown'!$W$6:$W$368, "&gt;="&amp;CW1,'Expenditure Breakdown'!$W$6:$W$368, "&lt;"&amp;CX1)</f>
        <v>0</v>
      </c>
      <c r="CX11" s="204">
        <f>SUMIFS('Expenditure Breakdown'!$Q$6:$Q$368, 'Expenditure Breakdown'!$W$6:$W$368, "&gt;="&amp;CX1,'Expenditure Breakdown'!$W$6:$W$368, "&lt;"&amp;CY1)</f>
        <v>0</v>
      </c>
      <c r="CY11" s="204">
        <f>SUMIFS('Expenditure Breakdown'!$Q$6:$Q$368, 'Expenditure Breakdown'!$W$6:$W$368, "&gt;="&amp;CY1,'Expenditure Breakdown'!$W$6:$W$368, "&lt;"&amp;CZ1)</f>
        <v>0</v>
      </c>
      <c r="CZ11" s="204">
        <f>SUMIFS('Expenditure Breakdown'!$Q$6:$Q$368, 'Expenditure Breakdown'!$W$6:$W$368, "&gt;="&amp;CZ1,'Expenditure Breakdown'!$W$6:$W$368, "&lt;"&amp;DA1)</f>
        <v>0</v>
      </c>
      <c r="DA11" s="204">
        <f>SUMIFS('Expenditure Breakdown'!$Q$6:$Q$368, 'Expenditure Breakdown'!$W$6:$W$368, "&gt;="&amp;DA1,'Expenditure Breakdown'!$W$6:$W$368, "&lt;"&amp;DB1)</f>
        <v>0</v>
      </c>
      <c r="DB11" s="204">
        <f>SUMIFS('Expenditure Breakdown'!$Q$6:$Q$368, 'Expenditure Breakdown'!$W$6:$W$368, "&gt;="&amp;DB1,'Expenditure Breakdown'!$W$6:$W$368, "&lt;"&amp;DC1)</f>
        <v>0</v>
      </c>
      <c r="DC11" s="204">
        <f>SUMIFS('Expenditure Breakdown'!$Q$6:$Q$368, 'Expenditure Breakdown'!$W$6:$W$368, "&gt;="&amp;DC1,'Expenditure Breakdown'!$W$6:$W$368, "&lt;"&amp;DD1)</f>
        <v>0</v>
      </c>
      <c r="DD11" s="204">
        <f>SUMIFS('Expenditure Breakdown'!$Q$6:$Q$368, 'Expenditure Breakdown'!$W$6:$W$368, "&gt;="&amp;DD1,'Expenditure Breakdown'!$W$6:$W$368, "&lt;"&amp;DE1)</f>
        <v>0</v>
      </c>
      <c r="DE11" s="204">
        <f>SUMIFS('Expenditure Breakdown'!$Q$6:$Q$368, 'Expenditure Breakdown'!$W$6:$W$368, "&gt;="&amp;DE1,'Expenditure Breakdown'!$W$6:$W$368, "&lt;"&amp;DF1)</f>
        <v>0</v>
      </c>
      <c r="DF11" s="204">
        <f>SUMIFS('Expenditure Breakdown'!$Q$6:$Q$368, 'Expenditure Breakdown'!$W$6:$W$368, "&gt;="&amp;DF1,'Expenditure Breakdown'!$W$6:$W$368, "&lt;"&amp;DG1)</f>
        <v>0</v>
      </c>
      <c r="DG11" s="204">
        <f>SUMIFS('Expenditure Breakdown'!$Q$6:$Q$368, 'Expenditure Breakdown'!$W$6:$W$368, "&gt;="&amp;DG1,'Expenditure Breakdown'!$W$6:$W$368, "&lt;"&amp;DH1)</f>
        <v>0</v>
      </c>
      <c r="DH11" s="204">
        <f>SUMIFS('Expenditure Breakdown'!$Q$6:$Q$368, 'Expenditure Breakdown'!$W$6:$W$368, "&gt;="&amp;DH1,'Expenditure Breakdown'!$W$6:$W$368, "&lt;"&amp;DI1)</f>
        <v>0</v>
      </c>
      <c r="DI11" s="204">
        <f>SUMIFS('Expenditure Breakdown'!$Q$6:$Q$368, 'Expenditure Breakdown'!$W$6:$W$368, "&gt;="&amp;DI1,'Expenditure Breakdown'!$W$6:$W$368, "&lt;"&amp;DJ1)</f>
        <v>0</v>
      </c>
      <c r="DJ11" s="204">
        <f>SUMIFS('Expenditure Breakdown'!$Q$6:$Q$368, 'Expenditure Breakdown'!$W$6:$W$368, "&gt;="&amp;DJ1,'Expenditure Breakdown'!$W$6:$W$368, "&lt;"&amp;DK1)</f>
        <v>0</v>
      </c>
      <c r="DK11" s="204">
        <f>SUMIFS('Expenditure Breakdown'!$Q$6:$Q$368, 'Expenditure Breakdown'!$W$6:$W$368, "&gt;="&amp;DK1,'Expenditure Breakdown'!$W$6:$W$368, "&lt;"&amp;DL1)</f>
        <v>0</v>
      </c>
      <c r="DL11" s="204">
        <f>SUMIFS('Expenditure Breakdown'!$Q$6:$Q$368, 'Expenditure Breakdown'!$W$6:$W$368, "&gt;="&amp;DL1,'Expenditure Breakdown'!$W$6:$W$368, "&lt;"&amp;DM1)</f>
        <v>0</v>
      </c>
      <c r="DM11" s="204">
        <f>SUMIFS('Expenditure Breakdown'!$Q$6:$Q$368, 'Expenditure Breakdown'!$W$6:$W$368, "&gt;="&amp;DM1,'Expenditure Breakdown'!$W$6:$W$368, "&lt;"&amp;DN1)</f>
        <v>0</v>
      </c>
      <c r="DN11" s="204">
        <f>SUMIFS('Expenditure Breakdown'!$Q$6:$Q$368, 'Expenditure Breakdown'!$W$6:$W$368, "&gt;="&amp;DN1,'Expenditure Breakdown'!$W$6:$W$368, "&lt;"&amp;DO1)</f>
        <v>0</v>
      </c>
      <c r="DO11" s="204">
        <f>SUMIFS('Expenditure Breakdown'!$Q$6:$Q$368, 'Expenditure Breakdown'!$W$6:$W$368, "&gt;="&amp;DO1,'Expenditure Breakdown'!$W$6:$W$368, "&lt;"&amp;DP1)</f>
        <v>0</v>
      </c>
      <c r="DP11" s="204">
        <f>SUMIFS('Expenditure Breakdown'!$Q$6:$Q$368, 'Expenditure Breakdown'!$W$6:$W$368, "&gt;="&amp;DP1,'Expenditure Breakdown'!$W$6:$W$368, "&lt;"&amp;DQ1)</f>
        <v>0</v>
      </c>
      <c r="DQ11" s="204">
        <f>SUMIFS('Expenditure Breakdown'!$Q$6:$Q$368, 'Expenditure Breakdown'!$W$6:$W$368, "&gt;="&amp;DQ1,'Expenditure Breakdown'!$W$6:$W$368, "&lt;"&amp;DR1)</f>
        <v>0</v>
      </c>
      <c r="DR11" s="204">
        <f>SUMIFS('Expenditure Breakdown'!$Q$6:$Q$368, 'Expenditure Breakdown'!$W$6:$W$368, "&gt;="&amp;DR1,'Expenditure Breakdown'!$W$6:$W$368, "&lt;"&amp;DS1)</f>
        <v>0</v>
      </c>
      <c r="DS11" s="204">
        <f>SUMIFS('Expenditure Breakdown'!$Q$6:$Q$368, 'Expenditure Breakdown'!$W$6:$W$368, "&gt;="&amp;DS1,'Expenditure Breakdown'!$W$6:$W$368, "&lt;"&amp;DT1)</f>
        <v>0</v>
      </c>
      <c r="DT11" s="204">
        <f>SUMIFS('Expenditure Breakdown'!$Q$6:$Q$368, 'Expenditure Breakdown'!$W$6:$W$368, "&gt;="&amp;DT1,'Expenditure Breakdown'!$W$6:$W$368, "&lt;"&amp;DU1)</f>
        <v>0</v>
      </c>
      <c r="DU11" s="204">
        <f>SUMIFS('Expenditure Breakdown'!$Q$6:$Q$368, 'Expenditure Breakdown'!$W$6:$W$368, "&gt;="&amp;DU1,'Expenditure Breakdown'!$W$6:$W$368, "&lt;"&amp;DV1)</f>
        <v>0</v>
      </c>
      <c r="DV11" s="204">
        <f>SUMIFS('Expenditure Breakdown'!$Q$6:$Q$368, 'Expenditure Breakdown'!$W$6:$W$368, "&gt;="&amp;DV1,'Expenditure Breakdown'!$W$6:$W$368, "&lt;"&amp;DW1)</f>
        <v>0</v>
      </c>
      <c r="DW11" s="204">
        <f>SUMIFS('Expenditure Breakdown'!$Q$6:$Q$368, 'Expenditure Breakdown'!$W$6:$W$368, "&gt;="&amp;DW1,'Expenditure Breakdown'!$W$6:$W$368, "&lt;"&amp;DX1)</f>
        <v>0</v>
      </c>
      <c r="DX11" s="204">
        <f>SUMIFS('Expenditure Breakdown'!$Q$6:$Q$368, 'Expenditure Breakdown'!$W$6:$W$368, "&gt;="&amp;DX1,'Expenditure Breakdown'!$W$6:$W$368, "&lt;"&amp;DY1)</f>
        <v>0</v>
      </c>
      <c r="DY11" s="204">
        <f>SUMIFS('Expenditure Breakdown'!$Q$6:$Q$368, 'Expenditure Breakdown'!$W$6:$W$368, "&gt;="&amp;DY1,'Expenditure Breakdown'!$W$6:$W$368, "&lt;"&amp;DZ1)</f>
        <v>0</v>
      </c>
      <c r="DZ11" s="204">
        <f>SUMIFS('Expenditure Breakdown'!$Q$6:$Q$368, 'Expenditure Breakdown'!$W$6:$W$368, "&gt;="&amp;DZ1,'Expenditure Breakdown'!$W$6:$W$368, "&lt;"&amp;EA1)</f>
        <v>0</v>
      </c>
      <c r="EA11" s="204">
        <f>SUMIFS('Expenditure Breakdown'!$Q$6:$Q$368, 'Expenditure Breakdown'!$W$6:$W$368, "&gt;="&amp;EA1,'Expenditure Breakdown'!$W$6:$W$368, "&lt;"&amp;EB1)</f>
        <v>0</v>
      </c>
      <c r="EB11" s="204">
        <f>SUMIFS('Expenditure Breakdown'!$Q$6:$Q$368, 'Expenditure Breakdown'!$W$6:$W$368, "&gt;="&amp;EB1,'Expenditure Breakdown'!$W$6:$W$368, "&lt;"&amp;EC1)</f>
        <v>0</v>
      </c>
      <c r="EC11" s="204">
        <f>SUMIFS('Expenditure Breakdown'!$Q$6:$Q$368, 'Expenditure Breakdown'!$W$6:$W$368, "&gt;="&amp;EC1,'Expenditure Breakdown'!$W$6:$W$368, "&lt;"&amp;ED1)</f>
        <v>0</v>
      </c>
      <c r="ED11" s="204">
        <f>SUMIFS('Expenditure Breakdown'!$Q$6:$Q$368, 'Expenditure Breakdown'!$W$6:$W$368, "&gt;="&amp;ED1,'Expenditure Breakdown'!$W$6:$W$368, "&lt;"&amp;EE1)</f>
        <v>0</v>
      </c>
      <c r="EE11" s="204">
        <f>SUMIFS('Expenditure Breakdown'!$Q$6:$Q$368, 'Expenditure Breakdown'!$W$6:$W$368, "&gt;="&amp;EE1,'Expenditure Breakdown'!$W$6:$W$368, "&lt;"&amp;EF1)</f>
        <v>0</v>
      </c>
      <c r="EF11" s="204">
        <f>SUMIFS('Expenditure Breakdown'!$Q$6:$Q$368, 'Expenditure Breakdown'!$W$6:$W$368, "&gt;="&amp;EF1,'Expenditure Breakdown'!$W$6:$W$368, "&lt;"&amp;EG1)</f>
        <v>0</v>
      </c>
      <c r="EG11" s="204">
        <f>SUMIFS('Expenditure Breakdown'!$Q$6:$Q$368, 'Expenditure Breakdown'!$W$6:$W$368, "&gt;="&amp;EG1,'Expenditure Breakdown'!$W$6:$W$368, "&lt;"&amp;EH1)</f>
        <v>0</v>
      </c>
      <c r="EH11" s="204">
        <f>SUMIFS('Expenditure Breakdown'!$Q$6:$Q$368, 'Expenditure Breakdown'!$W$6:$W$368, "&gt;="&amp;EH1,'Expenditure Breakdown'!$W$6:$W$368, "&lt;"&amp;EI1)</f>
        <v>0</v>
      </c>
      <c r="EI11" s="204">
        <f>SUMIFS('Expenditure Breakdown'!$Q$6:$Q$368, 'Expenditure Breakdown'!$W$6:$W$368, "&gt;="&amp;EI1,'Expenditure Breakdown'!$W$6:$W$368, "&lt;"&amp;EJ1)</f>
        <v>0</v>
      </c>
      <c r="EJ11" s="204">
        <f>SUMIFS('Expenditure Breakdown'!$Q$6:$Q$368, 'Expenditure Breakdown'!$W$6:$W$368, "&gt;="&amp;EJ1,'Expenditure Breakdown'!$W$6:$W$368, "&lt;"&amp;EK1)</f>
        <v>0</v>
      </c>
      <c r="EK11" s="204">
        <f>SUMIFS('Expenditure Breakdown'!$Q$6:$Q$368, 'Expenditure Breakdown'!$W$6:$W$368, "&gt;="&amp;EK1,'Expenditure Breakdown'!$W$6:$W$368, "&lt;"&amp;EL1)</f>
        <v>0</v>
      </c>
      <c r="EL11" s="204">
        <f>SUMIFS('Expenditure Breakdown'!$Q$6:$Q$368, 'Expenditure Breakdown'!$W$6:$W$368, "&gt;="&amp;EL1,'Expenditure Breakdown'!$W$6:$W$368, "&lt;"&amp;EM1)</f>
        <v>0</v>
      </c>
      <c r="EM11" s="204">
        <f>SUMIFS('Expenditure Breakdown'!$Q$6:$Q$368, 'Expenditure Breakdown'!$W$6:$W$368, "&gt;="&amp;EM1,'Expenditure Breakdown'!$W$6:$W$368, "&lt;"&amp;EN1)</f>
        <v>0</v>
      </c>
      <c r="EN11" s="204">
        <f>SUMIFS('Expenditure Breakdown'!$Q$6:$Q$368, 'Expenditure Breakdown'!$W$6:$W$368, "&gt;="&amp;EN1,'Expenditure Breakdown'!$W$6:$W$368, "&lt;"&amp;EO1)</f>
        <v>0</v>
      </c>
      <c r="EO11" s="204">
        <f>SUMIFS('Expenditure Breakdown'!$Q$6:$Q$368, 'Expenditure Breakdown'!$W$6:$W$368, "&gt;="&amp;EO1,'Expenditure Breakdown'!$W$6:$W$368, "&lt;"&amp;EP1)</f>
        <v>0</v>
      </c>
      <c r="EP11" s="204">
        <f>SUMIFS('Expenditure Breakdown'!$Q$6:$Q$368, 'Expenditure Breakdown'!$W$6:$W$368, "&gt;="&amp;EP1,'Expenditure Breakdown'!$W$6:$W$368, "&lt;"&amp;EQ1)</f>
        <v>0</v>
      </c>
      <c r="EQ11" s="204">
        <f>SUMIFS('Expenditure Breakdown'!$Q$6:$Q$368, 'Expenditure Breakdown'!$W$6:$W$368, "&gt;="&amp;EQ1,'Expenditure Breakdown'!$W$6:$W$368, "&lt;"&amp;ER1)</f>
        <v>0</v>
      </c>
      <c r="ER11" s="204">
        <f>SUMIFS('Expenditure Breakdown'!$Q$6:$Q$368, 'Expenditure Breakdown'!$W$6:$W$368, "&gt;="&amp;ER1,'Expenditure Breakdown'!$W$6:$W$368, "&lt;"&amp;ES1)</f>
        <v>0</v>
      </c>
      <c r="ES11" s="204">
        <f>SUMIFS('Expenditure Breakdown'!$Q$6:$Q$368, 'Expenditure Breakdown'!$W$6:$W$368, "&gt;="&amp;ES1,'Expenditure Breakdown'!$W$6:$W$368, "&lt;"&amp;ET1)</f>
        <v>0</v>
      </c>
      <c r="ET11" s="204">
        <f>SUMIFS('Expenditure Breakdown'!$Q$6:$Q$368, 'Expenditure Breakdown'!$W$6:$W$368, "&gt;="&amp;ET1,'Expenditure Breakdown'!$W$6:$W$368, "&lt;"&amp;EU1)</f>
        <v>0</v>
      </c>
      <c r="EU11" s="204">
        <f>SUMIFS('Expenditure Breakdown'!$Q$6:$Q$368, 'Expenditure Breakdown'!$W$6:$W$368, "&gt;="&amp;EU1,'Expenditure Breakdown'!$W$6:$W$368, "&lt;"&amp;EV1)</f>
        <v>0</v>
      </c>
      <c r="EV11" s="204">
        <f>SUMIFS('Expenditure Breakdown'!$Q$6:$Q$368, 'Expenditure Breakdown'!$W$6:$W$368, "&gt;="&amp;EV1,'Expenditure Breakdown'!$W$6:$W$368, "&lt;"&amp;EW1)</f>
        <v>0</v>
      </c>
      <c r="EW11" s="204">
        <f>SUMIFS('Expenditure Breakdown'!$Q$6:$Q$368, 'Expenditure Breakdown'!$W$6:$W$368, "&gt;="&amp;EW1,'Expenditure Breakdown'!$W$6:$W$368, "&lt;"&amp;EX1)</f>
        <v>0</v>
      </c>
      <c r="EX11" s="204">
        <f>SUMIFS('Expenditure Breakdown'!$Q$6:$Q$368, 'Expenditure Breakdown'!$W$6:$W$368, "&gt;="&amp;EX1,'Expenditure Breakdown'!$W$6:$W$368, "&lt;"&amp;EY1)</f>
        <v>0</v>
      </c>
      <c r="EY11" s="204">
        <f>SUMIFS('Expenditure Breakdown'!$Q$6:$Q$368, 'Expenditure Breakdown'!$W$6:$W$368, "&gt;="&amp;EY1,'Expenditure Breakdown'!$W$6:$W$368, "&lt;"&amp;EZ1)</f>
        <v>0</v>
      </c>
      <c r="EZ11" s="204">
        <f>SUMIFS('Expenditure Breakdown'!$Q$6:$Q$368, 'Expenditure Breakdown'!$W$6:$W$368, "&gt;="&amp;EZ1,'Expenditure Breakdown'!$W$6:$W$368, "&lt;"&amp;FA1)</f>
        <v>0</v>
      </c>
      <c r="FA11" s="204">
        <f>SUMIFS('Expenditure Breakdown'!$Q$6:$Q$368, 'Expenditure Breakdown'!$W$6:$W$368, "&gt;="&amp;FA1,'Expenditure Breakdown'!$W$6:$W$368, "&lt;"&amp;FB1)</f>
        <v>0</v>
      </c>
      <c r="FB11" s="204">
        <f>SUMIFS('Expenditure Breakdown'!$Q$6:$Q$368, 'Expenditure Breakdown'!$W$6:$W$368, "&gt;="&amp;FB1,'Expenditure Breakdown'!$W$6:$W$368, "&lt;"&amp;FC1)</f>
        <v>0</v>
      </c>
      <c r="FC11" s="204">
        <f>SUMIFS('Expenditure Breakdown'!$Q$6:$Q$368, 'Expenditure Breakdown'!$W$6:$W$368, "&gt;="&amp;FC1,'Expenditure Breakdown'!$W$6:$W$368, "&lt;"&amp;FD1)</f>
        <v>0</v>
      </c>
      <c r="FD11" s="204">
        <f>SUMIFS('Expenditure Breakdown'!$Q$6:$Q$368, 'Expenditure Breakdown'!$W$6:$W$368, "&gt;="&amp;FD1,'Expenditure Breakdown'!$W$6:$W$368, "&lt;"&amp;FE1)</f>
        <v>0</v>
      </c>
      <c r="FE11" s="204">
        <f>SUMIFS('Expenditure Breakdown'!$Q$6:$Q$368, 'Expenditure Breakdown'!$W$6:$W$368, "&gt;="&amp;FE1,'Expenditure Breakdown'!$W$6:$W$368, "&lt;"&amp;FF1)</f>
        <v>0</v>
      </c>
      <c r="FF11" s="204">
        <f>SUMIFS('Expenditure Breakdown'!$Q$6:$Q$368, 'Expenditure Breakdown'!$W$6:$W$368, "&gt;="&amp;FF1,'Expenditure Breakdown'!$W$6:$W$368, "&lt;"&amp;FG1)</f>
        <v>0</v>
      </c>
      <c r="FG11" s="204">
        <f>SUMIFS('Expenditure Breakdown'!$Q$6:$Q$368, 'Expenditure Breakdown'!$W$6:$W$368, "&gt;="&amp;FG1,'Expenditure Breakdown'!$W$6:$W$368, "&lt;"&amp;FH1)</f>
        <v>0</v>
      </c>
      <c r="FH11" s="204">
        <f>SUMIFS('Expenditure Breakdown'!$Q$6:$Q$368, 'Expenditure Breakdown'!$W$6:$W$368, "&gt;="&amp;FH1,'Expenditure Breakdown'!$W$6:$W$368, "&lt;"&amp;FI1)</f>
        <v>0</v>
      </c>
      <c r="FI11" s="204">
        <f>SUMIFS('Expenditure Breakdown'!$Q$6:$Q$368, 'Expenditure Breakdown'!$W$6:$W$368, "&gt;="&amp;FI1,'Expenditure Breakdown'!$W$6:$W$368, "&lt;"&amp;FJ1)</f>
        <v>0</v>
      </c>
      <c r="FJ11" s="204">
        <f>SUMIFS('Expenditure Breakdown'!$Q$6:$Q$368, 'Expenditure Breakdown'!$W$6:$W$368, "&gt;="&amp;FJ1,'Expenditure Breakdown'!$W$6:$W$368, "&lt;"&amp;FK1)</f>
        <v>0</v>
      </c>
      <c r="FK11" s="204">
        <f>SUMIFS('Expenditure Breakdown'!$Q$6:$Q$368, 'Expenditure Breakdown'!$W$6:$W$368, "&gt;="&amp;FK1,'Expenditure Breakdown'!$W$6:$W$368, "&lt;"&amp;FL1)</f>
        <v>0</v>
      </c>
      <c r="FL11" s="204">
        <f>SUMIFS('Expenditure Breakdown'!$Q$6:$Q$368, 'Expenditure Breakdown'!$W$6:$W$368, "&gt;="&amp;FL1,'Expenditure Breakdown'!$W$6:$W$368, "&lt;"&amp;FM1)</f>
        <v>0</v>
      </c>
      <c r="FM11" s="204">
        <f>SUMIFS('Expenditure Breakdown'!$Q$6:$Q$368, 'Expenditure Breakdown'!$W$6:$W$368, "&gt;="&amp;FM1,'Expenditure Breakdown'!$W$6:$W$368, "&lt;"&amp;FN1)</f>
        <v>0</v>
      </c>
      <c r="FN11" s="204">
        <f>SUMIFS('Expenditure Breakdown'!$Q$6:$Q$368, 'Expenditure Breakdown'!$W$6:$W$368, "&gt;="&amp;FN1,'Expenditure Breakdown'!$W$6:$W$368, "&lt;"&amp;FO1)</f>
        <v>0</v>
      </c>
      <c r="FO11" s="204">
        <f>SUMIFS('Expenditure Breakdown'!$Q$6:$Q$368, 'Expenditure Breakdown'!$W$6:$W$368, "&gt;="&amp;FO1,'Expenditure Breakdown'!$W$6:$W$368, "&lt;"&amp;FP1)</f>
        <v>0</v>
      </c>
      <c r="FP11" s="204">
        <f>SUMIFS('Expenditure Breakdown'!$Q$6:$Q$368, 'Expenditure Breakdown'!$W$6:$W$368, "&gt;="&amp;FP1,'Expenditure Breakdown'!$W$6:$W$368, "&lt;"&amp;FQ1)</f>
        <v>0</v>
      </c>
      <c r="FQ11" s="204">
        <f>SUMIFS('Expenditure Breakdown'!$Q$6:$Q$368, 'Expenditure Breakdown'!$W$6:$W$368, "&gt;="&amp;FQ1,'Expenditure Breakdown'!$W$6:$W$368, "&lt;"&amp;FR1)</f>
        <v>0</v>
      </c>
      <c r="FR11" s="204">
        <f>SUMIFS('Expenditure Breakdown'!$Q$6:$Q$368, 'Expenditure Breakdown'!$W$6:$W$368, "&gt;="&amp;FR1,'Expenditure Breakdown'!$W$6:$W$368, "&lt;"&amp;FS1)</f>
        <v>0</v>
      </c>
      <c r="FS11" s="204">
        <f>SUMIFS('Expenditure Breakdown'!$Q$6:$Q$368, 'Expenditure Breakdown'!$W$6:$W$368, "&gt;="&amp;FS1,'Expenditure Breakdown'!$W$6:$W$368, "&lt;"&amp;FT1)</f>
        <v>0</v>
      </c>
      <c r="FT11" s="204">
        <f>SUMIFS('Expenditure Breakdown'!$Q$6:$Q$368, 'Expenditure Breakdown'!$W$6:$W$368, "&gt;="&amp;FT1,'Expenditure Breakdown'!$W$6:$W$368, "&lt;"&amp;FU1)</f>
        <v>0</v>
      </c>
      <c r="FU11" s="204">
        <f>SUMIFS('Expenditure Breakdown'!$Q$6:$Q$368, 'Expenditure Breakdown'!$W$6:$W$368, "&gt;="&amp;FU1,'Expenditure Breakdown'!$W$6:$W$368, "&lt;"&amp;FV1)</f>
        <v>0</v>
      </c>
      <c r="FV11" s="204">
        <f>SUMIFS('Expenditure Breakdown'!$Q$6:$Q$368, 'Expenditure Breakdown'!$W$6:$W$368, "&gt;="&amp;FV1,'Expenditure Breakdown'!$W$6:$W$368, "&lt;"&amp;FW1)</f>
        <v>0</v>
      </c>
      <c r="FW11" s="204">
        <f>SUMIFS('Expenditure Breakdown'!$Q$6:$Q$368, 'Expenditure Breakdown'!$W$6:$W$368, "&gt;="&amp;FW1,'Expenditure Breakdown'!$W$6:$W$368, "&lt;"&amp;FX1)</f>
        <v>0</v>
      </c>
      <c r="FX11" s="204">
        <f>SUMIFS('Expenditure Breakdown'!$Q$6:$Q$368, 'Expenditure Breakdown'!$W$6:$W$368, "&gt;="&amp;FX1,'Expenditure Breakdown'!$W$6:$W$368, "&lt;"&amp;FY1)</f>
        <v>0</v>
      </c>
      <c r="FY11" s="204">
        <f>SUMIFS('Expenditure Breakdown'!$Q$6:$Q$368, 'Expenditure Breakdown'!$W$6:$W$368, "&gt;="&amp;FY1,'Expenditure Breakdown'!$W$6:$W$368, "&lt;"&amp;FZ1)</f>
        <v>0</v>
      </c>
      <c r="FZ11" s="204">
        <f>SUMIFS('Expenditure Breakdown'!$Q$6:$Q$368, 'Expenditure Breakdown'!$W$6:$W$368, "&gt;="&amp;FZ1,'Expenditure Breakdown'!$W$6:$W$368, "&lt;"&amp;GA1)</f>
        <v>0</v>
      </c>
      <c r="GA11" s="204">
        <f>SUMIFS('Expenditure Breakdown'!$Q$6:$Q$368, 'Expenditure Breakdown'!$W$6:$W$368, "&gt;="&amp;GA1,'Expenditure Breakdown'!$W$6:$W$368, "&lt;"&amp;GB1)</f>
        <v>0</v>
      </c>
      <c r="GB11" s="204">
        <f>SUMIFS('Expenditure Breakdown'!$Q$6:$Q$368, 'Expenditure Breakdown'!$W$6:$W$368, "&gt;="&amp;GB1,'Expenditure Breakdown'!$W$6:$W$368, "&lt;"&amp;GC1)</f>
        <v>0</v>
      </c>
      <c r="GC11" s="204">
        <f>SUMIFS('Expenditure Breakdown'!$Q$6:$Q$368, 'Expenditure Breakdown'!$W$6:$W$368, "&gt;="&amp;GC1,'Expenditure Breakdown'!$W$6:$W$368, "&lt;"&amp;GD1)</f>
        <v>0</v>
      </c>
      <c r="GD11" s="204">
        <f>SUMIFS('Expenditure Breakdown'!$Q$6:$Q$368, 'Expenditure Breakdown'!$W$6:$W$368, "&gt;="&amp;GD1,'Expenditure Breakdown'!$W$6:$W$368, "&lt;"&amp;GE1)</f>
        <v>0</v>
      </c>
      <c r="GE11" s="204">
        <f>SUMIFS('Expenditure Breakdown'!$Q$6:$Q$368, 'Expenditure Breakdown'!$W$6:$W$368, "&gt;="&amp;GE1,'Expenditure Breakdown'!$W$6:$W$368, "&lt;"&amp;GF1)</f>
        <v>0</v>
      </c>
      <c r="GF11" s="204">
        <f>SUMIFS('Expenditure Breakdown'!$Q$6:$Q$368, 'Expenditure Breakdown'!$W$6:$W$368, "&gt;="&amp;GF1,'Expenditure Breakdown'!$W$6:$W$368, "&lt;"&amp;GG1)</f>
        <v>0</v>
      </c>
      <c r="GG11" s="204">
        <f>SUMIFS('Expenditure Breakdown'!$Q$6:$Q$368, 'Expenditure Breakdown'!$W$6:$W$368, "&gt;="&amp;GG1,'Expenditure Breakdown'!$W$6:$W$368, "&lt;"&amp;GH1)</f>
        <v>0</v>
      </c>
      <c r="GH11" s="204">
        <f>SUMIFS('Expenditure Breakdown'!$Q$6:$Q$368, 'Expenditure Breakdown'!$W$6:$W$368, "&gt;="&amp;GH1,'Expenditure Breakdown'!$W$6:$W$368, "&lt;"&amp;GI1)</f>
        <v>0</v>
      </c>
      <c r="GI11" s="204">
        <f>SUMIFS('Expenditure Breakdown'!$Q$6:$Q$368, 'Expenditure Breakdown'!$W$6:$W$368, "&gt;="&amp;GI1,'Expenditure Breakdown'!$W$6:$W$368, "&lt;"&amp;GJ1)</f>
        <v>0</v>
      </c>
      <c r="GJ11" s="204">
        <f>SUMIFS('Expenditure Breakdown'!$Q$6:$Q$368, 'Expenditure Breakdown'!$W$6:$W$368, "&gt;="&amp;GJ1,'Expenditure Breakdown'!$W$6:$W$368, "&lt;"&amp;GK1)</f>
        <v>0</v>
      </c>
      <c r="GK11" s="204">
        <f>SUMIFS('Expenditure Breakdown'!$Q$6:$Q$368, 'Expenditure Breakdown'!$W$6:$W$368, "&gt;="&amp;GK1,'Expenditure Breakdown'!$W$6:$W$368, "&lt;"&amp;GL1)</f>
        <v>0</v>
      </c>
      <c r="GL11" s="204">
        <f>SUMIFS('Expenditure Breakdown'!$Q$6:$Q$368, 'Expenditure Breakdown'!$W$6:$W$368, "&gt;="&amp;GL1,'Expenditure Breakdown'!$W$6:$W$368, "&lt;"&amp;GM1)</f>
        <v>0</v>
      </c>
      <c r="GM11" s="204">
        <f>SUMIFS('Expenditure Breakdown'!$Q$6:$Q$368, 'Expenditure Breakdown'!$W$6:$W$368, "&gt;="&amp;GM1,'Expenditure Breakdown'!$W$6:$W$368, "&lt;"&amp;GN1)</f>
        <v>0</v>
      </c>
      <c r="GN11" s="204">
        <f>SUMIFS('Expenditure Breakdown'!$Q$6:$Q$368, 'Expenditure Breakdown'!$W$6:$W$368, "&gt;="&amp;GN1,'Expenditure Breakdown'!$W$6:$W$368, "&lt;"&amp;GO1)</f>
        <v>0</v>
      </c>
      <c r="GO11" s="204">
        <f>SUMIFS('Expenditure Breakdown'!$Q$6:$Q$368, 'Expenditure Breakdown'!$W$6:$W$368, "&gt;="&amp;GO1,'Expenditure Breakdown'!$W$6:$W$368, "&lt;"&amp;GP1)</f>
        <v>0</v>
      </c>
      <c r="GP11" s="204">
        <f>SUMIFS('Expenditure Breakdown'!$Q$6:$Q$368, 'Expenditure Breakdown'!$W$6:$W$368, "&gt;="&amp;GP1,'Expenditure Breakdown'!$W$6:$W$368, "&lt;"&amp;GQ1)</f>
        <v>0</v>
      </c>
      <c r="GQ11" s="204">
        <f>SUMIFS('Expenditure Breakdown'!$Q$6:$Q$368, 'Expenditure Breakdown'!$W$6:$W$368, "&gt;="&amp;GQ1,'Expenditure Breakdown'!$W$6:$W$368, "&lt;"&amp;GR1)</f>
        <v>0</v>
      </c>
      <c r="GR11" s="204">
        <f>SUMIFS('Expenditure Breakdown'!$Q$6:$Q$368, 'Expenditure Breakdown'!$W$6:$W$368, "&gt;="&amp;GR1,'Expenditure Breakdown'!$W$6:$W$368, "&lt;"&amp;GS1)</f>
        <v>0</v>
      </c>
      <c r="GS11" s="204">
        <f>SUMIFS('Expenditure Breakdown'!$Q$6:$Q$368, 'Expenditure Breakdown'!$W$6:$W$368, "&gt;="&amp;GS1,'Expenditure Breakdown'!$W$6:$W$368, "&lt;"&amp;GT1)</f>
        <v>0</v>
      </c>
      <c r="GT11" s="204">
        <f>SUMIFS('Expenditure Breakdown'!$Q$6:$Q$368, 'Expenditure Breakdown'!$W$6:$W$368, "&gt;="&amp;GT1,'Expenditure Breakdown'!$W$6:$W$368, "&lt;"&amp;GU1)</f>
        <v>0</v>
      </c>
      <c r="GU11" s="204">
        <f>SUMIFS('Expenditure Breakdown'!$Q$6:$Q$368, 'Expenditure Breakdown'!$W$6:$W$368, "&gt;="&amp;GU1,'Expenditure Breakdown'!$W$6:$W$368, "&lt;"&amp;GV1)</f>
        <v>0</v>
      </c>
      <c r="GV11" s="204">
        <f>SUMIFS('Expenditure Breakdown'!$Q$6:$Q$368, 'Expenditure Breakdown'!$W$6:$W$368, "&gt;="&amp;GV1,'Expenditure Breakdown'!$W$6:$W$368, "&lt;"&amp;GW1)</f>
        <v>0</v>
      </c>
      <c r="GW11" s="204">
        <f>SUMIFS('Expenditure Breakdown'!$Q$6:$Q$368, 'Expenditure Breakdown'!$W$6:$W$368, "&gt;="&amp;GW1,'Expenditure Breakdown'!$W$6:$W$368, "&lt;"&amp;GX1)</f>
        <v>0</v>
      </c>
      <c r="GX11" s="204">
        <f>SUMIFS('Expenditure Breakdown'!$Q$6:$Q$368, 'Expenditure Breakdown'!$W$6:$W$368, "&gt;="&amp;GX1,'Expenditure Breakdown'!$W$6:$W$368, "&lt;"&amp;GY1)</f>
        <v>0</v>
      </c>
      <c r="GY11" s="204">
        <f>SUMIFS('Expenditure Breakdown'!$Q$6:$Q$368, 'Expenditure Breakdown'!$W$6:$W$368, "&gt;="&amp;GY1,'Expenditure Breakdown'!$W$6:$W$368, "&lt;"&amp;GZ1)</f>
        <v>0</v>
      </c>
      <c r="GZ11" s="204">
        <f>SUMIFS('Expenditure Breakdown'!$Q$6:$Q$368, 'Expenditure Breakdown'!$W$6:$W$368, "&gt;="&amp;GZ1,'Expenditure Breakdown'!$W$6:$W$368, "&lt;"&amp;HA1)</f>
        <v>0</v>
      </c>
      <c r="HA11" s="204">
        <f>SUMIFS('Expenditure Breakdown'!$Q$6:$Q$368, 'Expenditure Breakdown'!$W$6:$W$368, "&gt;="&amp;HA1,'Expenditure Breakdown'!$W$6:$W$368, "&lt;"&amp;HB1)</f>
        <v>0</v>
      </c>
      <c r="HB11" s="204">
        <f>SUMIFS('Expenditure Breakdown'!$Q$6:$Q$368, 'Expenditure Breakdown'!$W$6:$W$368, "&gt;="&amp;HB1,'Expenditure Breakdown'!$W$6:$W$368, "&lt;"&amp;HC1)</f>
        <v>0</v>
      </c>
      <c r="HC11" s="204">
        <f>SUMIFS('Expenditure Breakdown'!$Q$6:$Q$368, 'Expenditure Breakdown'!$W$6:$W$368, "&gt;="&amp;HC1,'Expenditure Breakdown'!$W$6:$W$368, "&lt;"&amp;HD1)</f>
        <v>0</v>
      </c>
      <c r="HD11" s="204">
        <f>SUMIFS('Expenditure Breakdown'!$Q$6:$Q$368, 'Expenditure Breakdown'!$W$6:$W$368, "&gt;="&amp;HD1,'Expenditure Breakdown'!$W$6:$W$368, "&lt;"&amp;HE1)</f>
        <v>0</v>
      </c>
      <c r="HE11" s="204">
        <f>SUMIFS('Expenditure Breakdown'!$Q$6:$Q$368, 'Expenditure Breakdown'!$W$6:$W$368, "&gt;="&amp;HE1,'Expenditure Breakdown'!$W$6:$W$368, "&lt;"&amp;HF1)</f>
        <v>0</v>
      </c>
      <c r="HF11" s="204">
        <f>SUMIFS('Expenditure Breakdown'!$Q$6:$Q$368, 'Expenditure Breakdown'!$W$6:$W$368, "&gt;="&amp;HF1,'Expenditure Breakdown'!$W$6:$W$368, "&lt;"&amp;HG1)</f>
        <v>0</v>
      </c>
      <c r="HG11" s="204">
        <f>SUMIFS('Expenditure Breakdown'!$Q$6:$Q$368, 'Expenditure Breakdown'!$W$6:$W$368, "&gt;="&amp;HG1,'Expenditure Breakdown'!$W$6:$W$368, "&lt;"&amp;HH1)</f>
        <v>0</v>
      </c>
      <c r="HH11" s="204">
        <f>SUMIFS('Expenditure Breakdown'!$Q$6:$Q$368, 'Expenditure Breakdown'!$W$6:$W$368, "&gt;="&amp;HH1,'Expenditure Breakdown'!$W$6:$W$368, "&lt;"&amp;HI1)</f>
        <v>0</v>
      </c>
      <c r="HI11" s="204">
        <f>SUMIFS('Expenditure Breakdown'!$Q$6:$Q$368, 'Expenditure Breakdown'!$W$6:$W$368, "&gt;="&amp;HI1,'Expenditure Breakdown'!$W$6:$W$368, "&lt;"&amp;HJ1)</f>
        <v>0</v>
      </c>
      <c r="HJ11" s="204">
        <f>SUMIFS('Expenditure Breakdown'!$Q$6:$Q$368, 'Expenditure Breakdown'!$W$6:$W$368, "&gt;="&amp;HJ1,'Expenditure Breakdown'!$W$6:$W$368, "&lt;"&amp;HK1)</f>
        <v>0</v>
      </c>
      <c r="HK11" s="204">
        <f>SUMIFS('Expenditure Breakdown'!$Q$6:$Q$368, 'Expenditure Breakdown'!$W$6:$W$368, "&gt;="&amp;HK1,'Expenditure Breakdown'!$W$6:$W$368, "&lt;"&amp;HL1)</f>
        <v>0</v>
      </c>
      <c r="HL11" s="204">
        <f>SUMIFS('Expenditure Breakdown'!$Q$6:$Q$368, 'Expenditure Breakdown'!$W$6:$W$368, "&gt;="&amp;HL1,'Expenditure Breakdown'!$W$6:$W$368, "&lt;"&amp;HM1)</f>
        <v>0</v>
      </c>
      <c r="HM11" s="204">
        <f>SUMIFS('Expenditure Breakdown'!$Q$6:$Q$368, 'Expenditure Breakdown'!$W$6:$W$368, "&gt;="&amp;HM1,'Expenditure Breakdown'!$W$6:$W$368, "&lt;"&amp;HN1)</f>
        <v>0</v>
      </c>
      <c r="HN11" s="204">
        <f>SUMIFS('Expenditure Breakdown'!$Q$6:$Q$368, 'Expenditure Breakdown'!$W$6:$W$368, "&gt;="&amp;HN1,'Expenditure Breakdown'!$W$6:$W$368, "&lt;"&amp;HO1)</f>
        <v>0</v>
      </c>
      <c r="HO11" s="204">
        <f>SUMIFS('Expenditure Breakdown'!$Q$6:$Q$368, 'Expenditure Breakdown'!$W$6:$W$368, "&gt;="&amp;HO1,'Expenditure Breakdown'!$W$6:$W$368, "&lt;"&amp;HP1)</f>
        <v>0</v>
      </c>
      <c r="HP11" s="204">
        <f>SUMIFS('Expenditure Breakdown'!$Q$6:$Q$368, 'Expenditure Breakdown'!$W$6:$W$368, "&gt;="&amp;HP1,'Expenditure Breakdown'!$W$6:$W$368, "&lt;"&amp;HQ1)</f>
        <v>0</v>
      </c>
      <c r="HQ11" s="204">
        <f>SUMIFS('Expenditure Breakdown'!$Q$6:$Q$368, 'Expenditure Breakdown'!$W$6:$W$368, "&gt;="&amp;HQ1,'Expenditure Breakdown'!$W$6:$W$368, "&lt;"&amp;HR1)</f>
        <v>0</v>
      </c>
      <c r="HR11" s="204">
        <f>SUMIFS('Expenditure Breakdown'!$Q$6:$Q$368, 'Expenditure Breakdown'!$W$6:$W$368, "&gt;="&amp;HR1,'Expenditure Breakdown'!$W$6:$W$368, "&lt;"&amp;HS1)</f>
        <v>0</v>
      </c>
      <c r="HS11" s="204">
        <f>SUMIFS('Expenditure Breakdown'!$Q$6:$Q$368, 'Expenditure Breakdown'!$W$6:$W$368, "&gt;="&amp;HS1,'Expenditure Breakdown'!$W$6:$W$368, "&lt;"&amp;HT1)</f>
        <v>0</v>
      </c>
      <c r="HT11" s="204">
        <f>SUMIFS('Expenditure Breakdown'!$Q$6:$Q$368, 'Expenditure Breakdown'!$W$6:$W$368, "&gt;="&amp;HT1,'Expenditure Breakdown'!$W$6:$W$368, "&lt;"&amp;HU1)</f>
        <v>0</v>
      </c>
      <c r="HU11" s="204">
        <f>SUMIFS('Expenditure Breakdown'!$Q$6:$Q$368, 'Expenditure Breakdown'!$W$6:$W$368, "&gt;="&amp;HU1,'Expenditure Breakdown'!$W$6:$W$368, "&lt;"&amp;HV1)</f>
        <v>0</v>
      </c>
      <c r="HV11" s="204">
        <f>SUMIFS('Expenditure Breakdown'!$Q$6:$Q$368, 'Expenditure Breakdown'!$W$6:$W$368, "&gt;="&amp;HV1,'Expenditure Breakdown'!$W$6:$W$368, "&lt;"&amp;HW1)</f>
        <v>0</v>
      </c>
      <c r="HW11" s="204">
        <f>SUMIFS('Expenditure Breakdown'!$Q$6:$Q$368, 'Expenditure Breakdown'!$W$6:$W$368, "&gt;="&amp;HW1,'Expenditure Breakdown'!$W$6:$W$368, "&lt;"&amp;HX1)</f>
        <v>0</v>
      </c>
      <c r="HX11" s="204">
        <f>SUMIFS('Expenditure Breakdown'!$Q$6:$Q$368, 'Expenditure Breakdown'!$W$6:$W$368, "&gt;="&amp;HX1,'Expenditure Breakdown'!$W$6:$W$368, "&lt;"&amp;HY1)</f>
        <v>0</v>
      </c>
      <c r="HY11" s="204">
        <f>SUMIFS('Expenditure Breakdown'!$Q$6:$Q$368, 'Expenditure Breakdown'!$W$6:$W$368, "&gt;="&amp;HY1,'Expenditure Breakdown'!$W$6:$W$368, "&lt;"&amp;HZ1)</f>
        <v>0</v>
      </c>
      <c r="HZ11" s="204">
        <f>SUMIFS('Expenditure Breakdown'!$Q$6:$Q$368, 'Expenditure Breakdown'!$W$6:$W$368, "&gt;="&amp;HZ1,'Expenditure Breakdown'!$W$6:$W$368, "&lt;"&amp;IA1)</f>
        <v>0</v>
      </c>
      <c r="IA11" s="204">
        <f>SUMIFS('Expenditure Breakdown'!$Q$6:$Q$368, 'Expenditure Breakdown'!$W$6:$W$368, "&gt;="&amp;IA1,'Expenditure Breakdown'!$W$6:$W$368, "&lt;"&amp;IB1)</f>
        <v>0</v>
      </c>
      <c r="IB11" s="204">
        <f>SUMIFS('Expenditure Breakdown'!$Q$6:$Q$368, 'Expenditure Breakdown'!$W$6:$W$368, "&gt;="&amp;IB1,'Expenditure Breakdown'!$W$6:$W$368, "&lt;"&amp;IC1)</f>
        <v>0</v>
      </c>
      <c r="IC11" s="204">
        <f>SUMIFS('Expenditure Breakdown'!$Q$6:$Q$368, 'Expenditure Breakdown'!$W$6:$W$368, "&gt;="&amp;IC1,'Expenditure Breakdown'!$W$6:$W$368, "&lt;"&amp;ID1)</f>
        <v>0</v>
      </c>
      <c r="ID11" s="204">
        <f>SUMIFS('Expenditure Breakdown'!$Q$6:$Q$368, 'Expenditure Breakdown'!$W$6:$W$368, "&gt;="&amp;ID1,'Expenditure Breakdown'!$W$6:$W$368, "&lt;"&amp;IE1)</f>
        <v>0</v>
      </c>
      <c r="IE11" s="204">
        <f>SUMIFS('Expenditure Breakdown'!$Q$6:$Q$368, 'Expenditure Breakdown'!$W$6:$W$368, "&gt;="&amp;IE1,'Expenditure Breakdown'!$W$6:$W$368, "&lt;"&amp;IF1)</f>
        <v>0</v>
      </c>
      <c r="IF11" s="204">
        <f>SUMIFS('Expenditure Breakdown'!$Q$6:$Q$368, 'Expenditure Breakdown'!$W$6:$W$368, "&gt;="&amp;IF1,'Expenditure Breakdown'!$W$6:$W$368, "&lt;"&amp;IG1)</f>
        <v>0</v>
      </c>
      <c r="IG11" s="204">
        <f>SUMIFS('Expenditure Breakdown'!$Q$6:$Q$368, 'Expenditure Breakdown'!$W$6:$W$368, "&gt;="&amp;IG1,'Expenditure Breakdown'!$W$6:$W$368, "&lt;"&amp;IH1)</f>
        <v>0</v>
      </c>
      <c r="IH11" s="204">
        <f>SUMIFS('Expenditure Breakdown'!$Q$6:$Q$368, 'Expenditure Breakdown'!$W$6:$W$368, "&gt;="&amp;IH1,'Expenditure Breakdown'!$W$6:$W$368, "&lt;"&amp;II1)</f>
        <v>0</v>
      </c>
      <c r="II11" s="204">
        <f>SUMIFS('Expenditure Breakdown'!$Q$6:$Q$368, 'Expenditure Breakdown'!$W$6:$W$368, "&gt;="&amp;II1,'Expenditure Breakdown'!$W$6:$W$368, "&lt;"&amp;IJ1)</f>
        <v>0</v>
      </c>
      <c r="IJ11" s="204">
        <f>SUMIFS('Expenditure Breakdown'!$Q$6:$Q$368, 'Expenditure Breakdown'!$W$6:$W$368, "&gt;="&amp;IJ1,'Expenditure Breakdown'!$W$6:$W$368, "&lt;"&amp;IK1)</f>
        <v>0</v>
      </c>
      <c r="IK11" s="204">
        <f>SUMIFS('Expenditure Breakdown'!$Q$6:$Q$368, 'Expenditure Breakdown'!$W$6:$W$368, "&gt;="&amp;IK1,'Expenditure Breakdown'!$W$6:$W$368, "&lt;"&amp;IL1)</f>
        <v>0</v>
      </c>
      <c r="IL11" s="204">
        <f>SUMIFS('Expenditure Breakdown'!$Q$6:$Q$368, 'Expenditure Breakdown'!$W$6:$W$368, "&gt;="&amp;IL1,'Expenditure Breakdown'!$W$6:$W$368, "&lt;"&amp;IM1)</f>
        <v>0</v>
      </c>
      <c r="IM11" s="204">
        <f>SUMIFS('Expenditure Breakdown'!$Q$6:$Q$368, 'Expenditure Breakdown'!$W$6:$W$368, "&gt;="&amp;IM1,'Expenditure Breakdown'!$W$6:$W$368, "&lt;"&amp;IN1)</f>
        <v>0</v>
      </c>
      <c r="IN11" s="204">
        <f>SUMIFS('Expenditure Breakdown'!$Q$6:$Q$368, 'Expenditure Breakdown'!$W$6:$W$368, "&gt;="&amp;IN1,'Expenditure Breakdown'!$W$6:$W$368, "&lt;"&amp;IO1)</f>
        <v>0</v>
      </c>
      <c r="IO11" s="204">
        <f>SUMIFS('Expenditure Breakdown'!$Q$6:$Q$368, 'Expenditure Breakdown'!$W$6:$W$368, "&gt;="&amp;IO1,'Expenditure Breakdown'!$W$6:$W$368, "&lt;"&amp;IP1)</f>
        <v>0</v>
      </c>
      <c r="IP11" s="204">
        <f>SUMIFS('Expenditure Breakdown'!$Q$6:$Q$368, 'Expenditure Breakdown'!$W$6:$W$368, "&gt;="&amp;IP1,'Expenditure Breakdown'!$W$6:$W$368, "&lt;"&amp;IQ1)</f>
        <v>0</v>
      </c>
      <c r="IQ11" s="204">
        <f>SUMIFS('Expenditure Breakdown'!$Q$6:$Q$368, 'Expenditure Breakdown'!$W$6:$W$368, "&gt;="&amp;IQ1,'Expenditure Breakdown'!$W$6:$W$368, "&lt;"&amp;IR1)</f>
        <v>0</v>
      </c>
      <c r="IR11" s="204">
        <f>SUMIFS('Expenditure Breakdown'!$Q$6:$Q$368, 'Expenditure Breakdown'!$W$6:$W$368, "&gt;="&amp;IR1,'Expenditure Breakdown'!$W$6:$W$368, "&lt;"&amp;IS1)</f>
        <v>0</v>
      </c>
      <c r="IS11" s="204">
        <f>SUMIFS('Expenditure Breakdown'!$Q$6:$Q$368, 'Expenditure Breakdown'!$W$6:$W$368, "&gt;="&amp;IS1,'Expenditure Breakdown'!$W$6:$W$368, "&lt;"&amp;IT1)</f>
        <v>0</v>
      </c>
      <c r="IT11" s="204">
        <f>SUMIFS('Expenditure Breakdown'!$Q$6:$Q$368, 'Expenditure Breakdown'!$W$6:$W$368, "&gt;="&amp;IT1,'Expenditure Breakdown'!$W$6:$W$368, "&lt;"&amp;IU1)</f>
        <v>0</v>
      </c>
      <c r="IU11" s="204">
        <f>SUMIFS('Expenditure Breakdown'!$Q$6:$Q$368, 'Expenditure Breakdown'!$W$6:$W$368, "&gt;="&amp;IU1,'Expenditure Breakdown'!$W$6:$W$368, "&lt;"&amp;IV1)</f>
        <v>0</v>
      </c>
      <c r="IV11" s="204">
        <f>SUMIFS('Expenditure Breakdown'!$Q$6:$Q$368, 'Expenditure Breakdown'!$W$6:$W$368, "&gt;="&amp;IV1,'Expenditure Breakdown'!$W$6:$W$368, "&lt;"&amp;IW1)</f>
        <v>0</v>
      </c>
      <c r="IW11" s="204">
        <f>SUMIFS('Expenditure Breakdown'!$Q$6:$Q$368, 'Expenditure Breakdown'!$W$6:$W$368, "&gt;="&amp;IW1,'Expenditure Breakdown'!$W$6:$W$368, "&lt;"&amp;IX1)</f>
        <v>0</v>
      </c>
      <c r="IX11" s="204">
        <f>SUMIFS('Expenditure Breakdown'!$Q$6:$Q$368, 'Expenditure Breakdown'!$W$6:$W$368, "&gt;="&amp;IX1,'Expenditure Breakdown'!$W$6:$W$368, "&lt;"&amp;IY1)</f>
        <v>0</v>
      </c>
      <c r="IY11" s="204">
        <f>SUMIFS('Expenditure Breakdown'!$Q$6:$Q$368, 'Expenditure Breakdown'!$W$6:$W$368, "&gt;="&amp;IY1,'Expenditure Breakdown'!$W$6:$W$368, "&lt;"&amp;IZ1)</f>
        <v>0</v>
      </c>
      <c r="IZ11" s="204">
        <f>SUMIFS('Expenditure Breakdown'!$Q$6:$Q$368, 'Expenditure Breakdown'!$W$6:$W$368, "&gt;="&amp;IZ1,'Expenditure Breakdown'!$W$6:$W$368, "&lt;"&amp;JA1)</f>
        <v>0</v>
      </c>
      <c r="JA11" s="204">
        <f>SUMIFS('Expenditure Breakdown'!$Q$6:$Q$368, 'Expenditure Breakdown'!$W$6:$W$368, "&gt;="&amp;JA1,'Expenditure Breakdown'!$W$6:$W$368, "&lt;"&amp;JB1)</f>
        <v>0</v>
      </c>
      <c r="JB11" s="204">
        <f>SUMIFS('Expenditure Breakdown'!$Q$6:$Q$368, 'Expenditure Breakdown'!$W$6:$W$368, "&gt;="&amp;JB1,'Expenditure Breakdown'!$W$6:$W$368, "&lt;"&amp;JC1)</f>
        <v>0</v>
      </c>
      <c r="JC11" s="204">
        <f>SUMIFS('Expenditure Breakdown'!$Q$6:$Q$368, 'Expenditure Breakdown'!$W$6:$W$368, "&gt;="&amp;JC1,'Expenditure Breakdown'!$W$6:$W$368, "&lt;"&amp;JD1)</f>
        <v>0</v>
      </c>
      <c r="JD11" s="204">
        <f>SUMIFS('Expenditure Breakdown'!$Q$6:$Q$368, 'Expenditure Breakdown'!$W$6:$W$368, "&gt;="&amp;JD1,'Expenditure Breakdown'!$W$6:$W$368, "&lt;"&amp;JE1)</f>
        <v>0</v>
      </c>
      <c r="JE11" s="204">
        <f>SUMIFS('Expenditure Breakdown'!$Q$6:$Q$368, 'Expenditure Breakdown'!$W$6:$W$368, "&gt;="&amp;JE1,'Expenditure Breakdown'!$W$6:$W$368, "&lt;"&amp;JF1)</f>
        <v>0</v>
      </c>
      <c r="JF11" s="204">
        <f>SUMIFS('Expenditure Breakdown'!$Q$6:$Q$368, 'Expenditure Breakdown'!$W$6:$W$368, "&gt;="&amp;JF1,'Expenditure Breakdown'!$W$6:$W$368, "&lt;"&amp;JG1)</f>
        <v>0</v>
      </c>
      <c r="JG11" s="204">
        <f>SUMIFS('Expenditure Breakdown'!$Q$6:$Q$368, 'Expenditure Breakdown'!$W$6:$W$368, "&gt;="&amp;JG1,'Expenditure Breakdown'!$W$6:$W$368, "&lt;"&amp;JH1)</f>
        <v>0</v>
      </c>
      <c r="JH11" s="204">
        <f>SUMIFS('Expenditure Breakdown'!$Q$6:$Q$368, 'Expenditure Breakdown'!$W$6:$W$368, "&gt;="&amp;JH1,'Expenditure Breakdown'!$W$6:$W$368, "&lt;"&amp;JI1)</f>
        <v>0</v>
      </c>
      <c r="JI11" s="204">
        <f>SUMIFS('Expenditure Breakdown'!$Q$6:$Q$368, 'Expenditure Breakdown'!$W$6:$W$368, "&gt;="&amp;JI1,'Expenditure Breakdown'!$W$6:$W$368, "&lt;"&amp;JJ1)</f>
        <v>0</v>
      </c>
      <c r="JJ11" s="204">
        <f>SUMIFS('Expenditure Breakdown'!$Q$6:$Q$368, 'Expenditure Breakdown'!$W$6:$W$368, "&gt;="&amp;JJ1,'Expenditure Breakdown'!$W$6:$W$368, "&lt;"&amp;JK1)</f>
        <v>0</v>
      </c>
      <c r="JK11" s="204">
        <f>SUMIFS('Expenditure Breakdown'!$Q$6:$Q$368, 'Expenditure Breakdown'!$W$6:$W$368, "&gt;="&amp;JK1,'Expenditure Breakdown'!$W$6:$W$368, "&lt;"&amp;JL1)</f>
        <v>0</v>
      </c>
      <c r="JL11" s="204">
        <f>SUMIFS('Expenditure Breakdown'!$Q$6:$Q$368, 'Expenditure Breakdown'!$W$6:$W$368, "&gt;="&amp;JL1,'Expenditure Breakdown'!$W$6:$W$368, "&lt;"&amp;JM1)</f>
        <v>0</v>
      </c>
      <c r="JM11" s="204">
        <f>SUMIFS('Expenditure Breakdown'!$Q$6:$Q$368, 'Expenditure Breakdown'!$W$6:$W$368, "&gt;="&amp;JM1,'Expenditure Breakdown'!$W$6:$W$368, "&lt;"&amp;JN1)</f>
        <v>0</v>
      </c>
      <c r="JN11" s="204">
        <f>SUMIFS('Expenditure Breakdown'!$Q$6:$Q$368, 'Expenditure Breakdown'!$W$6:$W$368, "&gt;="&amp;JN1,'Expenditure Breakdown'!$W$6:$W$368, "&lt;"&amp;JO1)</f>
        <v>0</v>
      </c>
      <c r="JO11" s="204">
        <f>SUMIFS('Expenditure Breakdown'!$Q$6:$Q$368, 'Expenditure Breakdown'!$W$6:$W$368, "&gt;="&amp;JO1,'Expenditure Breakdown'!$W$6:$W$368, "&lt;"&amp;JP1)</f>
        <v>0</v>
      </c>
      <c r="JP11" s="204">
        <f>SUMIFS('Expenditure Breakdown'!$Q$6:$Q$368, 'Expenditure Breakdown'!$W$6:$W$368, "&gt;="&amp;JP1,'Expenditure Breakdown'!$W$6:$W$368, "&lt;"&amp;JQ1)</f>
        <v>0</v>
      </c>
      <c r="JQ11" s="204">
        <f>SUMIFS('Expenditure Breakdown'!$Q$6:$Q$368, 'Expenditure Breakdown'!$W$6:$W$368, "&gt;="&amp;JQ1,'Expenditure Breakdown'!$W$6:$W$368, "&lt;"&amp;JR1)</f>
        <v>0</v>
      </c>
      <c r="JR11" s="204">
        <f>SUMIFS('Expenditure Breakdown'!$Q$6:$Q$368, 'Expenditure Breakdown'!$W$6:$W$368, "&gt;="&amp;JR1,'Expenditure Breakdown'!$W$6:$W$368, "&lt;"&amp;JS1)</f>
        <v>0</v>
      </c>
      <c r="JS11" s="204">
        <f>SUMIFS('Expenditure Breakdown'!$Q$6:$Q$368, 'Expenditure Breakdown'!$W$6:$W$368, "&gt;="&amp;JS1,'Expenditure Breakdown'!$W$6:$W$368, "&lt;"&amp;JT1)</f>
        <v>0</v>
      </c>
      <c r="JT11" s="204">
        <f>SUMIFS('Expenditure Breakdown'!$Q$6:$Q$368, 'Expenditure Breakdown'!$W$6:$W$368, "&gt;="&amp;JT1,'Expenditure Breakdown'!$W$6:$W$368, "&lt;"&amp;JU1)</f>
        <v>0</v>
      </c>
      <c r="JU11" s="204">
        <f>SUMIFS('Expenditure Breakdown'!$Q$6:$Q$368, 'Expenditure Breakdown'!$W$6:$W$368, "&gt;="&amp;JU1,'Expenditure Breakdown'!$W$6:$W$368, "&lt;"&amp;JV1)</f>
        <v>0</v>
      </c>
      <c r="JV11" s="204">
        <f>SUMIFS('Expenditure Breakdown'!$Q$6:$Q$368, 'Expenditure Breakdown'!$W$6:$W$368, "&gt;="&amp;JV1,'Expenditure Breakdown'!$W$6:$W$368, "&lt;"&amp;JW1)</f>
        <v>0</v>
      </c>
      <c r="JW11" s="204">
        <f>SUMIFS('Expenditure Breakdown'!$Q$6:$Q$368, 'Expenditure Breakdown'!$W$6:$W$368, "&gt;="&amp;JW1,'Expenditure Breakdown'!$W$6:$W$368, "&lt;"&amp;JX1)</f>
        <v>0</v>
      </c>
      <c r="JX11" s="204">
        <f>SUMIFS('Expenditure Breakdown'!$Q$6:$Q$368, 'Expenditure Breakdown'!$W$6:$W$368, "&gt;="&amp;JX1,'Expenditure Breakdown'!$W$6:$W$368, "&lt;"&amp;JY1)</f>
        <v>0</v>
      </c>
      <c r="JY11" s="204">
        <f>SUMIFS('Expenditure Breakdown'!$Q$6:$Q$368, 'Expenditure Breakdown'!$W$6:$W$368, "&gt;="&amp;JY1,'Expenditure Breakdown'!$W$6:$W$368, "&lt;"&amp;JZ1)</f>
        <v>0</v>
      </c>
      <c r="JZ11" s="204">
        <f>SUMIFS('Expenditure Breakdown'!$Q$6:$Q$368, 'Expenditure Breakdown'!$W$6:$W$368, "&gt;="&amp;JZ1,'Expenditure Breakdown'!$W$6:$W$368, "&lt;"&amp;KA1)</f>
        <v>0</v>
      </c>
      <c r="KA11" s="204">
        <f>SUMIFS('Expenditure Breakdown'!$Q$6:$Q$368, 'Expenditure Breakdown'!$W$6:$W$368, "&gt;="&amp;KA1,'Expenditure Breakdown'!$W$6:$W$368, "&lt;"&amp;KB1)</f>
        <v>0</v>
      </c>
      <c r="KB11" s="204">
        <f>SUMIFS('Expenditure Breakdown'!$Q$6:$Q$368, 'Expenditure Breakdown'!$W$6:$W$368, "&gt;="&amp;KB1,'Expenditure Breakdown'!$W$6:$W$368, "&lt;"&amp;KC1)</f>
        <v>0</v>
      </c>
      <c r="KC11" s="204">
        <f>SUMIFS('Expenditure Breakdown'!$Q$6:$Q$368, 'Expenditure Breakdown'!$W$6:$W$368, "&gt;="&amp;KC1,'Expenditure Breakdown'!$W$6:$W$368, "&lt;"&amp;KD1)</f>
        <v>0</v>
      </c>
      <c r="KD11" s="204">
        <f>SUMIFS('Expenditure Breakdown'!$Q$6:$Q$368, 'Expenditure Breakdown'!$W$6:$W$368, "&gt;="&amp;KD1,'Expenditure Breakdown'!$W$6:$W$368, "&lt;"&amp;KE1)</f>
        <v>0</v>
      </c>
      <c r="KE11" s="204">
        <f>SUMIFS('Expenditure Breakdown'!$Q$6:$Q$368, 'Expenditure Breakdown'!$W$6:$W$368, "&gt;="&amp;KE1,'Expenditure Breakdown'!$W$6:$W$368, "&lt;"&amp;KF1)</f>
        <v>0</v>
      </c>
      <c r="KF11" s="204">
        <f>SUMIFS('Expenditure Breakdown'!$Q$6:$Q$368, 'Expenditure Breakdown'!$W$6:$W$368, "&gt;="&amp;KF1,'Expenditure Breakdown'!$W$6:$W$368, "&lt;"&amp;KG1)</f>
        <v>0</v>
      </c>
      <c r="KG11" s="204">
        <f>SUMIFS('Expenditure Breakdown'!$Q$6:$Q$368, 'Expenditure Breakdown'!$W$6:$W$368, "&gt;="&amp;KG1,'Expenditure Breakdown'!$W$6:$W$368, "&lt;"&amp;KH1)</f>
        <v>0</v>
      </c>
      <c r="KH11" s="204">
        <f>SUMIFS('Expenditure Breakdown'!$Q$6:$Q$368, 'Expenditure Breakdown'!$W$6:$W$368, "&gt;="&amp;KH1,'Expenditure Breakdown'!$W$6:$W$368, "&lt;"&amp;KI1)</f>
        <v>0</v>
      </c>
      <c r="KI11" s="204">
        <f>SUMIFS('Expenditure Breakdown'!$Q$6:$Q$368, 'Expenditure Breakdown'!$W$6:$W$368, "&gt;="&amp;KI1,'Expenditure Breakdown'!$W$6:$W$368, "&lt;"&amp;KJ1)</f>
        <v>0</v>
      </c>
      <c r="KJ11" s="204">
        <f>SUMIFS('Expenditure Breakdown'!$Q$6:$Q$368, 'Expenditure Breakdown'!$W$6:$W$368, "&gt;="&amp;KJ1,'Expenditure Breakdown'!$W$6:$W$368, "&lt;"&amp;KK1)</f>
        <v>0</v>
      </c>
      <c r="KK11" s="204">
        <f>SUMIFS('Expenditure Breakdown'!$Q$6:$Q$368, 'Expenditure Breakdown'!$W$6:$W$368, "&gt;="&amp;KK1,'Expenditure Breakdown'!$W$6:$W$368, "&lt;"&amp;KL1)</f>
        <v>0</v>
      </c>
      <c r="KL11" s="204">
        <f>SUMIFS('Expenditure Breakdown'!$Q$6:$Q$368, 'Expenditure Breakdown'!$W$6:$W$368, "&gt;="&amp;KL1,'Expenditure Breakdown'!$W$6:$W$368, "&lt;"&amp;KM1)</f>
        <v>0</v>
      </c>
      <c r="KM11" s="204">
        <f>SUMIFS('Expenditure Breakdown'!$Q$6:$Q$368, 'Expenditure Breakdown'!$W$6:$W$368, "&gt;="&amp;KM1,'Expenditure Breakdown'!$W$6:$W$368, "&lt;"&amp;KN1)</f>
        <v>0</v>
      </c>
      <c r="KN11" s="204">
        <f>SUMIFS('Expenditure Breakdown'!$Q$6:$Q$368, 'Expenditure Breakdown'!$W$6:$W$368, "&gt;="&amp;KN1,'Expenditure Breakdown'!$W$6:$W$368, "&lt;"&amp;KO1)</f>
        <v>0</v>
      </c>
      <c r="KO11" s="204">
        <f>SUMIFS('Expenditure Breakdown'!$Q$6:$Q$368, 'Expenditure Breakdown'!$W$6:$W$368, "&gt;="&amp;KO1,'Expenditure Breakdown'!$W$6:$W$368, "&lt;"&amp;KP1)</f>
        <v>0</v>
      </c>
      <c r="KP11" s="204">
        <f>SUMIFS('Expenditure Breakdown'!$Q$6:$Q$368, 'Expenditure Breakdown'!$W$6:$W$368, "&gt;="&amp;KP1,'Expenditure Breakdown'!$W$6:$W$368, "&lt;"&amp;KQ1)</f>
        <v>0</v>
      </c>
      <c r="KQ11" s="204">
        <f>SUMIFS('Expenditure Breakdown'!$Q$6:$Q$368, 'Expenditure Breakdown'!$W$6:$W$368, "&gt;="&amp;KQ1,'Expenditure Breakdown'!$W$6:$W$368, "&lt;"&amp;KR1)</f>
        <v>0</v>
      </c>
      <c r="KR11" s="204">
        <f>SUMIFS('Expenditure Breakdown'!$Q$6:$Q$368, 'Expenditure Breakdown'!$W$6:$W$368, "&gt;="&amp;KR1,'Expenditure Breakdown'!$W$6:$W$368, "&lt;"&amp;KS1)</f>
        <v>0</v>
      </c>
      <c r="KS11" s="204">
        <f>SUMIFS('Expenditure Breakdown'!$Q$6:$Q$368, 'Expenditure Breakdown'!$W$6:$W$368, "&gt;="&amp;KS1,'Expenditure Breakdown'!$W$6:$W$368, "&lt;"&amp;KT1)</f>
        <v>0</v>
      </c>
      <c r="KT11" s="204">
        <f>SUMIFS('Expenditure Breakdown'!$Q$6:$Q$368, 'Expenditure Breakdown'!$W$6:$W$368, "&gt;="&amp;KT1,'Expenditure Breakdown'!$W$6:$W$368, "&lt;"&amp;KU1)</f>
        <v>0</v>
      </c>
      <c r="KU11" s="204">
        <f>SUMIFS('Expenditure Breakdown'!$Q$6:$Q$368, 'Expenditure Breakdown'!$W$6:$W$368, "&gt;="&amp;KU1,'Expenditure Breakdown'!$W$6:$W$368, "&lt;"&amp;KV1)</f>
        <v>0</v>
      </c>
      <c r="KV11" s="204">
        <f>SUMIFS('Expenditure Breakdown'!$Q$6:$Q$368, 'Expenditure Breakdown'!$W$6:$W$368, "&gt;="&amp;KV1,'Expenditure Breakdown'!$W$6:$W$368, "&lt;"&amp;KW1)</f>
        <v>0</v>
      </c>
      <c r="KW11" s="204">
        <f>SUMIFS('Expenditure Breakdown'!$Q$6:$Q$368, 'Expenditure Breakdown'!$W$6:$W$368, "&gt;="&amp;KW1,'Expenditure Breakdown'!$W$6:$W$368, "&lt;"&amp;KX1)</f>
        <v>0</v>
      </c>
      <c r="KX11" s="204">
        <f>SUMIFS('Expenditure Breakdown'!$Q$6:$Q$368, 'Expenditure Breakdown'!$W$6:$W$368, "&gt;="&amp;KX1,'Expenditure Breakdown'!$W$6:$W$368, "&lt;"&amp;KY1)</f>
        <v>0</v>
      </c>
      <c r="KY11" s="204">
        <f>SUMIFS('Expenditure Breakdown'!$Q$6:$Q$368, 'Expenditure Breakdown'!$W$6:$W$368, "&gt;="&amp;KY1,'Expenditure Breakdown'!$W$6:$W$368, "&lt;"&amp;KZ1)</f>
        <v>0</v>
      </c>
      <c r="KZ11" s="204">
        <f>SUMIFS('Expenditure Breakdown'!$Q$6:$Q$368, 'Expenditure Breakdown'!$W$6:$W$368, "&gt;="&amp;KZ1,'Expenditure Breakdown'!$W$6:$W$368, "&lt;"&amp;LA1)</f>
        <v>0</v>
      </c>
      <c r="LA11" s="204">
        <f>SUMIFS('Expenditure Breakdown'!$Q$6:$Q$368, 'Expenditure Breakdown'!$W$6:$W$368, "&gt;="&amp;LA1,'Expenditure Breakdown'!$W$6:$W$368, "&lt;"&amp;LB1)</f>
        <v>0</v>
      </c>
      <c r="LB11" s="204">
        <f>SUMIFS('Expenditure Breakdown'!$Q$6:$Q$368, 'Expenditure Breakdown'!$W$6:$W$368, "&gt;="&amp;LB1,'Expenditure Breakdown'!$W$6:$W$368, "&lt;"&amp;LC1)</f>
        <v>0</v>
      </c>
      <c r="LC11" s="204">
        <f>SUMIFS('Expenditure Breakdown'!$Q$6:$Q$368, 'Expenditure Breakdown'!$W$6:$W$368, "&gt;="&amp;LC1,'Expenditure Breakdown'!$W$6:$W$368, "&lt;"&amp;LD1)</f>
        <v>0</v>
      </c>
      <c r="LD11" s="204">
        <f>SUMIFS('Expenditure Breakdown'!$Q$6:$Q$368, 'Expenditure Breakdown'!$W$6:$W$368, "&gt;="&amp;LD1,'Expenditure Breakdown'!$W$6:$W$368, "&lt;"&amp;LE1)</f>
        <v>0</v>
      </c>
      <c r="LE11" s="181"/>
      <c r="LF11" s="192"/>
      <c r="LG11" s="192"/>
    </row>
    <row r="12" spans="1:794" s="193" customFormat="1">
      <c r="A12" s="930"/>
      <c r="B12" s="202" t="s">
        <v>736</v>
      </c>
      <c r="C12" s="203"/>
      <c r="D12" s="203"/>
      <c r="E12" s="187"/>
      <c r="F12" s="204">
        <f>F11</f>
        <v>0</v>
      </c>
      <c r="G12" s="204">
        <f>F12+G11</f>
        <v>0</v>
      </c>
      <c r="H12" s="204">
        <f>G12+H11</f>
        <v>0</v>
      </c>
      <c r="I12" s="204">
        <f t="shared" ref="I12:BT12" si="26">H12+I11</f>
        <v>0</v>
      </c>
      <c r="J12" s="204">
        <f t="shared" si="26"/>
        <v>0</v>
      </c>
      <c r="K12" s="204">
        <f t="shared" si="26"/>
        <v>0</v>
      </c>
      <c r="L12" s="204">
        <f t="shared" si="26"/>
        <v>0</v>
      </c>
      <c r="M12" s="204">
        <f t="shared" si="26"/>
        <v>0</v>
      </c>
      <c r="N12" s="204">
        <f t="shared" si="26"/>
        <v>0</v>
      </c>
      <c r="O12" s="204">
        <f t="shared" si="26"/>
        <v>0</v>
      </c>
      <c r="P12" s="204">
        <f t="shared" si="26"/>
        <v>0</v>
      </c>
      <c r="Q12" s="204">
        <f t="shared" si="26"/>
        <v>0</v>
      </c>
      <c r="R12" s="204">
        <f t="shared" si="26"/>
        <v>0</v>
      </c>
      <c r="S12" s="204">
        <f t="shared" si="26"/>
        <v>0</v>
      </c>
      <c r="T12" s="204">
        <f t="shared" si="26"/>
        <v>0</v>
      </c>
      <c r="U12" s="204">
        <f t="shared" si="26"/>
        <v>0</v>
      </c>
      <c r="V12" s="204">
        <f t="shared" si="26"/>
        <v>0</v>
      </c>
      <c r="W12" s="204">
        <f t="shared" si="26"/>
        <v>0</v>
      </c>
      <c r="X12" s="204">
        <f t="shared" si="26"/>
        <v>0</v>
      </c>
      <c r="Y12" s="204">
        <f t="shared" si="26"/>
        <v>0</v>
      </c>
      <c r="Z12" s="204">
        <f t="shared" si="26"/>
        <v>2875421.9278117996</v>
      </c>
      <c r="AA12" s="204">
        <f t="shared" si="26"/>
        <v>5826389.5278117992</v>
      </c>
      <c r="AB12" s="204">
        <f t="shared" si="26"/>
        <v>8029695.4678117987</v>
      </c>
      <c r="AC12" s="204">
        <f t="shared" si="26"/>
        <v>8045866.3078117985</v>
      </c>
      <c r="AD12" s="204">
        <f t="shared" si="26"/>
        <v>8056266.3078117985</v>
      </c>
      <c r="AE12" s="204">
        <f t="shared" si="26"/>
        <v>9947502.8078117985</v>
      </c>
      <c r="AF12" s="204">
        <f t="shared" si="26"/>
        <v>9966708.3078117985</v>
      </c>
      <c r="AG12" s="204">
        <f t="shared" si="26"/>
        <v>10957012.567811798</v>
      </c>
      <c r="AH12" s="204">
        <f t="shared" si="26"/>
        <v>10978558.547811799</v>
      </c>
      <c r="AI12" s="204">
        <f t="shared" si="26"/>
        <v>10981686.317811798</v>
      </c>
      <c r="AJ12" s="204">
        <f t="shared" si="26"/>
        <v>10995440.177811798</v>
      </c>
      <c r="AK12" s="204">
        <f t="shared" si="26"/>
        <v>12794392.997811798</v>
      </c>
      <c r="AL12" s="204">
        <f t="shared" si="26"/>
        <v>17568976.527811795</v>
      </c>
      <c r="AM12" s="204">
        <f t="shared" si="26"/>
        <v>18166497.517811794</v>
      </c>
      <c r="AN12" s="204">
        <f t="shared" si="26"/>
        <v>18166497.517811794</v>
      </c>
      <c r="AO12" s="204">
        <f t="shared" si="26"/>
        <v>19680393.369985707</v>
      </c>
      <c r="AP12" s="204">
        <f t="shared" si="26"/>
        <v>22392180.479985707</v>
      </c>
      <c r="AQ12" s="204">
        <f t="shared" si="26"/>
        <v>22817885.629985705</v>
      </c>
      <c r="AR12" s="204">
        <f t="shared" si="26"/>
        <v>26759450.509985708</v>
      </c>
      <c r="AS12" s="204">
        <f t="shared" si="26"/>
        <v>26759450.509985708</v>
      </c>
      <c r="AT12" s="204">
        <f t="shared" si="26"/>
        <v>27180219.279985707</v>
      </c>
      <c r="AU12" s="204">
        <f t="shared" si="26"/>
        <v>27244946.159985706</v>
      </c>
      <c r="AV12" s="204">
        <f t="shared" si="26"/>
        <v>27261665.159985706</v>
      </c>
      <c r="AW12" s="204">
        <f t="shared" si="26"/>
        <v>27261665.159985706</v>
      </c>
      <c r="AX12" s="204">
        <f t="shared" si="26"/>
        <v>32156807.088620007</v>
      </c>
      <c r="AY12" s="204">
        <f t="shared" si="26"/>
        <v>32937770.808620006</v>
      </c>
      <c r="AZ12" s="204">
        <f t="shared" si="26"/>
        <v>33099180.858620007</v>
      </c>
      <c r="BA12" s="204">
        <f t="shared" si="26"/>
        <v>34030948.758620009</v>
      </c>
      <c r="BB12" s="204">
        <f t="shared" si="26"/>
        <v>34540266.758620009</v>
      </c>
      <c r="BC12" s="204">
        <f t="shared" si="26"/>
        <v>34763677.758620009</v>
      </c>
      <c r="BD12" s="204">
        <f t="shared" si="26"/>
        <v>36910351.866446093</v>
      </c>
      <c r="BE12" s="204">
        <f t="shared" si="26"/>
        <v>38041800.996880874</v>
      </c>
      <c r="BF12" s="204">
        <f t="shared" si="26"/>
        <v>40369538.955880873</v>
      </c>
      <c r="BG12" s="204">
        <f t="shared" si="26"/>
        <v>44338249.176446088</v>
      </c>
      <c r="BH12" s="204">
        <f t="shared" si="26"/>
        <v>44374824.026446089</v>
      </c>
      <c r="BI12" s="204">
        <f t="shared" si="26"/>
        <v>44978004.026446089</v>
      </c>
      <c r="BJ12" s="204">
        <f t="shared" si="26"/>
        <v>45270504.026446089</v>
      </c>
      <c r="BK12" s="204">
        <f t="shared" si="26"/>
        <v>46774282.566446088</v>
      </c>
      <c r="BL12" s="204">
        <f t="shared" si="26"/>
        <v>46774282.566446088</v>
      </c>
      <c r="BM12" s="204">
        <f t="shared" si="26"/>
        <v>46809882.566446088</v>
      </c>
      <c r="BN12" s="204">
        <f t="shared" si="26"/>
        <v>47086382.566446088</v>
      </c>
      <c r="BO12" s="204">
        <f t="shared" si="26"/>
        <v>47135132.566446088</v>
      </c>
      <c r="BP12" s="204">
        <f t="shared" si="26"/>
        <v>48692191.566446088</v>
      </c>
      <c r="BQ12" s="204">
        <f t="shared" si="26"/>
        <v>48692191.566446088</v>
      </c>
      <c r="BR12" s="204">
        <f t="shared" si="26"/>
        <v>48692191.566446088</v>
      </c>
      <c r="BS12" s="204">
        <f t="shared" si="26"/>
        <v>48692191.566446088</v>
      </c>
      <c r="BT12" s="204">
        <f t="shared" si="26"/>
        <v>48692191.566446088</v>
      </c>
      <c r="BU12" s="204">
        <f t="shared" ref="BU12:EF12" si="27">BT12+BU11</f>
        <v>48692191.566446088</v>
      </c>
      <c r="BV12" s="204">
        <f t="shared" si="27"/>
        <v>48692191.566446088</v>
      </c>
      <c r="BW12" s="204">
        <f t="shared" si="27"/>
        <v>48692191.566446088</v>
      </c>
      <c r="BX12" s="204">
        <f t="shared" si="27"/>
        <v>48692191.566446088</v>
      </c>
      <c r="BY12" s="204">
        <f t="shared" si="27"/>
        <v>48692191.566446088</v>
      </c>
      <c r="BZ12" s="204">
        <f t="shared" si="27"/>
        <v>48692191.566446088</v>
      </c>
      <c r="CA12" s="204">
        <f t="shared" si="27"/>
        <v>48692191.566446088</v>
      </c>
      <c r="CB12" s="204">
        <f t="shared" si="27"/>
        <v>48692191.566446088</v>
      </c>
      <c r="CC12" s="204">
        <f t="shared" si="27"/>
        <v>48692191.566446088</v>
      </c>
      <c r="CD12" s="204">
        <f t="shared" si="27"/>
        <v>48692191.566446088</v>
      </c>
      <c r="CE12" s="204">
        <f t="shared" si="27"/>
        <v>48692191.566446088</v>
      </c>
      <c r="CF12" s="204">
        <f t="shared" si="27"/>
        <v>48692191.566446088</v>
      </c>
      <c r="CG12" s="204">
        <f t="shared" si="27"/>
        <v>48692191.566446088</v>
      </c>
      <c r="CH12" s="204">
        <f t="shared" si="27"/>
        <v>48692191.566446088</v>
      </c>
      <c r="CI12" s="204">
        <f t="shared" si="27"/>
        <v>48692191.566446088</v>
      </c>
      <c r="CJ12" s="204">
        <f t="shared" si="27"/>
        <v>48692191.566446088</v>
      </c>
      <c r="CK12" s="204">
        <f t="shared" si="27"/>
        <v>48692191.566446088</v>
      </c>
      <c r="CL12" s="204">
        <f t="shared" si="27"/>
        <v>48692191.566446088</v>
      </c>
      <c r="CM12" s="204">
        <f t="shared" si="27"/>
        <v>48692191.566446088</v>
      </c>
      <c r="CN12" s="204">
        <f t="shared" si="27"/>
        <v>48692191.566446088</v>
      </c>
      <c r="CO12" s="204">
        <f t="shared" si="27"/>
        <v>48692191.566446088</v>
      </c>
      <c r="CP12" s="204">
        <f t="shared" si="27"/>
        <v>48692191.566446088</v>
      </c>
      <c r="CQ12" s="204">
        <f t="shared" si="27"/>
        <v>48692191.566446088</v>
      </c>
      <c r="CR12" s="204">
        <f t="shared" si="27"/>
        <v>48692191.566446088</v>
      </c>
      <c r="CS12" s="204">
        <f t="shared" si="27"/>
        <v>48692191.566446088</v>
      </c>
      <c r="CT12" s="204">
        <f t="shared" si="27"/>
        <v>48692191.566446088</v>
      </c>
      <c r="CU12" s="204">
        <f t="shared" si="27"/>
        <v>48692191.566446088</v>
      </c>
      <c r="CV12" s="204">
        <f t="shared" si="27"/>
        <v>48692191.566446088</v>
      </c>
      <c r="CW12" s="204">
        <f t="shared" si="27"/>
        <v>48692191.566446088</v>
      </c>
      <c r="CX12" s="204">
        <f t="shared" si="27"/>
        <v>48692191.566446088</v>
      </c>
      <c r="CY12" s="204">
        <f t="shared" si="27"/>
        <v>48692191.566446088</v>
      </c>
      <c r="CZ12" s="204">
        <f t="shared" si="27"/>
        <v>48692191.566446088</v>
      </c>
      <c r="DA12" s="204">
        <f t="shared" si="27"/>
        <v>48692191.566446088</v>
      </c>
      <c r="DB12" s="204">
        <f t="shared" si="27"/>
        <v>48692191.566446088</v>
      </c>
      <c r="DC12" s="204">
        <f t="shared" si="27"/>
        <v>48692191.566446088</v>
      </c>
      <c r="DD12" s="204">
        <f t="shared" si="27"/>
        <v>48692191.566446088</v>
      </c>
      <c r="DE12" s="204">
        <f t="shared" si="27"/>
        <v>48692191.566446088</v>
      </c>
      <c r="DF12" s="204">
        <f t="shared" si="27"/>
        <v>48692191.566446088</v>
      </c>
      <c r="DG12" s="204">
        <f t="shared" si="27"/>
        <v>48692191.566446088</v>
      </c>
      <c r="DH12" s="204">
        <f t="shared" si="27"/>
        <v>48692191.566446088</v>
      </c>
      <c r="DI12" s="204">
        <f t="shared" si="27"/>
        <v>48692191.566446088</v>
      </c>
      <c r="DJ12" s="204">
        <f t="shared" si="27"/>
        <v>48692191.566446088</v>
      </c>
      <c r="DK12" s="204">
        <f t="shared" si="27"/>
        <v>48692191.566446088</v>
      </c>
      <c r="DL12" s="204">
        <f t="shared" si="27"/>
        <v>48692191.566446088</v>
      </c>
      <c r="DM12" s="204">
        <f t="shared" si="27"/>
        <v>48692191.566446088</v>
      </c>
      <c r="DN12" s="204">
        <f t="shared" si="27"/>
        <v>48692191.566446088</v>
      </c>
      <c r="DO12" s="204">
        <f t="shared" si="27"/>
        <v>48692191.566446088</v>
      </c>
      <c r="DP12" s="204">
        <f t="shared" si="27"/>
        <v>48692191.566446088</v>
      </c>
      <c r="DQ12" s="204">
        <f t="shared" si="27"/>
        <v>48692191.566446088</v>
      </c>
      <c r="DR12" s="204">
        <f t="shared" si="27"/>
        <v>48692191.566446088</v>
      </c>
      <c r="DS12" s="204">
        <f t="shared" si="27"/>
        <v>48692191.566446088</v>
      </c>
      <c r="DT12" s="204">
        <f t="shared" si="27"/>
        <v>48692191.566446088</v>
      </c>
      <c r="DU12" s="204">
        <f t="shared" si="27"/>
        <v>48692191.566446088</v>
      </c>
      <c r="DV12" s="204">
        <f t="shared" si="27"/>
        <v>48692191.566446088</v>
      </c>
      <c r="DW12" s="204">
        <f t="shared" si="27"/>
        <v>48692191.566446088</v>
      </c>
      <c r="DX12" s="204">
        <f t="shared" si="27"/>
        <v>48692191.566446088</v>
      </c>
      <c r="DY12" s="204">
        <f t="shared" si="27"/>
        <v>48692191.566446088</v>
      </c>
      <c r="DZ12" s="204">
        <f t="shared" si="27"/>
        <v>48692191.566446088</v>
      </c>
      <c r="EA12" s="204">
        <f t="shared" si="27"/>
        <v>48692191.566446088</v>
      </c>
      <c r="EB12" s="204">
        <f t="shared" si="27"/>
        <v>48692191.566446088</v>
      </c>
      <c r="EC12" s="204">
        <f t="shared" si="27"/>
        <v>48692191.566446088</v>
      </c>
      <c r="ED12" s="204">
        <f t="shared" si="27"/>
        <v>48692191.566446088</v>
      </c>
      <c r="EE12" s="204">
        <f t="shared" si="27"/>
        <v>48692191.566446088</v>
      </c>
      <c r="EF12" s="204">
        <f t="shared" si="27"/>
        <v>48692191.566446088</v>
      </c>
      <c r="EG12" s="204">
        <f t="shared" ref="EG12:GR12" si="28">EF12+EG11</f>
        <v>48692191.566446088</v>
      </c>
      <c r="EH12" s="204">
        <f t="shared" si="28"/>
        <v>48692191.566446088</v>
      </c>
      <c r="EI12" s="204">
        <f t="shared" si="28"/>
        <v>48692191.566446088</v>
      </c>
      <c r="EJ12" s="204">
        <f t="shared" si="28"/>
        <v>48692191.566446088</v>
      </c>
      <c r="EK12" s="204">
        <f t="shared" si="28"/>
        <v>48692191.566446088</v>
      </c>
      <c r="EL12" s="204">
        <f t="shared" si="28"/>
        <v>48692191.566446088</v>
      </c>
      <c r="EM12" s="204">
        <f t="shared" si="28"/>
        <v>48692191.566446088</v>
      </c>
      <c r="EN12" s="204">
        <f t="shared" si="28"/>
        <v>48692191.566446088</v>
      </c>
      <c r="EO12" s="204">
        <f t="shared" si="28"/>
        <v>48692191.566446088</v>
      </c>
      <c r="EP12" s="204">
        <f t="shared" si="28"/>
        <v>48692191.566446088</v>
      </c>
      <c r="EQ12" s="204">
        <f t="shared" si="28"/>
        <v>48692191.566446088</v>
      </c>
      <c r="ER12" s="204">
        <f t="shared" si="28"/>
        <v>48692191.566446088</v>
      </c>
      <c r="ES12" s="204">
        <f t="shared" si="28"/>
        <v>48692191.566446088</v>
      </c>
      <c r="ET12" s="204">
        <f t="shared" si="28"/>
        <v>48692191.566446088</v>
      </c>
      <c r="EU12" s="204">
        <f t="shared" si="28"/>
        <v>48692191.566446088</v>
      </c>
      <c r="EV12" s="204">
        <f t="shared" si="28"/>
        <v>48692191.566446088</v>
      </c>
      <c r="EW12" s="204">
        <f t="shared" si="28"/>
        <v>48692191.566446088</v>
      </c>
      <c r="EX12" s="204">
        <f t="shared" si="28"/>
        <v>48692191.566446088</v>
      </c>
      <c r="EY12" s="204">
        <f t="shared" si="28"/>
        <v>48692191.566446088</v>
      </c>
      <c r="EZ12" s="204">
        <f t="shared" si="28"/>
        <v>48692191.566446088</v>
      </c>
      <c r="FA12" s="204">
        <f t="shared" si="28"/>
        <v>48692191.566446088</v>
      </c>
      <c r="FB12" s="204">
        <f t="shared" si="28"/>
        <v>48692191.566446088</v>
      </c>
      <c r="FC12" s="204">
        <f t="shared" si="28"/>
        <v>48692191.566446088</v>
      </c>
      <c r="FD12" s="204">
        <f t="shared" si="28"/>
        <v>48692191.566446088</v>
      </c>
      <c r="FE12" s="204">
        <f t="shared" si="28"/>
        <v>48692191.566446088</v>
      </c>
      <c r="FF12" s="204">
        <f t="shared" si="28"/>
        <v>48692191.566446088</v>
      </c>
      <c r="FG12" s="204">
        <f t="shared" si="28"/>
        <v>48692191.566446088</v>
      </c>
      <c r="FH12" s="204">
        <f t="shared" si="28"/>
        <v>48692191.566446088</v>
      </c>
      <c r="FI12" s="204">
        <f t="shared" si="28"/>
        <v>48692191.566446088</v>
      </c>
      <c r="FJ12" s="204">
        <f t="shared" si="28"/>
        <v>48692191.566446088</v>
      </c>
      <c r="FK12" s="204">
        <f t="shared" si="28"/>
        <v>48692191.566446088</v>
      </c>
      <c r="FL12" s="204">
        <f t="shared" si="28"/>
        <v>48692191.566446088</v>
      </c>
      <c r="FM12" s="204">
        <f t="shared" si="28"/>
        <v>48692191.566446088</v>
      </c>
      <c r="FN12" s="204">
        <f t="shared" si="28"/>
        <v>48692191.566446088</v>
      </c>
      <c r="FO12" s="204">
        <f t="shared" si="28"/>
        <v>48692191.566446088</v>
      </c>
      <c r="FP12" s="204">
        <f t="shared" si="28"/>
        <v>48692191.566446088</v>
      </c>
      <c r="FQ12" s="204">
        <f t="shared" si="28"/>
        <v>48692191.566446088</v>
      </c>
      <c r="FR12" s="204">
        <f t="shared" si="28"/>
        <v>48692191.566446088</v>
      </c>
      <c r="FS12" s="204">
        <f t="shared" si="28"/>
        <v>48692191.566446088</v>
      </c>
      <c r="FT12" s="204">
        <f t="shared" si="28"/>
        <v>48692191.566446088</v>
      </c>
      <c r="FU12" s="204">
        <f t="shared" si="28"/>
        <v>48692191.566446088</v>
      </c>
      <c r="FV12" s="204">
        <f t="shared" si="28"/>
        <v>48692191.566446088</v>
      </c>
      <c r="FW12" s="204">
        <f t="shared" si="28"/>
        <v>48692191.566446088</v>
      </c>
      <c r="FX12" s="204">
        <f t="shared" si="28"/>
        <v>48692191.566446088</v>
      </c>
      <c r="FY12" s="204">
        <f t="shared" si="28"/>
        <v>48692191.566446088</v>
      </c>
      <c r="FZ12" s="204">
        <f t="shared" si="28"/>
        <v>48692191.566446088</v>
      </c>
      <c r="GA12" s="204">
        <f t="shared" si="28"/>
        <v>48692191.566446088</v>
      </c>
      <c r="GB12" s="204">
        <f t="shared" si="28"/>
        <v>48692191.566446088</v>
      </c>
      <c r="GC12" s="204">
        <f t="shared" si="28"/>
        <v>48692191.566446088</v>
      </c>
      <c r="GD12" s="204">
        <f t="shared" si="28"/>
        <v>48692191.566446088</v>
      </c>
      <c r="GE12" s="204">
        <f t="shared" si="28"/>
        <v>48692191.566446088</v>
      </c>
      <c r="GF12" s="204">
        <f t="shared" si="28"/>
        <v>48692191.566446088</v>
      </c>
      <c r="GG12" s="204">
        <f t="shared" si="28"/>
        <v>48692191.566446088</v>
      </c>
      <c r="GH12" s="204">
        <f t="shared" si="28"/>
        <v>48692191.566446088</v>
      </c>
      <c r="GI12" s="204">
        <f t="shared" si="28"/>
        <v>48692191.566446088</v>
      </c>
      <c r="GJ12" s="204">
        <f t="shared" si="28"/>
        <v>48692191.566446088</v>
      </c>
      <c r="GK12" s="204">
        <f t="shared" si="28"/>
        <v>48692191.566446088</v>
      </c>
      <c r="GL12" s="204">
        <f t="shared" si="28"/>
        <v>48692191.566446088</v>
      </c>
      <c r="GM12" s="204">
        <f t="shared" si="28"/>
        <v>48692191.566446088</v>
      </c>
      <c r="GN12" s="204">
        <f t="shared" si="28"/>
        <v>48692191.566446088</v>
      </c>
      <c r="GO12" s="204">
        <f t="shared" si="28"/>
        <v>48692191.566446088</v>
      </c>
      <c r="GP12" s="204">
        <f t="shared" si="28"/>
        <v>48692191.566446088</v>
      </c>
      <c r="GQ12" s="204">
        <f t="shared" si="28"/>
        <v>48692191.566446088</v>
      </c>
      <c r="GR12" s="204">
        <f t="shared" si="28"/>
        <v>48692191.566446088</v>
      </c>
      <c r="GS12" s="204">
        <f t="shared" ref="GS12:JD12" si="29">GR12+GS11</f>
        <v>48692191.566446088</v>
      </c>
      <c r="GT12" s="204">
        <f t="shared" si="29"/>
        <v>48692191.566446088</v>
      </c>
      <c r="GU12" s="204">
        <f t="shared" si="29"/>
        <v>48692191.566446088</v>
      </c>
      <c r="GV12" s="204">
        <f t="shared" si="29"/>
        <v>48692191.566446088</v>
      </c>
      <c r="GW12" s="204">
        <f t="shared" si="29"/>
        <v>48692191.566446088</v>
      </c>
      <c r="GX12" s="204">
        <f t="shared" si="29"/>
        <v>48692191.566446088</v>
      </c>
      <c r="GY12" s="204">
        <f t="shared" si="29"/>
        <v>48692191.566446088</v>
      </c>
      <c r="GZ12" s="204">
        <f t="shared" si="29"/>
        <v>48692191.566446088</v>
      </c>
      <c r="HA12" s="204">
        <f t="shared" si="29"/>
        <v>48692191.566446088</v>
      </c>
      <c r="HB12" s="204">
        <f t="shared" si="29"/>
        <v>48692191.566446088</v>
      </c>
      <c r="HC12" s="204">
        <f t="shared" si="29"/>
        <v>48692191.566446088</v>
      </c>
      <c r="HD12" s="204">
        <f t="shared" si="29"/>
        <v>48692191.566446088</v>
      </c>
      <c r="HE12" s="204">
        <f t="shared" si="29"/>
        <v>48692191.566446088</v>
      </c>
      <c r="HF12" s="204">
        <f t="shared" si="29"/>
        <v>48692191.566446088</v>
      </c>
      <c r="HG12" s="204">
        <f t="shared" si="29"/>
        <v>48692191.566446088</v>
      </c>
      <c r="HH12" s="204">
        <f t="shared" si="29"/>
        <v>48692191.566446088</v>
      </c>
      <c r="HI12" s="204">
        <f t="shared" si="29"/>
        <v>48692191.566446088</v>
      </c>
      <c r="HJ12" s="204">
        <f t="shared" si="29"/>
        <v>48692191.566446088</v>
      </c>
      <c r="HK12" s="204">
        <f t="shared" si="29"/>
        <v>48692191.566446088</v>
      </c>
      <c r="HL12" s="204">
        <f t="shared" si="29"/>
        <v>48692191.566446088</v>
      </c>
      <c r="HM12" s="204">
        <f t="shared" si="29"/>
        <v>48692191.566446088</v>
      </c>
      <c r="HN12" s="204">
        <f t="shared" si="29"/>
        <v>48692191.566446088</v>
      </c>
      <c r="HO12" s="204">
        <f t="shared" si="29"/>
        <v>48692191.566446088</v>
      </c>
      <c r="HP12" s="204">
        <f t="shared" si="29"/>
        <v>48692191.566446088</v>
      </c>
      <c r="HQ12" s="204">
        <f t="shared" si="29"/>
        <v>48692191.566446088</v>
      </c>
      <c r="HR12" s="204">
        <f t="shared" si="29"/>
        <v>48692191.566446088</v>
      </c>
      <c r="HS12" s="204">
        <f t="shared" si="29"/>
        <v>48692191.566446088</v>
      </c>
      <c r="HT12" s="204">
        <f t="shared" si="29"/>
        <v>48692191.566446088</v>
      </c>
      <c r="HU12" s="204">
        <f t="shared" si="29"/>
        <v>48692191.566446088</v>
      </c>
      <c r="HV12" s="204">
        <f t="shared" si="29"/>
        <v>48692191.566446088</v>
      </c>
      <c r="HW12" s="204">
        <f t="shared" si="29"/>
        <v>48692191.566446088</v>
      </c>
      <c r="HX12" s="204">
        <f t="shared" si="29"/>
        <v>48692191.566446088</v>
      </c>
      <c r="HY12" s="204">
        <f t="shared" si="29"/>
        <v>48692191.566446088</v>
      </c>
      <c r="HZ12" s="204">
        <f t="shared" si="29"/>
        <v>48692191.566446088</v>
      </c>
      <c r="IA12" s="204">
        <f t="shared" si="29"/>
        <v>48692191.566446088</v>
      </c>
      <c r="IB12" s="204">
        <f t="shared" si="29"/>
        <v>48692191.566446088</v>
      </c>
      <c r="IC12" s="204">
        <f t="shared" si="29"/>
        <v>48692191.566446088</v>
      </c>
      <c r="ID12" s="204">
        <f t="shared" si="29"/>
        <v>48692191.566446088</v>
      </c>
      <c r="IE12" s="204">
        <f t="shared" si="29"/>
        <v>48692191.566446088</v>
      </c>
      <c r="IF12" s="204">
        <f t="shared" si="29"/>
        <v>48692191.566446088</v>
      </c>
      <c r="IG12" s="204">
        <f t="shared" si="29"/>
        <v>48692191.566446088</v>
      </c>
      <c r="IH12" s="204">
        <f t="shared" si="29"/>
        <v>48692191.566446088</v>
      </c>
      <c r="II12" s="204">
        <f t="shared" si="29"/>
        <v>48692191.566446088</v>
      </c>
      <c r="IJ12" s="204">
        <f t="shared" si="29"/>
        <v>48692191.566446088</v>
      </c>
      <c r="IK12" s="204">
        <f t="shared" si="29"/>
        <v>48692191.566446088</v>
      </c>
      <c r="IL12" s="204">
        <f t="shared" si="29"/>
        <v>48692191.566446088</v>
      </c>
      <c r="IM12" s="204">
        <f t="shared" si="29"/>
        <v>48692191.566446088</v>
      </c>
      <c r="IN12" s="204">
        <f t="shared" si="29"/>
        <v>48692191.566446088</v>
      </c>
      <c r="IO12" s="204">
        <f t="shared" si="29"/>
        <v>48692191.566446088</v>
      </c>
      <c r="IP12" s="204">
        <f t="shared" si="29"/>
        <v>48692191.566446088</v>
      </c>
      <c r="IQ12" s="204">
        <f t="shared" si="29"/>
        <v>48692191.566446088</v>
      </c>
      <c r="IR12" s="204">
        <f t="shared" si="29"/>
        <v>48692191.566446088</v>
      </c>
      <c r="IS12" s="204">
        <f t="shared" si="29"/>
        <v>48692191.566446088</v>
      </c>
      <c r="IT12" s="204">
        <f t="shared" si="29"/>
        <v>48692191.566446088</v>
      </c>
      <c r="IU12" s="204">
        <f t="shared" si="29"/>
        <v>48692191.566446088</v>
      </c>
      <c r="IV12" s="204">
        <f t="shared" si="29"/>
        <v>48692191.566446088</v>
      </c>
      <c r="IW12" s="204">
        <f t="shared" si="29"/>
        <v>48692191.566446088</v>
      </c>
      <c r="IX12" s="204">
        <f t="shared" si="29"/>
        <v>48692191.566446088</v>
      </c>
      <c r="IY12" s="204">
        <f t="shared" si="29"/>
        <v>48692191.566446088</v>
      </c>
      <c r="IZ12" s="204">
        <f t="shared" si="29"/>
        <v>48692191.566446088</v>
      </c>
      <c r="JA12" s="204">
        <f t="shared" si="29"/>
        <v>48692191.566446088</v>
      </c>
      <c r="JB12" s="204">
        <f t="shared" si="29"/>
        <v>48692191.566446088</v>
      </c>
      <c r="JC12" s="204">
        <f t="shared" si="29"/>
        <v>48692191.566446088</v>
      </c>
      <c r="JD12" s="204">
        <f t="shared" si="29"/>
        <v>48692191.566446088</v>
      </c>
      <c r="JE12" s="204">
        <f t="shared" ref="JE12:LD12" si="30">JD12+JE11</f>
        <v>48692191.566446088</v>
      </c>
      <c r="JF12" s="204">
        <f t="shared" si="30"/>
        <v>48692191.566446088</v>
      </c>
      <c r="JG12" s="204">
        <f t="shared" si="30"/>
        <v>48692191.566446088</v>
      </c>
      <c r="JH12" s="204">
        <f t="shared" si="30"/>
        <v>48692191.566446088</v>
      </c>
      <c r="JI12" s="204">
        <f t="shared" si="30"/>
        <v>48692191.566446088</v>
      </c>
      <c r="JJ12" s="204">
        <f t="shared" si="30"/>
        <v>48692191.566446088</v>
      </c>
      <c r="JK12" s="204">
        <f t="shared" si="30"/>
        <v>48692191.566446088</v>
      </c>
      <c r="JL12" s="204">
        <f t="shared" si="30"/>
        <v>48692191.566446088</v>
      </c>
      <c r="JM12" s="204">
        <f t="shared" si="30"/>
        <v>48692191.566446088</v>
      </c>
      <c r="JN12" s="204">
        <f t="shared" si="30"/>
        <v>48692191.566446088</v>
      </c>
      <c r="JO12" s="204">
        <f t="shared" si="30"/>
        <v>48692191.566446088</v>
      </c>
      <c r="JP12" s="204">
        <f t="shared" si="30"/>
        <v>48692191.566446088</v>
      </c>
      <c r="JQ12" s="204">
        <f t="shared" si="30"/>
        <v>48692191.566446088</v>
      </c>
      <c r="JR12" s="204">
        <f t="shared" si="30"/>
        <v>48692191.566446088</v>
      </c>
      <c r="JS12" s="204">
        <f t="shared" si="30"/>
        <v>48692191.566446088</v>
      </c>
      <c r="JT12" s="204">
        <f t="shared" si="30"/>
        <v>48692191.566446088</v>
      </c>
      <c r="JU12" s="204">
        <f t="shared" si="30"/>
        <v>48692191.566446088</v>
      </c>
      <c r="JV12" s="204">
        <f t="shared" si="30"/>
        <v>48692191.566446088</v>
      </c>
      <c r="JW12" s="204">
        <f t="shared" si="30"/>
        <v>48692191.566446088</v>
      </c>
      <c r="JX12" s="204">
        <f t="shared" si="30"/>
        <v>48692191.566446088</v>
      </c>
      <c r="JY12" s="204">
        <f t="shared" si="30"/>
        <v>48692191.566446088</v>
      </c>
      <c r="JZ12" s="204">
        <f t="shared" si="30"/>
        <v>48692191.566446088</v>
      </c>
      <c r="KA12" s="204">
        <f t="shared" si="30"/>
        <v>48692191.566446088</v>
      </c>
      <c r="KB12" s="204">
        <f t="shared" si="30"/>
        <v>48692191.566446088</v>
      </c>
      <c r="KC12" s="204">
        <f t="shared" si="30"/>
        <v>48692191.566446088</v>
      </c>
      <c r="KD12" s="204">
        <f t="shared" si="30"/>
        <v>48692191.566446088</v>
      </c>
      <c r="KE12" s="204">
        <f t="shared" si="30"/>
        <v>48692191.566446088</v>
      </c>
      <c r="KF12" s="204">
        <f t="shared" si="30"/>
        <v>48692191.566446088</v>
      </c>
      <c r="KG12" s="204">
        <f t="shared" si="30"/>
        <v>48692191.566446088</v>
      </c>
      <c r="KH12" s="204">
        <f t="shared" si="30"/>
        <v>48692191.566446088</v>
      </c>
      <c r="KI12" s="204">
        <f t="shared" si="30"/>
        <v>48692191.566446088</v>
      </c>
      <c r="KJ12" s="204">
        <f t="shared" si="30"/>
        <v>48692191.566446088</v>
      </c>
      <c r="KK12" s="204">
        <f t="shared" si="30"/>
        <v>48692191.566446088</v>
      </c>
      <c r="KL12" s="204">
        <f t="shared" si="30"/>
        <v>48692191.566446088</v>
      </c>
      <c r="KM12" s="204">
        <f t="shared" si="30"/>
        <v>48692191.566446088</v>
      </c>
      <c r="KN12" s="204">
        <f t="shared" si="30"/>
        <v>48692191.566446088</v>
      </c>
      <c r="KO12" s="204">
        <f t="shared" si="30"/>
        <v>48692191.566446088</v>
      </c>
      <c r="KP12" s="204">
        <f t="shared" si="30"/>
        <v>48692191.566446088</v>
      </c>
      <c r="KQ12" s="204">
        <f t="shared" si="30"/>
        <v>48692191.566446088</v>
      </c>
      <c r="KR12" s="204">
        <f t="shared" si="30"/>
        <v>48692191.566446088</v>
      </c>
      <c r="KS12" s="204">
        <f t="shared" si="30"/>
        <v>48692191.566446088</v>
      </c>
      <c r="KT12" s="204">
        <f t="shared" si="30"/>
        <v>48692191.566446088</v>
      </c>
      <c r="KU12" s="204">
        <f t="shared" si="30"/>
        <v>48692191.566446088</v>
      </c>
      <c r="KV12" s="204">
        <f t="shared" si="30"/>
        <v>48692191.566446088</v>
      </c>
      <c r="KW12" s="204">
        <f t="shared" si="30"/>
        <v>48692191.566446088</v>
      </c>
      <c r="KX12" s="204">
        <f t="shared" si="30"/>
        <v>48692191.566446088</v>
      </c>
      <c r="KY12" s="204">
        <f t="shared" si="30"/>
        <v>48692191.566446088</v>
      </c>
      <c r="KZ12" s="204">
        <f t="shared" si="30"/>
        <v>48692191.566446088</v>
      </c>
      <c r="LA12" s="204">
        <f t="shared" si="30"/>
        <v>48692191.566446088</v>
      </c>
      <c r="LB12" s="204">
        <f t="shared" si="30"/>
        <v>48692191.566446088</v>
      </c>
      <c r="LC12" s="204">
        <f t="shared" si="30"/>
        <v>48692191.566446088</v>
      </c>
      <c r="LD12" s="204">
        <f t="shared" si="30"/>
        <v>48692191.566446088</v>
      </c>
      <c r="LE12" s="181"/>
      <c r="LF12" s="192"/>
    </row>
    <row r="13" spans="1:794" s="181" customFormat="1">
      <c r="A13" s="930"/>
      <c r="E13" s="187"/>
      <c r="F13" s="198"/>
      <c r="G13" s="198"/>
      <c r="H13" s="198"/>
      <c r="I13" s="198"/>
      <c r="J13" s="198"/>
      <c r="K13" s="198"/>
      <c r="L13" s="198"/>
      <c r="M13" s="198"/>
      <c r="N13" s="198"/>
      <c r="O13" s="198"/>
      <c r="P13" s="198"/>
      <c r="Q13" s="198"/>
      <c r="R13" s="198"/>
      <c r="S13" s="198"/>
      <c r="T13" s="198"/>
      <c r="U13" s="198"/>
      <c r="V13" s="198"/>
      <c r="W13" s="198"/>
      <c r="X13" s="198"/>
      <c r="Y13" s="198"/>
      <c r="Z13" s="198"/>
      <c r="AA13" s="198"/>
      <c r="AB13" s="198"/>
      <c r="AC13" s="198"/>
      <c r="AD13" s="198"/>
      <c r="AE13" s="198"/>
      <c r="AF13" s="198"/>
      <c r="AG13" s="198"/>
      <c r="AH13" s="198"/>
      <c r="AI13" s="198"/>
      <c r="AJ13" s="198"/>
      <c r="AK13" s="198"/>
      <c r="AL13" s="198"/>
      <c r="AM13" s="198"/>
      <c r="AN13" s="198"/>
      <c r="AO13" s="198"/>
      <c r="AP13" s="198"/>
      <c r="AQ13" s="198"/>
      <c r="AR13" s="198"/>
      <c r="AS13" s="198"/>
      <c r="AT13" s="198"/>
      <c r="AU13" s="198"/>
      <c r="AV13" s="198"/>
      <c r="AW13" s="198"/>
      <c r="AX13" s="198"/>
      <c r="AY13" s="198"/>
      <c r="AZ13" s="198"/>
      <c r="BA13" s="198"/>
      <c r="BB13" s="198"/>
      <c r="BC13" s="198"/>
      <c r="BD13" s="198"/>
      <c r="BE13" s="198"/>
      <c r="BF13" s="198"/>
      <c r="BG13" s="198"/>
      <c r="BH13" s="198"/>
      <c r="BI13" s="198"/>
      <c r="BJ13" s="198"/>
      <c r="BK13" s="198"/>
      <c r="BL13" s="198"/>
      <c r="BM13" s="198"/>
      <c r="BN13" s="198"/>
      <c r="BO13" s="198"/>
      <c r="BP13" s="198"/>
      <c r="BQ13" s="198"/>
      <c r="BR13" s="198"/>
      <c r="BS13" s="198"/>
      <c r="BT13" s="198"/>
      <c r="BU13" s="198"/>
      <c r="BV13" s="198"/>
      <c r="BW13" s="198"/>
      <c r="BX13" s="198"/>
      <c r="BY13" s="198"/>
      <c r="BZ13" s="198"/>
      <c r="CA13" s="198"/>
      <c r="CB13" s="198"/>
      <c r="CC13" s="198"/>
      <c r="CD13" s="198"/>
      <c r="CE13" s="198"/>
      <c r="CF13" s="198"/>
      <c r="CG13" s="198"/>
      <c r="CH13" s="198"/>
      <c r="CI13" s="198"/>
      <c r="CJ13" s="198"/>
      <c r="CK13" s="198"/>
      <c r="CL13" s="198"/>
      <c r="CM13" s="198"/>
      <c r="CN13" s="198"/>
      <c r="CO13" s="198"/>
      <c r="CP13" s="198"/>
      <c r="CQ13" s="198"/>
      <c r="CR13" s="198"/>
      <c r="CS13" s="198"/>
      <c r="CT13" s="198"/>
      <c r="CU13" s="198"/>
      <c r="CV13" s="198"/>
      <c r="CW13" s="198"/>
      <c r="CX13" s="198"/>
      <c r="CY13" s="198"/>
      <c r="CZ13" s="198"/>
      <c r="DA13" s="198"/>
      <c r="DB13" s="198"/>
      <c r="DC13" s="198"/>
      <c r="DD13" s="198"/>
      <c r="DE13" s="198"/>
      <c r="DF13" s="198"/>
      <c r="DG13" s="198"/>
      <c r="DH13" s="198"/>
      <c r="DI13" s="198"/>
      <c r="DJ13" s="198"/>
      <c r="DK13" s="198"/>
      <c r="DL13" s="198"/>
      <c r="DM13" s="198"/>
      <c r="DN13" s="198"/>
      <c r="DO13" s="198"/>
      <c r="DP13" s="198"/>
      <c r="DQ13" s="198"/>
      <c r="DR13" s="198"/>
      <c r="DS13" s="198"/>
      <c r="DT13" s="198"/>
      <c r="DU13" s="198"/>
      <c r="DV13" s="198"/>
      <c r="DW13" s="198"/>
      <c r="DX13" s="198"/>
      <c r="DY13" s="198"/>
      <c r="DZ13" s="198"/>
      <c r="EA13" s="198"/>
      <c r="EB13" s="198"/>
      <c r="EC13" s="198"/>
      <c r="ED13" s="198"/>
      <c r="EE13" s="198"/>
      <c r="EF13" s="198"/>
      <c r="EG13" s="198"/>
      <c r="EH13" s="198"/>
      <c r="EI13" s="198"/>
      <c r="EJ13" s="198"/>
      <c r="EK13" s="198"/>
      <c r="EL13" s="198"/>
      <c r="EM13" s="198"/>
      <c r="EN13" s="198"/>
      <c r="EO13" s="198"/>
      <c r="EP13" s="198"/>
      <c r="EQ13" s="198"/>
      <c r="ER13" s="198"/>
      <c r="ES13" s="198"/>
      <c r="ET13" s="198"/>
      <c r="EU13" s="198"/>
      <c r="EV13" s="198"/>
      <c r="EW13" s="198"/>
      <c r="EX13" s="198"/>
      <c r="EY13" s="198"/>
      <c r="EZ13" s="198"/>
      <c r="FA13" s="198"/>
      <c r="FB13" s="198"/>
      <c r="FC13" s="198"/>
      <c r="FD13" s="198"/>
      <c r="FE13" s="198"/>
      <c r="FF13" s="198"/>
      <c r="FG13" s="198"/>
      <c r="FH13" s="198"/>
      <c r="FI13" s="198"/>
      <c r="FJ13" s="198"/>
      <c r="FK13" s="198"/>
      <c r="FL13" s="198"/>
      <c r="FM13" s="198"/>
      <c r="FN13" s="198"/>
      <c r="FO13" s="198"/>
      <c r="FP13" s="198"/>
      <c r="FQ13" s="198"/>
      <c r="FR13" s="198"/>
      <c r="FS13" s="198"/>
      <c r="FT13" s="198"/>
      <c r="FU13" s="198"/>
      <c r="FV13" s="198"/>
      <c r="FW13" s="198"/>
      <c r="FX13" s="198"/>
      <c r="FY13" s="198"/>
      <c r="FZ13" s="198"/>
      <c r="GA13" s="198"/>
      <c r="GB13" s="198"/>
      <c r="GC13" s="198"/>
      <c r="GD13" s="198"/>
      <c r="GE13" s="198"/>
      <c r="GF13" s="198"/>
      <c r="GG13" s="198"/>
      <c r="GH13" s="198"/>
      <c r="GI13" s="198"/>
      <c r="GJ13" s="198"/>
      <c r="GK13" s="198"/>
      <c r="GL13" s="198"/>
      <c r="GM13" s="198"/>
      <c r="GN13" s="198"/>
      <c r="GO13" s="198"/>
      <c r="GP13" s="198"/>
      <c r="GQ13" s="198"/>
      <c r="GR13" s="198"/>
      <c r="GS13" s="198"/>
      <c r="GT13" s="198"/>
      <c r="GU13" s="198"/>
      <c r="GV13" s="198"/>
      <c r="GW13" s="198"/>
      <c r="GX13" s="198"/>
      <c r="GY13" s="198"/>
      <c r="GZ13" s="198"/>
      <c r="HA13" s="198"/>
      <c r="HB13" s="198"/>
      <c r="HC13" s="198"/>
      <c r="HD13" s="198"/>
      <c r="HE13" s="198"/>
      <c r="HF13" s="198"/>
      <c r="HG13" s="198"/>
      <c r="HH13" s="198"/>
      <c r="HI13" s="198"/>
      <c r="HJ13" s="198"/>
      <c r="HK13" s="198"/>
      <c r="HL13" s="198"/>
      <c r="HM13" s="198"/>
      <c r="HN13" s="198"/>
      <c r="HO13" s="198"/>
      <c r="HP13" s="198"/>
      <c r="HQ13" s="198"/>
      <c r="HR13" s="198"/>
      <c r="HS13" s="198"/>
      <c r="HT13" s="198"/>
      <c r="HU13" s="198"/>
      <c r="HV13" s="198"/>
      <c r="HW13" s="198"/>
      <c r="HX13" s="198"/>
      <c r="HY13" s="198"/>
      <c r="HZ13" s="198"/>
      <c r="IA13" s="198"/>
      <c r="IB13" s="198"/>
      <c r="IC13" s="198"/>
      <c r="ID13" s="198"/>
      <c r="IE13" s="198"/>
      <c r="IF13" s="198"/>
      <c r="IG13" s="198"/>
      <c r="IH13" s="198"/>
      <c r="II13" s="198"/>
      <c r="IJ13" s="198"/>
      <c r="IK13" s="198"/>
      <c r="IL13" s="198"/>
      <c r="IM13" s="198"/>
      <c r="IN13" s="198"/>
      <c r="IO13" s="198"/>
      <c r="IP13" s="198"/>
      <c r="IQ13" s="198"/>
      <c r="IR13" s="198"/>
      <c r="IS13" s="198"/>
      <c r="IT13" s="198"/>
      <c r="IU13" s="198"/>
      <c r="IV13" s="198"/>
      <c r="IW13" s="198"/>
      <c r="IX13" s="198"/>
      <c r="IY13" s="198"/>
      <c r="IZ13" s="198"/>
      <c r="JA13" s="198"/>
      <c r="JB13" s="198"/>
      <c r="JC13" s="198"/>
      <c r="JD13" s="198"/>
      <c r="JE13" s="198"/>
      <c r="JF13" s="198"/>
      <c r="JG13" s="198"/>
      <c r="JH13" s="198"/>
      <c r="JI13" s="198"/>
      <c r="JJ13" s="198"/>
      <c r="JK13" s="198"/>
      <c r="JL13" s="198"/>
      <c r="JM13" s="198"/>
      <c r="JN13" s="198"/>
      <c r="JO13" s="198"/>
      <c r="JP13" s="198"/>
      <c r="JQ13" s="198"/>
      <c r="JR13" s="198"/>
      <c r="JS13" s="198"/>
      <c r="JT13" s="198"/>
      <c r="JU13" s="198"/>
      <c r="JV13" s="198"/>
      <c r="JW13" s="198"/>
      <c r="JX13" s="198"/>
      <c r="JY13" s="198"/>
      <c r="JZ13" s="198"/>
      <c r="KA13" s="198"/>
      <c r="KB13" s="198"/>
      <c r="KC13" s="198"/>
      <c r="KD13" s="198"/>
      <c r="KE13" s="198"/>
      <c r="KF13" s="198"/>
      <c r="KG13" s="198"/>
      <c r="KH13" s="198"/>
      <c r="KI13" s="198"/>
      <c r="KJ13" s="198"/>
      <c r="KK13" s="198"/>
      <c r="KL13" s="198"/>
      <c r="KM13" s="198"/>
      <c r="KN13" s="198"/>
      <c r="KO13" s="198"/>
      <c r="KP13" s="198"/>
      <c r="KQ13" s="198"/>
      <c r="KR13" s="198"/>
      <c r="KS13" s="198"/>
      <c r="KT13" s="198"/>
      <c r="KU13" s="198"/>
      <c r="KV13" s="198"/>
      <c r="KW13" s="198"/>
      <c r="KX13" s="198"/>
      <c r="KY13" s="198"/>
      <c r="KZ13" s="198"/>
      <c r="LA13" s="198"/>
      <c r="LB13" s="198"/>
      <c r="LC13" s="198"/>
      <c r="LD13" s="198"/>
      <c r="LF13"/>
      <c r="LG13"/>
      <c r="LH13"/>
      <c r="LI13"/>
      <c r="LJ13"/>
      <c r="LK13"/>
      <c r="LL13"/>
      <c r="LM13"/>
      <c r="LN13"/>
      <c r="LO13"/>
      <c r="LP13"/>
      <c r="LQ13"/>
      <c r="LR13"/>
      <c r="LS13"/>
      <c r="LT13"/>
      <c r="LU13"/>
      <c r="LV13"/>
      <c r="LW13"/>
      <c r="LX13"/>
      <c r="LY13"/>
      <c r="LZ13"/>
      <c r="MA13"/>
      <c r="MB13"/>
      <c r="MC13"/>
      <c r="MD13"/>
      <c r="ME13"/>
      <c r="MF13"/>
      <c r="MG13"/>
      <c r="MH13"/>
      <c r="MI13"/>
      <c r="MJ13"/>
      <c r="MK13"/>
      <c r="ML13"/>
      <c r="MM13"/>
      <c r="MN13"/>
      <c r="MO13"/>
      <c r="MP13"/>
      <c r="MQ13"/>
      <c r="MR13"/>
      <c r="MS13"/>
      <c r="MT13"/>
      <c r="MU13"/>
      <c r="MV13"/>
      <c r="MW13"/>
      <c r="MX13"/>
      <c r="MY13"/>
      <c r="MZ13"/>
      <c r="NA13"/>
      <c r="NB13"/>
      <c r="NC13"/>
      <c r="ND13"/>
      <c r="NE13"/>
      <c r="NF13"/>
      <c r="NG13"/>
      <c r="NH13"/>
      <c r="NI13"/>
      <c r="NJ13"/>
      <c r="NK13"/>
      <c r="NL13"/>
      <c r="NM13"/>
      <c r="NN13"/>
      <c r="NO13"/>
      <c r="NP13"/>
      <c r="NQ13"/>
      <c r="NR13"/>
      <c r="NS13"/>
      <c r="NT13"/>
      <c r="NU13"/>
      <c r="NV13"/>
      <c r="NW13"/>
      <c r="NX13"/>
      <c r="NY13"/>
      <c r="NZ13"/>
      <c r="OA13"/>
      <c r="OB13"/>
      <c r="OC13"/>
      <c r="OD13"/>
      <c r="OE13"/>
      <c r="OF13"/>
      <c r="OG13"/>
      <c r="OH13"/>
      <c r="OI13"/>
      <c r="OJ13"/>
      <c r="OK13"/>
      <c r="OL13"/>
      <c r="OM13"/>
      <c r="ON13"/>
      <c r="OO13"/>
      <c r="OP13"/>
      <c r="OQ13"/>
      <c r="OR13"/>
      <c r="OS13"/>
      <c r="OT13"/>
      <c r="OU13"/>
      <c r="OV13"/>
      <c r="OW13"/>
      <c r="OX13"/>
      <c r="OY13"/>
      <c r="OZ13"/>
      <c r="PA13"/>
      <c r="PB13"/>
      <c r="PC13"/>
      <c r="PD13"/>
      <c r="PE13"/>
      <c r="PF13"/>
      <c r="PG13"/>
      <c r="PH13"/>
      <c r="PI13"/>
      <c r="PJ13"/>
      <c r="PK13"/>
      <c r="PL13"/>
      <c r="PM13"/>
      <c r="PN13"/>
      <c r="PO13"/>
      <c r="PP13"/>
      <c r="PQ13"/>
      <c r="PR13"/>
      <c r="PS13"/>
      <c r="PT13"/>
      <c r="PU13"/>
      <c r="PV13"/>
      <c r="PW13"/>
      <c r="PX13"/>
      <c r="PY13"/>
      <c r="PZ13"/>
      <c r="QA13"/>
      <c r="QB13"/>
      <c r="QC13"/>
      <c r="QD13"/>
      <c r="QE13"/>
      <c r="QF13"/>
      <c r="QG13"/>
      <c r="QH13"/>
      <c r="QI13"/>
      <c r="QJ13"/>
      <c r="QK13"/>
      <c r="QL13"/>
      <c r="QM13"/>
      <c r="QN13"/>
      <c r="QO13"/>
      <c r="QP13"/>
      <c r="QQ13"/>
      <c r="QR13"/>
      <c r="QS13"/>
      <c r="QT13"/>
      <c r="QU13"/>
      <c r="QV13"/>
      <c r="QW13"/>
      <c r="QX13"/>
      <c r="QY13"/>
      <c r="QZ13"/>
      <c r="RA13"/>
      <c r="RB13"/>
      <c r="RC13"/>
      <c r="RD13"/>
      <c r="RE13"/>
      <c r="RF13"/>
      <c r="RG13"/>
      <c r="RH13"/>
      <c r="RI13"/>
      <c r="RJ13"/>
      <c r="RK13"/>
      <c r="RL13"/>
      <c r="RM13"/>
      <c r="RN13"/>
      <c r="RO13"/>
      <c r="RP13"/>
      <c r="RQ13"/>
      <c r="RR13"/>
      <c r="RS13"/>
      <c r="RT13"/>
      <c r="RU13"/>
      <c r="RV13"/>
      <c r="RW13"/>
      <c r="RX13"/>
      <c r="RY13"/>
      <c r="RZ13"/>
      <c r="SA13"/>
      <c r="SB13"/>
      <c r="SC13"/>
      <c r="SD13"/>
      <c r="SE13"/>
      <c r="SF13"/>
      <c r="SG13"/>
      <c r="SH13"/>
      <c r="SI13"/>
      <c r="SJ13"/>
      <c r="SK13"/>
      <c r="SL13"/>
      <c r="SM13"/>
      <c r="SN13"/>
      <c r="SO13"/>
      <c r="SP13"/>
      <c r="SQ13"/>
      <c r="SR13"/>
      <c r="SS13"/>
      <c r="ST13"/>
      <c r="SU13"/>
      <c r="SV13"/>
      <c r="SW13"/>
      <c r="SX13"/>
      <c r="SY13"/>
      <c r="SZ13"/>
      <c r="TA13"/>
      <c r="TB13"/>
      <c r="TC13"/>
      <c r="TD13"/>
      <c r="TE13"/>
      <c r="TF13"/>
      <c r="TG13"/>
      <c r="TH13"/>
      <c r="TI13"/>
      <c r="TJ13"/>
      <c r="TK13"/>
      <c r="TL13"/>
      <c r="TM13"/>
      <c r="TN13"/>
      <c r="TO13"/>
      <c r="TP13"/>
      <c r="TQ13"/>
      <c r="TR13"/>
      <c r="TS13"/>
      <c r="TT13"/>
      <c r="TU13"/>
      <c r="TV13"/>
      <c r="TW13"/>
      <c r="TX13"/>
      <c r="TY13"/>
      <c r="TZ13"/>
      <c r="UA13"/>
      <c r="UB13"/>
      <c r="UC13"/>
      <c r="UD13"/>
      <c r="UE13"/>
      <c r="UF13"/>
      <c r="UG13"/>
      <c r="UH13"/>
      <c r="UI13"/>
      <c r="UJ13"/>
      <c r="UK13"/>
      <c r="UL13"/>
      <c r="UM13"/>
      <c r="UN13"/>
      <c r="UO13"/>
      <c r="UP13"/>
      <c r="UQ13"/>
      <c r="UR13"/>
      <c r="US13"/>
      <c r="UT13"/>
      <c r="UU13"/>
      <c r="UV13"/>
      <c r="UW13"/>
      <c r="UX13"/>
      <c r="UY13"/>
      <c r="UZ13"/>
      <c r="VA13"/>
      <c r="VB13"/>
      <c r="VC13"/>
      <c r="VD13"/>
      <c r="VE13"/>
      <c r="VF13"/>
      <c r="VG13"/>
      <c r="VH13"/>
      <c r="VI13"/>
      <c r="VJ13"/>
      <c r="VK13"/>
      <c r="VL13"/>
      <c r="VM13"/>
      <c r="VN13"/>
      <c r="VO13"/>
      <c r="VP13"/>
      <c r="VQ13"/>
      <c r="VR13"/>
      <c r="VS13"/>
      <c r="VT13"/>
      <c r="VU13"/>
      <c r="VV13"/>
      <c r="VW13"/>
      <c r="VX13"/>
      <c r="VY13"/>
      <c r="VZ13"/>
      <c r="WA13"/>
      <c r="WB13"/>
      <c r="WC13"/>
      <c r="WD13"/>
      <c r="WE13"/>
      <c r="WF13"/>
      <c r="WG13"/>
      <c r="WH13"/>
      <c r="WI13"/>
      <c r="WJ13"/>
      <c r="WK13"/>
      <c r="WL13"/>
      <c r="WM13"/>
      <c r="WN13"/>
      <c r="WO13"/>
      <c r="WP13"/>
      <c r="WQ13"/>
      <c r="WR13"/>
      <c r="WS13"/>
      <c r="WT13"/>
      <c r="WU13"/>
      <c r="WV13"/>
      <c r="WW13"/>
      <c r="WX13"/>
      <c r="WY13"/>
      <c r="WZ13"/>
      <c r="XA13"/>
      <c r="XB13"/>
      <c r="XC13"/>
      <c r="XD13"/>
      <c r="XE13"/>
      <c r="XF13"/>
      <c r="XG13"/>
      <c r="XH13"/>
      <c r="XI13"/>
      <c r="XJ13"/>
      <c r="XK13"/>
      <c r="XL13"/>
      <c r="XM13"/>
      <c r="XN13"/>
      <c r="XO13"/>
      <c r="XP13"/>
      <c r="XQ13"/>
      <c r="XR13"/>
      <c r="XS13"/>
      <c r="XT13"/>
      <c r="XU13"/>
      <c r="XV13"/>
      <c r="XW13"/>
      <c r="XX13"/>
      <c r="XY13"/>
      <c r="XZ13"/>
      <c r="YA13"/>
      <c r="YB13"/>
      <c r="YC13"/>
      <c r="YD13"/>
      <c r="YE13"/>
      <c r="YF13"/>
      <c r="YG13"/>
      <c r="YH13"/>
      <c r="YI13"/>
      <c r="YJ13"/>
      <c r="YK13"/>
      <c r="YL13"/>
      <c r="YM13"/>
      <c r="YN13"/>
      <c r="YO13"/>
      <c r="YP13"/>
      <c r="YQ13"/>
      <c r="YR13"/>
      <c r="YS13"/>
      <c r="YT13"/>
      <c r="YU13"/>
      <c r="YV13"/>
      <c r="YW13"/>
      <c r="YX13"/>
      <c r="YY13"/>
      <c r="YZ13"/>
      <c r="ZA13"/>
      <c r="ZB13"/>
      <c r="ZC13"/>
      <c r="ZD13"/>
      <c r="ZE13"/>
      <c r="ZF13"/>
      <c r="ZG13"/>
      <c r="ZH13"/>
      <c r="ZI13"/>
      <c r="ZJ13"/>
      <c r="ZK13"/>
      <c r="ZL13"/>
      <c r="ZM13"/>
      <c r="ZN13"/>
      <c r="ZO13"/>
      <c r="ZP13"/>
      <c r="ZQ13"/>
      <c r="ZR13"/>
      <c r="ZS13"/>
      <c r="ZT13"/>
      <c r="ZU13"/>
      <c r="ZV13"/>
      <c r="ZW13"/>
      <c r="ZX13"/>
      <c r="ZY13"/>
      <c r="ZZ13"/>
      <c r="AAA13"/>
      <c r="AAB13"/>
      <c r="AAC13"/>
      <c r="AAD13"/>
      <c r="AAE13"/>
      <c r="AAF13"/>
      <c r="AAG13"/>
      <c r="AAH13"/>
      <c r="AAI13"/>
      <c r="AAJ13"/>
      <c r="AAK13"/>
      <c r="AAL13"/>
      <c r="AAM13"/>
      <c r="AAN13"/>
      <c r="AAO13"/>
      <c r="AAP13"/>
      <c r="AAQ13"/>
      <c r="AAR13"/>
      <c r="AAS13"/>
      <c r="AAT13"/>
      <c r="AAU13"/>
      <c r="AAV13"/>
      <c r="AAW13"/>
      <c r="AAX13"/>
      <c r="AAY13"/>
      <c r="AAZ13"/>
      <c r="ABA13"/>
      <c r="ABB13"/>
      <c r="ABC13"/>
      <c r="ABD13"/>
      <c r="ABE13"/>
      <c r="ABF13"/>
      <c r="ABG13"/>
      <c r="ABH13"/>
      <c r="ABI13"/>
      <c r="ABJ13"/>
      <c r="ABK13"/>
      <c r="ABL13"/>
      <c r="ABM13"/>
      <c r="ABN13"/>
      <c r="ABO13"/>
      <c r="ABP13"/>
      <c r="ABQ13"/>
      <c r="ABR13"/>
      <c r="ABS13"/>
      <c r="ABT13"/>
      <c r="ABU13"/>
      <c r="ABV13"/>
      <c r="ABW13"/>
      <c r="ABX13"/>
      <c r="ABY13"/>
      <c r="ABZ13"/>
      <c r="ACA13"/>
      <c r="ACB13"/>
      <c r="ACC13"/>
      <c r="ACD13"/>
      <c r="ACE13"/>
      <c r="ACF13"/>
      <c r="ACG13"/>
      <c r="ACH13"/>
      <c r="ACI13"/>
      <c r="ACJ13"/>
      <c r="ACK13"/>
      <c r="ACL13"/>
      <c r="ACM13"/>
      <c r="ACN13"/>
      <c r="ACO13"/>
      <c r="ACP13"/>
      <c r="ACQ13"/>
      <c r="ACR13"/>
      <c r="ACS13"/>
      <c r="ACT13"/>
      <c r="ACU13"/>
      <c r="ACV13"/>
      <c r="ACW13"/>
      <c r="ACX13"/>
      <c r="ACY13"/>
      <c r="ACZ13"/>
      <c r="ADA13"/>
      <c r="ADB13"/>
      <c r="ADC13"/>
      <c r="ADD13"/>
      <c r="ADE13"/>
      <c r="ADF13"/>
      <c r="ADG13"/>
      <c r="ADH13"/>
      <c r="ADI13"/>
      <c r="ADJ13"/>
      <c r="ADK13"/>
      <c r="ADL13"/>
      <c r="ADM13"/>
      <c r="ADN13"/>
    </row>
    <row r="14" spans="1:794">
      <c r="A14" s="930"/>
      <c r="B14" s="194" t="s">
        <v>737</v>
      </c>
      <c r="C14" s="195"/>
      <c r="D14" s="195"/>
      <c r="E14" s="196"/>
      <c r="F14" s="197">
        <f t="shared" ref="F14:H14" si="31">F10-F12</f>
        <v>0</v>
      </c>
      <c r="G14" s="197">
        <f t="shared" si="31"/>
        <v>0</v>
      </c>
      <c r="H14" s="197">
        <f t="shared" si="31"/>
        <v>0</v>
      </c>
      <c r="I14" s="197">
        <f t="shared" ref="I14:BT14" si="32">I10-I12</f>
        <v>0</v>
      </c>
      <c r="J14" s="197">
        <f t="shared" si="32"/>
        <v>0</v>
      </c>
      <c r="K14" s="197">
        <f t="shared" si="32"/>
        <v>0</v>
      </c>
      <c r="L14" s="197">
        <f t="shared" si="32"/>
        <v>0</v>
      </c>
      <c r="M14" s="197">
        <f t="shared" si="32"/>
        <v>0</v>
      </c>
      <c r="N14" s="197">
        <f t="shared" si="32"/>
        <v>0</v>
      </c>
      <c r="O14" s="197">
        <f t="shared" si="32"/>
        <v>0</v>
      </c>
      <c r="P14" s="197">
        <f t="shared" si="32"/>
        <v>0</v>
      </c>
      <c r="Q14" s="197">
        <f t="shared" si="32"/>
        <v>0</v>
      </c>
      <c r="R14" s="197">
        <f t="shared" si="32"/>
        <v>0</v>
      </c>
      <c r="S14" s="197">
        <f t="shared" si="32"/>
        <v>0</v>
      </c>
      <c r="T14" s="197">
        <f t="shared" si="32"/>
        <v>0</v>
      </c>
      <c r="U14" s="197">
        <f t="shared" si="32"/>
        <v>0</v>
      </c>
      <c r="V14" s="197">
        <f t="shared" si="32"/>
        <v>0</v>
      </c>
      <c r="W14" s="197">
        <f t="shared" si="32"/>
        <v>0</v>
      </c>
      <c r="X14" s="197">
        <f t="shared" si="32"/>
        <v>0</v>
      </c>
      <c r="Y14" s="197">
        <f t="shared" si="32"/>
        <v>0</v>
      </c>
      <c r="Z14" s="197">
        <f t="shared" si="32"/>
        <v>-2875421.9278117996</v>
      </c>
      <c r="AA14" s="197">
        <f t="shared" si="32"/>
        <v>9173610.4721882008</v>
      </c>
      <c r="AB14" s="197">
        <f t="shared" si="32"/>
        <v>6970304.5321882013</v>
      </c>
      <c r="AC14" s="197">
        <f t="shared" si="32"/>
        <v>6954133.6921882015</v>
      </c>
      <c r="AD14" s="197">
        <f t="shared" si="32"/>
        <v>6943733.6921882015</v>
      </c>
      <c r="AE14" s="197">
        <f t="shared" si="32"/>
        <v>5052497.1921882015</v>
      </c>
      <c r="AF14" s="197">
        <f t="shared" si="32"/>
        <v>23031791.692188203</v>
      </c>
      <c r="AG14" s="197">
        <f t="shared" si="32"/>
        <v>22041487.432188202</v>
      </c>
      <c r="AH14" s="197">
        <f t="shared" si="32"/>
        <v>22019941.452188201</v>
      </c>
      <c r="AI14" s="197">
        <f t="shared" si="32"/>
        <v>22016813.682188202</v>
      </c>
      <c r="AJ14" s="197">
        <f t="shared" si="32"/>
        <v>22003059.822188202</v>
      </c>
      <c r="AK14" s="197">
        <f t="shared" si="32"/>
        <v>29202107.002188202</v>
      </c>
      <c r="AL14" s="197">
        <f t="shared" si="32"/>
        <v>24427523.472188205</v>
      </c>
      <c r="AM14" s="197">
        <f t="shared" si="32"/>
        <v>23830002.482188206</v>
      </c>
      <c r="AN14" s="197">
        <f t="shared" si="32"/>
        <v>32829252.482188206</v>
      </c>
      <c r="AO14" s="197">
        <f t="shared" si="32"/>
        <v>31315356.630014293</v>
      </c>
      <c r="AP14" s="197">
        <f t="shared" si="32"/>
        <v>28603569.520014293</v>
      </c>
      <c r="AQ14" s="197">
        <f t="shared" si="32"/>
        <v>28177864.370014295</v>
      </c>
      <c r="AR14" s="197">
        <f t="shared" si="32"/>
        <v>24236299.490014292</v>
      </c>
      <c r="AS14" s="197">
        <f t="shared" si="32"/>
        <v>24236299.490014292</v>
      </c>
      <c r="AT14" s="197">
        <f t="shared" si="32"/>
        <v>23815530.720014293</v>
      </c>
      <c r="AU14" s="197">
        <f t="shared" si="32"/>
        <v>23750803.840014294</v>
      </c>
      <c r="AV14" s="197">
        <f t="shared" si="32"/>
        <v>23734084.840014294</v>
      </c>
      <c r="AW14" s="197">
        <f t="shared" si="32"/>
        <v>23734084.840014294</v>
      </c>
      <c r="AX14" s="197">
        <f t="shared" si="32"/>
        <v>18838942.911379993</v>
      </c>
      <c r="AY14" s="197">
        <f t="shared" si="32"/>
        <v>18057979.191379994</v>
      </c>
      <c r="AZ14" s="197">
        <f t="shared" si="32"/>
        <v>17946409.871814776</v>
      </c>
      <c r="BA14" s="197">
        <f t="shared" si="32"/>
        <v>17014641.971814774</v>
      </c>
      <c r="BB14" s="197">
        <f t="shared" si="32"/>
        <v>16505323.971814774</v>
      </c>
      <c r="BC14" s="197">
        <f t="shared" si="32"/>
        <v>16281912.971814774</v>
      </c>
      <c r="BD14" s="197">
        <f t="shared" si="32"/>
        <v>14135238.86398869</v>
      </c>
      <c r="BE14" s="197">
        <f t="shared" si="32"/>
        <v>13003789.733553909</v>
      </c>
      <c r="BF14" s="197">
        <f t="shared" si="32"/>
        <v>10676051.77455391</v>
      </c>
      <c r="BG14" s="197">
        <f t="shared" si="32"/>
        <v>6707341.5539886951</v>
      </c>
      <c r="BH14" s="197">
        <f t="shared" si="32"/>
        <v>6670766.7039886937</v>
      </c>
      <c r="BI14" s="197">
        <f t="shared" si="32"/>
        <v>12017245.973553911</v>
      </c>
      <c r="BJ14" s="197">
        <f t="shared" si="32"/>
        <v>11724745.973553911</v>
      </c>
      <c r="BK14" s="197">
        <f t="shared" si="32"/>
        <v>10220967.433553912</v>
      </c>
      <c r="BL14" s="197">
        <f t="shared" si="32"/>
        <v>10220967.433553912</v>
      </c>
      <c r="BM14" s="197">
        <f t="shared" si="32"/>
        <v>10185367.433553912</v>
      </c>
      <c r="BN14" s="197">
        <f t="shared" si="32"/>
        <v>9908867.4335539117</v>
      </c>
      <c r="BO14" s="197">
        <f t="shared" si="32"/>
        <v>9860117.4335539117</v>
      </c>
      <c r="BP14" s="197">
        <f t="shared" si="32"/>
        <v>8303058.4335539117</v>
      </c>
      <c r="BQ14" s="197">
        <f t="shared" si="32"/>
        <v>8303058.4335539117</v>
      </c>
      <c r="BR14" s="197">
        <f t="shared" si="32"/>
        <v>8303058.4335539117</v>
      </c>
      <c r="BS14" s="197">
        <f t="shared" si="32"/>
        <v>11302808.433553912</v>
      </c>
      <c r="BT14" s="197">
        <f t="shared" si="32"/>
        <v>11302808.433553912</v>
      </c>
      <c r="BU14" s="197">
        <f t="shared" ref="BU14:EF14" si="33">BU10-BU12</f>
        <v>11302808.433553912</v>
      </c>
      <c r="BV14" s="197">
        <f t="shared" si="33"/>
        <v>11302808.433553912</v>
      </c>
      <c r="BW14" s="197">
        <f t="shared" si="33"/>
        <v>11302808.433553912</v>
      </c>
      <c r="BX14" s="197">
        <f t="shared" si="33"/>
        <v>11302808.433553912</v>
      </c>
      <c r="BY14" s="197">
        <f t="shared" si="33"/>
        <v>11302808.433553912</v>
      </c>
      <c r="BZ14" s="197">
        <f t="shared" si="33"/>
        <v>11302808.433553912</v>
      </c>
      <c r="CA14" s="197">
        <f t="shared" si="33"/>
        <v>11302808.433553912</v>
      </c>
      <c r="CB14" s="197">
        <f t="shared" si="33"/>
        <v>11302808.433553912</v>
      </c>
      <c r="CC14" s="197">
        <f t="shared" si="33"/>
        <v>11302808.433553912</v>
      </c>
      <c r="CD14" s="197">
        <f t="shared" si="33"/>
        <v>11302808.433553912</v>
      </c>
      <c r="CE14" s="197">
        <f t="shared" si="33"/>
        <v>11302808.433553912</v>
      </c>
      <c r="CF14" s="197">
        <f t="shared" si="33"/>
        <v>11302808.433553912</v>
      </c>
      <c r="CG14" s="197">
        <f t="shared" si="33"/>
        <v>11302808.433553912</v>
      </c>
      <c r="CH14" s="197">
        <f t="shared" si="33"/>
        <v>11302808.433553912</v>
      </c>
      <c r="CI14" s="197">
        <f t="shared" si="33"/>
        <v>11302808.433553912</v>
      </c>
      <c r="CJ14" s="197">
        <f t="shared" si="33"/>
        <v>11302808.433553912</v>
      </c>
      <c r="CK14" s="197">
        <f t="shared" si="33"/>
        <v>11302808.433553912</v>
      </c>
      <c r="CL14" s="197">
        <f t="shared" si="33"/>
        <v>11302808.433553912</v>
      </c>
      <c r="CM14" s="197">
        <f t="shared" si="33"/>
        <v>11302808.433553912</v>
      </c>
      <c r="CN14" s="197">
        <f t="shared" si="33"/>
        <v>11302808.433553912</v>
      </c>
      <c r="CO14" s="197">
        <f t="shared" si="33"/>
        <v>11302808.433553912</v>
      </c>
      <c r="CP14" s="197">
        <f t="shared" si="33"/>
        <v>11302808.433553912</v>
      </c>
      <c r="CQ14" s="197">
        <f t="shared" si="33"/>
        <v>11302808.433553912</v>
      </c>
      <c r="CR14" s="197">
        <f t="shared" si="33"/>
        <v>11302808.433553912</v>
      </c>
      <c r="CS14" s="197">
        <f t="shared" si="33"/>
        <v>11302808.433553912</v>
      </c>
      <c r="CT14" s="197">
        <f t="shared" si="33"/>
        <v>11302808.433553912</v>
      </c>
      <c r="CU14" s="197">
        <f t="shared" si="33"/>
        <v>11302808.433553912</v>
      </c>
      <c r="CV14" s="197">
        <f t="shared" si="33"/>
        <v>11302808.433553912</v>
      </c>
      <c r="CW14" s="197">
        <f t="shared" si="33"/>
        <v>11302808.433553912</v>
      </c>
      <c r="CX14" s="197">
        <f t="shared" si="33"/>
        <v>11302808.433553912</v>
      </c>
      <c r="CY14" s="197">
        <f t="shared" si="33"/>
        <v>11302808.433553912</v>
      </c>
      <c r="CZ14" s="197">
        <f t="shared" si="33"/>
        <v>11302808.433553912</v>
      </c>
      <c r="DA14" s="197">
        <f t="shared" si="33"/>
        <v>11302808.433553912</v>
      </c>
      <c r="DB14" s="197">
        <f t="shared" si="33"/>
        <v>11302808.433553912</v>
      </c>
      <c r="DC14" s="197">
        <f t="shared" si="33"/>
        <v>11302808.433553912</v>
      </c>
      <c r="DD14" s="197">
        <f t="shared" si="33"/>
        <v>11302808.433553912</v>
      </c>
      <c r="DE14" s="197">
        <f t="shared" si="33"/>
        <v>11302808.433553912</v>
      </c>
      <c r="DF14" s="197">
        <f t="shared" si="33"/>
        <v>11302808.433553912</v>
      </c>
      <c r="DG14" s="197">
        <f t="shared" si="33"/>
        <v>11302808.433553912</v>
      </c>
      <c r="DH14" s="197">
        <f t="shared" si="33"/>
        <v>11302808.433553912</v>
      </c>
      <c r="DI14" s="197">
        <f t="shared" si="33"/>
        <v>11302808.433553912</v>
      </c>
      <c r="DJ14" s="197">
        <f t="shared" si="33"/>
        <v>11302808.433553912</v>
      </c>
      <c r="DK14" s="197">
        <f t="shared" si="33"/>
        <v>11302808.433553912</v>
      </c>
      <c r="DL14" s="197">
        <f t="shared" si="33"/>
        <v>11302808.433553912</v>
      </c>
      <c r="DM14" s="197">
        <f t="shared" si="33"/>
        <v>11302808.433553912</v>
      </c>
      <c r="DN14" s="197">
        <f t="shared" si="33"/>
        <v>11302808.433553912</v>
      </c>
      <c r="DO14" s="197">
        <f t="shared" si="33"/>
        <v>11302808.433553912</v>
      </c>
      <c r="DP14" s="197">
        <f t="shared" si="33"/>
        <v>11302808.433553912</v>
      </c>
      <c r="DQ14" s="197">
        <f t="shared" si="33"/>
        <v>11302808.433553912</v>
      </c>
      <c r="DR14" s="197">
        <f t="shared" si="33"/>
        <v>11302808.433553912</v>
      </c>
      <c r="DS14" s="197">
        <f t="shared" si="33"/>
        <v>11302808.433553912</v>
      </c>
      <c r="DT14" s="197">
        <f t="shared" si="33"/>
        <v>11302808.433553912</v>
      </c>
      <c r="DU14" s="197">
        <f t="shared" si="33"/>
        <v>11302808.433553912</v>
      </c>
      <c r="DV14" s="197">
        <f t="shared" si="33"/>
        <v>11302808.433553912</v>
      </c>
      <c r="DW14" s="197">
        <f t="shared" si="33"/>
        <v>11302808.433553912</v>
      </c>
      <c r="DX14" s="197">
        <f t="shared" si="33"/>
        <v>11302808.433553912</v>
      </c>
      <c r="DY14" s="197">
        <f t="shared" si="33"/>
        <v>11302808.433553912</v>
      </c>
      <c r="DZ14" s="197">
        <f t="shared" si="33"/>
        <v>11302808.433553912</v>
      </c>
      <c r="EA14" s="197">
        <f t="shared" si="33"/>
        <v>11302808.433553912</v>
      </c>
      <c r="EB14" s="197">
        <f t="shared" si="33"/>
        <v>11302808.433553912</v>
      </c>
      <c r="EC14" s="197">
        <f t="shared" si="33"/>
        <v>11302808.433553912</v>
      </c>
      <c r="ED14" s="197">
        <f t="shared" si="33"/>
        <v>11302808.433553912</v>
      </c>
      <c r="EE14" s="197">
        <f t="shared" si="33"/>
        <v>11302808.433553912</v>
      </c>
      <c r="EF14" s="197">
        <f t="shared" si="33"/>
        <v>11302808.433553912</v>
      </c>
      <c r="EG14" s="197">
        <f t="shared" ref="EG14:GR14" si="34">EG10-EG12</f>
        <v>11302808.433553912</v>
      </c>
      <c r="EH14" s="197">
        <f t="shared" si="34"/>
        <v>11302808.433553912</v>
      </c>
      <c r="EI14" s="197">
        <f t="shared" si="34"/>
        <v>11302808.433553912</v>
      </c>
      <c r="EJ14" s="197">
        <f t="shared" si="34"/>
        <v>11302808.433553912</v>
      </c>
      <c r="EK14" s="197">
        <f t="shared" si="34"/>
        <v>11302808.433553912</v>
      </c>
      <c r="EL14" s="197">
        <f t="shared" si="34"/>
        <v>11302808.433553912</v>
      </c>
      <c r="EM14" s="197">
        <f t="shared" si="34"/>
        <v>11302808.433553912</v>
      </c>
      <c r="EN14" s="197">
        <f t="shared" si="34"/>
        <v>11302808.433553912</v>
      </c>
      <c r="EO14" s="197">
        <f t="shared" si="34"/>
        <v>11302808.433553912</v>
      </c>
      <c r="EP14" s="197">
        <f t="shared" si="34"/>
        <v>11302808.433553912</v>
      </c>
      <c r="EQ14" s="197">
        <f t="shared" si="34"/>
        <v>11302808.433553912</v>
      </c>
      <c r="ER14" s="197">
        <f t="shared" si="34"/>
        <v>11302808.433553912</v>
      </c>
      <c r="ES14" s="197">
        <f t="shared" si="34"/>
        <v>11302808.433553912</v>
      </c>
      <c r="ET14" s="197">
        <f t="shared" si="34"/>
        <v>11302808.433553912</v>
      </c>
      <c r="EU14" s="197">
        <f t="shared" si="34"/>
        <v>11302808.433553912</v>
      </c>
      <c r="EV14" s="197">
        <f t="shared" si="34"/>
        <v>11302808.433553912</v>
      </c>
      <c r="EW14" s="197">
        <f t="shared" si="34"/>
        <v>11302808.433553912</v>
      </c>
      <c r="EX14" s="197">
        <f t="shared" si="34"/>
        <v>11302808.433553912</v>
      </c>
      <c r="EY14" s="197">
        <f t="shared" si="34"/>
        <v>11302808.433553912</v>
      </c>
      <c r="EZ14" s="197">
        <f t="shared" si="34"/>
        <v>11302808.433553912</v>
      </c>
      <c r="FA14" s="197">
        <f t="shared" si="34"/>
        <v>11302808.433553912</v>
      </c>
      <c r="FB14" s="197">
        <f t="shared" si="34"/>
        <v>11302808.433553912</v>
      </c>
      <c r="FC14" s="197">
        <f t="shared" si="34"/>
        <v>11302808.433553912</v>
      </c>
      <c r="FD14" s="197">
        <f t="shared" si="34"/>
        <v>11302808.433553912</v>
      </c>
      <c r="FE14" s="197">
        <f t="shared" si="34"/>
        <v>11302808.433553912</v>
      </c>
      <c r="FF14" s="197">
        <f t="shared" si="34"/>
        <v>11302808.433553912</v>
      </c>
      <c r="FG14" s="197">
        <f t="shared" si="34"/>
        <v>11302808.433553912</v>
      </c>
      <c r="FH14" s="197">
        <f t="shared" si="34"/>
        <v>11302808.433553912</v>
      </c>
      <c r="FI14" s="197">
        <f t="shared" si="34"/>
        <v>11302808.433553912</v>
      </c>
      <c r="FJ14" s="197">
        <f t="shared" si="34"/>
        <v>11302808.433553912</v>
      </c>
      <c r="FK14" s="197">
        <f t="shared" si="34"/>
        <v>11302808.433553912</v>
      </c>
      <c r="FL14" s="197">
        <f t="shared" si="34"/>
        <v>11302808.433553912</v>
      </c>
      <c r="FM14" s="197">
        <f t="shared" si="34"/>
        <v>11302808.433553912</v>
      </c>
      <c r="FN14" s="197">
        <f t="shared" si="34"/>
        <v>11302808.433553912</v>
      </c>
      <c r="FO14" s="197">
        <f t="shared" si="34"/>
        <v>11302808.433553912</v>
      </c>
      <c r="FP14" s="197">
        <f t="shared" si="34"/>
        <v>11302808.433553912</v>
      </c>
      <c r="FQ14" s="197">
        <f t="shared" si="34"/>
        <v>11302808.433553912</v>
      </c>
      <c r="FR14" s="197">
        <f t="shared" si="34"/>
        <v>11302808.433553912</v>
      </c>
      <c r="FS14" s="197">
        <f t="shared" si="34"/>
        <v>11302808.433553912</v>
      </c>
      <c r="FT14" s="197">
        <f t="shared" si="34"/>
        <v>11302808.433553912</v>
      </c>
      <c r="FU14" s="197">
        <f t="shared" si="34"/>
        <v>11302808.433553912</v>
      </c>
      <c r="FV14" s="197">
        <f t="shared" si="34"/>
        <v>11302808.433553912</v>
      </c>
      <c r="FW14" s="197">
        <f t="shared" si="34"/>
        <v>11302808.433553912</v>
      </c>
      <c r="FX14" s="197">
        <f t="shared" si="34"/>
        <v>11302808.433553912</v>
      </c>
      <c r="FY14" s="197">
        <f t="shared" si="34"/>
        <v>11302808.433553912</v>
      </c>
      <c r="FZ14" s="197">
        <f t="shared" si="34"/>
        <v>11302808.433553912</v>
      </c>
      <c r="GA14" s="197">
        <f t="shared" si="34"/>
        <v>11302808.433553912</v>
      </c>
      <c r="GB14" s="197">
        <f t="shared" si="34"/>
        <v>11302808.433553912</v>
      </c>
      <c r="GC14" s="197">
        <f t="shared" si="34"/>
        <v>11302808.433553912</v>
      </c>
      <c r="GD14" s="197">
        <f t="shared" si="34"/>
        <v>11302808.433553912</v>
      </c>
      <c r="GE14" s="197">
        <f t="shared" si="34"/>
        <v>11302808.433553912</v>
      </c>
      <c r="GF14" s="197">
        <f t="shared" si="34"/>
        <v>11302808.433553912</v>
      </c>
      <c r="GG14" s="197">
        <f t="shared" si="34"/>
        <v>11302808.433553912</v>
      </c>
      <c r="GH14" s="197">
        <f t="shared" si="34"/>
        <v>11302808.433553912</v>
      </c>
      <c r="GI14" s="197">
        <f t="shared" si="34"/>
        <v>11302808.433553912</v>
      </c>
      <c r="GJ14" s="197">
        <f t="shared" si="34"/>
        <v>11302808.433553912</v>
      </c>
      <c r="GK14" s="197">
        <f t="shared" si="34"/>
        <v>11302808.433553912</v>
      </c>
      <c r="GL14" s="197">
        <f t="shared" si="34"/>
        <v>11302808.433553912</v>
      </c>
      <c r="GM14" s="197">
        <f t="shared" si="34"/>
        <v>11302808.433553912</v>
      </c>
      <c r="GN14" s="197">
        <f t="shared" si="34"/>
        <v>11302808.433553912</v>
      </c>
      <c r="GO14" s="197">
        <f t="shared" si="34"/>
        <v>11302808.433553912</v>
      </c>
      <c r="GP14" s="197">
        <f t="shared" si="34"/>
        <v>11302808.433553912</v>
      </c>
      <c r="GQ14" s="197">
        <f t="shared" si="34"/>
        <v>11302808.433553912</v>
      </c>
      <c r="GR14" s="197">
        <f t="shared" si="34"/>
        <v>11302808.433553912</v>
      </c>
      <c r="GS14" s="197">
        <f t="shared" ref="GS14:JD14" si="35">GS10-GS12</f>
        <v>11302808.433553912</v>
      </c>
      <c r="GT14" s="197">
        <f t="shared" si="35"/>
        <v>11302808.433553912</v>
      </c>
      <c r="GU14" s="197">
        <f t="shared" si="35"/>
        <v>11302808.433553912</v>
      </c>
      <c r="GV14" s="197">
        <f t="shared" si="35"/>
        <v>11302808.433553912</v>
      </c>
      <c r="GW14" s="197">
        <f t="shared" si="35"/>
        <v>11302808.433553912</v>
      </c>
      <c r="GX14" s="197">
        <f t="shared" si="35"/>
        <v>11302808.433553912</v>
      </c>
      <c r="GY14" s="197">
        <f t="shared" si="35"/>
        <v>11302808.433553912</v>
      </c>
      <c r="GZ14" s="197">
        <f t="shared" si="35"/>
        <v>11302808.433553912</v>
      </c>
      <c r="HA14" s="197">
        <f t="shared" si="35"/>
        <v>11302808.433553912</v>
      </c>
      <c r="HB14" s="197">
        <f t="shared" si="35"/>
        <v>11302808.433553912</v>
      </c>
      <c r="HC14" s="197">
        <f t="shared" si="35"/>
        <v>11302808.433553912</v>
      </c>
      <c r="HD14" s="197">
        <f t="shared" si="35"/>
        <v>11302808.433553912</v>
      </c>
      <c r="HE14" s="197">
        <f t="shared" si="35"/>
        <v>11302808.433553912</v>
      </c>
      <c r="HF14" s="197">
        <f t="shared" si="35"/>
        <v>11302808.433553912</v>
      </c>
      <c r="HG14" s="197">
        <f t="shared" si="35"/>
        <v>11302808.433553912</v>
      </c>
      <c r="HH14" s="197">
        <f t="shared" si="35"/>
        <v>11302808.433553912</v>
      </c>
      <c r="HI14" s="197">
        <f t="shared" si="35"/>
        <v>11302808.433553912</v>
      </c>
      <c r="HJ14" s="197">
        <f t="shared" si="35"/>
        <v>11302808.433553912</v>
      </c>
      <c r="HK14" s="197">
        <f t="shared" si="35"/>
        <v>11302808.433553912</v>
      </c>
      <c r="HL14" s="197">
        <f t="shared" si="35"/>
        <v>11302808.433553912</v>
      </c>
      <c r="HM14" s="197">
        <f t="shared" si="35"/>
        <v>11302808.433553912</v>
      </c>
      <c r="HN14" s="197">
        <f t="shared" si="35"/>
        <v>11302808.433553912</v>
      </c>
      <c r="HO14" s="197">
        <f t="shared" si="35"/>
        <v>11302808.433553912</v>
      </c>
      <c r="HP14" s="197">
        <f t="shared" si="35"/>
        <v>11302808.433553912</v>
      </c>
      <c r="HQ14" s="197">
        <f t="shared" si="35"/>
        <v>11302808.433553912</v>
      </c>
      <c r="HR14" s="197">
        <f t="shared" si="35"/>
        <v>11302808.433553912</v>
      </c>
      <c r="HS14" s="197">
        <f t="shared" si="35"/>
        <v>11302808.433553912</v>
      </c>
      <c r="HT14" s="197">
        <f t="shared" si="35"/>
        <v>11302808.433553912</v>
      </c>
      <c r="HU14" s="197">
        <f t="shared" si="35"/>
        <v>11302808.433553912</v>
      </c>
      <c r="HV14" s="197">
        <f t="shared" si="35"/>
        <v>11302808.433553912</v>
      </c>
      <c r="HW14" s="197">
        <f t="shared" si="35"/>
        <v>11302808.433553912</v>
      </c>
      <c r="HX14" s="197">
        <f t="shared" si="35"/>
        <v>11302808.433553912</v>
      </c>
      <c r="HY14" s="197">
        <f t="shared" si="35"/>
        <v>11302808.433553912</v>
      </c>
      <c r="HZ14" s="197">
        <f t="shared" si="35"/>
        <v>11302808.433553912</v>
      </c>
      <c r="IA14" s="197">
        <f t="shared" si="35"/>
        <v>11302808.433553912</v>
      </c>
      <c r="IB14" s="197">
        <f t="shared" si="35"/>
        <v>11302808.433553912</v>
      </c>
      <c r="IC14" s="197">
        <f t="shared" si="35"/>
        <v>11302808.433553912</v>
      </c>
      <c r="ID14" s="197">
        <f t="shared" si="35"/>
        <v>11302808.433553912</v>
      </c>
      <c r="IE14" s="197">
        <f t="shared" si="35"/>
        <v>11302808.433553912</v>
      </c>
      <c r="IF14" s="197">
        <f t="shared" si="35"/>
        <v>11302808.433553912</v>
      </c>
      <c r="IG14" s="197">
        <f t="shared" si="35"/>
        <v>11302808.433553912</v>
      </c>
      <c r="IH14" s="197">
        <f t="shared" si="35"/>
        <v>11302808.433553912</v>
      </c>
      <c r="II14" s="197">
        <f t="shared" si="35"/>
        <v>11302808.433553912</v>
      </c>
      <c r="IJ14" s="197">
        <f t="shared" si="35"/>
        <v>11302808.433553912</v>
      </c>
      <c r="IK14" s="197">
        <f t="shared" si="35"/>
        <v>11302808.433553912</v>
      </c>
      <c r="IL14" s="197">
        <f t="shared" si="35"/>
        <v>11302808.433553912</v>
      </c>
      <c r="IM14" s="197">
        <f t="shared" si="35"/>
        <v>11302808.433553912</v>
      </c>
      <c r="IN14" s="197">
        <f t="shared" si="35"/>
        <v>11302808.433553912</v>
      </c>
      <c r="IO14" s="197">
        <f t="shared" si="35"/>
        <v>11302808.433553912</v>
      </c>
      <c r="IP14" s="197">
        <f t="shared" si="35"/>
        <v>11302808.433553912</v>
      </c>
      <c r="IQ14" s="197">
        <f t="shared" si="35"/>
        <v>11302808.433553912</v>
      </c>
      <c r="IR14" s="197">
        <f t="shared" si="35"/>
        <v>11302808.433553912</v>
      </c>
      <c r="IS14" s="197">
        <f t="shared" si="35"/>
        <v>11302808.433553912</v>
      </c>
      <c r="IT14" s="197">
        <f t="shared" si="35"/>
        <v>11302808.433553912</v>
      </c>
      <c r="IU14" s="197">
        <f t="shared" si="35"/>
        <v>11302808.433553912</v>
      </c>
      <c r="IV14" s="197">
        <f t="shared" si="35"/>
        <v>11302808.433553912</v>
      </c>
      <c r="IW14" s="197">
        <f t="shared" si="35"/>
        <v>11302808.433553912</v>
      </c>
      <c r="IX14" s="197">
        <f t="shared" si="35"/>
        <v>11302808.433553912</v>
      </c>
      <c r="IY14" s="197">
        <f t="shared" si="35"/>
        <v>11302808.433553912</v>
      </c>
      <c r="IZ14" s="197">
        <f t="shared" si="35"/>
        <v>11302808.433553912</v>
      </c>
      <c r="JA14" s="197">
        <f t="shared" si="35"/>
        <v>11302808.433553912</v>
      </c>
      <c r="JB14" s="197">
        <f t="shared" si="35"/>
        <v>11302808.433553912</v>
      </c>
      <c r="JC14" s="197">
        <f t="shared" si="35"/>
        <v>11302808.433553912</v>
      </c>
      <c r="JD14" s="197">
        <f t="shared" si="35"/>
        <v>11302808.433553912</v>
      </c>
      <c r="JE14" s="197">
        <f t="shared" ref="JE14:LD14" si="36">JE10-JE12</f>
        <v>11302808.433553912</v>
      </c>
      <c r="JF14" s="197">
        <f t="shared" si="36"/>
        <v>11302808.433553912</v>
      </c>
      <c r="JG14" s="197">
        <f t="shared" si="36"/>
        <v>11302808.433553912</v>
      </c>
      <c r="JH14" s="197">
        <f t="shared" si="36"/>
        <v>11302808.433553912</v>
      </c>
      <c r="JI14" s="197">
        <f t="shared" si="36"/>
        <v>11302808.433553912</v>
      </c>
      <c r="JJ14" s="197">
        <f t="shared" si="36"/>
        <v>11302808.433553912</v>
      </c>
      <c r="JK14" s="197">
        <f t="shared" si="36"/>
        <v>11302808.433553912</v>
      </c>
      <c r="JL14" s="197">
        <f t="shared" si="36"/>
        <v>11302808.433553912</v>
      </c>
      <c r="JM14" s="197">
        <f t="shared" si="36"/>
        <v>11302808.433553912</v>
      </c>
      <c r="JN14" s="197">
        <f t="shared" si="36"/>
        <v>11302808.433553912</v>
      </c>
      <c r="JO14" s="197">
        <f t="shared" si="36"/>
        <v>11302808.433553912</v>
      </c>
      <c r="JP14" s="197">
        <f t="shared" si="36"/>
        <v>11302808.433553912</v>
      </c>
      <c r="JQ14" s="197">
        <f t="shared" si="36"/>
        <v>11302808.433553912</v>
      </c>
      <c r="JR14" s="197">
        <f t="shared" si="36"/>
        <v>11302808.433553912</v>
      </c>
      <c r="JS14" s="197">
        <f t="shared" si="36"/>
        <v>11302808.433553912</v>
      </c>
      <c r="JT14" s="197">
        <f t="shared" si="36"/>
        <v>11302808.433553912</v>
      </c>
      <c r="JU14" s="197">
        <f t="shared" si="36"/>
        <v>11302808.433553912</v>
      </c>
      <c r="JV14" s="197">
        <f t="shared" si="36"/>
        <v>11302808.433553912</v>
      </c>
      <c r="JW14" s="197">
        <f t="shared" si="36"/>
        <v>11302808.433553912</v>
      </c>
      <c r="JX14" s="197">
        <f t="shared" si="36"/>
        <v>11302808.433553912</v>
      </c>
      <c r="JY14" s="197">
        <f t="shared" si="36"/>
        <v>11302808.433553912</v>
      </c>
      <c r="JZ14" s="197">
        <f t="shared" si="36"/>
        <v>11302808.433553912</v>
      </c>
      <c r="KA14" s="197">
        <f t="shared" si="36"/>
        <v>11302808.433553912</v>
      </c>
      <c r="KB14" s="197">
        <f t="shared" si="36"/>
        <v>11302808.433553912</v>
      </c>
      <c r="KC14" s="197">
        <f t="shared" si="36"/>
        <v>11302808.433553912</v>
      </c>
      <c r="KD14" s="197">
        <f t="shared" si="36"/>
        <v>11302808.433553912</v>
      </c>
      <c r="KE14" s="197">
        <f t="shared" si="36"/>
        <v>11302808.433553912</v>
      </c>
      <c r="KF14" s="197">
        <f t="shared" si="36"/>
        <v>11302808.433553912</v>
      </c>
      <c r="KG14" s="197">
        <f t="shared" si="36"/>
        <v>11302808.433553912</v>
      </c>
      <c r="KH14" s="197">
        <f t="shared" si="36"/>
        <v>11302808.433553912</v>
      </c>
      <c r="KI14" s="197">
        <f t="shared" si="36"/>
        <v>11302808.433553912</v>
      </c>
      <c r="KJ14" s="197">
        <f t="shared" si="36"/>
        <v>11302808.433553912</v>
      </c>
      <c r="KK14" s="197">
        <f t="shared" si="36"/>
        <v>11302808.433553912</v>
      </c>
      <c r="KL14" s="197">
        <f t="shared" si="36"/>
        <v>11302808.433553912</v>
      </c>
      <c r="KM14" s="197">
        <f t="shared" si="36"/>
        <v>11302808.433553912</v>
      </c>
      <c r="KN14" s="197">
        <f t="shared" si="36"/>
        <v>11302808.433553912</v>
      </c>
      <c r="KO14" s="197">
        <f t="shared" si="36"/>
        <v>11302808.433553912</v>
      </c>
      <c r="KP14" s="197">
        <f t="shared" si="36"/>
        <v>11302808.433553912</v>
      </c>
      <c r="KQ14" s="197">
        <f t="shared" si="36"/>
        <v>11302808.433553912</v>
      </c>
      <c r="KR14" s="197">
        <f t="shared" si="36"/>
        <v>11302808.433553912</v>
      </c>
      <c r="KS14" s="197">
        <f t="shared" si="36"/>
        <v>11302808.433553912</v>
      </c>
      <c r="KT14" s="197">
        <f t="shared" si="36"/>
        <v>11302808.433553912</v>
      </c>
      <c r="KU14" s="197">
        <f t="shared" si="36"/>
        <v>11302808.433553912</v>
      </c>
      <c r="KV14" s="197">
        <f t="shared" si="36"/>
        <v>11302808.433553912</v>
      </c>
      <c r="KW14" s="197">
        <f t="shared" si="36"/>
        <v>11302808.433553912</v>
      </c>
      <c r="KX14" s="197">
        <f t="shared" si="36"/>
        <v>11302808.433553912</v>
      </c>
      <c r="KY14" s="197">
        <f t="shared" si="36"/>
        <v>11302808.433553912</v>
      </c>
      <c r="KZ14" s="197">
        <f t="shared" si="36"/>
        <v>11302808.433553912</v>
      </c>
      <c r="LA14" s="197">
        <f t="shared" si="36"/>
        <v>11302808.433553912</v>
      </c>
      <c r="LB14" s="197">
        <f t="shared" si="36"/>
        <v>11302808.433553912</v>
      </c>
      <c r="LC14" s="197">
        <f t="shared" si="36"/>
        <v>11302808.433553912</v>
      </c>
      <c r="LD14" s="197">
        <f t="shared" si="36"/>
        <v>11302808.433553912</v>
      </c>
    </row>
    <row r="15" spans="1:794" s="181" customFormat="1"/>
    <row r="16" spans="1:794" s="181" customFormat="1">
      <c r="C16" s="183" t="s">
        <v>301</v>
      </c>
      <c r="D16" s="183" t="s">
        <v>301</v>
      </c>
    </row>
    <row r="17" spans="1:316">
      <c r="A17" s="931"/>
      <c r="B17" s="185" t="s">
        <v>738</v>
      </c>
      <c r="C17" s="363">
        <f>C3-D17</f>
        <v>-5195.4807196259499</v>
      </c>
      <c r="D17" s="186">
        <f>SUM(F17:LD17)</f>
        <v>60000195.480719626</v>
      </c>
      <c r="E17" s="196"/>
      <c r="F17" s="204">
        <f>SUMIFS('Expenditure Breakdown'!$U$6:$U$368, 'Expenditure Breakdown'!$T$6:$T$368, "&gt;="&amp;F1,'Expenditure Breakdown'!$T$6:$T$368, "&lt;"&amp;G1)</f>
        <v>0</v>
      </c>
      <c r="G17" s="204">
        <f>SUMIFS('Expenditure Breakdown'!$U$6:$U$368, 'Expenditure Breakdown'!$T$6:$T$368, "&gt;="&amp;G1,'Expenditure Breakdown'!$T$6:$T$368, "&lt;"&amp;H1)</f>
        <v>0</v>
      </c>
      <c r="H17" s="204">
        <f>SUMIFS('Expenditure Breakdown'!$U$6:$U$368, 'Expenditure Breakdown'!$T$6:$T$368, "&gt;="&amp;H1,'Expenditure Breakdown'!$T$6:$T$368, "&lt;"&amp;I1)</f>
        <v>0</v>
      </c>
      <c r="I17" s="204">
        <f>SUMIFS('Expenditure Breakdown'!$U$6:$U$368, 'Expenditure Breakdown'!$T$6:$T$368, "&gt;="&amp;I1,'Expenditure Breakdown'!$T$6:$T$368, "&lt;"&amp;J1)</f>
        <v>0</v>
      </c>
      <c r="J17" s="204">
        <f>SUMIFS('Expenditure Breakdown'!$U$6:$U$368, 'Expenditure Breakdown'!$T$6:$T$368, "&gt;="&amp;J1,'Expenditure Breakdown'!$T$6:$T$368, "&lt;"&amp;K1)</f>
        <v>0</v>
      </c>
      <c r="K17" s="204">
        <f>SUMIFS('Expenditure Breakdown'!$U$6:$U$368, 'Expenditure Breakdown'!$T$6:$T$368, "&gt;="&amp;K1,'Expenditure Breakdown'!$T$6:$T$368, "&lt;"&amp;L1)</f>
        <v>0</v>
      </c>
      <c r="L17" s="204">
        <f>SUMIFS('Expenditure Breakdown'!$U$6:$U$368, 'Expenditure Breakdown'!$T$6:$T$368, "&gt;="&amp;L1,'Expenditure Breakdown'!$T$6:$T$368, "&lt;"&amp;M1)</f>
        <v>0</v>
      </c>
      <c r="M17" s="204">
        <f>SUMIFS('Expenditure Breakdown'!$U$6:$U$368, 'Expenditure Breakdown'!$T$6:$T$368, "&gt;="&amp;M1,'Expenditure Breakdown'!$T$6:$T$368, "&lt;"&amp;N1)</f>
        <v>0</v>
      </c>
      <c r="N17" s="204">
        <f>SUMIFS('Expenditure Breakdown'!$U$6:$U$368, 'Expenditure Breakdown'!$T$6:$T$368, "&gt;="&amp;N1,'Expenditure Breakdown'!$T$6:$T$368, "&lt;"&amp;O1)</f>
        <v>0</v>
      </c>
      <c r="O17" s="204">
        <f>SUMIFS('Expenditure Breakdown'!$U$6:$U$368, 'Expenditure Breakdown'!$T$6:$T$368, "&gt;="&amp;O1,'Expenditure Breakdown'!$T$6:$T$368, "&lt;"&amp;P1)</f>
        <v>0</v>
      </c>
      <c r="P17" s="204">
        <f>SUMIFS('Expenditure Breakdown'!$U$6:$U$368, 'Expenditure Breakdown'!$T$6:$T$368, "&gt;="&amp;P1,'Expenditure Breakdown'!$T$6:$T$368, "&lt;"&amp;Q1)</f>
        <v>0</v>
      </c>
      <c r="Q17" s="204">
        <f>SUMIFS('Expenditure Breakdown'!$U$6:$U$368, 'Expenditure Breakdown'!$T$6:$T$368, "&gt;="&amp;Q1,'Expenditure Breakdown'!$T$6:$T$368, "&lt;"&amp;R1)</f>
        <v>0</v>
      </c>
      <c r="R17" s="204">
        <f>SUMIFS('Expenditure Breakdown'!$U$6:$U$368, 'Expenditure Breakdown'!$T$6:$T$368, "&gt;="&amp;R1,'Expenditure Breakdown'!$T$6:$T$368, "&lt;"&amp;S1)</f>
        <v>0</v>
      </c>
      <c r="S17" s="204">
        <f>SUMIFS('Expenditure Breakdown'!$U$6:$U$368, 'Expenditure Breakdown'!$T$6:$T$368, "&gt;="&amp;S1,'Expenditure Breakdown'!$T$6:$T$368, "&lt;"&amp;T1)</f>
        <v>0</v>
      </c>
      <c r="T17" s="204">
        <f>SUMIFS('Expenditure Breakdown'!$U$6:$U$368, 'Expenditure Breakdown'!$T$6:$T$368, "&gt;="&amp;T1,'Expenditure Breakdown'!$T$6:$T$368, "&lt;"&amp;U1)</f>
        <v>0</v>
      </c>
      <c r="U17" s="204">
        <f>SUMIFS('Expenditure Breakdown'!$U$6:$U$368, 'Expenditure Breakdown'!$T$6:$T$368, "&gt;="&amp;U1,'Expenditure Breakdown'!$T$6:$T$368, "&lt;"&amp;V1)</f>
        <v>0</v>
      </c>
      <c r="V17" s="204">
        <f>SUMIFS('Expenditure Breakdown'!$U$6:$U$368, 'Expenditure Breakdown'!$T$6:$T$368, "&gt;="&amp;V1,'Expenditure Breakdown'!$T$6:$T$368, "&lt;"&amp;W1)</f>
        <v>0</v>
      </c>
      <c r="W17" s="204">
        <f>SUMIFS('Expenditure Breakdown'!$U$6:$U$368, 'Expenditure Breakdown'!$T$6:$T$368, "&gt;="&amp;W1,'Expenditure Breakdown'!$T$6:$T$368, "&lt;"&amp;X1)</f>
        <v>0</v>
      </c>
      <c r="X17" s="204">
        <f>SUMIFS('Expenditure Breakdown'!$U$6:$U$368, 'Expenditure Breakdown'!$T$6:$T$368, "&gt;="&amp;X1,'Expenditure Breakdown'!$T$6:$T$368, "&lt;"&amp;Y1)</f>
        <v>0</v>
      </c>
      <c r="Y17" s="204">
        <f>SUMIFS('Expenditure Breakdown'!$U$6:$U$368, 'Expenditure Breakdown'!$T$6:$T$368, "&gt;="&amp;Y1,'Expenditure Breakdown'!$T$6:$T$368, "&lt;"&amp;Z1)</f>
        <v>0</v>
      </c>
      <c r="Z17" s="204">
        <f>SUMIFS('Expenditure Breakdown'!$U$6:$U$368, 'Expenditure Breakdown'!$T$6:$T$368, "&gt;="&amp;Z1,'Expenditure Breakdown'!$T$6:$T$368, "&lt;"&amp;AA1)</f>
        <v>0</v>
      </c>
      <c r="AA17" s="204">
        <f>SUMIFS('Expenditure Breakdown'!$U$6:$U$368, 'Expenditure Breakdown'!$T$6:$T$368, "&gt;="&amp;AA1,'Expenditure Breakdown'!$T$6:$T$368, "&lt;"&amp;AB1)</f>
        <v>0</v>
      </c>
      <c r="AB17" s="204">
        <f>SUMIFS('Expenditure Breakdown'!$U$6:$U$368, 'Expenditure Breakdown'!$T$6:$T$368, "&gt;="&amp;AB1,'Expenditure Breakdown'!$T$6:$T$368, "&lt;"&amp;AC1)</f>
        <v>0</v>
      </c>
      <c r="AC17" s="204">
        <f>SUMIFS('Expenditure Breakdown'!$U$6:$U$368, 'Expenditure Breakdown'!$T$6:$T$368, "&gt;="&amp;AC1,'Expenditure Breakdown'!$T$6:$T$368, "&lt;"&amp;AD1)</f>
        <v>8815197.7094932552</v>
      </c>
      <c r="AD17" s="204">
        <f>SUMIFS('Expenditure Breakdown'!$U$6:$U$368, 'Expenditure Breakdown'!$T$6:$T$368, "&gt;="&amp;AD1,'Expenditure Breakdown'!$T$6:$T$368, "&lt;"&amp;AE1)</f>
        <v>0</v>
      </c>
      <c r="AE17" s="204">
        <f>SUMIFS('Expenditure Breakdown'!$U$6:$U$368, 'Expenditure Breakdown'!$T$6:$T$368, "&gt;="&amp;AE1,'Expenditure Breakdown'!$T$6:$T$368, "&lt;"&amp;AF1)</f>
        <v>0</v>
      </c>
      <c r="AF17" s="204">
        <f>SUMIFS('Expenditure Breakdown'!$U$6:$U$368, 'Expenditure Breakdown'!$T$6:$T$368, "&gt;="&amp;AF1,'Expenditure Breakdown'!$T$6:$T$368, "&lt;"&amp;AG1)</f>
        <v>0</v>
      </c>
      <c r="AG17" s="204">
        <f>SUMIFS('Expenditure Breakdown'!$U$6:$U$368, 'Expenditure Breakdown'!$T$6:$T$368, "&gt;="&amp;AG1,'Expenditure Breakdown'!$T$6:$T$368, "&lt;"&amp;AH1)</f>
        <v>25270274.790430568</v>
      </c>
      <c r="AH17" s="204">
        <f>SUMIFS('Expenditure Breakdown'!$U$6:$U$368, 'Expenditure Breakdown'!$T$6:$T$368, "&gt;="&amp;AH1,'Expenditure Breakdown'!$T$6:$T$368, "&lt;"&amp;AI1)</f>
        <v>0</v>
      </c>
      <c r="AI17" s="204">
        <f>SUMIFS('Expenditure Breakdown'!$U$6:$U$368, 'Expenditure Breakdown'!$T$6:$T$368, "&gt;="&amp;AI1,'Expenditure Breakdown'!$T$6:$T$368, "&lt;"&amp;AJ1)</f>
        <v>0</v>
      </c>
      <c r="AJ17" s="204">
        <f>SUMIFS('Expenditure Breakdown'!$U$6:$U$368, 'Expenditure Breakdown'!$T$6:$T$368, "&gt;="&amp;AJ1,'Expenditure Breakdown'!$T$6:$T$368, "&lt;"&amp;AK1)</f>
        <v>0</v>
      </c>
      <c r="AK17" s="204">
        <f>SUMIFS('Expenditure Breakdown'!$U$6:$U$368, 'Expenditure Breakdown'!$T$6:$T$368, "&gt;="&amp;AK1,'Expenditure Breakdown'!$T$6:$T$368, "&lt;"&amp;AL1)</f>
        <v>12183550.850430239</v>
      </c>
      <c r="AL17" s="204">
        <f>SUMIFS('Expenditure Breakdown'!$U$6:$U$368, 'Expenditure Breakdown'!$T$6:$T$368, "&gt;="&amp;AL1,'Expenditure Breakdown'!$T$6:$T$368, "&lt;"&amp;AM1)</f>
        <v>0</v>
      </c>
      <c r="AM17" s="204">
        <f>SUMIFS('Expenditure Breakdown'!$U$6:$U$368, 'Expenditure Breakdown'!$T$6:$T$368, "&gt;="&amp;AM1,'Expenditure Breakdown'!$T$6:$T$368, "&lt;"&amp;AN1)</f>
        <v>0</v>
      </c>
      <c r="AN17" s="204">
        <f>SUMIFS('Expenditure Breakdown'!$U$6:$U$368, 'Expenditure Breakdown'!$T$6:$T$368, "&gt;="&amp;AN1,'Expenditure Breakdown'!$T$6:$T$368, "&lt;"&amp;AO1)</f>
        <v>0</v>
      </c>
      <c r="AO17" s="204">
        <f>SUMIFS('Expenditure Breakdown'!$U$6:$U$368, 'Expenditure Breakdown'!$T$6:$T$368, "&gt;="&amp;AO1,'Expenditure Breakdown'!$T$6:$T$368, "&lt;"&amp;AP1)</f>
        <v>0</v>
      </c>
      <c r="AP17" s="204">
        <f>SUMIFS('Expenditure Breakdown'!$U$6:$U$368, 'Expenditure Breakdown'!$T$6:$T$368, "&gt;="&amp;AP1,'Expenditure Breakdown'!$T$6:$T$368, "&lt;"&amp;AQ1)</f>
        <v>4759.0838001852389</v>
      </c>
      <c r="AQ17" s="204">
        <f>SUMIFS('Expenditure Breakdown'!$U$6:$U$368, 'Expenditure Breakdown'!$T$6:$T$368, "&gt;="&amp;AQ1,'Expenditure Breakdown'!$T$6:$T$368, "&lt;"&amp;AR1)</f>
        <v>0</v>
      </c>
      <c r="AR17" s="204">
        <f>SUMIFS('Expenditure Breakdown'!$U$6:$U$368, 'Expenditure Breakdown'!$T$6:$T$368, "&gt;="&amp;AR1,'Expenditure Breakdown'!$T$6:$T$368, "&lt;"&amp;AS1)</f>
        <v>0</v>
      </c>
      <c r="AS17" s="204">
        <f>SUMIFS('Expenditure Breakdown'!$U$6:$U$368, 'Expenditure Breakdown'!$T$6:$T$368, "&gt;="&amp;AS1,'Expenditure Breakdown'!$T$6:$T$368, "&lt;"&amp;AT1)</f>
        <v>0</v>
      </c>
      <c r="AT17" s="204">
        <f>SUMIFS('Expenditure Breakdown'!$U$6:$U$368, 'Expenditure Breakdown'!$T$6:$T$368, "&gt;="&amp;AT1,'Expenditure Breakdown'!$T$6:$T$368, "&lt;"&amp;AU1)</f>
        <v>71787.336561695745</v>
      </c>
      <c r="AU17" s="204">
        <f>SUMIFS('Expenditure Breakdown'!$U$6:$U$368, 'Expenditure Breakdown'!$T$6:$T$368, "&gt;="&amp;AU1,'Expenditure Breakdown'!$T$6:$T$368, "&lt;"&amp;AV1)</f>
        <v>0</v>
      </c>
      <c r="AV17" s="204">
        <f>SUMIFS('Expenditure Breakdown'!$U$6:$U$368, 'Expenditure Breakdown'!$T$6:$T$368, "&gt;="&amp;AV1,'Expenditure Breakdown'!$T$6:$T$368, "&lt;"&amp;AW1)</f>
        <v>0</v>
      </c>
      <c r="AW17" s="204">
        <f>SUMIFS('Expenditure Breakdown'!$U$6:$U$368, 'Expenditure Breakdown'!$T$6:$T$368, "&gt;="&amp;AW1,'Expenditure Breakdown'!$T$6:$T$368, "&lt;"&amp;AX1)</f>
        <v>0</v>
      </c>
      <c r="AX17" s="204">
        <f>SUMIFS('Expenditure Breakdown'!$U$6:$U$368, 'Expenditure Breakdown'!$T$6:$T$368, "&gt;="&amp;AX1,'Expenditure Breakdown'!$T$6:$T$368, "&lt;"&amp;AY1)</f>
        <v>11651405.675580088</v>
      </c>
      <c r="AY17" s="204">
        <f>SUMIFS('Expenditure Breakdown'!$U$6:$U$368, 'Expenditure Breakdown'!$T$6:$T$368, "&gt;="&amp;AY1,'Expenditure Breakdown'!$T$6:$T$368, "&lt;"&amp;AZ1)</f>
        <v>0</v>
      </c>
      <c r="AZ17" s="204">
        <f>SUMIFS('Expenditure Breakdown'!$U$6:$U$368, 'Expenditure Breakdown'!$T$6:$T$368, "&gt;="&amp;AZ1,'Expenditure Breakdown'!$T$6:$T$368, "&lt;"&amp;BA1)</f>
        <v>0</v>
      </c>
      <c r="BA17" s="204">
        <f>SUMIFS('Expenditure Breakdown'!$U$6:$U$368, 'Expenditure Breakdown'!$T$6:$T$368, "&gt;="&amp;BA1,'Expenditure Breakdown'!$T$6:$T$368, "&lt;"&amp;BB1)</f>
        <v>0</v>
      </c>
      <c r="BB17" s="204">
        <f>SUMIFS('Expenditure Breakdown'!$U$6:$U$368, 'Expenditure Breakdown'!$T$6:$T$368, "&gt;="&amp;BB1,'Expenditure Breakdown'!$T$6:$T$368, "&lt;"&amp;BC1)</f>
        <v>0</v>
      </c>
      <c r="BC17" s="204">
        <f>SUMIFS('Expenditure Breakdown'!$U$6:$U$368, 'Expenditure Breakdown'!$T$6:$T$368, "&gt;="&amp;BC1,'Expenditure Breakdown'!$T$6:$T$368, "&lt;"&amp;BD1)</f>
        <v>22058.315908169272</v>
      </c>
      <c r="BD17" s="204">
        <f>SUMIFS('Expenditure Breakdown'!$U$6:$U$368, 'Expenditure Breakdown'!$T$6:$T$368, "&gt;="&amp;BD1,'Expenditure Breakdown'!$T$6:$T$368, "&lt;"&amp;BE1)</f>
        <v>0</v>
      </c>
      <c r="BE17" s="204">
        <f>SUMIFS('Expenditure Breakdown'!$U$6:$U$368, 'Expenditure Breakdown'!$T$6:$T$368, "&gt;="&amp;BE1,'Expenditure Breakdown'!$T$6:$T$368, "&lt;"&amp;BF1)</f>
        <v>0</v>
      </c>
      <c r="BF17" s="204">
        <f>SUMIFS('Expenditure Breakdown'!$U$6:$U$368, 'Expenditure Breakdown'!$T$6:$T$368, "&gt;="&amp;BF1,'Expenditure Breakdown'!$T$6:$T$368, "&lt;"&amp;BG1)</f>
        <v>0</v>
      </c>
      <c r="BG17" s="204">
        <f>SUMIFS('Expenditure Breakdown'!$U$6:$U$368, 'Expenditure Breakdown'!$T$6:$T$368, "&gt;="&amp;BG1,'Expenditure Breakdown'!$T$6:$T$368, "&lt;"&amp;BH1)</f>
        <v>674751.1219636657</v>
      </c>
      <c r="BH17" s="204">
        <f>SUMIFS('Expenditure Breakdown'!$U$6:$U$368, 'Expenditure Breakdown'!$T$6:$T$368, "&gt;="&amp;BH1,'Expenditure Breakdown'!$T$6:$T$368, "&lt;"&amp;BI1)</f>
        <v>0</v>
      </c>
      <c r="BI17" s="204">
        <f>SUMIFS('Expenditure Breakdown'!$U$6:$U$368, 'Expenditure Breakdown'!$T$6:$T$368, "&gt;="&amp;BI1,'Expenditure Breakdown'!$T$6:$T$368, "&lt;"&amp;BJ1)</f>
        <v>0</v>
      </c>
      <c r="BJ17" s="204">
        <f>SUMIFS('Expenditure Breakdown'!$U$6:$U$368, 'Expenditure Breakdown'!$T$6:$T$368, "&gt;="&amp;BJ1,'Expenditure Breakdown'!$T$6:$T$368, "&lt;"&amp;BK1)</f>
        <v>0</v>
      </c>
      <c r="BK17" s="204">
        <f>SUMIFS('Expenditure Breakdown'!$U$6:$U$368, 'Expenditure Breakdown'!$T$6:$T$368, "&gt;="&amp;BK1,'Expenditure Breakdown'!$T$6:$T$368, "&lt;"&amp;BL1)</f>
        <v>1306410.5965517685</v>
      </c>
      <c r="BL17" s="204">
        <f>SUMIFS('Expenditure Breakdown'!$U$6:$U$368, 'Expenditure Breakdown'!$T$6:$T$368, "&gt;="&amp;BL1,'Expenditure Breakdown'!$T$6:$T$368, "&lt;"&amp;BM1)</f>
        <v>0</v>
      </c>
      <c r="BM17" s="204">
        <f>SUMIFS('Expenditure Breakdown'!$U$6:$U$368, 'Expenditure Breakdown'!$T$6:$T$368, "&gt;="&amp;BM1,'Expenditure Breakdown'!$T$6:$T$368, "&lt;"&amp;BN1)</f>
        <v>0</v>
      </c>
      <c r="BN17" s="204">
        <f>SUMIFS('Expenditure Breakdown'!$U$6:$U$368, 'Expenditure Breakdown'!$T$6:$T$368, "&gt;="&amp;BN1,'Expenditure Breakdown'!$T$6:$T$368, "&lt;"&amp;BO1)</f>
        <v>0</v>
      </c>
      <c r="BO17" s="204">
        <f>SUMIFS('Expenditure Breakdown'!$U$6:$U$368, 'Expenditure Breakdown'!$T$6:$T$368, "&gt;="&amp;BO1,'Expenditure Breakdown'!$T$6:$T$368, "&lt;"&amp;BP1)</f>
        <v>0</v>
      </c>
      <c r="BP17" s="204">
        <f>SUMIFS('Expenditure Breakdown'!$U$6:$U$368, 'Expenditure Breakdown'!$T$6:$T$368, "&gt;="&amp;BP1,'Expenditure Breakdown'!$T$6:$T$368, "&lt;"&amp;BQ1)</f>
        <v>0</v>
      </c>
      <c r="BQ17" s="204">
        <f>SUMIFS('Expenditure Breakdown'!$U$6:$U$368, 'Expenditure Breakdown'!$T$6:$T$368, "&gt;="&amp;BQ1,'Expenditure Breakdown'!$T$6:$T$368, "&lt;"&amp;BR1)</f>
        <v>0</v>
      </c>
      <c r="BR17" s="204">
        <f>SUMIFS('Expenditure Breakdown'!$U$6:$U$368, 'Expenditure Breakdown'!$T$6:$T$368, "&gt;="&amp;BR1,'Expenditure Breakdown'!$T$6:$T$368, "&lt;"&amp;BS1)</f>
        <v>0</v>
      </c>
      <c r="BS17" s="204">
        <f>SUMIFS('Expenditure Breakdown'!$U$6:$U$368, 'Expenditure Breakdown'!$T$6:$T$368, "&gt;="&amp;BS1,'Expenditure Breakdown'!$T$6:$T$368, "&lt;"&amp;BT1)</f>
        <v>0</v>
      </c>
      <c r="BT17" s="204">
        <f>SUMIFS('Expenditure Breakdown'!$U$6:$U$368, 'Expenditure Breakdown'!$T$6:$T$368, "&gt;="&amp;BT1,'Expenditure Breakdown'!$T$6:$T$368, "&lt;"&amp;BU1)</f>
        <v>0</v>
      </c>
      <c r="BU17" s="204">
        <f>SUMIFS('Expenditure Breakdown'!$U$6:$U$368, 'Expenditure Breakdown'!$T$6:$T$368, "&gt;="&amp;BU1,'Expenditure Breakdown'!$T$6:$T$368, "&lt;"&amp;BV1)</f>
        <v>0</v>
      </c>
      <c r="BV17" s="204">
        <f>SUMIFS('Expenditure Breakdown'!$U$6:$U$368, 'Expenditure Breakdown'!$T$6:$T$368, "&gt;="&amp;BV1,'Expenditure Breakdown'!$T$6:$T$368, "&lt;"&amp;BW1)</f>
        <v>0</v>
      </c>
      <c r="BW17" s="204">
        <f>SUMIFS('Expenditure Breakdown'!$U$6:$U$368, 'Expenditure Breakdown'!$T$6:$T$368, "&gt;="&amp;BW1,'Expenditure Breakdown'!$T$6:$T$368, "&lt;"&amp;BX1)</f>
        <v>0</v>
      </c>
      <c r="BX17" s="204">
        <f>SUMIFS('Expenditure Breakdown'!$U$6:$U$368, 'Expenditure Breakdown'!$T$6:$T$368, "&gt;="&amp;BX1,'Expenditure Breakdown'!$T$6:$T$368, "&lt;"&amp;BY1)</f>
        <v>0</v>
      </c>
      <c r="BY17" s="204">
        <f>SUMIFS('Expenditure Breakdown'!$U$6:$U$368, 'Expenditure Breakdown'!$T$6:$T$368, "&gt;="&amp;BY1,'Expenditure Breakdown'!$T$6:$T$368, "&lt;"&amp;BZ1)</f>
        <v>0</v>
      </c>
      <c r="BZ17" s="204">
        <f>SUMIFS('Expenditure Breakdown'!$U$6:$U$368, 'Expenditure Breakdown'!$T$6:$T$368, "&gt;="&amp;BZ1,'Expenditure Breakdown'!$T$6:$T$368, "&lt;"&amp;CA1)</f>
        <v>0</v>
      </c>
      <c r="CA17" s="204">
        <f>SUMIFS('Expenditure Breakdown'!$U$6:$U$368, 'Expenditure Breakdown'!$T$6:$T$368, "&gt;="&amp;CA1,'Expenditure Breakdown'!$T$6:$T$368, "&lt;"&amp;CB1)</f>
        <v>0</v>
      </c>
      <c r="CB17" s="204">
        <f>SUMIFS('Expenditure Breakdown'!$U$6:$U$368, 'Expenditure Breakdown'!$T$6:$T$368, "&gt;="&amp;CB1,'Expenditure Breakdown'!$T$6:$T$368, "&lt;"&amp;CC1)</f>
        <v>0</v>
      </c>
      <c r="CC17" s="204">
        <f>SUMIFS('Expenditure Breakdown'!$U$6:$U$368, 'Expenditure Breakdown'!$T$6:$T$368, "&gt;="&amp;CC1,'Expenditure Breakdown'!$T$6:$T$368, "&lt;"&amp;CD1)</f>
        <v>0</v>
      </c>
      <c r="CD17" s="204">
        <f>SUMIFS('Expenditure Breakdown'!$U$6:$U$368, 'Expenditure Breakdown'!$T$6:$T$368, "&gt;="&amp;CD1,'Expenditure Breakdown'!$T$6:$T$368, "&lt;"&amp;CE1)</f>
        <v>0</v>
      </c>
      <c r="CE17" s="204">
        <f>SUMIFS('Expenditure Breakdown'!$U$6:$U$368, 'Expenditure Breakdown'!$T$6:$T$368, "&gt;="&amp;CE1,'Expenditure Breakdown'!$T$6:$T$368, "&lt;"&amp;CF1)</f>
        <v>0</v>
      </c>
      <c r="CF17" s="204">
        <f>SUMIFS('Expenditure Breakdown'!$U$6:$U$368, 'Expenditure Breakdown'!$T$6:$T$368, "&gt;="&amp;CF1,'Expenditure Breakdown'!$T$6:$T$368, "&lt;"&amp;CG1)</f>
        <v>0</v>
      </c>
      <c r="CG17" s="204">
        <f>SUMIFS('Expenditure Breakdown'!$U$6:$U$368, 'Expenditure Breakdown'!$T$6:$T$368, "&gt;="&amp;CG1,'Expenditure Breakdown'!$T$6:$T$368, "&lt;"&amp;CH1)</f>
        <v>0</v>
      </c>
      <c r="CH17" s="204">
        <f>SUMIFS('Expenditure Breakdown'!$U$6:$U$368, 'Expenditure Breakdown'!$T$6:$T$368, "&gt;="&amp;CH1,'Expenditure Breakdown'!$T$6:$T$368, "&lt;"&amp;CI1)</f>
        <v>0</v>
      </c>
      <c r="CI17" s="204">
        <f>SUMIFS('Expenditure Breakdown'!$U$6:$U$368, 'Expenditure Breakdown'!$T$6:$T$368, "&gt;="&amp;CI1,'Expenditure Breakdown'!$T$6:$T$368, "&lt;"&amp;CJ1)</f>
        <v>0</v>
      </c>
      <c r="CJ17" s="204">
        <f>SUMIFS('Expenditure Breakdown'!$U$6:$U$368, 'Expenditure Breakdown'!$T$6:$T$368, "&gt;="&amp;CJ1,'Expenditure Breakdown'!$T$6:$T$368, "&lt;"&amp;CK1)</f>
        <v>0</v>
      </c>
      <c r="CK17" s="204">
        <f>SUMIFS('Expenditure Breakdown'!$U$6:$U$368, 'Expenditure Breakdown'!$T$6:$T$368, "&gt;="&amp;CK1,'Expenditure Breakdown'!$T$6:$T$368, "&lt;"&amp;CL1)</f>
        <v>0</v>
      </c>
      <c r="CL17" s="204">
        <f>SUMIFS('Expenditure Breakdown'!$U$6:$U$368, 'Expenditure Breakdown'!$T$6:$T$368, "&gt;="&amp;CL1,'Expenditure Breakdown'!$T$6:$T$368, "&lt;"&amp;CM1)</f>
        <v>0</v>
      </c>
      <c r="CM17" s="204">
        <f>SUMIFS('Expenditure Breakdown'!$U$6:$U$368, 'Expenditure Breakdown'!$T$6:$T$368, "&gt;="&amp;CM1,'Expenditure Breakdown'!$T$6:$T$368, "&lt;"&amp;CN1)</f>
        <v>0</v>
      </c>
      <c r="CN17" s="204">
        <f>SUMIFS('Expenditure Breakdown'!$U$6:$U$368, 'Expenditure Breakdown'!$T$6:$T$368, "&gt;="&amp;CN1,'Expenditure Breakdown'!$T$6:$T$368, "&lt;"&amp;CO1)</f>
        <v>0</v>
      </c>
      <c r="CO17" s="204">
        <f>SUMIFS('Expenditure Breakdown'!$U$6:$U$368, 'Expenditure Breakdown'!$T$6:$T$368, "&gt;="&amp;CO1,'Expenditure Breakdown'!$T$6:$T$368, "&lt;"&amp;CP1)</f>
        <v>0</v>
      </c>
      <c r="CP17" s="204">
        <f>SUMIFS('Expenditure Breakdown'!$U$6:$U$368, 'Expenditure Breakdown'!$T$6:$T$368, "&gt;="&amp;CP1,'Expenditure Breakdown'!$T$6:$T$368, "&lt;"&amp;CQ1)</f>
        <v>0</v>
      </c>
      <c r="CQ17" s="204">
        <f>SUMIFS('Expenditure Breakdown'!$U$6:$U$368, 'Expenditure Breakdown'!$T$6:$T$368, "&gt;="&amp;CQ1,'Expenditure Breakdown'!$T$6:$T$368, "&lt;"&amp;CR1)</f>
        <v>0</v>
      </c>
      <c r="CR17" s="204">
        <f>SUMIFS('Expenditure Breakdown'!$U$6:$U$368, 'Expenditure Breakdown'!$T$6:$T$368, "&gt;="&amp;CR1,'Expenditure Breakdown'!$T$6:$T$368, "&lt;"&amp;CS1)</f>
        <v>0</v>
      </c>
      <c r="CS17" s="204">
        <f>SUMIFS('Expenditure Breakdown'!$U$6:$U$368, 'Expenditure Breakdown'!$T$6:$T$368, "&gt;="&amp;CS1,'Expenditure Breakdown'!$T$6:$T$368, "&lt;"&amp;CT1)</f>
        <v>0</v>
      </c>
      <c r="CT17" s="204">
        <f>SUMIFS('Expenditure Breakdown'!$U$6:$U$368, 'Expenditure Breakdown'!$T$6:$T$368, "&gt;="&amp;CT1,'Expenditure Breakdown'!$T$6:$T$368, "&lt;"&amp;CU1)</f>
        <v>0</v>
      </c>
      <c r="CU17" s="204">
        <f>SUMIFS('Expenditure Breakdown'!$U$6:$U$368, 'Expenditure Breakdown'!$T$6:$T$368, "&gt;="&amp;CU1,'Expenditure Breakdown'!$T$6:$T$368, "&lt;"&amp;CV1)</f>
        <v>0</v>
      </c>
      <c r="CV17" s="204">
        <f>SUMIFS('Expenditure Breakdown'!$U$6:$U$368, 'Expenditure Breakdown'!$T$6:$T$368, "&gt;="&amp;CV1,'Expenditure Breakdown'!$T$6:$T$368, "&lt;"&amp;CW1)</f>
        <v>0</v>
      </c>
      <c r="CW17" s="204">
        <f>SUMIFS('Expenditure Breakdown'!$U$6:$U$368, 'Expenditure Breakdown'!$T$6:$T$368, "&gt;="&amp;CW1,'Expenditure Breakdown'!$T$6:$T$368, "&lt;"&amp;CX1)</f>
        <v>0</v>
      </c>
      <c r="CX17" s="204">
        <f>SUMIFS('Expenditure Breakdown'!$U$6:$U$368, 'Expenditure Breakdown'!$T$6:$T$368, "&gt;="&amp;CX1,'Expenditure Breakdown'!$T$6:$T$368, "&lt;"&amp;CY1)</f>
        <v>0</v>
      </c>
      <c r="CY17" s="204">
        <f>SUMIFS('Expenditure Breakdown'!$U$6:$U$368, 'Expenditure Breakdown'!$T$6:$T$368, "&gt;="&amp;CY1,'Expenditure Breakdown'!$T$6:$T$368, "&lt;"&amp;CZ1)</f>
        <v>0</v>
      </c>
      <c r="CZ17" s="204">
        <f>SUMIFS('Expenditure Breakdown'!$U$6:$U$368, 'Expenditure Breakdown'!$T$6:$T$368, "&gt;="&amp;CZ1,'Expenditure Breakdown'!$T$6:$T$368, "&lt;"&amp;DA1)</f>
        <v>0</v>
      </c>
      <c r="DA17" s="204">
        <f>SUMIFS('Expenditure Breakdown'!$U$6:$U$368, 'Expenditure Breakdown'!$T$6:$T$368, "&gt;="&amp;DA1,'Expenditure Breakdown'!$T$6:$T$368, "&lt;"&amp;DB1)</f>
        <v>0</v>
      </c>
      <c r="DB17" s="204">
        <f>SUMIFS('Expenditure Breakdown'!$U$6:$U$368, 'Expenditure Breakdown'!$T$6:$T$368, "&gt;="&amp;DB1,'Expenditure Breakdown'!$T$6:$T$368, "&lt;"&amp;DC1)</f>
        <v>0</v>
      </c>
      <c r="DC17" s="204">
        <f>SUMIFS('Expenditure Breakdown'!$U$6:$U$368, 'Expenditure Breakdown'!$T$6:$T$368, "&gt;="&amp;DC1,'Expenditure Breakdown'!$T$6:$T$368, "&lt;"&amp;DD1)</f>
        <v>0</v>
      </c>
      <c r="DD17" s="204">
        <f>SUMIFS('Expenditure Breakdown'!$U$6:$U$368, 'Expenditure Breakdown'!$T$6:$T$368, "&gt;="&amp;DD1,'Expenditure Breakdown'!$T$6:$T$368, "&lt;"&amp;DE1)</f>
        <v>0</v>
      </c>
      <c r="DE17" s="204">
        <f>SUMIFS('Expenditure Breakdown'!$U$6:$U$368, 'Expenditure Breakdown'!$T$6:$T$368, "&gt;="&amp;DE1,'Expenditure Breakdown'!$T$6:$T$368, "&lt;"&amp;DF1)</f>
        <v>0</v>
      </c>
      <c r="DF17" s="204">
        <f>SUMIFS('Expenditure Breakdown'!$U$6:$U$368, 'Expenditure Breakdown'!$T$6:$T$368, "&gt;="&amp;DF1,'Expenditure Breakdown'!$T$6:$T$368, "&lt;"&amp;DG1)</f>
        <v>0</v>
      </c>
      <c r="DG17" s="204">
        <f>SUMIFS('Expenditure Breakdown'!$U$6:$U$368, 'Expenditure Breakdown'!$T$6:$T$368, "&gt;="&amp;DG1,'Expenditure Breakdown'!$T$6:$T$368, "&lt;"&amp;DH1)</f>
        <v>0</v>
      </c>
      <c r="DH17" s="204">
        <f>SUMIFS('Expenditure Breakdown'!$U$6:$U$368, 'Expenditure Breakdown'!$T$6:$T$368, "&gt;="&amp;DH1,'Expenditure Breakdown'!$T$6:$T$368, "&lt;"&amp;DI1)</f>
        <v>0</v>
      </c>
      <c r="DI17" s="204">
        <f>SUMIFS('Expenditure Breakdown'!$U$6:$U$368, 'Expenditure Breakdown'!$T$6:$T$368, "&gt;="&amp;DI1,'Expenditure Breakdown'!$T$6:$T$368, "&lt;"&amp;DJ1)</f>
        <v>0</v>
      </c>
      <c r="DJ17" s="204">
        <f>SUMIFS('Expenditure Breakdown'!$U$6:$U$368, 'Expenditure Breakdown'!$T$6:$T$368, "&gt;="&amp;DJ1,'Expenditure Breakdown'!$T$6:$T$368, "&lt;"&amp;DK1)</f>
        <v>0</v>
      </c>
      <c r="DK17" s="204">
        <f>SUMIFS('Expenditure Breakdown'!$U$6:$U$368, 'Expenditure Breakdown'!$T$6:$T$368, "&gt;="&amp;DK1,'Expenditure Breakdown'!$T$6:$T$368, "&lt;"&amp;DL1)</f>
        <v>0</v>
      </c>
      <c r="DL17" s="204">
        <f>SUMIFS('Expenditure Breakdown'!$U$6:$U$368, 'Expenditure Breakdown'!$T$6:$T$368, "&gt;="&amp;DL1,'Expenditure Breakdown'!$T$6:$T$368, "&lt;"&amp;DM1)</f>
        <v>0</v>
      </c>
      <c r="DM17" s="204">
        <f>SUMIFS('Expenditure Breakdown'!$U$6:$U$368, 'Expenditure Breakdown'!$T$6:$T$368, "&gt;="&amp;DM1,'Expenditure Breakdown'!$T$6:$T$368, "&lt;"&amp;DN1)</f>
        <v>0</v>
      </c>
      <c r="DN17" s="204">
        <f>SUMIFS('Expenditure Breakdown'!$U$6:$U$368, 'Expenditure Breakdown'!$T$6:$T$368, "&gt;="&amp;DN1,'Expenditure Breakdown'!$T$6:$T$368, "&lt;"&amp;DO1)</f>
        <v>0</v>
      </c>
      <c r="DO17" s="204">
        <f>SUMIFS('Expenditure Breakdown'!$U$6:$U$368, 'Expenditure Breakdown'!$T$6:$T$368, "&gt;="&amp;DO1,'Expenditure Breakdown'!$T$6:$T$368, "&lt;"&amp;DP1)</f>
        <v>0</v>
      </c>
      <c r="DP17" s="204">
        <f>SUMIFS('Expenditure Breakdown'!$U$6:$U$368, 'Expenditure Breakdown'!$T$6:$T$368, "&gt;="&amp;DP1,'Expenditure Breakdown'!$T$6:$T$368, "&lt;"&amp;DQ1)</f>
        <v>0</v>
      </c>
      <c r="DQ17" s="204">
        <f>SUMIFS('Expenditure Breakdown'!$U$6:$U$368, 'Expenditure Breakdown'!$T$6:$T$368, "&gt;="&amp;DQ1,'Expenditure Breakdown'!$T$6:$T$368, "&lt;"&amp;DR1)</f>
        <v>0</v>
      </c>
      <c r="DR17" s="204">
        <f>SUMIFS('Expenditure Breakdown'!$U$6:$U$368, 'Expenditure Breakdown'!$T$6:$T$368, "&gt;="&amp;DR1,'Expenditure Breakdown'!$T$6:$T$368, "&lt;"&amp;DS1)</f>
        <v>0</v>
      </c>
      <c r="DS17" s="204">
        <f>SUMIFS('Expenditure Breakdown'!$U$6:$U$368, 'Expenditure Breakdown'!$T$6:$T$368, "&gt;="&amp;DS1,'Expenditure Breakdown'!$T$6:$T$368, "&lt;"&amp;DT1)</f>
        <v>0</v>
      </c>
      <c r="DT17" s="204">
        <f>SUMIFS('Expenditure Breakdown'!$U$6:$U$368, 'Expenditure Breakdown'!$T$6:$T$368, "&gt;="&amp;DT1,'Expenditure Breakdown'!$T$6:$T$368, "&lt;"&amp;DU1)</f>
        <v>0</v>
      </c>
      <c r="DU17" s="204">
        <f>SUMIFS('Expenditure Breakdown'!$U$6:$U$368, 'Expenditure Breakdown'!$T$6:$T$368, "&gt;="&amp;DU1,'Expenditure Breakdown'!$T$6:$T$368, "&lt;"&amp;DV1)</f>
        <v>0</v>
      </c>
      <c r="DV17" s="204">
        <f>SUMIFS('Expenditure Breakdown'!$U$6:$U$368, 'Expenditure Breakdown'!$T$6:$T$368, "&gt;="&amp;DV1,'Expenditure Breakdown'!$T$6:$T$368, "&lt;"&amp;DW1)</f>
        <v>0</v>
      </c>
      <c r="DW17" s="204">
        <f>SUMIFS('Expenditure Breakdown'!$U$6:$U$368, 'Expenditure Breakdown'!$T$6:$T$368, "&gt;="&amp;DW1,'Expenditure Breakdown'!$T$6:$T$368, "&lt;"&amp;DX1)</f>
        <v>0</v>
      </c>
      <c r="DX17" s="204">
        <f>SUMIFS('Expenditure Breakdown'!$U$6:$U$368, 'Expenditure Breakdown'!$T$6:$T$368, "&gt;="&amp;DX1,'Expenditure Breakdown'!$T$6:$T$368, "&lt;"&amp;DY1)</f>
        <v>0</v>
      </c>
      <c r="DY17" s="204">
        <f>SUMIFS('Expenditure Breakdown'!$U$6:$U$368, 'Expenditure Breakdown'!$T$6:$T$368, "&gt;="&amp;DY1,'Expenditure Breakdown'!$T$6:$T$368, "&lt;"&amp;DZ1)</f>
        <v>0</v>
      </c>
      <c r="DZ17" s="204">
        <f>SUMIFS('Expenditure Breakdown'!$U$6:$U$368, 'Expenditure Breakdown'!$T$6:$T$368, "&gt;="&amp;DZ1,'Expenditure Breakdown'!$T$6:$T$368, "&lt;"&amp;EA1)</f>
        <v>0</v>
      </c>
      <c r="EA17" s="204">
        <f>SUMIFS('Expenditure Breakdown'!$U$6:$U$368, 'Expenditure Breakdown'!$T$6:$T$368, "&gt;="&amp;EA1,'Expenditure Breakdown'!$T$6:$T$368, "&lt;"&amp;EB1)</f>
        <v>0</v>
      </c>
      <c r="EB17" s="204">
        <f>SUMIFS('Expenditure Breakdown'!$U$6:$U$368, 'Expenditure Breakdown'!$T$6:$T$368, "&gt;="&amp;EB1,'Expenditure Breakdown'!$T$6:$T$368, "&lt;"&amp;EC1)</f>
        <v>0</v>
      </c>
      <c r="EC17" s="204">
        <f>SUMIFS('Expenditure Breakdown'!$U$6:$U$368, 'Expenditure Breakdown'!$T$6:$T$368, "&gt;="&amp;EC1,'Expenditure Breakdown'!$T$6:$T$368, "&lt;"&amp;ED1)</f>
        <v>0</v>
      </c>
      <c r="ED17" s="204">
        <f>SUMIFS('Expenditure Breakdown'!$U$6:$U$368, 'Expenditure Breakdown'!$T$6:$T$368, "&gt;="&amp;ED1,'Expenditure Breakdown'!$T$6:$T$368, "&lt;"&amp;EE1)</f>
        <v>0</v>
      </c>
      <c r="EE17" s="204">
        <f>SUMIFS('Expenditure Breakdown'!$U$6:$U$368, 'Expenditure Breakdown'!$T$6:$T$368, "&gt;="&amp;EE1,'Expenditure Breakdown'!$T$6:$T$368, "&lt;"&amp;EF1)</f>
        <v>0</v>
      </c>
      <c r="EF17" s="204">
        <f>SUMIFS('Expenditure Breakdown'!$U$6:$U$368, 'Expenditure Breakdown'!$T$6:$T$368, "&gt;="&amp;EF1,'Expenditure Breakdown'!$T$6:$T$368, "&lt;"&amp;EG1)</f>
        <v>0</v>
      </c>
      <c r="EG17" s="204">
        <f>SUMIFS('Expenditure Breakdown'!$U$6:$U$368, 'Expenditure Breakdown'!$T$6:$T$368, "&gt;="&amp;EG1,'Expenditure Breakdown'!$T$6:$T$368, "&lt;"&amp;EH1)</f>
        <v>0</v>
      </c>
      <c r="EH17" s="204">
        <f>SUMIFS('Expenditure Breakdown'!$U$6:$U$368, 'Expenditure Breakdown'!$T$6:$T$368, "&gt;="&amp;EH1,'Expenditure Breakdown'!$T$6:$T$368, "&lt;"&amp;EI1)</f>
        <v>0</v>
      </c>
      <c r="EI17" s="204">
        <f>SUMIFS('Expenditure Breakdown'!$U$6:$U$368, 'Expenditure Breakdown'!$T$6:$T$368, "&gt;="&amp;EI1,'Expenditure Breakdown'!$T$6:$T$368, "&lt;"&amp;EJ1)</f>
        <v>0</v>
      </c>
      <c r="EJ17" s="204">
        <f>SUMIFS('Expenditure Breakdown'!$U$6:$U$368, 'Expenditure Breakdown'!$T$6:$T$368, "&gt;="&amp;EJ1,'Expenditure Breakdown'!$T$6:$T$368, "&lt;"&amp;EK1)</f>
        <v>0</v>
      </c>
      <c r="EK17" s="204">
        <f>SUMIFS('Expenditure Breakdown'!$U$6:$U$368, 'Expenditure Breakdown'!$T$6:$T$368, "&gt;="&amp;EK1,'Expenditure Breakdown'!$T$6:$T$368, "&lt;"&amp;EL1)</f>
        <v>0</v>
      </c>
      <c r="EL17" s="204">
        <f>SUMIFS('Expenditure Breakdown'!$U$6:$U$368, 'Expenditure Breakdown'!$T$6:$T$368, "&gt;="&amp;EL1,'Expenditure Breakdown'!$T$6:$T$368, "&lt;"&amp;EM1)</f>
        <v>0</v>
      </c>
      <c r="EM17" s="204">
        <f>SUMIFS('Expenditure Breakdown'!$U$6:$U$368, 'Expenditure Breakdown'!$T$6:$T$368, "&gt;="&amp;EM1,'Expenditure Breakdown'!$T$6:$T$368, "&lt;"&amp;EN1)</f>
        <v>0</v>
      </c>
      <c r="EN17" s="204">
        <f>SUMIFS('Expenditure Breakdown'!$U$6:$U$368, 'Expenditure Breakdown'!$T$6:$T$368, "&gt;="&amp;EN1,'Expenditure Breakdown'!$T$6:$T$368, "&lt;"&amp;EO1)</f>
        <v>0</v>
      </c>
      <c r="EO17" s="204">
        <f>SUMIFS('Expenditure Breakdown'!$U$6:$U$368, 'Expenditure Breakdown'!$T$6:$T$368, "&gt;="&amp;EO1,'Expenditure Breakdown'!$T$6:$T$368, "&lt;"&amp;EP1)</f>
        <v>0</v>
      </c>
      <c r="EP17" s="204">
        <f>SUMIFS('Expenditure Breakdown'!$U$6:$U$368, 'Expenditure Breakdown'!$T$6:$T$368, "&gt;="&amp;EP1,'Expenditure Breakdown'!$T$6:$T$368, "&lt;"&amp;EQ1)</f>
        <v>0</v>
      </c>
      <c r="EQ17" s="204">
        <f>SUMIFS('Expenditure Breakdown'!$U$6:$U$368, 'Expenditure Breakdown'!$T$6:$T$368, "&gt;="&amp;EQ1,'Expenditure Breakdown'!$T$6:$T$368, "&lt;"&amp;ER1)</f>
        <v>0</v>
      </c>
      <c r="ER17" s="204">
        <f>SUMIFS('Expenditure Breakdown'!$U$6:$U$368, 'Expenditure Breakdown'!$T$6:$T$368, "&gt;="&amp;ER1,'Expenditure Breakdown'!$T$6:$T$368, "&lt;"&amp;ES1)</f>
        <v>0</v>
      </c>
      <c r="ES17" s="204">
        <f>SUMIFS('Expenditure Breakdown'!$U$6:$U$368, 'Expenditure Breakdown'!$T$6:$T$368, "&gt;="&amp;ES1,'Expenditure Breakdown'!$T$6:$T$368, "&lt;"&amp;ET1)</f>
        <v>0</v>
      </c>
      <c r="ET17" s="204">
        <f>SUMIFS('Expenditure Breakdown'!$U$6:$U$368, 'Expenditure Breakdown'!$T$6:$T$368, "&gt;="&amp;ET1,'Expenditure Breakdown'!$T$6:$T$368, "&lt;"&amp;EU1)</f>
        <v>0</v>
      </c>
      <c r="EU17" s="204">
        <f>SUMIFS('Expenditure Breakdown'!$U$6:$U$368, 'Expenditure Breakdown'!$T$6:$T$368, "&gt;="&amp;EU1,'Expenditure Breakdown'!$T$6:$T$368, "&lt;"&amp;EV1)</f>
        <v>0</v>
      </c>
      <c r="EV17" s="204">
        <f>SUMIFS('Expenditure Breakdown'!$U$6:$U$368, 'Expenditure Breakdown'!$T$6:$T$368, "&gt;="&amp;EV1,'Expenditure Breakdown'!$T$6:$T$368, "&lt;"&amp;EW1)</f>
        <v>0</v>
      </c>
      <c r="EW17" s="204">
        <f>SUMIFS('Expenditure Breakdown'!$U$6:$U$368, 'Expenditure Breakdown'!$T$6:$T$368, "&gt;="&amp;EW1,'Expenditure Breakdown'!$T$6:$T$368, "&lt;"&amp;EX1)</f>
        <v>0</v>
      </c>
      <c r="EX17" s="204">
        <f>SUMIFS('Expenditure Breakdown'!$U$6:$U$368, 'Expenditure Breakdown'!$T$6:$T$368, "&gt;="&amp;EX1,'Expenditure Breakdown'!$T$6:$T$368, "&lt;"&amp;EY1)</f>
        <v>0</v>
      </c>
      <c r="EY17" s="204">
        <f>SUMIFS('Expenditure Breakdown'!$U$6:$U$368, 'Expenditure Breakdown'!$T$6:$T$368, "&gt;="&amp;EY1,'Expenditure Breakdown'!$T$6:$T$368, "&lt;"&amp;EZ1)</f>
        <v>0</v>
      </c>
      <c r="EZ17" s="204">
        <f>SUMIFS('Expenditure Breakdown'!$U$6:$U$368, 'Expenditure Breakdown'!$T$6:$T$368, "&gt;="&amp;EZ1,'Expenditure Breakdown'!$T$6:$T$368, "&lt;"&amp;FA1)</f>
        <v>0</v>
      </c>
      <c r="FA17" s="204">
        <f>SUMIFS('Expenditure Breakdown'!$U$6:$U$368, 'Expenditure Breakdown'!$T$6:$T$368, "&gt;="&amp;FA1,'Expenditure Breakdown'!$T$6:$T$368, "&lt;"&amp;FB1)</f>
        <v>0</v>
      </c>
      <c r="FB17" s="204">
        <f>SUMIFS('Expenditure Breakdown'!$U$6:$U$368, 'Expenditure Breakdown'!$T$6:$T$368, "&gt;="&amp;FB1,'Expenditure Breakdown'!$T$6:$T$368, "&lt;"&amp;FC1)</f>
        <v>0</v>
      </c>
      <c r="FC17" s="204">
        <f>SUMIFS('Expenditure Breakdown'!$U$6:$U$368, 'Expenditure Breakdown'!$T$6:$T$368, "&gt;="&amp;FC1,'Expenditure Breakdown'!$T$6:$T$368, "&lt;"&amp;FD1)</f>
        <v>0</v>
      </c>
      <c r="FD17" s="204">
        <f>SUMIFS('Expenditure Breakdown'!$U$6:$U$368, 'Expenditure Breakdown'!$T$6:$T$368, "&gt;="&amp;FD1,'Expenditure Breakdown'!$T$6:$T$368, "&lt;"&amp;FE1)</f>
        <v>0</v>
      </c>
      <c r="FE17" s="204">
        <f>SUMIFS('Expenditure Breakdown'!$U$6:$U$368, 'Expenditure Breakdown'!$T$6:$T$368, "&gt;="&amp;FE1,'Expenditure Breakdown'!$T$6:$T$368, "&lt;"&amp;FF1)</f>
        <v>0</v>
      </c>
      <c r="FF17" s="204">
        <f>SUMIFS('Expenditure Breakdown'!$U$6:$U$368, 'Expenditure Breakdown'!$T$6:$T$368, "&gt;="&amp;FF1,'Expenditure Breakdown'!$T$6:$T$368, "&lt;"&amp;FG1)</f>
        <v>0</v>
      </c>
      <c r="FG17" s="204">
        <f>SUMIFS('Expenditure Breakdown'!$U$6:$U$368, 'Expenditure Breakdown'!$T$6:$T$368, "&gt;="&amp;FG1,'Expenditure Breakdown'!$T$6:$T$368, "&lt;"&amp;FH1)</f>
        <v>0</v>
      </c>
      <c r="FH17" s="204">
        <f>SUMIFS('Expenditure Breakdown'!$U$6:$U$368, 'Expenditure Breakdown'!$T$6:$T$368, "&gt;="&amp;FH1,'Expenditure Breakdown'!$T$6:$T$368, "&lt;"&amp;FI1)</f>
        <v>0</v>
      </c>
      <c r="FI17" s="204">
        <f>SUMIFS('Expenditure Breakdown'!$U$6:$U$368, 'Expenditure Breakdown'!$T$6:$T$368, "&gt;="&amp;FI1,'Expenditure Breakdown'!$T$6:$T$368, "&lt;"&amp;FJ1)</f>
        <v>0</v>
      </c>
      <c r="FJ17" s="204">
        <f>SUMIFS('Expenditure Breakdown'!$U$6:$U$368, 'Expenditure Breakdown'!$T$6:$T$368, "&gt;="&amp;FJ1,'Expenditure Breakdown'!$T$6:$T$368, "&lt;"&amp;FK1)</f>
        <v>0</v>
      </c>
      <c r="FK17" s="204">
        <f>SUMIFS('Expenditure Breakdown'!$U$6:$U$368, 'Expenditure Breakdown'!$T$6:$T$368, "&gt;="&amp;FK1,'Expenditure Breakdown'!$T$6:$T$368, "&lt;"&amp;FL1)</f>
        <v>0</v>
      </c>
      <c r="FL17" s="204">
        <f>SUMIFS('Expenditure Breakdown'!$U$6:$U$368, 'Expenditure Breakdown'!$T$6:$T$368, "&gt;="&amp;FL1,'Expenditure Breakdown'!$T$6:$T$368, "&lt;"&amp;FM1)</f>
        <v>0</v>
      </c>
      <c r="FM17" s="204">
        <f>SUMIFS('Expenditure Breakdown'!$U$6:$U$368, 'Expenditure Breakdown'!$T$6:$T$368, "&gt;="&amp;FM1,'Expenditure Breakdown'!$T$6:$T$368, "&lt;"&amp;FN1)</f>
        <v>0</v>
      </c>
      <c r="FN17" s="204">
        <f>SUMIFS('Expenditure Breakdown'!$U$6:$U$368, 'Expenditure Breakdown'!$T$6:$T$368, "&gt;="&amp;FN1,'Expenditure Breakdown'!$T$6:$T$368, "&lt;"&amp;FO1)</f>
        <v>0</v>
      </c>
      <c r="FO17" s="204">
        <f>SUMIFS('Expenditure Breakdown'!$U$6:$U$368, 'Expenditure Breakdown'!$T$6:$T$368, "&gt;="&amp;FO1,'Expenditure Breakdown'!$T$6:$T$368, "&lt;"&amp;FP1)</f>
        <v>0</v>
      </c>
      <c r="FP17" s="204">
        <f>SUMIFS('Expenditure Breakdown'!$U$6:$U$368, 'Expenditure Breakdown'!$T$6:$T$368, "&gt;="&amp;FP1,'Expenditure Breakdown'!$T$6:$T$368, "&lt;"&amp;FQ1)</f>
        <v>0</v>
      </c>
      <c r="FQ17" s="204">
        <f>SUMIFS('Expenditure Breakdown'!$U$6:$U$368, 'Expenditure Breakdown'!$T$6:$T$368, "&gt;="&amp;FQ1,'Expenditure Breakdown'!$T$6:$T$368, "&lt;"&amp;FR1)</f>
        <v>0</v>
      </c>
      <c r="FR17" s="204">
        <f>SUMIFS('Expenditure Breakdown'!$U$6:$U$368, 'Expenditure Breakdown'!$T$6:$T$368, "&gt;="&amp;FR1,'Expenditure Breakdown'!$T$6:$T$368, "&lt;"&amp;FS1)</f>
        <v>0</v>
      </c>
      <c r="FS17" s="204">
        <f>SUMIFS('Expenditure Breakdown'!$U$6:$U$368, 'Expenditure Breakdown'!$T$6:$T$368, "&gt;="&amp;FS1,'Expenditure Breakdown'!$T$6:$T$368, "&lt;"&amp;FT1)</f>
        <v>0</v>
      </c>
      <c r="FT17" s="204">
        <f>SUMIFS('Expenditure Breakdown'!$U$6:$U$368, 'Expenditure Breakdown'!$T$6:$T$368, "&gt;="&amp;FT1,'Expenditure Breakdown'!$T$6:$T$368, "&lt;"&amp;FU1)</f>
        <v>0</v>
      </c>
      <c r="FU17" s="204">
        <f>SUMIFS('Expenditure Breakdown'!$U$6:$U$368, 'Expenditure Breakdown'!$T$6:$T$368, "&gt;="&amp;FU1,'Expenditure Breakdown'!$T$6:$T$368, "&lt;"&amp;FV1)</f>
        <v>0</v>
      </c>
      <c r="FV17" s="204">
        <f>SUMIFS('Expenditure Breakdown'!$U$6:$U$368, 'Expenditure Breakdown'!$T$6:$T$368, "&gt;="&amp;FV1,'Expenditure Breakdown'!$T$6:$T$368, "&lt;"&amp;FW1)</f>
        <v>0</v>
      </c>
      <c r="FW17" s="204">
        <f>SUMIFS('Expenditure Breakdown'!$U$6:$U$368, 'Expenditure Breakdown'!$T$6:$T$368, "&gt;="&amp;FW1,'Expenditure Breakdown'!$T$6:$T$368, "&lt;"&amp;FX1)</f>
        <v>0</v>
      </c>
      <c r="FX17" s="204">
        <f>SUMIFS('Expenditure Breakdown'!$U$6:$U$368, 'Expenditure Breakdown'!$T$6:$T$368, "&gt;="&amp;FX1,'Expenditure Breakdown'!$T$6:$T$368, "&lt;"&amp;FY1)</f>
        <v>0</v>
      </c>
      <c r="FY17" s="204">
        <f>SUMIFS('Expenditure Breakdown'!$U$6:$U$368, 'Expenditure Breakdown'!$T$6:$T$368, "&gt;="&amp;FY1,'Expenditure Breakdown'!$T$6:$T$368, "&lt;"&amp;FZ1)</f>
        <v>0</v>
      </c>
      <c r="FZ17" s="204">
        <f>SUMIFS('Expenditure Breakdown'!$U$6:$U$368, 'Expenditure Breakdown'!$T$6:$T$368, "&gt;="&amp;FZ1,'Expenditure Breakdown'!$T$6:$T$368, "&lt;"&amp;GA1)</f>
        <v>0</v>
      </c>
      <c r="GA17" s="204">
        <f>SUMIFS('Expenditure Breakdown'!$U$6:$U$368, 'Expenditure Breakdown'!$T$6:$T$368, "&gt;="&amp;GA1,'Expenditure Breakdown'!$T$6:$T$368, "&lt;"&amp;GB1)</f>
        <v>0</v>
      </c>
      <c r="GB17" s="204">
        <f>SUMIFS('Expenditure Breakdown'!$U$6:$U$368, 'Expenditure Breakdown'!$T$6:$T$368, "&gt;="&amp;GB1,'Expenditure Breakdown'!$T$6:$T$368, "&lt;"&amp;GC1)</f>
        <v>0</v>
      </c>
      <c r="GC17" s="204">
        <f>SUMIFS('Expenditure Breakdown'!$U$6:$U$368, 'Expenditure Breakdown'!$T$6:$T$368, "&gt;="&amp;GC1,'Expenditure Breakdown'!$T$6:$T$368, "&lt;"&amp;GD1)</f>
        <v>0</v>
      </c>
      <c r="GD17" s="204">
        <f>SUMIFS('Expenditure Breakdown'!$U$6:$U$368, 'Expenditure Breakdown'!$T$6:$T$368, "&gt;="&amp;GD1,'Expenditure Breakdown'!$T$6:$T$368, "&lt;"&amp;GE1)</f>
        <v>0</v>
      </c>
      <c r="GE17" s="204">
        <f>SUMIFS('Expenditure Breakdown'!$U$6:$U$368, 'Expenditure Breakdown'!$T$6:$T$368, "&gt;="&amp;GE1,'Expenditure Breakdown'!$T$6:$T$368, "&lt;"&amp;GF1)</f>
        <v>0</v>
      </c>
      <c r="GF17" s="204">
        <f>SUMIFS('Expenditure Breakdown'!$U$6:$U$368, 'Expenditure Breakdown'!$T$6:$T$368, "&gt;="&amp;GF1,'Expenditure Breakdown'!$T$6:$T$368, "&lt;"&amp;GG1)</f>
        <v>0</v>
      </c>
      <c r="GG17" s="204">
        <f>SUMIFS('Expenditure Breakdown'!$U$6:$U$368, 'Expenditure Breakdown'!$T$6:$T$368, "&gt;="&amp;GG1,'Expenditure Breakdown'!$T$6:$T$368, "&lt;"&amp;GH1)</f>
        <v>0</v>
      </c>
      <c r="GH17" s="204">
        <f>SUMIFS('Expenditure Breakdown'!$U$6:$U$368, 'Expenditure Breakdown'!$T$6:$T$368, "&gt;="&amp;GH1,'Expenditure Breakdown'!$T$6:$T$368, "&lt;"&amp;GI1)</f>
        <v>0</v>
      </c>
      <c r="GI17" s="204">
        <f>SUMIFS('Expenditure Breakdown'!$U$6:$U$368, 'Expenditure Breakdown'!$T$6:$T$368, "&gt;="&amp;GI1,'Expenditure Breakdown'!$T$6:$T$368, "&lt;"&amp;GJ1)</f>
        <v>0</v>
      </c>
      <c r="GJ17" s="204">
        <f>SUMIFS('Expenditure Breakdown'!$U$6:$U$368, 'Expenditure Breakdown'!$T$6:$T$368, "&gt;="&amp;GJ1,'Expenditure Breakdown'!$T$6:$T$368, "&lt;"&amp;GK1)</f>
        <v>0</v>
      </c>
      <c r="GK17" s="204">
        <f>SUMIFS('Expenditure Breakdown'!$U$6:$U$368, 'Expenditure Breakdown'!$T$6:$T$368, "&gt;="&amp;GK1,'Expenditure Breakdown'!$T$6:$T$368, "&lt;"&amp;GL1)</f>
        <v>0</v>
      </c>
      <c r="GL17" s="204">
        <f>SUMIFS('Expenditure Breakdown'!$U$6:$U$368, 'Expenditure Breakdown'!$T$6:$T$368, "&gt;="&amp;GL1,'Expenditure Breakdown'!$T$6:$T$368, "&lt;"&amp;GM1)</f>
        <v>0</v>
      </c>
      <c r="GM17" s="204">
        <f>SUMIFS('Expenditure Breakdown'!$U$6:$U$368, 'Expenditure Breakdown'!$T$6:$T$368, "&gt;="&amp;GM1,'Expenditure Breakdown'!$T$6:$T$368, "&lt;"&amp;GN1)</f>
        <v>0</v>
      </c>
      <c r="GN17" s="204">
        <f>SUMIFS('Expenditure Breakdown'!$U$6:$U$368, 'Expenditure Breakdown'!$T$6:$T$368, "&gt;="&amp;GN1,'Expenditure Breakdown'!$T$6:$T$368, "&lt;"&amp;GO1)</f>
        <v>0</v>
      </c>
      <c r="GO17" s="204">
        <f>SUMIFS('Expenditure Breakdown'!$U$6:$U$368, 'Expenditure Breakdown'!$T$6:$T$368, "&gt;="&amp;GO1,'Expenditure Breakdown'!$T$6:$T$368, "&lt;"&amp;GP1)</f>
        <v>0</v>
      </c>
      <c r="GP17" s="204">
        <f>SUMIFS('Expenditure Breakdown'!$U$6:$U$368, 'Expenditure Breakdown'!$T$6:$T$368, "&gt;="&amp;GP1,'Expenditure Breakdown'!$T$6:$T$368, "&lt;"&amp;GQ1)</f>
        <v>0</v>
      </c>
      <c r="GQ17" s="204">
        <f>SUMIFS('Expenditure Breakdown'!$U$6:$U$368, 'Expenditure Breakdown'!$T$6:$T$368, "&gt;="&amp;GQ1,'Expenditure Breakdown'!$T$6:$T$368, "&lt;"&amp;GR1)</f>
        <v>0</v>
      </c>
      <c r="GR17" s="204">
        <f>SUMIFS('Expenditure Breakdown'!$U$6:$U$368, 'Expenditure Breakdown'!$T$6:$T$368, "&gt;="&amp;GR1,'Expenditure Breakdown'!$T$6:$T$368, "&lt;"&amp;GS1)</f>
        <v>0</v>
      </c>
      <c r="GS17" s="204">
        <f>SUMIFS('Expenditure Breakdown'!$U$6:$U$368, 'Expenditure Breakdown'!$T$6:$T$368, "&gt;="&amp;GS1,'Expenditure Breakdown'!$T$6:$T$368, "&lt;"&amp;GT1)</f>
        <v>0</v>
      </c>
      <c r="GT17" s="204">
        <f>SUMIFS('Expenditure Breakdown'!$U$6:$U$368, 'Expenditure Breakdown'!$T$6:$T$368, "&gt;="&amp;GT1,'Expenditure Breakdown'!$T$6:$T$368, "&lt;"&amp;GU1)</f>
        <v>0</v>
      </c>
      <c r="GU17" s="204">
        <f>SUMIFS('Expenditure Breakdown'!$U$6:$U$368, 'Expenditure Breakdown'!$T$6:$T$368, "&gt;="&amp;GU1,'Expenditure Breakdown'!$T$6:$T$368, "&lt;"&amp;GV1)</f>
        <v>0</v>
      </c>
      <c r="GV17" s="204">
        <f>SUMIFS('Expenditure Breakdown'!$U$6:$U$368, 'Expenditure Breakdown'!$T$6:$T$368, "&gt;="&amp;GV1,'Expenditure Breakdown'!$T$6:$T$368, "&lt;"&amp;GW1)</f>
        <v>0</v>
      </c>
      <c r="GW17" s="204">
        <f>SUMIFS('Expenditure Breakdown'!$U$6:$U$368, 'Expenditure Breakdown'!$T$6:$T$368, "&gt;="&amp;GW1,'Expenditure Breakdown'!$T$6:$T$368, "&lt;"&amp;GX1)</f>
        <v>0</v>
      </c>
      <c r="GX17" s="204">
        <f>SUMIFS('Expenditure Breakdown'!$U$6:$U$368, 'Expenditure Breakdown'!$T$6:$T$368, "&gt;="&amp;GX1,'Expenditure Breakdown'!$T$6:$T$368, "&lt;"&amp;GY1)</f>
        <v>0</v>
      </c>
      <c r="GY17" s="204">
        <f>SUMIFS('Expenditure Breakdown'!$U$6:$U$368, 'Expenditure Breakdown'!$T$6:$T$368, "&gt;="&amp;GY1,'Expenditure Breakdown'!$T$6:$T$368, "&lt;"&amp;GZ1)</f>
        <v>0</v>
      </c>
      <c r="GZ17" s="204">
        <f>SUMIFS('Expenditure Breakdown'!$U$6:$U$368, 'Expenditure Breakdown'!$T$6:$T$368, "&gt;="&amp;GZ1,'Expenditure Breakdown'!$T$6:$T$368, "&lt;"&amp;HA1)</f>
        <v>0</v>
      </c>
      <c r="HA17" s="204">
        <f>SUMIFS('Expenditure Breakdown'!$U$6:$U$368, 'Expenditure Breakdown'!$T$6:$T$368, "&gt;="&amp;HA1,'Expenditure Breakdown'!$T$6:$T$368, "&lt;"&amp;HB1)</f>
        <v>0</v>
      </c>
      <c r="HB17" s="204">
        <f>SUMIFS('Expenditure Breakdown'!$U$6:$U$368, 'Expenditure Breakdown'!$T$6:$T$368, "&gt;="&amp;HB1,'Expenditure Breakdown'!$T$6:$T$368, "&lt;"&amp;HC1)</f>
        <v>0</v>
      </c>
      <c r="HC17" s="204">
        <f>SUMIFS('Expenditure Breakdown'!$U$6:$U$368, 'Expenditure Breakdown'!$T$6:$T$368, "&gt;="&amp;HC1,'Expenditure Breakdown'!$T$6:$T$368, "&lt;"&amp;HD1)</f>
        <v>0</v>
      </c>
      <c r="HD17" s="204">
        <f>SUMIFS('Expenditure Breakdown'!$U$6:$U$368, 'Expenditure Breakdown'!$T$6:$T$368, "&gt;="&amp;HD1,'Expenditure Breakdown'!$T$6:$T$368, "&lt;"&amp;HE1)</f>
        <v>0</v>
      </c>
      <c r="HE17" s="204">
        <f>SUMIFS('Expenditure Breakdown'!$U$6:$U$368, 'Expenditure Breakdown'!$T$6:$T$368, "&gt;="&amp;HE1,'Expenditure Breakdown'!$T$6:$T$368, "&lt;"&amp;HF1)</f>
        <v>0</v>
      </c>
      <c r="HF17" s="204">
        <f>SUMIFS('Expenditure Breakdown'!$U$6:$U$368, 'Expenditure Breakdown'!$T$6:$T$368, "&gt;="&amp;HF1,'Expenditure Breakdown'!$T$6:$T$368, "&lt;"&amp;HG1)</f>
        <v>0</v>
      </c>
      <c r="HG17" s="204">
        <f>SUMIFS('Expenditure Breakdown'!$U$6:$U$368, 'Expenditure Breakdown'!$T$6:$T$368, "&gt;="&amp;HG1,'Expenditure Breakdown'!$T$6:$T$368, "&lt;"&amp;HH1)</f>
        <v>0</v>
      </c>
      <c r="HH17" s="204">
        <f>SUMIFS('Expenditure Breakdown'!$U$6:$U$368, 'Expenditure Breakdown'!$T$6:$T$368, "&gt;="&amp;HH1,'Expenditure Breakdown'!$T$6:$T$368, "&lt;"&amp;HI1)</f>
        <v>0</v>
      </c>
      <c r="HI17" s="204">
        <f>SUMIFS('Expenditure Breakdown'!$U$6:$U$368, 'Expenditure Breakdown'!$T$6:$T$368, "&gt;="&amp;HI1,'Expenditure Breakdown'!$T$6:$T$368, "&lt;"&amp;HJ1)</f>
        <v>0</v>
      </c>
      <c r="HJ17" s="204">
        <f>SUMIFS('Expenditure Breakdown'!$U$6:$U$368, 'Expenditure Breakdown'!$T$6:$T$368, "&gt;="&amp;HJ1,'Expenditure Breakdown'!$T$6:$T$368, "&lt;"&amp;HK1)</f>
        <v>0</v>
      </c>
      <c r="HK17" s="204">
        <f>SUMIFS('Expenditure Breakdown'!$U$6:$U$368, 'Expenditure Breakdown'!$T$6:$T$368, "&gt;="&amp;HK1,'Expenditure Breakdown'!$T$6:$T$368, "&lt;"&amp;HL1)</f>
        <v>0</v>
      </c>
      <c r="HL17" s="204">
        <f>SUMIFS('Expenditure Breakdown'!$U$6:$U$368, 'Expenditure Breakdown'!$T$6:$T$368, "&gt;="&amp;HL1,'Expenditure Breakdown'!$T$6:$T$368, "&lt;"&amp;HM1)</f>
        <v>0</v>
      </c>
      <c r="HM17" s="204">
        <f>SUMIFS('Expenditure Breakdown'!$U$6:$U$368, 'Expenditure Breakdown'!$T$6:$T$368, "&gt;="&amp;HM1,'Expenditure Breakdown'!$T$6:$T$368, "&lt;"&amp;HN1)</f>
        <v>0</v>
      </c>
      <c r="HN17" s="204">
        <f>SUMIFS('Expenditure Breakdown'!$U$6:$U$368, 'Expenditure Breakdown'!$T$6:$T$368, "&gt;="&amp;HN1,'Expenditure Breakdown'!$T$6:$T$368, "&lt;"&amp;HO1)</f>
        <v>0</v>
      </c>
      <c r="HO17" s="204">
        <f>SUMIFS('Expenditure Breakdown'!$U$6:$U$368, 'Expenditure Breakdown'!$T$6:$T$368, "&gt;="&amp;HO1,'Expenditure Breakdown'!$T$6:$T$368, "&lt;"&amp;HP1)</f>
        <v>0</v>
      </c>
      <c r="HP17" s="204">
        <f>SUMIFS('Expenditure Breakdown'!$U$6:$U$368, 'Expenditure Breakdown'!$T$6:$T$368, "&gt;="&amp;HP1,'Expenditure Breakdown'!$T$6:$T$368, "&lt;"&amp;HQ1)</f>
        <v>0</v>
      </c>
      <c r="HQ17" s="204">
        <f>SUMIFS('Expenditure Breakdown'!$U$6:$U$368, 'Expenditure Breakdown'!$T$6:$T$368, "&gt;="&amp;HQ1,'Expenditure Breakdown'!$T$6:$T$368, "&lt;"&amp;HR1)</f>
        <v>0</v>
      </c>
      <c r="HR17" s="204">
        <f>SUMIFS('Expenditure Breakdown'!$U$6:$U$368, 'Expenditure Breakdown'!$T$6:$T$368, "&gt;="&amp;HR1,'Expenditure Breakdown'!$T$6:$T$368, "&lt;"&amp;HS1)</f>
        <v>0</v>
      </c>
      <c r="HS17" s="204">
        <f>SUMIFS('Expenditure Breakdown'!$U$6:$U$368, 'Expenditure Breakdown'!$T$6:$T$368, "&gt;="&amp;HS1,'Expenditure Breakdown'!$T$6:$T$368, "&lt;"&amp;HT1)</f>
        <v>0</v>
      </c>
      <c r="HT17" s="204">
        <f>SUMIFS('Expenditure Breakdown'!$U$6:$U$368, 'Expenditure Breakdown'!$T$6:$T$368, "&gt;="&amp;HT1,'Expenditure Breakdown'!$T$6:$T$368, "&lt;"&amp;HU1)</f>
        <v>0</v>
      </c>
      <c r="HU17" s="204">
        <f>SUMIFS('Expenditure Breakdown'!$U$6:$U$368, 'Expenditure Breakdown'!$T$6:$T$368, "&gt;="&amp;HU1,'Expenditure Breakdown'!$T$6:$T$368, "&lt;"&amp;HV1)</f>
        <v>0</v>
      </c>
      <c r="HV17" s="204">
        <f>SUMIFS('Expenditure Breakdown'!$U$6:$U$368, 'Expenditure Breakdown'!$T$6:$T$368, "&gt;="&amp;HV1,'Expenditure Breakdown'!$T$6:$T$368, "&lt;"&amp;HW1)</f>
        <v>0</v>
      </c>
      <c r="HW17" s="204">
        <f>SUMIFS('Expenditure Breakdown'!$U$6:$U$368, 'Expenditure Breakdown'!$T$6:$T$368, "&gt;="&amp;HW1,'Expenditure Breakdown'!$T$6:$T$368, "&lt;"&amp;HX1)</f>
        <v>0</v>
      </c>
      <c r="HX17" s="204">
        <f>SUMIFS('Expenditure Breakdown'!$U$6:$U$368, 'Expenditure Breakdown'!$T$6:$T$368, "&gt;="&amp;HX1,'Expenditure Breakdown'!$T$6:$T$368, "&lt;"&amp;HY1)</f>
        <v>0</v>
      </c>
      <c r="HY17" s="204">
        <f>SUMIFS('Expenditure Breakdown'!$U$6:$U$368, 'Expenditure Breakdown'!$T$6:$T$368, "&gt;="&amp;HY1,'Expenditure Breakdown'!$T$6:$T$368, "&lt;"&amp;HZ1)</f>
        <v>0</v>
      </c>
      <c r="HZ17" s="204">
        <f>SUMIFS('Expenditure Breakdown'!$U$6:$U$368, 'Expenditure Breakdown'!$T$6:$T$368, "&gt;="&amp;HZ1,'Expenditure Breakdown'!$T$6:$T$368, "&lt;"&amp;IA1)</f>
        <v>0</v>
      </c>
      <c r="IA17" s="204">
        <f>SUMIFS('Expenditure Breakdown'!$U$6:$U$368, 'Expenditure Breakdown'!$T$6:$T$368, "&gt;="&amp;IA1,'Expenditure Breakdown'!$T$6:$T$368, "&lt;"&amp;IB1)</f>
        <v>0</v>
      </c>
      <c r="IB17" s="204">
        <f>SUMIFS('Expenditure Breakdown'!$U$6:$U$368, 'Expenditure Breakdown'!$T$6:$T$368, "&gt;="&amp;IB1,'Expenditure Breakdown'!$T$6:$T$368, "&lt;"&amp;IC1)</f>
        <v>0</v>
      </c>
      <c r="IC17" s="204">
        <f>SUMIFS('Expenditure Breakdown'!$U$6:$U$368, 'Expenditure Breakdown'!$T$6:$T$368, "&gt;="&amp;IC1,'Expenditure Breakdown'!$T$6:$T$368, "&lt;"&amp;ID1)</f>
        <v>0</v>
      </c>
      <c r="ID17" s="204">
        <f>SUMIFS('Expenditure Breakdown'!$U$6:$U$368, 'Expenditure Breakdown'!$T$6:$T$368, "&gt;="&amp;ID1,'Expenditure Breakdown'!$T$6:$T$368, "&lt;"&amp;IE1)</f>
        <v>0</v>
      </c>
      <c r="IE17" s="204">
        <f>SUMIFS('Expenditure Breakdown'!$U$6:$U$368, 'Expenditure Breakdown'!$T$6:$T$368, "&gt;="&amp;IE1,'Expenditure Breakdown'!$T$6:$T$368, "&lt;"&amp;IF1)</f>
        <v>0</v>
      </c>
      <c r="IF17" s="204">
        <f>SUMIFS('Expenditure Breakdown'!$U$6:$U$368, 'Expenditure Breakdown'!$T$6:$T$368, "&gt;="&amp;IF1,'Expenditure Breakdown'!$T$6:$T$368, "&lt;"&amp;IG1)</f>
        <v>0</v>
      </c>
      <c r="IG17" s="204">
        <f>SUMIFS('Expenditure Breakdown'!$U$6:$U$368, 'Expenditure Breakdown'!$T$6:$T$368, "&gt;="&amp;IG1,'Expenditure Breakdown'!$T$6:$T$368, "&lt;"&amp;IH1)</f>
        <v>0</v>
      </c>
      <c r="IH17" s="204">
        <f>SUMIFS('Expenditure Breakdown'!$U$6:$U$368, 'Expenditure Breakdown'!$T$6:$T$368, "&gt;="&amp;IH1,'Expenditure Breakdown'!$T$6:$T$368, "&lt;"&amp;II1)</f>
        <v>0</v>
      </c>
      <c r="II17" s="204">
        <f>SUMIFS('Expenditure Breakdown'!$U$6:$U$368, 'Expenditure Breakdown'!$T$6:$T$368, "&gt;="&amp;II1,'Expenditure Breakdown'!$T$6:$T$368, "&lt;"&amp;IJ1)</f>
        <v>0</v>
      </c>
      <c r="IJ17" s="204">
        <f>SUMIFS('Expenditure Breakdown'!$U$6:$U$368, 'Expenditure Breakdown'!$T$6:$T$368, "&gt;="&amp;IJ1,'Expenditure Breakdown'!$T$6:$T$368, "&lt;"&amp;IK1)</f>
        <v>0</v>
      </c>
      <c r="IK17" s="204">
        <f>SUMIFS('Expenditure Breakdown'!$U$6:$U$368, 'Expenditure Breakdown'!$T$6:$T$368, "&gt;="&amp;IK1,'Expenditure Breakdown'!$T$6:$T$368, "&lt;"&amp;IL1)</f>
        <v>0</v>
      </c>
      <c r="IL17" s="204">
        <f>SUMIFS('Expenditure Breakdown'!$U$6:$U$368, 'Expenditure Breakdown'!$T$6:$T$368, "&gt;="&amp;IL1,'Expenditure Breakdown'!$T$6:$T$368, "&lt;"&amp;IM1)</f>
        <v>0</v>
      </c>
      <c r="IM17" s="204">
        <f>SUMIFS('Expenditure Breakdown'!$U$6:$U$368, 'Expenditure Breakdown'!$T$6:$T$368, "&gt;="&amp;IM1,'Expenditure Breakdown'!$T$6:$T$368, "&lt;"&amp;IN1)</f>
        <v>0</v>
      </c>
      <c r="IN17" s="204">
        <f>SUMIFS('Expenditure Breakdown'!$U$6:$U$368, 'Expenditure Breakdown'!$T$6:$T$368, "&gt;="&amp;IN1,'Expenditure Breakdown'!$T$6:$T$368, "&lt;"&amp;IO1)</f>
        <v>0</v>
      </c>
      <c r="IO17" s="204">
        <f>SUMIFS('Expenditure Breakdown'!$U$6:$U$368, 'Expenditure Breakdown'!$T$6:$T$368, "&gt;="&amp;IO1,'Expenditure Breakdown'!$T$6:$T$368, "&lt;"&amp;IP1)</f>
        <v>0</v>
      </c>
      <c r="IP17" s="204">
        <f>SUMIFS('Expenditure Breakdown'!$U$6:$U$368, 'Expenditure Breakdown'!$T$6:$T$368, "&gt;="&amp;IP1,'Expenditure Breakdown'!$T$6:$T$368, "&lt;"&amp;IQ1)</f>
        <v>0</v>
      </c>
      <c r="IQ17" s="204">
        <f>SUMIFS('Expenditure Breakdown'!$U$6:$U$368, 'Expenditure Breakdown'!$T$6:$T$368, "&gt;="&amp;IQ1,'Expenditure Breakdown'!$T$6:$T$368, "&lt;"&amp;IR1)</f>
        <v>0</v>
      </c>
      <c r="IR17" s="204">
        <f>SUMIFS('Expenditure Breakdown'!$U$6:$U$368, 'Expenditure Breakdown'!$T$6:$T$368, "&gt;="&amp;IR1,'Expenditure Breakdown'!$T$6:$T$368, "&lt;"&amp;IS1)</f>
        <v>0</v>
      </c>
      <c r="IS17" s="204">
        <f>SUMIFS('Expenditure Breakdown'!$U$6:$U$368, 'Expenditure Breakdown'!$T$6:$T$368, "&gt;="&amp;IS1,'Expenditure Breakdown'!$T$6:$T$368, "&lt;"&amp;IT1)</f>
        <v>0</v>
      </c>
      <c r="IT17" s="204">
        <f>SUMIFS('Expenditure Breakdown'!$U$6:$U$368, 'Expenditure Breakdown'!$T$6:$T$368, "&gt;="&amp;IT1,'Expenditure Breakdown'!$T$6:$T$368, "&lt;"&amp;IU1)</f>
        <v>0</v>
      </c>
      <c r="IU17" s="204">
        <f>SUMIFS('Expenditure Breakdown'!$U$6:$U$368, 'Expenditure Breakdown'!$T$6:$T$368, "&gt;="&amp;IU1,'Expenditure Breakdown'!$T$6:$T$368, "&lt;"&amp;IV1)</f>
        <v>0</v>
      </c>
      <c r="IV17" s="204">
        <f>SUMIFS('Expenditure Breakdown'!$U$6:$U$368, 'Expenditure Breakdown'!$T$6:$T$368, "&gt;="&amp;IV1,'Expenditure Breakdown'!$T$6:$T$368, "&lt;"&amp;IW1)</f>
        <v>0</v>
      </c>
      <c r="IW17" s="204">
        <f>SUMIFS('Expenditure Breakdown'!$U$6:$U$368, 'Expenditure Breakdown'!$T$6:$T$368, "&gt;="&amp;IW1,'Expenditure Breakdown'!$T$6:$T$368, "&lt;"&amp;IX1)</f>
        <v>0</v>
      </c>
      <c r="IX17" s="204">
        <f>SUMIFS('Expenditure Breakdown'!$U$6:$U$368, 'Expenditure Breakdown'!$T$6:$T$368, "&gt;="&amp;IX1,'Expenditure Breakdown'!$T$6:$T$368, "&lt;"&amp;IY1)</f>
        <v>0</v>
      </c>
      <c r="IY17" s="204">
        <f>SUMIFS('Expenditure Breakdown'!$U$6:$U$368, 'Expenditure Breakdown'!$T$6:$T$368, "&gt;="&amp;IY1,'Expenditure Breakdown'!$T$6:$T$368, "&lt;"&amp;IZ1)</f>
        <v>0</v>
      </c>
      <c r="IZ17" s="204">
        <f>SUMIFS('Expenditure Breakdown'!$U$6:$U$368, 'Expenditure Breakdown'!$T$6:$T$368, "&gt;="&amp;IZ1,'Expenditure Breakdown'!$T$6:$T$368, "&lt;"&amp;JA1)</f>
        <v>0</v>
      </c>
      <c r="JA17" s="204">
        <f>SUMIFS('Expenditure Breakdown'!$U$6:$U$368, 'Expenditure Breakdown'!$T$6:$T$368, "&gt;="&amp;JA1,'Expenditure Breakdown'!$T$6:$T$368, "&lt;"&amp;JB1)</f>
        <v>0</v>
      </c>
      <c r="JB17" s="204">
        <f>SUMIFS('Expenditure Breakdown'!$U$6:$U$368, 'Expenditure Breakdown'!$T$6:$T$368, "&gt;="&amp;JB1,'Expenditure Breakdown'!$T$6:$T$368, "&lt;"&amp;JC1)</f>
        <v>0</v>
      </c>
      <c r="JC17" s="204">
        <f>SUMIFS('Expenditure Breakdown'!$U$6:$U$368, 'Expenditure Breakdown'!$T$6:$T$368, "&gt;="&amp;JC1,'Expenditure Breakdown'!$T$6:$T$368, "&lt;"&amp;JD1)</f>
        <v>0</v>
      </c>
      <c r="JD17" s="204">
        <f>SUMIFS('Expenditure Breakdown'!$U$6:$U$368, 'Expenditure Breakdown'!$T$6:$T$368, "&gt;="&amp;JD1,'Expenditure Breakdown'!$T$6:$T$368, "&lt;"&amp;JE1)</f>
        <v>0</v>
      </c>
      <c r="JE17" s="204">
        <f>SUMIFS('Expenditure Breakdown'!$U$6:$U$368, 'Expenditure Breakdown'!$T$6:$T$368, "&gt;="&amp;JE1,'Expenditure Breakdown'!$T$6:$T$368, "&lt;"&amp;JF1)</f>
        <v>0</v>
      </c>
      <c r="JF17" s="204">
        <f>SUMIFS('Expenditure Breakdown'!$U$6:$U$368, 'Expenditure Breakdown'!$T$6:$T$368, "&gt;="&amp;JF1,'Expenditure Breakdown'!$T$6:$T$368, "&lt;"&amp;JG1)</f>
        <v>0</v>
      </c>
      <c r="JG17" s="204">
        <f>SUMIFS('Expenditure Breakdown'!$U$6:$U$368, 'Expenditure Breakdown'!$T$6:$T$368, "&gt;="&amp;JG1,'Expenditure Breakdown'!$T$6:$T$368, "&lt;"&amp;JH1)</f>
        <v>0</v>
      </c>
      <c r="JH17" s="204">
        <f>SUMIFS('Expenditure Breakdown'!$U$6:$U$368, 'Expenditure Breakdown'!$T$6:$T$368, "&gt;="&amp;JH1,'Expenditure Breakdown'!$T$6:$T$368, "&lt;"&amp;JI1)</f>
        <v>0</v>
      </c>
      <c r="JI17" s="204">
        <f>SUMIFS('Expenditure Breakdown'!$U$6:$U$368, 'Expenditure Breakdown'!$T$6:$T$368, "&gt;="&amp;JI1,'Expenditure Breakdown'!$T$6:$T$368, "&lt;"&amp;JJ1)</f>
        <v>0</v>
      </c>
      <c r="JJ17" s="204">
        <f>SUMIFS('Expenditure Breakdown'!$U$6:$U$368, 'Expenditure Breakdown'!$T$6:$T$368, "&gt;="&amp;JJ1,'Expenditure Breakdown'!$T$6:$T$368, "&lt;"&amp;JK1)</f>
        <v>0</v>
      </c>
      <c r="JK17" s="204">
        <f>SUMIFS('Expenditure Breakdown'!$U$6:$U$368, 'Expenditure Breakdown'!$T$6:$T$368, "&gt;="&amp;JK1,'Expenditure Breakdown'!$T$6:$T$368, "&lt;"&amp;JL1)</f>
        <v>0</v>
      </c>
      <c r="JL17" s="204">
        <f>SUMIFS('Expenditure Breakdown'!$U$6:$U$368, 'Expenditure Breakdown'!$T$6:$T$368, "&gt;="&amp;JL1,'Expenditure Breakdown'!$T$6:$T$368, "&lt;"&amp;JM1)</f>
        <v>0</v>
      </c>
      <c r="JM17" s="204">
        <f>SUMIFS('Expenditure Breakdown'!$U$6:$U$368, 'Expenditure Breakdown'!$T$6:$T$368, "&gt;="&amp;JM1,'Expenditure Breakdown'!$T$6:$T$368, "&lt;"&amp;JN1)</f>
        <v>0</v>
      </c>
      <c r="JN17" s="204">
        <f>SUMIFS('Expenditure Breakdown'!$U$6:$U$368, 'Expenditure Breakdown'!$T$6:$T$368, "&gt;="&amp;JN1,'Expenditure Breakdown'!$T$6:$T$368, "&lt;"&amp;JO1)</f>
        <v>0</v>
      </c>
      <c r="JO17" s="204">
        <f>SUMIFS('Expenditure Breakdown'!$U$6:$U$368, 'Expenditure Breakdown'!$T$6:$T$368, "&gt;="&amp;JO1,'Expenditure Breakdown'!$T$6:$T$368, "&lt;"&amp;JP1)</f>
        <v>0</v>
      </c>
      <c r="JP17" s="204">
        <f>SUMIFS('Expenditure Breakdown'!$U$6:$U$368, 'Expenditure Breakdown'!$T$6:$T$368, "&gt;="&amp;JP1,'Expenditure Breakdown'!$T$6:$T$368, "&lt;"&amp;JQ1)</f>
        <v>0</v>
      </c>
      <c r="JQ17" s="204">
        <f>SUMIFS('Expenditure Breakdown'!$U$6:$U$368, 'Expenditure Breakdown'!$T$6:$T$368, "&gt;="&amp;JQ1,'Expenditure Breakdown'!$T$6:$T$368, "&lt;"&amp;JR1)</f>
        <v>0</v>
      </c>
      <c r="JR17" s="204">
        <f>SUMIFS('Expenditure Breakdown'!$U$6:$U$368, 'Expenditure Breakdown'!$T$6:$T$368, "&gt;="&amp;JR1,'Expenditure Breakdown'!$T$6:$T$368, "&lt;"&amp;JS1)</f>
        <v>0</v>
      </c>
      <c r="JS17" s="204">
        <f>SUMIFS('Expenditure Breakdown'!$U$6:$U$368, 'Expenditure Breakdown'!$T$6:$T$368, "&gt;="&amp;JS1,'Expenditure Breakdown'!$T$6:$T$368, "&lt;"&amp;JT1)</f>
        <v>0</v>
      </c>
      <c r="JT17" s="204">
        <f>SUMIFS('Expenditure Breakdown'!$U$6:$U$368, 'Expenditure Breakdown'!$T$6:$T$368, "&gt;="&amp;JT1,'Expenditure Breakdown'!$T$6:$T$368, "&lt;"&amp;JU1)</f>
        <v>0</v>
      </c>
      <c r="JU17" s="204">
        <f>SUMIFS('Expenditure Breakdown'!$U$6:$U$368, 'Expenditure Breakdown'!$T$6:$T$368, "&gt;="&amp;JU1,'Expenditure Breakdown'!$T$6:$T$368, "&lt;"&amp;JV1)</f>
        <v>0</v>
      </c>
      <c r="JV17" s="204">
        <f>SUMIFS('Expenditure Breakdown'!$U$6:$U$368, 'Expenditure Breakdown'!$T$6:$T$368, "&gt;="&amp;JV1,'Expenditure Breakdown'!$T$6:$T$368, "&lt;"&amp;JW1)</f>
        <v>0</v>
      </c>
      <c r="JW17" s="204">
        <f>SUMIFS('Expenditure Breakdown'!$U$6:$U$368, 'Expenditure Breakdown'!$T$6:$T$368, "&gt;="&amp;JW1,'Expenditure Breakdown'!$T$6:$T$368, "&lt;"&amp;JX1)</f>
        <v>0</v>
      </c>
      <c r="JX17" s="204">
        <f>SUMIFS('Expenditure Breakdown'!$U$6:$U$368, 'Expenditure Breakdown'!$T$6:$T$368, "&gt;="&amp;JX1,'Expenditure Breakdown'!$T$6:$T$368, "&lt;"&amp;JY1)</f>
        <v>0</v>
      </c>
      <c r="JY17" s="204">
        <f>SUMIFS('Expenditure Breakdown'!$U$6:$U$368, 'Expenditure Breakdown'!$T$6:$T$368, "&gt;="&amp;JY1,'Expenditure Breakdown'!$T$6:$T$368, "&lt;"&amp;JZ1)</f>
        <v>0</v>
      </c>
      <c r="JZ17" s="204">
        <f>SUMIFS('Expenditure Breakdown'!$U$6:$U$368, 'Expenditure Breakdown'!$T$6:$T$368, "&gt;="&amp;JZ1,'Expenditure Breakdown'!$T$6:$T$368, "&lt;"&amp;KA1)</f>
        <v>0</v>
      </c>
      <c r="KA17" s="204">
        <f>SUMIFS('Expenditure Breakdown'!$U$6:$U$368, 'Expenditure Breakdown'!$T$6:$T$368, "&gt;="&amp;KA1,'Expenditure Breakdown'!$T$6:$T$368, "&lt;"&amp;KB1)</f>
        <v>0</v>
      </c>
      <c r="KB17" s="204">
        <f>SUMIFS('Expenditure Breakdown'!$U$6:$U$368, 'Expenditure Breakdown'!$T$6:$T$368, "&gt;="&amp;KB1,'Expenditure Breakdown'!$T$6:$T$368, "&lt;"&amp;KC1)</f>
        <v>0</v>
      </c>
      <c r="KC17" s="204">
        <f>SUMIFS('Expenditure Breakdown'!$U$6:$U$368, 'Expenditure Breakdown'!$T$6:$T$368, "&gt;="&amp;KC1,'Expenditure Breakdown'!$T$6:$T$368, "&lt;"&amp;KD1)</f>
        <v>0</v>
      </c>
      <c r="KD17" s="204">
        <f>SUMIFS('Expenditure Breakdown'!$U$6:$U$368, 'Expenditure Breakdown'!$T$6:$T$368, "&gt;="&amp;KD1,'Expenditure Breakdown'!$T$6:$T$368, "&lt;"&amp;KE1)</f>
        <v>0</v>
      </c>
      <c r="KE17" s="204">
        <f>SUMIFS('Expenditure Breakdown'!$U$6:$U$368, 'Expenditure Breakdown'!$T$6:$T$368, "&gt;="&amp;KE1,'Expenditure Breakdown'!$T$6:$T$368, "&lt;"&amp;KF1)</f>
        <v>0</v>
      </c>
      <c r="KF17" s="204">
        <f>SUMIFS('Expenditure Breakdown'!$U$6:$U$368, 'Expenditure Breakdown'!$T$6:$T$368, "&gt;="&amp;KF1,'Expenditure Breakdown'!$T$6:$T$368, "&lt;"&amp;KG1)</f>
        <v>0</v>
      </c>
      <c r="KG17" s="204">
        <f>SUMIFS('Expenditure Breakdown'!$U$6:$U$368, 'Expenditure Breakdown'!$T$6:$T$368, "&gt;="&amp;KG1,'Expenditure Breakdown'!$T$6:$T$368, "&lt;"&amp;KH1)</f>
        <v>0</v>
      </c>
      <c r="KH17" s="204">
        <f>SUMIFS('Expenditure Breakdown'!$U$6:$U$368, 'Expenditure Breakdown'!$T$6:$T$368, "&gt;="&amp;KH1,'Expenditure Breakdown'!$T$6:$T$368, "&lt;"&amp;KI1)</f>
        <v>0</v>
      </c>
      <c r="KI17" s="204">
        <f>SUMIFS('Expenditure Breakdown'!$U$6:$U$368, 'Expenditure Breakdown'!$T$6:$T$368, "&gt;="&amp;KI1,'Expenditure Breakdown'!$T$6:$T$368, "&lt;"&amp;KJ1)</f>
        <v>0</v>
      </c>
      <c r="KJ17" s="204">
        <f>SUMIFS('Expenditure Breakdown'!$U$6:$U$368, 'Expenditure Breakdown'!$T$6:$T$368, "&gt;="&amp;KJ1,'Expenditure Breakdown'!$T$6:$T$368, "&lt;"&amp;KK1)</f>
        <v>0</v>
      </c>
      <c r="KK17" s="204">
        <f>SUMIFS('Expenditure Breakdown'!$U$6:$U$368, 'Expenditure Breakdown'!$T$6:$T$368, "&gt;="&amp;KK1,'Expenditure Breakdown'!$T$6:$T$368, "&lt;"&amp;KL1)</f>
        <v>0</v>
      </c>
      <c r="KL17" s="204">
        <f>SUMIFS('Expenditure Breakdown'!$U$6:$U$368, 'Expenditure Breakdown'!$T$6:$T$368, "&gt;="&amp;KL1,'Expenditure Breakdown'!$T$6:$T$368, "&lt;"&amp;KM1)</f>
        <v>0</v>
      </c>
      <c r="KM17" s="204">
        <f>SUMIFS('Expenditure Breakdown'!$U$6:$U$368, 'Expenditure Breakdown'!$T$6:$T$368, "&gt;="&amp;KM1,'Expenditure Breakdown'!$T$6:$T$368, "&lt;"&amp;KN1)</f>
        <v>0</v>
      </c>
      <c r="KN17" s="204">
        <f>SUMIFS('Expenditure Breakdown'!$U$6:$U$368, 'Expenditure Breakdown'!$T$6:$T$368, "&gt;="&amp;KN1,'Expenditure Breakdown'!$T$6:$T$368, "&lt;"&amp;KO1)</f>
        <v>0</v>
      </c>
      <c r="KO17" s="204">
        <f>SUMIFS('Expenditure Breakdown'!$U$6:$U$368, 'Expenditure Breakdown'!$T$6:$T$368, "&gt;="&amp;KO1,'Expenditure Breakdown'!$T$6:$T$368, "&lt;"&amp;KP1)</f>
        <v>0</v>
      </c>
      <c r="KP17" s="204">
        <f>SUMIFS('Expenditure Breakdown'!$U$6:$U$368, 'Expenditure Breakdown'!$T$6:$T$368, "&gt;="&amp;KP1,'Expenditure Breakdown'!$T$6:$T$368, "&lt;"&amp;KQ1)</f>
        <v>0</v>
      </c>
      <c r="KQ17" s="204">
        <f>SUMIFS('Expenditure Breakdown'!$U$6:$U$368, 'Expenditure Breakdown'!$T$6:$T$368, "&gt;="&amp;KQ1,'Expenditure Breakdown'!$T$6:$T$368, "&lt;"&amp;KR1)</f>
        <v>0</v>
      </c>
      <c r="KR17" s="204">
        <f>SUMIFS('Expenditure Breakdown'!$U$6:$U$368, 'Expenditure Breakdown'!$T$6:$T$368, "&gt;="&amp;KR1,'Expenditure Breakdown'!$T$6:$T$368, "&lt;"&amp;KS1)</f>
        <v>0</v>
      </c>
      <c r="KS17" s="204">
        <f>SUMIFS('Expenditure Breakdown'!$U$6:$U$368, 'Expenditure Breakdown'!$T$6:$T$368, "&gt;="&amp;KS1,'Expenditure Breakdown'!$T$6:$T$368, "&lt;"&amp;KT1)</f>
        <v>0</v>
      </c>
      <c r="KT17" s="204">
        <f>SUMIFS('Expenditure Breakdown'!$U$6:$U$368, 'Expenditure Breakdown'!$T$6:$T$368, "&gt;="&amp;KT1,'Expenditure Breakdown'!$T$6:$T$368, "&lt;"&amp;KU1)</f>
        <v>0</v>
      </c>
      <c r="KU17" s="204">
        <f>SUMIFS('Expenditure Breakdown'!$U$6:$U$368, 'Expenditure Breakdown'!$T$6:$T$368, "&gt;="&amp;KU1,'Expenditure Breakdown'!$T$6:$T$368, "&lt;"&amp;KV1)</f>
        <v>0</v>
      </c>
      <c r="KV17" s="204">
        <f>SUMIFS('Expenditure Breakdown'!$U$6:$U$368, 'Expenditure Breakdown'!$T$6:$T$368, "&gt;="&amp;KV1,'Expenditure Breakdown'!$T$6:$T$368, "&lt;"&amp;KW1)</f>
        <v>0</v>
      </c>
      <c r="KW17" s="204">
        <f>SUMIFS('Expenditure Breakdown'!$U$6:$U$368, 'Expenditure Breakdown'!$T$6:$T$368, "&gt;="&amp;KW1,'Expenditure Breakdown'!$T$6:$T$368, "&lt;"&amp;KX1)</f>
        <v>0</v>
      </c>
      <c r="KX17" s="204">
        <f>SUMIFS('Expenditure Breakdown'!$U$6:$U$368, 'Expenditure Breakdown'!$T$6:$T$368, "&gt;="&amp;KX1,'Expenditure Breakdown'!$T$6:$T$368, "&lt;"&amp;KY1)</f>
        <v>0</v>
      </c>
      <c r="KY17" s="204">
        <f>SUMIFS('Expenditure Breakdown'!$U$6:$U$368, 'Expenditure Breakdown'!$T$6:$T$368, "&gt;="&amp;KY1,'Expenditure Breakdown'!$T$6:$T$368, "&lt;"&amp;KZ1)</f>
        <v>0</v>
      </c>
      <c r="KZ17" s="204">
        <f>SUMIFS('Expenditure Breakdown'!$U$6:$U$368, 'Expenditure Breakdown'!$T$6:$T$368, "&gt;="&amp;KZ1,'Expenditure Breakdown'!$T$6:$T$368, "&lt;"&amp;LA1)</f>
        <v>0</v>
      </c>
      <c r="LA17" s="204">
        <f>SUMIFS('Expenditure Breakdown'!$U$6:$U$368, 'Expenditure Breakdown'!$T$6:$T$368, "&gt;="&amp;LA1,'Expenditure Breakdown'!$T$6:$T$368, "&lt;"&amp;LB1)</f>
        <v>0</v>
      </c>
      <c r="LB17" s="204">
        <f>SUMIFS('Expenditure Breakdown'!$U$6:$U$368, 'Expenditure Breakdown'!$T$6:$T$368, "&gt;="&amp;LB1,'Expenditure Breakdown'!$T$6:$T$368, "&lt;"&amp;LC1)</f>
        <v>0</v>
      </c>
      <c r="LC17" s="204">
        <f>SUMIFS('Expenditure Breakdown'!$U$6:$U$368, 'Expenditure Breakdown'!$T$6:$T$368, "&gt;="&amp;LC1,'Expenditure Breakdown'!$T$6:$T$368, "&lt;"&amp;LD1)</f>
        <v>0</v>
      </c>
      <c r="LD17" s="204">
        <f>SUMIFS('Expenditure Breakdown'!$U$6:$U$368, 'Expenditure Breakdown'!$T$6:$T$368, "&gt;="&amp;LD1,'Expenditure Breakdown'!$T$6:$T$368, "&lt;"&amp;#REF!)</f>
        <v>0</v>
      </c>
    </row>
    <row r="18" spans="1:316">
      <c r="A18" s="931"/>
      <c r="B18" s="185" t="s">
        <v>739</v>
      </c>
      <c r="C18" s="363">
        <f>D17-D18</f>
        <v>0</v>
      </c>
      <c r="D18" s="186">
        <f>MAX(F18:LD18)</f>
        <v>60000195.480719626</v>
      </c>
      <c r="E18" s="196"/>
      <c r="F18" s="204">
        <f>F17</f>
        <v>0</v>
      </c>
      <c r="G18" s="204">
        <f>F18+G17</f>
        <v>0</v>
      </c>
      <c r="H18" s="204">
        <f>G18+H17</f>
        <v>0</v>
      </c>
      <c r="I18" s="204">
        <f t="shared" ref="I18:BT18" si="37">H18+I17</f>
        <v>0</v>
      </c>
      <c r="J18" s="204">
        <f t="shared" si="37"/>
        <v>0</v>
      </c>
      <c r="K18" s="204">
        <f t="shared" si="37"/>
        <v>0</v>
      </c>
      <c r="L18" s="204">
        <f t="shared" si="37"/>
        <v>0</v>
      </c>
      <c r="M18" s="204">
        <f t="shared" si="37"/>
        <v>0</v>
      </c>
      <c r="N18" s="204">
        <f t="shared" si="37"/>
        <v>0</v>
      </c>
      <c r="O18" s="204">
        <f t="shared" si="37"/>
        <v>0</v>
      </c>
      <c r="P18" s="204">
        <f t="shared" si="37"/>
        <v>0</v>
      </c>
      <c r="Q18" s="204">
        <f t="shared" si="37"/>
        <v>0</v>
      </c>
      <c r="R18" s="204">
        <f t="shared" si="37"/>
        <v>0</v>
      </c>
      <c r="S18" s="204">
        <f t="shared" si="37"/>
        <v>0</v>
      </c>
      <c r="T18" s="204">
        <f t="shared" si="37"/>
        <v>0</v>
      </c>
      <c r="U18" s="204">
        <f t="shared" si="37"/>
        <v>0</v>
      </c>
      <c r="V18" s="204">
        <f t="shared" si="37"/>
        <v>0</v>
      </c>
      <c r="W18" s="204">
        <f t="shared" si="37"/>
        <v>0</v>
      </c>
      <c r="X18" s="204">
        <f t="shared" si="37"/>
        <v>0</v>
      </c>
      <c r="Y18" s="204">
        <f t="shared" si="37"/>
        <v>0</v>
      </c>
      <c r="Z18" s="204">
        <f t="shared" si="37"/>
        <v>0</v>
      </c>
      <c r="AA18" s="204">
        <f t="shared" si="37"/>
        <v>0</v>
      </c>
      <c r="AB18" s="204">
        <f t="shared" si="37"/>
        <v>0</v>
      </c>
      <c r="AC18" s="204">
        <f t="shared" si="37"/>
        <v>8815197.7094932552</v>
      </c>
      <c r="AD18" s="204">
        <f t="shared" si="37"/>
        <v>8815197.7094932552</v>
      </c>
      <c r="AE18" s="204">
        <f t="shared" si="37"/>
        <v>8815197.7094932552</v>
      </c>
      <c r="AF18" s="204">
        <f t="shared" si="37"/>
        <v>8815197.7094932552</v>
      </c>
      <c r="AG18" s="204">
        <f t="shared" si="37"/>
        <v>34085472.499923825</v>
      </c>
      <c r="AH18" s="204">
        <f t="shared" si="37"/>
        <v>34085472.499923825</v>
      </c>
      <c r="AI18" s="204">
        <f t="shared" si="37"/>
        <v>34085472.499923825</v>
      </c>
      <c r="AJ18" s="204">
        <f t="shared" si="37"/>
        <v>34085472.499923825</v>
      </c>
      <c r="AK18" s="204">
        <f t="shared" si="37"/>
        <v>46269023.350354061</v>
      </c>
      <c r="AL18" s="204">
        <f t="shared" si="37"/>
        <v>46269023.350354061</v>
      </c>
      <c r="AM18" s="204">
        <f t="shared" si="37"/>
        <v>46269023.350354061</v>
      </c>
      <c r="AN18" s="204">
        <f t="shared" si="37"/>
        <v>46269023.350354061</v>
      </c>
      <c r="AO18" s="204">
        <f t="shared" si="37"/>
        <v>46269023.350354061</v>
      </c>
      <c r="AP18" s="204">
        <f t="shared" si="37"/>
        <v>46273782.434154242</v>
      </c>
      <c r="AQ18" s="204">
        <f t="shared" si="37"/>
        <v>46273782.434154242</v>
      </c>
      <c r="AR18" s="204">
        <f t="shared" si="37"/>
        <v>46273782.434154242</v>
      </c>
      <c r="AS18" s="204">
        <f t="shared" si="37"/>
        <v>46273782.434154242</v>
      </c>
      <c r="AT18" s="204">
        <f t="shared" si="37"/>
        <v>46345569.770715937</v>
      </c>
      <c r="AU18" s="204">
        <f t="shared" si="37"/>
        <v>46345569.770715937</v>
      </c>
      <c r="AV18" s="204">
        <f t="shared" si="37"/>
        <v>46345569.770715937</v>
      </c>
      <c r="AW18" s="204">
        <f t="shared" si="37"/>
        <v>46345569.770715937</v>
      </c>
      <c r="AX18" s="204">
        <f t="shared" si="37"/>
        <v>57996975.446296021</v>
      </c>
      <c r="AY18" s="204">
        <f t="shared" si="37"/>
        <v>57996975.446296021</v>
      </c>
      <c r="AZ18" s="204">
        <f t="shared" si="37"/>
        <v>57996975.446296021</v>
      </c>
      <c r="BA18" s="204">
        <f t="shared" si="37"/>
        <v>57996975.446296021</v>
      </c>
      <c r="BB18" s="204">
        <f t="shared" si="37"/>
        <v>57996975.446296021</v>
      </c>
      <c r="BC18" s="204">
        <f t="shared" si="37"/>
        <v>58019033.762204193</v>
      </c>
      <c r="BD18" s="204">
        <f t="shared" si="37"/>
        <v>58019033.762204193</v>
      </c>
      <c r="BE18" s="204">
        <f t="shared" si="37"/>
        <v>58019033.762204193</v>
      </c>
      <c r="BF18" s="204">
        <f t="shared" si="37"/>
        <v>58019033.762204193</v>
      </c>
      <c r="BG18" s="204">
        <f t="shared" si="37"/>
        <v>58693784.884167857</v>
      </c>
      <c r="BH18" s="204">
        <f t="shared" si="37"/>
        <v>58693784.884167857</v>
      </c>
      <c r="BI18" s="204">
        <f t="shared" si="37"/>
        <v>58693784.884167857</v>
      </c>
      <c r="BJ18" s="204">
        <f t="shared" si="37"/>
        <v>58693784.884167857</v>
      </c>
      <c r="BK18" s="204">
        <f t="shared" si="37"/>
        <v>60000195.480719626</v>
      </c>
      <c r="BL18" s="204">
        <f t="shared" si="37"/>
        <v>60000195.480719626</v>
      </c>
      <c r="BM18" s="204">
        <f t="shared" si="37"/>
        <v>60000195.480719626</v>
      </c>
      <c r="BN18" s="204">
        <f t="shared" si="37"/>
        <v>60000195.480719626</v>
      </c>
      <c r="BO18" s="204">
        <f t="shared" si="37"/>
        <v>60000195.480719626</v>
      </c>
      <c r="BP18" s="204">
        <f t="shared" si="37"/>
        <v>60000195.480719626</v>
      </c>
      <c r="BQ18" s="204">
        <f t="shared" si="37"/>
        <v>60000195.480719626</v>
      </c>
      <c r="BR18" s="204">
        <f t="shared" si="37"/>
        <v>60000195.480719626</v>
      </c>
      <c r="BS18" s="204">
        <f t="shared" si="37"/>
        <v>60000195.480719626</v>
      </c>
      <c r="BT18" s="204">
        <f t="shared" si="37"/>
        <v>60000195.480719626</v>
      </c>
      <c r="BU18" s="204">
        <f t="shared" ref="BU18:EF18" si="38">BT18+BU17</f>
        <v>60000195.480719626</v>
      </c>
      <c r="BV18" s="204">
        <f t="shared" si="38"/>
        <v>60000195.480719626</v>
      </c>
      <c r="BW18" s="204">
        <f t="shared" si="38"/>
        <v>60000195.480719626</v>
      </c>
      <c r="BX18" s="204">
        <f t="shared" si="38"/>
        <v>60000195.480719626</v>
      </c>
      <c r="BY18" s="204">
        <f t="shared" si="38"/>
        <v>60000195.480719626</v>
      </c>
      <c r="BZ18" s="204">
        <f t="shared" si="38"/>
        <v>60000195.480719626</v>
      </c>
      <c r="CA18" s="204">
        <f t="shared" si="38"/>
        <v>60000195.480719626</v>
      </c>
      <c r="CB18" s="204">
        <f t="shared" si="38"/>
        <v>60000195.480719626</v>
      </c>
      <c r="CC18" s="204">
        <f t="shared" si="38"/>
        <v>60000195.480719626</v>
      </c>
      <c r="CD18" s="204">
        <f t="shared" si="38"/>
        <v>60000195.480719626</v>
      </c>
      <c r="CE18" s="204">
        <f t="shared" si="38"/>
        <v>60000195.480719626</v>
      </c>
      <c r="CF18" s="204">
        <f t="shared" si="38"/>
        <v>60000195.480719626</v>
      </c>
      <c r="CG18" s="204">
        <f t="shared" si="38"/>
        <v>60000195.480719626</v>
      </c>
      <c r="CH18" s="204">
        <f t="shared" si="38"/>
        <v>60000195.480719626</v>
      </c>
      <c r="CI18" s="204">
        <f t="shared" si="38"/>
        <v>60000195.480719626</v>
      </c>
      <c r="CJ18" s="204">
        <f t="shared" si="38"/>
        <v>60000195.480719626</v>
      </c>
      <c r="CK18" s="204">
        <f t="shared" si="38"/>
        <v>60000195.480719626</v>
      </c>
      <c r="CL18" s="204">
        <f t="shared" si="38"/>
        <v>60000195.480719626</v>
      </c>
      <c r="CM18" s="204">
        <f t="shared" si="38"/>
        <v>60000195.480719626</v>
      </c>
      <c r="CN18" s="204">
        <f t="shared" si="38"/>
        <v>60000195.480719626</v>
      </c>
      <c r="CO18" s="204">
        <f t="shared" si="38"/>
        <v>60000195.480719626</v>
      </c>
      <c r="CP18" s="204">
        <f t="shared" si="38"/>
        <v>60000195.480719626</v>
      </c>
      <c r="CQ18" s="204">
        <f t="shared" si="38"/>
        <v>60000195.480719626</v>
      </c>
      <c r="CR18" s="204">
        <f t="shared" si="38"/>
        <v>60000195.480719626</v>
      </c>
      <c r="CS18" s="204">
        <f t="shared" si="38"/>
        <v>60000195.480719626</v>
      </c>
      <c r="CT18" s="204">
        <f t="shared" si="38"/>
        <v>60000195.480719626</v>
      </c>
      <c r="CU18" s="204">
        <f t="shared" si="38"/>
        <v>60000195.480719626</v>
      </c>
      <c r="CV18" s="204">
        <f t="shared" si="38"/>
        <v>60000195.480719626</v>
      </c>
      <c r="CW18" s="204">
        <f t="shared" si="38"/>
        <v>60000195.480719626</v>
      </c>
      <c r="CX18" s="204">
        <f t="shared" si="38"/>
        <v>60000195.480719626</v>
      </c>
      <c r="CY18" s="204">
        <f t="shared" si="38"/>
        <v>60000195.480719626</v>
      </c>
      <c r="CZ18" s="204">
        <f t="shared" si="38"/>
        <v>60000195.480719626</v>
      </c>
      <c r="DA18" s="204">
        <f t="shared" si="38"/>
        <v>60000195.480719626</v>
      </c>
      <c r="DB18" s="204">
        <f t="shared" si="38"/>
        <v>60000195.480719626</v>
      </c>
      <c r="DC18" s="204">
        <f t="shared" si="38"/>
        <v>60000195.480719626</v>
      </c>
      <c r="DD18" s="204">
        <f t="shared" si="38"/>
        <v>60000195.480719626</v>
      </c>
      <c r="DE18" s="204">
        <f t="shared" si="38"/>
        <v>60000195.480719626</v>
      </c>
      <c r="DF18" s="204">
        <f t="shared" si="38"/>
        <v>60000195.480719626</v>
      </c>
      <c r="DG18" s="204">
        <f t="shared" si="38"/>
        <v>60000195.480719626</v>
      </c>
      <c r="DH18" s="204">
        <f t="shared" si="38"/>
        <v>60000195.480719626</v>
      </c>
      <c r="DI18" s="204">
        <f t="shared" si="38"/>
        <v>60000195.480719626</v>
      </c>
      <c r="DJ18" s="204">
        <f t="shared" si="38"/>
        <v>60000195.480719626</v>
      </c>
      <c r="DK18" s="204">
        <f t="shared" si="38"/>
        <v>60000195.480719626</v>
      </c>
      <c r="DL18" s="204">
        <f t="shared" si="38"/>
        <v>60000195.480719626</v>
      </c>
      <c r="DM18" s="204">
        <f t="shared" si="38"/>
        <v>60000195.480719626</v>
      </c>
      <c r="DN18" s="204">
        <f t="shared" si="38"/>
        <v>60000195.480719626</v>
      </c>
      <c r="DO18" s="204">
        <f t="shared" si="38"/>
        <v>60000195.480719626</v>
      </c>
      <c r="DP18" s="204">
        <f t="shared" si="38"/>
        <v>60000195.480719626</v>
      </c>
      <c r="DQ18" s="204">
        <f t="shared" si="38"/>
        <v>60000195.480719626</v>
      </c>
      <c r="DR18" s="204">
        <f t="shared" si="38"/>
        <v>60000195.480719626</v>
      </c>
      <c r="DS18" s="204">
        <f t="shared" si="38"/>
        <v>60000195.480719626</v>
      </c>
      <c r="DT18" s="204">
        <f t="shared" si="38"/>
        <v>60000195.480719626</v>
      </c>
      <c r="DU18" s="204">
        <f t="shared" si="38"/>
        <v>60000195.480719626</v>
      </c>
      <c r="DV18" s="204">
        <f t="shared" si="38"/>
        <v>60000195.480719626</v>
      </c>
      <c r="DW18" s="204">
        <f t="shared" si="38"/>
        <v>60000195.480719626</v>
      </c>
      <c r="DX18" s="204">
        <f t="shared" si="38"/>
        <v>60000195.480719626</v>
      </c>
      <c r="DY18" s="204">
        <f t="shared" si="38"/>
        <v>60000195.480719626</v>
      </c>
      <c r="DZ18" s="204">
        <f t="shared" si="38"/>
        <v>60000195.480719626</v>
      </c>
      <c r="EA18" s="204">
        <f t="shared" si="38"/>
        <v>60000195.480719626</v>
      </c>
      <c r="EB18" s="204">
        <f t="shared" si="38"/>
        <v>60000195.480719626</v>
      </c>
      <c r="EC18" s="204">
        <f t="shared" si="38"/>
        <v>60000195.480719626</v>
      </c>
      <c r="ED18" s="204">
        <f t="shared" si="38"/>
        <v>60000195.480719626</v>
      </c>
      <c r="EE18" s="204">
        <f t="shared" si="38"/>
        <v>60000195.480719626</v>
      </c>
      <c r="EF18" s="204">
        <f t="shared" si="38"/>
        <v>60000195.480719626</v>
      </c>
      <c r="EG18" s="204">
        <f t="shared" ref="EG18:GR18" si="39">EF18+EG17</f>
        <v>60000195.480719626</v>
      </c>
      <c r="EH18" s="204">
        <f t="shared" si="39"/>
        <v>60000195.480719626</v>
      </c>
      <c r="EI18" s="204">
        <f t="shared" si="39"/>
        <v>60000195.480719626</v>
      </c>
      <c r="EJ18" s="204">
        <f t="shared" si="39"/>
        <v>60000195.480719626</v>
      </c>
      <c r="EK18" s="204">
        <f t="shared" si="39"/>
        <v>60000195.480719626</v>
      </c>
      <c r="EL18" s="204">
        <f t="shared" si="39"/>
        <v>60000195.480719626</v>
      </c>
      <c r="EM18" s="204">
        <f t="shared" si="39"/>
        <v>60000195.480719626</v>
      </c>
      <c r="EN18" s="204">
        <f t="shared" si="39"/>
        <v>60000195.480719626</v>
      </c>
      <c r="EO18" s="204">
        <f t="shared" si="39"/>
        <v>60000195.480719626</v>
      </c>
      <c r="EP18" s="204">
        <f t="shared" si="39"/>
        <v>60000195.480719626</v>
      </c>
      <c r="EQ18" s="204">
        <f t="shared" si="39"/>
        <v>60000195.480719626</v>
      </c>
      <c r="ER18" s="204">
        <f t="shared" si="39"/>
        <v>60000195.480719626</v>
      </c>
      <c r="ES18" s="204">
        <f t="shared" si="39"/>
        <v>60000195.480719626</v>
      </c>
      <c r="ET18" s="204">
        <f t="shared" si="39"/>
        <v>60000195.480719626</v>
      </c>
      <c r="EU18" s="204">
        <f t="shared" si="39"/>
        <v>60000195.480719626</v>
      </c>
      <c r="EV18" s="204">
        <f t="shared" si="39"/>
        <v>60000195.480719626</v>
      </c>
      <c r="EW18" s="204">
        <f t="shared" si="39"/>
        <v>60000195.480719626</v>
      </c>
      <c r="EX18" s="204">
        <f t="shared" si="39"/>
        <v>60000195.480719626</v>
      </c>
      <c r="EY18" s="204">
        <f t="shared" si="39"/>
        <v>60000195.480719626</v>
      </c>
      <c r="EZ18" s="204">
        <f t="shared" si="39"/>
        <v>60000195.480719626</v>
      </c>
      <c r="FA18" s="204">
        <f t="shared" si="39"/>
        <v>60000195.480719626</v>
      </c>
      <c r="FB18" s="204">
        <f t="shared" si="39"/>
        <v>60000195.480719626</v>
      </c>
      <c r="FC18" s="204">
        <f t="shared" si="39"/>
        <v>60000195.480719626</v>
      </c>
      <c r="FD18" s="204">
        <f t="shared" si="39"/>
        <v>60000195.480719626</v>
      </c>
      <c r="FE18" s="204">
        <f t="shared" si="39"/>
        <v>60000195.480719626</v>
      </c>
      <c r="FF18" s="204">
        <f t="shared" si="39"/>
        <v>60000195.480719626</v>
      </c>
      <c r="FG18" s="204">
        <f t="shared" si="39"/>
        <v>60000195.480719626</v>
      </c>
      <c r="FH18" s="204">
        <f t="shared" si="39"/>
        <v>60000195.480719626</v>
      </c>
      <c r="FI18" s="204">
        <f t="shared" si="39"/>
        <v>60000195.480719626</v>
      </c>
      <c r="FJ18" s="204">
        <f t="shared" si="39"/>
        <v>60000195.480719626</v>
      </c>
      <c r="FK18" s="204">
        <f t="shared" si="39"/>
        <v>60000195.480719626</v>
      </c>
      <c r="FL18" s="204">
        <f t="shared" si="39"/>
        <v>60000195.480719626</v>
      </c>
      <c r="FM18" s="204">
        <f t="shared" si="39"/>
        <v>60000195.480719626</v>
      </c>
      <c r="FN18" s="204">
        <f t="shared" si="39"/>
        <v>60000195.480719626</v>
      </c>
      <c r="FO18" s="204">
        <f t="shared" si="39"/>
        <v>60000195.480719626</v>
      </c>
      <c r="FP18" s="204">
        <f t="shared" si="39"/>
        <v>60000195.480719626</v>
      </c>
      <c r="FQ18" s="204">
        <f t="shared" si="39"/>
        <v>60000195.480719626</v>
      </c>
      <c r="FR18" s="204">
        <f t="shared" si="39"/>
        <v>60000195.480719626</v>
      </c>
      <c r="FS18" s="204">
        <f t="shared" si="39"/>
        <v>60000195.480719626</v>
      </c>
      <c r="FT18" s="204">
        <f t="shared" si="39"/>
        <v>60000195.480719626</v>
      </c>
      <c r="FU18" s="204">
        <f t="shared" si="39"/>
        <v>60000195.480719626</v>
      </c>
      <c r="FV18" s="204">
        <f t="shared" si="39"/>
        <v>60000195.480719626</v>
      </c>
      <c r="FW18" s="204">
        <f t="shared" si="39"/>
        <v>60000195.480719626</v>
      </c>
      <c r="FX18" s="204">
        <f t="shared" si="39"/>
        <v>60000195.480719626</v>
      </c>
      <c r="FY18" s="204">
        <f t="shared" si="39"/>
        <v>60000195.480719626</v>
      </c>
      <c r="FZ18" s="204">
        <f t="shared" si="39"/>
        <v>60000195.480719626</v>
      </c>
      <c r="GA18" s="204">
        <f t="shared" si="39"/>
        <v>60000195.480719626</v>
      </c>
      <c r="GB18" s="204">
        <f t="shared" si="39"/>
        <v>60000195.480719626</v>
      </c>
      <c r="GC18" s="204">
        <f t="shared" si="39"/>
        <v>60000195.480719626</v>
      </c>
      <c r="GD18" s="204">
        <f t="shared" si="39"/>
        <v>60000195.480719626</v>
      </c>
      <c r="GE18" s="204">
        <f t="shared" si="39"/>
        <v>60000195.480719626</v>
      </c>
      <c r="GF18" s="204">
        <f t="shared" si="39"/>
        <v>60000195.480719626</v>
      </c>
      <c r="GG18" s="204">
        <f t="shared" si="39"/>
        <v>60000195.480719626</v>
      </c>
      <c r="GH18" s="204">
        <f t="shared" si="39"/>
        <v>60000195.480719626</v>
      </c>
      <c r="GI18" s="204">
        <f t="shared" si="39"/>
        <v>60000195.480719626</v>
      </c>
      <c r="GJ18" s="204">
        <f t="shared" si="39"/>
        <v>60000195.480719626</v>
      </c>
      <c r="GK18" s="204">
        <f t="shared" si="39"/>
        <v>60000195.480719626</v>
      </c>
      <c r="GL18" s="204">
        <f t="shared" si="39"/>
        <v>60000195.480719626</v>
      </c>
      <c r="GM18" s="204">
        <f t="shared" si="39"/>
        <v>60000195.480719626</v>
      </c>
      <c r="GN18" s="204">
        <f t="shared" si="39"/>
        <v>60000195.480719626</v>
      </c>
      <c r="GO18" s="204">
        <f t="shared" si="39"/>
        <v>60000195.480719626</v>
      </c>
      <c r="GP18" s="204">
        <f t="shared" si="39"/>
        <v>60000195.480719626</v>
      </c>
      <c r="GQ18" s="204">
        <f t="shared" si="39"/>
        <v>60000195.480719626</v>
      </c>
      <c r="GR18" s="204">
        <f t="shared" si="39"/>
        <v>60000195.480719626</v>
      </c>
      <c r="GS18" s="204">
        <f t="shared" ref="GS18:JD18" si="40">GR18+GS17</f>
        <v>60000195.480719626</v>
      </c>
      <c r="GT18" s="204">
        <f t="shared" si="40"/>
        <v>60000195.480719626</v>
      </c>
      <c r="GU18" s="204">
        <f t="shared" si="40"/>
        <v>60000195.480719626</v>
      </c>
      <c r="GV18" s="204">
        <f t="shared" si="40"/>
        <v>60000195.480719626</v>
      </c>
      <c r="GW18" s="204">
        <f t="shared" si="40"/>
        <v>60000195.480719626</v>
      </c>
      <c r="GX18" s="204">
        <f t="shared" si="40"/>
        <v>60000195.480719626</v>
      </c>
      <c r="GY18" s="204">
        <f t="shared" si="40"/>
        <v>60000195.480719626</v>
      </c>
      <c r="GZ18" s="204">
        <f t="shared" si="40"/>
        <v>60000195.480719626</v>
      </c>
      <c r="HA18" s="204">
        <f t="shared" si="40"/>
        <v>60000195.480719626</v>
      </c>
      <c r="HB18" s="204">
        <f t="shared" si="40"/>
        <v>60000195.480719626</v>
      </c>
      <c r="HC18" s="204">
        <f t="shared" si="40"/>
        <v>60000195.480719626</v>
      </c>
      <c r="HD18" s="204">
        <f t="shared" si="40"/>
        <v>60000195.480719626</v>
      </c>
      <c r="HE18" s="204">
        <f t="shared" si="40"/>
        <v>60000195.480719626</v>
      </c>
      <c r="HF18" s="204">
        <f t="shared" si="40"/>
        <v>60000195.480719626</v>
      </c>
      <c r="HG18" s="204">
        <f t="shared" si="40"/>
        <v>60000195.480719626</v>
      </c>
      <c r="HH18" s="204">
        <f t="shared" si="40"/>
        <v>60000195.480719626</v>
      </c>
      <c r="HI18" s="204">
        <f t="shared" si="40"/>
        <v>60000195.480719626</v>
      </c>
      <c r="HJ18" s="204">
        <f t="shared" si="40"/>
        <v>60000195.480719626</v>
      </c>
      <c r="HK18" s="204">
        <f t="shared" si="40"/>
        <v>60000195.480719626</v>
      </c>
      <c r="HL18" s="204">
        <f t="shared" si="40"/>
        <v>60000195.480719626</v>
      </c>
      <c r="HM18" s="204">
        <f t="shared" si="40"/>
        <v>60000195.480719626</v>
      </c>
      <c r="HN18" s="204">
        <f t="shared" si="40"/>
        <v>60000195.480719626</v>
      </c>
      <c r="HO18" s="204">
        <f t="shared" si="40"/>
        <v>60000195.480719626</v>
      </c>
      <c r="HP18" s="204">
        <f t="shared" si="40"/>
        <v>60000195.480719626</v>
      </c>
      <c r="HQ18" s="204">
        <f t="shared" si="40"/>
        <v>60000195.480719626</v>
      </c>
      <c r="HR18" s="204">
        <f t="shared" si="40"/>
        <v>60000195.480719626</v>
      </c>
      <c r="HS18" s="204">
        <f t="shared" si="40"/>
        <v>60000195.480719626</v>
      </c>
      <c r="HT18" s="204">
        <f t="shared" si="40"/>
        <v>60000195.480719626</v>
      </c>
      <c r="HU18" s="204">
        <f t="shared" si="40"/>
        <v>60000195.480719626</v>
      </c>
      <c r="HV18" s="204">
        <f t="shared" si="40"/>
        <v>60000195.480719626</v>
      </c>
      <c r="HW18" s="204">
        <f t="shared" si="40"/>
        <v>60000195.480719626</v>
      </c>
      <c r="HX18" s="204">
        <f t="shared" si="40"/>
        <v>60000195.480719626</v>
      </c>
      <c r="HY18" s="204">
        <f t="shared" si="40"/>
        <v>60000195.480719626</v>
      </c>
      <c r="HZ18" s="204">
        <f t="shared" si="40"/>
        <v>60000195.480719626</v>
      </c>
      <c r="IA18" s="204">
        <f t="shared" si="40"/>
        <v>60000195.480719626</v>
      </c>
      <c r="IB18" s="204">
        <f t="shared" si="40"/>
        <v>60000195.480719626</v>
      </c>
      <c r="IC18" s="204">
        <f t="shared" si="40"/>
        <v>60000195.480719626</v>
      </c>
      <c r="ID18" s="204">
        <f t="shared" si="40"/>
        <v>60000195.480719626</v>
      </c>
      <c r="IE18" s="204">
        <f t="shared" si="40"/>
        <v>60000195.480719626</v>
      </c>
      <c r="IF18" s="204">
        <f t="shared" si="40"/>
        <v>60000195.480719626</v>
      </c>
      <c r="IG18" s="204">
        <f t="shared" si="40"/>
        <v>60000195.480719626</v>
      </c>
      <c r="IH18" s="204">
        <f t="shared" si="40"/>
        <v>60000195.480719626</v>
      </c>
      <c r="II18" s="204">
        <f t="shared" si="40"/>
        <v>60000195.480719626</v>
      </c>
      <c r="IJ18" s="204">
        <f t="shared" si="40"/>
        <v>60000195.480719626</v>
      </c>
      <c r="IK18" s="204">
        <f t="shared" si="40"/>
        <v>60000195.480719626</v>
      </c>
      <c r="IL18" s="204">
        <f t="shared" si="40"/>
        <v>60000195.480719626</v>
      </c>
      <c r="IM18" s="204">
        <f t="shared" si="40"/>
        <v>60000195.480719626</v>
      </c>
      <c r="IN18" s="204">
        <f t="shared" si="40"/>
        <v>60000195.480719626</v>
      </c>
      <c r="IO18" s="204">
        <f t="shared" si="40"/>
        <v>60000195.480719626</v>
      </c>
      <c r="IP18" s="204">
        <f t="shared" si="40"/>
        <v>60000195.480719626</v>
      </c>
      <c r="IQ18" s="204">
        <f t="shared" si="40"/>
        <v>60000195.480719626</v>
      </c>
      <c r="IR18" s="204">
        <f t="shared" si="40"/>
        <v>60000195.480719626</v>
      </c>
      <c r="IS18" s="204">
        <f t="shared" si="40"/>
        <v>60000195.480719626</v>
      </c>
      <c r="IT18" s="204">
        <f t="shared" si="40"/>
        <v>60000195.480719626</v>
      </c>
      <c r="IU18" s="204">
        <f t="shared" si="40"/>
        <v>60000195.480719626</v>
      </c>
      <c r="IV18" s="204">
        <f t="shared" si="40"/>
        <v>60000195.480719626</v>
      </c>
      <c r="IW18" s="204">
        <f t="shared" si="40"/>
        <v>60000195.480719626</v>
      </c>
      <c r="IX18" s="204">
        <f t="shared" si="40"/>
        <v>60000195.480719626</v>
      </c>
      <c r="IY18" s="204">
        <f t="shared" si="40"/>
        <v>60000195.480719626</v>
      </c>
      <c r="IZ18" s="204">
        <f t="shared" si="40"/>
        <v>60000195.480719626</v>
      </c>
      <c r="JA18" s="204">
        <f t="shared" si="40"/>
        <v>60000195.480719626</v>
      </c>
      <c r="JB18" s="204">
        <f t="shared" si="40"/>
        <v>60000195.480719626</v>
      </c>
      <c r="JC18" s="204">
        <f t="shared" si="40"/>
        <v>60000195.480719626</v>
      </c>
      <c r="JD18" s="204">
        <f t="shared" si="40"/>
        <v>60000195.480719626</v>
      </c>
      <c r="JE18" s="204">
        <f t="shared" ref="JE18:LD18" si="41">JD18+JE17</f>
        <v>60000195.480719626</v>
      </c>
      <c r="JF18" s="204">
        <f t="shared" si="41"/>
        <v>60000195.480719626</v>
      </c>
      <c r="JG18" s="204">
        <f t="shared" si="41"/>
        <v>60000195.480719626</v>
      </c>
      <c r="JH18" s="204">
        <f t="shared" si="41"/>
        <v>60000195.480719626</v>
      </c>
      <c r="JI18" s="204">
        <f t="shared" si="41"/>
        <v>60000195.480719626</v>
      </c>
      <c r="JJ18" s="204">
        <f t="shared" si="41"/>
        <v>60000195.480719626</v>
      </c>
      <c r="JK18" s="204">
        <f t="shared" si="41"/>
        <v>60000195.480719626</v>
      </c>
      <c r="JL18" s="204">
        <f t="shared" si="41"/>
        <v>60000195.480719626</v>
      </c>
      <c r="JM18" s="204">
        <f t="shared" si="41"/>
        <v>60000195.480719626</v>
      </c>
      <c r="JN18" s="204">
        <f t="shared" si="41"/>
        <v>60000195.480719626</v>
      </c>
      <c r="JO18" s="204">
        <f t="shared" si="41"/>
        <v>60000195.480719626</v>
      </c>
      <c r="JP18" s="204">
        <f t="shared" si="41"/>
        <v>60000195.480719626</v>
      </c>
      <c r="JQ18" s="204">
        <f t="shared" si="41"/>
        <v>60000195.480719626</v>
      </c>
      <c r="JR18" s="204">
        <f t="shared" si="41"/>
        <v>60000195.480719626</v>
      </c>
      <c r="JS18" s="204">
        <f t="shared" si="41"/>
        <v>60000195.480719626</v>
      </c>
      <c r="JT18" s="204">
        <f t="shared" si="41"/>
        <v>60000195.480719626</v>
      </c>
      <c r="JU18" s="204">
        <f t="shared" si="41"/>
        <v>60000195.480719626</v>
      </c>
      <c r="JV18" s="204">
        <f t="shared" si="41"/>
        <v>60000195.480719626</v>
      </c>
      <c r="JW18" s="204">
        <f t="shared" si="41"/>
        <v>60000195.480719626</v>
      </c>
      <c r="JX18" s="204">
        <f t="shared" si="41"/>
        <v>60000195.480719626</v>
      </c>
      <c r="JY18" s="204">
        <f t="shared" si="41"/>
        <v>60000195.480719626</v>
      </c>
      <c r="JZ18" s="204">
        <f t="shared" si="41"/>
        <v>60000195.480719626</v>
      </c>
      <c r="KA18" s="204">
        <f t="shared" si="41"/>
        <v>60000195.480719626</v>
      </c>
      <c r="KB18" s="204">
        <f t="shared" si="41"/>
        <v>60000195.480719626</v>
      </c>
      <c r="KC18" s="204">
        <f t="shared" si="41"/>
        <v>60000195.480719626</v>
      </c>
      <c r="KD18" s="204">
        <f t="shared" si="41"/>
        <v>60000195.480719626</v>
      </c>
      <c r="KE18" s="204">
        <f t="shared" si="41"/>
        <v>60000195.480719626</v>
      </c>
      <c r="KF18" s="204">
        <f t="shared" si="41"/>
        <v>60000195.480719626</v>
      </c>
      <c r="KG18" s="204">
        <f t="shared" si="41"/>
        <v>60000195.480719626</v>
      </c>
      <c r="KH18" s="204">
        <f t="shared" si="41"/>
        <v>60000195.480719626</v>
      </c>
      <c r="KI18" s="204">
        <f t="shared" si="41"/>
        <v>60000195.480719626</v>
      </c>
      <c r="KJ18" s="204">
        <f t="shared" si="41"/>
        <v>60000195.480719626</v>
      </c>
      <c r="KK18" s="204">
        <f t="shared" si="41"/>
        <v>60000195.480719626</v>
      </c>
      <c r="KL18" s="204">
        <f t="shared" si="41"/>
        <v>60000195.480719626</v>
      </c>
      <c r="KM18" s="204">
        <f t="shared" si="41"/>
        <v>60000195.480719626</v>
      </c>
      <c r="KN18" s="204">
        <f t="shared" si="41"/>
        <v>60000195.480719626</v>
      </c>
      <c r="KO18" s="204">
        <f t="shared" si="41"/>
        <v>60000195.480719626</v>
      </c>
      <c r="KP18" s="204">
        <f t="shared" si="41"/>
        <v>60000195.480719626</v>
      </c>
      <c r="KQ18" s="204">
        <f t="shared" si="41"/>
        <v>60000195.480719626</v>
      </c>
      <c r="KR18" s="204">
        <f t="shared" si="41"/>
        <v>60000195.480719626</v>
      </c>
      <c r="KS18" s="204">
        <f t="shared" si="41"/>
        <v>60000195.480719626</v>
      </c>
      <c r="KT18" s="204">
        <f t="shared" si="41"/>
        <v>60000195.480719626</v>
      </c>
      <c r="KU18" s="204">
        <f t="shared" si="41"/>
        <v>60000195.480719626</v>
      </c>
      <c r="KV18" s="204">
        <f t="shared" si="41"/>
        <v>60000195.480719626</v>
      </c>
      <c r="KW18" s="204">
        <f t="shared" si="41"/>
        <v>60000195.480719626</v>
      </c>
      <c r="KX18" s="204">
        <f t="shared" si="41"/>
        <v>60000195.480719626</v>
      </c>
      <c r="KY18" s="204">
        <f t="shared" si="41"/>
        <v>60000195.480719626</v>
      </c>
      <c r="KZ18" s="204">
        <f t="shared" si="41"/>
        <v>60000195.480719626</v>
      </c>
      <c r="LA18" s="204">
        <f t="shared" si="41"/>
        <v>60000195.480719626</v>
      </c>
      <c r="LB18" s="204">
        <f t="shared" si="41"/>
        <v>60000195.480719626</v>
      </c>
      <c r="LC18" s="204">
        <f t="shared" si="41"/>
        <v>60000195.480719626</v>
      </c>
      <c r="LD18" s="204">
        <f t="shared" si="41"/>
        <v>60000195.480719626</v>
      </c>
    </row>
    <row r="19" spans="1:316" s="181" customFormat="1"/>
  </sheetData>
  <mergeCells count="3">
    <mergeCell ref="A2:A7"/>
    <mergeCell ref="A8:A14"/>
    <mergeCell ref="A17:A18"/>
  </mergeCells>
  <conditionalFormatting sqref="C17">
    <cfRule type="cellIs" dxfId="19" priority="1" operator="greaterThan">
      <formula>0.1</formula>
    </cfRule>
  </conditionalFormatting>
  <conditionalFormatting sqref="D3">
    <cfRule type="cellIs" dxfId="18" priority="10" operator="notEqual">
      <formula>$C$3</formula>
    </cfRule>
  </conditionalFormatting>
  <conditionalFormatting sqref="D5">
    <cfRule type="cellIs" dxfId="17" priority="8" operator="notEqual">
      <formula>$C$5</formula>
    </cfRule>
  </conditionalFormatting>
  <conditionalFormatting sqref="D9">
    <cfRule type="cellIs" dxfId="16" priority="9" operator="notEqual">
      <formula>$C$9</formula>
    </cfRule>
  </conditionalFormatting>
  <conditionalFormatting sqref="D11">
    <cfRule type="cellIs" dxfId="15" priority="7" operator="notEqual">
      <formula>$C$11</formula>
    </cfRule>
  </conditionalFormatting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A5B42-D6A9-4897-95AE-15030F9A7D86}">
  <sheetPr codeName="Sheet9"/>
  <dimension ref="A1:T78"/>
  <sheetViews>
    <sheetView topLeftCell="B1" zoomScale="90" zoomScaleNormal="90" workbookViewId="0">
      <selection activeCell="L21" sqref="L21:N21"/>
    </sheetView>
  </sheetViews>
  <sheetFormatPr defaultColWidth="12.5703125" defaultRowHeight="14.45"/>
  <cols>
    <col min="1" max="1" width="39.42578125" style="354" bestFit="1" customWidth="1"/>
    <col min="2" max="2" width="17.28515625" style="355" bestFit="1" customWidth="1"/>
    <col min="3" max="3" width="10.5703125" style="354" bestFit="1" customWidth="1"/>
    <col min="4" max="4" width="14.85546875" style="354" bestFit="1" customWidth="1"/>
    <col min="5" max="6" width="16" style="354" bestFit="1" customWidth="1"/>
    <col min="7" max="7" width="11" style="354" bestFit="1" customWidth="1"/>
    <col min="8" max="8" width="12" style="354" bestFit="1" customWidth="1"/>
    <col min="9" max="9" width="16" style="354" bestFit="1" customWidth="1"/>
    <col min="10" max="10" width="12" style="354" bestFit="1" customWidth="1"/>
    <col min="11" max="11" width="4.85546875" style="354" bestFit="1" customWidth="1"/>
    <col min="12" max="12" width="13.28515625" style="354" bestFit="1" customWidth="1"/>
    <col min="13" max="13" width="14.85546875" style="354" bestFit="1" customWidth="1"/>
    <col min="14" max="14" width="10.5703125" style="354" bestFit="1" customWidth="1"/>
    <col min="15" max="15" width="16" style="354" bestFit="1" customWidth="1"/>
    <col min="16" max="16" width="16.140625" style="354" bestFit="1" customWidth="1"/>
    <col min="17" max="17" width="13.42578125" style="354" bestFit="1" customWidth="1"/>
    <col min="18" max="18" width="11.42578125" style="354" bestFit="1" customWidth="1"/>
    <col min="19" max="19" width="13.42578125" style="354" bestFit="1" customWidth="1"/>
    <col min="20" max="16384" width="12.5703125" style="354"/>
  </cols>
  <sheetData>
    <row r="1" spans="1:20">
      <c r="A1"/>
      <c r="B1"/>
    </row>
    <row r="2" spans="1:20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</row>
    <row r="3" spans="1:20">
      <c r="A3" s="433" t="s">
        <v>740</v>
      </c>
      <c r="B3" s="433" t="s">
        <v>741</v>
      </c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</row>
    <row r="4" spans="1:20">
      <c r="A4" s="433" t="s">
        <v>742</v>
      </c>
      <c r="B4" t="s">
        <v>743</v>
      </c>
      <c r="C4" s="435">
        <v>45808</v>
      </c>
      <c r="D4" s="435">
        <v>45838</v>
      </c>
      <c r="E4" s="435">
        <v>45869</v>
      </c>
      <c r="F4" s="435">
        <v>45900</v>
      </c>
      <c r="G4" s="435">
        <v>45930</v>
      </c>
      <c r="H4" s="435">
        <v>45961</v>
      </c>
      <c r="I4" s="435">
        <v>45991</v>
      </c>
      <c r="J4" s="435">
        <v>46022</v>
      </c>
      <c r="K4"/>
      <c r="L4" s="435">
        <v>46053</v>
      </c>
      <c r="M4" s="435">
        <v>46081</v>
      </c>
      <c r="N4" s="435">
        <v>46112</v>
      </c>
      <c r="O4" t="s">
        <v>744</v>
      </c>
      <c r="P4"/>
      <c r="Q4"/>
      <c r="R4"/>
      <c r="S4"/>
      <c r="T4"/>
    </row>
    <row r="5" spans="1:20">
      <c r="A5" s="434" t="s">
        <v>743</v>
      </c>
      <c r="B5" s="359"/>
      <c r="C5" s="359"/>
      <c r="D5" s="359"/>
      <c r="E5" s="359"/>
      <c r="F5" s="359"/>
      <c r="G5" s="359"/>
      <c r="H5" s="359"/>
      <c r="I5" s="359"/>
      <c r="J5" s="359"/>
      <c r="K5" s="359"/>
      <c r="L5" s="359"/>
      <c r="M5" s="359"/>
      <c r="N5" s="359"/>
      <c r="O5" s="359"/>
      <c r="P5"/>
      <c r="Q5"/>
      <c r="R5"/>
      <c r="S5"/>
      <c r="T5"/>
    </row>
    <row r="6" spans="1:20">
      <c r="A6" s="434" t="s">
        <v>304</v>
      </c>
      <c r="B6" s="359"/>
      <c r="C6" s="359"/>
      <c r="D6" s="359"/>
      <c r="E6" s="359">
        <v>15101045.605359133</v>
      </c>
      <c r="F6" s="359">
        <v>0</v>
      </c>
      <c r="G6" s="359"/>
      <c r="H6" s="359"/>
      <c r="I6" s="359">
        <v>0</v>
      </c>
      <c r="J6" s="359"/>
      <c r="K6" s="359">
        <v>0</v>
      </c>
      <c r="L6" s="359"/>
      <c r="M6" s="359"/>
      <c r="N6" s="359"/>
      <c r="O6" s="359">
        <v>15101045.605359133</v>
      </c>
      <c r="P6"/>
      <c r="Q6"/>
      <c r="R6"/>
      <c r="S6"/>
      <c r="T6"/>
    </row>
    <row r="7" spans="1:20">
      <c r="A7" s="434" t="s">
        <v>325</v>
      </c>
      <c r="B7" s="359"/>
      <c r="C7" s="359"/>
      <c r="D7" s="359"/>
      <c r="E7" s="359">
        <v>2967553.5203461624</v>
      </c>
      <c r="F7" s="359">
        <v>14917.189999999999</v>
      </c>
      <c r="G7" s="359"/>
      <c r="H7" s="359"/>
      <c r="I7" s="359"/>
      <c r="J7" s="359">
        <v>0</v>
      </c>
      <c r="K7" s="359">
        <v>0</v>
      </c>
      <c r="L7" s="359">
        <v>0</v>
      </c>
      <c r="M7" s="359"/>
      <c r="N7" s="359"/>
      <c r="O7" s="359">
        <v>2982470.7103461623</v>
      </c>
      <c r="P7"/>
      <c r="Q7"/>
      <c r="R7"/>
      <c r="S7"/>
      <c r="T7"/>
    </row>
    <row r="8" spans="1:20">
      <c r="A8" s="434" t="s">
        <v>347</v>
      </c>
      <c r="B8" s="359">
        <v>0</v>
      </c>
      <c r="C8" s="359"/>
      <c r="D8" s="359">
        <v>1970802.8886232045</v>
      </c>
      <c r="E8" s="359"/>
      <c r="F8" s="359">
        <v>5981140.3857861068</v>
      </c>
      <c r="G8" s="359">
        <v>0</v>
      </c>
      <c r="H8" s="359"/>
      <c r="I8" s="359"/>
      <c r="J8" s="359"/>
      <c r="K8" s="359">
        <v>0</v>
      </c>
      <c r="L8" s="359"/>
      <c r="M8" s="359"/>
      <c r="N8" s="359"/>
      <c r="O8" s="359">
        <v>7951943.2744093109</v>
      </c>
      <c r="P8"/>
      <c r="Q8"/>
      <c r="R8"/>
      <c r="S8"/>
      <c r="T8"/>
    </row>
    <row r="9" spans="1:20">
      <c r="A9" s="434" t="s">
        <v>375</v>
      </c>
      <c r="B9" s="359">
        <v>0</v>
      </c>
      <c r="C9" s="359"/>
      <c r="D9" s="359">
        <v>5211505.9702025289</v>
      </c>
      <c r="E9" s="359">
        <v>2229348.0004344918</v>
      </c>
      <c r="F9" s="359">
        <v>1266601.1059804969</v>
      </c>
      <c r="G9" s="359"/>
      <c r="H9" s="359"/>
      <c r="I9" s="359"/>
      <c r="J9" s="359"/>
      <c r="K9" s="359">
        <v>0</v>
      </c>
      <c r="L9" s="359"/>
      <c r="M9" s="359"/>
      <c r="N9" s="359"/>
      <c r="O9" s="359">
        <v>8707455.0766175166</v>
      </c>
      <c r="P9"/>
      <c r="Q9"/>
      <c r="R9"/>
      <c r="S9"/>
      <c r="T9"/>
    </row>
    <row r="10" spans="1:20">
      <c r="A10" s="434" t="s">
        <v>398</v>
      </c>
      <c r="B10" s="359">
        <v>0</v>
      </c>
      <c r="C10" s="359"/>
      <c r="D10" s="359"/>
      <c r="E10" s="359">
        <v>20500.23516551439</v>
      </c>
      <c r="F10" s="359">
        <v>26948.87</v>
      </c>
      <c r="G10" s="359">
        <v>335.81690215918718</v>
      </c>
      <c r="H10" s="359">
        <v>3567.0708764070309</v>
      </c>
      <c r="I10" s="359"/>
      <c r="J10" s="359">
        <v>17237.103282812757</v>
      </c>
      <c r="K10" s="359">
        <v>0</v>
      </c>
      <c r="L10" s="359">
        <v>574.25433163430318</v>
      </c>
      <c r="M10" s="359"/>
      <c r="N10" s="359"/>
      <c r="O10" s="359">
        <v>69163.350558527673</v>
      </c>
      <c r="P10"/>
      <c r="Q10"/>
      <c r="R10"/>
      <c r="S10"/>
      <c r="T10"/>
    </row>
    <row r="11" spans="1:20">
      <c r="A11" s="434" t="s">
        <v>431</v>
      </c>
      <c r="B11" s="359">
        <v>0</v>
      </c>
      <c r="C11" s="359"/>
      <c r="D11" s="359">
        <v>283072.80856824515</v>
      </c>
      <c r="E11" s="359">
        <v>2094714.5936931067</v>
      </c>
      <c r="F11" s="359">
        <v>801209.64625095401</v>
      </c>
      <c r="G11" s="359"/>
      <c r="H11" s="359"/>
      <c r="I11" s="359">
        <v>0</v>
      </c>
      <c r="J11" s="359"/>
      <c r="K11" s="359">
        <v>0</v>
      </c>
      <c r="L11" s="359"/>
      <c r="M11" s="359"/>
      <c r="N11" s="359"/>
      <c r="O11" s="359">
        <v>3178997.0485123056</v>
      </c>
      <c r="P11"/>
      <c r="Q11"/>
      <c r="R11"/>
      <c r="S11"/>
      <c r="T11"/>
    </row>
    <row r="12" spans="1:20">
      <c r="A12" s="434" t="s">
        <v>474</v>
      </c>
      <c r="B12" s="359"/>
      <c r="C12" s="359"/>
      <c r="D12" s="359">
        <v>322824.34516148886</v>
      </c>
      <c r="E12" s="359">
        <v>1106461.3785903002</v>
      </c>
      <c r="F12" s="359">
        <v>698976.59657529683</v>
      </c>
      <c r="G12" s="359"/>
      <c r="H12" s="359">
        <v>1352.2371916952748</v>
      </c>
      <c r="I12" s="359"/>
      <c r="J12" s="359"/>
      <c r="K12" s="359">
        <v>0</v>
      </c>
      <c r="L12" s="359"/>
      <c r="M12" s="359">
        <v>47805.186137722783</v>
      </c>
      <c r="N12" s="359"/>
      <c r="O12" s="359">
        <v>2177419.743656504</v>
      </c>
      <c r="P12" s="359"/>
      <c r="Q12"/>
      <c r="R12"/>
      <c r="S12"/>
      <c r="T12"/>
    </row>
    <row r="13" spans="1:20">
      <c r="A13" s="434" t="s">
        <v>510</v>
      </c>
      <c r="B13" s="359">
        <v>0</v>
      </c>
      <c r="C13" s="359"/>
      <c r="D13" s="359">
        <v>795716.75648462563</v>
      </c>
      <c r="E13" s="359">
        <v>1384002.1482482452</v>
      </c>
      <c r="F13" s="359">
        <v>2288695.6949871862</v>
      </c>
      <c r="G13" s="359"/>
      <c r="H13" s="359"/>
      <c r="I13" s="359"/>
      <c r="J13" s="359"/>
      <c r="K13" s="359">
        <v>0</v>
      </c>
      <c r="L13" s="359">
        <v>661480.97074271168</v>
      </c>
      <c r="M13" s="359"/>
      <c r="N13" s="359"/>
      <c r="O13" s="359">
        <v>5129895.5704627689</v>
      </c>
      <c r="P13"/>
      <c r="Q13"/>
      <c r="R13"/>
      <c r="S13"/>
      <c r="T13"/>
    </row>
    <row r="14" spans="1:20">
      <c r="A14" s="434" t="s">
        <v>537</v>
      </c>
      <c r="B14" s="359">
        <v>0</v>
      </c>
      <c r="C14" s="359"/>
      <c r="D14" s="359">
        <v>219100.51844555454</v>
      </c>
      <c r="E14" s="359">
        <v>182063.64668089949</v>
      </c>
      <c r="F14" s="359">
        <v>48905.674164962671</v>
      </c>
      <c r="G14" s="359">
        <v>1258.8741122956246</v>
      </c>
      <c r="H14" s="359">
        <v>4983.0803574711108</v>
      </c>
      <c r="I14" s="359">
        <v>5872.3514336117778</v>
      </c>
      <c r="J14" s="359">
        <v>1703.1875476522168</v>
      </c>
      <c r="K14" s="359">
        <v>0</v>
      </c>
      <c r="L14" s="359">
        <v>0</v>
      </c>
      <c r="M14" s="359"/>
      <c r="N14" s="359"/>
      <c r="O14" s="359">
        <v>463887.33274244744</v>
      </c>
      <c r="P14"/>
      <c r="Q14"/>
      <c r="R14"/>
      <c r="S14"/>
      <c r="T14"/>
    </row>
    <row r="15" spans="1:20">
      <c r="A15" s="434" t="s">
        <v>608</v>
      </c>
      <c r="B15" s="359">
        <v>0</v>
      </c>
      <c r="C15" s="359"/>
      <c r="D15" s="359">
        <v>12174.422007609013</v>
      </c>
      <c r="E15" s="359">
        <v>184585.6619127203</v>
      </c>
      <c r="F15" s="359"/>
      <c r="G15" s="359"/>
      <c r="H15" s="359">
        <v>58776.043794679215</v>
      </c>
      <c r="I15" s="359">
        <v>21812.49766334868</v>
      </c>
      <c r="J15" s="359"/>
      <c r="K15" s="359"/>
      <c r="L15" s="359"/>
      <c r="M15" s="359">
        <v>216769.02337954516</v>
      </c>
      <c r="N15" s="359"/>
      <c r="O15" s="359">
        <v>494117.64875790244</v>
      </c>
      <c r="P15"/>
      <c r="Q15"/>
      <c r="R15"/>
      <c r="S15"/>
      <c r="T15"/>
    </row>
    <row r="16" spans="1:20">
      <c r="A16" s="434" t="s">
        <v>630</v>
      </c>
      <c r="B16" s="359"/>
      <c r="C16" s="359"/>
      <c r="D16" s="359"/>
      <c r="E16" s="359"/>
      <c r="F16" s="359">
        <v>12657.57114292171</v>
      </c>
      <c r="G16" s="359">
        <v>3164.3927857304275</v>
      </c>
      <c r="H16" s="359">
        <v>3108.9043414431007</v>
      </c>
      <c r="I16" s="359">
        <v>3155.1443414431005</v>
      </c>
      <c r="J16" s="359">
        <v>3118.0250777042997</v>
      </c>
      <c r="K16" s="359">
        <v>0</v>
      </c>
      <c r="L16" s="359">
        <v>12700.506889319731</v>
      </c>
      <c r="M16" s="359">
        <v>1041836.3870345005</v>
      </c>
      <c r="N16" s="359"/>
      <c r="O16" s="359">
        <v>1079740.931613063</v>
      </c>
      <c r="P16"/>
      <c r="Q16"/>
      <c r="R16"/>
      <c r="S16"/>
      <c r="T16"/>
    </row>
    <row r="17" spans="1:20">
      <c r="A17" s="434" t="s">
        <v>648</v>
      </c>
      <c r="B17" s="359"/>
      <c r="C17" s="359">
        <v>0</v>
      </c>
      <c r="D17" s="359">
        <v>0</v>
      </c>
      <c r="E17" s="359">
        <v>0</v>
      </c>
      <c r="F17" s="359">
        <v>0</v>
      </c>
      <c r="G17" s="359">
        <v>0</v>
      </c>
      <c r="H17" s="359">
        <v>0</v>
      </c>
      <c r="I17" s="359">
        <v>0</v>
      </c>
      <c r="J17" s="359">
        <v>0</v>
      </c>
      <c r="K17" s="359">
        <v>0</v>
      </c>
      <c r="L17" s="359">
        <v>0</v>
      </c>
      <c r="M17" s="359">
        <v>0</v>
      </c>
      <c r="N17" s="359"/>
      <c r="O17" s="359">
        <v>0</v>
      </c>
      <c r="P17"/>
      <c r="Q17"/>
      <c r="R17"/>
      <c r="S17"/>
      <c r="T17"/>
    </row>
    <row r="18" spans="1:20">
      <c r="A18" s="434" t="s">
        <v>652</v>
      </c>
      <c r="B18" s="359"/>
      <c r="C18" s="359"/>
      <c r="D18" s="359"/>
      <c r="E18" s="359"/>
      <c r="F18" s="359"/>
      <c r="G18" s="359"/>
      <c r="H18" s="359"/>
      <c r="I18" s="359"/>
      <c r="J18" s="359"/>
      <c r="K18" s="359"/>
      <c r="L18" s="359"/>
      <c r="M18" s="359"/>
      <c r="N18" s="359"/>
      <c r="O18" s="359"/>
      <c r="P18"/>
      <c r="Q18"/>
      <c r="R18"/>
      <c r="S18"/>
      <c r="T18"/>
    </row>
    <row r="19" spans="1:20">
      <c r="A19" s="434" t="s">
        <v>626</v>
      </c>
      <c r="B19" s="359"/>
      <c r="C19" s="359"/>
      <c r="D19" s="359"/>
      <c r="E19" s="359"/>
      <c r="F19" s="359"/>
      <c r="G19" s="359"/>
      <c r="H19" s="359"/>
      <c r="I19" s="359"/>
      <c r="J19" s="359"/>
      <c r="K19" s="359"/>
      <c r="L19" s="359"/>
      <c r="M19" s="359"/>
      <c r="N19" s="359"/>
      <c r="O19" s="359"/>
      <c r="P19"/>
      <c r="Q19"/>
      <c r="R19"/>
      <c r="S19"/>
      <c r="T19"/>
    </row>
    <row r="20" spans="1:20">
      <c r="A20" s="434" t="s">
        <v>450</v>
      </c>
      <c r="B20" s="359">
        <v>0</v>
      </c>
      <c r="C20" s="359"/>
      <c r="D20" s="359"/>
      <c r="E20" s="359"/>
      <c r="F20" s="359">
        <v>1043498.115542314</v>
      </c>
      <c r="G20" s="359"/>
      <c r="H20" s="359"/>
      <c r="I20" s="359">
        <v>11620565.682141686</v>
      </c>
      <c r="J20" s="359"/>
      <c r="K20" s="359">
        <v>0</v>
      </c>
      <c r="L20" s="359"/>
      <c r="M20" s="359"/>
      <c r="N20" s="359"/>
      <c r="O20" s="359">
        <v>12664063.797683999</v>
      </c>
      <c r="P20"/>
      <c r="Q20"/>
      <c r="R20"/>
      <c r="S20"/>
      <c r="T20"/>
    </row>
    <row r="21" spans="1:20">
      <c r="A21" s="434" t="s">
        <v>744</v>
      </c>
      <c r="B21" s="359">
        <v>0</v>
      </c>
      <c r="C21" s="359">
        <v>0</v>
      </c>
      <c r="D21" s="359">
        <v>8815197.7094932571</v>
      </c>
      <c r="E21" s="359">
        <v>25270274.790430572</v>
      </c>
      <c r="F21" s="359">
        <v>12183550.850430239</v>
      </c>
      <c r="G21" s="359">
        <v>4759.0838001852389</v>
      </c>
      <c r="H21" s="359">
        <v>71787.336561695745</v>
      </c>
      <c r="I21" s="359">
        <v>11651405.67558009</v>
      </c>
      <c r="J21" s="359">
        <v>22058.315908169276</v>
      </c>
      <c r="K21" s="359">
        <v>0</v>
      </c>
      <c r="L21" s="359">
        <v>674755.73196366569</v>
      </c>
      <c r="M21" s="359">
        <v>1306410.5965517685</v>
      </c>
      <c r="N21" s="359"/>
      <c r="O21" s="359">
        <v>60000200.09071964</v>
      </c>
      <c r="P21"/>
      <c r="Q21"/>
      <c r="R21"/>
      <c r="S21"/>
      <c r="T21"/>
    </row>
    <row r="22" spans="1:20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</row>
    <row r="23" spans="1:20">
      <c r="A23"/>
      <c r="B23"/>
      <c r="C23"/>
      <c r="D23">
        <v>8815197.7100000009</v>
      </c>
      <c r="E23">
        <v>25270274.789999999</v>
      </c>
      <c r="F23">
        <v>12183550.85</v>
      </c>
      <c r="G23"/>
      <c r="H23"/>
      <c r="I23"/>
      <c r="J23"/>
      <c r="K23"/>
      <c r="L23"/>
      <c r="M23"/>
      <c r="N23"/>
      <c r="O23"/>
      <c r="P23"/>
      <c r="Q23"/>
      <c r="R23"/>
      <c r="S23"/>
      <c r="T23"/>
    </row>
    <row r="24" spans="1:20" ht="39.75" customHeight="1">
      <c r="A24"/>
      <c r="B24"/>
      <c r="C24"/>
      <c r="D24" s="396">
        <f>GETPIVOTDATA("REVENUE RECOGNITION AMOUNT",$A$3,"INVOICE RAISED DATE",DATE(2025,6,30))-D23</f>
        <v>-5.0674378871917725E-4</v>
      </c>
      <c r="E24" s="396">
        <f>GETPIVOTDATA("REVENUE RECOGNITION AMOUNT",$A$3,"INVOICE RAISED DATE",DATE(2025,7,31))-E23</f>
        <v>4.3057277798652649E-4</v>
      </c>
      <c r="F24" s="396">
        <f>GETPIVOTDATA("REVENUE RECOGNITION AMOUNT",$A$3,"INVOICE RAISED DATE",DATE(2025,8,31))-F23</f>
        <v>4.3023936450481415E-4</v>
      </c>
      <c r="G24"/>
      <c r="H24"/>
      <c r="I24"/>
      <c r="J24"/>
      <c r="K24"/>
      <c r="L24"/>
      <c r="M24"/>
      <c r="N24"/>
      <c r="O24"/>
      <c r="P24"/>
      <c r="Q24"/>
      <c r="R24"/>
      <c r="S24"/>
      <c r="T24"/>
    </row>
    <row r="25" spans="1:20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</row>
    <row r="26" spans="1:20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</row>
    <row r="27" spans="1:20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</row>
    <row r="28" spans="1:20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</row>
    <row r="29" spans="1:20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</row>
    <row r="30" spans="1:20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</row>
    <row r="31" spans="1:20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</row>
    <row r="32" spans="1:20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</row>
    <row r="33" spans="1:20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</row>
    <row r="34" spans="1:20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</row>
    <row r="35" spans="1:20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</row>
    <row r="36" spans="1:20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</row>
    <row r="37" spans="1:20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</row>
    <row r="38" spans="1:20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</row>
    <row r="39" spans="1:20" ht="27" customHeight="1">
      <c r="A39"/>
      <c r="B39"/>
      <c r="C39"/>
      <c r="D39"/>
      <c r="E39"/>
      <c r="F39"/>
      <c r="G39"/>
      <c r="H39"/>
    </row>
    <row r="40" spans="1:20">
      <c r="A40"/>
      <c r="B40"/>
      <c r="C40"/>
      <c r="D40"/>
      <c r="E40"/>
      <c r="F40"/>
      <c r="G40"/>
      <c r="H40"/>
    </row>
    <row r="41" spans="1:20">
      <c r="A41"/>
      <c r="B41"/>
      <c r="C41"/>
      <c r="D41"/>
      <c r="E41"/>
      <c r="F41"/>
      <c r="G41"/>
      <c r="H41"/>
    </row>
    <row r="42" spans="1:20">
      <c r="A42"/>
      <c r="B42"/>
      <c r="C42"/>
      <c r="D42"/>
      <c r="E42"/>
      <c r="F42"/>
      <c r="G42"/>
      <c r="H42"/>
    </row>
    <row r="43" spans="1:20">
      <c r="A43"/>
      <c r="B43"/>
      <c r="C43"/>
      <c r="D43"/>
      <c r="E43"/>
      <c r="F43"/>
      <c r="G43"/>
      <c r="H43"/>
    </row>
    <row r="44" spans="1:20">
      <c r="A44"/>
      <c r="B44"/>
      <c r="C44"/>
      <c r="D44"/>
      <c r="E44"/>
      <c r="F44"/>
      <c r="G44"/>
      <c r="H44"/>
    </row>
    <row r="45" spans="1:20">
      <c r="A45"/>
      <c r="B45"/>
      <c r="C45"/>
      <c r="D45"/>
      <c r="E45"/>
      <c r="F45"/>
      <c r="G45"/>
      <c r="H45"/>
    </row>
    <row r="46" spans="1:20">
      <c r="A46"/>
      <c r="B46"/>
      <c r="C46"/>
      <c r="D46"/>
      <c r="E46"/>
      <c r="F46"/>
      <c r="G46"/>
      <c r="H46"/>
    </row>
    <row r="47" spans="1:20">
      <c r="A47"/>
      <c r="B47"/>
      <c r="C47"/>
      <c r="D47"/>
      <c r="E47"/>
      <c r="F47"/>
      <c r="G47"/>
      <c r="H47"/>
    </row>
    <row r="48" spans="1:20">
      <c r="A48"/>
      <c r="B48"/>
      <c r="C48"/>
      <c r="D48"/>
      <c r="E48"/>
      <c r="F48"/>
      <c r="G48"/>
      <c r="H48"/>
    </row>
    <row r="49" spans="1:8">
      <c r="A49"/>
      <c r="B49"/>
      <c r="C49"/>
      <c r="D49"/>
      <c r="E49"/>
      <c r="F49"/>
      <c r="G49"/>
      <c r="H49"/>
    </row>
    <row r="50" spans="1:8">
      <c r="A50"/>
      <c r="B50"/>
      <c r="C50"/>
      <c r="D50"/>
      <c r="E50"/>
      <c r="F50"/>
      <c r="G50"/>
      <c r="H50"/>
    </row>
    <row r="51" spans="1:8">
      <c r="A51"/>
      <c r="B51"/>
      <c r="C51"/>
      <c r="D51"/>
      <c r="E51"/>
      <c r="F51"/>
      <c r="G51"/>
      <c r="H51"/>
    </row>
    <row r="52" spans="1:8">
      <c r="A52"/>
      <c r="B52"/>
      <c r="C52"/>
      <c r="D52"/>
      <c r="E52"/>
      <c r="F52"/>
      <c r="G52"/>
      <c r="H52"/>
    </row>
    <row r="53" spans="1:8">
      <c r="A53"/>
      <c r="B53"/>
      <c r="C53"/>
      <c r="D53"/>
      <c r="E53"/>
      <c r="F53"/>
      <c r="G53"/>
      <c r="H53"/>
    </row>
    <row r="54" spans="1:8">
      <c r="A54"/>
      <c r="B54"/>
      <c r="C54"/>
      <c r="D54"/>
      <c r="E54"/>
      <c r="F54"/>
      <c r="G54"/>
      <c r="H54"/>
    </row>
    <row r="55" spans="1:8">
      <c r="A55"/>
      <c r="B55"/>
      <c r="C55"/>
      <c r="D55"/>
      <c r="E55"/>
      <c r="F55"/>
      <c r="G55"/>
      <c r="H55"/>
    </row>
    <row r="56" spans="1:8">
      <c r="A56"/>
      <c r="B56"/>
      <c r="C56"/>
      <c r="D56"/>
      <c r="E56"/>
      <c r="F56"/>
      <c r="G56"/>
      <c r="H56"/>
    </row>
    <row r="57" spans="1:8">
      <c r="A57"/>
      <c r="B57"/>
      <c r="C57"/>
      <c r="D57"/>
      <c r="E57"/>
      <c r="F57"/>
      <c r="G57"/>
      <c r="H57"/>
    </row>
    <row r="58" spans="1:8">
      <c r="A58"/>
      <c r="B58"/>
      <c r="C58"/>
      <c r="D58"/>
      <c r="E58"/>
      <c r="F58"/>
      <c r="G58"/>
      <c r="H58"/>
    </row>
    <row r="59" spans="1:8">
      <c r="A59"/>
      <c r="B59"/>
      <c r="C59"/>
      <c r="D59"/>
      <c r="E59"/>
      <c r="F59"/>
      <c r="G59"/>
      <c r="H59"/>
    </row>
    <row r="60" spans="1:8">
      <c r="A60"/>
      <c r="B60"/>
      <c r="C60"/>
      <c r="D60"/>
      <c r="E60"/>
      <c r="F60"/>
      <c r="G60"/>
      <c r="H60"/>
    </row>
    <row r="61" spans="1:8">
      <c r="A61"/>
      <c r="B61"/>
      <c r="C61"/>
      <c r="D61"/>
      <c r="E61"/>
      <c r="F61"/>
      <c r="G61"/>
      <c r="H61"/>
    </row>
    <row r="62" spans="1:8">
      <c r="A62"/>
      <c r="B62"/>
      <c r="C62"/>
      <c r="D62"/>
      <c r="E62"/>
      <c r="F62"/>
      <c r="G62"/>
      <c r="H62"/>
    </row>
    <row r="63" spans="1:8">
      <c r="A63"/>
      <c r="B63"/>
      <c r="C63"/>
      <c r="D63"/>
      <c r="E63"/>
      <c r="F63"/>
      <c r="G63"/>
      <c r="H63"/>
    </row>
    <row r="64" spans="1:8">
      <c r="A64"/>
      <c r="B64"/>
      <c r="C64"/>
      <c r="D64"/>
      <c r="E64"/>
      <c r="F64"/>
      <c r="G64"/>
      <c r="H64"/>
    </row>
    <row r="65" spans="1:8">
      <c r="A65"/>
      <c r="B65"/>
      <c r="C65"/>
      <c r="D65"/>
      <c r="E65"/>
      <c r="F65"/>
      <c r="G65"/>
      <c r="H65"/>
    </row>
    <row r="66" spans="1:8">
      <c r="A66"/>
      <c r="B66"/>
      <c r="C66"/>
      <c r="D66"/>
      <c r="E66"/>
      <c r="F66"/>
      <c r="G66"/>
      <c r="H66"/>
    </row>
    <row r="67" spans="1:8">
      <c r="A67"/>
      <c r="B67"/>
      <c r="C67"/>
      <c r="D67"/>
      <c r="E67"/>
      <c r="F67"/>
      <c r="G67"/>
      <c r="H67"/>
    </row>
    <row r="68" spans="1:8">
      <c r="A68"/>
      <c r="B68"/>
      <c r="C68"/>
      <c r="D68"/>
      <c r="E68"/>
      <c r="F68"/>
      <c r="G68"/>
      <c r="H68"/>
    </row>
    <row r="69" spans="1:8">
      <c r="A69"/>
      <c r="B69"/>
      <c r="C69"/>
      <c r="D69"/>
      <c r="E69"/>
      <c r="F69"/>
      <c r="G69"/>
      <c r="H69"/>
    </row>
    <row r="70" spans="1:8">
      <c r="A70"/>
      <c r="B70"/>
      <c r="C70"/>
      <c r="D70"/>
      <c r="E70"/>
      <c r="F70"/>
      <c r="G70"/>
      <c r="H70"/>
    </row>
    <row r="71" spans="1:8">
      <c r="A71"/>
      <c r="B71"/>
      <c r="C71"/>
      <c r="D71"/>
      <c r="E71"/>
      <c r="F71"/>
      <c r="G71"/>
      <c r="H71"/>
    </row>
    <row r="72" spans="1:8">
      <c r="A72"/>
      <c r="B72"/>
      <c r="C72"/>
      <c r="D72"/>
      <c r="E72"/>
      <c r="F72"/>
      <c r="G72"/>
      <c r="H72"/>
    </row>
    <row r="73" spans="1:8">
      <c r="A73"/>
      <c r="B73"/>
      <c r="C73"/>
      <c r="D73"/>
      <c r="E73"/>
      <c r="F73"/>
      <c r="G73"/>
      <c r="H73"/>
    </row>
    <row r="74" spans="1:8">
      <c r="A74"/>
      <c r="B74"/>
      <c r="C74"/>
      <c r="D74"/>
      <c r="E74"/>
      <c r="F74"/>
      <c r="G74"/>
      <c r="H74"/>
    </row>
    <row r="75" spans="1:8">
      <c r="A75"/>
      <c r="B75"/>
      <c r="C75"/>
      <c r="D75"/>
      <c r="E75"/>
      <c r="F75"/>
      <c r="G75"/>
      <c r="H75"/>
    </row>
    <row r="76" spans="1:8">
      <c r="A76"/>
      <c r="B76"/>
      <c r="C76"/>
      <c r="D76"/>
      <c r="E76"/>
      <c r="F76"/>
      <c r="G76"/>
      <c r="H76"/>
    </row>
    <row r="77" spans="1:8">
      <c r="A77"/>
      <c r="B77"/>
      <c r="C77"/>
      <c r="D77"/>
      <c r="E77"/>
      <c r="F77"/>
      <c r="G77"/>
      <c r="H77"/>
    </row>
    <row r="78" spans="1:8">
      <c r="A78"/>
      <c r="B78"/>
      <c r="C78"/>
      <c r="D78"/>
      <c r="E78"/>
      <c r="F78"/>
      <c r="G78"/>
      <c r="H78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97A91-6500-4A7A-AAE9-3BB3B95D5C7F}">
  <sheetPr codeName="Sheet10"/>
  <dimension ref="A3:P25"/>
  <sheetViews>
    <sheetView zoomScale="90" zoomScaleNormal="90" workbookViewId="0">
      <selection activeCell="L21" sqref="L21"/>
    </sheetView>
  </sheetViews>
  <sheetFormatPr defaultColWidth="8.42578125" defaultRowHeight="14.45"/>
  <cols>
    <col min="1" max="1" width="21.7109375" bestFit="1" customWidth="1"/>
    <col min="2" max="2" width="17.28515625" style="396" bestFit="1" customWidth="1"/>
    <col min="3" max="3" width="10.85546875" style="396" bestFit="1" customWidth="1"/>
    <col min="4" max="4" width="14.85546875" style="396" bestFit="1" customWidth="1"/>
    <col min="5" max="5" width="16" style="396" bestFit="1" customWidth="1"/>
    <col min="6" max="6" width="14.85546875" style="396" bestFit="1" customWidth="1"/>
    <col min="7" max="7" width="12.140625" style="396" bestFit="1" customWidth="1"/>
    <col min="8" max="8" width="13.28515625" style="396" bestFit="1" customWidth="1"/>
    <col min="9" max="9" width="14.85546875" style="396" bestFit="1" customWidth="1"/>
    <col min="10" max="10" width="13.28515625" bestFit="1" customWidth="1"/>
    <col min="11" max="11" width="4.85546875" bestFit="1" customWidth="1"/>
    <col min="12" max="13" width="14.85546875" bestFit="1" customWidth="1"/>
    <col min="14" max="14" width="13" bestFit="1" customWidth="1"/>
    <col min="15" max="15" width="16" bestFit="1" customWidth="1"/>
    <col min="16" max="16" width="10.140625" bestFit="1" customWidth="1"/>
    <col min="17" max="18" width="11.42578125" bestFit="1" customWidth="1"/>
    <col min="19" max="19" width="13.42578125" bestFit="1" customWidth="1"/>
  </cols>
  <sheetData>
    <row r="3" spans="1:16">
      <c r="A3" s="433" t="s">
        <v>745</v>
      </c>
      <c r="B3" s="433" t="s">
        <v>741</v>
      </c>
      <c r="C3"/>
      <c r="D3"/>
      <c r="E3"/>
      <c r="F3"/>
      <c r="G3"/>
      <c r="H3"/>
      <c r="I3"/>
    </row>
    <row r="4" spans="1:16">
      <c r="A4" s="433" t="s">
        <v>742</v>
      </c>
      <c r="B4" t="s">
        <v>743</v>
      </c>
      <c r="C4" s="435">
        <v>45808</v>
      </c>
      <c r="D4" s="435">
        <v>45838</v>
      </c>
      <c r="E4" s="435">
        <v>45869</v>
      </c>
      <c r="F4" s="435">
        <v>45900</v>
      </c>
      <c r="G4" s="435">
        <v>45930</v>
      </c>
      <c r="H4" s="435">
        <v>45961</v>
      </c>
      <c r="I4" s="435">
        <v>45991</v>
      </c>
      <c r="J4" s="435">
        <v>46022</v>
      </c>
      <c r="L4" s="435">
        <v>46053</v>
      </c>
      <c r="M4" s="435">
        <v>46081</v>
      </c>
      <c r="N4" s="435">
        <v>46112</v>
      </c>
      <c r="O4" t="s">
        <v>744</v>
      </c>
    </row>
    <row r="5" spans="1:16">
      <c r="A5" s="434" t="s">
        <v>743</v>
      </c>
      <c r="B5" s="436"/>
      <c r="C5" s="436"/>
      <c r="D5" s="436"/>
      <c r="E5" s="436"/>
      <c r="F5" s="436"/>
      <c r="G5" s="436"/>
      <c r="H5" s="436"/>
      <c r="I5" s="436"/>
      <c r="J5" s="436"/>
      <c r="K5" s="436"/>
      <c r="L5" s="436"/>
      <c r="M5" s="436"/>
      <c r="N5" s="436"/>
      <c r="O5" s="436"/>
    </row>
    <row r="6" spans="1:16">
      <c r="A6" s="434" t="s">
        <v>304</v>
      </c>
      <c r="B6" s="436"/>
      <c r="C6" s="436"/>
      <c r="D6" s="436"/>
      <c r="E6" s="436">
        <v>13735976</v>
      </c>
      <c r="F6" s="436">
        <v>43292.88</v>
      </c>
      <c r="G6" s="436"/>
      <c r="H6" s="436"/>
      <c r="I6" s="436">
        <v>-43292.88</v>
      </c>
      <c r="J6" s="436"/>
      <c r="K6" s="436"/>
      <c r="L6" s="436"/>
      <c r="M6" s="436"/>
      <c r="N6" s="436"/>
      <c r="O6" s="436">
        <v>13735976</v>
      </c>
    </row>
    <row r="7" spans="1:16">
      <c r="A7" s="434" t="s">
        <v>325</v>
      </c>
      <c r="B7" s="436"/>
      <c r="C7" s="436"/>
      <c r="D7" s="436"/>
      <c r="E7" s="436">
        <v>2495176.22371</v>
      </c>
      <c r="F7" s="436"/>
      <c r="G7" s="436"/>
      <c r="H7" s="436"/>
      <c r="I7" s="436"/>
      <c r="J7" s="436">
        <v>899.72</v>
      </c>
      <c r="K7" s="436"/>
      <c r="L7" s="436">
        <v>-899.72</v>
      </c>
      <c r="M7" s="436"/>
      <c r="N7" s="436"/>
      <c r="O7" s="436">
        <v>2495176.22371</v>
      </c>
    </row>
    <row r="8" spans="1:16">
      <c r="A8" s="434" t="s">
        <v>347</v>
      </c>
      <c r="B8" s="436"/>
      <c r="C8" s="436"/>
      <c r="D8" s="436">
        <v>1027304.26</v>
      </c>
      <c r="E8" s="436"/>
      <c r="F8" s="436">
        <v>3117740</v>
      </c>
      <c r="G8" s="436">
        <v>-74000</v>
      </c>
      <c r="H8" s="436"/>
      <c r="I8" s="436"/>
      <c r="J8" s="436"/>
      <c r="K8" s="436"/>
      <c r="L8" s="436"/>
      <c r="M8" s="436"/>
      <c r="N8" s="436"/>
      <c r="O8" s="436">
        <v>4071044.26</v>
      </c>
    </row>
    <row r="9" spans="1:16">
      <c r="A9" s="434" t="s">
        <v>375</v>
      </c>
      <c r="B9" s="436">
        <v>0</v>
      </c>
      <c r="C9" s="436"/>
      <c r="D9" s="436">
        <v>2661000</v>
      </c>
      <c r="E9" s="436">
        <v>611187</v>
      </c>
      <c r="F9" s="436">
        <v>57000</v>
      </c>
      <c r="G9" s="436"/>
      <c r="H9" s="436"/>
      <c r="I9" s="436"/>
      <c r="J9" s="436"/>
      <c r="K9" s="436"/>
      <c r="L9" s="436"/>
      <c r="M9" s="436"/>
      <c r="N9" s="436"/>
      <c r="O9" s="436">
        <v>3329187</v>
      </c>
    </row>
    <row r="10" spans="1:16">
      <c r="A10" s="434" t="s">
        <v>398</v>
      </c>
      <c r="B10" s="436"/>
      <c r="C10" s="436"/>
      <c r="D10" s="436"/>
      <c r="E10" s="436">
        <v>130940.32</v>
      </c>
      <c r="F10" s="436">
        <v>11169</v>
      </c>
      <c r="G10" s="436">
        <v>1060</v>
      </c>
      <c r="H10" s="436">
        <v>11477.98</v>
      </c>
      <c r="I10" s="436"/>
      <c r="J10" s="436">
        <v>83760</v>
      </c>
      <c r="K10" s="436"/>
      <c r="L10" s="436">
        <v>3170</v>
      </c>
      <c r="M10" s="436"/>
      <c r="N10" s="436"/>
      <c r="O10" s="436">
        <v>241577.30000000002</v>
      </c>
    </row>
    <row r="11" spans="1:16">
      <c r="A11" s="434" t="s">
        <v>431</v>
      </c>
      <c r="B11" s="436"/>
      <c r="C11" s="436"/>
      <c r="D11" s="436">
        <v>285000</v>
      </c>
      <c r="E11" s="436">
        <v>1896843</v>
      </c>
      <c r="F11" s="436">
        <v>57000</v>
      </c>
      <c r="G11" s="436"/>
      <c r="H11" s="436"/>
      <c r="I11" s="436">
        <v>51044</v>
      </c>
      <c r="J11" s="436">
        <v>111600</v>
      </c>
      <c r="K11" s="436"/>
      <c r="L11" s="436"/>
      <c r="M11" s="436"/>
      <c r="N11" s="436"/>
      <c r="O11" s="436">
        <v>2401487</v>
      </c>
    </row>
    <row r="12" spans="1:16">
      <c r="A12" s="434" t="s">
        <v>474</v>
      </c>
      <c r="B12" s="436"/>
      <c r="C12" s="436"/>
      <c r="D12" s="436">
        <v>274155.94</v>
      </c>
      <c r="E12" s="436">
        <v>1142236</v>
      </c>
      <c r="F12" s="436">
        <v>748350</v>
      </c>
      <c r="G12" s="436"/>
      <c r="H12" s="436">
        <v>1376.27</v>
      </c>
      <c r="I12" s="436"/>
      <c r="J12" s="436"/>
      <c r="K12" s="436"/>
      <c r="L12" s="436"/>
      <c r="M12" s="436">
        <v>50000</v>
      </c>
      <c r="N12" s="436"/>
      <c r="O12" s="436">
        <v>2216118.21</v>
      </c>
      <c r="P12" s="436"/>
    </row>
    <row r="13" spans="1:16">
      <c r="A13" s="434" t="s">
        <v>510</v>
      </c>
      <c r="B13" s="436"/>
      <c r="C13" s="436"/>
      <c r="D13" s="436">
        <v>1023750</v>
      </c>
      <c r="E13" s="436">
        <v>2272840</v>
      </c>
      <c r="F13" s="436">
        <v>3720340</v>
      </c>
      <c r="G13" s="436"/>
      <c r="H13" s="436"/>
      <c r="I13" s="436"/>
      <c r="J13" s="436"/>
      <c r="K13" s="436"/>
      <c r="L13" s="436">
        <v>1038750</v>
      </c>
      <c r="M13" s="436"/>
      <c r="N13" s="436"/>
      <c r="O13" s="436">
        <v>8055680</v>
      </c>
    </row>
    <row r="14" spans="1:16">
      <c r="A14" s="434" t="s">
        <v>537</v>
      </c>
      <c r="B14" s="436"/>
      <c r="C14" s="436"/>
      <c r="D14" s="436">
        <v>335650</v>
      </c>
      <c r="E14" s="436">
        <v>271950</v>
      </c>
      <c r="F14" s="436">
        <v>164367.17000000001</v>
      </c>
      <c r="G14" s="436">
        <v>7908.92</v>
      </c>
      <c r="H14" s="436">
        <v>8636.9700000000012</v>
      </c>
      <c r="I14" s="436">
        <v>49179.8</v>
      </c>
      <c r="J14" s="436">
        <v>90501.099999999991</v>
      </c>
      <c r="K14" s="436"/>
      <c r="L14" s="436">
        <v>7919.1500000000005</v>
      </c>
      <c r="M14" s="436"/>
      <c r="N14" s="436"/>
      <c r="O14" s="436">
        <v>936113.1100000001</v>
      </c>
    </row>
    <row r="15" spans="1:16">
      <c r="A15" s="434" t="s">
        <v>608</v>
      </c>
      <c r="B15" s="436"/>
      <c r="C15" s="436"/>
      <c r="D15" s="436">
        <v>10400</v>
      </c>
      <c r="E15" s="436">
        <v>252556</v>
      </c>
      <c r="F15" s="436"/>
      <c r="G15" s="436"/>
      <c r="H15" s="436">
        <v>79700</v>
      </c>
      <c r="I15" s="436">
        <v>28400</v>
      </c>
      <c r="J15" s="436"/>
      <c r="K15" s="436"/>
      <c r="L15" s="436"/>
      <c r="M15" s="436">
        <v>287600</v>
      </c>
      <c r="N15" s="436"/>
      <c r="O15" s="436">
        <v>658656</v>
      </c>
    </row>
    <row r="16" spans="1:16">
      <c r="A16" s="434" t="s">
        <v>630</v>
      </c>
      <c r="B16" s="436"/>
      <c r="C16" s="436"/>
      <c r="D16" s="436"/>
      <c r="E16" s="436"/>
      <c r="F16" s="436">
        <v>11372</v>
      </c>
      <c r="G16" s="436">
        <v>2843</v>
      </c>
      <c r="H16" s="436">
        <v>2843</v>
      </c>
      <c r="I16" s="436">
        <v>2843</v>
      </c>
      <c r="J16" s="436">
        <v>2843</v>
      </c>
      <c r="K16" s="436"/>
      <c r="L16" s="436">
        <v>11580.26</v>
      </c>
      <c r="M16" s="436">
        <v>950000</v>
      </c>
      <c r="N16" s="436"/>
      <c r="O16" s="436">
        <v>984324.26</v>
      </c>
    </row>
    <row r="17" spans="1:15">
      <c r="A17" s="434" t="s">
        <v>648</v>
      </c>
      <c r="B17" s="436"/>
      <c r="C17" s="436">
        <v>6509.8599999999988</v>
      </c>
      <c r="D17" s="436">
        <v>5770.84</v>
      </c>
      <c r="E17" s="436">
        <v>21295.980000000003</v>
      </c>
      <c r="F17" s="436">
        <v>50534.6</v>
      </c>
      <c r="G17" s="436">
        <v>32154.959999999999</v>
      </c>
      <c r="H17" s="436">
        <v>20629.91</v>
      </c>
      <c r="I17" s="436">
        <v>15266.94</v>
      </c>
      <c r="J17" s="436">
        <v>59700.29</v>
      </c>
      <c r="K17" s="436"/>
      <c r="L17" s="436">
        <v>28655.7</v>
      </c>
      <c r="M17" s="436">
        <v>30662.5</v>
      </c>
      <c r="N17" s="436"/>
      <c r="O17" s="436">
        <v>271181.58</v>
      </c>
    </row>
    <row r="18" spans="1:15">
      <c r="A18" s="434" t="s">
        <v>652</v>
      </c>
      <c r="B18" s="436"/>
      <c r="C18" s="436"/>
      <c r="D18" s="436"/>
      <c r="E18" s="436"/>
      <c r="F18" s="436">
        <v>5983.56</v>
      </c>
      <c r="G18" s="436">
        <v>3399.75</v>
      </c>
      <c r="H18" s="436">
        <v>14194.43</v>
      </c>
      <c r="I18" s="436">
        <v>183718.93</v>
      </c>
      <c r="J18" s="436">
        <v>1519.09</v>
      </c>
      <c r="K18" s="436"/>
      <c r="L18" s="436">
        <v>274402.47000000003</v>
      </c>
      <c r="M18" s="436">
        <v>1158765.78</v>
      </c>
      <c r="N18" s="436">
        <v>607059</v>
      </c>
      <c r="O18" s="436">
        <v>2249043.0099999998</v>
      </c>
    </row>
    <row r="19" spans="1:15">
      <c r="A19" s="434" t="s">
        <v>626</v>
      </c>
      <c r="B19" s="436"/>
      <c r="C19" s="436"/>
      <c r="D19" s="436"/>
      <c r="E19" s="436"/>
      <c r="F19" s="436"/>
      <c r="G19" s="436"/>
      <c r="H19" s="436"/>
      <c r="I19" s="436"/>
      <c r="J19" s="436"/>
      <c r="K19" s="436">
        <v>0</v>
      </c>
      <c r="L19" s="436"/>
      <c r="M19" s="436"/>
      <c r="N19" s="436"/>
      <c r="O19" s="436">
        <v>0</v>
      </c>
    </row>
    <row r="20" spans="1:15">
      <c r="A20" s="434" t="s">
        <v>450</v>
      </c>
      <c r="B20" s="436"/>
      <c r="C20" s="436"/>
      <c r="D20" s="436"/>
      <c r="E20" s="436"/>
      <c r="F20" s="436">
        <v>582344.79834840004</v>
      </c>
      <c r="G20" s="436"/>
      <c r="H20" s="436"/>
      <c r="I20" s="436">
        <v>6464282.8143877005</v>
      </c>
      <c r="J20" s="436"/>
      <c r="K20" s="436"/>
      <c r="L20" s="436"/>
      <c r="M20" s="436"/>
      <c r="N20" s="436"/>
      <c r="O20" s="436">
        <v>7046627.6127361003</v>
      </c>
    </row>
    <row r="21" spans="1:15">
      <c r="A21" s="434" t="s">
        <v>744</v>
      </c>
      <c r="B21" s="436">
        <v>0</v>
      </c>
      <c r="C21" s="436">
        <v>6509.8599999999988</v>
      </c>
      <c r="D21" s="436">
        <v>5623031.04</v>
      </c>
      <c r="E21" s="436">
        <v>22831000.523710001</v>
      </c>
      <c r="F21" s="436">
        <v>8569494.0083483998</v>
      </c>
      <c r="G21" s="436">
        <v>-26633.370000000003</v>
      </c>
      <c r="H21" s="436">
        <v>138858.56</v>
      </c>
      <c r="I21" s="436">
        <v>6751442.6043877006</v>
      </c>
      <c r="J21" s="436">
        <v>350823.2</v>
      </c>
      <c r="K21" s="436">
        <v>0</v>
      </c>
      <c r="L21" s="436">
        <v>1363577.8599999999</v>
      </c>
      <c r="M21" s="436">
        <v>2477028.2800000003</v>
      </c>
      <c r="N21" s="436">
        <v>607059</v>
      </c>
      <c r="O21" s="436">
        <v>48692191.566446088</v>
      </c>
    </row>
    <row r="22" spans="1:15">
      <c r="B22"/>
      <c r="C22"/>
      <c r="D22"/>
      <c r="E22"/>
      <c r="F22"/>
      <c r="G22"/>
      <c r="H22"/>
      <c r="I22"/>
    </row>
    <row r="23" spans="1:15">
      <c r="B23"/>
      <c r="C23"/>
      <c r="D23" s="396">
        <v>4704545</v>
      </c>
      <c r="E23"/>
      <c r="F23"/>
      <c r="G23"/>
      <c r="H23"/>
      <c r="I23"/>
    </row>
    <row r="24" spans="1:15">
      <c r="B24"/>
      <c r="C24"/>
      <c r="D24"/>
      <c r="E24"/>
      <c r="F24"/>
      <c r="G24"/>
      <c r="H24"/>
      <c r="I24"/>
    </row>
    <row r="25" spans="1:15">
      <c r="B25"/>
      <c r="C25"/>
      <c r="D25" s="656">
        <f>GETPIVOTDATA("Actual Total ",$A$3,"INVOICE RAISED DATE",DATE(2025,6,30))-D23</f>
        <v>918486.04</v>
      </c>
      <c r="E25"/>
      <c r="F25"/>
      <c r="G25"/>
      <c r="H25"/>
      <c r="I25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8AD279-CC54-4B2E-9EE2-0154203A5AA0}">
  <sheetPr codeName="Sheet8">
    <pageSetUpPr fitToPage="1"/>
  </sheetPr>
  <dimension ref="B1:O26"/>
  <sheetViews>
    <sheetView view="pageBreakPreview" zoomScale="85" zoomScaleNormal="115" zoomScaleSheetLayoutView="85" workbookViewId="0">
      <selection activeCell="C40" sqref="C40"/>
    </sheetView>
  </sheetViews>
  <sheetFormatPr defaultRowHeight="14.45"/>
  <cols>
    <col min="1" max="1" width="6.140625" customWidth="1"/>
    <col min="2" max="2" width="21.140625" customWidth="1"/>
    <col min="3" max="3" width="28.85546875" customWidth="1"/>
    <col min="4" max="4" width="15.42578125" customWidth="1"/>
    <col min="5" max="5" width="16.5703125" customWidth="1"/>
    <col min="6" max="6" width="5.85546875" customWidth="1"/>
  </cols>
  <sheetData>
    <row r="1" spans="2:15" ht="15" thickBot="1"/>
    <row r="2" spans="2:15" ht="18.600000000000001">
      <c r="B2" s="933" t="s">
        <v>746</v>
      </c>
      <c r="C2" s="933"/>
      <c r="D2" s="933"/>
      <c r="E2" s="933"/>
      <c r="H2" s="934" t="s">
        <v>747</v>
      </c>
      <c r="I2" s="935"/>
      <c r="J2" s="935"/>
      <c r="K2" s="935"/>
      <c r="L2" s="935"/>
      <c r="M2" s="935"/>
      <c r="N2" s="935"/>
      <c r="O2" s="936"/>
    </row>
    <row r="3" spans="2:15">
      <c r="B3" s="769"/>
      <c r="H3" s="937"/>
      <c r="I3" s="938"/>
      <c r="J3" s="938"/>
      <c r="K3" s="938"/>
      <c r="L3" s="938"/>
      <c r="M3" s="938"/>
      <c r="N3" s="938"/>
      <c r="O3" s="939"/>
    </row>
    <row r="4" spans="2:15">
      <c r="B4" s="770" t="s">
        <v>748</v>
      </c>
      <c r="C4" s="771" t="str">
        <f>'Project Plan'!E2</f>
        <v>Coega Steels Phase 2</v>
      </c>
      <c r="H4" s="937"/>
      <c r="I4" s="938"/>
      <c r="J4" s="938"/>
      <c r="K4" s="938"/>
      <c r="L4" s="938"/>
      <c r="M4" s="938"/>
      <c r="N4" s="938"/>
      <c r="O4" s="939"/>
    </row>
    <row r="5" spans="2:15">
      <c r="B5" s="770" t="s">
        <v>749</v>
      </c>
      <c r="C5" s="771" t="s">
        <v>750</v>
      </c>
      <c r="H5" s="937"/>
      <c r="I5" s="938"/>
      <c r="J5" s="938"/>
      <c r="K5" s="938"/>
      <c r="L5" s="938"/>
      <c r="M5" s="938"/>
      <c r="N5" s="938"/>
      <c r="O5" s="939"/>
    </row>
    <row r="6" spans="2:15">
      <c r="B6" s="770" t="s">
        <v>751</v>
      </c>
      <c r="C6" s="771" t="s">
        <v>752</v>
      </c>
      <c r="H6" s="937"/>
      <c r="I6" s="938"/>
      <c r="J6" s="938"/>
      <c r="K6" s="938"/>
      <c r="L6" s="938"/>
      <c r="M6" s="938"/>
      <c r="N6" s="938"/>
      <c r="O6" s="939"/>
    </row>
    <row r="7" spans="2:15">
      <c r="B7" s="770" t="s">
        <v>753</v>
      </c>
      <c r="C7" s="771" t="s">
        <v>754</v>
      </c>
      <c r="H7" s="937"/>
      <c r="I7" s="938"/>
      <c r="J7" s="938"/>
      <c r="K7" s="938"/>
      <c r="L7" s="938"/>
      <c r="M7" s="938"/>
      <c r="N7" s="938"/>
      <c r="O7" s="939"/>
    </row>
    <row r="8" spans="2:15">
      <c r="B8" s="769"/>
      <c r="H8" s="937"/>
      <c r="I8" s="938"/>
      <c r="J8" s="938"/>
      <c r="K8" s="938"/>
      <c r="L8" s="938"/>
      <c r="M8" s="938"/>
      <c r="N8" s="938"/>
      <c r="O8" s="939"/>
    </row>
    <row r="9" spans="2:15">
      <c r="B9" s="943" t="s">
        <v>755</v>
      </c>
      <c r="C9" s="943"/>
      <c r="D9" s="943"/>
      <c r="E9" s="943"/>
      <c r="H9" s="937"/>
      <c r="I9" s="938"/>
      <c r="J9" s="938"/>
      <c r="K9" s="938"/>
      <c r="L9" s="938"/>
      <c r="M9" s="938"/>
      <c r="N9" s="938"/>
      <c r="O9" s="939"/>
    </row>
    <row r="10" spans="2:15" ht="15" thickBot="1">
      <c r="B10" s="943" t="s">
        <v>756</v>
      </c>
      <c r="C10" s="943"/>
      <c r="D10" s="943"/>
      <c r="E10" s="943"/>
      <c r="H10" s="940"/>
      <c r="I10" s="941"/>
      <c r="J10" s="941"/>
      <c r="K10" s="941"/>
      <c r="L10" s="941"/>
      <c r="M10" s="941"/>
      <c r="N10" s="941"/>
      <c r="O10" s="942"/>
    </row>
    <row r="11" spans="2:15">
      <c r="B11" s="772" t="s">
        <v>757</v>
      </c>
      <c r="C11" s="932" t="s">
        <v>758</v>
      </c>
      <c r="D11" s="932"/>
      <c r="E11" s="932"/>
    </row>
    <row r="12" spans="2:15">
      <c r="B12" s="772" t="s">
        <v>759</v>
      </c>
      <c r="C12" s="932" t="s">
        <v>758</v>
      </c>
      <c r="D12" s="932"/>
      <c r="E12" s="932"/>
    </row>
    <row r="13" spans="2:15">
      <c r="B13" s="772" t="s">
        <v>760</v>
      </c>
      <c r="C13" s="932" t="s">
        <v>758</v>
      </c>
      <c r="D13" s="932"/>
      <c r="E13" s="932"/>
    </row>
    <row r="14" spans="2:15">
      <c r="B14" s="772" t="s">
        <v>761</v>
      </c>
      <c r="C14" s="932" t="s">
        <v>762</v>
      </c>
      <c r="D14" s="932"/>
      <c r="E14" s="932"/>
    </row>
    <row r="15" spans="2:15">
      <c r="B15" s="772" t="s">
        <v>763</v>
      </c>
      <c r="C15" s="932" t="s">
        <v>764</v>
      </c>
      <c r="D15" s="932"/>
      <c r="E15" s="932"/>
    </row>
    <row r="16" spans="2:15" ht="15" customHeight="1">
      <c r="B16" s="772" t="s">
        <v>765</v>
      </c>
      <c r="C16" s="932" t="s">
        <v>766</v>
      </c>
      <c r="D16" s="932"/>
      <c r="E16" s="932"/>
    </row>
    <row r="17" spans="2:5">
      <c r="B17" s="769"/>
    </row>
    <row r="18" spans="2:5">
      <c r="B18" s="944" t="s">
        <v>767</v>
      </c>
      <c r="C18" s="944"/>
      <c r="D18" s="944"/>
      <c r="E18" s="944"/>
    </row>
    <row r="19" spans="2:5">
      <c r="B19" s="772" t="s">
        <v>768</v>
      </c>
      <c r="C19" s="772" t="s">
        <v>769</v>
      </c>
      <c r="D19" s="772" t="s">
        <v>770</v>
      </c>
      <c r="E19" s="772" t="s">
        <v>771</v>
      </c>
    </row>
    <row r="20" spans="2:5" ht="15" customHeight="1">
      <c r="B20" s="772" t="s">
        <v>772</v>
      </c>
      <c r="C20" s="772" t="s">
        <v>773</v>
      </c>
      <c r="D20" s="773" t="s">
        <v>774</v>
      </c>
      <c r="E20" s="774">
        <v>45953</v>
      </c>
    </row>
    <row r="21" spans="2:5">
      <c r="B21" s="772"/>
      <c r="C21" s="772"/>
      <c r="D21" s="772"/>
      <c r="E21" s="772"/>
    </row>
    <row r="22" spans="2:5">
      <c r="B22" s="772"/>
      <c r="C22" s="772"/>
      <c r="D22" s="772"/>
      <c r="E22" s="772"/>
    </row>
    <row r="23" spans="2:5">
      <c r="B23" s="772"/>
      <c r="C23" s="772"/>
      <c r="D23" s="772"/>
      <c r="E23" s="772"/>
    </row>
    <row r="24" spans="2:5">
      <c r="B24" s="772"/>
      <c r="C24" s="772"/>
      <c r="D24" s="772"/>
      <c r="E24" s="772"/>
    </row>
    <row r="25" spans="2:5">
      <c r="B25" s="772"/>
      <c r="C25" s="772"/>
      <c r="D25" s="772"/>
      <c r="E25" s="772"/>
    </row>
    <row r="26" spans="2:5">
      <c r="B26" s="769"/>
    </row>
  </sheetData>
  <mergeCells count="11">
    <mergeCell ref="C13:E13"/>
    <mergeCell ref="C14:E14"/>
    <mergeCell ref="C15:E15"/>
    <mergeCell ref="C16:E16"/>
    <mergeCell ref="B18:E18"/>
    <mergeCell ref="C12:E12"/>
    <mergeCell ref="B2:E2"/>
    <mergeCell ref="H2:O10"/>
    <mergeCell ref="B9:E9"/>
    <mergeCell ref="B10:E10"/>
    <mergeCell ref="C11:E11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944AA-AC80-4245-B772-DFC5D7AFECA2}">
  <sheetPr codeName="Sheet11"/>
  <dimension ref="A1:D6"/>
  <sheetViews>
    <sheetView workbookViewId="0">
      <selection activeCell="E15" sqref="E15"/>
    </sheetView>
  </sheetViews>
  <sheetFormatPr defaultColWidth="8.42578125" defaultRowHeight="14.45"/>
  <cols>
    <col min="4" max="4" width="9" customWidth="1"/>
  </cols>
  <sheetData>
    <row r="1" spans="1:4">
      <c r="A1" s="110" t="s">
        <v>775</v>
      </c>
    </row>
    <row r="2" spans="1:4">
      <c r="A2" s="946"/>
      <c r="B2" s="946"/>
      <c r="C2" s="946"/>
      <c r="D2" s="71"/>
    </row>
    <row r="3" spans="1:4">
      <c r="A3" s="945" t="s">
        <v>776</v>
      </c>
      <c r="B3" s="945"/>
      <c r="C3" s="945"/>
      <c r="D3" s="111">
        <v>0.32</v>
      </c>
    </row>
    <row r="4" spans="1:4">
      <c r="A4" s="945" t="s">
        <v>714</v>
      </c>
      <c r="B4" s="945"/>
      <c r="C4" s="945"/>
      <c r="D4" s="111">
        <v>0.5</v>
      </c>
    </row>
    <row r="5" spans="1:4">
      <c r="A5" s="945" t="s">
        <v>726</v>
      </c>
      <c r="B5" s="945"/>
      <c r="C5" s="945"/>
      <c r="D5" s="111">
        <v>0.15</v>
      </c>
    </row>
    <row r="6" spans="1:4">
      <c r="A6" s="945" t="s">
        <v>777</v>
      </c>
      <c r="B6" s="945"/>
      <c r="C6" s="945"/>
      <c r="D6" s="111">
        <v>0.2</v>
      </c>
    </row>
  </sheetData>
  <mergeCells count="5">
    <mergeCell ref="A3:C3"/>
    <mergeCell ref="A4:C4"/>
    <mergeCell ref="A5:C5"/>
    <mergeCell ref="A6:C6"/>
    <mergeCell ref="A2:C2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2775C-CD1B-418B-9C5A-09037C718515}">
  <sheetPr codeName="Sheet12"/>
  <dimension ref="B2:N47"/>
  <sheetViews>
    <sheetView showGridLines="0" zoomScale="115" zoomScaleNormal="115" workbookViewId="0">
      <selection activeCell="B2" sqref="B2:O2"/>
    </sheetView>
  </sheetViews>
  <sheetFormatPr defaultColWidth="9.42578125" defaultRowHeight="12.6"/>
  <cols>
    <col min="1" max="1" width="9.42578125" style="88"/>
    <col min="2" max="2" width="22.42578125" style="88" customWidth="1"/>
    <col min="3" max="3" width="4.42578125" style="88" customWidth="1"/>
    <col min="4" max="4" width="14.140625" style="88" bestFit="1" customWidth="1"/>
    <col min="5" max="5" width="3.140625" style="88" customWidth="1"/>
    <col min="6" max="6" width="15.42578125" style="88" customWidth="1"/>
    <col min="7" max="7" width="2.42578125" style="88" customWidth="1"/>
    <col min="8" max="8" width="16.140625" style="88" bestFit="1" customWidth="1"/>
    <col min="9" max="9" width="6.42578125" style="88" customWidth="1"/>
    <col min="10" max="10" width="13.42578125" style="88" bestFit="1" customWidth="1"/>
    <col min="11" max="11" width="2.42578125" style="88" customWidth="1"/>
    <col min="12" max="12" width="14.140625" style="88" bestFit="1" customWidth="1"/>
    <col min="13" max="13" width="3" style="88" customWidth="1"/>
    <col min="14" max="14" width="45.42578125" style="88" customWidth="1"/>
    <col min="15" max="16384" width="9.42578125" style="88"/>
  </cols>
  <sheetData>
    <row r="2" spans="2:14" s="94" customFormat="1" ht="18">
      <c r="B2" s="947" t="s">
        <v>778</v>
      </c>
      <c r="C2" s="947"/>
      <c r="D2" s="947"/>
      <c r="E2" s="947"/>
      <c r="F2" s="947"/>
      <c r="G2" s="947"/>
      <c r="H2" s="947"/>
      <c r="I2" s="947"/>
      <c r="J2" s="947"/>
      <c r="K2" s="947"/>
      <c r="L2" s="947"/>
      <c r="M2" s="947"/>
      <c r="N2" s="947"/>
    </row>
    <row r="4" spans="2:14" ht="12.95">
      <c r="B4" s="92" t="s">
        <v>779</v>
      </c>
      <c r="C4" s="86"/>
      <c r="D4" s="90" t="s">
        <v>780</v>
      </c>
      <c r="E4" s="95"/>
      <c r="F4" s="90" t="s">
        <v>781</v>
      </c>
      <c r="H4" s="90" t="s">
        <v>782</v>
      </c>
      <c r="I4" s="95"/>
      <c r="J4" s="90" t="s">
        <v>783</v>
      </c>
      <c r="L4" s="90" t="s">
        <v>782</v>
      </c>
      <c r="M4" s="90"/>
      <c r="N4" s="90" t="s">
        <v>784</v>
      </c>
    </row>
    <row r="5" spans="2:14" ht="4.5" customHeight="1">
      <c r="B5" s="97"/>
      <c r="C5" s="86"/>
      <c r="D5" s="97"/>
      <c r="E5" s="98"/>
      <c r="F5" s="97"/>
      <c r="H5" s="97"/>
      <c r="I5" s="98"/>
      <c r="J5" s="97"/>
      <c r="L5" s="97"/>
      <c r="M5" s="86"/>
      <c r="N5" s="97"/>
    </row>
    <row r="6" spans="2:14" ht="6.75" customHeight="1">
      <c r="B6" s="86"/>
      <c r="C6" s="86"/>
      <c r="D6" s="89"/>
      <c r="E6" s="95"/>
      <c r="F6" s="89"/>
      <c r="H6" s="99"/>
      <c r="I6" s="95"/>
      <c r="J6" s="89"/>
      <c r="L6" s="99"/>
      <c r="M6" s="99"/>
    </row>
    <row r="7" spans="2:14" ht="12.95">
      <c r="B7" s="86"/>
      <c r="C7" s="86"/>
      <c r="D7" s="89"/>
      <c r="E7" s="95"/>
      <c r="F7" s="107" t="s">
        <v>785</v>
      </c>
      <c r="H7" s="99"/>
      <c r="I7" s="95"/>
      <c r="J7" s="107" t="s">
        <v>785</v>
      </c>
      <c r="L7" s="99"/>
      <c r="M7" s="99"/>
    </row>
    <row r="8" spans="2:14" ht="6" customHeight="1">
      <c r="B8" s="86"/>
      <c r="C8" s="86"/>
      <c r="D8" s="89"/>
      <c r="E8" s="95"/>
      <c r="F8" s="89"/>
      <c r="H8" s="99"/>
      <c r="I8" s="95"/>
      <c r="J8" s="89"/>
      <c r="L8" s="99"/>
      <c r="M8" s="99"/>
    </row>
    <row r="9" spans="2:14" s="105" customFormat="1" ht="12.95">
      <c r="B9" s="92" t="s">
        <v>323</v>
      </c>
      <c r="C9" s="92"/>
      <c r="D9" s="90" t="e">
        <f>SUM(D10:D11)</f>
        <v>#REF!</v>
      </c>
      <c r="E9" s="95"/>
      <c r="F9" s="90">
        <f>SUM(F10:F13)</f>
        <v>0</v>
      </c>
      <c r="H9" s="106" t="e">
        <f>$D$9-F9</f>
        <v>#REF!</v>
      </c>
      <c r="I9" s="95"/>
      <c r="J9" s="90">
        <f>SUM(J10:J13)</f>
        <v>0</v>
      </c>
      <c r="L9" s="106" t="e">
        <f>$D$9-J9</f>
        <v>#REF!</v>
      </c>
      <c r="M9" s="106"/>
    </row>
    <row r="10" spans="2:14" ht="12.95">
      <c r="B10" s="108" t="s">
        <v>323</v>
      </c>
      <c r="C10" s="86"/>
      <c r="D10" s="89" t="e">
        <f>#REF!</f>
        <v>#REF!</v>
      </c>
      <c r="E10" s="95"/>
      <c r="F10" s="89"/>
      <c r="H10" s="99"/>
      <c r="I10" s="95"/>
      <c r="J10" s="89"/>
      <c r="L10" s="99"/>
      <c r="M10" s="99"/>
    </row>
    <row r="11" spans="2:14" ht="12.95">
      <c r="B11" s="108" t="s">
        <v>786</v>
      </c>
      <c r="C11" s="86"/>
      <c r="D11" s="89" t="e">
        <f>#REF!</f>
        <v>#REF!</v>
      </c>
      <c r="E11" s="95"/>
      <c r="F11" s="89"/>
      <c r="H11" s="99"/>
      <c r="I11" s="95"/>
      <c r="J11" s="89"/>
      <c r="L11" s="99"/>
      <c r="M11" s="99"/>
    </row>
    <row r="12" spans="2:14" ht="12.95">
      <c r="B12" s="108" t="s">
        <v>787</v>
      </c>
      <c r="C12" s="86"/>
      <c r="D12" s="89"/>
      <c r="E12" s="95"/>
      <c r="F12" s="89"/>
      <c r="H12" s="99"/>
      <c r="I12" s="95"/>
      <c r="J12" s="89"/>
      <c r="L12" s="99"/>
      <c r="M12" s="99"/>
    </row>
    <row r="13" spans="2:14" ht="12.95">
      <c r="B13" s="108" t="s">
        <v>788</v>
      </c>
      <c r="C13" s="86"/>
      <c r="D13" s="89"/>
      <c r="E13" s="95"/>
      <c r="F13" s="89"/>
      <c r="H13" s="99"/>
      <c r="I13" s="95"/>
      <c r="J13" s="89"/>
      <c r="L13" s="99"/>
      <c r="M13" s="99"/>
    </row>
    <row r="14" spans="2:14" ht="12.95">
      <c r="B14" s="86"/>
      <c r="C14" s="86"/>
      <c r="D14" s="89"/>
      <c r="E14" s="95"/>
      <c r="F14" s="89"/>
      <c r="H14" s="99"/>
      <c r="I14" s="95"/>
      <c r="J14" s="89"/>
      <c r="L14" s="99"/>
      <c r="M14" s="99"/>
    </row>
    <row r="15" spans="2:14" ht="12.95">
      <c r="B15" s="86"/>
      <c r="C15" s="86"/>
      <c r="D15" s="89"/>
      <c r="E15" s="95"/>
      <c r="F15" s="107" t="s">
        <v>785</v>
      </c>
      <c r="H15" s="99"/>
      <c r="I15" s="95"/>
      <c r="J15" s="107" t="s">
        <v>785</v>
      </c>
      <c r="L15" s="99"/>
      <c r="M15" s="99"/>
    </row>
    <row r="16" spans="2:14" ht="6" customHeight="1">
      <c r="B16" s="86"/>
      <c r="C16" s="86"/>
      <c r="D16" s="89"/>
      <c r="E16" s="95"/>
      <c r="F16" s="89"/>
      <c r="H16" s="99"/>
      <c r="I16" s="95"/>
      <c r="J16" s="89"/>
      <c r="L16" s="99"/>
      <c r="M16" s="99"/>
    </row>
    <row r="17" spans="2:13" s="105" customFormat="1" ht="12.95">
      <c r="B17" s="92" t="s">
        <v>789</v>
      </c>
      <c r="C17" s="92"/>
      <c r="D17" s="90" t="e">
        <f>SUM(D18:D19)</f>
        <v>#REF!</v>
      </c>
      <c r="E17" s="95"/>
      <c r="F17" s="90">
        <f>SUM(F18:F20)</f>
        <v>0</v>
      </c>
      <c r="H17" s="106" t="e">
        <f>$D$17- F17</f>
        <v>#REF!</v>
      </c>
      <c r="I17" s="95"/>
      <c r="J17" s="90">
        <f>SUM(J18:J20)</f>
        <v>0</v>
      </c>
      <c r="L17" s="106" t="e">
        <f>$D$17- J17</f>
        <v>#REF!</v>
      </c>
      <c r="M17" s="106"/>
    </row>
    <row r="18" spans="2:13">
      <c r="B18" s="108" t="s">
        <v>789</v>
      </c>
      <c r="C18" s="86"/>
      <c r="D18" s="89" t="e">
        <f>#REF!</f>
        <v>#REF!</v>
      </c>
      <c r="E18" s="98"/>
      <c r="F18" s="89"/>
      <c r="H18" s="99"/>
      <c r="I18" s="98"/>
      <c r="J18" s="89"/>
      <c r="L18" s="99"/>
      <c r="M18" s="99"/>
    </row>
    <row r="19" spans="2:13">
      <c r="B19" s="108" t="s">
        <v>788</v>
      </c>
      <c r="C19" s="86"/>
      <c r="D19" s="89"/>
      <c r="E19" s="98"/>
      <c r="F19" s="89"/>
      <c r="H19" s="99"/>
      <c r="I19" s="98"/>
      <c r="J19" s="89"/>
      <c r="L19" s="99"/>
      <c r="M19" s="99"/>
    </row>
    <row r="20" spans="2:13">
      <c r="B20" s="86"/>
      <c r="C20" s="86"/>
      <c r="D20" s="89"/>
      <c r="E20" s="98"/>
      <c r="F20" s="89"/>
      <c r="H20" s="99"/>
      <c r="I20" s="98"/>
      <c r="J20" s="89"/>
      <c r="L20" s="99"/>
      <c r="M20" s="99"/>
    </row>
    <row r="21" spans="2:13" ht="12.95">
      <c r="B21" s="86"/>
      <c r="C21" s="86"/>
      <c r="D21" s="89"/>
      <c r="E21" s="95"/>
      <c r="F21" s="107" t="s">
        <v>785</v>
      </c>
      <c r="H21" s="99"/>
      <c r="I21" s="95"/>
      <c r="J21" s="107" t="s">
        <v>785</v>
      </c>
      <c r="L21" s="99"/>
      <c r="M21" s="99"/>
    </row>
    <row r="22" spans="2:13" ht="6" customHeight="1">
      <c r="B22" s="86"/>
      <c r="C22" s="86"/>
      <c r="D22" s="89"/>
      <c r="E22" s="95"/>
      <c r="F22" s="89"/>
      <c r="H22" s="99"/>
      <c r="I22" s="95"/>
      <c r="J22" s="89"/>
      <c r="L22" s="99"/>
      <c r="M22" s="99"/>
    </row>
    <row r="23" spans="2:13" s="105" customFormat="1" ht="12.95">
      <c r="B23" s="92" t="s">
        <v>187</v>
      </c>
      <c r="C23" s="92"/>
      <c r="D23" s="90" t="e">
        <f>SUM(D24:D25)</f>
        <v>#REF!</v>
      </c>
      <c r="E23" s="95"/>
      <c r="F23" s="90">
        <f>SUM(F24:F25)</f>
        <v>0</v>
      </c>
      <c r="H23" s="106" t="e">
        <f>$D$23- F23</f>
        <v>#REF!</v>
      </c>
      <c r="I23" s="95"/>
      <c r="J23" s="90">
        <f>SUM(J24:J25)</f>
        <v>0</v>
      </c>
      <c r="L23" s="106" t="e">
        <f>$D$23- J23</f>
        <v>#REF!</v>
      </c>
      <c r="M23" s="106"/>
    </row>
    <row r="24" spans="2:13">
      <c r="B24" s="108" t="s">
        <v>187</v>
      </c>
      <c r="C24" s="86"/>
      <c r="D24" s="89" t="e">
        <f>#REF!</f>
        <v>#REF!</v>
      </c>
      <c r="E24" s="98"/>
      <c r="F24" s="89"/>
      <c r="H24" s="99"/>
      <c r="I24" s="98"/>
      <c r="J24" s="89"/>
      <c r="L24" s="99"/>
      <c r="M24" s="99"/>
    </row>
    <row r="25" spans="2:13" s="105" customFormat="1" ht="12.95">
      <c r="B25" s="108" t="s">
        <v>788</v>
      </c>
      <c r="C25" s="92"/>
      <c r="D25" s="90"/>
      <c r="E25" s="95"/>
      <c r="F25" s="90"/>
      <c r="H25" s="106"/>
      <c r="I25" s="95"/>
      <c r="J25" s="90"/>
      <c r="L25" s="106"/>
      <c r="M25" s="106"/>
    </row>
    <row r="26" spans="2:13">
      <c r="B26" s="86"/>
      <c r="C26" s="86"/>
      <c r="D26" s="89"/>
      <c r="E26" s="98"/>
      <c r="F26" s="89"/>
      <c r="H26" s="99"/>
      <c r="I26" s="98"/>
      <c r="J26" s="89"/>
      <c r="L26" s="99"/>
      <c r="M26" s="99"/>
    </row>
    <row r="27" spans="2:13" ht="12.95">
      <c r="B27" s="86"/>
      <c r="C27" s="86"/>
      <c r="D27" s="89"/>
      <c r="E27" s="98"/>
      <c r="F27" s="107" t="s">
        <v>785</v>
      </c>
      <c r="H27" s="99"/>
      <c r="I27" s="95"/>
      <c r="J27" s="107" t="s">
        <v>785</v>
      </c>
      <c r="L27" s="99"/>
      <c r="M27" s="99"/>
    </row>
    <row r="28" spans="2:13" ht="6" customHeight="1">
      <c r="B28" s="86"/>
      <c r="C28" s="86"/>
      <c r="D28" s="89"/>
      <c r="E28" s="95"/>
      <c r="F28" s="89"/>
      <c r="H28" s="99"/>
      <c r="I28" s="95"/>
      <c r="J28" s="89"/>
      <c r="L28" s="99"/>
      <c r="M28" s="99"/>
    </row>
    <row r="29" spans="2:13" s="105" customFormat="1" ht="12.95">
      <c r="B29" s="92" t="s">
        <v>790</v>
      </c>
      <c r="C29" s="92"/>
      <c r="D29" s="90" t="e">
        <f>SUM(D30:D32)</f>
        <v>#REF!</v>
      </c>
      <c r="E29" s="95"/>
      <c r="F29" s="90">
        <f>SUM(F30:F42)</f>
        <v>0</v>
      </c>
      <c r="H29" s="106" t="e">
        <f>$D$29-F29</f>
        <v>#REF!</v>
      </c>
      <c r="I29" s="95"/>
      <c r="J29" s="90">
        <f>SUM(J30:J32)</f>
        <v>0</v>
      </c>
      <c r="L29" s="106" t="e">
        <f>$D$29-J29</f>
        <v>#REF!</v>
      </c>
      <c r="M29" s="106"/>
    </row>
    <row r="30" spans="2:13">
      <c r="B30" s="108" t="e">
        <f>#REF!</f>
        <v>#REF!</v>
      </c>
      <c r="C30" s="86"/>
      <c r="D30" s="89" t="e">
        <f>#REF!</f>
        <v>#REF!</v>
      </c>
      <c r="E30" s="98"/>
      <c r="F30" s="89"/>
      <c r="H30" s="99"/>
      <c r="I30" s="98"/>
      <c r="J30" s="89"/>
      <c r="L30" s="99"/>
      <c r="M30" s="99"/>
    </row>
    <row r="31" spans="2:13">
      <c r="B31" s="108" t="e">
        <f>#REF!</f>
        <v>#REF!</v>
      </c>
      <c r="C31" s="86"/>
      <c r="D31" s="89" t="e">
        <f>#REF!</f>
        <v>#REF!</v>
      </c>
      <c r="E31" s="98"/>
      <c r="F31" s="89"/>
      <c r="H31" s="99"/>
      <c r="I31" s="98"/>
      <c r="J31" s="89"/>
      <c r="L31" s="99"/>
      <c r="M31" s="99"/>
    </row>
    <row r="32" spans="2:13">
      <c r="B32" s="108" t="s">
        <v>788</v>
      </c>
      <c r="C32" s="86"/>
      <c r="D32" s="89"/>
      <c r="E32" s="98"/>
      <c r="F32" s="89"/>
      <c r="H32" s="99"/>
      <c r="I32" s="98"/>
      <c r="J32" s="89"/>
      <c r="L32" s="99"/>
      <c r="M32" s="99"/>
    </row>
    <row r="33" spans="2:13">
      <c r="B33" s="108"/>
      <c r="C33" s="86"/>
      <c r="D33" s="89"/>
      <c r="E33" s="98"/>
      <c r="F33" s="89"/>
      <c r="H33" s="99"/>
      <c r="I33" s="98"/>
      <c r="J33" s="89"/>
      <c r="L33" s="99"/>
      <c r="M33" s="99"/>
    </row>
    <row r="34" spans="2:13" ht="12.95">
      <c r="B34" s="86"/>
      <c r="C34" s="86"/>
      <c r="D34" s="89"/>
      <c r="E34" s="98"/>
      <c r="F34" s="107" t="s">
        <v>785</v>
      </c>
      <c r="H34" s="99"/>
      <c r="I34" s="95"/>
      <c r="J34" s="107" t="s">
        <v>785</v>
      </c>
      <c r="L34" s="99"/>
      <c r="M34" s="99"/>
    </row>
    <row r="35" spans="2:13" ht="12.95">
      <c r="B35" s="86"/>
      <c r="C35" s="86"/>
      <c r="D35" s="89"/>
      <c r="E35" s="95"/>
      <c r="F35" s="89"/>
      <c r="H35" s="99"/>
      <c r="I35" s="95"/>
      <c r="J35" s="89"/>
      <c r="L35" s="99"/>
      <c r="M35" s="99"/>
    </row>
    <row r="36" spans="2:13" s="105" customFormat="1" ht="12.95">
      <c r="B36" s="92" t="s">
        <v>791</v>
      </c>
      <c r="C36" s="92"/>
      <c r="D36" s="90" t="e">
        <f>SUM(D37:D41)</f>
        <v>#REF!</v>
      </c>
      <c r="E36" s="95"/>
      <c r="F36" s="90">
        <f>SUM(F37:F41)</f>
        <v>0</v>
      </c>
      <c r="H36" s="106" t="e">
        <f>$D$29-F36</f>
        <v>#REF!</v>
      </c>
      <c r="I36" s="95"/>
      <c r="J36" s="90">
        <f>SUM(J37:J41)</f>
        <v>0</v>
      </c>
      <c r="L36" s="106" t="e">
        <f>$D$29-J36</f>
        <v>#REF!</v>
      </c>
      <c r="M36" s="106"/>
    </row>
    <row r="37" spans="2:13">
      <c r="B37" s="108" t="s">
        <v>792</v>
      </c>
      <c r="C37" s="86"/>
      <c r="D37" s="89" t="e">
        <f>#REF!</f>
        <v>#REF!</v>
      </c>
      <c r="E37" s="98"/>
      <c r="F37" s="89"/>
      <c r="H37" s="99"/>
      <c r="I37" s="98"/>
      <c r="J37" s="89"/>
      <c r="L37" s="99"/>
      <c r="M37" s="99"/>
    </row>
    <row r="38" spans="2:13">
      <c r="B38" s="108" t="s">
        <v>793</v>
      </c>
      <c r="C38" s="86"/>
      <c r="D38" s="89"/>
      <c r="E38" s="98"/>
      <c r="F38" s="89"/>
      <c r="H38" s="99"/>
      <c r="I38" s="98"/>
      <c r="J38" s="89"/>
      <c r="L38" s="99"/>
      <c r="M38" s="99"/>
    </row>
    <row r="39" spans="2:13">
      <c r="B39" s="108" t="s">
        <v>794</v>
      </c>
      <c r="C39" s="86"/>
      <c r="D39" s="89"/>
      <c r="E39" s="98"/>
      <c r="F39" s="89"/>
      <c r="H39" s="99"/>
      <c r="I39" s="98"/>
      <c r="J39" s="89"/>
      <c r="L39" s="99"/>
      <c r="M39" s="99"/>
    </row>
    <row r="40" spans="2:13">
      <c r="B40" s="108" t="s">
        <v>795</v>
      </c>
      <c r="C40" s="86"/>
      <c r="D40" s="89"/>
      <c r="E40" s="98"/>
      <c r="F40" s="89"/>
      <c r="H40" s="99"/>
      <c r="I40" s="98"/>
      <c r="J40" s="89"/>
      <c r="L40" s="99"/>
      <c r="M40" s="99"/>
    </row>
    <row r="41" spans="2:13">
      <c r="B41" s="108" t="s">
        <v>796</v>
      </c>
      <c r="C41" s="86"/>
      <c r="D41" s="89"/>
      <c r="E41" s="98"/>
      <c r="F41" s="89"/>
      <c r="H41" s="99"/>
      <c r="I41" s="98"/>
      <c r="J41" s="89"/>
      <c r="L41" s="99"/>
      <c r="M41" s="99"/>
    </row>
    <row r="42" spans="2:13" ht="12.95">
      <c r="B42" s="100"/>
      <c r="C42" s="86"/>
      <c r="D42" s="97"/>
      <c r="E42" s="98"/>
      <c r="F42" s="97"/>
      <c r="I42" s="98"/>
      <c r="J42" s="97"/>
    </row>
    <row r="43" spans="2:13" ht="12.95">
      <c r="B43" s="92" t="s">
        <v>797</v>
      </c>
      <c r="C43" s="92"/>
      <c r="D43" s="90" t="e">
        <f>D36+D29+D23+D17+D9</f>
        <v>#REF!</v>
      </c>
      <c r="E43" s="95"/>
      <c r="F43" s="90"/>
      <c r="H43" s="101" t="e">
        <f>SUM(H7:H42)</f>
        <v>#REF!</v>
      </c>
      <c r="I43" s="95"/>
      <c r="J43" s="90"/>
      <c r="L43" s="101" t="e">
        <f>SUM(L7:L42)</f>
        <v>#REF!</v>
      </c>
      <c r="M43" s="90"/>
    </row>
    <row r="47" spans="2:13">
      <c r="B47" s="86" t="s">
        <v>798</v>
      </c>
    </row>
  </sheetData>
  <mergeCells count="1">
    <mergeCell ref="B2:N2"/>
  </mergeCells>
  <conditionalFormatting sqref="H6:H41">
    <cfRule type="cellIs" dxfId="14" priority="1" operator="greaterThan">
      <formula>0</formula>
    </cfRule>
    <cfRule type="cellIs" dxfId="13" priority="2" operator="lessThan">
      <formula>0</formula>
    </cfRule>
  </conditionalFormatting>
  <conditionalFormatting sqref="L6:M41">
    <cfRule type="cellIs" dxfId="12" priority="3" operator="greaterThan">
      <formula>0</formula>
    </cfRule>
    <cfRule type="cellIs" dxfId="11" priority="4" operator="less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8A8C13-28E6-419F-BEEC-BBA854EA5F65}">
  <sheetPr codeName="Sheet13"/>
  <dimension ref="B2:O42"/>
  <sheetViews>
    <sheetView showGridLines="0" zoomScale="115" zoomScaleNormal="115" workbookViewId="0">
      <selection activeCell="E14" sqref="E14"/>
    </sheetView>
  </sheetViews>
  <sheetFormatPr defaultColWidth="9.42578125" defaultRowHeight="12.6"/>
  <cols>
    <col min="1" max="1" width="9.42578125" style="88"/>
    <col min="2" max="2" width="22.42578125" style="88" customWidth="1"/>
    <col min="3" max="3" width="4.42578125" style="88" customWidth="1"/>
    <col min="4" max="4" width="14.140625" style="88" bestFit="1" customWidth="1"/>
    <col min="5" max="5" width="7" style="88" customWidth="1"/>
    <col min="6" max="6" width="3.140625" style="88" customWidth="1"/>
    <col min="7" max="7" width="18.42578125" style="88" customWidth="1"/>
    <col min="8" max="8" width="9.42578125" style="88" bestFit="1" customWidth="1"/>
    <col min="9" max="9" width="2" style="88" customWidth="1"/>
    <col min="10" max="10" width="14.140625" style="88" bestFit="1" customWidth="1"/>
    <col min="11" max="11" width="2.42578125" style="88" customWidth="1"/>
    <col min="12" max="12" width="20.42578125" style="88" customWidth="1"/>
    <col min="13" max="13" width="9.42578125" style="88" bestFit="1" customWidth="1"/>
    <col min="14" max="14" width="0.85546875" style="88" customWidth="1"/>
    <col min="15" max="15" width="14.140625" style="88" bestFit="1" customWidth="1"/>
    <col min="16" max="16384" width="9.42578125" style="88"/>
  </cols>
  <sheetData>
    <row r="2" spans="2:15" s="94" customFormat="1" ht="18">
      <c r="B2" s="947" t="s">
        <v>799</v>
      </c>
      <c r="C2" s="947"/>
      <c r="D2" s="947"/>
      <c r="E2" s="947"/>
      <c r="F2" s="947"/>
      <c r="G2" s="947"/>
      <c r="H2" s="947"/>
      <c r="I2" s="947"/>
      <c r="J2" s="947"/>
      <c r="K2" s="947"/>
      <c r="L2" s="947"/>
      <c r="M2" s="947"/>
      <c r="N2" s="947"/>
      <c r="O2" s="947"/>
    </row>
    <row r="4" spans="2:15" ht="12.95">
      <c r="B4" s="92" t="s">
        <v>779</v>
      </c>
      <c r="C4" s="86"/>
      <c r="D4" s="90" t="s">
        <v>780</v>
      </c>
      <c r="E4" s="95"/>
      <c r="F4" s="95"/>
      <c r="G4" s="90" t="s">
        <v>800</v>
      </c>
      <c r="H4" s="96"/>
      <c r="J4" s="90" t="s">
        <v>782</v>
      </c>
      <c r="L4" s="90" t="s">
        <v>801</v>
      </c>
      <c r="M4" s="96"/>
      <c r="O4" s="90" t="s">
        <v>782</v>
      </c>
    </row>
    <row r="5" spans="2:15" ht="5.25" customHeight="1">
      <c r="B5" s="97"/>
      <c r="C5" s="86"/>
      <c r="D5" s="97"/>
      <c r="E5" s="98"/>
      <c r="F5" s="98"/>
      <c r="G5" s="97"/>
      <c r="H5" s="87"/>
      <c r="J5" s="97"/>
      <c r="L5" s="97"/>
      <c r="M5" s="87"/>
      <c r="O5" s="97"/>
    </row>
    <row r="6" spans="2:15" ht="12.95">
      <c r="B6" s="86" t="s">
        <v>320</v>
      </c>
      <c r="C6" s="86"/>
      <c r="D6" s="89" t="e">
        <f>#REF!</f>
        <v>#REF!</v>
      </c>
      <c r="E6" s="95" t="e">
        <f>D6/(1000*'Project Plan'!$E$3)</f>
        <v>#REF!</v>
      </c>
      <c r="F6" s="95"/>
      <c r="G6" s="89">
        <v>277892.90999999997</v>
      </c>
      <c r="H6" s="96">
        <f>G6/('Project Plan'!$E$3*1000)</f>
        <v>3.9250411016949149E-2</v>
      </c>
      <c r="J6" s="99" t="e">
        <f>D6-G6</f>
        <v>#REF!</v>
      </c>
      <c r="L6" s="89"/>
      <c r="M6" s="96">
        <f>L6/('Project Plan'!$E$3*1000)</f>
        <v>0</v>
      </c>
      <c r="O6" s="99" t="e">
        <f>D6-L6</f>
        <v>#REF!</v>
      </c>
    </row>
    <row r="7" spans="2:15" ht="12.95">
      <c r="B7" s="86" t="s">
        <v>329</v>
      </c>
      <c r="C7" s="86"/>
      <c r="D7" s="89" t="e">
        <f>#REF!</f>
        <v>#REF!</v>
      </c>
      <c r="E7" s="95" t="e">
        <f>D7/(1000*'Project Plan'!$E$3)</f>
        <v>#REF!</v>
      </c>
      <c r="F7" s="95"/>
      <c r="G7" s="89">
        <v>142158.25</v>
      </c>
      <c r="H7" s="96">
        <f>G7/('Project Plan'!$E$3*1000)</f>
        <v>2.0078848870056499E-2</v>
      </c>
      <c r="J7" s="99" t="e">
        <f t="shared" ref="J7:J12" si="0">D7-G7</f>
        <v>#REF!</v>
      </c>
      <c r="L7" s="89"/>
      <c r="M7" s="96">
        <f>L7/('Project Plan'!$E$3*1000)</f>
        <v>0</v>
      </c>
      <c r="O7" s="99" t="e">
        <f t="shared" ref="O7:O12" si="1">D7-L7</f>
        <v>#REF!</v>
      </c>
    </row>
    <row r="8" spans="2:15" ht="12.95">
      <c r="B8" s="86" t="s">
        <v>332</v>
      </c>
      <c r="C8" s="86"/>
      <c r="D8" s="89" t="e">
        <f>#REF!</f>
        <v>#REF!</v>
      </c>
      <c r="E8" s="95" t="e">
        <f>D8/(1000*'Project Plan'!$E$3)</f>
        <v>#REF!</v>
      </c>
      <c r="F8" s="95"/>
      <c r="G8" s="89">
        <v>96174</v>
      </c>
      <c r="H8" s="96">
        <f>G8/('Project Plan'!$E$3*1000)</f>
        <v>1.3583898305084746E-2</v>
      </c>
      <c r="J8" s="99" t="e">
        <f t="shared" si="0"/>
        <v>#REF!</v>
      </c>
      <c r="L8" s="89"/>
      <c r="M8" s="96">
        <f>L8/('Project Plan'!$E$3*1000)</f>
        <v>0</v>
      </c>
      <c r="O8" s="99" t="e">
        <f t="shared" si="1"/>
        <v>#REF!</v>
      </c>
    </row>
    <row r="9" spans="2:15" ht="12.95">
      <c r="B9" s="86" t="s">
        <v>334</v>
      </c>
      <c r="C9" s="86"/>
      <c r="D9" s="89" t="e">
        <f>#REF!</f>
        <v>#REF!</v>
      </c>
      <c r="E9" s="95" t="e">
        <f>D9/(1000*'Project Plan'!$E$3)</f>
        <v>#REF!</v>
      </c>
      <c r="F9" s="95"/>
      <c r="G9" s="89">
        <v>230160</v>
      </c>
      <c r="H9" s="96">
        <f>G9/('Project Plan'!$E$3*1000)</f>
        <v>3.2508474576271186E-2</v>
      </c>
      <c r="J9" s="99" t="e">
        <f t="shared" si="0"/>
        <v>#REF!</v>
      </c>
      <c r="L9" s="89"/>
      <c r="M9" s="96">
        <f>L9/('Project Plan'!$E$3*1000)</f>
        <v>0</v>
      </c>
      <c r="O9" s="99" t="e">
        <f t="shared" si="1"/>
        <v>#REF!</v>
      </c>
    </row>
    <row r="10" spans="2:15">
      <c r="B10" s="86" t="s">
        <v>336</v>
      </c>
      <c r="C10" s="86"/>
      <c r="D10" s="89" t="e">
        <f>#REF!</f>
        <v>#REF!</v>
      </c>
      <c r="E10" s="98"/>
      <c r="F10" s="98"/>
      <c r="G10" s="89">
        <v>0</v>
      </c>
      <c r="H10" s="91"/>
      <c r="J10" s="99" t="e">
        <f t="shared" si="0"/>
        <v>#REF!</v>
      </c>
      <c r="L10" s="89"/>
      <c r="M10" s="91"/>
      <c r="O10" s="99" t="e">
        <f t="shared" si="1"/>
        <v>#REF!</v>
      </c>
    </row>
    <row r="11" spans="2:15">
      <c r="B11" s="86" t="s">
        <v>802</v>
      </c>
      <c r="C11" s="86"/>
      <c r="D11" s="89" t="e">
        <f>#REF!</f>
        <v>#REF!</v>
      </c>
      <c r="E11" s="98"/>
      <c r="F11" s="98"/>
      <c r="G11" s="89">
        <v>29257.61</v>
      </c>
      <c r="H11" s="91"/>
      <c r="J11" s="99" t="e">
        <f t="shared" si="0"/>
        <v>#REF!</v>
      </c>
      <c r="L11" s="89"/>
      <c r="M11" s="91"/>
      <c r="O11" s="99" t="e">
        <f t="shared" si="1"/>
        <v>#REF!</v>
      </c>
    </row>
    <row r="12" spans="2:15">
      <c r="B12" s="86" t="s">
        <v>341</v>
      </c>
      <c r="C12" s="86"/>
      <c r="D12" s="89" t="e">
        <f>#REF!</f>
        <v>#REF!</v>
      </c>
      <c r="E12" s="98"/>
      <c r="F12" s="98"/>
      <c r="G12" s="89"/>
      <c r="H12" s="91"/>
      <c r="J12" s="99" t="e">
        <f t="shared" si="0"/>
        <v>#REF!</v>
      </c>
      <c r="L12" s="89"/>
      <c r="M12" s="91"/>
      <c r="O12" s="99" t="e">
        <f t="shared" si="1"/>
        <v>#REF!</v>
      </c>
    </row>
    <row r="13" spans="2:15">
      <c r="B13" s="86" t="s">
        <v>342</v>
      </c>
      <c r="C13" s="86"/>
      <c r="D13" s="89" t="e">
        <f>#REF!</f>
        <v>#REF!</v>
      </c>
      <c r="E13" s="98"/>
      <c r="F13" s="98"/>
      <c r="G13" s="89"/>
      <c r="H13" s="91"/>
      <c r="J13" s="99"/>
      <c r="L13" s="89"/>
      <c r="M13" s="91"/>
      <c r="O13" s="99"/>
    </row>
    <row r="14" spans="2:15">
      <c r="B14" s="97" t="s">
        <v>372</v>
      </c>
      <c r="C14" s="86"/>
      <c r="D14" s="97">
        <v>0</v>
      </c>
      <c r="E14" s="98"/>
      <c r="F14" s="98"/>
      <c r="G14" s="97"/>
      <c r="H14" s="87"/>
      <c r="L14" s="97"/>
      <c r="M14" s="87"/>
    </row>
    <row r="15" spans="2:15" ht="12.95">
      <c r="B15" s="92" t="s">
        <v>797</v>
      </c>
      <c r="C15" s="92"/>
      <c r="D15" s="90" t="e">
        <f>SUM(D6:D13)</f>
        <v>#REF!</v>
      </c>
      <c r="E15" s="95"/>
      <c r="F15" s="95"/>
      <c r="G15" s="90">
        <f>SUM(G6:G13)</f>
        <v>775642.7699999999</v>
      </c>
      <c r="H15" s="96"/>
      <c r="J15" s="101" t="e">
        <f>SUM(J6:J14)</f>
        <v>#REF!</v>
      </c>
      <c r="L15" s="90">
        <f>SUM(L6:L13)</f>
        <v>0</v>
      </c>
      <c r="M15" s="96"/>
      <c r="O15" s="101" t="e">
        <f>SUM(O6:O14)</f>
        <v>#REF!</v>
      </c>
    </row>
    <row r="16" spans="2:15" ht="12.95">
      <c r="B16" s="92"/>
      <c r="C16" s="92"/>
      <c r="D16" s="90"/>
      <c r="E16" s="95"/>
      <c r="F16" s="95"/>
      <c r="G16" s="90"/>
      <c r="H16" s="96"/>
      <c r="J16" s="90"/>
      <c r="L16" s="90"/>
      <c r="M16" s="96"/>
      <c r="O16" s="90"/>
    </row>
    <row r="17" spans="2:15" ht="12.95">
      <c r="B17" s="92"/>
      <c r="C17" s="92"/>
      <c r="D17" s="90"/>
      <c r="E17" s="95"/>
      <c r="F17" s="95"/>
      <c r="G17" s="90"/>
      <c r="H17" s="96"/>
      <c r="J17" s="90"/>
      <c r="L17" s="90"/>
      <c r="M17" s="96"/>
      <c r="O17" s="90"/>
    </row>
    <row r="18" spans="2:15" ht="12.95">
      <c r="B18" s="92" t="s">
        <v>779</v>
      </c>
      <c r="C18" s="86"/>
      <c r="D18" s="90" t="s">
        <v>780</v>
      </c>
      <c r="E18" s="95"/>
      <c r="F18" s="95"/>
      <c r="G18" s="90" t="s">
        <v>803</v>
      </c>
      <c r="H18" s="96"/>
      <c r="J18" s="90" t="s">
        <v>782</v>
      </c>
      <c r="L18" s="90" t="s">
        <v>804</v>
      </c>
      <c r="M18" s="96"/>
      <c r="O18" s="90" t="s">
        <v>782</v>
      </c>
    </row>
    <row r="19" spans="2:15" ht="7.5" customHeight="1">
      <c r="B19" s="97"/>
      <c r="C19" s="86"/>
      <c r="D19" s="97"/>
      <c r="E19" s="98"/>
      <c r="F19" s="98"/>
      <c r="G19" s="97"/>
      <c r="H19" s="87"/>
      <c r="J19" s="97"/>
      <c r="L19" s="97"/>
      <c r="M19" s="87"/>
      <c r="O19" s="97"/>
    </row>
    <row r="20" spans="2:15" ht="12.95">
      <c r="B20" s="86" t="s">
        <v>805</v>
      </c>
      <c r="C20" s="86"/>
      <c r="D20" s="89" t="e">
        <f>#REF!</f>
        <v>#REF!</v>
      </c>
      <c r="E20" s="95" t="e">
        <f>D20/(1000*'Project Plan'!$E$3)</f>
        <v>#REF!</v>
      </c>
      <c r="F20" s="95"/>
      <c r="G20" s="89"/>
      <c r="H20" s="96">
        <f>G20/(1000*'Project Plan'!$E$3)</f>
        <v>0</v>
      </c>
      <c r="J20" s="99" t="e">
        <f>D20-G20</f>
        <v>#REF!</v>
      </c>
      <c r="L20" s="89"/>
      <c r="M20" s="96">
        <f>L20/(1000*'Project Plan'!$E$3)</f>
        <v>0</v>
      </c>
      <c r="O20" s="99" t="e">
        <f>D6-L20</f>
        <v>#REF!</v>
      </c>
    </row>
    <row r="21" spans="2:15" ht="12.95">
      <c r="B21" s="86" t="s">
        <v>806</v>
      </c>
      <c r="C21" s="86"/>
      <c r="D21" s="89" t="e">
        <f>#REF!</f>
        <v>#REF!</v>
      </c>
      <c r="E21" s="95" t="e">
        <f>D21/(1000*'Project Plan'!$E$3)</f>
        <v>#REF!</v>
      </c>
      <c r="F21" s="95"/>
      <c r="G21" s="89"/>
      <c r="H21" s="96"/>
      <c r="J21" s="99" t="e">
        <f t="shared" ref="J21:J26" si="2">D21-G21</f>
        <v>#REF!</v>
      </c>
      <c r="L21" s="89"/>
      <c r="M21" s="96">
        <f>L21/(1000*'Project Plan'!$E$3)</f>
        <v>0</v>
      </c>
      <c r="O21" s="99" t="e">
        <f t="shared" ref="O21:O26" si="3">D7-L21</f>
        <v>#REF!</v>
      </c>
    </row>
    <row r="22" spans="2:15" ht="12.95">
      <c r="B22" s="86" t="s">
        <v>807</v>
      </c>
      <c r="C22" s="86"/>
      <c r="D22" s="89" t="e">
        <f>#REF!</f>
        <v>#REF!</v>
      </c>
      <c r="E22" s="95" t="e">
        <f>D22/(1000*'Project Plan'!$E$3)</f>
        <v>#REF!</v>
      </c>
      <c r="F22" s="95"/>
      <c r="G22" s="89"/>
      <c r="H22" s="96">
        <f>G22/(1000*'Project Plan'!$E$3)</f>
        <v>0</v>
      </c>
      <c r="J22" s="99" t="e">
        <f t="shared" si="2"/>
        <v>#REF!</v>
      </c>
      <c r="L22" s="89"/>
      <c r="M22" s="96">
        <f>L22/(1000*'Project Plan'!$E$3)</f>
        <v>0</v>
      </c>
      <c r="O22" s="99" t="e">
        <f t="shared" si="3"/>
        <v>#REF!</v>
      </c>
    </row>
    <row r="23" spans="2:15" ht="12.95">
      <c r="B23" s="86" t="s">
        <v>808</v>
      </c>
      <c r="C23" s="86"/>
      <c r="D23" s="89" t="e">
        <f>SUM(#REF!)</f>
        <v>#REF!</v>
      </c>
      <c r="E23" s="95" t="e">
        <f>D23/(1000*'Project Plan'!$E$3)</f>
        <v>#REF!</v>
      </c>
      <c r="F23" s="95"/>
      <c r="G23" s="89"/>
      <c r="H23" s="96"/>
      <c r="J23" s="99" t="e">
        <f t="shared" si="2"/>
        <v>#REF!</v>
      </c>
      <c r="L23" s="89"/>
      <c r="M23" s="96"/>
      <c r="O23" s="99" t="e">
        <f t="shared" si="3"/>
        <v>#REF!</v>
      </c>
    </row>
    <row r="24" spans="2:15">
      <c r="B24" s="86" t="s">
        <v>341</v>
      </c>
      <c r="C24" s="86"/>
      <c r="D24" s="89" t="e">
        <f>#REF!</f>
        <v>#REF!</v>
      </c>
      <c r="E24" s="98"/>
      <c r="F24" s="98"/>
      <c r="G24" s="89"/>
      <c r="H24" s="91"/>
      <c r="J24" s="99" t="e">
        <f t="shared" si="2"/>
        <v>#REF!</v>
      </c>
      <c r="L24" s="89"/>
      <c r="M24" s="91"/>
      <c r="O24" s="99" t="e">
        <f t="shared" si="3"/>
        <v>#REF!</v>
      </c>
    </row>
    <row r="25" spans="2:15">
      <c r="B25" s="86" t="s">
        <v>809</v>
      </c>
      <c r="C25" s="86"/>
      <c r="D25" s="89" t="e">
        <f>SUM(#REF!)</f>
        <v>#REF!</v>
      </c>
      <c r="E25" s="98"/>
      <c r="F25" s="98"/>
      <c r="G25" s="89"/>
      <c r="H25" s="91"/>
      <c r="J25" s="99" t="e">
        <f t="shared" si="2"/>
        <v>#REF!</v>
      </c>
      <c r="L25" s="89"/>
      <c r="M25" s="91"/>
      <c r="O25" s="99" t="e">
        <f t="shared" si="3"/>
        <v>#REF!</v>
      </c>
    </row>
    <row r="26" spans="2:15">
      <c r="B26" s="86" t="s">
        <v>336</v>
      </c>
      <c r="C26" s="86"/>
      <c r="D26" s="89" t="e">
        <f>#REF!</f>
        <v>#REF!</v>
      </c>
      <c r="E26" s="98"/>
      <c r="F26" s="98"/>
      <c r="G26" s="89"/>
      <c r="H26" s="91"/>
      <c r="J26" s="99" t="e">
        <f t="shared" si="2"/>
        <v>#REF!</v>
      </c>
      <c r="L26" s="89"/>
      <c r="M26" s="91"/>
      <c r="O26" s="99" t="e">
        <f t="shared" si="3"/>
        <v>#REF!</v>
      </c>
    </row>
    <row r="27" spans="2:15">
      <c r="B27" s="86"/>
      <c r="C27" s="86"/>
      <c r="D27" s="89"/>
      <c r="E27" s="98"/>
      <c r="F27" s="98"/>
      <c r="G27" s="89"/>
      <c r="H27" s="91"/>
      <c r="J27" s="99"/>
      <c r="L27" s="89"/>
      <c r="M27" s="91"/>
      <c r="O27" s="99"/>
    </row>
    <row r="28" spans="2:15" ht="12.95">
      <c r="B28" s="100"/>
      <c r="C28" s="86"/>
      <c r="D28" s="97"/>
      <c r="E28" s="98"/>
      <c r="F28" s="98"/>
      <c r="G28" s="97"/>
      <c r="H28" s="87"/>
      <c r="L28" s="97"/>
      <c r="M28" s="87"/>
    </row>
    <row r="29" spans="2:15" ht="12.95">
      <c r="B29" s="92" t="s">
        <v>797</v>
      </c>
      <c r="C29" s="92"/>
      <c r="D29" s="90" t="e">
        <f>SUM(D20:D27)</f>
        <v>#REF!</v>
      </c>
      <c r="E29" s="95"/>
      <c r="F29" s="95"/>
      <c r="G29" s="90">
        <f>SUM(G20:G27)</f>
        <v>0</v>
      </c>
      <c r="H29" s="96"/>
      <c r="J29" s="101" t="e">
        <f>SUM(J20:J28)</f>
        <v>#REF!</v>
      </c>
      <c r="L29" s="90">
        <f>SUM(L20:L27)</f>
        <v>0</v>
      </c>
      <c r="M29" s="96"/>
      <c r="O29" s="101" t="e">
        <f>SUM(O20:O28)</f>
        <v>#REF!</v>
      </c>
    </row>
    <row r="32" spans="2:15" ht="13.5" thickBot="1">
      <c r="B32" s="102" t="s">
        <v>810</v>
      </c>
      <c r="C32" s="103"/>
      <c r="D32" s="103"/>
    </row>
    <row r="33" spans="2:4" ht="12.95" thickTop="1"/>
    <row r="34" spans="2:4">
      <c r="B34" s="88" t="s">
        <v>780</v>
      </c>
      <c r="D34" s="99" t="e">
        <f>D15</f>
        <v>#REF!</v>
      </c>
    </row>
    <row r="35" spans="2:4">
      <c r="B35" s="99" t="str">
        <f>G4</f>
        <v>Cosmic Sun</v>
      </c>
      <c r="D35" s="99">
        <f>G15</f>
        <v>775642.7699999999</v>
      </c>
    </row>
    <row r="36" spans="2:4">
      <c r="B36" s="99" t="str">
        <f>L4</f>
        <v>Matthews Group</v>
      </c>
      <c r="D36" s="99">
        <f>L15</f>
        <v>0</v>
      </c>
    </row>
    <row r="37" spans="2:4">
      <c r="B37" s="99" t="str">
        <f>G18</f>
        <v>&gt;Installer Name 3&lt;</v>
      </c>
      <c r="D37" s="99">
        <f>G29</f>
        <v>0</v>
      </c>
    </row>
    <row r="38" spans="2:4">
      <c r="B38" s="99" t="str">
        <f>L18</f>
        <v>&gt;Installer Name 4&lt;</v>
      </c>
      <c r="D38" s="99">
        <f>L29</f>
        <v>0</v>
      </c>
    </row>
    <row r="39" spans="2:4" ht="12.95" thickBot="1">
      <c r="B39" s="104"/>
      <c r="C39" s="103"/>
      <c r="D39" s="103"/>
    </row>
    <row r="40" spans="2:4" ht="13.5" thickTop="1">
      <c r="B40" s="105" t="e">
        <f>IF(D40&lt;D34,"Saving","Loss")</f>
        <v>#REF!</v>
      </c>
      <c r="C40" s="105"/>
      <c r="D40" s="106" t="e">
        <f>D34-MIN(D35:D38)</f>
        <v>#REF!</v>
      </c>
    </row>
    <row r="41" spans="2:4" ht="12.95">
      <c r="B41" s="105"/>
      <c r="C41" s="105"/>
      <c r="D41" s="106"/>
    </row>
    <row r="42" spans="2:4">
      <c r="B42" s="86" t="s">
        <v>811</v>
      </c>
    </row>
  </sheetData>
  <mergeCells count="1">
    <mergeCell ref="B2:O2"/>
  </mergeCells>
  <conditionalFormatting sqref="D35:D38">
    <cfRule type="cellIs" dxfId="10" priority="1" operator="lessThan">
      <formula>$D$22</formula>
    </cfRule>
    <cfRule type="cellIs" dxfId="9" priority="2" operator="greaterThan">
      <formula>$D$22</formula>
    </cfRule>
    <cfRule type="cellIs" dxfId="8" priority="3" operator="lessThan">
      <formula>$D$24</formula>
    </cfRule>
    <cfRule type="cellIs" dxfId="7" priority="4" operator="greaterThan">
      <formula>$D$24</formula>
    </cfRule>
  </conditionalFormatting>
  <conditionalFormatting sqref="J6:J13 O6:O13 J20:J27 O20:O27">
    <cfRule type="cellIs" dxfId="6" priority="21" operator="lessThan">
      <formula>0</formula>
    </cfRule>
    <cfRule type="cellIs" dxfId="5" priority="22" operator="greater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2C9F5-01BD-44B7-BA47-6093F3C734B0}">
  <sheetPr codeName="Sheet14"/>
  <dimension ref="B1:N15"/>
  <sheetViews>
    <sheetView showGridLines="0" zoomScale="130" zoomScaleNormal="130" workbookViewId="0">
      <selection activeCell="D22" sqref="D22"/>
    </sheetView>
  </sheetViews>
  <sheetFormatPr defaultColWidth="9.42578125" defaultRowHeight="14.45"/>
  <cols>
    <col min="1" max="1" width="0.85546875" customWidth="1"/>
    <col min="2" max="2" width="8.42578125" bestFit="1" customWidth="1"/>
    <col min="3" max="3" width="45.140625" customWidth="1"/>
    <col min="4" max="4" width="34.42578125" customWidth="1"/>
    <col min="5" max="5" width="15.42578125" customWidth="1"/>
    <col min="6" max="6" width="12" bestFit="1" customWidth="1"/>
    <col min="7" max="7" width="9.42578125" bestFit="1" customWidth="1"/>
    <col min="8" max="8" width="12.5703125" bestFit="1" customWidth="1"/>
    <col min="9" max="9" width="10.140625" customWidth="1"/>
    <col min="10" max="10" width="19.5703125" bestFit="1" customWidth="1"/>
  </cols>
  <sheetData>
    <row r="1" spans="2:14">
      <c r="B1" s="949" t="str">
        <f>D15</f>
        <v>Coega Steels Phase 2</v>
      </c>
      <c r="C1" s="949"/>
      <c r="D1" s="949"/>
      <c r="E1" s="948" t="s">
        <v>812</v>
      </c>
      <c r="F1" s="948"/>
      <c r="G1" s="948"/>
      <c r="H1" s="948"/>
      <c r="I1" s="948"/>
      <c r="J1" s="948"/>
      <c r="K1" s="77"/>
      <c r="L1" s="77"/>
      <c r="M1" s="77"/>
      <c r="N1" s="77"/>
    </row>
    <row r="2" spans="2:14" ht="6.75" customHeight="1"/>
    <row r="3" spans="2:14">
      <c r="B3" s="72" t="s">
        <v>813</v>
      </c>
      <c r="C3" s="72" t="s">
        <v>814</v>
      </c>
      <c r="D3" s="72" t="s">
        <v>815</v>
      </c>
      <c r="E3" s="78" t="s">
        <v>816</v>
      </c>
      <c r="F3" s="78" t="s">
        <v>817</v>
      </c>
      <c r="G3" s="78" t="s">
        <v>149</v>
      </c>
      <c r="H3" s="78" t="s">
        <v>818</v>
      </c>
      <c r="I3" s="78" t="s">
        <v>771</v>
      </c>
      <c r="J3" s="78" t="s">
        <v>819</v>
      </c>
    </row>
    <row r="4" spans="2:14">
      <c r="B4" s="76" t="s">
        <v>820</v>
      </c>
      <c r="C4" s="74"/>
      <c r="D4" s="74"/>
      <c r="E4" s="74"/>
      <c r="F4" s="74"/>
      <c r="G4" s="76"/>
      <c r="H4" s="76"/>
      <c r="I4" s="76"/>
      <c r="J4" s="71"/>
    </row>
    <row r="5" spans="2:14">
      <c r="B5" s="76" t="s">
        <v>821</v>
      </c>
      <c r="C5" s="74"/>
      <c r="D5" s="74"/>
      <c r="E5" s="74"/>
      <c r="F5" s="74"/>
      <c r="G5" s="76"/>
      <c r="H5" s="76"/>
      <c r="I5" s="76"/>
      <c r="J5" s="71"/>
    </row>
    <row r="6" spans="2:14">
      <c r="B6" s="76" t="s">
        <v>822</v>
      </c>
      <c r="C6" s="74"/>
      <c r="D6" s="74"/>
      <c r="E6" s="74"/>
      <c r="F6" s="74"/>
      <c r="G6" s="76"/>
      <c r="H6" s="76"/>
      <c r="I6" s="76"/>
      <c r="J6" s="71"/>
    </row>
    <row r="7" spans="2:14">
      <c r="B7" s="76" t="s">
        <v>823</v>
      </c>
      <c r="C7" s="74"/>
      <c r="D7" s="74"/>
      <c r="E7" s="74"/>
      <c r="F7" s="74"/>
      <c r="G7" s="76"/>
      <c r="H7" s="76"/>
      <c r="I7" s="76"/>
      <c r="J7" s="71"/>
    </row>
    <row r="8" spans="2:14">
      <c r="B8" s="76" t="s">
        <v>824</v>
      </c>
      <c r="C8" s="75"/>
      <c r="D8" s="75"/>
      <c r="E8" s="75"/>
      <c r="F8" s="75"/>
      <c r="G8" s="75"/>
      <c r="H8" s="75"/>
      <c r="I8" s="75"/>
      <c r="J8" s="71"/>
    </row>
    <row r="9" spans="2:14">
      <c r="B9" s="76" t="s">
        <v>825</v>
      </c>
      <c r="C9" s="75"/>
      <c r="D9" s="75"/>
      <c r="E9" s="75"/>
      <c r="F9" s="75"/>
      <c r="G9" s="75"/>
      <c r="H9" s="75"/>
      <c r="I9" s="75"/>
      <c r="J9" s="71"/>
    </row>
    <row r="10" spans="2:14">
      <c r="B10" s="76" t="s">
        <v>826</v>
      </c>
      <c r="C10" s="75"/>
      <c r="D10" s="75"/>
      <c r="E10" s="75"/>
      <c r="F10" s="75"/>
      <c r="G10" s="75"/>
      <c r="H10" s="75"/>
      <c r="I10" s="75"/>
      <c r="J10" s="71"/>
    </row>
    <row r="11" spans="2:14">
      <c r="B11" s="76" t="s">
        <v>827</v>
      </c>
      <c r="C11" s="75"/>
      <c r="D11" s="75"/>
      <c r="E11" s="75"/>
      <c r="F11" s="75"/>
      <c r="G11" s="75"/>
      <c r="H11" s="75"/>
      <c r="I11" s="75"/>
      <c r="J11" s="71"/>
    </row>
    <row r="12" spans="2:14">
      <c r="B12" s="76" t="s">
        <v>828</v>
      </c>
      <c r="C12" s="75"/>
      <c r="D12" s="75"/>
      <c r="E12" s="75"/>
      <c r="F12" s="75"/>
      <c r="G12" s="75"/>
      <c r="H12" s="75"/>
      <c r="I12" s="75"/>
      <c r="J12" s="71"/>
    </row>
    <row r="13" spans="2:14">
      <c r="B13" s="76" t="s">
        <v>829</v>
      </c>
      <c r="C13" s="75"/>
      <c r="D13" s="75"/>
      <c r="E13" s="75"/>
      <c r="F13" s="75"/>
      <c r="G13" s="75"/>
      <c r="H13" s="75"/>
      <c r="I13" s="75"/>
      <c r="J13" s="71"/>
    </row>
    <row r="15" spans="2:14">
      <c r="D15" s="84" t="str" cm="1">
        <f t="array" ref="D15:G15">'Project Plan'!E2:H2</f>
        <v>Coega Steels Phase 2</v>
      </c>
      <c r="E15" s="84">
        <v>0</v>
      </c>
      <c r="F15" s="84">
        <v>0</v>
      </c>
      <c r="G15" s="84">
        <v>0</v>
      </c>
      <c r="H15" s="84"/>
    </row>
  </sheetData>
  <mergeCells count="2">
    <mergeCell ref="E1:J1"/>
    <mergeCell ref="B1:D1"/>
  </mergeCells>
  <conditionalFormatting sqref="G4:G13">
    <cfRule type="containsText" dxfId="4" priority="1" operator="containsText" text="Pending">
      <formula>NOT(ISERROR(SEARCH("Pending",G4)))</formula>
    </cfRule>
    <cfRule type="containsText" dxfId="3" priority="2" operator="containsText" text="Declined">
      <formula>NOT(ISERROR(SEARCH("Declined",G4)))</formula>
    </cfRule>
    <cfRule type="containsText" dxfId="2" priority="3" operator="containsText" text="Abanded">
      <formula>NOT(ISERROR(SEARCH("Abanded",G4)))</formula>
    </cfRule>
    <cfRule type="containsText" dxfId="1" priority="4" operator="containsText" text="Declined">
      <formula>NOT(ISERROR(SEARCH("Declined",G4)))</formula>
    </cfRule>
    <cfRule type="containsText" dxfId="0" priority="5" operator="containsText" text="Approved">
      <formula>NOT(ISERROR(SEARCH("Approved",G4)))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5E30BC4B-BD35-4127-B867-FC0C1DA067A9}">
          <x14:formula1>
            <xm:f>Data!$F$3:$F$6</xm:f>
          </x14:formula1>
          <xm:sqref>G4:G13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01A7A2CB3848438BEF7C742AC9BBA4" ma:contentTypeVersion="16" ma:contentTypeDescription="Create a new document." ma:contentTypeScope="" ma:versionID="d63a6a98b3cb4d9ccbbcdb9082732f74">
  <xsd:schema xmlns:xsd="http://www.w3.org/2001/XMLSchema" xmlns:xs="http://www.w3.org/2001/XMLSchema" xmlns:p="http://schemas.microsoft.com/office/2006/metadata/properties" xmlns:ns2="ab964f2b-203c-4425-a556-91316bb05fea" xmlns:ns3="9acfecf2-4047-4d7b-9ec8-592b51a52bf7" targetNamespace="http://schemas.microsoft.com/office/2006/metadata/properties" ma:root="true" ma:fieldsID="91a399be7264fcd1f43398a584b8930d" ns2:_="" ns3:_="">
    <xsd:import namespace="ab964f2b-203c-4425-a556-91316bb05fea"/>
    <xsd:import namespace="9acfecf2-4047-4d7b-9ec8-592b51a52b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964f2b-203c-4425-a556-91316bb05f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description="" ma:indexed="true" ma:internalName="MediaServiceLocatio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f597de54-f70c-44af-b8aa-2d36c772a4d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cfecf2-4047-4d7b-9ec8-592b51a52bf7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5f8267b-561c-49f6-b75c-fd0ea9472e33}" ma:internalName="TaxCatchAll" ma:showField="CatchAllData" ma:web="9acfecf2-4047-4d7b-9ec8-592b51a52b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b964f2b-203c-4425-a556-91316bb05fea">
      <Terms xmlns="http://schemas.microsoft.com/office/infopath/2007/PartnerControls"/>
    </lcf76f155ced4ddcb4097134ff3c332f>
    <TaxCatchAll xmlns="9acfecf2-4047-4d7b-9ec8-592b51a52bf7" xsi:nil="true"/>
  </documentManagement>
</p:properties>
</file>

<file path=customXml/itemProps1.xml><?xml version="1.0" encoding="utf-8"?>
<ds:datastoreItem xmlns:ds="http://schemas.openxmlformats.org/officeDocument/2006/customXml" ds:itemID="{596D8D9F-A71B-48E1-9A82-1FF17E3012C0}"/>
</file>

<file path=customXml/itemProps2.xml><?xml version="1.0" encoding="utf-8"?>
<ds:datastoreItem xmlns:ds="http://schemas.openxmlformats.org/officeDocument/2006/customXml" ds:itemID="{80E14791-5FA2-4D5D-B989-AC7D28FAC216}"/>
</file>

<file path=customXml/itemProps3.xml><?xml version="1.0" encoding="utf-8"?>
<ds:datastoreItem xmlns:ds="http://schemas.openxmlformats.org/officeDocument/2006/customXml" ds:itemID="{A088B6EC-AA67-4846-869D-E07A6DA6BBC3}"/>
</file>

<file path=docMetadata/LabelInfo.xml><?xml version="1.0" encoding="utf-8"?>
<clbl:labelList xmlns:clbl="http://schemas.microsoft.com/office/2020/mipLabelMetadata">
  <clbl:label id="{d6319480-d61b-4f33-adac-b7bc740c2fad}" enabled="0" method="" siteId="{d6319480-d61b-4f33-adac-b7bc740c2fa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Simon Muller</dc:creator>
  <cp:keywords/>
  <dc:description/>
  <cp:lastModifiedBy>Tasneema van Harte</cp:lastModifiedBy>
  <cp:revision/>
  <dcterms:created xsi:type="dcterms:W3CDTF">2020-08-09T08:25:30Z</dcterms:created>
  <dcterms:modified xsi:type="dcterms:W3CDTF">2026-02-10T13:45:39Z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0x0101006401A7A2CB3848438BEF7C742AC9BBA4</vt:lpwstr>
  </property>
  <property fmtid="{D5CDD505-2E9C-101B-9397-08002B2CF9AE}" pid="3" name="MediaServiceImageTags">
    <vt:lpwstr/>
  </property>
</Properties>
</file>