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22" documentId="13_ncr:1_{36710142-C419-40D1-A280-4ADDF2A63E4A}" xr6:coauthVersionLast="47" xr6:coauthVersionMax="47" xr10:uidLastSave="{C284F70D-641F-4A5D-AC16-D32CEE34C94F}"/>
  <bookViews>
    <workbookView xWindow="28680" yWindow="-120" windowWidth="29040" windowHeight="15720" tabRatio="802" firstSheet="6" activeTab="6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8" l="1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<sst xmlns="http://schemas.openxmlformats.org/spreadsheetml/2006/main" count="825" uniqueCount="479">
  <si>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</si>
  <si>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</si>
  <si>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</si>
  <si>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</si>
  <si>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</si>
  <si>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</si>
  <si>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</si>
  <si>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</si>
  <si>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</si>
  <si>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</si>
  <si>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</si>
  <si>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</si>
  <si>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</si>
  <si>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</si>
  <si>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</si>
  <si>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</si>
  <si>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</si>
  <si>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</si>
  <si>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</si>
  <si>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</si>
  <si>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</si>
  <si>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</si>
  <si>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</si>
  <si>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</si>
  <si>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</si>
  <si>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</si>
  <si>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</si>
  <si>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</si>
  <si>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</si>
  <si>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</si>
  <si>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</si>
  <si>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</si>
  <si>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</si>
  <si>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</si>
  <si>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</si>
  <si>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</si>
  <si>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</si>
  <si>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</si>
  <si>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</si>
  <si>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</si>
  <si>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</si>
  <si>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</si>
  <si>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</si>
  <si>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</si>
  <si>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</si>
  <si>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</si>
  <si>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</si>
  <si>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</si>
  <si>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</si>
  <si>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</si>
  <si>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</si>
  <si>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</si>
  <si>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</si>
  <si>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</si>
  <si>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</si>
  <si>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</si>
  <si>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</si>
  <si>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</si>
  <si>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</si>
  <si>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</si>
  <si>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</si>
  <si>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</si>
  <si>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</si>
  <si>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</si>
  <si>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</si>
  <si>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</si>
  <si>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</si>
  <si>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</si>
  <si>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</si>
  <si>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</si>
  <si>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</si>
  <si>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</si>
  <si>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</si>
  <si>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</si>
  <si>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</si>
  <si>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</si>
  <si>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</si>
  <si>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</si>
  <si>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</si>
  <si>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</si>
  <si>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</si>
  <si>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</si>
  <si>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</si>
  <si>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</si>
  <si>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</si>
  <si>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</si>
  <si>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</si>
  <si>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</si>
  <si>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</si>
  <si>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</si>
  <si>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</si>
  <si>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</si>
  <si>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</si>
  <si>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</si>
  <si>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</si>
  <si>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</si>
  <si>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</si>
  <si>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</si>
  <si>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</si>
  <si>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</si>
  <si>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</si>
  <si>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</si>
  <si>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</si>
  <si>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</si>
  <si>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</si>
  <si>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</si>
  <si>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</si>
  <si>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</si>
  <si>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</si>
  <si>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</si>
  <si>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</si>
  <si>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</si>
  <si>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</si>
  <si>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</si>
  <si>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</si>
  <si>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</si>
  <si>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</si>
  <si>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</si>
  <si>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</si>
  <si>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</si>
  <si>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</si>
  <si>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</si>
  <si>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</si>
  <si>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</si>
  <si>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</si>
  <si>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</si>
  <si>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</si>
  <si>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</si>
  <si>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</si>
  <si>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</si>
  <si>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</si>
  <si>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</si>
  <si>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</si>
  <si>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</si>
  <si>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</si>
  <si>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</si>
  <si>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</si>
  <si>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</si>
  <si>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</si>
  <si>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</si>
  <si>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</si>
  <si>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</si>
  <si>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</si>
  <si>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</si>
  <si>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tbc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</si>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</sst>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165" fontId="6" fillId="6" borderId="0" xfId="0" applyNumberFormat="1" applyFont="1" applyFill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595870.66</c:v>
                </c:pt>
                <c:pt idx="58">
                  <c:v>595870.66</c:v>
                </c:pt>
                <c:pt idx="59">
                  <c:v>605476.96000000008</c:v>
                </c:pt>
                <c:pt idx="60">
                  <c:v>605476.96000000008</c:v>
                </c:pt>
                <c:pt idx="61">
                  <c:v>605476.96000000008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232496.58558144595</c:v>
                </c:pt>
                <c:pt idx="58">
                  <c:v>232496.58558144595</c:v>
                </c:pt>
                <c:pt idx="59">
                  <c:v>222890.2855814459</c:v>
                </c:pt>
                <c:pt idx="60">
                  <c:v>222890.2855814459</c:v>
                </c:pt>
                <c:pt idx="61">
                  <c:v>222890.2855814459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552890.98816430836</c:v>
                </c:pt>
                <c:pt idx="37">
                  <c:v>552890.98816430836</c:v>
                </c:pt>
                <c:pt idx="38">
                  <c:v>552890.98816430836</c:v>
                </c:pt>
                <c:pt idx="39">
                  <c:v>552890.98816430836</c:v>
                </c:pt>
                <c:pt idx="40">
                  <c:v>601907.34898914711</c:v>
                </c:pt>
                <c:pt idx="41">
                  <c:v>601907.34898914711</c:v>
                </c:pt>
                <c:pt idx="42">
                  <c:v>601907.34898914711</c:v>
                </c:pt>
                <c:pt idx="43">
                  <c:v>601907.34898914711</c:v>
                </c:pt>
                <c:pt idx="44">
                  <c:v>690094.26813338313</c:v>
                </c:pt>
                <c:pt idx="45">
                  <c:v>690094.26813338313</c:v>
                </c:pt>
                <c:pt idx="46">
                  <c:v>690094.26813338313</c:v>
                </c:pt>
                <c:pt idx="47">
                  <c:v>690094.26813338313</c:v>
                </c:pt>
                <c:pt idx="48">
                  <c:v>690094.26813338313</c:v>
                </c:pt>
                <c:pt idx="49">
                  <c:v>752875.83281129831</c:v>
                </c:pt>
                <c:pt idx="50">
                  <c:v>752875.83281129831</c:v>
                </c:pt>
                <c:pt idx="51">
                  <c:v>752875.83281129831</c:v>
                </c:pt>
                <c:pt idx="52">
                  <c:v>752875.83281129831</c:v>
                </c:pt>
                <c:pt idx="53">
                  <c:v>766465.60531348141</c:v>
                </c:pt>
                <c:pt idx="54">
                  <c:v>766465.60531348141</c:v>
                </c:pt>
                <c:pt idx="55">
                  <c:v>766465.60531348141</c:v>
                </c:pt>
                <c:pt idx="56">
                  <c:v>766465.60531348141</c:v>
                </c:pt>
                <c:pt idx="57">
                  <c:v>826426.84589198057</c:v>
                </c:pt>
                <c:pt idx="58">
                  <c:v>826426.84589198057</c:v>
                </c:pt>
                <c:pt idx="59">
                  <c:v>826426.84589198057</c:v>
                </c:pt>
                <c:pt idx="60">
                  <c:v>826426.84589198057</c:v>
                </c:pt>
                <c:pt idx="61">
                  <c:v>826426.84589198057</c:v>
                </c:pt>
                <c:pt idx="62">
                  <c:v>826426.84589198057</c:v>
                </c:pt>
                <c:pt idx="63">
                  <c:v>826426.84589198057</c:v>
                </c:pt>
                <c:pt idx="64">
                  <c:v>826426.84589198057</c:v>
                </c:pt>
                <c:pt idx="65">
                  <c:v>826426.84589198057</c:v>
                </c:pt>
                <c:pt idx="66">
                  <c:v>826426.84589198057</c:v>
                </c:pt>
                <c:pt idx="67">
                  <c:v>826426.84589198057</c:v>
                </c:pt>
                <c:pt idx="68">
                  <c:v>826426.84589198057</c:v>
                </c:pt>
                <c:pt idx="69">
                  <c:v>826426.84589198057</c:v>
                </c:pt>
                <c:pt idx="70">
                  <c:v>826426.84589198057</c:v>
                </c:pt>
                <c:pt idx="71">
                  <c:v>826426.84589198057</c:v>
                </c:pt>
                <c:pt idx="72">
                  <c:v>826426.84589198057</c:v>
                </c:pt>
                <c:pt idx="73">
                  <c:v>826426.84589198057</c:v>
                </c:pt>
                <c:pt idx="74">
                  <c:v>826426.84589198057</c:v>
                </c:pt>
                <c:pt idx="75">
                  <c:v>826426.84589198057</c:v>
                </c:pt>
                <c:pt idx="76">
                  <c:v>826426.84589198057</c:v>
                </c:pt>
                <c:pt idx="77">
                  <c:v>826426.84589198057</c:v>
                </c:pt>
                <c:pt idx="78">
                  <c:v>826426.84589198057</c:v>
                </c:pt>
                <c:pt idx="79">
                  <c:v>826426.84589198057</c:v>
                </c:pt>
                <c:pt idx="80">
                  <c:v>826426.84589198057</c:v>
                </c:pt>
                <c:pt idx="81">
                  <c:v>826426.84589198057</c:v>
                </c:pt>
                <c:pt idx="82">
                  <c:v>826426.84589198057</c:v>
                </c:pt>
                <c:pt idx="83">
                  <c:v>826426.84589198057</c:v>
                </c:pt>
                <c:pt idx="84">
                  <c:v>826426.84589198057</c:v>
                </c:pt>
                <c:pt idx="85">
                  <c:v>826426.84589198057</c:v>
                </c:pt>
                <c:pt idx="86">
                  <c:v>826426.84589198057</c:v>
                </c:pt>
                <c:pt idx="87">
                  <c:v>826426.84589198057</c:v>
                </c:pt>
                <c:pt idx="88">
                  <c:v>826426.84589198057</c:v>
                </c:pt>
                <c:pt idx="89">
                  <c:v>826426.84589198057</c:v>
                </c:pt>
                <c:pt idx="90">
                  <c:v>826426.84589198057</c:v>
                </c:pt>
                <c:pt idx="91">
                  <c:v>826426.84589198057</c:v>
                </c:pt>
                <c:pt idx="92">
                  <c:v>826426.84589198057</c:v>
                </c:pt>
                <c:pt idx="93">
                  <c:v>826426.84589198057</c:v>
                </c:pt>
                <c:pt idx="94">
                  <c:v>826426.84589198057</c:v>
                </c:pt>
                <c:pt idx="95">
                  <c:v>826426.84589198057</c:v>
                </c:pt>
                <c:pt idx="96">
                  <c:v>826426.84589198057</c:v>
                </c:pt>
                <c:pt idx="97">
                  <c:v>826426.84589198057</c:v>
                </c:pt>
                <c:pt idx="98">
                  <c:v>826426.84589198057</c:v>
                </c:pt>
                <c:pt idx="99">
                  <c:v>826426.84589198057</c:v>
                </c:pt>
                <c:pt idx="100">
                  <c:v>826426.84589198057</c:v>
                </c:pt>
                <c:pt idx="101">
                  <c:v>826426.84589198057</c:v>
                </c:pt>
                <c:pt idx="102">
                  <c:v>826426.84589198057</c:v>
                </c:pt>
                <c:pt idx="103">
                  <c:v>826426.84589198057</c:v>
                </c:pt>
                <c:pt idx="104">
                  <c:v>826426.84589198057</c:v>
                </c:pt>
                <c:pt idx="105">
                  <c:v>826426.84589198057</c:v>
                </c:pt>
                <c:pt idx="106">
                  <c:v>826426.84589198057</c:v>
                </c:pt>
                <c:pt idx="107">
                  <c:v>826426.84589198057</c:v>
                </c:pt>
                <c:pt idx="108">
                  <c:v>826426.84589198057</c:v>
                </c:pt>
                <c:pt idx="109">
                  <c:v>826426.84589198057</c:v>
                </c:pt>
                <c:pt idx="110">
                  <c:v>826426.84589198057</c:v>
                </c:pt>
                <c:pt idx="111">
                  <c:v>826426.84589198057</c:v>
                </c:pt>
                <c:pt idx="112">
                  <c:v>826426.84589198057</c:v>
                </c:pt>
                <c:pt idx="113">
                  <c:v>826426.84589198057</c:v>
                </c:pt>
                <c:pt idx="114">
                  <c:v>826426.84589198057</c:v>
                </c:pt>
                <c:pt idx="115">
                  <c:v>826426.84589198057</c:v>
                </c:pt>
                <c:pt idx="116">
                  <c:v>826426.84589198057</c:v>
                </c:pt>
                <c:pt idx="117">
                  <c:v>826426.84589198057</c:v>
                </c:pt>
                <c:pt idx="118">
                  <c:v>826426.84589198057</c:v>
                </c:pt>
                <c:pt idx="119">
                  <c:v>826426.84589198057</c:v>
                </c:pt>
                <c:pt idx="120">
                  <c:v>826426.84589198057</c:v>
                </c:pt>
                <c:pt idx="121">
                  <c:v>826426.84589198057</c:v>
                </c:pt>
                <c:pt idx="122">
                  <c:v>826426.84589198057</c:v>
                </c:pt>
                <c:pt idx="123">
                  <c:v>826426.84589198057</c:v>
                </c:pt>
                <c:pt idx="124">
                  <c:v>826426.84589198057</c:v>
                </c:pt>
                <c:pt idx="125">
                  <c:v>826426.84589198057</c:v>
                </c:pt>
                <c:pt idx="126">
                  <c:v>826426.84589198057</c:v>
                </c:pt>
                <c:pt idx="127">
                  <c:v>826426.84589198057</c:v>
                </c:pt>
                <c:pt idx="128">
                  <c:v>826426.84589198057</c:v>
                </c:pt>
                <c:pt idx="129">
                  <c:v>826426.84589198057</c:v>
                </c:pt>
                <c:pt idx="130">
                  <c:v>826426.84589198057</c:v>
                </c:pt>
                <c:pt idx="131">
                  <c:v>826426.84589198057</c:v>
                </c:pt>
                <c:pt idx="132">
                  <c:v>826426.84589198057</c:v>
                </c:pt>
                <c:pt idx="133">
                  <c:v>826426.84589198057</c:v>
                </c:pt>
                <c:pt idx="134">
                  <c:v>826426.84589198057</c:v>
                </c:pt>
                <c:pt idx="135">
                  <c:v>826426.84589198057</c:v>
                </c:pt>
                <c:pt idx="136">
                  <c:v>826426.84589198057</c:v>
                </c:pt>
                <c:pt idx="137">
                  <c:v>826426.84589198057</c:v>
                </c:pt>
                <c:pt idx="138">
                  <c:v>826426.84589198057</c:v>
                </c:pt>
                <c:pt idx="139">
                  <c:v>826426.84589198057</c:v>
                </c:pt>
                <c:pt idx="140">
                  <c:v>826426.84589198057</c:v>
                </c:pt>
                <c:pt idx="141">
                  <c:v>826426.84589198057</c:v>
                </c:pt>
                <c:pt idx="142">
                  <c:v>826426.84589198057</c:v>
                </c:pt>
                <c:pt idx="143">
                  <c:v>826426.84589198057</c:v>
                </c:pt>
                <c:pt idx="144">
                  <c:v>826426.84589198057</c:v>
                </c:pt>
                <c:pt idx="145">
                  <c:v>826426.84589198057</c:v>
                </c:pt>
                <c:pt idx="146">
                  <c:v>826426.84589198057</c:v>
                </c:pt>
                <c:pt idx="147">
                  <c:v>826426.84589198057</c:v>
                </c:pt>
                <c:pt idx="148">
                  <c:v>826426.84589198057</c:v>
                </c:pt>
                <c:pt idx="149">
                  <c:v>826426.84589198057</c:v>
                </c:pt>
                <c:pt idx="150">
                  <c:v>826426.84589198057</c:v>
                </c:pt>
                <c:pt idx="151">
                  <c:v>826426.84589198057</c:v>
                </c:pt>
                <c:pt idx="152">
                  <c:v>826426.84589198057</c:v>
                </c:pt>
                <c:pt idx="153">
                  <c:v>826426.84589198057</c:v>
                </c:pt>
                <c:pt idx="154">
                  <c:v>826426.84589198057</c:v>
                </c:pt>
                <c:pt idx="155">
                  <c:v>826426.84589198057</c:v>
                </c:pt>
                <c:pt idx="156">
                  <c:v>826426.84589198057</c:v>
                </c:pt>
                <c:pt idx="157">
                  <c:v>826426.84589198057</c:v>
                </c:pt>
                <c:pt idx="158">
                  <c:v>826426.84589198057</c:v>
                </c:pt>
                <c:pt idx="159">
                  <c:v>826426.84589198057</c:v>
                </c:pt>
                <c:pt idx="160">
                  <c:v>826426.84589198057</c:v>
                </c:pt>
                <c:pt idx="161">
                  <c:v>826426.84589198057</c:v>
                </c:pt>
                <c:pt idx="162">
                  <c:v>826426.84589198057</c:v>
                </c:pt>
                <c:pt idx="163">
                  <c:v>826426.84589198057</c:v>
                </c:pt>
                <c:pt idx="164">
                  <c:v>826426.84589198057</c:v>
                </c:pt>
                <c:pt idx="165">
                  <c:v>826426.84589198057</c:v>
                </c:pt>
                <c:pt idx="166">
                  <c:v>826426.84589198057</c:v>
                </c:pt>
                <c:pt idx="167">
                  <c:v>826426.84589198057</c:v>
                </c:pt>
                <c:pt idx="168">
                  <c:v>826426.84589198057</c:v>
                </c:pt>
                <c:pt idx="169">
                  <c:v>826426.84589198057</c:v>
                </c:pt>
                <c:pt idx="170">
                  <c:v>826426.84589198057</c:v>
                </c:pt>
                <c:pt idx="171">
                  <c:v>826426.84589198057</c:v>
                </c:pt>
                <c:pt idx="172">
                  <c:v>826426.84589198057</c:v>
                </c:pt>
                <c:pt idx="173">
                  <c:v>826426.84589198057</c:v>
                </c:pt>
                <c:pt idx="174">
                  <c:v>826426.84589198057</c:v>
                </c:pt>
                <c:pt idx="175">
                  <c:v>826426.84589198057</c:v>
                </c:pt>
                <c:pt idx="176">
                  <c:v>826426.84589198057</c:v>
                </c:pt>
                <c:pt idx="177">
                  <c:v>826426.84589198057</c:v>
                </c:pt>
                <c:pt idx="178">
                  <c:v>826426.84589198057</c:v>
                </c:pt>
                <c:pt idx="179">
                  <c:v>826426.84589198057</c:v>
                </c:pt>
                <c:pt idx="180">
                  <c:v>826426.84589198057</c:v>
                </c:pt>
                <c:pt idx="181">
                  <c:v>826426.84589198057</c:v>
                </c:pt>
                <c:pt idx="182">
                  <c:v>826426.84589198057</c:v>
                </c:pt>
                <c:pt idx="183">
                  <c:v>826426.84589198057</c:v>
                </c:pt>
                <c:pt idx="184">
                  <c:v>826426.84589198057</c:v>
                </c:pt>
                <c:pt idx="185">
                  <c:v>826426.84589198057</c:v>
                </c:pt>
                <c:pt idx="186">
                  <c:v>826426.84589198057</c:v>
                </c:pt>
                <c:pt idx="187">
                  <c:v>826426.84589198057</c:v>
                </c:pt>
                <c:pt idx="188">
                  <c:v>826426.84589198057</c:v>
                </c:pt>
                <c:pt idx="189">
                  <c:v>826426.84589198057</c:v>
                </c:pt>
                <c:pt idx="190">
                  <c:v>826426.84589198057</c:v>
                </c:pt>
                <c:pt idx="191">
                  <c:v>826426.84589198057</c:v>
                </c:pt>
                <c:pt idx="192">
                  <c:v>826426.84589198057</c:v>
                </c:pt>
                <c:pt idx="193">
                  <c:v>826426.84589198057</c:v>
                </c:pt>
                <c:pt idx="194">
                  <c:v>826426.84589198057</c:v>
                </c:pt>
                <c:pt idx="195">
                  <c:v>826426.84589198057</c:v>
                </c:pt>
                <c:pt idx="196">
                  <c:v>826426.84589198057</c:v>
                </c:pt>
                <c:pt idx="197">
                  <c:v>826426.84589198057</c:v>
                </c:pt>
                <c:pt idx="198">
                  <c:v>826426.84589198057</c:v>
                </c:pt>
                <c:pt idx="199">
                  <c:v>826426.84589198057</c:v>
                </c:pt>
                <c:pt idx="200">
                  <c:v>826426.84589198057</c:v>
                </c:pt>
                <c:pt idx="201">
                  <c:v>826426.84589198057</c:v>
                </c:pt>
                <c:pt idx="202">
                  <c:v>826426.84589198057</c:v>
                </c:pt>
                <c:pt idx="203">
                  <c:v>826426.84589198057</c:v>
                </c:pt>
                <c:pt idx="204">
                  <c:v>826426.84589198057</c:v>
                </c:pt>
                <c:pt idx="205">
                  <c:v>826426.84589198057</c:v>
                </c:pt>
                <c:pt idx="206">
                  <c:v>826426.84589198057</c:v>
                </c:pt>
                <c:pt idx="207">
                  <c:v>826426.84589198057</c:v>
                </c:pt>
                <c:pt idx="208">
                  <c:v>826426.84589198057</c:v>
                </c:pt>
                <c:pt idx="209">
                  <c:v>826426.84589198057</c:v>
                </c:pt>
                <c:pt idx="210">
                  <c:v>826426.84589198057</c:v>
                </c:pt>
                <c:pt idx="211">
                  <c:v>826426.84589198057</c:v>
                </c:pt>
                <c:pt idx="212">
                  <c:v>826426.84589198057</c:v>
                </c:pt>
                <c:pt idx="213">
                  <c:v>826426.84589198057</c:v>
                </c:pt>
                <c:pt idx="214">
                  <c:v>826426.84589198057</c:v>
                </c:pt>
                <c:pt idx="215">
                  <c:v>826426.84589198057</c:v>
                </c:pt>
                <c:pt idx="216">
                  <c:v>826426.84589198057</c:v>
                </c:pt>
                <c:pt idx="217">
                  <c:v>826426.84589198057</c:v>
                </c:pt>
                <c:pt idx="218">
                  <c:v>826426.84589198057</c:v>
                </c:pt>
                <c:pt idx="219">
                  <c:v>826426.84589198057</c:v>
                </c:pt>
                <c:pt idx="220">
                  <c:v>826426.84589198057</c:v>
                </c:pt>
                <c:pt idx="221">
                  <c:v>826426.84589198057</c:v>
                </c:pt>
                <c:pt idx="222">
                  <c:v>826426.84589198057</c:v>
                </c:pt>
                <c:pt idx="223">
                  <c:v>826426.84589198057</c:v>
                </c:pt>
                <c:pt idx="224">
                  <c:v>826426.84589198057</c:v>
                </c:pt>
                <c:pt idx="225">
                  <c:v>826426.84589198057</c:v>
                </c:pt>
                <c:pt idx="226">
                  <c:v>826426.84589198057</c:v>
                </c:pt>
                <c:pt idx="227">
                  <c:v>826426.84589198057</c:v>
                </c:pt>
                <c:pt idx="228">
                  <c:v>826426.84589198057</c:v>
                </c:pt>
                <c:pt idx="229">
                  <c:v>826426.84589198057</c:v>
                </c:pt>
                <c:pt idx="230">
                  <c:v>826426.84589198057</c:v>
                </c:pt>
                <c:pt idx="231">
                  <c:v>826426.84589198057</c:v>
                </c:pt>
                <c:pt idx="232">
                  <c:v>826426.84589198057</c:v>
                </c:pt>
                <c:pt idx="233">
                  <c:v>826426.84589198057</c:v>
                </c:pt>
                <c:pt idx="234">
                  <c:v>826426.84589198057</c:v>
                </c:pt>
                <c:pt idx="235">
                  <c:v>826426.84589198057</c:v>
                </c:pt>
                <c:pt idx="236">
                  <c:v>826426.84589198057</c:v>
                </c:pt>
                <c:pt idx="237">
                  <c:v>826426.84589198057</c:v>
                </c:pt>
                <c:pt idx="238">
                  <c:v>826426.84589198057</c:v>
                </c:pt>
                <c:pt idx="239">
                  <c:v>826426.84589198057</c:v>
                </c:pt>
                <c:pt idx="240">
                  <c:v>826426.84589198057</c:v>
                </c:pt>
                <c:pt idx="241">
                  <c:v>826426.84589198057</c:v>
                </c:pt>
                <c:pt idx="242">
                  <c:v>826426.84589198057</c:v>
                </c:pt>
                <c:pt idx="243">
                  <c:v>826426.84589198057</c:v>
                </c:pt>
                <c:pt idx="244">
                  <c:v>826426.84589198057</c:v>
                </c:pt>
                <c:pt idx="245">
                  <c:v>826426.84589198057</c:v>
                </c:pt>
                <c:pt idx="246">
                  <c:v>826426.84589198057</c:v>
                </c:pt>
                <c:pt idx="247">
                  <c:v>826426.84589198057</c:v>
                </c:pt>
                <c:pt idx="248">
                  <c:v>826426.84589198057</c:v>
                </c:pt>
                <c:pt idx="249">
                  <c:v>826426.84589198057</c:v>
                </c:pt>
                <c:pt idx="250">
                  <c:v>826426.84589198057</c:v>
                </c:pt>
                <c:pt idx="251">
                  <c:v>826426.84589198057</c:v>
                </c:pt>
                <c:pt idx="252">
                  <c:v>826426.84589198057</c:v>
                </c:pt>
                <c:pt idx="253">
                  <c:v>826426.84589198057</c:v>
                </c:pt>
                <c:pt idx="254">
                  <c:v>826426.84589198057</c:v>
                </c:pt>
                <c:pt idx="255">
                  <c:v>826426.84589198057</c:v>
                </c:pt>
                <c:pt idx="256">
                  <c:v>826426.84589198057</c:v>
                </c:pt>
                <c:pt idx="257">
                  <c:v>826426.84589198057</c:v>
                </c:pt>
                <c:pt idx="258">
                  <c:v>826426.84589198057</c:v>
                </c:pt>
                <c:pt idx="259">
                  <c:v>826426.84589198057</c:v>
                </c:pt>
                <c:pt idx="260">
                  <c:v>826426.84589198057</c:v>
                </c:pt>
                <c:pt idx="261">
                  <c:v>826426.84589198057</c:v>
                </c:pt>
                <c:pt idx="262">
                  <c:v>826426.84589198057</c:v>
                </c:pt>
                <c:pt idx="263">
                  <c:v>826426.84589198057</c:v>
                </c:pt>
                <c:pt idx="264">
                  <c:v>826426.84589198057</c:v>
                </c:pt>
                <c:pt idx="265">
                  <c:v>826426.84589198057</c:v>
                </c:pt>
                <c:pt idx="266">
                  <c:v>826426.84589198057</c:v>
                </c:pt>
                <c:pt idx="267">
                  <c:v>826426.84589198057</c:v>
                </c:pt>
                <c:pt idx="268">
                  <c:v>826426.84589198057</c:v>
                </c:pt>
                <c:pt idx="269">
                  <c:v>826426.84589198057</c:v>
                </c:pt>
                <c:pt idx="270">
                  <c:v>826426.84589198057</c:v>
                </c:pt>
                <c:pt idx="271">
                  <c:v>826426.84589198057</c:v>
                </c:pt>
                <c:pt idx="272">
                  <c:v>826426.84589198057</c:v>
                </c:pt>
                <c:pt idx="273">
                  <c:v>826426.84589198057</c:v>
                </c:pt>
                <c:pt idx="274">
                  <c:v>826426.84589198057</c:v>
                </c:pt>
                <c:pt idx="275">
                  <c:v>826426.84589198057</c:v>
                </c:pt>
                <c:pt idx="276">
                  <c:v>826426.84589198057</c:v>
                </c:pt>
                <c:pt idx="277">
                  <c:v>826426.84589198057</c:v>
                </c:pt>
                <c:pt idx="278">
                  <c:v>826426.84589198057</c:v>
                </c:pt>
                <c:pt idx="279">
                  <c:v>826426.84589198057</c:v>
                </c:pt>
                <c:pt idx="280">
                  <c:v>826426.84589198057</c:v>
                </c:pt>
                <c:pt idx="281">
                  <c:v>826426.84589198057</c:v>
                </c:pt>
                <c:pt idx="282">
                  <c:v>826426.84589198057</c:v>
                </c:pt>
                <c:pt idx="283">
                  <c:v>826426.84589198057</c:v>
                </c:pt>
                <c:pt idx="284">
                  <c:v>826426.84589198057</c:v>
                </c:pt>
                <c:pt idx="285">
                  <c:v>826426.84589198057</c:v>
                </c:pt>
                <c:pt idx="286">
                  <c:v>826426.84589198057</c:v>
                </c:pt>
                <c:pt idx="287">
                  <c:v>826426.84589198057</c:v>
                </c:pt>
                <c:pt idx="288">
                  <c:v>826426.84589198057</c:v>
                </c:pt>
                <c:pt idx="289">
                  <c:v>826426.84589198057</c:v>
                </c:pt>
                <c:pt idx="290">
                  <c:v>826426.84589198057</c:v>
                </c:pt>
                <c:pt idx="291">
                  <c:v>826426.84589198057</c:v>
                </c:pt>
                <c:pt idx="292">
                  <c:v>826426.84589198057</c:v>
                </c:pt>
                <c:pt idx="293">
                  <c:v>826426.84589198057</c:v>
                </c:pt>
                <c:pt idx="294">
                  <c:v>826426.84589198057</c:v>
                </c:pt>
                <c:pt idx="295">
                  <c:v>826426.84589198057</c:v>
                </c:pt>
                <c:pt idx="296">
                  <c:v>826426.84589198057</c:v>
                </c:pt>
                <c:pt idx="297">
                  <c:v>826426.84589198057</c:v>
                </c:pt>
                <c:pt idx="298">
                  <c:v>826426.84589198057</c:v>
                </c:pt>
                <c:pt idx="299">
                  <c:v>826426.84589198057</c:v>
                </c:pt>
                <c:pt idx="300">
                  <c:v>826426.84589198057</c:v>
                </c:pt>
                <c:pt idx="301">
                  <c:v>826426.84589198057</c:v>
                </c:pt>
                <c:pt idx="302">
                  <c:v>826426.84589198057</c:v>
                </c:pt>
                <c:pt idx="303">
                  <c:v>826426.84589198057</c:v>
                </c:pt>
                <c:pt idx="304">
                  <c:v>826426.84589198057</c:v>
                </c:pt>
                <c:pt idx="305">
                  <c:v>826426.84589198057</c:v>
                </c:pt>
                <c:pt idx="306">
                  <c:v>826426.84589198057</c:v>
                </c:pt>
                <c:pt idx="307">
                  <c:v>826426.84589198057</c:v>
                </c:pt>
                <c:pt idx="308">
                  <c:v>826426.84589198057</c:v>
                </c:pt>
                <c:pt idx="309">
                  <c:v>826426.84589198057</c:v>
                </c:pt>
                <c:pt idx="310">
                  <c:v>826426.84589198057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1093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4.4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786" t="s">
        <v>58</v>
      </c>
      <c r="C2" s="787"/>
      <c r="D2" s="787"/>
      <c r="E2" s="787"/>
      <c r="F2" s="78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6" t="s">
        <v>69</v>
      </c>
      <c r="C16" s="787"/>
      <c r="D16" s="787"/>
      <c r="E16" s="787"/>
      <c r="F16" s="78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zoomScale="85" zoomScaleNormal="85" workbookViewId="0">
      <selection activeCell="P52" sqref="P52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1093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1093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46078</v>
      </c>
      <c r="P1" s="408">
        <f ca="1">TODAY()</f>
        <v>46078</v>
      </c>
      <c r="R1" s="3"/>
    </row>
    <row r="2" spans="2:29">
      <c r="B2" s="176"/>
      <c r="C2" s="177" t="s">
        <v>0</v>
      </c>
      <c r="D2" s="178"/>
      <c r="E2" s="792" t="s">
        <v>73</v>
      </c>
      <c r="F2" s="793"/>
      <c r="G2" s="793"/>
      <c r="H2" s="794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95" t="s">
        <v>76</v>
      </c>
      <c r="F4" s="796"/>
      <c r="G4" s="796"/>
      <c r="H4" s="797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95" t="s">
        <v>79</v>
      </c>
      <c r="F5" s="796"/>
      <c r="G5" s="796"/>
      <c r="H5" s="797"/>
      <c r="J5" s="113"/>
      <c r="R5" s="3"/>
    </row>
    <row r="6" spans="2:29">
      <c r="B6" s="184"/>
      <c r="C6" s="185" t="s">
        <v>80</v>
      </c>
      <c r="D6" s="178"/>
      <c r="E6" s="798">
        <v>828367.24558144598</v>
      </c>
      <c r="F6" s="799"/>
      <c r="G6" s="799"/>
      <c r="H6" s="800"/>
    </row>
    <row r="7" spans="2:29" s="112" customFormat="1" ht="20.25" customHeight="1">
      <c r="B7" s="167"/>
      <c r="C7" s="721" t="s">
        <v>81</v>
      </c>
      <c r="D7" s="720"/>
      <c r="E7" s="719" t="s">
        <v>82</v>
      </c>
      <c r="F7" s="724"/>
      <c r="G7" s="186"/>
      <c r="J7" s="113"/>
      <c r="R7" s="3"/>
    </row>
    <row r="8" spans="2:29" ht="30" customHeight="1">
      <c r="B8" s="789" t="s">
        <v>83</v>
      </c>
      <c r="C8" s="790" t="s">
        <v>84</v>
      </c>
      <c r="D8" s="215"/>
      <c r="E8" s="791" t="s">
        <v>85</v>
      </c>
      <c r="F8" s="237" t="s">
        <v>86</v>
      </c>
      <c r="G8" s="791" t="s">
        <v>87</v>
      </c>
      <c r="H8" s="238"/>
      <c r="I8" s="791" t="s">
        <v>88</v>
      </c>
      <c r="J8" s="237" t="s">
        <v>86</v>
      </c>
      <c r="K8" s="791" t="s">
        <v>89</v>
      </c>
      <c r="M8" s="415" t="s">
        <v>60</v>
      </c>
      <c r="N8" s="415" t="s">
        <v>60</v>
      </c>
      <c r="P8" s="801" t="s">
        <v>90</v>
      </c>
      <c r="AA8" s="112"/>
      <c r="AB8" s="112"/>
      <c r="AC8" s="112"/>
    </row>
    <row r="9" spans="2:29">
      <c r="B9" s="789"/>
      <c r="C9" s="790"/>
      <c r="D9" s="215"/>
      <c r="E9" s="791"/>
      <c r="F9" s="126">
        <f>G41-E19</f>
        <v>17</v>
      </c>
      <c r="G9" s="791"/>
      <c r="H9" s="238"/>
      <c r="I9" s="791"/>
      <c r="J9" s="127">
        <f>K41-I19</f>
        <v>47</v>
      </c>
      <c r="K9" s="791"/>
      <c r="M9" s="362">
        <f>AVERAGE(M11,M18,M21,M28,M35,M39,M46,M43)</f>
        <v>0.98890056022408968</v>
      </c>
      <c r="N9" s="362">
        <f ca="1">AVERAGE(N11,N18,N21,N28,N35,N39,N46,N43)</f>
        <v>0.96876019797672142</v>
      </c>
      <c r="O9" s="374"/>
      <c r="P9" s="802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115</v>
      </c>
      <c r="C26" s="249" t="s">
        <v>116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117</v>
      </c>
      <c r="C29" s="690" t="s">
        <v>118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117</v>
      </c>
      <c r="C30" s="249" t="s">
        <v>119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121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122</v>
      </c>
      <c r="C32" s="249" t="s">
        <v>123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4">
      <c r="B33" s="248" t="s">
        <v>124</v>
      </c>
      <c r="C33" s="243" t="s">
        <v>125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133</v>
      </c>
      <c r="C41" s="243" t="s">
        <v>134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135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136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137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0.95882352941176463</v>
      </c>
      <c r="N46" s="361">
        <f ca="1">(K47*N47+K48*N48+K49*N49+K50*N50+K51*N51+K52*N52)/SUM(K47:K52)</f>
        <v>1</v>
      </c>
      <c r="O46" s="377">
        <f>J46*M46</f>
        <v>74.788235294117641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138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139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/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1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1</v>
      </c>
      <c r="N51" s="254">
        <f t="shared" ca="1" si="5"/>
        <v>1</v>
      </c>
      <c r="O51" s="377"/>
      <c r="P51" s="122"/>
      <c r="Z51" s="24"/>
    </row>
    <row r="52" spans="2:29">
      <c r="B52" s="248">
        <v>8.6</v>
      </c>
      <c r="C52" s="243" t="s">
        <v>143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46069</v>
      </c>
      <c r="J52" s="251">
        <v>3</v>
      </c>
      <c r="K52" s="253">
        <f>WORKDAY.INTL(I52,J52,1,Data!$C$3:$C$14)</f>
        <v>46072</v>
      </c>
      <c r="M52" s="254">
        <v>0.3</v>
      </c>
      <c r="N52" s="254">
        <f t="shared" ca="1" si="5"/>
        <v>1</v>
      </c>
      <c r="P52" s="122" t="s">
        <v>144</v>
      </c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Q17" sqref="Q17"/>
    </sheetView>
  </sheetViews>
  <sheetFormatPr defaultColWidth="8.44140625" defaultRowHeight="14.4"/>
  <cols>
    <col min="1" max="1" width="5.109375" style="93" customWidth="1"/>
    <col min="2" max="2" width="5.109375" style="130" customWidth="1"/>
    <col min="3" max="4" width="23.109375" style="129" customWidth="1"/>
    <col min="5" max="5" width="6.5546875" style="129" customWidth="1"/>
    <col min="6" max="6" width="16.109375" style="129" customWidth="1"/>
    <col min="7" max="7" width="4.44140625" style="129" customWidth="1"/>
    <col min="8" max="8" width="15.44140625" style="129" customWidth="1"/>
    <col min="9" max="9" width="1.88671875" style="129" customWidth="1"/>
    <col min="10" max="10" width="3.44140625" style="93" customWidth="1"/>
    <col min="11" max="11" width="1.88671875" style="175" customWidth="1"/>
    <col min="12" max="12" width="29.44140625" style="93" customWidth="1"/>
    <col min="13" max="13" width="1.88671875" style="129" customWidth="1"/>
    <col min="14" max="14" width="29.44140625" style="129" customWidth="1"/>
    <col min="15" max="15" width="1.44140625" style="93" customWidth="1"/>
    <col min="16" max="16" width="18.44140625" style="129" customWidth="1"/>
    <col min="17" max="17" width="14.5546875" style="129" customWidth="1"/>
    <col min="18" max="18" width="19.109375" style="129" customWidth="1"/>
    <col min="19" max="19" width="16.5546875" style="129" customWidth="1"/>
    <col min="20" max="20" width="19" style="129" customWidth="1"/>
    <col min="21" max="21" width="14.88671875" style="93" customWidth="1"/>
    <col min="22" max="23" width="8.44140625" style="93"/>
    <col min="24" max="24" width="5.109375" style="93" bestFit="1" customWidth="1"/>
    <col min="25" max="25" width="14.109375" style="93" bestFit="1" customWidth="1"/>
    <col min="26" max="26" width="8.44140625" style="93"/>
    <col min="27" max="27" width="14.109375" style="93" bestFit="1" customWidth="1"/>
    <col min="28" max="28" width="8.44140625" style="129"/>
    <col min="29" max="29" width="12.1093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.2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.2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627398.71354720742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627398.71354720742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496567.230569768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.2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.4">
      <c r="B12" s="131" t="s">
        <v>83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.2">
      <c r="B13" s="352">
        <v>1</v>
      </c>
      <c r="C13" s="805" t="s">
        <v>171</v>
      </c>
      <c r="D13" s="806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3.2">
      <c r="B14" s="154">
        <v>2</v>
      </c>
      <c r="C14" s="805" t="s">
        <v>173</v>
      </c>
      <c r="D14" s="806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3.2">
      <c r="B15" s="352">
        <v>3</v>
      </c>
      <c r="C15" s="805" t="s">
        <v>175</v>
      </c>
      <c r="D15" s="806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3.2">
      <c r="B16" s="352">
        <v>4</v>
      </c>
      <c r="C16" s="803" t="s">
        <v>134</v>
      </c>
      <c r="D16" s="804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3.2">
      <c r="B17" s="352">
        <v>5</v>
      </c>
      <c r="C17" s="803" t="s">
        <v>54</v>
      </c>
      <c r="D17" s="804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46081</v>
      </c>
      <c r="R17" s="383"/>
      <c r="S17" s="141"/>
    </row>
    <row r="18" spans="2:19" s="93" customFormat="1" ht="13.2">
      <c r="B18" s="352">
        <v>6</v>
      </c>
      <c r="C18" s="803" t="s">
        <v>177</v>
      </c>
      <c r="D18" s="804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3.2">
      <c r="B19" s="352">
        <v>7</v>
      </c>
      <c r="C19" s="805" t="s">
        <v>177</v>
      </c>
      <c r="D19" s="806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.2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3.2">
      <c r="C24" s="147" t="s">
        <v>180</v>
      </c>
      <c r="D24" s="148"/>
      <c r="F24" s="149"/>
    </row>
    <row r="25" spans="2:19" s="93" customFormat="1" ht="13.2">
      <c r="C25" s="147" t="s">
        <v>181</v>
      </c>
      <c r="D25" s="148"/>
    </row>
    <row r="26" spans="2:19" s="93" customFormat="1" ht="13.2">
      <c r="C26" s="150" t="s">
        <v>182</v>
      </c>
      <c r="D26" s="151"/>
    </row>
    <row r="27" spans="2:19" s="93" customFormat="1" ht="13.2">
      <c r="C27" s="152" t="s">
        <v>183</v>
      </c>
      <c r="D27" s="148"/>
    </row>
    <row r="28" spans="2:19" s="93" customFormat="1" ht="13.2">
      <c r="B28" s="117"/>
      <c r="C28" s="152" t="s">
        <v>184</v>
      </c>
      <c r="D28" s="148"/>
    </row>
    <row r="29" spans="2:19" s="93" customFormat="1" ht="13.2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1093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8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8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807"/>
      <c r="C4" s="807"/>
      <c r="D4" s="807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4" thickBot="1">
      <c r="A5" s="215"/>
      <c r="B5" s="808" t="s">
        <v>212</v>
      </c>
      <c r="C5" s="808"/>
      <c r="D5" s="808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83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5" zoomScaleNormal="85" workbookViewId="0">
      <pane ySplit="4" topLeftCell="A5" activePane="bottomLeft" state="frozen"/>
      <selection activeCell="X33" sqref="X33"/>
      <selection pane="bottomLeft" activeCell="S148" sqref="S148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7" hidden="1" customWidth="1"/>
    <col min="7" max="7" width="17.44140625" style="24" hidden="1" customWidth="1"/>
    <col min="8" max="8" width="17.44140625" style="546" hidden="1" customWidth="1"/>
    <col min="9" max="9" width="22.44140625" style="350" hidden="1" customWidth="1"/>
    <col min="10" max="10" width="22.44140625" style="350" bestFit="1" customWidth="1"/>
    <col min="11" max="12" width="5.109375" style="112" customWidth="1"/>
    <col min="13" max="13" width="25.5546875" style="112" customWidth="1"/>
    <col min="14" max="14" width="48.44140625" style="112" customWidth="1"/>
    <col min="15" max="15" width="15.88671875" style="112" customWidth="1"/>
    <col min="16" max="17" width="17.44140625" style="112" customWidth="1"/>
    <col min="18" max="18" width="39" style="112" customWidth="1"/>
    <col min="19" max="19" width="36.5546875" style="112" customWidth="1"/>
    <col min="20" max="21" width="17.44140625" style="546" customWidth="1"/>
    <col min="22" max="22" width="17.44140625" style="112" customWidth="1"/>
    <col min="23" max="23" width="17.44140625" style="546" customWidth="1"/>
    <col min="24" max="24" width="21.109375" style="112" customWidth="1"/>
    <col min="25" max="25" width="29.44140625" style="112" bestFit="1" customWidth="1"/>
    <col min="26" max="26" width="24.88671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34" t="s">
        <v>219</v>
      </c>
      <c r="C2" s="735"/>
      <c r="D2" s="735"/>
      <c r="E2" s="735"/>
      <c r="F2" s="735"/>
      <c r="G2" s="735"/>
      <c r="H2" s="505"/>
      <c r="I2" s="258">
        <f>SUM(I6:I159)</f>
        <v>686839.19314130431</v>
      </c>
      <c r="J2" s="258">
        <f>SUM(J6:J159)</f>
        <v>828367.24558144645</v>
      </c>
      <c r="L2" s="736" t="s">
        <v>220</v>
      </c>
      <c r="M2" s="737"/>
      <c r="N2" s="737"/>
      <c r="O2" s="737"/>
      <c r="P2" s="737"/>
      <c r="Q2" s="737"/>
      <c r="R2" s="741" t="s">
        <v>221</v>
      </c>
      <c r="S2" s="742"/>
      <c r="T2" s="742"/>
      <c r="U2" s="742"/>
      <c r="V2" s="742"/>
      <c r="W2" s="743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38">
        <f>SUM(G6:G11)</f>
        <v>167702.96000000005</v>
      </c>
      <c r="J6" s="738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199846.345012253</v>
      </c>
      <c r="V6" s="728">
        <f>J6-SUM(U6:U11)</f>
        <v>0</v>
      </c>
      <c r="W6" s="717">
        <v>45989</v>
      </c>
      <c r="X6" s="725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39"/>
      <c r="J7" s="739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29"/>
      <c r="W7" s="537">
        <v>45989</v>
      </c>
      <c r="X7" s="726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39"/>
      <c r="J8" s="739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29"/>
      <c r="W8" s="569"/>
      <c r="X8" s="726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39"/>
      <c r="J9" s="739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29"/>
      <c r="W9" s="570"/>
      <c r="X9" s="726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39"/>
      <c r="J10" s="739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29"/>
      <c r="W10" s="570"/>
      <c r="X10" s="726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40"/>
      <c r="J11" s="740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30"/>
      <c r="W11" s="571"/>
      <c r="X11" s="727"/>
      <c r="Y11" s="602" t="s">
        <v>241</v>
      </c>
      <c r="Z11" s="603" t="s">
        <v>242</v>
      </c>
    </row>
    <row r="12" spans="1:76" ht="14.4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44">
        <f>SUM(G13:G19)</f>
        <v>47500</v>
      </c>
      <c r="J13" s="744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31">
        <f>J13-SUM(U13:U19)</f>
        <v>0</v>
      </c>
      <c r="W13" s="539">
        <v>45900</v>
      </c>
      <c r="X13" s="747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45"/>
      <c r="J14" s="745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>(Q14/$X$13*$J$13)</f>
        <v>0</v>
      </c>
      <c r="V14" s="732"/>
      <c r="W14" s="651"/>
      <c r="X14" s="748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45"/>
      <c r="J15" s="745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ref="U15:U19" si="1">(Q15/$X$13*$J$13)</f>
        <v>0</v>
      </c>
      <c r="V15" s="732"/>
      <c r="W15" s="574"/>
      <c r="X15" s="748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45"/>
      <c r="J16" s="745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32"/>
      <c r="W16" s="574"/>
      <c r="X16" s="748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45"/>
      <c r="J17" s="745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32"/>
      <c r="W17" s="574"/>
      <c r="X17" s="748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45"/>
      <c r="J18" s="745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32"/>
      <c r="W18" s="574"/>
      <c r="X18" s="748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46"/>
      <c r="J19" s="746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33"/>
      <c r="W19" s="575"/>
      <c r="X19" s="749"/>
      <c r="Y19" s="604" t="s">
        <v>255</v>
      </c>
      <c r="Z19" s="605">
        <v>0</v>
      </c>
    </row>
    <row r="20" spans="1:27" ht="14.4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38">
        <f>SUM(G21:G26)</f>
        <v>47059.199999999997</v>
      </c>
      <c r="J21" s="738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28">
        <f>J21-SUM(U21:U26)</f>
        <v>0</v>
      </c>
      <c r="W21" s="695">
        <f>T21+30</f>
        <v>45960</v>
      </c>
      <c r="X21" s="725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39"/>
      <c r="J22" s="739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29"/>
      <c r="W22" s="569"/>
      <c r="X22" s="726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39"/>
      <c r="J23" s="739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29"/>
      <c r="W23" s="537">
        <v>45989</v>
      </c>
      <c r="X23" s="726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39"/>
      <c r="J24" s="739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29"/>
      <c r="W24" s="570"/>
      <c r="X24" s="726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39"/>
      <c r="J25" s="739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29"/>
      <c r="W25" s="570"/>
      <c r="X25" s="726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40"/>
      <c r="J26" s="740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30"/>
      <c r="W26" s="571"/>
      <c r="X26" s="727"/>
      <c r="Y26" s="610" t="s">
        <v>147</v>
      </c>
      <c r="Z26" s="611" t="s">
        <v>268</v>
      </c>
    </row>
    <row r="27" spans="1:27" ht="14.4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44">
        <f>SUM(G28:G42)</f>
        <v>87218.6</v>
      </c>
      <c r="J28" s="744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31">
        <f>J28-SUM(U28:U42)</f>
        <v>-6.7025581014459021</v>
      </c>
      <c r="W28" s="718">
        <v>45989</v>
      </c>
      <c r="X28" s="747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45"/>
      <c r="J29" s="745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32"/>
      <c r="W29" s="574"/>
      <c r="X29" s="748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45"/>
      <c r="J30" s="745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32"/>
      <c r="W30" s="574"/>
      <c r="X30" s="748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45"/>
      <c r="J31" s="745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32"/>
      <c r="W31" s="574"/>
      <c r="X31" s="748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45"/>
      <c r="J32" s="745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50" t="s">
        <v>275</v>
      </c>
      <c r="S32" s="627" t="s">
        <v>276</v>
      </c>
      <c r="T32" s="673">
        <v>45930</v>
      </c>
      <c r="U32" s="709">
        <v>4623.9056888684636</v>
      </c>
      <c r="V32" s="732"/>
      <c r="W32" s="540">
        <f>W90</f>
        <v>45918</v>
      </c>
      <c r="X32" s="748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45"/>
      <c r="J33" s="745"/>
      <c r="K33" s="301"/>
      <c r="L33" s="298">
        <v>4</v>
      </c>
      <c r="M33" s="430" t="s">
        <v>270</v>
      </c>
      <c r="N33" s="412" t="s">
        <v>101</v>
      </c>
      <c r="O33" s="553"/>
      <c r="P33" s="563">
        <v>0.15</v>
      </c>
      <c r="Q33" s="300">
        <f t="shared" ref="Q33:Q39" si="5">$O$32*P33</f>
        <v>6298.5</v>
      </c>
      <c r="R33" s="751"/>
      <c r="S33" s="627" t="s">
        <v>277</v>
      </c>
      <c r="T33" s="653">
        <f t="shared" si="0"/>
        <v>45961</v>
      </c>
      <c r="U33" s="709">
        <v>6935.8585333026958</v>
      </c>
      <c r="V33" s="732"/>
      <c r="W33" s="540">
        <f t="shared" ref="W33:W39" si="6">W91</f>
        <v>45954</v>
      </c>
      <c r="X33" s="748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45"/>
      <c r="J34" s="745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51"/>
      <c r="S34" s="627" t="str">
        <f>S92</f>
        <v>Matthews Group - INV1564</v>
      </c>
      <c r="T34" s="653">
        <f>T92</f>
        <v>45991</v>
      </c>
      <c r="U34" s="709">
        <v>9247.8113777369272</v>
      </c>
      <c r="V34" s="732"/>
      <c r="W34" s="714">
        <f t="shared" si="6"/>
        <v>45995</v>
      </c>
      <c r="X34" s="748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45"/>
      <c r="J35" s="745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51"/>
      <c r="S35" s="627" t="s">
        <v>282</v>
      </c>
      <c r="T35" s="715">
        <f>T93</f>
        <v>45991</v>
      </c>
      <c r="U35" s="709">
        <v>11559.764222171159</v>
      </c>
      <c r="V35" s="732"/>
      <c r="W35" s="540">
        <f>W93</f>
        <v>45989</v>
      </c>
      <c r="X35" s="748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45"/>
      <c r="J36" s="745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51"/>
      <c r="S36" s="627" t="s">
        <v>284</v>
      </c>
      <c r="T36" s="653">
        <v>46022</v>
      </c>
      <c r="U36" s="709">
        <v>4631.2783990413282</v>
      </c>
      <c r="V36" s="732"/>
      <c r="W36" s="540">
        <f>W94</f>
        <v>46065</v>
      </c>
      <c r="X36" s="748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45"/>
      <c r="J37" s="745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51"/>
      <c r="S37" s="627" t="s">
        <v>286</v>
      </c>
      <c r="T37" s="653">
        <v>46022</v>
      </c>
      <c r="U37" s="709">
        <v>4623.5706128327474</v>
      </c>
      <c r="V37" s="732"/>
      <c r="W37" s="540">
        <f>W95</f>
        <v>46065</v>
      </c>
      <c r="X37" s="748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45"/>
      <c r="J38" s="745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51"/>
      <c r="S38" s="627" t="s">
        <v>288</v>
      </c>
      <c r="T38" s="653">
        <v>46022</v>
      </c>
      <c r="U38" s="709">
        <v>2311.7853064163737</v>
      </c>
      <c r="V38" s="732"/>
      <c r="W38" s="540">
        <f>W96</f>
        <v>46065</v>
      </c>
      <c r="X38" s="748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45"/>
      <c r="J39" s="745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52"/>
      <c r="S39" s="627" t="s">
        <v>290</v>
      </c>
      <c r="T39" s="653">
        <v>46022</v>
      </c>
      <c r="U39" s="709">
        <v>2311.7853064163737</v>
      </c>
      <c r="V39" s="732"/>
      <c r="W39" s="574">
        <f t="shared" si="6"/>
        <v>46095</v>
      </c>
      <c r="X39" s="748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45"/>
      <c r="J40" s="745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32"/>
      <c r="W40" s="574"/>
      <c r="X40" s="748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45"/>
      <c r="J41" s="745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32"/>
      <c r="W41" s="574"/>
      <c r="X41" s="748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46"/>
      <c r="J42" s="746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33"/>
      <c r="W42" s="575"/>
      <c r="X42" s="749"/>
      <c r="Y42" s="485"/>
    </row>
    <row r="43" spans="1:26" ht="14.4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38">
        <f>SUM(G44:G50)</f>
        <v>41000</v>
      </c>
      <c r="J44" s="738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28">
        <f>J44-SUM(U44:U50)</f>
        <v>1947.1051844589529</v>
      </c>
      <c r="W44" s="695">
        <v>45926</v>
      </c>
      <c r="X44" s="725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39"/>
      <c r="J45" s="739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29"/>
      <c r="W45" s="537">
        <f>T45+30</f>
        <v>45930</v>
      </c>
      <c r="X45" s="726"/>
      <c r="Y45" s="485"/>
    </row>
    <row r="46" spans="1:26" ht="14.2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39"/>
      <c r="J46" s="739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29"/>
      <c r="W46" s="537">
        <v>45974</v>
      </c>
      <c r="X46" s="726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39"/>
      <c r="J47" s="739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29"/>
      <c r="W47" s="537">
        <v>45899</v>
      </c>
      <c r="X47" s="726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39"/>
      <c r="J48" s="739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29"/>
      <c r="W48" s="538">
        <v>45899</v>
      </c>
      <c r="X48" s="726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39"/>
      <c r="J49" s="739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29"/>
      <c r="W49" s="684">
        <v>45930</v>
      </c>
      <c r="X49" s="726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40"/>
      <c r="J50" s="740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30"/>
      <c r="W50" s="686">
        <v>45910</v>
      </c>
      <c r="X50" s="727"/>
      <c r="Y50" s="485"/>
    </row>
    <row r="51" spans="1:25" ht="14.4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44">
        <f>SUM(G52:G68)</f>
        <v>131329.98260869566</v>
      </c>
      <c r="J52" s="744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31">
        <f>J52-SUM(U52:U68)</f>
        <v>0</v>
      </c>
      <c r="W52" s="573"/>
      <c r="X52" s="747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45"/>
      <c r="J53" s="745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32"/>
      <c r="W53" s="714">
        <f>T53+30</f>
        <v>45930</v>
      </c>
      <c r="X53" s="748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45"/>
      <c r="J54" s="745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32"/>
      <c r="W54" s="574"/>
      <c r="X54" s="748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45"/>
      <c r="J55" s="745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32"/>
      <c r="W55" s="574"/>
      <c r="X55" s="748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45"/>
      <c r="J56" s="745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32"/>
      <c r="W56" s="574"/>
      <c r="X56" s="748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45"/>
      <c r="J57" s="745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32"/>
      <c r="W57" s="574"/>
      <c r="X57" s="748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45"/>
      <c r="J58" s="745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50" t="s">
        <v>275</v>
      </c>
      <c r="S58" s="627" t="s">
        <v>276</v>
      </c>
      <c r="T58" s="672">
        <v>45930</v>
      </c>
      <c r="U58" s="709">
        <v>5195.7168660597981</v>
      </c>
      <c r="V58" s="732"/>
      <c r="W58" s="540">
        <f>W90</f>
        <v>45918</v>
      </c>
      <c r="X58" s="748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45"/>
      <c r="J59" s="745"/>
      <c r="K59" s="301"/>
      <c r="L59" s="298">
        <v>6</v>
      </c>
      <c r="M59" s="434" t="s">
        <v>307</v>
      </c>
      <c r="N59" s="412" t="s">
        <v>101</v>
      </c>
      <c r="O59" s="553"/>
      <c r="P59" s="563">
        <v>0.15</v>
      </c>
      <c r="Q59" s="300">
        <f t="shared" ref="Q59:Q65" si="10">$O$58*P59</f>
        <v>3875.3999999999996</v>
      </c>
      <c r="R59" s="751"/>
      <c r="S59" s="627" t="s">
        <v>277</v>
      </c>
      <c r="T59" s="697">
        <f t="shared" si="0"/>
        <v>45961</v>
      </c>
      <c r="U59" s="709">
        <v>7793.5752990896963</v>
      </c>
      <c r="V59" s="732"/>
      <c r="W59" s="540">
        <f t="shared" ref="W59:W65" si="11">W91</f>
        <v>45954</v>
      </c>
      <c r="X59" s="748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45"/>
      <c r="J60" s="745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51"/>
      <c r="S60" s="627" t="str">
        <f>S92</f>
        <v>Matthews Group - INV1564</v>
      </c>
      <c r="T60" s="697">
        <f>T92</f>
        <v>45991</v>
      </c>
      <c r="U60" s="709">
        <v>10391.433732119596</v>
      </c>
      <c r="V60" s="732"/>
      <c r="W60" s="714">
        <f t="shared" si="11"/>
        <v>45995</v>
      </c>
      <c r="X60" s="748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45"/>
      <c r="J61" s="745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51"/>
      <c r="S61" s="627" t="s">
        <v>282</v>
      </c>
      <c r="T61" s="716">
        <f>T93</f>
        <v>45991</v>
      </c>
      <c r="U61" s="709">
        <v>12989.292165149494</v>
      </c>
      <c r="V61" s="732"/>
      <c r="W61" s="540">
        <f>W93</f>
        <v>45989</v>
      </c>
      <c r="X61" s="748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45"/>
      <c r="J62" s="745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51"/>
      <c r="S62" s="627" t="s">
        <v>284</v>
      </c>
      <c r="T62" s="697">
        <v>46022</v>
      </c>
      <c r="U62" s="709">
        <v>5195.7168660597981</v>
      </c>
      <c r="V62" s="732"/>
      <c r="W62" s="540">
        <f>W94</f>
        <v>46065</v>
      </c>
      <c r="X62" s="748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45"/>
      <c r="J63" s="745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51"/>
      <c r="S63" s="627" t="s">
        <v>286</v>
      </c>
      <c r="T63" s="697">
        <v>46022</v>
      </c>
      <c r="U63" s="723">
        <v>5195.7168660597981</v>
      </c>
      <c r="V63" s="732"/>
      <c r="W63" s="540">
        <f>W95</f>
        <v>46065</v>
      </c>
      <c r="X63" s="748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45"/>
      <c r="J64" s="745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51"/>
      <c r="S64" s="627" t="s">
        <v>288</v>
      </c>
      <c r="T64" s="697">
        <v>46022</v>
      </c>
      <c r="U64" s="723">
        <v>2597.8584330298991</v>
      </c>
      <c r="V64" s="732"/>
      <c r="W64" s="540">
        <f>W96</f>
        <v>46065</v>
      </c>
      <c r="X64" s="748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45"/>
      <c r="J65" s="745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52"/>
      <c r="S65" s="627" t="s">
        <v>290</v>
      </c>
      <c r="T65" s="697">
        <v>46022</v>
      </c>
      <c r="U65" s="723">
        <v>2597.8584330298991</v>
      </c>
      <c r="V65" s="732"/>
      <c r="W65" s="574">
        <f t="shared" si="11"/>
        <v>46095</v>
      </c>
      <c r="X65" s="748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45"/>
      <c r="J66" s="745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32"/>
      <c r="W66" s="577"/>
      <c r="X66" s="748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45"/>
      <c r="J67" s="745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32"/>
      <c r="W67" s="577"/>
      <c r="X67" s="748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46"/>
      <c r="J68" s="746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33"/>
      <c r="W68" s="575"/>
      <c r="X68" s="749"/>
      <c r="Y68" s="485"/>
    </row>
    <row r="69" spans="1:25" ht="14.4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38">
        <f>SUM(G70:G77)</f>
        <v>0</v>
      </c>
      <c r="J70" s="738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53">
        <f>J70-SUM(U70:U77)</f>
        <v>0</v>
      </c>
      <c r="W70" s="579"/>
      <c r="X70" s="725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39"/>
      <c r="J71" s="739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54"/>
      <c r="W71" s="570"/>
      <c r="X71" s="726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39"/>
      <c r="J72" s="739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54"/>
      <c r="W72" s="570"/>
      <c r="X72" s="726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39"/>
      <c r="J73" s="739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54"/>
      <c r="W73" s="570"/>
      <c r="X73" s="726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39"/>
      <c r="J74" s="739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54"/>
      <c r="W74" s="570"/>
      <c r="X74" s="726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39"/>
      <c r="J75" s="739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54"/>
      <c r="W75" s="570"/>
      <c r="X75" s="726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39"/>
      <c r="J76" s="739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54"/>
      <c r="W76" s="570"/>
      <c r="X76" s="726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40"/>
      <c r="J77" s="740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55"/>
      <c r="W77" s="571"/>
      <c r="X77" s="727"/>
      <c r="Y77" s="485"/>
    </row>
    <row r="78" spans="1:25" ht="14.4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44">
        <f>SUM(G79:G87)</f>
        <v>4000</v>
      </c>
      <c r="J79" s="744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71">
        <f>J79-SUM(U79:U87)</f>
        <v>0</v>
      </c>
      <c r="W79" s="573"/>
      <c r="X79" s="747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45"/>
      <c r="J80" s="745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72"/>
      <c r="W80" s="574"/>
      <c r="X80" s="748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45"/>
      <c r="J81" s="745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72"/>
      <c r="W81" s="540">
        <v>45911</v>
      </c>
      <c r="X81" s="748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45"/>
      <c r="J82" s="745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72"/>
      <c r="W82" s="574"/>
      <c r="X82" s="748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45"/>
      <c r="J83" s="745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50" t="s">
        <v>318</v>
      </c>
      <c r="S83" s="627" t="s">
        <v>319</v>
      </c>
      <c r="T83" s="653">
        <v>45961</v>
      </c>
      <c r="U83" s="709">
        <v>2085.2181982106486</v>
      </c>
      <c r="V83" s="772"/>
      <c r="W83" s="540">
        <v>45954</v>
      </c>
      <c r="X83" s="748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45"/>
      <c r="J84" s="745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52"/>
      <c r="S84" s="627" t="s">
        <v>319</v>
      </c>
      <c r="T84" s="653">
        <v>45961</v>
      </c>
      <c r="U84" s="709">
        <v>2085.2181982106486</v>
      </c>
      <c r="V84" s="772"/>
      <c r="W84" s="540">
        <v>46051</v>
      </c>
      <c r="X84" s="748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45"/>
      <c r="J85" s="745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72"/>
      <c r="W85" s="574"/>
      <c r="X85" s="748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45"/>
      <c r="J86" s="745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72"/>
      <c r="W86" s="577"/>
      <c r="X86" s="748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46"/>
      <c r="J87" s="746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73"/>
      <c r="W87" s="575"/>
      <c r="X87" s="749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62">
        <f>SUM(G89:G100)</f>
        <v>45600</v>
      </c>
      <c r="J89" s="738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28">
        <f>J89-SUM(U89:U100)</f>
        <v>0</v>
      </c>
      <c r="W89" s="576"/>
      <c r="X89" s="765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63"/>
      <c r="J90" s="739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774" t="s">
        <v>275</v>
      </c>
      <c r="S90" s="622" t="s">
        <v>276</v>
      </c>
      <c r="T90" s="671">
        <v>45930</v>
      </c>
      <c r="U90" s="707">
        <v>5364.7058823529414</v>
      </c>
      <c r="V90" s="729"/>
      <c r="W90" s="537">
        <v>45918</v>
      </c>
      <c r="X90" s="766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63"/>
      <c r="J91" s="739"/>
      <c r="K91" s="288"/>
      <c r="L91" s="387">
        <v>9</v>
      </c>
      <c r="M91" s="504" t="s">
        <v>324</v>
      </c>
      <c r="N91" s="389" t="s">
        <v>101</v>
      </c>
      <c r="O91" s="549"/>
      <c r="P91" s="564">
        <v>0.15</v>
      </c>
      <c r="Q91" s="315">
        <f t="shared" ref="Q91:Q97" si="14">$O$90*P91</f>
        <v>13309.8</v>
      </c>
      <c r="R91" s="775"/>
      <c r="S91" s="623" t="s">
        <v>277</v>
      </c>
      <c r="T91" s="668">
        <f t="shared" si="12"/>
        <v>45961</v>
      </c>
      <c r="U91" s="707">
        <v>8047.0588235294108</v>
      </c>
      <c r="V91" s="729"/>
      <c r="W91" s="538">
        <v>45954</v>
      </c>
      <c r="X91" s="766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63"/>
      <c r="J92" s="739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775"/>
      <c r="S92" s="623" t="s">
        <v>326</v>
      </c>
      <c r="T92" s="668">
        <v>45991</v>
      </c>
      <c r="U92" s="707">
        <v>10729.411764705883</v>
      </c>
      <c r="V92" s="729"/>
      <c r="W92" s="684">
        <v>45995</v>
      </c>
      <c r="X92" s="766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63"/>
      <c r="J93" s="739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775"/>
      <c r="S93" s="623" t="s">
        <v>282</v>
      </c>
      <c r="T93" s="683">
        <v>45991</v>
      </c>
      <c r="U93" s="707">
        <v>13411.764705882353</v>
      </c>
      <c r="V93" s="729"/>
      <c r="W93" s="538">
        <v>45989</v>
      </c>
      <c r="X93" s="766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63"/>
      <c r="J94" s="739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775"/>
      <c r="S94" s="623" t="s">
        <v>284</v>
      </c>
      <c r="T94" s="668">
        <f t="shared" si="12"/>
        <v>46081</v>
      </c>
      <c r="U94" s="707">
        <v>5364.7058823529414</v>
      </c>
      <c r="V94" s="729"/>
      <c r="W94" s="538">
        <v>46065</v>
      </c>
      <c r="X94" s="766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63"/>
      <c r="J95" s="739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775"/>
      <c r="S95" s="623" t="s">
        <v>286</v>
      </c>
      <c r="T95" s="668">
        <v>46022</v>
      </c>
      <c r="U95" s="707">
        <v>5364.7058823529414</v>
      </c>
      <c r="V95" s="729"/>
      <c r="W95" s="538">
        <v>46065</v>
      </c>
      <c r="X95" s="766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63"/>
      <c r="J96" s="739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775"/>
      <c r="S96" s="623" t="s">
        <v>288</v>
      </c>
      <c r="T96" s="668">
        <v>46022</v>
      </c>
      <c r="U96" s="707">
        <v>2682.3529411764707</v>
      </c>
      <c r="V96" s="729"/>
      <c r="W96" s="538">
        <v>46065</v>
      </c>
      <c r="X96" s="766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63"/>
      <c r="J97" s="739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776"/>
      <c r="S97" s="623" t="s">
        <v>290</v>
      </c>
      <c r="T97" s="668">
        <v>46022</v>
      </c>
      <c r="U97" s="707">
        <v>2682.3529411764707</v>
      </c>
      <c r="V97" s="729"/>
      <c r="W97" s="570">
        <f>W96+30</f>
        <v>46095</v>
      </c>
      <c r="X97" s="766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63"/>
      <c r="J98" s="739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29"/>
      <c r="W98" s="570"/>
      <c r="X98" s="766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63"/>
      <c r="J99" s="739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29"/>
      <c r="W99" s="570"/>
      <c r="X99" s="766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64"/>
      <c r="J100" s="740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30"/>
      <c r="W100" s="571"/>
      <c r="X100" s="767"/>
      <c r="Y100" s="485"/>
    </row>
    <row r="101" spans="1:25" ht="14.4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56">
        <f>SUM(G102:G116)</f>
        <v>37508.5</v>
      </c>
      <c r="J102" s="756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68">
        <f>J102-SUM(U102:U116)</f>
        <v>0</v>
      </c>
      <c r="W102" s="580"/>
      <c r="X102" s="759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57"/>
      <c r="J103" s="757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69"/>
      <c r="W103" s="581"/>
      <c r="X103" s="760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57"/>
      <c r="J104" s="757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69"/>
      <c r="W104" s="581"/>
      <c r="X104" s="760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57"/>
      <c r="J105" s="757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69"/>
      <c r="W105" s="581"/>
      <c r="X105" s="760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57"/>
      <c r="J106" s="757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779" t="s">
        <v>275</v>
      </c>
      <c r="S106" s="636" t="s">
        <v>276</v>
      </c>
      <c r="T106" s="670">
        <v>45930</v>
      </c>
      <c r="U106" s="712">
        <v>4412.7647058823532</v>
      </c>
      <c r="V106" s="769"/>
      <c r="W106" s="542">
        <f>W90</f>
        <v>45918</v>
      </c>
      <c r="X106" s="760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57"/>
      <c r="J107" s="757"/>
      <c r="K107" s="272"/>
      <c r="L107" s="340">
        <v>10</v>
      </c>
      <c r="M107" s="439" t="s">
        <v>328</v>
      </c>
      <c r="N107" s="341" t="s">
        <v>101</v>
      </c>
      <c r="O107" s="560"/>
      <c r="P107" s="567">
        <v>0.15</v>
      </c>
      <c r="Q107" s="343">
        <f t="shared" ref="Q107:Q113" si="17">$O$106*P107</f>
        <v>5335.2</v>
      </c>
      <c r="R107" s="780"/>
      <c r="S107" s="641" t="s">
        <v>277</v>
      </c>
      <c r="T107" s="696">
        <v>45961</v>
      </c>
      <c r="U107" s="712">
        <v>6619.1470588235297</v>
      </c>
      <c r="V107" s="769"/>
      <c r="W107" s="542">
        <f t="shared" ref="W107:W113" si="18">W91</f>
        <v>45954</v>
      </c>
      <c r="X107" s="760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57"/>
      <c r="J108" s="757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780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69"/>
      <c r="W108" s="688">
        <f t="shared" si="18"/>
        <v>45995</v>
      </c>
      <c r="X108" s="760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57"/>
      <c r="J109" s="757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780"/>
      <c r="S109" s="636" t="s">
        <v>282</v>
      </c>
      <c r="T109" s="687">
        <f>T93</f>
        <v>45991</v>
      </c>
      <c r="U109" s="712">
        <v>11031.911764705883</v>
      </c>
      <c r="V109" s="769"/>
      <c r="W109" s="542">
        <f>W93</f>
        <v>45989</v>
      </c>
      <c r="X109" s="760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57"/>
      <c r="J110" s="757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780"/>
      <c r="S110" s="636" t="s">
        <v>284</v>
      </c>
      <c r="T110" s="696">
        <v>46022</v>
      </c>
      <c r="U110" s="712">
        <v>4412.7647058823532</v>
      </c>
      <c r="V110" s="769"/>
      <c r="W110" s="542">
        <f>W94</f>
        <v>46065</v>
      </c>
      <c r="X110" s="760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57"/>
      <c r="J111" s="757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780"/>
      <c r="S111" s="636" t="s">
        <v>286</v>
      </c>
      <c r="T111" s="696">
        <v>46022</v>
      </c>
      <c r="U111" s="712">
        <v>4412.7647058823532</v>
      </c>
      <c r="V111" s="769"/>
      <c r="W111" s="542">
        <f>W95</f>
        <v>46065</v>
      </c>
      <c r="X111" s="760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57"/>
      <c r="J112" s="757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780"/>
      <c r="S112" s="636" t="s">
        <v>288</v>
      </c>
      <c r="T112" s="696">
        <v>46022</v>
      </c>
      <c r="U112" s="712">
        <v>2206.3823529411766</v>
      </c>
      <c r="V112" s="769"/>
      <c r="W112" s="542">
        <f>W96</f>
        <v>46065</v>
      </c>
      <c r="X112" s="760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57"/>
      <c r="J113" s="757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781"/>
      <c r="S113" s="636" t="s">
        <v>290</v>
      </c>
      <c r="T113" s="696">
        <v>46022</v>
      </c>
      <c r="U113" s="712">
        <v>2206.3823529411766</v>
      </c>
      <c r="V113" s="769"/>
      <c r="W113" s="582">
        <f t="shared" si="18"/>
        <v>46095</v>
      </c>
      <c r="X113" s="760"/>
      <c r="Y113" s="485"/>
    </row>
    <row r="114" spans="1:25" ht="14.25" customHeight="1">
      <c r="B114" s="340">
        <v>10</v>
      </c>
      <c r="C114" s="341"/>
      <c r="D114" s="341"/>
      <c r="E114" s="342"/>
      <c r="F114" s="474"/>
      <c r="G114" s="343"/>
      <c r="H114" s="582"/>
      <c r="I114" s="757"/>
      <c r="J114" s="757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69"/>
      <c r="W114" s="582"/>
      <c r="X114" s="760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57"/>
      <c r="J115" s="757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69"/>
      <c r="W115" s="582"/>
      <c r="X115" s="760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58"/>
      <c r="J116" s="758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70"/>
      <c r="W116" s="583"/>
      <c r="X116" s="761"/>
      <c r="Y116" s="485"/>
    </row>
    <row r="117" spans="1:25" ht="14.4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38">
        <f>SUM(G118:G122)</f>
        <v>29000</v>
      </c>
      <c r="J118" s="738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28">
        <f>J118-SUM(U118:U122)</f>
        <v>-2.9208012492745183E-3</v>
      </c>
      <c r="W118" s="576">
        <v>46065</v>
      </c>
      <c r="X118" s="725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39"/>
      <c r="J119" s="739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29"/>
      <c r="W119" s="537">
        <v>45526</v>
      </c>
      <c r="X119" s="726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39"/>
      <c r="J120" s="739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29"/>
      <c r="W120" s="569"/>
      <c r="X120" s="726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39"/>
      <c r="J121" s="739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29"/>
      <c r="W121" s="538">
        <v>46051</v>
      </c>
      <c r="X121" s="726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40"/>
      <c r="J122" s="740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30"/>
      <c r="W122" s="571"/>
      <c r="X122" s="727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56">
        <f>SUM(G124:G125)</f>
        <v>0</v>
      </c>
      <c r="J124" s="756">
        <v>0</v>
      </c>
      <c r="K124" s="777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59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58"/>
      <c r="J125" s="758"/>
      <c r="K125" s="778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61"/>
      <c r="Y125" s="485"/>
    </row>
    <row r="126" spans="1:25" ht="14.4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38">
        <f>SUM(G127:G131)</f>
        <v>48044.950532608695</v>
      </c>
      <c r="J127" s="738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 t="s">
        <v>478</v>
      </c>
      <c r="T127" s="722">
        <v>46081</v>
      </c>
      <c r="U127" s="514">
        <f t="shared" ref="U127:U132" si="19">(Q127/$X$127*$J$127)</f>
        <v>54596.534696146242</v>
      </c>
      <c r="V127" s="728">
        <f>J127-SUM(U127:U132)</f>
        <v>0</v>
      </c>
      <c r="W127" s="570">
        <v>46112</v>
      </c>
      <c r="X127" s="725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39"/>
      <c r="J128" s="739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29"/>
      <c r="W128" s="569"/>
      <c r="X128" s="726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39"/>
      <c r="J129" s="739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29"/>
      <c r="W129" s="569"/>
      <c r="X129" s="726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39"/>
      <c r="J130" s="739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29"/>
      <c r="W130" s="569"/>
      <c r="X130" s="726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39"/>
      <c r="J131" s="739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29"/>
      <c r="W131" s="569"/>
      <c r="X131" s="726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40"/>
      <c r="J132" s="740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30"/>
      <c r="W132" s="571"/>
      <c r="X132" s="727"/>
      <c r="Y132" s="485"/>
    </row>
    <row r="133" spans="1:25" ht="14.4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56">
        <f>SUM(G134:G145)</f>
        <v>875</v>
      </c>
      <c r="J134" s="756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68">
        <f>J134-SUM(U134:U145)</f>
        <v>-1.6090193867057678E-5</v>
      </c>
      <c r="W134" s="542">
        <v>45905</v>
      </c>
      <c r="X134" s="759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57"/>
      <c r="J135" s="757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69"/>
      <c r="W135" s="688">
        <v>45930</v>
      </c>
      <c r="X135" s="760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57"/>
      <c r="J136" s="757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69"/>
      <c r="W136" s="688">
        <v>45967</v>
      </c>
      <c r="X136" s="760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57"/>
      <c r="J137" s="757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69"/>
      <c r="W137" s="688">
        <v>45991</v>
      </c>
      <c r="X137" s="760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57"/>
      <c r="J138" s="757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69"/>
      <c r="W138" s="688">
        <v>46022</v>
      </c>
      <c r="X138" s="760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57"/>
      <c r="J139" s="757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69"/>
      <c r="W139" s="688">
        <v>46058</v>
      </c>
      <c r="X139" s="760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57"/>
      <c r="J140" s="757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69"/>
      <c r="W140" s="582"/>
      <c r="X140" s="760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57"/>
      <c r="J141" s="757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69"/>
      <c r="W141" s="582"/>
      <c r="X141" s="760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57"/>
      <c r="J142" s="757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69"/>
      <c r="W142" s="582"/>
      <c r="X142" s="760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57"/>
      <c r="J143" s="757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69"/>
      <c r="W143" s="582"/>
      <c r="X143" s="760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57"/>
      <c r="J144" s="757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69"/>
      <c r="W144" s="582"/>
      <c r="X144" s="760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58"/>
      <c r="J145" s="758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70"/>
      <c r="W145" s="583"/>
      <c r="X145" s="761"/>
      <c r="Y145" s="485"/>
    </row>
    <row r="146" spans="1:25" ht="14.4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38">
        <f>SUM(G147:G158)</f>
        <v>0</v>
      </c>
      <c r="J147" s="738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28">
        <v>0</v>
      </c>
      <c r="W147" s="576"/>
      <c r="X147" s="725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39"/>
      <c r="J148" s="739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29"/>
      <c r="W148" s="569">
        <v>46112</v>
      </c>
      <c r="X148" s="726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39"/>
      <c r="J149" s="739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29"/>
      <c r="W149" s="569"/>
      <c r="X149" s="726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39"/>
      <c r="J150" s="739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29"/>
      <c r="W150" s="569"/>
      <c r="X150" s="726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39"/>
      <c r="J151" s="739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29"/>
      <c r="W151" s="569"/>
      <c r="X151" s="726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39"/>
      <c r="J152" s="739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29"/>
      <c r="W152" s="569"/>
      <c r="X152" s="726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39"/>
      <c r="J153" s="739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29"/>
      <c r="W153" s="569"/>
      <c r="X153" s="726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39"/>
      <c r="J154" s="739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29"/>
      <c r="W154" s="569"/>
      <c r="X154" s="726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39"/>
      <c r="J155" s="739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29"/>
      <c r="W155" s="569"/>
      <c r="X155" s="726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39"/>
      <c r="J156" s="739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29"/>
      <c r="W156" s="569"/>
      <c r="X156" s="726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39"/>
      <c r="J157" s="739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29"/>
      <c r="W157" s="569"/>
      <c r="X157" s="726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40"/>
      <c r="J158" s="740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30"/>
      <c r="W158" s="571"/>
      <c r="X158" s="727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41418.362279072302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0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14339.590569768076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595870.66</v>
      </c>
      <c r="BL12" s="214">
        <f t="shared" si="26"/>
        <v>595870.66</v>
      </c>
      <c r="BM12" s="214">
        <f t="shared" si="26"/>
        <v>605476.96000000008</v>
      </c>
      <c r="BN12" s="214">
        <f t="shared" si="26"/>
        <v>605476.96000000008</v>
      </c>
      <c r="BO12" s="214">
        <f t="shared" si="26"/>
        <v>605476.96000000008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232496.58558144595</v>
      </c>
      <c r="BL14" s="207">
        <f t="shared" si="32"/>
        <v>232496.58558144595</v>
      </c>
      <c r="BM14" s="207">
        <f t="shared" si="32"/>
        <v>222890.2855814459</v>
      </c>
      <c r="BN14" s="207">
        <f t="shared" si="32"/>
        <v>222890.2855814459</v>
      </c>
      <c r="BO14" s="207">
        <f t="shared" si="32"/>
        <v>222890.2855814459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1"/>
      <c r="B17" s="195" t="s">
        <v>389</v>
      </c>
      <c r="C17" s="373">
        <f>C3-D17</f>
        <v>1940.3996894654119</v>
      </c>
      <c r="D17" s="196">
        <f>SUM(F17:LD17)</f>
        <v>826426.84589198057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353862.85581953509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390</v>
      </c>
      <c r="C18" s="373">
        <f>D17-D18</f>
        <v>0</v>
      </c>
      <c r="D18" s="196">
        <f>MAX(F18:LD18)</f>
        <v>826426.84589198057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552890.98816430836</v>
      </c>
      <c r="AQ18" s="214">
        <f t="shared" si="37"/>
        <v>552890.98816430836</v>
      </c>
      <c r="AR18" s="214">
        <f t="shared" si="37"/>
        <v>552890.98816430836</v>
      </c>
      <c r="AS18" s="214">
        <f t="shared" si="37"/>
        <v>552890.98816430836</v>
      </c>
      <c r="AT18" s="214">
        <f t="shared" si="37"/>
        <v>601907.34898914711</v>
      </c>
      <c r="AU18" s="214">
        <f t="shared" si="37"/>
        <v>601907.34898914711</v>
      </c>
      <c r="AV18" s="214">
        <f t="shared" si="37"/>
        <v>601907.34898914711</v>
      </c>
      <c r="AW18" s="214">
        <f t="shared" si="37"/>
        <v>601907.34898914711</v>
      </c>
      <c r="AX18" s="214">
        <f t="shared" si="37"/>
        <v>690094.26813338313</v>
      </c>
      <c r="AY18" s="214">
        <f t="shared" si="37"/>
        <v>690094.26813338313</v>
      </c>
      <c r="AZ18" s="214">
        <f t="shared" si="37"/>
        <v>690094.26813338313</v>
      </c>
      <c r="BA18" s="214">
        <f t="shared" si="37"/>
        <v>690094.26813338313</v>
      </c>
      <c r="BB18" s="214">
        <f t="shared" si="37"/>
        <v>690094.26813338313</v>
      </c>
      <c r="BC18" s="214">
        <f t="shared" si="37"/>
        <v>752875.83281129831</v>
      </c>
      <c r="BD18" s="214">
        <f t="shared" si="37"/>
        <v>752875.83281129831</v>
      </c>
      <c r="BE18" s="214">
        <f t="shared" si="37"/>
        <v>752875.83281129831</v>
      </c>
      <c r="BF18" s="214">
        <f t="shared" si="37"/>
        <v>752875.83281129831</v>
      </c>
      <c r="BG18" s="214">
        <f t="shared" si="37"/>
        <v>766465.60531348141</v>
      </c>
      <c r="BH18" s="214">
        <f t="shared" si="37"/>
        <v>766465.60531348141</v>
      </c>
      <c r="BI18" s="214">
        <f t="shared" si="37"/>
        <v>766465.60531348141</v>
      </c>
      <c r="BJ18" s="214">
        <f t="shared" si="37"/>
        <v>766465.60531348141</v>
      </c>
      <c r="BK18" s="214">
        <f t="shared" si="37"/>
        <v>826426.84589198057</v>
      </c>
      <c r="BL18" s="214">
        <f t="shared" si="37"/>
        <v>826426.84589198057</v>
      </c>
      <c r="BM18" s="214">
        <f t="shared" si="37"/>
        <v>826426.84589198057</v>
      </c>
      <c r="BN18" s="214">
        <f t="shared" si="37"/>
        <v>826426.84589198057</v>
      </c>
      <c r="BO18" s="214">
        <f t="shared" si="37"/>
        <v>826426.84589198057</v>
      </c>
      <c r="BP18" s="214">
        <f t="shared" si="37"/>
        <v>826426.84589198057</v>
      </c>
      <c r="BQ18" s="214">
        <f t="shared" si="37"/>
        <v>826426.84589198057</v>
      </c>
      <c r="BR18" s="214">
        <f t="shared" si="37"/>
        <v>826426.84589198057</v>
      </c>
      <c r="BS18" s="214">
        <f t="shared" si="37"/>
        <v>826426.84589198057</v>
      </c>
      <c r="BT18" s="214">
        <f t="shared" si="37"/>
        <v>826426.84589198057</v>
      </c>
      <c r="BU18" s="214">
        <f t="shared" ref="BU18:EF18" si="38">BT18+BU17</f>
        <v>826426.84589198057</v>
      </c>
      <c r="BV18" s="214">
        <f t="shared" si="38"/>
        <v>826426.84589198057</v>
      </c>
      <c r="BW18" s="214">
        <f t="shared" si="38"/>
        <v>826426.84589198057</v>
      </c>
      <c r="BX18" s="214">
        <f t="shared" si="38"/>
        <v>826426.84589198057</v>
      </c>
      <c r="BY18" s="214">
        <f t="shared" si="38"/>
        <v>826426.84589198057</v>
      </c>
      <c r="BZ18" s="214">
        <f t="shared" si="38"/>
        <v>826426.84589198057</v>
      </c>
      <c r="CA18" s="214">
        <f t="shared" si="38"/>
        <v>826426.84589198057</v>
      </c>
      <c r="CB18" s="214">
        <f t="shared" si="38"/>
        <v>826426.84589198057</v>
      </c>
      <c r="CC18" s="214">
        <f t="shared" si="38"/>
        <v>826426.84589198057</v>
      </c>
      <c r="CD18" s="214">
        <f t="shared" si="38"/>
        <v>826426.84589198057</v>
      </c>
      <c r="CE18" s="214">
        <f t="shared" si="38"/>
        <v>826426.84589198057</v>
      </c>
      <c r="CF18" s="214">
        <f t="shared" si="38"/>
        <v>826426.84589198057</v>
      </c>
      <c r="CG18" s="214">
        <f t="shared" si="38"/>
        <v>826426.84589198057</v>
      </c>
      <c r="CH18" s="214">
        <f t="shared" si="38"/>
        <v>826426.84589198057</v>
      </c>
      <c r="CI18" s="214">
        <f t="shared" si="38"/>
        <v>826426.84589198057</v>
      </c>
      <c r="CJ18" s="214">
        <f t="shared" si="38"/>
        <v>826426.84589198057</v>
      </c>
      <c r="CK18" s="214">
        <f t="shared" si="38"/>
        <v>826426.84589198057</v>
      </c>
      <c r="CL18" s="214">
        <f t="shared" si="38"/>
        <v>826426.84589198057</v>
      </c>
      <c r="CM18" s="214">
        <f t="shared" si="38"/>
        <v>826426.84589198057</v>
      </c>
      <c r="CN18" s="214">
        <f t="shared" si="38"/>
        <v>826426.84589198057</v>
      </c>
      <c r="CO18" s="214">
        <f t="shared" si="38"/>
        <v>826426.84589198057</v>
      </c>
      <c r="CP18" s="214">
        <f t="shared" si="38"/>
        <v>826426.84589198057</v>
      </c>
      <c r="CQ18" s="214">
        <f t="shared" si="38"/>
        <v>826426.84589198057</v>
      </c>
      <c r="CR18" s="214">
        <f t="shared" si="38"/>
        <v>826426.84589198057</v>
      </c>
      <c r="CS18" s="214">
        <f t="shared" si="38"/>
        <v>826426.84589198057</v>
      </c>
      <c r="CT18" s="214">
        <f t="shared" si="38"/>
        <v>826426.84589198057</v>
      </c>
      <c r="CU18" s="214">
        <f t="shared" si="38"/>
        <v>826426.84589198057</v>
      </c>
      <c r="CV18" s="214">
        <f t="shared" si="38"/>
        <v>826426.84589198057</v>
      </c>
      <c r="CW18" s="214">
        <f t="shared" si="38"/>
        <v>826426.84589198057</v>
      </c>
      <c r="CX18" s="214">
        <f t="shared" si="38"/>
        <v>826426.84589198057</v>
      </c>
      <c r="CY18" s="214">
        <f t="shared" si="38"/>
        <v>826426.84589198057</v>
      </c>
      <c r="CZ18" s="214">
        <f t="shared" si="38"/>
        <v>826426.84589198057</v>
      </c>
      <c r="DA18" s="214">
        <f t="shared" si="38"/>
        <v>826426.84589198057</v>
      </c>
      <c r="DB18" s="214">
        <f t="shared" si="38"/>
        <v>826426.84589198057</v>
      </c>
      <c r="DC18" s="214">
        <f t="shared" si="38"/>
        <v>826426.84589198057</v>
      </c>
      <c r="DD18" s="214">
        <f t="shared" si="38"/>
        <v>826426.84589198057</v>
      </c>
      <c r="DE18" s="214">
        <f t="shared" si="38"/>
        <v>826426.84589198057</v>
      </c>
      <c r="DF18" s="214">
        <f t="shared" si="38"/>
        <v>826426.84589198057</v>
      </c>
      <c r="DG18" s="214">
        <f t="shared" si="38"/>
        <v>826426.84589198057</v>
      </c>
      <c r="DH18" s="214">
        <f t="shared" si="38"/>
        <v>826426.84589198057</v>
      </c>
      <c r="DI18" s="214">
        <f t="shared" si="38"/>
        <v>826426.84589198057</v>
      </c>
      <c r="DJ18" s="214">
        <f t="shared" si="38"/>
        <v>826426.84589198057</v>
      </c>
      <c r="DK18" s="214">
        <f t="shared" si="38"/>
        <v>826426.84589198057</v>
      </c>
      <c r="DL18" s="214">
        <f t="shared" si="38"/>
        <v>826426.84589198057</v>
      </c>
      <c r="DM18" s="214">
        <f t="shared" si="38"/>
        <v>826426.84589198057</v>
      </c>
      <c r="DN18" s="214">
        <f t="shared" si="38"/>
        <v>826426.84589198057</v>
      </c>
      <c r="DO18" s="214">
        <f t="shared" si="38"/>
        <v>826426.84589198057</v>
      </c>
      <c r="DP18" s="214">
        <f t="shared" si="38"/>
        <v>826426.84589198057</v>
      </c>
      <c r="DQ18" s="214">
        <f t="shared" si="38"/>
        <v>826426.84589198057</v>
      </c>
      <c r="DR18" s="214">
        <f t="shared" si="38"/>
        <v>826426.84589198057</v>
      </c>
      <c r="DS18" s="214">
        <f t="shared" si="38"/>
        <v>826426.84589198057</v>
      </c>
      <c r="DT18" s="214">
        <f t="shared" si="38"/>
        <v>826426.84589198057</v>
      </c>
      <c r="DU18" s="214">
        <f t="shared" si="38"/>
        <v>826426.84589198057</v>
      </c>
      <c r="DV18" s="214">
        <f t="shared" si="38"/>
        <v>826426.84589198057</v>
      </c>
      <c r="DW18" s="214">
        <f t="shared" si="38"/>
        <v>826426.84589198057</v>
      </c>
      <c r="DX18" s="214">
        <f t="shared" si="38"/>
        <v>826426.84589198057</v>
      </c>
      <c r="DY18" s="214">
        <f t="shared" si="38"/>
        <v>826426.84589198057</v>
      </c>
      <c r="DZ18" s="214">
        <f t="shared" si="38"/>
        <v>826426.84589198057</v>
      </c>
      <c r="EA18" s="214">
        <f t="shared" si="38"/>
        <v>826426.84589198057</v>
      </c>
      <c r="EB18" s="214">
        <f t="shared" si="38"/>
        <v>826426.84589198057</v>
      </c>
      <c r="EC18" s="214">
        <f t="shared" si="38"/>
        <v>826426.84589198057</v>
      </c>
      <c r="ED18" s="214">
        <f t="shared" si="38"/>
        <v>826426.84589198057</v>
      </c>
      <c r="EE18" s="214">
        <f t="shared" si="38"/>
        <v>826426.84589198057</v>
      </c>
      <c r="EF18" s="214">
        <f t="shared" si="38"/>
        <v>826426.84589198057</v>
      </c>
      <c r="EG18" s="214">
        <f t="shared" ref="EG18:GR18" si="39">EF18+EG17</f>
        <v>826426.84589198057</v>
      </c>
      <c r="EH18" s="214">
        <f t="shared" si="39"/>
        <v>826426.84589198057</v>
      </c>
      <c r="EI18" s="214">
        <f t="shared" si="39"/>
        <v>826426.84589198057</v>
      </c>
      <c r="EJ18" s="214">
        <f t="shared" si="39"/>
        <v>826426.84589198057</v>
      </c>
      <c r="EK18" s="214">
        <f t="shared" si="39"/>
        <v>826426.84589198057</v>
      </c>
      <c r="EL18" s="214">
        <f t="shared" si="39"/>
        <v>826426.84589198057</v>
      </c>
      <c r="EM18" s="214">
        <f t="shared" si="39"/>
        <v>826426.84589198057</v>
      </c>
      <c r="EN18" s="214">
        <f t="shared" si="39"/>
        <v>826426.84589198057</v>
      </c>
      <c r="EO18" s="214">
        <f t="shared" si="39"/>
        <v>826426.84589198057</v>
      </c>
      <c r="EP18" s="214">
        <f t="shared" si="39"/>
        <v>826426.84589198057</v>
      </c>
      <c r="EQ18" s="214">
        <f t="shared" si="39"/>
        <v>826426.84589198057</v>
      </c>
      <c r="ER18" s="214">
        <f t="shared" si="39"/>
        <v>826426.84589198057</v>
      </c>
      <c r="ES18" s="214">
        <f t="shared" si="39"/>
        <v>826426.84589198057</v>
      </c>
      <c r="ET18" s="214">
        <f t="shared" si="39"/>
        <v>826426.84589198057</v>
      </c>
      <c r="EU18" s="214">
        <f t="shared" si="39"/>
        <v>826426.84589198057</v>
      </c>
      <c r="EV18" s="214">
        <f t="shared" si="39"/>
        <v>826426.84589198057</v>
      </c>
      <c r="EW18" s="214">
        <f t="shared" si="39"/>
        <v>826426.84589198057</v>
      </c>
      <c r="EX18" s="214">
        <f t="shared" si="39"/>
        <v>826426.84589198057</v>
      </c>
      <c r="EY18" s="214">
        <f t="shared" si="39"/>
        <v>826426.84589198057</v>
      </c>
      <c r="EZ18" s="214">
        <f t="shared" si="39"/>
        <v>826426.84589198057</v>
      </c>
      <c r="FA18" s="214">
        <f t="shared" si="39"/>
        <v>826426.84589198057</v>
      </c>
      <c r="FB18" s="214">
        <f t="shared" si="39"/>
        <v>826426.84589198057</v>
      </c>
      <c r="FC18" s="214">
        <f t="shared" si="39"/>
        <v>826426.84589198057</v>
      </c>
      <c r="FD18" s="214">
        <f t="shared" si="39"/>
        <v>826426.84589198057</v>
      </c>
      <c r="FE18" s="214">
        <f t="shared" si="39"/>
        <v>826426.84589198057</v>
      </c>
      <c r="FF18" s="214">
        <f t="shared" si="39"/>
        <v>826426.84589198057</v>
      </c>
      <c r="FG18" s="214">
        <f t="shared" si="39"/>
        <v>826426.84589198057</v>
      </c>
      <c r="FH18" s="214">
        <f t="shared" si="39"/>
        <v>826426.84589198057</v>
      </c>
      <c r="FI18" s="214">
        <f t="shared" si="39"/>
        <v>826426.84589198057</v>
      </c>
      <c r="FJ18" s="214">
        <f t="shared" si="39"/>
        <v>826426.84589198057</v>
      </c>
      <c r="FK18" s="214">
        <f t="shared" si="39"/>
        <v>826426.84589198057</v>
      </c>
      <c r="FL18" s="214">
        <f t="shared" si="39"/>
        <v>826426.84589198057</v>
      </c>
      <c r="FM18" s="214">
        <f t="shared" si="39"/>
        <v>826426.84589198057</v>
      </c>
      <c r="FN18" s="214">
        <f t="shared" si="39"/>
        <v>826426.84589198057</v>
      </c>
      <c r="FO18" s="214">
        <f t="shared" si="39"/>
        <v>826426.84589198057</v>
      </c>
      <c r="FP18" s="214">
        <f t="shared" si="39"/>
        <v>826426.84589198057</v>
      </c>
      <c r="FQ18" s="214">
        <f t="shared" si="39"/>
        <v>826426.84589198057</v>
      </c>
      <c r="FR18" s="214">
        <f t="shared" si="39"/>
        <v>826426.84589198057</v>
      </c>
      <c r="FS18" s="214">
        <f t="shared" si="39"/>
        <v>826426.84589198057</v>
      </c>
      <c r="FT18" s="214">
        <f t="shared" si="39"/>
        <v>826426.84589198057</v>
      </c>
      <c r="FU18" s="214">
        <f t="shared" si="39"/>
        <v>826426.84589198057</v>
      </c>
      <c r="FV18" s="214">
        <f t="shared" si="39"/>
        <v>826426.84589198057</v>
      </c>
      <c r="FW18" s="214">
        <f t="shared" si="39"/>
        <v>826426.84589198057</v>
      </c>
      <c r="FX18" s="214">
        <f t="shared" si="39"/>
        <v>826426.84589198057</v>
      </c>
      <c r="FY18" s="214">
        <f t="shared" si="39"/>
        <v>826426.84589198057</v>
      </c>
      <c r="FZ18" s="214">
        <f t="shared" si="39"/>
        <v>826426.84589198057</v>
      </c>
      <c r="GA18" s="214">
        <f t="shared" si="39"/>
        <v>826426.84589198057</v>
      </c>
      <c r="GB18" s="214">
        <f t="shared" si="39"/>
        <v>826426.84589198057</v>
      </c>
      <c r="GC18" s="214">
        <f t="shared" si="39"/>
        <v>826426.84589198057</v>
      </c>
      <c r="GD18" s="214">
        <f t="shared" si="39"/>
        <v>826426.84589198057</v>
      </c>
      <c r="GE18" s="214">
        <f t="shared" si="39"/>
        <v>826426.84589198057</v>
      </c>
      <c r="GF18" s="214">
        <f t="shared" si="39"/>
        <v>826426.84589198057</v>
      </c>
      <c r="GG18" s="214">
        <f t="shared" si="39"/>
        <v>826426.84589198057</v>
      </c>
      <c r="GH18" s="214">
        <f t="shared" si="39"/>
        <v>826426.84589198057</v>
      </c>
      <c r="GI18" s="214">
        <f t="shared" si="39"/>
        <v>826426.84589198057</v>
      </c>
      <c r="GJ18" s="214">
        <f t="shared" si="39"/>
        <v>826426.84589198057</v>
      </c>
      <c r="GK18" s="214">
        <f t="shared" si="39"/>
        <v>826426.84589198057</v>
      </c>
      <c r="GL18" s="214">
        <f t="shared" si="39"/>
        <v>826426.84589198057</v>
      </c>
      <c r="GM18" s="214">
        <f t="shared" si="39"/>
        <v>826426.84589198057</v>
      </c>
      <c r="GN18" s="214">
        <f t="shared" si="39"/>
        <v>826426.84589198057</v>
      </c>
      <c r="GO18" s="214">
        <f t="shared" si="39"/>
        <v>826426.84589198057</v>
      </c>
      <c r="GP18" s="214">
        <f t="shared" si="39"/>
        <v>826426.84589198057</v>
      </c>
      <c r="GQ18" s="214">
        <f t="shared" si="39"/>
        <v>826426.84589198057</v>
      </c>
      <c r="GR18" s="214">
        <f t="shared" si="39"/>
        <v>826426.84589198057</v>
      </c>
      <c r="GS18" s="214">
        <f t="shared" ref="GS18:JD18" si="40">GR18+GS17</f>
        <v>826426.84589198057</v>
      </c>
      <c r="GT18" s="214">
        <f t="shared" si="40"/>
        <v>826426.84589198057</v>
      </c>
      <c r="GU18" s="214">
        <f t="shared" si="40"/>
        <v>826426.84589198057</v>
      </c>
      <c r="GV18" s="214">
        <f t="shared" si="40"/>
        <v>826426.84589198057</v>
      </c>
      <c r="GW18" s="214">
        <f t="shared" si="40"/>
        <v>826426.84589198057</v>
      </c>
      <c r="GX18" s="214">
        <f t="shared" si="40"/>
        <v>826426.84589198057</v>
      </c>
      <c r="GY18" s="214">
        <f t="shared" si="40"/>
        <v>826426.84589198057</v>
      </c>
      <c r="GZ18" s="214">
        <f t="shared" si="40"/>
        <v>826426.84589198057</v>
      </c>
      <c r="HA18" s="214">
        <f t="shared" si="40"/>
        <v>826426.84589198057</v>
      </c>
      <c r="HB18" s="214">
        <f t="shared" si="40"/>
        <v>826426.84589198057</v>
      </c>
      <c r="HC18" s="214">
        <f t="shared" si="40"/>
        <v>826426.84589198057</v>
      </c>
      <c r="HD18" s="214">
        <f t="shared" si="40"/>
        <v>826426.84589198057</v>
      </c>
      <c r="HE18" s="214">
        <f t="shared" si="40"/>
        <v>826426.84589198057</v>
      </c>
      <c r="HF18" s="214">
        <f t="shared" si="40"/>
        <v>826426.84589198057</v>
      </c>
      <c r="HG18" s="214">
        <f t="shared" si="40"/>
        <v>826426.84589198057</v>
      </c>
      <c r="HH18" s="214">
        <f t="shared" si="40"/>
        <v>826426.84589198057</v>
      </c>
      <c r="HI18" s="214">
        <f t="shared" si="40"/>
        <v>826426.84589198057</v>
      </c>
      <c r="HJ18" s="214">
        <f t="shared" si="40"/>
        <v>826426.84589198057</v>
      </c>
      <c r="HK18" s="214">
        <f t="shared" si="40"/>
        <v>826426.84589198057</v>
      </c>
      <c r="HL18" s="214">
        <f t="shared" si="40"/>
        <v>826426.84589198057</v>
      </c>
      <c r="HM18" s="214">
        <f t="shared" si="40"/>
        <v>826426.84589198057</v>
      </c>
      <c r="HN18" s="214">
        <f t="shared" si="40"/>
        <v>826426.84589198057</v>
      </c>
      <c r="HO18" s="214">
        <f t="shared" si="40"/>
        <v>826426.84589198057</v>
      </c>
      <c r="HP18" s="214">
        <f t="shared" si="40"/>
        <v>826426.84589198057</v>
      </c>
      <c r="HQ18" s="214">
        <f t="shared" si="40"/>
        <v>826426.84589198057</v>
      </c>
      <c r="HR18" s="214">
        <f t="shared" si="40"/>
        <v>826426.84589198057</v>
      </c>
      <c r="HS18" s="214">
        <f t="shared" si="40"/>
        <v>826426.84589198057</v>
      </c>
      <c r="HT18" s="214">
        <f t="shared" si="40"/>
        <v>826426.84589198057</v>
      </c>
      <c r="HU18" s="214">
        <f t="shared" si="40"/>
        <v>826426.84589198057</v>
      </c>
      <c r="HV18" s="214">
        <f t="shared" si="40"/>
        <v>826426.84589198057</v>
      </c>
      <c r="HW18" s="214">
        <f t="shared" si="40"/>
        <v>826426.84589198057</v>
      </c>
      <c r="HX18" s="214">
        <f t="shared" si="40"/>
        <v>826426.84589198057</v>
      </c>
      <c r="HY18" s="214">
        <f t="shared" si="40"/>
        <v>826426.84589198057</v>
      </c>
      <c r="HZ18" s="214">
        <f t="shared" si="40"/>
        <v>826426.84589198057</v>
      </c>
      <c r="IA18" s="214">
        <f t="shared" si="40"/>
        <v>826426.84589198057</v>
      </c>
      <c r="IB18" s="214">
        <f t="shared" si="40"/>
        <v>826426.84589198057</v>
      </c>
      <c r="IC18" s="214">
        <f t="shared" si="40"/>
        <v>826426.84589198057</v>
      </c>
      <c r="ID18" s="214">
        <f t="shared" si="40"/>
        <v>826426.84589198057</v>
      </c>
      <c r="IE18" s="214">
        <f t="shared" si="40"/>
        <v>826426.84589198057</v>
      </c>
      <c r="IF18" s="214">
        <f t="shared" si="40"/>
        <v>826426.84589198057</v>
      </c>
      <c r="IG18" s="214">
        <f t="shared" si="40"/>
        <v>826426.84589198057</v>
      </c>
      <c r="IH18" s="214">
        <f t="shared" si="40"/>
        <v>826426.84589198057</v>
      </c>
      <c r="II18" s="214">
        <f t="shared" si="40"/>
        <v>826426.84589198057</v>
      </c>
      <c r="IJ18" s="214">
        <f t="shared" si="40"/>
        <v>826426.84589198057</v>
      </c>
      <c r="IK18" s="214">
        <f t="shared" si="40"/>
        <v>826426.84589198057</v>
      </c>
      <c r="IL18" s="214">
        <f t="shared" si="40"/>
        <v>826426.84589198057</v>
      </c>
      <c r="IM18" s="214">
        <f t="shared" si="40"/>
        <v>826426.84589198057</v>
      </c>
      <c r="IN18" s="214">
        <f t="shared" si="40"/>
        <v>826426.84589198057</v>
      </c>
      <c r="IO18" s="214">
        <f t="shared" si="40"/>
        <v>826426.84589198057</v>
      </c>
      <c r="IP18" s="214">
        <f t="shared" si="40"/>
        <v>826426.84589198057</v>
      </c>
      <c r="IQ18" s="214">
        <f t="shared" si="40"/>
        <v>826426.84589198057</v>
      </c>
      <c r="IR18" s="214">
        <f t="shared" si="40"/>
        <v>826426.84589198057</v>
      </c>
      <c r="IS18" s="214">
        <f t="shared" si="40"/>
        <v>826426.84589198057</v>
      </c>
      <c r="IT18" s="214">
        <f t="shared" si="40"/>
        <v>826426.84589198057</v>
      </c>
      <c r="IU18" s="214">
        <f t="shared" si="40"/>
        <v>826426.84589198057</v>
      </c>
      <c r="IV18" s="214">
        <f t="shared" si="40"/>
        <v>826426.84589198057</v>
      </c>
      <c r="IW18" s="214">
        <f t="shared" si="40"/>
        <v>826426.84589198057</v>
      </c>
      <c r="IX18" s="214">
        <f t="shared" si="40"/>
        <v>826426.84589198057</v>
      </c>
      <c r="IY18" s="214">
        <f t="shared" si="40"/>
        <v>826426.84589198057</v>
      </c>
      <c r="IZ18" s="214">
        <f t="shared" si="40"/>
        <v>826426.84589198057</v>
      </c>
      <c r="JA18" s="214">
        <f t="shared" si="40"/>
        <v>826426.84589198057</v>
      </c>
      <c r="JB18" s="214">
        <f t="shared" si="40"/>
        <v>826426.84589198057</v>
      </c>
      <c r="JC18" s="214">
        <f t="shared" si="40"/>
        <v>826426.84589198057</v>
      </c>
      <c r="JD18" s="214">
        <f t="shared" si="40"/>
        <v>826426.84589198057</v>
      </c>
      <c r="JE18" s="214">
        <f t="shared" ref="JE18:LD18" si="41">JD18+JE17</f>
        <v>826426.84589198057</v>
      </c>
      <c r="JF18" s="214">
        <f t="shared" si="41"/>
        <v>826426.84589198057</v>
      </c>
      <c r="JG18" s="214">
        <f t="shared" si="41"/>
        <v>826426.84589198057</v>
      </c>
      <c r="JH18" s="214">
        <f t="shared" si="41"/>
        <v>826426.84589198057</v>
      </c>
      <c r="JI18" s="214">
        <f t="shared" si="41"/>
        <v>826426.84589198057</v>
      </c>
      <c r="JJ18" s="214">
        <f t="shared" si="41"/>
        <v>826426.84589198057</v>
      </c>
      <c r="JK18" s="214">
        <f t="shared" si="41"/>
        <v>826426.84589198057</v>
      </c>
      <c r="JL18" s="214">
        <f t="shared" si="41"/>
        <v>826426.84589198057</v>
      </c>
      <c r="JM18" s="214">
        <f t="shared" si="41"/>
        <v>826426.84589198057</v>
      </c>
      <c r="JN18" s="214">
        <f t="shared" si="41"/>
        <v>826426.84589198057</v>
      </c>
      <c r="JO18" s="214">
        <f t="shared" si="41"/>
        <v>826426.84589198057</v>
      </c>
      <c r="JP18" s="214">
        <f t="shared" si="41"/>
        <v>826426.84589198057</v>
      </c>
      <c r="JQ18" s="214">
        <f t="shared" si="41"/>
        <v>826426.84589198057</v>
      </c>
      <c r="JR18" s="214">
        <f t="shared" si="41"/>
        <v>826426.84589198057</v>
      </c>
      <c r="JS18" s="214">
        <f t="shared" si="41"/>
        <v>826426.84589198057</v>
      </c>
      <c r="JT18" s="214">
        <f t="shared" si="41"/>
        <v>826426.84589198057</v>
      </c>
      <c r="JU18" s="214">
        <f t="shared" si="41"/>
        <v>826426.84589198057</v>
      </c>
      <c r="JV18" s="214">
        <f t="shared" si="41"/>
        <v>826426.84589198057</v>
      </c>
      <c r="JW18" s="214">
        <f t="shared" si="41"/>
        <v>826426.84589198057</v>
      </c>
      <c r="JX18" s="214">
        <f t="shared" si="41"/>
        <v>826426.84589198057</v>
      </c>
      <c r="JY18" s="214">
        <f t="shared" si="41"/>
        <v>826426.84589198057</v>
      </c>
      <c r="JZ18" s="214">
        <f t="shared" si="41"/>
        <v>826426.84589198057</v>
      </c>
      <c r="KA18" s="214">
        <f t="shared" si="41"/>
        <v>826426.84589198057</v>
      </c>
      <c r="KB18" s="214">
        <f t="shared" si="41"/>
        <v>826426.84589198057</v>
      </c>
      <c r="KC18" s="214">
        <f t="shared" si="41"/>
        <v>826426.84589198057</v>
      </c>
      <c r="KD18" s="214">
        <f t="shared" si="41"/>
        <v>826426.84589198057</v>
      </c>
      <c r="KE18" s="214">
        <f t="shared" si="41"/>
        <v>826426.84589198057</v>
      </c>
      <c r="KF18" s="214">
        <f t="shared" si="41"/>
        <v>826426.84589198057</v>
      </c>
      <c r="KG18" s="214">
        <f t="shared" si="41"/>
        <v>826426.84589198057</v>
      </c>
      <c r="KH18" s="214">
        <f t="shared" si="41"/>
        <v>826426.84589198057</v>
      </c>
      <c r="KI18" s="214">
        <f t="shared" si="41"/>
        <v>826426.84589198057</v>
      </c>
      <c r="KJ18" s="214">
        <f t="shared" si="41"/>
        <v>826426.84589198057</v>
      </c>
      <c r="KK18" s="214">
        <f t="shared" si="41"/>
        <v>826426.84589198057</v>
      </c>
      <c r="KL18" s="214">
        <f t="shared" si="41"/>
        <v>826426.84589198057</v>
      </c>
      <c r="KM18" s="214">
        <f t="shared" si="41"/>
        <v>826426.84589198057</v>
      </c>
      <c r="KN18" s="214">
        <f t="shared" si="41"/>
        <v>826426.84589198057</v>
      </c>
      <c r="KO18" s="214">
        <f t="shared" si="41"/>
        <v>826426.84589198057</v>
      </c>
      <c r="KP18" s="214">
        <f t="shared" si="41"/>
        <v>826426.84589198057</v>
      </c>
      <c r="KQ18" s="214">
        <f t="shared" si="41"/>
        <v>826426.84589198057</v>
      </c>
      <c r="KR18" s="214">
        <f t="shared" si="41"/>
        <v>826426.84589198057</v>
      </c>
      <c r="KS18" s="214">
        <f t="shared" si="41"/>
        <v>826426.84589198057</v>
      </c>
      <c r="KT18" s="214">
        <f t="shared" si="41"/>
        <v>826426.84589198057</v>
      </c>
      <c r="KU18" s="214">
        <f t="shared" si="41"/>
        <v>826426.84589198057</v>
      </c>
      <c r="KV18" s="214">
        <f t="shared" si="41"/>
        <v>826426.84589198057</v>
      </c>
      <c r="KW18" s="214">
        <f t="shared" si="41"/>
        <v>826426.84589198057</v>
      </c>
      <c r="KX18" s="214">
        <f t="shared" si="41"/>
        <v>826426.84589198057</v>
      </c>
      <c r="KY18" s="214">
        <f t="shared" si="41"/>
        <v>826426.84589198057</v>
      </c>
      <c r="KZ18" s="214">
        <f t="shared" si="41"/>
        <v>826426.84589198057</v>
      </c>
      <c r="LA18" s="214">
        <f t="shared" si="41"/>
        <v>826426.84589198057</v>
      </c>
      <c r="LB18" s="214">
        <f t="shared" si="41"/>
        <v>826426.84589198057</v>
      </c>
      <c r="LC18" s="214">
        <f t="shared" si="41"/>
        <v>826426.84589198057</v>
      </c>
      <c r="LD18" s="214">
        <f t="shared" si="41"/>
        <v>826426.84589198057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09375" defaultRowHeight="14.4"/>
  <cols>
    <col min="1" max="1" width="38.5546875" style="366" bestFit="1" customWidth="1"/>
    <col min="2" max="2" width="16.44140625" style="367" bestFit="1" customWidth="1"/>
    <col min="3" max="4" width="12.88671875" style="366" bestFit="1" customWidth="1"/>
    <col min="5" max="7" width="11.88671875" style="366" bestFit="1" customWidth="1"/>
    <col min="8" max="8" width="6.109375" style="366" bestFit="1" customWidth="1"/>
    <col min="9" max="10" width="11.88671875" style="366" bestFit="1" customWidth="1"/>
    <col min="11" max="11" width="12.88671875" style="366" bestFit="1" customWidth="1"/>
    <col min="12" max="12" width="6.109375" style="366" bestFit="1" customWidth="1"/>
    <col min="13" max="13" width="14.109375" style="366" bestFit="1" customWidth="1"/>
    <col min="14" max="14" width="13.5546875" style="366" bestFit="1" customWidth="1"/>
    <col min="15" max="18" width="11.44140625" style="366" bestFit="1" customWidth="1"/>
    <col min="19" max="19" width="13.5546875" style="366" bestFit="1" customWidth="1"/>
    <col min="20" max="16384" width="12.1093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4140625" defaultRowHeight="14.4"/>
  <cols>
    <col min="1" max="1" width="20.5546875" bestFit="1" customWidth="1"/>
    <col min="2" max="2" width="16.44140625" style="411" bestFit="1" customWidth="1"/>
    <col min="3" max="4" width="12.88671875" style="411" bestFit="1" customWidth="1"/>
    <col min="5" max="9" width="11.88671875" style="411" bestFit="1" customWidth="1"/>
    <col min="10" max="10" width="11.88671875" bestFit="1" customWidth="1"/>
    <col min="11" max="11" width="12.886718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814" t="s">
        <v>397</v>
      </c>
      <c r="C2" s="814"/>
      <c r="D2" s="814"/>
      <c r="E2" s="814"/>
      <c r="H2" s="815" t="s">
        <v>398</v>
      </c>
      <c r="I2" s="816"/>
      <c r="J2" s="816"/>
      <c r="K2" s="816"/>
      <c r="L2" s="816"/>
      <c r="M2" s="816"/>
      <c r="N2" s="816"/>
      <c r="O2" s="817"/>
    </row>
    <row r="3" spans="2:15">
      <c r="B3" s="700"/>
      <c r="H3" s="818"/>
      <c r="I3" s="819"/>
      <c r="J3" s="819"/>
      <c r="K3" s="819"/>
      <c r="L3" s="819"/>
      <c r="M3" s="819"/>
      <c r="N3" s="819"/>
      <c r="O3" s="820"/>
    </row>
    <row r="4" spans="2:15">
      <c r="B4" s="701" t="s">
        <v>399</v>
      </c>
      <c r="C4" s="702" t="str">
        <f>'Project Plan'!E2</f>
        <v>Waterside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701" t="s">
        <v>400</v>
      </c>
      <c r="C5" s="702" t="s">
        <v>401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701" t="s">
        <v>402</v>
      </c>
      <c r="C6" s="702" t="s">
        <v>403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701" t="s">
        <v>404</v>
      </c>
      <c r="C7" s="702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700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405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406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703" t="s">
        <v>407</v>
      </c>
      <c r="C11" s="812" t="s">
        <v>408</v>
      </c>
      <c r="D11" s="812"/>
      <c r="E11" s="812"/>
    </row>
    <row r="12" spans="2:15">
      <c r="B12" s="703" t="s">
        <v>409</v>
      </c>
      <c r="C12" s="812" t="s">
        <v>408</v>
      </c>
      <c r="D12" s="812"/>
      <c r="E12" s="812"/>
    </row>
    <row r="13" spans="2:15">
      <c r="B13" s="703" t="s">
        <v>410</v>
      </c>
      <c r="C13" s="812" t="s">
        <v>408</v>
      </c>
      <c r="D13" s="812"/>
      <c r="E13" s="812"/>
    </row>
    <row r="14" spans="2:15">
      <c r="B14" s="703" t="s">
        <v>411</v>
      </c>
      <c r="C14" s="812" t="s">
        <v>412</v>
      </c>
      <c r="D14" s="812"/>
      <c r="E14" s="812"/>
    </row>
    <row r="15" spans="2:15">
      <c r="B15" s="703" t="s">
        <v>413</v>
      </c>
      <c r="C15" s="812" t="s">
        <v>414</v>
      </c>
      <c r="D15" s="812"/>
      <c r="E15" s="812"/>
    </row>
    <row r="16" spans="2:15" ht="15" customHeight="1">
      <c r="B16" s="703" t="s">
        <v>415</v>
      </c>
      <c r="C16" s="812" t="s">
        <v>416</v>
      </c>
      <c r="D16" s="812"/>
      <c r="E16" s="812"/>
    </row>
    <row r="17" spans="2:5">
      <c r="B17" s="700"/>
    </row>
    <row r="18" spans="2:5">
      <c r="B18" s="813" t="s">
        <v>417</v>
      </c>
      <c r="C18" s="813"/>
      <c r="D18" s="813"/>
      <c r="E18" s="813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424</v>
      </c>
    </row>
    <row r="2" spans="1:4">
      <c r="A2" s="826"/>
      <c r="B2" s="826"/>
      <c r="C2" s="826"/>
      <c r="D2" s="71"/>
    </row>
    <row r="3" spans="1:4">
      <c r="A3" s="825" t="s">
        <v>425</v>
      </c>
      <c r="B3" s="825"/>
      <c r="C3" s="825"/>
      <c r="D3" s="111">
        <v>0.32</v>
      </c>
    </row>
    <row r="4" spans="1:4">
      <c r="A4" s="825" t="s">
        <v>366</v>
      </c>
      <c r="B4" s="825"/>
      <c r="C4" s="825"/>
      <c r="D4" s="111">
        <v>0.5</v>
      </c>
    </row>
    <row r="5" spans="1:4">
      <c r="A5" s="825" t="s">
        <v>377</v>
      </c>
      <c r="B5" s="825"/>
      <c r="C5" s="825"/>
      <c r="D5" s="111">
        <v>0.15</v>
      </c>
    </row>
    <row r="6" spans="1:4">
      <c r="A6" s="825" t="s">
        <v>426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10937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1093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7" t="s">
        <v>427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1093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109375" style="88" bestFit="1" customWidth="1"/>
    <col min="16" max="16384" width="9.44140625" style="88"/>
  </cols>
  <sheetData>
    <row r="2" spans="2:15" s="94" customFormat="1" ht="17.399999999999999">
      <c r="B2" s="827" t="s">
        <v>449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460</v>
      </c>
      <c r="C32" s="103"/>
      <c r="D32" s="103"/>
    </row>
    <row r="33" spans="2:4" ht="13.8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109375" bestFit="1" customWidth="1"/>
    <col min="9" max="9" width="10.44140625" customWidth="1"/>
    <col min="10" max="10" width="19.5546875" bestFit="1" customWidth="1"/>
  </cols>
  <sheetData>
    <row r="1" spans="2:14">
      <c r="B1" s="829" t="str">
        <f>D15</f>
        <v>Waterside</v>
      </c>
      <c r="C1" s="829"/>
      <c r="D1" s="829"/>
      <c r="E1" s="828" t="s">
        <v>462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2026-02-25T07:31:00Z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