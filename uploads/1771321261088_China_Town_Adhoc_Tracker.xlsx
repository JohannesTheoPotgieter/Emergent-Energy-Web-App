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1" documentId="13_ncr:1_{E1EE6CCD-752A-4D1E-BBB5-4F1A64A5A146}" xr6:coauthVersionLast="47" xr6:coauthVersionMax="47" xr10:uidLastSave="{7DEAD767-F01B-4C2B-8C2B-1CC381A089DC}"/>
  <bookViews>
    <workbookView minimized="1" xWindow="-27150" yWindow="2625" windowWidth="21600" windowHeight="11175" tabRatio="867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79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2" i="18" l="1"/>
  <c r="I25" i="2"/>
  <c r="N24" i="2"/>
  <c r="K24" i="2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<sst xmlns="http://schemas.openxmlformats.org/spreadsheetml/2006/main" count="679" uniqueCount="388">
  <si>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</si>
  <si>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</si>
  <si>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</si>
  <si>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</si>
  <si>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</si>
  <si>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</si>
  <si>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</si>
  <si>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</si>
  <si>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</si>
  <si>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</si>
  <si>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</si>
  <si>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</si>
  <si>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</si>
  <si>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</si>
  <si>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</si>
  <si>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</si>
  <si>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</si>
  <si>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</si>
  <si>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</si>
  <si>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</si>
  <si>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</si>
  <si>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</si>
  <si>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</si>
  <si>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</si>
  <si>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</si>
  <si>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</si>
  <si>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</si>
  <si>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</si>
  <si>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</si>
  <si>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</si>
  <si>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</si>
  <si>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</si>
  <si>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</si>
  <si>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</si>
  <si>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</si>
  <si>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</si>
  <si>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</si>
  <si>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</si>
  <si>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</si>
  <si>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</si>
  <si>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</si>
  <si>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</si>
  <si>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</si>
  <si>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</si>
  <si>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</si>
  <si>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</si>
  <si>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</si>
  <si>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</si>
  <si>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</si>
  <si>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</si>
  <si>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</si>
  <si>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</si>
  <si>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</si>
  <si>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</si>
  <si>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</si>
  <si>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</si>
  <si>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</si>
  <si>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</si>
  <si>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</si>
  <si>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</si>
  <si>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</si>
  <si>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</si>
  <si>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</si>
  <si>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</si>
  <si>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</si>
  <si>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</si>
  <si>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</si>
  <si>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</si>
  <si>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</si>
  <si>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</si>
  <si>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</si>
  <si>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</si>
  <si>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</si>
  <si>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</si>
  <si>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</si>
  <si>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</si>
  <si>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</si>
  <si>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</si>
  <si>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</si>
  <si>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</si>
  <si>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</si>
  <si>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</si>
  <si>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</si>
  <si>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</si>
  <si>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</si>
  <si>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</si>
  <si>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</si>
  <si>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</si>
  <si>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</si>
  <si>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</si>
  <si>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</si>
  <si>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</si>
  <si>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</si>
  <si>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</si>
  <si>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</si>
  <si>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</si>
  <si>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</si>
  <si>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</si>
  <si>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</si>
  <si>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</si>
  <si>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</si>
  <si>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</si>
  <si>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</si>
  <si>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</si>
  <si>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</si>
  <si>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</si>
  <si>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</si>
  <si>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</si>
  <si>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</si>
  <si>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</si>
  <si>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</si>
  <si>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</si>
  <si>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</si>
  <si>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</si>
  <si>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</si>
  <si>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</si>
  <si>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Phase 1 Rework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</si>
  <si>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</si>
  <si>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</si>
  <si>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</si>
  <si>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</si>
  <si>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</si>
  <si>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</si>
  <si>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</si>
  <si>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</si>
  <si>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</si>
  <si>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</si>
  <si>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</si>
  <si>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</si>
  <si>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</si>
  <si>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</si>
  <si>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</si>
  <si>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</si>
  <si>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</si>
  <si>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</si>
  <si>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</si>
  <si>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</si>
  <si>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</si>
  <si>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</si>
  <si>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</si>
  <si>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</si>
  <si>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</si>
  <si>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</si>
  <si>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</si>
  <si>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</si>
  <si>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</si>
  <si>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</si>
  <si>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</si>
  <si>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</si>
  <si>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</si>
  <si>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</si>
  <si>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</si>
  <si>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</si>
  <si>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</si>
  <si>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</si>
  <si>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</si>
  <si>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</si>
  <si>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</si>
  <si>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</si>
  <si>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</si>
  <si>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</si>
  <si>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</si>
  <si>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</si>
  <si>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</si>
  <si>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</si>
  <si>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</si>
  <si>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</si>
  <si>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</si>
  <si>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</si>
  <si>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</si>
  <si>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</si>
  <si>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</si>
  <si>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</si>
  <si>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</si>
  <si>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</si>
  <si>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</si>
  <si>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</si>
  <si>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</si>
  <si>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</si>
  <si>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</si>
  <si>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</si>
  <si>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</si>
  <si>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</si>
  <si>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</si>
  <si>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</si>
  <si>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</si>
  <si>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</si>
  <si>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</si>
  <si>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</si>
  <si>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</si>
  <si>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</si>
  <si>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</si>
  <si>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</si>
  <si>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</si>
  <si>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</si>
  <si>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</si>
  <si>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</si>
  <si>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</si>
  <si>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</si>
  <si>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</si>
  <si>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</si>
  <si>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</si>
  <si>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</si>
  <si>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</si>
  <si>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</si>
  <si>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</si>
  <si>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</si>
  <si>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</si>
  <si>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</si>
  <si>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</si>
  <si>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</si>
  <si>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</si>
  <si>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</si>
  <si>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</si>
  <si>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</si>
  <si>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</si>
  <si>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</si>
  <si>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</si>
  <si>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</si>
  <si>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</si>
  <si>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</si>
  <si>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</si>
  <si>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</si>
  <si>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</si>
  <si>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</si>
  <si>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</si>
  <si>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</si>
  <si>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</si>
  <si>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</si>
  <si>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</si>
  <si>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</si>
  <si>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</si>
  <si>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</si>
  <si>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</si>
  <si>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</si>
  <si>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</si>
  <si>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</si>
  <si>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</si>
  <si>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</si>
  <si>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</si>
  <si>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</si>
  <si>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</si>
  <si>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</si>
  <si>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</si>
  <si>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</si>
  <si>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</si>
  <si>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</si>
  <si>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</si>
  <si>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</si>
  <si>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</si>
  <si>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</si>
  <si>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</si>
  <si>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</si>
  <si>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</si>
  <si>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</si>
  <si>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</si>
  <si>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</si>
  <si>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</si>
  <si>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</si>
  <si>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</si>
  <si>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</si>
  <si>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</si>
  <si>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</si>
  <si>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</si>
  <si>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Phase 1 - Rework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</si>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</sst>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43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7" fontId="57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411634.11</c:v>
                </c:pt>
                <c:pt idx="59">
                  <c:v>411634.11</c:v>
                </c:pt>
                <c:pt idx="60">
                  <c:v>411634.11</c:v>
                </c:pt>
                <c:pt idx="61">
                  <c:v>411634.11</c:v>
                </c:pt>
                <c:pt idx="62">
                  <c:v>411634.11</c:v>
                </c:pt>
                <c:pt idx="63">
                  <c:v>411634.11</c:v>
                </c:pt>
                <c:pt idx="64">
                  <c:v>411634.11</c:v>
                </c:pt>
                <c:pt idx="65">
                  <c:v>411634.11</c:v>
                </c:pt>
                <c:pt idx="66">
                  <c:v>411634.11</c:v>
                </c:pt>
                <c:pt idx="67">
                  <c:v>411634.11</c:v>
                </c:pt>
                <c:pt idx="68">
                  <c:v>411634.11</c:v>
                </c:pt>
                <c:pt idx="69">
                  <c:v>411634.11</c:v>
                </c:pt>
                <c:pt idx="70">
                  <c:v>411634.11</c:v>
                </c:pt>
                <c:pt idx="71">
                  <c:v>411634.11</c:v>
                </c:pt>
                <c:pt idx="72">
                  <c:v>411634.11</c:v>
                </c:pt>
                <c:pt idx="73">
                  <c:v>411634.11</c:v>
                </c:pt>
                <c:pt idx="74">
                  <c:v>411634.11</c:v>
                </c:pt>
                <c:pt idx="75">
                  <c:v>411634.11</c:v>
                </c:pt>
                <c:pt idx="76">
                  <c:v>411634.11</c:v>
                </c:pt>
                <c:pt idx="77">
                  <c:v>411634.11</c:v>
                </c:pt>
                <c:pt idx="78">
                  <c:v>411634.11</c:v>
                </c:pt>
                <c:pt idx="79">
                  <c:v>411634.11</c:v>
                </c:pt>
                <c:pt idx="80">
                  <c:v>411634.11</c:v>
                </c:pt>
                <c:pt idx="81">
                  <c:v>411634.11</c:v>
                </c:pt>
                <c:pt idx="82">
                  <c:v>411634.11</c:v>
                </c:pt>
                <c:pt idx="83">
                  <c:v>411634.11</c:v>
                </c:pt>
                <c:pt idx="84">
                  <c:v>411634.11</c:v>
                </c:pt>
                <c:pt idx="85">
                  <c:v>411634.11</c:v>
                </c:pt>
                <c:pt idx="86">
                  <c:v>411634.11</c:v>
                </c:pt>
                <c:pt idx="87">
                  <c:v>411634.11</c:v>
                </c:pt>
                <c:pt idx="88">
                  <c:v>411634.11</c:v>
                </c:pt>
                <c:pt idx="89">
                  <c:v>411634.11</c:v>
                </c:pt>
                <c:pt idx="90">
                  <c:v>411634.11</c:v>
                </c:pt>
                <c:pt idx="91">
                  <c:v>411634.11</c:v>
                </c:pt>
                <c:pt idx="92">
                  <c:v>411634.11</c:v>
                </c:pt>
                <c:pt idx="93">
                  <c:v>411634.11</c:v>
                </c:pt>
                <c:pt idx="94">
                  <c:v>411634.11</c:v>
                </c:pt>
                <c:pt idx="95">
                  <c:v>411634.11</c:v>
                </c:pt>
                <c:pt idx="96">
                  <c:v>411634.11</c:v>
                </c:pt>
                <c:pt idx="97">
                  <c:v>411634.11</c:v>
                </c:pt>
                <c:pt idx="98">
                  <c:v>411634.11</c:v>
                </c:pt>
                <c:pt idx="99">
                  <c:v>411634.11</c:v>
                </c:pt>
                <c:pt idx="100">
                  <c:v>411634.11</c:v>
                </c:pt>
                <c:pt idx="101">
                  <c:v>411634.11</c:v>
                </c:pt>
                <c:pt idx="102">
                  <c:v>411634.11</c:v>
                </c:pt>
                <c:pt idx="103">
                  <c:v>411634.11</c:v>
                </c:pt>
                <c:pt idx="104">
                  <c:v>411634.11</c:v>
                </c:pt>
                <c:pt idx="105">
                  <c:v>411634.11</c:v>
                </c:pt>
                <c:pt idx="106">
                  <c:v>411634.11</c:v>
                </c:pt>
                <c:pt idx="107">
                  <c:v>411634.11</c:v>
                </c:pt>
                <c:pt idx="108">
                  <c:v>411634.11</c:v>
                </c:pt>
                <c:pt idx="109">
                  <c:v>411634.11</c:v>
                </c:pt>
                <c:pt idx="110">
                  <c:v>411634.11</c:v>
                </c:pt>
                <c:pt idx="111">
                  <c:v>411634.11</c:v>
                </c:pt>
                <c:pt idx="112">
                  <c:v>411634.11</c:v>
                </c:pt>
                <c:pt idx="113">
                  <c:v>411634.11</c:v>
                </c:pt>
                <c:pt idx="114">
                  <c:v>411634.11</c:v>
                </c:pt>
                <c:pt idx="115">
                  <c:v>411634.11</c:v>
                </c:pt>
                <c:pt idx="116">
                  <c:v>411634.11</c:v>
                </c:pt>
                <c:pt idx="117">
                  <c:v>411634.11</c:v>
                </c:pt>
                <c:pt idx="118">
                  <c:v>411634.11</c:v>
                </c:pt>
                <c:pt idx="119">
                  <c:v>411634.11</c:v>
                </c:pt>
                <c:pt idx="120">
                  <c:v>411634.11</c:v>
                </c:pt>
                <c:pt idx="121">
                  <c:v>411634.11</c:v>
                </c:pt>
                <c:pt idx="122">
                  <c:v>411634.11</c:v>
                </c:pt>
                <c:pt idx="123">
                  <c:v>411634.11</c:v>
                </c:pt>
                <c:pt idx="124">
                  <c:v>411634.11</c:v>
                </c:pt>
                <c:pt idx="125">
                  <c:v>411634.11</c:v>
                </c:pt>
                <c:pt idx="126">
                  <c:v>411634.11</c:v>
                </c:pt>
                <c:pt idx="127">
                  <c:v>411634.11</c:v>
                </c:pt>
                <c:pt idx="128">
                  <c:v>411634.11</c:v>
                </c:pt>
                <c:pt idx="129">
                  <c:v>411634.11</c:v>
                </c:pt>
                <c:pt idx="130">
                  <c:v>411634.11</c:v>
                </c:pt>
                <c:pt idx="131">
                  <c:v>411634.11</c:v>
                </c:pt>
                <c:pt idx="132">
                  <c:v>411634.11</c:v>
                </c:pt>
                <c:pt idx="133">
                  <c:v>411634.11</c:v>
                </c:pt>
                <c:pt idx="134">
                  <c:v>411634.11</c:v>
                </c:pt>
                <c:pt idx="135">
                  <c:v>411634.11</c:v>
                </c:pt>
                <c:pt idx="136">
                  <c:v>411634.11</c:v>
                </c:pt>
                <c:pt idx="137">
                  <c:v>411634.11</c:v>
                </c:pt>
                <c:pt idx="138">
                  <c:v>411634.11</c:v>
                </c:pt>
                <c:pt idx="139">
                  <c:v>411634.11</c:v>
                </c:pt>
                <c:pt idx="140">
                  <c:v>411634.11</c:v>
                </c:pt>
                <c:pt idx="141">
                  <c:v>411634.11</c:v>
                </c:pt>
                <c:pt idx="142">
                  <c:v>411634.11</c:v>
                </c:pt>
                <c:pt idx="143">
                  <c:v>411634.11</c:v>
                </c:pt>
                <c:pt idx="144">
                  <c:v>411634.11</c:v>
                </c:pt>
                <c:pt idx="145">
                  <c:v>411634.11</c:v>
                </c:pt>
                <c:pt idx="146">
                  <c:v>411634.11</c:v>
                </c:pt>
                <c:pt idx="147">
                  <c:v>411634.11</c:v>
                </c:pt>
                <c:pt idx="148">
                  <c:v>411634.11</c:v>
                </c:pt>
                <c:pt idx="149">
                  <c:v>411634.11</c:v>
                </c:pt>
                <c:pt idx="150">
                  <c:v>411634.11</c:v>
                </c:pt>
                <c:pt idx="151">
                  <c:v>411634.11</c:v>
                </c:pt>
                <c:pt idx="152">
                  <c:v>411634.11</c:v>
                </c:pt>
                <c:pt idx="153">
                  <c:v>411634.11</c:v>
                </c:pt>
                <c:pt idx="154">
                  <c:v>411634.11</c:v>
                </c:pt>
                <c:pt idx="155">
                  <c:v>411634.11</c:v>
                </c:pt>
                <c:pt idx="156">
                  <c:v>411634.11</c:v>
                </c:pt>
                <c:pt idx="157">
                  <c:v>411634.11</c:v>
                </c:pt>
                <c:pt idx="158">
                  <c:v>411634.11</c:v>
                </c:pt>
                <c:pt idx="159">
                  <c:v>411634.11</c:v>
                </c:pt>
                <c:pt idx="160">
                  <c:v>411634.11</c:v>
                </c:pt>
                <c:pt idx="161">
                  <c:v>411634.11</c:v>
                </c:pt>
                <c:pt idx="162">
                  <c:v>411634.11</c:v>
                </c:pt>
                <c:pt idx="163">
                  <c:v>411634.11</c:v>
                </c:pt>
                <c:pt idx="164">
                  <c:v>411634.11</c:v>
                </c:pt>
                <c:pt idx="165">
                  <c:v>411634.11</c:v>
                </c:pt>
                <c:pt idx="166">
                  <c:v>411634.11</c:v>
                </c:pt>
                <c:pt idx="167">
                  <c:v>411634.11</c:v>
                </c:pt>
                <c:pt idx="168">
                  <c:v>411634.11</c:v>
                </c:pt>
                <c:pt idx="169">
                  <c:v>411634.11</c:v>
                </c:pt>
                <c:pt idx="170">
                  <c:v>411634.11</c:v>
                </c:pt>
                <c:pt idx="171">
                  <c:v>411634.11</c:v>
                </c:pt>
                <c:pt idx="172">
                  <c:v>411634.11</c:v>
                </c:pt>
                <c:pt idx="173">
                  <c:v>411634.11</c:v>
                </c:pt>
                <c:pt idx="174">
                  <c:v>411634.11</c:v>
                </c:pt>
                <c:pt idx="175">
                  <c:v>411634.11</c:v>
                </c:pt>
                <c:pt idx="176">
                  <c:v>411634.11</c:v>
                </c:pt>
                <c:pt idx="177">
                  <c:v>411634.11</c:v>
                </c:pt>
                <c:pt idx="178">
                  <c:v>411634.11</c:v>
                </c:pt>
                <c:pt idx="179">
                  <c:v>411634.11</c:v>
                </c:pt>
                <c:pt idx="180">
                  <c:v>411634.11</c:v>
                </c:pt>
                <c:pt idx="181">
                  <c:v>411634.11</c:v>
                </c:pt>
                <c:pt idx="182">
                  <c:v>411634.11</c:v>
                </c:pt>
                <c:pt idx="183">
                  <c:v>411634.11</c:v>
                </c:pt>
                <c:pt idx="184">
                  <c:v>411634.11</c:v>
                </c:pt>
                <c:pt idx="185">
                  <c:v>411634.11</c:v>
                </c:pt>
                <c:pt idx="186">
                  <c:v>411634.11</c:v>
                </c:pt>
                <c:pt idx="187">
                  <c:v>411634.11</c:v>
                </c:pt>
                <c:pt idx="188">
                  <c:v>411634.11</c:v>
                </c:pt>
                <c:pt idx="189">
                  <c:v>411634.11</c:v>
                </c:pt>
                <c:pt idx="190">
                  <c:v>411634.11</c:v>
                </c:pt>
                <c:pt idx="191">
                  <c:v>411634.11</c:v>
                </c:pt>
                <c:pt idx="192">
                  <c:v>411634.11</c:v>
                </c:pt>
                <c:pt idx="193">
                  <c:v>411634.11</c:v>
                </c:pt>
                <c:pt idx="194">
                  <c:v>411634.11</c:v>
                </c:pt>
                <c:pt idx="195">
                  <c:v>411634.11</c:v>
                </c:pt>
                <c:pt idx="196">
                  <c:v>411634.11</c:v>
                </c:pt>
                <c:pt idx="197">
                  <c:v>411634.11</c:v>
                </c:pt>
                <c:pt idx="198">
                  <c:v>411634.11</c:v>
                </c:pt>
                <c:pt idx="199">
                  <c:v>411634.11</c:v>
                </c:pt>
                <c:pt idx="200">
                  <c:v>411634.11</c:v>
                </c:pt>
                <c:pt idx="201">
                  <c:v>411634.11</c:v>
                </c:pt>
                <c:pt idx="202">
                  <c:v>411634.11</c:v>
                </c:pt>
                <c:pt idx="203">
                  <c:v>411634.11</c:v>
                </c:pt>
                <c:pt idx="204">
                  <c:v>411634.11</c:v>
                </c:pt>
                <c:pt idx="205">
                  <c:v>411634.11</c:v>
                </c:pt>
                <c:pt idx="206">
                  <c:v>411634.11</c:v>
                </c:pt>
                <c:pt idx="207">
                  <c:v>411634.11</c:v>
                </c:pt>
                <c:pt idx="208">
                  <c:v>411634.11</c:v>
                </c:pt>
                <c:pt idx="209">
                  <c:v>411634.11</c:v>
                </c:pt>
                <c:pt idx="210">
                  <c:v>411634.11</c:v>
                </c:pt>
                <c:pt idx="211">
                  <c:v>411634.11</c:v>
                </c:pt>
                <c:pt idx="212">
                  <c:v>411634.11</c:v>
                </c:pt>
                <c:pt idx="213">
                  <c:v>411634.11</c:v>
                </c:pt>
                <c:pt idx="214">
                  <c:v>411634.11</c:v>
                </c:pt>
                <c:pt idx="215">
                  <c:v>411634.11</c:v>
                </c:pt>
                <c:pt idx="216">
                  <c:v>411634.11</c:v>
                </c:pt>
                <c:pt idx="217">
                  <c:v>411634.11</c:v>
                </c:pt>
                <c:pt idx="218">
                  <c:v>411634.11</c:v>
                </c:pt>
                <c:pt idx="219">
                  <c:v>411634.11</c:v>
                </c:pt>
                <c:pt idx="220">
                  <c:v>411634.11</c:v>
                </c:pt>
                <c:pt idx="221">
                  <c:v>411634.11</c:v>
                </c:pt>
                <c:pt idx="222">
                  <c:v>411634.11</c:v>
                </c:pt>
                <c:pt idx="223">
                  <c:v>411634.11</c:v>
                </c:pt>
                <c:pt idx="224">
                  <c:v>411634.11</c:v>
                </c:pt>
                <c:pt idx="225">
                  <c:v>411634.11</c:v>
                </c:pt>
                <c:pt idx="226">
                  <c:v>411634.11</c:v>
                </c:pt>
                <c:pt idx="227">
                  <c:v>411634.11</c:v>
                </c:pt>
                <c:pt idx="228">
                  <c:v>411634.11</c:v>
                </c:pt>
                <c:pt idx="229">
                  <c:v>411634.11</c:v>
                </c:pt>
                <c:pt idx="230">
                  <c:v>411634.11</c:v>
                </c:pt>
                <c:pt idx="231">
                  <c:v>411634.11</c:v>
                </c:pt>
                <c:pt idx="232">
                  <c:v>411634.11</c:v>
                </c:pt>
                <c:pt idx="233">
                  <c:v>411634.11</c:v>
                </c:pt>
                <c:pt idx="234">
                  <c:v>411634.11</c:v>
                </c:pt>
                <c:pt idx="235">
                  <c:v>411634.11</c:v>
                </c:pt>
                <c:pt idx="236">
                  <c:v>411634.11</c:v>
                </c:pt>
                <c:pt idx="237">
                  <c:v>411634.11</c:v>
                </c:pt>
                <c:pt idx="238">
                  <c:v>411634.11</c:v>
                </c:pt>
                <c:pt idx="239">
                  <c:v>411634.11</c:v>
                </c:pt>
                <c:pt idx="240">
                  <c:v>411634.11</c:v>
                </c:pt>
                <c:pt idx="241">
                  <c:v>411634.11</c:v>
                </c:pt>
                <c:pt idx="242">
                  <c:v>411634.11</c:v>
                </c:pt>
                <c:pt idx="243">
                  <c:v>411634.11</c:v>
                </c:pt>
                <c:pt idx="244">
                  <c:v>411634.11</c:v>
                </c:pt>
                <c:pt idx="245">
                  <c:v>411634.11</c:v>
                </c:pt>
                <c:pt idx="246">
                  <c:v>411634.11</c:v>
                </c:pt>
                <c:pt idx="247">
                  <c:v>411634.11</c:v>
                </c:pt>
                <c:pt idx="248">
                  <c:v>411634.11</c:v>
                </c:pt>
                <c:pt idx="249">
                  <c:v>411634.11</c:v>
                </c:pt>
                <c:pt idx="250">
                  <c:v>411634.11</c:v>
                </c:pt>
                <c:pt idx="251">
                  <c:v>411634.11</c:v>
                </c:pt>
                <c:pt idx="252">
                  <c:v>411634.11</c:v>
                </c:pt>
                <c:pt idx="253">
                  <c:v>411634.11</c:v>
                </c:pt>
                <c:pt idx="254">
                  <c:v>411634.11</c:v>
                </c:pt>
                <c:pt idx="255">
                  <c:v>411634.11</c:v>
                </c:pt>
                <c:pt idx="256">
                  <c:v>411634.11</c:v>
                </c:pt>
                <c:pt idx="257">
                  <c:v>411634.11</c:v>
                </c:pt>
                <c:pt idx="258">
                  <c:v>411634.11</c:v>
                </c:pt>
                <c:pt idx="259">
                  <c:v>411634.11</c:v>
                </c:pt>
                <c:pt idx="260">
                  <c:v>411634.11</c:v>
                </c:pt>
                <c:pt idx="261">
                  <c:v>411634.11</c:v>
                </c:pt>
                <c:pt idx="262">
                  <c:v>411634.11</c:v>
                </c:pt>
                <c:pt idx="263">
                  <c:v>411634.11</c:v>
                </c:pt>
                <c:pt idx="264">
                  <c:v>411634.11</c:v>
                </c:pt>
                <c:pt idx="265">
                  <c:v>411634.11</c:v>
                </c:pt>
                <c:pt idx="266">
                  <c:v>411634.11</c:v>
                </c:pt>
                <c:pt idx="267">
                  <c:v>411634.11</c:v>
                </c:pt>
                <c:pt idx="268">
                  <c:v>411634.11</c:v>
                </c:pt>
                <c:pt idx="269">
                  <c:v>411634.11</c:v>
                </c:pt>
                <c:pt idx="270">
                  <c:v>411634.11</c:v>
                </c:pt>
                <c:pt idx="271">
                  <c:v>411634.11</c:v>
                </c:pt>
                <c:pt idx="272">
                  <c:v>411634.11</c:v>
                </c:pt>
                <c:pt idx="273">
                  <c:v>411634.11</c:v>
                </c:pt>
                <c:pt idx="274">
                  <c:v>411634.11</c:v>
                </c:pt>
                <c:pt idx="275">
                  <c:v>411634.11</c:v>
                </c:pt>
                <c:pt idx="276">
                  <c:v>411634.11</c:v>
                </c:pt>
                <c:pt idx="277">
                  <c:v>411634.11</c:v>
                </c:pt>
                <c:pt idx="278">
                  <c:v>411634.11</c:v>
                </c:pt>
                <c:pt idx="279">
                  <c:v>411634.11</c:v>
                </c:pt>
                <c:pt idx="280">
                  <c:v>411634.11</c:v>
                </c:pt>
                <c:pt idx="281">
                  <c:v>411634.11</c:v>
                </c:pt>
                <c:pt idx="282">
                  <c:v>411634.11</c:v>
                </c:pt>
                <c:pt idx="283">
                  <c:v>411634.11</c:v>
                </c:pt>
                <c:pt idx="284">
                  <c:v>411634.11</c:v>
                </c:pt>
                <c:pt idx="285">
                  <c:v>411634.11</c:v>
                </c:pt>
                <c:pt idx="286">
                  <c:v>411634.11</c:v>
                </c:pt>
                <c:pt idx="287">
                  <c:v>411634.11</c:v>
                </c:pt>
                <c:pt idx="288">
                  <c:v>411634.11</c:v>
                </c:pt>
                <c:pt idx="289">
                  <c:v>411634.11</c:v>
                </c:pt>
                <c:pt idx="290">
                  <c:v>411634.11</c:v>
                </c:pt>
                <c:pt idx="291">
                  <c:v>411634.11</c:v>
                </c:pt>
                <c:pt idx="292">
                  <c:v>411634.11</c:v>
                </c:pt>
                <c:pt idx="293">
                  <c:v>411634.11</c:v>
                </c:pt>
                <c:pt idx="294">
                  <c:v>411634.11</c:v>
                </c:pt>
                <c:pt idx="295">
                  <c:v>411634.11</c:v>
                </c:pt>
                <c:pt idx="296">
                  <c:v>411634.11</c:v>
                </c:pt>
                <c:pt idx="297">
                  <c:v>411634.11</c:v>
                </c:pt>
                <c:pt idx="298">
                  <c:v>411634.11</c:v>
                </c:pt>
                <c:pt idx="299">
                  <c:v>411634.11</c:v>
                </c:pt>
                <c:pt idx="300">
                  <c:v>411634.11</c:v>
                </c:pt>
                <c:pt idx="301">
                  <c:v>411634.11</c:v>
                </c:pt>
                <c:pt idx="302">
                  <c:v>411634.11</c:v>
                </c:pt>
                <c:pt idx="303">
                  <c:v>411634.11</c:v>
                </c:pt>
                <c:pt idx="304">
                  <c:v>411634.11</c:v>
                </c:pt>
                <c:pt idx="305">
                  <c:v>411634.11</c:v>
                </c:pt>
                <c:pt idx="306">
                  <c:v>411634.11</c:v>
                </c:pt>
                <c:pt idx="307">
                  <c:v>411634.11</c:v>
                </c:pt>
                <c:pt idx="308">
                  <c:v>411634.11</c:v>
                </c:pt>
                <c:pt idx="309">
                  <c:v>411634.11</c:v>
                </c:pt>
                <c:pt idx="310">
                  <c:v>411634.11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-112394.16999999998</c:v>
                </c:pt>
                <c:pt idx="56">
                  <c:v>65511.680000000051</c:v>
                </c:pt>
                <c:pt idx="57">
                  <c:v>65511.680000000051</c:v>
                </c:pt>
                <c:pt idx="58">
                  <c:v>-34488.319999999949</c:v>
                </c:pt>
                <c:pt idx="59">
                  <c:v>-34488.319999999949</c:v>
                </c:pt>
                <c:pt idx="60">
                  <c:v>-34488.319999999949</c:v>
                </c:pt>
                <c:pt idx="61">
                  <c:v>-34488.319999999949</c:v>
                </c:pt>
                <c:pt idx="62">
                  <c:v>-34488.319999999949</c:v>
                </c:pt>
                <c:pt idx="63">
                  <c:v>-34488.319999999949</c:v>
                </c:pt>
                <c:pt idx="64">
                  <c:v>-34488.319999999949</c:v>
                </c:pt>
                <c:pt idx="65">
                  <c:v>-34488.319999999949</c:v>
                </c:pt>
                <c:pt idx="66">
                  <c:v>-34488.319999999949</c:v>
                </c:pt>
                <c:pt idx="67">
                  <c:v>-34488.319999999949</c:v>
                </c:pt>
                <c:pt idx="68">
                  <c:v>-34488.319999999949</c:v>
                </c:pt>
                <c:pt idx="69">
                  <c:v>-34488.319999999949</c:v>
                </c:pt>
                <c:pt idx="70">
                  <c:v>-34488.319999999949</c:v>
                </c:pt>
                <c:pt idx="71">
                  <c:v>-34488.319999999949</c:v>
                </c:pt>
                <c:pt idx="72">
                  <c:v>-34488.319999999949</c:v>
                </c:pt>
                <c:pt idx="73">
                  <c:v>-34488.319999999949</c:v>
                </c:pt>
                <c:pt idx="74">
                  <c:v>-34488.319999999949</c:v>
                </c:pt>
                <c:pt idx="75">
                  <c:v>-34488.319999999949</c:v>
                </c:pt>
                <c:pt idx="76">
                  <c:v>-34488.319999999949</c:v>
                </c:pt>
                <c:pt idx="77">
                  <c:v>-34488.319999999949</c:v>
                </c:pt>
                <c:pt idx="78">
                  <c:v>-34488.319999999949</c:v>
                </c:pt>
                <c:pt idx="79">
                  <c:v>-34488.319999999949</c:v>
                </c:pt>
                <c:pt idx="80">
                  <c:v>-34488.319999999949</c:v>
                </c:pt>
                <c:pt idx="81">
                  <c:v>-34488.319999999949</c:v>
                </c:pt>
                <c:pt idx="82">
                  <c:v>-34488.319999999949</c:v>
                </c:pt>
                <c:pt idx="83">
                  <c:v>-34488.319999999949</c:v>
                </c:pt>
                <c:pt idx="84">
                  <c:v>-34488.319999999949</c:v>
                </c:pt>
                <c:pt idx="85">
                  <c:v>-34488.319999999949</c:v>
                </c:pt>
                <c:pt idx="86">
                  <c:v>-34488.319999999949</c:v>
                </c:pt>
                <c:pt idx="87">
                  <c:v>-34488.319999999949</c:v>
                </c:pt>
                <c:pt idx="88">
                  <c:v>-34488.319999999949</c:v>
                </c:pt>
                <c:pt idx="89">
                  <c:v>-34488.319999999949</c:v>
                </c:pt>
                <c:pt idx="90">
                  <c:v>-34488.319999999949</c:v>
                </c:pt>
                <c:pt idx="91">
                  <c:v>-34488.319999999949</c:v>
                </c:pt>
                <c:pt idx="92">
                  <c:v>-34488.319999999949</c:v>
                </c:pt>
                <c:pt idx="93">
                  <c:v>-34488.319999999949</c:v>
                </c:pt>
                <c:pt idx="94">
                  <c:v>-34488.319999999949</c:v>
                </c:pt>
                <c:pt idx="95">
                  <c:v>-34488.319999999949</c:v>
                </c:pt>
                <c:pt idx="96">
                  <c:v>-34488.319999999949</c:v>
                </c:pt>
                <c:pt idx="97">
                  <c:v>-34488.319999999949</c:v>
                </c:pt>
                <c:pt idx="98">
                  <c:v>-34488.319999999949</c:v>
                </c:pt>
                <c:pt idx="99">
                  <c:v>-34488.319999999949</c:v>
                </c:pt>
                <c:pt idx="100">
                  <c:v>-34488.319999999949</c:v>
                </c:pt>
                <c:pt idx="101">
                  <c:v>-34488.319999999949</c:v>
                </c:pt>
                <c:pt idx="102">
                  <c:v>-34488.319999999949</c:v>
                </c:pt>
                <c:pt idx="103">
                  <c:v>-34488.319999999949</c:v>
                </c:pt>
                <c:pt idx="104">
                  <c:v>-34488.319999999949</c:v>
                </c:pt>
                <c:pt idx="105">
                  <c:v>-34488.319999999949</c:v>
                </c:pt>
                <c:pt idx="106">
                  <c:v>-34488.319999999949</c:v>
                </c:pt>
                <c:pt idx="107">
                  <c:v>-34488.319999999949</c:v>
                </c:pt>
                <c:pt idx="108">
                  <c:v>-34488.319999999949</c:v>
                </c:pt>
                <c:pt idx="109">
                  <c:v>-34488.319999999949</c:v>
                </c:pt>
                <c:pt idx="110">
                  <c:v>-34488.319999999949</c:v>
                </c:pt>
                <c:pt idx="111">
                  <c:v>-34488.319999999949</c:v>
                </c:pt>
                <c:pt idx="112">
                  <c:v>-34488.319999999949</c:v>
                </c:pt>
                <c:pt idx="113">
                  <c:v>-34488.319999999949</c:v>
                </c:pt>
                <c:pt idx="114">
                  <c:v>-34488.319999999949</c:v>
                </c:pt>
                <c:pt idx="115">
                  <c:v>-34488.319999999949</c:v>
                </c:pt>
                <c:pt idx="116">
                  <c:v>-34488.319999999949</c:v>
                </c:pt>
                <c:pt idx="117">
                  <c:v>-34488.319999999949</c:v>
                </c:pt>
                <c:pt idx="118">
                  <c:v>-34488.319999999949</c:v>
                </c:pt>
                <c:pt idx="119">
                  <c:v>-34488.319999999949</c:v>
                </c:pt>
                <c:pt idx="120">
                  <c:v>-34488.319999999949</c:v>
                </c:pt>
                <c:pt idx="121">
                  <c:v>-34488.319999999949</c:v>
                </c:pt>
                <c:pt idx="122">
                  <c:v>-34488.319999999949</c:v>
                </c:pt>
                <c:pt idx="123">
                  <c:v>-34488.319999999949</c:v>
                </c:pt>
                <c:pt idx="124">
                  <c:v>-34488.319999999949</c:v>
                </c:pt>
                <c:pt idx="125">
                  <c:v>-34488.319999999949</c:v>
                </c:pt>
                <c:pt idx="126">
                  <c:v>-34488.319999999949</c:v>
                </c:pt>
                <c:pt idx="127">
                  <c:v>-34488.319999999949</c:v>
                </c:pt>
                <c:pt idx="128">
                  <c:v>-34488.319999999949</c:v>
                </c:pt>
                <c:pt idx="129">
                  <c:v>-34488.319999999949</c:v>
                </c:pt>
                <c:pt idx="130">
                  <c:v>-34488.319999999949</c:v>
                </c:pt>
                <c:pt idx="131">
                  <c:v>-34488.319999999949</c:v>
                </c:pt>
                <c:pt idx="132">
                  <c:v>-34488.319999999949</c:v>
                </c:pt>
                <c:pt idx="133">
                  <c:v>-34488.319999999949</c:v>
                </c:pt>
                <c:pt idx="134">
                  <c:v>-34488.319999999949</c:v>
                </c:pt>
                <c:pt idx="135">
                  <c:v>-34488.319999999949</c:v>
                </c:pt>
                <c:pt idx="136">
                  <c:v>-34488.319999999949</c:v>
                </c:pt>
                <c:pt idx="137">
                  <c:v>-34488.319999999949</c:v>
                </c:pt>
                <c:pt idx="138">
                  <c:v>-34488.319999999949</c:v>
                </c:pt>
                <c:pt idx="139">
                  <c:v>-34488.319999999949</c:v>
                </c:pt>
                <c:pt idx="140">
                  <c:v>-34488.319999999949</c:v>
                </c:pt>
                <c:pt idx="141">
                  <c:v>-34488.319999999949</c:v>
                </c:pt>
                <c:pt idx="142">
                  <c:v>-34488.319999999949</c:v>
                </c:pt>
                <c:pt idx="143">
                  <c:v>-34488.319999999949</c:v>
                </c:pt>
                <c:pt idx="144">
                  <c:v>-34488.319999999949</c:v>
                </c:pt>
                <c:pt idx="145">
                  <c:v>-34488.319999999949</c:v>
                </c:pt>
                <c:pt idx="146">
                  <c:v>-34488.319999999949</c:v>
                </c:pt>
                <c:pt idx="147">
                  <c:v>-34488.319999999949</c:v>
                </c:pt>
                <c:pt idx="148">
                  <c:v>-34488.319999999949</c:v>
                </c:pt>
                <c:pt idx="149">
                  <c:v>-34488.319999999949</c:v>
                </c:pt>
                <c:pt idx="150">
                  <c:v>-34488.319999999949</c:v>
                </c:pt>
                <c:pt idx="151">
                  <c:v>-34488.319999999949</c:v>
                </c:pt>
                <c:pt idx="152">
                  <c:v>-34488.319999999949</c:v>
                </c:pt>
                <c:pt idx="153">
                  <c:v>-34488.319999999949</c:v>
                </c:pt>
                <c:pt idx="154">
                  <c:v>-34488.319999999949</c:v>
                </c:pt>
                <c:pt idx="155">
                  <c:v>-34488.319999999949</c:v>
                </c:pt>
                <c:pt idx="156">
                  <c:v>-34488.319999999949</c:v>
                </c:pt>
                <c:pt idx="157">
                  <c:v>-34488.319999999949</c:v>
                </c:pt>
                <c:pt idx="158">
                  <c:v>-34488.319999999949</c:v>
                </c:pt>
                <c:pt idx="159">
                  <c:v>-34488.319999999949</c:v>
                </c:pt>
                <c:pt idx="160">
                  <c:v>-34488.319999999949</c:v>
                </c:pt>
                <c:pt idx="161">
                  <c:v>-34488.319999999949</c:v>
                </c:pt>
                <c:pt idx="162">
                  <c:v>-34488.319999999949</c:v>
                </c:pt>
                <c:pt idx="163">
                  <c:v>-34488.319999999949</c:v>
                </c:pt>
                <c:pt idx="164">
                  <c:v>-34488.319999999949</c:v>
                </c:pt>
                <c:pt idx="165">
                  <c:v>-34488.319999999949</c:v>
                </c:pt>
                <c:pt idx="166">
                  <c:v>-34488.319999999949</c:v>
                </c:pt>
                <c:pt idx="167">
                  <c:v>-34488.319999999949</c:v>
                </c:pt>
                <c:pt idx="168">
                  <c:v>-34488.319999999949</c:v>
                </c:pt>
                <c:pt idx="169">
                  <c:v>-34488.319999999949</c:v>
                </c:pt>
                <c:pt idx="170">
                  <c:v>-34488.319999999949</c:v>
                </c:pt>
                <c:pt idx="171">
                  <c:v>-34488.319999999949</c:v>
                </c:pt>
                <c:pt idx="172">
                  <c:v>-34488.319999999949</c:v>
                </c:pt>
                <c:pt idx="173">
                  <c:v>-34488.319999999949</c:v>
                </c:pt>
                <c:pt idx="174">
                  <c:v>-34488.319999999949</c:v>
                </c:pt>
                <c:pt idx="175">
                  <c:v>-34488.319999999949</c:v>
                </c:pt>
                <c:pt idx="176">
                  <c:v>-34488.319999999949</c:v>
                </c:pt>
                <c:pt idx="177">
                  <c:v>-34488.319999999949</c:v>
                </c:pt>
                <c:pt idx="178">
                  <c:v>-34488.319999999949</c:v>
                </c:pt>
                <c:pt idx="179">
                  <c:v>-34488.319999999949</c:v>
                </c:pt>
                <c:pt idx="180">
                  <c:v>-34488.319999999949</c:v>
                </c:pt>
                <c:pt idx="181">
                  <c:v>-34488.319999999949</c:v>
                </c:pt>
                <c:pt idx="182">
                  <c:v>-34488.319999999949</c:v>
                </c:pt>
                <c:pt idx="183">
                  <c:v>-34488.319999999949</c:v>
                </c:pt>
                <c:pt idx="184">
                  <c:v>-34488.319999999949</c:v>
                </c:pt>
                <c:pt idx="185">
                  <c:v>-34488.319999999949</c:v>
                </c:pt>
                <c:pt idx="186">
                  <c:v>-34488.319999999949</c:v>
                </c:pt>
                <c:pt idx="187">
                  <c:v>-34488.319999999949</c:v>
                </c:pt>
                <c:pt idx="188">
                  <c:v>-34488.319999999949</c:v>
                </c:pt>
                <c:pt idx="189">
                  <c:v>-34488.319999999949</c:v>
                </c:pt>
                <c:pt idx="190">
                  <c:v>-34488.319999999949</c:v>
                </c:pt>
                <c:pt idx="191">
                  <c:v>-34488.319999999949</c:v>
                </c:pt>
                <c:pt idx="192">
                  <c:v>-34488.319999999949</c:v>
                </c:pt>
                <c:pt idx="193">
                  <c:v>-34488.319999999949</c:v>
                </c:pt>
                <c:pt idx="194">
                  <c:v>-34488.319999999949</c:v>
                </c:pt>
                <c:pt idx="195">
                  <c:v>-34488.319999999949</c:v>
                </c:pt>
                <c:pt idx="196">
                  <c:v>-34488.319999999949</c:v>
                </c:pt>
                <c:pt idx="197">
                  <c:v>-34488.319999999949</c:v>
                </c:pt>
                <c:pt idx="198">
                  <c:v>-34488.319999999949</c:v>
                </c:pt>
                <c:pt idx="199">
                  <c:v>-34488.319999999949</c:v>
                </c:pt>
                <c:pt idx="200">
                  <c:v>-34488.319999999949</c:v>
                </c:pt>
                <c:pt idx="201">
                  <c:v>-34488.319999999949</c:v>
                </c:pt>
                <c:pt idx="202">
                  <c:v>-34488.319999999949</c:v>
                </c:pt>
                <c:pt idx="203">
                  <c:v>-34488.319999999949</c:v>
                </c:pt>
                <c:pt idx="204">
                  <c:v>-34488.319999999949</c:v>
                </c:pt>
                <c:pt idx="205">
                  <c:v>-34488.319999999949</c:v>
                </c:pt>
                <c:pt idx="206">
                  <c:v>-34488.319999999949</c:v>
                </c:pt>
                <c:pt idx="207">
                  <c:v>-34488.319999999949</c:v>
                </c:pt>
                <c:pt idx="208">
                  <c:v>-34488.319999999949</c:v>
                </c:pt>
                <c:pt idx="209">
                  <c:v>-34488.319999999949</c:v>
                </c:pt>
                <c:pt idx="210">
                  <c:v>-34488.319999999949</c:v>
                </c:pt>
                <c:pt idx="211">
                  <c:v>-34488.319999999949</c:v>
                </c:pt>
                <c:pt idx="212">
                  <c:v>-34488.319999999949</c:v>
                </c:pt>
                <c:pt idx="213">
                  <c:v>-34488.319999999949</c:v>
                </c:pt>
                <c:pt idx="214">
                  <c:v>-34488.319999999949</c:v>
                </c:pt>
                <c:pt idx="215">
                  <c:v>-34488.319999999949</c:v>
                </c:pt>
                <c:pt idx="216">
                  <c:v>-34488.319999999949</c:v>
                </c:pt>
                <c:pt idx="217">
                  <c:v>-34488.319999999949</c:v>
                </c:pt>
                <c:pt idx="218">
                  <c:v>-34488.319999999949</c:v>
                </c:pt>
                <c:pt idx="219">
                  <c:v>-34488.319999999949</c:v>
                </c:pt>
                <c:pt idx="220">
                  <c:v>-34488.319999999949</c:v>
                </c:pt>
                <c:pt idx="221">
                  <c:v>-34488.319999999949</c:v>
                </c:pt>
                <c:pt idx="222">
                  <c:v>-34488.319999999949</c:v>
                </c:pt>
                <c:pt idx="223">
                  <c:v>-34488.319999999949</c:v>
                </c:pt>
                <c:pt idx="224">
                  <c:v>-34488.319999999949</c:v>
                </c:pt>
                <c:pt idx="225">
                  <c:v>-34488.319999999949</c:v>
                </c:pt>
                <c:pt idx="226">
                  <c:v>-34488.319999999949</c:v>
                </c:pt>
                <c:pt idx="227">
                  <c:v>-34488.319999999949</c:v>
                </c:pt>
                <c:pt idx="228">
                  <c:v>-34488.319999999949</c:v>
                </c:pt>
                <c:pt idx="229">
                  <c:v>-34488.319999999949</c:v>
                </c:pt>
                <c:pt idx="230">
                  <c:v>-34488.319999999949</c:v>
                </c:pt>
                <c:pt idx="231">
                  <c:v>-34488.319999999949</c:v>
                </c:pt>
                <c:pt idx="232">
                  <c:v>-34488.319999999949</c:v>
                </c:pt>
                <c:pt idx="233">
                  <c:v>-34488.319999999949</c:v>
                </c:pt>
                <c:pt idx="234">
                  <c:v>-34488.319999999949</c:v>
                </c:pt>
                <c:pt idx="235">
                  <c:v>-34488.319999999949</c:v>
                </c:pt>
                <c:pt idx="236">
                  <c:v>-34488.319999999949</c:v>
                </c:pt>
                <c:pt idx="237">
                  <c:v>-34488.319999999949</c:v>
                </c:pt>
                <c:pt idx="238">
                  <c:v>-34488.319999999949</c:v>
                </c:pt>
                <c:pt idx="239">
                  <c:v>-34488.319999999949</c:v>
                </c:pt>
                <c:pt idx="240">
                  <c:v>-34488.319999999949</c:v>
                </c:pt>
                <c:pt idx="241">
                  <c:v>-34488.319999999949</c:v>
                </c:pt>
                <c:pt idx="242">
                  <c:v>-34488.319999999949</c:v>
                </c:pt>
                <c:pt idx="243">
                  <c:v>-34488.319999999949</c:v>
                </c:pt>
                <c:pt idx="244">
                  <c:v>-34488.319999999949</c:v>
                </c:pt>
                <c:pt idx="245">
                  <c:v>-34488.319999999949</c:v>
                </c:pt>
                <c:pt idx="246">
                  <c:v>-34488.319999999949</c:v>
                </c:pt>
                <c:pt idx="247">
                  <c:v>-34488.319999999949</c:v>
                </c:pt>
                <c:pt idx="248">
                  <c:v>-34488.319999999949</c:v>
                </c:pt>
                <c:pt idx="249">
                  <c:v>-34488.319999999949</c:v>
                </c:pt>
                <c:pt idx="250">
                  <c:v>-34488.319999999949</c:v>
                </c:pt>
                <c:pt idx="251">
                  <c:v>-34488.319999999949</c:v>
                </c:pt>
                <c:pt idx="252">
                  <c:v>-34488.319999999949</c:v>
                </c:pt>
                <c:pt idx="253">
                  <c:v>-34488.319999999949</c:v>
                </c:pt>
                <c:pt idx="254">
                  <c:v>-34488.319999999949</c:v>
                </c:pt>
                <c:pt idx="255">
                  <c:v>-34488.319999999949</c:v>
                </c:pt>
                <c:pt idx="256">
                  <c:v>-34488.319999999949</c:v>
                </c:pt>
                <c:pt idx="257">
                  <c:v>-34488.319999999949</c:v>
                </c:pt>
                <c:pt idx="258">
                  <c:v>-34488.319999999949</c:v>
                </c:pt>
                <c:pt idx="259">
                  <c:v>-34488.319999999949</c:v>
                </c:pt>
                <c:pt idx="260">
                  <c:v>-34488.319999999949</c:v>
                </c:pt>
                <c:pt idx="261">
                  <c:v>-34488.319999999949</c:v>
                </c:pt>
                <c:pt idx="262">
                  <c:v>-34488.319999999949</c:v>
                </c:pt>
                <c:pt idx="263">
                  <c:v>-34488.319999999949</c:v>
                </c:pt>
                <c:pt idx="264">
                  <c:v>-34488.319999999949</c:v>
                </c:pt>
                <c:pt idx="265">
                  <c:v>-34488.319999999949</c:v>
                </c:pt>
                <c:pt idx="266">
                  <c:v>-34488.319999999949</c:v>
                </c:pt>
                <c:pt idx="267">
                  <c:v>-34488.319999999949</c:v>
                </c:pt>
                <c:pt idx="268">
                  <c:v>-34488.319999999949</c:v>
                </c:pt>
                <c:pt idx="269">
                  <c:v>-34488.319999999949</c:v>
                </c:pt>
                <c:pt idx="270">
                  <c:v>-34488.319999999949</c:v>
                </c:pt>
                <c:pt idx="271">
                  <c:v>-34488.319999999949</c:v>
                </c:pt>
                <c:pt idx="272">
                  <c:v>-34488.319999999949</c:v>
                </c:pt>
                <c:pt idx="273">
                  <c:v>-34488.319999999949</c:v>
                </c:pt>
                <c:pt idx="274">
                  <c:v>-34488.319999999949</c:v>
                </c:pt>
                <c:pt idx="275">
                  <c:v>-34488.319999999949</c:v>
                </c:pt>
                <c:pt idx="276">
                  <c:v>-34488.319999999949</c:v>
                </c:pt>
                <c:pt idx="277">
                  <c:v>-34488.319999999949</c:v>
                </c:pt>
                <c:pt idx="278">
                  <c:v>-34488.319999999949</c:v>
                </c:pt>
                <c:pt idx="279">
                  <c:v>-34488.319999999949</c:v>
                </c:pt>
                <c:pt idx="280">
                  <c:v>-34488.319999999949</c:v>
                </c:pt>
                <c:pt idx="281">
                  <c:v>-34488.319999999949</c:v>
                </c:pt>
                <c:pt idx="282">
                  <c:v>-34488.319999999949</c:v>
                </c:pt>
                <c:pt idx="283">
                  <c:v>-34488.319999999949</c:v>
                </c:pt>
                <c:pt idx="284">
                  <c:v>-34488.319999999949</c:v>
                </c:pt>
                <c:pt idx="285">
                  <c:v>-34488.319999999949</c:v>
                </c:pt>
                <c:pt idx="286">
                  <c:v>-34488.319999999949</c:v>
                </c:pt>
                <c:pt idx="287">
                  <c:v>-34488.319999999949</c:v>
                </c:pt>
                <c:pt idx="288">
                  <c:v>-34488.319999999949</c:v>
                </c:pt>
                <c:pt idx="289">
                  <c:v>-34488.319999999949</c:v>
                </c:pt>
                <c:pt idx="290">
                  <c:v>-34488.319999999949</c:v>
                </c:pt>
                <c:pt idx="291">
                  <c:v>-34488.319999999949</c:v>
                </c:pt>
                <c:pt idx="292">
                  <c:v>-34488.319999999949</c:v>
                </c:pt>
                <c:pt idx="293">
                  <c:v>-34488.319999999949</c:v>
                </c:pt>
                <c:pt idx="294">
                  <c:v>-34488.319999999949</c:v>
                </c:pt>
                <c:pt idx="295">
                  <c:v>-34488.319999999949</c:v>
                </c:pt>
                <c:pt idx="296">
                  <c:v>-34488.319999999949</c:v>
                </c:pt>
                <c:pt idx="297">
                  <c:v>-34488.319999999949</c:v>
                </c:pt>
                <c:pt idx="298">
                  <c:v>-34488.319999999949</c:v>
                </c:pt>
                <c:pt idx="299">
                  <c:v>-34488.319999999949</c:v>
                </c:pt>
                <c:pt idx="300">
                  <c:v>-34488.319999999949</c:v>
                </c:pt>
                <c:pt idx="301">
                  <c:v>-34488.319999999949</c:v>
                </c:pt>
                <c:pt idx="302">
                  <c:v>-34488.319999999949</c:v>
                </c:pt>
                <c:pt idx="303">
                  <c:v>-34488.319999999949</c:v>
                </c:pt>
                <c:pt idx="304">
                  <c:v>-34488.319999999949</c:v>
                </c:pt>
                <c:pt idx="305">
                  <c:v>-34488.319999999949</c:v>
                </c:pt>
                <c:pt idx="306">
                  <c:v>-34488.319999999949</c:v>
                </c:pt>
                <c:pt idx="307">
                  <c:v>-34488.319999999949</c:v>
                </c:pt>
                <c:pt idx="308">
                  <c:v>-34488.319999999949</c:v>
                </c:pt>
                <c:pt idx="309">
                  <c:v>-34488.319999999949</c:v>
                </c:pt>
                <c:pt idx="310">
                  <c:v>-34488.319999999949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7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7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8" t="s">
        <v>57</v>
      </c>
      <c r="E47" s="668"/>
      <c r="F47" s="669"/>
      <c r="G47" s="67"/>
      <c r="I47" s="68"/>
      <c r="J47" s="68"/>
    </row>
    <row r="48" spans="1:49" ht="14.45" thickBot="1">
      <c r="C48" s="69">
        <v>44014</v>
      </c>
      <c r="D48" s="670"/>
      <c r="E48" s="670"/>
      <c r="F48" s="6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2" t="s">
        <v>58</v>
      </c>
      <c r="C2" s="673"/>
      <c r="D2" s="673"/>
      <c r="E2" s="673"/>
      <c r="F2" s="6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72" t="s">
        <v>69</v>
      </c>
      <c r="C16" s="673"/>
      <c r="D16" s="673"/>
      <c r="E16" s="673"/>
      <c r="F16" s="6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115" zoomScaleNormal="115" workbookViewId="0">
      <selection activeCell="J25" sqref="J25"/>
    </sheetView>
  </sheetViews>
  <sheetFormatPr defaultColWidth="8.42578125" defaultRowHeight="14.1"/>
  <cols>
    <col min="1" max="1" width="1.42578125" style="110" customWidth="1"/>
    <col min="2" max="2" width="6.42578125" style="166" bestFit="1" customWidth="1"/>
    <col min="3" max="3" width="55.42578125" style="24" customWidth="1"/>
    <col min="4" max="4" width="2.42578125" style="110" customWidth="1"/>
    <col min="5" max="5" width="14.5703125" style="24" customWidth="1"/>
    <col min="6" max="6" width="10.42578125" style="163" customWidth="1"/>
    <col min="7" max="7" width="13.5703125" style="64" customWidth="1"/>
    <col min="8" max="8" width="5" style="110" customWidth="1"/>
    <col min="9" max="9" width="13.42578125" style="110" customWidth="1"/>
    <col min="10" max="10" width="11.42578125" style="111" customWidth="1"/>
    <col min="11" max="11" width="14.5703125" style="110" customWidth="1"/>
    <col min="12" max="12" width="2.42578125" style="110" customWidth="1"/>
    <col min="13" max="13" width="12.5703125" style="110" customWidth="1"/>
    <col min="14" max="14" width="10.5703125" style="110" bestFit="1" customWidth="1"/>
    <col min="15" max="15" width="39.42578125" style="110" bestFit="1" customWidth="1"/>
    <col min="16" max="16" width="1.42578125" style="110" customWidth="1"/>
    <col min="17" max="17" width="5.5703125" style="3" customWidth="1"/>
    <col min="18" max="25" width="8.42578125" style="110"/>
    <col min="26" max="16384" width="8.42578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46069</v>
      </c>
      <c r="O1" s="398">
        <f ca="1">TODAY()</f>
        <v>46069</v>
      </c>
      <c r="Q1" s="3"/>
    </row>
    <row r="2" spans="2:28">
      <c r="B2" s="171"/>
      <c r="C2" s="172" t="s">
        <v>0</v>
      </c>
      <c r="D2" s="173"/>
      <c r="E2" s="675" t="s">
        <v>73</v>
      </c>
      <c r="F2" s="676"/>
      <c r="G2" s="676"/>
      <c r="H2" s="677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78" t="s">
        <v>77</v>
      </c>
      <c r="F4" s="679"/>
      <c r="G4" s="679"/>
      <c r="H4" s="680"/>
      <c r="J4" s="111"/>
      <c r="Q4" s="3"/>
    </row>
    <row r="5" spans="2:28" s="110" customFormat="1">
      <c r="B5" s="174"/>
      <c r="C5" s="175" t="s">
        <v>78</v>
      </c>
      <c r="D5" s="173"/>
      <c r="E5" s="678" t="s">
        <v>79</v>
      </c>
      <c r="F5" s="679"/>
      <c r="G5" s="679"/>
      <c r="H5" s="680"/>
      <c r="J5" s="111"/>
      <c r="Q5" s="3"/>
    </row>
    <row r="6" spans="2:28">
      <c r="B6" s="179"/>
      <c r="C6" s="180" t="s">
        <v>80</v>
      </c>
      <c r="D6" s="173"/>
      <c r="E6" s="681">
        <f>398479.88-86250</f>
        <v>312229.88</v>
      </c>
      <c r="F6" s="682"/>
      <c r="G6" s="682"/>
      <c r="H6" s="683"/>
    </row>
    <row r="7" spans="2:28" s="110" customFormat="1">
      <c r="B7" s="162"/>
      <c r="C7" s="661" t="s">
        <v>81</v>
      </c>
      <c r="D7" s="662"/>
      <c r="E7" s="663" t="s">
        <v>82</v>
      </c>
      <c r="F7" s="163"/>
      <c r="G7" s="181"/>
      <c r="J7" s="111"/>
      <c r="Q7" s="3"/>
    </row>
    <row r="8" spans="2:28" ht="30" customHeight="1">
      <c r="B8" s="687" t="s">
        <v>83</v>
      </c>
      <c r="C8" s="688" t="s">
        <v>84</v>
      </c>
      <c r="D8" s="210"/>
      <c r="E8" s="686" t="s">
        <v>85</v>
      </c>
      <c r="F8" s="232" t="s">
        <v>86</v>
      </c>
      <c r="G8" s="686" t="s">
        <v>87</v>
      </c>
      <c r="H8" s="233"/>
      <c r="I8" s="686" t="s">
        <v>88</v>
      </c>
      <c r="J8" s="232" t="s">
        <v>86</v>
      </c>
      <c r="K8" s="686" t="s">
        <v>89</v>
      </c>
      <c r="M8" s="405" t="s">
        <v>60</v>
      </c>
      <c r="O8" s="684" t="s">
        <v>90</v>
      </c>
      <c r="Z8" s="110"/>
      <c r="AA8" s="110"/>
      <c r="AB8" s="110"/>
    </row>
    <row r="9" spans="2:28">
      <c r="B9" s="687"/>
      <c r="C9" s="688"/>
      <c r="D9" s="210"/>
      <c r="E9" s="686"/>
      <c r="F9" s="120"/>
      <c r="G9" s="686"/>
      <c r="H9" s="233"/>
      <c r="I9" s="686"/>
      <c r="J9" s="121"/>
      <c r="K9" s="686"/>
      <c r="M9" s="355">
        <f>AVERAGE(M11)</f>
        <v>0.8571428571428571</v>
      </c>
      <c r="N9" s="355">
        <f ca="1">AVERAGE(N11)</f>
        <v>0.8571428571428571</v>
      </c>
      <c r="O9" s="685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91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298</v>
      </c>
      <c r="K11" s="241">
        <f>MAX(K12:K25)</f>
        <v>46083</v>
      </c>
      <c r="M11" s="354">
        <f>AVERAGE(M12:M25)</f>
        <v>0.8571428571428571</v>
      </c>
      <c r="N11" s="354">
        <f ca="1">AVERAGE(N12:N25)</f>
        <v>0.8571428571428571</v>
      </c>
      <c r="O11" s="116"/>
      <c r="P11" s="110"/>
      <c r="Q11" s="117"/>
    </row>
    <row r="12" spans="2:28" s="110" customFormat="1">
      <c r="B12" s="243" t="s">
        <v>92</v>
      </c>
      <c r="C12" s="244" t="s">
        <v>93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94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95</v>
      </c>
      <c r="C14" s="244" t="s">
        <v>96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97</v>
      </c>
      <c r="C15" s="244" t="s">
        <v>98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99</v>
      </c>
      <c r="C16" s="244" t="s">
        <v>100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101</v>
      </c>
      <c r="C17" s="244" t="s">
        <v>102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103</v>
      </c>
      <c r="C18" s="244" t="s">
        <v>104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105</v>
      </c>
      <c r="C19" s="244" t="s">
        <v>106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107</v>
      </c>
      <c r="C20" s="244" t="s">
        <v>108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109</v>
      </c>
      <c r="C21" s="244" t="s">
        <v>110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111</v>
      </c>
      <c r="C22" s="244" t="s">
        <v>112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113</v>
      </c>
      <c r="C23" s="244" t="s">
        <v>114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115</v>
      </c>
      <c r="C24" s="244" t="s">
        <v>116</v>
      </c>
      <c r="D24" s="210"/>
      <c r="E24" s="245"/>
      <c r="F24" s="246"/>
      <c r="G24" s="245"/>
      <c r="H24" s="233"/>
      <c r="I24" s="245">
        <v>46069</v>
      </c>
      <c r="J24" s="246">
        <v>5</v>
      </c>
      <c r="K24" s="245">
        <f>WORKDAY.INTL(I24,J24,1,Data!$C$3:$C$39)</f>
        <v>46076</v>
      </c>
      <c r="M24" s="247">
        <v>0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0</v>
      </c>
      <c r="O24" s="118"/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46076</v>
      </c>
      <c r="J25" s="246">
        <v>5</v>
      </c>
      <c r="K25" s="245">
        <f>WORKDAY.INTL(I25,J25,1,Data!$C$3:$C$39)</f>
        <v>46083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2" zoomScale="85" zoomScaleNormal="85" workbookViewId="0">
      <selection activeCell="P14" sqref="P14"/>
    </sheetView>
  </sheetViews>
  <sheetFormatPr defaultColWidth="8.42578125" defaultRowHeight="14.45"/>
  <cols>
    <col min="1" max="1" width="5.5703125" style="91" customWidth="1"/>
    <col min="2" max="2" width="5.5703125" style="125" customWidth="1"/>
    <col min="3" max="4" width="23.42578125" style="123" customWidth="1"/>
    <col min="5" max="5" width="6.5703125" style="123" customWidth="1"/>
    <col min="6" max="6" width="16.42578125" style="123" customWidth="1"/>
    <col min="7" max="7" width="4.42578125" style="123" customWidth="1"/>
    <col min="8" max="8" width="15.42578125" style="123" customWidth="1"/>
    <col min="9" max="9" width="1.42578125" style="123" customWidth="1"/>
    <col min="10" max="10" width="3.42578125" style="91" customWidth="1"/>
    <col min="11" max="11" width="1.42578125" style="170" customWidth="1"/>
    <col min="12" max="12" width="29.42578125" style="91" customWidth="1"/>
    <col min="13" max="13" width="1.42578125" style="123" customWidth="1"/>
    <col min="14" max="14" width="29.42578125" style="123" customWidth="1"/>
    <col min="15" max="15" width="1.42578125" style="91" customWidth="1"/>
    <col min="16" max="16" width="16.85546875" style="123" customWidth="1"/>
    <col min="17" max="17" width="5.5703125" style="123" customWidth="1"/>
    <col min="18" max="18" width="112.140625" style="123" bestFit="1" customWidth="1"/>
    <col min="19" max="19" width="4.42578125" style="123" customWidth="1"/>
    <col min="20" max="20" width="14.42578125" style="123" customWidth="1"/>
    <col min="21" max="21" width="10.42578125" style="91" bestFit="1" customWidth="1"/>
    <col min="22" max="23" width="8.42578125" style="91"/>
    <col min="24" max="24" width="5.5703125" style="91" bestFit="1" customWidth="1"/>
    <col min="25" max="25" width="14.42578125" style="91" bestFit="1" customWidth="1"/>
    <col min="26" max="26" width="8.42578125" style="91"/>
    <col min="27" max="27" width="14.42578125" style="91" bestFit="1" customWidth="1"/>
    <col min="28" max="28" width="8.42578125" style="123"/>
    <col min="29" max="29" width="12.5703125" style="123" bestFit="1" customWidth="1"/>
    <col min="30" max="16384" width="8.42578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119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2.95">
      <c r="B3" s="115"/>
      <c r="D3" s="119" t="s">
        <v>120</v>
      </c>
      <c r="F3" s="119" t="s">
        <v>121</v>
      </c>
      <c r="J3" s="136"/>
      <c r="L3" s="403" t="s">
        <v>122</v>
      </c>
      <c r="N3" s="403" t="s">
        <v>123</v>
      </c>
      <c r="S3" s="136"/>
    </row>
    <row r="4" spans="1:21" s="91" customFormat="1" ht="12.95">
      <c r="B4" s="345">
        <v>1</v>
      </c>
      <c r="C4" s="346" t="s">
        <v>124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125</v>
      </c>
      <c r="Q4" s="124"/>
      <c r="S4" s="136"/>
    </row>
    <row r="5" spans="1:21" s="91" customFormat="1" ht="15" customHeight="1">
      <c r="B5" s="345">
        <v>2</v>
      </c>
      <c r="C5" s="346" t="s">
        <v>126</v>
      </c>
      <c r="D5" s="347">
        <f>+'Expenditure Tracking'!F5</f>
        <v>302966</v>
      </c>
      <c r="E5" s="348"/>
      <c r="F5" s="347">
        <f>+'Expenditure Tracking'!H5</f>
        <v>411634.11000000004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127</v>
      </c>
      <c r="D6" s="347">
        <f>+D4-D5</f>
        <v>9263.8800000000047</v>
      </c>
      <c r="E6" s="348"/>
      <c r="F6" s="347">
        <f>+F4-F5</f>
        <v>-34488.320000000007</v>
      </c>
      <c r="H6" s="114"/>
      <c r="J6" s="136"/>
      <c r="L6" s="369"/>
      <c r="N6" s="369" t="s">
        <v>128</v>
      </c>
      <c r="S6" s="136"/>
    </row>
    <row r="7" spans="1:21" s="91" customFormat="1" ht="15" customHeight="1" thickBot="1">
      <c r="B7" s="345">
        <v>4</v>
      </c>
      <c r="C7" s="346" t="s">
        <v>129</v>
      </c>
      <c r="D7" s="349">
        <f>D6/D4</f>
        <v>2.9670062327154609E-2</v>
      </c>
      <c r="E7" s="348"/>
      <c r="F7" s="349">
        <f>F6/F4</f>
        <v>-9.1445591902272069E-2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2.95">
      <c r="B10" s="122" t="s">
        <v>130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.1">
      <c r="B12" s="126" t="s">
        <v>83</v>
      </c>
      <c r="C12" s="127" t="s">
        <v>131</v>
      </c>
      <c r="D12" s="128"/>
      <c r="E12" s="126" t="s">
        <v>132</v>
      </c>
      <c r="F12" s="126" t="s">
        <v>133</v>
      </c>
      <c r="H12" s="350" t="s">
        <v>134</v>
      </c>
      <c r="J12" s="136"/>
      <c r="L12" s="161" t="s">
        <v>135</v>
      </c>
      <c r="M12" s="129"/>
      <c r="N12" s="161" t="s">
        <v>136</v>
      </c>
      <c r="O12" s="123"/>
      <c r="P12" s="161" t="s">
        <v>137</v>
      </c>
      <c r="R12" s="372" t="s">
        <v>138</v>
      </c>
      <c r="S12" s="136"/>
    </row>
    <row r="13" spans="1:21" s="91" customFormat="1" ht="12.95">
      <c r="B13" s="345">
        <v>1</v>
      </c>
      <c r="C13" s="689" t="s">
        <v>139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140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6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141</v>
      </c>
      <c r="N14" s="133">
        <v>46058</v>
      </c>
      <c r="O14" s="123"/>
      <c r="P14" s="134">
        <v>46073</v>
      </c>
      <c r="R14" s="373" t="s">
        <v>142</v>
      </c>
      <c r="S14" s="136"/>
    </row>
    <row r="15" spans="1:21" s="91" customFormat="1" ht="12.6">
      <c r="B15" s="345">
        <v>3</v>
      </c>
      <c r="C15" s="689" t="s">
        <v>143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141</v>
      </c>
      <c r="N15" s="133">
        <v>46058</v>
      </c>
      <c r="O15" s="123"/>
      <c r="P15" s="134">
        <v>46073</v>
      </c>
      <c r="R15" s="373"/>
      <c r="S15" s="136"/>
    </row>
    <row r="16" spans="1:21" s="91" customFormat="1" ht="12.6">
      <c r="B16" s="345">
        <v>4</v>
      </c>
      <c r="C16" s="689" t="s">
        <v>144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6">
      <c r="B17" s="345">
        <v>5</v>
      </c>
      <c r="C17" s="691" t="s">
        <v>144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6">
      <c r="B18" s="345">
        <v>6</v>
      </c>
      <c r="C18" s="689" t="s">
        <v>144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6">
      <c r="B19" s="345">
        <v>7</v>
      </c>
      <c r="C19" s="689" t="s">
        <v>144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2.95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145</v>
      </c>
      <c r="C23" s="140" t="s">
        <v>146</v>
      </c>
      <c r="D23" s="140"/>
      <c r="F23" s="141"/>
    </row>
    <row r="24" spans="2:19" s="91" customFormat="1" ht="12.6">
      <c r="C24" s="142" t="s">
        <v>147</v>
      </c>
      <c r="D24" s="143"/>
      <c r="F24" s="144"/>
    </row>
    <row r="25" spans="2:19" s="91" customFormat="1" ht="12.6">
      <c r="C25" s="142" t="s">
        <v>148</v>
      </c>
      <c r="D25" s="143"/>
    </row>
    <row r="26" spans="2:19" s="91" customFormat="1" ht="12.6">
      <c r="C26" s="145" t="s">
        <v>149</v>
      </c>
      <c r="D26" s="146"/>
    </row>
    <row r="27" spans="2:19" s="91" customFormat="1" ht="12.6">
      <c r="C27" s="147" t="s">
        <v>150</v>
      </c>
      <c r="D27" s="143"/>
    </row>
    <row r="28" spans="2:19" s="91" customFormat="1" ht="12.6">
      <c r="B28" s="115"/>
      <c r="C28" s="147" t="s">
        <v>151</v>
      </c>
      <c r="D28" s="143"/>
    </row>
    <row r="29" spans="2:19" s="91" customFormat="1" ht="12.6">
      <c r="B29" s="115"/>
      <c r="C29" s="91" t="s">
        <v>152</v>
      </c>
    </row>
    <row r="30" spans="2:19" s="91" customFormat="1" ht="27.75" customHeight="1">
      <c r="B30" s="115"/>
      <c r="C30" s="148" t="s">
        <v>153</v>
      </c>
      <c r="D30" s="148"/>
      <c r="F30" s="144"/>
    </row>
    <row r="31" spans="2:19" s="91" customFormat="1" ht="12.6">
      <c r="B31" s="115"/>
      <c r="F31" s="141"/>
      <c r="L31" s="114"/>
    </row>
    <row r="32" spans="2:19" s="91" customFormat="1" ht="12.6">
      <c r="B32" s="115"/>
      <c r="F32" s="141"/>
      <c r="L32" s="637"/>
    </row>
    <row r="33" spans="2:6" s="91" customFormat="1" ht="12.6">
      <c r="B33" s="115"/>
      <c r="F33" s="141"/>
    </row>
    <row r="34" spans="2:6" s="91" customFormat="1" ht="12.6">
      <c r="B34" s="115"/>
      <c r="F34" s="141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83</v>
      </c>
      <c r="C40" s="127" t="s">
        <v>131</v>
      </c>
      <c r="D40" s="128"/>
      <c r="E40" s="126" t="s">
        <v>132</v>
      </c>
      <c r="F40" s="126" t="s">
        <v>133</v>
      </c>
    </row>
    <row r="41" spans="2:6" s="91" customFormat="1" ht="12.75" hidden="1" customHeight="1">
      <c r="B41" s="149">
        <v>1</v>
      </c>
      <c r="C41" s="150" t="s">
        <v>154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155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156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157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158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2" t="s">
        <v>159</v>
      </c>
      <c r="F2" s="82" t="s">
        <v>160</v>
      </c>
    </row>
    <row r="3" spans="3:6">
      <c r="C3" s="79">
        <v>45658</v>
      </c>
      <c r="D3" s="73" t="s">
        <v>161</v>
      </c>
      <c r="F3" s="80" t="s">
        <v>162</v>
      </c>
    </row>
    <row r="4" spans="3:6">
      <c r="C4" s="79">
        <v>45737</v>
      </c>
      <c r="D4" s="73" t="s">
        <v>163</v>
      </c>
      <c r="F4" s="80" t="s">
        <v>164</v>
      </c>
    </row>
    <row r="5" spans="3:6">
      <c r="C5" s="79">
        <v>45765</v>
      </c>
      <c r="D5" s="73" t="s">
        <v>165</v>
      </c>
      <c r="F5" s="80" t="s">
        <v>166</v>
      </c>
    </row>
    <row r="6" spans="3:6" ht="12.95" thickBot="1">
      <c r="C6" s="79">
        <v>45768</v>
      </c>
      <c r="D6" s="73" t="s">
        <v>167</v>
      </c>
      <c r="F6" s="81" t="s">
        <v>168</v>
      </c>
    </row>
    <row r="7" spans="3:6">
      <c r="C7" s="79">
        <v>45774</v>
      </c>
      <c r="D7" s="73" t="s">
        <v>169</v>
      </c>
    </row>
    <row r="8" spans="3:6">
      <c r="C8" s="79">
        <v>45765</v>
      </c>
      <c r="D8" s="73" t="s">
        <v>170</v>
      </c>
    </row>
    <row r="9" spans="3:6">
      <c r="C9" s="79">
        <v>45778</v>
      </c>
      <c r="D9" s="73" t="s">
        <v>171</v>
      </c>
    </row>
    <row r="10" spans="3:6">
      <c r="C10" s="79">
        <v>45824</v>
      </c>
      <c r="D10" s="73" t="s">
        <v>172</v>
      </c>
    </row>
    <row r="11" spans="3:6">
      <c r="C11" s="79">
        <v>45878</v>
      </c>
      <c r="D11" s="73" t="s">
        <v>173</v>
      </c>
    </row>
    <row r="12" spans="3:6">
      <c r="C12" s="79">
        <v>45924</v>
      </c>
      <c r="D12" s="73" t="s">
        <v>174</v>
      </c>
    </row>
    <row r="13" spans="3:6">
      <c r="C13" s="79">
        <v>46007</v>
      </c>
      <c r="D13" s="73" t="s">
        <v>175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8" sqref="J7:J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176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45" thickBot="1">
      <c r="A4" s="210"/>
      <c r="B4" s="693"/>
      <c r="C4" s="693"/>
      <c r="D4" s="693"/>
      <c r="E4" s="407"/>
      <c r="F4" s="215" t="s">
        <v>120</v>
      </c>
      <c r="G4" s="210"/>
      <c r="H4" s="215" t="s">
        <v>121</v>
      </c>
      <c r="I4" s="210"/>
      <c r="J4" s="216" t="s">
        <v>177</v>
      </c>
      <c r="K4" s="110"/>
      <c r="L4" s="110"/>
    </row>
    <row r="5" spans="1:12" ht="14.45" thickBot="1">
      <c r="A5" s="210"/>
      <c r="B5" s="694" t="s">
        <v>178</v>
      </c>
      <c r="C5" s="694"/>
      <c r="D5" s="694"/>
      <c r="E5" s="407"/>
      <c r="F5" s="217">
        <f>SUM(F9:F23)</f>
        <v>302966</v>
      </c>
      <c r="G5" s="212"/>
      <c r="H5" s="217">
        <f>SUM(H9:H23)</f>
        <v>411634.11000000004</v>
      </c>
      <c r="I5" s="210"/>
      <c r="J5" s="218">
        <f>SUM(J9:J23)</f>
        <v>-108668.11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45" thickBot="1">
      <c r="A7" s="210"/>
      <c r="B7" s="220" t="s">
        <v>83</v>
      </c>
      <c r="C7" s="221"/>
      <c r="D7" s="220" t="s">
        <v>179</v>
      </c>
      <c r="E7" s="221"/>
      <c r="F7" s="222" t="s">
        <v>180</v>
      </c>
      <c r="G7" s="223"/>
      <c r="H7" s="222" t="s">
        <v>181</v>
      </c>
      <c r="I7" s="223"/>
      <c r="J7" s="222" t="s">
        <v>182</v>
      </c>
      <c r="K7" s="167"/>
      <c r="L7" s="113" t="s">
        <v>183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100000</v>
      </c>
      <c r="I23" s="87"/>
      <c r="J23" s="227">
        <f t="shared" si="0"/>
        <v>-100000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184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opLeftCell="J1" zoomScale="80" zoomScaleNormal="80" workbookViewId="0">
      <pane ySplit="4" topLeftCell="A122" activePane="bottomLeft" state="frozen"/>
      <selection pane="bottomLeft" activeCell="S144" sqref="S144"/>
      <selection activeCell="X33" sqref="X33"/>
    </sheetView>
  </sheetViews>
  <sheetFormatPr defaultColWidth="9.42578125" defaultRowHeight="14.1"/>
  <cols>
    <col min="1" max="1" width="2.42578125" style="110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67" hidden="1" customWidth="1"/>
    <col min="7" max="7" width="17.42578125" style="24" hidden="1" customWidth="1"/>
    <col min="8" max="8" width="17.42578125" style="110" hidden="1" customWidth="1"/>
    <col min="9" max="9" width="22.42578125" style="343" hidden="1" customWidth="1"/>
    <col min="10" max="10" width="22.42578125" style="343" customWidth="1"/>
    <col min="11" max="12" width="5.5703125" style="110" customWidth="1"/>
    <col min="13" max="13" width="25.5703125" style="110" customWidth="1"/>
    <col min="14" max="14" width="48" style="110" customWidth="1"/>
    <col min="15" max="15" width="15.5703125" style="110" customWidth="1"/>
    <col min="16" max="17" width="17.42578125" style="110" customWidth="1"/>
    <col min="18" max="18" width="41.140625" style="110" bestFit="1" customWidth="1"/>
    <col min="19" max="19" width="23.85546875" style="110" customWidth="1"/>
    <col min="20" max="23" width="17.42578125" style="110" customWidth="1"/>
    <col min="24" max="24" width="21.42578125" style="110" customWidth="1"/>
    <col min="25" max="25" width="29.42578125" style="110" bestFit="1" customWidth="1"/>
    <col min="26" max="26" width="24.5703125" style="110" bestFit="1" customWidth="1"/>
    <col min="27" max="76" width="17.42578125" style="110" customWidth="1"/>
    <col min="77" max="16384" width="9.42578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45" t="s">
        <v>185</v>
      </c>
      <c r="C2" s="746"/>
      <c r="D2" s="746"/>
      <c r="E2" s="746"/>
      <c r="F2" s="746"/>
      <c r="G2" s="746"/>
      <c r="H2" s="496"/>
      <c r="I2" s="251">
        <f>SUM(I6:I164)</f>
        <v>302966</v>
      </c>
      <c r="J2" s="251">
        <f>SUM(J6:J164)</f>
        <v>398479.88</v>
      </c>
      <c r="L2" s="747" t="s">
        <v>186</v>
      </c>
      <c r="M2" s="748"/>
      <c r="N2" s="748"/>
      <c r="O2" s="748"/>
      <c r="P2" s="748"/>
      <c r="Q2" s="748"/>
      <c r="R2" s="749" t="s">
        <v>187</v>
      </c>
      <c r="S2" s="750"/>
      <c r="T2" s="750"/>
      <c r="U2" s="750"/>
      <c r="V2" s="750"/>
      <c r="W2" s="751"/>
      <c r="X2" s="471">
        <f>SUM(X6:X164)</f>
        <v>411634.11000000004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6" thickBot="1">
      <c r="A4" s="160"/>
      <c r="B4" s="252" t="s">
        <v>188</v>
      </c>
      <c r="C4" s="253" t="s">
        <v>189</v>
      </c>
      <c r="D4" s="253" t="s">
        <v>190</v>
      </c>
      <c r="E4" s="253" t="s">
        <v>191</v>
      </c>
      <c r="F4" s="458" t="s">
        <v>192</v>
      </c>
      <c r="G4" s="254" t="s">
        <v>193</v>
      </c>
      <c r="H4" s="365" t="s">
        <v>194</v>
      </c>
      <c r="I4" s="255" t="s">
        <v>195</v>
      </c>
      <c r="J4" s="255" t="str">
        <f>IF(J2-'Revenue Tracking'!D4&gt;=0, "Total Revenue", "ERROR on REV" )</f>
        <v>Total Revenue</v>
      </c>
      <c r="K4" s="160"/>
      <c r="L4" s="252" t="s">
        <v>188</v>
      </c>
      <c r="M4" s="253" t="s">
        <v>196</v>
      </c>
      <c r="N4" s="253" t="s">
        <v>190</v>
      </c>
      <c r="O4" s="253" t="s">
        <v>191</v>
      </c>
      <c r="P4" s="458" t="s">
        <v>192</v>
      </c>
      <c r="Q4" s="367" t="s">
        <v>197</v>
      </c>
      <c r="R4" s="483" t="s">
        <v>198</v>
      </c>
      <c r="S4" s="366" t="s">
        <v>135</v>
      </c>
      <c r="T4" s="365" t="s">
        <v>136</v>
      </c>
      <c r="U4" s="366" t="s">
        <v>199</v>
      </c>
      <c r="V4" s="367" t="s">
        <v>200</v>
      </c>
      <c r="W4" s="365" t="s">
        <v>194</v>
      </c>
      <c r="X4" s="473" t="s">
        <v>195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201</v>
      </c>
      <c r="D6" s="275"/>
      <c r="E6" s="276"/>
      <c r="F6" s="430"/>
      <c r="G6" s="385"/>
      <c r="H6" s="566"/>
      <c r="I6" s="695">
        <f>G7</f>
        <v>0</v>
      </c>
      <c r="J6" s="695"/>
      <c r="K6" s="382"/>
      <c r="L6" s="274">
        <v>1</v>
      </c>
      <c r="M6" s="410" t="s">
        <v>202</v>
      </c>
      <c r="N6" s="275"/>
      <c r="O6" s="543"/>
      <c r="P6" s="430"/>
      <c r="Q6" s="385"/>
      <c r="R6" s="582"/>
      <c r="S6" s="617"/>
      <c r="T6" s="497"/>
      <c r="U6" s="498"/>
      <c r="V6" s="707">
        <v>0</v>
      </c>
      <c r="W6" s="566"/>
      <c r="X6" s="698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696"/>
      <c r="J7" s="696"/>
      <c r="K7" s="281"/>
      <c r="L7" s="304">
        <v>1</v>
      </c>
      <c r="M7" s="306" t="s">
        <v>202</v>
      </c>
      <c r="N7" s="383"/>
      <c r="O7" s="384"/>
      <c r="P7" s="452"/>
      <c r="Q7" s="308"/>
      <c r="R7" s="583"/>
      <c r="S7" s="618"/>
      <c r="T7" s="515"/>
      <c r="U7" s="498"/>
      <c r="V7" s="708"/>
      <c r="W7" s="567"/>
      <c r="X7" s="699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696"/>
      <c r="J8" s="696"/>
      <c r="K8" s="281"/>
      <c r="L8" s="304">
        <v>1</v>
      </c>
      <c r="M8" s="306" t="s">
        <v>202</v>
      </c>
      <c r="N8" s="478"/>
      <c r="O8" s="545"/>
      <c r="P8" s="437"/>
      <c r="Q8" s="308"/>
      <c r="R8" s="583"/>
      <c r="S8" s="618"/>
      <c r="T8" s="515"/>
      <c r="U8" s="498"/>
      <c r="V8" s="708"/>
      <c r="W8" s="567"/>
      <c r="X8" s="699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696"/>
      <c r="J9" s="696"/>
      <c r="K9" s="281"/>
      <c r="L9" s="304">
        <v>1</v>
      </c>
      <c r="M9" s="306" t="s">
        <v>202</v>
      </c>
      <c r="N9" s="478"/>
      <c r="O9" s="545"/>
      <c r="P9" s="437"/>
      <c r="Q9" s="380"/>
      <c r="R9" s="584"/>
      <c r="S9" s="619"/>
      <c r="T9" s="516"/>
      <c r="U9" s="498"/>
      <c r="V9" s="708"/>
      <c r="W9" s="568"/>
      <c r="X9" s="699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696"/>
      <c r="J10" s="696"/>
      <c r="K10" s="281"/>
      <c r="L10" s="304">
        <v>1</v>
      </c>
      <c r="M10" s="306" t="s">
        <v>202</v>
      </c>
      <c r="N10" s="478"/>
      <c r="O10" s="545"/>
      <c r="P10" s="437"/>
      <c r="Q10" s="380"/>
      <c r="R10" s="584"/>
      <c r="S10" s="619"/>
      <c r="T10" s="516"/>
      <c r="U10" s="498"/>
      <c r="V10" s="708"/>
      <c r="W10" s="568"/>
      <c r="X10" s="699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697"/>
      <c r="J11" s="697"/>
      <c r="K11" s="282"/>
      <c r="L11" s="309">
        <v>1</v>
      </c>
      <c r="M11" s="412" t="s">
        <v>202</v>
      </c>
      <c r="N11" s="386"/>
      <c r="O11" s="546"/>
      <c r="P11" s="453"/>
      <c r="Q11" s="323"/>
      <c r="R11" s="585"/>
      <c r="S11" s="620"/>
      <c r="T11" s="517"/>
      <c r="U11" s="498"/>
      <c r="V11" s="709"/>
      <c r="W11" s="569"/>
      <c r="X11" s="700"/>
      <c r="Y11" s="600" t="s">
        <v>203</v>
      </c>
      <c r="Z11" s="601" t="s">
        <v>204</v>
      </c>
    </row>
    <row r="12" spans="1:76" ht="14.4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205</v>
      </c>
      <c r="Z12" s="603">
        <f>G53</f>
        <v>0</v>
      </c>
    </row>
    <row r="13" spans="1:76" ht="14.25" customHeight="1">
      <c r="B13" s="286">
        <v>2</v>
      </c>
      <c r="C13" s="312" t="s">
        <v>206</v>
      </c>
      <c r="D13" s="312"/>
      <c r="E13" s="358"/>
      <c r="F13" s="450"/>
      <c r="G13" s="289"/>
      <c r="H13" s="571"/>
      <c r="I13" s="715">
        <f>SUM(G13:G19)</f>
        <v>0</v>
      </c>
      <c r="J13" s="715"/>
      <c r="K13" s="290"/>
      <c r="L13" s="286">
        <v>2</v>
      </c>
      <c r="M13" s="413" t="s">
        <v>207</v>
      </c>
      <c r="N13" s="312"/>
      <c r="O13" s="548"/>
      <c r="P13" s="450"/>
      <c r="Q13" s="289"/>
      <c r="R13" s="587"/>
      <c r="S13" s="622"/>
      <c r="T13" s="519"/>
      <c r="U13" s="503"/>
      <c r="V13" s="739">
        <f>J13-SUM(U13:U19)</f>
        <v>0</v>
      </c>
      <c r="W13" s="571"/>
      <c r="X13" s="718">
        <f>SUM(Q13:Q19)</f>
        <v>0</v>
      </c>
      <c r="Y13" s="602" t="s">
        <v>208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6"/>
      <c r="J14" s="716"/>
      <c r="K14" s="294"/>
      <c r="L14" s="291">
        <v>2</v>
      </c>
      <c r="M14" s="419" t="s">
        <v>207</v>
      </c>
      <c r="N14" s="402"/>
      <c r="O14" s="549"/>
      <c r="P14" s="446"/>
      <c r="Q14" s="470"/>
      <c r="R14" s="588"/>
      <c r="S14" s="623"/>
      <c r="T14" s="520"/>
      <c r="U14" s="504"/>
      <c r="V14" s="740"/>
      <c r="W14" s="572"/>
      <c r="X14" s="719"/>
      <c r="Y14" s="602" t="s">
        <v>209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6"/>
      <c r="J15" s="716"/>
      <c r="K15" s="294"/>
      <c r="L15" s="291">
        <v>2</v>
      </c>
      <c r="M15" s="419" t="s">
        <v>207</v>
      </c>
      <c r="N15" s="402"/>
      <c r="O15" s="549"/>
      <c r="P15" s="446"/>
      <c r="Q15" s="470"/>
      <c r="R15" s="588"/>
      <c r="S15" s="623"/>
      <c r="T15" s="520"/>
      <c r="U15" s="504"/>
      <c r="V15" s="740"/>
      <c r="W15" s="572"/>
      <c r="X15" s="719"/>
      <c r="Y15" s="602" t="s">
        <v>210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6"/>
      <c r="J16" s="716"/>
      <c r="K16" s="294"/>
      <c r="L16" s="291">
        <v>2</v>
      </c>
      <c r="M16" s="419" t="s">
        <v>207</v>
      </c>
      <c r="N16" s="402"/>
      <c r="O16" s="549"/>
      <c r="P16" s="446"/>
      <c r="Q16" s="470"/>
      <c r="R16" s="588"/>
      <c r="S16" s="623"/>
      <c r="T16" s="520"/>
      <c r="U16" s="504"/>
      <c r="V16" s="740"/>
      <c r="W16" s="572"/>
      <c r="X16" s="719"/>
      <c r="Y16" s="602" t="s">
        <v>211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6"/>
      <c r="J17" s="716"/>
      <c r="K17" s="294"/>
      <c r="L17" s="291">
        <v>2</v>
      </c>
      <c r="M17" s="419" t="s">
        <v>207</v>
      </c>
      <c r="N17" s="402"/>
      <c r="O17" s="549"/>
      <c r="P17" s="446"/>
      <c r="Q17" s="470"/>
      <c r="R17" s="588"/>
      <c r="S17" s="623"/>
      <c r="T17" s="520"/>
      <c r="U17" s="504"/>
      <c r="V17" s="740"/>
      <c r="W17" s="572"/>
      <c r="X17" s="719"/>
      <c r="Y17" s="602" t="s">
        <v>212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6"/>
      <c r="J18" s="716"/>
      <c r="K18" s="294"/>
      <c r="L18" s="291">
        <v>2</v>
      </c>
      <c r="M18" s="419" t="s">
        <v>207</v>
      </c>
      <c r="N18" s="402"/>
      <c r="O18" s="549"/>
      <c r="P18" s="446"/>
      <c r="Q18" s="470"/>
      <c r="R18" s="588"/>
      <c r="S18" s="623"/>
      <c r="T18" s="520"/>
      <c r="U18" s="504"/>
      <c r="V18" s="740"/>
      <c r="W18" s="572"/>
      <c r="X18" s="719"/>
      <c r="Y18" s="602" t="s">
        <v>213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7"/>
      <c r="J19" s="717"/>
      <c r="K19" s="299"/>
      <c r="L19" s="389">
        <v>2</v>
      </c>
      <c r="M19" s="414" t="s">
        <v>207</v>
      </c>
      <c r="N19" s="390"/>
      <c r="O19" s="550"/>
      <c r="P19" s="460"/>
      <c r="Q19" s="392"/>
      <c r="R19" s="589"/>
      <c r="S19" s="624"/>
      <c r="T19" s="521"/>
      <c r="U19" s="635"/>
      <c r="V19" s="741"/>
      <c r="W19" s="573"/>
      <c r="X19" s="720"/>
      <c r="Y19" s="602" t="s">
        <v>214</v>
      </c>
      <c r="Z19" s="603">
        <v>0</v>
      </c>
    </row>
    <row r="20" spans="1:26" ht="14.4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215</v>
      </c>
      <c r="D21" s="320"/>
      <c r="E21" s="276"/>
      <c r="F21" s="430"/>
      <c r="G21" s="277"/>
      <c r="H21" s="574"/>
      <c r="I21" s="695">
        <f>SUM(G21:G26)</f>
        <v>0</v>
      </c>
      <c r="J21" s="695">
        <f>I21*1.2</f>
        <v>0</v>
      </c>
      <c r="K21" s="278"/>
      <c r="L21" s="274">
        <v>3</v>
      </c>
      <c r="M21" s="415" t="s">
        <v>216</v>
      </c>
      <c r="N21" s="320"/>
      <c r="O21" s="543"/>
      <c r="P21" s="430"/>
      <c r="Q21" s="277"/>
      <c r="R21" s="590"/>
      <c r="S21" s="625"/>
      <c r="T21" s="522"/>
      <c r="U21" s="507"/>
      <c r="V21" s="707">
        <f>J21-SUM(U21:U26)</f>
        <v>0</v>
      </c>
      <c r="W21" s="574"/>
      <c r="X21" s="698">
        <f>SUM(Q21:Q26)</f>
        <v>0</v>
      </c>
      <c r="Y21" s="602" t="s">
        <v>217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696"/>
      <c r="J22" s="696"/>
      <c r="K22" s="281"/>
      <c r="L22" s="304">
        <v>3</v>
      </c>
      <c r="M22" s="416" t="s">
        <v>216</v>
      </c>
      <c r="N22" s="321"/>
      <c r="O22" s="544"/>
      <c r="P22" s="452"/>
      <c r="Q22" s="308"/>
      <c r="R22" s="583"/>
      <c r="S22" s="618"/>
      <c r="T22" s="649"/>
      <c r="U22" s="499"/>
      <c r="V22" s="708"/>
      <c r="W22" s="650"/>
      <c r="X22" s="699"/>
      <c r="Y22" s="602" t="s">
        <v>158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696"/>
      <c r="J23" s="696"/>
      <c r="K23" s="281"/>
      <c r="L23" s="304">
        <v>3</v>
      </c>
      <c r="M23" s="416" t="s">
        <v>216</v>
      </c>
      <c r="N23" s="321"/>
      <c r="O23" s="544"/>
      <c r="P23" s="452"/>
      <c r="Q23" s="308"/>
      <c r="R23" s="583"/>
      <c r="S23" s="618"/>
      <c r="T23" s="649"/>
      <c r="U23" s="499"/>
      <c r="V23" s="708"/>
      <c r="W23" s="650"/>
      <c r="X23" s="699"/>
      <c r="Y23" s="602" t="s">
        <v>218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696"/>
      <c r="J24" s="696"/>
      <c r="K24" s="281"/>
      <c r="L24" s="304">
        <v>3</v>
      </c>
      <c r="M24" s="416" t="s">
        <v>216</v>
      </c>
      <c r="N24" s="379"/>
      <c r="O24" s="545"/>
      <c r="P24" s="437"/>
      <c r="Q24" s="380"/>
      <c r="R24" s="584"/>
      <c r="S24" s="619"/>
      <c r="T24" s="516"/>
      <c r="U24" s="500"/>
      <c r="V24" s="708"/>
      <c r="W24" s="568"/>
      <c r="X24" s="699"/>
      <c r="Y24" s="607" t="s">
        <v>219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696"/>
      <c r="J25" s="696"/>
      <c r="K25" s="281"/>
      <c r="L25" s="304">
        <v>3</v>
      </c>
      <c r="M25" s="416" t="s">
        <v>216</v>
      </c>
      <c r="N25" s="379"/>
      <c r="O25" s="545"/>
      <c r="P25" s="437"/>
      <c r="Q25" s="380"/>
      <c r="R25" s="584"/>
      <c r="S25" s="619"/>
      <c r="T25" s="516"/>
      <c r="U25" s="500"/>
      <c r="V25" s="708"/>
      <c r="W25" s="568"/>
      <c r="X25" s="699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697"/>
      <c r="J26" s="697"/>
      <c r="K26" s="282"/>
      <c r="L26" s="309">
        <v>3</v>
      </c>
      <c r="M26" s="417" t="s">
        <v>216</v>
      </c>
      <c r="N26" s="322"/>
      <c r="O26" s="546"/>
      <c r="P26" s="453"/>
      <c r="Q26" s="323"/>
      <c r="R26" s="585"/>
      <c r="S26" s="620"/>
      <c r="T26" s="517"/>
      <c r="U26" s="501"/>
      <c r="V26" s="709"/>
      <c r="W26" s="569"/>
      <c r="X26" s="700"/>
      <c r="Y26" s="608" t="s">
        <v>121</v>
      </c>
      <c r="Z26" s="609" t="s">
        <v>220</v>
      </c>
    </row>
    <row r="27" spans="1:26" ht="14.4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208</v>
      </c>
      <c r="D28" s="287" t="s">
        <v>208</v>
      </c>
      <c r="E28" s="358"/>
      <c r="F28" s="450"/>
      <c r="G28" s="289">
        <v>60000</v>
      </c>
      <c r="H28" s="571">
        <v>45838</v>
      </c>
      <c r="I28" s="715">
        <f>SUM(G28:G43)</f>
        <v>60000</v>
      </c>
      <c r="J28" s="715">
        <f>I28*1.2</f>
        <v>72000</v>
      </c>
      <c r="K28" s="290"/>
      <c r="L28" s="286">
        <v>4</v>
      </c>
      <c r="M28" s="418" t="s">
        <v>221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39">
        <f>J28-SUM(U28:U43)</f>
        <v>0</v>
      </c>
      <c r="W28" s="571"/>
      <c r="X28" s="718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6"/>
      <c r="J29" s="716"/>
      <c r="K29" s="294"/>
      <c r="L29" s="291">
        <v>4</v>
      </c>
      <c r="M29" s="419" t="s">
        <v>221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40"/>
      <c r="W29" s="572"/>
      <c r="X29" s="719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6"/>
      <c r="J30" s="716"/>
      <c r="K30" s="294"/>
      <c r="L30" s="291">
        <v>4</v>
      </c>
      <c r="M30" s="419" t="s">
        <v>221</v>
      </c>
      <c r="N30" s="402" t="s">
        <v>222</v>
      </c>
      <c r="O30" s="560">
        <f>19732</f>
        <v>19732</v>
      </c>
      <c r="P30" s="561">
        <v>0.5</v>
      </c>
      <c r="Q30" s="293">
        <f>O30*P30</f>
        <v>9866</v>
      </c>
      <c r="R30" s="742" t="s">
        <v>223</v>
      </c>
      <c r="S30" s="623" t="s">
        <v>224</v>
      </c>
      <c r="T30" s="643">
        <f>T94</f>
        <v>45838</v>
      </c>
      <c r="U30" s="645">
        <v>36000</v>
      </c>
      <c r="V30" s="740"/>
      <c r="W30" s="532">
        <f>W94</f>
        <v>45820</v>
      </c>
      <c r="X30" s="719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6"/>
      <c r="J31" s="716"/>
      <c r="K31" s="294"/>
      <c r="L31" s="291">
        <v>4</v>
      </c>
      <c r="M31" s="419" t="s">
        <v>221</v>
      </c>
      <c r="N31" s="402" t="s">
        <v>225</v>
      </c>
      <c r="O31" s="549"/>
      <c r="P31" s="561">
        <v>0.25</v>
      </c>
      <c r="Q31" s="293">
        <f>O30*P31</f>
        <v>4933</v>
      </c>
      <c r="R31" s="743"/>
      <c r="S31" s="623" t="s">
        <v>224</v>
      </c>
      <c r="T31" s="643">
        <f t="shared" ref="T31:T32" si="2">T95</f>
        <v>45838</v>
      </c>
      <c r="U31" s="645">
        <v>18000</v>
      </c>
      <c r="V31" s="740"/>
      <c r="W31" s="532">
        <f t="shared" ref="W31:W32" si="3">W95</f>
        <v>45841</v>
      </c>
      <c r="X31" s="719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6"/>
      <c r="J32" s="716"/>
      <c r="K32" s="294"/>
      <c r="L32" s="291"/>
      <c r="M32" s="419" t="s">
        <v>221</v>
      </c>
      <c r="N32" s="402" t="s">
        <v>226</v>
      </c>
      <c r="O32" s="560"/>
      <c r="P32" s="561">
        <v>0.25</v>
      </c>
      <c r="Q32" s="293">
        <f>O30*P32</f>
        <v>4933</v>
      </c>
      <c r="R32" s="743"/>
      <c r="S32" s="623" t="s">
        <v>224</v>
      </c>
      <c r="T32" s="643">
        <f t="shared" si="2"/>
        <v>45838</v>
      </c>
      <c r="U32" s="645">
        <v>18000</v>
      </c>
      <c r="V32" s="740"/>
      <c r="W32" s="532">
        <f t="shared" si="3"/>
        <v>46015</v>
      </c>
      <c r="X32" s="719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6"/>
      <c r="J33" s="716"/>
      <c r="K33" s="294"/>
      <c r="L33" s="291">
        <v>4</v>
      </c>
      <c r="M33" s="419" t="s">
        <v>221</v>
      </c>
      <c r="N33" s="402"/>
      <c r="O33" s="560"/>
      <c r="P33" s="561"/>
      <c r="Q33" s="293"/>
      <c r="R33" s="744"/>
      <c r="S33" s="623"/>
      <c r="T33" s="643"/>
      <c r="U33" s="504">
        <f t="shared" ref="U33:U43" si="4">(Q33/$X$28*$J$28)</f>
        <v>0</v>
      </c>
      <c r="V33" s="740"/>
      <c r="W33" s="572"/>
      <c r="X33" s="719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6"/>
      <c r="J34" s="716"/>
      <c r="K34" s="294"/>
      <c r="L34" s="291">
        <v>4</v>
      </c>
      <c r="M34" s="419" t="s">
        <v>221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40"/>
      <c r="W34" s="572"/>
      <c r="X34" s="719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6"/>
      <c r="J35" s="716"/>
      <c r="K35" s="294"/>
      <c r="L35" s="291">
        <v>4</v>
      </c>
      <c r="M35" s="419" t="s">
        <v>221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40"/>
      <c r="W35" s="572"/>
      <c r="X35" s="719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6"/>
      <c r="J36" s="716"/>
      <c r="K36" s="294"/>
      <c r="L36" s="291">
        <v>4</v>
      </c>
      <c r="M36" s="419" t="s">
        <v>221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40"/>
      <c r="W36" s="572"/>
      <c r="X36" s="719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6"/>
      <c r="J37" s="716"/>
      <c r="K37" s="294"/>
      <c r="L37" s="291">
        <v>4</v>
      </c>
      <c r="M37" s="419" t="s">
        <v>221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40"/>
      <c r="W37" s="572"/>
      <c r="X37" s="719"/>
      <c r="Y37" s="610" t="s">
        <v>217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6"/>
      <c r="J38" s="716"/>
      <c r="K38" s="294"/>
      <c r="L38" s="291">
        <v>4</v>
      </c>
      <c r="M38" s="419" t="s">
        <v>221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40"/>
      <c r="W38" s="572"/>
      <c r="X38" s="719"/>
      <c r="Y38" s="610" t="s">
        <v>217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6"/>
      <c r="J39" s="716"/>
      <c r="K39" s="294"/>
      <c r="L39" s="291">
        <v>4</v>
      </c>
      <c r="M39" s="419" t="s">
        <v>221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40"/>
      <c r="W39" s="572"/>
      <c r="X39" s="719"/>
      <c r="Y39" s="610" t="s">
        <v>158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6"/>
      <c r="J40" s="716"/>
      <c r="K40" s="294"/>
      <c r="L40" s="291">
        <v>4</v>
      </c>
      <c r="M40" s="419" t="s">
        <v>221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40"/>
      <c r="W40" s="572"/>
      <c r="X40" s="719"/>
      <c r="Y40" s="613" t="s">
        <v>219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6"/>
      <c r="J41" s="716"/>
      <c r="K41" s="294"/>
      <c r="L41" s="291">
        <v>4</v>
      </c>
      <c r="M41" s="419" t="s">
        <v>221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40"/>
      <c r="W41" s="572"/>
      <c r="X41" s="719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6"/>
      <c r="J42" s="716"/>
      <c r="K42" s="294"/>
      <c r="L42" s="291">
        <v>4</v>
      </c>
      <c r="M42" s="419" t="s">
        <v>221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40"/>
      <c r="W42" s="572"/>
      <c r="X42" s="719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7"/>
      <c r="J43" s="717"/>
      <c r="K43" s="299"/>
      <c r="L43" s="295">
        <v>4</v>
      </c>
      <c r="M43" s="420" t="s">
        <v>221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41"/>
      <c r="W43" s="573"/>
      <c r="X43" s="720"/>
      <c r="Y43" s="475"/>
    </row>
    <row r="44" spans="1:26" ht="14.4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227</v>
      </c>
      <c r="D45" s="320"/>
      <c r="E45" s="276"/>
      <c r="F45" s="430"/>
      <c r="G45" s="277"/>
      <c r="H45" s="574"/>
      <c r="I45" s="695">
        <f>SUM(G45:G51)</f>
        <v>0</v>
      </c>
      <c r="J45" s="695"/>
      <c r="K45" s="278"/>
      <c r="L45" s="274">
        <v>5</v>
      </c>
      <c r="M45" s="415" t="s">
        <v>228</v>
      </c>
      <c r="N45" s="320"/>
      <c r="O45" s="543"/>
      <c r="P45" s="430"/>
      <c r="Q45" s="277"/>
      <c r="R45" s="590"/>
      <c r="S45" s="625"/>
      <c r="T45" s="522"/>
      <c r="U45" s="507"/>
      <c r="V45" s="707">
        <f>J45-SUM(U45:U51)</f>
        <v>0</v>
      </c>
      <c r="W45" s="574"/>
      <c r="X45" s="698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696"/>
      <c r="J46" s="696"/>
      <c r="K46" s="281"/>
      <c r="L46" s="279">
        <v>5</v>
      </c>
      <c r="M46" s="421" t="s">
        <v>228</v>
      </c>
      <c r="N46" s="280"/>
      <c r="O46" s="551"/>
      <c r="P46" s="445"/>
      <c r="Q46" s="308"/>
      <c r="R46" s="583"/>
      <c r="S46" s="618"/>
      <c r="T46" s="515"/>
      <c r="U46" s="499"/>
      <c r="V46" s="708"/>
      <c r="W46" s="567"/>
      <c r="X46" s="699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696"/>
      <c r="J47" s="696"/>
      <c r="K47" s="281"/>
      <c r="L47" s="279">
        <v>5</v>
      </c>
      <c r="M47" s="421" t="s">
        <v>228</v>
      </c>
      <c r="N47" s="306"/>
      <c r="O47" s="544"/>
      <c r="P47" s="452"/>
      <c r="Q47" s="308"/>
      <c r="R47" s="583"/>
      <c r="S47" s="618"/>
      <c r="T47" s="515"/>
      <c r="U47" s="499"/>
      <c r="V47" s="708"/>
      <c r="W47" s="567"/>
      <c r="X47" s="699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696"/>
      <c r="J48" s="696"/>
      <c r="K48" s="281"/>
      <c r="L48" s="304">
        <v>5</v>
      </c>
      <c r="M48" s="421" t="s">
        <v>228</v>
      </c>
      <c r="N48" s="306"/>
      <c r="O48" s="544"/>
      <c r="P48" s="452"/>
      <c r="Q48" s="308"/>
      <c r="R48" s="583"/>
      <c r="S48" s="618"/>
      <c r="T48" s="515"/>
      <c r="U48" s="499"/>
      <c r="V48" s="708"/>
      <c r="W48" s="567"/>
      <c r="X48" s="699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696"/>
      <c r="J49" s="696"/>
      <c r="K49" s="281"/>
      <c r="L49" s="304">
        <v>5</v>
      </c>
      <c r="M49" s="421" t="s">
        <v>228</v>
      </c>
      <c r="N49" s="381"/>
      <c r="O49" s="545"/>
      <c r="P49" s="437"/>
      <c r="Q49" s="380"/>
      <c r="R49" s="584"/>
      <c r="S49" s="619"/>
      <c r="T49" s="516"/>
      <c r="U49" s="500"/>
      <c r="V49" s="708"/>
      <c r="W49" s="568"/>
      <c r="X49" s="699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696"/>
      <c r="J50" s="696"/>
      <c r="K50" s="281"/>
      <c r="L50" s="304">
        <v>5</v>
      </c>
      <c r="M50" s="421" t="s">
        <v>228</v>
      </c>
      <c r="N50" s="381"/>
      <c r="O50" s="545"/>
      <c r="P50" s="437"/>
      <c r="Q50" s="380"/>
      <c r="R50" s="584"/>
      <c r="S50" s="619"/>
      <c r="T50" s="516"/>
      <c r="U50" s="500"/>
      <c r="V50" s="708"/>
      <c r="W50" s="568"/>
      <c r="X50" s="699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697"/>
      <c r="J51" s="697"/>
      <c r="K51" s="282"/>
      <c r="L51" s="309">
        <v>5</v>
      </c>
      <c r="M51" s="417" t="s">
        <v>228</v>
      </c>
      <c r="N51" s="310"/>
      <c r="O51" s="546"/>
      <c r="P51" s="453"/>
      <c r="Q51" s="323"/>
      <c r="R51" s="585"/>
      <c r="S51" s="620"/>
      <c r="T51" s="517"/>
      <c r="U51" s="501"/>
      <c r="V51" s="709"/>
      <c r="W51" s="569"/>
      <c r="X51" s="700"/>
      <c r="Y51" s="475"/>
    </row>
    <row r="52" spans="1:25" ht="14.4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205</v>
      </c>
      <c r="D53" s="288"/>
      <c r="E53" s="468"/>
      <c r="F53" s="450"/>
      <c r="G53" s="289"/>
      <c r="H53" s="571"/>
      <c r="I53" s="715">
        <f>SUM(G53:G65)</f>
        <v>0</v>
      </c>
      <c r="J53" s="715"/>
      <c r="K53" s="290"/>
      <c r="L53" s="286">
        <v>6</v>
      </c>
      <c r="M53" s="424" t="s">
        <v>229</v>
      </c>
      <c r="N53" s="288"/>
      <c r="O53" s="538"/>
      <c r="P53" s="450"/>
      <c r="Q53" s="289"/>
      <c r="R53" s="587"/>
      <c r="S53" s="622"/>
      <c r="T53" s="519"/>
      <c r="U53" s="503"/>
      <c r="V53" s="739">
        <f>J53-SUM(U53:U65)</f>
        <v>0</v>
      </c>
      <c r="W53" s="571"/>
      <c r="X53" s="718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6"/>
      <c r="J54" s="716"/>
      <c r="K54" s="294"/>
      <c r="L54" s="291">
        <v>6</v>
      </c>
      <c r="M54" s="422" t="s">
        <v>229</v>
      </c>
      <c r="N54" s="436"/>
      <c r="O54" s="549"/>
      <c r="P54" s="446"/>
      <c r="Q54" s="314"/>
      <c r="R54" s="588"/>
      <c r="S54" s="623"/>
      <c r="T54" s="520"/>
      <c r="U54" s="504"/>
      <c r="V54" s="740"/>
      <c r="W54" s="572"/>
      <c r="X54" s="719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6"/>
      <c r="J55" s="716"/>
      <c r="K55" s="294"/>
      <c r="L55" s="291">
        <v>6</v>
      </c>
      <c r="M55" s="422" t="s">
        <v>229</v>
      </c>
      <c r="N55" s="402"/>
      <c r="O55" s="560"/>
      <c r="P55" s="561"/>
      <c r="Q55" s="293"/>
      <c r="R55" s="588"/>
      <c r="S55" s="623"/>
      <c r="T55" s="520"/>
      <c r="U55" s="504"/>
      <c r="V55" s="740"/>
      <c r="W55" s="572"/>
      <c r="X55" s="719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6"/>
      <c r="J56" s="716"/>
      <c r="K56" s="294"/>
      <c r="L56" s="291">
        <v>6</v>
      </c>
      <c r="M56" s="423" t="s">
        <v>229</v>
      </c>
      <c r="N56" s="402"/>
      <c r="O56" s="549"/>
      <c r="P56" s="561"/>
      <c r="Q56" s="293"/>
      <c r="R56" s="588"/>
      <c r="S56" s="623"/>
      <c r="T56" s="520"/>
      <c r="U56" s="504"/>
      <c r="V56" s="740"/>
      <c r="W56" s="572"/>
      <c r="X56" s="719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6"/>
      <c r="J57" s="716"/>
      <c r="K57" s="294"/>
      <c r="L57" s="291">
        <v>6</v>
      </c>
      <c r="M57" s="423" t="s">
        <v>229</v>
      </c>
      <c r="N57" s="402"/>
      <c r="O57" s="549"/>
      <c r="P57" s="561"/>
      <c r="Q57" s="293"/>
      <c r="R57" s="588"/>
      <c r="S57" s="623"/>
      <c r="T57" s="520"/>
      <c r="U57" s="504"/>
      <c r="V57" s="740"/>
      <c r="W57" s="572"/>
      <c r="X57" s="719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6"/>
      <c r="J58" s="716"/>
      <c r="K58" s="294"/>
      <c r="L58" s="291">
        <v>6</v>
      </c>
      <c r="M58" s="423" t="s">
        <v>229</v>
      </c>
      <c r="N58" s="402"/>
      <c r="O58" s="549"/>
      <c r="P58" s="561"/>
      <c r="Q58" s="293"/>
      <c r="R58" s="588"/>
      <c r="S58" s="623"/>
      <c r="T58" s="520"/>
      <c r="U58" s="504"/>
      <c r="V58" s="740"/>
      <c r="W58" s="572"/>
      <c r="X58" s="719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6"/>
      <c r="J59" s="716"/>
      <c r="K59" s="294"/>
      <c r="L59" s="291">
        <v>6</v>
      </c>
      <c r="M59" s="423" t="s">
        <v>229</v>
      </c>
      <c r="N59" s="402"/>
      <c r="O59" s="549"/>
      <c r="P59" s="561"/>
      <c r="Q59" s="293"/>
      <c r="R59" s="588"/>
      <c r="S59" s="623"/>
      <c r="T59" s="520"/>
      <c r="U59" s="504"/>
      <c r="V59" s="740"/>
      <c r="W59" s="572"/>
      <c r="X59" s="719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6"/>
      <c r="J60" s="716"/>
      <c r="K60" s="294"/>
      <c r="L60" s="291">
        <v>6</v>
      </c>
      <c r="M60" s="423" t="s">
        <v>229</v>
      </c>
      <c r="N60" s="402"/>
      <c r="O60" s="549"/>
      <c r="P60" s="561"/>
      <c r="Q60" s="293"/>
      <c r="R60" s="592"/>
      <c r="S60" s="627"/>
      <c r="T60" s="523"/>
      <c r="U60" s="509"/>
      <c r="V60" s="740"/>
      <c r="W60" s="572"/>
      <c r="X60" s="719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6"/>
      <c r="J61" s="716"/>
      <c r="K61" s="294"/>
      <c r="L61" s="291">
        <v>6</v>
      </c>
      <c r="M61" s="423" t="s">
        <v>229</v>
      </c>
      <c r="N61" s="402"/>
      <c r="O61" s="549"/>
      <c r="P61" s="561"/>
      <c r="Q61" s="293"/>
      <c r="R61" s="592"/>
      <c r="S61" s="627"/>
      <c r="T61" s="523"/>
      <c r="U61" s="509"/>
      <c r="V61" s="740"/>
      <c r="W61" s="572"/>
      <c r="X61" s="719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6"/>
      <c r="J62" s="716"/>
      <c r="K62" s="294"/>
      <c r="L62" s="291">
        <v>6</v>
      </c>
      <c r="M62" s="423" t="s">
        <v>229</v>
      </c>
      <c r="N62" s="402"/>
      <c r="O62" s="549"/>
      <c r="P62" s="561"/>
      <c r="Q62" s="293"/>
      <c r="R62" s="592"/>
      <c r="S62" s="627"/>
      <c r="T62" s="523"/>
      <c r="U62" s="509"/>
      <c r="V62" s="740"/>
      <c r="W62" s="572"/>
      <c r="X62" s="719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6"/>
      <c r="J63" s="716"/>
      <c r="K63" s="294"/>
      <c r="L63" s="291">
        <v>6</v>
      </c>
      <c r="M63" s="423" t="s">
        <v>229</v>
      </c>
      <c r="N63" s="402"/>
      <c r="O63" s="549"/>
      <c r="P63" s="561"/>
      <c r="Q63" s="293"/>
      <c r="R63" s="592"/>
      <c r="S63" s="627"/>
      <c r="T63" s="523"/>
      <c r="U63" s="509"/>
      <c r="V63" s="740"/>
      <c r="W63" s="575"/>
      <c r="X63" s="719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6"/>
      <c r="J64" s="716"/>
      <c r="K64" s="294"/>
      <c r="L64" s="291">
        <v>6</v>
      </c>
      <c r="M64" s="423" t="s">
        <v>229</v>
      </c>
      <c r="N64" s="402"/>
      <c r="O64" s="549"/>
      <c r="P64" s="561"/>
      <c r="Q64" s="293"/>
      <c r="R64" s="592"/>
      <c r="S64" s="627"/>
      <c r="T64" s="523"/>
      <c r="U64" s="509"/>
      <c r="V64" s="740"/>
      <c r="W64" s="575"/>
      <c r="X64" s="719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7"/>
      <c r="J65" s="717"/>
      <c r="K65" s="299"/>
      <c r="L65" s="295">
        <v>6</v>
      </c>
      <c r="M65" s="425" t="s">
        <v>229</v>
      </c>
      <c r="N65" s="297"/>
      <c r="O65" s="553"/>
      <c r="P65" s="448"/>
      <c r="Q65" s="298"/>
      <c r="R65" s="589"/>
      <c r="S65" s="624"/>
      <c r="T65" s="521"/>
      <c r="U65" s="505"/>
      <c r="V65" s="741"/>
      <c r="W65" s="573"/>
      <c r="X65" s="720"/>
      <c r="Y65" s="475"/>
    </row>
    <row r="66" spans="1:25" ht="14.4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230</v>
      </c>
      <c r="D67" s="375"/>
      <c r="E67" s="455"/>
      <c r="F67" s="461"/>
      <c r="G67" s="376"/>
      <c r="H67" s="577"/>
      <c r="I67" s="695">
        <f>SUM(G67:G74)</f>
        <v>0</v>
      </c>
      <c r="J67" s="695"/>
      <c r="K67" s="278"/>
      <c r="L67" s="374">
        <v>7</v>
      </c>
      <c r="M67" s="302" t="s">
        <v>231</v>
      </c>
      <c r="N67" s="375"/>
      <c r="O67" s="554"/>
      <c r="P67" s="461"/>
      <c r="Q67" s="376"/>
      <c r="R67" s="594"/>
      <c r="S67" s="629"/>
      <c r="T67" s="525"/>
      <c r="U67" s="537"/>
      <c r="V67" s="736">
        <f>J67-SUM(U67:U74)</f>
        <v>0</v>
      </c>
      <c r="W67" s="577"/>
      <c r="X67" s="698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696"/>
      <c r="J68" s="696"/>
      <c r="K68" s="281"/>
      <c r="L68" s="377">
        <v>7</v>
      </c>
      <c r="M68" s="378" t="s">
        <v>231</v>
      </c>
      <c r="N68" s="379"/>
      <c r="O68" s="545"/>
      <c r="P68" s="437"/>
      <c r="Q68" s="380"/>
      <c r="R68" s="584"/>
      <c r="S68" s="619"/>
      <c r="T68" s="516"/>
      <c r="U68" s="500"/>
      <c r="V68" s="737"/>
      <c r="W68" s="568"/>
      <c r="X68" s="699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696"/>
      <c r="J69" s="696"/>
      <c r="K69" s="281"/>
      <c r="L69" s="377">
        <v>7</v>
      </c>
      <c r="M69" s="378" t="s">
        <v>231</v>
      </c>
      <c r="N69" s="379"/>
      <c r="O69" s="545"/>
      <c r="P69" s="437"/>
      <c r="Q69" s="380"/>
      <c r="R69" s="584"/>
      <c r="S69" s="619"/>
      <c r="T69" s="516"/>
      <c r="U69" s="500"/>
      <c r="V69" s="737"/>
      <c r="W69" s="568"/>
      <c r="X69" s="699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696"/>
      <c r="J70" s="696"/>
      <c r="K70" s="281"/>
      <c r="L70" s="377">
        <v>7</v>
      </c>
      <c r="M70" s="378" t="s">
        <v>231</v>
      </c>
      <c r="N70" s="379"/>
      <c r="O70" s="545"/>
      <c r="P70" s="437"/>
      <c r="Q70" s="380"/>
      <c r="R70" s="584"/>
      <c r="S70" s="619"/>
      <c r="T70" s="516"/>
      <c r="U70" s="500"/>
      <c r="V70" s="737"/>
      <c r="W70" s="568"/>
      <c r="X70" s="699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696"/>
      <c r="J71" s="696"/>
      <c r="K71" s="281"/>
      <c r="L71" s="377">
        <v>7</v>
      </c>
      <c r="M71" s="378" t="s">
        <v>231</v>
      </c>
      <c r="N71" s="379"/>
      <c r="O71" s="545"/>
      <c r="P71" s="437"/>
      <c r="Q71" s="380"/>
      <c r="R71" s="584"/>
      <c r="S71" s="619"/>
      <c r="T71" s="516"/>
      <c r="U71" s="500"/>
      <c r="V71" s="737"/>
      <c r="W71" s="568"/>
      <c r="X71" s="699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696"/>
      <c r="J72" s="696"/>
      <c r="K72" s="281"/>
      <c r="L72" s="377">
        <v>7</v>
      </c>
      <c r="M72" s="378" t="s">
        <v>231</v>
      </c>
      <c r="N72" s="379"/>
      <c r="O72" s="545"/>
      <c r="P72" s="437"/>
      <c r="Q72" s="380"/>
      <c r="R72" s="584"/>
      <c r="S72" s="619"/>
      <c r="T72" s="516"/>
      <c r="U72" s="500"/>
      <c r="V72" s="737"/>
      <c r="W72" s="568"/>
      <c r="X72" s="699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696"/>
      <c r="J73" s="696"/>
      <c r="K73" s="281"/>
      <c r="L73" s="377">
        <v>7</v>
      </c>
      <c r="M73" s="378" t="s">
        <v>231</v>
      </c>
      <c r="N73" s="379"/>
      <c r="O73" s="545"/>
      <c r="P73" s="437"/>
      <c r="Q73" s="380"/>
      <c r="R73" s="584"/>
      <c r="S73" s="619"/>
      <c r="T73" s="516"/>
      <c r="U73" s="500"/>
      <c r="V73" s="737"/>
      <c r="W73" s="568"/>
      <c r="X73" s="699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697"/>
      <c r="J74" s="697"/>
      <c r="K74" s="282"/>
      <c r="L74" s="309">
        <v>7</v>
      </c>
      <c r="M74" s="330" t="s">
        <v>231</v>
      </c>
      <c r="N74" s="322"/>
      <c r="O74" s="546"/>
      <c r="P74" s="453"/>
      <c r="Q74" s="323"/>
      <c r="R74" s="585"/>
      <c r="S74" s="620"/>
      <c r="T74" s="517"/>
      <c r="U74" s="501"/>
      <c r="V74" s="738"/>
      <c r="W74" s="569"/>
      <c r="X74" s="700"/>
      <c r="Y74" s="475"/>
    </row>
    <row r="75" spans="1:25" ht="14.4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232</v>
      </c>
      <c r="D76" s="326"/>
      <c r="E76" s="456"/>
      <c r="F76" s="409"/>
      <c r="G76" s="327"/>
      <c r="H76" s="571"/>
      <c r="I76" s="715">
        <f>SUM(G76:G90)</f>
        <v>1</v>
      </c>
      <c r="J76" s="715">
        <v>86250</v>
      </c>
      <c r="K76" s="290"/>
      <c r="L76" s="325">
        <v>8</v>
      </c>
      <c r="M76" s="418" t="s">
        <v>233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27">
        <f>J76-SUM(U76:U90)</f>
        <v>21334.090000000004</v>
      </c>
      <c r="W76" s="660">
        <v>46015</v>
      </c>
      <c r="X76" s="718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6"/>
      <c r="J77" s="716"/>
      <c r="K77" s="294"/>
      <c r="L77" s="315">
        <v>8</v>
      </c>
      <c r="M77" s="426" t="s">
        <v>233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28"/>
      <c r="W77" s="572"/>
      <c r="X77" s="719"/>
      <c r="Y77" s="475"/>
    </row>
    <row r="78" spans="1:25" ht="14.25" customHeight="1">
      <c r="B78" s="315">
        <v>8</v>
      </c>
      <c r="C78" s="316"/>
      <c r="D78" s="328" t="s">
        <v>143</v>
      </c>
      <c r="E78" s="408"/>
      <c r="F78" s="454"/>
      <c r="G78" s="317">
        <v>1</v>
      </c>
      <c r="H78" s="572">
        <v>45838</v>
      </c>
      <c r="I78" s="716"/>
      <c r="J78" s="716"/>
      <c r="K78" s="294"/>
      <c r="L78" s="315">
        <v>8</v>
      </c>
      <c r="M78" s="426" t="s">
        <v>233</v>
      </c>
      <c r="N78" s="328" t="s">
        <v>143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28"/>
      <c r="W78" s="664">
        <v>46080</v>
      </c>
      <c r="X78" s="719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6"/>
      <c r="J79" s="716"/>
      <c r="K79" s="294"/>
      <c r="L79" s="315">
        <v>8</v>
      </c>
      <c r="M79" s="426" t="s">
        <v>233</v>
      </c>
      <c r="N79" s="328" t="s">
        <v>234</v>
      </c>
      <c r="O79" s="552"/>
      <c r="P79" s="454"/>
      <c r="Q79" s="317">
        <v>46645.91</v>
      </c>
      <c r="R79" s="588" t="s">
        <v>235</v>
      </c>
      <c r="S79" s="623" t="s">
        <v>236</v>
      </c>
      <c r="T79" s="665">
        <v>45900</v>
      </c>
      <c r="U79" s="666">
        <v>0</v>
      </c>
      <c r="V79" s="728"/>
      <c r="W79" s="664">
        <v>45930</v>
      </c>
      <c r="X79" s="719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6"/>
      <c r="J80" s="716"/>
      <c r="K80" s="294"/>
      <c r="L80" s="315">
        <v>8</v>
      </c>
      <c r="M80" s="426" t="s">
        <v>233</v>
      </c>
      <c r="N80" s="328" t="s">
        <v>234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28"/>
      <c r="W80" s="664"/>
      <c r="X80" s="719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6"/>
      <c r="J81" s="716"/>
      <c r="K81" s="294"/>
      <c r="L81" s="315">
        <v>8</v>
      </c>
      <c r="M81" s="426" t="s">
        <v>233</v>
      </c>
      <c r="N81" s="328" t="s">
        <v>237</v>
      </c>
      <c r="O81" s="552"/>
      <c r="P81" s="454"/>
      <c r="Q81" s="317">
        <v>3850</v>
      </c>
      <c r="R81" s="588" t="s">
        <v>238</v>
      </c>
      <c r="S81" s="623" t="s">
        <v>239</v>
      </c>
      <c r="T81" s="665">
        <v>46022</v>
      </c>
      <c r="U81" s="666">
        <v>3850</v>
      </c>
      <c r="V81" s="728"/>
      <c r="W81" s="664">
        <v>46029</v>
      </c>
      <c r="X81" s="719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6"/>
      <c r="J82" s="716"/>
      <c r="K82" s="294"/>
      <c r="L82" s="315">
        <v>8</v>
      </c>
      <c r="M82" s="426" t="s">
        <v>233</v>
      </c>
      <c r="N82" s="328" t="s">
        <v>240</v>
      </c>
      <c r="O82" s="552"/>
      <c r="P82" s="454"/>
      <c r="Q82" s="317">
        <v>14420</v>
      </c>
      <c r="R82" s="588" t="s">
        <v>241</v>
      </c>
      <c r="S82" s="623" t="s">
        <v>242</v>
      </c>
      <c r="T82" s="665">
        <v>46022</v>
      </c>
      <c r="U82" s="666">
        <v>14420</v>
      </c>
      <c r="V82" s="728"/>
      <c r="W82" s="664">
        <v>46015</v>
      </c>
      <c r="X82" s="719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6"/>
      <c r="J83" s="716"/>
      <c r="K83" s="294"/>
      <c r="L83" s="315">
        <v>8</v>
      </c>
      <c r="M83" s="426" t="s">
        <v>233</v>
      </c>
      <c r="N83" s="328"/>
      <c r="O83" s="552"/>
      <c r="P83" s="454"/>
      <c r="Q83" s="317"/>
      <c r="R83" s="588"/>
      <c r="S83" s="623"/>
      <c r="T83" s="520"/>
      <c r="U83" s="504"/>
      <c r="V83" s="728"/>
      <c r="W83" s="572"/>
      <c r="X83" s="719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6"/>
      <c r="J84" s="716"/>
      <c r="K84" s="294"/>
      <c r="L84" s="315">
        <v>8</v>
      </c>
      <c r="M84" s="426" t="s">
        <v>233</v>
      </c>
      <c r="N84" s="328"/>
      <c r="O84" s="552"/>
      <c r="P84" s="454"/>
      <c r="Q84" s="317"/>
      <c r="R84" s="588"/>
      <c r="S84" s="623"/>
      <c r="T84" s="520"/>
      <c r="U84" s="504"/>
      <c r="V84" s="728"/>
      <c r="W84" s="572"/>
      <c r="X84" s="719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6"/>
      <c r="J85" s="716"/>
      <c r="K85" s="294"/>
      <c r="L85" s="315">
        <v>8</v>
      </c>
      <c r="M85" s="426" t="s">
        <v>233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28"/>
      <c r="W85" s="572"/>
      <c r="X85" s="719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6"/>
      <c r="J86" s="716"/>
      <c r="K86" s="294"/>
      <c r="L86" s="315">
        <v>8</v>
      </c>
      <c r="M86" s="426" t="s">
        <v>233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28"/>
      <c r="W86" s="572"/>
      <c r="X86" s="719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6"/>
      <c r="J87" s="716"/>
      <c r="K87" s="294"/>
      <c r="L87" s="315">
        <v>8</v>
      </c>
      <c r="M87" s="426" t="s">
        <v>233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28"/>
      <c r="W87" s="572"/>
      <c r="X87" s="719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6"/>
      <c r="J88" s="716"/>
      <c r="K88" s="294"/>
      <c r="L88" s="315">
        <v>8</v>
      </c>
      <c r="M88" s="426" t="s">
        <v>233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28"/>
      <c r="W88" s="572"/>
      <c r="X88" s="719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6"/>
      <c r="J89" s="716"/>
      <c r="K89" s="294"/>
      <c r="L89" s="315">
        <v>8</v>
      </c>
      <c r="M89" s="426" t="s">
        <v>233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28"/>
      <c r="W89" s="575"/>
      <c r="X89" s="719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7"/>
      <c r="J90" s="717"/>
      <c r="K90" s="299"/>
      <c r="L90" s="295">
        <v>8</v>
      </c>
      <c r="M90" s="425" t="s">
        <v>233</v>
      </c>
      <c r="N90" s="297"/>
      <c r="O90" s="553"/>
      <c r="P90" s="448"/>
      <c r="Q90" s="298"/>
      <c r="R90" s="589"/>
      <c r="S90" s="624"/>
      <c r="T90" s="521"/>
      <c r="U90" s="505"/>
      <c r="V90" s="729"/>
      <c r="W90" s="573"/>
      <c r="X90" s="720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243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244</v>
      </c>
      <c r="D92" s="320" t="s">
        <v>245</v>
      </c>
      <c r="E92" s="307"/>
      <c r="F92" s="430"/>
      <c r="G92" s="615">
        <v>219090</v>
      </c>
      <c r="H92" s="574">
        <v>45838</v>
      </c>
      <c r="I92" s="721">
        <f>SUM(G92:G104)</f>
        <v>219090</v>
      </c>
      <c r="J92" s="695">
        <f>I92*1.2-50278.12</f>
        <v>212629.88</v>
      </c>
      <c r="K92" s="281"/>
      <c r="L92" s="304">
        <v>9</v>
      </c>
      <c r="M92" s="416" t="s">
        <v>246</v>
      </c>
      <c r="N92" s="320"/>
      <c r="O92" s="544"/>
      <c r="P92" s="430"/>
      <c r="Q92" s="308"/>
      <c r="R92" s="590"/>
      <c r="S92" s="625"/>
      <c r="T92" s="522"/>
      <c r="U92" s="507"/>
      <c r="V92" s="707">
        <f>J92-SUM(U92:U104)</f>
        <v>0</v>
      </c>
      <c r="W92" s="574"/>
      <c r="X92" s="724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22"/>
      <c r="J93" s="696"/>
      <c r="K93" s="281"/>
      <c r="L93" s="304">
        <v>9</v>
      </c>
      <c r="M93" s="416" t="s">
        <v>246</v>
      </c>
      <c r="N93" s="321"/>
      <c r="O93" s="563"/>
      <c r="P93" s="564"/>
      <c r="Q93" s="308"/>
      <c r="R93" s="634"/>
      <c r="S93" s="618"/>
      <c r="T93" s="515"/>
      <c r="U93" s="499"/>
      <c r="V93" s="708"/>
      <c r="W93" s="567"/>
      <c r="X93" s="725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22"/>
      <c r="J94" s="696"/>
      <c r="K94" s="281"/>
      <c r="L94" s="377">
        <v>9</v>
      </c>
      <c r="M94" s="495" t="s">
        <v>246</v>
      </c>
      <c r="N94" s="321" t="s">
        <v>222</v>
      </c>
      <c r="O94" s="563">
        <v>219492</v>
      </c>
      <c r="P94" s="564">
        <v>0.5</v>
      </c>
      <c r="Q94" s="308">
        <f>$O$94*P94</f>
        <v>109746</v>
      </c>
      <c r="R94" s="730" t="s">
        <v>223</v>
      </c>
      <c r="S94" s="641" t="s">
        <v>224</v>
      </c>
      <c r="T94" s="639">
        <v>45838</v>
      </c>
      <c r="U94" s="646">
        <v>106314.94</v>
      </c>
      <c r="V94" s="708"/>
      <c r="W94" s="531">
        <v>45820</v>
      </c>
      <c r="X94" s="725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22"/>
      <c r="J95" s="696"/>
      <c r="K95" s="281"/>
      <c r="L95" s="377">
        <v>9</v>
      </c>
      <c r="M95" s="495" t="s">
        <v>246</v>
      </c>
      <c r="N95" s="321" t="s">
        <v>225</v>
      </c>
      <c r="O95" s="545"/>
      <c r="P95" s="562">
        <v>0.25</v>
      </c>
      <c r="Q95" s="308">
        <f t="shared" ref="Q95:Q96" si="6">$O$94*P95</f>
        <v>54873</v>
      </c>
      <c r="R95" s="731"/>
      <c r="S95" s="641" t="s">
        <v>224</v>
      </c>
      <c r="T95" s="639">
        <v>45838</v>
      </c>
      <c r="U95" s="646">
        <v>53157.47</v>
      </c>
      <c r="V95" s="708"/>
      <c r="W95" s="531">
        <v>45841</v>
      </c>
      <c r="X95" s="725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22"/>
      <c r="J96" s="696"/>
      <c r="K96" s="281"/>
      <c r="L96" s="377"/>
      <c r="M96" s="495" t="s">
        <v>246</v>
      </c>
      <c r="N96" s="321" t="s">
        <v>226</v>
      </c>
      <c r="O96" s="545"/>
      <c r="P96" s="562">
        <v>0.25</v>
      </c>
      <c r="Q96" s="308">
        <f t="shared" si="6"/>
        <v>54873</v>
      </c>
      <c r="R96" s="731"/>
      <c r="S96" s="641" t="s">
        <v>224</v>
      </c>
      <c r="T96" s="639">
        <v>45838</v>
      </c>
      <c r="U96" s="646">
        <v>53157.47</v>
      </c>
      <c r="V96" s="708"/>
      <c r="W96" s="531">
        <v>46015</v>
      </c>
      <c r="X96" s="725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22"/>
      <c r="J97" s="696"/>
      <c r="K97" s="281"/>
      <c r="L97" s="377">
        <v>9</v>
      </c>
      <c r="M97" s="495" t="s">
        <v>246</v>
      </c>
      <c r="N97" s="321"/>
      <c r="O97" s="545"/>
      <c r="P97" s="562"/>
      <c r="Q97" s="308"/>
      <c r="R97" s="732"/>
      <c r="S97" s="619"/>
      <c r="T97" s="516"/>
      <c r="U97" s="500"/>
      <c r="V97" s="708"/>
      <c r="W97" s="568"/>
      <c r="X97" s="725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22"/>
      <c r="J98" s="696"/>
      <c r="K98" s="281"/>
      <c r="L98" s="377">
        <v>9</v>
      </c>
      <c r="M98" s="495" t="s">
        <v>246</v>
      </c>
      <c r="N98" s="379"/>
      <c r="O98" s="545"/>
      <c r="P98" s="562"/>
      <c r="Q98" s="308"/>
      <c r="R98" s="584"/>
      <c r="S98" s="619"/>
      <c r="T98" s="516"/>
      <c r="U98" s="500"/>
      <c r="V98" s="708"/>
      <c r="W98" s="568"/>
      <c r="X98" s="725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22"/>
      <c r="J99" s="696"/>
      <c r="K99" s="281"/>
      <c r="L99" s="377">
        <v>9</v>
      </c>
      <c r="M99" s="495" t="s">
        <v>246</v>
      </c>
      <c r="N99" s="379"/>
      <c r="O99" s="545"/>
      <c r="P99" s="562"/>
      <c r="Q99" s="308"/>
      <c r="R99" s="584"/>
      <c r="S99" s="619"/>
      <c r="T99" s="516"/>
      <c r="U99" s="500"/>
      <c r="V99" s="708"/>
      <c r="W99" s="568"/>
      <c r="X99" s="725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22"/>
      <c r="J100" s="696"/>
      <c r="K100" s="281"/>
      <c r="L100" s="377">
        <v>9</v>
      </c>
      <c r="M100" s="495" t="s">
        <v>246</v>
      </c>
      <c r="N100" s="379"/>
      <c r="O100" s="545"/>
      <c r="P100" s="562"/>
      <c r="Q100" s="308"/>
      <c r="R100" s="584"/>
      <c r="S100" s="619"/>
      <c r="T100" s="516"/>
      <c r="U100" s="500"/>
      <c r="V100" s="708"/>
      <c r="W100" s="568"/>
      <c r="X100" s="725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22"/>
      <c r="J101" s="696"/>
      <c r="K101" s="281"/>
      <c r="L101" s="377">
        <v>9</v>
      </c>
      <c r="M101" s="495" t="s">
        <v>246</v>
      </c>
      <c r="N101" s="379"/>
      <c r="O101" s="545"/>
      <c r="P101" s="562"/>
      <c r="Q101" s="308"/>
      <c r="R101" s="584"/>
      <c r="S101" s="619"/>
      <c r="T101" s="516"/>
      <c r="U101" s="500"/>
      <c r="V101" s="708"/>
      <c r="W101" s="568"/>
      <c r="X101" s="725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22"/>
      <c r="J102" s="696"/>
      <c r="K102" s="281"/>
      <c r="L102" s="377">
        <v>9</v>
      </c>
      <c r="M102" s="495" t="s">
        <v>246</v>
      </c>
      <c r="N102" s="379"/>
      <c r="O102" s="545"/>
      <c r="P102" s="437"/>
      <c r="Q102" s="380"/>
      <c r="R102" s="584"/>
      <c r="S102" s="619"/>
      <c r="T102" s="516"/>
      <c r="U102" s="500"/>
      <c r="V102" s="708"/>
      <c r="W102" s="568"/>
      <c r="X102" s="725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22"/>
      <c r="J103" s="696"/>
      <c r="K103" s="281"/>
      <c r="L103" s="377">
        <v>9</v>
      </c>
      <c r="M103" s="495" t="s">
        <v>246</v>
      </c>
      <c r="N103" s="379"/>
      <c r="O103" s="545"/>
      <c r="P103" s="437"/>
      <c r="Q103" s="380"/>
      <c r="R103" s="584"/>
      <c r="S103" s="619"/>
      <c r="T103" s="516"/>
      <c r="U103" s="500"/>
      <c r="V103" s="708"/>
      <c r="W103" s="568"/>
      <c r="X103" s="725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23"/>
      <c r="J104" s="697"/>
      <c r="K104" s="357"/>
      <c r="L104" s="309">
        <v>9</v>
      </c>
      <c r="M104" s="434" t="s">
        <v>246</v>
      </c>
      <c r="N104" s="322"/>
      <c r="O104" s="546"/>
      <c r="P104" s="453"/>
      <c r="Q104" s="323"/>
      <c r="R104" s="585"/>
      <c r="S104" s="620"/>
      <c r="T104" s="517"/>
      <c r="U104" s="501"/>
      <c r="V104" s="709"/>
      <c r="W104" s="569"/>
      <c r="X104" s="726"/>
      <c r="Y104" s="475"/>
    </row>
    <row r="105" spans="1:25" ht="14.4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247</v>
      </c>
      <c r="D106" s="263" t="s">
        <v>248</v>
      </c>
      <c r="E106" s="264"/>
      <c r="F106" s="463"/>
      <c r="G106" s="331">
        <v>23000</v>
      </c>
      <c r="H106" s="578">
        <v>45838</v>
      </c>
      <c r="I106" s="701">
        <f>SUM(G106:G121)</f>
        <v>23000</v>
      </c>
      <c r="J106" s="701">
        <f>I106*1.2</f>
        <v>27600</v>
      </c>
      <c r="K106" s="332"/>
      <c r="L106" s="262">
        <v>10</v>
      </c>
      <c r="M106" s="427" t="s">
        <v>249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10">
        <f>J106-SUM(U106:U121)</f>
        <v>0</v>
      </c>
      <c r="W106" s="578"/>
      <c r="X106" s="704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02"/>
      <c r="J107" s="702"/>
      <c r="K107" s="265"/>
      <c r="L107" s="333">
        <v>10</v>
      </c>
      <c r="M107" s="428" t="s">
        <v>249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11"/>
      <c r="W107" s="579"/>
      <c r="X107" s="705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02"/>
      <c r="J108" s="702"/>
      <c r="K108" s="265"/>
      <c r="L108" s="333">
        <v>10</v>
      </c>
      <c r="M108" s="428" t="s">
        <v>249</v>
      </c>
      <c r="N108" s="334" t="s">
        <v>222</v>
      </c>
      <c r="O108" s="614">
        <v>7280</v>
      </c>
      <c r="P108" s="565">
        <v>0.5</v>
      </c>
      <c r="Q108" s="336">
        <f>O108*P108</f>
        <v>3640</v>
      </c>
      <c r="R108" s="733" t="s">
        <v>223</v>
      </c>
      <c r="S108" s="642" t="s">
        <v>250</v>
      </c>
      <c r="T108" s="640">
        <f>T94</f>
        <v>45838</v>
      </c>
      <c r="U108" s="647">
        <v>13800</v>
      </c>
      <c r="V108" s="711"/>
      <c r="W108" s="535">
        <f>W94</f>
        <v>45820</v>
      </c>
      <c r="X108" s="705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02"/>
      <c r="J109" s="702"/>
      <c r="K109" s="265"/>
      <c r="L109" s="333">
        <v>10</v>
      </c>
      <c r="M109" s="428" t="s">
        <v>249</v>
      </c>
      <c r="N109" s="334" t="s">
        <v>225</v>
      </c>
      <c r="O109" s="558"/>
      <c r="P109" s="565">
        <v>0.25</v>
      </c>
      <c r="Q109" s="336">
        <f>O108*P109</f>
        <v>1820</v>
      </c>
      <c r="R109" s="734"/>
      <c r="S109" s="642" t="s">
        <v>224</v>
      </c>
      <c r="T109" s="640">
        <f t="shared" ref="T109:T110" si="8">T95</f>
        <v>45838</v>
      </c>
      <c r="U109" s="647">
        <v>6900</v>
      </c>
      <c r="V109" s="711"/>
      <c r="W109" s="535">
        <f t="shared" ref="W109" si="9">W95</f>
        <v>45841</v>
      </c>
      <c r="X109" s="705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02"/>
      <c r="J110" s="702"/>
      <c r="K110" s="265"/>
      <c r="L110" s="333"/>
      <c r="M110" s="428" t="s">
        <v>249</v>
      </c>
      <c r="N110" s="334" t="s">
        <v>226</v>
      </c>
      <c r="O110" s="614"/>
      <c r="P110" s="565">
        <v>0.25</v>
      </c>
      <c r="Q110" s="336">
        <f>O108*P110</f>
        <v>1820</v>
      </c>
      <c r="R110" s="734"/>
      <c r="S110" s="642" t="s">
        <v>224</v>
      </c>
      <c r="T110" s="640">
        <f t="shared" si="8"/>
        <v>45838</v>
      </c>
      <c r="U110" s="647">
        <v>6900</v>
      </c>
      <c r="V110" s="711"/>
      <c r="W110" s="535">
        <f>W96</f>
        <v>46015</v>
      </c>
      <c r="X110" s="705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02"/>
      <c r="J111" s="702"/>
      <c r="K111" s="265"/>
      <c r="L111" s="333">
        <v>10</v>
      </c>
      <c r="M111" s="428" t="s">
        <v>249</v>
      </c>
      <c r="N111" s="334"/>
      <c r="O111" s="614"/>
      <c r="P111" s="565"/>
      <c r="Q111" s="336"/>
      <c r="R111" s="735"/>
      <c r="S111" s="632"/>
      <c r="T111" s="529"/>
      <c r="U111" s="513">
        <f t="shared" ref="U111:U121" si="10">(Q111/$X$106*$J$106)</f>
        <v>0</v>
      </c>
      <c r="V111" s="711"/>
      <c r="W111" s="579"/>
      <c r="X111" s="705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02"/>
      <c r="J112" s="702"/>
      <c r="K112" s="265"/>
      <c r="L112" s="333">
        <v>10</v>
      </c>
      <c r="M112" s="428" t="s">
        <v>249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11"/>
      <c r="W112" s="580"/>
      <c r="X112" s="705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02"/>
      <c r="J113" s="702"/>
      <c r="K113" s="265"/>
      <c r="L113" s="333">
        <v>10</v>
      </c>
      <c r="M113" s="428" t="s">
        <v>249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11"/>
      <c r="W113" s="580"/>
      <c r="X113" s="705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02"/>
      <c r="J114" s="702"/>
      <c r="K114" s="265"/>
      <c r="L114" s="333">
        <v>10</v>
      </c>
      <c r="M114" s="428" t="s">
        <v>249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11"/>
      <c r="W114" s="580"/>
      <c r="X114" s="705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02"/>
      <c r="J115" s="702"/>
      <c r="K115" s="265"/>
      <c r="L115" s="333">
        <v>10</v>
      </c>
      <c r="M115" s="428" t="s">
        <v>249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11"/>
      <c r="W115" s="580"/>
      <c r="X115" s="705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02"/>
      <c r="J116" s="702"/>
      <c r="K116" s="265"/>
      <c r="L116" s="333">
        <v>10</v>
      </c>
      <c r="M116" s="428" t="s">
        <v>249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11"/>
      <c r="W116" s="580"/>
      <c r="X116" s="705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02"/>
      <c r="J117" s="702"/>
      <c r="K117" s="265"/>
      <c r="L117" s="333">
        <v>10</v>
      </c>
      <c r="M117" s="428" t="s">
        <v>249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11"/>
      <c r="W117" s="580"/>
      <c r="X117" s="705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02"/>
      <c r="J118" s="702"/>
      <c r="K118" s="265"/>
      <c r="L118" s="333">
        <v>10</v>
      </c>
      <c r="M118" s="428" t="s">
        <v>249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11"/>
      <c r="W118" s="580"/>
      <c r="X118" s="705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02"/>
      <c r="J119" s="702"/>
      <c r="K119" s="265"/>
      <c r="L119" s="333">
        <v>10</v>
      </c>
      <c r="M119" s="428" t="s">
        <v>249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11"/>
      <c r="W119" s="580"/>
      <c r="X119" s="705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02"/>
      <c r="J120" s="702"/>
      <c r="K120" s="265"/>
      <c r="L120" s="333">
        <v>10</v>
      </c>
      <c r="M120" s="428" t="s">
        <v>249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11"/>
      <c r="W120" s="580"/>
      <c r="X120" s="705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03"/>
      <c r="J121" s="703"/>
      <c r="K121" s="268"/>
      <c r="L121" s="266">
        <v>10</v>
      </c>
      <c r="M121" s="429" t="s">
        <v>249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12"/>
      <c r="W121" s="581"/>
      <c r="X121" s="706"/>
      <c r="Y121" s="475"/>
    </row>
    <row r="122" spans="1:25" ht="14.4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251</v>
      </c>
      <c r="D123" s="344"/>
      <c r="E123" s="276"/>
      <c r="F123" s="430"/>
      <c r="G123" s="277"/>
      <c r="H123" s="574"/>
      <c r="I123" s="695">
        <f>SUM(G123:G127)</f>
        <v>0</v>
      </c>
      <c r="J123" s="695"/>
      <c r="K123" s="278"/>
      <c r="L123" s="274">
        <v>11</v>
      </c>
      <c r="M123" s="344" t="s">
        <v>252</v>
      </c>
      <c r="N123" s="344"/>
      <c r="O123" s="543"/>
      <c r="P123" s="430"/>
      <c r="Q123" s="277"/>
      <c r="R123" s="590"/>
      <c r="S123" s="625"/>
      <c r="T123" s="522"/>
      <c r="U123" s="507"/>
      <c r="V123" s="707">
        <f>J123-SUM(U123:U127)</f>
        <v>0</v>
      </c>
      <c r="W123" s="574"/>
      <c r="X123" s="698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696"/>
      <c r="J124" s="696"/>
      <c r="K124" s="281"/>
      <c r="L124" s="304">
        <v>11</v>
      </c>
      <c r="M124" s="383" t="s">
        <v>252</v>
      </c>
      <c r="N124" s="306"/>
      <c r="O124" s="544"/>
      <c r="P124" s="452"/>
      <c r="Q124" s="308"/>
      <c r="R124" s="583"/>
      <c r="S124" s="618"/>
      <c r="T124" s="515"/>
      <c r="U124" s="499"/>
      <c r="V124" s="708"/>
      <c r="W124" s="567"/>
      <c r="X124" s="699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696"/>
      <c r="J125" s="696"/>
      <c r="K125" s="281"/>
      <c r="L125" s="304">
        <v>11</v>
      </c>
      <c r="M125" s="383" t="s">
        <v>252</v>
      </c>
      <c r="N125" s="306"/>
      <c r="O125" s="544"/>
      <c r="P125" s="452"/>
      <c r="Q125" s="308"/>
      <c r="R125" s="583"/>
      <c r="S125" s="618"/>
      <c r="T125" s="515"/>
      <c r="U125" s="499"/>
      <c r="V125" s="708"/>
      <c r="W125" s="567"/>
      <c r="X125" s="699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696"/>
      <c r="J126" s="696"/>
      <c r="K126" s="281"/>
      <c r="L126" s="304">
        <v>11</v>
      </c>
      <c r="M126" s="383" t="s">
        <v>252</v>
      </c>
      <c r="N126" s="381"/>
      <c r="O126" s="545"/>
      <c r="P126" s="437"/>
      <c r="Q126" s="380"/>
      <c r="R126" s="584"/>
      <c r="S126" s="619"/>
      <c r="T126" s="516"/>
      <c r="U126" s="500"/>
      <c r="V126" s="708"/>
      <c r="W126" s="568"/>
      <c r="X126" s="699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697"/>
      <c r="J127" s="697"/>
      <c r="K127" s="282"/>
      <c r="L127" s="309">
        <v>11</v>
      </c>
      <c r="M127" s="412" t="s">
        <v>252</v>
      </c>
      <c r="N127" s="310"/>
      <c r="O127" s="546"/>
      <c r="P127" s="453"/>
      <c r="Q127" s="323"/>
      <c r="R127" s="585"/>
      <c r="S127" s="620"/>
      <c r="T127" s="517"/>
      <c r="U127" s="501"/>
      <c r="V127" s="709"/>
      <c r="W127" s="569"/>
      <c r="X127" s="700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253</v>
      </c>
      <c r="D129" s="263"/>
      <c r="E129" s="264"/>
      <c r="F129" s="463"/>
      <c r="G129" s="331"/>
      <c r="H129" s="578"/>
      <c r="I129" s="701">
        <v>0</v>
      </c>
      <c r="J129" s="701"/>
      <c r="K129" s="713"/>
      <c r="L129" s="262">
        <v>12</v>
      </c>
      <c r="M129" s="263" t="s">
        <v>254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04">
        <f>SUM(Q129:Q130)</f>
        <v>0</v>
      </c>
      <c r="Y129" s="475"/>
    </row>
    <row r="130" spans="1:25" ht="15" customHeight="1" thickBot="1">
      <c r="B130" s="266">
        <v>12</v>
      </c>
      <c r="C130" s="337" t="s">
        <v>253</v>
      </c>
      <c r="D130" s="337"/>
      <c r="E130" s="338"/>
      <c r="F130" s="465"/>
      <c r="G130" s="267"/>
      <c r="H130" s="581"/>
      <c r="I130" s="703"/>
      <c r="J130" s="703"/>
      <c r="K130" s="714"/>
      <c r="L130" s="266">
        <v>12</v>
      </c>
      <c r="M130" s="337" t="s">
        <v>254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06"/>
      <c r="Y130" s="475"/>
    </row>
    <row r="131" spans="1:25" ht="14.4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255</v>
      </c>
      <c r="D132" s="344"/>
      <c r="E132" s="276"/>
      <c r="F132" s="430"/>
      <c r="G132" s="277"/>
      <c r="H132" s="574"/>
      <c r="I132" s="695">
        <f>SUM(G132:G136)</f>
        <v>0</v>
      </c>
      <c r="J132" s="695"/>
      <c r="K132" s="278"/>
      <c r="L132" s="274">
        <v>13</v>
      </c>
      <c r="M132" s="344" t="s">
        <v>256</v>
      </c>
      <c r="N132" s="344"/>
      <c r="O132" s="543"/>
      <c r="P132" s="430"/>
      <c r="Q132" s="277"/>
      <c r="R132" s="590"/>
      <c r="S132" s="625"/>
      <c r="T132" s="522"/>
      <c r="U132" s="507"/>
      <c r="V132" s="707">
        <f>J132-SUM(U132:U137)</f>
        <v>0</v>
      </c>
      <c r="W132" s="574"/>
      <c r="X132" s="698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696"/>
      <c r="J133" s="696"/>
      <c r="K133" s="281"/>
      <c r="L133" s="304">
        <v>13</v>
      </c>
      <c r="M133" s="383" t="s">
        <v>256</v>
      </c>
      <c r="N133" s="306"/>
      <c r="O133" s="544"/>
      <c r="P133" s="452"/>
      <c r="Q133" s="308"/>
      <c r="R133" s="583"/>
      <c r="S133" s="618"/>
      <c r="T133" s="515"/>
      <c r="U133" s="499"/>
      <c r="V133" s="708"/>
      <c r="W133" s="567"/>
      <c r="X133" s="699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696"/>
      <c r="J134" s="696"/>
      <c r="K134" s="281"/>
      <c r="L134" s="304">
        <v>13</v>
      </c>
      <c r="M134" s="383" t="s">
        <v>256</v>
      </c>
      <c r="N134" s="306"/>
      <c r="O134" s="544"/>
      <c r="P134" s="452"/>
      <c r="Q134" s="308"/>
      <c r="R134" s="583"/>
      <c r="S134" s="618"/>
      <c r="T134" s="515"/>
      <c r="U134" s="499"/>
      <c r="V134" s="708"/>
      <c r="W134" s="567"/>
      <c r="X134" s="699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696"/>
      <c r="J135" s="696"/>
      <c r="K135" s="281"/>
      <c r="L135" s="304">
        <v>13</v>
      </c>
      <c r="M135" s="383" t="s">
        <v>256</v>
      </c>
      <c r="N135" s="306"/>
      <c r="O135" s="544"/>
      <c r="P135" s="452"/>
      <c r="Q135" s="308"/>
      <c r="R135" s="583"/>
      <c r="S135" s="618"/>
      <c r="T135" s="515"/>
      <c r="U135" s="499"/>
      <c r="V135" s="708"/>
      <c r="W135" s="567"/>
      <c r="X135" s="699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696"/>
      <c r="J136" s="696"/>
      <c r="K136" s="281"/>
      <c r="L136" s="304">
        <v>13</v>
      </c>
      <c r="M136" s="383" t="s">
        <v>256</v>
      </c>
      <c r="N136" s="306"/>
      <c r="O136" s="544"/>
      <c r="P136" s="452"/>
      <c r="Q136" s="308"/>
      <c r="R136" s="583"/>
      <c r="S136" s="618"/>
      <c r="T136" s="515"/>
      <c r="U136" s="499"/>
      <c r="V136" s="708"/>
      <c r="W136" s="567"/>
      <c r="X136" s="699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697"/>
      <c r="J137" s="697"/>
      <c r="K137" s="357"/>
      <c r="L137" s="309">
        <v>13</v>
      </c>
      <c r="M137" s="412" t="s">
        <v>256</v>
      </c>
      <c r="N137" s="310"/>
      <c r="O137" s="546"/>
      <c r="P137" s="453"/>
      <c r="Q137" s="323"/>
      <c r="R137" s="585"/>
      <c r="S137" s="620"/>
      <c r="T137" s="517"/>
      <c r="U137" s="501"/>
      <c r="V137" s="709"/>
      <c r="W137" s="569"/>
      <c r="X137" s="700"/>
      <c r="Y137" s="475"/>
    </row>
    <row r="138" spans="1:25" ht="14.4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257</v>
      </c>
      <c r="D139" s="263" t="s">
        <v>258</v>
      </c>
      <c r="E139" s="264"/>
      <c r="F139" s="463"/>
      <c r="G139" s="331">
        <v>875</v>
      </c>
      <c r="H139" s="534">
        <v>45842</v>
      </c>
      <c r="I139" s="701">
        <f>SUM(G139:G150)</f>
        <v>875</v>
      </c>
      <c r="J139" s="701">
        <v>0</v>
      </c>
      <c r="K139" s="332"/>
      <c r="L139" s="262">
        <v>14</v>
      </c>
      <c r="M139" s="427" t="s">
        <v>259</v>
      </c>
      <c r="N139" s="263" t="s">
        <v>260</v>
      </c>
      <c r="O139" s="557"/>
      <c r="P139" s="463"/>
      <c r="Q139" s="331">
        <v>214.2</v>
      </c>
      <c r="R139" s="596"/>
      <c r="S139" s="630" t="s">
        <v>261</v>
      </c>
      <c r="T139" s="644">
        <v>45838</v>
      </c>
      <c r="U139" s="511"/>
      <c r="V139" s="710">
        <f>J139-SUM(U139:U150)</f>
        <v>0</v>
      </c>
      <c r="W139" s="534">
        <v>45842</v>
      </c>
      <c r="X139" s="704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02"/>
      <c r="J140" s="702"/>
      <c r="K140" s="265"/>
      <c r="L140" s="333">
        <v>14</v>
      </c>
      <c r="M140" s="428" t="s">
        <v>259</v>
      </c>
      <c r="N140" s="334" t="s">
        <v>260</v>
      </c>
      <c r="O140" s="558"/>
      <c r="P140" s="464"/>
      <c r="Q140" s="336">
        <v>0</v>
      </c>
      <c r="R140" s="598"/>
      <c r="S140" s="632" t="s">
        <v>261</v>
      </c>
      <c r="T140" s="648">
        <v>45869</v>
      </c>
      <c r="U140" s="513"/>
      <c r="V140" s="711"/>
      <c r="W140" s="536">
        <f>T140+7</f>
        <v>45876</v>
      </c>
      <c r="X140" s="705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02"/>
      <c r="J141" s="702"/>
      <c r="K141" s="265"/>
      <c r="L141" s="333">
        <v>14</v>
      </c>
      <c r="M141" s="428" t="s">
        <v>259</v>
      </c>
      <c r="N141" s="334" t="s">
        <v>260</v>
      </c>
      <c r="O141" s="558"/>
      <c r="P141" s="464"/>
      <c r="Q141" s="336">
        <v>0</v>
      </c>
      <c r="R141" s="598"/>
      <c r="S141" s="632" t="s">
        <v>261</v>
      </c>
      <c r="T141" s="657">
        <v>45900</v>
      </c>
      <c r="U141" s="513"/>
      <c r="V141" s="711"/>
      <c r="W141" s="658">
        <v>45900</v>
      </c>
      <c r="X141" s="705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02"/>
      <c r="J142" s="702"/>
      <c r="K142" s="265"/>
      <c r="L142" s="333">
        <v>14</v>
      </c>
      <c r="M142" s="428" t="s">
        <v>259</v>
      </c>
      <c r="N142" s="334"/>
      <c r="O142" s="558"/>
      <c r="P142" s="464"/>
      <c r="Q142" s="336"/>
      <c r="R142" s="598"/>
      <c r="S142" s="632"/>
      <c r="T142" s="529"/>
      <c r="U142" s="513"/>
      <c r="V142" s="711"/>
      <c r="W142" s="580"/>
      <c r="X142" s="705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02"/>
      <c r="J143" s="702"/>
      <c r="K143" s="265"/>
      <c r="L143" s="333">
        <v>14</v>
      </c>
      <c r="M143" s="428" t="s">
        <v>259</v>
      </c>
      <c r="N143" s="334"/>
      <c r="O143" s="558"/>
      <c r="P143" s="464"/>
      <c r="Q143" s="336"/>
      <c r="R143" s="598"/>
      <c r="S143" s="632"/>
      <c r="T143" s="529"/>
      <c r="U143" s="513"/>
      <c r="V143" s="711"/>
      <c r="W143" s="580"/>
      <c r="X143" s="705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02"/>
      <c r="J144" s="702"/>
      <c r="K144" s="265"/>
      <c r="L144" s="333">
        <v>14</v>
      </c>
      <c r="M144" s="428" t="s">
        <v>259</v>
      </c>
      <c r="N144" s="334"/>
      <c r="O144" s="558"/>
      <c r="P144" s="464"/>
      <c r="Q144" s="336"/>
      <c r="R144" s="598"/>
      <c r="S144" s="632"/>
      <c r="T144" s="529"/>
      <c r="U144" s="513"/>
      <c r="V144" s="711"/>
      <c r="W144" s="580"/>
      <c r="X144" s="705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02"/>
      <c r="J145" s="702"/>
      <c r="K145" s="265"/>
      <c r="L145" s="333">
        <v>14</v>
      </c>
      <c r="M145" s="428" t="s">
        <v>259</v>
      </c>
      <c r="N145" s="334"/>
      <c r="O145" s="558"/>
      <c r="P145" s="464"/>
      <c r="Q145" s="336"/>
      <c r="R145" s="598"/>
      <c r="S145" s="632"/>
      <c r="T145" s="529"/>
      <c r="U145" s="513"/>
      <c r="V145" s="711"/>
      <c r="W145" s="580"/>
      <c r="X145" s="705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02"/>
      <c r="J146" s="702"/>
      <c r="K146" s="265"/>
      <c r="L146" s="333">
        <v>14</v>
      </c>
      <c r="M146" s="428" t="s">
        <v>259</v>
      </c>
      <c r="N146" s="334"/>
      <c r="O146" s="558"/>
      <c r="P146" s="464"/>
      <c r="Q146" s="336"/>
      <c r="R146" s="598"/>
      <c r="S146" s="632"/>
      <c r="T146" s="529"/>
      <c r="U146" s="513"/>
      <c r="V146" s="711"/>
      <c r="W146" s="580"/>
      <c r="X146" s="705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02"/>
      <c r="J147" s="702"/>
      <c r="K147" s="265"/>
      <c r="L147" s="333">
        <v>14</v>
      </c>
      <c r="M147" s="428" t="s">
        <v>259</v>
      </c>
      <c r="N147" s="334"/>
      <c r="O147" s="558"/>
      <c r="P147" s="464"/>
      <c r="Q147" s="336"/>
      <c r="R147" s="598"/>
      <c r="S147" s="632"/>
      <c r="T147" s="529"/>
      <c r="U147" s="513"/>
      <c r="V147" s="711"/>
      <c r="W147" s="580"/>
      <c r="X147" s="705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02"/>
      <c r="J148" s="702"/>
      <c r="K148" s="265"/>
      <c r="L148" s="333">
        <v>14</v>
      </c>
      <c r="M148" s="428" t="s">
        <v>259</v>
      </c>
      <c r="N148" s="334"/>
      <c r="O148" s="558"/>
      <c r="P148" s="464"/>
      <c r="Q148" s="336"/>
      <c r="R148" s="598"/>
      <c r="S148" s="632"/>
      <c r="T148" s="529"/>
      <c r="U148" s="513"/>
      <c r="V148" s="711"/>
      <c r="W148" s="580"/>
      <c r="X148" s="705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02"/>
      <c r="J149" s="702"/>
      <c r="K149" s="265"/>
      <c r="L149" s="333">
        <v>14</v>
      </c>
      <c r="M149" s="428" t="s">
        <v>259</v>
      </c>
      <c r="N149" s="334"/>
      <c r="O149" s="558"/>
      <c r="P149" s="464"/>
      <c r="Q149" s="336"/>
      <c r="R149" s="598"/>
      <c r="S149" s="632"/>
      <c r="T149" s="529"/>
      <c r="U149" s="513"/>
      <c r="V149" s="711"/>
      <c r="W149" s="580"/>
      <c r="X149" s="705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03"/>
      <c r="J150" s="703"/>
      <c r="K150" s="268"/>
      <c r="L150" s="266">
        <v>14</v>
      </c>
      <c r="M150" s="429" t="s">
        <v>259</v>
      </c>
      <c r="N150" s="337"/>
      <c r="O150" s="559"/>
      <c r="P150" s="465"/>
      <c r="Q150" s="267"/>
      <c r="R150" s="599"/>
      <c r="S150" s="633"/>
      <c r="T150" s="530"/>
      <c r="U150" s="514"/>
      <c r="V150" s="712"/>
      <c r="W150" s="581"/>
      <c r="X150" s="706"/>
      <c r="Y150" s="475"/>
    </row>
    <row r="151" spans="1:25" ht="14.4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262</v>
      </c>
      <c r="D152" s="275"/>
      <c r="E152" s="276"/>
      <c r="F152" s="430"/>
      <c r="G152" s="277"/>
      <c r="H152" s="574"/>
      <c r="I152" s="695">
        <f>SUM(G152:G163)</f>
        <v>0</v>
      </c>
      <c r="J152" s="695"/>
      <c r="K152" s="278"/>
      <c r="L152" s="274">
        <v>15</v>
      </c>
      <c r="M152" s="344" t="s">
        <v>263</v>
      </c>
      <c r="N152" s="275" t="s">
        <v>264</v>
      </c>
      <c r="O152" s="543"/>
      <c r="P152" s="430"/>
      <c r="Q152" s="277">
        <v>100000</v>
      </c>
      <c r="R152" s="590"/>
      <c r="S152" s="625"/>
      <c r="T152" s="522">
        <v>46081</v>
      </c>
      <c r="U152" s="507"/>
      <c r="V152" s="707">
        <v>0</v>
      </c>
      <c r="W152" s="574">
        <f>T152+7</f>
        <v>46088</v>
      </c>
      <c r="X152" s="698">
        <f>SUM(Q152:Q163)</f>
        <v>100000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696"/>
      <c r="J153" s="696"/>
      <c r="K153" s="281"/>
      <c r="L153" s="304">
        <v>15</v>
      </c>
      <c r="M153" s="383" t="s">
        <v>263</v>
      </c>
      <c r="N153" s="306"/>
      <c r="O153" s="544"/>
      <c r="P153" s="452"/>
      <c r="Q153" s="308"/>
      <c r="R153" s="583"/>
      <c r="S153" s="618"/>
      <c r="T153" s="515"/>
      <c r="U153" s="499"/>
      <c r="V153" s="708"/>
      <c r="W153" s="567"/>
      <c r="X153" s="699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696"/>
      <c r="J154" s="696"/>
      <c r="K154" s="281"/>
      <c r="L154" s="304">
        <v>15</v>
      </c>
      <c r="M154" s="383" t="s">
        <v>263</v>
      </c>
      <c r="N154" s="306"/>
      <c r="O154" s="544"/>
      <c r="P154" s="452"/>
      <c r="Q154" s="308"/>
      <c r="R154" s="583"/>
      <c r="S154" s="618"/>
      <c r="T154" s="515"/>
      <c r="U154" s="499"/>
      <c r="V154" s="708"/>
      <c r="W154" s="567"/>
      <c r="X154" s="699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696"/>
      <c r="J155" s="696"/>
      <c r="K155" s="281"/>
      <c r="L155" s="304">
        <v>15</v>
      </c>
      <c r="M155" s="383" t="s">
        <v>263</v>
      </c>
      <c r="N155" s="306"/>
      <c r="O155" s="544"/>
      <c r="P155" s="452"/>
      <c r="Q155" s="308"/>
      <c r="R155" s="583"/>
      <c r="S155" s="618"/>
      <c r="T155" s="515"/>
      <c r="U155" s="499"/>
      <c r="V155" s="708"/>
      <c r="W155" s="567"/>
      <c r="X155" s="699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696"/>
      <c r="J156" s="696"/>
      <c r="K156" s="281"/>
      <c r="L156" s="304">
        <v>15</v>
      </c>
      <c r="M156" s="383" t="s">
        <v>263</v>
      </c>
      <c r="N156" s="306"/>
      <c r="O156" s="544"/>
      <c r="P156" s="452"/>
      <c r="Q156" s="308"/>
      <c r="R156" s="583"/>
      <c r="S156" s="618"/>
      <c r="T156" s="515"/>
      <c r="U156" s="499"/>
      <c r="V156" s="708"/>
      <c r="W156" s="567"/>
      <c r="X156" s="699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696"/>
      <c r="J157" s="696"/>
      <c r="K157" s="281"/>
      <c r="L157" s="304">
        <v>15</v>
      </c>
      <c r="M157" s="383" t="s">
        <v>263</v>
      </c>
      <c r="N157" s="306"/>
      <c r="O157" s="544"/>
      <c r="P157" s="452"/>
      <c r="Q157" s="308"/>
      <c r="R157" s="583"/>
      <c r="S157" s="618"/>
      <c r="T157" s="515"/>
      <c r="U157" s="499"/>
      <c r="V157" s="708"/>
      <c r="W157" s="567"/>
      <c r="X157" s="699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696"/>
      <c r="J158" s="696"/>
      <c r="K158" s="281"/>
      <c r="L158" s="304">
        <v>15</v>
      </c>
      <c r="M158" s="383" t="s">
        <v>263</v>
      </c>
      <c r="N158" s="306"/>
      <c r="O158" s="544"/>
      <c r="P158" s="452"/>
      <c r="Q158" s="308"/>
      <c r="R158" s="583"/>
      <c r="S158" s="618"/>
      <c r="T158" s="515"/>
      <c r="U158" s="499"/>
      <c r="V158" s="708"/>
      <c r="W158" s="567"/>
      <c r="X158" s="699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696"/>
      <c r="J159" s="696"/>
      <c r="K159" s="281"/>
      <c r="L159" s="304">
        <v>15</v>
      </c>
      <c r="M159" s="383" t="s">
        <v>263</v>
      </c>
      <c r="N159" s="306"/>
      <c r="O159" s="544"/>
      <c r="P159" s="452"/>
      <c r="Q159" s="308"/>
      <c r="R159" s="583"/>
      <c r="S159" s="618"/>
      <c r="T159" s="515"/>
      <c r="U159" s="499"/>
      <c r="V159" s="708"/>
      <c r="W159" s="567"/>
      <c r="X159" s="699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696"/>
      <c r="J160" s="696"/>
      <c r="K160" s="281"/>
      <c r="L160" s="304">
        <v>15</v>
      </c>
      <c r="M160" s="383" t="s">
        <v>263</v>
      </c>
      <c r="N160" s="306"/>
      <c r="O160" s="544"/>
      <c r="P160" s="452"/>
      <c r="Q160" s="308"/>
      <c r="R160" s="583"/>
      <c r="S160" s="618"/>
      <c r="T160" s="515"/>
      <c r="U160" s="499"/>
      <c r="V160" s="708"/>
      <c r="W160" s="567"/>
      <c r="X160" s="699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696"/>
      <c r="J161" s="696"/>
      <c r="K161" s="281"/>
      <c r="L161" s="304">
        <v>15</v>
      </c>
      <c r="M161" s="383" t="s">
        <v>263</v>
      </c>
      <c r="N161" s="306"/>
      <c r="O161" s="544"/>
      <c r="P161" s="452"/>
      <c r="Q161" s="308"/>
      <c r="R161" s="583"/>
      <c r="S161" s="618"/>
      <c r="T161" s="515"/>
      <c r="U161" s="499"/>
      <c r="V161" s="708"/>
      <c r="W161" s="567"/>
      <c r="X161" s="699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696"/>
      <c r="J162" s="696"/>
      <c r="K162" s="281"/>
      <c r="L162" s="304">
        <v>15</v>
      </c>
      <c r="M162" s="383" t="s">
        <v>263</v>
      </c>
      <c r="N162" s="306"/>
      <c r="O162" s="544"/>
      <c r="P162" s="452"/>
      <c r="Q162" s="308"/>
      <c r="R162" s="583"/>
      <c r="S162" s="618"/>
      <c r="T162" s="515"/>
      <c r="U162" s="499"/>
      <c r="V162" s="708"/>
      <c r="W162" s="567"/>
      <c r="X162" s="699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697"/>
      <c r="J163" s="697"/>
      <c r="K163" s="282"/>
      <c r="L163" s="309">
        <v>15</v>
      </c>
      <c r="M163" s="412" t="s">
        <v>263</v>
      </c>
      <c r="N163" s="310"/>
      <c r="O163" s="546"/>
      <c r="P163" s="453"/>
      <c r="Q163" s="323"/>
      <c r="R163" s="585"/>
      <c r="S163" s="620"/>
      <c r="T163" s="517"/>
      <c r="U163" s="501"/>
      <c r="V163" s="709"/>
      <c r="W163" s="569"/>
      <c r="X163" s="700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bottomRight" activeCell="E3" sqref="E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200</v>
      </c>
      <c r="D2" s="188" t="s">
        <v>200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124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126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121</v>
      </c>
      <c r="B8" s="187"/>
      <c r="C8" s="188" t="s">
        <v>200</v>
      </c>
      <c r="D8" s="188" t="s">
        <v>200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0</v>
      </c>
      <c r="BJ9" s="206">
        <f>SUMIFS('Revenue Tracking'!$F$13:$F$19, 'Revenue Tracking'!$P$13:$P$19, "&gt;="&amp;BJ1,'Revenue Tracking'!$P$13:$P$19, "&lt;"&amp;BK1)</f>
        <v>177905.85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199239.94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411634.11000000004</v>
      </c>
      <c r="D11" s="208">
        <f>SUM(F11:LD11)</f>
        <v>411634.11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100000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411634.11</v>
      </c>
      <c r="BM12" s="209">
        <f t="shared" si="26"/>
        <v>411634.11</v>
      </c>
      <c r="BN12" s="209">
        <f t="shared" si="26"/>
        <v>411634.11</v>
      </c>
      <c r="BO12" s="209">
        <f t="shared" si="26"/>
        <v>411634.11</v>
      </c>
      <c r="BP12" s="209">
        <f t="shared" si="26"/>
        <v>411634.11</v>
      </c>
      <c r="BQ12" s="209">
        <f t="shared" si="26"/>
        <v>411634.11</v>
      </c>
      <c r="BR12" s="209">
        <f t="shared" si="26"/>
        <v>411634.11</v>
      </c>
      <c r="BS12" s="209">
        <f t="shared" si="26"/>
        <v>411634.11</v>
      </c>
      <c r="BT12" s="209">
        <f t="shared" si="26"/>
        <v>411634.11</v>
      </c>
      <c r="BU12" s="209">
        <f t="shared" ref="BU12:EF12" si="27">BT12+BU11</f>
        <v>411634.11</v>
      </c>
      <c r="BV12" s="209">
        <f t="shared" si="27"/>
        <v>411634.11</v>
      </c>
      <c r="BW12" s="209">
        <f t="shared" si="27"/>
        <v>411634.11</v>
      </c>
      <c r="BX12" s="209">
        <f t="shared" si="27"/>
        <v>411634.11</v>
      </c>
      <c r="BY12" s="209">
        <f t="shared" si="27"/>
        <v>411634.11</v>
      </c>
      <c r="BZ12" s="209">
        <f t="shared" si="27"/>
        <v>411634.11</v>
      </c>
      <c r="CA12" s="209">
        <f t="shared" si="27"/>
        <v>411634.11</v>
      </c>
      <c r="CB12" s="209">
        <f t="shared" si="27"/>
        <v>411634.11</v>
      </c>
      <c r="CC12" s="209">
        <f t="shared" si="27"/>
        <v>411634.11</v>
      </c>
      <c r="CD12" s="209">
        <f t="shared" si="27"/>
        <v>411634.11</v>
      </c>
      <c r="CE12" s="209">
        <f t="shared" si="27"/>
        <v>411634.11</v>
      </c>
      <c r="CF12" s="209">
        <f t="shared" si="27"/>
        <v>411634.11</v>
      </c>
      <c r="CG12" s="209">
        <f t="shared" si="27"/>
        <v>411634.11</v>
      </c>
      <c r="CH12" s="209">
        <f t="shared" si="27"/>
        <v>411634.11</v>
      </c>
      <c r="CI12" s="209">
        <f t="shared" si="27"/>
        <v>411634.11</v>
      </c>
      <c r="CJ12" s="209">
        <f t="shared" si="27"/>
        <v>411634.11</v>
      </c>
      <c r="CK12" s="209">
        <f t="shared" si="27"/>
        <v>411634.11</v>
      </c>
      <c r="CL12" s="209">
        <f t="shared" si="27"/>
        <v>411634.11</v>
      </c>
      <c r="CM12" s="209">
        <f t="shared" si="27"/>
        <v>411634.11</v>
      </c>
      <c r="CN12" s="209">
        <f t="shared" si="27"/>
        <v>411634.11</v>
      </c>
      <c r="CO12" s="209">
        <f t="shared" si="27"/>
        <v>411634.11</v>
      </c>
      <c r="CP12" s="209">
        <f t="shared" si="27"/>
        <v>411634.11</v>
      </c>
      <c r="CQ12" s="209">
        <f t="shared" si="27"/>
        <v>411634.11</v>
      </c>
      <c r="CR12" s="209">
        <f t="shared" si="27"/>
        <v>411634.11</v>
      </c>
      <c r="CS12" s="209">
        <f t="shared" si="27"/>
        <v>411634.11</v>
      </c>
      <c r="CT12" s="209">
        <f t="shared" si="27"/>
        <v>411634.11</v>
      </c>
      <c r="CU12" s="209">
        <f t="shared" si="27"/>
        <v>411634.11</v>
      </c>
      <c r="CV12" s="209">
        <f t="shared" si="27"/>
        <v>411634.11</v>
      </c>
      <c r="CW12" s="209">
        <f t="shared" si="27"/>
        <v>411634.11</v>
      </c>
      <c r="CX12" s="209">
        <f t="shared" si="27"/>
        <v>411634.11</v>
      </c>
      <c r="CY12" s="209">
        <f t="shared" si="27"/>
        <v>411634.11</v>
      </c>
      <c r="CZ12" s="209">
        <f t="shared" si="27"/>
        <v>411634.11</v>
      </c>
      <c r="DA12" s="209">
        <f t="shared" si="27"/>
        <v>411634.11</v>
      </c>
      <c r="DB12" s="209">
        <f t="shared" si="27"/>
        <v>411634.11</v>
      </c>
      <c r="DC12" s="209">
        <f t="shared" si="27"/>
        <v>411634.11</v>
      </c>
      <c r="DD12" s="209">
        <f t="shared" si="27"/>
        <v>411634.11</v>
      </c>
      <c r="DE12" s="209">
        <f t="shared" si="27"/>
        <v>411634.11</v>
      </c>
      <c r="DF12" s="209">
        <f t="shared" si="27"/>
        <v>411634.11</v>
      </c>
      <c r="DG12" s="209">
        <f t="shared" si="27"/>
        <v>411634.11</v>
      </c>
      <c r="DH12" s="209">
        <f t="shared" si="27"/>
        <v>411634.11</v>
      </c>
      <c r="DI12" s="209">
        <f t="shared" si="27"/>
        <v>411634.11</v>
      </c>
      <c r="DJ12" s="209">
        <f t="shared" si="27"/>
        <v>411634.11</v>
      </c>
      <c r="DK12" s="209">
        <f t="shared" si="27"/>
        <v>411634.11</v>
      </c>
      <c r="DL12" s="209">
        <f t="shared" si="27"/>
        <v>411634.11</v>
      </c>
      <c r="DM12" s="209">
        <f t="shared" si="27"/>
        <v>411634.11</v>
      </c>
      <c r="DN12" s="209">
        <f t="shared" si="27"/>
        <v>411634.11</v>
      </c>
      <c r="DO12" s="209">
        <f t="shared" si="27"/>
        <v>411634.11</v>
      </c>
      <c r="DP12" s="209">
        <f t="shared" si="27"/>
        <v>411634.11</v>
      </c>
      <c r="DQ12" s="209">
        <f t="shared" si="27"/>
        <v>411634.11</v>
      </c>
      <c r="DR12" s="209">
        <f t="shared" si="27"/>
        <v>411634.11</v>
      </c>
      <c r="DS12" s="209">
        <f t="shared" si="27"/>
        <v>411634.11</v>
      </c>
      <c r="DT12" s="209">
        <f t="shared" si="27"/>
        <v>411634.11</v>
      </c>
      <c r="DU12" s="209">
        <f t="shared" si="27"/>
        <v>411634.11</v>
      </c>
      <c r="DV12" s="209">
        <f t="shared" si="27"/>
        <v>411634.11</v>
      </c>
      <c r="DW12" s="209">
        <f t="shared" si="27"/>
        <v>411634.11</v>
      </c>
      <c r="DX12" s="209">
        <f t="shared" si="27"/>
        <v>411634.11</v>
      </c>
      <c r="DY12" s="209">
        <f t="shared" si="27"/>
        <v>411634.11</v>
      </c>
      <c r="DZ12" s="209">
        <f t="shared" si="27"/>
        <v>411634.11</v>
      </c>
      <c r="EA12" s="209">
        <f t="shared" si="27"/>
        <v>411634.11</v>
      </c>
      <c r="EB12" s="209">
        <f t="shared" si="27"/>
        <v>411634.11</v>
      </c>
      <c r="EC12" s="209">
        <f t="shared" si="27"/>
        <v>411634.11</v>
      </c>
      <c r="ED12" s="209">
        <f t="shared" si="27"/>
        <v>411634.11</v>
      </c>
      <c r="EE12" s="209">
        <f t="shared" si="27"/>
        <v>411634.11</v>
      </c>
      <c r="EF12" s="209">
        <f t="shared" si="27"/>
        <v>411634.11</v>
      </c>
      <c r="EG12" s="209">
        <f t="shared" ref="EG12:GR12" si="28">EF12+EG11</f>
        <v>411634.11</v>
      </c>
      <c r="EH12" s="209">
        <f t="shared" si="28"/>
        <v>411634.11</v>
      </c>
      <c r="EI12" s="209">
        <f t="shared" si="28"/>
        <v>411634.11</v>
      </c>
      <c r="EJ12" s="209">
        <f t="shared" si="28"/>
        <v>411634.11</v>
      </c>
      <c r="EK12" s="209">
        <f t="shared" si="28"/>
        <v>411634.11</v>
      </c>
      <c r="EL12" s="209">
        <f t="shared" si="28"/>
        <v>411634.11</v>
      </c>
      <c r="EM12" s="209">
        <f t="shared" si="28"/>
        <v>411634.11</v>
      </c>
      <c r="EN12" s="209">
        <f t="shared" si="28"/>
        <v>411634.11</v>
      </c>
      <c r="EO12" s="209">
        <f t="shared" si="28"/>
        <v>411634.11</v>
      </c>
      <c r="EP12" s="209">
        <f t="shared" si="28"/>
        <v>411634.11</v>
      </c>
      <c r="EQ12" s="209">
        <f t="shared" si="28"/>
        <v>411634.11</v>
      </c>
      <c r="ER12" s="209">
        <f t="shared" si="28"/>
        <v>411634.11</v>
      </c>
      <c r="ES12" s="209">
        <f t="shared" si="28"/>
        <v>411634.11</v>
      </c>
      <c r="ET12" s="209">
        <f t="shared" si="28"/>
        <v>411634.11</v>
      </c>
      <c r="EU12" s="209">
        <f t="shared" si="28"/>
        <v>411634.11</v>
      </c>
      <c r="EV12" s="209">
        <f t="shared" si="28"/>
        <v>411634.11</v>
      </c>
      <c r="EW12" s="209">
        <f t="shared" si="28"/>
        <v>411634.11</v>
      </c>
      <c r="EX12" s="209">
        <f t="shared" si="28"/>
        <v>411634.11</v>
      </c>
      <c r="EY12" s="209">
        <f t="shared" si="28"/>
        <v>411634.11</v>
      </c>
      <c r="EZ12" s="209">
        <f t="shared" si="28"/>
        <v>411634.11</v>
      </c>
      <c r="FA12" s="209">
        <f t="shared" si="28"/>
        <v>411634.11</v>
      </c>
      <c r="FB12" s="209">
        <f t="shared" si="28"/>
        <v>411634.11</v>
      </c>
      <c r="FC12" s="209">
        <f t="shared" si="28"/>
        <v>411634.11</v>
      </c>
      <c r="FD12" s="209">
        <f t="shared" si="28"/>
        <v>411634.11</v>
      </c>
      <c r="FE12" s="209">
        <f t="shared" si="28"/>
        <v>411634.11</v>
      </c>
      <c r="FF12" s="209">
        <f t="shared" si="28"/>
        <v>411634.11</v>
      </c>
      <c r="FG12" s="209">
        <f t="shared" si="28"/>
        <v>411634.11</v>
      </c>
      <c r="FH12" s="209">
        <f t="shared" si="28"/>
        <v>411634.11</v>
      </c>
      <c r="FI12" s="209">
        <f t="shared" si="28"/>
        <v>411634.11</v>
      </c>
      <c r="FJ12" s="209">
        <f t="shared" si="28"/>
        <v>411634.11</v>
      </c>
      <c r="FK12" s="209">
        <f t="shared" si="28"/>
        <v>411634.11</v>
      </c>
      <c r="FL12" s="209">
        <f t="shared" si="28"/>
        <v>411634.11</v>
      </c>
      <c r="FM12" s="209">
        <f t="shared" si="28"/>
        <v>411634.11</v>
      </c>
      <c r="FN12" s="209">
        <f t="shared" si="28"/>
        <v>411634.11</v>
      </c>
      <c r="FO12" s="209">
        <f t="shared" si="28"/>
        <v>411634.11</v>
      </c>
      <c r="FP12" s="209">
        <f t="shared" si="28"/>
        <v>411634.11</v>
      </c>
      <c r="FQ12" s="209">
        <f t="shared" si="28"/>
        <v>411634.11</v>
      </c>
      <c r="FR12" s="209">
        <f t="shared" si="28"/>
        <v>411634.11</v>
      </c>
      <c r="FS12" s="209">
        <f t="shared" si="28"/>
        <v>411634.11</v>
      </c>
      <c r="FT12" s="209">
        <f t="shared" si="28"/>
        <v>411634.11</v>
      </c>
      <c r="FU12" s="209">
        <f t="shared" si="28"/>
        <v>411634.11</v>
      </c>
      <c r="FV12" s="209">
        <f t="shared" si="28"/>
        <v>411634.11</v>
      </c>
      <c r="FW12" s="209">
        <f t="shared" si="28"/>
        <v>411634.11</v>
      </c>
      <c r="FX12" s="209">
        <f t="shared" si="28"/>
        <v>411634.11</v>
      </c>
      <c r="FY12" s="209">
        <f t="shared" si="28"/>
        <v>411634.11</v>
      </c>
      <c r="FZ12" s="209">
        <f t="shared" si="28"/>
        <v>411634.11</v>
      </c>
      <c r="GA12" s="209">
        <f t="shared" si="28"/>
        <v>411634.11</v>
      </c>
      <c r="GB12" s="209">
        <f t="shared" si="28"/>
        <v>411634.11</v>
      </c>
      <c r="GC12" s="209">
        <f t="shared" si="28"/>
        <v>411634.11</v>
      </c>
      <c r="GD12" s="209">
        <f t="shared" si="28"/>
        <v>411634.11</v>
      </c>
      <c r="GE12" s="209">
        <f t="shared" si="28"/>
        <v>411634.11</v>
      </c>
      <c r="GF12" s="209">
        <f t="shared" si="28"/>
        <v>411634.11</v>
      </c>
      <c r="GG12" s="209">
        <f t="shared" si="28"/>
        <v>411634.11</v>
      </c>
      <c r="GH12" s="209">
        <f t="shared" si="28"/>
        <v>411634.11</v>
      </c>
      <c r="GI12" s="209">
        <f t="shared" si="28"/>
        <v>411634.11</v>
      </c>
      <c r="GJ12" s="209">
        <f t="shared" si="28"/>
        <v>411634.11</v>
      </c>
      <c r="GK12" s="209">
        <f t="shared" si="28"/>
        <v>411634.11</v>
      </c>
      <c r="GL12" s="209">
        <f t="shared" si="28"/>
        <v>411634.11</v>
      </c>
      <c r="GM12" s="209">
        <f t="shared" si="28"/>
        <v>411634.11</v>
      </c>
      <c r="GN12" s="209">
        <f t="shared" si="28"/>
        <v>411634.11</v>
      </c>
      <c r="GO12" s="209">
        <f t="shared" si="28"/>
        <v>411634.11</v>
      </c>
      <c r="GP12" s="209">
        <f t="shared" si="28"/>
        <v>411634.11</v>
      </c>
      <c r="GQ12" s="209">
        <f t="shared" si="28"/>
        <v>411634.11</v>
      </c>
      <c r="GR12" s="209">
        <f t="shared" si="28"/>
        <v>411634.11</v>
      </c>
      <c r="GS12" s="209">
        <f t="shared" ref="GS12:JD12" si="29">GR12+GS11</f>
        <v>411634.11</v>
      </c>
      <c r="GT12" s="209">
        <f t="shared" si="29"/>
        <v>411634.11</v>
      </c>
      <c r="GU12" s="209">
        <f t="shared" si="29"/>
        <v>411634.11</v>
      </c>
      <c r="GV12" s="209">
        <f t="shared" si="29"/>
        <v>411634.11</v>
      </c>
      <c r="GW12" s="209">
        <f t="shared" si="29"/>
        <v>411634.11</v>
      </c>
      <c r="GX12" s="209">
        <f t="shared" si="29"/>
        <v>411634.11</v>
      </c>
      <c r="GY12" s="209">
        <f t="shared" si="29"/>
        <v>411634.11</v>
      </c>
      <c r="GZ12" s="209">
        <f t="shared" si="29"/>
        <v>411634.11</v>
      </c>
      <c r="HA12" s="209">
        <f t="shared" si="29"/>
        <v>411634.11</v>
      </c>
      <c r="HB12" s="209">
        <f t="shared" si="29"/>
        <v>411634.11</v>
      </c>
      <c r="HC12" s="209">
        <f t="shared" si="29"/>
        <v>411634.11</v>
      </c>
      <c r="HD12" s="209">
        <f t="shared" si="29"/>
        <v>411634.11</v>
      </c>
      <c r="HE12" s="209">
        <f t="shared" si="29"/>
        <v>411634.11</v>
      </c>
      <c r="HF12" s="209">
        <f t="shared" si="29"/>
        <v>411634.11</v>
      </c>
      <c r="HG12" s="209">
        <f t="shared" si="29"/>
        <v>411634.11</v>
      </c>
      <c r="HH12" s="209">
        <f t="shared" si="29"/>
        <v>411634.11</v>
      </c>
      <c r="HI12" s="209">
        <f t="shared" si="29"/>
        <v>411634.11</v>
      </c>
      <c r="HJ12" s="209">
        <f t="shared" si="29"/>
        <v>411634.11</v>
      </c>
      <c r="HK12" s="209">
        <f t="shared" si="29"/>
        <v>411634.11</v>
      </c>
      <c r="HL12" s="209">
        <f t="shared" si="29"/>
        <v>411634.11</v>
      </c>
      <c r="HM12" s="209">
        <f t="shared" si="29"/>
        <v>411634.11</v>
      </c>
      <c r="HN12" s="209">
        <f t="shared" si="29"/>
        <v>411634.11</v>
      </c>
      <c r="HO12" s="209">
        <f t="shared" si="29"/>
        <v>411634.11</v>
      </c>
      <c r="HP12" s="209">
        <f t="shared" si="29"/>
        <v>411634.11</v>
      </c>
      <c r="HQ12" s="209">
        <f t="shared" si="29"/>
        <v>411634.11</v>
      </c>
      <c r="HR12" s="209">
        <f t="shared" si="29"/>
        <v>411634.11</v>
      </c>
      <c r="HS12" s="209">
        <f t="shared" si="29"/>
        <v>411634.11</v>
      </c>
      <c r="HT12" s="209">
        <f t="shared" si="29"/>
        <v>411634.11</v>
      </c>
      <c r="HU12" s="209">
        <f t="shared" si="29"/>
        <v>411634.11</v>
      </c>
      <c r="HV12" s="209">
        <f t="shared" si="29"/>
        <v>411634.11</v>
      </c>
      <c r="HW12" s="209">
        <f t="shared" si="29"/>
        <v>411634.11</v>
      </c>
      <c r="HX12" s="209">
        <f t="shared" si="29"/>
        <v>411634.11</v>
      </c>
      <c r="HY12" s="209">
        <f t="shared" si="29"/>
        <v>411634.11</v>
      </c>
      <c r="HZ12" s="209">
        <f t="shared" si="29"/>
        <v>411634.11</v>
      </c>
      <c r="IA12" s="209">
        <f t="shared" si="29"/>
        <v>411634.11</v>
      </c>
      <c r="IB12" s="209">
        <f t="shared" si="29"/>
        <v>411634.11</v>
      </c>
      <c r="IC12" s="209">
        <f t="shared" si="29"/>
        <v>411634.11</v>
      </c>
      <c r="ID12" s="209">
        <f t="shared" si="29"/>
        <v>411634.11</v>
      </c>
      <c r="IE12" s="209">
        <f t="shared" si="29"/>
        <v>411634.11</v>
      </c>
      <c r="IF12" s="209">
        <f t="shared" si="29"/>
        <v>411634.11</v>
      </c>
      <c r="IG12" s="209">
        <f t="shared" si="29"/>
        <v>411634.11</v>
      </c>
      <c r="IH12" s="209">
        <f t="shared" si="29"/>
        <v>411634.11</v>
      </c>
      <c r="II12" s="209">
        <f t="shared" si="29"/>
        <v>411634.11</v>
      </c>
      <c r="IJ12" s="209">
        <f t="shared" si="29"/>
        <v>411634.11</v>
      </c>
      <c r="IK12" s="209">
        <f t="shared" si="29"/>
        <v>411634.11</v>
      </c>
      <c r="IL12" s="209">
        <f t="shared" si="29"/>
        <v>411634.11</v>
      </c>
      <c r="IM12" s="209">
        <f t="shared" si="29"/>
        <v>411634.11</v>
      </c>
      <c r="IN12" s="209">
        <f t="shared" si="29"/>
        <v>411634.11</v>
      </c>
      <c r="IO12" s="209">
        <f t="shared" si="29"/>
        <v>411634.11</v>
      </c>
      <c r="IP12" s="209">
        <f t="shared" si="29"/>
        <v>411634.11</v>
      </c>
      <c r="IQ12" s="209">
        <f t="shared" si="29"/>
        <v>411634.11</v>
      </c>
      <c r="IR12" s="209">
        <f t="shared" si="29"/>
        <v>411634.11</v>
      </c>
      <c r="IS12" s="209">
        <f t="shared" si="29"/>
        <v>411634.11</v>
      </c>
      <c r="IT12" s="209">
        <f t="shared" si="29"/>
        <v>411634.11</v>
      </c>
      <c r="IU12" s="209">
        <f t="shared" si="29"/>
        <v>411634.11</v>
      </c>
      <c r="IV12" s="209">
        <f t="shared" si="29"/>
        <v>411634.11</v>
      </c>
      <c r="IW12" s="209">
        <f t="shared" si="29"/>
        <v>411634.11</v>
      </c>
      <c r="IX12" s="209">
        <f t="shared" si="29"/>
        <v>411634.11</v>
      </c>
      <c r="IY12" s="209">
        <f t="shared" si="29"/>
        <v>411634.11</v>
      </c>
      <c r="IZ12" s="209">
        <f t="shared" si="29"/>
        <v>411634.11</v>
      </c>
      <c r="JA12" s="209">
        <f t="shared" si="29"/>
        <v>411634.11</v>
      </c>
      <c r="JB12" s="209">
        <f t="shared" si="29"/>
        <v>411634.11</v>
      </c>
      <c r="JC12" s="209">
        <f t="shared" si="29"/>
        <v>411634.11</v>
      </c>
      <c r="JD12" s="209">
        <f t="shared" si="29"/>
        <v>411634.11</v>
      </c>
      <c r="JE12" s="209">
        <f t="shared" ref="JE12:LD12" si="30">JD12+JE11</f>
        <v>411634.11</v>
      </c>
      <c r="JF12" s="209">
        <f t="shared" si="30"/>
        <v>411634.11</v>
      </c>
      <c r="JG12" s="209">
        <f t="shared" si="30"/>
        <v>411634.11</v>
      </c>
      <c r="JH12" s="209">
        <f t="shared" si="30"/>
        <v>411634.11</v>
      </c>
      <c r="JI12" s="209">
        <f t="shared" si="30"/>
        <v>411634.11</v>
      </c>
      <c r="JJ12" s="209">
        <f t="shared" si="30"/>
        <v>411634.11</v>
      </c>
      <c r="JK12" s="209">
        <f t="shared" si="30"/>
        <v>411634.11</v>
      </c>
      <c r="JL12" s="209">
        <f t="shared" si="30"/>
        <v>411634.11</v>
      </c>
      <c r="JM12" s="209">
        <f t="shared" si="30"/>
        <v>411634.11</v>
      </c>
      <c r="JN12" s="209">
        <f t="shared" si="30"/>
        <v>411634.11</v>
      </c>
      <c r="JO12" s="209">
        <f t="shared" si="30"/>
        <v>411634.11</v>
      </c>
      <c r="JP12" s="209">
        <f t="shared" si="30"/>
        <v>411634.11</v>
      </c>
      <c r="JQ12" s="209">
        <f t="shared" si="30"/>
        <v>411634.11</v>
      </c>
      <c r="JR12" s="209">
        <f t="shared" si="30"/>
        <v>411634.11</v>
      </c>
      <c r="JS12" s="209">
        <f t="shared" si="30"/>
        <v>411634.11</v>
      </c>
      <c r="JT12" s="209">
        <f t="shared" si="30"/>
        <v>411634.11</v>
      </c>
      <c r="JU12" s="209">
        <f t="shared" si="30"/>
        <v>411634.11</v>
      </c>
      <c r="JV12" s="209">
        <f t="shared" si="30"/>
        <v>411634.11</v>
      </c>
      <c r="JW12" s="209">
        <f t="shared" si="30"/>
        <v>411634.11</v>
      </c>
      <c r="JX12" s="209">
        <f t="shared" si="30"/>
        <v>411634.11</v>
      </c>
      <c r="JY12" s="209">
        <f t="shared" si="30"/>
        <v>411634.11</v>
      </c>
      <c r="JZ12" s="209">
        <f t="shared" si="30"/>
        <v>411634.11</v>
      </c>
      <c r="KA12" s="209">
        <f t="shared" si="30"/>
        <v>411634.11</v>
      </c>
      <c r="KB12" s="209">
        <f t="shared" si="30"/>
        <v>411634.11</v>
      </c>
      <c r="KC12" s="209">
        <f t="shared" si="30"/>
        <v>411634.11</v>
      </c>
      <c r="KD12" s="209">
        <f t="shared" si="30"/>
        <v>411634.11</v>
      </c>
      <c r="KE12" s="209">
        <f t="shared" si="30"/>
        <v>411634.11</v>
      </c>
      <c r="KF12" s="209">
        <f t="shared" si="30"/>
        <v>411634.11</v>
      </c>
      <c r="KG12" s="209">
        <f t="shared" si="30"/>
        <v>411634.11</v>
      </c>
      <c r="KH12" s="209">
        <f t="shared" si="30"/>
        <v>411634.11</v>
      </c>
      <c r="KI12" s="209">
        <f t="shared" si="30"/>
        <v>411634.11</v>
      </c>
      <c r="KJ12" s="209">
        <f t="shared" si="30"/>
        <v>411634.11</v>
      </c>
      <c r="KK12" s="209">
        <f t="shared" si="30"/>
        <v>411634.11</v>
      </c>
      <c r="KL12" s="209">
        <f t="shared" si="30"/>
        <v>411634.11</v>
      </c>
      <c r="KM12" s="209">
        <f t="shared" si="30"/>
        <v>411634.11</v>
      </c>
      <c r="KN12" s="209">
        <f t="shared" si="30"/>
        <v>411634.11</v>
      </c>
      <c r="KO12" s="209">
        <f t="shared" si="30"/>
        <v>411634.11</v>
      </c>
      <c r="KP12" s="209">
        <f t="shared" si="30"/>
        <v>411634.11</v>
      </c>
      <c r="KQ12" s="209">
        <f t="shared" si="30"/>
        <v>411634.11</v>
      </c>
      <c r="KR12" s="209">
        <f t="shared" si="30"/>
        <v>411634.11</v>
      </c>
      <c r="KS12" s="209">
        <f t="shared" si="30"/>
        <v>411634.11</v>
      </c>
      <c r="KT12" s="209">
        <f t="shared" si="30"/>
        <v>411634.11</v>
      </c>
      <c r="KU12" s="209">
        <f t="shared" si="30"/>
        <v>411634.11</v>
      </c>
      <c r="KV12" s="209">
        <f t="shared" si="30"/>
        <v>411634.11</v>
      </c>
      <c r="KW12" s="209">
        <f t="shared" si="30"/>
        <v>411634.11</v>
      </c>
      <c r="KX12" s="209">
        <f t="shared" si="30"/>
        <v>411634.11</v>
      </c>
      <c r="KY12" s="209">
        <f t="shared" si="30"/>
        <v>411634.11</v>
      </c>
      <c r="KZ12" s="209">
        <f t="shared" si="30"/>
        <v>411634.11</v>
      </c>
      <c r="LA12" s="209">
        <f t="shared" si="30"/>
        <v>411634.11</v>
      </c>
      <c r="LB12" s="209">
        <f t="shared" si="30"/>
        <v>411634.11</v>
      </c>
      <c r="LC12" s="209">
        <f t="shared" si="30"/>
        <v>411634.11</v>
      </c>
      <c r="LD12" s="209">
        <f t="shared" si="30"/>
        <v>411634.11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-112394.16999999998</v>
      </c>
      <c r="BJ14" s="202">
        <f t="shared" si="32"/>
        <v>65511.680000000051</v>
      </c>
      <c r="BK14" s="202">
        <f t="shared" si="32"/>
        <v>65511.680000000051</v>
      </c>
      <c r="BL14" s="202">
        <f t="shared" si="32"/>
        <v>-34488.319999999949</v>
      </c>
      <c r="BM14" s="202">
        <f t="shared" si="32"/>
        <v>-34488.319999999949</v>
      </c>
      <c r="BN14" s="202">
        <f t="shared" si="32"/>
        <v>-34488.319999999949</v>
      </c>
      <c r="BO14" s="202">
        <f t="shared" si="32"/>
        <v>-34488.319999999949</v>
      </c>
      <c r="BP14" s="202">
        <f t="shared" si="32"/>
        <v>-34488.319999999949</v>
      </c>
      <c r="BQ14" s="202">
        <f t="shared" si="32"/>
        <v>-34488.319999999949</v>
      </c>
      <c r="BR14" s="202">
        <f t="shared" si="32"/>
        <v>-34488.319999999949</v>
      </c>
      <c r="BS14" s="202">
        <f t="shared" si="32"/>
        <v>-34488.319999999949</v>
      </c>
      <c r="BT14" s="202">
        <f t="shared" si="32"/>
        <v>-34488.319999999949</v>
      </c>
      <c r="BU14" s="202">
        <f t="shared" ref="BU14:EF14" si="33">BU10-BU12</f>
        <v>-34488.319999999949</v>
      </c>
      <c r="BV14" s="202">
        <f t="shared" si="33"/>
        <v>-34488.319999999949</v>
      </c>
      <c r="BW14" s="202">
        <f t="shared" si="33"/>
        <v>-34488.319999999949</v>
      </c>
      <c r="BX14" s="202">
        <f t="shared" si="33"/>
        <v>-34488.319999999949</v>
      </c>
      <c r="BY14" s="202">
        <f t="shared" si="33"/>
        <v>-34488.319999999949</v>
      </c>
      <c r="BZ14" s="202">
        <f t="shared" si="33"/>
        <v>-34488.319999999949</v>
      </c>
      <c r="CA14" s="202">
        <f t="shared" si="33"/>
        <v>-34488.319999999949</v>
      </c>
      <c r="CB14" s="202">
        <f t="shared" si="33"/>
        <v>-34488.319999999949</v>
      </c>
      <c r="CC14" s="202">
        <f t="shared" si="33"/>
        <v>-34488.319999999949</v>
      </c>
      <c r="CD14" s="202">
        <f t="shared" si="33"/>
        <v>-34488.319999999949</v>
      </c>
      <c r="CE14" s="202">
        <f t="shared" si="33"/>
        <v>-34488.319999999949</v>
      </c>
      <c r="CF14" s="202">
        <f t="shared" si="33"/>
        <v>-34488.319999999949</v>
      </c>
      <c r="CG14" s="202">
        <f t="shared" si="33"/>
        <v>-34488.319999999949</v>
      </c>
      <c r="CH14" s="202">
        <f t="shared" si="33"/>
        <v>-34488.319999999949</v>
      </c>
      <c r="CI14" s="202">
        <f t="shared" si="33"/>
        <v>-34488.319999999949</v>
      </c>
      <c r="CJ14" s="202">
        <f t="shared" si="33"/>
        <v>-34488.319999999949</v>
      </c>
      <c r="CK14" s="202">
        <f t="shared" si="33"/>
        <v>-34488.319999999949</v>
      </c>
      <c r="CL14" s="202">
        <f t="shared" si="33"/>
        <v>-34488.319999999949</v>
      </c>
      <c r="CM14" s="202">
        <f t="shared" si="33"/>
        <v>-34488.319999999949</v>
      </c>
      <c r="CN14" s="202">
        <f t="shared" si="33"/>
        <v>-34488.319999999949</v>
      </c>
      <c r="CO14" s="202">
        <f t="shared" si="33"/>
        <v>-34488.319999999949</v>
      </c>
      <c r="CP14" s="202">
        <f t="shared" si="33"/>
        <v>-34488.319999999949</v>
      </c>
      <c r="CQ14" s="202">
        <f t="shared" si="33"/>
        <v>-34488.319999999949</v>
      </c>
      <c r="CR14" s="202">
        <f t="shared" si="33"/>
        <v>-34488.319999999949</v>
      </c>
      <c r="CS14" s="202">
        <f t="shared" si="33"/>
        <v>-34488.319999999949</v>
      </c>
      <c r="CT14" s="202">
        <f t="shared" si="33"/>
        <v>-34488.319999999949</v>
      </c>
      <c r="CU14" s="202">
        <f t="shared" si="33"/>
        <v>-34488.319999999949</v>
      </c>
      <c r="CV14" s="202">
        <f t="shared" si="33"/>
        <v>-34488.319999999949</v>
      </c>
      <c r="CW14" s="202">
        <f t="shared" si="33"/>
        <v>-34488.319999999949</v>
      </c>
      <c r="CX14" s="202">
        <f t="shared" si="33"/>
        <v>-34488.319999999949</v>
      </c>
      <c r="CY14" s="202">
        <f t="shared" si="33"/>
        <v>-34488.319999999949</v>
      </c>
      <c r="CZ14" s="202">
        <f t="shared" si="33"/>
        <v>-34488.319999999949</v>
      </c>
      <c r="DA14" s="202">
        <f t="shared" si="33"/>
        <v>-34488.319999999949</v>
      </c>
      <c r="DB14" s="202">
        <f t="shared" si="33"/>
        <v>-34488.319999999949</v>
      </c>
      <c r="DC14" s="202">
        <f t="shared" si="33"/>
        <v>-34488.319999999949</v>
      </c>
      <c r="DD14" s="202">
        <f t="shared" si="33"/>
        <v>-34488.319999999949</v>
      </c>
      <c r="DE14" s="202">
        <f t="shared" si="33"/>
        <v>-34488.319999999949</v>
      </c>
      <c r="DF14" s="202">
        <f t="shared" si="33"/>
        <v>-34488.319999999949</v>
      </c>
      <c r="DG14" s="202">
        <f t="shared" si="33"/>
        <v>-34488.319999999949</v>
      </c>
      <c r="DH14" s="202">
        <f t="shared" si="33"/>
        <v>-34488.319999999949</v>
      </c>
      <c r="DI14" s="202">
        <f t="shared" si="33"/>
        <v>-34488.319999999949</v>
      </c>
      <c r="DJ14" s="202">
        <f t="shared" si="33"/>
        <v>-34488.319999999949</v>
      </c>
      <c r="DK14" s="202">
        <f t="shared" si="33"/>
        <v>-34488.319999999949</v>
      </c>
      <c r="DL14" s="202">
        <f t="shared" si="33"/>
        <v>-34488.319999999949</v>
      </c>
      <c r="DM14" s="202">
        <f t="shared" si="33"/>
        <v>-34488.319999999949</v>
      </c>
      <c r="DN14" s="202">
        <f t="shared" si="33"/>
        <v>-34488.319999999949</v>
      </c>
      <c r="DO14" s="202">
        <f t="shared" si="33"/>
        <v>-34488.319999999949</v>
      </c>
      <c r="DP14" s="202">
        <f t="shared" si="33"/>
        <v>-34488.319999999949</v>
      </c>
      <c r="DQ14" s="202">
        <f t="shared" si="33"/>
        <v>-34488.319999999949</v>
      </c>
      <c r="DR14" s="202">
        <f t="shared" si="33"/>
        <v>-34488.319999999949</v>
      </c>
      <c r="DS14" s="202">
        <f t="shared" si="33"/>
        <v>-34488.319999999949</v>
      </c>
      <c r="DT14" s="202">
        <f t="shared" si="33"/>
        <v>-34488.319999999949</v>
      </c>
      <c r="DU14" s="202">
        <f t="shared" si="33"/>
        <v>-34488.319999999949</v>
      </c>
      <c r="DV14" s="202">
        <f t="shared" si="33"/>
        <v>-34488.319999999949</v>
      </c>
      <c r="DW14" s="202">
        <f t="shared" si="33"/>
        <v>-34488.319999999949</v>
      </c>
      <c r="DX14" s="202">
        <f t="shared" si="33"/>
        <v>-34488.319999999949</v>
      </c>
      <c r="DY14" s="202">
        <f t="shared" si="33"/>
        <v>-34488.319999999949</v>
      </c>
      <c r="DZ14" s="202">
        <f t="shared" si="33"/>
        <v>-34488.319999999949</v>
      </c>
      <c r="EA14" s="202">
        <f t="shared" si="33"/>
        <v>-34488.319999999949</v>
      </c>
      <c r="EB14" s="202">
        <f t="shared" si="33"/>
        <v>-34488.319999999949</v>
      </c>
      <c r="EC14" s="202">
        <f t="shared" si="33"/>
        <v>-34488.319999999949</v>
      </c>
      <c r="ED14" s="202">
        <f t="shared" si="33"/>
        <v>-34488.319999999949</v>
      </c>
      <c r="EE14" s="202">
        <f t="shared" si="33"/>
        <v>-34488.319999999949</v>
      </c>
      <c r="EF14" s="202">
        <f t="shared" si="33"/>
        <v>-34488.319999999949</v>
      </c>
      <c r="EG14" s="202">
        <f t="shared" ref="EG14:GR14" si="34">EG10-EG12</f>
        <v>-34488.319999999949</v>
      </c>
      <c r="EH14" s="202">
        <f t="shared" si="34"/>
        <v>-34488.319999999949</v>
      </c>
      <c r="EI14" s="202">
        <f t="shared" si="34"/>
        <v>-34488.319999999949</v>
      </c>
      <c r="EJ14" s="202">
        <f t="shared" si="34"/>
        <v>-34488.319999999949</v>
      </c>
      <c r="EK14" s="202">
        <f t="shared" si="34"/>
        <v>-34488.319999999949</v>
      </c>
      <c r="EL14" s="202">
        <f t="shared" si="34"/>
        <v>-34488.319999999949</v>
      </c>
      <c r="EM14" s="202">
        <f t="shared" si="34"/>
        <v>-34488.319999999949</v>
      </c>
      <c r="EN14" s="202">
        <f t="shared" si="34"/>
        <v>-34488.319999999949</v>
      </c>
      <c r="EO14" s="202">
        <f t="shared" si="34"/>
        <v>-34488.319999999949</v>
      </c>
      <c r="EP14" s="202">
        <f t="shared" si="34"/>
        <v>-34488.319999999949</v>
      </c>
      <c r="EQ14" s="202">
        <f t="shared" si="34"/>
        <v>-34488.319999999949</v>
      </c>
      <c r="ER14" s="202">
        <f t="shared" si="34"/>
        <v>-34488.319999999949</v>
      </c>
      <c r="ES14" s="202">
        <f t="shared" si="34"/>
        <v>-34488.319999999949</v>
      </c>
      <c r="ET14" s="202">
        <f t="shared" si="34"/>
        <v>-34488.319999999949</v>
      </c>
      <c r="EU14" s="202">
        <f t="shared" si="34"/>
        <v>-34488.319999999949</v>
      </c>
      <c r="EV14" s="202">
        <f t="shared" si="34"/>
        <v>-34488.319999999949</v>
      </c>
      <c r="EW14" s="202">
        <f t="shared" si="34"/>
        <v>-34488.319999999949</v>
      </c>
      <c r="EX14" s="202">
        <f t="shared" si="34"/>
        <v>-34488.319999999949</v>
      </c>
      <c r="EY14" s="202">
        <f t="shared" si="34"/>
        <v>-34488.319999999949</v>
      </c>
      <c r="EZ14" s="202">
        <f t="shared" si="34"/>
        <v>-34488.319999999949</v>
      </c>
      <c r="FA14" s="202">
        <f t="shared" si="34"/>
        <v>-34488.319999999949</v>
      </c>
      <c r="FB14" s="202">
        <f t="shared" si="34"/>
        <v>-34488.319999999949</v>
      </c>
      <c r="FC14" s="202">
        <f t="shared" si="34"/>
        <v>-34488.319999999949</v>
      </c>
      <c r="FD14" s="202">
        <f t="shared" si="34"/>
        <v>-34488.319999999949</v>
      </c>
      <c r="FE14" s="202">
        <f t="shared" si="34"/>
        <v>-34488.319999999949</v>
      </c>
      <c r="FF14" s="202">
        <f t="shared" si="34"/>
        <v>-34488.319999999949</v>
      </c>
      <c r="FG14" s="202">
        <f t="shared" si="34"/>
        <v>-34488.319999999949</v>
      </c>
      <c r="FH14" s="202">
        <f t="shared" si="34"/>
        <v>-34488.319999999949</v>
      </c>
      <c r="FI14" s="202">
        <f t="shared" si="34"/>
        <v>-34488.319999999949</v>
      </c>
      <c r="FJ14" s="202">
        <f t="shared" si="34"/>
        <v>-34488.319999999949</v>
      </c>
      <c r="FK14" s="202">
        <f t="shared" si="34"/>
        <v>-34488.319999999949</v>
      </c>
      <c r="FL14" s="202">
        <f t="shared" si="34"/>
        <v>-34488.319999999949</v>
      </c>
      <c r="FM14" s="202">
        <f t="shared" si="34"/>
        <v>-34488.319999999949</v>
      </c>
      <c r="FN14" s="202">
        <f t="shared" si="34"/>
        <v>-34488.319999999949</v>
      </c>
      <c r="FO14" s="202">
        <f t="shared" si="34"/>
        <v>-34488.319999999949</v>
      </c>
      <c r="FP14" s="202">
        <f t="shared" si="34"/>
        <v>-34488.319999999949</v>
      </c>
      <c r="FQ14" s="202">
        <f t="shared" si="34"/>
        <v>-34488.319999999949</v>
      </c>
      <c r="FR14" s="202">
        <f t="shared" si="34"/>
        <v>-34488.319999999949</v>
      </c>
      <c r="FS14" s="202">
        <f t="shared" si="34"/>
        <v>-34488.319999999949</v>
      </c>
      <c r="FT14" s="202">
        <f t="shared" si="34"/>
        <v>-34488.319999999949</v>
      </c>
      <c r="FU14" s="202">
        <f t="shared" si="34"/>
        <v>-34488.319999999949</v>
      </c>
      <c r="FV14" s="202">
        <f t="shared" si="34"/>
        <v>-34488.319999999949</v>
      </c>
      <c r="FW14" s="202">
        <f t="shared" si="34"/>
        <v>-34488.319999999949</v>
      </c>
      <c r="FX14" s="202">
        <f t="shared" si="34"/>
        <v>-34488.319999999949</v>
      </c>
      <c r="FY14" s="202">
        <f t="shared" si="34"/>
        <v>-34488.319999999949</v>
      </c>
      <c r="FZ14" s="202">
        <f t="shared" si="34"/>
        <v>-34488.319999999949</v>
      </c>
      <c r="GA14" s="202">
        <f t="shared" si="34"/>
        <v>-34488.319999999949</v>
      </c>
      <c r="GB14" s="202">
        <f t="shared" si="34"/>
        <v>-34488.319999999949</v>
      </c>
      <c r="GC14" s="202">
        <f t="shared" si="34"/>
        <v>-34488.319999999949</v>
      </c>
      <c r="GD14" s="202">
        <f t="shared" si="34"/>
        <v>-34488.319999999949</v>
      </c>
      <c r="GE14" s="202">
        <f t="shared" si="34"/>
        <v>-34488.319999999949</v>
      </c>
      <c r="GF14" s="202">
        <f t="shared" si="34"/>
        <v>-34488.319999999949</v>
      </c>
      <c r="GG14" s="202">
        <f t="shared" si="34"/>
        <v>-34488.319999999949</v>
      </c>
      <c r="GH14" s="202">
        <f t="shared" si="34"/>
        <v>-34488.319999999949</v>
      </c>
      <c r="GI14" s="202">
        <f t="shared" si="34"/>
        <v>-34488.319999999949</v>
      </c>
      <c r="GJ14" s="202">
        <f t="shared" si="34"/>
        <v>-34488.319999999949</v>
      </c>
      <c r="GK14" s="202">
        <f t="shared" si="34"/>
        <v>-34488.319999999949</v>
      </c>
      <c r="GL14" s="202">
        <f t="shared" si="34"/>
        <v>-34488.319999999949</v>
      </c>
      <c r="GM14" s="202">
        <f t="shared" si="34"/>
        <v>-34488.319999999949</v>
      </c>
      <c r="GN14" s="202">
        <f t="shared" si="34"/>
        <v>-34488.319999999949</v>
      </c>
      <c r="GO14" s="202">
        <f t="shared" si="34"/>
        <v>-34488.319999999949</v>
      </c>
      <c r="GP14" s="202">
        <f t="shared" si="34"/>
        <v>-34488.319999999949</v>
      </c>
      <c r="GQ14" s="202">
        <f t="shared" si="34"/>
        <v>-34488.319999999949</v>
      </c>
      <c r="GR14" s="202">
        <f t="shared" si="34"/>
        <v>-34488.319999999949</v>
      </c>
      <c r="GS14" s="202">
        <f t="shared" ref="GS14:JD14" si="35">GS10-GS12</f>
        <v>-34488.319999999949</v>
      </c>
      <c r="GT14" s="202">
        <f t="shared" si="35"/>
        <v>-34488.319999999949</v>
      </c>
      <c r="GU14" s="202">
        <f t="shared" si="35"/>
        <v>-34488.319999999949</v>
      </c>
      <c r="GV14" s="202">
        <f t="shared" si="35"/>
        <v>-34488.319999999949</v>
      </c>
      <c r="GW14" s="202">
        <f t="shared" si="35"/>
        <v>-34488.319999999949</v>
      </c>
      <c r="GX14" s="202">
        <f t="shared" si="35"/>
        <v>-34488.319999999949</v>
      </c>
      <c r="GY14" s="202">
        <f t="shared" si="35"/>
        <v>-34488.319999999949</v>
      </c>
      <c r="GZ14" s="202">
        <f t="shared" si="35"/>
        <v>-34488.319999999949</v>
      </c>
      <c r="HA14" s="202">
        <f t="shared" si="35"/>
        <v>-34488.319999999949</v>
      </c>
      <c r="HB14" s="202">
        <f t="shared" si="35"/>
        <v>-34488.319999999949</v>
      </c>
      <c r="HC14" s="202">
        <f t="shared" si="35"/>
        <v>-34488.319999999949</v>
      </c>
      <c r="HD14" s="202">
        <f t="shared" si="35"/>
        <v>-34488.319999999949</v>
      </c>
      <c r="HE14" s="202">
        <f t="shared" si="35"/>
        <v>-34488.319999999949</v>
      </c>
      <c r="HF14" s="202">
        <f t="shared" si="35"/>
        <v>-34488.319999999949</v>
      </c>
      <c r="HG14" s="202">
        <f t="shared" si="35"/>
        <v>-34488.319999999949</v>
      </c>
      <c r="HH14" s="202">
        <f t="shared" si="35"/>
        <v>-34488.319999999949</v>
      </c>
      <c r="HI14" s="202">
        <f t="shared" si="35"/>
        <v>-34488.319999999949</v>
      </c>
      <c r="HJ14" s="202">
        <f t="shared" si="35"/>
        <v>-34488.319999999949</v>
      </c>
      <c r="HK14" s="202">
        <f t="shared" si="35"/>
        <v>-34488.319999999949</v>
      </c>
      <c r="HL14" s="202">
        <f t="shared" si="35"/>
        <v>-34488.319999999949</v>
      </c>
      <c r="HM14" s="202">
        <f t="shared" si="35"/>
        <v>-34488.319999999949</v>
      </c>
      <c r="HN14" s="202">
        <f t="shared" si="35"/>
        <v>-34488.319999999949</v>
      </c>
      <c r="HO14" s="202">
        <f t="shared" si="35"/>
        <v>-34488.319999999949</v>
      </c>
      <c r="HP14" s="202">
        <f t="shared" si="35"/>
        <v>-34488.319999999949</v>
      </c>
      <c r="HQ14" s="202">
        <f t="shared" si="35"/>
        <v>-34488.319999999949</v>
      </c>
      <c r="HR14" s="202">
        <f t="shared" si="35"/>
        <v>-34488.319999999949</v>
      </c>
      <c r="HS14" s="202">
        <f t="shared" si="35"/>
        <v>-34488.319999999949</v>
      </c>
      <c r="HT14" s="202">
        <f t="shared" si="35"/>
        <v>-34488.319999999949</v>
      </c>
      <c r="HU14" s="202">
        <f t="shared" si="35"/>
        <v>-34488.319999999949</v>
      </c>
      <c r="HV14" s="202">
        <f t="shared" si="35"/>
        <v>-34488.319999999949</v>
      </c>
      <c r="HW14" s="202">
        <f t="shared" si="35"/>
        <v>-34488.319999999949</v>
      </c>
      <c r="HX14" s="202">
        <f t="shared" si="35"/>
        <v>-34488.319999999949</v>
      </c>
      <c r="HY14" s="202">
        <f t="shared" si="35"/>
        <v>-34488.319999999949</v>
      </c>
      <c r="HZ14" s="202">
        <f t="shared" si="35"/>
        <v>-34488.319999999949</v>
      </c>
      <c r="IA14" s="202">
        <f t="shared" si="35"/>
        <v>-34488.319999999949</v>
      </c>
      <c r="IB14" s="202">
        <f t="shared" si="35"/>
        <v>-34488.319999999949</v>
      </c>
      <c r="IC14" s="202">
        <f t="shared" si="35"/>
        <v>-34488.319999999949</v>
      </c>
      <c r="ID14" s="202">
        <f t="shared" si="35"/>
        <v>-34488.319999999949</v>
      </c>
      <c r="IE14" s="202">
        <f t="shared" si="35"/>
        <v>-34488.319999999949</v>
      </c>
      <c r="IF14" s="202">
        <f t="shared" si="35"/>
        <v>-34488.319999999949</v>
      </c>
      <c r="IG14" s="202">
        <f t="shared" si="35"/>
        <v>-34488.319999999949</v>
      </c>
      <c r="IH14" s="202">
        <f t="shared" si="35"/>
        <v>-34488.319999999949</v>
      </c>
      <c r="II14" s="202">
        <f t="shared" si="35"/>
        <v>-34488.319999999949</v>
      </c>
      <c r="IJ14" s="202">
        <f t="shared" si="35"/>
        <v>-34488.319999999949</v>
      </c>
      <c r="IK14" s="202">
        <f t="shared" si="35"/>
        <v>-34488.319999999949</v>
      </c>
      <c r="IL14" s="202">
        <f t="shared" si="35"/>
        <v>-34488.319999999949</v>
      </c>
      <c r="IM14" s="202">
        <f t="shared" si="35"/>
        <v>-34488.319999999949</v>
      </c>
      <c r="IN14" s="202">
        <f t="shared" si="35"/>
        <v>-34488.319999999949</v>
      </c>
      <c r="IO14" s="202">
        <f t="shared" si="35"/>
        <v>-34488.319999999949</v>
      </c>
      <c r="IP14" s="202">
        <f t="shared" si="35"/>
        <v>-34488.319999999949</v>
      </c>
      <c r="IQ14" s="202">
        <f t="shared" si="35"/>
        <v>-34488.319999999949</v>
      </c>
      <c r="IR14" s="202">
        <f t="shared" si="35"/>
        <v>-34488.319999999949</v>
      </c>
      <c r="IS14" s="202">
        <f t="shared" si="35"/>
        <v>-34488.319999999949</v>
      </c>
      <c r="IT14" s="202">
        <f t="shared" si="35"/>
        <v>-34488.319999999949</v>
      </c>
      <c r="IU14" s="202">
        <f t="shared" si="35"/>
        <v>-34488.319999999949</v>
      </c>
      <c r="IV14" s="202">
        <f t="shared" si="35"/>
        <v>-34488.319999999949</v>
      </c>
      <c r="IW14" s="202">
        <f t="shared" si="35"/>
        <v>-34488.319999999949</v>
      </c>
      <c r="IX14" s="202">
        <f t="shared" si="35"/>
        <v>-34488.319999999949</v>
      </c>
      <c r="IY14" s="202">
        <f t="shared" si="35"/>
        <v>-34488.319999999949</v>
      </c>
      <c r="IZ14" s="202">
        <f t="shared" si="35"/>
        <v>-34488.319999999949</v>
      </c>
      <c r="JA14" s="202">
        <f t="shared" si="35"/>
        <v>-34488.319999999949</v>
      </c>
      <c r="JB14" s="202">
        <f t="shared" si="35"/>
        <v>-34488.319999999949</v>
      </c>
      <c r="JC14" s="202">
        <f t="shared" si="35"/>
        <v>-34488.319999999949</v>
      </c>
      <c r="JD14" s="202">
        <f t="shared" si="35"/>
        <v>-34488.319999999949</v>
      </c>
      <c r="JE14" s="202">
        <f t="shared" ref="JE14:LD14" si="36">JE10-JE12</f>
        <v>-34488.319999999949</v>
      </c>
      <c r="JF14" s="202">
        <f t="shared" si="36"/>
        <v>-34488.319999999949</v>
      </c>
      <c r="JG14" s="202">
        <f t="shared" si="36"/>
        <v>-34488.319999999949</v>
      </c>
      <c r="JH14" s="202">
        <f t="shared" si="36"/>
        <v>-34488.319999999949</v>
      </c>
      <c r="JI14" s="202">
        <f t="shared" si="36"/>
        <v>-34488.319999999949</v>
      </c>
      <c r="JJ14" s="202">
        <f t="shared" si="36"/>
        <v>-34488.319999999949</v>
      </c>
      <c r="JK14" s="202">
        <f t="shared" si="36"/>
        <v>-34488.319999999949</v>
      </c>
      <c r="JL14" s="202">
        <f t="shared" si="36"/>
        <v>-34488.319999999949</v>
      </c>
      <c r="JM14" s="202">
        <f t="shared" si="36"/>
        <v>-34488.319999999949</v>
      </c>
      <c r="JN14" s="202">
        <f t="shared" si="36"/>
        <v>-34488.319999999949</v>
      </c>
      <c r="JO14" s="202">
        <f t="shared" si="36"/>
        <v>-34488.319999999949</v>
      </c>
      <c r="JP14" s="202">
        <f t="shared" si="36"/>
        <v>-34488.319999999949</v>
      </c>
      <c r="JQ14" s="202">
        <f t="shared" si="36"/>
        <v>-34488.319999999949</v>
      </c>
      <c r="JR14" s="202">
        <f t="shared" si="36"/>
        <v>-34488.319999999949</v>
      </c>
      <c r="JS14" s="202">
        <f t="shared" si="36"/>
        <v>-34488.319999999949</v>
      </c>
      <c r="JT14" s="202">
        <f t="shared" si="36"/>
        <v>-34488.319999999949</v>
      </c>
      <c r="JU14" s="202">
        <f t="shared" si="36"/>
        <v>-34488.319999999949</v>
      </c>
      <c r="JV14" s="202">
        <f t="shared" si="36"/>
        <v>-34488.319999999949</v>
      </c>
      <c r="JW14" s="202">
        <f t="shared" si="36"/>
        <v>-34488.319999999949</v>
      </c>
      <c r="JX14" s="202">
        <f t="shared" si="36"/>
        <v>-34488.319999999949</v>
      </c>
      <c r="JY14" s="202">
        <f t="shared" si="36"/>
        <v>-34488.319999999949</v>
      </c>
      <c r="JZ14" s="202">
        <f t="shared" si="36"/>
        <v>-34488.319999999949</v>
      </c>
      <c r="KA14" s="202">
        <f t="shared" si="36"/>
        <v>-34488.319999999949</v>
      </c>
      <c r="KB14" s="202">
        <f t="shared" si="36"/>
        <v>-34488.319999999949</v>
      </c>
      <c r="KC14" s="202">
        <f t="shared" si="36"/>
        <v>-34488.319999999949</v>
      </c>
      <c r="KD14" s="202">
        <f t="shared" si="36"/>
        <v>-34488.319999999949</v>
      </c>
      <c r="KE14" s="202">
        <f t="shared" si="36"/>
        <v>-34488.319999999949</v>
      </c>
      <c r="KF14" s="202">
        <f t="shared" si="36"/>
        <v>-34488.319999999949</v>
      </c>
      <c r="KG14" s="202">
        <f t="shared" si="36"/>
        <v>-34488.319999999949</v>
      </c>
      <c r="KH14" s="202">
        <f t="shared" si="36"/>
        <v>-34488.319999999949</v>
      </c>
      <c r="KI14" s="202">
        <f t="shared" si="36"/>
        <v>-34488.319999999949</v>
      </c>
      <c r="KJ14" s="202">
        <f t="shared" si="36"/>
        <v>-34488.319999999949</v>
      </c>
      <c r="KK14" s="202">
        <f t="shared" si="36"/>
        <v>-34488.319999999949</v>
      </c>
      <c r="KL14" s="202">
        <f t="shared" si="36"/>
        <v>-34488.319999999949</v>
      </c>
      <c r="KM14" s="202">
        <f t="shared" si="36"/>
        <v>-34488.319999999949</v>
      </c>
      <c r="KN14" s="202">
        <f t="shared" si="36"/>
        <v>-34488.319999999949</v>
      </c>
      <c r="KO14" s="202">
        <f t="shared" si="36"/>
        <v>-34488.319999999949</v>
      </c>
      <c r="KP14" s="202">
        <f t="shared" si="36"/>
        <v>-34488.319999999949</v>
      </c>
      <c r="KQ14" s="202">
        <f t="shared" si="36"/>
        <v>-34488.319999999949</v>
      </c>
      <c r="KR14" s="202">
        <f t="shared" si="36"/>
        <v>-34488.319999999949</v>
      </c>
      <c r="KS14" s="202">
        <f t="shared" si="36"/>
        <v>-34488.319999999949</v>
      </c>
      <c r="KT14" s="202">
        <f t="shared" si="36"/>
        <v>-34488.319999999949</v>
      </c>
      <c r="KU14" s="202">
        <f t="shared" si="36"/>
        <v>-34488.319999999949</v>
      </c>
      <c r="KV14" s="202">
        <f t="shared" si="36"/>
        <v>-34488.319999999949</v>
      </c>
      <c r="KW14" s="202">
        <f t="shared" si="36"/>
        <v>-34488.319999999949</v>
      </c>
      <c r="KX14" s="202">
        <f t="shared" si="36"/>
        <v>-34488.319999999949</v>
      </c>
      <c r="KY14" s="202">
        <f t="shared" si="36"/>
        <v>-34488.319999999949</v>
      </c>
      <c r="KZ14" s="202">
        <f t="shared" si="36"/>
        <v>-34488.319999999949</v>
      </c>
      <c r="LA14" s="202">
        <f t="shared" si="36"/>
        <v>-34488.319999999949</v>
      </c>
      <c r="LB14" s="202">
        <f t="shared" si="36"/>
        <v>-34488.319999999949</v>
      </c>
      <c r="LC14" s="202">
        <f t="shared" si="36"/>
        <v>-34488.319999999949</v>
      </c>
      <c r="LD14" s="202">
        <f t="shared" si="36"/>
        <v>-34488.319999999949</v>
      </c>
    </row>
    <row r="15" spans="1:794" s="186" customFormat="1"/>
    <row r="16" spans="1:794" s="186" customFormat="1">
      <c r="C16" s="188" t="s">
        <v>200</v>
      </c>
      <c r="D16" s="188" t="s">
        <v>200</v>
      </c>
    </row>
    <row r="17" spans="1:316">
      <c r="A17" s="754"/>
      <c r="B17" s="190" t="s">
        <v>299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703125" defaultRowHeight="14.45"/>
  <cols>
    <col min="1" max="1" width="39.42578125" style="359" bestFit="1" customWidth="1"/>
    <col min="2" max="2" width="17.28515625" style="360" bestFit="1" customWidth="1"/>
    <col min="3" max="3" width="13.28515625" style="359" bestFit="1" customWidth="1"/>
    <col min="4" max="5" width="10.5703125" style="359" bestFit="1" customWidth="1"/>
    <col min="6" max="6" width="12" style="359" bestFit="1" customWidth="1"/>
    <col min="7" max="7" width="10.5703125" style="359" bestFit="1" customWidth="1"/>
    <col min="8" max="8" width="13.28515625" style="359" bestFit="1" customWidth="1"/>
    <col min="9" max="9" width="11" style="359" bestFit="1" customWidth="1"/>
    <col min="10" max="10" width="12.5703125" style="359" bestFit="1" customWidth="1"/>
    <col min="11" max="12" width="12.42578125" style="359" bestFit="1" customWidth="1"/>
    <col min="13" max="13" width="10.42578125" style="359" bestFit="1" customWidth="1"/>
    <col min="14" max="14" width="13.5703125" style="359" bestFit="1" customWidth="1"/>
    <col min="15" max="18" width="11.42578125" style="359" bestFit="1" customWidth="1"/>
    <col min="19" max="19" width="13.5703125" style="359" bestFit="1" customWidth="1"/>
    <col min="20" max="16384" width="12.570312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202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207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216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221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228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229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233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246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249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252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256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259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263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254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231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2578125" defaultRowHeight="14.45"/>
  <cols>
    <col min="1" max="1" width="21.7109375" bestFit="1" customWidth="1"/>
    <col min="2" max="2" width="17.28515625" style="401" bestFit="1" customWidth="1"/>
    <col min="3" max="3" width="13.28515625" style="401" bestFit="1" customWidth="1"/>
    <col min="4" max="4" width="10.5703125" style="401" bestFit="1" customWidth="1"/>
    <col min="5" max="6" width="12" style="401" bestFit="1" customWidth="1"/>
    <col min="7" max="7" width="10.5703125" style="401" bestFit="1" customWidth="1"/>
    <col min="8" max="8" width="13.28515625" style="401" bestFit="1" customWidth="1"/>
    <col min="9" max="9" width="11.42578125" style="401" bestFit="1" customWidth="1"/>
    <col min="10" max="10" width="12.5703125" bestFit="1" customWidth="1"/>
    <col min="11" max="11" width="11" bestFit="1" customWidth="1"/>
    <col min="12" max="12" width="12.42578125" bestFit="1" customWidth="1"/>
    <col min="13" max="13" width="10.425781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202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207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216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221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228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229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233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246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249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252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256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259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263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254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231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56" t="s">
        <v>307</v>
      </c>
      <c r="C2" s="756"/>
      <c r="D2" s="756"/>
      <c r="E2" s="756"/>
      <c r="H2" s="757" t="s">
        <v>308</v>
      </c>
      <c r="I2" s="758"/>
      <c r="J2" s="758"/>
      <c r="K2" s="758"/>
      <c r="L2" s="758"/>
      <c r="M2" s="758"/>
      <c r="N2" s="758"/>
      <c r="O2" s="759"/>
    </row>
    <row r="3" spans="2:15">
      <c r="B3" s="651"/>
      <c r="H3" s="760"/>
      <c r="I3" s="761"/>
      <c r="J3" s="761"/>
      <c r="K3" s="761"/>
      <c r="L3" s="761"/>
      <c r="M3" s="761"/>
      <c r="N3" s="761"/>
      <c r="O3" s="762"/>
    </row>
    <row r="4" spans="2:15">
      <c r="B4" s="652" t="s">
        <v>309</v>
      </c>
      <c r="C4" s="653" t="str">
        <f>'Project Plan'!E2</f>
        <v>China Town Remove and Refit</v>
      </c>
      <c r="H4" s="760"/>
      <c r="I4" s="761"/>
      <c r="J4" s="761"/>
      <c r="K4" s="761"/>
      <c r="L4" s="761"/>
      <c r="M4" s="761"/>
      <c r="N4" s="761"/>
      <c r="O4" s="762"/>
    </row>
    <row r="5" spans="2:15">
      <c r="B5" s="652" t="s">
        <v>310</v>
      </c>
      <c r="C5" s="653" t="s">
        <v>311</v>
      </c>
      <c r="H5" s="760"/>
      <c r="I5" s="761"/>
      <c r="J5" s="761"/>
      <c r="K5" s="761"/>
      <c r="L5" s="761"/>
      <c r="M5" s="761"/>
      <c r="N5" s="761"/>
      <c r="O5" s="762"/>
    </row>
    <row r="6" spans="2:15">
      <c r="B6" s="652" t="s">
        <v>312</v>
      </c>
      <c r="C6" s="653" t="s">
        <v>313</v>
      </c>
      <c r="H6" s="760"/>
      <c r="I6" s="761"/>
      <c r="J6" s="761"/>
      <c r="K6" s="761"/>
      <c r="L6" s="761"/>
      <c r="M6" s="761"/>
      <c r="N6" s="761"/>
      <c r="O6" s="762"/>
    </row>
    <row r="7" spans="2:15">
      <c r="B7" s="652" t="s">
        <v>314</v>
      </c>
      <c r="C7" s="653" t="s">
        <v>77</v>
      </c>
      <c r="H7" s="760"/>
      <c r="I7" s="761"/>
      <c r="J7" s="761"/>
      <c r="K7" s="761"/>
      <c r="L7" s="761"/>
      <c r="M7" s="761"/>
      <c r="N7" s="761"/>
      <c r="O7" s="762"/>
    </row>
    <row r="8" spans="2:15">
      <c r="B8" s="651"/>
      <c r="H8" s="760"/>
      <c r="I8" s="761"/>
      <c r="J8" s="761"/>
      <c r="K8" s="761"/>
      <c r="L8" s="761"/>
      <c r="M8" s="761"/>
      <c r="N8" s="761"/>
      <c r="O8" s="762"/>
    </row>
    <row r="9" spans="2:15">
      <c r="B9" s="766" t="s">
        <v>315</v>
      </c>
      <c r="C9" s="766"/>
      <c r="D9" s="766"/>
      <c r="E9" s="76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0"/>
      <c r="I9" s="761"/>
      <c r="J9" s="761"/>
      <c r="K9" s="761"/>
      <c r="L9" s="761"/>
      <c r="M9" s="761"/>
      <c r="N9" s="761"/>
      <c r="O9" s="762"/>
    </row>
    <row r="10" spans="2:15" ht="15" thickBot="1">
      <c r="B10" s="766" t="s">
        <v>316</v>
      </c>
      <c r="C10" s="766"/>
      <c r="D10" s="766"/>
      <c r="E10" s="766"/>
      <c r="H10" s="763"/>
      <c r="I10" s="764"/>
      <c r="J10" s="764"/>
      <c r="K10" s="764"/>
      <c r="L10" s="764"/>
      <c r="M10" s="764"/>
      <c r="N10" s="764"/>
      <c r="O10" s="765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67" t="s">
        <v>327</v>
      </c>
      <c r="C18" s="767"/>
      <c r="D18" s="767"/>
      <c r="E18" s="767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3.42578125" style="86" customWidth="1"/>
    <col min="6" max="6" width="15.42578125" style="86" customWidth="1"/>
    <col min="7" max="7" width="2.42578125" style="86" customWidth="1"/>
    <col min="8" max="8" width="16.42578125" style="86" bestFit="1" customWidth="1"/>
    <col min="9" max="9" width="6.42578125" style="86" customWidth="1"/>
    <col min="10" max="10" width="13.5703125" style="86" bestFit="1" customWidth="1"/>
    <col min="11" max="11" width="2.42578125" style="86" customWidth="1"/>
    <col min="12" max="12" width="14.42578125" style="86" bestFit="1" customWidth="1"/>
    <col min="13" max="13" width="3" style="86" customWidth="1"/>
    <col min="14" max="14" width="45.42578125" style="86" customWidth="1"/>
    <col min="15" max="16384" width="9.42578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2.95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206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206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7" style="86" customWidth="1"/>
    <col min="6" max="6" width="3.42578125" style="86" customWidth="1"/>
    <col min="7" max="7" width="18.5703125" style="86" customWidth="1"/>
    <col min="8" max="8" width="9.42578125" style="86" bestFit="1" customWidth="1"/>
    <col min="9" max="9" width="2" style="86" customWidth="1"/>
    <col min="10" max="10" width="14.42578125" style="86" bestFit="1" customWidth="1"/>
    <col min="11" max="11" width="2.42578125" style="86" customWidth="1"/>
    <col min="12" max="12" width="20.42578125" style="86" customWidth="1"/>
    <col min="13" max="13" width="9.42578125" style="86" bestFit="1" customWidth="1"/>
    <col min="14" max="14" width="0.85546875" style="86" customWidth="1"/>
    <col min="15" max="15" width="14.42578125" style="86" bestFit="1" customWidth="1"/>
    <col min="16" max="16384" width="9.42578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2.95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205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2.95">
      <c r="B7" s="84" t="s">
        <v>208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2.95">
      <c r="B8" s="84" t="s">
        <v>209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2.95">
      <c r="B9" s="84" t="s">
        <v>210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2.95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2.95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2.95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2.95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A83FD516-0715-4F08-93D8-96A1CB832C29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2026-02-16T14:18:44Z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