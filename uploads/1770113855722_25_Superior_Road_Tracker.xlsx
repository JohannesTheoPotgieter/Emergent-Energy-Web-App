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5" documentId="13_ncr:1_{E7D990DC-B8E2-4FF0-90FD-F16D977317D3}" xr6:coauthVersionLast="47" xr6:coauthVersionMax="47" xr10:uidLastSave="{F57D19F2-54C0-49F9-B940-012D4C992E65}"/>
  <bookViews>
    <workbookView minimized="1" xWindow="340" yWindow="1510" windowWidth="12800" windowHeight="7390" tabRatio="805" firstSheet="5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22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2" l="1"/>
  <c r="K13" i="2"/>
  <c r="I13" i="2"/>
  <c r="H7" i="5"/>
  <c r="W44" i="18"/>
  <c r="T15" i="18"/>
  <c r="U87" i="18"/>
  <c r="U86" i="18"/>
  <c r="U85" i="18"/>
  <c r="U84" i="18"/>
  <c r="U83" i="18"/>
  <c r="U82" i="18"/>
  <c r="U81" i="18"/>
  <c r="U80" i="18"/>
  <c r="U79" i="18"/>
  <c r="U77" i="18"/>
  <c r="J70" i="18"/>
  <c r="J79" i="18"/>
  <c r="U70" i="18"/>
  <c r="U76" i="18"/>
  <c r="U75" i="18"/>
  <c r="U74" i="18"/>
  <c r="U73" i="18"/>
  <c r="U72" i="18"/>
  <c r="U71" i="18"/>
  <c r="U50" i="18"/>
  <c r="E37" i="2"/>
  <c r="G37" i="2" s="1"/>
  <c r="E31" i="2"/>
  <c r="E33" i="2" s="1"/>
  <c r="G33" i="2" s="1"/>
  <c r="G20" i="2"/>
  <c r="E23" i="2" s="1"/>
  <c r="G19" i="2"/>
  <c r="E19" i="2"/>
  <c r="G12" i="2"/>
  <c r="G104" i="18"/>
  <c r="G1" i="6"/>
  <c r="H1" i="6" s="1"/>
  <c r="W137" i="18"/>
  <c r="W136" i="18"/>
  <c r="W135" i="18"/>
  <c r="W134" i="18"/>
  <c r="T79" i="18"/>
  <c r="T55" i="18"/>
  <c r="T53" i="18"/>
  <c r="T21" i="18"/>
  <c r="F19" i="2" l="1"/>
  <c r="E26" i="2"/>
  <c r="G23" i="2"/>
  <c r="G31" i="2"/>
  <c r="E14" i="2"/>
  <c r="I1" i="6"/>
  <c r="E32" i="2" l="1"/>
  <c r="G14" i="2"/>
  <c r="E16" i="2"/>
  <c r="E24" i="2"/>
  <c r="E27" i="2"/>
  <c r="G27" i="2" s="1"/>
  <c r="G26" i="2"/>
  <c r="J1" i="6"/>
  <c r="G24" i="2" l="1"/>
  <c r="E17" i="2"/>
  <c r="G17" i="2" s="1"/>
  <c r="G16" i="2"/>
  <c r="E15" i="2"/>
  <c r="G32" i="2"/>
  <c r="K1" i="6"/>
  <c r="E38" i="2" l="1"/>
  <c r="E25" i="2"/>
  <c r="G15" i="2"/>
  <c r="G11" i="2" s="1"/>
  <c r="E11" i="2"/>
  <c r="L1" i="6"/>
  <c r="F11" i="2" l="1"/>
  <c r="G25" i="2"/>
  <c r="G22" i="2" s="1"/>
  <c r="E22" i="2"/>
  <c r="G38" i="2"/>
  <c r="E36" i="2"/>
  <c r="M1" i="6"/>
  <c r="E34" i="2" l="1"/>
  <c r="G36" i="2"/>
  <c r="F36" i="2" s="1"/>
  <c r="F22" i="2"/>
  <c r="N1" i="6"/>
  <c r="G34" i="2" l="1"/>
  <c r="G29" i="2" s="1"/>
  <c r="E29" i="2"/>
  <c r="O1" i="6"/>
  <c r="F29" i="2" l="1"/>
  <c r="E41" i="2"/>
  <c r="P1" i="6"/>
  <c r="G41" i="2" l="1"/>
  <c r="Q1" i="6"/>
  <c r="E42" i="2" l="1"/>
  <c r="R1" i="6"/>
  <c r="G42" i="2" l="1"/>
  <c r="S1" i="6"/>
  <c r="E43" i="2" l="1"/>
  <c r="T1" i="6"/>
  <c r="E46" i="2" l="1"/>
  <c r="G43" i="2"/>
  <c r="G40" i="2" s="1"/>
  <c r="F40" i="2" s="1"/>
  <c r="E40" i="2"/>
  <c r="U1" i="6"/>
  <c r="G46" i="2" l="1"/>
  <c r="V1" i="6"/>
  <c r="E47" i="2" l="1"/>
  <c r="W1" i="6"/>
  <c r="E50" i="2" l="1"/>
  <c r="G47" i="2"/>
  <c r="G45" i="2" s="1"/>
  <c r="E45" i="2"/>
  <c r="X1" i="6"/>
  <c r="F45" i="2" l="1"/>
  <c r="G50" i="2"/>
  <c r="Y1" i="6"/>
  <c r="E51" i="2" l="1"/>
  <c r="E52" i="2"/>
  <c r="G52" i="2" s="1"/>
  <c r="Z1" i="6"/>
  <c r="G51" i="2" l="1"/>
  <c r="E49" i="2"/>
  <c r="AA1" i="6"/>
  <c r="G49" i="2" l="1"/>
  <c r="F49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K12" i="2"/>
  <c r="I14" i="2" s="1"/>
  <c r="K14" i="2" l="1"/>
  <c r="I16" i="2"/>
  <c r="K16" i="2" l="1"/>
  <c r="I17" i="2"/>
  <c r="K17" i="2" s="1"/>
  <c r="I15" i="2"/>
  <c r="I25" i="2" s="1"/>
  <c r="K25" i="2" l="1"/>
  <c r="K15" i="2"/>
  <c r="I11" i="2"/>
  <c r="K11" i="2" l="1"/>
  <c r="J11" i="2" s="1"/>
  <c r="I37" i="2" l="1"/>
  <c r="W90" i="18"/>
  <c r="W91" i="18"/>
  <c r="I19" i="2"/>
  <c r="K20" i="2"/>
  <c r="I31" i="2"/>
  <c r="K37" i="2" l="1"/>
  <c r="W6" i="18" s="1"/>
  <c r="T6" i="18" s="1"/>
  <c r="I23" i="2"/>
  <c r="I26" i="2" s="1"/>
  <c r="K19" i="2"/>
  <c r="J19" i="2" s="1"/>
  <c r="I33" i="2"/>
  <c r="K33" i="2" s="1"/>
  <c r="K31" i="2"/>
  <c r="I27" i="2" l="1"/>
  <c r="K27" i="2" s="1"/>
  <c r="K26" i="2"/>
  <c r="I32" i="2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W119" i="18" s="1"/>
  <c r="I42" i="2" l="1"/>
  <c r="K42" i="2" l="1"/>
  <c r="I43" i="2" l="1"/>
  <c r="I46" i="2" l="1"/>
  <c r="K43" i="2"/>
  <c r="K40" i="2" s="1"/>
  <c r="I40" i="2"/>
  <c r="W121" i="18" l="1"/>
  <c r="W127" i="18"/>
  <c r="J40" i="2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I49" i="2"/>
  <c r="K49" i="2" l="1"/>
  <c r="J49" i="2" s="1"/>
  <c r="P17" i="5"/>
  <c r="X3" i="5"/>
  <c r="W3" i="5"/>
  <c r="T80" i="18" l="1"/>
  <c r="J127" i="18" l="1"/>
  <c r="G127" i="18"/>
  <c r="H14" i="5" l="1"/>
  <c r="W128" i="18"/>
  <c r="W129" i="18" s="1"/>
  <c r="W130" i="18" s="1"/>
  <c r="W131" i="18" s="1"/>
  <c r="T119" i="18"/>
  <c r="T120" i="18"/>
  <c r="W46" i="18"/>
  <c r="T45" i="18"/>
  <c r="T44" i="18" s="1"/>
  <c r="T46" i="18"/>
  <c r="I44" i="18"/>
  <c r="P6" i="18" l="1"/>
  <c r="X118" i="18"/>
  <c r="H15" i="5" l="1"/>
  <c r="W28" i="18"/>
  <c r="T28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2" i="18"/>
  <c r="T11" i="18"/>
  <c r="T10" i="18"/>
  <c r="T9" i="18"/>
  <c r="T8" i="18"/>
  <c r="N12" i="2" l="1"/>
  <c r="C4" i="24" l="1"/>
  <c r="C7" i="23"/>
  <c r="C4" i="23"/>
  <c r="Q124" i="18"/>
  <c r="N14" i="2" l="1"/>
  <c r="P14" i="5" l="1"/>
  <c r="P15" i="5" l="1"/>
  <c r="H52" i="18"/>
  <c r="H44" i="18" s="1"/>
  <c r="H45" i="18" s="1"/>
  <c r="H46" i="18" s="1"/>
  <c r="H6" i="18" l="1"/>
  <c r="M49" i="2"/>
  <c r="M45" i="2"/>
  <c r="M40" i="2"/>
  <c r="M29" i="2"/>
  <c r="M36" i="2"/>
  <c r="M22" i="2"/>
  <c r="M11" i="2"/>
  <c r="H19" i="3" l="1"/>
  <c r="T7" i="18"/>
  <c r="Q28" i="18"/>
  <c r="X13" i="18"/>
  <c r="O6" i="18"/>
  <c r="Q6" i="18" s="1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F10" i="3" s="1"/>
  <c r="Z12" i="18"/>
  <c r="Z13" i="18"/>
  <c r="Z28" i="18" s="1"/>
  <c r="O32" i="18" s="1"/>
  <c r="Q35" i="18" s="1"/>
  <c r="O106" i="18"/>
  <c r="Q106" i="18" s="1"/>
  <c r="U49" i="18"/>
  <c r="U45" i="18"/>
  <c r="U48" i="18"/>
  <c r="U47" i="18"/>
  <c r="U46" i="18"/>
  <c r="U44" i="18"/>
  <c r="I134" i="18"/>
  <c r="F22" i="3" s="1"/>
  <c r="Q137" i="18"/>
  <c r="I6" i="18"/>
  <c r="I21" i="18"/>
  <c r="I28" i="18"/>
  <c r="F12" i="3" s="1"/>
  <c r="Q134" i="18"/>
  <c r="I127" i="18"/>
  <c r="F21" i="3" s="1"/>
  <c r="F19" i="3"/>
  <c r="J19" i="3" s="1"/>
  <c r="I89" i="18"/>
  <c r="J2" i="18"/>
  <c r="J4" i="18" s="1"/>
  <c r="F20" i="3"/>
  <c r="Q136" i="18"/>
  <c r="Q135" i="18"/>
  <c r="H10" i="3"/>
  <c r="I52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31" i="18"/>
  <c r="U127" i="18"/>
  <c r="H21" i="3"/>
  <c r="J21" i="3" s="1"/>
  <c r="U132" i="18"/>
  <c r="U128" i="18"/>
  <c r="U129" i="18"/>
  <c r="U130" i="18"/>
  <c r="V79" i="18"/>
  <c r="V44" i="18"/>
  <c r="V21" i="18"/>
  <c r="U144" i="18" l="1"/>
  <c r="U142" i="18"/>
  <c r="U138" i="18"/>
  <c r="U141" i="18"/>
  <c r="H22" i="3"/>
  <c r="J22" i="3" s="1"/>
  <c r="Q59" i="18"/>
  <c r="Q60" i="18"/>
  <c r="U140" i="18"/>
  <c r="U143" i="18"/>
  <c r="Q61" i="18"/>
  <c r="X102" i="18"/>
  <c r="U104" i="18" s="1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 s="1"/>
  <c r="D6" i="5" s="1"/>
  <c r="U97" i="18"/>
  <c r="J9" i="3"/>
  <c r="F47" i="5"/>
  <c r="F45" i="5" s="1"/>
  <c r="U34" i="18"/>
  <c r="U33" i="18"/>
  <c r="U94" i="18"/>
  <c r="U93" i="18"/>
  <c r="U96" i="18"/>
  <c r="U92" i="18"/>
  <c r="U95" i="18"/>
  <c r="T14" i="2"/>
  <c r="H18" i="3"/>
  <c r="J18" i="3" s="1"/>
  <c r="U102" i="18"/>
  <c r="U105" i="18"/>
  <c r="V127" i="18"/>
  <c r="U30" i="18"/>
  <c r="U31" i="18"/>
  <c r="U28" i="18"/>
  <c r="H12" i="3"/>
  <c r="J12" i="3" s="1"/>
  <c r="U40" i="18"/>
  <c r="U41" i="18"/>
  <c r="U29" i="18"/>
  <c r="U36" i="18"/>
  <c r="V6" i="18"/>
  <c r="U39" i="18"/>
  <c r="H17" i="3"/>
  <c r="J17" i="3" s="1"/>
  <c r="U98" i="18"/>
  <c r="U99" i="18"/>
  <c r="U100" i="18"/>
  <c r="U89" i="18"/>
  <c r="U37" i="18"/>
  <c r="U35" i="18"/>
  <c r="D7" i="5" l="1"/>
  <c r="H6" i="5"/>
  <c r="U115" i="18"/>
  <c r="U103" i="18"/>
  <c r="U109" i="18"/>
  <c r="V102" i="18" s="1"/>
  <c r="X52" i="18"/>
  <c r="U111" i="18"/>
  <c r="U108" i="18"/>
  <c r="U106" i="18"/>
  <c r="U107" i="18"/>
  <c r="U113" i="18"/>
  <c r="U112" i="18"/>
  <c r="U114" i="18"/>
  <c r="U110" i="18"/>
  <c r="V134" i="18"/>
  <c r="F25" i="3"/>
  <c r="F41" i="5"/>
  <c r="F44" i="5"/>
  <c r="C5" i="6"/>
  <c r="F42" i="5"/>
  <c r="F43" i="5"/>
  <c r="N17" i="2"/>
  <c r="N11" i="2" s="1"/>
  <c r="V28" i="18"/>
  <c r="V89" i="18"/>
  <c r="H14" i="3" l="1"/>
  <c r="X2" i="18"/>
  <c r="F46" i="5"/>
  <c r="N37" i="2"/>
  <c r="U14" i="2"/>
  <c r="V14" i="2"/>
  <c r="V52" i="18" l="1"/>
  <c r="J14" i="3"/>
  <c r="J5" i="3" s="1"/>
  <c r="H5" i="3"/>
  <c r="F5" i="5" s="1"/>
  <c r="F6" i="5" s="1"/>
  <c r="F7" i="5" s="1"/>
  <c r="W58" i="18"/>
  <c r="T90" i="18"/>
  <c r="W106" i="18"/>
  <c r="W32" i="18"/>
  <c r="W59" i="18"/>
  <c r="T59" i="18" s="1"/>
  <c r="W107" i="18"/>
  <c r="W33" i="18"/>
  <c r="T91" i="18"/>
  <c r="N20" i="2"/>
  <c r="N19" i="2" s="1"/>
  <c r="H21" i="18"/>
  <c r="H13" i="18"/>
  <c r="T15" i="2"/>
  <c r="C11" i="6" l="1"/>
  <c r="H25" i="3"/>
  <c r="T107" i="18"/>
  <c r="T33" i="18"/>
  <c r="T58" i="18"/>
  <c r="T106" i="18"/>
  <c r="T32" i="18"/>
  <c r="N33" i="2"/>
  <c r="N31" i="2"/>
  <c r="N32" i="2"/>
  <c r="H28" i="18"/>
  <c r="V15" i="2"/>
  <c r="H89" i="18" l="1"/>
  <c r="N24" i="2"/>
  <c r="N23" i="2"/>
  <c r="M19" i="2"/>
  <c r="U15" i="2"/>
  <c r="H104" i="18" l="1"/>
  <c r="H102" i="18"/>
  <c r="H103" i="18"/>
  <c r="H105" i="18"/>
  <c r="N22" i="2"/>
  <c r="T16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8" i="2"/>
  <c r="U16" i="2"/>
  <c r="V16" i="2"/>
  <c r="W92" i="18"/>
  <c r="W60" i="18" l="1"/>
  <c r="T60" i="18" s="1"/>
  <c r="W108" i="18"/>
  <c r="W102" i="18" s="1"/>
  <c r="T102" i="18" s="1"/>
  <c r="W34" i="18"/>
  <c r="T92" i="18"/>
  <c r="N38" i="2"/>
  <c r="N36" i="2" s="1"/>
  <c r="N34" i="2"/>
  <c r="T108" i="18" l="1"/>
  <c r="T34" i="18"/>
  <c r="T17" i="2"/>
  <c r="U18" i="2"/>
  <c r="V18" i="2"/>
  <c r="N29" i="2" l="1"/>
  <c r="U17" i="2" l="1"/>
  <c r="W93" i="18"/>
  <c r="V17" i="2"/>
  <c r="W61" i="18" l="1"/>
  <c r="T61" i="18" s="1"/>
  <c r="W109" i="18"/>
  <c r="T93" i="18"/>
  <c r="W35" i="18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N40" i="2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N45" i="2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1" i="2"/>
  <c r="N49" i="2"/>
  <c r="N9" i="2" s="1"/>
  <c r="V21" i="2"/>
  <c r="U21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<sst xmlns="http://schemas.openxmlformats.org/spreadsheetml/2006/main" count="753" uniqueCount="422">
  <si>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</si>
  <si>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</si>
  <si>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</si>
  <si>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</si>
  <si>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</si>
  <si>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</si>
  <si>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</si>
  <si>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</si>
  <si>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</si>
  <si>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</si>
  <si>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</si>
  <si>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</si>
  <si>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</si>
  <si>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</si>
  <si>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</si>
  <si>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</si>
  <si>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</si>
  <si>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</si>
  <si>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</si>
  <si>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</si>
  <si>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</si>
  <si>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</si>
  <si>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</si>
  <si>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</si>
  <si>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</si>
  <si>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</si>
  <si>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</si>
  <si>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</si>
  <si>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</si>
  <si>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</si>
  <si>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</si>
  <si>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</si>
  <si>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</si>
  <si>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</si>
  <si>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</si>
  <si>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</si>
  <si>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</si>
  <si>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</si>
  <si>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</si>
  <si>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</si>
  <si>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</si>
  <si>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</si>
  <si>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</si>
  <si>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</si>
  <si>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</si>
  <si>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</si>
  <si>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</si>
  <si>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</si>
  <si>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</si>
  <si>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</si>
  <si>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</si>
  <si>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</si>
  <si>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</si>
  <si>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</si>
  <si>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</si>
  <si>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</si>
  <si>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</si>
  <si>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</si>
  <si>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</si>
  <si>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</si>
  <si>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</si>
  <si>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</si>
  <si>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</si>
  <si>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</si>
  <si>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</si>
  <si>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</si>
  <si>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</si>
  <si>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</si>
  <si>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</si>
  <si>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</si>
  <si>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</si>
  <si>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</si>
  <si>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</si>
  <si>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</si>
  <si>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</si>
  <si>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</si>
  <si>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</si>
  <si>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</si>
  <si>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</si>
  <si>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</si>
  <si>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</si>
  <si>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</si>
  <si>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</si>
  <si>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</si>
  <si>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</si>
  <si>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</si>
  <si>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</si>
  <si>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</si>
  <si>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</si>
  <si>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</si>
  <si>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</si>
  <si>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</si>
  <si>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</si>
  <si>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</si>
  <si>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</si>
  <si>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</si>
  <si>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</si>
  <si>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</si>
  <si>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</si>
  <si>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</si>
  <si>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</si>
  <si>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</si>
  <si>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</si>
  <si>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</si>
  <si>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</si>
  <si>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</si>
  <si>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</si>
  <si>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</si>
  <si>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</si>
  <si>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</si>
  <si>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</si>
  <si>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</si>
  <si>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</si>
  <si>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</si>
  <si>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</si>
  <si>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25 Superior Road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</si>
  <si>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</si>
  <si>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</si>
  <si>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</si>
  <si>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</si>
  <si>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</si>
  <si>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</si>
  <si>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</si>
  <si>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JT Moorosi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</si>
  <si>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</si>
  <si>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</si>
  <si>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</si>
  <si>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</si>
  <si>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</si>
  <si>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</si>
  <si>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</si>
  <si>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</si>
  <si>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</si>
  <si>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</si>
  <si>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</si>
  <si>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</si>
  <si>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</si>
  <si>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</si>
  <si>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</si>
  <si>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</si>
  <si>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</si>
  <si>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</si>
  <si>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</si>
  <si>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</si>
  <si>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</si>
  <si>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</si>
  <si>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</si>
  <si>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</si>
  <si>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</si>
  <si>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</si>
  <si>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</si>
  <si>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</si>
  <si>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</si>
  <si>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</si>
  <si>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</si>
  <si>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</si>
  <si>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</si>
  <si>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</si>
  <si>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</si>
  <si>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</si>
  <si>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</si>
  <si>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</si>
  <si>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</si>
  <si>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</si>
  <si>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</si>
  <si>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</si>
  <si>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</si>
  <si>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</si>
  <si>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</si>
  <si>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</si>
  <si>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</si>
  <si>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</si>
  <si>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</si>
  <si>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</si>
  <si>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</si>
  <si>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</si>
  <si>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</si>
  <si>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</si>
  <si>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</si>
  <si>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</si>
  <si>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</si>
  <si>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</si>
  <si>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</si>
  <si>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</si>
  <si>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</si>
  <si>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</si>
  <si>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</si>
  <si>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</si>
  <si>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</si>
  <si>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</si>
  <si>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</si>
  <si>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</si>
  <si>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</si>
  <si>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</si>
  <si>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</si>
  <si>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</si>
  <si>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</si>
  <si>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</si>
  <si>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</si>
  <si>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</si>
  <si>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</si>
  <si>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</si>
  <si>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</si>
  <si>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</si>
  <si>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</si>
  <si>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</si>
  <si>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</si>
  <si>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</si>
  <si>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vs Costed Margin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</si>
  <si>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</si>
  <si>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</si>
  <si>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</si>
  <si>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</si>
  <si>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</si>
  <si>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</si>
  <si>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</si>
  <si>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</si>
  <si>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</si>
  <si>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</si>
  <si>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</si>
  <si>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</si>
  <si>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</si>
  <si>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</si>
  <si>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</si>
  <si>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</si>
  <si>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</si>
  <si>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</si>
  <si>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</si>
  <si>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</si>
  <si>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</si>
  <si>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</si>
  <si>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</si>
  <si>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</si>
  <si>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</si>
  <si>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</si>
  <si>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</si>
  <si>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</si>
  <si>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</si>
  <si>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</si>
  <si>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</si>
  <si>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</si>
  <si>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</si>
  <si>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</si>
  <si>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</si>
  <si>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</si>
  <si>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</si>
  <si>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</si>
  <si>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</si>
  <si>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</si>
  <si>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</si>
  <si>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</si>
  <si>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</si>
  <si>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</si>
  <si>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</si>
  <si>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</si>
  <si>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</si>
  <si>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</si>
  <si>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</si>
  <si>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</si>
  <si>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</si>
  <si>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</si>
  <si>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</si>
  <si>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</si>
  <si>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</si>
  <si>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</si>
  <si>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</si>
  <si>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</si>
  <si>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- 610W as placeholder</t>
  </si>
  <si>
    <t>Delivery Budget</t>
  </si>
  <si>
    <t>Ziegler - Longi 610W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</si>
  <si>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</si>
  <si>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</si>
  <si>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</si>
  <si>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</si>
  <si>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</si>
  <si>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</si>
  <si>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</si>
  <si>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</si>
  <si>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</si>
  <si>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</si>
  <si>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</si>
  <si>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</si>
  <si>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</si>
  <si>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</si>
  <si>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</si>
  <si>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</si>
  <si>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</si>
  <si>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</si>
  <si>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</si>
  <si>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</si>
  <si>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</si>
  <si>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</si>
  <si>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</si>
  <si>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</si>
  <si>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</si>
  <si>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</si>
  <si>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</si>
  <si>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</si>
  <si>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</si>
  <si>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</si>
  <si>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</si>
  <si>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</si>
  <si>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</si>
  <si>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</si>
  <si>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</si>
  <si>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</si>
  <si>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</si>
  <si>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</si>
  <si>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</si>
  <si>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</si>
  <si>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</si>
  <si>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</si>
  <si>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</si>
  <si>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</si>
  <si>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</si>
  <si>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Battery Inverter + Battery Bank</t>
  </si>
  <si>
    <t>7.BESS</t>
  </si>
  <si>
    <t>Ps and Gs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</si>
  <si>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</si>
  <si>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</si>
  <si>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</si>
  <si>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</si>
  <si>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</si>
  <si>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8. Product Add On </t>
  </si>
  <si>
    <t>BESS 20ft A-Grade Container</t>
  </si>
  <si>
    <t>Fire Suppression</t>
  </si>
  <si>
    <t>Eaton UPS 80kVA as per existing UPS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</si>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</sst>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1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5" borderId="0" xfId="0" applyFont="1" applyFill="1" applyAlignment="1" applyProtection="1">
      <alignment horizontal="right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261</a:t>
            </a:r>
            <a:r>
              <a:rPr lang="en-US" sz="2000" baseline="0"/>
              <a:t> Bree Street 166kW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0</c:formatCode>
                  <c:ptCount val="8"/>
                  <c:pt idx="0">
                    <c:v>42</c:v>
                  </c:pt>
                  <c:pt idx="1">
                    <c:v>1</c:v>
                  </c:pt>
                  <c:pt idx="2">
                    <c:v>60</c:v>
                  </c:pt>
                  <c:pt idx="3">
                    <c:v>20</c:v>
                  </c:pt>
                  <c:pt idx="4">
                    <c:v>19</c:v>
                  </c:pt>
                  <c:pt idx="5">
                    <c:v>13</c:v>
                  </c:pt>
                  <c:pt idx="6">
                    <c:v>10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46038</c:v>
                </c:pt>
                <c:pt idx="1">
                  <c:v>46087</c:v>
                </c:pt>
                <c:pt idx="2">
                  <c:v>46048</c:v>
                </c:pt>
                <c:pt idx="3">
                  <c:v>46087</c:v>
                </c:pt>
                <c:pt idx="4">
                  <c:v>46087</c:v>
                </c:pt>
                <c:pt idx="5">
                  <c:v>46108</c:v>
                </c:pt>
                <c:pt idx="6">
                  <c:v>46112</c:v>
                </c:pt>
                <c:pt idx="7">
                  <c:v>46119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46055</c:v>
                </c:pt>
                <c:pt idx="1">
                  <c:v>46055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2174830.9905014238</c:v>
                </c:pt>
                <c:pt idx="19">
                  <c:v>2464808.4559016135</c:v>
                </c:pt>
                <c:pt idx="20">
                  <c:v>2464808.4559016135</c:v>
                </c:pt>
                <c:pt idx="21">
                  <c:v>2464808.4559016135</c:v>
                </c:pt>
                <c:pt idx="22">
                  <c:v>2464808.4559016135</c:v>
                </c:pt>
                <c:pt idx="23">
                  <c:v>2754785.9213018036</c:v>
                </c:pt>
                <c:pt idx="24">
                  <c:v>2754785.9213018036</c:v>
                </c:pt>
                <c:pt idx="25">
                  <c:v>2754785.9213018036</c:v>
                </c:pt>
                <c:pt idx="26">
                  <c:v>2754785.9213018036</c:v>
                </c:pt>
                <c:pt idx="27">
                  <c:v>2754785.9213018036</c:v>
                </c:pt>
                <c:pt idx="28">
                  <c:v>2754785.9213018036</c:v>
                </c:pt>
                <c:pt idx="29">
                  <c:v>2754785.9213018036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85921.1</c:v>
                </c:pt>
                <c:pt idx="21">
                  <c:v>2221339.5753623187</c:v>
                </c:pt>
                <c:pt idx="22">
                  <c:v>2250339.5753623187</c:v>
                </c:pt>
                <c:pt idx="23">
                  <c:v>2250339.5753623187</c:v>
                </c:pt>
                <c:pt idx="24">
                  <c:v>2274904.5651168479</c:v>
                </c:pt>
                <c:pt idx="25">
                  <c:v>2274904.5651168479</c:v>
                </c:pt>
                <c:pt idx="26">
                  <c:v>2577912.5701168478</c:v>
                </c:pt>
                <c:pt idx="27">
                  <c:v>2577912.5701168478</c:v>
                </c:pt>
                <c:pt idx="28">
                  <c:v>2577912.5701168478</c:v>
                </c:pt>
                <c:pt idx="29">
                  <c:v>2577912.5701168478</c:v>
                </c:pt>
                <c:pt idx="30">
                  <c:v>2577912.5701168478</c:v>
                </c:pt>
                <c:pt idx="31">
                  <c:v>2577912.5701168478</c:v>
                </c:pt>
                <c:pt idx="32">
                  <c:v>2577912.5701168478</c:v>
                </c:pt>
                <c:pt idx="33">
                  <c:v>2577912.5701168478</c:v>
                </c:pt>
                <c:pt idx="34">
                  <c:v>2577912.5701168478</c:v>
                </c:pt>
                <c:pt idx="35">
                  <c:v>2577912.5701168478</c:v>
                </c:pt>
                <c:pt idx="36">
                  <c:v>2577912.5701168478</c:v>
                </c:pt>
                <c:pt idx="37">
                  <c:v>2577912.5701168478</c:v>
                </c:pt>
                <c:pt idx="38">
                  <c:v>2577912.5701168478</c:v>
                </c:pt>
                <c:pt idx="39">
                  <c:v>2577912.5701168478</c:v>
                </c:pt>
                <c:pt idx="40">
                  <c:v>2577912.5701168478</c:v>
                </c:pt>
                <c:pt idx="41">
                  <c:v>2577912.5701168478</c:v>
                </c:pt>
                <c:pt idx="42">
                  <c:v>2577912.5701168478</c:v>
                </c:pt>
                <c:pt idx="43">
                  <c:v>2577912.5701168478</c:v>
                </c:pt>
                <c:pt idx="44">
                  <c:v>2577912.5701168478</c:v>
                </c:pt>
                <c:pt idx="45">
                  <c:v>2577912.5701168478</c:v>
                </c:pt>
                <c:pt idx="46">
                  <c:v>2577912.5701168478</c:v>
                </c:pt>
                <c:pt idx="47">
                  <c:v>2577912.5701168478</c:v>
                </c:pt>
                <c:pt idx="48">
                  <c:v>2577912.5701168478</c:v>
                </c:pt>
                <c:pt idx="49">
                  <c:v>2577912.5701168478</c:v>
                </c:pt>
                <c:pt idx="50">
                  <c:v>2577912.5701168478</c:v>
                </c:pt>
                <c:pt idx="51">
                  <c:v>2577912.5701168478</c:v>
                </c:pt>
                <c:pt idx="52">
                  <c:v>2577912.5701168478</c:v>
                </c:pt>
                <c:pt idx="53">
                  <c:v>2577912.5701168478</c:v>
                </c:pt>
                <c:pt idx="54">
                  <c:v>2577912.5701168478</c:v>
                </c:pt>
                <c:pt idx="55">
                  <c:v>2577912.5701168478</c:v>
                </c:pt>
                <c:pt idx="56">
                  <c:v>2577912.5701168478</c:v>
                </c:pt>
                <c:pt idx="57">
                  <c:v>2577912.5701168478</c:v>
                </c:pt>
                <c:pt idx="58">
                  <c:v>2577912.5701168478</c:v>
                </c:pt>
                <c:pt idx="59">
                  <c:v>2577912.5701168478</c:v>
                </c:pt>
                <c:pt idx="60">
                  <c:v>2577912.5701168478</c:v>
                </c:pt>
                <c:pt idx="61">
                  <c:v>2577912.5701168478</c:v>
                </c:pt>
                <c:pt idx="62">
                  <c:v>2577912.5701168478</c:v>
                </c:pt>
                <c:pt idx="63">
                  <c:v>2577912.5701168478</c:v>
                </c:pt>
                <c:pt idx="64">
                  <c:v>2577912.5701168478</c:v>
                </c:pt>
                <c:pt idx="65">
                  <c:v>2577912.5701168478</c:v>
                </c:pt>
                <c:pt idx="66">
                  <c:v>2577912.5701168478</c:v>
                </c:pt>
                <c:pt idx="67">
                  <c:v>2577912.5701168478</c:v>
                </c:pt>
                <c:pt idx="68">
                  <c:v>2577912.5701168478</c:v>
                </c:pt>
                <c:pt idx="69">
                  <c:v>2577912.5701168478</c:v>
                </c:pt>
                <c:pt idx="70">
                  <c:v>2577912.5701168478</c:v>
                </c:pt>
                <c:pt idx="71">
                  <c:v>2577912.5701168478</c:v>
                </c:pt>
                <c:pt idx="72">
                  <c:v>2577912.5701168478</c:v>
                </c:pt>
                <c:pt idx="73">
                  <c:v>2577912.5701168478</c:v>
                </c:pt>
                <c:pt idx="74">
                  <c:v>2577912.5701168478</c:v>
                </c:pt>
                <c:pt idx="75">
                  <c:v>2577912.5701168478</c:v>
                </c:pt>
                <c:pt idx="76">
                  <c:v>2577912.5701168478</c:v>
                </c:pt>
                <c:pt idx="77">
                  <c:v>2577912.5701168478</c:v>
                </c:pt>
                <c:pt idx="78">
                  <c:v>2577912.5701168478</c:v>
                </c:pt>
                <c:pt idx="79">
                  <c:v>2577912.5701168478</c:v>
                </c:pt>
                <c:pt idx="80">
                  <c:v>2577912.5701168478</c:v>
                </c:pt>
                <c:pt idx="81">
                  <c:v>2577912.5701168478</c:v>
                </c:pt>
                <c:pt idx="82">
                  <c:v>2577912.5701168478</c:v>
                </c:pt>
                <c:pt idx="83">
                  <c:v>2577912.5701168478</c:v>
                </c:pt>
                <c:pt idx="84">
                  <c:v>2577912.5701168478</c:v>
                </c:pt>
                <c:pt idx="85">
                  <c:v>2577912.5701168478</c:v>
                </c:pt>
                <c:pt idx="86">
                  <c:v>2577912.5701168478</c:v>
                </c:pt>
                <c:pt idx="87">
                  <c:v>2577912.5701168478</c:v>
                </c:pt>
                <c:pt idx="88">
                  <c:v>2577912.5701168478</c:v>
                </c:pt>
                <c:pt idx="89">
                  <c:v>2577912.5701168478</c:v>
                </c:pt>
                <c:pt idx="90">
                  <c:v>2577912.5701168478</c:v>
                </c:pt>
                <c:pt idx="91">
                  <c:v>2577912.5701168478</c:v>
                </c:pt>
                <c:pt idx="92">
                  <c:v>2577912.5701168478</c:v>
                </c:pt>
                <c:pt idx="93">
                  <c:v>2577912.5701168478</c:v>
                </c:pt>
                <c:pt idx="94">
                  <c:v>2577912.5701168478</c:v>
                </c:pt>
                <c:pt idx="95">
                  <c:v>2577912.5701168478</c:v>
                </c:pt>
                <c:pt idx="96">
                  <c:v>2577912.5701168478</c:v>
                </c:pt>
                <c:pt idx="97">
                  <c:v>2577912.5701168478</c:v>
                </c:pt>
                <c:pt idx="98">
                  <c:v>2577912.5701168478</c:v>
                </c:pt>
                <c:pt idx="99">
                  <c:v>2577912.5701168478</c:v>
                </c:pt>
                <c:pt idx="100">
                  <c:v>2577912.5701168478</c:v>
                </c:pt>
                <c:pt idx="101">
                  <c:v>2577912.5701168478</c:v>
                </c:pt>
                <c:pt idx="102">
                  <c:v>2577912.5701168478</c:v>
                </c:pt>
                <c:pt idx="103">
                  <c:v>2577912.5701168478</c:v>
                </c:pt>
                <c:pt idx="104">
                  <c:v>2577912.5701168478</c:v>
                </c:pt>
                <c:pt idx="105">
                  <c:v>2577912.5701168478</c:v>
                </c:pt>
                <c:pt idx="106">
                  <c:v>2577912.5701168478</c:v>
                </c:pt>
                <c:pt idx="107">
                  <c:v>2577912.5701168478</c:v>
                </c:pt>
                <c:pt idx="108">
                  <c:v>2577912.5701168478</c:v>
                </c:pt>
                <c:pt idx="109">
                  <c:v>2577912.5701168478</c:v>
                </c:pt>
                <c:pt idx="110">
                  <c:v>2577912.5701168478</c:v>
                </c:pt>
                <c:pt idx="111">
                  <c:v>2577912.5701168478</c:v>
                </c:pt>
                <c:pt idx="112">
                  <c:v>2577912.5701168478</c:v>
                </c:pt>
                <c:pt idx="113">
                  <c:v>2577912.5701168478</c:v>
                </c:pt>
                <c:pt idx="114">
                  <c:v>2577912.5701168478</c:v>
                </c:pt>
                <c:pt idx="115">
                  <c:v>2577912.5701168478</c:v>
                </c:pt>
                <c:pt idx="116">
                  <c:v>2577912.5701168478</c:v>
                </c:pt>
                <c:pt idx="117">
                  <c:v>2577912.5701168478</c:v>
                </c:pt>
                <c:pt idx="118">
                  <c:v>2577912.5701168478</c:v>
                </c:pt>
                <c:pt idx="119">
                  <c:v>2577912.5701168478</c:v>
                </c:pt>
                <c:pt idx="120">
                  <c:v>2577912.5701168478</c:v>
                </c:pt>
                <c:pt idx="121">
                  <c:v>2577912.5701168478</c:v>
                </c:pt>
                <c:pt idx="122">
                  <c:v>2577912.5701168478</c:v>
                </c:pt>
                <c:pt idx="123">
                  <c:v>2577912.5701168478</c:v>
                </c:pt>
                <c:pt idx="124">
                  <c:v>2577912.5701168478</c:v>
                </c:pt>
                <c:pt idx="125">
                  <c:v>2577912.5701168478</c:v>
                </c:pt>
                <c:pt idx="126">
                  <c:v>2577912.5701168478</c:v>
                </c:pt>
                <c:pt idx="127">
                  <c:v>2577912.5701168478</c:v>
                </c:pt>
                <c:pt idx="128">
                  <c:v>2577912.5701168478</c:v>
                </c:pt>
                <c:pt idx="129">
                  <c:v>2577912.5701168478</c:v>
                </c:pt>
                <c:pt idx="130">
                  <c:v>2577912.5701168478</c:v>
                </c:pt>
                <c:pt idx="131">
                  <c:v>2577912.5701168478</c:v>
                </c:pt>
                <c:pt idx="132">
                  <c:v>2577912.5701168478</c:v>
                </c:pt>
                <c:pt idx="133">
                  <c:v>2577912.5701168478</c:v>
                </c:pt>
                <c:pt idx="134">
                  <c:v>2577912.5701168478</c:v>
                </c:pt>
                <c:pt idx="135">
                  <c:v>2577912.5701168478</c:v>
                </c:pt>
                <c:pt idx="136">
                  <c:v>2577912.5701168478</c:v>
                </c:pt>
                <c:pt idx="137">
                  <c:v>2577912.5701168478</c:v>
                </c:pt>
                <c:pt idx="138">
                  <c:v>2577912.5701168478</c:v>
                </c:pt>
                <c:pt idx="139">
                  <c:v>2577912.5701168478</c:v>
                </c:pt>
                <c:pt idx="140">
                  <c:v>2577912.5701168478</c:v>
                </c:pt>
                <c:pt idx="141">
                  <c:v>2577912.5701168478</c:v>
                </c:pt>
                <c:pt idx="142">
                  <c:v>2577912.5701168478</c:v>
                </c:pt>
                <c:pt idx="143">
                  <c:v>2577912.5701168478</c:v>
                </c:pt>
                <c:pt idx="144">
                  <c:v>2577912.5701168478</c:v>
                </c:pt>
                <c:pt idx="145">
                  <c:v>2577912.5701168478</c:v>
                </c:pt>
                <c:pt idx="146">
                  <c:v>2577912.5701168478</c:v>
                </c:pt>
                <c:pt idx="147">
                  <c:v>2577912.5701168478</c:v>
                </c:pt>
                <c:pt idx="148">
                  <c:v>2577912.5701168478</c:v>
                </c:pt>
                <c:pt idx="149">
                  <c:v>2577912.5701168478</c:v>
                </c:pt>
                <c:pt idx="150">
                  <c:v>2577912.5701168478</c:v>
                </c:pt>
                <c:pt idx="151">
                  <c:v>2577912.5701168478</c:v>
                </c:pt>
                <c:pt idx="152">
                  <c:v>2577912.5701168478</c:v>
                </c:pt>
                <c:pt idx="153">
                  <c:v>2577912.5701168478</c:v>
                </c:pt>
                <c:pt idx="154">
                  <c:v>2577912.5701168478</c:v>
                </c:pt>
                <c:pt idx="155">
                  <c:v>2577912.5701168478</c:v>
                </c:pt>
                <c:pt idx="156">
                  <c:v>2577912.5701168478</c:v>
                </c:pt>
                <c:pt idx="157">
                  <c:v>2577912.5701168478</c:v>
                </c:pt>
                <c:pt idx="158">
                  <c:v>2577912.5701168478</c:v>
                </c:pt>
                <c:pt idx="159">
                  <c:v>2577912.5701168478</c:v>
                </c:pt>
                <c:pt idx="160">
                  <c:v>2577912.5701168478</c:v>
                </c:pt>
                <c:pt idx="161">
                  <c:v>2577912.5701168478</c:v>
                </c:pt>
                <c:pt idx="162">
                  <c:v>2577912.5701168478</c:v>
                </c:pt>
                <c:pt idx="163">
                  <c:v>2577912.5701168478</c:v>
                </c:pt>
                <c:pt idx="164">
                  <c:v>2577912.5701168478</c:v>
                </c:pt>
                <c:pt idx="165">
                  <c:v>2577912.5701168478</c:v>
                </c:pt>
                <c:pt idx="166">
                  <c:v>2577912.5701168478</c:v>
                </c:pt>
                <c:pt idx="167">
                  <c:v>2577912.5701168478</c:v>
                </c:pt>
                <c:pt idx="168">
                  <c:v>2577912.5701168478</c:v>
                </c:pt>
                <c:pt idx="169">
                  <c:v>2577912.5701168478</c:v>
                </c:pt>
                <c:pt idx="170">
                  <c:v>2577912.5701168478</c:v>
                </c:pt>
                <c:pt idx="171">
                  <c:v>2577912.5701168478</c:v>
                </c:pt>
                <c:pt idx="172">
                  <c:v>2577912.5701168478</c:v>
                </c:pt>
                <c:pt idx="173">
                  <c:v>2577912.5701168478</c:v>
                </c:pt>
                <c:pt idx="174">
                  <c:v>2577912.5701168478</c:v>
                </c:pt>
                <c:pt idx="175">
                  <c:v>2577912.5701168478</c:v>
                </c:pt>
                <c:pt idx="176">
                  <c:v>2577912.5701168478</c:v>
                </c:pt>
                <c:pt idx="177">
                  <c:v>2577912.5701168478</c:v>
                </c:pt>
                <c:pt idx="178">
                  <c:v>2577912.5701168478</c:v>
                </c:pt>
                <c:pt idx="179">
                  <c:v>2577912.5701168478</c:v>
                </c:pt>
                <c:pt idx="180">
                  <c:v>2577912.5701168478</c:v>
                </c:pt>
                <c:pt idx="181">
                  <c:v>2577912.5701168478</c:v>
                </c:pt>
                <c:pt idx="182">
                  <c:v>2577912.5701168478</c:v>
                </c:pt>
                <c:pt idx="183">
                  <c:v>2577912.5701168478</c:v>
                </c:pt>
                <c:pt idx="184">
                  <c:v>2577912.5701168478</c:v>
                </c:pt>
                <c:pt idx="185">
                  <c:v>2577912.5701168478</c:v>
                </c:pt>
                <c:pt idx="186">
                  <c:v>2577912.5701168478</c:v>
                </c:pt>
                <c:pt idx="187">
                  <c:v>2577912.5701168478</c:v>
                </c:pt>
                <c:pt idx="188">
                  <c:v>2577912.5701168478</c:v>
                </c:pt>
                <c:pt idx="189">
                  <c:v>2577912.5701168478</c:v>
                </c:pt>
                <c:pt idx="190">
                  <c:v>2577912.5701168478</c:v>
                </c:pt>
                <c:pt idx="191">
                  <c:v>2577912.5701168478</c:v>
                </c:pt>
                <c:pt idx="192">
                  <c:v>2577912.5701168478</c:v>
                </c:pt>
                <c:pt idx="193">
                  <c:v>2577912.5701168478</c:v>
                </c:pt>
                <c:pt idx="194">
                  <c:v>2577912.5701168478</c:v>
                </c:pt>
                <c:pt idx="195">
                  <c:v>2577912.5701168478</c:v>
                </c:pt>
                <c:pt idx="196">
                  <c:v>2577912.5701168478</c:v>
                </c:pt>
                <c:pt idx="197">
                  <c:v>2577912.5701168478</c:v>
                </c:pt>
                <c:pt idx="198">
                  <c:v>2577912.5701168478</c:v>
                </c:pt>
                <c:pt idx="199">
                  <c:v>2577912.5701168478</c:v>
                </c:pt>
                <c:pt idx="200">
                  <c:v>2577912.5701168478</c:v>
                </c:pt>
                <c:pt idx="201">
                  <c:v>2577912.5701168478</c:v>
                </c:pt>
                <c:pt idx="202">
                  <c:v>2577912.5701168478</c:v>
                </c:pt>
                <c:pt idx="203">
                  <c:v>2577912.5701168478</c:v>
                </c:pt>
                <c:pt idx="204">
                  <c:v>2577912.5701168478</c:v>
                </c:pt>
                <c:pt idx="205">
                  <c:v>2577912.5701168478</c:v>
                </c:pt>
                <c:pt idx="206">
                  <c:v>2577912.5701168478</c:v>
                </c:pt>
                <c:pt idx="207">
                  <c:v>2577912.5701168478</c:v>
                </c:pt>
                <c:pt idx="208">
                  <c:v>2577912.5701168478</c:v>
                </c:pt>
                <c:pt idx="209">
                  <c:v>2577912.5701168478</c:v>
                </c:pt>
                <c:pt idx="210">
                  <c:v>2577912.5701168478</c:v>
                </c:pt>
                <c:pt idx="211">
                  <c:v>2577912.5701168478</c:v>
                </c:pt>
                <c:pt idx="212">
                  <c:v>2577912.5701168478</c:v>
                </c:pt>
                <c:pt idx="213">
                  <c:v>2577912.5701168478</c:v>
                </c:pt>
                <c:pt idx="214">
                  <c:v>2577912.5701168478</c:v>
                </c:pt>
                <c:pt idx="215">
                  <c:v>2577912.5701168478</c:v>
                </c:pt>
                <c:pt idx="216">
                  <c:v>2577912.5701168478</c:v>
                </c:pt>
                <c:pt idx="217">
                  <c:v>2577912.5701168478</c:v>
                </c:pt>
                <c:pt idx="218">
                  <c:v>2577912.5701168478</c:v>
                </c:pt>
                <c:pt idx="219">
                  <c:v>2577912.5701168478</c:v>
                </c:pt>
                <c:pt idx="220">
                  <c:v>2577912.5701168478</c:v>
                </c:pt>
                <c:pt idx="221">
                  <c:v>2577912.5701168478</c:v>
                </c:pt>
                <c:pt idx="222">
                  <c:v>2577912.5701168478</c:v>
                </c:pt>
                <c:pt idx="223">
                  <c:v>2577912.5701168478</c:v>
                </c:pt>
                <c:pt idx="224">
                  <c:v>2577912.5701168478</c:v>
                </c:pt>
                <c:pt idx="225">
                  <c:v>2577912.5701168478</c:v>
                </c:pt>
                <c:pt idx="226">
                  <c:v>2577912.5701168478</c:v>
                </c:pt>
                <c:pt idx="227">
                  <c:v>2577912.5701168478</c:v>
                </c:pt>
                <c:pt idx="228">
                  <c:v>2577912.5701168478</c:v>
                </c:pt>
                <c:pt idx="229">
                  <c:v>2577912.5701168478</c:v>
                </c:pt>
                <c:pt idx="230">
                  <c:v>2577912.5701168478</c:v>
                </c:pt>
                <c:pt idx="231">
                  <c:v>2577912.5701168478</c:v>
                </c:pt>
                <c:pt idx="232">
                  <c:v>2577912.5701168478</c:v>
                </c:pt>
                <c:pt idx="233">
                  <c:v>2577912.5701168478</c:v>
                </c:pt>
                <c:pt idx="234">
                  <c:v>2577912.5701168478</c:v>
                </c:pt>
                <c:pt idx="235">
                  <c:v>2577912.5701168478</c:v>
                </c:pt>
                <c:pt idx="236">
                  <c:v>2577912.5701168478</c:v>
                </c:pt>
                <c:pt idx="237">
                  <c:v>2577912.5701168478</c:v>
                </c:pt>
                <c:pt idx="238">
                  <c:v>2577912.5701168478</c:v>
                </c:pt>
                <c:pt idx="239">
                  <c:v>2577912.5701168478</c:v>
                </c:pt>
                <c:pt idx="240">
                  <c:v>2577912.5701168478</c:v>
                </c:pt>
                <c:pt idx="241">
                  <c:v>2577912.5701168478</c:v>
                </c:pt>
                <c:pt idx="242">
                  <c:v>2577912.5701168478</c:v>
                </c:pt>
                <c:pt idx="243">
                  <c:v>2577912.5701168478</c:v>
                </c:pt>
                <c:pt idx="244">
                  <c:v>2577912.5701168478</c:v>
                </c:pt>
                <c:pt idx="245">
                  <c:v>2577912.5701168478</c:v>
                </c:pt>
                <c:pt idx="246">
                  <c:v>2577912.5701168478</c:v>
                </c:pt>
                <c:pt idx="247">
                  <c:v>2577912.5701168478</c:v>
                </c:pt>
                <c:pt idx="248">
                  <c:v>2577912.5701168478</c:v>
                </c:pt>
                <c:pt idx="249">
                  <c:v>2577912.5701168478</c:v>
                </c:pt>
                <c:pt idx="250">
                  <c:v>2577912.5701168478</c:v>
                </c:pt>
                <c:pt idx="251">
                  <c:v>2577912.5701168478</c:v>
                </c:pt>
                <c:pt idx="252">
                  <c:v>2577912.5701168478</c:v>
                </c:pt>
                <c:pt idx="253">
                  <c:v>2577912.5701168478</c:v>
                </c:pt>
                <c:pt idx="254">
                  <c:v>2577912.5701168478</c:v>
                </c:pt>
                <c:pt idx="255">
                  <c:v>2577912.5701168478</c:v>
                </c:pt>
                <c:pt idx="256">
                  <c:v>2577912.5701168478</c:v>
                </c:pt>
                <c:pt idx="257">
                  <c:v>2577912.5701168478</c:v>
                </c:pt>
                <c:pt idx="258">
                  <c:v>2577912.5701168478</c:v>
                </c:pt>
                <c:pt idx="259">
                  <c:v>2577912.5701168478</c:v>
                </c:pt>
                <c:pt idx="260">
                  <c:v>2577912.5701168478</c:v>
                </c:pt>
                <c:pt idx="261">
                  <c:v>2577912.5701168478</c:v>
                </c:pt>
                <c:pt idx="262">
                  <c:v>2577912.5701168478</c:v>
                </c:pt>
                <c:pt idx="263">
                  <c:v>2577912.5701168478</c:v>
                </c:pt>
                <c:pt idx="264">
                  <c:v>2577912.5701168478</c:v>
                </c:pt>
                <c:pt idx="265">
                  <c:v>2577912.5701168478</c:v>
                </c:pt>
                <c:pt idx="266">
                  <c:v>2577912.5701168478</c:v>
                </c:pt>
                <c:pt idx="267">
                  <c:v>2577912.5701168478</c:v>
                </c:pt>
                <c:pt idx="268">
                  <c:v>2577912.5701168478</c:v>
                </c:pt>
                <c:pt idx="269">
                  <c:v>2577912.5701168478</c:v>
                </c:pt>
                <c:pt idx="270">
                  <c:v>2577912.5701168478</c:v>
                </c:pt>
                <c:pt idx="271">
                  <c:v>2577912.5701168478</c:v>
                </c:pt>
                <c:pt idx="272">
                  <c:v>2577912.5701168478</c:v>
                </c:pt>
                <c:pt idx="273">
                  <c:v>2577912.5701168478</c:v>
                </c:pt>
                <c:pt idx="274">
                  <c:v>2577912.5701168478</c:v>
                </c:pt>
                <c:pt idx="275">
                  <c:v>2577912.5701168478</c:v>
                </c:pt>
                <c:pt idx="276">
                  <c:v>2577912.5701168478</c:v>
                </c:pt>
                <c:pt idx="277">
                  <c:v>2577912.5701168478</c:v>
                </c:pt>
                <c:pt idx="278">
                  <c:v>2577912.5701168478</c:v>
                </c:pt>
                <c:pt idx="279">
                  <c:v>2577912.5701168478</c:v>
                </c:pt>
                <c:pt idx="280">
                  <c:v>2577912.5701168478</c:v>
                </c:pt>
                <c:pt idx="281">
                  <c:v>2577912.5701168478</c:v>
                </c:pt>
                <c:pt idx="282">
                  <c:v>2577912.5701168478</c:v>
                </c:pt>
                <c:pt idx="283">
                  <c:v>2577912.5701168478</c:v>
                </c:pt>
                <c:pt idx="284">
                  <c:v>2577912.5701168478</c:v>
                </c:pt>
                <c:pt idx="285">
                  <c:v>2577912.5701168478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2174830.9905014238</c:v>
                </c:pt>
                <c:pt idx="19">
                  <c:v>2464808.4559016135</c:v>
                </c:pt>
                <c:pt idx="20">
                  <c:v>2378887.3559016134</c:v>
                </c:pt>
                <c:pt idx="21">
                  <c:v>243468.8805392948</c:v>
                </c:pt>
                <c:pt idx="22">
                  <c:v>214468.8805392948</c:v>
                </c:pt>
                <c:pt idx="23">
                  <c:v>504446.34593948489</c:v>
                </c:pt>
                <c:pt idx="24">
                  <c:v>479881.35618495569</c:v>
                </c:pt>
                <c:pt idx="25">
                  <c:v>479881.35618495569</c:v>
                </c:pt>
                <c:pt idx="26">
                  <c:v>176873.3511849558</c:v>
                </c:pt>
                <c:pt idx="27">
                  <c:v>176873.3511849558</c:v>
                </c:pt>
                <c:pt idx="28">
                  <c:v>176873.3511849558</c:v>
                </c:pt>
                <c:pt idx="29">
                  <c:v>176873.3511849558</c:v>
                </c:pt>
                <c:pt idx="30">
                  <c:v>176873.3511849558</c:v>
                </c:pt>
                <c:pt idx="31">
                  <c:v>176873.3511849558</c:v>
                </c:pt>
                <c:pt idx="32">
                  <c:v>176873.3511849558</c:v>
                </c:pt>
                <c:pt idx="33">
                  <c:v>176873.3511849558</c:v>
                </c:pt>
                <c:pt idx="34">
                  <c:v>176873.3511849558</c:v>
                </c:pt>
                <c:pt idx="35">
                  <c:v>176873.3511849558</c:v>
                </c:pt>
                <c:pt idx="36">
                  <c:v>176873.3511849558</c:v>
                </c:pt>
                <c:pt idx="37">
                  <c:v>176873.3511849558</c:v>
                </c:pt>
                <c:pt idx="38">
                  <c:v>176873.3511849558</c:v>
                </c:pt>
                <c:pt idx="39">
                  <c:v>176873.3511849558</c:v>
                </c:pt>
                <c:pt idx="40">
                  <c:v>176873.3511849558</c:v>
                </c:pt>
                <c:pt idx="41">
                  <c:v>176873.3511849558</c:v>
                </c:pt>
                <c:pt idx="42">
                  <c:v>176873.3511849558</c:v>
                </c:pt>
                <c:pt idx="43">
                  <c:v>176873.3511849558</c:v>
                </c:pt>
                <c:pt idx="44">
                  <c:v>176873.3511849558</c:v>
                </c:pt>
                <c:pt idx="45">
                  <c:v>176873.3511849558</c:v>
                </c:pt>
                <c:pt idx="46">
                  <c:v>176873.3511849558</c:v>
                </c:pt>
                <c:pt idx="47">
                  <c:v>176873.3511849558</c:v>
                </c:pt>
                <c:pt idx="48">
                  <c:v>176873.3511849558</c:v>
                </c:pt>
                <c:pt idx="49">
                  <c:v>176873.3511849558</c:v>
                </c:pt>
                <c:pt idx="50">
                  <c:v>176873.3511849558</c:v>
                </c:pt>
                <c:pt idx="51">
                  <c:v>176873.3511849558</c:v>
                </c:pt>
                <c:pt idx="52">
                  <c:v>176873.3511849558</c:v>
                </c:pt>
                <c:pt idx="53">
                  <c:v>176873.3511849558</c:v>
                </c:pt>
                <c:pt idx="54">
                  <c:v>176873.3511849558</c:v>
                </c:pt>
                <c:pt idx="55">
                  <c:v>176873.3511849558</c:v>
                </c:pt>
                <c:pt idx="56">
                  <c:v>176873.3511849558</c:v>
                </c:pt>
                <c:pt idx="57">
                  <c:v>176873.3511849558</c:v>
                </c:pt>
                <c:pt idx="58">
                  <c:v>176873.3511849558</c:v>
                </c:pt>
                <c:pt idx="59">
                  <c:v>176873.3511849558</c:v>
                </c:pt>
                <c:pt idx="60">
                  <c:v>176873.3511849558</c:v>
                </c:pt>
                <c:pt idx="61">
                  <c:v>176873.3511849558</c:v>
                </c:pt>
                <c:pt idx="62">
                  <c:v>176873.3511849558</c:v>
                </c:pt>
                <c:pt idx="63">
                  <c:v>176873.3511849558</c:v>
                </c:pt>
                <c:pt idx="64">
                  <c:v>176873.3511849558</c:v>
                </c:pt>
                <c:pt idx="65">
                  <c:v>176873.3511849558</c:v>
                </c:pt>
                <c:pt idx="66">
                  <c:v>176873.3511849558</c:v>
                </c:pt>
                <c:pt idx="67">
                  <c:v>176873.3511849558</c:v>
                </c:pt>
                <c:pt idx="68">
                  <c:v>176873.3511849558</c:v>
                </c:pt>
                <c:pt idx="69">
                  <c:v>176873.3511849558</c:v>
                </c:pt>
                <c:pt idx="70">
                  <c:v>176873.3511849558</c:v>
                </c:pt>
                <c:pt idx="71">
                  <c:v>176873.3511849558</c:v>
                </c:pt>
                <c:pt idx="72">
                  <c:v>176873.3511849558</c:v>
                </c:pt>
                <c:pt idx="73">
                  <c:v>176873.3511849558</c:v>
                </c:pt>
                <c:pt idx="74">
                  <c:v>176873.3511849558</c:v>
                </c:pt>
                <c:pt idx="75">
                  <c:v>321862.08388505084</c:v>
                </c:pt>
                <c:pt idx="76">
                  <c:v>321862.08388505084</c:v>
                </c:pt>
                <c:pt idx="77">
                  <c:v>321862.08388505084</c:v>
                </c:pt>
                <c:pt idx="78">
                  <c:v>321862.08388505084</c:v>
                </c:pt>
                <c:pt idx="79">
                  <c:v>321862.08388505084</c:v>
                </c:pt>
                <c:pt idx="80">
                  <c:v>321862.08388505084</c:v>
                </c:pt>
                <c:pt idx="81">
                  <c:v>321862.08388505084</c:v>
                </c:pt>
                <c:pt idx="82">
                  <c:v>321862.08388505084</c:v>
                </c:pt>
                <c:pt idx="83">
                  <c:v>321862.08388505084</c:v>
                </c:pt>
                <c:pt idx="84">
                  <c:v>321862.08388505084</c:v>
                </c:pt>
                <c:pt idx="85">
                  <c:v>321862.08388505084</c:v>
                </c:pt>
                <c:pt idx="86">
                  <c:v>321862.08388505084</c:v>
                </c:pt>
                <c:pt idx="87">
                  <c:v>321862.08388505084</c:v>
                </c:pt>
                <c:pt idx="88">
                  <c:v>321862.08388505084</c:v>
                </c:pt>
                <c:pt idx="89">
                  <c:v>321862.08388505084</c:v>
                </c:pt>
                <c:pt idx="90">
                  <c:v>321862.08388505084</c:v>
                </c:pt>
                <c:pt idx="91">
                  <c:v>321862.08388505084</c:v>
                </c:pt>
                <c:pt idx="92">
                  <c:v>321862.08388505084</c:v>
                </c:pt>
                <c:pt idx="93">
                  <c:v>321862.08388505084</c:v>
                </c:pt>
                <c:pt idx="94">
                  <c:v>321862.08388505084</c:v>
                </c:pt>
                <c:pt idx="95">
                  <c:v>321862.08388505084</c:v>
                </c:pt>
                <c:pt idx="96">
                  <c:v>321862.08388505084</c:v>
                </c:pt>
                <c:pt idx="97">
                  <c:v>321862.08388505084</c:v>
                </c:pt>
                <c:pt idx="98">
                  <c:v>321862.08388505084</c:v>
                </c:pt>
                <c:pt idx="99">
                  <c:v>321862.08388505084</c:v>
                </c:pt>
                <c:pt idx="100">
                  <c:v>321862.08388505084</c:v>
                </c:pt>
                <c:pt idx="101">
                  <c:v>321862.08388505084</c:v>
                </c:pt>
                <c:pt idx="102">
                  <c:v>321862.08388505084</c:v>
                </c:pt>
                <c:pt idx="103">
                  <c:v>321862.08388505084</c:v>
                </c:pt>
                <c:pt idx="104">
                  <c:v>321862.08388505084</c:v>
                </c:pt>
                <c:pt idx="105">
                  <c:v>321862.08388505084</c:v>
                </c:pt>
                <c:pt idx="106">
                  <c:v>321862.08388505084</c:v>
                </c:pt>
                <c:pt idx="107">
                  <c:v>321862.08388505084</c:v>
                </c:pt>
                <c:pt idx="108">
                  <c:v>321862.08388505084</c:v>
                </c:pt>
                <c:pt idx="109">
                  <c:v>321862.08388505084</c:v>
                </c:pt>
                <c:pt idx="110">
                  <c:v>321862.08388505084</c:v>
                </c:pt>
                <c:pt idx="111">
                  <c:v>321862.08388505084</c:v>
                </c:pt>
                <c:pt idx="112">
                  <c:v>321862.08388505084</c:v>
                </c:pt>
                <c:pt idx="113">
                  <c:v>321862.08388505084</c:v>
                </c:pt>
                <c:pt idx="114">
                  <c:v>321862.08388505084</c:v>
                </c:pt>
                <c:pt idx="115">
                  <c:v>321862.08388505084</c:v>
                </c:pt>
                <c:pt idx="116">
                  <c:v>321862.08388505084</c:v>
                </c:pt>
                <c:pt idx="117">
                  <c:v>321862.08388505084</c:v>
                </c:pt>
                <c:pt idx="118">
                  <c:v>321862.08388505084</c:v>
                </c:pt>
                <c:pt idx="119">
                  <c:v>321862.08388505084</c:v>
                </c:pt>
                <c:pt idx="120">
                  <c:v>321862.08388505084</c:v>
                </c:pt>
                <c:pt idx="121">
                  <c:v>321862.08388505084</c:v>
                </c:pt>
                <c:pt idx="122">
                  <c:v>321862.08388505084</c:v>
                </c:pt>
                <c:pt idx="123">
                  <c:v>321862.08388505084</c:v>
                </c:pt>
                <c:pt idx="124">
                  <c:v>321862.08388505084</c:v>
                </c:pt>
                <c:pt idx="125">
                  <c:v>321862.08388505084</c:v>
                </c:pt>
                <c:pt idx="126">
                  <c:v>321862.08388505084</c:v>
                </c:pt>
                <c:pt idx="127">
                  <c:v>321862.08388505084</c:v>
                </c:pt>
                <c:pt idx="128">
                  <c:v>321862.08388505084</c:v>
                </c:pt>
                <c:pt idx="129">
                  <c:v>321862.08388505084</c:v>
                </c:pt>
                <c:pt idx="130">
                  <c:v>321862.08388505084</c:v>
                </c:pt>
                <c:pt idx="131">
                  <c:v>321862.08388505084</c:v>
                </c:pt>
                <c:pt idx="132">
                  <c:v>321862.08388505084</c:v>
                </c:pt>
                <c:pt idx="133">
                  <c:v>321862.08388505084</c:v>
                </c:pt>
                <c:pt idx="134">
                  <c:v>321862.08388505084</c:v>
                </c:pt>
                <c:pt idx="135">
                  <c:v>321862.08388505084</c:v>
                </c:pt>
                <c:pt idx="136">
                  <c:v>321862.08388505084</c:v>
                </c:pt>
                <c:pt idx="137">
                  <c:v>321862.08388505084</c:v>
                </c:pt>
                <c:pt idx="138">
                  <c:v>321862.08388505084</c:v>
                </c:pt>
                <c:pt idx="139">
                  <c:v>321862.08388505084</c:v>
                </c:pt>
                <c:pt idx="140">
                  <c:v>321862.08388505084</c:v>
                </c:pt>
                <c:pt idx="141">
                  <c:v>321862.08388505084</c:v>
                </c:pt>
                <c:pt idx="142">
                  <c:v>321862.08388505084</c:v>
                </c:pt>
                <c:pt idx="143">
                  <c:v>321862.08388505084</c:v>
                </c:pt>
                <c:pt idx="144">
                  <c:v>321862.08388505084</c:v>
                </c:pt>
                <c:pt idx="145">
                  <c:v>321862.08388505084</c:v>
                </c:pt>
                <c:pt idx="146">
                  <c:v>321862.08388505084</c:v>
                </c:pt>
                <c:pt idx="147">
                  <c:v>321862.08388505084</c:v>
                </c:pt>
                <c:pt idx="148">
                  <c:v>321862.08388505084</c:v>
                </c:pt>
                <c:pt idx="149">
                  <c:v>321862.08388505084</c:v>
                </c:pt>
                <c:pt idx="150">
                  <c:v>321862.08388505084</c:v>
                </c:pt>
                <c:pt idx="151">
                  <c:v>321862.08388505084</c:v>
                </c:pt>
                <c:pt idx="152">
                  <c:v>321862.08388505084</c:v>
                </c:pt>
                <c:pt idx="153">
                  <c:v>321862.08388505084</c:v>
                </c:pt>
                <c:pt idx="154">
                  <c:v>321862.08388505084</c:v>
                </c:pt>
                <c:pt idx="155">
                  <c:v>321862.08388505084</c:v>
                </c:pt>
                <c:pt idx="156">
                  <c:v>321862.08388505084</c:v>
                </c:pt>
                <c:pt idx="157">
                  <c:v>321862.08388505084</c:v>
                </c:pt>
                <c:pt idx="158">
                  <c:v>321862.08388505084</c:v>
                </c:pt>
                <c:pt idx="159">
                  <c:v>321862.08388505084</c:v>
                </c:pt>
                <c:pt idx="160">
                  <c:v>321862.08388505084</c:v>
                </c:pt>
                <c:pt idx="161">
                  <c:v>321862.08388505084</c:v>
                </c:pt>
                <c:pt idx="162">
                  <c:v>321862.08388505084</c:v>
                </c:pt>
                <c:pt idx="163">
                  <c:v>321862.08388505084</c:v>
                </c:pt>
                <c:pt idx="164">
                  <c:v>321862.08388505084</c:v>
                </c:pt>
                <c:pt idx="165">
                  <c:v>321862.08388505084</c:v>
                </c:pt>
                <c:pt idx="166">
                  <c:v>321862.08388505084</c:v>
                </c:pt>
                <c:pt idx="167">
                  <c:v>321862.08388505084</c:v>
                </c:pt>
                <c:pt idx="168">
                  <c:v>321862.08388505084</c:v>
                </c:pt>
                <c:pt idx="169">
                  <c:v>321862.08388505084</c:v>
                </c:pt>
                <c:pt idx="170">
                  <c:v>321862.08388505084</c:v>
                </c:pt>
                <c:pt idx="171">
                  <c:v>321862.08388505084</c:v>
                </c:pt>
                <c:pt idx="172">
                  <c:v>321862.08388505084</c:v>
                </c:pt>
                <c:pt idx="173">
                  <c:v>321862.08388505084</c:v>
                </c:pt>
                <c:pt idx="174">
                  <c:v>321862.08388505084</c:v>
                </c:pt>
                <c:pt idx="175">
                  <c:v>321862.08388505084</c:v>
                </c:pt>
                <c:pt idx="176">
                  <c:v>321862.08388505084</c:v>
                </c:pt>
                <c:pt idx="177">
                  <c:v>321862.08388505084</c:v>
                </c:pt>
                <c:pt idx="178">
                  <c:v>321862.08388505084</c:v>
                </c:pt>
                <c:pt idx="179">
                  <c:v>321862.08388505084</c:v>
                </c:pt>
                <c:pt idx="180">
                  <c:v>321862.08388505084</c:v>
                </c:pt>
                <c:pt idx="181">
                  <c:v>321862.08388505084</c:v>
                </c:pt>
                <c:pt idx="182">
                  <c:v>321862.08388505084</c:v>
                </c:pt>
                <c:pt idx="183">
                  <c:v>321862.08388505084</c:v>
                </c:pt>
                <c:pt idx="184">
                  <c:v>321862.08388505084</c:v>
                </c:pt>
                <c:pt idx="185">
                  <c:v>321862.08388505084</c:v>
                </c:pt>
                <c:pt idx="186">
                  <c:v>321862.08388505084</c:v>
                </c:pt>
                <c:pt idx="187">
                  <c:v>321862.08388505084</c:v>
                </c:pt>
                <c:pt idx="188">
                  <c:v>321862.08388505084</c:v>
                </c:pt>
                <c:pt idx="189">
                  <c:v>321862.08388505084</c:v>
                </c:pt>
                <c:pt idx="190">
                  <c:v>321862.08388505084</c:v>
                </c:pt>
                <c:pt idx="191">
                  <c:v>321862.08388505084</c:v>
                </c:pt>
                <c:pt idx="192">
                  <c:v>321862.08388505084</c:v>
                </c:pt>
                <c:pt idx="193">
                  <c:v>321862.08388505084</c:v>
                </c:pt>
                <c:pt idx="194">
                  <c:v>321862.08388505084</c:v>
                </c:pt>
                <c:pt idx="195">
                  <c:v>321862.08388505084</c:v>
                </c:pt>
                <c:pt idx="196">
                  <c:v>321862.08388505084</c:v>
                </c:pt>
                <c:pt idx="197">
                  <c:v>321862.08388505084</c:v>
                </c:pt>
                <c:pt idx="198">
                  <c:v>321862.08388505084</c:v>
                </c:pt>
                <c:pt idx="199">
                  <c:v>321862.08388505084</c:v>
                </c:pt>
                <c:pt idx="200">
                  <c:v>321862.08388505084</c:v>
                </c:pt>
                <c:pt idx="201">
                  <c:v>321862.08388505084</c:v>
                </c:pt>
                <c:pt idx="202">
                  <c:v>321862.08388505084</c:v>
                </c:pt>
                <c:pt idx="203">
                  <c:v>321862.08388505084</c:v>
                </c:pt>
                <c:pt idx="204">
                  <c:v>321862.08388505084</c:v>
                </c:pt>
                <c:pt idx="205">
                  <c:v>321862.08388505084</c:v>
                </c:pt>
                <c:pt idx="206">
                  <c:v>321862.08388505084</c:v>
                </c:pt>
                <c:pt idx="207">
                  <c:v>321862.08388505084</c:v>
                </c:pt>
                <c:pt idx="208">
                  <c:v>321862.08388505084</c:v>
                </c:pt>
                <c:pt idx="209">
                  <c:v>321862.08388505084</c:v>
                </c:pt>
                <c:pt idx="210">
                  <c:v>321862.08388505084</c:v>
                </c:pt>
                <c:pt idx="211">
                  <c:v>321862.08388505084</c:v>
                </c:pt>
                <c:pt idx="212">
                  <c:v>321862.08388505084</c:v>
                </c:pt>
                <c:pt idx="213">
                  <c:v>321862.08388505084</c:v>
                </c:pt>
                <c:pt idx="214">
                  <c:v>321862.08388505084</c:v>
                </c:pt>
                <c:pt idx="215">
                  <c:v>321862.08388505084</c:v>
                </c:pt>
                <c:pt idx="216">
                  <c:v>321862.08388505084</c:v>
                </c:pt>
                <c:pt idx="217">
                  <c:v>321862.08388505084</c:v>
                </c:pt>
                <c:pt idx="218">
                  <c:v>321862.08388505084</c:v>
                </c:pt>
                <c:pt idx="219">
                  <c:v>321862.08388505084</c:v>
                </c:pt>
                <c:pt idx="220">
                  <c:v>321862.08388505084</c:v>
                </c:pt>
                <c:pt idx="221">
                  <c:v>321862.08388505084</c:v>
                </c:pt>
                <c:pt idx="222">
                  <c:v>321862.08388505084</c:v>
                </c:pt>
                <c:pt idx="223">
                  <c:v>321862.08388505084</c:v>
                </c:pt>
                <c:pt idx="224">
                  <c:v>321862.08388505084</c:v>
                </c:pt>
                <c:pt idx="225">
                  <c:v>321862.08388505084</c:v>
                </c:pt>
                <c:pt idx="226">
                  <c:v>321862.08388505084</c:v>
                </c:pt>
                <c:pt idx="227">
                  <c:v>321862.08388505084</c:v>
                </c:pt>
                <c:pt idx="228">
                  <c:v>321862.08388505084</c:v>
                </c:pt>
                <c:pt idx="229">
                  <c:v>321862.08388505084</c:v>
                </c:pt>
                <c:pt idx="230">
                  <c:v>321862.08388505084</c:v>
                </c:pt>
                <c:pt idx="231">
                  <c:v>321862.08388505084</c:v>
                </c:pt>
                <c:pt idx="232">
                  <c:v>321862.08388505084</c:v>
                </c:pt>
                <c:pt idx="233">
                  <c:v>321862.08388505084</c:v>
                </c:pt>
                <c:pt idx="234">
                  <c:v>321862.08388505084</c:v>
                </c:pt>
                <c:pt idx="235">
                  <c:v>321862.08388505084</c:v>
                </c:pt>
                <c:pt idx="236">
                  <c:v>321862.08388505084</c:v>
                </c:pt>
                <c:pt idx="237">
                  <c:v>321862.08388505084</c:v>
                </c:pt>
                <c:pt idx="238">
                  <c:v>321862.08388505084</c:v>
                </c:pt>
                <c:pt idx="239">
                  <c:v>321862.08388505084</c:v>
                </c:pt>
                <c:pt idx="240">
                  <c:v>321862.08388505084</c:v>
                </c:pt>
                <c:pt idx="241">
                  <c:v>321862.08388505084</c:v>
                </c:pt>
                <c:pt idx="242">
                  <c:v>321862.08388505084</c:v>
                </c:pt>
                <c:pt idx="243">
                  <c:v>321862.08388505084</c:v>
                </c:pt>
                <c:pt idx="244">
                  <c:v>321862.08388505084</c:v>
                </c:pt>
                <c:pt idx="245">
                  <c:v>321862.08388505084</c:v>
                </c:pt>
                <c:pt idx="246">
                  <c:v>321862.08388505084</c:v>
                </c:pt>
                <c:pt idx="247">
                  <c:v>321862.08388505084</c:v>
                </c:pt>
                <c:pt idx="248">
                  <c:v>321862.08388505084</c:v>
                </c:pt>
                <c:pt idx="249">
                  <c:v>321862.08388505084</c:v>
                </c:pt>
                <c:pt idx="250">
                  <c:v>321862.08388505084</c:v>
                </c:pt>
                <c:pt idx="251">
                  <c:v>321862.08388505084</c:v>
                </c:pt>
                <c:pt idx="252">
                  <c:v>321862.08388505084</c:v>
                </c:pt>
                <c:pt idx="253">
                  <c:v>321862.08388505084</c:v>
                </c:pt>
                <c:pt idx="254">
                  <c:v>321862.08388505084</c:v>
                </c:pt>
                <c:pt idx="255">
                  <c:v>321862.08388505084</c:v>
                </c:pt>
                <c:pt idx="256">
                  <c:v>321862.08388505084</c:v>
                </c:pt>
                <c:pt idx="257">
                  <c:v>321862.08388505084</c:v>
                </c:pt>
                <c:pt idx="258">
                  <c:v>321862.08388505084</c:v>
                </c:pt>
                <c:pt idx="259">
                  <c:v>321862.08388505084</c:v>
                </c:pt>
                <c:pt idx="260">
                  <c:v>321862.08388505084</c:v>
                </c:pt>
                <c:pt idx="261">
                  <c:v>321862.08388505084</c:v>
                </c:pt>
                <c:pt idx="262">
                  <c:v>321862.08388505084</c:v>
                </c:pt>
                <c:pt idx="263">
                  <c:v>321862.08388505084</c:v>
                </c:pt>
                <c:pt idx="264">
                  <c:v>321862.08388505084</c:v>
                </c:pt>
                <c:pt idx="265">
                  <c:v>321862.08388505084</c:v>
                </c:pt>
                <c:pt idx="266">
                  <c:v>321862.08388505084</c:v>
                </c:pt>
                <c:pt idx="267">
                  <c:v>321862.08388505084</c:v>
                </c:pt>
                <c:pt idx="268">
                  <c:v>321862.08388505084</c:v>
                </c:pt>
                <c:pt idx="269">
                  <c:v>321862.08388505084</c:v>
                </c:pt>
                <c:pt idx="270">
                  <c:v>321862.08388505084</c:v>
                </c:pt>
                <c:pt idx="271">
                  <c:v>321862.08388505084</c:v>
                </c:pt>
                <c:pt idx="272">
                  <c:v>321862.08388505084</c:v>
                </c:pt>
                <c:pt idx="273">
                  <c:v>321862.08388505084</c:v>
                </c:pt>
                <c:pt idx="274">
                  <c:v>321862.08388505084</c:v>
                </c:pt>
                <c:pt idx="275">
                  <c:v>321862.08388505084</c:v>
                </c:pt>
                <c:pt idx="276">
                  <c:v>321862.08388505084</c:v>
                </c:pt>
                <c:pt idx="277">
                  <c:v>321862.08388505084</c:v>
                </c:pt>
                <c:pt idx="278">
                  <c:v>321862.08388505084</c:v>
                </c:pt>
                <c:pt idx="279">
                  <c:v>321862.08388505084</c:v>
                </c:pt>
                <c:pt idx="280">
                  <c:v>321862.08388505084</c:v>
                </c:pt>
                <c:pt idx="281">
                  <c:v>321862.08388505084</c:v>
                </c:pt>
                <c:pt idx="282">
                  <c:v>321862.08388505084</c:v>
                </c:pt>
                <c:pt idx="283">
                  <c:v>321862.08388505084</c:v>
                </c:pt>
                <c:pt idx="284">
                  <c:v>321862.08388505084</c:v>
                </c:pt>
                <c:pt idx="285">
                  <c:v>321862.08388505084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1449887.3270009493</c:v>
                </c:pt>
                <c:pt idx="19">
                  <c:v>2464808.4559016139</c:v>
                </c:pt>
                <c:pt idx="20">
                  <c:v>2464808.4559016139</c:v>
                </c:pt>
                <c:pt idx="21">
                  <c:v>2464808.4559016139</c:v>
                </c:pt>
                <c:pt idx="22">
                  <c:v>2464808.4559016139</c:v>
                </c:pt>
                <c:pt idx="23">
                  <c:v>2754785.9213018036</c:v>
                </c:pt>
                <c:pt idx="24">
                  <c:v>2754785.9213018036</c:v>
                </c:pt>
                <c:pt idx="25">
                  <c:v>2754785.9213018036</c:v>
                </c:pt>
                <c:pt idx="26">
                  <c:v>2754785.9213018036</c:v>
                </c:pt>
                <c:pt idx="27">
                  <c:v>2754785.9213018036</c:v>
                </c:pt>
                <c:pt idx="28">
                  <c:v>2754785.9213018036</c:v>
                </c:pt>
                <c:pt idx="29">
                  <c:v>2754785.9213018036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17042.208166666667</c:v>
                </c:pt>
                <c:pt idx="17">
                  <c:v>42605.520416666666</c:v>
                </c:pt>
                <c:pt idx="18">
                  <c:v>42605.520416666666</c:v>
                </c:pt>
                <c:pt idx="19">
                  <c:v>42605.520416666666</c:v>
                </c:pt>
                <c:pt idx="20">
                  <c:v>42605.520416666666</c:v>
                </c:pt>
                <c:pt idx="21">
                  <c:v>181495.45716666666</c:v>
                </c:pt>
                <c:pt idx="22">
                  <c:v>224223.89034169039</c:v>
                </c:pt>
                <c:pt idx="23">
                  <c:v>284829.41075835703</c:v>
                </c:pt>
                <c:pt idx="24">
                  <c:v>295829.41075835703</c:v>
                </c:pt>
                <c:pt idx="25">
                  <c:v>2254472.4194540093</c:v>
                </c:pt>
                <c:pt idx="26">
                  <c:v>2563474.7735373424</c:v>
                </c:pt>
                <c:pt idx="27">
                  <c:v>2563474.7735373424</c:v>
                </c:pt>
                <c:pt idx="28">
                  <c:v>2563474.7735373424</c:v>
                </c:pt>
                <c:pt idx="29">
                  <c:v>2563474.7735373424</c:v>
                </c:pt>
                <c:pt idx="30">
                  <c:v>2563956.0235373424</c:v>
                </c:pt>
                <c:pt idx="31">
                  <c:v>2563956.0235373424</c:v>
                </c:pt>
                <c:pt idx="32">
                  <c:v>2563956.0235373424</c:v>
                </c:pt>
                <c:pt idx="33">
                  <c:v>2563956.0235373424</c:v>
                </c:pt>
                <c:pt idx="34">
                  <c:v>2563956.0235373424</c:v>
                </c:pt>
                <c:pt idx="35">
                  <c:v>2564437.2735373424</c:v>
                </c:pt>
                <c:pt idx="36">
                  <c:v>2564437.2735373424</c:v>
                </c:pt>
                <c:pt idx="37">
                  <c:v>2564437.2735373424</c:v>
                </c:pt>
                <c:pt idx="38">
                  <c:v>2564437.2735373424</c:v>
                </c:pt>
                <c:pt idx="39">
                  <c:v>2564437.2735373424</c:v>
                </c:pt>
                <c:pt idx="40">
                  <c:v>2564437.2735373424</c:v>
                </c:pt>
                <c:pt idx="41">
                  <c:v>2564437.2735373424</c:v>
                </c:pt>
                <c:pt idx="42">
                  <c:v>2564437.2735373424</c:v>
                </c:pt>
                <c:pt idx="43">
                  <c:v>2564437.2735373424</c:v>
                </c:pt>
                <c:pt idx="44">
                  <c:v>2564437.2735373424</c:v>
                </c:pt>
                <c:pt idx="45">
                  <c:v>2564437.2735373424</c:v>
                </c:pt>
                <c:pt idx="46">
                  <c:v>2564437.2735373424</c:v>
                </c:pt>
                <c:pt idx="47">
                  <c:v>2564437.2735373424</c:v>
                </c:pt>
                <c:pt idx="48">
                  <c:v>2564437.2735373424</c:v>
                </c:pt>
                <c:pt idx="49">
                  <c:v>2564437.2735373424</c:v>
                </c:pt>
                <c:pt idx="50">
                  <c:v>2564437.2735373424</c:v>
                </c:pt>
                <c:pt idx="51">
                  <c:v>2564437.2735373424</c:v>
                </c:pt>
                <c:pt idx="52">
                  <c:v>2564437.2735373424</c:v>
                </c:pt>
                <c:pt idx="53">
                  <c:v>2564437.2735373424</c:v>
                </c:pt>
                <c:pt idx="54">
                  <c:v>2564437.2735373424</c:v>
                </c:pt>
                <c:pt idx="55">
                  <c:v>2564437.2735373424</c:v>
                </c:pt>
                <c:pt idx="56">
                  <c:v>2564437.2735373424</c:v>
                </c:pt>
                <c:pt idx="57">
                  <c:v>2564437.2735373424</c:v>
                </c:pt>
                <c:pt idx="58">
                  <c:v>2564437.2735373424</c:v>
                </c:pt>
                <c:pt idx="59">
                  <c:v>2564437.2735373424</c:v>
                </c:pt>
                <c:pt idx="60">
                  <c:v>2564437.2735373424</c:v>
                </c:pt>
                <c:pt idx="61">
                  <c:v>2564437.2735373424</c:v>
                </c:pt>
                <c:pt idx="62">
                  <c:v>2564437.2735373424</c:v>
                </c:pt>
                <c:pt idx="63">
                  <c:v>2564437.2735373424</c:v>
                </c:pt>
                <c:pt idx="64">
                  <c:v>2564437.2735373424</c:v>
                </c:pt>
                <c:pt idx="65">
                  <c:v>2564437.2735373424</c:v>
                </c:pt>
                <c:pt idx="66">
                  <c:v>2564437.2735373424</c:v>
                </c:pt>
                <c:pt idx="67">
                  <c:v>2564437.2735373424</c:v>
                </c:pt>
                <c:pt idx="68">
                  <c:v>2564437.2735373424</c:v>
                </c:pt>
                <c:pt idx="69">
                  <c:v>2564437.2735373424</c:v>
                </c:pt>
                <c:pt idx="70">
                  <c:v>2564437.2735373424</c:v>
                </c:pt>
                <c:pt idx="71">
                  <c:v>2564437.2735373424</c:v>
                </c:pt>
                <c:pt idx="72">
                  <c:v>2564437.2735373424</c:v>
                </c:pt>
                <c:pt idx="73">
                  <c:v>2564437.2735373424</c:v>
                </c:pt>
                <c:pt idx="74">
                  <c:v>2564437.2735373424</c:v>
                </c:pt>
                <c:pt idx="75">
                  <c:v>2564437.2735373424</c:v>
                </c:pt>
                <c:pt idx="76">
                  <c:v>2564437.2735373424</c:v>
                </c:pt>
                <c:pt idx="77">
                  <c:v>2564437.2735373424</c:v>
                </c:pt>
                <c:pt idx="78">
                  <c:v>2564437.2735373424</c:v>
                </c:pt>
                <c:pt idx="79">
                  <c:v>2564437.2735373424</c:v>
                </c:pt>
                <c:pt idx="80">
                  <c:v>2564437.2735373424</c:v>
                </c:pt>
                <c:pt idx="81">
                  <c:v>2564437.2735373424</c:v>
                </c:pt>
                <c:pt idx="82">
                  <c:v>2564437.2735373424</c:v>
                </c:pt>
                <c:pt idx="83">
                  <c:v>2564437.2735373424</c:v>
                </c:pt>
                <c:pt idx="84">
                  <c:v>2564437.2735373424</c:v>
                </c:pt>
                <c:pt idx="85">
                  <c:v>2564437.2735373424</c:v>
                </c:pt>
                <c:pt idx="86">
                  <c:v>2564437.2735373424</c:v>
                </c:pt>
                <c:pt idx="87">
                  <c:v>2564437.2735373424</c:v>
                </c:pt>
                <c:pt idx="88">
                  <c:v>2564437.2735373424</c:v>
                </c:pt>
                <c:pt idx="89">
                  <c:v>2564437.2735373424</c:v>
                </c:pt>
                <c:pt idx="90">
                  <c:v>2564437.2735373424</c:v>
                </c:pt>
                <c:pt idx="91">
                  <c:v>2564437.2735373424</c:v>
                </c:pt>
                <c:pt idx="92">
                  <c:v>2564437.2735373424</c:v>
                </c:pt>
                <c:pt idx="93">
                  <c:v>2564437.2735373424</c:v>
                </c:pt>
                <c:pt idx="94">
                  <c:v>2564437.2735373424</c:v>
                </c:pt>
                <c:pt idx="95">
                  <c:v>2564437.2735373424</c:v>
                </c:pt>
                <c:pt idx="96">
                  <c:v>2564437.2735373424</c:v>
                </c:pt>
                <c:pt idx="97">
                  <c:v>2564437.2735373424</c:v>
                </c:pt>
                <c:pt idx="98">
                  <c:v>2564437.2735373424</c:v>
                </c:pt>
                <c:pt idx="99">
                  <c:v>2564437.2735373424</c:v>
                </c:pt>
                <c:pt idx="100">
                  <c:v>2564437.2735373424</c:v>
                </c:pt>
                <c:pt idx="101">
                  <c:v>2564437.2735373424</c:v>
                </c:pt>
                <c:pt idx="102">
                  <c:v>2564437.2735373424</c:v>
                </c:pt>
                <c:pt idx="103">
                  <c:v>2564437.2735373424</c:v>
                </c:pt>
                <c:pt idx="104">
                  <c:v>2564437.2735373424</c:v>
                </c:pt>
                <c:pt idx="105">
                  <c:v>2564437.2735373424</c:v>
                </c:pt>
                <c:pt idx="106">
                  <c:v>2564437.2735373424</c:v>
                </c:pt>
                <c:pt idx="107">
                  <c:v>2564437.2735373424</c:v>
                </c:pt>
                <c:pt idx="108">
                  <c:v>2564437.2735373424</c:v>
                </c:pt>
                <c:pt idx="109">
                  <c:v>2564437.2735373424</c:v>
                </c:pt>
                <c:pt idx="110">
                  <c:v>2564437.2735373424</c:v>
                </c:pt>
                <c:pt idx="111">
                  <c:v>2564437.2735373424</c:v>
                </c:pt>
                <c:pt idx="112">
                  <c:v>2564437.2735373424</c:v>
                </c:pt>
                <c:pt idx="113">
                  <c:v>2564437.2735373424</c:v>
                </c:pt>
                <c:pt idx="114">
                  <c:v>2564437.2735373424</c:v>
                </c:pt>
                <c:pt idx="115">
                  <c:v>2564437.2735373424</c:v>
                </c:pt>
                <c:pt idx="116">
                  <c:v>2564437.2735373424</c:v>
                </c:pt>
                <c:pt idx="117">
                  <c:v>2564437.2735373424</c:v>
                </c:pt>
                <c:pt idx="118">
                  <c:v>2564437.2735373424</c:v>
                </c:pt>
                <c:pt idx="119">
                  <c:v>2564437.2735373424</c:v>
                </c:pt>
                <c:pt idx="120">
                  <c:v>2564437.2735373424</c:v>
                </c:pt>
                <c:pt idx="121">
                  <c:v>2564437.2735373424</c:v>
                </c:pt>
                <c:pt idx="122">
                  <c:v>2564437.2735373424</c:v>
                </c:pt>
                <c:pt idx="123">
                  <c:v>2564437.2735373424</c:v>
                </c:pt>
                <c:pt idx="124">
                  <c:v>2564437.2735373424</c:v>
                </c:pt>
                <c:pt idx="125">
                  <c:v>2564437.2735373424</c:v>
                </c:pt>
                <c:pt idx="126">
                  <c:v>2564437.2735373424</c:v>
                </c:pt>
                <c:pt idx="127">
                  <c:v>2564437.2735373424</c:v>
                </c:pt>
                <c:pt idx="128">
                  <c:v>2564437.2735373424</c:v>
                </c:pt>
                <c:pt idx="129">
                  <c:v>2564437.2735373424</c:v>
                </c:pt>
                <c:pt idx="130">
                  <c:v>2564437.2735373424</c:v>
                </c:pt>
                <c:pt idx="131">
                  <c:v>2564437.2735373424</c:v>
                </c:pt>
                <c:pt idx="132">
                  <c:v>2564437.2735373424</c:v>
                </c:pt>
                <c:pt idx="133">
                  <c:v>2564437.2735373424</c:v>
                </c:pt>
                <c:pt idx="134">
                  <c:v>2564437.2735373424</c:v>
                </c:pt>
                <c:pt idx="135">
                  <c:v>2564437.2735373424</c:v>
                </c:pt>
                <c:pt idx="136">
                  <c:v>2564437.2735373424</c:v>
                </c:pt>
                <c:pt idx="137">
                  <c:v>2564437.2735373424</c:v>
                </c:pt>
                <c:pt idx="138">
                  <c:v>2564437.2735373424</c:v>
                </c:pt>
                <c:pt idx="139">
                  <c:v>2564437.2735373424</c:v>
                </c:pt>
                <c:pt idx="140">
                  <c:v>2564437.2735373424</c:v>
                </c:pt>
                <c:pt idx="141">
                  <c:v>2564437.2735373424</c:v>
                </c:pt>
                <c:pt idx="142">
                  <c:v>2564437.2735373424</c:v>
                </c:pt>
                <c:pt idx="143">
                  <c:v>2564437.2735373424</c:v>
                </c:pt>
                <c:pt idx="144">
                  <c:v>2564437.2735373424</c:v>
                </c:pt>
                <c:pt idx="145">
                  <c:v>2564437.2735373424</c:v>
                </c:pt>
                <c:pt idx="146">
                  <c:v>2564437.2735373424</c:v>
                </c:pt>
                <c:pt idx="147">
                  <c:v>2564437.2735373424</c:v>
                </c:pt>
                <c:pt idx="148">
                  <c:v>2564437.2735373424</c:v>
                </c:pt>
                <c:pt idx="149">
                  <c:v>2564437.2735373424</c:v>
                </c:pt>
                <c:pt idx="150">
                  <c:v>2564437.2735373424</c:v>
                </c:pt>
                <c:pt idx="151">
                  <c:v>2564437.2735373424</c:v>
                </c:pt>
                <c:pt idx="152">
                  <c:v>2564437.2735373424</c:v>
                </c:pt>
                <c:pt idx="153">
                  <c:v>2564437.2735373424</c:v>
                </c:pt>
                <c:pt idx="154">
                  <c:v>2564437.2735373424</c:v>
                </c:pt>
                <c:pt idx="155">
                  <c:v>2564437.2735373424</c:v>
                </c:pt>
                <c:pt idx="156">
                  <c:v>2564437.2735373424</c:v>
                </c:pt>
                <c:pt idx="157">
                  <c:v>2564437.2735373424</c:v>
                </c:pt>
                <c:pt idx="158">
                  <c:v>2564437.2735373424</c:v>
                </c:pt>
                <c:pt idx="159">
                  <c:v>2564437.2735373424</c:v>
                </c:pt>
                <c:pt idx="160">
                  <c:v>2564437.2735373424</c:v>
                </c:pt>
                <c:pt idx="161">
                  <c:v>2564437.2735373424</c:v>
                </c:pt>
                <c:pt idx="162">
                  <c:v>2564437.2735373424</c:v>
                </c:pt>
                <c:pt idx="163">
                  <c:v>2564437.2735373424</c:v>
                </c:pt>
                <c:pt idx="164">
                  <c:v>2564437.2735373424</c:v>
                </c:pt>
                <c:pt idx="165">
                  <c:v>2564437.2735373424</c:v>
                </c:pt>
                <c:pt idx="166">
                  <c:v>2564437.2735373424</c:v>
                </c:pt>
                <c:pt idx="167">
                  <c:v>2564437.2735373424</c:v>
                </c:pt>
                <c:pt idx="168">
                  <c:v>2564437.2735373424</c:v>
                </c:pt>
                <c:pt idx="169">
                  <c:v>2564437.2735373424</c:v>
                </c:pt>
                <c:pt idx="170">
                  <c:v>2564437.2735373424</c:v>
                </c:pt>
                <c:pt idx="171">
                  <c:v>2564437.2735373424</c:v>
                </c:pt>
                <c:pt idx="172">
                  <c:v>2564437.2735373424</c:v>
                </c:pt>
                <c:pt idx="173">
                  <c:v>2564437.2735373424</c:v>
                </c:pt>
                <c:pt idx="174">
                  <c:v>2564437.2735373424</c:v>
                </c:pt>
                <c:pt idx="175">
                  <c:v>2564437.2735373424</c:v>
                </c:pt>
                <c:pt idx="176">
                  <c:v>2564437.2735373424</c:v>
                </c:pt>
                <c:pt idx="177">
                  <c:v>2564437.2735373424</c:v>
                </c:pt>
                <c:pt idx="178">
                  <c:v>2564437.2735373424</c:v>
                </c:pt>
                <c:pt idx="179">
                  <c:v>2564437.2735373424</c:v>
                </c:pt>
                <c:pt idx="180">
                  <c:v>2564437.2735373424</c:v>
                </c:pt>
                <c:pt idx="181">
                  <c:v>2564437.2735373424</c:v>
                </c:pt>
                <c:pt idx="182">
                  <c:v>2564437.2735373424</c:v>
                </c:pt>
                <c:pt idx="183">
                  <c:v>2564437.2735373424</c:v>
                </c:pt>
                <c:pt idx="184">
                  <c:v>2564437.2735373424</c:v>
                </c:pt>
                <c:pt idx="185">
                  <c:v>2564437.2735373424</c:v>
                </c:pt>
                <c:pt idx="186">
                  <c:v>2564437.2735373424</c:v>
                </c:pt>
                <c:pt idx="187">
                  <c:v>2564437.2735373424</c:v>
                </c:pt>
                <c:pt idx="188">
                  <c:v>2564437.2735373424</c:v>
                </c:pt>
                <c:pt idx="189">
                  <c:v>2564437.2735373424</c:v>
                </c:pt>
                <c:pt idx="190">
                  <c:v>2564437.2735373424</c:v>
                </c:pt>
                <c:pt idx="191">
                  <c:v>2564437.2735373424</c:v>
                </c:pt>
                <c:pt idx="192">
                  <c:v>2564437.2735373424</c:v>
                </c:pt>
                <c:pt idx="193">
                  <c:v>2564437.2735373424</c:v>
                </c:pt>
                <c:pt idx="194">
                  <c:v>2564437.2735373424</c:v>
                </c:pt>
                <c:pt idx="195">
                  <c:v>2564437.2735373424</c:v>
                </c:pt>
                <c:pt idx="196">
                  <c:v>2564437.2735373424</c:v>
                </c:pt>
                <c:pt idx="197">
                  <c:v>2564437.2735373424</c:v>
                </c:pt>
                <c:pt idx="198">
                  <c:v>2564437.2735373424</c:v>
                </c:pt>
                <c:pt idx="199">
                  <c:v>2564437.2735373424</c:v>
                </c:pt>
                <c:pt idx="200">
                  <c:v>2564437.2735373424</c:v>
                </c:pt>
                <c:pt idx="201">
                  <c:v>2564437.2735373424</c:v>
                </c:pt>
                <c:pt idx="202">
                  <c:v>2564437.2735373424</c:v>
                </c:pt>
                <c:pt idx="203">
                  <c:v>2564437.2735373424</c:v>
                </c:pt>
                <c:pt idx="204">
                  <c:v>2564437.2735373424</c:v>
                </c:pt>
                <c:pt idx="205">
                  <c:v>2564437.2735373424</c:v>
                </c:pt>
                <c:pt idx="206">
                  <c:v>2564437.2735373424</c:v>
                </c:pt>
                <c:pt idx="207">
                  <c:v>2564437.2735373424</c:v>
                </c:pt>
                <c:pt idx="208">
                  <c:v>2564437.2735373424</c:v>
                </c:pt>
                <c:pt idx="209">
                  <c:v>2564437.2735373424</c:v>
                </c:pt>
                <c:pt idx="210">
                  <c:v>2564437.2735373424</c:v>
                </c:pt>
                <c:pt idx="211">
                  <c:v>2564437.2735373424</c:v>
                </c:pt>
                <c:pt idx="212">
                  <c:v>2564437.2735373424</c:v>
                </c:pt>
                <c:pt idx="213">
                  <c:v>2564437.2735373424</c:v>
                </c:pt>
                <c:pt idx="214">
                  <c:v>2564437.2735373424</c:v>
                </c:pt>
                <c:pt idx="215">
                  <c:v>2564437.2735373424</c:v>
                </c:pt>
                <c:pt idx="216">
                  <c:v>2564437.2735373424</c:v>
                </c:pt>
                <c:pt idx="217">
                  <c:v>2564437.2735373424</c:v>
                </c:pt>
                <c:pt idx="218">
                  <c:v>2564437.2735373424</c:v>
                </c:pt>
                <c:pt idx="219">
                  <c:v>2564437.2735373424</c:v>
                </c:pt>
                <c:pt idx="220">
                  <c:v>2564437.2735373424</c:v>
                </c:pt>
                <c:pt idx="221">
                  <c:v>2564437.2735373424</c:v>
                </c:pt>
                <c:pt idx="222">
                  <c:v>2564437.2735373424</c:v>
                </c:pt>
                <c:pt idx="223">
                  <c:v>2564437.2735373424</c:v>
                </c:pt>
                <c:pt idx="224">
                  <c:v>2564437.2735373424</c:v>
                </c:pt>
                <c:pt idx="225">
                  <c:v>2564437.2735373424</c:v>
                </c:pt>
                <c:pt idx="226">
                  <c:v>2564437.2735373424</c:v>
                </c:pt>
                <c:pt idx="227">
                  <c:v>2564437.2735373424</c:v>
                </c:pt>
                <c:pt idx="228">
                  <c:v>2564437.2735373424</c:v>
                </c:pt>
                <c:pt idx="229">
                  <c:v>2564437.2735373424</c:v>
                </c:pt>
                <c:pt idx="230">
                  <c:v>2564437.2735373424</c:v>
                </c:pt>
                <c:pt idx="231">
                  <c:v>2564437.2735373424</c:v>
                </c:pt>
                <c:pt idx="232">
                  <c:v>2564437.2735373424</c:v>
                </c:pt>
                <c:pt idx="233">
                  <c:v>2564437.2735373424</c:v>
                </c:pt>
                <c:pt idx="234">
                  <c:v>2564437.2735373424</c:v>
                </c:pt>
                <c:pt idx="235">
                  <c:v>2564437.2735373424</c:v>
                </c:pt>
                <c:pt idx="236">
                  <c:v>2564437.2735373424</c:v>
                </c:pt>
                <c:pt idx="237">
                  <c:v>2564437.2735373424</c:v>
                </c:pt>
                <c:pt idx="238">
                  <c:v>2564437.2735373424</c:v>
                </c:pt>
                <c:pt idx="239">
                  <c:v>2564437.2735373424</c:v>
                </c:pt>
                <c:pt idx="240">
                  <c:v>2564437.2735373424</c:v>
                </c:pt>
                <c:pt idx="241">
                  <c:v>2564437.2735373424</c:v>
                </c:pt>
                <c:pt idx="242">
                  <c:v>2564437.2735373424</c:v>
                </c:pt>
                <c:pt idx="243">
                  <c:v>2564437.2735373424</c:v>
                </c:pt>
                <c:pt idx="244">
                  <c:v>2564437.2735373424</c:v>
                </c:pt>
                <c:pt idx="245">
                  <c:v>2564437.2735373424</c:v>
                </c:pt>
                <c:pt idx="246">
                  <c:v>2564437.2735373424</c:v>
                </c:pt>
                <c:pt idx="247">
                  <c:v>2564437.2735373424</c:v>
                </c:pt>
                <c:pt idx="248">
                  <c:v>2564437.2735373424</c:v>
                </c:pt>
                <c:pt idx="249">
                  <c:v>2564437.2735373424</c:v>
                </c:pt>
                <c:pt idx="250">
                  <c:v>2564437.2735373424</c:v>
                </c:pt>
                <c:pt idx="251">
                  <c:v>2564437.2735373424</c:v>
                </c:pt>
                <c:pt idx="252">
                  <c:v>2564437.2735373424</c:v>
                </c:pt>
                <c:pt idx="253">
                  <c:v>2564437.2735373424</c:v>
                </c:pt>
                <c:pt idx="254">
                  <c:v>2564437.2735373424</c:v>
                </c:pt>
                <c:pt idx="255">
                  <c:v>2564437.2735373424</c:v>
                </c:pt>
                <c:pt idx="256">
                  <c:v>2564437.2735373424</c:v>
                </c:pt>
                <c:pt idx="257">
                  <c:v>2564437.2735373424</c:v>
                </c:pt>
                <c:pt idx="258">
                  <c:v>2564437.2735373424</c:v>
                </c:pt>
                <c:pt idx="259">
                  <c:v>2564437.2735373424</c:v>
                </c:pt>
                <c:pt idx="260">
                  <c:v>2564437.2735373424</c:v>
                </c:pt>
                <c:pt idx="261">
                  <c:v>2564437.2735373424</c:v>
                </c:pt>
                <c:pt idx="262">
                  <c:v>2564437.2735373424</c:v>
                </c:pt>
                <c:pt idx="263">
                  <c:v>2564437.2735373424</c:v>
                </c:pt>
                <c:pt idx="264">
                  <c:v>2564437.2735373424</c:v>
                </c:pt>
                <c:pt idx="265">
                  <c:v>2564437.2735373424</c:v>
                </c:pt>
                <c:pt idx="266">
                  <c:v>2564437.2735373424</c:v>
                </c:pt>
                <c:pt idx="267">
                  <c:v>2564437.2735373424</c:v>
                </c:pt>
                <c:pt idx="268">
                  <c:v>2564437.2735373424</c:v>
                </c:pt>
                <c:pt idx="269">
                  <c:v>2564437.2735373424</c:v>
                </c:pt>
                <c:pt idx="270">
                  <c:v>2564437.2735373424</c:v>
                </c:pt>
                <c:pt idx="271">
                  <c:v>2564437.2735373424</c:v>
                </c:pt>
                <c:pt idx="272">
                  <c:v>2564437.2735373424</c:v>
                </c:pt>
                <c:pt idx="273">
                  <c:v>2564437.2735373424</c:v>
                </c:pt>
                <c:pt idx="274">
                  <c:v>2564437.2735373424</c:v>
                </c:pt>
                <c:pt idx="275">
                  <c:v>2564437.2735373424</c:v>
                </c:pt>
                <c:pt idx="276">
                  <c:v>2564437.2735373424</c:v>
                </c:pt>
                <c:pt idx="277">
                  <c:v>2564437.2735373424</c:v>
                </c:pt>
                <c:pt idx="278">
                  <c:v>2564437.2735373424</c:v>
                </c:pt>
                <c:pt idx="279">
                  <c:v>2564437.2735373424</c:v>
                </c:pt>
                <c:pt idx="280">
                  <c:v>2564437.2735373424</c:v>
                </c:pt>
                <c:pt idx="281">
                  <c:v>2564437.2735373424</c:v>
                </c:pt>
                <c:pt idx="282">
                  <c:v>2564437.2735373424</c:v>
                </c:pt>
                <c:pt idx="283">
                  <c:v>2564437.2735373424</c:v>
                </c:pt>
                <c:pt idx="284">
                  <c:v>2564437.2735373424</c:v>
                </c:pt>
                <c:pt idx="285">
                  <c:v>2564437.2735373424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-17042.208166666667</c:v>
                </c:pt>
                <c:pt idx="17">
                  <c:v>1407281.8065842825</c:v>
                </c:pt>
                <c:pt idx="18">
                  <c:v>1407281.8065842825</c:v>
                </c:pt>
                <c:pt idx="19">
                  <c:v>2422202.9354849472</c:v>
                </c:pt>
                <c:pt idx="20">
                  <c:v>2422202.9354849472</c:v>
                </c:pt>
                <c:pt idx="21">
                  <c:v>2283312.9987349473</c:v>
                </c:pt>
                <c:pt idx="22">
                  <c:v>2240584.5655599236</c:v>
                </c:pt>
                <c:pt idx="23">
                  <c:v>2469956.5105434465</c:v>
                </c:pt>
                <c:pt idx="24">
                  <c:v>2458956.5105434465</c:v>
                </c:pt>
                <c:pt idx="25">
                  <c:v>500313.50184779428</c:v>
                </c:pt>
                <c:pt idx="26">
                  <c:v>191311.14776446112</c:v>
                </c:pt>
                <c:pt idx="27">
                  <c:v>191311.14776446112</c:v>
                </c:pt>
                <c:pt idx="28">
                  <c:v>191311.14776446112</c:v>
                </c:pt>
                <c:pt idx="29">
                  <c:v>191311.14776446112</c:v>
                </c:pt>
                <c:pt idx="30">
                  <c:v>190829.89776446112</c:v>
                </c:pt>
                <c:pt idx="31">
                  <c:v>190829.89776446112</c:v>
                </c:pt>
                <c:pt idx="32">
                  <c:v>190829.89776446112</c:v>
                </c:pt>
                <c:pt idx="33">
                  <c:v>190829.89776446112</c:v>
                </c:pt>
                <c:pt idx="34">
                  <c:v>190829.89776446112</c:v>
                </c:pt>
                <c:pt idx="35">
                  <c:v>190348.64776446112</c:v>
                </c:pt>
                <c:pt idx="36">
                  <c:v>190348.64776446112</c:v>
                </c:pt>
                <c:pt idx="37">
                  <c:v>190348.64776446112</c:v>
                </c:pt>
                <c:pt idx="38">
                  <c:v>190348.64776446112</c:v>
                </c:pt>
                <c:pt idx="39">
                  <c:v>190348.64776446112</c:v>
                </c:pt>
                <c:pt idx="40">
                  <c:v>190348.64776446112</c:v>
                </c:pt>
                <c:pt idx="41">
                  <c:v>190348.64776446112</c:v>
                </c:pt>
                <c:pt idx="42">
                  <c:v>190348.64776446112</c:v>
                </c:pt>
                <c:pt idx="43">
                  <c:v>190348.64776446112</c:v>
                </c:pt>
                <c:pt idx="44">
                  <c:v>190348.64776446112</c:v>
                </c:pt>
                <c:pt idx="45">
                  <c:v>190348.64776446112</c:v>
                </c:pt>
                <c:pt idx="46">
                  <c:v>190348.64776446112</c:v>
                </c:pt>
                <c:pt idx="47">
                  <c:v>190348.64776446112</c:v>
                </c:pt>
                <c:pt idx="48">
                  <c:v>190348.64776446112</c:v>
                </c:pt>
                <c:pt idx="49">
                  <c:v>190348.64776446112</c:v>
                </c:pt>
                <c:pt idx="50">
                  <c:v>190348.64776446112</c:v>
                </c:pt>
                <c:pt idx="51">
                  <c:v>190348.64776446112</c:v>
                </c:pt>
                <c:pt idx="52">
                  <c:v>190348.64776446112</c:v>
                </c:pt>
                <c:pt idx="53">
                  <c:v>190348.64776446112</c:v>
                </c:pt>
                <c:pt idx="54">
                  <c:v>190348.64776446112</c:v>
                </c:pt>
                <c:pt idx="55">
                  <c:v>190348.64776446112</c:v>
                </c:pt>
                <c:pt idx="56">
                  <c:v>190348.64776446112</c:v>
                </c:pt>
                <c:pt idx="57">
                  <c:v>190348.64776446112</c:v>
                </c:pt>
                <c:pt idx="58">
                  <c:v>190348.64776446112</c:v>
                </c:pt>
                <c:pt idx="59">
                  <c:v>190348.64776446112</c:v>
                </c:pt>
                <c:pt idx="60">
                  <c:v>190348.64776446112</c:v>
                </c:pt>
                <c:pt idx="61">
                  <c:v>190348.64776446112</c:v>
                </c:pt>
                <c:pt idx="62">
                  <c:v>190348.64776446112</c:v>
                </c:pt>
                <c:pt idx="63">
                  <c:v>190348.64776446112</c:v>
                </c:pt>
                <c:pt idx="64">
                  <c:v>190348.64776446112</c:v>
                </c:pt>
                <c:pt idx="65">
                  <c:v>190348.64776446112</c:v>
                </c:pt>
                <c:pt idx="66">
                  <c:v>190348.64776446112</c:v>
                </c:pt>
                <c:pt idx="67">
                  <c:v>190348.64776446112</c:v>
                </c:pt>
                <c:pt idx="68">
                  <c:v>190348.64776446112</c:v>
                </c:pt>
                <c:pt idx="69">
                  <c:v>190348.64776446112</c:v>
                </c:pt>
                <c:pt idx="70">
                  <c:v>190348.64776446112</c:v>
                </c:pt>
                <c:pt idx="71">
                  <c:v>190348.64776446112</c:v>
                </c:pt>
                <c:pt idx="72">
                  <c:v>190348.64776446112</c:v>
                </c:pt>
                <c:pt idx="73">
                  <c:v>190348.64776446112</c:v>
                </c:pt>
                <c:pt idx="74">
                  <c:v>190348.64776446112</c:v>
                </c:pt>
                <c:pt idx="75">
                  <c:v>335337.38046455616</c:v>
                </c:pt>
                <c:pt idx="76">
                  <c:v>335337.38046455616</c:v>
                </c:pt>
                <c:pt idx="77">
                  <c:v>335337.38046455616</c:v>
                </c:pt>
                <c:pt idx="78">
                  <c:v>335337.38046455616</c:v>
                </c:pt>
                <c:pt idx="79">
                  <c:v>335337.38046455616</c:v>
                </c:pt>
                <c:pt idx="80">
                  <c:v>335337.38046455616</c:v>
                </c:pt>
                <c:pt idx="81">
                  <c:v>335337.38046455616</c:v>
                </c:pt>
                <c:pt idx="82">
                  <c:v>335337.38046455616</c:v>
                </c:pt>
                <c:pt idx="83">
                  <c:v>335337.38046455616</c:v>
                </c:pt>
                <c:pt idx="84">
                  <c:v>335337.38046455616</c:v>
                </c:pt>
                <c:pt idx="85">
                  <c:v>335337.38046455616</c:v>
                </c:pt>
                <c:pt idx="86">
                  <c:v>335337.38046455616</c:v>
                </c:pt>
                <c:pt idx="87">
                  <c:v>335337.38046455616</c:v>
                </c:pt>
                <c:pt idx="88">
                  <c:v>335337.38046455616</c:v>
                </c:pt>
                <c:pt idx="89">
                  <c:v>335337.38046455616</c:v>
                </c:pt>
                <c:pt idx="90">
                  <c:v>335337.38046455616</c:v>
                </c:pt>
                <c:pt idx="91">
                  <c:v>335337.38046455616</c:v>
                </c:pt>
                <c:pt idx="92">
                  <c:v>335337.38046455616</c:v>
                </c:pt>
                <c:pt idx="93">
                  <c:v>335337.38046455616</c:v>
                </c:pt>
                <c:pt idx="94">
                  <c:v>335337.38046455616</c:v>
                </c:pt>
                <c:pt idx="95">
                  <c:v>335337.38046455616</c:v>
                </c:pt>
                <c:pt idx="96">
                  <c:v>335337.38046455616</c:v>
                </c:pt>
                <c:pt idx="97">
                  <c:v>335337.38046455616</c:v>
                </c:pt>
                <c:pt idx="98">
                  <c:v>335337.38046455616</c:v>
                </c:pt>
                <c:pt idx="99">
                  <c:v>335337.38046455616</c:v>
                </c:pt>
                <c:pt idx="100">
                  <c:v>335337.38046455616</c:v>
                </c:pt>
                <c:pt idx="101">
                  <c:v>335337.38046455616</c:v>
                </c:pt>
                <c:pt idx="102">
                  <c:v>335337.38046455616</c:v>
                </c:pt>
                <c:pt idx="103">
                  <c:v>335337.38046455616</c:v>
                </c:pt>
                <c:pt idx="104">
                  <c:v>335337.38046455616</c:v>
                </c:pt>
                <c:pt idx="105">
                  <c:v>335337.38046455616</c:v>
                </c:pt>
                <c:pt idx="106">
                  <c:v>335337.38046455616</c:v>
                </c:pt>
                <c:pt idx="107">
                  <c:v>335337.38046455616</c:v>
                </c:pt>
                <c:pt idx="108">
                  <c:v>335337.38046455616</c:v>
                </c:pt>
                <c:pt idx="109">
                  <c:v>335337.38046455616</c:v>
                </c:pt>
                <c:pt idx="110">
                  <c:v>335337.38046455616</c:v>
                </c:pt>
                <c:pt idx="111">
                  <c:v>335337.38046455616</c:v>
                </c:pt>
                <c:pt idx="112">
                  <c:v>335337.38046455616</c:v>
                </c:pt>
                <c:pt idx="113">
                  <c:v>335337.38046455616</c:v>
                </c:pt>
                <c:pt idx="114">
                  <c:v>335337.38046455616</c:v>
                </c:pt>
                <c:pt idx="115">
                  <c:v>335337.38046455616</c:v>
                </c:pt>
                <c:pt idx="116">
                  <c:v>335337.38046455616</c:v>
                </c:pt>
                <c:pt idx="117">
                  <c:v>335337.38046455616</c:v>
                </c:pt>
                <c:pt idx="118">
                  <c:v>335337.38046455616</c:v>
                </c:pt>
                <c:pt idx="119">
                  <c:v>335337.38046455616</c:v>
                </c:pt>
                <c:pt idx="120">
                  <c:v>335337.38046455616</c:v>
                </c:pt>
                <c:pt idx="121">
                  <c:v>335337.38046455616</c:v>
                </c:pt>
                <c:pt idx="122">
                  <c:v>335337.38046455616</c:v>
                </c:pt>
                <c:pt idx="123">
                  <c:v>335337.38046455616</c:v>
                </c:pt>
                <c:pt idx="124">
                  <c:v>335337.38046455616</c:v>
                </c:pt>
                <c:pt idx="125">
                  <c:v>335337.38046455616</c:v>
                </c:pt>
                <c:pt idx="126">
                  <c:v>335337.38046455616</c:v>
                </c:pt>
                <c:pt idx="127">
                  <c:v>335337.38046455616</c:v>
                </c:pt>
                <c:pt idx="128">
                  <c:v>335337.38046455616</c:v>
                </c:pt>
                <c:pt idx="129">
                  <c:v>335337.38046455616</c:v>
                </c:pt>
                <c:pt idx="130">
                  <c:v>335337.38046455616</c:v>
                </c:pt>
                <c:pt idx="131">
                  <c:v>335337.38046455616</c:v>
                </c:pt>
                <c:pt idx="132">
                  <c:v>335337.38046455616</c:v>
                </c:pt>
                <c:pt idx="133">
                  <c:v>335337.38046455616</c:v>
                </c:pt>
                <c:pt idx="134">
                  <c:v>335337.38046455616</c:v>
                </c:pt>
                <c:pt idx="135">
                  <c:v>335337.38046455616</c:v>
                </c:pt>
                <c:pt idx="136">
                  <c:v>335337.38046455616</c:v>
                </c:pt>
                <c:pt idx="137">
                  <c:v>335337.38046455616</c:v>
                </c:pt>
                <c:pt idx="138">
                  <c:v>335337.38046455616</c:v>
                </c:pt>
                <c:pt idx="139">
                  <c:v>335337.38046455616</c:v>
                </c:pt>
                <c:pt idx="140">
                  <c:v>335337.38046455616</c:v>
                </c:pt>
                <c:pt idx="141">
                  <c:v>335337.38046455616</c:v>
                </c:pt>
                <c:pt idx="142">
                  <c:v>335337.38046455616</c:v>
                </c:pt>
                <c:pt idx="143">
                  <c:v>335337.38046455616</c:v>
                </c:pt>
                <c:pt idx="144">
                  <c:v>335337.38046455616</c:v>
                </c:pt>
                <c:pt idx="145">
                  <c:v>335337.38046455616</c:v>
                </c:pt>
                <c:pt idx="146">
                  <c:v>335337.38046455616</c:v>
                </c:pt>
                <c:pt idx="147">
                  <c:v>335337.38046455616</c:v>
                </c:pt>
                <c:pt idx="148">
                  <c:v>335337.38046455616</c:v>
                </c:pt>
                <c:pt idx="149">
                  <c:v>335337.38046455616</c:v>
                </c:pt>
                <c:pt idx="150">
                  <c:v>335337.38046455616</c:v>
                </c:pt>
                <c:pt idx="151">
                  <c:v>335337.38046455616</c:v>
                </c:pt>
                <c:pt idx="152">
                  <c:v>335337.38046455616</c:v>
                </c:pt>
                <c:pt idx="153">
                  <c:v>335337.38046455616</c:v>
                </c:pt>
                <c:pt idx="154">
                  <c:v>335337.38046455616</c:v>
                </c:pt>
                <c:pt idx="155">
                  <c:v>335337.38046455616</c:v>
                </c:pt>
                <c:pt idx="156">
                  <c:v>335337.38046455616</c:v>
                </c:pt>
                <c:pt idx="157">
                  <c:v>335337.38046455616</c:v>
                </c:pt>
                <c:pt idx="158">
                  <c:v>335337.38046455616</c:v>
                </c:pt>
                <c:pt idx="159">
                  <c:v>335337.38046455616</c:v>
                </c:pt>
                <c:pt idx="160">
                  <c:v>335337.38046455616</c:v>
                </c:pt>
                <c:pt idx="161">
                  <c:v>335337.38046455616</c:v>
                </c:pt>
                <c:pt idx="162">
                  <c:v>335337.38046455616</c:v>
                </c:pt>
                <c:pt idx="163">
                  <c:v>335337.38046455616</c:v>
                </c:pt>
                <c:pt idx="164">
                  <c:v>335337.38046455616</c:v>
                </c:pt>
                <c:pt idx="165">
                  <c:v>335337.38046455616</c:v>
                </c:pt>
                <c:pt idx="166">
                  <c:v>335337.38046455616</c:v>
                </c:pt>
                <c:pt idx="167">
                  <c:v>335337.38046455616</c:v>
                </c:pt>
                <c:pt idx="168">
                  <c:v>335337.38046455616</c:v>
                </c:pt>
                <c:pt idx="169">
                  <c:v>335337.38046455616</c:v>
                </c:pt>
                <c:pt idx="170">
                  <c:v>335337.38046455616</c:v>
                </c:pt>
                <c:pt idx="171">
                  <c:v>335337.38046455616</c:v>
                </c:pt>
                <c:pt idx="172">
                  <c:v>335337.38046455616</c:v>
                </c:pt>
                <c:pt idx="173">
                  <c:v>335337.38046455616</c:v>
                </c:pt>
                <c:pt idx="174">
                  <c:v>335337.38046455616</c:v>
                </c:pt>
                <c:pt idx="175">
                  <c:v>335337.38046455616</c:v>
                </c:pt>
                <c:pt idx="176">
                  <c:v>335337.38046455616</c:v>
                </c:pt>
                <c:pt idx="177">
                  <c:v>335337.38046455616</c:v>
                </c:pt>
                <c:pt idx="178">
                  <c:v>335337.38046455616</c:v>
                </c:pt>
                <c:pt idx="179">
                  <c:v>335337.38046455616</c:v>
                </c:pt>
                <c:pt idx="180">
                  <c:v>335337.38046455616</c:v>
                </c:pt>
                <c:pt idx="181">
                  <c:v>335337.38046455616</c:v>
                </c:pt>
                <c:pt idx="182">
                  <c:v>335337.38046455616</c:v>
                </c:pt>
                <c:pt idx="183">
                  <c:v>335337.38046455616</c:v>
                </c:pt>
                <c:pt idx="184">
                  <c:v>335337.38046455616</c:v>
                </c:pt>
                <c:pt idx="185">
                  <c:v>335337.38046455616</c:v>
                </c:pt>
                <c:pt idx="186">
                  <c:v>335337.38046455616</c:v>
                </c:pt>
                <c:pt idx="187">
                  <c:v>335337.38046455616</c:v>
                </c:pt>
                <c:pt idx="188">
                  <c:v>335337.38046455616</c:v>
                </c:pt>
                <c:pt idx="189">
                  <c:v>335337.38046455616</c:v>
                </c:pt>
                <c:pt idx="190">
                  <c:v>335337.38046455616</c:v>
                </c:pt>
                <c:pt idx="191">
                  <c:v>335337.38046455616</c:v>
                </c:pt>
                <c:pt idx="192">
                  <c:v>335337.38046455616</c:v>
                </c:pt>
                <c:pt idx="193">
                  <c:v>335337.38046455616</c:v>
                </c:pt>
                <c:pt idx="194">
                  <c:v>335337.38046455616</c:v>
                </c:pt>
                <c:pt idx="195">
                  <c:v>335337.38046455616</c:v>
                </c:pt>
                <c:pt idx="196">
                  <c:v>335337.38046455616</c:v>
                </c:pt>
                <c:pt idx="197">
                  <c:v>335337.38046455616</c:v>
                </c:pt>
                <c:pt idx="198">
                  <c:v>335337.38046455616</c:v>
                </c:pt>
                <c:pt idx="199">
                  <c:v>335337.38046455616</c:v>
                </c:pt>
                <c:pt idx="200">
                  <c:v>335337.38046455616</c:v>
                </c:pt>
                <c:pt idx="201">
                  <c:v>335337.38046455616</c:v>
                </c:pt>
                <c:pt idx="202">
                  <c:v>335337.38046455616</c:v>
                </c:pt>
                <c:pt idx="203">
                  <c:v>335337.38046455616</c:v>
                </c:pt>
                <c:pt idx="204">
                  <c:v>335337.38046455616</c:v>
                </c:pt>
                <c:pt idx="205">
                  <c:v>335337.38046455616</c:v>
                </c:pt>
                <c:pt idx="206">
                  <c:v>335337.38046455616</c:v>
                </c:pt>
                <c:pt idx="207">
                  <c:v>335337.38046455616</c:v>
                </c:pt>
                <c:pt idx="208">
                  <c:v>335337.38046455616</c:v>
                </c:pt>
                <c:pt idx="209">
                  <c:v>335337.38046455616</c:v>
                </c:pt>
                <c:pt idx="210">
                  <c:v>335337.38046455616</c:v>
                </c:pt>
                <c:pt idx="211">
                  <c:v>335337.38046455616</c:v>
                </c:pt>
                <c:pt idx="212">
                  <c:v>335337.38046455616</c:v>
                </c:pt>
                <c:pt idx="213">
                  <c:v>335337.38046455616</c:v>
                </c:pt>
                <c:pt idx="214">
                  <c:v>335337.38046455616</c:v>
                </c:pt>
                <c:pt idx="215">
                  <c:v>335337.38046455616</c:v>
                </c:pt>
                <c:pt idx="216">
                  <c:v>335337.38046455616</c:v>
                </c:pt>
                <c:pt idx="217">
                  <c:v>335337.38046455616</c:v>
                </c:pt>
                <c:pt idx="218">
                  <c:v>335337.38046455616</c:v>
                </c:pt>
                <c:pt idx="219">
                  <c:v>335337.38046455616</c:v>
                </c:pt>
                <c:pt idx="220">
                  <c:v>335337.38046455616</c:v>
                </c:pt>
                <c:pt idx="221">
                  <c:v>335337.38046455616</c:v>
                </c:pt>
                <c:pt idx="222">
                  <c:v>335337.38046455616</c:v>
                </c:pt>
                <c:pt idx="223">
                  <c:v>335337.38046455616</c:v>
                </c:pt>
                <c:pt idx="224">
                  <c:v>335337.38046455616</c:v>
                </c:pt>
                <c:pt idx="225">
                  <c:v>335337.38046455616</c:v>
                </c:pt>
                <c:pt idx="226">
                  <c:v>335337.38046455616</c:v>
                </c:pt>
                <c:pt idx="227">
                  <c:v>335337.38046455616</c:v>
                </c:pt>
                <c:pt idx="228">
                  <c:v>335337.38046455616</c:v>
                </c:pt>
                <c:pt idx="229">
                  <c:v>335337.38046455616</c:v>
                </c:pt>
                <c:pt idx="230">
                  <c:v>335337.38046455616</c:v>
                </c:pt>
                <c:pt idx="231">
                  <c:v>335337.38046455616</c:v>
                </c:pt>
                <c:pt idx="232">
                  <c:v>335337.38046455616</c:v>
                </c:pt>
                <c:pt idx="233">
                  <c:v>335337.38046455616</c:v>
                </c:pt>
                <c:pt idx="234">
                  <c:v>335337.38046455616</c:v>
                </c:pt>
                <c:pt idx="235">
                  <c:v>335337.38046455616</c:v>
                </c:pt>
                <c:pt idx="236">
                  <c:v>335337.38046455616</c:v>
                </c:pt>
                <c:pt idx="237">
                  <c:v>335337.38046455616</c:v>
                </c:pt>
                <c:pt idx="238">
                  <c:v>335337.38046455616</c:v>
                </c:pt>
                <c:pt idx="239">
                  <c:v>335337.38046455616</c:v>
                </c:pt>
                <c:pt idx="240">
                  <c:v>335337.38046455616</c:v>
                </c:pt>
                <c:pt idx="241">
                  <c:v>335337.38046455616</c:v>
                </c:pt>
                <c:pt idx="242">
                  <c:v>335337.38046455616</c:v>
                </c:pt>
                <c:pt idx="243">
                  <c:v>335337.38046455616</c:v>
                </c:pt>
                <c:pt idx="244">
                  <c:v>335337.38046455616</c:v>
                </c:pt>
                <c:pt idx="245">
                  <c:v>335337.38046455616</c:v>
                </c:pt>
                <c:pt idx="246">
                  <c:v>335337.38046455616</c:v>
                </c:pt>
                <c:pt idx="247">
                  <c:v>335337.38046455616</c:v>
                </c:pt>
                <c:pt idx="248">
                  <c:v>335337.38046455616</c:v>
                </c:pt>
                <c:pt idx="249">
                  <c:v>335337.38046455616</c:v>
                </c:pt>
                <c:pt idx="250">
                  <c:v>335337.38046455616</c:v>
                </c:pt>
                <c:pt idx="251">
                  <c:v>335337.38046455616</c:v>
                </c:pt>
                <c:pt idx="252">
                  <c:v>335337.38046455616</c:v>
                </c:pt>
                <c:pt idx="253">
                  <c:v>335337.38046455616</c:v>
                </c:pt>
                <c:pt idx="254">
                  <c:v>335337.38046455616</c:v>
                </c:pt>
                <c:pt idx="255">
                  <c:v>335337.38046455616</c:v>
                </c:pt>
                <c:pt idx="256">
                  <c:v>335337.38046455616</c:v>
                </c:pt>
                <c:pt idx="257">
                  <c:v>335337.38046455616</c:v>
                </c:pt>
                <c:pt idx="258">
                  <c:v>335337.38046455616</c:v>
                </c:pt>
                <c:pt idx="259">
                  <c:v>335337.38046455616</c:v>
                </c:pt>
                <c:pt idx="260">
                  <c:v>335337.38046455616</c:v>
                </c:pt>
                <c:pt idx="261">
                  <c:v>335337.38046455616</c:v>
                </c:pt>
                <c:pt idx="262">
                  <c:v>335337.38046455616</c:v>
                </c:pt>
                <c:pt idx="263">
                  <c:v>335337.38046455616</c:v>
                </c:pt>
                <c:pt idx="264">
                  <c:v>335337.38046455616</c:v>
                </c:pt>
                <c:pt idx="265">
                  <c:v>335337.38046455616</c:v>
                </c:pt>
                <c:pt idx="266">
                  <c:v>335337.38046455616</c:v>
                </c:pt>
                <c:pt idx="267">
                  <c:v>335337.38046455616</c:v>
                </c:pt>
                <c:pt idx="268">
                  <c:v>335337.38046455616</c:v>
                </c:pt>
                <c:pt idx="269">
                  <c:v>335337.38046455616</c:v>
                </c:pt>
                <c:pt idx="270">
                  <c:v>335337.38046455616</c:v>
                </c:pt>
                <c:pt idx="271">
                  <c:v>335337.38046455616</c:v>
                </c:pt>
                <c:pt idx="272">
                  <c:v>335337.38046455616</c:v>
                </c:pt>
                <c:pt idx="273">
                  <c:v>335337.38046455616</c:v>
                </c:pt>
                <c:pt idx="274">
                  <c:v>335337.38046455616</c:v>
                </c:pt>
                <c:pt idx="275">
                  <c:v>335337.38046455616</c:v>
                </c:pt>
                <c:pt idx="276">
                  <c:v>335337.38046455616</c:v>
                </c:pt>
                <c:pt idx="277">
                  <c:v>335337.38046455616</c:v>
                </c:pt>
                <c:pt idx="278">
                  <c:v>335337.38046455616</c:v>
                </c:pt>
                <c:pt idx="279">
                  <c:v>335337.38046455616</c:v>
                </c:pt>
                <c:pt idx="280">
                  <c:v>335337.38046455616</c:v>
                </c:pt>
                <c:pt idx="281">
                  <c:v>335337.38046455616</c:v>
                </c:pt>
                <c:pt idx="282">
                  <c:v>335337.38046455616</c:v>
                </c:pt>
                <c:pt idx="283">
                  <c:v>335337.38046455616</c:v>
                </c:pt>
                <c:pt idx="284">
                  <c:v>335337.38046455616</c:v>
                </c:pt>
                <c:pt idx="285">
                  <c:v>335337.38046455616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21828.595193546862</c:v>
                </c:pt>
                <c:pt idx="17">
                  <c:v>21828.595193546862</c:v>
                </c:pt>
                <c:pt idx="18">
                  <c:v>21828.595193546862</c:v>
                </c:pt>
                <c:pt idx="19">
                  <c:v>21828.595193546862</c:v>
                </c:pt>
                <c:pt idx="20">
                  <c:v>21828.595193546862</c:v>
                </c:pt>
                <c:pt idx="21">
                  <c:v>55106.210206089381</c:v>
                </c:pt>
                <c:pt idx="22">
                  <c:v>55106.210206089381</c:v>
                </c:pt>
                <c:pt idx="23">
                  <c:v>55106.210206089381</c:v>
                </c:pt>
                <c:pt idx="24">
                  <c:v>55106.210206089381</c:v>
                </c:pt>
                <c:pt idx="25">
                  <c:v>2527968.9569236939</c:v>
                </c:pt>
                <c:pt idx="26">
                  <c:v>2527968.9569236939</c:v>
                </c:pt>
                <c:pt idx="27">
                  <c:v>2527968.9569236939</c:v>
                </c:pt>
                <c:pt idx="28">
                  <c:v>2527968.9569236939</c:v>
                </c:pt>
                <c:pt idx="29">
                  <c:v>2899239.9317796766</c:v>
                </c:pt>
                <c:pt idx="30">
                  <c:v>2899239.9317796766</c:v>
                </c:pt>
                <c:pt idx="31">
                  <c:v>2899239.9317796766</c:v>
                </c:pt>
                <c:pt idx="32">
                  <c:v>2899239.9317796766</c:v>
                </c:pt>
                <c:pt idx="33">
                  <c:v>2899239.9317796766</c:v>
                </c:pt>
                <c:pt idx="34">
                  <c:v>2899774.6540018986</c:v>
                </c:pt>
                <c:pt idx="35">
                  <c:v>2899774.6540018986</c:v>
                </c:pt>
                <c:pt idx="36">
                  <c:v>2899774.6540018986</c:v>
                </c:pt>
                <c:pt idx="37">
                  <c:v>2899774.6540018986</c:v>
                </c:pt>
                <c:pt idx="38">
                  <c:v>2899774.6540018986</c:v>
                </c:pt>
                <c:pt idx="39">
                  <c:v>2899774.6540018986</c:v>
                </c:pt>
                <c:pt idx="40">
                  <c:v>2899774.6540018986</c:v>
                </c:pt>
                <c:pt idx="41">
                  <c:v>2899774.6540018986</c:v>
                </c:pt>
                <c:pt idx="42">
                  <c:v>2899774.6540018986</c:v>
                </c:pt>
                <c:pt idx="43">
                  <c:v>2899774.6540018986</c:v>
                </c:pt>
                <c:pt idx="44">
                  <c:v>2899774.6540018986</c:v>
                </c:pt>
                <c:pt idx="45">
                  <c:v>2899774.6540018986</c:v>
                </c:pt>
                <c:pt idx="46">
                  <c:v>2899774.6540018986</c:v>
                </c:pt>
                <c:pt idx="47">
                  <c:v>2899774.6540018986</c:v>
                </c:pt>
                <c:pt idx="48">
                  <c:v>2899774.6540018986</c:v>
                </c:pt>
                <c:pt idx="49">
                  <c:v>2899774.6540018986</c:v>
                </c:pt>
                <c:pt idx="50">
                  <c:v>2899774.6540018986</c:v>
                </c:pt>
                <c:pt idx="51">
                  <c:v>2899774.6540018986</c:v>
                </c:pt>
                <c:pt idx="52">
                  <c:v>2899774.6540018986</c:v>
                </c:pt>
                <c:pt idx="53">
                  <c:v>2899774.6540018986</c:v>
                </c:pt>
                <c:pt idx="54">
                  <c:v>2899774.6540018986</c:v>
                </c:pt>
                <c:pt idx="55">
                  <c:v>2899774.6540018986</c:v>
                </c:pt>
                <c:pt idx="56">
                  <c:v>2899774.6540018986</c:v>
                </c:pt>
                <c:pt idx="57">
                  <c:v>2899774.6540018986</c:v>
                </c:pt>
                <c:pt idx="58">
                  <c:v>2899774.6540018986</c:v>
                </c:pt>
                <c:pt idx="59">
                  <c:v>2899774.6540018986</c:v>
                </c:pt>
                <c:pt idx="60">
                  <c:v>2899774.6540018986</c:v>
                </c:pt>
                <c:pt idx="61">
                  <c:v>2899774.6540018986</c:v>
                </c:pt>
                <c:pt idx="62">
                  <c:v>2899774.6540018986</c:v>
                </c:pt>
                <c:pt idx="63">
                  <c:v>2899774.6540018986</c:v>
                </c:pt>
                <c:pt idx="64">
                  <c:v>2899774.6540018986</c:v>
                </c:pt>
                <c:pt idx="65">
                  <c:v>2899774.6540018986</c:v>
                </c:pt>
                <c:pt idx="66">
                  <c:v>2899774.6540018986</c:v>
                </c:pt>
                <c:pt idx="67">
                  <c:v>2899774.6540018986</c:v>
                </c:pt>
                <c:pt idx="68">
                  <c:v>2899774.6540018986</c:v>
                </c:pt>
                <c:pt idx="69">
                  <c:v>2899774.6540018986</c:v>
                </c:pt>
                <c:pt idx="70">
                  <c:v>2899774.6540018986</c:v>
                </c:pt>
                <c:pt idx="71">
                  <c:v>2899774.6540018986</c:v>
                </c:pt>
                <c:pt idx="72">
                  <c:v>2899774.6540018986</c:v>
                </c:pt>
                <c:pt idx="73">
                  <c:v>2899774.6540018986</c:v>
                </c:pt>
                <c:pt idx="74">
                  <c:v>2899774.6540018986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39756944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" maxValue="80801"/>
    </cacheField>
    <cacheField name="Rate / Unit" numFmtId="0">
      <sharedItems containsString="0" containsBlank="1" containsNumber="1" minValue="0.05" maxValue="1311.5"/>
    </cacheField>
    <cacheField name="Actual Total " numFmtId="0">
      <sharedItems containsString="0" containsBlank="1" containsNumber="1" minValue="0" maxValue="100811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6-01T00:00:00" count="18">
        <m/>
        <d v="2026-05-31T00:00:00"/>
        <s v=""/>
        <d v="2026-04-30T00:00:00"/>
        <d v="2026-02-28T00:00:00"/>
        <d v="2026-03-31T00:00:00"/>
        <d v="2026-01-31T00:00:00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45579.54545454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5-11T00:00:00"/>
    </cacheField>
    <cacheField name="Total COS" numFmtId="0">
      <sharedItems containsString="0" containsBlank="1" containsNumber="1" minValue="0" maxValue="1211692.60869565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10W as placeholder"/>
    <n v="196.72131147540983"/>
    <n v="1311.5"/>
    <n v="258000"/>
    <m/>
    <m/>
    <x v="1"/>
    <n v="306672.09883720923"/>
    <n v="0"/>
    <d v="2026-05-05T00:00:00"/>
    <n v="25800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Ziegler - Longi 610W"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m/>
    <x v="0"/>
    <m/>
    <m/>
    <m/>
    <m/>
    <m/>
    <m/>
    <x v="2"/>
    <m/>
    <m/>
    <m/>
    <m/>
  </r>
  <r>
    <n v="3"/>
    <x v="3"/>
    <s v="Schletter Structure"/>
    <m/>
    <m/>
    <n v="53802"/>
    <m/>
    <m/>
    <x v="3"/>
    <n v="62560.465116279069"/>
    <n v="0"/>
    <d v="2026-04-30T00:00:00"/>
    <n v="5380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3000"/>
    <n v="14"/>
    <n v="42000"/>
    <m/>
    <m/>
    <x v="1"/>
    <n v="53149.856199777671"/>
    <n v="0"/>
    <d v="2026-05-05T00:00:00"/>
    <n v="115032.93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3032.934999999998"/>
    <n v="0.1"/>
    <n v="7303.2934999999998"/>
    <m/>
    <m/>
    <x v="4"/>
    <n v="9242.1190311850223"/>
    <m/>
    <d v="2026-02-26T00:00:00"/>
    <m/>
  </r>
  <r>
    <n v="4"/>
    <x v="4"/>
    <s v="Site Establishment"/>
    <m/>
    <n v="0.15"/>
    <n v="10954.94025"/>
    <m/>
    <m/>
    <x v="5"/>
    <n v="13863.178546777535"/>
    <m/>
    <d v="2026-03-05T00:00:00"/>
    <m/>
  </r>
  <r>
    <n v="4"/>
    <x v="4"/>
    <s v="AC Installation Complete"/>
    <m/>
    <n v="0.2"/>
    <n v="14606.587"/>
    <m/>
    <m/>
    <x v="3"/>
    <n v="18484.238062370045"/>
    <m/>
    <d v="2026-04-03T00:00:00"/>
    <m/>
  </r>
  <r>
    <n v="4"/>
    <x v="4"/>
    <s v="DC Installation Complete"/>
    <m/>
    <n v="0.25"/>
    <n v="18258.233749999999"/>
    <m/>
    <m/>
    <x v="3"/>
    <n v="23105.297577962559"/>
    <m/>
    <d v="2026-04-02T00:00:00"/>
    <m/>
  </r>
  <r>
    <n v="4"/>
    <x v="4"/>
    <s v="Commissioning Complete"/>
    <m/>
    <n v="0.1"/>
    <n v="7303.2934999999998"/>
    <m/>
    <m/>
    <x v="3"/>
    <n v="9242.1190311850223"/>
    <m/>
    <d v="2026-04-16T00:00:00"/>
    <m/>
  </r>
  <r>
    <n v="4"/>
    <x v="4"/>
    <s v="Site De-establisment"/>
    <m/>
    <n v="0.1"/>
    <n v="7303.2934999999998"/>
    <m/>
    <m/>
    <x v="3"/>
    <n v="9242.1190311850223"/>
    <m/>
    <d v="2026-04-17T00:00:00"/>
    <m/>
  </r>
  <r>
    <n v="4"/>
    <x v="4"/>
    <s v="Handover Document Complete"/>
    <m/>
    <n v="0.05"/>
    <n v="3651.6467499999999"/>
    <m/>
    <m/>
    <x v="3"/>
    <n v="4621.0595155925112"/>
    <m/>
    <d v="2026-04-17T00:00:00"/>
    <m/>
  </r>
  <r>
    <n v="4"/>
    <x v="4"/>
    <s v="End of Defects Period"/>
    <m/>
    <n v="0.05"/>
    <n v="3651.6467499999999"/>
    <m/>
    <m/>
    <x v="1"/>
    <n v="4621.0595155925112"/>
    <m/>
    <d v="2026-05-1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000"/>
    <m/>
    <m/>
    <x v="5"/>
    <n v="0"/>
    <n v="0"/>
    <d v="2026-03-31T00:00:00"/>
    <n v="49000"/>
  </r>
  <r>
    <n v="5"/>
    <x v="5"/>
    <s v="Comms DB"/>
    <m/>
    <m/>
    <n v="26000"/>
    <m/>
    <m/>
    <x v="5"/>
    <n v="0"/>
    <m/>
    <d v="2026-03-31T00:00:00"/>
    <m/>
  </r>
  <r>
    <n v="5"/>
    <x v="5"/>
    <s v="Revenue Grade Meter"/>
    <m/>
    <m/>
    <n v="15000"/>
    <m/>
    <m/>
    <x v="5"/>
    <n v="0"/>
    <m/>
    <d v="2026-03-31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m/>
    <n v="0"/>
    <m/>
    <n v="0"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s v="Project Kick Off"/>
    <n v="0"/>
    <n v="0.1"/>
    <n v="0"/>
    <m/>
    <m/>
    <x v="4"/>
    <m/>
    <m/>
    <d v="2026-02-26T00:00:00"/>
    <m/>
  </r>
  <r>
    <n v="6"/>
    <x v="6"/>
    <s v="Site Establishment"/>
    <m/>
    <n v="0.15"/>
    <n v="0"/>
    <m/>
    <m/>
    <x v="5"/>
    <m/>
    <m/>
    <d v="2026-03-05T00:00:00"/>
    <m/>
  </r>
  <r>
    <n v="6"/>
    <x v="6"/>
    <s v="AC Installation Complete"/>
    <m/>
    <n v="0.2"/>
    <n v="0"/>
    <m/>
    <m/>
    <x v="3"/>
    <m/>
    <m/>
    <d v="2026-04-03T00:00:00"/>
    <m/>
  </r>
  <r>
    <n v="6"/>
    <x v="6"/>
    <s v="DC Installation Complete"/>
    <m/>
    <n v="0.25"/>
    <n v="0"/>
    <m/>
    <m/>
    <x v="3"/>
    <m/>
    <m/>
    <d v="2026-04-02T00:00:00"/>
    <m/>
  </r>
  <r>
    <n v="6"/>
    <x v="6"/>
    <s v="Commissioning Complete"/>
    <m/>
    <n v="0.1"/>
    <n v="0"/>
    <m/>
    <m/>
    <x v="3"/>
    <m/>
    <m/>
    <d v="2026-04-16T00:00:00"/>
    <m/>
  </r>
  <r>
    <n v="6"/>
    <x v="6"/>
    <s v="Site De-establisment"/>
    <m/>
    <n v="0.1"/>
    <n v="0"/>
    <m/>
    <m/>
    <x v="3"/>
    <m/>
    <m/>
    <d v="2026-04-17T00:00:00"/>
    <m/>
  </r>
  <r>
    <n v="6"/>
    <x v="6"/>
    <s v="Handover Document Complete"/>
    <m/>
    <n v="0.05"/>
    <n v="0"/>
    <m/>
    <m/>
    <x v="3"/>
    <m/>
    <m/>
    <d v="2026-04-17T00:00:00"/>
    <m/>
  </r>
  <r>
    <n v="6"/>
    <x v="6"/>
    <s v="End of Defects Period"/>
    <m/>
    <n v="0.05"/>
    <n v="0"/>
    <m/>
    <m/>
    <x v="1"/>
    <m/>
    <m/>
    <d v="2026-05-10T00:00:00"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m/>
    <x v="0"/>
    <m/>
    <m/>
    <m/>
    <m/>
    <m/>
    <m/>
    <x v="2"/>
    <m/>
    <m/>
    <m/>
    <m/>
  </r>
  <r>
    <n v="7"/>
    <x v="7"/>
    <s v="Battery Inverter + Battery Bank"/>
    <m/>
    <m/>
    <n v="1008110"/>
    <m/>
    <m/>
    <x v="3"/>
    <n v="1145579.5454545454"/>
    <n v="0"/>
    <d v="2026-04-30T00:00:00"/>
    <n v="1211692.6086956521"/>
  </r>
  <r>
    <n v="7"/>
    <x v="7"/>
    <s v="Ps and Gs"/>
    <m/>
    <m/>
    <n v="24200"/>
    <m/>
    <m/>
    <x v="3"/>
    <n v="27500.000000000004"/>
    <m/>
    <d v="2026-04-30T00:00:00"/>
    <m/>
  </r>
  <r>
    <n v="7"/>
    <x v="7"/>
    <s v="Installation "/>
    <m/>
    <m/>
    <n v="67600"/>
    <m/>
    <m/>
    <x v="3"/>
    <n v="76818.181818181823"/>
    <m/>
    <d v="2026-04-30T00:00:00"/>
    <m/>
  </r>
  <r>
    <n v="7"/>
    <x v="7"/>
    <s v="AC+DC Equipment"/>
    <m/>
    <m/>
    <n v="69200"/>
    <m/>
    <m/>
    <x v="3"/>
    <n v="78636.363636363647"/>
    <m/>
    <d v="2026-04-30T00:00:00"/>
    <m/>
  </r>
  <r>
    <n v="7"/>
    <x v="7"/>
    <s v="Inverter Cables"/>
    <m/>
    <m/>
    <n v="15000"/>
    <m/>
    <m/>
    <x v="3"/>
    <n v="17045.454545454548"/>
    <m/>
    <d v="2026-04-30T00:00:00"/>
    <m/>
  </r>
  <r>
    <n v="7"/>
    <x v="7"/>
    <s v="Main Gateway Cable (Tie-In)"/>
    <m/>
    <m/>
    <n v="27582.608695652176"/>
    <m/>
    <m/>
    <x v="3"/>
    <n v="31343.873517786567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693148.4"/>
  </r>
  <r>
    <n v="8"/>
    <x v="8"/>
    <s v="BESS 20ft A-Grade Container"/>
    <m/>
    <m/>
    <n v="315000"/>
    <m/>
    <m/>
    <x v="3"/>
    <n v="366279.06976744189"/>
    <m/>
    <d v="2026-04-30T00:00:00"/>
    <m/>
  </r>
  <r>
    <n v="8"/>
    <x v="8"/>
    <s v="Fire Suppression"/>
    <m/>
    <m/>
    <n v="125000"/>
    <m/>
    <m/>
    <x v="3"/>
    <n v="145348.83720930232"/>
    <m/>
    <d v="2026-04-30T00:00:00"/>
    <m/>
  </r>
  <r>
    <n v="8"/>
    <x v="8"/>
    <s v="Eaton UPS 80kVA as per existing UPS"/>
    <m/>
    <m/>
    <n v="253148.4"/>
    <m/>
    <m/>
    <x v="3"/>
    <n v="294358.60465116281"/>
    <m/>
    <d v="2026-04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0801"/>
  </r>
  <r>
    <n v="9"/>
    <x v="9"/>
    <s v="Project Kick Off"/>
    <n v="80801"/>
    <n v="0.1"/>
    <n v="8080.1"/>
    <m/>
    <m/>
    <x v="4"/>
    <n v="10562.222222222223"/>
    <m/>
    <d v="2026-02-26T00:00:00"/>
    <m/>
  </r>
  <r>
    <n v="9"/>
    <x v="9"/>
    <s v="Site Establishment"/>
    <m/>
    <n v="0.15"/>
    <n v="12120.15"/>
    <m/>
    <m/>
    <x v="5"/>
    <n v="15843.333333333332"/>
    <m/>
    <d v="2026-03-05T00:00:00"/>
    <m/>
  </r>
  <r>
    <n v="9"/>
    <x v="9"/>
    <s v="AC Installation Complete"/>
    <m/>
    <n v="0.2"/>
    <n v="16160.2"/>
    <m/>
    <m/>
    <x v="3"/>
    <n v="21124.444444444445"/>
    <m/>
    <d v="2026-04-03T00:00:00"/>
    <m/>
  </r>
  <r>
    <n v="9"/>
    <x v="9"/>
    <s v="DC Installation Complete"/>
    <m/>
    <n v="0.25"/>
    <n v="20200.25"/>
    <m/>
    <m/>
    <x v="3"/>
    <n v="26405.555555555555"/>
    <m/>
    <d v="2026-04-02T00:00:00"/>
    <m/>
  </r>
  <r>
    <n v="9"/>
    <x v="9"/>
    <s v="Commissioning Complete"/>
    <m/>
    <n v="0.1"/>
    <n v="8080.1"/>
    <m/>
    <m/>
    <x v="3"/>
    <n v="10562.222222222223"/>
    <m/>
    <d v="2026-04-16T00:00:00"/>
    <m/>
  </r>
  <r>
    <n v="9"/>
    <x v="9"/>
    <s v="Site De-establisment"/>
    <m/>
    <n v="0.1"/>
    <n v="8080.1"/>
    <m/>
    <m/>
    <x v="3"/>
    <n v="10562.222222222223"/>
    <m/>
    <d v="2026-04-17T00:00:00"/>
    <m/>
  </r>
  <r>
    <n v="9"/>
    <x v="9"/>
    <s v="Handover Document Complete"/>
    <m/>
    <n v="0.05"/>
    <n v="4040.05"/>
    <m/>
    <m/>
    <x v="3"/>
    <n v="5281.1111111111113"/>
    <m/>
    <d v="2026-04-17T00:00:00"/>
    <m/>
  </r>
  <r>
    <n v="9"/>
    <x v="9"/>
    <s v="End of Defects Period"/>
    <m/>
    <n v="0.05"/>
    <n v="4040.05"/>
    <m/>
    <m/>
    <x v="1"/>
    <n v="5281.1111111111113"/>
    <m/>
    <d v="2026-05-1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13200"/>
    <m/>
    <m/>
    <x v="3"/>
    <n v="16107.979117122353"/>
    <n v="0"/>
    <d v="2026-04-03T00:00:00"/>
    <n v="29788.14666666666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588.146666666667"/>
    <n v="0.1"/>
    <n v="1658.8146666666669"/>
    <m/>
    <m/>
    <x v="4"/>
    <n v="2024.253940139617"/>
    <m/>
    <d v="2026-02-26T00:00:00"/>
    <m/>
  </r>
  <r>
    <n v="10"/>
    <x v="10"/>
    <s v="Site Establishment"/>
    <m/>
    <n v="0.15"/>
    <n v="2488.2220000000002"/>
    <m/>
    <m/>
    <x v="5"/>
    <n v="3036.380910209426"/>
    <m/>
    <d v="2026-03-05T00:00:00"/>
    <m/>
  </r>
  <r>
    <n v="10"/>
    <x v="10"/>
    <s v="AC Installation Complete"/>
    <m/>
    <n v="0.2"/>
    <n v="3317.6293333333338"/>
    <m/>
    <m/>
    <x v="3"/>
    <n v="4048.5078802792341"/>
    <m/>
    <d v="2026-04-03T00:00:00"/>
    <m/>
  </r>
  <r>
    <n v="10"/>
    <x v="10"/>
    <s v="DC Installation Complete"/>
    <m/>
    <n v="0.25"/>
    <n v="4147.0366666666669"/>
    <m/>
    <m/>
    <x v="3"/>
    <n v="5060.6348503490426"/>
    <m/>
    <d v="2026-04-02T00:00:00"/>
    <m/>
  </r>
  <r>
    <n v="10"/>
    <x v="10"/>
    <s v="Commissioning Complete"/>
    <m/>
    <n v="0.1"/>
    <n v="1658.8146666666669"/>
    <m/>
    <m/>
    <x v="3"/>
    <n v="2024.253940139617"/>
    <m/>
    <d v="2026-04-16T00:00:00"/>
    <m/>
  </r>
  <r>
    <n v="10"/>
    <x v="10"/>
    <s v="Site De-establisment"/>
    <m/>
    <n v="0.1"/>
    <n v="1658.8146666666669"/>
    <m/>
    <m/>
    <x v="3"/>
    <n v="2024.253940139617"/>
    <m/>
    <d v="2026-04-17T00:00:00"/>
    <m/>
  </r>
  <r>
    <n v="10"/>
    <x v="10"/>
    <s v="Handover Document Complete"/>
    <m/>
    <n v="0.05"/>
    <n v="829.40733333333344"/>
    <m/>
    <m/>
    <x v="3"/>
    <n v="1012.1269700698085"/>
    <m/>
    <d v="2026-04-17T00:00:00"/>
    <m/>
  </r>
  <r>
    <n v="10"/>
    <x v="10"/>
    <s v="End of Defects Period"/>
    <m/>
    <n v="0.05"/>
    <n v="829.40733333333344"/>
    <m/>
    <m/>
    <x v="1"/>
    <n v="1012.1269700698085"/>
    <m/>
    <d v="2026-05-1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0126.984126984127"/>
    <n v="0"/>
    <d v="2026-04-23T00:00:00"/>
    <n v="35000"/>
  </r>
  <r>
    <n v="11"/>
    <x v="11"/>
    <s v="Structural Sign Off"/>
    <m/>
    <m/>
    <n v="18000"/>
    <m/>
    <m/>
    <x v="3"/>
    <n v="16571.428571428569"/>
    <m/>
    <d v="2026-04-13T00:00:00"/>
    <m/>
  </r>
  <r>
    <n v="11"/>
    <x v="11"/>
    <s v="Grid Study"/>
    <m/>
    <m/>
    <n v="0"/>
    <m/>
    <m/>
    <x v="2"/>
    <n v="0"/>
    <m/>
    <m/>
    <m/>
  </r>
  <r>
    <n v="11"/>
    <x v="11"/>
    <s v="Red Team Inspection"/>
    <m/>
    <m/>
    <n v="6000"/>
    <m/>
    <m/>
    <x v="3"/>
    <n v="5523.8095238095239"/>
    <m/>
    <d v="2026-04-0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6247.183175023732"/>
    <m/>
    <m/>
    <x v="3"/>
    <n v="25727.261084692029"/>
    <n v="0"/>
    <d v="2026-04-09T00:00:00"/>
    <n v="36247.183175023732"/>
  </r>
  <r>
    <n v="13"/>
    <x v="13"/>
    <s v="Management"/>
    <m/>
    <m/>
    <m/>
    <m/>
    <m/>
    <x v="3"/>
    <n v="0"/>
    <m/>
    <d v="2026-04-09T00:00:00"/>
    <m/>
  </r>
  <r>
    <n v="13"/>
    <x v="13"/>
    <s v="Project manager "/>
    <m/>
    <m/>
    <m/>
    <m/>
    <m/>
    <x v="3"/>
    <n v="0"/>
    <m/>
    <d v="2026-04-09T00:00:00"/>
    <m/>
  </r>
  <r>
    <n v="13"/>
    <x v="13"/>
    <s v="Planner time"/>
    <m/>
    <m/>
    <m/>
    <m/>
    <m/>
    <x v="3"/>
    <n v="0"/>
    <m/>
    <d v="2026-04-09T00:00:00"/>
    <m/>
  </r>
  <r>
    <n v="13"/>
    <x v="13"/>
    <s v="De Snagging"/>
    <m/>
    <m/>
    <m/>
    <m/>
    <m/>
    <x v="3"/>
    <n v="0"/>
    <m/>
    <d v="2026-04-09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6"/>
    <n v="534.72222222222217"/>
    <n v="0"/>
    <d v="2026-02-07T00:00:00"/>
    <n v="1925"/>
  </r>
  <r>
    <n v="14"/>
    <x v="14"/>
    <s v="Travel"/>
    <m/>
    <m/>
    <n v="481.25"/>
    <m/>
    <m/>
    <x v="4"/>
    <n v="534.72222222222217"/>
    <m/>
    <d v="2026-03-07T00:00:00"/>
    <m/>
  </r>
  <r>
    <n v="14"/>
    <x v="14"/>
    <s v="Travel"/>
    <m/>
    <m/>
    <n v="481.25"/>
    <m/>
    <m/>
    <x v="5"/>
    <n v="534.72222222222217"/>
    <m/>
    <d v="2026-04-07T00:00:00"/>
    <m/>
  </r>
  <r>
    <n v="14"/>
    <x v="14"/>
    <s v="Travel"/>
    <m/>
    <m/>
    <n v="481.25"/>
    <m/>
    <m/>
    <x v="3"/>
    <n v="534.7222222222221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2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2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632" t="s">
        <v>0</v>
      </c>
      <c r="C2" s="632"/>
      <c r="D2" s="632"/>
      <c r="E2" s="632"/>
      <c r="H2" s="633" t="s">
        <v>1</v>
      </c>
      <c r="I2" s="634"/>
      <c r="J2" s="634"/>
      <c r="K2" s="634"/>
      <c r="L2" s="634"/>
      <c r="M2" s="634"/>
      <c r="N2" s="634"/>
      <c r="O2" s="635"/>
    </row>
    <row r="3" spans="2:15">
      <c r="B3" s="614"/>
      <c r="H3" s="636"/>
      <c r="I3" s="637"/>
      <c r="J3" s="637"/>
      <c r="K3" s="637"/>
      <c r="L3" s="637"/>
      <c r="M3" s="637"/>
      <c r="N3" s="637"/>
      <c r="O3" s="638"/>
    </row>
    <row r="4" spans="2:15">
      <c r="B4" s="615" t="s">
        <v>2</v>
      </c>
      <c r="C4" s="616" t="str">
        <f>'Project Plan'!E2</f>
        <v>25 Superior Road</v>
      </c>
      <c r="H4" s="636"/>
      <c r="I4" s="637"/>
      <c r="J4" s="637"/>
      <c r="K4" s="637"/>
      <c r="L4" s="637"/>
      <c r="M4" s="637"/>
      <c r="N4" s="637"/>
      <c r="O4" s="638"/>
    </row>
    <row r="5" spans="2:15">
      <c r="B5" s="615" t="s">
        <v>3</v>
      </c>
      <c r="C5" s="616" t="s">
        <v>4</v>
      </c>
      <c r="H5" s="636"/>
      <c r="I5" s="637"/>
      <c r="J5" s="637"/>
      <c r="K5" s="637"/>
      <c r="L5" s="637"/>
      <c r="M5" s="637"/>
      <c r="N5" s="637"/>
      <c r="O5" s="638"/>
    </row>
    <row r="6" spans="2:15">
      <c r="B6" s="615" t="s">
        <v>5</v>
      </c>
      <c r="C6" s="616" t="s">
        <v>6</v>
      </c>
      <c r="H6" s="636"/>
      <c r="I6" s="637"/>
      <c r="J6" s="637"/>
      <c r="K6" s="637"/>
      <c r="L6" s="637"/>
      <c r="M6" s="637"/>
      <c r="N6" s="637"/>
      <c r="O6" s="638"/>
    </row>
    <row r="7" spans="2:15">
      <c r="B7" s="615" t="s">
        <v>7</v>
      </c>
      <c r="C7" s="616" t="s">
        <v>8</v>
      </c>
      <c r="H7" s="636"/>
      <c r="I7" s="637"/>
      <c r="J7" s="637"/>
      <c r="K7" s="637"/>
      <c r="L7" s="637"/>
      <c r="M7" s="637"/>
      <c r="N7" s="637"/>
      <c r="O7" s="638"/>
    </row>
    <row r="8" spans="2:15">
      <c r="B8" s="614"/>
      <c r="H8" s="636"/>
      <c r="I8" s="637"/>
      <c r="J8" s="637"/>
      <c r="K8" s="637"/>
      <c r="L8" s="637"/>
      <c r="M8" s="637"/>
      <c r="N8" s="637"/>
      <c r="O8" s="638"/>
    </row>
    <row r="9" spans="2:15">
      <c r="B9" s="642" t="s">
        <v>9</v>
      </c>
      <c r="C9" s="642"/>
      <c r="D9" s="642"/>
      <c r="E9" s="642"/>
      <c r="H9" s="636"/>
      <c r="I9" s="637"/>
      <c r="J9" s="637"/>
      <c r="K9" s="637"/>
      <c r="L9" s="637"/>
      <c r="M9" s="637"/>
      <c r="N9" s="637"/>
      <c r="O9" s="638"/>
    </row>
    <row r="10" spans="2:15" ht="15" thickBot="1">
      <c r="B10" s="642" t="s">
        <v>10</v>
      </c>
      <c r="C10" s="642"/>
      <c r="D10" s="642"/>
      <c r="E10" s="642"/>
      <c r="H10" s="639"/>
      <c r="I10" s="640"/>
      <c r="J10" s="640"/>
      <c r="K10" s="640"/>
      <c r="L10" s="640"/>
      <c r="M10" s="640"/>
      <c r="N10" s="640"/>
      <c r="O10" s="641"/>
    </row>
    <row r="11" spans="2:15">
      <c r="B11" s="617" t="s">
        <v>11</v>
      </c>
      <c r="C11" s="631"/>
      <c r="D11" s="631"/>
      <c r="E11" s="631"/>
    </row>
    <row r="12" spans="2:15">
      <c r="B12" s="617" t="s">
        <v>12</v>
      </c>
      <c r="C12" s="631"/>
      <c r="D12" s="631"/>
      <c r="E12" s="631"/>
    </row>
    <row r="13" spans="2:15">
      <c r="B13" s="617" t="s">
        <v>13</v>
      </c>
      <c r="C13" s="631"/>
      <c r="D13" s="631"/>
      <c r="E13" s="631"/>
    </row>
    <row r="14" spans="2:15">
      <c r="B14" s="617" t="s">
        <v>14</v>
      </c>
      <c r="C14" s="631"/>
      <c r="D14" s="631"/>
      <c r="E14" s="631"/>
    </row>
    <row r="15" spans="2:15">
      <c r="B15" s="617" t="s">
        <v>15</v>
      </c>
      <c r="C15" s="631"/>
      <c r="D15" s="631"/>
      <c r="E15" s="631"/>
    </row>
    <row r="16" spans="2:15" ht="15" customHeight="1">
      <c r="B16" s="617" t="s">
        <v>16</v>
      </c>
      <c r="C16" s="631"/>
      <c r="D16" s="631"/>
      <c r="E16" s="631"/>
    </row>
    <row r="17" spans="2:5">
      <c r="B17" s="614"/>
    </row>
    <row r="18" spans="2:5">
      <c r="B18" s="643" t="s">
        <v>17</v>
      </c>
      <c r="C18" s="643"/>
      <c r="D18" s="643"/>
      <c r="E18" s="643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632" t="s">
        <v>22</v>
      </c>
      <c r="C2" s="632"/>
      <c r="D2" s="632"/>
      <c r="E2" s="632"/>
      <c r="H2" s="633" t="s">
        <v>23</v>
      </c>
      <c r="I2" s="634"/>
      <c r="J2" s="634"/>
      <c r="K2" s="634"/>
      <c r="L2" s="634"/>
      <c r="M2" s="634"/>
      <c r="N2" s="634"/>
      <c r="O2" s="635"/>
    </row>
    <row r="3" spans="2:15">
      <c r="B3" s="614"/>
      <c r="H3" s="636"/>
      <c r="I3" s="637"/>
      <c r="J3" s="637"/>
      <c r="K3" s="637"/>
      <c r="L3" s="637"/>
      <c r="M3" s="637"/>
      <c r="N3" s="637"/>
      <c r="O3" s="638"/>
    </row>
    <row r="4" spans="2:15">
      <c r="B4" s="615" t="s">
        <v>2</v>
      </c>
      <c r="C4" s="616" t="str">
        <f>'Project Plan'!E2</f>
        <v>25 Superior Road</v>
      </c>
      <c r="H4" s="636"/>
      <c r="I4" s="637"/>
      <c r="J4" s="637"/>
      <c r="K4" s="637"/>
      <c r="L4" s="637"/>
      <c r="M4" s="637"/>
      <c r="N4" s="637"/>
      <c r="O4" s="638"/>
    </row>
    <row r="5" spans="2:15">
      <c r="B5" s="615" t="s">
        <v>24</v>
      </c>
      <c r="C5" s="616"/>
      <c r="H5" s="636"/>
      <c r="I5" s="637"/>
      <c r="J5" s="637"/>
      <c r="K5" s="637"/>
      <c r="L5" s="637"/>
      <c r="M5" s="637"/>
      <c r="N5" s="637"/>
      <c r="O5" s="638"/>
    </row>
    <row r="6" spans="2:15">
      <c r="B6" s="615" t="s">
        <v>5</v>
      </c>
      <c r="C6" s="616" t="s">
        <v>6</v>
      </c>
      <c r="H6" s="636"/>
      <c r="I6" s="637"/>
      <c r="J6" s="637"/>
      <c r="K6" s="637"/>
      <c r="L6" s="637"/>
      <c r="M6" s="637"/>
      <c r="N6" s="637"/>
      <c r="O6" s="638"/>
    </row>
    <row r="7" spans="2:15">
      <c r="B7" s="615" t="s">
        <v>25</v>
      </c>
      <c r="C7" s="616" t="str">
        <f>'Project Plan'!E5</f>
        <v>JT Moorosi</v>
      </c>
      <c r="H7" s="636"/>
      <c r="I7" s="637"/>
      <c r="J7" s="637"/>
      <c r="K7" s="637"/>
      <c r="L7" s="637"/>
      <c r="M7" s="637"/>
      <c r="N7" s="637"/>
      <c r="O7" s="638"/>
    </row>
    <row r="8" spans="2:15">
      <c r="B8" s="615" t="s">
        <v>26</v>
      </c>
      <c r="C8" s="616"/>
      <c r="H8" s="636"/>
      <c r="I8" s="637"/>
      <c r="J8" s="637"/>
      <c r="K8" s="637"/>
      <c r="L8" s="637"/>
      <c r="M8" s="637"/>
      <c r="N8" s="637"/>
      <c r="O8" s="638"/>
    </row>
    <row r="9" spans="2:15">
      <c r="B9" s="614"/>
      <c r="H9" s="636"/>
      <c r="I9" s="637"/>
      <c r="J9" s="637"/>
      <c r="K9" s="637"/>
      <c r="L9" s="637"/>
      <c r="M9" s="637"/>
      <c r="N9" s="637"/>
      <c r="O9" s="638"/>
    </row>
    <row r="10" spans="2:15">
      <c r="B10" s="642" t="s">
        <v>9</v>
      </c>
      <c r="C10" s="642"/>
      <c r="D10" s="642"/>
      <c r="E10" s="642"/>
      <c r="H10" s="636"/>
      <c r="I10" s="637"/>
      <c r="J10" s="637"/>
      <c r="K10" s="637"/>
      <c r="L10" s="637"/>
      <c r="M10" s="637"/>
      <c r="N10" s="637"/>
      <c r="O10" s="638"/>
    </row>
    <row r="11" spans="2:15" ht="15" thickBot="1">
      <c r="B11" s="642" t="s">
        <v>10</v>
      </c>
      <c r="C11" s="642"/>
      <c r="D11" s="642"/>
      <c r="E11" s="642"/>
      <c r="H11" s="639"/>
      <c r="I11" s="640"/>
      <c r="J11" s="640"/>
      <c r="K11" s="640"/>
      <c r="L11" s="640"/>
      <c r="M11" s="640"/>
      <c r="N11" s="640"/>
      <c r="O11" s="641"/>
    </row>
    <row r="12" spans="2:15" ht="24.95">
      <c r="B12" s="617" t="s">
        <v>27</v>
      </c>
      <c r="C12" s="631"/>
      <c r="D12" s="631"/>
      <c r="E12" s="631"/>
    </row>
    <row r="13" spans="2:15">
      <c r="B13" s="617" t="s">
        <v>28</v>
      </c>
      <c r="C13" s="631"/>
      <c r="D13" s="631"/>
      <c r="E13" s="631"/>
    </row>
    <row r="14" spans="2:15">
      <c r="B14" s="617" t="s">
        <v>29</v>
      </c>
      <c r="C14" s="631"/>
      <c r="D14" s="631"/>
      <c r="E14" s="631"/>
    </row>
    <row r="15" spans="2:15">
      <c r="B15" s="617" t="s">
        <v>30</v>
      </c>
      <c r="C15" s="631"/>
      <c r="D15" s="631"/>
      <c r="E15" s="631"/>
    </row>
    <row r="16" spans="2:15" ht="24.95">
      <c r="B16" s="617" t="s">
        <v>31</v>
      </c>
      <c r="C16" s="631"/>
      <c r="D16" s="631"/>
      <c r="E16" s="631"/>
    </row>
    <row r="17" spans="2:5">
      <c r="B17" s="617" t="s">
        <v>32</v>
      </c>
      <c r="C17" s="631"/>
      <c r="D17" s="631"/>
      <c r="E17" s="631"/>
    </row>
    <row r="18" spans="2:5">
      <c r="B18" s="617" t="s">
        <v>33</v>
      </c>
      <c r="C18" s="631"/>
      <c r="D18" s="631"/>
      <c r="E18" s="631"/>
    </row>
    <row r="19" spans="2:5">
      <c r="B19" s="617" t="s">
        <v>34</v>
      </c>
      <c r="C19" s="631"/>
      <c r="D19" s="631"/>
      <c r="E19" s="631"/>
    </row>
    <row r="20" spans="2:5">
      <c r="B20" s="617" t="s">
        <v>35</v>
      </c>
      <c r="C20" s="631"/>
      <c r="D20" s="631"/>
      <c r="E20" s="631"/>
    </row>
    <row r="21" spans="2:5">
      <c r="B21" s="617" t="s">
        <v>36</v>
      </c>
      <c r="C21" s="631"/>
      <c r="D21" s="631"/>
      <c r="E21" s="631"/>
    </row>
    <row r="22" spans="2:5" ht="15" customHeight="1">
      <c r="B22" s="617" t="s">
        <v>16</v>
      </c>
      <c r="C22" s="631"/>
      <c r="D22" s="631"/>
      <c r="E22" s="631"/>
    </row>
    <row r="23" spans="2:5">
      <c r="B23" s="614"/>
    </row>
    <row r="24" spans="2:5">
      <c r="B24" s="643" t="s">
        <v>17</v>
      </c>
      <c r="C24" s="643"/>
      <c r="D24" s="643"/>
      <c r="E24" s="643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7109375" customWidth="1"/>
  </cols>
  <sheetData>
    <row r="1" spans="2:15">
      <c r="B1" s="646"/>
      <c r="C1" s="647"/>
      <c r="D1" s="647"/>
      <c r="E1" s="647"/>
      <c r="F1" s="644" t="s">
        <v>37</v>
      </c>
      <c r="G1" s="644"/>
      <c r="H1" s="644"/>
      <c r="I1" s="644"/>
      <c r="J1" s="644"/>
      <c r="K1" s="645"/>
      <c r="L1" s="13"/>
      <c r="M1" s="13"/>
      <c r="N1" s="13"/>
      <c r="O1" s="13"/>
    </row>
    <row r="2" spans="2:15" ht="6.75" customHeight="1"/>
    <row r="3" spans="2:15" s="621" customFormat="1" ht="29.1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4.1"/>
  <cols>
    <col min="1" max="1" width="1.42578125" style="4" customWidth="1"/>
    <col min="2" max="2" width="30.5703125" style="4" bestFit="1" customWidth="1"/>
    <col min="3" max="3" width="19.5703125" style="4" customWidth="1"/>
    <col min="4" max="4" width="32.855468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48" t="s">
        <v>102</v>
      </c>
      <c r="C2" s="649"/>
      <c r="D2" s="649"/>
      <c r="E2" s="649"/>
      <c r="F2" s="650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48" t="s">
        <v>111</v>
      </c>
      <c r="C16" s="649"/>
      <c r="D16" s="649"/>
      <c r="E16" s="649"/>
      <c r="F16" s="650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115" zoomScaleNormal="115" workbookViewId="0">
      <selection activeCell="F9" sqref="F9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4.8554687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5703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46055</v>
      </c>
      <c r="O1" s="305">
        <f ca="1">TODAY()</f>
        <v>46055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651" t="s">
        <v>116</v>
      </c>
      <c r="J2" s="652"/>
      <c r="K2" s="587">
        <f>NETWORKDAYS(I19,K40,Data!C3:C60)</f>
        <v>23</v>
      </c>
      <c r="N2" s="306">
        <v>0</v>
      </c>
      <c r="O2" s="306">
        <v>1</v>
      </c>
    </row>
    <row r="3" spans="2:28" s="26" customFormat="1" ht="14.45" thickBot="1">
      <c r="B3" s="91"/>
      <c r="C3" s="92" t="s">
        <v>117</v>
      </c>
      <c r="D3" s="90"/>
      <c r="E3" s="312">
        <v>120</v>
      </c>
      <c r="F3" s="93"/>
      <c r="G3" s="94"/>
      <c r="H3" s="94"/>
      <c r="I3" s="651" t="s">
        <v>118</v>
      </c>
      <c r="J3" s="652"/>
      <c r="K3" s="587">
        <f>K2/5</f>
        <v>4.5999999999999996</v>
      </c>
      <c r="Q3" s="1"/>
    </row>
    <row r="4" spans="2:28" s="26" customFormat="1" ht="14.4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651" t="s">
        <v>121</v>
      </c>
      <c r="J4" s="652"/>
      <c r="K4" s="588">
        <f>E3/K3</f>
        <v>26.086956521739133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2899774.6540018986</v>
      </c>
      <c r="F6" s="569"/>
      <c r="G6" s="569"/>
      <c r="H6" s="570"/>
    </row>
    <row r="7" spans="2:28" s="26" customFormat="1" ht="14.45" customHeight="1">
      <c r="B7" s="79"/>
      <c r="C7" s="630" t="s">
        <v>125</v>
      </c>
      <c r="E7" s="28" t="s">
        <v>126</v>
      </c>
      <c r="F7" s="80"/>
      <c r="G7" s="97"/>
      <c r="J7" s="27"/>
      <c r="Q7" s="1"/>
    </row>
    <row r="8" spans="2:28" ht="30" customHeight="1">
      <c r="B8" s="655" t="s">
        <v>127</v>
      </c>
      <c r="C8" s="656" t="s">
        <v>128</v>
      </c>
      <c r="D8" s="126"/>
      <c r="E8" s="657" t="s">
        <v>129</v>
      </c>
      <c r="F8" s="148" t="s">
        <v>130</v>
      </c>
      <c r="G8" s="657" t="s">
        <v>131</v>
      </c>
      <c r="H8" s="149"/>
      <c r="I8" s="657" t="s">
        <v>132</v>
      </c>
      <c r="J8" s="148" t="s">
        <v>130</v>
      </c>
      <c r="K8" s="657" t="s">
        <v>133</v>
      </c>
      <c r="M8" s="584" t="s">
        <v>44</v>
      </c>
      <c r="N8" s="585" t="s">
        <v>134</v>
      </c>
      <c r="O8" s="653" t="s">
        <v>135</v>
      </c>
      <c r="Z8" s="26"/>
      <c r="AA8" s="26"/>
      <c r="AB8" s="26"/>
    </row>
    <row r="9" spans="2:28">
      <c r="B9" s="655"/>
      <c r="C9" s="656"/>
      <c r="D9" s="126"/>
      <c r="E9" s="657"/>
      <c r="F9" s="40">
        <f>G40-E20</f>
        <v>35</v>
      </c>
      <c r="G9" s="657"/>
      <c r="H9" s="149"/>
      <c r="I9" s="657"/>
      <c r="J9" s="41">
        <f>K40-I20</f>
        <v>34</v>
      </c>
      <c r="K9" s="657"/>
      <c r="M9" s="265">
        <f>AVERAGE(M11,M19,M22,M29,M36,M40,M49,M45)</f>
        <v>0</v>
      </c>
      <c r="N9" s="265">
        <f ca="1">AVERAGE(N11,N19,N22,N29,N36,N40,N49,N45)</f>
        <v>7.0080035953212022E-2</v>
      </c>
      <c r="O9" s="654"/>
      <c r="S9" s="586">
        <f ca="1">TODAY()</f>
        <v>46055</v>
      </c>
      <c r="T9" s="586">
        <f ca="1">TODAY()</f>
        <v>46055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MIN(E12:E18)</f>
        <v>46038</v>
      </c>
      <c r="F11" s="572">
        <f>G11-E11</f>
        <v>25</v>
      </c>
      <c r="G11" s="571">
        <f>MAX(G12:G18)</f>
        <v>46063</v>
      </c>
      <c r="H11" s="573"/>
      <c r="I11" s="571">
        <f>MIN(I12:I18)</f>
        <v>46038</v>
      </c>
      <c r="J11" s="572">
        <f>K11-I11</f>
        <v>42</v>
      </c>
      <c r="K11" s="571">
        <f>MAX(K12:K18)</f>
        <v>46080</v>
      </c>
      <c r="L11" s="574"/>
      <c r="M11" s="575">
        <f>(J12*M12+J14*M14+J15*M15+J16*M16+J17*M17)/SUM(J12:J17)</f>
        <v>0</v>
      </c>
      <c r="N11" s="575">
        <f ca="1">(K12*N12+K14*N14+K15*N15+K16*N16+K17*N17)/SUM(K12:K17)</f>
        <v>0.44436121785825428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46038</v>
      </c>
      <c r="F12" s="577">
        <v>1</v>
      </c>
      <c r="G12" s="576">
        <f>WORKDAY.INTL(E12,F12,1,Data!$C$3:$C$60)</f>
        <v>46041</v>
      </c>
      <c r="H12" s="578"/>
      <c r="I12" s="576">
        <v>46038</v>
      </c>
      <c r="J12" s="577">
        <v>1</v>
      </c>
      <c r="K12" s="576">
        <f>WORKDAY.INTL(I12,J12,1,Data!$C$3:$C$60)</f>
        <v>46041</v>
      </c>
      <c r="L12" s="77"/>
      <c r="M12" s="579">
        <v>0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/>
      <c r="C13" s="158" t="s">
        <v>142</v>
      </c>
      <c r="D13" s="126"/>
      <c r="E13" s="576"/>
      <c r="F13" s="577"/>
      <c r="G13" s="576"/>
      <c r="H13" s="578"/>
      <c r="I13" s="576">
        <f>I12</f>
        <v>46038</v>
      </c>
      <c r="J13" s="577">
        <v>30</v>
      </c>
      <c r="K13" s="576">
        <f>WORKDAY.INTL(I13,J13,1,Data!$C$3:$C$60)</f>
        <v>46080</v>
      </c>
      <c r="L13" s="77"/>
      <c r="M13" s="579"/>
      <c r="N13" s="579"/>
      <c r="O13" s="36"/>
      <c r="Q13" s="1"/>
      <c r="S13" s="377"/>
      <c r="T13" s="537"/>
      <c r="U13" s="537"/>
      <c r="V13" s="537"/>
    </row>
    <row r="14" spans="2:28" s="26" customFormat="1">
      <c r="B14" s="157" t="s">
        <v>143</v>
      </c>
      <c r="C14" s="158" t="s">
        <v>144</v>
      </c>
      <c r="D14" s="126"/>
      <c r="E14" s="576">
        <f>G12</f>
        <v>46041</v>
      </c>
      <c r="F14" s="577">
        <v>15</v>
      </c>
      <c r="G14" s="576">
        <f>WORKDAY.INTL(E14,F14,1,Data!$C$3:$C$60)</f>
        <v>46062</v>
      </c>
      <c r="H14" s="578"/>
      <c r="I14" s="576">
        <f>K12</f>
        <v>46041</v>
      </c>
      <c r="J14" s="577">
        <v>15</v>
      </c>
      <c r="K14" s="576">
        <f>WORKDAY.INTL(I14,J14,1,Data!$C$3:$C$60)</f>
        <v>46062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0.66666666666666663</v>
      </c>
      <c r="O14" s="36"/>
      <c r="Q14" s="1"/>
      <c r="S14" s="536" t="str">
        <f>C11</f>
        <v>Project Initiation</v>
      </c>
      <c r="T14" s="538">
        <f>I11</f>
        <v>46038</v>
      </c>
      <c r="U14" s="539">
        <f>J11</f>
        <v>42</v>
      </c>
      <c r="V14" s="538">
        <f>K11</f>
        <v>46080</v>
      </c>
    </row>
    <row r="15" spans="2:28" s="26" customFormat="1">
      <c r="B15" s="157" t="s">
        <v>145</v>
      </c>
      <c r="C15" s="158" t="s">
        <v>146</v>
      </c>
      <c r="D15" s="126"/>
      <c r="E15" s="576">
        <f>WORKDAY.INTL(G14,0,1,Data!$C$3:$C$60)</f>
        <v>46062</v>
      </c>
      <c r="F15" s="577">
        <v>1</v>
      </c>
      <c r="G15" s="576">
        <f>WORKDAY.INTL(E15,F15,1,Data!$C$3:$C$60)</f>
        <v>46063</v>
      </c>
      <c r="H15" s="578"/>
      <c r="I15" s="576">
        <f>WORKDAY.INTL(K14,0,1,Data!$C$3:$C$60)</f>
        <v>46062</v>
      </c>
      <c r="J15" s="577">
        <v>1</v>
      </c>
      <c r="K15" s="576">
        <f>WORKDAY.INTL(I15,J15,1,Data!$C$3:$C$60)</f>
        <v>46063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46087</v>
      </c>
      <c r="U15" s="539">
        <f>J19</f>
        <v>1</v>
      </c>
      <c r="V15" s="538">
        <f>K19</f>
        <v>46088</v>
      </c>
    </row>
    <row r="16" spans="2:28" s="26" customFormat="1">
      <c r="B16" s="157" t="s">
        <v>147</v>
      </c>
      <c r="C16" s="158" t="s">
        <v>148</v>
      </c>
      <c r="D16" s="126"/>
      <c r="E16" s="576">
        <f>WORKDAY.INTL(E14,0,1,Data!$C$3:$C$60)+14</f>
        <v>46055</v>
      </c>
      <c r="F16" s="577">
        <v>1</v>
      </c>
      <c r="G16" s="576">
        <f>WORKDAY.INTL(E16,F16,1,Data!$C$3:$C$60)</f>
        <v>46056</v>
      </c>
      <c r="H16" s="578"/>
      <c r="I16" s="576">
        <f>WORKDAY.INTL(I14,0,1,Data!$C$3:$C$60)+14</f>
        <v>46055</v>
      </c>
      <c r="J16" s="577">
        <v>1</v>
      </c>
      <c r="K16" s="576">
        <f>WORKDAY.INTL(I16,J16,1,Data!$C$3:$C$60)</f>
        <v>46056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46048</v>
      </c>
      <c r="U16" s="539">
        <f>J22</f>
        <v>60</v>
      </c>
      <c r="V16" s="538">
        <f>K22</f>
        <v>46108</v>
      </c>
    </row>
    <row r="17" spans="2:28" s="26" customFormat="1">
      <c r="B17" s="157" t="s">
        <v>149</v>
      </c>
      <c r="C17" s="158" t="s">
        <v>150</v>
      </c>
      <c r="D17" s="126"/>
      <c r="E17" s="576">
        <f>WORKDAY.INTL(E16,0,1,Data!$C$3:$C$60)-4</f>
        <v>46051</v>
      </c>
      <c r="F17" s="577">
        <v>1</v>
      </c>
      <c r="G17" s="576">
        <f>WORKDAY.INTL(E17,F17,1,Data!$C$3:$C$60)</f>
        <v>46052</v>
      </c>
      <c r="H17" s="578"/>
      <c r="I17" s="576">
        <f>WORKDAY.INTL(I16,0,1,Data!$C$3:$C$60)-4</f>
        <v>46051</v>
      </c>
      <c r="J17" s="577">
        <v>1</v>
      </c>
      <c r="K17" s="576">
        <f>WORKDAY.INTL(I17,J17,1,Data!$C$3:$C$60)</f>
        <v>46052</v>
      </c>
      <c r="L17" s="77"/>
      <c r="M17" s="579">
        <v>0</v>
      </c>
      <c r="N17" s="579">
        <f t="shared" ca="1" si="0"/>
        <v>1</v>
      </c>
      <c r="O17" s="36"/>
      <c r="Q17" s="1"/>
      <c r="S17" s="536" t="str">
        <f>C29</f>
        <v>DC Works</v>
      </c>
      <c r="T17" s="538">
        <f>I29</f>
        <v>46087</v>
      </c>
      <c r="U17" s="539">
        <f>J29</f>
        <v>20</v>
      </c>
      <c r="V17" s="538">
        <f>K29</f>
        <v>46107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46087</v>
      </c>
      <c r="U18" s="539">
        <f>J36</f>
        <v>19</v>
      </c>
      <c r="V18" s="538">
        <f>K36</f>
        <v>46106</v>
      </c>
    </row>
    <row r="19" spans="2:28" s="28" customFormat="1">
      <c r="B19" s="155">
        <v>2</v>
      </c>
      <c r="C19" s="156" t="s">
        <v>151</v>
      </c>
      <c r="D19" s="130"/>
      <c r="E19" s="571">
        <f>MIN(E20:E21)</f>
        <v>46086</v>
      </c>
      <c r="F19" s="572">
        <f>G19-E19</f>
        <v>1</v>
      </c>
      <c r="G19" s="571">
        <f>MAX(G20:G21)</f>
        <v>46087</v>
      </c>
      <c r="H19" s="573"/>
      <c r="I19" s="571">
        <f>MIN(I20:I21)</f>
        <v>46087</v>
      </c>
      <c r="J19" s="572">
        <f>K19-I19</f>
        <v>1</v>
      </c>
      <c r="K19" s="571">
        <f>MAX(K20:K21)</f>
        <v>46088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46108</v>
      </c>
      <c r="U19" s="539">
        <f>J40</f>
        <v>13</v>
      </c>
      <c r="V19" s="538">
        <f>K40</f>
        <v>46121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152</v>
      </c>
      <c r="C20" s="158" t="s">
        <v>153</v>
      </c>
      <c r="D20" s="126"/>
      <c r="E20" s="576">
        <v>46086</v>
      </c>
      <c r="F20" s="577">
        <v>1</v>
      </c>
      <c r="G20" s="576">
        <f>E20+F20</f>
        <v>46087</v>
      </c>
      <c r="H20" s="578"/>
      <c r="I20" s="576">
        <f>K11+7</f>
        <v>46087</v>
      </c>
      <c r="J20" s="577">
        <v>1</v>
      </c>
      <c r="K20" s="576">
        <f>I20+J20</f>
        <v>46088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46112</v>
      </c>
      <c r="U20" s="539">
        <f>J45</f>
        <v>10</v>
      </c>
      <c r="V20" s="538">
        <f>K45</f>
        <v>46122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46119</v>
      </c>
      <c r="U21" s="539">
        <f>J49</f>
        <v>16</v>
      </c>
      <c r="V21" s="538">
        <f>K49</f>
        <v>46135</v>
      </c>
    </row>
    <row r="22" spans="2:28" s="28" customFormat="1">
      <c r="B22" s="155">
        <v>3</v>
      </c>
      <c r="C22" s="156" t="s">
        <v>154</v>
      </c>
      <c r="D22" s="130"/>
      <c r="E22" s="571">
        <f>MIN(E23:E28)</f>
        <v>46048</v>
      </c>
      <c r="F22" s="572">
        <f>G22-E22</f>
        <v>60</v>
      </c>
      <c r="G22" s="571">
        <f>MAX(G23:G28)</f>
        <v>46108</v>
      </c>
      <c r="H22" s="581"/>
      <c r="I22" s="571">
        <f>MIN(I23:I28)</f>
        <v>46048</v>
      </c>
      <c r="J22" s="572">
        <f>K22-I22</f>
        <v>60</v>
      </c>
      <c r="K22" s="571">
        <f>MAX(K23:K28)</f>
        <v>46108</v>
      </c>
      <c r="L22" s="574"/>
      <c r="M22" s="575">
        <f>(J23*M23+J24*M24+J25*M25+J26*M26+J27*M27)/SUM(J23:J27)</f>
        <v>0</v>
      </c>
      <c r="N22" s="575">
        <f ca="1">(J23*N23+J24*N24+J25*N25+J26*N26+J27*N27)/SUM(J23:J27)</f>
        <v>0.11627906976744186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6">
        <f>WORKDAY.INTL(G20,0,1,Data!$C$3:$C$60)</f>
        <v>46087</v>
      </c>
      <c r="F23" s="577">
        <v>1</v>
      </c>
      <c r="G23" s="576">
        <f>WORKDAY.INTL(E23,F23,1,Data!$C$3:$C$60)</f>
        <v>46090</v>
      </c>
      <c r="H23" s="578"/>
      <c r="I23" s="576">
        <f>WORKDAY.INTL(K20,0,1,Data!$C$3:$C$60)</f>
        <v>46088</v>
      </c>
      <c r="J23" s="577">
        <v>1</v>
      </c>
      <c r="K23" s="576">
        <f>WORKDAY.INTL(I23,J23,1,Data!$C$3:$C$60)</f>
        <v>46090</v>
      </c>
      <c r="L23" s="77"/>
      <c r="M23" s="579">
        <v>0</v>
      </c>
      <c r="N23" s="579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6">
        <f>WORKDAY.INTL(G23,0,1,Data!$C$3:$C$60)</f>
        <v>46090</v>
      </c>
      <c r="F24" s="577">
        <v>1</v>
      </c>
      <c r="G24" s="576">
        <f>WORKDAY.INTL(E24,F24,1,Data!$C$3:$C$60)</f>
        <v>46091</v>
      </c>
      <c r="H24" s="578"/>
      <c r="I24" s="576">
        <f>WORKDAY.INTL(K23,0,1,Data!$C$3:$C$60)</f>
        <v>46090</v>
      </c>
      <c r="J24" s="577">
        <v>1</v>
      </c>
      <c r="K24" s="576">
        <f>WORKDAY.INTL(I24,J24,1,Data!$C$3:$C$60)</f>
        <v>46091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6">
        <f>WORKDAY.INTL(E15,0,1,Data!$C$3:$C$60)-14</f>
        <v>46048</v>
      </c>
      <c r="F25" s="577">
        <v>25</v>
      </c>
      <c r="G25" s="576">
        <f>WORKDAY.INTL(E25,F25,1,Data!$C$3:$C$60)</f>
        <v>46083</v>
      </c>
      <c r="H25" s="578"/>
      <c r="I25" s="576">
        <f>WORKDAY.INTL(I15,0,1,Data!$C$3:$C$60)-14</f>
        <v>46048</v>
      </c>
      <c r="J25" s="577">
        <v>25</v>
      </c>
      <c r="K25" s="576">
        <f>WORKDAY.INTL(I25,J25,1,Data!$C$3:$C$60)</f>
        <v>46083</v>
      </c>
      <c r="L25" s="77"/>
      <c r="M25" s="579">
        <v>0</v>
      </c>
      <c r="N25" s="579">
        <f t="shared" ca="1" si="1"/>
        <v>0.2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6">
        <f>E23</f>
        <v>46087</v>
      </c>
      <c r="F26" s="577">
        <v>15</v>
      </c>
      <c r="G26" s="576">
        <f>WORKDAY.INTL(E26,F26,1,Data!$C$3:$C$60)</f>
        <v>46108</v>
      </c>
      <c r="H26" s="578"/>
      <c r="I26" s="576">
        <f>I23</f>
        <v>46088</v>
      </c>
      <c r="J26" s="577">
        <v>15</v>
      </c>
      <c r="K26" s="576">
        <f>WORKDAY.INTL(I26,J26,1,Data!$C$3:$C$60)</f>
        <v>46108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6">
        <f>WORKDAY.INTL(E26,0,1,Data!$C$3:$C$60)</f>
        <v>46087</v>
      </c>
      <c r="F27" s="577">
        <v>1</v>
      </c>
      <c r="G27" s="576">
        <f>WORKDAY.INTL(E27,F27,1,Data!$C$3:$C$60)</f>
        <v>46090</v>
      </c>
      <c r="H27" s="578"/>
      <c r="I27" s="576">
        <f>WORKDAY.INTL(I26,0,1,Data!$C$3:$C$60)</f>
        <v>46088</v>
      </c>
      <c r="J27" s="577">
        <v>1</v>
      </c>
      <c r="K27" s="576">
        <f>WORKDAY.INTL(I27,J27,1,Data!$C$3:$C$60)</f>
        <v>46090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165</v>
      </c>
      <c r="D29" s="130"/>
      <c r="E29" s="571">
        <f>MIN(E31:E35)</f>
        <v>46086</v>
      </c>
      <c r="F29" s="572">
        <f>G29-E29</f>
        <v>21</v>
      </c>
      <c r="G29" s="571">
        <f>MAX(G31:G35)</f>
        <v>46107</v>
      </c>
      <c r="H29" s="581"/>
      <c r="I29" s="571">
        <f>MIN(I31:I35)</f>
        <v>46087</v>
      </c>
      <c r="J29" s="572">
        <f>K29-I29</f>
        <v>20</v>
      </c>
      <c r="K29" s="571">
        <f>MAX(K31:K35)</f>
        <v>46107</v>
      </c>
      <c r="L29" s="574"/>
      <c r="M29" s="575">
        <f>(J31*M31+J32*M32+J34*M34)/SUM(J31:J34)</f>
        <v>0</v>
      </c>
      <c r="N29" s="575">
        <f ca="1">(K31*N31+K32*N32+K34*N34)/SUM(K31:K34)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6">
        <f>E20</f>
        <v>46086</v>
      </c>
      <c r="F31" s="577">
        <v>1</v>
      </c>
      <c r="G31" s="576">
        <f>WORKDAY.INTL(E31,F31,1,Data!$C$3:$C$60)</f>
        <v>46087</v>
      </c>
      <c r="H31" s="578"/>
      <c r="I31" s="576">
        <f>I20</f>
        <v>46087</v>
      </c>
      <c r="J31" s="577">
        <v>1</v>
      </c>
      <c r="K31" s="576">
        <f>WORKDAY.INTL(I31,J31,1,Data!$C$3:$C$60)</f>
        <v>46090</v>
      </c>
      <c r="L31" s="77"/>
      <c r="M31" s="579">
        <v>0</v>
      </c>
      <c r="N31" s="579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6">
        <f>WORKDAY.INTL(G31,0,1,Data!$C$3:$C$60)</f>
        <v>46087</v>
      </c>
      <c r="F32" s="577">
        <v>3</v>
      </c>
      <c r="G32" s="576">
        <f>WORKDAY.INTL(E32,F32,1,Data!$C$3:$C$60)</f>
        <v>46092</v>
      </c>
      <c r="H32" s="578"/>
      <c r="I32" s="576">
        <f>WORKDAY.INTL(K31,0,1,Data!$C$3:$C$60)</f>
        <v>46090</v>
      </c>
      <c r="J32" s="577">
        <v>3</v>
      </c>
      <c r="K32" s="576">
        <f>WORKDAY.INTL(I32,J32,1,Data!$C$3:$C$60)</f>
        <v>46093</v>
      </c>
      <c r="L32" s="77"/>
      <c r="M32" s="579">
        <v>0</v>
      </c>
      <c r="N32" s="579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6">
        <f>E31</f>
        <v>46086</v>
      </c>
      <c r="F33" s="577">
        <v>1</v>
      </c>
      <c r="G33" s="576">
        <f>WORKDAY.INTL(E33,F33,1,Data!$C$3:$C$60)</f>
        <v>46087</v>
      </c>
      <c r="H33" s="578"/>
      <c r="I33" s="576">
        <f>I31</f>
        <v>46087</v>
      </c>
      <c r="J33" s="577">
        <v>1</v>
      </c>
      <c r="K33" s="576">
        <f>WORKDAY.INTL(I33,J33,1,Data!$C$3:$C$60)</f>
        <v>46090</v>
      </c>
      <c r="L33" s="77"/>
      <c r="M33" s="579">
        <v>0</v>
      </c>
      <c r="N33" s="579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5">
      <c r="B34" s="157" t="s">
        <v>172</v>
      </c>
      <c r="C34" s="154" t="s">
        <v>173</v>
      </c>
      <c r="D34" s="126"/>
      <c r="E34" s="582">
        <f>WORKDAY.INTL(G38,0,1,Data!$C$3:$C$60)-3</f>
        <v>46102</v>
      </c>
      <c r="F34" s="577">
        <v>4</v>
      </c>
      <c r="G34" s="582">
        <f>WORKDAY.INTL(E34,F34,1,Data!$C$3:$C$60)</f>
        <v>46107</v>
      </c>
      <c r="H34" s="578"/>
      <c r="I34" s="582">
        <f>WORKDAY.INTL(K38,0,1,Data!$C$3:$C$60)-3</f>
        <v>46103</v>
      </c>
      <c r="J34" s="577">
        <v>4</v>
      </c>
      <c r="K34" s="582">
        <f>WORKDAY.INTL(I34,J34,1,Data!$C$3:$C$60)</f>
        <v>46107</v>
      </c>
      <c r="L34" s="77"/>
      <c r="M34" s="579">
        <v>0</v>
      </c>
      <c r="N34" s="579">
        <f t="shared" ca="1" si="2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174</v>
      </c>
      <c r="D36" s="130"/>
      <c r="E36" s="571">
        <f>MIN(E37:E39)</f>
        <v>46086</v>
      </c>
      <c r="F36" s="572">
        <f>G36-E36</f>
        <v>19</v>
      </c>
      <c r="G36" s="571">
        <f>MAX(G37:G39)</f>
        <v>46105</v>
      </c>
      <c r="H36" s="573"/>
      <c r="I36" s="571">
        <f>MIN(I37:I39)</f>
        <v>46087</v>
      </c>
      <c r="J36" s="572">
        <f>K36-I36</f>
        <v>19</v>
      </c>
      <c r="K36" s="571">
        <f>MAX(K37:K39)</f>
        <v>46106</v>
      </c>
      <c r="L36" s="574"/>
      <c r="M36" s="575">
        <f>(J37*M37+J38*M38)/SUM(J37:J38)</f>
        <v>0</v>
      </c>
      <c r="N36" s="575">
        <f ca="1">(K37*N37+K38*N38)/SUM(K37:K38)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2">
        <f>WORKDAY.INTL(E20,0,1,Data!$C$3:$C$60)</f>
        <v>46086</v>
      </c>
      <c r="F37" s="577">
        <v>1</v>
      </c>
      <c r="G37" s="576">
        <f>WORKDAY.INTL(E37,F37,1,Data!$C$3:$C$60)</f>
        <v>46087</v>
      </c>
      <c r="H37" s="578"/>
      <c r="I37" s="582">
        <f>WORKDAY.INTL(I20,0,1,Data!$C$3:$C$60)</f>
        <v>46087</v>
      </c>
      <c r="J37" s="577">
        <v>1</v>
      </c>
      <c r="K37" s="576">
        <f>WORKDAY.INTL(I37,J37,1,Data!$C$3:$C$60)</f>
        <v>46090</v>
      </c>
      <c r="L37" s="77"/>
      <c r="M37" s="579">
        <v>0</v>
      </c>
      <c r="N37" s="579">
        <f t="shared" ref="N37:N38" ca="1" si="3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2">
        <f>G32</f>
        <v>46092</v>
      </c>
      <c r="F38" s="577">
        <v>9</v>
      </c>
      <c r="G38" s="576">
        <f>WORKDAY.INTL(E38,F38,1,Data!$C$3:$C$60)</f>
        <v>46105</v>
      </c>
      <c r="H38" s="578"/>
      <c r="I38" s="582">
        <f>K32</f>
        <v>46093</v>
      </c>
      <c r="J38" s="577">
        <v>9</v>
      </c>
      <c r="K38" s="576">
        <f>WORKDAY.INTL(I38,J38,1,Data!$C$3:$C$60)</f>
        <v>46106</v>
      </c>
      <c r="L38" s="77"/>
      <c r="M38" s="579">
        <v>0</v>
      </c>
      <c r="N38" s="579">
        <f t="shared" ca="1" si="3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179</v>
      </c>
      <c r="D40" s="130"/>
      <c r="E40" s="571">
        <f>MIN(E41:E44)</f>
        <v>46108</v>
      </c>
      <c r="F40" s="572">
        <f>G40-E40</f>
        <v>13</v>
      </c>
      <c r="G40" s="571">
        <f>MAX(G41:G44)</f>
        <v>46121</v>
      </c>
      <c r="H40" s="573"/>
      <c r="I40" s="571">
        <f>MIN(I41:I44)</f>
        <v>46108</v>
      </c>
      <c r="J40" s="572">
        <f>K40-I40</f>
        <v>13</v>
      </c>
      <c r="K40" s="571">
        <f>MAX(K41:K44)</f>
        <v>46121</v>
      </c>
      <c r="L40" s="574"/>
      <c r="M40" s="575">
        <f>(J41*M41+J42*M42+J43*M43)/SUM(J41:J43)</f>
        <v>0</v>
      </c>
      <c r="N40" s="575">
        <f ca="1">(K41*N41+K42*N42)/SUM(K41:K42)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2">
        <f>WORKDAY.INTL(MAX(G22,G29,G36),0,1,Data!$C$3:$C$60)</f>
        <v>46108</v>
      </c>
      <c r="F41" s="577">
        <v>1</v>
      </c>
      <c r="G41" s="582">
        <f>WORKDAY.INTL(E41,F41,1,Data!$C$3:$C$60)</f>
        <v>46111</v>
      </c>
      <c r="H41" s="578"/>
      <c r="I41" s="582">
        <f>WORKDAY.INTL(MAX(K22,K29,K36),0,1,Data!$C$3:$C$60)</f>
        <v>46108</v>
      </c>
      <c r="J41" s="577">
        <v>1</v>
      </c>
      <c r="K41" s="582">
        <f>WORKDAY.INTL(I41,J41,1,Data!$C$3:$C$60)</f>
        <v>46111</v>
      </c>
      <c r="L41" s="77"/>
      <c r="M41" s="579">
        <v>0</v>
      </c>
      <c r="N41" s="579">
        <f t="shared" ref="N41:N43" ca="1" si="4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2">
        <f>WORKDAY.INTL(G41,0,1,Data!$C$3:$C$60)</f>
        <v>46111</v>
      </c>
      <c r="F42" s="577">
        <v>1</v>
      </c>
      <c r="G42" s="582">
        <f>WORKDAY.INTL(E42,F42,1,Data!$C$3:$C$60)</f>
        <v>46112</v>
      </c>
      <c r="H42" s="578"/>
      <c r="I42" s="582">
        <f>WORKDAY.INTL(K41,0,1,Data!$C$3:$C$60)</f>
        <v>46111</v>
      </c>
      <c r="J42" s="577">
        <v>1</v>
      </c>
      <c r="K42" s="582">
        <f>WORKDAY.INTL(I42,J42,1,Data!$C$3:$C$60)</f>
        <v>46112</v>
      </c>
      <c r="L42" s="77"/>
      <c r="M42" s="579">
        <v>0</v>
      </c>
      <c r="N42" s="579">
        <f t="shared" ca="1" si="4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2">
        <f>WORKDAY.INTL(G42,0,1,Data!$C$3:$C$60)</f>
        <v>46112</v>
      </c>
      <c r="F43" s="577">
        <v>5</v>
      </c>
      <c r="G43" s="582">
        <f>WORKDAY.INTL(E43,F43,1,Data!$C$3:$C$60)</f>
        <v>46121</v>
      </c>
      <c r="H43" s="578"/>
      <c r="I43" s="582">
        <f>WORKDAY.INTL(K42,0,1,Data!$C$3:$C$60)</f>
        <v>46112</v>
      </c>
      <c r="J43" s="577">
        <v>5</v>
      </c>
      <c r="K43" s="582">
        <f>WORKDAY.INTL(I43,J43,1,Data!$C$3:$C$60)</f>
        <v>46121</v>
      </c>
      <c r="L43" s="77"/>
      <c r="M43" s="579">
        <v>0</v>
      </c>
      <c r="N43" s="579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185</v>
      </c>
      <c r="D45" s="130"/>
      <c r="E45" s="571">
        <f>MIN(E46:E48)</f>
        <v>46112</v>
      </c>
      <c r="F45" s="572">
        <f>G45-E45</f>
        <v>10</v>
      </c>
      <c r="G45" s="571">
        <f>MAX(G46:G48)</f>
        <v>46122</v>
      </c>
      <c r="H45" s="573"/>
      <c r="I45" s="571">
        <f>MIN(I46:I48)</f>
        <v>46112</v>
      </c>
      <c r="J45" s="572">
        <f>K45-I45</f>
        <v>10</v>
      </c>
      <c r="K45" s="571">
        <f>MAX(K46:K48)</f>
        <v>46122</v>
      </c>
      <c r="L45" s="574"/>
      <c r="M45" s="575">
        <f>(J46*M46+J47*M47)/SUM(J46:J47)</f>
        <v>0</v>
      </c>
      <c r="N45" s="575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2">
        <f>WORKDAY.INTL(E43,0,1,Data!$C$3:$C$60)</f>
        <v>46112</v>
      </c>
      <c r="F46" s="577">
        <v>3</v>
      </c>
      <c r="G46" s="582">
        <f>WORKDAY.INTL(E46,F46,1,Data!$C$3:$C$60)</f>
        <v>46119</v>
      </c>
      <c r="H46" s="578"/>
      <c r="I46" s="582">
        <f>WORKDAY.INTL(I43,0,1,Data!$C$3:$C$60)</f>
        <v>46112</v>
      </c>
      <c r="J46" s="577">
        <v>3</v>
      </c>
      <c r="K46" s="582">
        <f>WORKDAY.INTL(I46,J46,1,Data!$C$3:$C$60)</f>
        <v>46119</v>
      </c>
      <c r="L46" s="77"/>
      <c r="M46" s="579">
        <v>0</v>
      </c>
      <c r="N46" s="579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2">
        <f>G46</f>
        <v>46119</v>
      </c>
      <c r="F47" s="577">
        <v>3</v>
      </c>
      <c r="G47" s="582">
        <f>WORKDAY.INTL(E47,F47,1,Data!$C$3:$C$60)</f>
        <v>46122</v>
      </c>
      <c r="H47" s="578"/>
      <c r="I47" s="582">
        <f>K46</f>
        <v>46119</v>
      </c>
      <c r="J47" s="577">
        <v>3</v>
      </c>
      <c r="K47" s="582">
        <f>WORKDAY.INTL(I47,J47,1,Data!$C$3:$C$60)</f>
        <v>46122</v>
      </c>
      <c r="L47" s="77"/>
      <c r="M47" s="579">
        <v>0</v>
      </c>
      <c r="N47" s="579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190</v>
      </c>
      <c r="D49" s="130"/>
      <c r="E49" s="571">
        <f>MIN(E50:E52)</f>
        <v>46119</v>
      </c>
      <c r="F49" s="572">
        <f>G49-E49</f>
        <v>16</v>
      </c>
      <c r="G49" s="571">
        <f>MAX(G50:G52)</f>
        <v>46135</v>
      </c>
      <c r="H49" s="573"/>
      <c r="I49" s="571">
        <f>MIN(I50:I52)</f>
        <v>46119</v>
      </c>
      <c r="J49" s="572">
        <f>K49-I49</f>
        <v>16</v>
      </c>
      <c r="K49" s="571">
        <f>MAX(K50:K52)</f>
        <v>46135</v>
      </c>
      <c r="L49" s="574"/>
      <c r="M49" s="575">
        <f>(J50*M50+J51*M51+J52*M52)/SUM(J50:J52)</f>
        <v>0</v>
      </c>
      <c r="N49" s="575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2">
        <f>WORKDAY.INTL(E47,0,1,Data!$C$3:$C$60)</f>
        <v>46119</v>
      </c>
      <c r="F50" s="577">
        <v>7</v>
      </c>
      <c r="G50" s="582">
        <f>WORKDAY.INTL(E50,F50,1,Data!$C$3:$C$60)</f>
        <v>46128</v>
      </c>
      <c r="H50" s="578"/>
      <c r="I50" s="582">
        <f>WORKDAY.INTL(I47,0,1,Data!$C$3:$C$60)</f>
        <v>46119</v>
      </c>
      <c r="J50" s="577">
        <v>7</v>
      </c>
      <c r="K50" s="582">
        <f>WORKDAY.INTL(I50,J50,1,Data!$C$3:$C$60)</f>
        <v>46128</v>
      </c>
      <c r="L50" s="77"/>
      <c r="M50" s="579">
        <v>0</v>
      </c>
      <c r="N50" s="579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2">
        <f>WORKDAY.INTL(G50,0,1,Data!$C$3:$C$60)</f>
        <v>46128</v>
      </c>
      <c r="F51" s="577">
        <v>1</v>
      </c>
      <c r="G51" s="582">
        <f>WORKDAY.INTL(E51,F51,1,Data!$C$3:$C$60)</f>
        <v>46129</v>
      </c>
      <c r="H51" s="578"/>
      <c r="I51" s="582">
        <f>WORKDAY.INTL(K50,0,1,Data!$C$3:$C$60)</f>
        <v>46128</v>
      </c>
      <c r="J51" s="577">
        <v>1</v>
      </c>
      <c r="K51" s="582">
        <f>WORKDAY.INTL(I51,J51,1,Data!$C$3:$C$60)</f>
        <v>46129</v>
      </c>
      <c r="L51" s="77"/>
      <c r="M51" s="579">
        <v>0</v>
      </c>
      <c r="N51" s="579">
        <f t="shared" ca="1" si="6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2">
        <f>WORKDAY.INTL(G50,0,1,Data!$C$3:$C$60)</f>
        <v>46128</v>
      </c>
      <c r="F52" s="577">
        <v>5</v>
      </c>
      <c r="G52" s="582">
        <f>WORKDAY.INTL(E52,F52,1,Data!$C$3:$C$60)</f>
        <v>46135</v>
      </c>
      <c r="H52" s="578"/>
      <c r="I52" s="582">
        <f>WORKDAY.INTL(K50,0,1,Data!$C$3:$C$60)</f>
        <v>46128</v>
      </c>
      <c r="J52" s="577">
        <v>5</v>
      </c>
      <c r="K52" s="582">
        <f>WORKDAY.INTL(I52,J52,1,Data!$C$3:$C$60)</f>
        <v>46135</v>
      </c>
      <c r="L52" s="77"/>
      <c r="M52" s="579">
        <v>0</v>
      </c>
      <c r="N52" s="579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topLeftCell="B1" zoomScale="85" zoomScaleNormal="85" workbookViewId="0">
      <selection activeCell="L16" sqref="L16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28.42578125" style="43" customWidth="1"/>
    <col min="4" max="4" width="18.5703125" style="43" customWidth="1"/>
    <col min="5" max="5" width="6.5703125" style="43" customWidth="1"/>
    <col min="6" max="6" width="16.42578125" style="43" customWidth="1"/>
    <col min="7" max="7" width="3.42578125" style="43" customWidth="1"/>
    <col min="8" max="8" width="19.28515625" style="43" bestFit="1" customWidth="1"/>
    <col min="9" max="9" width="1.85546875" style="43" customWidth="1"/>
    <col min="10" max="10" width="3.42578125" style="24" customWidth="1"/>
    <col min="11" max="11" width="1.85546875" style="87" customWidth="1"/>
    <col min="12" max="12" width="29.42578125" style="24" customWidth="1"/>
    <col min="13" max="13" width="1.85546875" style="43" customWidth="1"/>
    <col min="14" max="14" width="29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112.140625" style="43" bestFit="1" customWidth="1"/>
    <col min="19" max="19" width="112.140625" style="43" customWidth="1"/>
    <col min="20" max="20" width="4.42578125" style="43" customWidth="1"/>
    <col min="21" max="21" width="18.85546875" style="43" bestFit="1" customWidth="1"/>
    <col min="22" max="22" width="14.140625" style="24" bestFit="1" customWidth="1"/>
    <col min="23" max="23" width="8.5703125" style="24" bestFit="1" customWidth="1"/>
    <col min="24" max="24" width="14.85546875" style="24" bestFit="1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2.95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2899774.6540018981</v>
      </c>
      <c r="V3" s="624">
        <f>SUMIFS('Expenditure Breakdown'!$Q:$Q,
        'Expenditure Breakdown'!$T:$T, "&gt;"&amp;DATE(2025,8,31),
        'Expenditure Breakdown'!$T:$T, "&lt;="&amp;DATE(2026,8,31))</f>
        <v>2564437.273537342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2.95">
      <c r="B4" s="256">
        <v>1</v>
      </c>
      <c r="C4" s="257" t="s">
        <v>206</v>
      </c>
      <c r="D4" s="258">
        <f>'Project Plan'!E6</f>
        <v>2899774.6540018986</v>
      </c>
      <c r="E4" s="259"/>
      <c r="F4" s="258">
        <f>F21</f>
        <v>2899774.6540018986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2528912.5701168482</v>
      </c>
      <c r="E5" s="259"/>
      <c r="F5" s="258">
        <f>+'Expenditure Tracking'!H5</f>
        <v>2564437.2735373424</v>
      </c>
      <c r="H5" s="625" t="s">
        <v>208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209</v>
      </c>
      <c r="D6" s="258">
        <f>+D4-D5</f>
        <v>370862.08388505038</v>
      </c>
      <c r="E6" s="259"/>
      <c r="F6" s="258">
        <f>+F4-F5</f>
        <v>335337.38046455616</v>
      </c>
      <c r="H6" s="626">
        <f>D6*0.5</f>
        <v>185431.04194252519</v>
      </c>
      <c r="J6" s="53"/>
      <c r="L6" s="276"/>
      <c r="N6" s="276" t="s">
        <v>210</v>
      </c>
      <c r="T6" s="53"/>
    </row>
    <row r="7" spans="1:42" s="24" customFormat="1" ht="15" customHeight="1" thickBot="1">
      <c r="B7" s="256">
        <v>4</v>
      </c>
      <c r="C7" s="257" t="s">
        <v>211</v>
      </c>
      <c r="D7" s="260">
        <f>+D6/D4</f>
        <v>0.12789341522563966</v>
      </c>
      <c r="E7" s="259"/>
      <c r="F7" s="260">
        <f>+F6/F4</f>
        <v>0.11564256553583098</v>
      </c>
      <c r="H7" s="624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2.95">
      <c r="B10" s="42" t="s">
        <v>212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1">
      <c r="B12" s="46" t="s">
        <v>127</v>
      </c>
      <c r="C12" s="47" t="s">
        <v>213</v>
      </c>
      <c r="D12" s="48"/>
      <c r="E12" s="46" t="s">
        <v>214</v>
      </c>
      <c r="F12" s="46" t="s">
        <v>215</v>
      </c>
      <c r="H12" s="261" t="s">
        <v>216</v>
      </c>
      <c r="J12" s="53"/>
      <c r="L12" s="78" t="s">
        <v>217</v>
      </c>
      <c r="M12" s="49"/>
      <c r="N12" s="78" t="s">
        <v>218</v>
      </c>
      <c r="O12" s="49"/>
      <c r="P12" s="78" t="s">
        <v>219</v>
      </c>
      <c r="R12" s="279" t="s">
        <v>220</v>
      </c>
      <c r="S12" s="627" t="s">
        <v>221</v>
      </c>
      <c r="T12" s="53"/>
    </row>
    <row r="13" spans="1:42" s="24" customFormat="1" ht="12.95">
      <c r="B13" s="589">
        <v>1</v>
      </c>
      <c r="C13" s="660" t="s">
        <v>222</v>
      </c>
      <c r="D13" s="661"/>
      <c r="E13" s="590">
        <v>0.5</v>
      </c>
      <c r="F13" s="591">
        <f t="shared" ref="F13:F18" si="0">$D$4*E13</f>
        <v>1449887.3270009493</v>
      </c>
      <c r="G13" s="592"/>
      <c r="H13" s="593">
        <v>46083</v>
      </c>
      <c r="I13" s="594"/>
      <c r="J13" s="595"/>
      <c r="K13" s="594"/>
      <c r="L13" s="596"/>
      <c r="M13" s="594"/>
      <c r="N13" s="593"/>
      <c r="O13" s="597"/>
      <c r="P13" s="598">
        <v>46083</v>
      </c>
      <c r="R13" s="86"/>
      <c r="S13" s="628" t="b">
        <v>0</v>
      </c>
      <c r="T13" s="53"/>
      <c r="AP13" s="526">
        <f>'Change Register'!$Q$14+ 7</f>
        <v>7</v>
      </c>
    </row>
    <row r="14" spans="1:42" s="24" customFormat="1" ht="12.95">
      <c r="B14" s="599">
        <v>2</v>
      </c>
      <c r="C14" s="660" t="s">
        <v>223</v>
      </c>
      <c r="D14" s="661"/>
      <c r="E14" s="590">
        <v>0.25</v>
      </c>
      <c r="F14" s="591">
        <f t="shared" si="0"/>
        <v>724943.66350047465</v>
      </c>
      <c r="G14" s="600"/>
      <c r="H14" s="593">
        <f>'Project Plan'!G37+7</f>
        <v>46094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46097</v>
      </c>
      <c r="R14" s="280"/>
      <c r="S14" s="628" t="b">
        <v>0</v>
      </c>
      <c r="T14" s="53"/>
    </row>
    <row r="15" spans="1:42" s="24" customFormat="1" ht="12.95">
      <c r="B15" s="589">
        <v>3</v>
      </c>
      <c r="C15" s="660" t="s">
        <v>224</v>
      </c>
      <c r="D15" s="661"/>
      <c r="E15" s="590">
        <v>0.1</v>
      </c>
      <c r="F15" s="591">
        <f t="shared" si="0"/>
        <v>289977.46540018986</v>
      </c>
      <c r="G15" s="600"/>
      <c r="H15" s="593">
        <f>'Project Plan'!G23+7</f>
        <v>46097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46097</v>
      </c>
      <c r="R15" s="280"/>
      <c r="S15" s="628" t="b">
        <v>0</v>
      </c>
      <c r="T15" s="53"/>
    </row>
    <row r="16" spans="1:42" s="24" customFormat="1" ht="12.95">
      <c r="B16" s="589">
        <v>4</v>
      </c>
      <c r="C16" s="658" t="s">
        <v>182</v>
      </c>
      <c r="D16" s="659"/>
      <c r="E16" s="590">
        <v>0.1</v>
      </c>
      <c r="F16" s="591">
        <f t="shared" si="0"/>
        <v>289977.46540018986</v>
      </c>
      <c r="G16" s="600"/>
      <c r="H16" s="593">
        <f>'Project Plan'!G40+7</f>
        <v>46128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46128</v>
      </c>
      <c r="R16" s="280"/>
      <c r="S16" s="628" t="b">
        <v>0</v>
      </c>
      <c r="T16" s="53"/>
    </row>
    <row r="17" spans="2:20" s="24" customFormat="1" ht="12.95">
      <c r="B17" s="589">
        <v>5</v>
      </c>
      <c r="C17" s="658" t="s">
        <v>225</v>
      </c>
      <c r="D17" s="659"/>
      <c r="E17" s="590">
        <v>0.05</v>
      </c>
      <c r="F17" s="591">
        <f t="shared" si="0"/>
        <v>144988.73270009493</v>
      </c>
      <c r="G17" s="600"/>
      <c r="H17" s="593">
        <f>'Project Plan'!G51+365</f>
        <v>46494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46494</v>
      </c>
      <c r="R17" s="280"/>
      <c r="S17" s="628" t="b">
        <v>0</v>
      </c>
      <c r="T17" s="53"/>
    </row>
    <row r="18" spans="2:20" s="24" customFormat="1" ht="12.95">
      <c r="B18" s="589">
        <v>6</v>
      </c>
      <c r="C18" s="658" t="s">
        <v>226</v>
      </c>
      <c r="D18" s="659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629" t="b">
        <v>0</v>
      </c>
      <c r="T18" s="53"/>
    </row>
    <row r="19" spans="2:20" s="24" customFormat="1" ht="12.95">
      <c r="B19" s="589">
        <v>7</v>
      </c>
      <c r="C19" s="660" t="s">
        <v>226</v>
      </c>
      <c r="D19" s="661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8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2.95">
      <c r="B21" s="31"/>
      <c r="E21" s="263">
        <f>SUM(E13:E19)</f>
        <v>1</v>
      </c>
      <c r="F21" s="264">
        <f>SUM(F13:F19)</f>
        <v>2899774.6540018986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227</v>
      </c>
      <c r="C23" s="57" t="s">
        <v>228</v>
      </c>
      <c r="D23" s="57"/>
      <c r="F23" s="58"/>
      <c r="H23" s="30"/>
    </row>
    <row r="24" spans="2:20" s="24" customFormat="1" ht="12.6">
      <c r="C24" s="59" t="s">
        <v>229</v>
      </c>
      <c r="D24" s="60"/>
      <c r="F24" s="61"/>
    </row>
    <row r="25" spans="2:20" s="24" customFormat="1" ht="12.6">
      <c r="C25" s="59" t="s">
        <v>230</v>
      </c>
      <c r="D25" s="60"/>
    </row>
    <row r="26" spans="2:20" s="24" customFormat="1" ht="12.6">
      <c r="C26" s="62" t="s">
        <v>231</v>
      </c>
      <c r="D26" s="63"/>
    </row>
    <row r="27" spans="2:20" s="24" customFormat="1" ht="12.6">
      <c r="C27" s="64" t="s">
        <v>232</v>
      </c>
      <c r="D27" s="60"/>
    </row>
    <row r="28" spans="2:20" s="24" customFormat="1" ht="12.6">
      <c r="B28" s="31"/>
      <c r="C28" s="64" t="s">
        <v>233</v>
      </c>
      <c r="D28" s="60"/>
    </row>
    <row r="29" spans="2:20" s="24" customFormat="1" ht="12.6">
      <c r="B29" s="31"/>
      <c r="C29" s="24" t="s">
        <v>234</v>
      </c>
    </row>
    <row r="30" spans="2:20" s="24" customFormat="1" ht="27.75" customHeight="1">
      <c r="B30" s="31"/>
      <c r="C30" s="65" t="s">
        <v>235</v>
      </c>
      <c r="D30" s="65"/>
      <c r="F30" s="61"/>
    </row>
    <row r="31" spans="2:20" s="24" customFormat="1" ht="12.6">
      <c r="B31" s="31"/>
      <c r="F31" s="58"/>
      <c r="N31" s="543"/>
    </row>
    <row r="32" spans="2:20" s="24" customFormat="1" ht="12.6">
      <c r="B32" s="31"/>
      <c r="F32" s="58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</row>
    <row r="36" spans="2:6" s="24" customFormat="1" ht="12.6">
      <c r="B36" s="31"/>
    </row>
    <row r="37" spans="2:6" s="24" customFormat="1" ht="12.6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213</v>
      </c>
      <c r="D40" s="48"/>
      <c r="E40" s="46" t="s">
        <v>214</v>
      </c>
      <c r="F40" s="46" t="s">
        <v>215</v>
      </c>
    </row>
    <row r="41" spans="2:6" s="24" customFormat="1" ht="12.75" hidden="1" customHeight="1">
      <c r="B41" s="66">
        <v>1</v>
      </c>
      <c r="C41" s="67" t="s">
        <v>236</v>
      </c>
      <c r="D41" s="67"/>
      <c r="E41" s="50">
        <v>0.35</v>
      </c>
      <c r="F41" s="51">
        <f>$F$47*E41</f>
        <v>1014921.1289006644</v>
      </c>
    </row>
    <row r="42" spans="2:6" s="24" customFormat="1" ht="12.75" hidden="1" customHeight="1">
      <c r="B42" s="66">
        <v>2</v>
      </c>
      <c r="C42" s="67" t="s">
        <v>223</v>
      </c>
      <c r="D42" s="67"/>
      <c r="E42" s="50">
        <v>0.3</v>
      </c>
      <c r="F42" s="51">
        <f t="shared" ref="F42:F45" si="2">$F$47*E42</f>
        <v>869932.39620056958</v>
      </c>
    </row>
    <row r="43" spans="2:6" s="24" customFormat="1" ht="12.75" hidden="1" customHeight="1">
      <c r="B43" s="66">
        <v>3</v>
      </c>
      <c r="C43" s="67" t="s">
        <v>224</v>
      </c>
      <c r="D43" s="67"/>
      <c r="E43" s="50">
        <v>0.2</v>
      </c>
      <c r="F43" s="51">
        <f t="shared" si="2"/>
        <v>579954.93080037972</v>
      </c>
    </row>
    <row r="44" spans="2:6" s="24" customFormat="1" ht="12.75" hidden="1" customHeight="1">
      <c r="B44" s="66">
        <v>4</v>
      </c>
      <c r="C44" s="67" t="s">
        <v>237</v>
      </c>
      <c r="D44" s="67"/>
      <c r="E44" s="50">
        <v>0.1</v>
      </c>
      <c r="F44" s="51">
        <f t="shared" si="2"/>
        <v>289977.46540018986</v>
      </c>
    </row>
    <row r="45" spans="2:6" s="24" customFormat="1" ht="13.5" hidden="1" customHeight="1" thickBot="1">
      <c r="B45" s="68">
        <v>5</v>
      </c>
      <c r="C45" s="69" t="s">
        <v>225</v>
      </c>
      <c r="D45" s="69"/>
      <c r="E45" s="70">
        <v>0.05</v>
      </c>
      <c r="F45" s="71">
        <f t="shared" si="2"/>
        <v>144988.73270009493</v>
      </c>
    </row>
    <row r="46" spans="2:6" s="24" customFormat="1" ht="13.5" hidden="1" customHeight="1" thickBot="1">
      <c r="B46" s="72"/>
      <c r="C46" s="73" t="s">
        <v>238</v>
      </c>
      <c r="D46" s="73"/>
      <c r="E46" s="74">
        <f>SUM(E41:E45)</f>
        <v>0.99999999999999989</v>
      </c>
      <c r="F46" s="75">
        <f>SUM(F41:F45)</f>
        <v>2899774.6540018986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2899774.6540018986</v>
      </c>
    </row>
    <row r="48" spans="2:6" s="24" customFormat="1" ht="12.75" hidden="1" customHeight="1">
      <c r="B48" s="31"/>
    </row>
    <row r="49" spans="2:2" s="24" customFormat="1" ht="12.6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T6:XFD6 A4:F5 T4:XFD5 A7:F10 T7:XFD10 T18:XFD1048576 A13:B13 G13 I13:K13 T13:XFD13 A14:B14 F14:G14 A15:B15 F15:G15 O13 A16:B16 A17:B17 F16:G16 F17:G17 I16:O16 I17:O17 T16:XFD16 T17:XFD17 T14:XFD14 T15:XFD15 I14:K14 I15:O15 O14 T2:T3 Y2:XFD3 A2:R3 Q15:R15 Q14:R14 Q17:R17 Q16:R16 Q13:R13 A18:R1048576 I7:R10 I4:R5 I6:R6 A11:R12 A1:R1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L5" sqref="L5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62"/>
      <c r="C4" s="662"/>
      <c r="D4" s="662"/>
      <c r="E4" s="313"/>
      <c r="F4" s="131" t="s">
        <v>202</v>
      </c>
      <c r="G4" s="126"/>
      <c r="H4" s="131" t="s">
        <v>203</v>
      </c>
      <c r="I4" s="126"/>
      <c r="J4" s="132" t="s">
        <v>240</v>
      </c>
      <c r="K4" s="26"/>
      <c r="L4" s="26"/>
    </row>
    <row r="5" spans="1:12" ht="14.45" thickBot="1">
      <c r="A5" s="126"/>
      <c r="B5" s="663" t="s">
        <v>241</v>
      </c>
      <c r="C5" s="663"/>
      <c r="D5" s="663"/>
      <c r="E5" s="313"/>
      <c r="F5" s="133">
        <f>SUM(F9:F23)</f>
        <v>2528912.5701168482</v>
      </c>
      <c r="G5" s="128"/>
      <c r="H5" s="133">
        <f>SUM(H9:H23)</f>
        <v>2564437.2735373424</v>
      </c>
      <c r="I5" s="126"/>
      <c r="J5" s="134">
        <f>SUM(J9:J23)</f>
        <v>-35524.703420494785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127</v>
      </c>
      <c r="C7" s="137"/>
      <c r="D7" s="136" t="s">
        <v>78</v>
      </c>
      <c r="E7" s="137"/>
      <c r="F7" s="138" t="s">
        <v>242</v>
      </c>
      <c r="G7" s="139"/>
      <c r="H7" s="138" t="s">
        <v>243</v>
      </c>
      <c r="I7" s="139"/>
      <c r="J7" s="138" t="s">
        <v>244</v>
      </c>
      <c r="K7" s="84"/>
      <c r="L7" s="29" t="s">
        <v>245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263738.00499999995</v>
      </c>
      <c r="G9" s="21"/>
      <c r="H9" s="142">
        <f>'Expenditure Breakdown'!X6</f>
        <v>258000</v>
      </c>
      <c r="I9" s="23"/>
      <c r="J9" s="143">
        <f t="shared" ref="J9:J23" si="0">F9-H9</f>
        <v>5738.0049999999464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53802</v>
      </c>
      <c r="G11" s="21"/>
      <c r="H11" s="142">
        <f>'Expenditure Breakdown'!X21</f>
        <v>53802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125191.1</v>
      </c>
      <c r="G12" s="21"/>
      <c r="H12" s="142">
        <f>'Expenditure Breakdown'!X28</f>
        <v>115032.935</v>
      </c>
      <c r="I12" s="23"/>
      <c r="J12" s="143">
        <f t="shared" si="0"/>
        <v>10158.165000000008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49000</v>
      </c>
      <c r="I13" s="23"/>
      <c r="J13" s="143">
        <f t="shared" si="0"/>
        <v>-49000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1211692.6086956521</v>
      </c>
      <c r="G15" s="21"/>
      <c r="H15" s="142">
        <f>'Expenditure Breakdown'!X70</f>
        <v>1211692.6086956521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693148.4</v>
      </c>
      <c r="G16" s="21"/>
      <c r="H16" s="142">
        <f>'Expenditure Breakdown'!X79</f>
        <v>693148.4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95060</v>
      </c>
      <c r="G17" s="21"/>
      <c r="H17" s="142">
        <f>'Expenditure Breakdown'!X89</f>
        <v>80801</v>
      </c>
      <c r="I17" s="23"/>
      <c r="J17" s="143">
        <f t="shared" si="0"/>
        <v>14259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32715.466666666667</v>
      </c>
      <c r="G18" s="21"/>
      <c r="H18" s="142">
        <f>'Expenditure Breakdown'!X102</f>
        <v>29788.146666666664</v>
      </c>
      <c r="I18" s="23"/>
      <c r="J18" s="143">
        <f t="shared" si="0"/>
        <v>2927.3200000000033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22639.989754528986</v>
      </c>
      <c r="G21" s="21"/>
      <c r="H21" s="142">
        <f>'Expenditure Breakdown'!X127</f>
        <v>36247.183175023732</v>
      </c>
      <c r="I21" s="23"/>
      <c r="J21" s="143">
        <f t="shared" si="0"/>
        <v>-13607.193420494747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1925</v>
      </c>
      <c r="G22" s="21"/>
      <c r="H22" s="142">
        <f>'Expenditure Breakdown'!X134</f>
        <v>1925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K1" zoomScale="76" zoomScaleNormal="100" workbookViewId="0">
      <pane ySplit="4" topLeftCell="M95" activePane="bottomLeft" state="frozen"/>
      <selection pane="bottomLeft" activeCell="S139" sqref="S139"/>
      <selection activeCell="X33" sqref="X33"/>
    </sheetView>
  </sheetViews>
  <sheetFormatPr defaultColWidth="9.42578125" defaultRowHeight="14.1"/>
  <cols>
    <col min="1" max="1" width="2.42578125" style="26" hidden="1" customWidth="1"/>
    <col min="2" max="2" width="6.42578125" style="4" hidden="1" customWidth="1"/>
    <col min="3" max="3" width="20.42578125" style="4" hidden="1" customWidth="1"/>
    <col min="4" max="4" width="51.5703125" style="4" hidden="1" customWidth="1"/>
    <col min="5" max="5" width="13" style="6" hidden="1" customWidth="1"/>
    <col min="6" max="6" width="16.5703125" style="372" hidden="1" customWidth="1"/>
    <col min="7" max="8" width="17.42578125" style="4" hidden="1" customWidth="1"/>
    <col min="9" max="9" width="22.42578125" style="254" hidden="1" customWidth="1"/>
    <col min="10" max="10" width="22.42578125" style="254" customWidth="1"/>
    <col min="11" max="12" width="5.1406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37.5703125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4.855468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1" t="s">
        <v>247</v>
      </c>
      <c r="C2" s="712"/>
      <c r="D2" s="712"/>
      <c r="E2" s="712"/>
      <c r="F2" s="712"/>
      <c r="G2" s="712"/>
      <c r="H2" s="395"/>
      <c r="I2" s="162">
        <f>SUM(I6:I159)</f>
        <v>2528912.5701168482</v>
      </c>
      <c r="J2" s="162">
        <f>SUM(J6:J159)</f>
        <v>2899774.6540018991</v>
      </c>
      <c r="L2" s="713" t="s">
        <v>248</v>
      </c>
      <c r="M2" s="714"/>
      <c r="N2" s="714"/>
      <c r="O2" s="714"/>
      <c r="P2" s="714"/>
      <c r="Q2" s="714"/>
      <c r="R2" s="715" t="s">
        <v>249</v>
      </c>
      <c r="S2" s="716"/>
      <c r="T2" s="716"/>
      <c r="U2" s="716"/>
      <c r="V2" s="716"/>
      <c r="W2" s="717"/>
      <c r="X2" s="162">
        <f>SUM(X6:X159)</f>
        <v>2564437.2735373424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6" thickBot="1">
      <c r="A4" s="77"/>
      <c r="B4" s="163" t="s">
        <v>250</v>
      </c>
      <c r="C4" s="164" t="s">
        <v>251</v>
      </c>
      <c r="D4" s="164" t="s">
        <v>252</v>
      </c>
      <c r="E4" s="164" t="s">
        <v>253</v>
      </c>
      <c r="F4" s="363" t="s">
        <v>254</v>
      </c>
      <c r="G4" s="165" t="s">
        <v>255</v>
      </c>
      <c r="H4" s="273" t="s">
        <v>256</v>
      </c>
      <c r="I4" s="166" t="s">
        <v>257</v>
      </c>
      <c r="J4" s="166" t="str">
        <f>IF(J2-'Revenue Tracking'!D4&gt;=0, "Total Revenue", "ERROR on REV" )</f>
        <v>Total Revenue</v>
      </c>
      <c r="K4" s="77"/>
      <c r="L4" s="163" t="s">
        <v>250</v>
      </c>
      <c r="M4" s="164" t="s">
        <v>258</v>
      </c>
      <c r="N4" s="164" t="s">
        <v>252</v>
      </c>
      <c r="O4" s="164" t="s">
        <v>253</v>
      </c>
      <c r="P4" s="363" t="s">
        <v>254</v>
      </c>
      <c r="Q4" s="274" t="s">
        <v>259</v>
      </c>
      <c r="R4" s="497" t="s">
        <v>260</v>
      </c>
      <c r="S4" s="498" t="s">
        <v>217</v>
      </c>
      <c r="T4" s="522" t="s">
        <v>218</v>
      </c>
      <c r="U4" s="523" t="s">
        <v>261</v>
      </c>
      <c r="V4" s="274" t="s">
        <v>262</v>
      </c>
      <c r="W4" s="522" t="s">
        <v>263</v>
      </c>
      <c r="X4" s="166" t="s">
        <v>257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264</v>
      </c>
      <c r="D6" s="186" t="s">
        <v>265</v>
      </c>
      <c r="E6" s="187"/>
      <c r="F6" s="336"/>
      <c r="G6" s="292">
        <f>D160</f>
        <v>263738.00499999995</v>
      </c>
      <c r="H6" s="550">
        <f>'Project Plan'!E37+60</f>
        <v>46146</v>
      </c>
      <c r="I6" s="664">
        <f>SUM(G6:G11)</f>
        <v>263738.00499999995</v>
      </c>
      <c r="J6" s="667">
        <f>F160</f>
        <v>306672.09883720923</v>
      </c>
      <c r="K6" s="289"/>
      <c r="L6" s="185">
        <v>1</v>
      </c>
      <c r="M6" s="316" t="s">
        <v>266</v>
      </c>
      <c r="N6" s="186" t="s">
        <v>267</v>
      </c>
      <c r="O6" s="521">
        <f>'Project Plan'!$E$3*1000/610</f>
        <v>196.72131147540983</v>
      </c>
      <c r="P6" s="336">
        <f>2.15*610</f>
        <v>1311.5</v>
      </c>
      <c r="Q6" s="292">
        <f>O6*P6</f>
        <v>258000</v>
      </c>
      <c r="R6" s="469"/>
      <c r="S6" s="500"/>
      <c r="T6" s="411">
        <f t="shared" ref="T6:T69" si="0">IF(W6&gt;1,EOMONTH(W6,0),"")</f>
        <v>46173</v>
      </c>
      <c r="U6" s="397">
        <f t="shared" ref="U6:U11" si="1">(Q6/$X$6*$J$6)</f>
        <v>306672.09883720923</v>
      </c>
      <c r="V6" s="676">
        <f>J6-SUM(U6:U11)</f>
        <v>0</v>
      </c>
      <c r="W6" s="453">
        <f>'Project Plan'!K37+60</f>
        <v>46150</v>
      </c>
      <c r="X6" s="664">
        <f>SUM(Q6:Q11)</f>
        <v>258000</v>
      </c>
    </row>
    <row r="7" spans="1:76" ht="15" customHeight="1">
      <c r="B7" s="215">
        <v>1</v>
      </c>
      <c r="C7" s="317"/>
      <c r="D7" s="290" t="s">
        <v>268</v>
      </c>
      <c r="E7" s="291"/>
      <c r="F7" s="357"/>
      <c r="G7" s="219"/>
      <c r="H7" s="541"/>
      <c r="I7" s="665"/>
      <c r="J7" s="668"/>
      <c r="K7" s="192"/>
      <c r="L7" s="215">
        <v>1</v>
      </c>
      <c r="M7" s="217" t="s">
        <v>266</v>
      </c>
      <c r="N7" s="290"/>
      <c r="O7" s="433"/>
      <c r="P7" s="343"/>
      <c r="Q7" s="219"/>
      <c r="R7" s="470"/>
      <c r="S7" s="501"/>
      <c r="T7" s="411" t="str">
        <f t="shared" si="0"/>
        <v/>
      </c>
      <c r="U7" s="397">
        <f t="shared" si="1"/>
        <v>0</v>
      </c>
      <c r="V7" s="677"/>
      <c r="W7" s="454"/>
      <c r="X7" s="665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65"/>
      <c r="J8" s="668"/>
      <c r="K8" s="192"/>
      <c r="L8" s="215">
        <v>1</v>
      </c>
      <c r="M8" s="217" t="s">
        <v>266</v>
      </c>
      <c r="N8" s="379"/>
      <c r="O8" s="434"/>
      <c r="P8" s="343"/>
      <c r="Q8" s="219"/>
      <c r="R8" s="470"/>
      <c r="S8" s="501"/>
      <c r="T8" s="411" t="str">
        <f t="shared" si="0"/>
        <v/>
      </c>
      <c r="U8" s="397">
        <f t="shared" si="1"/>
        <v>0</v>
      </c>
      <c r="V8" s="677"/>
      <c r="W8" s="454"/>
      <c r="X8" s="665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65"/>
      <c r="J9" s="668"/>
      <c r="K9" s="192"/>
      <c r="L9" s="215">
        <v>1</v>
      </c>
      <c r="M9" s="217" t="s">
        <v>266</v>
      </c>
      <c r="N9" s="379" t="s">
        <v>269</v>
      </c>
      <c r="O9" s="434"/>
      <c r="P9" s="343"/>
      <c r="Q9" s="287"/>
      <c r="R9" s="471"/>
      <c r="S9" s="502"/>
      <c r="T9" s="412" t="str">
        <f t="shared" si="0"/>
        <v/>
      </c>
      <c r="U9" s="397">
        <f t="shared" si="1"/>
        <v>0</v>
      </c>
      <c r="V9" s="677"/>
      <c r="W9" s="455"/>
      <c r="X9" s="66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65"/>
      <c r="J10" s="668"/>
      <c r="K10" s="192"/>
      <c r="L10" s="215">
        <v>1</v>
      </c>
      <c r="M10" s="217" t="s">
        <v>266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397">
        <f t="shared" si="1"/>
        <v>0</v>
      </c>
      <c r="V10" s="677"/>
      <c r="W10" s="455"/>
      <c r="X10" s="66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66"/>
      <c r="J11" s="669"/>
      <c r="K11" s="193"/>
      <c r="L11" s="220">
        <v>1</v>
      </c>
      <c r="M11" s="318" t="s">
        <v>266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397">
        <f t="shared" si="1"/>
        <v>0</v>
      </c>
      <c r="V11" s="678"/>
      <c r="W11" s="456"/>
      <c r="X11" s="666"/>
      <c r="Y11" s="606" t="s">
        <v>270</v>
      </c>
      <c r="Z11" s="487" t="s">
        <v>271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272</v>
      </c>
      <c r="Z12" s="488">
        <f>G52</f>
        <v>0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0</v>
      </c>
      <c r="H13" s="554">
        <f>'Project Plan'!E23+60</f>
        <v>46147</v>
      </c>
      <c r="I13" s="693">
        <f>SUM(G13:G19)</f>
        <v>0</v>
      </c>
      <c r="J13" s="696">
        <f>F161</f>
        <v>0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/>
      <c r="V13" s="708">
        <f>J13-SUM(U13:U19)</f>
        <v>0</v>
      </c>
      <c r="W13" s="458"/>
      <c r="X13" s="693">
        <f>SUM(Q13:Q19)</f>
        <v>0</v>
      </c>
      <c r="Y13" s="607" t="s">
        <v>276</v>
      </c>
      <c r="Z13" s="489">
        <f>G29</f>
        <v>85921.1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94"/>
      <c r="J14" s="697"/>
      <c r="K14" s="205"/>
      <c r="L14" s="202">
        <v>2</v>
      </c>
      <c r="M14" s="325" t="s">
        <v>275</v>
      </c>
      <c r="N14" s="309"/>
      <c r="O14" s="438"/>
      <c r="P14" s="351"/>
      <c r="Q14" s="375"/>
      <c r="R14" s="475"/>
      <c r="S14" s="506"/>
      <c r="T14" s="415"/>
      <c r="U14" s="401"/>
      <c r="V14" s="709"/>
      <c r="W14" s="459"/>
      <c r="X14" s="694"/>
      <c r="Y14" s="607" t="s">
        <v>277</v>
      </c>
      <c r="Z14" s="488">
        <f>G89</f>
        <v>29890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94"/>
      <c r="J15" s="697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>IF(W15&gt;1,EOMONTH(W15,0),"")</f>
        <v/>
      </c>
      <c r="U15" s="401"/>
      <c r="V15" s="709"/>
      <c r="W15" s="459"/>
      <c r="X15" s="694"/>
      <c r="Y15" s="607" t="s">
        <v>278</v>
      </c>
      <c r="Z15" s="488">
        <f>G90</f>
        <v>65170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94"/>
      <c r="J16" s="697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401"/>
      <c r="V16" s="709"/>
      <c r="W16" s="459"/>
      <c r="X16" s="694"/>
      <c r="Y16" s="607" t="s">
        <v>279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94"/>
      <c r="J17" s="697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401"/>
      <c r="V17" s="709"/>
      <c r="W17" s="459"/>
      <c r="X17" s="694"/>
      <c r="Y17" s="607" t="s">
        <v>280</v>
      </c>
      <c r="Z17" s="488">
        <f>G103</f>
        <v>11015.466666666667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94"/>
      <c r="J18" s="697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401"/>
      <c r="V18" s="709"/>
      <c r="W18" s="459"/>
      <c r="X18" s="694"/>
      <c r="Y18" s="607" t="s">
        <v>281</v>
      </c>
      <c r="Z18" s="488">
        <f>G105</f>
        <v>0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95"/>
      <c r="J19" s="698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402"/>
      <c r="V19" s="710"/>
      <c r="W19" s="460"/>
      <c r="X19" s="695"/>
      <c r="Y19" s="607" t="s">
        <v>282</v>
      </c>
      <c r="Z19" s="488">
        <v>0</v>
      </c>
      <c r="AA19" s="527"/>
    </row>
    <row r="20" spans="1:27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 t="s">
        <v>283</v>
      </c>
      <c r="Z20" s="488">
        <v>0</v>
      </c>
      <c r="AA20" s="527"/>
    </row>
    <row r="21" spans="1:27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D162</f>
        <v>53802</v>
      </c>
      <c r="H21" s="542">
        <f>'Project Plan'!E31+30</f>
        <v>46116</v>
      </c>
      <c r="I21" s="664">
        <f>SUM(G21:G26)</f>
        <v>53802</v>
      </c>
      <c r="J21" s="667">
        <f>F162</f>
        <v>62560.465116279069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53802</v>
      </c>
      <c r="R21" s="477"/>
      <c r="S21" s="508"/>
      <c r="T21" s="411">
        <f t="shared" si="0"/>
        <v>46142</v>
      </c>
      <c r="U21" s="397">
        <f t="shared" ref="U21:U26" si="2">(Q21/$X$21*$J$21)</f>
        <v>62560.465116279069</v>
      </c>
      <c r="V21" s="676">
        <f>J21-SUM(U21:U26)</f>
        <v>0</v>
      </c>
      <c r="W21" s="461">
        <v>46142</v>
      </c>
      <c r="X21" s="664">
        <f>SUM(Q21:Q26)</f>
        <v>53802</v>
      </c>
      <c r="Y21" s="607" t="s">
        <v>288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65"/>
      <c r="J22" s="668"/>
      <c r="K22" s="192"/>
      <c r="L22" s="215">
        <v>3</v>
      </c>
      <c r="M22" s="322" t="s">
        <v>286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397">
        <f t="shared" si="2"/>
        <v>0</v>
      </c>
      <c r="V22" s="677"/>
      <c r="W22" s="454"/>
      <c r="X22" s="665"/>
      <c r="Y22" s="607" t="s">
        <v>238</v>
      </c>
      <c r="Z22" s="488">
        <f>SUM(Z12:Z21)</f>
        <v>200496.56666666668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65"/>
      <c r="J23" s="668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397">
        <f t="shared" si="2"/>
        <v>0</v>
      </c>
      <c r="V23" s="677"/>
      <c r="W23" s="454"/>
      <c r="X23" s="665"/>
      <c r="Y23" s="607" t="s">
        <v>289</v>
      </c>
      <c r="Z23" s="491">
        <f>+Z22*0.85</f>
        <v>170422.08166666667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65"/>
      <c r="J24" s="668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397">
        <f t="shared" si="2"/>
        <v>0</v>
      </c>
      <c r="V24" s="677"/>
      <c r="W24" s="455"/>
      <c r="X24" s="665"/>
      <c r="Y24" s="608" t="s">
        <v>290</v>
      </c>
      <c r="Z24" s="490">
        <f>Z23/'Project Plan'!$E$3/1000</f>
        <v>1.4201840138888888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65"/>
      <c r="J25" s="668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397">
        <f t="shared" si="2"/>
        <v>0</v>
      </c>
      <c r="V25" s="677"/>
      <c r="W25" s="455"/>
      <c r="X25" s="66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66"/>
      <c r="J26" s="669"/>
      <c r="K26" s="193"/>
      <c r="L26" s="220">
        <v>3</v>
      </c>
      <c r="M26" s="323" t="s">
        <v>286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398">
        <f t="shared" si="2"/>
        <v>0</v>
      </c>
      <c r="V26" s="678"/>
      <c r="W26" s="456"/>
      <c r="X26" s="666"/>
      <c r="Y26" s="609" t="s">
        <v>203</v>
      </c>
      <c r="Z26" s="492" t="s">
        <v>291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0</v>
      </c>
    </row>
    <row r="28" spans="1:27" ht="14.25" customHeight="1">
      <c r="B28" s="197">
        <v>4</v>
      </c>
      <c r="C28" s="198" t="s">
        <v>276</v>
      </c>
      <c r="D28" s="198" t="s">
        <v>292</v>
      </c>
      <c r="E28" s="268">
        <v>2805</v>
      </c>
      <c r="F28" s="355"/>
      <c r="G28" s="200">
        <v>39270</v>
      </c>
      <c r="H28" s="554">
        <f>'Project Plan'!E33+60</f>
        <v>46146</v>
      </c>
      <c r="I28" s="693">
        <f>SUM(G28:G42)</f>
        <v>125191.1</v>
      </c>
      <c r="J28" s="696">
        <f>F163</f>
        <v>145571.04651162791</v>
      </c>
      <c r="K28" s="201"/>
      <c r="L28" s="197">
        <v>4</v>
      </c>
      <c r="M28" s="324" t="s">
        <v>293</v>
      </c>
      <c r="N28" s="198" t="s">
        <v>294</v>
      </c>
      <c r="O28" s="429">
        <v>3000</v>
      </c>
      <c r="P28" s="355">
        <v>14</v>
      </c>
      <c r="Q28" s="200">
        <f>O28*P28</f>
        <v>42000</v>
      </c>
      <c r="R28" s="474"/>
      <c r="S28" s="505"/>
      <c r="T28" s="415">
        <f>T6</f>
        <v>46173</v>
      </c>
      <c r="U28" s="401">
        <f t="shared" ref="U28:U41" si="3">(Q28/$X$28*$J$28)</f>
        <v>53149.856199777671</v>
      </c>
      <c r="V28" s="708">
        <f>J28-SUM(U28:U42)</f>
        <v>0</v>
      </c>
      <c r="W28" s="458">
        <f>W6</f>
        <v>46150</v>
      </c>
      <c r="X28" s="693">
        <f>SUM(Q28:Q42)</f>
        <v>115032.935</v>
      </c>
      <c r="Y28" s="610" t="str">
        <f t="shared" ref="Y28:Y30" si="4">Y13</f>
        <v>DC Equipment</v>
      </c>
      <c r="Z28" s="493">
        <f t="shared" ref="Z28:Z33" si="5">Z13*0.85</f>
        <v>73032.934999999998</v>
      </c>
    </row>
    <row r="29" spans="1:27" ht="14.25" customHeight="1">
      <c r="B29" s="224">
        <v>4</v>
      </c>
      <c r="C29" s="309"/>
      <c r="D29" s="309" t="s">
        <v>295</v>
      </c>
      <c r="E29" s="295"/>
      <c r="F29" s="351"/>
      <c r="G29" s="517">
        <f>D163-G28</f>
        <v>85921.1</v>
      </c>
      <c r="H29" s="545">
        <f>'Project Plan'!G29</f>
        <v>46107</v>
      </c>
      <c r="I29" s="694"/>
      <c r="J29" s="697"/>
      <c r="K29" s="205"/>
      <c r="L29" s="202">
        <v>4</v>
      </c>
      <c r="M29" s="325" t="s">
        <v>293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si="3"/>
        <v>0</v>
      </c>
      <c r="V29" s="709"/>
      <c r="W29" s="459"/>
      <c r="X29" s="694"/>
      <c r="Y29" s="610" t="str">
        <f t="shared" si="4"/>
        <v>AC Labour</v>
      </c>
      <c r="Z29" s="493">
        <f t="shared" si="5"/>
        <v>25406.5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94"/>
      <c r="J30" s="697"/>
      <c r="K30" s="205"/>
      <c r="L30" s="202">
        <v>4</v>
      </c>
      <c r="M30" s="325" t="s">
        <v>293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3"/>
        <v>0</v>
      </c>
      <c r="V30" s="709"/>
      <c r="W30" s="459"/>
      <c r="X30" s="694"/>
      <c r="Y30" s="610" t="str">
        <f t="shared" si="4"/>
        <v>DC Labour</v>
      </c>
      <c r="Z30" s="493">
        <f t="shared" si="5"/>
        <v>55394.5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94"/>
      <c r="J31" s="697"/>
      <c r="K31" s="205"/>
      <c r="L31" s="202">
        <v>4</v>
      </c>
      <c r="M31" s="325" t="s">
        <v>293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3"/>
        <v>0</v>
      </c>
      <c r="V31" s="709"/>
      <c r="W31" s="459"/>
      <c r="X31" s="694"/>
      <c r="Y31" s="610" t="s">
        <v>296</v>
      </c>
      <c r="Z31" s="493">
        <f t="shared" si="5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94"/>
      <c r="J32" s="697"/>
      <c r="K32" s="205"/>
      <c r="L32" s="202">
        <v>4</v>
      </c>
      <c r="M32" s="325" t="s">
        <v>293</v>
      </c>
      <c r="N32" s="309" t="s">
        <v>297</v>
      </c>
      <c r="O32" s="447">
        <f>Z28</f>
        <v>73032.934999999998</v>
      </c>
      <c r="P32" s="448">
        <v>0.1</v>
      </c>
      <c r="Q32" s="204">
        <f>$O$32*P32</f>
        <v>7303.2934999999998</v>
      </c>
      <c r="R32" s="690"/>
      <c r="S32" s="506"/>
      <c r="T32" s="416">
        <f>T90</f>
        <v>46081</v>
      </c>
      <c r="U32" s="401">
        <f t="shared" si="3"/>
        <v>9242.1190311850223</v>
      </c>
      <c r="V32" s="709"/>
      <c r="W32" s="459">
        <f>W90</f>
        <v>46080</v>
      </c>
      <c r="X32" s="694"/>
      <c r="Y32" s="610" t="s">
        <v>298</v>
      </c>
      <c r="Z32" s="493">
        <f t="shared" si="5"/>
        <v>9363.1466666666674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94"/>
      <c r="J33" s="697"/>
      <c r="K33" s="205"/>
      <c r="L33" s="202">
        <v>4</v>
      </c>
      <c r="M33" s="325" t="s">
        <v>293</v>
      </c>
      <c r="N33" s="309" t="s">
        <v>151</v>
      </c>
      <c r="O33" s="438"/>
      <c r="P33" s="448">
        <v>0.15</v>
      </c>
      <c r="Q33" s="204">
        <f t="shared" ref="Q33:Q39" si="6">$O$32*P33</f>
        <v>10954.94025</v>
      </c>
      <c r="R33" s="691"/>
      <c r="S33" s="506"/>
      <c r="T33" s="416">
        <f t="shared" ref="T33:T39" si="7">T91</f>
        <v>46112</v>
      </c>
      <c r="U33" s="401">
        <f t="shared" si="3"/>
        <v>13863.178546777535</v>
      </c>
      <c r="V33" s="709"/>
      <c r="W33" s="459">
        <f t="shared" ref="W33:W39" si="8">W91</f>
        <v>46087</v>
      </c>
      <c r="X33" s="694"/>
      <c r="Y33" s="610" t="s">
        <v>299</v>
      </c>
      <c r="Z33" s="493">
        <f t="shared" si="5"/>
        <v>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94"/>
      <c r="J34" s="697"/>
      <c r="K34" s="205"/>
      <c r="L34" s="202">
        <v>4</v>
      </c>
      <c r="M34" s="325" t="s">
        <v>293</v>
      </c>
      <c r="N34" s="309" t="s">
        <v>300</v>
      </c>
      <c r="O34" s="438"/>
      <c r="P34" s="448">
        <v>0.2</v>
      </c>
      <c r="Q34" s="204">
        <f t="shared" si="6"/>
        <v>14606.587</v>
      </c>
      <c r="R34" s="691"/>
      <c r="S34" s="506"/>
      <c r="T34" s="416">
        <f t="shared" si="7"/>
        <v>46142</v>
      </c>
      <c r="U34" s="401">
        <f t="shared" si="3"/>
        <v>18484.238062370045</v>
      </c>
      <c r="V34" s="709"/>
      <c r="W34" s="459">
        <f t="shared" si="8"/>
        <v>46115</v>
      </c>
      <c r="X34" s="694"/>
      <c r="Y34" s="610" t="s">
        <v>301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94"/>
      <c r="J35" s="697"/>
      <c r="K35" s="205"/>
      <c r="L35" s="202">
        <v>4</v>
      </c>
      <c r="M35" s="325" t="s">
        <v>293</v>
      </c>
      <c r="N35" s="309" t="s">
        <v>302</v>
      </c>
      <c r="O35" s="438"/>
      <c r="P35" s="448">
        <v>0.25</v>
      </c>
      <c r="Q35" s="204">
        <f t="shared" si="6"/>
        <v>18258.233749999999</v>
      </c>
      <c r="R35" s="691"/>
      <c r="S35" s="506"/>
      <c r="T35" s="416">
        <f t="shared" si="7"/>
        <v>46142</v>
      </c>
      <c r="U35" s="401">
        <f t="shared" si="3"/>
        <v>23105.297577962559</v>
      </c>
      <c r="V35" s="709"/>
      <c r="W35" s="459">
        <f t="shared" si="8"/>
        <v>46114</v>
      </c>
      <c r="X35" s="694"/>
      <c r="Y35" s="610" t="s">
        <v>283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94"/>
      <c r="J36" s="697"/>
      <c r="K36" s="205"/>
      <c r="L36" s="202">
        <v>4</v>
      </c>
      <c r="M36" s="325" t="s">
        <v>293</v>
      </c>
      <c r="N36" s="309" t="s">
        <v>303</v>
      </c>
      <c r="O36" s="438"/>
      <c r="P36" s="448">
        <v>0.1</v>
      </c>
      <c r="Q36" s="204">
        <f t="shared" si="6"/>
        <v>7303.2934999999998</v>
      </c>
      <c r="R36" s="691"/>
      <c r="S36" s="506"/>
      <c r="T36" s="416">
        <f t="shared" si="7"/>
        <v>46142</v>
      </c>
      <c r="U36" s="401">
        <f t="shared" si="3"/>
        <v>9242.1190311850223</v>
      </c>
      <c r="V36" s="709"/>
      <c r="W36" s="459">
        <f t="shared" si="8"/>
        <v>46128</v>
      </c>
      <c r="X36" s="694"/>
      <c r="Y36" s="610" t="s">
        <v>288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94"/>
      <c r="J37" s="697"/>
      <c r="K37" s="205"/>
      <c r="L37" s="202">
        <v>4</v>
      </c>
      <c r="M37" s="325" t="s">
        <v>293</v>
      </c>
      <c r="N37" s="309" t="s">
        <v>304</v>
      </c>
      <c r="O37" s="438"/>
      <c r="P37" s="448">
        <v>0.1</v>
      </c>
      <c r="Q37" s="204">
        <f t="shared" si="6"/>
        <v>7303.2934999999998</v>
      </c>
      <c r="R37" s="691"/>
      <c r="S37" s="506"/>
      <c r="T37" s="416">
        <f t="shared" si="7"/>
        <v>46142</v>
      </c>
      <c r="U37" s="401">
        <f t="shared" si="3"/>
        <v>9242.1190311850223</v>
      </c>
      <c r="V37" s="709"/>
      <c r="W37" s="459">
        <f t="shared" si="8"/>
        <v>46129</v>
      </c>
      <c r="X37" s="694"/>
      <c r="Y37" s="610" t="s">
        <v>288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94"/>
      <c r="J38" s="697"/>
      <c r="K38" s="205"/>
      <c r="L38" s="202">
        <v>4</v>
      </c>
      <c r="M38" s="325" t="s">
        <v>293</v>
      </c>
      <c r="N38" s="309" t="s">
        <v>305</v>
      </c>
      <c r="O38" s="438"/>
      <c r="P38" s="448">
        <v>0.05</v>
      </c>
      <c r="Q38" s="204">
        <f t="shared" si="6"/>
        <v>3651.6467499999999</v>
      </c>
      <c r="R38" s="691"/>
      <c r="S38" s="506"/>
      <c r="T38" s="416">
        <f t="shared" si="7"/>
        <v>46142</v>
      </c>
      <c r="U38" s="401">
        <f t="shared" si="3"/>
        <v>4621.0595155925112</v>
      </c>
      <c r="V38" s="709"/>
      <c r="W38" s="459">
        <f t="shared" si="8"/>
        <v>46129</v>
      </c>
      <c r="X38" s="694"/>
      <c r="Y38" s="610" t="s">
        <v>238</v>
      </c>
      <c r="Z38" s="493">
        <f>SUM(Z27:Z37)</f>
        <v>170422.08166666667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94"/>
      <c r="J39" s="697"/>
      <c r="K39" s="205"/>
      <c r="L39" s="202">
        <v>4</v>
      </c>
      <c r="M39" s="325" t="s">
        <v>293</v>
      </c>
      <c r="N39" s="309" t="s">
        <v>306</v>
      </c>
      <c r="O39" s="438"/>
      <c r="P39" s="448">
        <v>0.05</v>
      </c>
      <c r="Q39" s="204">
        <f t="shared" si="6"/>
        <v>3651.6467499999999</v>
      </c>
      <c r="R39" s="692"/>
      <c r="S39" s="506"/>
      <c r="T39" s="416">
        <f t="shared" si="7"/>
        <v>46173</v>
      </c>
      <c r="U39" s="401">
        <f t="shared" si="3"/>
        <v>4621.0595155925112</v>
      </c>
      <c r="V39" s="709"/>
      <c r="W39" s="459">
        <f t="shared" si="8"/>
        <v>46152</v>
      </c>
      <c r="X39" s="694"/>
      <c r="Y39" s="611" t="s">
        <v>290</v>
      </c>
      <c r="Z39" s="494">
        <f>Z38/'Project Plan'!$E$3/1000</f>
        <v>1.4201840138888888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94"/>
      <c r="J40" s="697"/>
      <c r="K40" s="205"/>
      <c r="L40" s="202">
        <v>4</v>
      </c>
      <c r="M40" s="325" t="s">
        <v>293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3"/>
        <v>0</v>
      </c>
      <c r="V40" s="709"/>
      <c r="W40" s="459"/>
      <c r="X40" s="69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94"/>
      <c r="J41" s="697"/>
      <c r="K41" s="205"/>
      <c r="L41" s="202">
        <v>4</v>
      </c>
      <c r="M41" s="325" t="s">
        <v>293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3"/>
        <v>0</v>
      </c>
      <c r="V41" s="709"/>
      <c r="W41" s="459"/>
      <c r="X41" s="69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95"/>
      <c r="J42" s="698"/>
      <c r="K42" s="210"/>
      <c r="L42" s="206">
        <v>4</v>
      </c>
      <c r="M42" s="326" t="s">
        <v>293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710"/>
      <c r="W42" s="460"/>
      <c r="X42" s="695"/>
    </row>
    <row r="43" spans="1:26" ht="14.4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307</v>
      </c>
      <c r="D44" s="231" t="s">
        <v>308</v>
      </c>
      <c r="E44" s="187"/>
      <c r="F44" s="336"/>
      <c r="G44" s="188">
        <v>26000</v>
      </c>
      <c r="H44" s="542">
        <f>H52</f>
        <v>46113</v>
      </c>
      <c r="I44" s="664">
        <f>D165</f>
        <v>0</v>
      </c>
      <c r="J44" s="667">
        <f>F165</f>
        <v>0</v>
      </c>
      <c r="K44" s="189"/>
      <c r="L44" s="185">
        <v>5</v>
      </c>
      <c r="M44" s="321" t="s">
        <v>309</v>
      </c>
      <c r="N44" s="231" t="s">
        <v>308</v>
      </c>
      <c r="O44" s="432"/>
      <c r="P44" s="336"/>
      <c r="Q44" s="188">
        <v>8000</v>
      </c>
      <c r="R44" s="477"/>
      <c r="S44" s="508"/>
      <c r="T44" s="411">
        <f>T45</f>
        <v>46112</v>
      </c>
      <c r="U44" s="396">
        <f>(Q44/$X$44*$J$44)</f>
        <v>0</v>
      </c>
      <c r="V44" s="676">
        <f>J44-SUM(U44:U50)</f>
        <v>0</v>
      </c>
      <c r="W44" s="461">
        <f>W45</f>
        <v>46112</v>
      </c>
      <c r="X44" s="664">
        <f>SUM(Q44:Q50)</f>
        <v>49000</v>
      </c>
    </row>
    <row r="45" spans="1:26" ht="14.25" customHeight="1">
      <c r="B45" s="190">
        <v>5</v>
      </c>
      <c r="C45" s="214"/>
      <c r="D45" s="217" t="s">
        <v>310</v>
      </c>
      <c r="E45" s="349"/>
      <c r="F45" s="350"/>
      <c r="G45" s="219">
        <v>8000</v>
      </c>
      <c r="H45" s="541">
        <f>H44</f>
        <v>46113</v>
      </c>
      <c r="I45" s="665"/>
      <c r="J45" s="668"/>
      <c r="K45" s="192"/>
      <c r="L45" s="190">
        <v>5</v>
      </c>
      <c r="M45" s="327" t="s">
        <v>309</v>
      </c>
      <c r="N45" s="191" t="s">
        <v>310</v>
      </c>
      <c r="O45" s="440"/>
      <c r="P45" s="350"/>
      <c r="Q45" s="219">
        <v>26000</v>
      </c>
      <c r="R45" s="518"/>
      <c r="S45" s="501"/>
      <c r="T45" s="411">
        <f t="shared" si="0"/>
        <v>46112</v>
      </c>
      <c r="U45" s="396">
        <f t="shared" ref="U45:U49" si="9">(Q45/$X$44*$J$44)</f>
        <v>0</v>
      </c>
      <c r="V45" s="677"/>
      <c r="W45" s="454">
        <v>46112</v>
      </c>
      <c r="X45" s="665"/>
    </row>
    <row r="46" spans="1:26" ht="14.25" customHeight="1">
      <c r="B46" s="190">
        <v>5</v>
      </c>
      <c r="C46" s="214"/>
      <c r="D46" s="288" t="s">
        <v>311</v>
      </c>
      <c r="E46" s="218"/>
      <c r="F46" s="357"/>
      <c r="G46" s="219">
        <v>15000</v>
      </c>
      <c r="H46" s="541">
        <f>H45</f>
        <v>46113</v>
      </c>
      <c r="I46" s="665"/>
      <c r="J46" s="668"/>
      <c r="K46" s="192"/>
      <c r="L46" s="190">
        <v>5</v>
      </c>
      <c r="M46" s="327" t="s">
        <v>309</v>
      </c>
      <c r="N46" s="217" t="s">
        <v>311</v>
      </c>
      <c r="O46" s="433"/>
      <c r="P46" s="357"/>
      <c r="Q46" s="219">
        <v>15000</v>
      </c>
      <c r="R46" s="470"/>
      <c r="S46" s="501"/>
      <c r="T46" s="411">
        <f t="shared" si="0"/>
        <v>46112</v>
      </c>
      <c r="U46" s="396">
        <f t="shared" si="9"/>
        <v>0</v>
      </c>
      <c r="V46" s="677"/>
      <c r="W46" s="454">
        <f>W45</f>
        <v>46112</v>
      </c>
      <c r="X46" s="665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65"/>
      <c r="J47" s="668"/>
      <c r="K47" s="192"/>
      <c r="L47" s="215">
        <v>5</v>
      </c>
      <c r="M47" s="327" t="s">
        <v>309</v>
      </c>
      <c r="N47" s="217"/>
      <c r="O47" s="433"/>
      <c r="P47" s="357"/>
      <c r="Q47" s="219"/>
      <c r="R47" s="470"/>
      <c r="S47" s="501"/>
      <c r="T47" s="541" t="str">
        <f t="shared" si="0"/>
        <v/>
      </c>
      <c r="U47" s="396">
        <f t="shared" si="9"/>
        <v>0</v>
      </c>
      <c r="V47" s="677"/>
      <c r="W47" s="454"/>
      <c r="X47" s="665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65"/>
      <c r="J48" s="668"/>
      <c r="K48" s="192"/>
      <c r="L48" s="215">
        <v>5</v>
      </c>
      <c r="M48" s="327" t="s">
        <v>309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9"/>
        <v>0</v>
      </c>
      <c r="V48" s="677"/>
      <c r="W48" s="455"/>
      <c r="X48" s="66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65"/>
      <c r="J49" s="668"/>
      <c r="K49" s="192"/>
      <c r="L49" s="215">
        <v>5</v>
      </c>
      <c r="M49" s="327" t="s">
        <v>309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9"/>
        <v>0</v>
      </c>
      <c r="V49" s="677"/>
      <c r="W49" s="455"/>
      <c r="X49" s="665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66"/>
      <c r="J50" s="669"/>
      <c r="K50" s="193"/>
      <c r="L50" s="220">
        <v>5</v>
      </c>
      <c r="M50" s="323" t="s">
        <v>309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>(Q50/$X$44*$J$44)</f>
        <v>0</v>
      </c>
      <c r="V50" s="678"/>
      <c r="W50" s="456"/>
      <c r="X50" s="666"/>
    </row>
    <row r="51" spans="1:24" ht="14.4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272</v>
      </c>
      <c r="D52" s="199" t="s">
        <v>312</v>
      </c>
      <c r="E52" s="373"/>
      <c r="F52" s="355"/>
      <c r="G52" s="200">
        <f>D164</f>
        <v>0</v>
      </c>
      <c r="H52" s="554">
        <f>'Project Plan'!G25+30</f>
        <v>46113</v>
      </c>
      <c r="I52" s="693">
        <f>SUM(G52:G68)</f>
        <v>0</v>
      </c>
      <c r="J52" s="696">
        <f>F164</f>
        <v>0</v>
      </c>
      <c r="K52" s="201"/>
      <c r="L52" s="197">
        <v>6</v>
      </c>
      <c r="M52" s="330" t="s">
        <v>313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/>
      <c r="V52" s="708">
        <f>J52-SUM(U52:U68)</f>
        <v>0</v>
      </c>
      <c r="W52" s="458"/>
      <c r="X52" s="693">
        <f>SUM(Q52:Q68)</f>
        <v>0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94"/>
      <c r="J53" s="697"/>
      <c r="K53" s="205"/>
      <c r="L53" s="202">
        <v>6</v>
      </c>
      <c r="M53" s="328" t="s">
        <v>313</v>
      </c>
      <c r="N53" s="342"/>
      <c r="O53" s="438"/>
      <c r="P53" s="351"/>
      <c r="Q53" s="225"/>
      <c r="R53" s="475"/>
      <c r="S53" s="506"/>
      <c r="T53" s="416" t="str">
        <f t="shared" si="0"/>
        <v/>
      </c>
      <c r="U53" s="401"/>
      <c r="V53" s="709"/>
      <c r="W53" s="459"/>
      <c r="X53" s="69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94"/>
      <c r="J54" s="697"/>
      <c r="K54" s="205"/>
      <c r="L54" s="202">
        <v>6</v>
      </c>
      <c r="M54" s="328" t="s">
        <v>313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/>
      <c r="V54" s="709"/>
      <c r="W54" s="459"/>
      <c r="X54" s="69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94"/>
      <c r="J55" s="697"/>
      <c r="K55" s="205"/>
      <c r="L55" s="202">
        <v>6</v>
      </c>
      <c r="M55" s="328" t="s">
        <v>313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/>
      <c r="V55" s="709"/>
      <c r="W55" s="459"/>
      <c r="X55" s="69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94"/>
      <c r="J56" s="697"/>
      <c r="K56" s="205"/>
      <c r="L56" s="202">
        <v>6</v>
      </c>
      <c r="M56" s="328" t="s">
        <v>313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/>
      <c r="V56" s="709"/>
      <c r="W56" s="459"/>
      <c r="X56" s="69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94"/>
      <c r="J57" s="697"/>
      <c r="K57" s="205"/>
      <c r="L57" s="202">
        <v>6</v>
      </c>
      <c r="M57" s="328" t="s">
        <v>313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/>
      <c r="V57" s="709"/>
      <c r="W57" s="459"/>
      <c r="X57" s="69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94"/>
      <c r="J58" s="697"/>
      <c r="K58" s="205"/>
      <c r="L58" s="202">
        <v>6</v>
      </c>
      <c r="M58" s="328" t="s">
        <v>313</v>
      </c>
      <c r="N58" s="309" t="s">
        <v>297</v>
      </c>
      <c r="O58" s="447">
        <v>0</v>
      </c>
      <c r="P58" s="448">
        <v>0.1</v>
      </c>
      <c r="Q58" s="204">
        <f>$O$58*P58</f>
        <v>0</v>
      </c>
      <c r="R58" s="690"/>
      <c r="S58" s="506"/>
      <c r="T58" s="419">
        <f>T90</f>
        <v>46081</v>
      </c>
      <c r="U58" s="401"/>
      <c r="V58" s="709"/>
      <c r="W58" s="459">
        <f>W90</f>
        <v>46080</v>
      </c>
      <c r="X58" s="69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94"/>
      <c r="J59" s="697"/>
      <c r="K59" s="205"/>
      <c r="L59" s="202">
        <v>6</v>
      </c>
      <c r="M59" s="329" t="s">
        <v>313</v>
      </c>
      <c r="N59" s="309" t="s">
        <v>151</v>
      </c>
      <c r="O59" s="438"/>
      <c r="P59" s="448">
        <v>0.15</v>
      </c>
      <c r="Q59" s="204">
        <f t="shared" ref="Q59:Q65" si="10">$O$58*P59</f>
        <v>0</v>
      </c>
      <c r="R59" s="691"/>
      <c r="S59" s="506"/>
      <c r="T59" s="419">
        <f t="shared" si="0"/>
        <v>46112</v>
      </c>
      <c r="U59" s="401"/>
      <c r="V59" s="709"/>
      <c r="W59" s="459">
        <f t="shared" ref="W59:W65" si="11">W91</f>
        <v>46087</v>
      </c>
      <c r="X59" s="69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94"/>
      <c r="J60" s="697"/>
      <c r="K60" s="205"/>
      <c r="L60" s="202">
        <v>6</v>
      </c>
      <c r="M60" s="329" t="s">
        <v>313</v>
      </c>
      <c r="N60" s="309" t="s">
        <v>300</v>
      </c>
      <c r="O60" s="438"/>
      <c r="P60" s="448">
        <v>0.2</v>
      </c>
      <c r="Q60" s="204">
        <f t="shared" si="10"/>
        <v>0</v>
      </c>
      <c r="R60" s="691"/>
      <c r="S60" s="506"/>
      <c r="T60" s="419">
        <f t="shared" si="0"/>
        <v>46142</v>
      </c>
      <c r="U60" s="401"/>
      <c r="V60" s="709"/>
      <c r="W60" s="459">
        <f t="shared" si="11"/>
        <v>46115</v>
      </c>
      <c r="X60" s="69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94"/>
      <c r="J61" s="697"/>
      <c r="K61" s="205"/>
      <c r="L61" s="202">
        <v>6</v>
      </c>
      <c r="M61" s="329" t="s">
        <v>313</v>
      </c>
      <c r="N61" s="309" t="s">
        <v>302</v>
      </c>
      <c r="O61" s="438"/>
      <c r="P61" s="448">
        <v>0.25</v>
      </c>
      <c r="Q61" s="204">
        <f t="shared" si="10"/>
        <v>0</v>
      </c>
      <c r="R61" s="691"/>
      <c r="S61" s="506"/>
      <c r="T61" s="419">
        <f t="shared" si="0"/>
        <v>46142</v>
      </c>
      <c r="U61" s="401"/>
      <c r="V61" s="709"/>
      <c r="W61" s="459">
        <f t="shared" si="11"/>
        <v>46114</v>
      </c>
      <c r="X61" s="69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94"/>
      <c r="J62" s="697"/>
      <c r="K62" s="205"/>
      <c r="L62" s="202">
        <v>6</v>
      </c>
      <c r="M62" s="329" t="s">
        <v>313</v>
      </c>
      <c r="N62" s="309" t="s">
        <v>303</v>
      </c>
      <c r="O62" s="438"/>
      <c r="P62" s="448">
        <v>0.1</v>
      </c>
      <c r="Q62" s="204">
        <f t="shared" si="10"/>
        <v>0</v>
      </c>
      <c r="R62" s="691"/>
      <c r="S62" s="506"/>
      <c r="T62" s="419">
        <f t="shared" si="0"/>
        <v>46142</v>
      </c>
      <c r="U62" s="401"/>
      <c r="V62" s="709"/>
      <c r="W62" s="459">
        <f t="shared" si="11"/>
        <v>46128</v>
      </c>
      <c r="X62" s="69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94"/>
      <c r="J63" s="697"/>
      <c r="K63" s="205"/>
      <c r="L63" s="202">
        <v>6</v>
      </c>
      <c r="M63" s="329" t="s">
        <v>313</v>
      </c>
      <c r="N63" s="309" t="s">
        <v>304</v>
      </c>
      <c r="O63" s="438"/>
      <c r="P63" s="448">
        <v>0.1</v>
      </c>
      <c r="Q63" s="204">
        <f t="shared" si="10"/>
        <v>0</v>
      </c>
      <c r="R63" s="691"/>
      <c r="S63" s="510"/>
      <c r="T63" s="419">
        <f t="shared" si="0"/>
        <v>46142</v>
      </c>
      <c r="U63" s="406"/>
      <c r="V63" s="709"/>
      <c r="W63" s="459">
        <f t="shared" si="11"/>
        <v>46129</v>
      </c>
      <c r="X63" s="69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94"/>
      <c r="J64" s="697"/>
      <c r="K64" s="205"/>
      <c r="L64" s="202">
        <v>6</v>
      </c>
      <c r="M64" s="329" t="s">
        <v>313</v>
      </c>
      <c r="N64" s="309" t="s">
        <v>305</v>
      </c>
      <c r="O64" s="438"/>
      <c r="P64" s="448">
        <v>0.05</v>
      </c>
      <c r="Q64" s="204">
        <f t="shared" si="10"/>
        <v>0</v>
      </c>
      <c r="R64" s="691"/>
      <c r="S64" s="510"/>
      <c r="T64" s="419">
        <f t="shared" si="0"/>
        <v>46142</v>
      </c>
      <c r="U64" s="406"/>
      <c r="V64" s="709"/>
      <c r="W64" s="459">
        <f t="shared" si="11"/>
        <v>46129</v>
      </c>
      <c r="X64" s="69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94"/>
      <c r="J65" s="697"/>
      <c r="K65" s="205"/>
      <c r="L65" s="202">
        <v>6</v>
      </c>
      <c r="M65" s="329" t="s">
        <v>313</v>
      </c>
      <c r="N65" s="309" t="s">
        <v>306</v>
      </c>
      <c r="O65" s="438"/>
      <c r="P65" s="448">
        <v>0.05</v>
      </c>
      <c r="Q65" s="204">
        <f t="shared" si="10"/>
        <v>0</v>
      </c>
      <c r="R65" s="692"/>
      <c r="S65" s="510"/>
      <c r="T65" s="419">
        <f t="shared" si="0"/>
        <v>46173</v>
      </c>
      <c r="U65" s="406"/>
      <c r="V65" s="709"/>
      <c r="W65" s="459">
        <f t="shared" si="11"/>
        <v>46152</v>
      </c>
      <c r="X65" s="69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94"/>
      <c r="J66" s="697"/>
      <c r="K66" s="205"/>
      <c r="L66" s="202">
        <v>6</v>
      </c>
      <c r="M66" s="329" t="s">
        <v>313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/>
      <c r="V66" s="709"/>
      <c r="W66" s="462"/>
      <c r="X66" s="69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94"/>
      <c r="J67" s="697"/>
      <c r="K67" s="205"/>
      <c r="L67" s="202">
        <v>6</v>
      </c>
      <c r="M67" s="329" t="s">
        <v>313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/>
      <c r="V67" s="709"/>
      <c r="W67" s="462"/>
      <c r="X67" s="69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95"/>
      <c r="J68" s="698"/>
      <c r="K68" s="210"/>
      <c r="L68" s="206">
        <v>6</v>
      </c>
      <c r="M68" s="331" t="s">
        <v>313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/>
      <c r="V68" s="710"/>
      <c r="W68" s="460"/>
      <c r="X68" s="695"/>
    </row>
    <row r="69" spans="1:24" ht="14.4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314</v>
      </c>
      <c r="D70" s="282" t="s">
        <v>315</v>
      </c>
      <c r="E70" s="360"/>
      <c r="F70" s="366"/>
      <c r="G70" s="283">
        <v>1008110</v>
      </c>
      <c r="H70" s="558">
        <v>46111</v>
      </c>
      <c r="I70" s="664">
        <f>SUM(G70:G77)</f>
        <v>1211692.6086956521</v>
      </c>
      <c r="J70" s="667">
        <f>F169</f>
        <v>1376923.418972332</v>
      </c>
      <c r="K70" s="189"/>
      <c r="L70" s="281">
        <v>7</v>
      </c>
      <c r="M70" s="213" t="s">
        <v>316</v>
      </c>
      <c r="N70" s="282" t="s">
        <v>315</v>
      </c>
      <c r="O70" s="360"/>
      <c r="P70" s="366"/>
      <c r="Q70" s="283">
        <v>1008110</v>
      </c>
      <c r="R70" s="481"/>
      <c r="S70" s="512"/>
      <c r="T70" s="421">
        <f t="shared" ref="T70:T133" si="12">IF(W70&gt;1,EOMONTH(W70,0),"")</f>
        <v>46142</v>
      </c>
      <c r="U70" s="525">
        <f>(Q70/$X$70*$J$70)</f>
        <v>1145579.5454545454</v>
      </c>
      <c r="V70" s="705">
        <f>J70-SUM(U70:U77)</f>
        <v>0</v>
      </c>
      <c r="W70" s="464">
        <v>46142</v>
      </c>
      <c r="X70" s="664">
        <f>SUM(Q70:Q77)</f>
        <v>1211692.6086956521</v>
      </c>
    </row>
    <row r="71" spans="1:24" ht="14.25" customHeight="1">
      <c r="B71" s="284">
        <v>7</v>
      </c>
      <c r="C71" s="285"/>
      <c r="D71" s="286" t="s">
        <v>317</v>
      </c>
      <c r="E71" s="307"/>
      <c r="F71" s="343"/>
      <c r="G71" s="287">
        <v>24200</v>
      </c>
      <c r="H71" s="541">
        <v>46111</v>
      </c>
      <c r="I71" s="665"/>
      <c r="J71" s="668"/>
      <c r="K71" s="192"/>
      <c r="L71" s="284">
        <v>7</v>
      </c>
      <c r="M71" s="285" t="s">
        <v>316</v>
      </c>
      <c r="N71" s="286" t="s">
        <v>317</v>
      </c>
      <c r="O71" s="307"/>
      <c r="P71" s="343"/>
      <c r="Q71" s="287">
        <v>24200</v>
      </c>
      <c r="R71" s="471"/>
      <c r="S71" s="502"/>
      <c r="T71" s="412">
        <f t="shared" si="12"/>
        <v>46142</v>
      </c>
      <c r="U71" s="397">
        <f t="shared" ref="U71:U76" si="13">(Q71/$X$70*$J$70)</f>
        <v>27500.000000000004</v>
      </c>
      <c r="V71" s="706"/>
      <c r="W71" s="455">
        <v>46142</v>
      </c>
      <c r="X71" s="665"/>
    </row>
    <row r="72" spans="1:24" ht="14.25" customHeight="1">
      <c r="B72" s="284">
        <v>7</v>
      </c>
      <c r="C72" s="285"/>
      <c r="D72" s="286" t="s">
        <v>318</v>
      </c>
      <c r="E72" s="307"/>
      <c r="F72" s="343"/>
      <c r="G72" s="287">
        <v>67600</v>
      </c>
      <c r="H72" s="541">
        <v>46111</v>
      </c>
      <c r="I72" s="665"/>
      <c r="J72" s="668"/>
      <c r="K72" s="192"/>
      <c r="L72" s="284">
        <v>7</v>
      </c>
      <c r="M72" s="285" t="s">
        <v>316</v>
      </c>
      <c r="N72" s="286" t="s">
        <v>318</v>
      </c>
      <c r="O72" s="307"/>
      <c r="P72" s="343"/>
      <c r="Q72" s="287">
        <v>67600</v>
      </c>
      <c r="R72" s="471"/>
      <c r="S72" s="502"/>
      <c r="T72" s="412">
        <f t="shared" si="12"/>
        <v>46142</v>
      </c>
      <c r="U72" s="397">
        <f t="shared" si="13"/>
        <v>76818.181818181823</v>
      </c>
      <c r="V72" s="706"/>
      <c r="W72" s="455">
        <v>46142</v>
      </c>
      <c r="X72" s="665"/>
    </row>
    <row r="73" spans="1:24" ht="14.25" customHeight="1">
      <c r="B73" s="284">
        <v>7</v>
      </c>
      <c r="C73" s="285"/>
      <c r="D73" s="286" t="s">
        <v>319</v>
      </c>
      <c r="E73" s="307"/>
      <c r="F73" s="343"/>
      <c r="G73" s="287">
        <v>69200</v>
      </c>
      <c r="H73" s="541">
        <v>46111</v>
      </c>
      <c r="I73" s="665"/>
      <c r="J73" s="668"/>
      <c r="K73" s="192"/>
      <c r="L73" s="284">
        <v>7</v>
      </c>
      <c r="M73" s="285" t="s">
        <v>316</v>
      </c>
      <c r="N73" s="286" t="s">
        <v>319</v>
      </c>
      <c r="O73" s="307"/>
      <c r="P73" s="343"/>
      <c r="Q73" s="287">
        <v>69200</v>
      </c>
      <c r="R73" s="471"/>
      <c r="S73" s="502"/>
      <c r="T73" s="412">
        <f t="shared" si="12"/>
        <v>46142</v>
      </c>
      <c r="U73" s="397">
        <f t="shared" si="13"/>
        <v>78636.363636363647</v>
      </c>
      <c r="V73" s="706"/>
      <c r="W73" s="455">
        <v>46142</v>
      </c>
      <c r="X73" s="665"/>
    </row>
    <row r="74" spans="1:24" ht="14.25" customHeight="1">
      <c r="B74" s="284">
        <v>7</v>
      </c>
      <c r="C74" s="285"/>
      <c r="D74" s="286" t="s">
        <v>320</v>
      </c>
      <c r="E74" s="307"/>
      <c r="F74" s="343"/>
      <c r="G74" s="287">
        <v>15000</v>
      </c>
      <c r="H74" s="541">
        <v>46111</v>
      </c>
      <c r="I74" s="665"/>
      <c r="J74" s="668"/>
      <c r="K74" s="192"/>
      <c r="L74" s="284">
        <v>7</v>
      </c>
      <c r="M74" s="285" t="s">
        <v>316</v>
      </c>
      <c r="N74" s="286" t="s">
        <v>320</v>
      </c>
      <c r="O74" s="307"/>
      <c r="P74" s="343"/>
      <c r="Q74" s="287">
        <v>15000</v>
      </c>
      <c r="R74" s="471"/>
      <c r="S74" s="502"/>
      <c r="T74" s="412">
        <f t="shared" si="12"/>
        <v>46142</v>
      </c>
      <c r="U74" s="397">
        <f t="shared" si="13"/>
        <v>17045.454545454548</v>
      </c>
      <c r="V74" s="706"/>
      <c r="W74" s="455">
        <v>46142</v>
      </c>
      <c r="X74" s="665"/>
    </row>
    <row r="75" spans="1:24" ht="14.25" customHeight="1">
      <c r="B75" s="284">
        <v>7</v>
      </c>
      <c r="C75" s="285"/>
      <c r="D75" s="286" t="s">
        <v>321</v>
      </c>
      <c r="E75" s="307"/>
      <c r="F75" s="343"/>
      <c r="G75" s="287">
        <v>27582.608695652176</v>
      </c>
      <c r="H75" s="541">
        <v>46111</v>
      </c>
      <c r="I75" s="665"/>
      <c r="J75" s="668"/>
      <c r="K75" s="192"/>
      <c r="L75" s="284">
        <v>7</v>
      </c>
      <c r="M75" s="285" t="s">
        <v>316</v>
      </c>
      <c r="N75" s="286" t="s">
        <v>321</v>
      </c>
      <c r="O75" s="434"/>
      <c r="P75" s="343"/>
      <c r="Q75" s="287">
        <v>27582.608695652176</v>
      </c>
      <c r="R75" s="471"/>
      <c r="S75" s="502"/>
      <c r="T75" s="412">
        <f t="shared" si="12"/>
        <v>46142</v>
      </c>
      <c r="U75" s="397">
        <f t="shared" si="13"/>
        <v>31343.873517786567</v>
      </c>
      <c r="V75" s="706"/>
      <c r="W75" s="455">
        <v>46142</v>
      </c>
      <c r="X75" s="665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65"/>
      <c r="J76" s="668"/>
      <c r="K76" s="192"/>
      <c r="L76" s="284">
        <v>7</v>
      </c>
      <c r="M76" s="285" t="s">
        <v>316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>
        <f t="shared" si="13"/>
        <v>0</v>
      </c>
      <c r="V76" s="706"/>
      <c r="W76" s="455"/>
      <c r="X76" s="665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66"/>
      <c r="J77" s="669"/>
      <c r="K77" s="193"/>
      <c r="L77" s="220">
        <v>7</v>
      </c>
      <c r="M77" s="241" t="s">
        <v>316</v>
      </c>
      <c r="N77" s="233"/>
      <c r="O77" s="435"/>
      <c r="P77" s="358"/>
      <c r="Q77" s="234"/>
      <c r="R77" s="472"/>
      <c r="S77" s="503"/>
      <c r="T77" s="413" t="str">
        <f t="shared" si="12"/>
        <v/>
      </c>
      <c r="U77" s="398">
        <f>(Q77/$X$70*$J$70)</f>
        <v>0</v>
      </c>
      <c r="V77" s="707"/>
      <c r="W77" s="456"/>
      <c r="X77" s="666"/>
    </row>
    <row r="78" spans="1:24" ht="14.4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2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322</v>
      </c>
      <c r="D79" s="237"/>
      <c r="E79" s="361"/>
      <c r="F79" s="315"/>
      <c r="G79" s="238"/>
      <c r="H79" s="554"/>
      <c r="I79" s="693">
        <f>SUM(G79:G87)</f>
        <v>693148.4</v>
      </c>
      <c r="J79" s="696">
        <f>F168+F166</f>
        <v>805986.51162790705</v>
      </c>
      <c r="K79" s="201"/>
      <c r="L79" s="236">
        <v>8</v>
      </c>
      <c r="M79" s="324" t="s">
        <v>323</v>
      </c>
      <c r="N79" s="237"/>
      <c r="O79" s="361"/>
      <c r="P79" s="315"/>
      <c r="Q79" s="238"/>
      <c r="R79" s="474"/>
      <c r="S79" s="505"/>
      <c r="T79" s="416" t="str">
        <f t="shared" si="12"/>
        <v/>
      </c>
      <c r="U79" s="400">
        <f>(Q79/$X$79*$J$79)</f>
        <v>0</v>
      </c>
      <c r="V79" s="702">
        <f>J79-SUM(U79:U87)</f>
        <v>0</v>
      </c>
      <c r="W79" s="458"/>
      <c r="X79" s="693">
        <f>SUM(Q79:Q87)</f>
        <v>693148.4</v>
      </c>
    </row>
    <row r="80" spans="1:24" ht="14.25" customHeight="1">
      <c r="B80" s="226">
        <v>8</v>
      </c>
      <c r="C80" s="227"/>
      <c r="D80" s="239" t="s">
        <v>324</v>
      </c>
      <c r="E80" s="314"/>
      <c r="F80" s="359"/>
      <c r="G80" s="228">
        <v>315000</v>
      </c>
      <c r="H80" s="545">
        <v>46111</v>
      </c>
      <c r="I80" s="694"/>
      <c r="J80" s="697"/>
      <c r="K80" s="205"/>
      <c r="L80" s="226">
        <v>8</v>
      </c>
      <c r="M80" s="332" t="s">
        <v>323</v>
      </c>
      <c r="N80" s="239" t="s">
        <v>324</v>
      </c>
      <c r="O80" s="314"/>
      <c r="P80" s="359"/>
      <c r="Q80" s="228">
        <v>315000</v>
      </c>
      <c r="R80" s="475"/>
      <c r="S80" s="506"/>
      <c r="T80" s="416">
        <f t="shared" si="12"/>
        <v>46142</v>
      </c>
      <c r="U80" s="401">
        <f t="shared" ref="U80:U87" si="14">(Q80/$X$79*$J$79)</f>
        <v>366279.06976744189</v>
      </c>
      <c r="V80" s="703"/>
      <c r="W80" s="458">
        <v>46142</v>
      </c>
      <c r="X80" s="694"/>
    </row>
    <row r="81" spans="1:24" ht="14.25" customHeight="1">
      <c r="B81" s="226">
        <v>8</v>
      </c>
      <c r="C81" s="227"/>
      <c r="D81" s="239" t="s">
        <v>325</v>
      </c>
      <c r="E81" s="314"/>
      <c r="F81" s="359"/>
      <c r="G81" s="228">
        <v>125000</v>
      </c>
      <c r="H81" s="545">
        <v>46111</v>
      </c>
      <c r="I81" s="694"/>
      <c r="J81" s="697"/>
      <c r="K81" s="205"/>
      <c r="L81" s="226">
        <v>8</v>
      </c>
      <c r="M81" s="332" t="s">
        <v>323</v>
      </c>
      <c r="N81" s="239" t="s">
        <v>325</v>
      </c>
      <c r="O81" s="314"/>
      <c r="P81" s="359"/>
      <c r="Q81" s="228">
        <v>125000</v>
      </c>
      <c r="R81" s="475"/>
      <c r="S81" s="506"/>
      <c r="T81" s="416">
        <f t="shared" si="12"/>
        <v>46142</v>
      </c>
      <c r="U81" s="401">
        <f t="shared" si="14"/>
        <v>145348.83720930232</v>
      </c>
      <c r="V81" s="703"/>
      <c r="W81" s="458">
        <v>46142</v>
      </c>
      <c r="X81" s="694"/>
    </row>
    <row r="82" spans="1:24" ht="14.25" customHeight="1">
      <c r="B82" s="226">
        <v>8</v>
      </c>
      <c r="C82" s="227"/>
      <c r="D82" s="239" t="s">
        <v>326</v>
      </c>
      <c r="E82" s="314"/>
      <c r="F82" s="359"/>
      <c r="G82" s="228">
        <v>253148.4</v>
      </c>
      <c r="H82" s="545">
        <v>46111</v>
      </c>
      <c r="I82" s="694"/>
      <c r="J82" s="697"/>
      <c r="K82" s="205"/>
      <c r="L82" s="226">
        <v>8</v>
      </c>
      <c r="M82" s="332" t="s">
        <v>323</v>
      </c>
      <c r="N82" s="239" t="s">
        <v>326</v>
      </c>
      <c r="O82" s="314"/>
      <c r="P82" s="359"/>
      <c r="Q82" s="228">
        <v>253148.4</v>
      </c>
      <c r="R82" s="475"/>
      <c r="S82" s="506"/>
      <c r="T82" s="416">
        <f t="shared" si="12"/>
        <v>46142</v>
      </c>
      <c r="U82" s="401">
        <f t="shared" si="14"/>
        <v>294358.60465116281</v>
      </c>
      <c r="V82" s="703"/>
      <c r="W82" s="458">
        <v>46142</v>
      </c>
      <c r="X82" s="694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94"/>
      <c r="J83" s="697"/>
      <c r="K83" s="205"/>
      <c r="L83" s="226">
        <v>8</v>
      </c>
      <c r="M83" s="332" t="s">
        <v>323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4"/>
        <v>0</v>
      </c>
      <c r="V83" s="703"/>
      <c r="W83" s="459"/>
      <c r="X83" s="694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94"/>
      <c r="J84" s="697"/>
      <c r="K84" s="205"/>
      <c r="L84" s="226">
        <v>8</v>
      </c>
      <c r="M84" s="332" t="s">
        <v>323</v>
      </c>
      <c r="N84" s="239"/>
      <c r="O84" s="441"/>
      <c r="P84" s="534"/>
      <c r="Q84" s="228"/>
      <c r="R84" s="475"/>
      <c r="S84" s="506"/>
      <c r="T84" s="416"/>
      <c r="U84" s="401">
        <f t="shared" si="14"/>
        <v>0</v>
      </c>
      <c r="V84" s="703"/>
      <c r="W84" s="459"/>
      <c r="X84" s="694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94"/>
      <c r="J85" s="697"/>
      <c r="K85" s="205"/>
      <c r="L85" s="226">
        <v>8</v>
      </c>
      <c r="M85" s="332" t="s">
        <v>323</v>
      </c>
      <c r="N85" s="239"/>
      <c r="O85" s="441"/>
      <c r="P85" s="359"/>
      <c r="Q85" s="228"/>
      <c r="R85" s="475"/>
      <c r="S85" s="506"/>
      <c r="T85" s="545" t="str">
        <f t="shared" si="12"/>
        <v/>
      </c>
      <c r="U85" s="401">
        <f t="shared" si="14"/>
        <v>0</v>
      </c>
      <c r="V85" s="703"/>
      <c r="W85" s="459"/>
      <c r="X85" s="69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94"/>
      <c r="J86" s="697"/>
      <c r="K86" s="205"/>
      <c r="L86" s="226">
        <v>8</v>
      </c>
      <c r="M86" s="332" t="s">
        <v>323</v>
      </c>
      <c r="N86" s="239"/>
      <c r="O86" s="441"/>
      <c r="P86" s="359"/>
      <c r="Q86" s="228"/>
      <c r="R86" s="479"/>
      <c r="S86" s="510"/>
      <c r="T86" s="419" t="str">
        <f t="shared" si="12"/>
        <v/>
      </c>
      <c r="U86" s="406">
        <f t="shared" si="14"/>
        <v>0</v>
      </c>
      <c r="V86" s="703"/>
      <c r="W86" s="462"/>
      <c r="X86" s="694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95"/>
      <c r="J87" s="698"/>
      <c r="K87" s="210"/>
      <c r="L87" s="206">
        <v>8</v>
      </c>
      <c r="M87" s="331" t="s">
        <v>323</v>
      </c>
      <c r="N87" s="208"/>
      <c r="O87" s="442"/>
      <c r="P87" s="353"/>
      <c r="Q87" s="209"/>
      <c r="R87" s="476"/>
      <c r="S87" s="507"/>
      <c r="T87" s="417" t="str">
        <f t="shared" si="12"/>
        <v/>
      </c>
      <c r="U87" s="402">
        <f t="shared" si="14"/>
        <v>0</v>
      </c>
      <c r="V87" s="704"/>
      <c r="W87" s="460"/>
      <c r="X87" s="695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2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328</v>
      </c>
      <c r="D89" s="231" t="s">
        <v>329</v>
      </c>
      <c r="E89" s="218"/>
      <c r="F89" s="336"/>
      <c r="G89" s="496">
        <f>D173</f>
        <v>29890</v>
      </c>
      <c r="H89" s="542">
        <f>'Project Plan'!G22+7</f>
        <v>46115</v>
      </c>
      <c r="I89" s="699">
        <f>SUM(G89:G100)</f>
        <v>95060</v>
      </c>
      <c r="J89" s="667">
        <f>F173+F174</f>
        <v>105622.22222222222</v>
      </c>
      <c r="K89" s="192"/>
      <c r="L89" s="215">
        <v>9</v>
      </c>
      <c r="M89" s="322" t="s">
        <v>330</v>
      </c>
      <c r="N89" s="231"/>
      <c r="O89" s="433"/>
      <c r="P89" s="336"/>
      <c r="Q89" s="219"/>
      <c r="R89" s="477"/>
      <c r="S89" s="508"/>
      <c r="T89" s="418" t="str">
        <f t="shared" si="12"/>
        <v/>
      </c>
      <c r="U89" s="404">
        <f t="shared" ref="U89:U100" si="15">(Q89/$X$89*$J$89)</f>
        <v>0</v>
      </c>
      <c r="V89" s="676">
        <f>J89-SUM(U89:U100)</f>
        <v>0</v>
      </c>
      <c r="W89" s="461"/>
      <c r="X89" s="664">
        <f>SUM(Q89:Q100)</f>
        <v>80801</v>
      </c>
    </row>
    <row r="90" spans="1:24" ht="15" customHeight="1">
      <c r="B90" s="215">
        <v>9</v>
      </c>
      <c r="C90" s="341"/>
      <c r="D90" s="232" t="s">
        <v>331</v>
      </c>
      <c r="E90" s="218"/>
      <c r="F90" s="357"/>
      <c r="G90" s="496">
        <f>D174</f>
        <v>65170</v>
      </c>
      <c r="H90" s="541">
        <f>'Project Plan'!G29+7</f>
        <v>46114</v>
      </c>
      <c r="I90" s="700"/>
      <c r="J90" s="668"/>
      <c r="K90" s="192"/>
      <c r="L90" s="215">
        <v>9</v>
      </c>
      <c r="M90" s="322" t="s">
        <v>330</v>
      </c>
      <c r="N90" s="232" t="s">
        <v>297</v>
      </c>
      <c r="O90" s="450">
        <f>Z30+Z29</f>
        <v>80801</v>
      </c>
      <c r="P90" s="451">
        <v>0.1</v>
      </c>
      <c r="Q90" s="219">
        <f>$O$90*P90</f>
        <v>8080.1</v>
      </c>
      <c r="R90" s="685"/>
      <c r="S90" s="501"/>
      <c r="T90" s="412">
        <f t="shared" si="12"/>
        <v>46081</v>
      </c>
      <c r="U90" s="397">
        <f t="shared" si="15"/>
        <v>10562.222222222223</v>
      </c>
      <c r="V90" s="677"/>
      <c r="W90" s="454">
        <f>'Project Plan'!I20-7</f>
        <v>46080</v>
      </c>
      <c r="X90" s="665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700"/>
      <c r="J91" s="668"/>
      <c r="K91" s="192"/>
      <c r="L91" s="284">
        <v>9</v>
      </c>
      <c r="M91" s="394" t="s">
        <v>330</v>
      </c>
      <c r="N91" s="286" t="s">
        <v>151</v>
      </c>
      <c r="O91" s="434"/>
      <c r="P91" s="449">
        <v>0.15</v>
      </c>
      <c r="Q91" s="219">
        <f t="shared" ref="Q91:Q97" si="16">$O$90*P91</f>
        <v>12120.15</v>
      </c>
      <c r="R91" s="686"/>
      <c r="S91" s="502"/>
      <c r="T91" s="412">
        <f t="shared" si="12"/>
        <v>46112</v>
      </c>
      <c r="U91" s="397">
        <f t="shared" si="15"/>
        <v>15843.333333333332</v>
      </c>
      <c r="V91" s="677"/>
      <c r="W91" s="455">
        <f>'Project Plan'!I20</f>
        <v>46087</v>
      </c>
      <c r="X91" s="665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00"/>
      <c r="J92" s="668"/>
      <c r="K92" s="192"/>
      <c r="L92" s="284">
        <v>9</v>
      </c>
      <c r="M92" s="394" t="s">
        <v>330</v>
      </c>
      <c r="N92" s="286" t="s">
        <v>300</v>
      </c>
      <c r="O92" s="434"/>
      <c r="P92" s="449">
        <v>0.2</v>
      </c>
      <c r="Q92" s="219">
        <f t="shared" si="16"/>
        <v>16160.2</v>
      </c>
      <c r="R92" s="686"/>
      <c r="S92" s="502"/>
      <c r="T92" s="412">
        <f t="shared" si="12"/>
        <v>46142</v>
      </c>
      <c r="U92" s="397">
        <f t="shared" si="15"/>
        <v>21124.444444444445</v>
      </c>
      <c r="V92" s="677"/>
      <c r="W92" s="455">
        <f>'Project Plan'!K22+7</f>
        <v>46115</v>
      </c>
      <c r="X92" s="665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00"/>
      <c r="J93" s="668"/>
      <c r="K93" s="192"/>
      <c r="L93" s="284">
        <v>9</v>
      </c>
      <c r="M93" s="394" t="s">
        <v>330</v>
      </c>
      <c r="N93" s="286" t="s">
        <v>302</v>
      </c>
      <c r="O93" s="434"/>
      <c r="P93" s="449">
        <v>0.25</v>
      </c>
      <c r="Q93" s="219">
        <f t="shared" si="16"/>
        <v>20200.25</v>
      </c>
      <c r="R93" s="686"/>
      <c r="S93" s="502"/>
      <c r="T93" s="412">
        <f t="shared" si="12"/>
        <v>46142</v>
      </c>
      <c r="U93" s="397">
        <f t="shared" si="15"/>
        <v>26405.555555555555</v>
      </c>
      <c r="V93" s="677"/>
      <c r="W93" s="455">
        <f>'Project Plan'!K29+7</f>
        <v>46114</v>
      </c>
      <c r="X93" s="665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00"/>
      <c r="J94" s="668"/>
      <c r="K94" s="192"/>
      <c r="L94" s="284">
        <v>9</v>
      </c>
      <c r="M94" s="394" t="s">
        <v>330</v>
      </c>
      <c r="N94" s="286" t="s">
        <v>303</v>
      </c>
      <c r="O94" s="434"/>
      <c r="P94" s="449">
        <v>0.1</v>
      </c>
      <c r="Q94" s="219">
        <f t="shared" si="16"/>
        <v>8080.1</v>
      </c>
      <c r="R94" s="686"/>
      <c r="S94" s="502"/>
      <c r="T94" s="412">
        <f t="shared" si="12"/>
        <v>46142</v>
      </c>
      <c r="U94" s="397">
        <f t="shared" si="15"/>
        <v>10562.222222222223</v>
      </c>
      <c r="V94" s="677"/>
      <c r="W94" s="455">
        <f>'Project Plan'!K40+7</f>
        <v>46128</v>
      </c>
      <c r="X94" s="665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00"/>
      <c r="J95" s="668"/>
      <c r="K95" s="192"/>
      <c r="L95" s="284">
        <v>9</v>
      </c>
      <c r="M95" s="394" t="s">
        <v>330</v>
      </c>
      <c r="N95" s="286" t="s">
        <v>304</v>
      </c>
      <c r="O95" s="434"/>
      <c r="P95" s="449">
        <v>0.1</v>
      </c>
      <c r="Q95" s="219">
        <f t="shared" si="16"/>
        <v>8080.1</v>
      </c>
      <c r="R95" s="686"/>
      <c r="S95" s="502"/>
      <c r="T95" s="412">
        <f t="shared" si="12"/>
        <v>46142</v>
      </c>
      <c r="U95" s="397">
        <f t="shared" si="15"/>
        <v>10562.222222222223</v>
      </c>
      <c r="V95" s="677"/>
      <c r="W95" s="455">
        <f>'Project Plan'!K47+7</f>
        <v>46129</v>
      </c>
      <c r="X95" s="665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00"/>
      <c r="J96" s="668"/>
      <c r="K96" s="192"/>
      <c r="L96" s="284">
        <v>9</v>
      </c>
      <c r="M96" s="394" t="s">
        <v>330</v>
      </c>
      <c r="N96" s="286" t="s">
        <v>305</v>
      </c>
      <c r="O96" s="434"/>
      <c r="P96" s="449">
        <v>0.05</v>
      </c>
      <c r="Q96" s="219">
        <f t="shared" si="16"/>
        <v>4040.05</v>
      </c>
      <c r="R96" s="686"/>
      <c r="S96" s="502"/>
      <c r="T96" s="412">
        <f t="shared" si="12"/>
        <v>46142</v>
      </c>
      <c r="U96" s="397">
        <f t="shared" si="15"/>
        <v>5281.1111111111113</v>
      </c>
      <c r="V96" s="677"/>
      <c r="W96" s="455">
        <f>'Project Plan'!K47+7</f>
        <v>46129</v>
      </c>
      <c r="X96" s="66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0"/>
      <c r="J97" s="668"/>
      <c r="K97" s="192"/>
      <c r="L97" s="284">
        <v>9</v>
      </c>
      <c r="M97" s="394" t="s">
        <v>330</v>
      </c>
      <c r="N97" s="286" t="s">
        <v>306</v>
      </c>
      <c r="O97" s="434"/>
      <c r="P97" s="449">
        <v>0.05</v>
      </c>
      <c r="Q97" s="219">
        <f t="shared" si="16"/>
        <v>4040.05</v>
      </c>
      <c r="R97" s="687"/>
      <c r="S97" s="502"/>
      <c r="T97" s="412">
        <f t="shared" si="12"/>
        <v>46173</v>
      </c>
      <c r="U97" s="397">
        <f t="shared" si="15"/>
        <v>5281.1111111111113</v>
      </c>
      <c r="V97" s="677"/>
      <c r="W97" s="455">
        <f>'Project Plan'!K47+30</f>
        <v>46152</v>
      </c>
      <c r="X97" s="66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0"/>
      <c r="J98" s="668"/>
      <c r="K98" s="192"/>
      <c r="L98" s="284">
        <v>9</v>
      </c>
      <c r="M98" s="394" t="s">
        <v>330</v>
      </c>
      <c r="N98" s="286"/>
      <c r="O98" s="434"/>
      <c r="P98" s="343"/>
      <c r="Q98" s="287"/>
      <c r="R98" s="471"/>
      <c r="S98" s="502"/>
      <c r="T98" s="412" t="str">
        <f t="shared" si="12"/>
        <v/>
      </c>
      <c r="U98" s="397">
        <f t="shared" si="15"/>
        <v>0</v>
      </c>
      <c r="V98" s="677"/>
      <c r="W98" s="455"/>
      <c r="X98" s="66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0"/>
      <c r="J99" s="668"/>
      <c r="K99" s="192"/>
      <c r="L99" s="284">
        <v>9</v>
      </c>
      <c r="M99" s="394" t="s">
        <v>330</v>
      </c>
      <c r="N99" s="286"/>
      <c r="O99" s="434"/>
      <c r="P99" s="343"/>
      <c r="Q99" s="287"/>
      <c r="R99" s="471"/>
      <c r="S99" s="502"/>
      <c r="T99" s="412" t="str">
        <f t="shared" si="12"/>
        <v/>
      </c>
      <c r="U99" s="397">
        <f t="shared" si="15"/>
        <v>0</v>
      </c>
      <c r="V99" s="677"/>
      <c r="W99" s="455"/>
      <c r="X99" s="665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701"/>
      <c r="J100" s="669"/>
      <c r="K100" s="267"/>
      <c r="L100" s="220">
        <v>9</v>
      </c>
      <c r="M100" s="340" t="s">
        <v>330</v>
      </c>
      <c r="N100" s="233"/>
      <c r="O100" s="435"/>
      <c r="P100" s="358"/>
      <c r="Q100" s="234"/>
      <c r="R100" s="472"/>
      <c r="S100" s="503"/>
      <c r="T100" s="413" t="str">
        <f t="shared" si="12"/>
        <v/>
      </c>
      <c r="U100" s="398">
        <f t="shared" si="15"/>
        <v>0</v>
      </c>
      <c r="V100" s="678"/>
      <c r="W100" s="456"/>
      <c r="X100" s="666"/>
    </row>
    <row r="101" spans="1:24" ht="14.4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2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332</v>
      </c>
      <c r="D102" s="174" t="s">
        <v>279</v>
      </c>
      <c r="E102" s="175"/>
      <c r="F102" s="368"/>
      <c r="G102" s="242">
        <f>D177</f>
        <v>8500</v>
      </c>
      <c r="H102" s="561">
        <f>H89</f>
        <v>46115</v>
      </c>
      <c r="I102" s="670">
        <f>SUM(G102:G116)</f>
        <v>32715.466666666667</v>
      </c>
      <c r="J102" s="673">
        <f>F177+F180+F181+F179+F178</f>
        <v>36350.518518518518</v>
      </c>
      <c r="K102" s="243"/>
      <c r="L102" s="173">
        <v>10</v>
      </c>
      <c r="M102" s="333" t="s">
        <v>333</v>
      </c>
      <c r="N102" s="174" t="s">
        <v>334</v>
      </c>
      <c r="O102" s="444"/>
      <c r="P102" s="368"/>
      <c r="Q102" s="242">
        <v>13200</v>
      </c>
      <c r="R102" s="483"/>
      <c r="S102" s="513"/>
      <c r="T102" s="423">
        <f t="shared" si="12"/>
        <v>46142</v>
      </c>
      <c r="U102" s="408">
        <f t="shared" ref="U102:U115" si="17">(Q102/$X$102*$J$102)</f>
        <v>16107.979117122353</v>
      </c>
      <c r="V102" s="679">
        <f>J102-SUM(U102:U116)</f>
        <v>0</v>
      </c>
      <c r="W102" s="465">
        <f>W108</f>
        <v>46115</v>
      </c>
      <c r="X102" s="670">
        <f>SUM(Q102:Q116)</f>
        <v>29788.146666666664</v>
      </c>
    </row>
    <row r="103" spans="1:24" ht="14.25" customHeight="1">
      <c r="B103" s="244">
        <v>10</v>
      </c>
      <c r="C103" s="245"/>
      <c r="D103" s="245" t="s">
        <v>280</v>
      </c>
      <c r="E103" s="246"/>
      <c r="F103" s="369"/>
      <c r="G103" s="247">
        <f>D181</f>
        <v>11015.466666666667</v>
      </c>
      <c r="H103" s="562">
        <f>H89</f>
        <v>46115</v>
      </c>
      <c r="I103" s="671"/>
      <c r="J103" s="674"/>
      <c r="K103" s="176"/>
      <c r="L103" s="244">
        <v>10</v>
      </c>
      <c r="M103" s="334" t="s">
        <v>333</v>
      </c>
      <c r="N103" s="245"/>
      <c r="O103" s="445"/>
      <c r="P103" s="369"/>
      <c r="Q103" s="247"/>
      <c r="R103" s="484"/>
      <c r="S103" s="514"/>
      <c r="T103" s="424" t="str">
        <f t="shared" si="12"/>
        <v/>
      </c>
      <c r="U103" s="524">
        <f t="shared" si="17"/>
        <v>0</v>
      </c>
      <c r="V103" s="680"/>
      <c r="W103" s="466"/>
      <c r="X103" s="671"/>
    </row>
    <row r="104" spans="1:24" ht="14.25" customHeight="1">
      <c r="B104" s="244">
        <v>10</v>
      </c>
      <c r="C104" s="245"/>
      <c r="D104" s="245" t="s">
        <v>334</v>
      </c>
      <c r="E104" s="246"/>
      <c r="F104" s="369"/>
      <c r="G104" s="247">
        <f>D180</f>
        <v>13200</v>
      </c>
      <c r="H104" s="562">
        <f>H89</f>
        <v>46115</v>
      </c>
      <c r="I104" s="671"/>
      <c r="J104" s="674"/>
      <c r="K104" s="176"/>
      <c r="L104" s="244">
        <v>10</v>
      </c>
      <c r="M104" s="334" t="s">
        <v>333</v>
      </c>
      <c r="N104" s="245"/>
      <c r="O104" s="445"/>
      <c r="P104" s="369"/>
      <c r="Q104" s="247"/>
      <c r="R104" s="484"/>
      <c r="S104" s="514"/>
      <c r="T104" s="424" t="str">
        <f t="shared" si="12"/>
        <v/>
      </c>
      <c r="U104" s="409">
        <f t="shared" si="17"/>
        <v>0</v>
      </c>
      <c r="V104" s="680"/>
      <c r="W104" s="466"/>
      <c r="X104" s="671"/>
    </row>
    <row r="105" spans="1:24" ht="14.25" customHeight="1">
      <c r="B105" s="244">
        <v>10</v>
      </c>
      <c r="C105" s="245"/>
      <c r="D105" s="245" t="s">
        <v>281</v>
      </c>
      <c r="E105" s="246"/>
      <c r="F105" s="369"/>
      <c r="G105" s="247">
        <f>D179</f>
        <v>0</v>
      </c>
      <c r="H105" s="562">
        <f>H89</f>
        <v>46115</v>
      </c>
      <c r="I105" s="671"/>
      <c r="J105" s="674"/>
      <c r="K105" s="176"/>
      <c r="L105" s="244">
        <v>10</v>
      </c>
      <c r="M105" s="334" t="s">
        <v>333</v>
      </c>
      <c r="N105" s="245"/>
      <c r="O105" s="445"/>
      <c r="P105" s="369"/>
      <c r="Q105" s="247"/>
      <c r="R105" s="484"/>
      <c r="S105" s="514"/>
      <c r="T105" s="424" t="str">
        <f t="shared" si="12"/>
        <v/>
      </c>
      <c r="U105" s="409">
        <f t="shared" si="17"/>
        <v>0</v>
      </c>
      <c r="V105" s="680"/>
      <c r="W105" s="466"/>
      <c r="X105" s="671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71"/>
      <c r="J106" s="674"/>
      <c r="K106" s="176"/>
      <c r="L106" s="244">
        <v>10</v>
      </c>
      <c r="M106" s="334" t="s">
        <v>333</v>
      </c>
      <c r="N106" s="245" t="s">
        <v>297</v>
      </c>
      <c r="O106" s="495">
        <f>SUM(Z31:Z35)</f>
        <v>16588.146666666667</v>
      </c>
      <c r="P106" s="452">
        <v>0.1</v>
      </c>
      <c r="Q106" s="247">
        <f>$O$106*P106</f>
        <v>1658.8146666666669</v>
      </c>
      <c r="R106" s="682"/>
      <c r="S106" s="515"/>
      <c r="T106" s="425">
        <f>T90</f>
        <v>46081</v>
      </c>
      <c r="U106" s="409">
        <f t="shared" si="17"/>
        <v>2024.253940139617</v>
      </c>
      <c r="V106" s="680"/>
      <c r="W106" s="467">
        <f>W90</f>
        <v>46080</v>
      </c>
      <c r="X106" s="671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71"/>
      <c r="J107" s="674"/>
      <c r="K107" s="176"/>
      <c r="L107" s="244">
        <v>10</v>
      </c>
      <c r="M107" s="334" t="s">
        <v>333</v>
      </c>
      <c r="N107" s="245" t="s">
        <v>151</v>
      </c>
      <c r="O107" s="445"/>
      <c r="P107" s="452">
        <v>0.15</v>
      </c>
      <c r="Q107" s="247">
        <f t="shared" ref="Q107:Q113" si="18">$O$106*P107</f>
        <v>2488.2220000000002</v>
      </c>
      <c r="R107" s="683"/>
      <c r="S107" s="520"/>
      <c r="T107" s="425">
        <f t="shared" ref="T107:T113" si="19">T91</f>
        <v>46112</v>
      </c>
      <c r="U107" s="409">
        <f t="shared" si="17"/>
        <v>3036.380910209426</v>
      </c>
      <c r="V107" s="680"/>
      <c r="W107" s="467">
        <f t="shared" ref="W107:W113" si="20">W91</f>
        <v>46087</v>
      </c>
      <c r="X107" s="671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71"/>
      <c r="J108" s="674"/>
      <c r="K108" s="176"/>
      <c r="L108" s="244">
        <v>10</v>
      </c>
      <c r="M108" s="334" t="s">
        <v>333</v>
      </c>
      <c r="N108" s="245" t="s">
        <v>300</v>
      </c>
      <c r="O108" s="445"/>
      <c r="P108" s="452">
        <v>0.2</v>
      </c>
      <c r="Q108" s="247">
        <f t="shared" si="18"/>
        <v>3317.6293333333338</v>
      </c>
      <c r="R108" s="683"/>
      <c r="S108" s="515"/>
      <c r="T108" s="425">
        <f t="shared" si="19"/>
        <v>46142</v>
      </c>
      <c r="U108" s="409">
        <f t="shared" si="17"/>
        <v>4048.5078802792341</v>
      </c>
      <c r="V108" s="680"/>
      <c r="W108" s="467">
        <f t="shared" si="20"/>
        <v>46115</v>
      </c>
      <c r="X108" s="671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71"/>
      <c r="J109" s="674"/>
      <c r="K109" s="176"/>
      <c r="L109" s="244">
        <v>10</v>
      </c>
      <c r="M109" s="334" t="s">
        <v>333</v>
      </c>
      <c r="N109" s="245" t="s">
        <v>302</v>
      </c>
      <c r="O109" s="445"/>
      <c r="P109" s="452">
        <v>0.25</v>
      </c>
      <c r="Q109" s="247">
        <f t="shared" si="18"/>
        <v>4147.0366666666669</v>
      </c>
      <c r="R109" s="683"/>
      <c r="S109" s="515"/>
      <c r="T109" s="425">
        <f t="shared" si="19"/>
        <v>46142</v>
      </c>
      <c r="U109" s="409">
        <f t="shared" si="17"/>
        <v>5060.6348503490426</v>
      </c>
      <c r="V109" s="680"/>
      <c r="W109" s="467">
        <f t="shared" si="20"/>
        <v>46114</v>
      </c>
      <c r="X109" s="671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71"/>
      <c r="J110" s="674"/>
      <c r="K110" s="176"/>
      <c r="L110" s="244">
        <v>10</v>
      </c>
      <c r="M110" s="334" t="s">
        <v>333</v>
      </c>
      <c r="N110" s="245" t="s">
        <v>303</v>
      </c>
      <c r="O110" s="445"/>
      <c r="P110" s="452">
        <v>0.1</v>
      </c>
      <c r="Q110" s="247">
        <f t="shared" si="18"/>
        <v>1658.8146666666669</v>
      </c>
      <c r="R110" s="683"/>
      <c r="S110" s="515"/>
      <c r="T110" s="425">
        <f t="shared" si="19"/>
        <v>46142</v>
      </c>
      <c r="U110" s="409">
        <f t="shared" si="17"/>
        <v>2024.253940139617</v>
      </c>
      <c r="V110" s="680"/>
      <c r="W110" s="467">
        <f t="shared" si="20"/>
        <v>46128</v>
      </c>
      <c r="X110" s="671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71"/>
      <c r="J111" s="674"/>
      <c r="K111" s="176"/>
      <c r="L111" s="244">
        <v>10</v>
      </c>
      <c r="M111" s="334" t="s">
        <v>333</v>
      </c>
      <c r="N111" s="245" t="s">
        <v>304</v>
      </c>
      <c r="O111" s="445"/>
      <c r="P111" s="452">
        <v>0.1</v>
      </c>
      <c r="Q111" s="247">
        <f t="shared" si="18"/>
        <v>1658.8146666666669</v>
      </c>
      <c r="R111" s="683"/>
      <c r="S111" s="515"/>
      <c r="T111" s="425">
        <f t="shared" si="19"/>
        <v>46142</v>
      </c>
      <c r="U111" s="409">
        <f t="shared" si="17"/>
        <v>2024.253940139617</v>
      </c>
      <c r="V111" s="680"/>
      <c r="W111" s="467">
        <f t="shared" si="20"/>
        <v>46129</v>
      </c>
      <c r="X111" s="671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1"/>
      <c r="J112" s="674"/>
      <c r="K112" s="176"/>
      <c r="L112" s="244">
        <v>10</v>
      </c>
      <c r="M112" s="334" t="s">
        <v>333</v>
      </c>
      <c r="N112" s="245" t="s">
        <v>305</v>
      </c>
      <c r="O112" s="445"/>
      <c r="P112" s="452">
        <v>0.05</v>
      </c>
      <c r="Q112" s="247">
        <f t="shared" si="18"/>
        <v>829.40733333333344</v>
      </c>
      <c r="R112" s="683"/>
      <c r="S112" s="515"/>
      <c r="T112" s="425">
        <f t="shared" si="19"/>
        <v>46142</v>
      </c>
      <c r="U112" s="409">
        <f t="shared" si="17"/>
        <v>1012.1269700698085</v>
      </c>
      <c r="V112" s="680"/>
      <c r="W112" s="467">
        <f t="shared" si="20"/>
        <v>46129</v>
      </c>
      <c r="X112" s="671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1"/>
      <c r="J113" s="674"/>
      <c r="K113" s="176"/>
      <c r="L113" s="244">
        <v>10</v>
      </c>
      <c r="M113" s="334" t="s">
        <v>333</v>
      </c>
      <c r="N113" s="245" t="s">
        <v>306</v>
      </c>
      <c r="O113" s="445"/>
      <c r="P113" s="452">
        <v>0.05</v>
      </c>
      <c r="Q113" s="247">
        <f t="shared" si="18"/>
        <v>829.40733333333344</v>
      </c>
      <c r="R113" s="684"/>
      <c r="S113" s="515"/>
      <c r="T113" s="425">
        <f t="shared" si="19"/>
        <v>46173</v>
      </c>
      <c r="U113" s="409">
        <f t="shared" si="17"/>
        <v>1012.1269700698085</v>
      </c>
      <c r="V113" s="680"/>
      <c r="W113" s="467">
        <f t="shared" si="20"/>
        <v>46152</v>
      </c>
      <c r="X113" s="671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1"/>
      <c r="J114" s="674"/>
      <c r="K114" s="176"/>
      <c r="L114" s="244">
        <v>10</v>
      </c>
      <c r="M114" s="334" t="s">
        <v>333</v>
      </c>
      <c r="N114" s="245"/>
      <c r="O114" s="445"/>
      <c r="P114" s="369"/>
      <c r="Q114" s="247"/>
      <c r="R114" s="485"/>
      <c r="S114" s="515"/>
      <c r="T114" s="425" t="str">
        <f t="shared" si="12"/>
        <v/>
      </c>
      <c r="U114" s="409">
        <f t="shared" si="17"/>
        <v>0</v>
      </c>
      <c r="V114" s="680"/>
      <c r="W114" s="467"/>
      <c r="X114" s="671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1"/>
      <c r="J115" s="674"/>
      <c r="K115" s="176"/>
      <c r="L115" s="244">
        <v>10</v>
      </c>
      <c r="M115" s="334" t="s">
        <v>333</v>
      </c>
      <c r="N115" s="245"/>
      <c r="O115" s="445"/>
      <c r="P115" s="369"/>
      <c r="Q115" s="247"/>
      <c r="R115" s="485"/>
      <c r="S115" s="515"/>
      <c r="T115" s="425" t="str">
        <f t="shared" si="12"/>
        <v/>
      </c>
      <c r="U115" s="409">
        <f t="shared" si="17"/>
        <v>0</v>
      </c>
      <c r="V115" s="680"/>
      <c r="W115" s="467"/>
      <c r="X115" s="671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72"/>
      <c r="J116" s="675"/>
      <c r="K116" s="179"/>
      <c r="L116" s="177">
        <v>10</v>
      </c>
      <c r="M116" s="335" t="s">
        <v>333</v>
      </c>
      <c r="N116" s="248"/>
      <c r="O116" s="446"/>
      <c r="P116" s="370"/>
      <c r="Q116" s="178"/>
      <c r="R116" s="486"/>
      <c r="S116" s="516"/>
      <c r="T116" s="426" t="str">
        <f t="shared" si="12"/>
        <v/>
      </c>
      <c r="U116" s="410"/>
      <c r="V116" s="681"/>
      <c r="W116" s="468"/>
      <c r="X116" s="672"/>
    </row>
    <row r="117" spans="1:24" ht="14.4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2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335</v>
      </c>
      <c r="D118" s="255" t="s">
        <v>336</v>
      </c>
      <c r="E118" s="187"/>
      <c r="F118" s="336"/>
      <c r="G118" s="188">
        <v>11000</v>
      </c>
      <c r="H118" s="542">
        <f>'Project Plan'!G40</f>
        <v>46121</v>
      </c>
      <c r="I118" s="664">
        <f>SUM(G118:G122)</f>
        <v>29000</v>
      </c>
      <c r="J118" s="667">
        <f>F176</f>
        <v>32222.222222222223</v>
      </c>
      <c r="K118" s="189"/>
      <c r="L118" s="185">
        <v>11</v>
      </c>
      <c r="M118" s="255" t="s">
        <v>337</v>
      </c>
      <c r="N118" s="255" t="s">
        <v>336</v>
      </c>
      <c r="O118" s="187"/>
      <c r="P118" s="336"/>
      <c r="Q118" s="188">
        <v>11000</v>
      </c>
      <c r="R118" s="477"/>
      <c r="S118" s="508"/>
      <c r="T118" s="418">
        <f t="shared" si="12"/>
        <v>46142</v>
      </c>
      <c r="U118" s="397">
        <f>(Q118/$X$118*$J$118)</f>
        <v>10126.984126984127</v>
      </c>
      <c r="V118" s="676">
        <f>J118-SUM(U118:U122)</f>
        <v>0</v>
      </c>
      <c r="W118" s="461">
        <f>'Project Plan'!K40+14</f>
        <v>46135</v>
      </c>
      <c r="X118" s="664">
        <f>SUM(Q118:Q122)</f>
        <v>35000</v>
      </c>
    </row>
    <row r="119" spans="1:24" ht="15" customHeight="1">
      <c r="B119" s="215">
        <v>11</v>
      </c>
      <c r="C119" s="217"/>
      <c r="D119" s="217" t="s">
        <v>338</v>
      </c>
      <c r="E119" s="218"/>
      <c r="F119" s="357"/>
      <c r="G119" s="219">
        <v>18000</v>
      </c>
      <c r="H119" s="542">
        <f>H118</f>
        <v>46121</v>
      </c>
      <c r="I119" s="665"/>
      <c r="J119" s="668"/>
      <c r="K119" s="192"/>
      <c r="L119" s="215">
        <v>11</v>
      </c>
      <c r="M119" s="290" t="s">
        <v>337</v>
      </c>
      <c r="N119" s="217" t="s">
        <v>339</v>
      </c>
      <c r="O119" s="218"/>
      <c r="P119" s="357"/>
      <c r="Q119" s="219">
        <v>18000</v>
      </c>
      <c r="R119" s="518"/>
      <c r="S119" s="501"/>
      <c r="T119" s="411">
        <f t="shared" si="12"/>
        <v>46142</v>
      </c>
      <c r="U119" s="397">
        <f>(Q119/$X$118*$J$118)</f>
        <v>16571.428571428569</v>
      </c>
      <c r="V119" s="677"/>
      <c r="W119" s="461">
        <f>'Project Plan'!K41+14</f>
        <v>46125</v>
      </c>
      <c r="X119" s="665"/>
    </row>
    <row r="120" spans="1:24" ht="15" customHeight="1">
      <c r="B120" s="215">
        <v>11</v>
      </c>
      <c r="C120" s="217"/>
      <c r="D120" s="217" t="s">
        <v>340</v>
      </c>
      <c r="E120" s="218"/>
      <c r="F120" s="357"/>
      <c r="G120" s="219">
        <v>0</v>
      </c>
      <c r="H120" s="542"/>
      <c r="I120" s="665"/>
      <c r="J120" s="668"/>
      <c r="K120" s="192"/>
      <c r="L120" s="215">
        <v>11</v>
      </c>
      <c r="M120" s="290" t="s">
        <v>337</v>
      </c>
      <c r="N120" s="217" t="s">
        <v>341</v>
      </c>
      <c r="O120" s="218"/>
      <c r="P120" s="357"/>
      <c r="Q120" s="219">
        <v>0</v>
      </c>
      <c r="R120" s="470"/>
      <c r="S120" s="501"/>
      <c r="T120" s="411" t="str">
        <f t="shared" si="12"/>
        <v/>
      </c>
      <c r="U120" s="397">
        <f>(Q120/$X$118*$J$118)</f>
        <v>0</v>
      </c>
      <c r="V120" s="677"/>
      <c r="W120" s="454"/>
      <c r="X120" s="665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65"/>
      <c r="J121" s="668"/>
      <c r="K121" s="192"/>
      <c r="L121" s="215">
        <v>11</v>
      </c>
      <c r="M121" s="290" t="s">
        <v>337</v>
      </c>
      <c r="N121" s="288" t="s">
        <v>342</v>
      </c>
      <c r="O121" s="434"/>
      <c r="P121" s="343"/>
      <c r="Q121" s="287">
        <v>6000</v>
      </c>
      <c r="R121" s="471"/>
      <c r="S121" s="502"/>
      <c r="T121" s="411">
        <f t="shared" si="12"/>
        <v>46142</v>
      </c>
      <c r="U121" s="397">
        <f>(Q121/$X$118*$J$118)</f>
        <v>5523.8095238095239</v>
      </c>
      <c r="V121" s="677"/>
      <c r="W121" s="455">
        <f>'Project Plan'!K40</f>
        <v>46121</v>
      </c>
      <c r="X121" s="665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66"/>
      <c r="J122" s="669"/>
      <c r="K122" s="193"/>
      <c r="L122" s="220">
        <v>11</v>
      </c>
      <c r="M122" s="318" t="s">
        <v>337</v>
      </c>
      <c r="N122" s="221"/>
      <c r="O122" s="222"/>
      <c r="P122" s="358"/>
      <c r="Q122" s="234"/>
      <c r="R122" s="472"/>
      <c r="S122" s="503"/>
      <c r="T122" s="413" t="str">
        <f t="shared" si="12"/>
        <v/>
      </c>
      <c r="U122" s="398">
        <f>(Q122/$X$118*$J$118)</f>
        <v>0</v>
      </c>
      <c r="V122" s="678"/>
      <c r="W122" s="456"/>
      <c r="X122" s="666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2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343</v>
      </c>
      <c r="D124" s="174" t="s">
        <v>344</v>
      </c>
      <c r="E124" s="175"/>
      <c r="F124" s="368"/>
      <c r="G124" s="242">
        <v>0</v>
      </c>
      <c r="H124" s="561"/>
      <c r="I124" s="670">
        <f>SUM(G124:G125)</f>
        <v>0</v>
      </c>
      <c r="J124" s="673">
        <v>0</v>
      </c>
      <c r="K124" s="688"/>
      <c r="L124" s="173">
        <v>12</v>
      </c>
      <c r="M124" s="174" t="s">
        <v>345</v>
      </c>
      <c r="N124" s="174" t="s">
        <v>344</v>
      </c>
      <c r="O124" s="444"/>
      <c r="P124" s="368"/>
      <c r="Q124" s="242">
        <f>G124</f>
        <v>0</v>
      </c>
      <c r="R124" s="483"/>
      <c r="S124" s="513"/>
      <c r="T124" s="423" t="str">
        <f t="shared" si="12"/>
        <v/>
      </c>
      <c r="U124" s="408"/>
      <c r="V124" s="384"/>
      <c r="W124" s="465"/>
      <c r="X124" s="670">
        <f>SUM(Q124:Q125)</f>
        <v>0</v>
      </c>
    </row>
    <row r="125" spans="1:24" ht="15" customHeight="1" thickBot="1">
      <c r="B125" s="177">
        <v>12</v>
      </c>
      <c r="C125" s="248" t="s">
        <v>343</v>
      </c>
      <c r="D125" s="248"/>
      <c r="E125" s="249"/>
      <c r="F125" s="370"/>
      <c r="G125" s="178"/>
      <c r="H125" s="564"/>
      <c r="I125" s="672"/>
      <c r="J125" s="675"/>
      <c r="K125" s="689"/>
      <c r="L125" s="177">
        <v>12</v>
      </c>
      <c r="M125" s="248" t="s">
        <v>345</v>
      </c>
      <c r="N125" s="248"/>
      <c r="O125" s="446"/>
      <c r="P125" s="370"/>
      <c r="Q125" s="178"/>
      <c r="R125" s="486"/>
      <c r="S125" s="516"/>
      <c r="T125" s="426" t="str">
        <f t="shared" si="12"/>
        <v/>
      </c>
      <c r="U125" s="410"/>
      <c r="V125" s="383"/>
      <c r="W125" s="468"/>
      <c r="X125" s="672"/>
    </row>
    <row r="126" spans="1:24" ht="14.4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2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346</v>
      </c>
      <c r="D127" s="255" t="s">
        <v>347</v>
      </c>
      <c r="E127" s="187"/>
      <c r="F127" s="336"/>
      <c r="G127" s="188">
        <f>D175</f>
        <v>22639.989754528986</v>
      </c>
      <c r="H127" s="542">
        <f>'Project Plan'!G49</f>
        <v>46135</v>
      </c>
      <c r="I127" s="664">
        <f>SUM(G127:G131)</f>
        <v>22639.989754528986</v>
      </c>
      <c r="J127" s="667">
        <f>F175</f>
        <v>25727.261084692029</v>
      </c>
      <c r="K127" s="189"/>
      <c r="L127" s="185">
        <v>13</v>
      </c>
      <c r="M127" s="255" t="s">
        <v>348</v>
      </c>
      <c r="N127" s="255" t="s">
        <v>349</v>
      </c>
      <c r="O127" s="432"/>
      <c r="P127" s="336"/>
      <c r="Q127" s="188">
        <f>'Project Plan'!$E$6*1.25%</f>
        <v>36247.183175023732</v>
      </c>
      <c r="R127" s="477"/>
      <c r="S127" s="508"/>
      <c r="T127" s="418">
        <f t="shared" si="12"/>
        <v>46142</v>
      </c>
      <c r="U127" s="404">
        <f t="shared" ref="U127:U132" si="21">(Q127/$X$127*$J$127)</f>
        <v>25727.261084692029</v>
      </c>
      <c r="V127" s="676">
        <f>J127-SUM(U127:U132)</f>
        <v>0</v>
      </c>
      <c r="W127" s="461">
        <f>'Project Plan'!K40</f>
        <v>46121</v>
      </c>
      <c r="X127" s="664">
        <f>SUM(Q127:Q132)</f>
        <v>36247.183175023732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65"/>
      <c r="J128" s="668"/>
      <c r="K128" s="192"/>
      <c r="L128" s="215">
        <v>13</v>
      </c>
      <c r="M128" s="290" t="s">
        <v>348</v>
      </c>
      <c r="N128" s="217" t="s">
        <v>350</v>
      </c>
      <c r="O128" s="218"/>
      <c r="P128" s="357"/>
      <c r="Q128" s="219"/>
      <c r="R128" s="470"/>
      <c r="S128" s="501"/>
      <c r="T128" s="411">
        <f t="shared" si="12"/>
        <v>46142</v>
      </c>
      <c r="U128" s="396">
        <f t="shared" si="21"/>
        <v>0</v>
      </c>
      <c r="V128" s="677"/>
      <c r="W128" s="454">
        <f>W127</f>
        <v>46121</v>
      </c>
      <c r="X128" s="665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65"/>
      <c r="J129" s="668"/>
      <c r="K129" s="192"/>
      <c r="L129" s="215">
        <v>13</v>
      </c>
      <c r="M129" s="290" t="s">
        <v>348</v>
      </c>
      <c r="N129" s="217" t="s">
        <v>351</v>
      </c>
      <c r="O129" s="218"/>
      <c r="P129" s="357"/>
      <c r="Q129" s="219"/>
      <c r="R129" s="470"/>
      <c r="S129" s="501"/>
      <c r="T129" s="411">
        <f t="shared" si="12"/>
        <v>46142</v>
      </c>
      <c r="U129" s="396">
        <f t="shared" si="21"/>
        <v>0</v>
      </c>
      <c r="V129" s="677"/>
      <c r="W129" s="454">
        <f t="shared" ref="W129:W131" si="22">W128</f>
        <v>46121</v>
      </c>
      <c r="X129" s="665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65"/>
      <c r="J130" s="668"/>
      <c r="K130" s="192"/>
      <c r="L130" s="215">
        <v>13</v>
      </c>
      <c r="M130" s="290" t="s">
        <v>348</v>
      </c>
      <c r="N130" s="217" t="s">
        <v>352</v>
      </c>
      <c r="O130" s="218"/>
      <c r="P130" s="357"/>
      <c r="Q130" s="219"/>
      <c r="R130" s="470"/>
      <c r="S130" s="501"/>
      <c r="T130" s="411">
        <f t="shared" si="12"/>
        <v>46142</v>
      </c>
      <c r="U130" s="396">
        <f t="shared" si="21"/>
        <v>0</v>
      </c>
      <c r="V130" s="677"/>
      <c r="W130" s="454">
        <f t="shared" si="22"/>
        <v>46121</v>
      </c>
      <c r="X130" s="665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65"/>
      <c r="J131" s="668"/>
      <c r="K131" s="192"/>
      <c r="L131" s="215">
        <v>13</v>
      </c>
      <c r="M131" s="290" t="s">
        <v>348</v>
      </c>
      <c r="N131" s="217" t="s">
        <v>353</v>
      </c>
      <c r="O131" s="218"/>
      <c r="P131" s="357"/>
      <c r="Q131" s="219"/>
      <c r="R131" s="470"/>
      <c r="S131" s="501"/>
      <c r="T131" s="411">
        <f t="shared" si="12"/>
        <v>46142</v>
      </c>
      <c r="U131" s="396">
        <f t="shared" si="21"/>
        <v>0</v>
      </c>
      <c r="V131" s="677"/>
      <c r="W131" s="454">
        <f t="shared" si="22"/>
        <v>46121</v>
      </c>
      <c r="X131" s="665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66"/>
      <c r="J132" s="669"/>
      <c r="K132" s="267"/>
      <c r="L132" s="220">
        <v>13</v>
      </c>
      <c r="M132" s="318" t="s">
        <v>348</v>
      </c>
      <c r="N132" s="221"/>
      <c r="O132" s="435"/>
      <c r="P132" s="358"/>
      <c r="Q132" s="234"/>
      <c r="R132" s="472"/>
      <c r="S132" s="503"/>
      <c r="T132" s="413" t="str">
        <f t="shared" si="12"/>
        <v/>
      </c>
      <c r="U132" s="398">
        <f t="shared" si="21"/>
        <v>0</v>
      </c>
      <c r="V132" s="678"/>
      <c r="W132" s="456"/>
      <c r="X132" s="666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354</v>
      </c>
      <c r="D134" s="174" t="s">
        <v>355</v>
      </c>
      <c r="E134" s="175"/>
      <c r="F134" s="368"/>
      <c r="G134" s="242">
        <f>D186</f>
        <v>1925</v>
      </c>
      <c r="H134" s="561">
        <f>'Project Plan'!G49</f>
        <v>46135</v>
      </c>
      <c r="I134" s="670">
        <f>SUM(G134:G145)</f>
        <v>1925</v>
      </c>
      <c r="J134" s="673">
        <f>F186</f>
        <v>2138.8888888888887</v>
      </c>
      <c r="K134" s="243"/>
      <c r="L134" s="173">
        <v>14</v>
      </c>
      <c r="M134" s="333" t="s">
        <v>356</v>
      </c>
      <c r="N134" s="174" t="s">
        <v>357</v>
      </c>
      <c r="O134" s="444"/>
      <c r="P134" s="528"/>
      <c r="Q134" s="533">
        <f>$G$134/4</f>
        <v>481.25</v>
      </c>
      <c r="R134" s="530"/>
      <c r="S134" s="519"/>
      <c r="T134" s="423">
        <v>46112</v>
      </c>
      <c r="U134" s="408">
        <f t="shared" ref="U134:U145" si="23">(Q134/$X$134*$J$134)</f>
        <v>534.72222222222217</v>
      </c>
      <c r="V134" s="679">
        <f>J134-SUM(U134:U145)</f>
        <v>0</v>
      </c>
      <c r="W134" s="467">
        <f>T134+7</f>
        <v>46119</v>
      </c>
      <c r="X134" s="670">
        <f>SUM(Q134:Q145)</f>
        <v>1925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71"/>
      <c r="J135" s="674"/>
      <c r="K135" s="176"/>
      <c r="L135" s="244">
        <v>14</v>
      </c>
      <c r="M135" s="334" t="s">
        <v>356</v>
      </c>
      <c r="N135" s="245" t="s">
        <v>357</v>
      </c>
      <c r="O135" s="445"/>
      <c r="P135" s="529"/>
      <c r="Q135" s="532">
        <f>$G$134/4</f>
        <v>481.25</v>
      </c>
      <c r="R135" s="531"/>
      <c r="S135" s="519"/>
      <c r="T135" s="425">
        <v>46142</v>
      </c>
      <c r="U135" s="409">
        <f t="shared" si="23"/>
        <v>534.72222222222217</v>
      </c>
      <c r="V135" s="680"/>
      <c r="W135" s="467">
        <f>T135+7</f>
        <v>46149</v>
      </c>
      <c r="X135" s="671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71"/>
      <c r="J136" s="674"/>
      <c r="K136" s="176"/>
      <c r="L136" s="244">
        <v>14</v>
      </c>
      <c r="M136" s="334" t="s">
        <v>356</v>
      </c>
      <c r="N136" s="245" t="s">
        <v>357</v>
      </c>
      <c r="O136" s="445"/>
      <c r="P136" s="369"/>
      <c r="Q136" s="247">
        <f>$G$134/4</f>
        <v>481.25</v>
      </c>
      <c r="R136" s="485"/>
      <c r="S136" s="519"/>
      <c r="T136" s="425">
        <v>46173</v>
      </c>
      <c r="U136" s="409">
        <f t="shared" si="23"/>
        <v>534.72222222222217</v>
      </c>
      <c r="V136" s="680"/>
      <c r="W136" s="467">
        <f>T136+7</f>
        <v>46180</v>
      </c>
      <c r="X136" s="671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71"/>
      <c r="J137" s="674"/>
      <c r="K137" s="176"/>
      <c r="L137" s="244">
        <v>14</v>
      </c>
      <c r="M137" s="334" t="s">
        <v>356</v>
      </c>
      <c r="N137" s="245" t="s">
        <v>357</v>
      </c>
      <c r="O137" s="445"/>
      <c r="P137" s="369"/>
      <c r="Q137" s="247">
        <f>$G$134/4</f>
        <v>481.25</v>
      </c>
      <c r="R137" s="485"/>
      <c r="S137" s="513"/>
      <c r="T137" s="425">
        <v>46203</v>
      </c>
      <c r="U137" s="409">
        <f t="shared" si="23"/>
        <v>534.72222222222217</v>
      </c>
      <c r="V137" s="680"/>
      <c r="W137" s="467">
        <f>T137+7</f>
        <v>46210</v>
      </c>
      <c r="X137" s="671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71"/>
      <c r="J138" s="674"/>
      <c r="K138" s="176"/>
      <c r="L138" s="244">
        <v>14</v>
      </c>
      <c r="M138" s="334" t="s">
        <v>356</v>
      </c>
      <c r="N138" s="245" t="s">
        <v>357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680"/>
      <c r="W138" s="467"/>
      <c r="X138" s="671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71"/>
      <c r="J139" s="674"/>
      <c r="K139" s="176"/>
      <c r="L139" s="244">
        <v>14</v>
      </c>
      <c r="M139" s="334" t="s">
        <v>356</v>
      </c>
      <c r="N139" s="245" t="s">
        <v>357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680"/>
      <c r="W139" s="467"/>
      <c r="X139" s="671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71"/>
      <c r="J140" s="674"/>
      <c r="K140" s="176"/>
      <c r="L140" s="244">
        <v>14</v>
      </c>
      <c r="M140" s="334" t="s">
        <v>356</v>
      </c>
      <c r="N140" s="245" t="s">
        <v>357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680"/>
      <c r="W140" s="467"/>
      <c r="X140" s="671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71"/>
      <c r="J141" s="674"/>
      <c r="K141" s="176"/>
      <c r="L141" s="244">
        <v>14</v>
      </c>
      <c r="M141" s="334" t="s">
        <v>356</v>
      </c>
      <c r="N141" s="245" t="s">
        <v>357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680"/>
      <c r="W141" s="467"/>
      <c r="X141" s="671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1"/>
      <c r="J142" s="674"/>
      <c r="K142" s="176"/>
      <c r="L142" s="244">
        <v>14</v>
      </c>
      <c r="M142" s="334" t="s">
        <v>356</v>
      </c>
      <c r="N142" s="245" t="s">
        <v>357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680"/>
      <c r="W142" s="467"/>
      <c r="X142" s="671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1"/>
      <c r="J143" s="674"/>
      <c r="K143" s="176"/>
      <c r="L143" s="244">
        <v>14</v>
      </c>
      <c r="M143" s="334" t="s">
        <v>356</v>
      </c>
      <c r="N143" s="245" t="s">
        <v>357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680"/>
      <c r="W143" s="467"/>
      <c r="X143" s="671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1"/>
      <c r="J144" s="674"/>
      <c r="K144" s="176"/>
      <c r="L144" s="244">
        <v>14</v>
      </c>
      <c r="M144" s="334" t="s">
        <v>356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680"/>
      <c r="W144" s="467"/>
      <c r="X144" s="671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72"/>
      <c r="J145" s="675"/>
      <c r="K145" s="179"/>
      <c r="L145" s="177">
        <v>14</v>
      </c>
      <c r="M145" s="335" t="s">
        <v>356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681"/>
      <c r="W145" s="468"/>
      <c r="X145" s="672"/>
    </row>
    <row r="146" spans="1:24" ht="14.4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358</v>
      </c>
      <c r="D147" s="186"/>
      <c r="E147" s="187"/>
      <c r="F147" s="336"/>
      <c r="G147" s="188"/>
      <c r="H147" s="542"/>
      <c r="I147" s="664">
        <f>SUM(G147:G158)</f>
        <v>0</v>
      </c>
      <c r="J147" s="667">
        <v>0</v>
      </c>
      <c r="K147" s="189"/>
      <c r="L147" s="185">
        <v>15</v>
      </c>
      <c r="M147" s="255" t="s">
        <v>359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76">
        <v>0</v>
      </c>
      <c r="W147" s="461"/>
      <c r="X147" s="664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65"/>
      <c r="J148" s="668"/>
      <c r="K148" s="192"/>
      <c r="L148" s="215">
        <v>15</v>
      </c>
      <c r="M148" s="290" t="s">
        <v>359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77"/>
      <c r="W148" s="454"/>
      <c r="X148" s="665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65"/>
      <c r="J149" s="668"/>
      <c r="K149" s="192"/>
      <c r="L149" s="215">
        <v>15</v>
      </c>
      <c r="M149" s="290" t="s">
        <v>359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77"/>
      <c r="W149" s="454"/>
      <c r="X149" s="665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65"/>
      <c r="J150" s="668"/>
      <c r="K150" s="192"/>
      <c r="L150" s="215">
        <v>15</v>
      </c>
      <c r="M150" s="290" t="s">
        <v>359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77"/>
      <c r="W150" s="454"/>
      <c r="X150" s="665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65"/>
      <c r="J151" s="668"/>
      <c r="K151" s="192"/>
      <c r="L151" s="215">
        <v>15</v>
      </c>
      <c r="M151" s="290" t="s">
        <v>359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77"/>
      <c r="W151" s="454"/>
      <c r="X151" s="665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65"/>
      <c r="J152" s="668"/>
      <c r="K152" s="192"/>
      <c r="L152" s="215">
        <v>15</v>
      </c>
      <c r="M152" s="290" t="s">
        <v>359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77"/>
      <c r="W152" s="454"/>
      <c r="X152" s="665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65"/>
      <c r="J153" s="668"/>
      <c r="K153" s="192"/>
      <c r="L153" s="215">
        <v>15</v>
      </c>
      <c r="M153" s="290" t="s">
        <v>359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77"/>
      <c r="W153" s="454"/>
      <c r="X153" s="665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65"/>
      <c r="J154" s="668"/>
      <c r="K154" s="192"/>
      <c r="L154" s="215">
        <v>15</v>
      </c>
      <c r="M154" s="290" t="s">
        <v>359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77"/>
      <c r="W154" s="454"/>
      <c r="X154" s="665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65"/>
      <c r="J155" s="668"/>
      <c r="K155" s="192"/>
      <c r="L155" s="215">
        <v>15</v>
      </c>
      <c r="M155" s="290" t="s">
        <v>359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77"/>
      <c r="W155" s="454"/>
      <c r="X155" s="665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65"/>
      <c r="J156" s="668"/>
      <c r="K156" s="192"/>
      <c r="L156" s="215">
        <v>15</v>
      </c>
      <c r="M156" s="290" t="s">
        <v>359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77"/>
      <c r="W156" s="454"/>
      <c r="X156" s="665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65"/>
      <c r="J157" s="668"/>
      <c r="K157" s="192"/>
      <c r="L157" s="215">
        <v>15</v>
      </c>
      <c r="M157" s="290" t="s">
        <v>359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77"/>
      <c r="W157" s="454"/>
      <c r="X157" s="665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66"/>
      <c r="J158" s="669"/>
      <c r="K158" s="193"/>
      <c r="L158" s="220">
        <v>15</v>
      </c>
      <c r="M158" s="318" t="s">
        <v>359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78"/>
      <c r="W158" s="456"/>
      <c r="X158" s="666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360</v>
      </c>
      <c r="D160" s="4">
        <v>263738.00499999995</v>
      </c>
      <c r="E160" s="77"/>
      <c r="F160" s="431">
        <v>306672.09883720923</v>
      </c>
      <c r="G160" s="26"/>
      <c r="H160" s="26"/>
      <c r="I160" s="160"/>
      <c r="J160" s="160"/>
    </row>
    <row r="161" spans="2:23">
      <c r="B161" s="26"/>
      <c r="C161" s="431" t="s">
        <v>361</v>
      </c>
      <c r="D161" s="4">
        <v>0</v>
      </c>
      <c r="E161" s="77"/>
      <c r="F161" s="431">
        <v>0</v>
      </c>
      <c r="G161" s="26"/>
      <c r="H161" s="26"/>
      <c r="I161" s="160"/>
      <c r="J161" s="160"/>
    </row>
    <row r="162" spans="2:23">
      <c r="B162" s="26"/>
      <c r="C162" s="431" t="s">
        <v>362</v>
      </c>
      <c r="D162" s="4">
        <v>53802</v>
      </c>
      <c r="E162" s="77"/>
      <c r="F162" s="431">
        <v>62560.465116279069</v>
      </c>
      <c r="G162" s="26"/>
      <c r="H162" s="26"/>
      <c r="I162" s="253"/>
      <c r="J162" s="253"/>
    </row>
    <row r="163" spans="2:23">
      <c r="B163" s="26"/>
      <c r="C163" s="431" t="s">
        <v>295</v>
      </c>
      <c r="D163" s="4">
        <v>125191.1</v>
      </c>
      <c r="E163" s="77"/>
      <c r="F163" s="431">
        <v>145571.04651162791</v>
      </c>
      <c r="G163" s="26"/>
      <c r="H163" s="26"/>
      <c r="I163" s="160"/>
      <c r="J163" s="160"/>
    </row>
    <row r="164" spans="2:23">
      <c r="B164" s="26"/>
      <c r="C164" s="431" t="s">
        <v>312</v>
      </c>
      <c r="D164" s="4">
        <v>0</v>
      </c>
      <c r="E164" s="77"/>
      <c r="F164" s="431">
        <v>0</v>
      </c>
      <c r="G164" s="26"/>
      <c r="H164" s="26"/>
      <c r="I164" s="253"/>
      <c r="J164" s="253"/>
    </row>
    <row r="165" spans="2:23">
      <c r="B165" s="26"/>
      <c r="C165" s="431" t="s">
        <v>363</v>
      </c>
      <c r="D165" s="4">
        <v>0</v>
      </c>
      <c r="E165" s="77"/>
      <c r="F165" s="431">
        <v>0</v>
      </c>
      <c r="G165" s="26"/>
      <c r="H165" s="26"/>
      <c r="I165" s="160"/>
      <c r="J165" s="160"/>
    </row>
    <row r="166" spans="2:23">
      <c r="B166" s="26"/>
      <c r="C166" s="431" t="s">
        <v>364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365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366</v>
      </c>
      <c r="D168" s="4">
        <v>693148.4</v>
      </c>
      <c r="E168" s="77"/>
      <c r="F168" s="431">
        <v>805986.51162790705</v>
      </c>
      <c r="G168" s="26"/>
      <c r="H168" s="26"/>
      <c r="I168" s="160"/>
      <c r="J168" s="160"/>
    </row>
    <row r="169" spans="2:23">
      <c r="B169" s="26"/>
      <c r="C169" s="431" t="s">
        <v>367</v>
      </c>
      <c r="D169" s="4">
        <v>1211692.6086956521</v>
      </c>
      <c r="E169" s="77"/>
      <c r="F169" s="431">
        <v>1376923.418972332</v>
      </c>
      <c r="G169" s="26"/>
      <c r="H169" s="26"/>
      <c r="I169" s="160"/>
      <c r="J169" s="160"/>
    </row>
    <row r="170" spans="2:23">
      <c r="B170" s="26"/>
      <c r="C170" s="431" t="s">
        <v>368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369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370</v>
      </c>
      <c r="D173" s="26">
        <v>29890</v>
      </c>
      <c r="E173" s="77"/>
      <c r="F173" s="431">
        <v>33211.111111111109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371</v>
      </c>
      <c r="D174" s="26">
        <v>65170</v>
      </c>
      <c r="E174" s="77"/>
      <c r="F174" s="431">
        <v>72411.111111111109</v>
      </c>
      <c r="I174" s="160"/>
      <c r="J174" s="160"/>
      <c r="T174" s="431"/>
      <c r="U174" s="431"/>
      <c r="W174" s="431"/>
    </row>
    <row r="175" spans="2:23" s="26" customFormat="1">
      <c r="C175" s="431" t="s">
        <v>372</v>
      </c>
      <c r="D175" s="26">
        <v>22639.989754528986</v>
      </c>
      <c r="E175" s="77"/>
      <c r="F175" s="431">
        <v>25727.261084692029</v>
      </c>
      <c r="I175" s="160"/>
      <c r="J175" s="160"/>
      <c r="T175" s="431"/>
      <c r="U175" s="431"/>
      <c r="W175" s="431"/>
    </row>
    <row r="176" spans="2:23" s="26" customFormat="1">
      <c r="C176" s="431" t="s">
        <v>373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374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375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376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377</v>
      </c>
      <c r="D180" s="26">
        <v>13200</v>
      </c>
      <c r="E180" s="77"/>
      <c r="F180" s="431">
        <v>14666.666666666666</v>
      </c>
      <c r="I180" s="160"/>
      <c r="J180" s="160"/>
      <c r="T180" s="431"/>
      <c r="U180" s="431"/>
      <c r="W180" s="431"/>
    </row>
    <row r="181" spans="3:23" s="26" customFormat="1">
      <c r="C181" s="431" t="s">
        <v>378</v>
      </c>
      <c r="D181" s="26">
        <v>11015.466666666667</v>
      </c>
      <c r="E181" s="77"/>
      <c r="F181" s="431">
        <v>12239.407407407409</v>
      </c>
      <c r="I181" s="160"/>
      <c r="J181" s="160"/>
      <c r="T181" s="431"/>
      <c r="U181" s="431"/>
      <c r="W181" s="431"/>
    </row>
    <row r="182" spans="3:23" s="26" customFormat="1">
      <c r="C182" s="431" t="s">
        <v>379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366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380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381</v>
      </c>
      <c r="D186" s="26">
        <v>1925</v>
      </c>
      <c r="E186" s="77"/>
      <c r="F186" s="431">
        <v>2138.8888888888887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bottomRight" activeCell="G1" sqref="G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1" width="15.42578125" bestFit="1" customWidth="1"/>
    <col min="292" max="292" width="9.42578125" style="102"/>
  </cols>
  <sheetData>
    <row r="1" spans="1:769">
      <c r="D1" s="98" t="s">
        <v>382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18" t="s">
        <v>383</v>
      </c>
      <c r="B2" s="103"/>
      <c r="C2" s="104" t="s">
        <v>262</v>
      </c>
      <c r="D2" s="104" t="s">
        <v>262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9"/>
      <c r="B3" s="106" t="s">
        <v>206</v>
      </c>
      <c r="C3" s="107">
        <f>'Revenue Tracking'!D4</f>
        <v>2899774.6540018986</v>
      </c>
      <c r="D3" s="107">
        <f>SUM(F3:KE3)</f>
        <v>2899774.6540018986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1449887.3270009493</v>
      </c>
      <c r="X3" s="109">
        <f>SUMIFS('Revenue Tracking'!$F$13:$F$19, 'Revenue Tracking'!$H$13:$H$19, "&gt;="&amp;X1,'Revenue Tracking'!$H$13:$H$19, "&lt;"&amp;Y1)</f>
        <v>724943.66350047465</v>
      </c>
      <c r="Y3" s="109">
        <f>SUMIFS('Revenue Tracking'!$F$13:$F$19, 'Revenue Tracking'!$H$13:$H$19, "&gt;="&amp;Y1,'Revenue Tracking'!$H$13:$H$19, "&lt;"&amp;Z1)</f>
        <v>289977.46540018986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289977.46540018986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144988.73270009493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9"/>
      <c r="B4" s="106" t="s">
        <v>384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0</v>
      </c>
      <c r="R4" s="109">
        <f t="shared" si="5"/>
        <v>0</v>
      </c>
      <c r="S4" s="109">
        <f t="shared" si="5"/>
        <v>0</v>
      </c>
      <c r="T4" s="109">
        <f t="shared" si="5"/>
        <v>0</v>
      </c>
      <c r="U4" s="109">
        <f t="shared" si="5"/>
        <v>0</v>
      </c>
      <c r="V4" s="109">
        <f t="shared" si="5"/>
        <v>0</v>
      </c>
      <c r="W4" s="109">
        <f t="shared" si="5"/>
        <v>1449887.3270009493</v>
      </c>
      <c r="X4" s="109">
        <f t="shared" si="5"/>
        <v>2174830.9905014238</v>
      </c>
      <c r="Y4" s="109">
        <f t="shared" si="5"/>
        <v>2464808.4559016135</v>
      </c>
      <c r="Z4" s="109">
        <f t="shared" si="5"/>
        <v>2464808.4559016135</v>
      </c>
      <c r="AA4" s="109">
        <f t="shared" si="5"/>
        <v>2464808.4559016135</v>
      </c>
      <c r="AB4" s="109">
        <f t="shared" si="5"/>
        <v>2464808.4559016135</v>
      </c>
      <c r="AC4" s="109">
        <f t="shared" si="5"/>
        <v>2754785.9213018036</v>
      </c>
      <c r="AD4" s="109">
        <f>AC4+AD3</f>
        <v>2754785.9213018036</v>
      </c>
      <c r="AE4" s="109">
        <f t="shared" si="5"/>
        <v>2754785.9213018036</v>
      </c>
      <c r="AF4" s="109">
        <f t="shared" si="5"/>
        <v>2754785.9213018036</v>
      </c>
      <c r="AG4" s="109">
        <f t="shared" si="5"/>
        <v>2754785.9213018036</v>
      </c>
      <c r="AH4" s="109">
        <f t="shared" si="5"/>
        <v>2754785.9213018036</v>
      </c>
      <c r="AI4" s="109">
        <f t="shared" si="5"/>
        <v>2754785.9213018036</v>
      </c>
      <c r="AJ4" s="109">
        <f t="shared" si="5"/>
        <v>2754785.9213018036</v>
      </c>
      <c r="AK4" s="109">
        <f t="shared" si="5"/>
        <v>2754785.9213018036</v>
      </c>
      <c r="AL4" s="109">
        <f t="shared" si="5"/>
        <v>2754785.9213018036</v>
      </c>
      <c r="AM4" s="109">
        <f t="shared" si="5"/>
        <v>2754785.9213018036</v>
      </c>
      <c r="AN4" s="109">
        <f t="shared" si="5"/>
        <v>2754785.9213018036</v>
      </c>
      <c r="AO4" s="109">
        <f t="shared" si="5"/>
        <v>2754785.9213018036</v>
      </c>
      <c r="AP4" s="109">
        <f t="shared" si="5"/>
        <v>2754785.9213018036</v>
      </c>
      <c r="AQ4" s="109">
        <f t="shared" si="5"/>
        <v>2754785.9213018036</v>
      </c>
      <c r="AR4" s="109">
        <f t="shared" si="5"/>
        <v>2754785.9213018036</v>
      </c>
      <c r="AS4" s="109">
        <f t="shared" si="5"/>
        <v>2754785.9213018036</v>
      </c>
      <c r="AT4" s="109">
        <f t="shared" si="5"/>
        <v>2754785.9213018036</v>
      </c>
      <c r="AU4" s="109">
        <f t="shared" si="5"/>
        <v>2754785.9213018036</v>
      </c>
      <c r="AV4" s="109">
        <f t="shared" si="5"/>
        <v>2754785.9213018036</v>
      </c>
      <c r="AW4" s="109">
        <f t="shared" si="5"/>
        <v>2754785.9213018036</v>
      </c>
      <c r="AX4" s="109">
        <f t="shared" si="5"/>
        <v>2754785.9213018036</v>
      </c>
      <c r="AY4" s="109">
        <f t="shared" si="5"/>
        <v>2754785.9213018036</v>
      </c>
      <c r="AZ4" s="109">
        <f t="shared" si="5"/>
        <v>2754785.9213018036</v>
      </c>
      <c r="BA4" s="109">
        <f t="shared" si="5"/>
        <v>2754785.9213018036</v>
      </c>
      <c r="BB4" s="109">
        <f t="shared" si="5"/>
        <v>2754785.9213018036</v>
      </c>
      <c r="BC4" s="109">
        <f t="shared" si="5"/>
        <v>2754785.9213018036</v>
      </c>
      <c r="BD4" s="109">
        <f t="shared" si="5"/>
        <v>2754785.9213018036</v>
      </c>
      <c r="BE4" s="109">
        <f t="shared" si="5"/>
        <v>2754785.9213018036</v>
      </c>
      <c r="BF4" s="109">
        <f t="shared" si="5"/>
        <v>2754785.9213018036</v>
      </c>
      <c r="BG4" s="109">
        <f t="shared" si="5"/>
        <v>2754785.9213018036</v>
      </c>
      <c r="BH4" s="109">
        <f t="shared" si="5"/>
        <v>2754785.9213018036</v>
      </c>
      <c r="BI4" s="109">
        <f t="shared" si="5"/>
        <v>2754785.9213018036</v>
      </c>
      <c r="BJ4" s="109">
        <f t="shared" si="5"/>
        <v>2754785.9213018036</v>
      </c>
      <c r="BK4" s="109">
        <f t="shared" si="5"/>
        <v>2754785.9213018036</v>
      </c>
      <c r="BL4" s="109">
        <f t="shared" si="5"/>
        <v>2754785.9213018036</v>
      </c>
      <c r="BM4" s="109">
        <f t="shared" si="5"/>
        <v>2754785.9213018036</v>
      </c>
      <c r="BN4" s="109">
        <f t="shared" si="5"/>
        <v>2754785.9213018036</v>
      </c>
      <c r="BO4" s="109">
        <f t="shared" si="5"/>
        <v>2754785.9213018036</v>
      </c>
      <c r="BP4" s="109">
        <f t="shared" si="5"/>
        <v>2754785.9213018036</v>
      </c>
      <c r="BQ4" s="109">
        <f t="shared" si="5"/>
        <v>2754785.9213018036</v>
      </c>
      <c r="BR4" s="109">
        <f t="shared" si="5"/>
        <v>2754785.9213018036</v>
      </c>
      <c r="BS4" s="109">
        <f t="shared" si="5"/>
        <v>2754785.9213018036</v>
      </c>
      <c r="BT4" s="109">
        <f t="shared" si="5"/>
        <v>2754785.9213018036</v>
      </c>
      <c r="BU4" s="109">
        <f t="shared" ref="BU4:EF4" si="6">BT4+BU3</f>
        <v>2754785.9213018036</v>
      </c>
      <c r="BV4" s="109">
        <f t="shared" si="6"/>
        <v>2754785.9213018036</v>
      </c>
      <c r="BW4" s="109">
        <f t="shared" si="6"/>
        <v>2754785.9213018036</v>
      </c>
      <c r="BX4" s="109">
        <f t="shared" si="6"/>
        <v>2754785.9213018036</v>
      </c>
      <c r="BY4" s="109">
        <f t="shared" si="6"/>
        <v>2754785.9213018036</v>
      </c>
      <c r="BZ4" s="109">
        <f t="shared" si="6"/>
        <v>2754785.9213018036</v>
      </c>
      <c r="CA4" s="109">
        <f t="shared" si="6"/>
        <v>2754785.9213018036</v>
      </c>
      <c r="CB4" s="109">
        <f t="shared" si="6"/>
        <v>2754785.9213018036</v>
      </c>
      <c r="CC4" s="109">
        <f t="shared" si="6"/>
        <v>2899774.6540018986</v>
      </c>
      <c r="CD4" s="109">
        <f t="shared" si="6"/>
        <v>2899774.6540018986</v>
      </c>
      <c r="CE4" s="109">
        <f t="shared" si="6"/>
        <v>2899774.6540018986</v>
      </c>
      <c r="CF4" s="109">
        <f t="shared" si="6"/>
        <v>2899774.6540018986</v>
      </c>
      <c r="CG4" s="109">
        <f t="shared" si="6"/>
        <v>2899774.6540018986</v>
      </c>
      <c r="CH4" s="109">
        <f t="shared" si="6"/>
        <v>2899774.6540018986</v>
      </c>
      <c r="CI4" s="109">
        <f t="shared" si="6"/>
        <v>2899774.6540018986</v>
      </c>
      <c r="CJ4" s="109">
        <f t="shared" si="6"/>
        <v>2899774.6540018986</v>
      </c>
      <c r="CK4" s="109">
        <f t="shared" si="6"/>
        <v>2899774.6540018986</v>
      </c>
      <c r="CL4" s="109">
        <f t="shared" si="6"/>
        <v>2899774.6540018986</v>
      </c>
      <c r="CM4" s="109">
        <f t="shared" si="6"/>
        <v>2899774.6540018986</v>
      </c>
      <c r="CN4" s="109">
        <f t="shared" si="6"/>
        <v>2899774.6540018986</v>
      </c>
      <c r="CO4" s="109">
        <f t="shared" si="6"/>
        <v>2899774.6540018986</v>
      </c>
      <c r="CP4" s="109">
        <f t="shared" si="6"/>
        <v>2899774.6540018986</v>
      </c>
      <c r="CQ4" s="109">
        <f t="shared" si="6"/>
        <v>2899774.6540018986</v>
      </c>
      <c r="CR4" s="109">
        <f t="shared" si="6"/>
        <v>2899774.6540018986</v>
      </c>
      <c r="CS4" s="109">
        <f t="shared" si="6"/>
        <v>2899774.6540018986</v>
      </c>
      <c r="CT4" s="109">
        <f t="shared" si="6"/>
        <v>2899774.6540018986</v>
      </c>
      <c r="CU4" s="109">
        <f t="shared" si="6"/>
        <v>2899774.6540018986</v>
      </c>
      <c r="CV4" s="109">
        <f t="shared" si="6"/>
        <v>2899774.6540018986</v>
      </c>
      <c r="CW4" s="109">
        <f t="shared" si="6"/>
        <v>2899774.6540018986</v>
      </c>
      <c r="CX4" s="109">
        <f t="shared" si="6"/>
        <v>2899774.6540018986</v>
      </c>
      <c r="CY4" s="109">
        <f t="shared" si="6"/>
        <v>2899774.6540018986</v>
      </c>
      <c r="CZ4" s="109">
        <f t="shared" si="6"/>
        <v>2899774.6540018986</v>
      </c>
      <c r="DA4" s="109">
        <f t="shared" si="6"/>
        <v>2899774.6540018986</v>
      </c>
      <c r="DB4" s="109">
        <f t="shared" si="6"/>
        <v>2899774.6540018986</v>
      </c>
      <c r="DC4" s="109">
        <f t="shared" si="6"/>
        <v>2899774.6540018986</v>
      </c>
      <c r="DD4" s="109">
        <f t="shared" si="6"/>
        <v>2899774.6540018986</v>
      </c>
      <c r="DE4" s="109">
        <f t="shared" si="6"/>
        <v>2899774.6540018986</v>
      </c>
      <c r="DF4" s="109">
        <f t="shared" si="6"/>
        <v>2899774.6540018986</v>
      </c>
      <c r="DG4" s="109">
        <f t="shared" si="6"/>
        <v>2899774.6540018986</v>
      </c>
      <c r="DH4" s="109">
        <f t="shared" si="6"/>
        <v>2899774.6540018986</v>
      </c>
      <c r="DI4" s="109">
        <f t="shared" si="6"/>
        <v>2899774.6540018986</v>
      </c>
      <c r="DJ4" s="109">
        <f t="shared" si="6"/>
        <v>2899774.6540018986</v>
      </c>
      <c r="DK4" s="109">
        <f t="shared" si="6"/>
        <v>2899774.6540018986</v>
      </c>
      <c r="DL4" s="109">
        <f t="shared" si="6"/>
        <v>2899774.6540018986</v>
      </c>
      <c r="DM4" s="109">
        <f t="shared" si="6"/>
        <v>2899774.6540018986</v>
      </c>
      <c r="DN4" s="109">
        <f t="shared" si="6"/>
        <v>2899774.6540018986</v>
      </c>
      <c r="DO4" s="109">
        <f t="shared" si="6"/>
        <v>2899774.6540018986</v>
      </c>
      <c r="DP4" s="109">
        <f t="shared" si="6"/>
        <v>2899774.6540018986</v>
      </c>
      <c r="DQ4" s="109">
        <f t="shared" si="6"/>
        <v>2899774.6540018986</v>
      </c>
      <c r="DR4" s="109">
        <f t="shared" si="6"/>
        <v>2899774.6540018986</v>
      </c>
      <c r="DS4" s="109">
        <f t="shared" si="6"/>
        <v>2899774.6540018986</v>
      </c>
      <c r="DT4" s="109">
        <f t="shared" si="6"/>
        <v>2899774.6540018986</v>
      </c>
      <c r="DU4" s="109">
        <f t="shared" si="6"/>
        <v>2899774.6540018986</v>
      </c>
      <c r="DV4" s="109">
        <f t="shared" si="6"/>
        <v>2899774.6540018986</v>
      </c>
      <c r="DW4" s="109">
        <f t="shared" si="6"/>
        <v>2899774.6540018986</v>
      </c>
      <c r="DX4" s="109">
        <f t="shared" si="6"/>
        <v>2899774.6540018986</v>
      </c>
      <c r="DY4" s="109">
        <f t="shared" si="6"/>
        <v>2899774.6540018986</v>
      </c>
      <c r="DZ4" s="109">
        <f t="shared" si="6"/>
        <v>2899774.6540018986</v>
      </c>
      <c r="EA4" s="109">
        <f t="shared" si="6"/>
        <v>2899774.6540018986</v>
      </c>
      <c r="EB4" s="109">
        <f t="shared" si="6"/>
        <v>2899774.6540018986</v>
      </c>
      <c r="EC4" s="109">
        <f t="shared" si="6"/>
        <v>2899774.6540018986</v>
      </c>
      <c r="ED4" s="109">
        <f t="shared" si="6"/>
        <v>2899774.6540018986</v>
      </c>
      <c r="EE4" s="109">
        <f t="shared" si="6"/>
        <v>2899774.6540018986</v>
      </c>
      <c r="EF4" s="109">
        <f t="shared" si="6"/>
        <v>2899774.6540018986</v>
      </c>
      <c r="EG4" s="109">
        <f t="shared" ref="EG4:GR4" si="7">EF4+EG3</f>
        <v>2899774.6540018986</v>
      </c>
      <c r="EH4" s="109">
        <f t="shared" si="7"/>
        <v>2899774.6540018986</v>
      </c>
      <c r="EI4" s="109">
        <f t="shared" si="7"/>
        <v>2899774.6540018986</v>
      </c>
      <c r="EJ4" s="109">
        <f t="shared" si="7"/>
        <v>2899774.6540018986</v>
      </c>
      <c r="EK4" s="109">
        <f t="shared" si="7"/>
        <v>2899774.6540018986</v>
      </c>
      <c r="EL4" s="109">
        <f t="shared" si="7"/>
        <v>2899774.6540018986</v>
      </c>
      <c r="EM4" s="109">
        <f t="shared" si="7"/>
        <v>2899774.6540018986</v>
      </c>
      <c r="EN4" s="109">
        <f t="shared" si="7"/>
        <v>2899774.6540018986</v>
      </c>
      <c r="EO4" s="109">
        <f t="shared" si="7"/>
        <v>2899774.6540018986</v>
      </c>
      <c r="EP4" s="109">
        <f t="shared" si="7"/>
        <v>2899774.6540018986</v>
      </c>
      <c r="EQ4" s="109">
        <f t="shared" si="7"/>
        <v>2899774.6540018986</v>
      </c>
      <c r="ER4" s="109">
        <f t="shared" si="7"/>
        <v>2899774.6540018986</v>
      </c>
      <c r="ES4" s="109">
        <f t="shared" si="7"/>
        <v>2899774.6540018986</v>
      </c>
      <c r="ET4" s="109">
        <f t="shared" si="7"/>
        <v>2899774.6540018986</v>
      </c>
      <c r="EU4" s="109">
        <f t="shared" si="7"/>
        <v>2899774.6540018986</v>
      </c>
      <c r="EV4" s="109">
        <f t="shared" si="7"/>
        <v>2899774.6540018986</v>
      </c>
      <c r="EW4" s="109">
        <f t="shared" si="7"/>
        <v>2899774.6540018986</v>
      </c>
      <c r="EX4" s="109">
        <f t="shared" si="7"/>
        <v>2899774.6540018986</v>
      </c>
      <c r="EY4" s="109">
        <f t="shared" si="7"/>
        <v>2899774.6540018986</v>
      </c>
      <c r="EZ4" s="109">
        <f t="shared" si="7"/>
        <v>2899774.6540018986</v>
      </c>
      <c r="FA4" s="109">
        <f t="shared" si="7"/>
        <v>2899774.6540018986</v>
      </c>
      <c r="FB4" s="109">
        <f t="shared" si="7"/>
        <v>2899774.6540018986</v>
      </c>
      <c r="FC4" s="109">
        <f t="shared" si="7"/>
        <v>2899774.6540018986</v>
      </c>
      <c r="FD4" s="109">
        <f t="shared" si="7"/>
        <v>2899774.6540018986</v>
      </c>
      <c r="FE4" s="109">
        <f t="shared" si="7"/>
        <v>2899774.6540018986</v>
      </c>
      <c r="FF4" s="109">
        <f t="shared" si="7"/>
        <v>2899774.6540018986</v>
      </c>
      <c r="FG4" s="109">
        <f t="shared" si="7"/>
        <v>2899774.6540018986</v>
      </c>
      <c r="FH4" s="109">
        <f t="shared" si="7"/>
        <v>2899774.6540018986</v>
      </c>
      <c r="FI4" s="109">
        <f t="shared" si="7"/>
        <v>2899774.6540018986</v>
      </c>
      <c r="FJ4" s="109">
        <f t="shared" si="7"/>
        <v>2899774.6540018986</v>
      </c>
      <c r="FK4" s="109">
        <f t="shared" si="7"/>
        <v>2899774.6540018986</v>
      </c>
      <c r="FL4" s="109">
        <f t="shared" si="7"/>
        <v>2899774.6540018986</v>
      </c>
      <c r="FM4" s="109">
        <f t="shared" si="7"/>
        <v>2899774.6540018986</v>
      </c>
      <c r="FN4" s="109">
        <f t="shared" si="7"/>
        <v>2899774.6540018986</v>
      </c>
      <c r="FO4" s="109">
        <f t="shared" si="7"/>
        <v>2899774.6540018986</v>
      </c>
      <c r="FP4" s="109">
        <f t="shared" si="7"/>
        <v>2899774.6540018986</v>
      </c>
      <c r="FQ4" s="109">
        <f t="shared" si="7"/>
        <v>2899774.6540018986</v>
      </c>
      <c r="FR4" s="109">
        <f t="shared" si="7"/>
        <v>2899774.6540018986</v>
      </c>
      <c r="FS4" s="109">
        <f t="shared" si="7"/>
        <v>2899774.6540018986</v>
      </c>
      <c r="FT4" s="109">
        <f t="shared" si="7"/>
        <v>2899774.6540018986</v>
      </c>
      <c r="FU4" s="109">
        <f t="shared" si="7"/>
        <v>2899774.6540018986</v>
      </c>
      <c r="FV4" s="109">
        <f t="shared" si="7"/>
        <v>2899774.6540018986</v>
      </c>
      <c r="FW4" s="109">
        <f t="shared" si="7"/>
        <v>2899774.6540018986</v>
      </c>
      <c r="FX4" s="109">
        <f t="shared" si="7"/>
        <v>2899774.6540018986</v>
      </c>
      <c r="FY4" s="109">
        <f t="shared" si="7"/>
        <v>2899774.6540018986</v>
      </c>
      <c r="FZ4" s="109">
        <f t="shared" si="7"/>
        <v>2899774.6540018986</v>
      </c>
      <c r="GA4" s="109">
        <f t="shared" si="7"/>
        <v>2899774.6540018986</v>
      </c>
      <c r="GB4" s="109">
        <f t="shared" si="7"/>
        <v>2899774.6540018986</v>
      </c>
      <c r="GC4" s="109">
        <f t="shared" si="7"/>
        <v>2899774.6540018986</v>
      </c>
      <c r="GD4" s="109">
        <f t="shared" si="7"/>
        <v>2899774.6540018986</v>
      </c>
      <c r="GE4" s="109">
        <f t="shared" si="7"/>
        <v>2899774.6540018986</v>
      </c>
      <c r="GF4" s="109">
        <f t="shared" si="7"/>
        <v>2899774.6540018986</v>
      </c>
      <c r="GG4" s="109">
        <f t="shared" si="7"/>
        <v>2899774.6540018986</v>
      </c>
      <c r="GH4" s="109">
        <f t="shared" si="7"/>
        <v>2899774.6540018986</v>
      </c>
      <c r="GI4" s="109">
        <f t="shared" si="7"/>
        <v>2899774.6540018986</v>
      </c>
      <c r="GJ4" s="109">
        <f t="shared" si="7"/>
        <v>2899774.6540018986</v>
      </c>
      <c r="GK4" s="109">
        <f t="shared" si="7"/>
        <v>2899774.6540018986</v>
      </c>
      <c r="GL4" s="109">
        <f t="shared" si="7"/>
        <v>2899774.6540018986</v>
      </c>
      <c r="GM4" s="109">
        <f t="shared" si="7"/>
        <v>2899774.6540018986</v>
      </c>
      <c r="GN4" s="109">
        <f t="shared" si="7"/>
        <v>2899774.6540018986</v>
      </c>
      <c r="GO4" s="109">
        <f t="shared" si="7"/>
        <v>2899774.6540018986</v>
      </c>
      <c r="GP4" s="109">
        <f t="shared" si="7"/>
        <v>2899774.6540018986</v>
      </c>
      <c r="GQ4" s="109">
        <f t="shared" si="7"/>
        <v>2899774.6540018986</v>
      </c>
      <c r="GR4" s="109">
        <f t="shared" si="7"/>
        <v>2899774.6540018986</v>
      </c>
      <c r="GS4" s="109">
        <f t="shared" ref="GS4:JD4" si="8">GR4+GS3</f>
        <v>2899774.6540018986</v>
      </c>
      <c r="GT4" s="109">
        <f t="shared" si="8"/>
        <v>2899774.6540018986</v>
      </c>
      <c r="GU4" s="109">
        <f t="shared" si="8"/>
        <v>2899774.6540018986</v>
      </c>
      <c r="GV4" s="109">
        <f t="shared" si="8"/>
        <v>2899774.6540018986</v>
      </c>
      <c r="GW4" s="109">
        <f t="shared" si="8"/>
        <v>2899774.6540018986</v>
      </c>
      <c r="GX4" s="109">
        <f t="shared" si="8"/>
        <v>2899774.6540018986</v>
      </c>
      <c r="GY4" s="109">
        <f t="shared" si="8"/>
        <v>2899774.6540018986</v>
      </c>
      <c r="GZ4" s="109">
        <f t="shared" si="8"/>
        <v>2899774.6540018986</v>
      </c>
      <c r="HA4" s="109">
        <f t="shared" si="8"/>
        <v>2899774.6540018986</v>
      </c>
      <c r="HB4" s="109">
        <f t="shared" si="8"/>
        <v>2899774.6540018986</v>
      </c>
      <c r="HC4" s="109">
        <f t="shared" si="8"/>
        <v>2899774.6540018986</v>
      </c>
      <c r="HD4" s="109">
        <f t="shared" si="8"/>
        <v>2899774.6540018986</v>
      </c>
      <c r="HE4" s="109">
        <f t="shared" si="8"/>
        <v>2899774.6540018986</v>
      </c>
      <c r="HF4" s="109">
        <f t="shared" si="8"/>
        <v>2899774.6540018986</v>
      </c>
      <c r="HG4" s="109">
        <f t="shared" si="8"/>
        <v>2899774.6540018986</v>
      </c>
      <c r="HH4" s="109">
        <f t="shared" si="8"/>
        <v>2899774.6540018986</v>
      </c>
      <c r="HI4" s="109">
        <f t="shared" si="8"/>
        <v>2899774.6540018986</v>
      </c>
      <c r="HJ4" s="109">
        <f t="shared" si="8"/>
        <v>2899774.6540018986</v>
      </c>
      <c r="HK4" s="109">
        <f t="shared" si="8"/>
        <v>2899774.6540018986</v>
      </c>
      <c r="HL4" s="109">
        <f t="shared" si="8"/>
        <v>2899774.6540018986</v>
      </c>
      <c r="HM4" s="109">
        <f t="shared" si="8"/>
        <v>2899774.6540018986</v>
      </c>
      <c r="HN4" s="109">
        <f t="shared" si="8"/>
        <v>2899774.6540018986</v>
      </c>
      <c r="HO4" s="109">
        <f t="shared" si="8"/>
        <v>2899774.6540018986</v>
      </c>
      <c r="HP4" s="109">
        <f t="shared" si="8"/>
        <v>2899774.6540018986</v>
      </c>
      <c r="HQ4" s="109">
        <f t="shared" si="8"/>
        <v>2899774.6540018986</v>
      </c>
      <c r="HR4" s="109">
        <f t="shared" si="8"/>
        <v>2899774.6540018986</v>
      </c>
      <c r="HS4" s="109">
        <f t="shared" si="8"/>
        <v>2899774.6540018986</v>
      </c>
      <c r="HT4" s="109">
        <f t="shared" si="8"/>
        <v>2899774.6540018986</v>
      </c>
      <c r="HU4" s="109">
        <f t="shared" si="8"/>
        <v>2899774.6540018986</v>
      </c>
      <c r="HV4" s="109">
        <f t="shared" si="8"/>
        <v>2899774.6540018986</v>
      </c>
      <c r="HW4" s="109">
        <f t="shared" si="8"/>
        <v>2899774.6540018986</v>
      </c>
      <c r="HX4" s="109">
        <f t="shared" si="8"/>
        <v>2899774.6540018986</v>
      </c>
      <c r="HY4" s="109">
        <f t="shared" si="8"/>
        <v>2899774.6540018986</v>
      </c>
      <c r="HZ4" s="109">
        <f t="shared" si="8"/>
        <v>2899774.6540018986</v>
      </c>
      <c r="IA4" s="109">
        <f t="shared" si="8"/>
        <v>2899774.6540018986</v>
      </c>
      <c r="IB4" s="109">
        <f t="shared" si="8"/>
        <v>2899774.6540018986</v>
      </c>
      <c r="IC4" s="109">
        <f t="shared" si="8"/>
        <v>2899774.6540018986</v>
      </c>
      <c r="ID4" s="109">
        <f t="shared" si="8"/>
        <v>2899774.6540018986</v>
      </c>
      <c r="IE4" s="109">
        <f t="shared" si="8"/>
        <v>2899774.6540018986</v>
      </c>
      <c r="IF4" s="109">
        <f t="shared" si="8"/>
        <v>2899774.6540018986</v>
      </c>
      <c r="IG4" s="109">
        <f t="shared" si="8"/>
        <v>2899774.6540018986</v>
      </c>
      <c r="IH4" s="109">
        <f t="shared" si="8"/>
        <v>2899774.6540018986</v>
      </c>
      <c r="II4" s="109">
        <f t="shared" si="8"/>
        <v>2899774.6540018986</v>
      </c>
      <c r="IJ4" s="109">
        <f t="shared" si="8"/>
        <v>2899774.6540018986</v>
      </c>
      <c r="IK4" s="109">
        <f t="shared" si="8"/>
        <v>2899774.6540018986</v>
      </c>
      <c r="IL4" s="109">
        <f t="shared" si="8"/>
        <v>2899774.6540018986</v>
      </c>
      <c r="IM4" s="109">
        <f t="shared" si="8"/>
        <v>2899774.6540018986</v>
      </c>
      <c r="IN4" s="109">
        <f t="shared" si="8"/>
        <v>2899774.6540018986</v>
      </c>
      <c r="IO4" s="109">
        <f t="shared" si="8"/>
        <v>2899774.6540018986</v>
      </c>
      <c r="IP4" s="109">
        <f t="shared" si="8"/>
        <v>2899774.6540018986</v>
      </c>
      <c r="IQ4" s="109">
        <f t="shared" si="8"/>
        <v>2899774.6540018986</v>
      </c>
      <c r="IR4" s="109">
        <f t="shared" si="8"/>
        <v>2899774.6540018986</v>
      </c>
      <c r="IS4" s="109">
        <f t="shared" si="8"/>
        <v>2899774.6540018986</v>
      </c>
      <c r="IT4" s="109">
        <f t="shared" si="8"/>
        <v>2899774.6540018986</v>
      </c>
      <c r="IU4" s="109">
        <f t="shared" si="8"/>
        <v>2899774.6540018986</v>
      </c>
      <c r="IV4" s="109">
        <f t="shared" si="8"/>
        <v>2899774.6540018986</v>
      </c>
      <c r="IW4" s="109">
        <f t="shared" si="8"/>
        <v>2899774.6540018986</v>
      </c>
      <c r="IX4" s="109">
        <f t="shared" si="8"/>
        <v>2899774.6540018986</v>
      </c>
      <c r="IY4" s="109">
        <f t="shared" si="8"/>
        <v>2899774.6540018986</v>
      </c>
      <c r="IZ4" s="109">
        <f t="shared" si="8"/>
        <v>2899774.6540018986</v>
      </c>
      <c r="JA4" s="109">
        <f t="shared" si="8"/>
        <v>2899774.6540018986</v>
      </c>
      <c r="JB4" s="109">
        <f t="shared" si="8"/>
        <v>2899774.6540018986</v>
      </c>
      <c r="JC4" s="109">
        <f t="shared" si="8"/>
        <v>2899774.6540018986</v>
      </c>
      <c r="JD4" s="109">
        <f t="shared" si="8"/>
        <v>2899774.6540018986</v>
      </c>
      <c r="JE4" s="109">
        <f t="shared" ref="JE4:KE4" si="9">JD4+JE3</f>
        <v>2899774.6540018986</v>
      </c>
      <c r="JF4" s="109">
        <f t="shared" si="9"/>
        <v>2899774.6540018986</v>
      </c>
      <c r="JG4" s="109">
        <f t="shared" si="9"/>
        <v>2899774.6540018986</v>
      </c>
      <c r="JH4" s="109">
        <f t="shared" si="9"/>
        <v>2899774.6540018986</v>
      </c>
      <c r="JI4" s="109">
        <f t="shared" si="9"/>
        <v>2899774.6540018986</v>
      </c>
      <c r="JJ4" s="109">
        <f t="shared" si="9"/>
        <v>2899774.6540018986</v>
      </c>
      <c r="JK4" s="109">
        <f t="shared" si="9"/>
        <v>2899774.6540018986</v>
      </c>
      <c r="JL4" s="109">
        <f t="shared" si="9"/>
        <v>2899774.6540018986</v>
      </c>
      <c r="JM4" s="109">
        <f t="shared" si="9"/>
        <v>2899774.6540018986</v>
      </c>
      <c r="JN4" s="109">
        <f t="shared" si="9"/>
        <v>2899774.6540018986</v>
      </c>
      <c r="JO4" s="109">
        <f t="shared" si="9"/>
        <v>2899774.6540018986</v>
      </c>
      <c r="JP4" s="109">
        <f t="shared" si="9"/>
        <v>2899774.6540018986</v>
      </c>
      <c r="JQ4" s="109">
        <f t="shared" si="9"/>
        <v>2899774.6540018986</v>
      </c>
      <c r="JR4" s="109">
        <f t="shared" si="9"/>
        <v>2899774.6540018986</v>
      </c>
      <c r="JS4" s="109">
        <f t="shared" si="9"/>
        <v>2899774.6540018986</v>
      </c>
      <c r="JT4" s="109">
        <f t="shared" si="9"/>
        <v>2899774.6540018986</v>
      </c>
      <c r="JU4" s="109">
        <f t="shared" si="9"/>
        <v>2899774.6540018986</v>
      </c>
      <c r="JV4" s="109">
        <f t="shared" si="9"/>
        <v>2899774.6540018986</v>
      </c>
      <c r="JW4" s="109">
        <f t="shared" si="9"/>
        <v>2899774.6540018986</v>
      </c>
      <c r="JX4" s="109">
        <f t="shared" si="9"/>
        <v>2899774.6540018986</v>
      </c>
      <c r="JY4" s="109">
        <f t="shared" si="9"/>
        <v>2899774.6540018986</v>
      </c>
      <c r="JZ4" s="109">
        <f t="shared" si="9"/>
        <v>2899774.6540018986</v>
      </c>
      <c r="KA4" s="109">
        <f t="shared" si="9"/>
        <v>2899774.6540018986</v>
      </c>
      <c r="KB4" s="109">
        <f t="shared" si="9"/>
        <v>2899774.6540018986</v>
      </c>
      <c r="KC4" s="109">
        <f t="shared" si="9"/>
        <v>2899774.6540018986</v>
      </c>
      <c r="KD4" s="109">
        <f t="shared" si="9"/>
        <v>2899774.6540018986</v>
      </c>
      <c r="KE4" s="109">
        <f t="shared" si="9"/>
        <v>2899774.6540018986</v>
      </c>
    </row>
    <row r="5" spans="1:769" s="114" customFormat="1">
      <c r="A5" s="719"/>
      <c r="B5" s="110" t="s">
        <v>207</v>
      </c>
      <c r="C5" s="111">
        <f>'Revenue Tracking'!D5</f>
        <v>2528912.5701168482</v>
      </c>
      <c r="D5" s="111">
        <f>SUM(F5:KE5)</f>
        <v>2577912.5701168478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85921.1</v>
      </c>
      <c r="AA5" s="112">
        <f>SUMIFS('Expenditure Breakdown'!$G$6:$G$166, 'Expenditure Breakdown'!$H$6:$H$166, "&gt;="&amp;AA1,'Expenditure Breakdown'!$H$6:$H$166, "&lt;"&amp;AB1)</f>
        <v>2135418.4753623186</v>
      </c>
      <c r="AB5" s="112">
        <f>SUMIFS('Expenditure Breakdown'!$G$6:$G$166, 'Expenditure Breakdown'!$H$6:$H$166, "&gt;="&amp;AB1,'Expenditure Breakdown'!$H$6:$H$166, "&lt;"&amp;AC1)</f>
        <v>29000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24564.989754528986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303008.00499999995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9"/>
      <c r="B6" s="110" t="s">
        <v>385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85921.1</v>
      </c>
      <c r="AA6" s="112">
        <f t="shared" si="10"/>
        <v>2221339.5753623187</v>
      </c>
      <c r="AB6" s="112">
        <f t="shared" si="10"/>
        <v>2250339.5753623187</v>
      </c>
      <c r="AC6" s="112">
        <f t="shared" si="10"/>
        <v>2250339.5753623187</v>
      </c>
      <c r="AD6" s="112">
        <f>AC6+AD5</f>
        <v>2274904.5651168479</v>
      </c>
      <c r="AE6" s="112">
        <f t="shared" si="10"/>
        <v>2274904.5651168479</v>
      </c>
      <c r="AF6" s="112">
        <f t="shared" si="10"/>
        <v>2577912.5701168478</v>
      </c>
      <c r="AG6" s="112">
        <f t="shared" si="10"/>
        <v>2577912.5701168478</v>
      </c>
      <c r="AH6" s="112">
        <f t="shared" si="10"/>
        <v>2577912.5701168478</v>
      </c>
      <c r="AI6" s="112">
        <f t="shared" si="10"/>
        <v>2577912.5701168478</v>
      </c>
      <c r="AJ6" s="112">
        <f t="shared" si="10"/>
        <v>2577912.5701168478</v>
      </c>
      <c r="AK6" s="112">
        <f t="shared" si="10"/>
        <v>2577912.5701168478</v>
      </c>
      <c r="AL6" s="112">
        <f t="shared" si="10"/>
        <v>2577912.5701168478</v>
      </c>
      <c r="AM6" s="112">
        <f t="shared" si="10"/>
        <v>2577912.5701168478</v>
      </c>
      <c r="AN6" s="112">
        <f t="shared" si="10"/>
        <v>2577912.5701168478</v>
      </c>
      <c r="AO6" s="112">
        <f t="shared" si="10"/>
        <v>2577912.5701168478</v>
      </c>
      <c r="AP6" s="112">
        <f t="shared" si="10"/>
        <v>2577912.5701168478</v>
      </c>
      <c r="AQ6" s="112">
        <f t="shared" si="10"/>
        <v>2577912.5701168478</v>
      </c>
      <c r="AR6" s="112">
        <f t="shared" si="10"/>
        <v>2577912.5701168478</v>
      </c>
      <c r="AS6" s="112">
        <f t="shared" si="10"/>
        <v>2577912.5701168478</v>
      </c>
      <c r="AT6" s="112">
        <f t="shared" si="10"/>
        <v>2577912.5701168478</v>
      </c>
      <c r="AU6" s="112">
        <f t="shared" si="10"/>
        <v>2577912.5701168478</v>
      </c>
      <c r="AV6" s="112">
        <f t="shared" si="10"/>
        <v>2577912.5701168478</v>
      </c>
      <c r="AW6" s="112">
        <f t="shared" si="10"/>
        <v>2577912.5701168478</v>
      </c>
      <c r="AX6" s="112">
        <f t="shared" si="10"/>
        <v>2577912.5701168478</v>
      </c>
      <c r="AY6" s="112">
        <f t="shared" si="10"/>
        <v>2577912.5701168478</v>
      </c>
      <c r="AZ6" s="112">
        <f t="shared" si="10"/>
        <v>2577912.5701168478</v>
      </c>
      <c r="BA6" s="112">
        <f t="shared" si="10"/>
        <v>2577912.5701168478</v>
      </c>
      <c r="BB6" s="112">
        <f t="shared" si="10"/>
        <v>2577912.5701168478</v>
      </c>
      <c r="BC6" s="112">
        <f t="shared" si="10"/>
        <v>2577912.5701168478</v>
      </c>
      <c r="BD6" s="112">
        <f t="shared" si="10"/>
        <v>2577912.5701168478</v>
      </c>
      <c r="BE6" s="112">
        <f t="shared" si="10"/>
        <v>2577912.5701168478</v>
      </c>
      <c r="BF6" s="112">
        <f t="shared" si="10"/>
        <v>2577912.5701168478</v>
      </c>
      <c r="BG6" s="112">
        <f t="shared" si="10"/>
        <v>2577912.5701168478</v>
      </c>
      <c r="BH6" s="112">
        <f t="shared" si="10"/>
        <v>2577912.5701168478</v>
      </c>
      <c r="BI6" s="112">
        <f t="shared" si="10"/>
        <v>2577912.5701168478</v>
      </c>
      <c r="BJ6" s="112">
        <f t="shared" si="10"/>
        <v>2577912.5701168478</v>
      </c>
      <c r="BK6" s="112">
        <f t="shared" si="10"/>
        <v>2577912.5701168478</v>
      </c>
      <c r="BL6" s="112">
        <f t="shared" si="10"/>
        <v>2577912.5701168478</v>
      </c>
      <c r="BM6" s="112">
        <f t="shared" si="10"/>
        <v>2577912.5701168478</v>
      </c>
      <c r="BN6" s="112">
        <f t="shared" si="10"/>
        <v>2577912.5701168478</v>
      </c>
      <c r="BO6" s="112">
        <f t="shared" si="10"/>
        <v>2577912.5701168478</v>
      </c>
      <c r="BP6" s="112">
        <f t="shared" si="10"/>
        <v>2577912.5701168478</v>
      </c>
      <c r="BQ6" s="112">
        <f t="shared" si="10"/>
        <v>2577912.5701168478</v>
      </c>
      <c r="BR6" s="112">
        <f t="shared" si="10"/>
        <v>2577912.5701168478</v>
      </c>
      <c r="BS6" s="112">
        <f t="shared" si="10"/>
        <v>2577912.5701168478</v>
      </c>
      <c r="BT6" s="112">
        <f t="shared" si="10"/>
        <v>2577912.5701168478</v>
      </c>
      <c r="BU6" s="112">
        <f t="shared" ref="BU6:EF6" si="11">BT6+BU5</f>
        <v>2577912.5701168478</v>
      </c>
      <c r="BV6" s="112">
        <f t="shared" si="11"/>
        <v>2577912.5701168478</v>
      </c>
      <c r="BW6" s="112">
        <f t="shared" si="11"/>
        <v>2577912.5701168478</v>
      </c>
      <c r="BX6" s="112">
        <f t="shared" si="11"/>
        <v>2577912.5701168478</v>
      </c>
      <c r="BY6" s="112">
        <f t="shared" si="11"/>
        <v>2577912.5701168478</v>
      </c>
      <c r="BZ6" s="112">
        <f t="shared" si="11"/>
        <v>2577912.5701168478</v>
      </c>
      <c r="CA6" s="112">
        <f t="shared" si="11"/>
        <v>2577912.5701168478</v>
      </c>
      <c r="CB6" s="112">
        <f t="shared" si="11"/>
        <v>2577912.5701168478</v>
      </c>
      <c r="CC6" s="112">
        <f t="shared" si="11"/>
        <v>2577912.5701168478</v>
      </c>
      <c r="CD6" s="112">
        <f t="shared" si="11"/>
        <v>2577912.5701168478</v>
      </c>
      <c r="CE6" s="112">
        <f t="shared" si="11"/>
        <v>2577912.5701168478</v>
      </c>
      <c r="CF6" s="112">
        <f t="shared" si="11"/>
        <v>2577912.5701168478</v>
      </c>
      <c r="CG6" s="112">
        <f t="shared" si="11"/>
        <v>2577912.5701168478</v>
      </c>
      <c r="CH6" s="112">
        <f t="shared" si="11"/>
        <v>2577912.5701168478</v>
      </c>
      <c r="CI6" s="112">
        <f t="shared" si="11"/>
        <v>2577912.5701168478</v>
      </c>
      <c r="CJ6" s="112">
        <f t="shared" si="11"/>
        <v>2577912.5701168478</v>
      </c>
      <c r="CK6" s="112">
        <f t="shared" si="11"/>
        <v>2577912.5701168478</v>
      </c>
      <c r="CL6" s="112">
        <f t="shared" si="11"/>
        <v>2577912.5701168478</v>
      </c>
      <c r="CM6" s="112">
        <f t="shared" si="11"/>
        <v>2577912.5701168478</v>
      </c>
      <c r="CN6" s="112">
        <f t="shared" si="11"/>
        <v>2577912.5701168478</v>
      </c>
      <c r="CO6" s="112">
        <f t="shared" si="11"/>
        <v>2577912.5701168478</v>
      </c>
      <c r="CP6" s="112">
        <f t="shared" si="11"/>
        <v>2577912.5701168478</v>
      </c>
      <c r="CQ6" s="112">
        <f t="shared" si="11"/>
        <v>2577912.5701168478</v>
      </c>
      <c r="CR6" s="112">
        <f t="shared" si="11"/>
        <v>2577912.5701168478</v>
      </c>
      <c r="CS6" s="112">
        <f t="shared" si="11"/>
        <v>2577912.5701168478</v>
      </c>
      <c r="CT6" s="112">
        <f t="shared" si="11"/>
        <v>2577912.5701168478</v>
      </c>
      <c r="CU6" s="112">
        <f t="shared" si="11"/>
        <v>2577912.5701168478</v>
      </c>
      <c r="CV6" s="112">
        <f t="shared" si="11"/>
        <v>2577912.5701168478</v>
      </c>
      <c r="CW6" s="112">
        <f t="shared" si="11"/>
        <v>2577912.5701168478</v>
      </c>
      <c r="CX6" s="112">
        <f t="shared" si="11"/>
        <v>2577912.5701168478</v>
      </c>
      <c r="CY6" s="112">
        <f t="shared" si="11"/>
        <v>2577912.5701168478</v>
      </c>
      <c r="CZ6" s="112">
        <f t="shared" si="11"/>
        <v>2577912.5701168478</v>
      </c>
      <c r="DA6" s="112">
        <f t="shared" si="11"/>
        <v>2577912.5701168478</v>
      </c>
      <c r="DB6" s="112">
        <f t="shared" si="11"/>
        <v>2577912.5701168478</v>
      </c>
      <c r="DC6" s="112">
        <f t="shared" si="11"/>
        <v>2577912.5701168478</v>
      </c>
      <c r="DD6" s="112">
        <f t="shared" si="11"/>
        <v>2577912.5701168478</v>
      </c>
      <c r="DE6" s="112">
        <f t="shared" si="11"/>
        <v>2577912.5701168478</v>
      </c>
      <c r="DF6" s="112">
        <f t="shared" si="11"/>
        <v>2577912.5701168478</v>
      </c>
      <c r="DG6" s="112">
        <f t="shared" si="11"/>
        <v>2577912.5701168478</v>
      </c>
      <c r="DH6" s="112">
        <f t="shared" si="11"/>
        <v>2577912.5701168478</v>
      </c>
      <c r="DI6" s="112">
        <f t="shared" si="11"/>
        <v>2577912.5701168478</v>
      </c>
      <c r="DJ6" s="112">
        <f t="shared" si="11"/>
        <v>2577912.5701168478</v>
      </c>
      <c r="DK6" s="112">
        <f t="shared" si="11"/>
        <v>2577912.5701168478</v>
      </c>
      <c r="DL6" s="112">
        <f t="shared" si="11"/>
        <v>2577912.5701168478</v>
      </c>
      <c r="DM6" s="112">
        <f t="shared" si="11"/>
        <v>2577912.5701168478</v>
      </c>
      <c r="DN6" s="112">
        <f t="shared" si="11"/>
        <v>2577912.5701168478</v>
      </c>
      <c r="DO6" s="112">
        <f t="shared" si="11"/>
        <v>2577912.5701168478</v>
      </c>
      <c r="DP6" s="112">
        <f t="shared" si="11"/>
        <v>2577912.5701168478</v>
      </c>
      <c r="DQ6" s="112">
        <f t="shared" si="11"/>
        <v>2577912.5701168478</v>
      </c>
      <c r="DR6" s="112">
        <f t="shared" si="11"/>
        <v>2577912.5701168478</v>
      </c>
      <c r="DS6" s="112">
        <f t="shared" si="11"/>
        <v>2577912.5701168478</v>
      </c>
      <c r="DT6" s="112">
        <f t="shared" si="11"/>
        <v>2577912.5701168478</v>
      </c>
      <c r="DU6" s="112">
        <f t="shared" si="11"/>
        <v>2577912.5701168478</v>
      </c>
      <c r="DV6" s="112">
        <f t="shared" si="11"/>
        <v>2577912.5701168478</v>
      </c>
      <c r="DW6" s="112">
        <f t="shared" si="11"/>
        <v>2577912.5701168478</v>
      </c>
      <c r="DX6" s="112">
        <f t="shared" si="11"/>
        <v>2577912.5701168478</v>
      </c>
      <c r="DY6" s="112">
        <f t="shared" si="11"/>
        <v>2577912.5701168478</v>
      </c>
      <c r="DZ6" s="112">
        <f t="shared" si="11"/>
        <v>2577912.5701168478</v>
      </c>
      <c r="EA6" s="112">
        <f t="shared" si="11"/>
        <v>2577912.5701168478</v>
      </c>
      <c r="EB6" s="112">
        <f t="shared" si="11"/>
        <v>2577912.5701168478</v>
      </c>
      <c r="EC6" s="112">
        <f t="shared" si="11"/>
        <v>2577912.5701168478</v>
      </c>
      <c r="ED6" s="112">
        <f t="shared" si="11"/>
        <v>2577912.5701168478</v>
      </c>
      <c r="EE6" s="112">
        <f t="shared" si="11"/>
        <v>2577912.5701168478</v>
      </c>
      <c r="EF6" s="112">
        <f t="shared" si="11"/>
        <v>2577912.5701168478</v>
      </c>
      <c r="EG6" s="112">
        <f t="shared" ref="EG6:GR6" si="12">EF6+EG5</f>
        <v>2577912.5701168478</v>
      </c>
      <c r="EH6" s="112">
        <f t="shared" si="12"/>
        <v>2577912.5701168478</v>
      </c>
      <c r="EI6" s="112">
        <f t="shared" si="12"/>
        <v>2577912.5701168478</v>
      </c>
      <c r="EJ6" s="112">
        <f t="shared" si="12"/>
        <v>2577912.5701168478</v>
      </c>
      <c r="EK6" s="112">
        <f t="shared" si="12"/>
        <v>2577912.5701168478</v>
      </c>
      <c r="EL6" s="112">
        <f t="shared" si="12"/>
        <v>2577912.5701168478</v>
      </c>
      <c r="EM6" s="112">
        <f t="shared" si="12"/>
        <v>2577912.5701168478</v>
      </c>
      <c r="EN6" s="112">
        <f t="shared" si="12"/>
        <v>2577912.5701168478</v>
      </c>
      <c r="EO6" s="112">
        <f t="shared" si="12"/>
        <v>2577912.5701168478</v>
      </c>
      <c r="EP6" s="112">
        <f t="shared" si="12"/>
        <v>2577912.5701168478</v>
      </c>
      <c r="EQ6" s="112">
        <f t="shared" si="12"/>
        <v>2577912.5701168478</v>
      </c>
      <c r="ER6" s="112">
        <f t="shared" si="12"/>
        <v>2577912.5701168478</v>
      </c>
      <c r="ES6" s="112">
        <f t="shared" si="12"/>
        <v>2577912.5701168478</v>
      </c>
      <c r="ET6" s="112">
        <f t="shared" si="12"/>
        <v>2577912.5701168478</v>
      </c>
      <c r="EU6" s="112">
        <f t="shared" si="12"/>
        <v>2577912.5701168478</v>
      </c>
      <c r="EV6" s="112">
        <f t="shared" si="12"/>
        <v>2577912.5701168478</v>
      </c>
      <c r="EW6" s="112">
        <f t="shared" si="12"/>
        <v>2577912.5701168478</v>
      </c>
      <c r="EX6" s="112">
        <f t="shared" si="12"/>
        <v>2577912.5701168478</v>
      </c>
      <c r="EY6" s="112">
        <f t="shared" si="12"/>
        <v>2577912.5701168478</v>
      </c>
      <c r="EZ6" s="112">
        <f t="shared" si="12"/>
        <v>2577912.5701168478</v>
      </c>
      <c r="FA6" s="112">
        <f t="shared" si="12"/>
        <v>2577912.5701168478</v>
      </c>
      <c r="FB6" s="112">
        <f t="shared" si="12"/>
        <v>2577912.5701168478</v>
      </c>
      <c r="FC6" s="112">
        <f t="shared" si="12"/>
        <v>2577912.5701168478</v>
      </c>
      <c r="FD6" s="112">
        <f t="shared" si="12"/>
        <v>2577912.5701168478</v>
      </c>
      <c r="FE6" s="112">
        <f t="shared" si="12"/>
        <v>2577912.5701168478</v>
      </c>
      <c r="FF6" s="112">
        <f t="shared" si="12"/>
        <v>2577912.5701168478</v>
      </c>
      <c r="FG6" s="112">
        <f t="shared" si="12"/>
        <v>2577912.5701168478</v>
      </c>
      <c r="FH6" s="112">
        <f t="shared" si="12"/>
        <v>2577912.5701168478</v>
      </c>
      <c r="FI6" s="112">
        <f t="shared" si="12"/>
        <v>2577912.5701168478</v>
      </c>
      <c r="FJ6" s="112">
        <f t="shared" si="12"/>
        <v>2577912.5701168478</v>
      </c>
      <c r="FK6" s="112">
        <f t="shared" si="12"/>
        <v>2577912.5701168478</v>
      </c>
      <c r="FL6" s="112">
        <f t="shared" si="12"/>
        <v>2577912.5701168478</v>
      </c>
      <c r="FM6" s="112">
        <f t="shared" si="12"/>
        <v>2577912.5701168478</v>
      </c>
      <c r="FN6" s="112">
        <f t="shared" si="12"/>
        <v>2577912.5701168478</v>
      </c>
      <c r="FO6" s="112">
        <f t="shared" si="12"/>
        <v>2577912.5701168478</v>
      </c>
      <c r="FP6" s="112">
        <f t="shared" si="12"/>
        <v>2577912.5701168478</v>
      </c>
      <c r="FQ6" s="112">
        <f t="shared" si="12"/>
        <v>2577912.5701168478</v>
      </c>
      <c r="FR6" s="112">
        <f t="shared" si="12"/>
        <v>2577912.5701168478</v>
      </c>
      <c r="FS6" s="112">
        <f t="shared" si="12"/>
        <v>2577912.5701168478</v>
      </c>
      <c r="FT6" s="112">
        <f t="shared" si="12"/>
        <v>2577912.5701168478</v>
      </c>
      <c r="FU6" s="112">
        <f t="shared" si="12"/>
        <v>2577912.5701168478</v>
      </c>
      <c r="FV6" s="112">
        <f t="shared" si="12"/>
        <v>2577912.5701168478</v>
      </c>
      <c r="FW6" s="112">
        <f t="shared" si="12"/>
        <v>2577912.5701168478</v>
      </c>
      <c r="FX6" s="112">
        <f t="shared" si="12"/>
        <v>2577912.5701168478</v>
      </c>
      <c r="FY6" s="112">
        <f t="shared" si="12"/>
        <v>2577912.5701168478</v>
      </c>
      <c r="FZ6" s="112">
        <f t="shared" si="12"/>
        <v>2577912.5701168478</v>
      </c>
      <c r="GA6" s="112">
        <f t="shared" si="12"/>
        <v>2577912.5701168478</v>
      </c>
      <c r="GB6" s="112">
        <f t="shared" si="12"/>
        <v>2577912.5701168478</v>
      </c>
      <c r="GC6" s="112">
        <f t="shared" si="12"/>
        <v>2577912.5701168478</v>
      </c>
      <c r="GD6" s="112">
        <f t="shared" si="12"/>
        <v>2577912.5701168478</v>
      </c>
      <c r="GE6" s="112">
        <f t="shared" si="12"/>
        <v>2577912.5701168478</v>
      </c>
      <c r="GF6" s="112">
        <f t="shared" si="12"/>
        <v>2577912.5701168478</v>
      </c>
      <c r="GG6" s="112">
        <f t="shared" si="12"/>
        <v>2577912.5701168478</v>
      </c>
      <c r="GH6" s="112">
        <f t="shared" si="12"/>
        <v>2577912.5701168478</v>
      </c>
      <c r="GI6" s="112">
        <f t="shared" si="12"/>
        <v>2577912.5701168478</v>
      </c>
      <c r="GJ6" s="112">
        <f t="shared" si="12"/>
        <v>2577912.5701168478</v>
      </c>
      <c r="GK6" s="112">
        <f t="shared" si="12"/>
        <v>2577912.5701168478</v>
      </c>
      <c r="GL6" s="112">
        <f t="shared" si="12"/>
        <v>2577912.5701168478</v>
      </c>
      <c r="GM6" s="112">
        <f t="shared" si="12"/>
        <v>2577912.5701168478</v>
      </c>
      <c r="GN6" s="112">
        <f t="shared" si="12"/>
        <v>2577912.5701168478</v>
      </c>
      <c r="GO6" s="112">
        <f t="shared" si="12"/>
        <v>2577912.5701168478</v>
      </c>
      <c r="GP6" s="112">
        <f t="shared" si="12"/>
        <v>2577912.5701168478</v>
      </c>
      <c r="GQ6" s="112">
        <f t="shared" si="12"/>
        <v>2577912.5701168478</v>
      </c>
      <c r="GR6" s="112">
        <f t="shared" si="12"/>
        <v>2577912.5701168478</v>
      </c>
      <c r="GS6" s="112">
        <f t="shared" ref="GS6:JD6" si="13">GR6+GS5</f>
        <v>2577912.5701168478</v>
      </c>
      <c r="GT6" s="112">
        <f t="shared" si="13"/>
        <v>2577912.5701168478</v>
      </c>
      <c r="GU6" s="112">
        <f t="shared" si="13"/>
        <v>2577912.5701168478</v>
      </c>
      <c r="GV6" s="112">
        <f t="shared" si="13"/>
        <v>2577912.5701168478</v>
      </c>
      <c r="GW6" s="112">
        <f t="shared" si="13"/>
        <v>2577912.5701168478</v>
      </c>
      <c r="GX6" s="112">
        <f t="shared" si="13"/>
        <v>2577912.5701168478</v>
      </c>
      <c r="GY6" s="112">
        <f t="shared" si="13"/>
        <v>2577912.5701168478</v>
      </c>
      <c r="GZ6" s="112">
        <f t="shared" si="13"/>
        <v>2577912.5701168478</v>
      </c>
      <c r="HA6" s="112">
        <f t="shared" si="13"/>
        <v>2577912.5701168478</v>
      </c>
      <c r="HB6" s="112">
        <f t="shared" si="13"/>
        <v>2577912.5701168478</v>
      </c>
      <c r="HC6" s="112">
        <f t="shared" si="13"/>
        <v>2577912.5701168478</v>
      </c>
      <c r="HD6" s="112">
        <f t="shared" si="13"/>
        <v>2577912.5701168478</v>
      </c>
      <c r="HE6" s="112">
        <f t="shared" si="13"/>
        <v>2577912.5701168478</v>
      </c>
      <c r="HF6" s="112">
        <f t="shared" si="13"/>
        <v>2577912.5701168478</v>
      </c>
      <c r="HG6" s="112">
        <f t="shared" si="13"/>
        <v>2577912.5701168478</v>
      </c>
      <c r="HH6" s="112">
        <f t="shared" si="13"/>
        <v>2577912.5701168478</v>
      </c>
      <c r="HI6" s="112">
        <f t="shared" si="13"/>
        <v>2577912.5701168478</v>
      </c>
      <c r="HJ6" s="112">
        <f t="shared" si="13"/>
        <v>2577912.5701168478</v>
      </c>
      <c r="HK6" s="112">
        <f t="shared" si="13"/>
        <v>2577912.5701168478</v>
      </c>
      <c r="HL6" s="112">
        <f t="shared" si="13"/>
        <v>2577912.5701168478</v>
      </c>
      <c r="HM6" s="112">
        <f t="shared" si="13"/>
        <v>2577912.5701168478</v>
      </c>
      <c r="HN6" s="112">
        <f t="shared" si="13"/>
        <v>2577912.5701168478</v>
      </c>
      <c r="HO6" s="112">
        <f t="shared" si="13"/>
        <v>2577912.5701168478</v>
      </c>
      <c r="HP6" s="112">
        <f t="shared" si="13"/>
        <v>2577912.5701168478</v>
      </c>
      <c r="HQ6" s="112">
        <f t="shared" si="13"/>
        <v>2577912.5701168478</v>
      </c>
      <c r="HR6" s="112">
        <f t="shared" si="13"/>
        <v>2577912.5701168478</v>
      </c>
      <c r="HS6" s="112">
        <f t="shared" si="13"/>
        <v>2577912.5701168478</v>
      </c>
      <c r="HT6" s="112">
        <f t="shared" si="13"/>
        <v>2577912.5701168478</v>
      </c>
      <c r="HU6" s="112">
        <f t="shared" si="13"/>
        <v>2577912.5701168478</v>
      </c>
      <c r="HV6" s="112">
        <f t="shared" si="13"/>
        <v>2577912.5701168478</v>
      </c>
      <c r="HW6" s="112">
        <f t="shared" si="13"/>
        <v>2577912.5701168478</v>
      </c>
      <c r="HX6" s="112">
        <f t="shared" si="13"/>
        <v>2577912.5701168478</v>
      </c>
      <c r="HY6" s="112">
        <f t="shared" si="13"/>
        <v>2577912.5701168478</v>
      </c>
      <c r="HZ6" s="112">
        <f t="shared" si="13"/>
        <v>2577912.5701168478</v>
      </c>
      <c r="IA6" s="112">
        <f t="shared" si="13"/>
        <v>2577912.5701168478</v>
      </c>
      <c r="IB6" s="112">
        <f t="shared" si="13"/>
        <v>2577912.5701168478</v>
      </c>
      <c r="IC6" s="112">
        <f t="shared" si="13"/>
        <v>2577912.5701168478</v>
      </c>
      <c r="ID6" s="112">
        <f t="shared" si="13"/>
        <v>2577912.5701168478</v>
      </c>
      <c r="IE6" s="112">
        <f t="shared" si="13"/>
        <v>2577912.5701168478</v>
      </c>
      <c r="IF6" s="112">
        <f t="shared" si="13"/>
        <v>2577912.5701168478</v>
      </c>
      <c r="IG6" s="112">
        <f t="shared" si="13"/>
        <v>2577912.5701168478</v>
      </c>
      <c r="IH6" s="112">
        <f t="shared" si="13"/>
        <v>2577912.5701168478</v>
      </c>
      <c r="II6" s="112">
        <f t="shared" si="13"/>
        <v>2577912.5701168478</v>
      </c>
      <c r="IJ6" s="112">
        <f t="shared" si="13"/>
        <v>2577912.5701168478</v>
      </c>
      <c r="IK6" s="112">
        <f t="shared" si="13"/>
        <v>2577912.5701168478</v>
      </c>
      <c r="IL6" s="112">
        <f t="shared" si="13"/>
        <v>2577912.5701168478</v>
      </c>
      <c r="IM6" s="112">
        <f t="shared" si="13"/>
        <v>2577912.5701168478</v>
      </c>
      <c r="IN6" s="112">
        <f t="shared" si="13"/>
        <v>2577912.5701168478</v>
      </c>
      <c r="IO6" s="112">
        <f t="shared" si="13"/>
        <v>2577912.5701168478</v>
      </c>
      <c r="IP6" s="112">
        <f t="shared" si="13"/>
        <v>2577912.5701168478</v>
      </c>
      <c r="IQ6" s="112">
        <f t="shared" si="13"/>
        <v>2577912.5701168478</v>
      </c>
      <c r="IR6" s="112">
        <f t="shared" si="13"/>
        <v>2577912.5701168478</v>
      </c>
      <c r="IS6" s="112">
        <f t="shared" si="13"/>
        <v>2577912.5701168478</v>
      </c>
      <c r="IT6" s="112">
        <f t="shared" si="13"/>
        <v>2577912.5701168478</v>
      </c>
      <c r="IU6" s="112">
        <f t="shared" si="13"/>
        <v>2577912.5701168478</v>
      </c>
      <c r="IV6" s="112">
        <f t="shared" si="13"/>
        <v>2577912.5701168478</v>
      </c>
      <c r="IW6" s="112">
        <f t="shared" si="13"/>
        <v>2577912.5701168478</v>
      </c>
      <c r="IX6" s="112">
        <f t="shared" si="13"/>
        <v>2577912.5701168478</v>
      </c>
      <c r="IY6" s="112">
        <f t="shared" si="13"/>
        <v>2577912.5701168478</v>
      </c>
      <c r="IZ6" s="112">
        <f t="shared" si="13"/>
        <v>2577912.5701168478</v>
      </c>
      <c r="JA6" s="112">
        <f t="shared" si="13"/>
        <v>2577912.5701168478</v>
      </c>
      <c r="JB6" s="112">
        <f t="shared" si="13"/>
        <v>2577912.5701168478</v>
      </c>
      <c r="JC6" s="112">
        <f t="shared" si="13"/>
        <v>2577912.5701168478</v>
      </c>
      <c r="JD6" s="112">
        <f t="shared" si="13"/>
        <v>2577912.5701168478</v>
      </c>
      <c r="JE6" s="112">
        <f t="shared" ref="JE6:KE6" si="14">JD6+JE5</f>
        <v>2577912.5701168478</v>
      </c>
      <c r="JF6" s="112">
        <f t="shared" si="14"/>
        <v>2577912.5701168478</v>
      </c>
      <c r="JG6" s="112">
        <f t="shared" si="14"/>
        <v>2577912.5701168478</v>
      </c>
      <c r="JH6" s="112">
        <f t="shared" si="14"/>
        <v>2577912.5701168478</v>
      </c>
      <c r="JI6" s="112">
        <f t="shared" si="14"/>
        <v>2577912.5701168478</v>
      </c>
      <c r="JJ6" s="112">
        <f t="shared" si="14"/>
        <v>2577912.5701168478</v>
      </c>
      <c r="JK6" s="112">
        <f t="shared" si="14"/>
        <v>2577912.5701168478</v>
      </c>
      <c r="JL6" s="112">
        <f t="shared" si="14"/>
        <v>2577912.5701168478</v>
      </c>
      <c r="JM6" s="112">
        <f t="shared" si="14"/>
        <v>2577912.5701168478</v>
      </c>
      <c r="JN6" s="112">
        <f t="shared" si="14"/>
        <v>2577912.5701168478</v>
      </c>
      <c r="JO6" s="112">
        <f t="shared" si="14"/>
        <v>2577912.5701168478</v>
      </c>
      <c r="JP6" s="112">
        <f t="shared" si="14"/>
        <v>2577912.5701168478</v>
      </c>
      <c r="JQ6" s="112">
        <f t="shared" si="14"/>
        <v>2577912.5701168478</v>
      </c>
      <c r="JR6" s="112">
        <f t="shared" si="14"/>
        <v>2577912.5701168478</v>
      </c>
      <c r="JS6" s="112">
        <f t="shared" si="14"/>
        <v>2577912.5701168478</v>
      </c>
      <c r="JT6" s="112">
        <f t="shared" si="14"/>
        <v>2577912.5701168478</v>
      </c>
      <c r="JU6" s="112">
        <f t="shared" si="14"/>
        <v>2577912.5701168478</v>
      </c>
      <c r="JV6" s="112">
        <f t="shared" si="14"/>
        <v>2577912.5701168478</v>
      </c>
      <c r="JW6" s="112">
        <f t="shared" si="14"/>
        <v>2577912.5701168478</v>
      </c>
      <c r="JX6" s="112">
        <f t="shared" si="14"/>
        <v>2577912.5701168478</v>
      </c>
      <c r="JY6" s="112">
        <f t="shared" si="14"/>
        <v>2577912.5701168478</v>
      </c>
      <c r="JZ6" s="112">
        <f t="shared" si="14"/>
        <v>2577912.5701168478</v>
      </c>
      <c r="KA6" s="112">
        <f t="shared" si="14"/>
        <v>2577912.5701168478</v>
      </c>
      <c r="KB6" s="112">
        <f t="shared" si="14"/>
        <v>2577912.5701168478</v>
      </c>
      <c r="KC6" s="112">
        <f t="shared" si="14"/>
        <v>2577912.5701168478</v>
      </c>
      <c r="KD6" s="112">
        <f t="shared" si="14"/>
        <v>2577912.5701168478</v>
      </c>
      <c r="KE6" s="112">
        <f t="shared" si="14"/>
        <v>2577912.5701168478</v>
      </c>
      <c r="KF6" s="102"/>
      <c r="KG6" s="113"/>
    </row>
    <row r="7" spans="1:769">
      <c r="A7" s="719"/>
      <c r="B7" s="115" t="s">
        <v>386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0</v>
      </c>
      <c r="R7" s="118">
        <f t="shared" si="16"/>
        <v>0</v>
      </c>
      <c r="S7" s="118">
        <f t="shared" si="16"/>
        <v>0</v>
      </c>
      <c r="T7" s="118">
        <f t="shared" si="16"/>
        <v>0</v>
      </c>
      <c r="U7" s="118">
        <f t="shared" si="16"/>
        <v>0</v>
      </c>
      <c r="V7" s="118">
        <f t="shared" si="16"/>
        <v>0</v>
      </c>
      <c r="W7" s="118">
        <f t="shared" si="16"/>
        <v>1449887.3270009493</v>
      </c>
      <c r="X7" s="118">
        <f t="shared" si="16"/>
        <v>2174830.9905014238</v>
      </c>
      <c r="Y7" s="118">
        <f t="shared" si="16"/>
        <v>2464808.4559016135</v>
      </c>
      <c r="Z7" s="118">
        <f t="shared" si="16"/>
        <v>2378887.3559016134</v>
      </c>
      <c r="AA7" s="118">
        <f t="shared" si="16"/>
        <v>243468.8805392948</v>
      </c>
      <c r="AB7" s="118">
        <f t="shared" si="16"/>
        <v>214468.8805392948</v>
      </c>
      <c r="AC7" s="118">
        <f t="shared" si="16"/>
        <v>504446.34593948489</v>
      </c>
      <c r="AD7" s="118">
        <f t="shared" si="16"/>
        <v>479881.35618495569</v>
      </c>
      <c r="AE7" s="118">
        <f t="shared" si="16"/>
        <v>479881.35618495569</v>
      </c>
      <c r="AF7" s="118">
        <f t="shared" si="16"/>
        <v>176873.3511849558</v>
      </c>
      <c r="AG7" s="118">
        <f t="shared" si="16"/>
        <v>176873.3511849558</v>
      </c>
      <c r="AH7" s="118">
        <f t="shared" si="16"/>
        <v>176873.3511849558</v>
      </c>
      <c r="AI7" s="118">
        <f t="shared" si="16"/>
        <v>176873.3511849558</v>
      </c>
      <c r="AJ7" s="118">
        <f t="shared" si="16"/>
        <v>176873.3511849558</v>
      </c>
      <c r="AK7" s="118">
        <f t="shared" si="16"/>
        <v>176873.3511849558</v>
      </c>
      <c r="AL7" s="118">
        <f t="shared" si="16"/>
        <v>176873.3511849558</v>
      </c>
      <c r="AM7" s="118">
        <f t="shared" si="16"/>
        <v>176873.3511849558</v>
      </c>
      <c r="AN7" s="118">
        <f t="shared" si="16"/>
        <v>176873.3511849558</v>
      </c>
      <c r="AO7" s="118">
        <f t="shared" si="16"/>
        <v>176873.3511849558</v>
      </c>
      <c r="AP7" s="118">
        <f t="shared" si="16"/>
        <v>176873.3511849558</v>
      </c>
      <c r="AQ7" s="118">
        <f t="shared" si="16"/>
        <v>176873.3511849558</v>
      </c>
      <c r="AR7" s="118">
        <f t="shared" si="16"/>
        <v>176873.3511849558</v>
      </c>
      <c r="AS7" s="118">
        <f t="shared" si="16"/>
        <v>176873.3511849558</v>
      </c>
      <c r="AT7" s="118">
        <f t="shared" si="16"/>
        <v>176873.3511849558</v>
      </c>
      <c r="AU7" s="118">
        <f t="shared" si="16"/>
        <v>176873.3511849558</v>
      </c>
      <c r="AV7" s="118">
        <f t="shared" si="16"/>
        <v>176873.3511849558</v>
      </c>
      <c r="AW7" s="118">
        <f t="shared" si="16"/>
        <v>176873.3511849558</v>
      </c>
      <c r="AX7" s="118">
        <f t="shared" si="16"/>
        <v>176873.3511849558</v>
      </c>
      <c r="AY7" s="118">
        <f t="shared" si="16"/>
        <v>176873.3511849558</v>
      </c>
      <c r="AZ7" s="118">
        <f t="shared" si="16"/>
        <v>176873.3511849558</v>
      </c>
      <c r="BA7" s="118">
        <f t="shared" si="16"/>
        <v>176873.3511849558</v>
      </c>
      <c r="BB7" s="118">
        <f t="shared" si="16"/>
        <v>176873.3511849558</v>
      </c>
      <c r="BC7" s="118">
        <f t="shared" si="16"/>
        <v>176873.3511849558</v>
      </c>
      <c r="BD7" s="118">
        <f t="shared" si="16"/>
        <v>176873.3511849558</v>
      </c>
      <c r="BE7" s="118">
        <f t="shared" si="16"/>
        <v>176873.3511849558</v>
      </c>
      <c r="BF7" s="118">
        <f t="shared" si="16"/>
        <v>176873.3511849558</v>
      </c>
      <c r="BG7" s="118">
        <f t="shared" si="16"/>
        <v>176873.3511849558</v>
      </c>
      <c r="BH7" s="118">
        <f t="shared" si="16"/>
        <v>176873.3511849558</v>
      </c>
      <c r="BI7" s="118">
        <f t="shared" si="16"/>
        <v>176873.3511849558</v>
      </c>
      <c r="BJ7" s="118">
        <f t="shared" si="16"/>
        <v>176873.3511849558</v>
      </c>
      <c r="BK7" s="118">
        <f t="shared" si="16"/>
        <v>176873.3511849558</v>
      </c>
      <c r="BL7" s="118">
        <f t="shared" si="16"/>
        <v>176873.3511849558</v>
      </c>
      <c r="BM7" s="118">
        <f t="shared" si="16"/>
        <v>176873.3511849558</v>
      </c>
      <c r="BN7" s="118">
        <f t="shared" si="16"/>
        <v>176873.3511849558</v>
      </c>
      <c r="BO7" s="118">
        <f t="shared" si="16"/>
        <v>176873.3511849558</v>
      </c>
      <c r="BP7" s="118">
        <f t="shared" si="16"/>
        <v>176873.3511849558</v>
      </c>
      <c r="BQ7" s="118">
        <f t="shared" si="16"/>
        <v>176873.3511849558</v>
      </c>
      <c r="BR7" s="118">
        <f t="shared" si="16"/>
        <v>176873.3511849558</v>
      </c>
      <c r="BS7" s="118">
        <f t="shared" si="16"/>
        <v>176873.3511849558</v>
      </c>
      <c r="BT7" s="118">
        <f t="shared" si="16"/>
        <v>176873.3511849558</v>
      </c>
      <c r="BU7" s="118">
        <f t="shared" ref="BU7:EF7" si="17">BU4-BU6</f>
        <v>176873.3511849558</v>
      </c>
      <c r="BV7" s="118">
        <f t="shared" si="17"/>
        <v>176873.3511849558</v>
      </c>
      <c r="BW7" s="118">
        <f t="shared" si="17"/>
        <v>176873.3511849558</v>
      </c>
      <c r="BX7" s="118">
        <f t="shared" si="17"/>
        <v>176873.3511849558</v>
      </c>
      <c r="BY7" s="118">
        <f t="shared" si="17"/>
        <v>176873.3511849558</v>
      </c>
      <c r="BZ7" s="118">
        <f t="shared" si="17"/>
        <v>176873.3511849558</v>
      </c>
      <c r="CA7" s="118">
        <f t="shared" si="17"/>
        <v>176873.3511849558</v>
      </c>
      <c r="CB7" s="118">
        <f t="shared" si="17"/>
        <v>176873.3511849558</v>
      </c>
      <c r="CC7" s="118">
        <f t="shared" si="17"/>
        <v>321862.08388505084</v>
      </c>
      <c r="CD7" s="118">
        <f t="shared" si="17"/>
        <v>321862.08388505084</v>
      </c>
      <c r="CE7" s="118">
        <f t="shared" si="17"/>
        <v>321862.08388505084</v>
      </c>
      <c r="CF7" s="118">
        <f t="shared" si="17"/>
        <v>321862.08388505084</v>
      </c>
      <c r="CG7" s="118">
        <f t="shared" si="17"/>
        <v>321862.08388505084</v>
      </c>
      <c r="CH7" s="118">
        <f t="shared" si="17"/>
        <v>321862.08388505084</v>
      </c>
      <c r="CI7" s="118">
        <f t="shared" si="17"/>
        <v>321862.08388505084</v>
      </c>
      <c r="CJ7" s="118">
        <f t="shared" si="17"/>
        <v>321862.08388505084</v>
      </c>
      <c r="CK7" s="118">
        <f t="shared" si="17"/>
        <v>321862.08388505084</v>
      </c>
      <c r="CL7" s="118">
        <f t="shared" si="17"/>
        <v>321862.08388505084</v>
      </c>
      <c r="CM7" s="118">
        <f t="shared" si="17"/>
        <v>321862.08388505084</v>
      </c>
      <c r="CN7" s="118">
        <f t="shared" si="17"/>
        <v>321862.08388505084</v>
      </c>
      <c r="CO7" s="118">
        <f t="shared" si="17"/>
        <v>321862.08388505084</v>
      </c>
      <c r="CP7" s="118">
        <f t="shared" si="17"/>
        <v>321862.08388505084</v>
      </c>
      <c r="CQ7" s="118">
        <f t="shared" si="17"/>
        <v>321862.08388505084</v>
      </c>
      <c r="CR7" s="118">
        <f t="shared" si="17"/>
        <v>321862.08388505084</v>
      </c>
      <c r="CS7" s="118">
        <f t="shared" si="17"/>
        <v>321862.08388505084</v>
      </c>
      <c r="CT7" s="118">
        <f t="shared" si="17"/>
        <v>321862.08388505084</v>
      </c>
      <c r="CU7" s="118">
        <f t="shared" si="17"/>
        <v>321862.08388505084</v>
      </c>
      <c r="CV7" s="118">
        <f t="shared" si="17"/>
        <v>321862.08388505084</v>
      </c>
      <c r="CW7" s="118">
        <f t="shared" si="17"/>
        <v>321862.08388505084</v>
      </c>
      <c r="CX7" s="118">
        <f t="shared" si="17"/>
        <v>321862.08388505084</v>
      </c>
      <c r="CY7" s="118">
        <f t="shared" si="17"/>
        <v>321862.08388505084</v>
      </c>
      <c r="CZ7" s="118">
        <f t="shared" si="17"/>
        <v>321862.08388505084</v>
      </c>
      <c r="DA7" s="118">
        <f t="shared" si="17"/>
        <v>321862.08388505084</v>
      </c>
      <c r="DB7" s="118">
        <f t="shared" si="17"/>
        <v>321862.08388505084</v>
      </c>
      <c r="DC7" s="118">
        <f t="shared" si="17"/>
        <v>321862.08388505084</v>
      </c>
      <c r="DD7" s="118">
        <f t="shared" si="17"/>
        <v>321862.08388505084</v>
      </c>
      <c r="DE7" s="118">
        <f t="shared" si="17"/>
        <v>321862.08388505084</v>
      </c>
      <c r="DF7" s="118">
        <f t="shared" si="17"/>
        <v>321862.08388505084</v>
      </c>
      <c r="DG7" s="118">
        <f t="shared" si="17"/>
        <v>321862.08388505084</v>
      </c>
      <c r="DH7" s="118">
        <f t="shared" si="17"/>
        <v>321862.08388505084</v>
      </c>
      <c r="DI7" s="118">
        <f t="shared" si="17"/>
        <v>321862.08388505084</v>
      </c>
      <c r="DJ7" s="118">
        <f t="shared" si="17"/>
        <v>321862.08388505084</v>
      </c>
      <c r="DK7" s="118">
        <f t="shared" si="17"/>
        <v>321862.08388505084</v>
      </c>
      <c r="DL7" s="118">
        <f t="shared" si="17"/>
        <v>321862.08388505084</v>
      </c>
      <c r="DM7" s="118">
        <f t="shared" si="17"/>
        <v>321862.08388505084</v>
      </c>
      <c r="DN7" s="118">
        <f t="shared" si="17"/>
        <v>321862.08388505084</v>
      </c>
      <c r="DO7" s="118">
        <f t="shared" si="17"/>
        <v>321862.08388505084</v>
      </c>
      <c r="DP7" s="118">
        <f t="shared" si="17"/>
        <v>321862.08388505084</v>
      </c>
      <c r="DQ7" s="118">
        <f t="shared" si="17"/>
        <v>321862.08388505084</v>
      </c>
      <c r="DR7" s="118">
        <f t="shared" si="17"/>
        <v>321862.08388505084</v>
      </c>
      <c r="DS7" s="118">
        <f t="shared" si="17"/>
        <v>321862.08388505084</v>
      </c>
      <c r="DT7" s="118">
        <f t="shared" si="17"/>
        <v>321862.08388505084</v>
      </c>
      <c r="DU7" s="118">
        <f t="shared" si="17"/>
        <v>321862.08388505084</v>
      </c>
      <c r="DV7" s="118">
        <f t="shared" si="17"/>
        <v>321862.08388505084</v>
      </c>
      <c r="DW7" s="118">
        <f t="shared" si="17"/>
        <v>321862.08388505084</v>
      </c>
      <c r="DX7" s="118">
        <f t="shared" si="17"/>
        <v>321862.08388505084</v>
      </c>
      <c r="DY7" s="118">
        <f t="shared" si="17"/>
        <v>321862.08388505084</v>
      </c>
      <c r="DZ7" s="118">
        <f t="shared" si="17"/>
        <v>321862.08388505084</v>
      </c>
      <c r="EA7" s="118">
        <f t="shared" si="17"/>
        <v>321862.08388505084</v>
      </c>
      <c r="EB7" s="118">
        <f t="shared" si="17"/>
        <v>321862.08388505084</v>
      </c>
      <c r="EC7" s="118">
        <f t="shared" si="17"/>
        <v>321862.08388505084</v>
      </c>
      <c r="ED7" s="118">
        <f t="shared" si="17"/>
        <v>321862.08388505084</v>
      </c>
      <c r="EE7" s="118">
        <f t="shared" si="17"/>
        <v>321862.08388505084</v>
      </c>
      <c r="EF7" s="118">
        <f t="shared" si="17"/>
        <v>321862.08388505084</v>
      </c>
      <c r="EG7" s="118">
        <f t="shared" ref="EG7:GR7" si="18">EG4-EG6</f>
        <v>321862.08388505084</v>
      </c>
      <c r="EH7" s="118">
        <f t="shared" si="18"/>
        <v>321862.08388505084</v>
      </c>
      <c r="EI7" s="118">
        <f t="shared" si="18"/>
        <v>321862.08388505084</v>
      </c>
      <c r="EJ7" s="118">
        <f t="shared" si="18"/>
        <v>321862.08388505084</v>
      </c>
      <c r="EK7" s="118">
        <f t="shared" si="18"/>
        <v>321862.08388505084</v>
      </c>
      <c r="EL7" s="118">
        <f t="shared" si="18"/>
        <v>321862.08388505084</v>
      </c>
      <c r="EM7" s="118">
        <f t="shared" si="18"/>
        <v>321862.08388505084</v>
      </c>
      <c r="EN7" s="118">
        <f t="shared" si="18"/>
        <v>321862.08388505084</v>
      </c>
      <c r="EO7" s="118">
        <f t="shared" si="18"/>
        <v>321862.08388505084</v>
      </c>
      <c r="EP7" s="118">
        <f t="shared" si="18"/>
        <v>321862.08388505084</v>
      </c>
      <c r="EQ7" s="118">
        <f t="shared" si="18"/>
        <v>321862.08388505084</v>
      </c>
      <c r="ER7" s="118">
        <f t="shared" si="18"/>
        <v>321862.08388505084</v>
      </c>
      <c r="ES7" s="118">
        <f t="shared" si="18"/>
        <v>321862.08388505084</v>
      </c>
      <c r="ET7" s="118">
        <f t="shared" si="18"/>
        <v>321862.08388505084</v>
      </c>
      <c r="EU7" s="118">
        <f t="shared" si="18"/>
        <v>321862.08388505084</v>
      </c>
      <c r="EV7" s="118">
        <f t="shared" si="18"/>
        <v>321862.08388505084</v>
      </c>
      <c r="EW7" s="118">
        <f t="shared" si="18"/>
        <v>321862.08388505084</v>
      </c>
      <c r="EX7" s="118">
        <f t="shared" si="18"/>
        <v>321862.08388505084</v>
      </c>
      <c r="EY7" s="118">
        <f t="shared" si="18"/>
        <v>321862.08388505084</v>
      </c>
      <c r="EZ7" s="118">
        <f t="shared" si="18"/>
        <v>321862.08388505084</v>
      </c>
      <c r="FA7" s="118">
        <f t="shared" si="18"/>
        <v>321862.08388505084</v>
      </c>
      <c r="FB7" s="118">
        <f t="shared" si="18"/>
        <v>321862.08388505084</v>
      </c>
      <c r="FC7" s="118">
        <f t="shared" si="18"/>
        <v>321862.08388505084</v>
      </c>
      <c r="FD7" s="118">
        <f t="shared" si="18"/>
        <v>321862.08388505084</v>
      </c>
      <c r="FE7" s="118">
        <f t="shared" si="18"/>
        <v>321862.08388505084</v>
      </c>
      <c r="FF7" s="118">
        <f t="shared" si="18"/>
        <v>321862.08388505084</v>
      </c>
      <c r="FG7" s="118">
        <f t="shared" si="18"/>
        <v>321862.08388505084</v>
      </c>
      <c r="FH7" s="118">
        <f t="shared" si="18"/>
        <v>321862.08388505084</v>
      </c>
      <c r="FI7" s="118">
        <f t="shared" si="18"/>
        <v>321862.08388505084</v>
      </c>
      <c r="FJ7" s="118">
        <f t="shared" si="18"/>
        <v>321862.08388505084</v>
      </c>
      <c r="FK7" s="118">
        <f t="shared" si="18"/>
        <v>321862.08388505084</v>
      </c>
      <c r="FL7" s="118">
        <f t="shared" si="18"/>
        <v>321862.08388505084</v>
      </c>
      <c r="FM7" s="118">
        <f t="shared" si="18"/>
        <v>321862.08388505084</v>
      </c>
      <c r="FN7" s="118">
        <f t="shared" si="18"/>
        <v>321862.08388505084</v>
      </c>
      <c r="FO7" s="118">
        <f t="shared" si="18"/>
        <v>321862.08388505084</v>
      </c>
      <c r="FP7" s="118">
        <f t="shared" si="18"/>
        <v>321862.08388505084</v>
      </c>
      <c r="FQ7" s="118">
        <f t="shared" si="18"/>
        <v>321862.08388505084</v>
      </c>
      <c r="FR7" s="118">
        <f t="shared" si="18"/>
        <v>321862.08388505084</v>
      </c>
      <c r="FS7" s="118">
        <f t="shared" si="18"/>
        <v>321862.08388505084</v>
      </c>
      <c r="FT7" s="118">
        <f t="shared" si="18"/>
        <v>321862.08388505084</v>
      </c>
      <c r="FU7" s="118">
        <f t="shared" si="18"/>
        <v>321862.08388505084</v>
      </c>
      <c r="FV7" s="118">
        <f t="shared" si="18"/>
        <v>321862.08388505084</v>
      </c>
      <c r="FW7" s="118">
        <f t="shared" si="18"/>
        <v>321862.08388505084</v>
      </c>
      <c r="FX7" s="118">
        <f t="shared" si="18"/>
        <v>321862.08388505084</v>
      </c>
      <c r="FY7" s="118">
        <f t="shared" si="18"/>
        <v>321862.08388505084</v>
      </c>
      <c r="FZ7" s="118">
        <f t="shared" si="18"/>
        <v>321862.08388505084</v>
      </c>
      <c r="GA7" s="118">
        <f t="shared" si="18"/>
        <v>321862.08388505084</v>
      </c>
      <c r="GB7" s="118">
        <f t="shared" si="18"/>
        <v>321862.08388505084</v>
      </c>
      <c r="GC7" s="118">
        <f t="shared" si="18"/>
        <v>321862.08388505084</v>
      </c>
      <c r="GD7" s="118">
        <f t="shared" si="18"/>
        <v>321862.08388505084</v>
      </c>
      <c r="GE7" s="118">
        <f t="shared" si="18"/>
        <v>321862.08388505084</v>
      </c>
      <c r="GF7" s="118">
        <f t="shared" si="18"/>
        <v>321862.08388505084</v>
      </c>
      <c r="GG7" s="118">
        <f t="shared" si="18"/>
        <v>321862.08388505084</v>
      </c>
      <c r="GH7" s="118">
        <f t="shared" si="18"/>
        <v>321862.08388505084</v>
      </c>
      <c r="GI7" s="118">
        <f t="shared" si="18"/>
        <v>321862.08388505084</v>
      </c>
      <c r="GJ7" s="118">
        <f t="shared" si="18"/>
        <v>321862.08388505084</v>
      </c>
      <c r="GK7" s="118">
        <f t="shared" si="18"/>
        <v>321862.08388505084</v>
      </c>
      <c r="GL7" s="118">
        <f t="shared" si="18"/>
        <v>321862.08388505084</v>
      </c>
      <c r="GM7" s="118">
        <f t="shared" si="18"/>
        <v>321862.08388505084</v>
      </c>
      <c r="GN7" s="118">
        <f t="shared" si="18"/>
        <v>321862.08388505084</v>
      </c>
      <c r="GO7" s="118">
        <f t="shared" si="18"/>
        <v>321862.08388505084</v>
      </c>
      <c r="GP7" s="118">
        <f t="shared" si="18"/>
        <v>321862.08388505084</v>
      </c>
      <c r="GQ7" s="118">
        <f t="shared" si="18"/>
        <v>321862.08388505084</v>
      </c>
      <c r="GR7" s="118">
        <f t="shared" si="18"/>
        <v>321862.08388505084</v>
      </c>
      <c r="GS7" s="118">
        <f t="shared" ref="GS7:JD7" si="19">GS4-GS6</f>
        <v>321862.08388505084</v>
      </c>
      <c r="GT7" s="118">
        <f t="shared" si="19"/>
        <v>321862.08388505084</v>
      </c>
      <c r="GU7" s="118">
        <f t="shared" si="19"/>
        <v>321862.08388505084</v>
      </c>
      <c r="GV7" s="118">
        <f t="shared" si="19"/>
        <v>321862.08388505084</v>
      </c>
      <c r="GW7" s="118">
        <f t="shared" si="19"/>
        <v>321862.08388505084</v>
      </c>
      <c r="GX7" s="118">
        <f t="shared" si="19"/>
        <v>321862.08388505084</v>
      </c>
      <c r="GY7" s="118">
        <f t="shared" si="19"/>
        <v>321862.08388505084</v>
      </c>
      <c r="GZ7" s="118">
        <f t="shared" si="19"/>
        <v>321862.08388505084</v>
      </c>
      <c r="HA7" s="118">
        <f t="shared" si="19"/>
        <v>321862.08388505084</v>
      </c>
      <c r="HB7" s="118">
        <f t="shared" si="19"/>
        <v>321862.08388505084</v>
      </c>
      <c r="HC7" s="118">
        <f t="shared" si="19"/>
        <v>321862.08388505084</v>
      </c>
      <c r="HD7" s="118">
        <f t="shared" si="19"/>
        <v>321862.08388505084</v>
      </c>
      <c r="HE7" s="118">
        <f t="shared" si="19"/>
        <v>321862.08388505084</v>
      </c>
      <c r="HF7" s="118">
        <f t="shared" si="19"/>
        <v>321862.08388505084</v>
      </c>
      <c r="HG7" s="118">
        <f t="shared" si="19"/>
        <v>321862.08388505084</v>
      </c>
      <c r="HH7" s="118">
        <f t="shared" si="19"/>
        <v>321862.08388505084</v>
      </c>
      <c r="HI7" s="118">
        <f t="shared" si="19"/>
        <v>321862.08388505084</v>
      </c>
      <c r="HJ7" s="118">
        <f t="shared" si="19"/>
        <v>321862.08388505084</v>
      </c>
      <c r="HK7" s="118">
        <f t="shared" si="19"/>
        <v>321862.08388505084</v>
      </c>
      <c r="HL7" s="118">
        <f t="shared" si="19"/>
        <v>321862.08388505084</v>
      </c>
      <c r="HM7" s="118">
        <f t="shared" si="19"/>
        <v>321862.08388505084</v>
      </c>
      <c r="HN7" s="118">
        <f t="shared" si="19"/>
        <v>321862.08388505084</v>
      </c>
      <c r="HO7" s="118">
        <f t="shared" si="19"/>
        <v>321862.08388505084</v>
      </c>
      <c r="HP7" s="118">
        <f t="shared" si="19"/>
        <v>321862.08388505084</v>
      </c>
      <c r="HQ7" s="118">
        <f t="shared" si="19"/>
        <v>321862.08388505084</v>
      </c>
      <c r="HR7" s="118">
        <f t="shared" si="19"/>
        <v>321862.08388505084</v>
      </c>
      <c r="HS7" s="118">
        <f t="shared" si="19"/>
        <v>321862.08388505084</v>
      </c>
      <c r="HT7" s="118">
        <f t="shared" si="19"/>
        <v>321862.08388505084</v>
      </c>
      <c r="HU7" s="118">
        <f t="shared" si="19"/>
        <v>321862.08388505084</v>
      </c>
      <c r="HV7" s="118">
        <f t="shared" si="19"/>
        <v>321862.08388505084</v>
      </c>
      <c r="HW7" s="118">
        <f t="shared" si="19"/>
        <v>321862.08388505084</v>
      </c>
      <c r="HX7" s="118">
        <f t="shared" si="19"/>
        <v>321862.08388505084</v>
      </c>
      <c r="HY7" s="118">
        <f t="shared" si="19"/>
        <v>321862.08388505084</v>
      </c>
      <c r="HZ7" s="118">
        <f t="shared" si="19"/>
        <v>321862.08388505084</v>
      </c>
      <c r="IA7" s="118">
        <f t="shared" si="19"/>
        <v>321862.08388505084</v>
      </c>
      <c r="IB7" s="118">
        <f t="shared" si="19"/>
        <v>321862.08388505084</v>
      </c>
      <c r="IC7" s="118">
        <f t="shared" si="19"/>
        <v>321862.08388505084</v>
      </c>
      <c r="ID7" s="118">
        <f t="shared" si="19"/>
        <v>321862.08388505084</v>
      </c>
      <c r="IE7" s="118">
        <f t="shared" si="19"/>
        <v>321862.08388505084</v>
      </c>
      <c r="IF7" s="118">
        <f t="shared" si="19"/>
        <v>321862.08388505084</v>
      </c>
      <c r="IG7" s="118">
        <f t="shared" si="19"/>
        <v>321862.08388505084</v>
      </c>
      <c r="IH7" s="118">
        <f t="shared" si="19"/>
        <v>321862.08388505084</v>
      </c>
      <c r="II7" s="118">
        <f t="shared" si="19"/>
        <v>321862.08388505084</v>
      </c>
      <c r="IJ7" s="118">
        <f t="shared" si="19"/>
        <v>321862.08388505084</v>
      </c>
      <c r="IK7" s="118">
        <f t="shared" si="19"/>
        <v>321862.08388505084</v>
      </c>
      <c r="IL7" s="118">
        <f t="shared" si="19"/>
        <v>321862.08388505084</v>
      </c>
      <c r="IM7" s="118">
        <f t="shared" si="19"/>
        <v>321862.08388505084</v>
      </c>
      <c r="IN7" s="118">
        <f t="shared" si="19"/>
        <v>321862.08388505084</v>
      </c>
      <c r="IO7" s="118">
        <f t="shared" si="19"/>
        <v>321862.08388505084</v>
      </c>
      <c r="IP7" s="118">
        <f t="shared" si="19"/>
        <v>321862.08388505084</v>
      </c>
      <c r="IQ7" s="118">
        <f t="shared" si="19"/>
        <v>321862.08388505084</v>
      </c>
      <c r="IR7" s="118">
        <f t="shared" si="19"/>
        <v>321862.08388505084</v>
      </c>
      <c r="IS7" s="118">
        <f t="shared" si="19"/>
        <v>321862.08388505084</v>
      </c>
      <c r="IT7" s="118">
        <f t="shared" si="19"/>
        <v>321862.08388505084</v>
      </c>
      <c r="IU7" s="118">
        <f t="shared" si="19"/>
        <v>321862.08388505084</v>
      </c>
      <c r="IV7" s="118">
        <f t="shared" si="19"/>
        <v>321862.08388505084</v>
      </c>
      <c r="IW7" s="118">
        <f t="shared" si="19"/>
        <v>321862.08388505084</v>
      </c>
      <c r="IX7" s="118">
        <f t="shared" si="19"/>
        <v>321862.08388505084</v>
      </c>
      <c r="IY7" s="118">
        <f t="shared" si="19"/>
        <v>321862.08388505084</v>
      </c>
      <c r="IZ7" s="118">
        <f t="shared" si="19"/>
        <v>321862.08388505084</v>
      </c>
      <c r="JA7" s="118">
        <f t="shared" si="19"/>
        <v>321862.08388505084</v>
      </c>
      <c r="JB7" s="118">
        <f t="shared" si="19"/>
        <v>321862.08388505084</v>
      </c>
      <c r="JC7" s="118">
        <f t="shared" si="19"/>
        <v>321862.08388505084</v>
      </c>
      <c r="JD7" s="118">
        <f t="shared" si="19"/>
        <v>321862.08388505084</v>
      </c>
      <c r="JE7" s="118">
        <f t="shared" ref="JE7:KE7" si="20">JE4-JE6</f>
        <v>321862.08388505084</v>
      </c>
      <c r="JF7" s="118">
        <f t="shared" si="20"/>
        <v>321862.08388505084</v>
      </c>
      <c r="JG7" s="118">
        <f t="shared" si="20"/>
        <v>321862.08388505084</v>
      </c>
      <c r="JH7" s="118">
        <f t="shared" si="20"/>
        <v>321862.08388505084</v>
      </c>
      <c r="JI7" s="118">
        <f t="shared" si="20"/>
        <v>321862.08388505084</v>
      </c>
      <c r="JJ7" s="118">
        <f t="shared" si="20"/>
        <v>321862.08388505084</v>
      </c>
      <c r="JK7" s="118">
        <f t="shared" si="20"/>
        <v>321862.08388505084</v>
      </c>
      <c r="JL7" s="118">
        <f t="shared" si="20"/>
        <v>321862.08388505084</v>
      </c>
      <c r="JM7" s="118">
        <f t="shared" si="20"/>
        <v>321862.08388505084</v>
      </c>
      <c r="JN7" s="118">
        <f t="shared" si="20"/>
        <v>321862.08388505084</v>
      </c>
      <c r="JO7" s="118">
        <f t="shared" si="20"/>
        <v>321862.08388505084</v>
      </c>
      <c r="JP7" s="118">
        <f t="shared" si="20"/>
        <v>321862.08388505084</v>
      </c>
      <c r="JQ7" s="118">
        <f t="shared" si="20"/>
        <v>321862.08388505084</v>
      </c>
      <c r="JR7" s="118">
        <f t="shared" si="20"/>
        <v>321862.08388505084</v>
      </c>
      <c r="JS7" s="118">
        <f t="shared" si="20"/>
        <v>321862.08388505084</v>
      </c>
      <c r="JT7" s="118">
        <f t="shared" si="20"/>
        <v>321862.08388505084</v>
      </c>
      <c r="JU7" s="118">
        <f t="shared" si="20"/>
        <v>321862.08388505084</v>
      </c>
      <c r="JV7" s="118">
        <f t="shared" si="20"/>
        <v>321862.08388505084</v>
      </c>
      <c r="JW7" s="118">
        <f t="shared" si="20"/>
        <v>321862.08388505084</v>
      </c>
      <c r="JX7" s="118">
        <f t="shared" si="20"/>
        <v>321862.08388505084</v>
      </c>
      <c r="JY7" s="118">
        <f t="shared" si="20"/>
        <v>321862.08388505084</v>
      </c>
      <c r="JZ7" s="118">
        <f t="shared" si="20"/>
        <v>321862.08388505084</v>
      </c>
      <c r="KA7" s="118">
        <f t="shared" si="20"/>
        <v>321862.08388505084</v>
      </c>
      <c r="KB7" s="118">
        <f t="shared" si="20"/>
        <v>321862.08388505084</v>
      </c>
      <c r="KC7" s="118">
        <f t="shared" si="20"/>
        <v>321862.08388505084</v>
      </c>
      <c r="KD7" s="118">
        <f t="shared" si="20"/>
        <v>321862.08388505084</v>
      </c>
      <c r="KE7" s="118">
        <f t="shared" si="20"/>
        <v>321862.08388505084</v>
      </c>
    </row>
    <row r="8" spans="1:769" s="102" customFormat="1">
      <c r="A8" s="718" t="s">
        <v>203</v>
      </c>
      <c r="B8" s="103"/>
      <c r="C8" s="104" t="s">
        <v>262</v>
      </c>
      <c r="D8" s="104" t="s">
        <v>262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9"/>
      <c r="B9" s="120" t="s">
        <v>387</v>
      </c>
      <c r="C9" s="121">
        <f>'Revenue Tracking'!F4</f>
        <v>2899774.6540018986</v>
      </c>
      <c r="D9" s="121">
        <f>SUM(F9:KE9)</f>
        <v>2899774.6540018986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1449887.3270009493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1014921.1289006645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289977.46540018986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144988.73270009493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9"/>
      <c r="B10" s="120" t="s">
        <v>388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1449887.3270009493</v>
      </c>
      <c r="X10" s="122">
        <f t="shared" si="21"/>
        <v>1449887.3270009493</v>
      </c>
      <c r="Y10" s="122">
        <f t="shared" si="21"/>
        <v>2464808.4559016139</v>
      </c>
      <c r="Z10" s="122">
        <f t="shared" si="21"/>
        <v>2464808.4559016139</v>
      </c>
      <c r="AA10" s="122">
        <f t="shared" si="21"/>
        <v>2464808.4559016139</v>
      </c>
      <c r="AB10" s="122">
        <f t="shared" si="21"/>
        <v>2464808.4559016139</v>
      </c>
      <c r="AC10" s="122">
        <f t="shared" si="21"/>
        <v>2754785.9213018036</v>
      </c>
      <c r="AD10" s="122">
        <f>AC10+AD9</f>
        <v>2754785.9213018036</v>
      </c>
      <c r="AE10" s="122">
        <f t="shared" si="21"/>
        <v>2754785.9213018036</v>
      </c>
      <c r="AF10" s="122">
        <f t="shared" si="21"/>
        <v>2754785.9213018036</v>
      </c>
      <c r="AG10" s="122">
        <f t="shared" si="21"/>
        <v>2754785.9213018036</v>
      </c>
      <c r="AH10" s="122">
        <f t="shared" si="21"/>
        <v>2754785.9213018036</v>
      </c>
      <c r="AI10" s="122">
        <f t="shared" si="21"/>
        <v>2754785.9213018036</v>
      </c>
      <c r="AJ10" s="122">
        <f t="shared" si="21"/>
        <v>2754785.9213018036</v>
      </c>
      <c r="AK10" s="122">
        <f t="shared" si="21"/>
        <v>2754785.9213018036</v>
      </c>
      <c r="AL10" s="122">
        <f t="shared" si="21"/>
        <v>2754785.9213018036</v>
      </c>
      <c r="AM10" s="122">
        <f t="shared" si="21"/>
        <v>2754785.9213018036</v>
      </c>
      <c r="AN10" s="122">
        <f t="shared" si="21"/>
        <v>2754785.9213018036</v>
      </c>
      <c r="AO10" s="122">
        <f t="shared" si="21"/>
        <v>2754785.9213018036</v>
      </c>
      <c r="AP10" s="122">
        <f t="shared" si="21"/>
        <v>2754785.9213018036</v>
      </c>
      <c r="AQ10" s="122">
        <f t="shared" si="21"/>
        <v>2754785.9213018036</v>
      </c>
      <c r="AR10" s="122">
        <f t="shared" si="21"/>
        <v>2754785.9213018036</v>
      </c>
      <c r="AS10" s="122">
        <f t="shared" si="21"/>
        <v>2754785.9213018036</v>
      </c>
      <c r="AT10" s="122">
        <f t="shared" si="21"/>
        <v>2754785.9213018036</v>
      </c>
      <c r="AU10" s="122">
        <f t="shared" si="21"/>
        <v>2754785.9213018036</v>
      </c>
      <c r="AV10" s="122">
        <f t="shared" si="21"/>
        <v>2754785.9213018036</v>
      </c>
      <c r="AW10" s="122">
        <f t="shared" si="21"/>
        <v>2754785.9213018036</v>
      </c>
      <c r="AX10" s="122">
        <f t="shared" si="21"/>
        <v>2754785.9213018036</v>
      </c>
      <c r="AY10" s="122">
        <f t="shared" si="21"/>
        <v>2754785.9213018036</v>
      </c>
      <c r="AZ10" s="122">
        <f t="shared" si="21"/>
        <v>2754785.9213018036</v>
      </c>
      <c r="BA10" s="122">
        <f t="shared" si="21"/>
        <v>2754785.9213018036</v>
      </c>
      <c r="BB10" s="122">
        <f t="shared" si="21"/>
        <v>2754785.9213018036</v>
      </c>
      <c r="BC10" s="122">
        <f t="shared" si="21"/>
        <v>2754785.9213018036</v>
      </c>
      <c r="BD10" s="122">
        <f t="shared" si="21"/>
        <v>2754785.9213018036</v>
      </c>
      <c r="BE10" s="122">
        <f t="shared" si="21"/>
        <v>2754785.9213018036</v>
      </c>
      <c r="BF10" s="122">
        <f t="shared" si="21"/>
        <v>2754785.9213018036</v>
      </c>
      <c r="BG10" s="122">
        <f t="shared" si="21"/>
        <v>2754785.9213018036</v>
      </c>
      <c r="BH10" s="122">
        <f t="shared" si="21"/>
        <v>2754785.9213018036</v>
      </c>
      <c r="BI10" s="122">
        <f t="shared" si="21"/>
        <v>2754785.9213018036</v>
      </c>
      <c r="BJ10" s="122">
        <f t="shared" si="21"/>
        <v>2754785.9213018036</v>
      </c>
      <c r="BK10" s="122">
        <f t="shared" si="21"/>
        <v>2754785.9213018036</v>
      </c>
      <c r="BL10" s="122">
        <f t="shared" si="21"/>
        <v>2754785.9213018036</v>
      </c>
      <c r="BM10" s="122">
        <f t="shared" si="21"/>
        <v>2754785.9213018036</v>
      </c>
      <c r="BN10" s="122">
        <f t="shared" si="21"/>
        <v>2754785.9213018036</v>
      </c>
      <c r="BO10" s="122">
        <f t="shared" si="21"/>
        <v>2754785.9213018036</v>
      </c>
      <c r="BP10" s="122">
        <f t="shared" si="21"/>
        <v>2754785.9213018036</v>
      </c>
      <c r="BQ10" s="122">
        <f t="shared" si="21"/>
        <v>2754785.9213018036</v>
      </c>
      <c r="BR10" s="122">
        <f t="shared" si="21"/>
        <v>2754785.9213018036</v>
      </c>
      <c r="BS10" s="122">
        <f t="shared" si="21"/>
        <v>2754785.9213018036</v>
      </c>
      <c r="BT10" s="122">
        <f t="shared" si="21"/>
        <v>2754785.9213018036</v>
      </c>
      <c r="BU10" s="122">
        <f t="shared" ref="BU10:EF10" si="22">BT10+BU9</f>
        <v>2754785.9213018036</v>
      </c>
      <c r="BV10" s="122">
        <f t="shared" si="22"/>
        <v>2754785.9213018036</v>
      </c>
      <c r="BW10" s="122">
        <f t="shared" si="22"/>
        <v>2754785.9213018036</v>
      </c>
      <c r="BX10" s="122">
        <f t="shared" si="22"/>
        <v>2754785.9213018036</v>
      </c>
      <c r="BY10" s="122">
        <f t="shared" si="22"/>
        <v>2754785.9213018036</v>
      </c>
      <c r="BZ10" s="122">
        <f t="shared" si="22"/>
        <v>2754785.9213018036</v>
      </c>
      <c r="CA10" s="122">
        <f t="shared" si="22"/>
        <v>2754785.9213018036</v>
      </c>
      <c r="CB10" s="122">
        <f t="shared" si="22"/>
        <v>2754785.9213018036</v>
      </c>
      <c r="CC10" s="122">
        <f t="shared" si="22"/>
        <v>2899774.6540018986</v>
      </c>
      <c r="CD10" s="122">
        <f t="shared" si="22"/>
        <v>2899774.6540018986</v>
      </c>
      <c r="CE10" s="122">
        <f t="shared" si="22"/>
        <v>2899774.6540018986</v>
      </c>
      <c r="CF10" s="122">
        <f t="shared" si="22"/>
        <v>2899774.6540018986</v>
      </c>
      <c r="CG10" s="122">
        <f t="shared" si="22"/>
        <v>2899774.6540018986</v>
      </c>
      <c r="CH10" s="122">
        <f t="shared" si="22"/>
        <v>2899774.6540018986</v>
      </c>
      <c r="CI10" s="122">
        <f t="shared" si="22"/>
        <v>2899774.6540018986</v>
      </c>
      <c r="CJ10" s="122">
        <f t="shared" si="22"/>
        <v>2899774.6540018986</v>
      </c>
      <c r="CK10" s="122">
        <f t="shared" si="22"/>
        <v>2899774.6540018986</v>
      </c>
      <c r="CL10" s="122">
        <f t="shared" si="22"/>
        <v>2899774.6540018986</v>
      </c>
      <c r="CM10" s="122">
        <f t="shared" si="22"/>
        <v>2899774.6540018986</v>
      </c>
      <c r="CN10" s="122">
        <f t="shared" si="22"/>
        <v>2899774.6540018986</v>
      </c>
      <c r="CO10" s="122">
        <f t="shared" si="22"/>
        <v>2899774.6540018986</v>
      </c>
      <c r="CP10" s="122">
        <f t="shared" si="22"/>
        <v>2899774.6540018986</v>
      </c>
      <c r="CQ10" s="122">
        <f t="shared" si="22"/>
        <v>2899774.6540018986</v>
      </c>
      <c r="CR10" s="122">
        <f t="shared" si="22"/>
        <v>2899774.6540018986</v>
      </c>
      <c r="CS10" s="122">
        <f t="shared" si="22"/>
        <v>2899774.6540018986</v>
      </c>
      <c r="CT10" s="122">
        <f t="shared" si="22"/>
        <v>2899774.6540018986</v>
      </c>
      <c r="CU10" s="122">
        <f t="shared" si="22"/>
        <v>2899774.6540018986</v>
      </c>
      <c r="CV10" s="122">
        <f t="shared" si="22"/>
        <v>2899774.6540018986</v>
      </c>
      <c r="CW10" s="122">
        <f t="shared" si="22"/>
        <v>2899774.6540018986</v>
      </c>
      <c r="CX10" s="122">
        <f t="shared" si="22"/>
        <v>2899774.6540018986</v>
      </c>
      <c r="CY10" s="122">
        <f t="shared" si="22"/>
        <v>2899774.6540018986</v>
      </c>
      <c r="CZ10" s="122">
        <f t="shared" si="22"/>
        <v>2899774.6540018986</v>
      </c>
      <c r="DA10" s="122">
        <f t="shared" si="22"/>
        <v>2899774.6540018986</v>
      </c>
      <c r="DB10" s="122">
        <f t="shared" si="22"/>
        <v>2899774.6540018986</v>
      </c>
      <c r="DC10" s="122">
        <f t="shared" si="22"/>
        <v>2899774.6540018986</v>
      </c>
      <c r="DD10" s="122">
        <f t="shared" si="22"/>
        <v>2899774.6540018986</v>
      </c>
      <c r="DE10" s="122">
        <f t="shared" si="22"/>
        <v>2899774.6540018986</v>
      </c>
      <c r="DF10" s="122">
        <f t="shared" si="22"/>
        <v>2899774.6540018986</v>
      </c>
      <c r="DG10" s="122">
        <f t="shared" si="22"/>
        <v>2899774.6540018986</v>
      </c>
      <c r="DH10" s="122">
        <f t="shared" si="22"/>
        <v>2899774.6540018986</v>
      </c>
      <c r="DI10" s="122">
        <f t="shared" si="22"/>
        <v>2899774.6540018986</v>
      </c>
      <c r="DJ10" s="122">
        <f t="shared" si="22"/>
        <v>2899774.6540018986</v>
      </c>
      <c r="DK10" s="122">
        <f t="shared" si="22"/>
        <v>2899774.6540018986</v>
      </c>
      <c r="DL10" s="122">
        <f t="shared" si="22"/>
        <v>2899774.6540018986</v>
      </c>
      <c r="DM10" s="122">
        <f t="shared" si="22"/>
        <v>2899774.6540018986</v>
      </c>
      <c r="DN10" s="122">
        <f t="shared" si="22"/>
        <v>2899774.6540018986</v>
      </c>
      <c r="DO10" s="122">
        <f t="shared" si="22"/>
        <v>2899774.6540018986</v>
      </c>
      <c r="DP10" s="122">
        <f t="shared" si="22"/>
        <v>2899774.6540018986</v>
      </c>
      <c r="DQ10" s="122">
        <f t="shared" si="22"/>
        <v>2899774.6540018986</v>
      </c>
      <c r="DR10" s="122">
        <f t="shared" si="22"/>
        <v>2899774.6540018986</v>
      </c>
      <c r="DS10" s="122">
        <f t="shared" si="22"/>
        <v>2899774.6540018986</v>
      </c>
      <c r="DT10" s="122">
        <f t="shared" si="22"/>
        <v>2899774.6540018986</v>
      </c>
      <c r="DU10" s="122">
        <f t="shared" si="22"/>
        <v>2899774.6540018986</v>
      </c>
      <c r="DV10" s="122">
        <f t="shared" si="22"/>
        <v>2899774.6540018986</v>
      </c>
      <c r="DW10" s="122">
        <f t="shared" si="22"/>
        <v>2899774.6540018986</v>
      </c>
      <c r="DX10" s="122">
        <f t="shared" si="22"/>
        <v>2899774.6540018986</v>
      </c>
      <c r="DY10" s="122">
        <f t="shared" si="22"/>
        <v>2899774.6540018986</v>
      </c>
      <c r="DZ10" s="122">
        <f t="shared" si="22"/>
        <v>2899774.6540018986</v>
      </c>
      <c r="EA10" s="122">
        <f t="shared" si="22"/>
        <v>2899774.6540018986</v>
      </c>
      <c r="EB10" s="122">
        <f t="shared" si="22"/>
        <v>2899774.6540018986</v>
      </c>
      <c r="EC10" s="122">
        <f t="shared" si="22"/>
        <v>2899774.6540018986</v>
      </c>
      <c r="ED10" s="122">
        <f t="shared" si="22"/>
        <v>2899774.6540018986</v>
      </c>
      <c r="EE10" s="122">
        <f t="shared" si="22"/>
        <v>2899774.6540018986</v>
      </c>
      <c r="EF10" s="122">
        <f t="shared" si="22"/>
        <v>2899774.6540018986</v>
      </c>
      <c r="EG10" s="122">
        <f t="shared" ref="EG10:GR10" si="23">EF10+EG9</f>
        <v>2899774.6540018986</v>
      </c>
      <c r="EH10" s="122">
        <f t="shared" si="23"/>
        <v>2899774.6540018986</v>
      </c>
      <c r="EI10" s="122">
        <f t="shared" si="23"/>
        <v>2899774.6540018986</v>
      </c>
      <c r="EJ10" s="122">
        <f t="shared" si="23"/>
        <v>2899774.6540018986</v>
      </c>
      <c r="EK10" s="122">
        <f t="shared" si="23"/>
        <v>2899774.6540018986</v>
      </c>
      <c r="EL10" s="122">
        <f t="shared" si="23"/>
        <v>2899774.6540018986</v>
      </c>
      <c r="EM10" s="122">
        <f t="shared" si="23"/>
        <v>2899774.6540018986</v>
      </c>
      <c r="EN10" s="122">
        <f t="shared" si="23"/>
        <v>2899774.6540018986</v>
      </c>
      <c r="EO10" s="122">
        <f t="shared" si="23"/>
        <v>2899774.6540018986</v>
      </c>
      <c r="EP10" s="122">
        <f t="shared" si="23"/>
        <v>2899774.6540018986</v>
      </c>
      <c r="EQ10" s="122">
        <f t="shared" si="23"/>
        <v>2899774.6540018986</v>
      </c>
      <c r="ER10" s="122">
        <f t="shared" si="23"/>
        <v>2899774.6540018986</v>
      </c>
      <c r="ES10" s="122">
        <f t="shared" si="23"/>
        <v>2899774.6540018986</v>
      </c>
      <c r="ET10" s="122">
        <f t="shared" si="23"/>
        <v>2899774.6540018986</v>
      </c>
      <c r="EU10" s="122">
        <f t="shared" si="23"/>
        <v>2899774.6540018986</v>
      </c>
      <c r="EV10" s="122">
        <f t="shared" si="23"/>
        <v>2899774.6540018986</v>
      </c>
      <c r="EW10" s="122">
        <f t="shared" si="23"/>
        <v>2899774.6540018986</v>
      </c>
      <c r="EX10" s="122">
        <f t="shared" si="23"/>
        <v>2899774.6540018986</v>
      </c>
      <c r="EY10" s="122">
        <f t="shared" si="23"/>
        <v>2899774.6540018986</v>
      </c>
      <c r="EZ10" s="122">
        <f t="shared" si="23"/>
        <v>2899774.6540018986</v>
      </c>
      <c r="FA10" s="122">
        <f t="shared" si="23"/>
        <v>2899774.6540018986</v>
      </c>
      <c r="FB10" s="122">
        <f t="shared" si="23"/>
        <v>2899774.6540018986</v>
      </c>
      <c r="FC10" s="122">
        <f t="shared" si="23"/>
        <v>2899774.6540018986</v>
      </c>
      <c r="FD10" s="122">
        <f t="shared" si="23"/>
        <v>2899774.6540018986</v>
      </c>
      <c r="FE10" s="122">
        <f t="shared" si="23"/>
        <v>2899774.6540018986</v>
      </c>
      <c r="FF10" s="122">
        <f t="shared" si="23"/>
        <v>2899774.6540018986</v>
      </c>
      <c r="FG10" s="122">
        <f t="shared" si="23"/>
        <v>2899774.6540018986</v>
      </c>
      <c r="FH10" s="122">
        <f t="shared" si="23"/>
        <v>2899774.6540018986</v>
      </c>
      <c r="FI10" s="122">
        <f t="shared" si="23"/>
        <v>2899774.6540018986</v>
      </c>
      <c r="FJ10" s="122">
        <f t="shared" si="23"/>
        <v>2899774.6540018986</v>
      </c>
      <c r="FK10" s="122">
        <f t="shared" si="23"/>
        <v>2899774.6540018986</v>
      </c>
      <c r="FL10" s="122">
        <f t="shared" si="23"/>
        <v>2899774.6540018986</v>
      </c>
      <c r="FM10" s="122">
        <f t="shared" si="23"/>
        <v>2899774.6540018986</v>
      </c>
      <c r="FN10" s="122">
        <f t="shared" si="23"/>
        <v>2899774.6540018986</v>
      </c>
      <c r="FO10" s="122">
        <f t="shared" si="23"/>
        <v>2899774.6540018986</v>
      </c>
      <c r="FP10" s="122">
        <f t="shared" si="23"/>
        <v>2899774.6540018986</v>
      </c>
      <c r="FQ10" s="122">
        <f t="shared" si="23"/>
        <v>2899774.6540018986</v>
      </c>
      <c r="FR10" s="122">
        <f t="shared" si="23"/>
        <v>2899774.6540018986</v>
      </c>
      <c r="FS10" s="122">
        <f t="shared" si="23"/>
        <v>2899774.6540018986</v>
      </c>
      <c r="FT10" s="122">
        <f t="shared" si="23"/>
        <v>2899774.6540018986</v>
      </c>
      <c r="FU10" s="122">
        <f t="shared" si="23"/>
        <v>2899774.6540018986</v>
      </c>
      <c r="FV10" s="122">
        <f t="shared" si="23"/>
        <v>2899774.6540018986</v>
      </c>
      <c r="FW10" s="122">
        <f t="shared" si="23"/>
        <v>2899774.6540018986</v>
      </c>
      <c r="FX10" s="122">
        <f t="shared" si="23"/>
        <v>2899774.6540018986</v>
      </c>
      <c r="FY10" s="122">
        <f t="shared" si="23"/>
        <v>2899774.6540018986</v>
      </c>
      <c r="FZ10" s="122">
        <f t="shared" si="23"/>
        <v>2899774.6540018986</v>
      </c>
      <c r="GA10" s="122">
        <f t="shared" si="23"/>
        <v>2899774.6540018986</v>
      </c>
      <c r="GB10" s="122">
        <f t="shared" si="23"/>
        <v>2899774.6540018986</v>
      </c>
      <c r="GC10" s="122">
        <f t="shared" si="23"/>
        <v>2899774.6540018986</v>
      </c>
      <c r="GD10" s="122">
        <f t="shared" si="23"/>
        <v>2899774.6540018986</v>
      </c>
      <c r="GE10" s="122">
        <f t="shared" si="23"/>
        <v>2899774.6540018986</v>
      </c>
      <c r="GF10" s="122">
        <f t="shared" si="23"/>
        <v>2899774.6540018986</v>
      </c>
      <c r="GG10" s="122">
        <f t="shared" si="23"/>
        <v>2899774.6540018986</v>
      </c>
      <c r="GH10" s="122">
        <f t="shared" si="23"/>
        <v>2899774.6540018986</v>
      </c>
      <c r="GI10" s="122">
        <f t="shared" si="23"/>
        <v>2899774.6540018986</v>
      </c>
      <c r="GJ10" s="122">
        <f t="shared" si="23"/>
        <v>2899774.6540018986</v>
      </c>
      <c r="GK10" s="122">
        <f t="shared" si="23"/>
        <v>2899774.6540018986</v>
      </c>
      <c r="GL10" s="122">
        <f t="shared" si="23"/>
        <v>2899774.6540018986</v>
      </c>
      <c r="GM10" s="122">
        <f t="shared" si="23"/>
        <v>2899774.6540018986</v>
      </c>
      <c r="GN10" s="122">
        <f t="shared" si="23"/>
        <v>2899774.6540018986</v>
      </c>
      <c r="GO10" s="122">
        <f t="shared" si="23"/>
        <v>2899774.6540018986</v>
      </c>
      <c r="GP10" s="122">
        <f t="shared" si="23"/>
        <v>2899774.6540018986</v>
      </c>
      <c r="GQ10" s="122">
        <f t="shared" si="23"/>
        <v>2899774.6540018986</v>
      </c>
      <c r="GR10" s="122">
        <f t="shared" si="23"/>
        <v>2899774.6540018986</v>
      </c>
      <c r="GS10" s="122">
        <f t="shared" ref="GS10:JD10" si="24">GR10+GS9</f>
        <v>2899774.6540018986</v>
      </c>
      <c r="GT10" s="122">
        <f t="shared" si="24"/>
        <v>2899774.6540018986</v>
      </c>
      <c r="GU10" s="122">
        <f t="shared" si="24"/>
        <v>2899774.6540018986</v>
      </c>
      <c r="GV10" s="122">
        <f t="shared" si="24"/>
        <v>2899774.6540018986</v>
      </c>
      <c r="GW10" s="122">
        <f t="shared" si="24"/>
        <v>2899774.6540018986</v>
      </c>
      <c r="GX10" s="122">
        <f t="shared" si="24"/>
        <v>2899774.6540018986</v>
      </c>
      <c r="GY10" s="122">
        <f t="shared" si="24"/>
        <v>2899774.6540018986</v>
      </c>
      <c r="GZ10" s="122">
        <f t="shared" si="24"/>
        <v>2899774.6540018986</v>
      </c>
      <c r="HA10" s="122">
        <f t="shared" si="24"/>
        <v>2899774.6540018986</v>
      </c>
      <c r="HB10" s="122">
        <f t="shared" si="24"/>
        <v>2899774.6540018986</v>
      </c>
      <c r="HC10" s="122">
        <f t="shared" si="24"/>
        <v>2899774.6540018986</v>
      </c>
      <c r="HD10" s="122">
        <f t="shared" si="24"/>
        <v>2899774.6540018986</v>
      </c>
      <c r="HE10" s="122">
        <f t="shared" si="24"/>
        <v>2899774.6540018986</v>
      </c>
      <c r="HF10" s="122">
        <f t="shared" si="24"/>
        <v>2899774.6540018986</v>
      </c>
      <c r="HG10" s="122">
        <f t="shared" si="24"/>
        <v>2899774.6540018986</v>
      </c>
      <c r="HH10" s="122">
        <f t="shared" si="24"/>
        <v>2899774.6540018986</v>
      </c>
      <c r="HI10" s="122">
        <f t="shared" si="24"/>
        <v>2899774.6540018986</v>
      </c>
      <c r="HJ10" s="122">
        <f t="shared" si="24"/>
        <v>2899774.6540018986</v>
      </c>
      <c r="HK10" s="122">
        <f t="shared" si="24"/>
        <v>2899774.6540018986</v>
      </c>
      <c r="HL10" s="122">
        <f t="shared" si="24"/>
        <v>2899774.6540018986</v>
      </c>
      <c r="HM10" s="122">
        <f t="shared" si="24"/>
        <v>2899774.6540018986</v>
      </c>
      <c r="HN10" s="122">
        <f t="shared" si="24"/>
        <v>2899774.6540018986</v>
      </c>
      <c r="HO10" s="122">
        <f t="shared" si="24"/>
        <v>2899774.6540018986</v>
      </c>
      <c r="HP10" s="122">
        <f t="shared" si="24"/>
        <v>2899774.6540018986</v>
      </c>
      <c r="HQ10" s="122">
        <f t="shared" si="24"/>
        <v>2899774.6540018986</v>
      </c>
      <c r="HR10" s="122">
        <f t="shared" si="24"/>
        <v>2899774.6540018986</v>
      </c>
      <c r="HS10" s="122">
        <f t="shared" si="24"/>
        <v>2899774.6540018986</v>
      </c>
      <c r="HT10" s="122">
        <f t="shared" si="24"/>
        <v>2899774.6540018986</v>
      </c>
      <c r="HU10" s="122">
        <f t="shared" si="24"/>
        <v>2899774.6540018986</v>
      </c>
      <c r="HV10" s="122">
        <f t="shared" si="24"/>
        <v>2899774.6540018986</v>
      </c>
      <c r="HW10" s="122">
        <f t="shared" si="24"/>
        <v>2899774.6540018986</v>
      </c>
      <c r="HX10" s="122">
        <f t="shared" si="24"/>
        <v>2899774.6540018986</v>
      </c>
      <c r="HY10" s="122">
        <f t="shared" si="24"/>
        <v>2899774.6540018986</v>
      </c>
      <c r="HZ10" s="122">
        <f t="shared" si="24"/>
        <v>2899774.6540018986</v>
      </c>
      <c r="IA10" s="122">
        <f t="shared" si="24"/>
        <v>2899774.6540018986</v>
      </c>
      <c r="IB10" s="122">
        <f t="shared" si="24"/>
        <v>2899774.6540018986</v>
      </c>
      <c r="IC10" s="122">
        <f t="shared" si="24"/>
        <v>2899774.6540018986</v>
      </c>
      <c r="ID10" s="122">
        <f t="shared" si="24"/>
        <v>2899774.6540018986</v>
      </c>
      <c r="IE10" s="122">
        <f t="shared" si="24"/>
        <v>2899774.6540018986</v>
      </c>
      <c r="IF10" s="122">
        <f t="shared" si="24"/>
        <v>2899774.6540018986</v>
      </c>
      <c r="IG10" s="122">
        <f t="shared" si="24"/>
        <v>2899774.6540018986</v>
      </c>
      <c r="IH10" s="122">
        <f t="shared" si="24"/>
        <v>2899774.6540018986</v>
      </c>
      <c r="II10" s="122">
        <f t="shared" si="24"/>
        <v>2899774.6540018986</v>
      </c>
      <c r="IJ10" s="122">
        <f t="shared" si="24"/>
        <v>2899774.6540018986</v>
      </c>
      <c r="IK10" s="122">
        <f t="shared" si="24"/>
        <v>2899774.6540018986</v>
      </c>
      <c r="IL10" s="122">
        <f t="shared" si="24"/>
        <v>2899774.6540018986</v>
      </c>
      <c r="IM10" s="122">
        <f t="shared" si="24"/>
        <v>2899774.6540018986</v>
      </c>
      <c r="IN10" s="122">
        <f t="shared" si="24"/>
        <v>2899774.6540018986</v>
      </c>
      <c r="IO10" s="122">
        <f t="shared" si="24"/>
        <v>2899774.6540018986</v>
      </c>
      <c r="IP10" s="122">
        <f t="shared" si="24"/>
        <v>2899774.6540018986</v>
      </c>
      <c r="IQ10" s="122">
        <f t="shared" si="24"/>
        <v>2899774.6540018986</v>
      </c>
      <c r="IR10" s="122">
        <f t="shared" si="24"/>
        <v>2899774.6540018986</v>
      </c>
      <c r="IS10" s="122">
        <f t="shared" si="24"/>
        <v>2899774.6540018986</v>
      </c>
      <c r="IT10" s="122">
        <f t="shared" si="24"/>
        <v>2899774.6540018986</v>
      </c>
      <c r="IU10" s="122">
        <f t="shared" si="24"/>
        <v>2899774.6540018986</v>
      </c>
      <c r="IV10" s="122">
        <f t="shared" si="24"/>
        <v>2899774.6540018986</v>
      </c>
      <c r="IW10" s="122">
        <f t="shared" si="24"/>
        <v>2899774.6540018986</v>
      </c>
      <c r="IX10" s="122">
        <f t="shared" si="24"/>
        <v>2899774.6540018986</v>
      </c>
      <c r="IY10" s="122">
        <f t="shared" si="24"/>
        <v>2899774.6540018986</v>
      </c>
      <c r="IZ10" s="122">
        <f t="shared" si="24"/>
        <v>2899774.6540018986</v>
      </c>
      <c r="JA10" s="122">
        <f t="shared" si="24"/>
        <v>2899774.6540018986</v>
      </c>
      <c r="JB10" s="122">
        <f t="shared" si="24"/>
        <v>2899774.6540018986</v>
      </c>
      <c r="JC10" s="122">
        <f t="shared" si="24"/>
        <v>2899774.6540018986</v>
      </c>
      <c r="JD10" s="122">
        <f t="shared" si="24"/>
        <v>2899774.6540018986</v>
      </c>
      <c r="JE10" s="122">
        <f t="shared" ref="JE10:KE10" si="25">JD10+JE9</f>
        <v>2899774.6540018986</v>
      </c>
      <c r="JF10" s="122">
        <f t="shared" si="25"/>
        <v>2899774.6540018986</v>
      </c>
      <c r="JG10" s="122">
        <f t="shared" si="25"/>
        <v>2899774.6540018986</v>
      </c>
      <c r="JH10" s="122">
        <f t="shared" si="25"/>
        <v>2899774.6540018986</v>
      </c>
      <c r="JI10" s="122">
        <f t="shared" si="25"/>
        <v>2899774.6540018986</v>
      </c>
      <c r="JJ10" s="122">
        <f t="shared" si="25"/>
        <v>2899774.6540018986</v>
      </c>
      <c r="JK10" s="122">
        <f t="shared" si="25"/>
        <v>2899774.6540018986</v>
      </c>
      <c r="JL10" s="122">
        <f t="shared" si="25"/>
        <v>2899774.6540018986</v>
      </c>
      <c r="JM10" s="122">
        <f t="shared" si="25"/>
        <v>2899774.6540018986</v>
      </c>
      <c r="JN10" s="122">
        <f t="shared" si="25"/>
        <v>2899774.6540018986</v>
      </c>
      <c r="JO10" s="122">
        <f t="shared" si="25"/>
        <v>2899774.6540018986</v>
      </c>
      <c r="JP10" s="122">
        <f t="shared" si="25"/>
        <v>2899774.6540018986</v>
      </c>
      <c r="JQ10" s="122">
        <f t="shared" si="25"/>
        <v>2899774.6540018986</v>
      </c>
      <c r="JR10" s="122">
        <f t="shared" si="25"/>
        <v>2899774.6540018986</v>
      </c>
      <c r="JS10" s="122">
        <f t="shared" si="25"/>
        <v>2899774.6540018986</v>
      </c>
      <c r="JT10" s="122">
        <f t="shared" si="25"/>
        <v>2899774.6540018986</v>
      </c>
      <c r="JU10" s="122">
        <f t="shared" si="25"/>
        <v>2899774.6540018986</v>
      </c>
      <c r="JV10" s="122">
        <f t="shared" si="25"/>
        <v>2899774.6540018986</v>
      </c>
      <c r="JW10" s="122">
        <f t="shared" si="25"/>
        <v>2899774.6540018986</v>
      </c>
      <c r="JX10" s="122">
        <f t="shared" si="25"/>
        <v>2899774.6540018986</v>
      </c>
      <c r="JY10" s="122">
        <f t="shared" si="25"/>
        <v>2899774.6540018986</v>
      </c>
      <c r="JZ10" s="122">
        <f t="shared" si="25"/>
        <v>2899774.6540018986</v>
      </c>
      <c r="KA10" s="122">
        <f t="shared" si="25"/>
        <v>2899774.6540018986</v>
      </c>
      <c r="KB10" s="122">
        <f t="shared" si="25"/>
        <v>2899774.6540018986</v>
      </c>
      <c r="KC10" s="122">
        <f t="shared" si="25"/>
        <v>2899774.6540018986</v>
      </c>
      <c r="KD10" s="122">
        <f t="shared" si="25"/>
        <v>2899774.6540018986</v>
      </c>
      <c r="KE10" s="122">
        <f t="shared" si="25"/>
        <v>2899774.6540018986</v>
      </c>
    </row>
    <row r="11" spans="1:769" s="114" customFormat="1">
      <c r="A11" s="719"/>
      <c r="B11" s="123" t="s">
        <v>389</v>
      </c>
      <c r="C11" s="124">
        <f>'Revenue Tracking'!F5</f>
        <v>2564437.2735373424</v>
      </c>
      <c r="D11" s="124">
        <f>SUM(F11:KE11)</f>
        <v>2564437.2735373424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17042.208166666667</v>
      </c>
      <c r="W11" s="125">
        <f>SUMIFS('Expenditure Breakdown'!$Q$6:$Q$166, 'Expenditure Breakdown'!$W$6:$W$166, "&gt;="&amp;W1,'Expenditure Breakdown'!$W$6:$W$166, "&lt;"&amp;X1)</f>
        <v>25563.312250000003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0</v>
      </c>
      <c r="AA11" s="125">
        <f>SUMIFS('Expenditure Breakdown'!$Q$6:$Q$166, 'Expenditure Breakdown'!$W$6:$W$166, "&gt;="&amp;AA1,'Expenditure Breakdown'!$W$6:$W$166, "&lt;"&amp;AB1)</f>
        <v>138889.93674999999</v>
      </c>
      <c r="AB11" s="125">
        <f>SUMIFS('Expenditure Breakdown'!$Q$6:$Q$166, 'Expenditure Breakdown'!$W$6:$W$166, "&gt;="&amp;AB1,'Expenditure Breakdown'!$W$6:$W$166, "&lt;"&amp;AC1)</f>
        <v>42728.433175023732</v>
      </c>
      <c r="AC11" s="125">
        <f>SUMIFS('Expenditure Breakdown'!$Q$6:$Q$166, 'Expenditure Breakdown'!$W$6:$W$166, "&gt;="&amp;AC1,'Expenditure Breakdown'!$W$6:$W$166, "&lt;"&amp;AD1)</f>
        <v>60605.520416666666</v>
      </c>
      <c r="AD11" s="125">
        <f>SUMIFS('Expenditure Breakdown'!$Q$6:$Q$166, 'Expenditure Breakdown'!$W$6:$W$166, "&gt;="&amp;AD1,'Expenditure Breakdown'!$W$6:$W$166, "&lt;"&amp;AE1)</f>
        <v>11000</v>
      </c>
      <c r="AE11" s="125">
        <f>SUMIFS('Expenditure Breakdown'!$Q$6:$Q$166, 'Expenditure Breakdown'!$W$6:$W$166, "&gt;="&amp;AE1,'Expenditure Breakdown'!$W$6:$W$166, "&lt;"&amp;AF1)</f>
        <v>1958643.008695652</v>
      </c>
      <c r="AF11" s="125">
        <f>SUMIFS('Expenditure Breakdown'!$Q$6:$Q$166, 'Expenditure Breakdown'!$W$6:$W$166, "&gt;="&amp;AF1,'Expenditure Breakdown'!$W$6:$W$166, "&lt;"&amp;AG1)</f>
        <v>309002.35408333334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481.25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481.25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9"/>
      <c r="B12" s="123" t="s">
        <v>390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17042.208166666667</v>
      </c>
      <c r="W12" s="125">
        <f t="shared" si="26"/>
        <v>42605.520416666666</v>
      </c>
      <c r="X12" s="125">
        <f t="shared" si="26"/>
        <v>42605.520416666666</v>
      </c>
      <c r="Y12" s="125">
        <f t="shared" si="26"/>
        <v>42605.520416666666</v>
      </c>
      <c r="Z12" s="125">
        <f t="shared" si="26"/>
        <v>42605.520416666666</v>
      </c>
      <c r="AA12" s="125">
        <f t="shared" si="26"/>
        <v>181495.45716666666</v>
      </c>
      <c r="AB12" s="125">
        <f t="shared" si="26"/>
        <v>224223.89034169039</v>
      </c>
      <c r="AC12" s="125">
        <f t="shared" si="26"/>
        <v>284829.41075835703</v>
      </c>
      <c r="AD12" s="125">
        <f>AC12+AD11</f>
        <v>295829.41075835703</v>
      </c>
      <c r="AE12" s="125">
        <f t="shared" si="26"/>
        <v>2254472.4194540093</v>
      </c>
      <c r="AF12" s="125">
        <f t="shared" si="26"/>
        <v>2563474.7735373424</v>
      </c>
      <c r="AG12" s="125">
        <f t="shared" si="26"/>
        <v>2563474.7735373424</v>
      </c>
      <c r="AH12" s="125">
        <f t="shared" si="26"/>
        <v>2563474.7735373424</v>
      </c>
      <c r="AI12" s="125">
        <f t="shared" si="26"/>
        <v>2563474.7735373424</v>
      </c>
      <c r="AJ12" s="125">
        <f t="shared" si="26"/>
        <v>2563956.0235373424</v>
      </c>
      <c r="AK12" s="125">
        <f t="shared" si="26"/>
        <v>2563956.0235373424</v>
      </c>
      <c r="AL12" s="125">
        <f t="shared" si="26"/>
        <v>2563956.0235373424</v>
      </c>
      <c r="AM12" s="125">
        <f t="shared" si="26"/>
        <v>2563956.0235373424</v>
      </c>
      <c r="AN12" s="125">
        <f t="shared" si="26"/>
        <v>2563956.0235373424</v>
      </c>
      <c r="AO12" s="125">
        <f t="shared" si="26"/>
        <v>2564437.2735373424</v>
      </c>
      <c r="AP12" s="125">
        <f t="shared" si="26"/>
        <v>2564437.2735373424</v>
      </c>
      <c r="AQ12" s="125">
        <f t="shared" si="26"/>
        <v>2564437.2735373424</v>
      </c>
      <c r="AR12" s="125">
        <f t="shared" si="26"/>
        <v>2564437.2735373424</v>
      </c>
      <c r="AS12" s="125">
        <f t="shared" si="26"/>
        <v>2564437.2735373424</v>
      </c>
      <c r="AT12" s="125">
        <f t="shared" si="26"/>
        <v>2564437.2735373424</v>
      </c>
      <c r="AU12" s="125">
        <f t="shared" si="26"/>
        <v>2564437.2735373424</v>
      </c>
      <c r="AV12" s="125">
        <f t="shared" si="26"/>
        <v>2564437.2735373424</v>
      </c>
      <c r="AW12" s="125">
        <f t="shared" si="26"/>
        <v>2564437.2735373424</v>
      </c>
      <c r="AX12" s="125">
        <f t="shared" si="26"/>
        <v>2564437.2735373424</v>
      </c>
      <c r="AY12" s="125">
        <f t="shared" si="26"/>
        <v>2564437.2735373424</v>
      </c>
      <c r="AZ12" s="125">
        <f t="shared" si="26"/>
        <v>2564437.2735373424</v>
      </c>
      <c r="BA12" s="125">
        <f t="shared" si="26"/>
        <v>2564437.2735373424</v>
      </c>
      <c r="BB12" s="125">
        <f t="shared" si="26"/>
        <v>2564437.2735373424</v>
      </c>
      <c r="BC12" s="125">
        <f t="shared" si="26"/>
        <v>2564437.2735373424</v>
      </c>
      <c r="BD12" s="125">
        <f t="shared" si="26"/>
        <v>2564437.2735373424</v>
      </c>
      <c r="BE12" s="125">
        <f t="shared" si="26"/>
        <v>2564437.2735373424</v>
      </c>
      <c r="BF12" s="125">
        <f t="shared" si="26"/>
        <v>2564437.2735373424</v>
      </c>
      <c r="BG12" s="125">
        <f t="shared" si="26"/>
        <v>2564437.2735373424</v>
      </c>
      <c r="BH12" s="125">
        <f t="shared" si="26"/>
        <v>2564437.2735373424</v>
      </c>
      <c r="BI12" s="125">
        <f t="shared" si="26"/>
        <v>2564437.2735373424</v>
      </c>
      <c r="BJ12" s="125">
        <f t="shared" si="26"/>
        <v>2564437.2735373424</v>
      </c>
      <c r="BK12" s="125">
        <f t="shared" si="26"/>
        <v>2564437.2735373424</v>
      </c>
      <c r="BL12" s="125">
        <f t="shared" si="26"/>
        <v>2564437.2735373424</v>
      </c>
      <c r="BM12" s="125">
        <f t="shared" si="26"/>
        <v>2564437.2735373424</v>
      </c>
      <c r="BN12" s="125">
        <f t="shared" si="26"/>
        <v>2564437.2735373424</v>
      </c>
      <c r="BO12" s="125">
        <f t="shared" si="26"/>
        <v>2564437.2735373424</v>
      </c>
      <c r="BP12" s="125">
        <f t="shared" si="26"/>
        <v>2564437.2735373424</v>
      </c>
      <c r="BQ12" s="125">
        <f t="shared" si="26"/>
        <v>2564437.2735373424</v>
      </c>
      <c r="BR12" s="125">
        <f t="shared" si="26"/>
        <v>2564437.2735373424</v>
      </c>
      <c r="BS12" s="125">
        <f t="shared" si="26"/>
        <v>2564437.2735373424</v>
      </c>
      <c r="BT12" s="125">
        <f t="shared" si="26"/>
        <v>2564437.2735373424</v>
      </c>
      <c r="BU12" s="125">
        <f t="shared" ref="BU12:EF12" si="27">BT12+BU11</f>
        <v>2564437.2735373424</v>
      </c>
      <c r="BV12" s="125">
        <f t="shared" si="27"/>
        <v>2564437.2735373424</v>
      </c>
      <c r="BW12" s="125">
        <f t="shared" si="27"/>
        <v>2564437.2735373424</v>
      </c>
      <c r="BX12" s="125">
        <f t="shared" si="27"/>
        <v>2564437.2735373424</v>
      </c>
      <c r="BY12" s="125">
        <f t="shared" si="27"/>
        <v>2564437.2735373424</v>
      </c>
      <c r="BZ12" s="125">
        <f t="shared" si="27"/>
        <v>2564437.2735373424</v>
      </c>
      <c r="CA12" s="125">
        <f t="shared" si="27"/>
        <v>2564437.2735373424</v>
      </c>
      <c r="CB12" s="125">
        <f t="shared" si="27"/>
        <v>2564437.2735373424</v>
      </c>
      <c r="CC12" s="125">
        <f t="shared" si="27"/>
        <v>2564437.2735373424</v>
      </c>
      <c r="CD12" s="125">
        <f t="shared" si="27"/>
        <v>2564437.2735373424</v>
      </c>
      <c r="CE12" s="125">
        <f t="shared" si="27"/>
        <v>2564437.2735373424</v>
      </c>
      <c r="CF12" s="125">
        <f t="shared" si="27"/>
        <v>2564437.2735373424</v>
      </c>
      <c r="CG12" s="125">
        <f t="shared" si="27"/>
        <v>2564437.2735373424</v>
      </c>
      <c r="CH12" s="125">
        <f t="shared" si="27"/>
        <v>2564437.2735373424</v>
      </c>
      <c r="CI12" s="125">
        <f t="shared" si="27"/>
        <v>2564437.2735373424</v>
      </c>
      <c r="CJ12" s="125">
        <f t="shared" si="27"/>
        <v>2564437.2735373424</v>
      </c>
      <c r="CK12" s="125">
        <f t="shared" si="27"/>
        <v>2564437.2735373424</v>
      </c>
      <c r="CL12" s="125">
        <f t="shared" si="27"/>
        <v>2564437.2735373424</v>
      </c>
      <c r="CM12" s="125">
        <f t="shared" si="27"/>
        <v>2564437.2735373424</v>
      </c>
      <c r="CN12" s="125">
        <f t="shared" si="27"/>
        <v>2564437.2735373424</v>
      </c>
      <c r="CO12" s="125">
        <f t="shared" si="27"/>
        <v>2564437.2735373424</v>
      </c>
      <c r="CP12" s="125">
        <f t="shared" si="27"/>
        <v>2564437.2735373424</v>
      </c>
      <c r="CQ12" s="125">
        <f t="shared" si="27"/>
        <v>2564437.2735373424</v>
      </c>
      <c r="CR12" s="125">
        <f t="shared" si="27"/>
        <v>2564437.2735373424</v>
      </c>
      <c r="CS12" s="125">
        <f t="shared" si="27"/>
        <v>2564437.2735373424</v>
      </c>
      <c r="CT12" s="125">
        <f t="shared" si="27"/>
        <v>2564437.2735373424</v>
      </c>
      <c r="CU12" s="125">
        <f t="shared" si="27"/>
        <v>2564437.2735373424</v>
      </c>
      <c r="CV12" s="125">
        <f t="shared" si="27"/>
        <v>2564437.2735373424</v>
      </c>
      <c r="CW12" s="125">
        <f t="shared" si="27"/>
        <v>2564437.2735373424</v>
      </c>
      <c r="CX12" s="125">
        <f t="shared" si="27"/>
        <v>2564437.2735373424</v>
      </c>
      <c r="CY12" s="125">
        <f t="shared" si="27"/>
        <v>2564437.2735373424</v>
      </c>
      <c r="CZ12" s="125">
        <f t="shared" si="27"/>
        <v>2564437.2735373424</v>
      </c>
      <c r="DA12" s="125">
        <f t="shared" si="27"/>
        <v>2564437.2735373424</v>
      </c>
      <c r="DB12" s="125">
        <f t="shared" si="27"/>
        <v>2564437.2735373424</v>
      </c>
      <c r="DC12" s="125">
        <f t="shared" si="27"/>
        <v>2564437.2735373424</v>
      </c>
      <c r="DD12" s="125">
        <f t="shared" si="27"/>
        <v>2564437.2735373424</v>
      </c>
      <c r="DE12" s="125">
        <f t="shared" si="27"/>
        <v>2564437.2735373424</v>
      </c>
      <c r="DF12" s="125">
        <f t="shared" si="27"/>
        <v>2564437.2735373424</v>
      </c>
      <c r="DG12" s="125">
        <f t="shared" si="27"/>
        <v>2564437.2735373424</v>
      </c>
      <c r="DH12" s="125">
        <f t="shared" si="27"/>
        <v>2564437.2735373424</v>
      </c>
      <c r="DI12" s="125">
        <f t="shared" si="27"/>
        <v>2564437.2735373424</v>
      </c>
      <c r="DJ12" s="125">
        <f t="shared" si="27"/>
        <v>2564437.2735373424</v>
      </c>
      <c r="DK12" s="125">
        <f t="shared" si="27"/>
        <v>2564437.2735373424</v>
      </c>
      <c r="DL12" s="125">
        <f t="shared" si="27"/>
        <v>2564437.2735373424</v>
      </c>
      <c r="DM12" s="125">
        <f t="shared" si="27"/>
        <v>2564437.2735373424</v>
      </c>
      <c r="DN12" s="125">
        <f t="shared" si="27"/>
        <v>2564437.2735373424</v>
      </c>
      <c r="DO12" s="125">
        <f t="shared" si="27"/>
        <v>2564437.2735373424</v>
      </c>
      <c r="DP12" s="125">
        <f t="shared" si="27"/>
        <v>2564437.2735373424</v>
      </c>
      <c r="DQ12" s="125">
        <f t="shared" si="27"/>
        <v>2564437.2735373424</v>
      </c>
      <c r="DR12" s="125">
        <f t="shared" si="27"/>
        <v>2564437.2735373424</v>
      </c>
      <c r="DS12" s="125">
        <f t="shared" si="27"/>
        <v>2564437.2735373424</v>
      </c>
      <c r="DT12" s="125">
        <f t="shared" si="27"/>
        <v>2564437.2735373424</v>
      </c>
      <c r="DU12" s="125">
        <f t="shared" si="27"/>
        <v>2564437.2735373424</v>
      </c>
      <c r="DV12" s="125">
        <f t="shared" si="27"/>
        <v>2564437.2735373424</v>
      </c>
      <c r="DW12" s="125">
        <f t="shared" si="27"/>
        <v>2564437.2735373424</v>
      </c>
      <c r="DX12" s="125">
        <f t="shared" si="27"/>
        <v>2564437.2735373424</v>
      </c>
      <c r="DY12" s="125">
        <f t="shared" si="27"/>
        <v>2564437.2735373424</v>
      </c>
      <c r="DZ12" s="125">
        <f t="shared" si="27"/>
        <v>2564437.2735373424</v>
      </c>
      <c r="EA12" s="125">
        <f t="shared" si="27"/>
        <v>2564437.2735373424</v>
      </c>
      <c r="EB12" s="125">
        <f t="shared" si="27"/>
        <v>2564437.2735373424</v>
      </c>
      <c r="EC12" s="125">
        <f t="shared" si="27"/>
        <v>2564437.2735373424</v>
      </c>
      <c r="ED12" s="125">
        <f t="shared" si="27"/>
        <v>2564437.2735373424</v>
      </c>
      <c r="EE12" s="125">
        <f t="shared" si="27"/>
        <v>2564437.2735373424</v>
      </c>
      <c r="EF12" s="125">
        <f t="shared" si="27"/>
        <v>2564437.2735373424</v>
      </c>
      <c r="EG12" s="125">
        <f t="shared" ref="EG12:GR12" si="28">EF12+EG11</f>
        <v>2564437.2735373424</v>
      </c>
      <c r="EH12" s="125">
        <f t="shared" si="28"/>
        <v>2564437.2735373424</v>
      </c>
      <c r="EI12" s="125">
        <f t="shared" si="28"/>
        <v>2564437.2735373424</v>
      </c>
      <c r="EJ12" s="125">
        <f t="shared" si="28"/>
        <v>2564437.2735373424</v>
      </c>
      <c r="EK12" s="125">
        <f t="shared" si="28"/>
        <v>2564437.2735373424</v>
      </c>
      <c r="EL12" s="125">
        <f t="shared" si="28"/>
        <v>2564437.2735373424</v>
      </c>
      <c r="EM12" s="125">
        <f t="shared" si="28"/>
        <v>2564437.2735373424</v>
      </c>
      <c r="EN12" s="125">
        <f t="shared" si="28"/>
        <v>2564437.2735373424</v>
      </c>
      <c r="EO12" s="125">
        <f t="shared" si="28"/>
        <v>2564437.2735373424</v>
      </c>
      <c r="EP12" s="125">
        <f t="shared" si="28"/>
        <v>2564437.2735373424</v>
      </c>
      <c r="EQ12" s="125">
        <f t="shared" si="28"/>
        <v>2564437.2735373424</v>
      </c>
      <c r="ER12" s="125">
        <f t="shared" si="28"/>
        <v>2564437.2735373424</v>
      </c>
      <c r="ES12" s="125">
        <f t="shared" si="28"/>
        <v>2564437.2735373424</v>
      </c>
      <c r="ET12" s="125">
        <f t="shared" si="28"/>
        <v>2564437.2735373424</v>
      </c>
      <c r="EU12" s="125">
        <f t="shared" si="28"/>
        <v>2564437.2735373424</v>
      </c>
      <c r="EV12" s="125">
        <f t="shared" si="28"/>
        <v>2564437.2735373424</v>
      </c>
      <c r="EW12" s="125">
        <f t="shared" si="28"/>
        <v>2564437.2735373424</v>
      </c>
      <c r="EX12" s="125">
        <f t="shared" si="28"/>
        <v>2564437.2735373424</v>
      </c>
      <c r="EY12" s="125">
        <f t="shared" si="28"/>
        <v>2564437.2735373424</v>
      </c>
      <c r="EZ12" s="125">
        <f t="shared" si="28"/>
        <v>2564437.2735373424</v>
      </c>
      <c r="FA12" s="125">
        <f t="shared" si="28"/>
        <v>2564437.2735373424</v>
      </c>
      <c r="FB12" s="125">
        <f t="shared" si="28"/>
        <v>2564437.2735373424</v>
      </c>
      <c r="FC12" s="125">
        <f t="shared" si="28"/>
        <v>2564437.2735373424</v>
      </c>
      <c r="FD12" s="125">
        <f t="shared" si="28"/>
        <v>2564437.2735373424</v>
      </c>
      <c r="FE12" s="125">
        <f t="shared" si="28"/>
        <v>2564437.2735373424</v>
      </c>
      <c r="FF12" s="125">
        <f t="shared" si="28"/>
        <v>2564437.2735373424</v>
      </c>
      <c r="FG12" s="125">
        <f t="shared" si="28"/>
        <v>2564437.2735373424</v>
      </c>
      <c r="FH12" s="125">
        <f t="shared" si="28"/>
        <v>2564437.2735373424</v>
      </c>
      <c r="FI12" s="125">
        <f t="shared" si="28"/>
        <v>2564437.2735373424</v>
      </c>
      <c r="FJ12" s="125">
        <f t="shared" si="28"/>
        <v>2564437.2735373424</v>
      </c>
      <c r="FK12" s="125">
        <f t="shared" si="28"/>
        <v>2564437.2735373424</v>
      </c>
      <c r="FL12" s="125">
        <f t="shared" si="28"/>
        <v>2564437.2735373424</v>
      </c>
      <c r="FM12" s="125">
        <f t="shared" si="28"/>
        <v>2564437.2735373424</v>
      </c>
      <c r="FN12" s="125">
        <f t="shared" si="28"/>
        <v>2564437.2735373424</v>
      </c>
      <c r="FO12" s="125">
        <f t="shared" si="28"/>
        <v>2564437.2735373424</v>
      </c>
      <c r="FP12" s="125">
        <f t="shared" si="28"/>
        <v>2564437.2735373424</v>
      </c>
      <c r="FQ12" s="125">
        <f t="shared" si="28"/>
        <v>2564437.2735373424</v>
      </c>
      <c r="FR12" s="125">
        <f t="shared" si="28"/>
        <v>2564437.2735373424</v>
      </c>
      <c r="FS12" s="125">
        <f t="shared" si="28"/>
        <v>2564437.2735373424</v>
      </c>
      <c r="FT12" s="125">
        <f t="shared" si="28"/>
        <v>2564437.2735373424</v>
      </c>
      <c r="FU12" s="125">
        <f t="shared" si="28"/>
        <v>2564437.2735373424</v>
      </c>
      <c r="FV12" s="125">
        <f t="shared" si="28"/>
        <v>2564437.2735373424</v>
      </c>
      <c r="FW12" s="125">
        <f t="shared" si="28"/>
        <v>2564437.2735373424</v>
      </c>
      <c r="FX12" s="125">
        <f t="shared" si="28"/>
        <v>2564437.2735373424</v>
      </c>
      <c r="FY12" s="125">
        <f t="shared" si="28"/>
        <v>2564437.2735373424</v>
      </c>
      <c r="FZ12" s="125">
        <f t="shared" si="28"/>
        <v>2564437.2735373424</v>
      </c>
      <c r="GA12" s="125">
        <f t="shared" si="28"/>
        <v>2564437.2735373424</v>
      </c>
      <c r="GB12" s="125">
        <f t="shared" si="28"/>
        <v>2564437.2735373424</v>
      </c>
      <c r="GC12" s="125">
        <f t="shared" si="28"/>
        <v>2564437.2735373424</v>
      </c>
      <c r="GD12" s="125">
        <f t="shared" si="28"/>
        <v>2564437.2735373424</v>
      </c>
      <c r="GE12" s="125">
        <f t="shared" si="28"/>
        <v>2564437.2735373424</v>
      </c>
      <c r="GF12" s="125">
        <f t="shared" si="28"/>
        <v>2564437.2735373424</v>
      </c>
      <c r="GG12" s="125">
        <f t="shared" si="28"/>
        <v>2564437.2735373424</v>
      </c>
      <c r="GH12" s="125">
        <f t="shared" si="28"/>
        <v>2564437.2735373424</v>
      </c>
      <c r="GI12" s="125">
        <f t="shared" si="28"/>
        <v>2564437.2735373424</v>
      </c>
      <c r="GJ12" s="125">
        <f t="shared" si="28"/>
        <v>2564437.2735373424</v>
      </c>
      <c r="GK12" s="125">
        <f t="shared" si="28"/>
        <v>2564437.2735373424</v>
      </c>
      <c r="GL12" s="125">
        <f t="shared" si="28"/>
        <v>2564437.2735373424</v>
      </c>
      <c r="GM12" s="125">
        <f t="shared" si="28"/>
        <v>2564437.2735373424</v>
      </c>
      <c r="GN12" s="125">
        <f t="shared" si="28"/>
        <v>2564437.2735373424</v>
      </c>
      <c r="GO12" s="125">
        <f t="shared" si="28"/>
        <v>2564437.2735373424</v>
      </c>
      <c r="GP12" s="125">
        <f t="shared" si="28"/>
        <v>2564437.2735373424</v>
      </c>
      <c r="GQ12" s="125">
        <f t="shared" si="28"/>
        <v>2564437.2735373424</v>
      </c>
      <c r="GR12" s="125">
        <f t="shared" si="28"/>
        <v>2564437.2735373424</v>
      </c>
      <c r="GS12" s="125">
        <f t="shared" ref="GS12:JD12" si="29">GR12+GS11</f>
        <v>2564437.2735373424</v>
      </c>
      <c r="GT12" s="125">
        <f t="shared" si="29"/>
        <v>2564437.2735373424</v>
      </c>
      <c r="GU12" s="125">
        <f t="shared" si="29"/>
        <v>2564437.2735373424</v>
      </c>
      <c r="GV12" s="125">
        <f t="shared" si="29"/>
        <v>2564437.2735373424</v>
      </c>
      <c r="GW12" s="125">
        <f t="shared" si="29"/>
        <v>2564437.2735373424</v>
      </c>
      <c r="GX12" s="125">
        <f t="shared" si="29"/>
        <v>2564437.2735373424</v>
      </c>
      <c r="GY12" s="125">
        <f t="shared" si="29"/>
        <v>2564437.2735373424</v>
      </c>
      <c r="GZ12" s="125">
        <f t="shared" si="29"/>
        <v>2564437.2735373424</v>
      </c>
      <c r="HA12" s="125">
        <f t="shared" si="29"/>
        <v>2564437.2735373424</v>
      </c>
      <c r="HB12" s="125">
        <f t="shared" si="29"/>
        <v>2564437.2735373424</v>
      </c>
      <c r="HC12" s="125">
        <f t="shared" si="29"/>
        <v>2564437.2735373424</v>
      </c>
      <c r="HD12" s="125">
        <f t="shared" si="29"/>
        <v>2564437.2735373424</v>
      </c>
      <c r="HE12" s="125">
        <f t="shared" si="29"/>
        <v>2564437.2735373424</v>
      </c>
      <c r="HF12" s="125">
        <f t="shared" si="29"/>
        <v>2564437.2735373424</v>
      </c>
      <c r="HG12" s="125">
        <f t="shared" si="29"/>
        <v>2564437.2735373424</v>
      </c>
      <c r="HH12" s="125">
        <f t="shared" si="29"/>
        <v>2564437.2735373424</v>
      </c>
      <c r="HI12" s="125">
        <f t="shared" si="29"/>
        <v>2564437.2735373424</v>
      </c>
      <c r="HJ12" s="125">
        <f t="shared" si="29"/>
        <v>2564437.2735373424</v>
      </c>
      <c r="HK12" s="125">
        <f t="shared" si="29"/>
        <v>2564437.2735373424</v>
      </c>
      <c r="HL12" s="125">
        <f t="shared" si="29"/>
        <v>2564437.2735373424</v>
      </c>
      <c r="HM12" s="125">
        <f t="shared" si="29"/>
        <v>2564437.2735373424</v>
      </c>
      <c r="HN12" s="125">
        <f t="shared" si="29"/>
        <v>2564437.2735373424</v>
      </c>
      <c r="HO12" s="125">
        <f t="shared" si="29"/>
        <v>2564437.2735373424</v>
      </c>
      <c r="HP12" s="125">
        <f t="shared" si="29"/>
        <v>2564437.2735373424</v>
      </c>
      <c r="HQ12" s="125">
        <f t="shared" si="29"/>
        <v>2564437.2735373424</v>
      </c>
      <c r="HR12" s="125">
        <f t="shared" si="29"/>
        <v>2564437.2735373424</v>
      </c>
      <c r="HS12" s="125">
        <f t="shared" si="29"/>
        <v>2564437.2735373424</v>
      </c>
      <c r="HT12" s="125">
        <f t="shared" si="29"/>
        <v>2564437.2735373424</v>
      </c>
      <c r="HU12" s="125">
        <f t="shared" si="29"/>
        <v>2564437.2735373424</v>
      </c>
      <c r="HV12" s="125">
        <f t="shared" si="29"/>
        <v>2564437.2735373424</v>
      </c>
      <c r="HW12" s="125">
        <f t="shared" si="29"/>
        <v>2564437.2735373424</v>
      </c>
      <c r="HX12" s="125">
        <f t="shared" si="29"/>
        <v>2564437.2735373424</v>
      </c>
      <c r="HY12" s="125">
        <f t="shared" si="29"/>
        <v>2564437.2735373424</v>
      </c>
      <c r="HZ12" s="125">
        <f t="shared" si="29"/>
        <v>2564437.2735373424</v>
      </c>
      <c r="IA12" s="125">
        <f t="shared" si="29"/>
        <v>2564437.2735373424</v>
      </c>
      <c r="IB12" s="125">
        <f t="shared" si="29"/>
        <v>2564437.2735373424</v>
      </c>
      <c r="IC12" s="125">
        <f t="shared" si="29"/>
        <v>2564437.2735373424</v>
      </c>
      <c r="ID12" s="125">
        <f t="shared" si="29"/>
        <v>2564437.2735373424</v>
      </c>
      <c r="IE12" s="125">
        <f t="shared" si="29"/>
        <v>2564437.2735373424</v>
      </c>
      <c r="IF12" s="125">
        <f t="shared" si="29"/>
        <v>2564437.2735373424</v>
      </c>
      <c r="IG12" s="125">
        <f t="shared" si="29"/>
        <v>2564437.2735373424</v>
      </c>
      <c r="IH12" s="125">
        <f t="shared" si="29"/>
        <v>2564437.2735373424</v>
      </c>
      <c r="II12" s="125">
        <f t="shared" si="29"/>
        <v>2564437.2735373424</v>
      </c>
      <c r="IJ12" s="125">
        <f t="shared" si="29"/>
        <v>2564437.2735373424</v>
      </c>
      <c r="IK12" s="125">
        <f t="shared" si="29"/>
        <v>2564437.2735373424</v>
      </c>
      <c r="IL12" s="125">
        <f t="shared" si="29"/>
        <v>2564437.2735373424</v>
      </c>
      <c r="IM12" s="125">
        <f t="shared" si="29"/>
        <v>2564437.2735373424</v>
      </c>
      <c r="IN12" s="125">
        <f t="shared" si="29"/>
        <v>2564437.2735373424</v>
      </c>
      <c r="IO12" s="125">
        <f t="shared" si="29"/>
        <v>2564437.2735373424</v>
      </c>
      <c r="IP12" s="125">
        <f t="shared" si="29"/>
        <v>2564437.2735373424</v>
      </c>
      <c r="IQ12" s="125">
        <f t="shared" si="29"/>
        <v>2564437.2735373424</v>
      </c>
      <c r="IR12" s="125">
        <f t="shared" si="29"/>
        <v>2564437.2735373424</v>
      </c>
      <c r="IS12" s="125">
        <f t="shared" si="29"/>
        <v>2564437.2735373424</v>
      </c>
      <c r="IT12" s="125">
        <f t="shared" si="29"/>
        <v>2564437.2735373424</v>
      </c>
      <c r="IU12" s="125">
        <f t="shared" si="29"/>
        <v>2564437.2735373424</v>
      </c>
      <c r="IV12" s="125">
        <f t="shared" si="29"/>
        <v>2564437.2735373424</v>
      </c>
      <c r="IW12" s="125">
        <f t="shared" si="29"/>
        <v>2564437.2735373424</v>
      </c>
      <c r="IX12" s="125">
        <f t="shared" si="29"/>
        <v>2564437.2735373424</v>
      </c>
      <c r="IY12" s="125">
        <f t="shared" si="29"/>
        <v>2564437.2735373424</v>
      </c>
      <c r="IZ12" s="125">
        <f t="shared" si="29"/>
        <v>2564437.2735373424</v>
      </c>
      <c r="JA12" s="125">
        <f t="shared" si="29"/>
        <v>2564437.2735373424</v>
      </c>
      <c r="JB12" s="125">
        <f t="shared" si="29"/>
        <v>2564437.2735373424</v>
      </c>
      <c r="JC12" s="125">
        <f t="shared" si="29"/>
        <v>2564437.2735373424</v>
      </c>
      <c r="JD12" s="125">
        <f t="shared" si="29"/>
        <v>2564437.2735373424</v>
      </c>
      <c r="JE12" s="125">
        <f t="shared" ref="JE12:KE12" si="30">JD12+JE11</f>
        <v>2564437.2735373424</v>
      </c>
      <c r="JF12" s="125">
        <f t="shared" si="30"/>
        <v>2564437.2735373424</v>
      </c>
      <c r="JG12" s="125">
        <f t="shared" si="30"/>
        <v>2564437.2735373424</v>
      </c>
      <c r="JH12" s="125">
        <f t="shared" si="30"/>
        <v>2564437.2735373424</v>
      </c>
      <c r="JI12" s="125">
        <f t="shared" si="30"/>
        <v>2564437.2735373424</v>
      </c>
      <c r="JJ12" s="125">
        <f t="shared" si="30"/>
        <v>2564437.2735373424</v>
      </c>
      <c r="JK12" s="125">
        <f t="shared" si="30"/>
        <v>2564437.2735373424</v>
      </c>
      <c r="JL12" s="125">
        <f t="shared" si="30"/>
        <v>2564437.2735373424</v>
      </c>
      <c r="JM12" s="125">
        <f t="shared" si="30"/>
        <v>2564437.2735373424</v>
      </c>
      <c r="JN12" s="125">
        <f t="shared" si="30"/>
        <v>2564437.2735373424</v>
      </c>
      <c r="JO12" s="125">
        <f t="shared" si="30"/>
        <v>2564437.2735373424</v>
      </c>
      <c r="JP12" s="125">
        <f t="shared" si="30"/>
        <v>2564437.2735373424</v>
      </c>
      <c r="JQ12" s="125">
        <f t="shared" si="30"/>
        <v>2564437.2735373424</v>
      </c>
      <c r="JR12" s="125">
        <f t="shared" si="30"/>
        <v>2564437.2735373424</v>
      </c>
      <c r="JS12" s="125">
        <f t="shared" si="30"/>
        <v>2564437.2735373424</v>
      </c>
      <c r="JT12" s="125">
        <f t="shared" si="30"/>
        <v>2564437.2735373424</v>
      </c>
      <c r="JU12" s="125">
        <f t="shared" si="30"/>
        <v>2564437.2735373424</v>
      </c>
      <c r="JV12" s="125">
        <f t="shared" si="30"/>
        <v>2564437.2735373424</v>
      </c>
      <c r="JW12" s="125">
        <f t="shared" si="30"/>
        <v>2564437.2735373424</v>
      </c>
      <c r="JX12" s="125">
        <f t="shared" si="30"/>
        <v>2564437.2735373424</v>
      </c>
      <c r="JY12" s="125">
        <f t="shared" si="30"/>
        <v>2564437.2735373424</v>
      </c>
      <c r="JZ12" s="125">
        <f t="shared" si="30"/>
        <v>2564437.2735373424</v>
      </c>
      <c r="KA12" s="125">
        <f t="shared" si="30"/>
        <v>2564437.2735373424</v>
      </c>
      <c r="KB12" s="125">
        <f t="shared" si="30"/>
        <v>2564437.2735373424</v>
      </c>
      <c r="KC12" s="125">
        <f t="shared" si="30"/>
        <v>2564437.2735373424</v>
      </c>
      <c r="KD12" s="125">
        <f t="shared" si="30"/>
        <v>2564437.2735373424</v>
      </c>
      <c r="KE12" s="125">
        <f t="shared" si="30"/>
        <v>2564437.2735373424</v>
      </c>
      <c r="KF12" s="102"/>
      <c r="KG12" s="113"/>
    </row>
    <row r="13" spans="1:769" s="102" customFormat="1">
      <c r="A13" s="719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9"/>
      <c r="B14" s="115" t="s">
        <v>391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-17042.208166666667</v>
      </c>
      <c r="W14" s="118">
        <f t="shared" si="32"/>
        <v>1407281.8065842825</v>
      </c>
      <c r="X14" s="118">
        <f t="shared" si="32"/>
        <v>1407281.8065842825</v>
      </c>
      <c r="Y14" s="118">
        <f t="shared" si="32"/>
        <v>2422202.9354849472</v>
      </c>
      <c r="Z14" s="118">
        <f t="shared" si="32"/>
        <v>2422202.9354849472</v>
      </c>
      <c r="AA14" s="118">
        <f t="shared" si="32"/>
        <v>2283312.9987349473</v>
      </c>
      <c r="AB14" s="118">
        <f t="shared" si="32"/>
        <v>2240584.5655599236</v>
      </c>
      <c r="AC14" s="118">
        <f t="shared" si="32"/>
        <v>2469956.5105434465</v>
      </c>
      <c r="AD14" s="118">
        <f t="shared" si="32"/>
        <v>2458956.5105434465</v>
      </c>
      <c r="AE14" s="118">
        <f t="shared" si="32"/>
        <v>500313.50184779428</v>
      </c>
      <c r="AF14" s="118">
        <f t="shared" si="32"/>
        <v>191311.14776446112</v>
      </c>
      <c r="AG14" s="118">
        <f t="shared" si="32"/>
        <v>191311.14776446112</v>
      </c>
      <c r="AH14" s="118">
        <f t="shared" si="32"/>
        <v>191311.14776446112</v>
      </c>
      <c r="AI14" s="118">
        <f t="shared" si="32"/>
        <v>191311.14776446112</v>
      </c>
      <c r="AJ14" s="118">
        <f t="shared" si="32"/>
        <v>190829.89776446112</v>
      </c>
      <c r="AK14" s="118">
        <f t="shared" si="32"/>
        <v>190829.89776446112</v>
      </c>
      <c r="AL14" s="118">
        <f t="shared" si="32"/>
        <v>190829.89776446112</v>
      </c>
      <c r="AM14" s="118">
        <f t="shared" si="32"/>
        <v>190829.89776446112</v>
      </c>
      <c r="AN14" s="118">
        <f t="shared" si="32"/>
        <v>190829.89776446112</v>
      </c>
      <c r="AO14" s="118">
        <f t="shared" si="32"/>
        <v>190348.64776446112</v>
      </c>
      <c r="AP14" s="118">
        <f t="shared" si="32"/>
        <v>190348.64776446112</v>
      </c>
      <c r="AQ14" s="118">
        <f t="shared" si="32"/>
        <v>190348.64776446112</v>
      </c>
      <c r="AR14" s="118">
        <f t="shared" si="32"/>
        <v>190348.64776446112</v>
      </c>
      <c r="AS14" s="118">
        <f t="shared" si="32"/>
        <v>190348.64776446112</v>
      </c>
      <c r="AT14" s="118">
        <f t="shared" si="32"/>
        <v>190348.64776446112</v>
      </c>
      <c r="AU14" s="118">
        <f t="shared" si="32"/>
        <v>190348.64776446112</v>
      </c>
      <c r="AV14" s="118">
        <f t="shared" si="32"/>
        <v>190348.64776446112</v>
      </c>
      <c r="AW14" s="118">
        <f t="shared" si="32"/>
        <v>190348.64776446112</v>
      </c>
      <c r="AX14" s="118">
        <f t="shared" si="32"/>
        <v>190348.64776446112</v>
      </c>
      <c r="AY14" s="118">
        <f t="shared" si="32"/>
        <v>190348.64776446112</v>
      </c>
      <c r="AZ14" s="118">
        <f t="shared" si="32"/>
        <v>190348.64776446112</v>
      </c>
      <c r="BA14" s="118">
        <f t="shared" si="32"/>
        <v>190348.64776446112</v>
      </c>
      <c r="BB14" s="118">
        <f t="shared" si="32"/>
        <v>190348.64776446112</v>
      </c>
      <c r="BC14" s="118">
        <f t="shared" si="32"/>
        <v>190348.64776446112</v>
      </c>
      <c r="BD14" s="118">
        <f t="shared" si="32"/>
        <v>190348.64776446112</v>
      </c>
      <c r="BE14" s="118">
        <f t="shared" si="32"/>
        <v>190348.64776446112</v>
      </c>
      <c r="BF14" s="118">
        <f t="shared" si="32"/>
        <v>190348.64776446112</v>
      </c>
      <c r="BG14" s="118">
        <f t="shared" si="32"/>
        <v>190348.64776446112</v>
      </c>
      <c r="BH14" s="118">
        <f t="shared" si="32"/>
        <v>190348.64776446112</v>
      </c>
      <c r="BI14" s="118">
        <f t="shared" si="32"/>
        <v>190348.64776446112</v>
      </c>
      <c r="BJ14" s="118">
        <f t="shared" si="32"/>
        <v>190348.64776446112</v>
      </c>
      <c r="BK14" s="118">
        <f t="shared" si="32"/>
        <v>190348.64776446112</v>
      </c>
      <c r="BL14" s="118">
        <f t="shared" si="32"/>
        <v>190348.64776446112</v>
      </c>
      <c r="BM14" s="118">
        <f t="shared" si="32"/>
        <v>190348.64776446112</v>
      </c>
      <c r="BN14" s="118">
        <f t="shared" si="32"/>
        <v>190348.64776446112</v>
      </c>
      <c r="BO14" s="118">
        <f t="shared" si="32"/>
        <v>190348.64776446112</v>
      </c>
      <c r="BP14" s="118">
        <f t="shared" si="32"/>
        <v>190348.64776446112</v>
      </c>
      <c r="BQ14" s="118">
        <f t="shared" si="32"/>
        <v>190348.64776446112</v>
      </c>
      <c r="BR14" s="118">
        <f t="shared" si="32"/>
        <v>190348.64776446112</v>
      </c>
      <c r="BS14" s="118">
        <f t="shared" si="32"/>
        <v>190348.64776446112</v>
      </c>
      <c r="BT14" s="118">
        <f t="shared" si="32"/>
        <v>190348.64776446112</v>
      </c>
      <c r="BU14" s="118">
        <f t="shared" ref="BU14:EF14" si="33">BU10-BU12</f>
        <v>190348.64776446112</v>
      </c>
      <c r="BV14" s="118">
        <f t="shared" si="33"/>
        <v>190348.64776446112</v>
      </c>
      <c r="BW14" s="118">
        <f t="shared" si="33"/>
        <v>190348.64776446112</v>
      </c>
      <c r="BX14" s="118">
        <f t="shared" si="33"/>
        <v>190348.64776446112</v>
      </c>
      <c r="BY14" s="118">
        <f t="shared" si="33"/>
        <v>190348.64776446112</v>
      </c>
      <c r="BZ14" s="118">
        <f t="shared" si="33"/>
        <v>190348.64776446112</v>
      </c>
      <c r="CA14" s="118">
        <f t="shared" si="33"/>
        <v>190348.64776446112</v>
      </c>
      <c r="CB14" s="118">
        <f t="shared" si="33"/>
        <v>190348.64776446112</v>
      </c>
      <c r="CC14" s="118">
        <f t="shared" si="33"/>
        <v>335337.38046455616</v>
      </c>
      <c r="CD14" s="118">
        <f t="shared" si="33"/>
        <v>335337.38046455616</v>
      </c>
      <c r="CE14" s="118">
        <f t="shared" si="33"/>
        <v>335337.38046455616</v>
      </c>
      <c r="CF14" s="118">
        <f t="shared" si="33"/>
        <v>335337.38046455616</v>
      </c>
      <c r="CG14" s="118">
        <f t="shared" si="33"/>
        <v>335337.38046455616</v>
      </c>
      <c r="CH14" s="118">
        <f t="shared" si="33"/>
        <v>335337.38046455616</v>
      </c>
      <c r="CI14" s="118">
        <f t="shared" si="33"/>
        <v>335337.38046455616</v>
      </c>
      <c r="CJ14" s="118">
        <f t="shared" si="33"/>
        <v>335337.38046455616</v>
      </c>
      <c r="CK14" s="118">
        <f t="shared" si="33"/>
        <v>335337.38046455616</v>
      </c>
      <c r="CL14" s="118">
        <f t="shared" si="33"/>
        <v>335337.38046455616</v>
      </c>
      <c r="CM14" s="118">
        <f t="shared" si="33"/>
        <v>335337.38046455616</v>
      </c>
      <c r="CN14" s="118">
        <f t="shared" si="33"/>
        <v>335337.38046455616</v>
      </c>
      <c r="CO14" s="118">
        <f t="shared" si="33"/>
        <v>335337.38046455616</v>
      </c>
      <c r="CP14" s="118">
        <f t="shared" si="33"/>
        <v>335337.38046455616</v>
      </c>
      <c r="CQ14" s="118">
        <f t="shared" si="33"/>
        <v>335337.38046455616</v>
      </c>
      <c r="CR14" s="118">
        <f t="shared" si="33"/>
        <v>335337.38046455616</v>
      </c>
      <c r="CS14" s="118">
        <f t="shared" si="33"/>
        <v>335337.38046455616</v>
      </c>
      <c r="CT14" s="118">
        <f t="shared" si="33"/>
        <v>335337.38046455616</v>
      </c>
      <c r="CU14" s="118">
        <f t="shared" si="33"/>
        <v>335337.38046455616</v>
      </c>
      <c r="CV14" s="118">
        <f t="shared" si="33"/>
        <v>335337.38046455616</v>
      </c>
      <c r="CW14" s="118">
        <f t="shared" si="33"/>
        <v>335337.38046455616</v>
      </c>
      <c r="CX14" s="118">
        <f t="shared" si="33"/>
        <v>335337.38046455616</v>
      </c>
      <c r="CY14" s="118">
        <f t="shared" si="33"/>
        <v>335337.38046455616</v>
      </c>
      <c r="CZ14" s="118">
        <f t="shared" si="33"/>
        <v>335337.38046455616</v>
      </c>
      <c r="DA14" s="118">
        <f t="shared" si="33"/>
        <v>335337.38046455616</v>
      </c>
      <c r="DB14" s="118">
        <f t="shared" si="33"/>
        <v>335337.38046455616</v>
      </c>
      <c r="DC14" s="118">
        <f t="shared" si="33"/>
        <v>335337.38046455616</v>
      </c>
      <c r="DD14" s="118">
        <f t="shared" si="33"/>
        <v>335337.38046455616</v>
      </c>
      <c r="DE14" s="118">
        <f t="shared" si="33"/>
        <v>335337.38046455616</v>
      </c>
      <c r="DF14" s="118">
        <f t="shared" si="33"/>
        <v>335337.38046455616</v>
      </c>
      <c r="DG14" s="118">
        <f t="shared" si="33"/>
        <v>335337.38046455616</v>
      </c>
      <c r="DH14" s="118">
        <f t="shared" si="33"/>
        <v>335337.38046455616</v>
      </c>
      <c r="DI14" s="118">
        <f t="shared" si="33"/>
        <v>335337.38046455616</v>
      </c>
      <c r="DJ14" s="118">
        <f t="shared" si="33"/>
        <v>335337.38046455616</v>
      </c>
      <c r="DK14" s="118">
        <f t="shared" si="33"/>
        <v>335337.38046455616</v>
      </c>
      <c r="DL14" s="118">
        <f t="shared" si="33"/>
        <v>335337.38046455616</v>
      </c>
      <c r="DM14" s="118">
        <f t="shared" si="33"/>
        <v>335337.38046455616</v>
      </c>
      <c r="DN14" s="118">
        <f t="shared" si="33"/>
        <v>335337.38046455616</v>
      </c>
      <c r="DO14" s="118">
        <f t="shared" si="33"/>
        <v>335337.38046455616</v>
      </c>
      <c r="DP14" s="118">
        <f t="shared" si="33"/>
        <v>335337.38046455616</v>
      </c>
      <c r="DQ14" s="118">
        <f t="shared" si="33"/>
        <v>335337.38046455616</v>
      </c>
      <c r="DR14" s="118">
        <f t="shared" si="33"/>
        <v>335337.38046455616</v>
      </c>
      <c r="DS14" s="118">
        <f t="shared" si="33"/>
        <v>335337.38046455616</v>
      </c>
      <c r="DT14" s="118">
        <f t="shared" si="33"/>
        <v>335337.38046455616</v>
      </c>
      <c r="DU14" s="118">
        <f t="shared" si="33"/>
        <v>335337.38046455616</v>
      </c>
      <c r="DV14" s="118">
        <f t="shared" si="33"/>
        <v>335337.38046455616</v>
      </c>
      <c r="DW14" s="118">
        <f t="shared" si="33"/>
        <v>335337.38046455616</v>
      </c>
      <c r="DX14" s="118">
        <f t="shared" si="33"/>
        <v>335337.38046455616</v>
      </c>
      <c r="DY14" s="118">
        <f t="shared" si="33"/>
        <v>335337.38046455616</v>
      </c>
      <c r="DZ14" s="118">
        <f t="shared" si="33"/>
        <v>335337.38046455616</v>
      </c>
      <c r="EA14" s="118">
        <f t="shared" si="33"/>
        <v>335337.38046455616</v>
      </c>
      <c r="EB14" s="118">
        <f t="shared" si="33"/>
        <v>335337.38046455616</v>
      </c>
      <c r="EC14" s="118">
        <f t="shared" si="33"/>
        <v>335337.38046455616</v>
      </c>
      <c r="ED14" s="118">
        <f t="shared" si="33"/>
        <v>335337.38046455616</v>
      </c>
      <c r="EE14" s="118">
        <f t="shared" si="33"/>
        <v>335337.38046455616</v>
      </c>
      <c r="EF14" s="118">
        <f t="shared" si="33"/>
        <v>335337.38046455616</v>
      </c>
      <c r="EG14" s="118">
        <f t="shared" ref="EG14:GR14" si="34">EG10-EG12</f>
        <v>335337.38046455616</v>
      </c>
      <c r="EH14" s="118">
        <f t="shared" si="34"/>
        <v>335337.38046455616</v>
      </c>
      <c r="EI14" s="118">
        <f t="shared" si="34"/>
        <v>335337.38046455616</v>
      </c>
      <c r="EJ14" s="118">
        <f t="shared" si="34"/>
        <v>335337.38046455616</v>
      </c>
      <c r="EK14" s="118">
        <f t="shared" si="34"/>
        <v>335337.38046455616</v>
      </c>
      <c r="EL14" s="118">
        <f t="shared" si="34"/>
        <v>335337.38046455616</v>
      </c>
      <c r="EM14" s="118">
        <f t="shared" si="34"/>
        <v>335337.38046455616</v>
      </c>
      <c r="EN14" s="118">
        <f t="shared" si="34"/>
        <v>335337.38046455616</v>
      </c>
      <c r="EO14" s="118">
        <f t="shared" si="34"/>
        <v>335337.38046455616</v>
      </c>
      <c r="EP14" s="118">
        <f t="shared" si="34"/>
        <v>335337.38046455616</v>
      </c>
      <c r="EQ14" s="118">
        <f t="shared" si="34"/>
        <v>335337.38046455616</v>
      </c>
      <c r="ER14" s="118">
        <f t="shared" si="34"/>
        <v>335337.38046455616</v>
      </c>
      <c r="ES14" s="118">
        <f t="shared" si="34"/>
        <v>335337.38046455616</v>
      </c>
      <c r="ET14" s="118">
        <f t="shared" si="34"/>
        <v>335337.38046455616</v>
      </c>
      <c r="EU14" s="118">
        <f t="shared" si="34"/>
        <v>335337.38046455616</v>
      </c>
      <c r="EV14" s="118">
        <f t="shared" si="34"/>
        <v>335337.38046455616</v>
      </c>
      <c r="EW14" s="118">
        <f t="shared" si="34"/>
        <v>335337.38046455616</v>
      </c>
      <c r="EX14" s="118">
        <f t="shared" si="34"/>
        <v>335337.38046455616</v>
      </c>
      <c r="EY14" s="118">
        <f t="shared" si="34"/>
        <v>335337.38046455616</v>
      </c>
      <c r="EZ14" s="118">
        <f t="shared" si="34"/>
        <v>335337.38046455616</v>
      </c>
      <c r="FA14" s="118">
        <f t="shared" si="34"/>
        <v>335337.38046455616</v>
      </c>
      <c r="FB14" s="118">
        <f t="shared" si="34"/>
        <v>335337.38046455616</v>
      </c>
      <c r="FC14" s="118">
        <f t="shared" si="34"/>
        <v>335337.38046455616</v>
      </c>
      <c r="FD14" s="118">
        <f t="shared" si="34"/>
        <v>335337.38046455616</v>
      </c>
      <c r="FE14" s="118">
        <f t="shared" si="34"/>
        <v>335337.38046455616</v>
      </c>
      <c r="FF14" s="118">
        <f t="shared" si="34"/>
        <v>335337.38046455616</v>
      </c>
      <c r="FG14" s="118">
        <f t="shared" si="34"/>
        <v>335337.38046455616</v>
      </c>
      <c r="FH14" s="118">
        <f t="shared" si="34"/>
        <v>335337.38046455616</v>
      </c>
      <c r="FI14" s="118">
        <f t="shared" si="34"/>
        <v>335337.38046455616</v>
      </c>
      <c r="FJ14" s="118">
        <f t="shared" si="34"/>
        <v>335337.38046455616</v>
      </c>
      <c r="FK14" s="118">
        <f t="shared" si="34"/>
        <v>335337.38046455616</v>
      </c>
      <c r="FL14" s="118">
        <f t="shared" si="34"/>
        <v>335337.38046455616</v>
      </c>
      <c r="FM14" s="118">
        <f t="shared" si="34"/>
        <v>335337.38046455616</v>
      </c>
      <c r="FN14" s="118">
        <f t="shared" si="34"/>
        <v>335337.38046455616</v>
      </c>
      <c r="FO14" s="118">
        <f t="shared" si="34"/>
        <v>335337.38046455616</v>
      </c>
      <c r="FP14" s="118">
        <f t="shared" si="34"/>
        <v>335337.38046455616</v>
      </c>
      <c r="FQ14" s="118">
        <f t="shared" si="34"/>
        <v>335337.38046455616</v>
      </c>
      <c r="FR14" s="118">
        <f t="shared" si="34"/>
        <v>335337.38046455616</v>
      </c>
      <c r="FS14" s="118">
        <f t="shared" si="34"/>
        <v>335337.38046455616</v>
      </c>
      <c r="FT14" s="118">
        <f t="shared" si="34"/>
        <v>335337.38046455616</v>
      </c>
      <c r="FU14" s="118">
        <f t="shared" si="34"/>
        <v>335337.38046455616</v>
      </c>
      <c r="FV14" s="118">
        <f t="shared" si="34"/>
        <v>335337.38046455616</v>
      </c>
      <c r="FW14" s="118">
        <f t="shared" si="34"/>
        <v>335337.38046455616</v>
      </c>
      <c r="FX14" s="118">
        <f t="shared" si="34"/>
        <v>335337.38046455616</v>
      </c>
      <c r="FY14" s="118">
        <f t="shared" si="34"/>
        <v>335337.38046455616</v>
      </c>
      <c r="FZ14" s="118">
        <f t="shared" si="34"/>
        <v>335337.38046455616</v>
      </c>
      <c r="GA14" s="118">
        <f t="shared" si="34"/>
        <v>335337.38046455616</v>
      </c>
      <c r="GB14" s="118">
        <f t="shared" si="34"/>
        <v>335337.38046455616</v>
      </c>
      <c r="GC14" s="118">
        <f t="shared" si="34"/>
        <v>335337.38046455616</v>
      </c>
      <c r="GD14" s="118">
        <f t="shared" si="34"/>
        <v>335337.38046455616</v>
      </c>
      <c r="GE14" s="118">
        <f t="shared" si="34"/>
        <v>335337.38046455616</v>
      </c>
      <c r="GF14" s="118">
        <f t="shared" si="34"/>
        <v>335337.38046455616</v>
      </c>
      <c r="GG14" s="118">
        <f t="shared" si="34"/>
        <v>335337.38046455616</v>
      </c>
      <c r="GH14" s="118">
        <f t="shared" si="34"/>
        <v>335337.38046455616</v>
      </c>
      <c r="GI14" s="118">
        <f t="shared" si="34"/>
        <v>335337.38046455616</v>
      </c>
      <c r="GJ14" s="118">
        <f t="shared" si="34"/>
        <v>335337.38046455616</v>
      </c>
      <c r="GK14" s="118">
        <f t="shared" si="34"/>
        <v>335337.38046455616</v>
      </c>
      <c r="GL14" s="118">
        <f t="shared" si="34"/>
        <v>335337.38046455616</v>
      </c>
      <c r="GM14" s="118">
        <f t="shared" si="34"/>
        <v>335337.38046455616</v>
      </c>
      <c r="GN14" s="118">
        <f t="shared" si="34"/>
        <v>335337.38046455616</v>
      </c>
      <c r="GO14" s="118">
        <f t="shared" si="34"/>
        <v>335337.38046455616</v>
      </c>
      <c r="GP14" s="118">
        <f t="shared" si="34"/>
        <v>335337.38046455616</v>
      </c>
      <c r="GQ14" s="118">
        <f t="shared" si="34"/>
        <v>335337.38046455616</v>
      </c>
      <c r="GR14" s="118">
        <f t="shared" si="34"/>
        <v>335337.38046455616</v>
      </c>
      <c r="GS14" s="118">
        <f t="shared" ref="GS14:JD14" si="35">GS10-GS12</f>
        <v>335337.38046455616</v>
      </c>
      <c r="GT14" s="118">
        <f t="shared" si="35"/>
        <v>335337.38046455616</v>
      </c>
      <c r="GU14" s="118">
        <f t="shared" si="35"/>
        <v>335337.38046455616</v>
      </c>
      <c r="GV14" s="118">
        <f t="shared" si="35"/>
        <v>335337.38046455616</v>
      </c>
      <c r="GW14" s="118">
        <f t="shared" si="35"/>
        <v>335337.38046455616</v>
      </c>
      <c r="GX14" s="118">
        <f t="shared" si="35"/>
        <v>335337.38046455616</v>
      </c>
      <c r="GY14" s="118">
        <f t="shared" si="35"/>
        <v>335337.38046455616</v>
      </c>
      <c r="GZ14" s="118">
        <f t="shared" si="35"/>
        <v>335337.38046455616</v>
      </c>
      <c r="HA14" s="118">
        <f t="shared" si="35"/>
        <v>335337.38046455616</v>
      </c>
      <c r="HB14" s="118">
        <f t="shared" si="35"/>
        <v>335337.38046455616</v>
      </c>
      <c r="HC14" s="118">
        <f t="shared" si="35"/>
        <v>335337.38046455616</v>
      </c>
      <c r="HD14" s="118">
        <f t="shared" si="35"/>
        <v>335337.38046455616</v>
      </c>
      <c r="HE14" s="118">
        <f t="shared" si="35"/>
        <v>335337.38046455616</v>
      </c>
      <c r="HF14" s="118">
        <f t="shared" si="35"/>
        <v>335337.38046455616</v>
      </c>
      <c r="HG14" s="118">
        <f t="shared" si="35"/>
        <v>335337.38046455616</v>
      </c>
      <c r="HH14" s="118">
        <f t="shared" si="35"/>
        <v>335337.38046455616</v>
      </c>
      <c r="HI14" s="118">
        <f t="shared" si="35"/>
        <v>335337.38046455616</v>
      </c>
      <c r="HJ14" s="118">
        <f t="shared" si="35"/>
        <v>335337.38046455616</v>
      </c>
      <c r="HK14" s="118">
        <f t="shared" si="35"/>
        <v>335337.38046455616</v>
      </c>
      <c r="HL14" s="118">
        <f t="shared" si="35"/>
        <v>335337.38046455616</v>
      </c>
      <c r="HM14" s="118">
        <f t="shared" si="35"/>
        <v>335337.38046455616</v>
      </c>
      <c r="HN14" s="118">
        <f t="shared" si="35"/>
        <v>335337.38046455616</v>
      </c>
      <c r="HO14" s="118">
        <f t="shared" si="35"/>
        <v>335337.38046455616</v>
      </c>
      <c r="HP14" s="118">
        <f t="shared" si="35"/>
        <v>335337.38046455616</v>
      </c>
      <c r="HQ14" s="118">
        <f t="shared" si="35"/>
        <v>335337.38046455616</v>
      </c>
      <c r="HR14" s="118">
        <f t="shared" si="35"/>
        <v>335337.38046455616</v>
      </c>
      <c r="HS14" s="118">
        <f t="shared" si="35"/>
        <v>335337.38046455616</v>
      </c>
      <c r="HT14" s="118">
        <f t="shared" si="35"/>
        <v>335337.38046455616</v>
      </c>
      <c r="HU14" s="118">
        <f t="shared" si="35"/>
        <v>335337.38046455616</v>
      </c>
      <c r="HV14" s="118">
        <f t="shared" si="35"/>
        <v>335337.38046455616</v>
      </c>
      <c r="HW14" s="118">
        <f t="shared" si="35"/>
        <v>335337.38046455616</v>
      </c>
      <c r="HX14" s="118">
        <f t="shared" si="35"/>
        <v>335337.38046455616</v>
      </c>
      <c r="HY14" s="118">
        <f t="shared" si="35"/>
        <v>335337.38046455616</v>
      </c>
      <c r="HZ14" s="118">
        <f t="shared" si="35"/>
        <v>335337.38046455616</v>
      </c>
      <c r="IA14" s="118">
        <f t="shared" si="35"/>
        <v>335337.38046455616</v>
      </c>
      <c r="IB14" s="118">
        <f t="shared" si="35"/>
        <v>335337.38046455616</v>
      </c>
      <c r="IC14" s="118">
        <f t="shared" si="35"/>
        <v>335337.38046455616</v>
      </c>
      <c r="ID14" s="118">
        <f t="shared" si="35"/>
        <v>335337.38046455616</v>
      </c>
      <c r="IE14" s="118">
        <f t="shared" si="35"/>
        <v>335337.38046455616</v>
      </c>
      <c r="IF14" s="118">
        <f t="shared" si="35"/>
        <v>335337.38046455616</v>
      </c>
      <c r="IG14" s="118">
        <f t="shared" si="35"/>
        <v>335337.38046455616</v>
      </c>
      <c r="IH14" s="118">
        <f t="shared" si="35"/>
        <v>335337.38046455616</v>
      </c>
      <c r="II14" s="118">
        <f t="shared" si="35"/>
        <v>335337.38046455616</v>
      </c>
      <c r="IJ14" s="118">
        <f t="shared" si="35"/>
        <v>335337.38046455616</v>
      </c>
      <c r="IK14" s="118">
        <f t="shared" si="35"/>
        <v>335337.38046455616</v>
      </c>
      <c r="IL14" s="118">
        <f t="shared" si="35"/>
        <v>335337.38046455616</v>
      </c>
      <c r="IM14" s="118">
        <f t="shared" si="35"/>
        <v>335337.38046455616</v>
      </c>
      <c r="IN14" s="118">
        <f t="shared" si="35"/>
        <v>335337.38046455616</v>
      </c>
      <c r="IO14" s="118">
        <f t="shared" si="35"/>
        <v>335337.38046455616</v>
      </c>
      <c r="IP14" s="118">
        <f t="shared" si="35"/>
        <v>335337.38046455616</v>
      </c>
      <c r="IQ14" s="118">
        <f t="shared" si="35"/>
        <v>335337.38046455616</v>
      </c>
      <c r="IR14" s="118">
        <f t="shared" si="35"/>
        <v>335337.38046455616</v>
      </c>
      <c r="IS14" s="118">
        <f t="shared" si="35"/>
        <v>335337.38046455616</v>
      </c>
      <c r="IT14" s="118">
        <f t="shared" si="35"/>
        <v>335337.38046455616</v>
      </c>
      <c r="IU14" s="118">
        <f t="shared" si="35"/>
        <v>335337.38046455616</v>
      </c>
      <c r="IV14" s="118">
        <f t="shared" si="35"/>
        <v>335337.38046455616</v>
      </c>
      <c r="IW14" s="118">
        <f t="shared" si="35"/>
        <v>335337.38046455616</v>
      </c>
      <c r="IX14" s="118">
        <f t="shared" si="35"/>
        <v>335337.38046455616</v>
      </c>
      <c r="IY14" s="118">
        <f t="shared" si="35"/>
        <v>335337.38046455616</v>
      </c>
      <c r="IZ14" s="118">
        <f t="shared" si="35"/>
        <v>335337.38046455616</v>
      </c>
      <c r="JA14" s="118">
        <f t="shared" si="35"/>
        <v>335337.38046455616</v>
      </c>
      <c r="JB14" s="118">
        <f t="shared" si="35"/>
        <v>335337.38046455616</v>
      </c>
      <c r="JC14" s="118">
        <f t="shared" si="35"/>
        <v>335337.38046455616</v>
      </c>
      <c r="JD14" s="118">
        <f t="shared" si="35"/>
        <v>335337.38046455616</v>
      </c>
      <c r="JE14" s="118">
        <f t="shared" ref="JE14:KE14" si="36">JE10-JE12</f>
        <v>335337.38046455616</v>
      </c>
      <c r="JF14" s="118">
        <f t="shared" si="36"/>
        <v>335337.38046455616</v>
      </c>
      <c r="JG14" s="118">
        <f t="shared" si="36"/>
        <v>335337.38046455616</v>
      </c>
      <c r="JH14" s="118">
        <f t="shared" si="36"/>
        <v>335337.38046455616</v>
      </c>
      <c r="JI14" s="118">
        <f t="shared" si="36"/>
        <v>335337.38046455616</v>
      </c>
      <c r="JJ14" s="118">
        <f t="shared" si="36"/>
        <v>335337.38046455616</v>
      </c>
      <c r="JK14" s="118">
        <f t="shared" si="36"/>
        <v>335337.38046455616</v>
      </c>
      <c r="JL14" s="118">
        <f t="shared" si="36"/>
        <v>335337.38046455616</v>
      </c>
      <c r="JM14" s="118">
        <f t="shared" si="36"/>
        <v>335337.38046455616</v>
      </c>
      <c r="JN14" s="118">
        <f t="shared" si="36"/>
        <v>335337.38046455616</v>
      </c>
      <c r="JO14" s="118">
        <f t="shared" si="36"/>
        <v>335337.38046455616</v>
      </c>
      <c r="JP14" s="118">
        <f t="shared" si="36"/>
        <v>335337.38046455616</v>
      </c>
      <c r="JQ14" s="118">
        <f t="shared" si="36"/>
        <v>335337.38046455616</v>
      </c>
      <c r="JR14" s="118">
        <f t="shared" si="36"/>
        <v>335337.38046455616</v>
      </c>
      <c r="JS14" s="118">
        <f t="shared" si="36"/>
        <v>335337.38046455616</v>
      </c>
      <c r="JT14" s="118">
        <f t="shared" si="36"/>
        <v>335337.38046455616</v>
      </c>
      <c r="JU14" s="118">
        <f t="shared" si="36"/>
        <v>335337.38046455616</v>
      </c>
      <c r="JV14" s="118">
        <f t="shared" si="36"/>
        <v>335337.38046455616</v>
      </c>
      <c r="JW14" s="118">
        <f t="shared" si="36"/>
        <v>335337.38046455616</v>
      </c>
      <c r="JX14" s="118">
        <f t="shared" si="36"/>
        <v>335337.38046455616</v>
      </c>
      <c r="JY14" s="118">
        <f t="shared" si="36"/>
        <v>335337.38046455616</v>
      </c>
      <c r="JZ14" s="118">
        <f t="shared" si="36"/>
        <v>335337.38046455616</v>
      </c>
      <c r="KA14" s="118">
        <f t="shared" si="36"/>
        <v>335337.38046455616</v>
      </c>
      <c r="KB14" s="118">
        <f t="shared" si="36"/>
        <v>335337.38046455616</v>
      </c>
      <c r="KC14" s="118">
        <f t="shared" si="36"/>
        <v>335337.38046455616</v>
      </c>
      <c r="KD14" s="118">
        <f t="shared" si="36"/>
        <v>335337.38046455616</v>
      </c>
      <c r="KE14" s="118">
        <f t="shared" si="36"/>
        <v>335337.38046455616</v>
      </c>
    </row>
    <row r="15" spans="1:769" s="102" customFormat="1"/>
    <row r="16" spans="1:769" s="102" customFormat="1">
      <c r="C16" s="104" t="s">
        <v>262</v>
      </c>
      <c r="D16" s="104" t="s">
        <v>262</v>
      </c>
    </row>
    <row r="17" spans="1:291">
      <c r="A17" s="720"/>
      <c r="B17" s="106" t="s">
        <v>392</v>
      </c>
      <c r="C17" s="275">
        <f>C3-D17</f>
        <v>0</v>
      </c>
      <c r="D17" s="107">
        <f>SUM(F17:KE17)</f>
        <v>2899774.6540018986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21828.595193546862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33277.615012542519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2472862.7467176043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371270.97485598264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534.72222222222217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0"/>
      <c r="B18" s="106" t="s">
        <v>393</v>
      </c>
      <c r="C18" s="275">
        <f>D17-D18</f>
        <v>0</v>
      </c>
      <c r="D18" s="107">
        <f>MAX(F18:KE18)</f>
        <v>2899774.6540018986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21828.595193546862</v>
      </c>
      <c r="W18" s="125">
        <f t="shared" si="37"/>
        <v>21828.595193546862</v>
      </c>
      <c r="X18" s="125">
        <f t="shared" si="37"/>
        <v>21828.595193546862</v>
      </c>
      <c r="Y18" s="125">
        <f t="shared" si="37"/>
        <v>21828.595193546862</v>
      </c>
      <c r="Z18" s="125">
        <f t="shared" si="37"/>
        <v>21828.595193546862</v>
      </c>
      <c r="AA18" s="125">
        <f t="shared" si="37"/>
        <v>55106.210206089381</v>
      </c>
      <c r="AB18" s="125">
        <f t="shared" si="37"/>
        <v>55106.210206089381</v>
      </c>
      <c r="AC18" s="125">
        <f t="shared" si="37"/>
        <v>55106.210206089381</v>
      </c>
      <c r="AD18" s="125">
        <f>AC18+AD17</f>
        <v>55106.210206089381</v>
      </c>
      <c r="AE18" s="125">
        <f t="shared" si="37"/>
        <v>2527968.9569236939</v>
      </c>
      <c r="AF18" s="125">
        <f t="shared" si="37"/>
        <v>2527968.9569236939</v>
      </c>
      <c r="AG18" s="125">
        <f t="shared" si="37"/>
        <v>2527968.9569236939</v>
      </c>
      <c r="AH18" s="125">
        <f t="shared" si="37"/>
        <v>2527968.9569236939</v>
      </c>
      <c r="AI18" s="125">
        <f t="shared" si="37"/>
        <v>2899239.9317796766</v>
      </c>
      <c r="AJ18" s="125">
        <f t="shared" si="37"/>
        <v>2899239.9317796766</v>
      </c>
      <c r="AK18" s="125">
        <f t="shared" si="37"/>
        <v>2899239.9317796766</v>
      </c>
      <c r="AL18" s="125">
        <f t="shared" si="37"/>
        <v>2899239.9317796766</v>
      </c>
      <c r="AM18" s="125">
        <f t="shared" si="37"/>
        <v>2899239.9317796766</v>
      </c>
      <c r="AN18" s="125">
        <f t="shared" si="37"/>
        <v>2899774.6540018986</v>
      </c>
      <c r="AO18" s="125">
        <f t="shared" si="37"/>
        <v>2899774.6540018986</v>
      </c>
      <c r="AP18" s="125">
        <f t="shared" si="37"/>
        <v>2899774.6540018986</v>
      </c>
      <c r="AQ18" s="125">
        <f t="shared" si="37"/>
        <v>2899774.6540018986</v>
      </c>
      <c r="AR18" s="125">
        <f t="shared" si="37"/>
        <v>2899774.6540018986</v>
      </c>
      <c r="AS18" s="125">
        <f t="shared" si="37"/>
        <v>2899774.6540018986</v>
      </c>
      <c r="AT18" s="125">
        <f t="shared" si="37"/>
        <v>2899774.6540018986</v>
      </c>
      <c r="AU18" s="125">
        <f t="shared" si="37"/>
        <v>2899774.6540018986</v>
      </c>
      <c r="AV18" s="125">
        <f t="shared" si="37"/>
        <v>2899774.6540018986</v>
      </c>
      <c r="AW18" s="125">
        <f t="shared" si="37"/>
        <v>2899774.6540018986</v>
      </c>
      <c r="AX18" s="125">
        <f t="shared" si="37"/>
        <v>2899774.6540018986</v>
      </c>
      <c r="AY18" s="125">
        <f t="shared" si="37"/>
        <v>2899774.6540018986</v>
      </c>
      <c r="AZ18" s="125">
        <f t="shared" si="37"/>
        <v>2899774.6540018986</v>
      </c>
      <c r="BA18" s="125">
        <f t="shared" si="37"/>
        <v>2899774.6540018986</v>
      </c>
      <c r="BB18" s="125">
        <f t="shared" si="37"/>
        <v>2899774.6540018986</v>
      </c>
      <c r="BC18" s="125">
        <f t="shared" si="37"/>
        <v>2899774.6540018986</v>
      </c>
      <c r="BD18" s="125">
        <f t="shared" si="37"/>
        <v>2899774.6540018986</v>
      </c>
      <c r="BE18" s="125">
        <f t="shared" si="37"/>
        <v>2899774.6540018986</v>
      </c>
      <c r="BF18" s="125">
        <f t="shared" si="37"/>
        <v>2899774.6540018986</v>
      </c>
      <c r="BG18" s="125">
        <f t="shared" si="37"/>
        <v>2899774.6540018986</v>
      </c>
      <c r="BH18" s="125">
        <f t="shared" si="37"/>
        <v>2899774.6540018986</v>
      </c>
      <c r="BI18" s="125">
        <f t="shared" si="37"/>
        <v>2899774.6540018986</v>
      </c>
      <c r="BJ18" s="125">
        <f t="shared" si="37"/>
        <v>2899774.6540018986</v>
      </c>
      <c r="BK18" s="125">
        <f t="shared" si="37"/>
        <v>2899774.6540018986</v>
      </c>
      <c r="BL18" s="125">
        <f t="shared" si="37"/>
        <v>2899774.6540018986</v>
      </c>
      <c r="BM18" s="125">
        <f t="shared" si="37"/>
        <v>2899774.6540018986</v>
      </c>
      <c r="BN18" s="125">
        <f t="shared" si="37"/>
        <v>2899774.6540018986</v>
      </c>
      <c r="BO18" s="125">
        <f t="shared" si="37"/>
        <v>2899774.6540018986</v>
      </c>
      <c r="BP18" s="125">
        <f t="shared" si="37"/>
        <v>2899774.6540018986</v>
      </c>
      <c r="BQ18" s="125">
        <f t="shared" si="37"/>
        <v>2899774.6540018986</v>
      </c>
      <c r="BR18" s="125">
        <f t="shared" si="37"/>
        <v>2899774.6540018986</v>
      </c>
      <c r="BS18" s="125">
        <f t="shared" si="37"/>
        <v>2899774.6540018986</v>
      </c>
      <c r="BT18" s="125">
        <f t="shared" si="37"/>
        <v>2899774.6540018986</v>
      </c>
      <c r="BU18" s="125">
        <f t="shared" ref="BU18:EF18" si="38">BT18+BU17</f>
        <v>2899774.6540018986</v>
      </c>
      <c r="BV18" s="125">
        <f t="shared" si="38"/>
        <v>2899774.6540018986</v>
      </c>
      <c r="BW18" s="125">
        <f t="shared" si="38"/>
        <v>2899774.6540018986</v>
      </c>
      <c r="BX18" s="125">
        <f t="shared" si="38"/>
        <v>2899774.6540018986</v>
      </c>
      <c r="BY18" s="125">
        <f t="shared" si="38"/>
        <v>2899774.6540018986</v>
      </c>
      <c r="BZ18" s="125">
        <f t="shared" si="38"/>
        <v>2899774.6540018986</v>
      </c>
      <c r="CA18" s="125">
        <f t="shared" si="38"/>
        <v>2899774.6540018986</v>
      </c>
      <c r="CB18" s="125">
        <f t="shared" si="38"/>
        <v>2899774.6540018986</v>
      </c>
      <c r="CC18" s="125">
        <f t="shared" si="38"/>
        <v>2899774.6540018986</v>
      </c>
      <c r="CD18" s="125">
        <f t="shared" si="38"/>
        <v>2899774.6540018986</v>
      </c>
      <c r="CE18" s="125">
        <f t="shared" si="38"/>
        <v>2899774.6540018986</v>
      </c>
      <c r="CF18" s="125">
        <f t="shared" si="38"/>
        <v>2899774.6540018986</v>
      </c>
      <c r="CG18" s="125">
        <f t="shared" si="38"/>
        <v>2899774.6540018986</v>
      </c>
      <c r="CH18" s="125">
        <f t="shared" si="38"/>
        <v>2899774.6540018986</v>
      </c>
      <c r="CI18" s="125">
        <f t="shared" si="38"/>
        <v>2899774.6540018986</v>
      </c>
      <c r="CJ18" s="125">
        <f t="shared" si="38"/>
        <v>2899774.6540018986</v>
      </c>
      <c r="CK18" s="125">
        <f t="shared" si="38"/>
        <v>2899774.6540018986</v>
      </c>
      <c r="CL18" s="125">
        <f t="shared" si="38"/>
        <v>2899774.6540018986</v>
      </c>
      <c r="CM18" s="125">
        <f t="shared" si="38"/>
        <v>2899774.6540018986</v>
      </c>
      <c r="CN18" s="125">
        <f t="shared" si="38"/>
        <v>2899774.6540018986</v>
      </c>
      <c r="CO18" s="125">
        <f t="shared" si="38"/>
        <v>2899774.6540018986</v>
      </c>
      <c r="CP18" s="125">
        <f t="shared" si="38"/>
        <v>2899774.6540018986</v>
      </c>
      <c r="CQ18" s="125">
        <f t="shared" si="38"/>
        <v>2899774.6540018986</v>
      </c>
      <c r="CR18" s="125">
        <f t="shared" si="38"/>
        <v>2899774.6540018986</v>
      </c>
      <c r="CS18" s="125">
        <f t="shared" si="38"/>
        <v>2899774.6540018986</v>
      </c>
      <c r="CT18" s="125">
        <f t="shared" si="38"/>
        <v>2899774.6540018986</v>
      </c>
      <c r="CU18" s="125">
        <f t="shared" si="38"/>
        <v>2899774.6540018986</v>
      </c>
      <c r="CV18" s="125">
        <f t="shared" si="38"/>
        <v>2899774.6540018986</v>
      </c>
      <c r="CW18" s="125">
        <f t="shared" si="38"/>
        <v>2899774.6540018986</v>
      </c>
      <c r="CX18" s="125">
        <f t="shared" si="38"/>
        <v>2899774.6540018986</v>
      </c>
      <c r="CY18" s="125">
        <f t="shared" si="38"/>
        <v>2899774.6540018986</v>
      </c>
      <c r="CZ18" s="125">
        <f t="shared" si="38"/>
        <v>2899774.6540018986</v>
      </c>
      <c r="DA18" s="125">
        <f t="shared" si="38"/>
        <v>2899774.6540018986</v>
      </c>
      <c r="DB18" s="125">
        <f t="shared" si="38"/>
        <v>2899774.6540018986</v>
      </c>
      <c r="DC18" s="125">
        <f t="shared" si="38"/>
        <v>2899774.6540018986</v>
      </c>
      <c r="DD18" s="125">
        <f t="shared" si="38"/>
        <v>2899774.6540018986</v>
      </c>
      <c r="DE18" s="125">
        <f t="shared" si="38"/>
        <v>2899774.6540018986</v>
      </c>
      <c r="DF18" s="125">
        <f t="shared" si="38"/>
        <v>2899774.6540018986</v>
      </c>
      <c r="DG18" s="125">
        <f t="shared" si="38"/>
        <v>2899774.6540018986</v>
      </c>
      <c r="DH18" s="125">
        <f t="shared" si="38"/>
        <v>2899774.6540018986</v>
      </c>
      <c r="DI18" s="125">
        <f t="shared" si="38"/>
        <v>2899774.6540018986</v>
      </c>
      <c r="DJ18" s="125">
        <f t="shared" si="38"/>
        <v>2899774.6540018986</v>
      </c>
      <c r="DK18" s="125">
        <f t="shared" si="38"/>
        <v>2899774.6540018986</v>
      </c>
      <c r="DL18" s="125">
        <f t="shared" si="38"/>
        <v>2899774.6540018986</v>
      </c>
      <c r="DM18" s="125">
        <f t="shared" si="38"/>
        <v>2899774.6540018986</v>
      </c>
      <c r="DN18" s="125">
        <f t="shared" si="38"/>
        <v>2899774.6540018986</v>
      </c>
      <c r="DO18" s="125">
        <f t="shared" si="38"/>
        <v>2899774.6540018986</v>
      </c>
      <c r="DP18" s="125">
        <f t="shared" si="38"/>
        <v>2899774.6540018986</v>
      </c>
      <c r="DQ18" s="125">
        <f t="shared" si="38"/>
        <v>2899774.6540018986</v>
      </c>
      <c r="DR18" s="125">
        <f t="shared" si="38"/>
        <v>2899774.6540018986</v>
      </c>
      <c r="DS18" s="125">
        <f t="shared" si="38"/>
        <v>2899774.6540018986</v>
      </c>
      <c r="DT18" s="125">
        <f t="shared" si="38"/>
        <v>2899774.6540018986</v>
      </c>
      <c r="DU18" s="125">
        <f t="shared" si="38"/>
        <v>2899774.6540018986</v>
      </c>
      <c r="DV18" s="125">
        <f t="shared" si="38"/>
        <v>2899774.6540018986</v>
      </c>
      <c r="DW18" s="125">
        <f t="shared" si="38"/>
        <v>2899774.6540018986</v>
      </c>
      <c r="DX18" s="125">
        <f t="shared" si="38"/>
        <v>2899774.6540018986</v>
      </c>
      <c r="DY18" s="125">
        <f t="shared" si="38"/>
        <v>2899774.6540018986</v>
      </c>
      <c r="DZ18" s="125">
        <f t="shared" si="38"/>
        <v>2899774.6540018986</v>
      </c>
      <c r="EA18" s="125">
        <f t="shared" si="38"/>
        <v>2899774.6540018986</v>
      </c>
      <c r="EB18" s="125">
        <f t="shared" si="38"/>
        <v>2899774.6540018986</v>
      </c>
      <c r="EC18" s="125">
        <f t="shared" si="38"/>
        <v>2899774.6540018986</v>
      </c>
      <c r="ED18" s="125">
        <f t="shared" si="38"/>
        <v>2899774.6540018986</v>
      </c>
      <c r="EE18" s="125">
        <f t="shared" si="38"/>
        <v>2899774.6540018986</v>
      </c>
      <c r="EF18" s="125">
        <f t="shared" si="38"/>
        <v>2899774.6540018986</v>
      </c>
      <c r="EG18" s="125">
        <f t="shared" ref="EG18:GR18" si="39">EF18+EG17</f>
        <v>2899774.6540018986</v>
      </c>
      <c r="EH18" s="125">
        <f t="shared" si="39"/>
        <v>2899774.6540018986</v>
      </c>
      <c r="EI18" s="125">
        <f t="shared" si="39"/>
        <v>2899774.6540018986</v>
      </c>
      <c r="EJ18" s="125">
        <f t="shared" si="39"/>
        <v>2899774.6540018986</v>
      </c>
      <c r="EK18" s="125">
        <f t="shared" si="39"/>
        <v>2899774.6540018986</v>
      </c>
      <c r="EL18" s="125">
        <f t="shared" si="39"/>
        <v>2899774.6540018986</v>
      </c>
      <c r="EM18" s="125">
        <f t="shared" si="39"/>
        <v>2899774.6540018986</v>
      </c>
      <c r="EN18" s="125">
        <f t="shared" si="39"/>
        <v>2899774.6540018986</v>
      </c>
      <c r="EO18" s="125">
        <f t="shared" si="39"/>
        <v>2899774.6540018986</v>
      </c>
      <c r="EP18" s="125">
        <f t="shared" si="39"/>
        <v>2899774.6540018986</v>
      </c>
      <c r="EQ18" s="125">
        <f t="shared" si="39"/>
        <v>2899774.6540018986</v>
      </c>
      <c r="ER18" s="125">
        <f t="shared" si="39"/>
        <v>2899774.6540018986</v>
      </c>
      <c r="ES18" s="125">
        <f t="shared" si="39"/>
        <v>2899774.6540018986</v>
      </c>
      <c r="ET18" s="125">
        <f t="shared" si="39"/>
        <v>2899774.6540018986</v>
      </c>
      <c r="EU18" s="125">
        <f t="shared" si="39"/>
        <v>2899774.6540018986</v>
      </c>
      <c r="EV18" s="125">
        <f t="shared" si="39"/>
        <v>2899774.6540018986</v>
      </c>
      <c r="EW18" s="125">
        <f t="shared" si="39"/>
        <v>2899774.6540018986</v>
      </c>
      <c r="EX18" s="125">
        <f t="shared" si="39"/>
        <v>2899774.6540018986</v>
      </c>
      <c r="EY18" s="125">
        <f t="shared" si="39"/>
        <v>2899774.6540018986</v>
      </c>
      <c r="EZ18" s="125">
        <f t="shared" si="39"/>
        <v>2899774.6540018986</v>
      </c>
      <c r="FA18" s="125">
        <f t="shared" si="39"/>
        <v>2899774.6540018986</v>
      </c>
      <c r="FB18" s="125">
        <f t="shared" si="39"/>
        <v>2899774.6540018986</v>
      </c>
      <c r="FC18" s="125">
        <f t="shared" si="39"/>
        <v>2899774.6540018986</v>
      </c>
      <c r="FD18" s="125">
        <f t="shared" si="39"/>
        <v>2899774.6540018986</v>
      </c>
      <c r="FE18" s="125">
        <f t="shared" si="39"/>
        <v>2899774.6540018986</v>
      </c>
      <c r="FF18" s="125">
        <f t="shared" si="39"/>
        <v>2899774.6540018986</v>
      </c>
      <c r="FG18" s="125">
        <f t="shared" si="39"/>
        <v>2899774.6540018986</v>
      </c>
      <c r="FH18" s="125">
        <f t="shared" si="39"/>
        <v>2899774.6540018986</v>
      </c>
      <c r="FI18" s="125">
        <f t="shared" si="39"/>
        <v>2899774.6540018986</v>
      </c>
      <c r="FJ18" s="125">
        <f t="shared" si="39"/>
        <v>2899774.6540018986</v>
      </c>
      <c r="FK18" s="125">
        <f t="shared" si="39"/>
        <v>2899774.6540018986</v>
      </c>
      <c r="FL18" s="125">
        <f t="shared" si="39"/>
        <v>2899774.6540018986</v>
      </c>
      <c r="FM18" s="125">
        <f t="shared" si="39"/>
        <v>2899774.6540018986</v>
      </c>
      <c r="FN18" s="125">
        <f t="shared" si="39"/>
        <v>2899774.6540018986</v>
      </c>
      <c r="FO18" s="125">
        <f t="shared" si="39"/>
        <v>2899774.6540018986</v>
      </c>
      <c r="FP18" s="125">
        <f t="shared" si="39"/>
        <v>2899774.6540018986</v>
      </c>
      <c r="FQ18" s="125">
        <f t="shared" si="39"/>
        <v>2899774.6540018986</v>
      </c>
      <c r="FR18" s="125">
        <f t="shared" si="39"/>
        <v>2899774.6540018986</v>
      </c>
      <c r="FS18" s="125">
        <f t="shared" si="39"/>
        <v>2899774.6540018986</v>
      </c>
      <c r="FT18" s="125">
        <f t="shared" si="39"/>
        <v>2899774.6540018986</v>
      </c>
      <c r="FU18" s="125">
        <f t="shared" si="39"/>
        <v>2899774.6540018986</v>
      </c>
      <c r="FV18" s="125">
        <f t="shared" si="39"/>
        <v>2899774.6540018986</v>
      </c>
      <c r="FW18" s="125">
        <f t="shared" si="39"/>
        <v>2899774.6540018986</v>
      </c>
      <c r="FX18" s="125">
        <f t="shared" si="39"/>
        <v>2899774.6540018986</v>
      </c>
      <c r="FY18" s="125">
        <f t="shared" si="39"/>
        <v>2899774.6540018986</v>
      </c>
      <c r="FZ18" s="125">
        <f t="shared" si="39"/>
        <v>2899774.6540018986</v>
      </c>
      <c r="GA18" s="125">
        <f t="shared" si="39"/>
        <v>2899774.6540018986</v>
      </c>
      <c r="GB18" s="125">
        <f t="shared" si="39"/>
        <v>2899774.6540018986</v>
      </c>
      <c r="GC18" s="125">
        <f t="shared" si="39"/>
        <v>2899774.6540018986</v>
      </c>
      <c r="GD18" s="125">
        <f t="shared" si="39"/>
        <v>2899774.6540018986</v>
      </c>
      <c r="GE18" s="125">
        <f t="shared" si="39"/>
        <v>2899774.6540018986</v>
      </c>
      <c r="GF18" s="125">
        <f t="shared" si="39"/>
        <v>2899774.6540018986</v>
      </c>
      <c r="GG18" s="125">
        <f t="shared" si="39"/>
        <v>2899774.6540018986</v>
      </c>
      <c r="GH18" s="125">
        <f t="shared" si="39"/>
        <v>2899774.6540018986</v>
      </c>
      <c r="GI18" s="125">
        <f t="shared" si="39"/>
        <v>2899774.6540018986</v>
      </c>
      <c r="GJ18" s="125">
        <f t="shared" si="39"/>
        <v>2899774.6540018986</v>
      </c>
      <c r="GK18" s="125">
        <f t="shared" si="39"/>
        <v>2899774.6540018986</v>
      </c>
      <c r="GL18" s="125">
        <f t="shared" si="39"/>
        <v>2899774.6540018986</v>
      </c>
      <c r="GM18" s="125">
        <f t="shared" si="39"/>
        <v>2899774.6540018986</v>
      </c>
      <c r="GN18" s="125">
        <f t="shared" si="39"/>
        <v>2899774.6540018986</v>
      </c>
      <c r="GO18" s="125">
        <f t="shared" si="39"/>
        <v>2899774.6540018986</v>
      </c>
      <c r="GP18" s="125">
        <f t="shared" si="39"/>
        <v>2899774.6540018986</v>
      </c>
      <c r="GQ18" s="125">
        <f t="shared" si="39"/>
        <v>2899774.6540018986</v>
      </c>
      <c r="GR18" s="125">
        <f t="shared" si="39"/>
        <v>2899774.6540018986</v>
      </c>
      <c r="GS18" s="125">
        <f t="shared" ref="GS18:JD18" si="40">GR18+GS17</f>
        <v>2899774.6540018986</v>
      </c>
      <c r="GT18" s="125">
        <f t="shared" si="40"/>
        <v>2899774.6540018986</v>
      </c>
      <c r="GU18" s="125">
        <f t="shared" si="40"/>
        <v>2899774.6540018986</v>
      </c>
      <c r="GV18" s="125">
        <f t="shared" si="40"/>
        <v>2899774.6540018986</v>
      </c>
      <c r="GW18" s="125">
        <f t="shared" si="40"/>
        <v>2899774.6540018986</v>
      </c>
      <c r="GX18" s="125">
        <f t="shared" si="40"/>
        <v>2899774.6540018986</v>
      </c>
      <c r="GY18" s="125">
        <f t="shared" si="40"/>
        <v>2899774.6540018986</v>
      </c>
      <c r="GZ18" s="125">
        <f t="shared" si="40"/>
        <v>2899774.6540018986</v>
      </c>
      <c r="HA18" s="125">
        <f t="shared" si="40"/>
        <v>2899774.6540018986</v>
      </c>
      <c r="HB18" s="125">
        <f t="shared" si="40"/>
        <v>2899774.6540018986</v>
      </c>
      <c r="HC18" s="125">
        <f t="shared" si="40"/>
        <v>2899774.6540018986</v>
      </c>
      <c r="HD18" s="125">
        <f t="shared" si="40"/>
        <v>2899774.6540018986</v>
      </c>
      <c r="HE18" s="125">
        <f t="shared" si="40"/>
        <v>2899774.6540018986</v>
      </c>
      <c r="HF18" s="125">
        <f t="shared" si="40"/>
        <v>2899774.6540018986</v>
      </c>
      <c r="HG18" s="125">
        <f t="shared" si="40"/>
        <v>2899774.6540018986</v>
      </c>
      <c r="HH18" s="125">
        <f t="shared" si="40"/>
        <v>2899774.6540018986</v>
      </c>
      <c r="HI18" s="125">
        <f t="shared" si="40"/>
        <v>2899774.6540018986</v>
      </c>
      <c r="HJ18" s="125">
        <f t="shared" si="40"/>
        <v>2899774.6540018986</v>
      </c>
      <c r="HK18" s="125">
        <f t="shared" si="40"/>
        <v>2899774.6540018986</v>
      </c>
      <c r="HL18" s="125">
        <f t="shared" si="40"/>
        <v>2899774.6540018986</v>
      </c>
      <c r="HM18" s="125">
        <f t="shared" si="40"/>
        <v>2899774.6540018986</v>
      </c>
      <c r="HN18" s="125">
        <f t="shared" si="40"/>
        <v>2899774.6540018986</v>
      </c>
      <c r="HO18" s="125">
        <f t="shared" si="40"/>
        <v>2899774.6540018986</v>
      </c>
      <c r="HP18" s="125">
        <f t="shared" si="40"/>
        <v>2899774.6540018986</v>
      </c>
      <c r="HQ18" s="125">
        <f t="shared" si="40"/>
        <v>2899774.6540018986</v>
      </c>
      <c r="HR18" s="125">
        <f t="shared" si="40"/>
        <v>2899774.6540018986</v>
      </c>
      <c r="HS18" s="125">
        <f t="shared" si="40"/>
        <v>2899774.6540018986</v>
      </c>
      <c r="HT18" s="125">
        <f t="shared" si="40"/>
        <v>2899774.6540018986</v>
      </c>
      <c r="HU18" s="125">
        <f t="shared" si="40"/>
        <v>2899774.6540018986</v>
      </c>
      <c r="HV18" s="125">
        <f t="shared" si="40"/>
        <v>2899774.6540018986</v>
      </c>
      <c r="HW18" s="125">
        <f t="shared" si="40"/>
        <v>2899774.6540018986</v>
      </c>
      <c r="HX18" s="125">
        <f t="shared" si="40"/>
        <v>2899774.6540018986</v>
      </c>
      <c r="HY18" s="125">
        <f t="shared" si="40"/>
        <v>2899774.6540018986</v>
      </c>
      <c r="HZ18" s="125">
        <f t="shared" si="40"/>
        <v>2899774.6540018986</v>
      </c>
      <c r="IA18" s="125">
        <f t="shared" si="40"/>
        <v>2899774.6540018986</v>
      </c>
      <c r="IB18" s="125">
        <f t="shared" si="40"/>
        <v>2899774.6540018986</v>
      </c>
      <c r="IC18" s="125">
        <f t="shared" si="40"/>
        <v>2899774.6540018986</v>
      </c>
      <c r="ID18" s="125">
        <f t="shared" si="40"/>
        <v>2899774.6540018986</v>
      </c>
      <c r="IE18" s="125">
        <f t="shared" si="40"/>
        <v>2899774.6540018986</v>
      </c>
      <c r="IF18" s="125">
        <f t="shared" si="40"/>
        <v>2899774.6540018986</v>
      </c>
      <c r="IG18" s="125">
        <f t="shared" si="40"/>
        <v>2899774.6540018986</v>
      </c>
      <c r="IH18" s="125">
        <f t="shared" si="40"/>
        <v>2899774.6540018986</v>
      </c>
      <c r="II18" s="125">
        <f t="shared" si="40"/>
        <v>2899774.6540018986</v>
      </c>
      <c r="IJ18" s="125">
        <f t="shared" si="40"/>
        <v>2899774.6540018986</v>
      </c>
      <c r="IK18" s="125">
        <f t="shared" si="40"/>
        <v>2899774.6540018986</v>
      </c>
      <c r="IL18" s="125">
        <f t="shared" si="40"/>
        <v>2899774.6540018986</v>
      </c>
      <c r="IM18" s="125">
        <f t="shared" si="40"/>
        <v>2899774.6540018986</v>
      </c>
      <c r="IN18" s="125">
        <f t="shared" si="40"/>
        <v>2899774.6540018986</v>
      </c>
      <c r="IO18" s="125">
        <f t="shared" si="40"/>
        <v>2899774.6540018986</v>
      </c>
      <c r="IP18" s="125">
        <f t="shared" si="40"/>
        <v>2899774.6540018986</v>
      </c>
      <c r="IQ18" s="125">
        <f t="shared" si="40"/>
        <v>2899774.6540018986</v>
      </c>
      <c r="IR18" s="125">
        <f t="shared" si="40"/>
        <v>2899774.6540018986</v>
      </c>
      <c r="IS18" s="125">
        <f t="shared" si="40"/>
        <v>2899774.6540018986</v>
      </c>
      <c r="IT18" s="125">
        <f t="shared" si="40"/>
        <v>2899774.6540018986</v>
      </c>
      <c r="IU18" s="125">
        <f t="shared" si="40"/>
        <v>2899774.6540018986</v>
      </c>
      <c r="IV18" s="125">
        <f t="shared" si="40"/>
        <v>2899774.6540018986</v>
      </c>
      <c r="IW18" s="125">
        <f t="shared" si="40"/>
        <v>2899774.6540018986</v>
      </c>
      <c r="IX18" s="125">
        <f t="shared" si="40"/>
        <v>2899774.6540018986</v>
      </c>
      <c r="IY18" s="125">
        <f t="shared" si="40"/>
        <v>2899774.6540018986</v>
      </c>
      <c r="IZ18" s="125">
        <f t="shared" si="40"/>
        <v>2899774.6540018986</v>
      </c>
      <c r="JA18" s="125">
        <f t="shared" si="40"/>
        <v>2899774.6540018986</v>
      </c>
      <c r="JB18" s="125">
        <f t="shared" si="40"/>
        <v>2899774.6540018986</v>
      </c>
      <c r="JC18" s="125">
        <f t="shared" si="40"/>
        <v>2899774.6540018986</v>
      </c>
      <c r="JD18" s="125">
        <f t="shared" si="40"/>
        <v>2899774.6540018986</v>
      </c>
      <c r="JE18" s="125">
        <f t="shared" ref="JE18:KE18" si="41">JD18+JE17</f>
        <v>2899774.6540018986</v>
      </c>
      <c r="JF18" s="125">
        <f t="shared" si="41"/>
        <v>2899774.6540018986</v>
      </c>
      <c r="JG18" s="125">
        <f t="shared" si="41"/>
        <v>2899774.6540018986</v>
      </c>
      <c r="JH18" s="125">
        <f t="shared" si="41"/>
        <v>2899774.6540018986</v>
      </c>
      <c r="JI18" s="125">
        <f t="shared" si="41"/>
        <v>2899774.6540018986</v>
      </c>
      <c r="JJ18" s="125">
        <f t="shared" si="41"/>
        <v>2899774.6540018986</v>
      </c>
      <c r="JK18" s="125">
        <f t="shared" si="41"/>
        <v>2899774.6540018986</v>
      </c>
      <c r="JL18" s="125">
        <f t="shared" si="41"/>
        <v>2899774.6540018986</v>
      </c>
      <c r="JM18" s="125">
        <f t="shared" si="41"/>
        <v>2899774.6540018986</v>
      </c>
      <c r="JN18" s="125">
        <f t="shared" si="41"/>
        <v>2899774.6540018986</v>
      </c>
      <c r="JO18" s="125">
        <f t="shared" si="41"/>
        <v>2899774.6540018986</v>
      </c>
      <c r="JP18" s="125">
        <f t="shared" si="41"/>
        <v>2899774.6540018986</v>
      </c>
      <c r="JQ18" s="125">
        <f t="shared" si="41"/>
        <v>2899774.6540018986</v>
      </c>
      <c r="JR18" s="125">
        <f t="shared" si="41"/>
        <v>2899774.6540018986</v>
      </c>
      <c r="JS18" s="125">
        <f t="shared" si="41"/>
        <v>2899774.6540018986</v>
      </c>
      <c r="JT18" s="125">
        <f t="shared" si="41"/>
        <v>2899774.6540018986</v>
      </c>
      <c r="JU18" s="125">
        <f t="shared" si="41"/>
        <v>2899774.6540018986</v>
      </c>
      <c r="JV18" s="125">
        <f t="shared" si="41"/>
        <v>2899774.6540018986</v>
      </c>
      <c r="JW18" s="125">
        <f t="shared" si="41"/>
        <v>2899774.6540018986</v>
      </c>
      <c r="JX18" s="125">
        <f t="shared" si="41"/>
        <v>2899774.6540018986</v>
      </c>
      <c r="JY18" s="125">
        <f t="shared" si="41"/>
        <v>2899774.6540018986</v>
      </c>
      <c r="JZ18" s="125">
        <f t="shared" si="41"/>
        <v>2899774.6540018986</v>
      </c>
      <c r="KA18" s="125">
        <f t="shared" si="41"/>
        <v>2899774.6540018986</v>
      </c>
      <c r="KB18" s="125">
        <f t="shared" si="41"/>
        <v>2899774.6540018986</v>
      </c>
      <c r="KC18" s="125">
        <f t="shared" si="41"/>
        <v>2899774.6540018986</v>
      </c>
      <c r="KD18" s="125">
        <f t="shared" si="41"/>
        <v>2899774.6540018986</v>
      </c>
      <c r="KE18" s="125">
        <f t="shared" si="41"/>
        <v>2899774.6540018986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40625" defaultRowHeight="14.45"/>
  <cols>
    <col min="1" max="1" width="36.85546875" style="269" bestFit="1" customWidth="1"/>
    <col min="2" max="2" width="15.85546875" style="270" bestFit="1" customWidth="1"/>
    <col min="3" max="3" width="6.140625" style="269" bestFit="1" customWidth="1"/>
    <col min="4" max="4" width="11.140625" style="269" bestFit="1" customWidth="1"/>
    <col min="5" max="5" width="12.85546875" style="269" bestFit="1" customWidth="1"/>
    <col min="6" max="6" width="14.5703125" style="269" bestFit="1" customWidth="1"/>
    <col min="7" max="8" width="11.85546875" style="269" bestFit="1" customWidth="1"/>
    <col min="9" max="10" width="14.5703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394</v>
      </c>
      <c r="B3" s="540" t="s">
        <v>395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266</v>
      </c>
      <c r="B6" s="272"/>
      <c r="C6" s="272">
        <v>0</v>
      </c>
      <c r="D6" s="272"/>
      <c r="E6" s="272">
        <v>306672.09883720923</v>
      </c>
      <c r="F6" s="272"/>
      <c r="G6" s="272"/>
      <c r="H6" s="272"/>
      <c r="I6" s="272">
        <v>306672.09883720923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>
        <v>0</v>
      </c>
      <c r="D8" s="272"/>
      <c r="E8" s="272"/>
      <c r="F8" s="272">
        <v>62560.465116279069</v>
      </c>
      <c r="G8" s="272"/>
      <c r="H8" s="272"/>
      <c r="I8" s="272">
        <v>62560.465116279069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293</v>
      </c>
      <c r="B9" s="272"/>
      <c r="C9" s="272">
        <v>0</v>
      </c>
      <c r="D9" s="272"/>
      <c r="E9" s="272">
        <v>57770.915715370182</v>
      </c>
      <c r="F9" s="272">
        <v>64694.833218295156</v>
      </c>
      <c r="G9" s="272">
        <v>9242.1190311850223</v>
      </c>
      <c r="H9" s="272">
        <v>13863.178546777535</v>
      </c>
      <c r="I9" s="272">
        <v>145571.04651162791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309</v>
      </c>
      <c r="B10" s="272"/>
      <c r="C10" s="272">
        <v>0</v>
      </c>
      <c r="D10" s="272"/>
      <c r="E10" s="272"/>
      <c r="F10" s="272"/>
      <c r="G10" s="272"/>
      <c r="H10" s="272">
        <v>0</v>
      </c>
      <c r="I10" s="272">
        <v>0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313</v>
      </c>
      <c r="B11" s="272"/>
      <c r="C11" s="272"/>
      <c r="D11" s="272"/>
      <c r="E11" s="272"/>
      <c r="F11" s="272"/>
      <c r="G11" s="272"/>
      <c r="H11" s="272"/>
      <c r="I11" s="272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323</v>
      </c>
      <c r="B12" s="272">
        <v>0</v>
      </c>
      <c r="C12" s="272">
        <v>0</v>
      </c>
      <c r="D12" s="272"/>
      <c r="E12" s="272"/>
      <c r="F12" s="272">
        <v>805986.51162790693</v>
      </c>
      <c r="G12" s="272"/>
      <c r="H12" s="272"/>
      <c r="I12" s="272">
        <v>805986.51162790693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330</v>
      </c>
      <c r="B13" s="272"/>
      <c r="C13" s="272">
        <v>0</v>
      </c>
      <c r="D13" s="272"/>
      <c r="E13" s="272">
        <v>5281.1111111111113</v>
      </c>
      <c r="F13" s="272">
        <v>73935.555555555547</v>
      </c>
      <c r="G13" s="272">
        <v>10562.222222222223</v>
      </c>
      <c r="H13" s="272">
        <v>15843.333333333332</v>
      </c>
      <c r="I13" s="272">
        <v>105622.2222222222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333</v>
      </c>
      <c r="B14" s="272"/>
      <c r="C14" s="272">
        <v>0</v>
      </c>
      <c r="D14" s="272"/>
      <c r="E14" s="272">
        <v>1012.1269700698085</v>
      </c>
      <c r="F14" s="272">
        <v>30277.756698099678</v>
      </c>
      <c r="G14" s="272">
        <v>2024.253940139617</v>
      </c>
      <c r="H14" s="272">
        <v>3036.380910209426</v>
      </c>
      <c r="I14" s="272">
        <v>36350.518518518526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337</v>
      </c>
      <c r="B15" s="272"/>
      <c r="C15" s="272">
        <v>0</v>
      </c>
      <c r="D15" s="272"/>
      <c r="E15" s="272"/>
      <c r="F15" s="272">
        <v>32222.222222222219</v>
      </c>
      <c r="G15" s="272"/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348</v>
      </c>
      <c r="B16" s="272"/>
      <c r="C16" s="272">
        <v>0</v>
      </c>
      <c r="D16" s="272"/>
      <c r="E16" s="272"/>
      <c r="F16" s="272">
        <v>25727.261084692029</v>
      </c>
      <c r="G16" s="272"/>
      <c r="H16" s="272"/>
      <c r="I16" s="272">
        <v>25727.261084692029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356</v>
      </c>
      <c r="B17" s="272"/>
      <c r="C17" s="272">
        <v>0</v>
      </c>
      <c r="D17" s="272">
        <v>534.72222222222217</v>
      </c>
      <c r="E17" s="272"/>
      <c r="F17" s="272">
        <v>534.72222222222217</v>
      </c>
      <c r="G17" s="272">
        <v>534.72222222222217</v>
      </c>
      <c r="H17" s="272">
        <v>534.72222222222217</v>
      </c>
      <c r="I17" s="272">
        <v>2138.8888888888887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316</v>
      </c>
      <c r="B20" s="272"/>
      <c r="C20" s="272">
        <v>0</v>
      </c>
      <c r="D20" s="272"/>
      <c r="E20" s="272"/>
      <c r="F20" s="272">
        <v>1376923.418972332</v>
      </c>
      <c r="G20" s="272"/>
      <c r="H20" s="272"/>
      <c r="I20" s="272">
        <v>1376923.418972332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398</v>
      </c>
      <c r="B21" s="272">
        <v>0</v>
      </c>
      <c r="C21" s="272">
        <v>0</v>
      </c>
      <c r="D21" s="272">
        <v>534.72222222222217</v>
      </c>
      <c r="E21" s="272">
        <v>370736.25263376033</v>
      </c>
      <c r="F21" s="272">
        <v>2472862.7467176048</v>
      </c>
      <c r="G21" s="272">
        <v>22363.317415769085</v>
      </c>
      <c r="H21" s="272">
        <v>33277.615012542519</v>
      </c>
      <c r="I21" s="272">
        <v>2899774.6540018991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F36" sqref="F36"/>
    </sheetView>
  </sheetViews>
  <sheetFormatPr defaultColWidth="8.42578125" defaultRowHeight="14.45"/>
  <cols>
    <col min="1" max="1" width="20.140625" bestFit="1" customWidth="1"/>
    <col min="2" max="2" width="15.85546875" style="308" bestFit="1" customWidth="1"/>
    <col min="3" max="3" width="6.140625" style="308" bestFit="1" customWidth="1"/>
    <col min="4" max="4" width="11.140625" style="308" bestFit="1" customWidth="1"/>
    <col min="5" max="5" width="12.85546875" style="308" bestFit="1" customWidth="1"/>
    <col min="6" max="6" width="14.5703125" style="308" bestFit="1" customWidth="1"/>
    <col min="7" max="8" width="11.85546875" style="308" bestFit="1" customWidth="1"/>
    <col min="9" max="9" width="14.5703125" style="308" bestFit="1" customWidth="1"/>
    <col min="10" max="10" width="12.1406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540" t="s">
        <v>399</v>
      </c>
      <c r="B3" s="540" t="s">
        <v>395</v>
      </c>
      <c r="C3"/>
      <c r="D3"/>
      <c r="E3"/>
      <c r="F3"/>
      <c r="G3"/>
      <c r="H3"/>
      <c r="I3"/>
    </row>
    <row r="4" spans="1:9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</row>
    <row r="5" spans="1:9">
      <c r="A5" s="345" t="s">
        <v>397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266</v>
      </c>
      <c r="B6" s="347"/>
      <c r="C6" s="347"/>
      <c r="D6" s="347"/>
      <c r="E6" s="347">
        <v>258000</v>
      </c>
      <c r="F6" s="347"/>
      <c r="G6" s="347"/>
      <c r="H6" s="347"/>
      <c r="I6" s="347">
        <v>258000</v>
      </c>
    </row>
    <row r="7" spans="1:9">
      <c r="A7" s="345" t="s">
        <v>275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286</v>
      </c>
      <c r="B8" s="347"/>
      <c r="C8" s="347"/>
      <c r="D8" s="347"/>
      <c r="E8" s="347"/>
      <c r="F8" s="347">
        <v>53802</v>
      </c>
      <c r="G8" s="347"/>
      <c r="H8" s="347"/>
      <c r="I8" s="347">
        <v>53802</v>
      </c>
    </row>
    <row r="9" spans="1:9">
      <c r="A9" s="345" t="s">
        <v>293</v>
      </c>
      <c r="B9" s="347"/>
      <c r="C9" s="347"/>
      <c r="D9" s="347"/>
      <c r="E9" s="347">
        <v>45651.64675</v>
      </c>
      <c r="F9" s="347">
        <v>51123.054499999998</v>
      </c>
      <c r="G9" s="347">
        <v>7303.2934999999998</v>
      </c>
      <c r="H9" s="347">
        <v>10954.94025</v>
      </c>
      <c r="I9" s="347">
        <v>115032.935</v>
      </c>
    </row>
    <row r="10" spans="1:9">
      <c r="A10" s="345" t="s">
        <v>309</v>
      </c>
      <c r="B10" s="347"/>
      <c r="C10" s="347"/>
      <c r="D10" s="347"/>
      <c r="E10" s="347"/>
      <c r="F10" s="347"/>
      <c r="G10" s="347"/>
      <c r="H10" s="347">
        <v>49000</v>
      </c>
      <c r="I10" s="347">
        <v>49000</v>
      </c>
    </row>
    <row r="11" spans="1:9">
      <c r="A11" s="345" t="s">
        <v>313</v>
      </c>
      <c r="B11" s="347"/>
      <c r="C11" s="347"/>
      <c r="D11" s="347"/>
      <c r="E11" s="347">
        <v>0</v>
      </c>
      <c r="F11" s="347">
        <v>0</v>
      </c>
      <c r="G11" s="347">
        <v>0</v>
      </c>
      <c r="H11" s="347">
        <v>0</v>
      </c>
      <c r="I11" s="347">
        <v>0</v>
      </c>
    </row>
    <row r="12" spans="1:9">
      <c r="A12" s="345" t="s">
        <v>323</v>
      </c>
      <c r="B12" s="347"/>
      <c r="C12" s="347"/>
      <c r="D12" s="347"/>
      <c r="E12" s="347"/>
      <c r="F12" s="347">
        <v>693148.4</v>
      </c>
      <c r="G12" s="347"/>
      <c r="H12" s="347"/>
      <c r="I12" s="347">
        <v>693148.4</v>
      </c>
    </row>
    <row r="13" spans="1:9">
      <c r="A13" s="345" t="s">
        <v>330</v>
      </c>
      <c r="B13" s="347"/>
      <c r="C13" s="347"/>
      <c r="D13" s="347"/>
      <c r="E13" s="347">
        <v>4040.05</v>
      </c>
      <c r="F13" s="347">
        <v>56560.7</v>
      </c>
      <c r="G13" s="347">
        <v>8080.1</v>
      </c>
      <c r="H13" s="347">
        <v>12120.15</v>
      </c>
      <c r="I13" s="347">
        <v>80801</v>
      </c>
    </row>
    <row r="14" spans="1:9">
      <c r="A14" s="345" t="s">
        <v>333</v>
      </c>
      <c r="B14" s="347"/>
      <c r="C14" s="347"/>
      <c r="D14" s="347"/>
      <c r="E14" s="347">
        <v>829.40733333333344</v>
      </c>
      <c r="F14" s="347">
        <v>24811.702666666664</v>
      </c>
      <c r="G14" s="347">
        <v>1658.8146666666669</v>
      </c>
      <c r="H14" s="347">
        <v>2488.2220000000002</v>
      </c>
      <c r="I14" s="347">
        <v>29788.146666666664</v>
      </c>
    </row>
    <row r="15" spans="1:9">
      <c r="A15" s="345" t="s">
        <v>337</v>
      </c>
      <c r="B15" s="347"/>
      <c r="C15" s="347">
        <v>0</v>
      </c>
      <c r="D15" s="347"/>
      <c r="E15" s="347"/>
      <c r="F15" s="347">
        <v>35000</v>
      </c>
      <c r="G15" s="347"/>
      <c r="H15" s="347"/>
      <c r="I15" s="347">
        <v>35000</v>
      </c>
    </row>
    <row r="16" spans="1:9">
      <c r="A16" s="345" t="s">
        <v>348</v>
      </c>
      <c r="B16" s="347"/>
      <c r="C16" s="347"/>
      <c r="D16" s="347"/>
      <c r="E16" s="347"/>
      <c r="F16" s="347">
        <v>36247.183175023732</v>
      </c>
      <c r="G16" s="347"/>
      <c r="H16" s="347"/>
      <c r="I16" s="347">
        <v>36247.183175023732</v>
      </c>
    </row>
    <row r="17" spans="1:9">
      <c r="A17" s="345" t="s">
        <v>356</v>
      </c>
      <c r="B17" s="347"/>
      <c r="C17" s="347"/>
      <c r="D17" s="347">
        <v>481.25</v>
      </c>
      <c r="E17" s="347"/>
      <c r="F17" s="347">
        <v>481.25</v>
      </c>
      <c r="G17" s="347">
        <v>481.25</v>
      </c>
      <c r="H17" s="347">
        <v>481.25</v>
      </c>
      <c r="I17" s="347">
        <v>1925</v>
      </c>
    </row>
    <row r="18" spans="1:9">
      <c r="A18" s="345" t="s">
        <v>359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345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316</v>
      </c>
      <c r="B20" s="347"/>
      <c r="C20" s="347"/>
      <c r="D20" s="347"/>
      <c r="E20" s="347"/>
      <c r="F20" s="347">
        <v>1211692.6086956521</v>
      </c>
      <c r="G20" s="347"/>
      <c r="H20" s="347"/>
      <c r="I20" s="347">
        <v>1211692.6086956521</v>
      </c>
    </row>
    <row r="21" spans="1:9">
      <c r="A21" s="345" t="s">
        <v>398</v>
      </c>
      <c r="B21" s="347"/>
      <c r="C21" s="347">
        <v>0</v>
      </c>
      <c r="D21" s="347">
        <v>481.25</v>
      </c>
      <c r="E21" s="347">
        <v>308521.10408333334</v>
      </c>
      <c r="F21" s="347">
        <v>2162866.8990373425</v>
      </c>
      <c r="G21" s="347">
        <v>17523.458166666667</v>
      </c>
      <c r="H21" s="347">
        <v>75044.562249999988</v>
      </c>
      <c r="I21" s="347">
        <v>2564437.2735373424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400</v>
      </c>
      <c r="F2" s="19" t="s">
        <v>401</v>
      </c>
    </row>
    <row r="3" spans="3:8">
      <c r="C3" s="15">
        <v>45658</v>
      </c>
      <c r="D3" s="9" t="s">
        <v>402</v>
      </c>
      <c r="F3" s="17" t="s">
        <v>403</v>
      </c>
    </row>
    <row r="4" spans="3:8">
      <c r="C4" s="15">
        <v>45737</v>
      </c>
      <c r="D4" s="9" t="s">
        <v>404</v>
      </c>
      <c r="F4" s="17" t="s">
        <v>405</v>
      </c>
    </row>
    <row r="5" spans="3:8">
      <c r="C5" s="15">
        <v>45765</v>
      </c>
      <c r="D5" s="9" t="s">
        <v>406</v>
      </c>
      <c r="F5" s="17" t="s">
        <v>407</v>
      </c>
    </row>
    <row r="6" spans="3:8" ht="12.95" thickBot="1">
      <c r="C6" s="15">
        <v>45768</v>
      </c>
      <c r="D6" s="9" t="s">
        <v>408</v>
      </c>
      <c r="F6" s="18" t="s">
        <v>409</v>
      </c>
    </row>
    <row r="7" spans="3:8">
      <c r="C7" s="15">
        <v>45774</v>
      </c>
      <c r="D7" s="9" t="s">
        <v>410</v>
      </c>
    </row>
    <row r="8" spans="3:8">
      <c r="C8" s="15">
        <v>45765</v>
      </c>
      <c r="D8" s="9" t="s">
        <v>411</v>
      </c>
    </row>
    <row r="9" spans="3:8">
      <c r="C9" s="15">
        <v>45778</v>
      </c>
      <c r="D9" s="9" t="s">
        <v>412</v>
      </c>
    </row>
    <row r="10" spans="3:8">
      <c r="C10" s="15">
        <v>45824</v>
      </c>
      <c r="D10" s="9" t="s">
        <v>413</v>
      </c>
    </row>
    <row r="11" spans="3:8">
      <c r="C11" s="15">
        <v>45878</v>
      </c>
      <c r="D11" s="9" t="s">
        <v>414</v>
      </c>
    </row>
    <row r="12" spans="3:8">
      <c r="C12" s="15">
        <v>45924</v>
      </c>
      <c r="D12" s="9" t="s">
        <v>415</v>
      </c>
    </row>
    <row r="13" spans="3:8">
      <c r="C13" s="15">
        <v>46007</v>
      </c>
      <c r="D13" s="9" t="s">
        <v>416</v>
      </c>
      <c r="F13" s="20"/>
      <c r="H13" s="9" t="s">
        <v>417</v>
      </c>
    </row>
    <row r="14" spans="3:8">
      <c r="C14" s="15">
        <v>46016</v>
      </c>
      <c r="D14" s="9" t="s">
        <v>418</v>
      </c>
    </row>
    <row r="15" spans="3:8">
      <c r="C15" s="15">
        <v>46017</v>
      </c>
      <c r="D15" s="9" t="s">
        <v>419</v>
      </c>
    </row>
    <row r="16" spans="3:8">
      <c r="C16" s="15">
        <v>46006</v>
      </c>
      <c r="D16" s="9" t="s">
        <v>420</v>
      </c>
    </row>
    <row r="17" spans="3:4">
      <c r="C17" s="15">
        <v>46007</v>
      </c>
      <c r="D17" s="9" t="s">
        <v>420</v>
      </c>
    </row>
    <row r="18" spans="3:4">
      <c r="C18" s="15">
        <v>46008</v>
      </c>
      <c r="D18" s="9" t="s">
        <v>420</v>
      </c>
    </row>
    <row r="19" spans="3:4">
      <c r="C19" s="15">
        <v>46009</v>
      </c>
      <c r="D19" s="9" t="s">
        <v>420</v>
      </c>
    </row>
    <row r="20" spans="3:4">
      <c r="C20" s="15">
        <v>46010</v>
      </c>
      <c r="D20" s="9" t="s">
        <v>420</v>
      </c>
    </row>
    <row r="21" spans="3:4">
      <c r="C21" s="15">
        <v>46011</v>
      </c>
      <c r="D21" s="9" t="s">
        <v>420</v>
      </c>
    </row>
    <row r="22" spans="3:4">
      <c r="C22" s="15">
        <v>46012</v>
      </c>
      <c r="D22" s="9" t="s">
        <v>420</v>
      </c>
    </row>
    <row r="23" spans="3:4">
      <c r="C23" s="15">
        <v>46013</v>
      </c>
      <c r="D23" s="9" t="s">
        <v>420</v>
      </c>
    </row>
    <row r="24" spans="3:4">
      <c r="C24" s="15">
        <v>46014</v>
      </c>
      <c r="D24" s="9" t="s">
        <v>420</v>
      </c>
    </row>
    <row r="25" spans="3:4">
      <c r="C25" s="15">
        <v>46015</v>
      </c>
      <c r="D25" s="9" t="s">
        <v>420</v>
      </c>
    </row>
    <row r="26" spans="3:4">
      <c r="C26" s="15">
        <v>46016</v>
      </c>
      <c r="D26" s="9" t="s">
        <v>420</v>
      </c>
    </row>
    <row r="27" spans="3:4">
      <c r="C27" s="15">
        <v>46017</v>
      </c>
      <c r="D27" s="9" t="s">
        <v>420</v>
      </c>
    </row>
    <row r="28" spans="3:4">
      <c r="C28" s="15">
        <v>46018</v>
      </c>
      <c r="D28" s="9" t="s">
        <v>420</v>
      </c>
    </row>
    <row r="29" spans="3:4">
      <c r="C29" s="15">
        <v>46019</v>
      </c>
      <c r="D29" s="9" t="s">
        <v>420</v>
      </c>
    </row>
    <row r="30" spans="3:4">
      <c r="C30" s="15">
        <v>46020</v>
      </c>
      <c r="D30" s="9" t="s">
        <v>420</v>
      </c>
    </row>
    <row r="31" spans="3:4">
      <c r="C31" s="15">
        <v>46021</v>
      </c>
      <c r="D31" s="9" t="s">
        <v>420</v>
      </c>
    </row>
    <row r="32" spans="3:4">
      <c r="C32" s="15">
        <v>46022</v>
      </c>
      <c r="D32" s="9" t="s">
        <v>420</v>
      </c>
    </row>
    <row r="33" spans="3:4">
      <c r="C33" s="15">
        <v>46023</v>
      </c>
      <c r="D33" s="9" t="s">
        <v>420</v>
      </c>
    </row>
    <row r="34" spans="3:4">
      <c r="C34" s="15">
        <v>46024</v>
      </c>
      <c r="D34" s="9" t="s">
        <v>420</v>
      </c>
    </row>
    <row r="35" spans="3:4">
      <c r="C35" s="15">
        <v>46025</v>
      </c>
      <c r="D35" s="9" t="s">
        <v>420</v>
      </c>
    </row>
    <row r="36" spans="3:4">
      <c r="C36" s="15">
        <v>46026</v>
      </c>
      <c r="D36" s="9" t="s">
        <v>420</v>
      </c>
    </row>
    <row r="37" spans="3:4">
      <c r="C37" s="15">
        <v>46027</v>
      </c>
      <c r="D37" s="9" t="s">
        <v>420</v>
      </c>
    </row>
    <row r="38" spans="3:4">
      <c r="C38" s="15">
        <v>46028</v>
      </c>
      <c r="D38" s="9" t="s">
        <v>420</v>
      </c>
    </row>
    <row r="39" spans="3:4">
      <c r="C39" s="15">
        <v>46029</v>
      </c>
      <c r="D39" s="9" t="s">
        <v>420</v>
      </c>
    </row>
    <row r="40" spans="3:4">
      <c r="C40" s="15">
        <v>46030</v>
      </c>
      <c r="D40" s="9" t="s">
        <v>420</v>
      </c>
    </row>
    <row r="41" spans="3:4">
      <c r="C41" s="15">
        <v>46031</v>
      </c>
      <c r="D41" s="9" t="s">
        <v>420</v>
      </c>
    </row>
    <row r="42" spans="3:4">
      <c r="C42" s="15">
        <v>46032</v>
      </c>
      <c r="D42" s="9" t="s">
        <v>420</v>
      </c>
    </row>
    <row r="43" spans="3:4">
      <c r="C43" s="15">
        <v>46033</v>
      </c>
      <c r="D43" s="9" t="s">
        <v>420</v>
      </c>
    </row>
    <row r="44" spans="3:4">
      <c r="C44" s="15">
        <v>46034</v>
      </c>
      <c r="D44" s="9" t="s">
        <v>420</v>
      </c>
    </row>
    <row r="45" spans="3:4">
      <c r="C45" s="15">
        <v>46035</v>
      </c>
      <c r="D45" s="9" t="s">
        <v>420</v>
      </c>
    </row>
    <row r="46" spans="3:4">
      <c r="C46" s="15">
        <v>46036</v>
      </c>
      <c r="D46" s="9" t="s">
        <v>420</v>
      </c>
    </row>
    <row r="47" spans="3:4">
      <c r="C47" s="15">
        <v>46037</v>
      </c>
      <c r="D47" s="9" t="s">
        <v>420</v>
      </c>
    </row>
    <row r="48" spans="3:4">
      <c r="C48" s="15">
        <v>46038</v>
      </c>
      <c r="D48" s="9" t="s">
        <v>420</v>
      </c>
    </row>
    <row r="49" spans="3:4">
      <c r="C49" s="15">
        <v>46102</v>
      </c>
      <c r="D49" s="9" t="s">
        <v>404</v>
      </c>
    </row>
    <row r="50" spans="3:4">
      <c r="C50" s="15">
        <v>46115</v>
      </c>
      <c r="D50" s="9" t="s">
        <v>406</v>
      </c>
    </row>
    <row r="51" spans="3:4">
      <c r="C51" s="15">
        <v>46118</v>
      </c>
      <c r="D51" s="9" t="s">
        <v>408</v>
      </c>
    </row>
    <row r="52" spans="3:4">
      <c r="C52" s="15">
        <v>46139</v>
      </c>
      <c r="D52" s="9" t="s">
        <v>410</v>
      </c>
    </row>
    <row r="53" spans="3:4">
      <c r="C53" s="15">
        <v>46143</v>
      </c>
      <c r="D53" s="9" t="s">
        <v>412</v>
      </c>
    </row>
    <row r="54" spans="3:4">
      <c r="C54" s="15">
        <v>46189</v>
      </c>
      <c r="D54" s="9" t="s">
        <v>413</v>
      </c>
    </row>
    <row r="55" spans="3:4">
      <c r="C55" s="15">
        <v>46243</v>
      </c>
      <c r="D55" s="9" t="s">
        <v>414</v>
      </c>
    </row>
    <row r="56" spans="3:4">
      <c r="C56" s="15">
        <v>46244</v>
      </c>
      <c r="D56" s="9" t="s">
        <v>421</v>
      </c>
    </row>
    <row r="57" spans="3:4">
      <c r="C57" s="15">
        <v>46289</v>
      </c>
      <c r="D57" s="9" t="s">
        <v>415</v>
      </c>
    </row>
    <row r="58" spans="3:4">
      <c r="C58" s="15">
        <v>46372</v>
      </c>
      <c r="D58" s="9" t="s">
        <v>416</v>
      </c>
    </row>
    <row r="59" spans="3:4">
      <c r="C59" s="15">
        <v>46381</v>
      </c>
      <c r="D59" s="9" t="s">
        <v>418</v>
      </c>
    </row>
    <row r="60" spans="3:4" ht="12.95" thickBot="1">
      <c r="C60" s="16">
        <v>46382</v>
      </c>
      <c r="D60" s="9" t="s">
        <v>419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F1963D3D-7391-4C2D-8D3E-39B3856F197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2026-02-02T18:24:35Z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