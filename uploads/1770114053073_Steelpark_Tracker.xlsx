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5" documentId="13_ncr:1_{3ECD668F-DBB6-42A3-9FAB-1C780F61CF9D}" xr6:coauthVersionLast="47" xr6:coauthVersionMax="47" xr10:uidLastSave="{A82728AA-C0FA-47C8-B954-8CE6BB4663A7}"/>
  <bookViews>
    <workbookView xWindow="-98" yWindow="-98" windowWidth="21795" windowHeight="12975" tabRatio="805" firstSheet="8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6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U49" i="18"/>
  <c r="W139" i="18"/>
  <c r="W138" i="18"/>
  <c r="W137" i="18"/>
  <c r="W136" i="18"/>
  <c r="W54" i="18"/>
  <c r="W21" i="18"/>
  <c r="G12" i="2"/>
  <c r="E13" i="2" l="1"/>
  <c r="G13" i="2" l="1"/>
  <c r="E14" i="2" l="1"/>
  <c r="E24" i="2" l="1"/>
  <c r="G24" i="2" s="1"/>
  <c r="E25" i="2" s="1"/>
  <c r="G14" i="2"/>
  <c r="G25" i="2" l="1"/>
  <c r="E26" i="2"/>
  <c r="G26" i="2" s="1"/>
  <c r="E15" i="2"/>
  <c r="E19" i="2"/>
  <c r="E16" i="2" l="1"/>
  <c r="G16" i="2" s="1"/>
  <c r="G15" i="2"/>
  <c r="E30" i="2"/>
  <c r="E18" i="2"/>
  <c r="G19" i="2"/>
  <c r="E36" i="2"/>
  <c r="G36" i="2" l="1"/>
  <c r="E22" i="2"/>
  <c r="G18" i="2"/>
  <c r="F18" i="2" s="1"/>
  <c r="G30" i="2"/>
  <c r="E32" i="2"/>
  <c r="G32" i="2" s="1"/>
  <c r="E11" i="2"/>
  <c r="G11" i="2"/>
  <c r="F11" i="2" l="1"/>
  <c r="E31" i="2"/>
  <c r="G22" i="2"/>
  <c r="G31" i="2" l="1"/>
  <c r="E23" i="2"/>
  <c r="G23" i="2" l="1"/>
  <c r="G21" i="2" s="1"/>
  <c r="E21" i="2"/>
  <c r="E37" i="2"/>
  <c r="F21" i="2" l="1"/>
  <c r="G37" i="2"/>
  <c r="E35" i="2"/>
  <c r="E33" i="2" l="1"/>
  <c r="G35" i="2"/>
  <c r="F35" i="2" s="1"/>
  <c r="G33" i="2" l="1"/>
  <c r="G28" i="2" s="1"/>
  <c r="E28" i="2"/>
  <c r="F28" i="2" l="1"/>
  <c r="E40" i="2"/>
  <c r="G40" i="2" l="1"/>
  <c r="E41" i="2" l="1"/>
  <c r="G41" i="2" l="1"/>
  <c r="E42" i="2" l="1"/>
  <c r="E45" i="2" l="1"/>
  <c r="G42" i="2"/>
  <c r="G39" i="2" s="1"/>
  <c r="F39" i="2" s="1"/>
  <c r="E39" i="2"/>
  <c r="G45" i="2" l="1"/>
  <c r="E46" i="2" l="1"/>
  <c r="E49" i="2" l="1"/>
  <c r="G46" i="2"/>
  <c r="G44" i="2" s="1"/>
  <c r="F44" i="2" s="1"/>
  <c r="E44" i="2"/>
  <c r="G49" i="2" l="1"/>
  <c r="E51" i="2" l="1"/>
  <c r="G51" i="2" s="1"/>
  <c r="E50" i="2"/>
  <c r="G50" i="2" l="1"/>
  <c r="G48" i="2" s="1"/>
  <c r="F48" i="2" s="1"/>
  <c r="E48" i="2"/>
  <c r="P7" i="18" l="1"/>
  <c r="H17" i="5"/>
  <c r="H16" i="5"/>
  <c r="H14" i="5"/>
  <c r="H15" i="5"/>
  <c r="W121" i="18"/>
  <c r="T121" i="18" s="1"/>
  <c r="W46" i="18"/>
  <c r="T45" i="18"/>
  <c r="T46" i="18"/>
  <c r="I44" i="18"/>
  <c r="O59" i="18" l="1"/>
  <c r="J80" i="18"/>
  <c r="G80" i="18"/>
  <c r="X119" i="18"/>
  <c r="U123" i="18" s="1"/>
  <c r="T28" i="18" l="1"/>
  <c r="T14" i="18"/>
  <c r="T160" i="18"/>
  <c r="T159" i="18"/>
  <c r="T158" i="18"/>
  <c r="T157" i="18"/>
  <c r="T156" i="18"/>
  <c r="T155" i="18"/>
  <c r="T154" i="18"/>
  <c r="T153" i="18"/>
  <c r="T152" i="18"/>
  <c r="T151" i="18"/>
  <c r="T149" i="18"/>
  <c r="T148" i="18"/>
  <c r="T147" i="18"/>
  <c r="T146" i="18"/>
  <c r="T145" i="18"/>
  <c r="T144" i="18"/>
  <c r="T143" i="18"/>
  <c r="T142" i="18"/>
  <c r="T141" i="18"/>
  <c r="T140" i="18"/>
  <c r="T135" i="18"/>
  <c r="T134" i="18"/>
  <c r="T128" i="18"/>
  <c r="T127" i="18"/>
  <c r="T126" i="18"/>
  <c r="T125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86" i="18"/>
  <c r="T84" i="18"/>
  <c r="T83" i="18"/>
  <c r="T82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I13" i="2" l="1"/>
  <c r="N12" i="2"/>
  <c r="K13" i="2" l="1"/>
  <c r="I14" i="2" s="1"/>
  <c r="I24" i="2" l="1"/>
  <c r="K24" i="2" s="1"/>
  <c r="I25" i="2" s="1"/>
  <c r="K14" i="2"/>
  <c r="C4" i="24"/>
  <c r="C7" i="23"/>
  <c r="C4" i="23"/>
  <c r="Q126" i="18"/>
  <c r="I19" i="2" l="1"/>
  <c r="I15" i="2"/>
  <c r="I26" i="2"/>
  <c r="K26" i="2" s="1"/>
  <c r="K25" i="2"/>
  <c r="K19" i="2"/>
  <c r="I18" i="2"/>
  <c r="I30" i="2"/>
  <c r="I36" i="2"/>
  <c r="W6" i="18" s="1"/>
  <c r="N13" i="2"/>
  <c r="W14" i="18" l="1"/>
  <c r="W44" i="18" s="1"/>
  <c r="T44" i="18" s="1"/>
  <c r="W28" i="18"/>
  <c r="K15" i="2"/>
  <c r="I16" i="2"/>
  <c r="K16" i="2" s="1"/>
  <c r="K36" i="2"/>
  <c r="P14" i="5" s="1"/>
  <c r="I32" i="2"/>
  <c r="K32" i="2" s="1"/>
  <c r="K30" i="2"/>
  <c r="K18" i="2"/>
  <c r="J18" i="2" s="1"/>
  <c r="I22" i="2"/>
  <c r="I11" i="2" l="1"/>
  <c r="K11" i="2"/>
  <c r="J11" i="2" s="1"/>
  <c r="I31" i="2"/>
  <c r="K22" i="2"/>
  <c r="P15" i="5" s="1"/>
  <c r="H53" i="18"/>
  <c r="H44" i="18" s="1"/>
  <c r="H45" i="18" s="1"/>
  <c r="H46" i="18" s="1"/>
  <c r="I23" i="2" l="1"/>
  <c r="K31" i="2"/>
  <c r="H6" i="18"/>
  <c r="M48" i="2"/>
  <c r="M44" i="2"/>
  <c r="M39" i="2"/>
  <c r="M28" i="2"/>
  <c r="M35" i="2"/>
  <c r="M21" i="2"/>
  <c r="M11" i="2"/>
  <c r="I37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O107" i="18"/>
  <c r="Q107" i="18" s="1"/>
  <c r="O91" i="18"/>
  <c r="O32" i="18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6" i="18"/>
  <c r="J149" i="18"/>
  <c r="G136" i="18"/>
  <c r="G105" i="18"/>
  <c r="G104" i="18"/>
  <c r="Z17" i="18" s="1"/>
  <c r="G103" i="18"/>
  <c r="Z16" i="18"/>
  <c r="G91" i="18"/>
  <c r="G90" i="18"/>
  <c r="Z14" i="18" s="1"/>
  <c r="G53" i="18"/>
  <c r="Z12" i="18" s="1"/>
  <c r="G29" i="18"/>
  <c r="Z13" i="18" s="1"/>
  <c r="G21" i="18"/>
  <c r="G13" i="18"/>
  <c r="I13" i="18" s="1"/>
  <c r="G6" i="18"/>
  <c r="Q129" i="18"/>
  <c r="Y30" i="18"/>
  <c r="Y29" i="18"/>
  <c r="Y28" i="18"/>
  <c r="Y27" i="18"/>
  <c r="J136" i="18"/>
  <c r="J129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/>
  <c r="X126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X21" i="18"/>
  <c r="U50" i="18" l="1"/>
  <c r="U46" i="18"/>
  <c r="U51" i="18"/>
  <c r="U47" i="18"/>
  <c r="U45" i="18"/>
  <c r="U44" i="18"/>
  <c r="U48" i="18"/>
  <c r="U88" i="18"/>
  <c r="U80" i="18"/>
  <c r="U84" i="18"/>
  <c r="U83" i="18"/>
  <c r="U82" i="18"/>
  <c r="U81" i="18"/>
  <c r="U85" i="18"/>
  <c r="U87" i="18"/>
  <c r="U86" i="18"/>
  <c r="I136" i="18"/>
  <c r="F22" i="3" s="1"/>
  <c r="Q139" i="18"/>
  <c r="J21" i="2"/>
  <c r="K37" i="2"/>
  <c r="I35" i="2"/>
  <c r="U15" i="18"/>
  <c r="Q114" i="18"/>
  <c r="I6" i="18"/>
  <c r="I21" i="18"/>
  <c r="I28" i="18"/>
  <c r="F12" i="3" s="1"/>
  <c r="Q136" i="18"/>
  <c r="I129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8" i="18"/>
  <c r="Q113" i="18"/>
  <c r="Q137" i="18"/>
  <c r="U14" i="18"/>
  <c r="H10" i="3"/>
  <c r="U17" i="18"/>
  <c r="I53" i="18"/>
  <c r="U16" i="18"/>
  <c r="U19" i="18"/>
  <c r="U18" i="18"/>
  <c r="U119" i="18"/>
  <c r="H20" i="3"/>
  <c r="I103" i="18"/>
  <c r="N14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Q111" i="18"/>
  <c r="Q108" i="18"/>
  <c r="Q110" i="18"/>
  <c r="Q112" i="18"/>
  <c r="Q109" i="18"/>
  <c r="X129" i="18"/>
  <c r="F13" i="3"/>
  <c r="H11" i="3"/>
  <c r="U23" i="18"/>
  <c r="U22" i="18"/>
  <c r="U121" i="18"/>
  <c r="U124" i="18"/>
  <c r="U122" i="18"/>
  <c r="U120" i="18"/>
  <c r="H13" i="3"/>
  <c r="H16" i="3"/>
  <c r="J16" i="3" s="1"/>
  <c r="U25" i="18"/>
  <c r="U26" i="18"/>
  <c r="U21" i="18"/>
  <c r="U24" i="18"/>
  <c r="V13" i="18" l="1"/>
  <c r="I33" i="2"/>
  <c r="K35" i="2"/>
  <c r="J35" i="2" s="1"/>
  <c r="J20" i="3"/>
  <c r="X136" i="18"/>
  <c r="F17" i="3"/>
  <c r="F14" i="3"/>
  <c r="J10" i="3"/>
  <c r="F11" i="3"/>
  <c r="I2" i="18"/>
  <c r="J11" i="3"/>
  <c r="F9" i="3"/>
  <c r="V119" i="18"/>
  <c r="U138" i="18"/>
  <c r="F18" i="3"/>
  <c r="N15" i="2"/>
  <c r="J13" i="3"/>
  <c r="F21" i="5"/>
  <c r="F4" i="5" s="1"/>
  <c r="C9" i="6" s="1"/>
  <c r="U11" i="18"/>
  <c r="H9" i="3"/>
  <c r="U7" i="18"/>
  <c r="U8" i="18"/>
  <c r="U9" i="18"/>
  <c r="U10" i="18"/>
  <c r="X53" i="18"/>
  <c r="U64" i="18" s="1"/>
  <c r="U6" i="18"/>
  <c r="X90" i="18"/>
  <c r="U92" i="18" s="1"/>
  <c r="U144" i="18"/>
  <c r="U147" i="18"/>
  <c r="U140" i="18"/>
  <c r="U143" i="18"/>
  <c r="U146" i="18"/>
  <c r="U145" i="18"/>
  <c r="H22" i="3"/>
  <c r="J22" i="3" s="1"/>
  <c r="U142" i="18"/>
  <c r="U137" i="18"/>
  <c r="U141" i="18"/>
  <c r="U133" i="18"/>
  <c r="U129" i="18"/>
  <c r="H21" i="3"/>
  <c r="J21" i="3" s="1"/>
  <c r="U134" i="18"/>
  <c r="U130" i="18"/>
  <c r="U131" i="18"/>
  <c r="U132" i="18"/>
  <c r="X28" i="18"/>
  <c r="U38" i="18" s="1"/>
  <c r="X103" i="18"/>
  <c r="V80" i="18"/>
  <c r="V44" i="18"/>
  <c r="V21" i="18"/>
  <c r="U32" i="18" l="1"/>
  <c r="U42" i="18"/>
  <c r="U65" i="18"/>
  <c r="U69" i="18"/>
  <c r="U136" i="18"/>
  <c r="U139" i="18"/>
  <c r="K33" i="2"/>
  <c r="K28" i="2" s="1"/>
  <c r="I28" i="2"/>
  <c r="N25" i="2"/>
  <c r="N24" i="2"/>
  <c r="N26" i="2"/>
  <c r="U91" i="18"/>
  <c r="F5" i="3"/>
  <c r="D5" i="5" s="1"/>
  <c r="D6" i="5" s="1"/>
  <c r="D7" i="5" s="1"/>
  <c r="U98" i="18"/>
  <c r="J9" i="3"/>
  <c r="F47" i="5"/>
  <c r="F45" i="5" s="1"/>
  <c r="U34" i="18"/>
  <c r="U62" i="18"/>
  <c r="U33" i="18"/>
  <c r="U95" i="18"/>
  <c r="U94" i="18"/>
  <c r="U97" i="18"/>
  <c r="U66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7" i="18"/>
  <c r="U109" i="18"/>
  <c r="U110" i="18"/>
  <c r="V129" i="18"/>
  <c r="U111" i="18"/>
  <c r="U108" i="18"/>
  <c r="U112" i="18"/>
  <c r="H14" i="3"/>
  <c r="J14" i="3" s="1"/>
  <c r="U57" i="18"/>
  <c r="U58" i="18"/>
  <c r="U55" i="18"/>
  <c r="U67" i="18"/>
  <c r="U56" i="18"/>
  <c r="U68" i="18"/>
  <c r="U53" i="18"/>
  <c r="U54" i="18"/>
  <c r="U59" i="18"/>
  <c r="U30" i="18"/>
  <c r="U31" i="18"/>
  <c r="U28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U60" i="18"/>
  <c r="V136" i="18" l="1"/>
  <c r="F25" i="3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6" i="5" l="1"/>
  <c r="K40" i="2"/>
  <c r="N36" i="2"/>
  <c r="U13" i="2"/>
  <c r="V13" i="2"/>
  <c r="W92" i="18"/>
  <c r="W91" i="18"/>
  <c r="J5" i="3"/>
  <c r="F5" i="5"/>
  <c r="H25" i="3"/>
  <c r="W59" i="18" l="1"/>
  <c r="T91" i="18"/>
  <c r="W107" i="18"/>
  <c r="W32" i="18"/>
  <c r="W60" i="18"/>
  <c r="T60" i="18" s="1"/>
  <c r="W108" i="18"/>
  <c r="W33" i="18"/>
  <c r="T92" i="18"/>
  <c r="I41" i="2"/>
  <c r="N19" i="2"/>
  <c r="N18" i="2" s="1"/>
  <c r="H21" i="18"/>
  <c r="H13" i="18"/>
  <c r="T14" i="2"/>
  <c r="F6" i="5"/>
  <c r="F7" i="5" s="1"/>
  <c r="C11" i="6"/>
  <c r="T108" i="18" l="1"/>
  <c r="T33" i="18"/>
  <c r="T59" i="18"/>
  <c r="T107" i="18"/>
  <c r="T32" i="18"/>
  <c r="K41" i="2"/>
  <c r="N32" i="2"/>
  <c r="N30" i="2"/>
  <c r="N31" i="2"/>
  <c r="H28" i="18"/>
  <c r="V14" i="2"/>
  <c r="I42" i="2" l="1"/>
  <c r="H90" i="18"/>
  <c r="N23" i="2"/>
  <c r="N22" i="2"/>
  <c r="M18" i="2"/>
  <c r="U14" i="2"/>
  <c r="H105" i="18" l="1"/>
  <c r="H80" i="18"/>
  <c r="K42" i="2"/>
  <c r="K39" i="2" s="1"/>
  <c r="W129" i="18" s="1"/>
  <c r="W130" i="18" s="1"/>
  <c r="I45" i="2"/>
  <c r="I39" i="2"/>
  <c r="H103" i="18"/>
  <c r="H104" i="18"/>
  <c r="H106" i="18"/>
  <c r="N21" i="2"/>
  <c r="T15" i="2"/>
  <c r="W131" i="18" l="1"/>
  <c r="T130" i="18"/>
  <c r="W119" i="18"/>
  <c r="P16" i="5"/>
  <c r="K45" i="2"/>
  <c r="J39" i="2"/>
  <c r="J9" i="2"/>
  <c r="H91" i="18"/>
  <c r="H29" i="18"/>
  <c r="T17" i="2"/>
  <c r="U15" i="2"/>
  <c r="V15" i="2"/>
  <c r="W93" i="18"/>
  <c r="W132" i="18" l="1"/>
  <c r="T131" i="18"/>
  <c r="W61" i="18"/>
  <c r="T61" i="18" s="1"/>
  <c r="W109" i="18"/>
  <c r="W34" i="18"/>
  <c r="T93" i="18"/>
  <c r="I46" i="2"/>
  <c r="N37" i="2"/>
  <c r="N35" i="2" s="1"/>
  <c r="N33" i="2"/>
  <c r="W133" i="18" l="1"/>
  <c r="T133" i="18" s="1"/>
  <c r="T132" i="18"/>
  <c r="T109" i="18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W110" i="18"/>
  <c r="T94" i="18"/>
  <c r="W35" i="18"/>
  <c r="K50" i="2"/>
  <c r="I48" i="2"/>
  <c r="N40" i="2"/>
  <c r="P17" i="5" l="1"/>
  <c r="K48" i="2"/>
  <c r="J48" i="2" s="1"/>
  <c r="T110" i="18"/>
  <c r="T35" i="18"/>
  <c r="N41" i="2"/>
  <c r="N42" i="2"/>
  <c r="N45" i="2" l="1"/>
  <c r="H136" i="18"/>
  <c r="H129" i="18"/>
  <c r="N39" i="2"/>
  <c r="K2" i="2" l="1"/>
  <c r="K3" i="2" s="1"/>
  <c r="K4" i="2" s="1"/>
  <c r="T18" i="2"/>
  <c r="U18" i="2" l="1"/>
  <c r="V18" i="2"/>
  <c r="W95" i="18"/>
  <c r="T95" i="18" l="1"/>
  <c r="W111" i="18"/>
  <c r="W63" i="18"/>
  <c r="T63" i="18" s="1"/>
  <c r="W36" i="18"/>
  <c r="N44" i="2"/>
  <c r="T111" i="18" l="1"/>
  <c r="T36" i="18"/>
  <c r="N46" i="2"/>
  <c r="T19" i="2"/>
  <c r="N49" i="2" l="1"/>
  <c r="W97" i="18"/>
  <c r="W98" i="18"/>
  <c r="W96" i="18"/>
  <c r="W64" i="18" l="1"/>
  <c r="T64" i="18" s="1"/>
  <c r="T96" i="18"/>
  <c r="W112" i="18"/>
  <c r="W37" i="18"/>
  <c r="T98" i="18"/>
  <c r="W66" i="18"/>
  <c r="T66" i="18" s="1"/>
  <c r="W114" i="18"/>
  <c r="W39" i="18"/>
  <c r="W65" i="18"/>
  <c r="T65" i="18" s="1"/>
  <c r="T97" i="18"/>
  <c r="W38" i="18"/>
  <c r="W113" i="18"/>
  <c r="U19" i="2"/>
  <c r="V19" i="2"/>
  <c r="T38" i="18" l="1"/>
  <c r="T113" i="18"/>
  <c r="T39" i="18"/>
  <c r="T114" i="18"/>
  <c r="T37" i="18"/>
  <c r="T112" i="18"/>
  <c r="N51" i="2"/>
  <c r="N50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19" i="18" l="1"/>
  <c r="T122" i="18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29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T14" i="6" l="1"/>
  <c r="U12" i="6"/>
  <c r="V12" i="6" l="1"/>
  <c r="U14" i="6"/>
  <c r="V14" i="6" l="1"/>
  <c r="W12" i="6"/>
  <c r="X12" i="6" l="1"/>
  <c r="W14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H14" i="6" l="1"/>
  <c r="AI12" i="6"/>
  <c r="AI14" i="6" l="1"/>
  <c r="AJ12" i="6"/>
  <c r="AJ14" i="6" l="1"/>
  <c r="AK12" i="6"/>
  <c r="AL12" i="6" l="1"/>
  <c r="AK14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X12" i="6" l="1"/>
  <c r="AW14" i="6"/>
  <c r="AY12" i="6" l="1"/>
  <c r="AX14" i="6"/>
  <c r="AZ12" i="6" l="1"/>
  <c r="AY14" i="6"/>
  <c r="BA12" i="6" l="1"/>
  <c r="AZ14" i="6"/>
  <c r="BB12" i="6" l="1"/>
  <c r="BA14" i="6"/>
  <c r="BB14" i="6" l="1"/>
  <c r="BC12" i="6"/>
  <c r="BD12" i="6" l="1"/>
  <c r="BC14" i="6"/>
  <c r="BD14" i="6" l="1"/>
  <c r="BE12" i="6"/>
  <c r="BE14" i="6" l="1"/>
  <c r="BF12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U14" i="6" l="1"/>
  <c r="BV12" i="6"/>
  <c r="BW12" i="6" l="1"/>
  <c r="BV14" i="6"/>
  <c r="BX12" i="6" l="1"/>
  <c r="BW14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Q12" i="6" l="1"/>
  <c r="CP14" i="6"/>
  <c r="CR12" i="6" l="1"/>
  <c r="CQ14" i="6"/>
  <c r="CR14" i="6" l="1"/>
  <c r="CS12" i="6"/>
  <c r="CT12" i="6" l="1"/>
  <c r="CS14" i="6"/>
  <c r="CT14" i="6" l="1"/>
  <c r="CU12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A14" i="6" l="1"/>
  <c r="DB12" i="6"/>
  <c r="DC12" i="6" l="1"/>
  <c r="DB14" i="6"/>
  <c r="DC14" i="6" l="1"/>
  <c r="DD12" i="6"/>
  <c r="DE12" i="6" l="1"/>
  <c r="DD14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O14" i="6" l="1"/>
  <c r="DP12" i="6"/>
  <c r="DQ12" i="6" l="1"/>
  <c r="DP14" i="6"/>
  <c r="DQ14" i="6" l="1"/>
  <c r="DR12" i="6"/>
  <c r="DS12" i="6" l="1"/>
  <c r="DR14" i="6"/>
  <c r="DT12" i="6" l="1"/>
  <c r="DS14" i="6"/>
  <c r="DT14" i="6" l="1"/>
  <c r="DU12" i="6"/>
  <c r="DV12" i="6" l="1"/>
  <c r="DU14" i="6"/>
  <c r="DV14" i="6" l="1"/>
  <c r="DW12" i="6"/>
  <c r="DX12" i="6" l="1"/>
  <c r="DW14" i="6"/>
  <c r="DY12" i="6" l="1"/>
  <c r="DX14" i="6"/>
  <c r="DY14" i="6" l="1"/>
  <c r="DZ12" i="6"/>
  <c r="DZ14" i="6" l="1"/>
  <c r="EA12" i="6"/>
  <c r="EA14" i="6" l="1"/>
  <c r="EB12" i="6"/>
  <c r="EB14" i="6" l="1"/>
  <c r="EC12" i="6"/>
  <c r="ED12" i="6" l="1"/>
  <c r="EC14" i="6"/>
  <c r="EE12" i="6" l="1"/>
  <c r="ED14" i="6"/>
  <c r="EE14" i="6" l="1"/>
  <c r="EF12" i="6"/>
  <c r="EF14" i="6" l="1"/>
  <c r="EG12" i="6"/>
  <c r="EH12" i="6" l="1"/>
  <c r="EG14" i="6"/>
  <c r="EI12" i="6" l="1"/>
  <c r="EH14" i="6"/>
  <c r="EJ12" i="6" l="1"/>
  <c r="EI14" i="6"/>
  <c r="EK12" i="6" l="1"/>
  <c r="EJ14" i="6"/>
  <c r="EL12" i="6" l="1"/>
  <c r="EK14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S12" i="6" l="1"/>
  <c r="ER14" i="6"/>
  <c r="ET12" i="6" l="1"/>
  <c r="ES14" i="6"/>
  <c r="EU12" i="6" l="1"/>
  <c r="ET14" i="6"/>
  <c r="EU14" i="6" l="1"/>
  <c r="EV12" i="6"/>
  <c r="EW12" i="6" l="1"/>
  <c r="EV14" i="6"/>
  <c r="EW14" i="6" l="1"/>
  <c r="EX12" i="6"/>
  <c r="EX14" i="6" l="1"/>
  <c r="EY12" i="6"/>
  <c r="EZ12" i="6" l="1"/>
  <c r="EY14" i="6"/>
  <c r="EZ14" i="6" l="1"/>
  <c r="FA12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G14" i="6" l="1"/>
  <c r="FH12" i="6"/>
  <c r="FI12" i="6" l="1"/>
  <c r="FH14" i="6"/>
  <c r="FI14" i="6" l="1"/>
  <c r="FJ12" i="6"/>
  <c r="FK12" i="6" l="1"/>
  <c r="FJ14" i="6"/>
  <c r="FK14" i="6" l="1"/>
  <c r="FL12" i="6"/>
  <c r="FM12" i="6" l="1"/>
  <c r="FL14" i="6"/>
  <c r="FM14" i="6" l="1"/>
  <c r="FN12" i="6"/>
  <c r="FN14" i="6" l="1"/>
  <c r="FO12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X14" i="6" l="1"/>
  <c r="FY12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GZ14" i="6" l="1"/>
  <c r="HA12" i="6"/>
  <c r="HA14" i="6" l="1"/>
  <c r="HB12" i="6"/>
  <c r="HC12" i="6" l="1"/>
  <c r="HB14" i="6"/>
  <c r="HC14" i="6" l="1"/>
  <c r="HD12" i="6"/>
  <c r="HD14" i="6" l="1"/>
  <c r="HE12" i="6"/>
  <c r="HF12" i="6" l="1"/>
  <c r="HE14" i="6"/>
  <c r="HF14" i="6" l="1"/>
  <c r="HG12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P14" i="6" l="1"/>
  <c r="HQ12" i="6"/>
  <c r="HR12" i="6" l="1"/>
  <c r="HQ14" i="6"/>
  <c r="HS12" i="6" l="1"/>
  <c r="HR14" i="6"/>
  <c r="HS14" i="6" l="1"/>
  <c r="HT12" i="6"/>
  <c r="HU12" i="6" l="1"/>
  <c r="HT14" i="6"/>
  <c r="HU14" i="6" l="1"/>
  <c r="HV12" i="6"/>
  <c r="HV14" i="6" l="1"/>
  <c r="HW12" i="6"/>
  <c r="HX12" i="6" l="1"/>
  <c r="HW14" i="6"/>
  <c r="HY12" i="6" l="1"/>
  <c r="HX14" i="6"/>
  <c r="HY14" i="6" l="1"/>
  <c r="HZ12" i="6"/>
  <c r="HZ14" i="6" l="1"/>
  <c r="IA12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L14" i="6" l="1"/>
  <c r="IM12" i="6"/>
  <c r="IM14" i="6" l="1"/>
  <c r="IN12" i="6"/>
  <c r="IO12" i="6" l="1"/>
  <c r="IN14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D14" i="6" l="1"/>
  <c r="JE12" i="6"/>
  <c r="JE14" i="6" l="1"/>
  <c r="JF12" i="6"/>
  <c r="JF14" i="6" l="1"/>
  <c r="JG12" i="6"/>
  <c r="JG14" i="6" l="1"/>
  <c r="JH12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U12" i="6" l="1"/>
  <c r="JT14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<sst xmlns="http://schemas.openxmlformats.org/spreadsheetml/2006/main" count="763" uniqueCount="427">
  <si>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</si>
  <si>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</si>
  <si>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</si>
  <si>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</si>
  <si>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</si>
  <si>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</si>
  <si>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</si>
  <si>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</si>
  <si>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</si>
  <si>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</si>
  <si>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</si>
  <si>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</si>
  <si>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</si>
  <si>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</si>
  <si>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</si>
  <si>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</si>
  <si>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</si>
  <si>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</si>
  <si>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</si>
  <si>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</si>
  <si>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</si>
  <si>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</si>
  <si>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</si>
  <si>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</si>
  <si>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</si>
  <si>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</si>
  <si>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</si>
  <si>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</si>
  <si>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</si>
  <si>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</si>
  <si>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</si>
  <si>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</si>
  <si>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</si>
  <si>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</si>
  <si>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</si>
  <si>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</si>
  <si>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</si>
  <si>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</si>
  <si>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</si>
  <si>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</si>
  <si>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</si>
  <si>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</si>
  <si>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</si>
  <si>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</si>
  <si>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</si>
  <si>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</si>
  <si>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</si>
  <si>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</si>
  <si>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</si>
  <si>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</si>
  <si>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</si>
  <si>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</si>
  <si>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</si>
  <si>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</si>
  <si>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</si>
  <si>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</si>
  <si>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</si>
  <si>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</si>
  <si>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</si>
  <si>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</si>
  <si>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</si>
  <si>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</si>
  <si>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</si>
  <si>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</si>
  <si>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</si>
  <si>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</si>
  <si>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</si>
  <si>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</si>
  <si>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</si>
  <si>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</si>
  <si>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</si>
  <si>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</si>
  <si>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</si>
  <si>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</si>
  <si>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</si>
  <si>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</si>
  <si>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</si>
  <si>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</si>
  <si>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</si>
  <si>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</si>
  <si>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</si>
  <si>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</si>
  <si>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</si>
  <si>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</si>
  <si>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</si>
  <si>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</si>
  <si>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</si>
  <si>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</si>
  <si>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50KTL - SUN2000-50KTL-M3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</si>
  <si>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</si>
  <si>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</si>
  <si>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</si>
  <si>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</si>
  <si>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</si>
  <si>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</si>
  <si>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</si>
  <si>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</si>
  <si>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</si>
  <si>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</si>
  <si>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</si>
  <si>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</si>
  <si>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</si>
  <si>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</si>
  <si>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</si>
  <si>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</si>
  <si>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</si>
  <si>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</si>
  <si>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</si>
  <si>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</si>
  <si>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</si>
  <si>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</si>
  <si>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</si>
  <si>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</si>
  <si>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</si>
  <si>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</si>
  <si>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</si>
  <si>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</si>
  <si>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</si>
  <si>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</si>
  <si>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</si>
  <si>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</si>
  <si>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</si>
  <si>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</si>
  <si>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</si>
  <si>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</si>
  <si>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</si>
  <si>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</si>
  <si>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</si>
  <si>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</si>
  <si>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</si>
  <si>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</si>
  <si>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</si>
  <si>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</si>
  <si>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</si>
  <si>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</si>
  <si>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</si>
  <si>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</si>
  <si>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</si>
  <si>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</si>
  <si>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</si>
  <si>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</si>
  <si>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</si>
  <si>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</si>
  <si>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</si>
  <si>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</si>
  <si>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</si>
  <si>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</si>
  <si>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</si>
  <si>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</si>
  <si>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</si>
  <si>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</si>
  <si>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</si>
  <si>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</si>
  <si>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</si>
  <si>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</si>
  <si>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</si>
  <si>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</si>
  <si>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</si>
  <si>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</si>
  <si>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</si>
  <si>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</si>
  <si>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</si>
  <si>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</si>
  <si>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</si>
  <si>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</si>
  <si>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</si>
  <si>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</si>
  <si>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</si>
  <si>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</si>
  <si>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</si>
  <si>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</si>
  <si>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</si>
  <si>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</si>
  <si>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</si>
  <si>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</si>
  <si>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</si>
  <si>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</si>
  <si>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</si>
  <si>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</si>
  <si>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</si>
  <si>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</si>
  <si>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</si>
  <si>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</si>
  <si>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</si>
  <si>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</si>
  <si>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</si>
  <si>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</si>
  <si>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</si>
  <si>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</si>
  <si>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</si>
  <si>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</si>
  <si>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</si>
  <si>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</si>
  <si>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</si>
  <si>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</si>
  <si>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</si>
  <si>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</si>
  <si>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</si>
  <si>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</si>
  <si>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</si>
  <si>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</si>
  <si>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</si>
  <si>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</si>
  <si>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</si>
  <si>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</si>
  <si>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</si>
  <si>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</si>
  <si>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</si>
  <si>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</si>
  <si>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</si>
  <si>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</si>
  <si>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</si>
  <si>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</si>
  <si>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</si>
  <si>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</si>
  <si>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</si>
  <si>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</si>
  <si>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</si>
  <si>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</si>
  <si>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</si>
  <si>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</si>
  <si>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</si>
  <si>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</si>
  <si>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</si>
  <si>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004914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</si>
  <si>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</si>
  <si>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</si>
  <si>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</si>
  <si>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</si>
  <si>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</si>
  <si>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</si>
  <si>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</si>
  <si>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</si>
  <si>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</si>
  <si>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</si>
  <si>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</si>
  <si>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</si>
  <si>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</si>
  <si>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</si>
  <si>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</si>
  <si>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</si>
  <si>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</si>
  <si>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</si>
  <si>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</si>
  <si>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</si>
  <si>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</si>
  <si>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</si>
  <si>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</si>
  <si>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</si>
  <si>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</si>
  <si>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</si>
  <si>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</si>
  <si>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</si>
  <si>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</si>
  <si>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</si>
  <si>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</si>
  <si>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</si>
  <si>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</si>
  <si>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</si>
  <si>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</si>
  <si>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</si>
  <si>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</si>
  <si>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</si>
  <si>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</si>
  <si>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</si>
  <si>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</si>
  <si>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</si>
  <si>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</si>
  <si>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</si>
  <si>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</si>
  <si>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</si>
  <si>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</si>
  <si>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</si>
  <si>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</si>
  <si>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</si>
  <si>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</si>
  <si>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</si>
  <si>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50KTL - Menlo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</si>
  <si>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</si>
  <si>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</si>
  <si>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</si>
  <si>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</si>
  <si>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</si>
  <si>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</si>
  <si>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</si>
  <si>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</si>
  <si>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</si>
  <si>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</si>
  <si>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</si>
  <si>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</si>
  <si>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</si>
  <si>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</si>
  <si>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</si>
  <si>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</si>
  <si>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</si>
  <si>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</si>
  <si>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</si>
  <si>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</si>
  <si>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</si>
  <si>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</si>
  <si>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</si>
  <si>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</si>
  <si>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</si>
  <si>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</si>
  <si>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</si>
  <si>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</si>
  <si>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</si>
  <si>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</si>
  <si>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</si>
  <si>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</si>
  <si>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Smartlogger 3000 - Menlo</t>
  </si>
  <si>
    <t>Comms DB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</si>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</sst>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85</c:v>
                  </c:pt>
                  <c:pt idx="1">
                    <c:v>1</c:v>
                  </c:pt>
                  <c:pt idx="2">
                    <c:v>40</c:v>
                  </c:pt>
                  <c:pt idx="3">
                    <c:v>21</c:v>
                  </c:pt>
                  <c:pt idx="4">
                    <c:v>19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46072</c:v>
                </c:pt>
                <c:pt idx="2">
                  <c:v>46043</c:v>
                </c:pt>
                <c:pt idx="3">
                  <c:v>46072</c:v>
                </c:pt>
                <c:pt idx="4">
                  <c:v>46072</c:v>
                </c:pt>
                <c:pt idx="5">
                  <c:v>46093</c:v>
                </c:pt>
                <c:pt idx="6">
                  <c:v>46097</c:v>
                </c:pt>
                <c:pt idx="7">
                  <c:v>46100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46052</c:v>
                </c:pt>
                <c:pt idx="1">
                  <c:v>46052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1080922.8579248681</c:v>
                </c:pt>
                <c:pt idx="16">
                  <c:v>1225045.9056481838</c:v>
                </c:pt>
                <c:pt idx="17">
                  <c:v>1225045.9056481838</c:v>
                </c:pt>
                <c:pt idx="18">
                  <c:v>1225045.9056481838</c:v>
                </c:pt>
                <c:pt idx="19">
                  <c:v>1225045.9056481838</c:v>
                </c:pt>
                <c:pt idx="20">
                  <c:v>1369168.9533714994</c:v>
                </c:pt>
                <c:pt idx="21">
                  <c:v>1441230.4772331573</c:v>
                </c:pt>
                <c:pt idx="22">
                  <c:v>1441230.4772331573</c:v>
                </c:pt>
                <c:pt idx="23">
                  <c:v>1441230.4772331573</c:v>
                </c:pt>
                <c:pt idx="24">
                  <c:v>1441230.4772331573</c:v>
                </c:pt>
                <c:pt idx="25">
                  <c:v>1441230.4772331573</c:v>
                </c:pt>
                <c:pt idx="26">
                  <c:v>1441230.4772331573</c:v>
                </c:pt>
                <c:pt idx="27">
                  <c:v>1441230.4772331573</c:v>
                </c:pt>
                <c:pt idx="28">
                  <c:v>1441230.4772331573</c:v>
                </c:pt>
                <c:pt idx="29">
                  <c:v>1441230.4772331573</c:v>
                </c:pt>
                <c:pt idx="30">
                  <c:v>1441230.4772331573</c:v>
                </c:pt>
                <c:pt idx="31">
                  <c:v>1441230.4772331573</c:v>
                </c:pt>
                <c:pt idx="32">
                  <c:v>1441230.4772331573</c:v>
                </c:pt>
                <c:pt idx="33">
                  <c:v>1441230.4772331573</c:v>
                </c:pt>
                <c:pt idx="34">
                  <c:v>1441230.4772331573</c:v>
                </c:pt>
                <c:pt idx="35">
                  <c:v>1441230.4772331573</c:v>
                </c:pt>
                <c:pt idx="36">
                  <c:v>1441230.4772331573</c:v>
                </c:pt>
                <c:pt idx="37">
                  <c:v>1441230.4772331573</c:v>
                </c:pt>
                <c:pt idx="38">
                  <c:v>1441230.4772331573</c:v>
                </c:pt>
                <c:pt idx="39">
                  <c:v>1441230.4772331573</c:v>
                </c:pt>
                <c:pt idx="40">
                  <c:v>1441230.4772331573</c:v>
                </c:pt>
                <c:pt idx="41">
                  <c:v>1441230.4772331573</c:v>
                </c:pt>
                <c:pt idx="42">
                  <c:v>1441230.4772331573</c:v>
                </c:pt>
                <c:pt idx="43">
                  <c:v>1441230.4772331573</c:v>
                </c:pt>
                <c:pt idx="44">
                  <c:v>1441230.4772331573</c:v>
                </c:pt>
                <c:pt idx="45">
                  <c:v>1441230.4772331573</c:v>
                </c:pt>
                <c:pt idx="46">
                  <c:v>1441230.4772331573</c:v>
                </c:pt>
                <c:pt idx="47">
                  <c:v>1441230.4772331573</c:v>
                </c:pt>
                <c:pt idx="48">
                  <c:v>1441230.4772331573</c:v>
                </c:pt>
                <c:pt idx="49">
                  <c:v>1441230.4772331573</c:v>
                </c:pt>
                <c:pt idx="50">
                  <c:v>1441230.4772331573</c:v>
                </c:pt>
                <c:pt idx="51">
                  <c:v>1441230.4772331573</c:v>
                </c:pt>
                <c:pt idx="52">
                  <c:v>1441230.4772331573</c:v>
                </c:pt>
                <c:pt idx="53">
                  <c:v>1441230.4772331573</c:v>
                </c:pt>
                <c:pt idx="54">
                  <c:v>1441230.4772331573</c:v>
                </c:pt>
                <c:pt idx="55">
                  <c:v>1441230.4772331573</c:v>
                </c:pt>
                <c:pt idx="56">
                  <c:v>1441230.4772331573</c:v>
                </c:pt>
                <c:pt idx="57">
                  <c:v>1441230.4772331573</c:v>
                </c:pt>
                <c:pt idx="58">
                  <c:v>1441230.4772331573</c:v>
                </c:pt>
                <c:pt idx="59">
                  <c:v>1441230.4772331573</c:v>
                </c:pt>
                <c:pt idx="60">
                  <c:v>1441230.4772331573</c:v>
                </c:pt>
                <c:pt idx="61">
                  <c:v>1441230.4772331573</c:v>
                </c:pt>
                <c:pt idx="62">
                  <c:v>1441230.4772331573</c:v>
                </c:pt>
                <c:pt idx="63">
                  <c:v>1441230.4772331573</c:v>
                </c:pt>
                <c:pt idx="64">
                  <c:v>1441230.4772331573</c:v>
                </c:pt>
                <c:pt idx="65">
                  <c:v>1441230.4772331573</c:v>
                </c:pt>
                <c:pt idx="66">
                  <c:v>1441230.4772331573</c:v>
                </c:pt>
                <c:pt idx="67">
                  <c:v>1441230.4772331573</c:v>
                </c:pt>
                <c:pt idx="68">
                  <c:v>1441230.4772331573</c:v>
                </c:pt>
                <c:pt idx="69">
                  <c:v>1441230.4772331573</c:v>
                </c:pt>
                <c:pt idx="70">
                  <c:v>1441230.4772331573</c:v>
                </c:pt>
                <c:pt idx="71">
                  <c:v>1441230.4772331573</c:v>
                </c:pt>
                <c:pt idx="72">
                  <c:v>1441230.4772331573</c:v>
                </c:pt>
                <c:pt idx="73">
                  <c:v>1441230.4772331573</c:v>
                </c:pt>
                <c:pt idx="74">
                  <c:v>1441230.4772331573</c:v>
                </c:pt>
                <c:pt idx="75">
                  <c:v>1441230.4772331573</c:v>
                </c:pt>
                <c:pt idx="76">
                  <c:v>1441230.4772331573</c:v>
                </c:pt>
                <c:pt idx="77">
                  <c:v>1441230.4772331573</c:v>
                </c:pt>
                <c:pt idx="78">
                  <c:v>1441230.4772331573</c:v>
                </c:pt>
                <c:pt idx="79">
                  <c:v>1441230.4772331573</c:v>
                </c:pt>
                <c:pt idx="80">
                  <c:v>1441230.4772331573</c:v>
                </c:pt>
                <c:pt idx="81">
                  <c:v>1441230.4772331573</c:v>
                </c:pt>
                <c:pt idx="82">
                  <c:v>1441230.4772331573</c:v>
                </c:pt>
                <c:pt idx="83">
                  <c:v>1441230.4772331573</c:v>
                </c:pt>
                <c:pt idx="84">
                  <c:v>1441230.4772331573</c:v>
                </c:pt>
                <c:pt idx="85">
                  <c:v>1441230.4772331573</c:v>
                </c:pt>
                <c:pt idx="86">
                  <c:v>1441230.4772331573</c:v>
                </c:pt>
                <c:pt idx="87">
                  <c:v>1441230.4772331573</c:v>
                </c:pt>
                <c:pt idx="88">
                  <c:v>1441230.4772331573</c:v>
                </c:pt>
                <c:pt idx="89">
                  <c:v>1441230.4772331573</c:v>
                </c:pt>
                <c:pt idx="90">
                  <c:v>1441230.4772331573</c:v>
                </c:pt>
                <c:pt idx="91">
                  <c:v>1441230.4772331573</c:v>
                </c:pt>
                <c:pt idx="92">
                  <c:v>1441230.4772331573</c:v>
                </c:pt>
                <c:pt idx="93">
                  <c:v>1441230.4772331573</c:v>
                </c:pt>
                <c:pt idx="94">
                  <c:v>1441230.4772331573</c:v>
                </c:pt>
                <c:pt idx="95">
                  <c:v>1441230.4772331573</c:v>
                </c:pt>
                <c:pt idx="96">
                  <c:v>1441230.4772331573</c:v>
                </c:pt>
                <c:pt idx="97">
                  <c:v>1441230.4772331573</c:v>
                </c:pt>
                <c:pt idx="98">
                  <c:v>1441230.4772331573</c:v>
                </c:pt>
                <c:pt idx="99">
                  <c:v>1441230.4772331573</c:v>
                </c:pt>
                <c:pt idx="100">
                  <c:v>1441230.4772331573</c:v>
                </c:pt>
                <c:pt idx="101">
                  <c:v>1441230.4772331573</c:v>
                </c:pt>
                <c:pt idx="102">
                  <c:v>1441230.4772331573</c:v>
                </c:pt>
                <c:pt idx="103">
                  <c:v>1441230.4772331573</c:v>
                </c:pt>
                <c:pt idx="104">
                  <c:v>1441230.4772331573</c:v>
                </c:pt>
                <c:pt idx="105">
                  <c:v>1441230.4772331573</c:v>
                </c:pt>
                <c:pt idx="106">
                  <c:v>1441230.4772331573</c:v>
                </c:pt>
                <c:pt idx="107">
                  <c:v>1441230.4772331573</c:v>
                </c:pt>
                <c:pt idx="108">
                  <c:v>1441230.4772331573</c:v>
                </c:pt>
                <c:pt idx="109">
                  <c:v>1441230.4772331573</c:v>
                </c:pt>
                <c:pt idx="110">
                  <c:v>1441230.4772331573</c:v>
                </c:pt>
                <c:pt idx="111">
                  <c:v>1441230.4772331573</c:v>
                </c:pt>
                <c:pt idx="112">
                  <c:v>1441230.4772331573</c:v>
                </c:pt>
                <c:pt idx="113">
                  <c:v>1441230.4772331573</c:v>
                </c:pt>
                <c:pt idx="114">
                  <c:v>1441230.4772331573</c:v>
                </c:pt>
                <c:pt idx="115">
                  <c:v>1441230.4772331573</c:v>
                </c:pt>
                <c:pt idx="116">
                  <c:v>1441230.4772331573</c:v>
                </c:pt>
                <c:pt idx="117">
                  <c:v>1441230.4772331573</c:v>
                </c:pt>
                <c:pt idx="118">
                  <c:v>1441230.4772331573</c:v>
                </c:pt>
                <c:pt idx="119">
                  <c:v>1441230.4772331573</c:v>
                </c:pt>
                <c:pt idx="120">
                  <c:v>1441230.4772331573</c:v>
                </c:pt>
                <c:pt idx="121">
                  <c:v>1441230.4772331573</c:v>
                </c:pt>
                <c:pt idx="122">
                  <c:v>1441230.4772331573</c:v>
                </c:pt>
                <c:pt idx="123">
                  <c:v>1441230.4772331573</c:v>
                </c:pt>
                <c:pt idx="124">
                  <c:v>1441230.4772331573</c:v>
                </c:pt>
                <c:pt idx="125">
                  <c:v>1441230.4772331573</c:v>
                </c:pt>
                <c:pt idx="126">
                  <c:v>1441230.4772331573</c:v>
                </c:pt>
                <c:pt idx="127">
                  <c:v>1441230.4772331573</c:v>
                </c:pt>
                <c:pt idx="128">
                  <c:v>1441230.4772331573</c:v>
                </c:pt>
                <c:pt idx="129">
                  <c:v>1441230.4772331573</c:v>
                </c:pt>
                <c:pt idx="130">
                  <c:v>1441230.4772331573</c:v>
                </c:pt>
                <c:pt idx="131">
                  <c:v>1441230.4772331573</c:v>
                </c:pt>
                <c:pt idx="132">
                  <c:v>1441230.4772331573</c:v>
                </c:pt>
                <c:pt idx="133">
                  <c:v>1441230.4772331573</c:v>
                </c:pt>
                <c:pt idx="134">
                  <c:v>1441230.4772331573</c:v>
                </c:pt>
                <c:pt idx="135">
                  <c:v>1441230.4772331573</c:v>
                </c:pt>
                <c:pt idx="136">
                  <c:v>1441230.4772331573</c:v>
                </c:pt>
                <c:pt idx="137">
                  <c:v>1441230.4772331573</c:v>
                </c:pt>
                <c:pt idx="138">
                  <c:v>1441230.4772331573</c:v>
                </c:pt>
                <c:pt idx="139">
                  <c:v>1441230.4772331573</c:v>
                </c:pt>
                <c:pt idx="140">
                  <c:v>1441230.4772331573</c:v>
                </c:pt>
                <c:pt idx="141">
                  <c:v>1441230.4772331573</c:v>
                </c:pt>
                <c:pt idx="142">
                  <c:v>1441230.4772331573</c:v>
                </c:pt>
                <c:pt idx="143">
                  <c:v>1441230.4772331573</c:v>
                </c:pt>
                <c:pt idx="144">
                  <c:v>1441230.4772331573</c:v>
                </c:pt>
                <c:pt idx="145">
                  <c:v>1441230.4772331573</c:v>
                </c:pt>
                <c:pt idx="146">
                  <c:v>1441230.4772331573</c:v>
                </c:pt>
                <c:pt idx="147">
                  <c:v>1441230.4772331573</c:v>
                </c:pt>
                <c:pt idx="148">
                  <c:v>1441230.4772331573</c:v>
                </c:pt>
                <c:pt idx="149">
                  <c:v>1441230.4772331573</c:v>
                </c:pt>
                <c:pt idx="150">
                  <c:v>1441230.4772331573</c:v>
                </c:pt>
                <c:pt idx="151">
                  <c:v>1441230.4772331573</c:v>
                </c:pt>
                <c:pt idx="152">
                  <c:v>1441230.4772331573</c:v>
                </c:pt>
                <c:pt idx="153">
                  <c:v>1441230.4772331573</c:v>
                </c:pt>
                <c:pt idx="154">
                  <c:v>1441230.4772331573</c:v>
                </c:pt>
                <c:pt idx="155">
                  <c:v>1441230.4772331573</c:v>
                </c:pt>
                <c:pt idx="156">
                  <c:v>1441230.4772331573</c:v>
                </c:pt>
                <c:pt idx="157">
                  <c:v>1441230.4772331573</c:v>
                </c:pt>
                <c:pt idx="158">
                  <c:v>1441230.4772331573</c:v>
                </c:pt>
                <c:pt idx="159">
                  <c:v>1441230.4772331573</c:v>
                </c:pt>
                <c:pt idx="160">
                  <c:v>1441230.4772331573</c:v>
                </c:pt>
                <c:pt idx="161">
                  <c:v>1441230.4772331573</c:v>
                </c:pt>
                <c:pt idx="162">
                  <c:v>1441230.4772331573</c:v>
                </c:pt>
                <c:pt idx="163">
                  <c:v>1441230.4772331573</c:v>
                </c:pt>
                <c:pt idx="164">
                  <c:v>1441230.4772331573</c:v>
                </c:pt>
                <c:pt idx="165">
                  <c:v>1441230.4772331573</c:v>
                </c:pt>
                <c:pt idx="166">
                  <c:v>1441230.4772331573</c:v>
                </c:pt>
                <c:pt idx="167">
                  <c:v>1441230.4772331573</c:v>
                </c:pt>
                <c:pt idx="168">
                  <c:v>1441230.4772331573</c:v>
                </c:pt>
                <c:pt idx="169">
                  <c:v>1441230.4772331573</c:v>
                </c:pt>
                <c:pt idx="170">
                  <c:v>1441230.4772331573</c:v>
                </c:pt>
                <c:pt idx="171">
                  <c:v>1441230.4772331573</c:v>
                </c:pt>
                <c:pt idx="172">
                  <c:v>1441230.4772331573</c:v>
                </c:pt>
                <c:pt idx="173">
                  <c:v>1441230.4772331573</c:v>
                </c:pt>
                <c:pt idx="174">
                  <c:v>1441230.4772331573</c:v>
                </c:pt>
                <c:pt idx="175">
                  <c:v>1441230.4772331573</c:v>
                </c:pt>
                <c:pt idx="176">
                  <c:v>1441230.4772331573</c:v>
                </c:pt>
                <c:pt idx="177">
                  <c:v>1441230.4772331573</c:v>
                </c:pt>
                <c:pt idx="178">
                  <c:v>1441230.4772331573</c:v>
                </c:pt>
                <c:pt idx="179">
                  <c:v>1441230.4772331573</c:v>
                </c:pt>
                <c:pt idx="180">
                  <c:v>1441230.4772331573</c:v>
                </c:pt>
                <c:pt idx="181">
                  <c:v>1441230.4772331573</c:v>
                </c:pt>
                <c:pt idx="182">
                  <c:v>1441230.4772331573</c:v>
                </c:pt>
                <c:pt idx="183">
                  <c:v>1441230.4772331573</c:v>
                </c:pt>
                <c:pt idx="184">
                  <c:v>1441230.4772331573</c:v>
                </c:pt>
                <c:pt idx="185">
                  <c:v>1441230.4772331573</c:v>
                </c:pt>
                <c:pt idx="186">
                  <c:v>1441230.4772331573</c:v>
                </c:pt>
                <c:pt idx="187">
                  <c:v>1441230.4772331573</c:v>
                </c:pt>
                <c:pt idx="188">
                  <c:v>1441230.4772331573</c:v>
                </c:pt>
                <c:pt idx="189">
                  <c:v>1441230.4772331573</c:v>
                </c:pt>
                <c:pt idx="190">
                  <c:v>1441230.4772331573</c:v>
                </c:pt>
                <c:pt idx="191">
                  <c:v>1441230.4772331573</c:v>
                </c:pt>
                <c:pt idx="192">
                  <c:v>1441230.4772331573</c:v>
                </c:pt>
                <c:pt idx="193">
                  <c:v>1441230.4772331573</c:v>
                </c:pt>
                <c:pt idx="194">
                  <c:v>1441230.4772331573</c:v>
                </c:pt>
                <c:pt idx="195">
                  <c:v>1441230.4772331573</c:v>
                </c:pt>
                <c:pt idx="196">
                  <c:v>1441230.4772331573</c:v>
                </c:pt>
                <c:pt idx="197">
                  <c:v>1441230.4772331573</c:v>
                </c:pt>
                <c:pt idx="198">
                  <c:v>1441230.4772331573</c:v>
                </c:pt>
                <c:pt idx="199">
                  <c:v>1441230.4772331573</c:v>
                </c:pt>
                <c:pt idx="200">
                  <c:v>1441230.4772331573</c:v>
                </c:pt>
                <c:pt idx="201">
                  <c:v>1441230.4772331573</c:v>
                </c:pt>
                <c:pt idx="202">
                  <c:v>1441230.4772331573</c:v>
                </c:pt>
                <c:pt idx="203">
                  <c:v>1441230.4772331573</c:v>
                </c:pt>
                <c:pt idx="204">
                  <c:v>1441230.4772331573</c:v>
                </c:pt>
                <c:pt idx="205">
                  <c:v>1441230.4772331573</c:v>
                </c:pt>
                <c:pt idx="206">
                  <c:v>1441230.4772331573</c:v>
                </c:pt>
                <c:pt idx="207">
                  <c:v>1441230.4772331573</c:v>
                </c:pt>
                <c:pt idx="208">
                  <c:v>1441230.4772331573</c:v>
                </c:pt>
                <c:pt idx="209">
                  <c:v>1441230.4772331573</c:v>
                </c:pt>
                <c:pt idx="210">
                  <c:v>1441230.4772331573</c:v>
                </c:pt>
                <c:pt idx="211">
                  <c:v>1441230.4772331573</c:v>
                </c:pt>
                <c:pt idx="212">
                  <c:v>1441230.4772331573</c:v>
                </c:pt>
                <c:pt idx="213">
                  <c:v>1441230.4772331573</c:v>
                </c:pt>
                <c:pt idx="214">
                  <c:v>1441230.4772331573</c:v>
                </c:pt>
                <c:pt idx="215">
                  <c:v>1441230.4772331573</c:v>
                </c:pt>
                <c:pt idx="216">
                  <c:v>1441230.4772331573</c:v>
                </c:pt>
                <c:pt idx="217">
                  <c:v>1441230.4772331573</c:v>
                </c:pt>
                <c:pt idx="218">
                  <c:v>1441230.4772331573</c:v>
                </c:pt>
                <c:pt idx="219">
                  <c:v>1441230.4772331573</c:v>
                </c:pt>
                <c:pt idx="220">
                  <c:v>1441230.4772331573</c:v>
                </c:pt>
                <c:pt idx="221">
                  <c:v>1441230.4772331573</c:v>
                </c:pt>
                <c:pt idx="222">
                  <c:v>1441230.4772331573</c:v>
                </c:pt>
                <c:pt idx="223">
                  <c:v>1441230.4772331573</c:v>
                </c:pt>
                <c:pt idx="224">
                  <c:v>1441230.4772331573</c:v>
                </c:pt>
                <c:pt idx="225">
                  <c:v>1441230.4772331573</c:v>
                </c:pt>
                <c:pt idx="226">
                  <c:v>1441230.4772331573</c:v>
                </c:pt>
                <c:pt idx="227">
                  <c:v>1441230.4772331573</c:v>
                </c:pt>
                <c:pt idx="228">
                  <c:v>1441230.4772331573</c:v>
                </c:pt>
                <c:pt idx="229">
                  <c:v>1441230.4772331573</c:v>
                </c:pt>
                <c:pt idx="230">
                  <c:v>1441230.4772331573</c:v>
                </c:pt>
                <c:pt idx="231">
                  <c:v>1441230.4772331573</c:v>
                </c:pt>
                <c:pt idx="232">
                  <c:v>1441230.4772331573</c:v>
                </c:pt>
                <c:pt idx="233">
                  <c:v>1441230.4772331573</c:v>
                </c:pt>
                <c:pt idx="234">
                  <c:v>1441230.4772331573</c:v>
                </c:pt>
                <c:pt idx="235">
                  <c:v>1441230.4772331573</c:v>
                </c:pt>
                <c:pt idx="236">
                  <c:v>1441230.4772331573</c:v>
                </c:pt>
                <c:pt idx="237">
                  <c:v>1441230.4772331573</c:v>
                </c:pt>
                <c:pt idx="238">
                  <c:v>1441230.4772331573</c:v>
                </c:pt>
                <c:pt idx="239">
                  <c:v>1441230.4772331573</c:v>
                </c:pt>
                <c:pt idx="240">
                  <c:v>1441230.4772331573</c:v>
                </c:pt>
                <c:pt idx="241">
                  <c:v>1441230.4772331573</c:v>
                </c:pt>
                <c:pt idx="242">
                  <c:v>1441230.4772331573</c:v>
                </c:pt>
                <c:pt idx="243">
                  <c:v>1441230.4772331573</c:v>
                </c:pt>
                <c:pt idx="244">
                  <c:v>1441230.4772331573</c:v>
                </c:pt>
                <c:pt idx="245">
                  <c:v>1441230.4772331573</c:v>
                </c:pt>
                <c:pt idx="246">
                  <c:v>1441230.4772331573</c:v>
                </c:pt>
                <c:pt idx="247">
                  <c:v>1441230.4772331573</c:v>
                </c:pt>
                <c:pt idx="248">
                  <c:v>1441230.4772331573</c:v>
                </c:pt>
                <c:pt idx="249">
                  <c:v>1441230.4772331573</c:v>
                </c:pt>
                <c:pt idx="250">
                  <c:v>1441230.4772331573</c:v>
                </c:pt>
                <c:pt idx="251">
                  <c:v>1441230.4772331573</c:v>
                </c:pt>
                <c:pt idx="252">
                  <c:v>1441230.4772331573</c:v>
                </c:pt>
                <c:pt idx="253">
                  <c:v>1441230.4772331573</c:v>
                </c:pt>
                <c:pt idx="254">
                  <c:v>1441230.4772331573</c:v>
                </c:pt>
                <c:pt idx="255">
                  <c:v>1441230.4772331573</c:v>
                </c:pt>
                <c:pt idx="256">
                  <c:v>1441230.4772331573</c:v>
                </c:pt>
                <c:pt idx="257">
                  <c:v>1441230.4772331573</c:v>
                </c:pt>
                <c:pt idx="258">
                  <c:v>1441230.4772331573</c:v>
                </c:pt>
                <c:pt idx="259">
                  <c:v>1441230.4772331573</c:v>
                </c:pt>
                <c:pt idx="260">
                  <c:v>1441230.4772331573</c:v>
                </c:pt>
                <c:pt idx="261">
                  <c:v>1441230.4772331573</c:v>
                </c:pt>
                <c:pt idx="262">
                  <c:v>1441230.4772331573</c:v>
                </c:pt>
                <c:pt idx="263">
                  <c:v>1441230.4772331573</c:v>
                </c:pt>
                <c:pt idx="264">
                  <c:v>1441230.4772331573</c:v>
                </c:pt>
                <c:pt idx="265">
                  <c:v>1441230.4772331573</c:v>
                </c:pt>
                <c:pt idx="266">
                  <c:v>1441230.4772331573</c:v>
                </c:pt>
                <c:pt idx="267">
                  <c:v>1441230.4772331573</c:v>
                </c:pt>
                <c:pt idx="268">
                  <c:v>1441230.4772331573</c:v>
                </c:pt>
                <c:pt idx="269">
                  <c:v>1441230.4772331573</c:v>
                </c:pt>
                <c:pt idx="270">
                  <c:v>1441230.4772331573</c:v>
                </c:pt>
                <c:pt idx="271">
                  <c:v>1441230.4772331573</c:v>
                </c:pt>
                <c:pt idx="272">
                  <c:v>1441230.4772331573</c:v>
                </c:pt>
                <c:pt idx="273">
                  <c:v>1441230.4772331573</c:v>
                </c:pt>
                <c:pt idx="274">
                  <c:v>1441230.4772331573</c:v>
                </c:pt>
                <c:pt idx="275">
                  <c:v>1441230.4772331573</c:v>
                </c:pt>
                <c:pt idx="276">
                  <c:v>1441230.4772331573</c:v>
                </c:pt>
                <c:pt idx="277">
                  <c:v>1441230.4772331573</c:v>
                </c:pt>
                <c:pt idx="278">
                  <c:v>1441230.4772331573</c:v>
                </c:pt>
                <c:pt idx="279">
                  <c:v>1441230.4772331573</c:v>
                </c:pt>
                <c:pt idx="280">
                  <c:v>1441230.4772331573</c:v>
                </c:pt>
                <c:pt idx="281">
                  <c:v>1441230.4772331573</c:v>
                </c:pt>
                <c:pt idx="282">
                  <c:v>1441230.4772331573</c:v>
                </c:pt>
                <c:pt idx="283">
                  <c:v>1441230.4772331573</c:v>
                </c:pt>
                <c:pt idx="284">
                  <c:v>1441230.4772331573</c:v>
                </c:pt>
                <c:pt idx="285">
                  <c:v>1441230.4772331573</c:v>
                </c:pt>
                <c:pt idx="286">
                  <c:v>1441230.4772331573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223511.98</c:v>
                </c:pt>
                <c:pt idx="18">
                  <c:v>357803.98</c:v>
                </c:pt>
                <c:pt idx="19">
                  <c:v>694247.46695652173</c:v>
                </c:pt>
                <c:pt idx="20">
                  <c:v>694247.46695652173</c:v>
                </c:pt>
                <c:pt idx="21">
                  <c:v>710065.92591847829</c:v>
                </c:pt>
                <c:pt idx="22">
                  <c:v>710065.92591847829</c:v>
                </c:pt>
                <c:pt idx="23">
                  <c:v>1194452.4559184783</c:v>
                </c:pt>
                <c:pt idx="24">
                  <c:v>1194452.4559184783</c:v>
                </c:pt>
                <c:pt idx="25">
                  <c:v>1194452.4559184783</c:v>
                </c:pt>
                <c:pt idx="26">
                  <c:v>1194452.4559184783</c:v>
                </c:pt>
                <c:pt idx="27">
                  <c:v>1194452.4559184783</c:v>
                </c:pt>
                <c:pt idx="28">
                  <c:v>1194452.4559184783</c:v>
                </c:pt>
                <c:pt idx="29">
                  <c:v>1194452.4559184783</c:v>
                </c:pt>
                <c:pt idx="30">
                  <c:v>1194452.4559184783</c:v>
                </c:pt>
                <c:pt idx="31">
                  <c:v>1194452.4559184783</c:v>
                </c:pt>
                <c:pt idx="32">
                  <c:v>1194452.4559184783</c:v>
                </c:pt>
                <c:pt idx="33">
                  <c:v>1194452.4559184783</c:v>
                </c:pt>
                <c:pt idx="34">
                  <c:v>1194452.4559184783</c:v>
                </c:pt>
                <c:pt idx="35">
                  <c:v>1194452.4559184783</c:v>
                </c:pt>
                <c:pt idx="36">
                  <c:v>1194452.4559184783</c:v>
                </c:pt>
                <c:pt idx="37">
                  <c:v>1194452.4559184783</c:v>
                </c:pt>
                <c:pt idx="38">
                  <c:v>1194452.4559184783</c:v>
                </c:pt>
                <c:pt idx="39">
                  <c:v>1194452.4559184783</c:v>
                </c:pt>
                <c:pt idx="40">
                  <c:v>1194452.4559184783</c:v>
                </c:pt>
                <c:pt idx="41">
                  <c:v>1194452.4559184783</c:v>
                </c:pt>
                <c:pt idx="42">
                  <c:v>1194452.4559184783</c:v>
                </c:pt>
                <c:pt idx="43">
                  <c:v>1194452.4559184783</c:v>
                </c:pt>
                <c:pt idx="44">
                  <c:v>1194452.4559184783</c:v>
                </c:pt>
                <c:pt idx="45">
                  <c:v>1194452.4559184783</c:v>
                </c:pt>
                <c:pt idx="46">
                  <c:v>1194452.4559184783</c:v>
                </c:pt>
                <c:pt idx="47">
                  <c:v>1194452.4559184783</c:v>
                </c:pt>
                <c:pt idx="48">
                  <c:v>1194452.4559184783</c:v>
                </c:pt>
                <c:pt idx="49">
                  <c:v>1194452.4559184783</c:v>
                </c:pt>
                <c:pt idx="50">
                  <c:v>1194452.4559184783</c:v>
                </c:pt>
                <c:pt idx="51">
                  <c:v>1194452.4559184783</c:v>
                </c:pt>
                <c:pt idx="52">
                  <c:v>1194452.4559184783</c:v>
                </c:pt>
                <c:pt idx="53">
                  <c:v>1194452.4559184783</c:v>
                </c:pt>
                <c:pt idx="54">
                  <c:v>1194452.4559184783</c:v>
                </c:pt>
                <c:pt idx="55">
                  <c:v>1194452.4559184783</c:v>
                </c:pt>
                <c:pt idx="56">
                  <c:v>1194452.4559184783</c:v>
                </c:pt>
                <c:pt idx="57">
                  <c:v>1194452.4559184783</c:v>
                </c:pt>
                <c:pt idx="58">
                  <c:v>1194452.4559184783</c:v>
                </c:pt>
                <c:pt idx="59">
                  <c:v>1194452.4559184783</c:v>
                </c:pt>
                <c:pt idx="60">
                  <c:v>1194452.4559184783</c:v>
                </c:pt>
                <c:pt idx="61">
                  <c:v>1194452.4559184783</c:v>
                </c:pt>
                <c:pt idx="62">
                  <c:v>1194452.4559184783</c:v>
                </c:pt>
                <c:pt idx="63">
                  <c:v>1194452.4559184783</c:v>
                </c:pt>
                <c:pt idx="64">
                  <c:v>1194452.4559184783</c:v>
                </c:pt>
                <c:pt idx="65">
                  <c:v>1194452.4559184783</c:v>
                </c:pt>
                <c:pt idx="66">
                  <c:v>1194452.4559184783</c:v>
                </c:pt>
                <c:pt idx="67">
                  <c:v>1194452.4559184783</c:v>
                </c:pt>
                <c:pt idx="68">
                  <c:v>1194452.4559184783</c:v>
                </c:pt>
                <c:pt idx="69">
                  <c:v>1194452.4559184783</c:v>
                </c:pt>
                <c:pt idx="70">
                  <c:v>1194452.4559184783</c:v>
                </c:pt>
                <c:pt idx="71">
                  <c:v>1194452.4559184783</c:v>
                </c:pt>
                <c:pt idx="72">
                  <c:v>1194452.4559184783</c:v>
                </c:pt>
                <c:pt idx="73">
                  <c:v>1194452.4559184783</c:v>
                </c:pt>
                <c:pt idx="74">
                  <c:v>1194452.4559184783</c:v>
                </c:pt>
                <c:pt idx="75">
                  <c:v>1194452.4559184783</c:v>
                </c:pt>
                <c:pt idx="76">
                  <c:v>1194452.4559184783</c:v>
                </c:pt>
                <c:pt idx="77">
                  <c:v>1194452.4559184783</c:v>
                </c:pt>
                <c:pt idx="78">
                  <c:v>1194452.4559184783</c:v>
                </c:pt>
                <c:pt idx="79">
                  <c:v>1194452.4559184783</c:v>
                </c:pt>
                <c:pt idx="80">
                  <c:v>1194452.4559184783</c:v>
                </c:pt>
                <c:pt idx="81">
                  <c:v>1194452.4559184783</c:v>
                </c:pt>
                <c:pt idx="82">
                  <c:v>1194452.4559184783</c:v>
                </c:pt>
                <c:pt idx="83">
                  <c:v>1194452.4559184783</c:v>
                </c:pt>
                <c:pt idx="84">
                  <c:v>1194452.4559184783</c:v>
                </c:pt>
                <c:pt idx="85">
                  <c:v>1194452.4559184783</c:v>
                </c:pt>
                <c:pt idx="86">
                  <c:v>1194452.4559184783</c:v>
                </c:pt>
                <c:pt idx="87">
                  <c:v>1194452.4559184783</c:v>
                </c:pt>
                <c:pt idx="88">
                  <c:v>1194452.4559184783</c:v>
                </c:pt>
                <c:pt idx="89">
                  <c:v>1194452.4559184783</c:v>
                </c:pt>
                <c:pt idx="90">
                  <c:v>1194452.4559184783</c:v>
                </c:pt>
                <c:pt idx="91">
                  <c:v>1194452.4559184783</c:v>
                </c:pt>
                <c:pt idx="92">
                  <c:v>1194452.4559184783</c:v>
                </c:pt>
                <c:pt idx="93">
                  <c:v>1194452.4559184783</c:v>
                </c:pt>
                <c:pt idx="94">
                  <c:v>1194452.4559184783</c:v>
                </c:pt>
                <c:pt idx="95">
                  <c:v>1194452.4559184783</c:v>
                </c:pt>
                <c:pt idx="96">
                  <c:v>1194452.4559184783</c:v>
                </c:pt>
                <c:pt idx="97">
                  <c:v>1194452.4559184783</c:v>
                </c:pt>
                <c:pt idx="98">
                  <c:v>1194452.4559184783</c:v>
                </c:pt>
                <c:pt idx="99">
                  <c:v>1194452.4559184783</c:v>
                </c:pt>
                <c:pt idx="100">
                  <c:v>1194452.4559184783</c:v>
                </c:pt>
                <c:pt idx="101">
                  <c:v>1194452.4559184783</c:v>
                </c:pt>
                <c:pt idx="102">
                  <c:v>1194452.4559184783</c:v>
                </c:pt>
                <c:pt idx="103">
                  <c:v>1194452.4559184783</c:v>
                </c:pt>
                <c:pt idx="104">
                  <c:v>1194452.4559184783</c:v>
                </c:pt>
                <c:pt idx="105">
                  <c:v>1194452.4559184783</c:v>
                </c:pt>
                <c:pt idx="106">
                  <c:v>1194452.4559184783</c:v>
                </c:pt>
                <c:pt idx="107">
                  <c:v>1194452.4559184783</c:v>
                </c:pt>
                <c:pt idx="108">
                  <c:v>1194452.4559184783</c:v>
                </c:pt>
                <c:pt idx="109">
                  <c:v>1194452.4559184783</c:v>
                </c:pt>
                <c:pt idx="110">
                  <c:v>1194452.4559184783</c:v>
                </c:pt>
                <c:pt idx="111">
                  <c:v>1194452.4559184783</c:v>
                </c:pt>
                <c:pt idx="112">
                  <c:v>1194452.4559184783</c:v>
                </c:pt>
                <c:pt idx="113">
                  <c:v>1194452.4559184783</c:v>
                </c:pt>
                <c:pt idx="114">
                  <c:v>1194452.4559184783</c:v>
                </c:pt>
                <c:pt idx="115">
                  <c:v>1194452.4559184783</c:v>
                </c:pt>
                <c:pt idx="116">
                  <c:v>1194452.4559184783</c:v>
                </c:pt>
                <c:pt idx="117">
                  <c:v>1194452.4559184783</c:v>
                </c:pt>
                <c:pt idx="118">
                  <c:v>1194452.4559184783</c:v>
                </c:pt>
                <c:pt idx="119">
                  <c:v>1194452.4559184783</c:v>
                </c:pt>
                <c:pt idx="120">
                  <c:v>1194452.4559184783</c:v>
                </c:pt>
                <c:pt idx="121">
                  <c:v>1194452.4559184783</c:v>
                </c:pt>
                <c:pt idx="122">
                  <c:v>1194452.4559184783</c:v>
                </c:pt>
                <c:pt idx="123">
                  <c:v>1194452.4559184783</c:v>
                </c:pt>
                <c:pt idx="124">
                  <c:v>1194452.4559184783</c:v>
                </c:pt>
                <c:pt idx="125">
                  <c:v>1194452.4559184783</c:v>
                </c:pt>
                <c:pt idx="126">
                  <c:v>1194452.4559184783</c:v>
                </c:pt>
                <c:pt idx="127">
                  <c:v>1194452.4559184783</c:v>
                </c:pt>
                <c:pt idx="128">
                  <c:v>1194452.4559184783</c:v>
                </c:pt>
                <c:pt idx="129">
                  <c:v>1194452.4559184783</c:v>
                </c:pt>
                <c:pt idx="130">
                  <c:v>1194452.4559184783</c:v>
                </c:pt>
                <c:pt idx="131">
                  <c:v>1194452.4559184783</c:v>
                </c:pt>
                <c:pt idx="132">
                  <c:v>1194452.4559184783</c:v>
                </c:pt>
                <c:pt idx="133">
                  <c:v>1194452.4559184783</c:v>
                </c:pt>
                <c:pt idx="134">
                  <c:v>1194452.4559184783</c:v>
                </c:pt>
                <c:pt idx="135">
                  <c:v>1194452.4559184783</c:v>
                </c:pt>
                <c:pt idx="136">
                  <c:v>1194452.4559184783</c:v>
                </c:pt>
                <c:pt idx="137">
                  <c:v>1194452.4559184783</c:v>
                </c:pt>
                <c:pt idx="138">
                  <c:v>1194452.4559184783</c:v>
                </c:pt>
                <c:pt idx="139">
                  <c:v>1194452.4559184783</c:v>
                </c:pt>
                <c:pt idx="140">
                  <c:v>1194452.4559184783</c:v>
                </c:pt>
                <c:pt idx="141">
                  <c:v>1194452.4559184783</c:v>
                </c:pt>
                <c:pt idx="142">
                  <c:v>1194452.4559184783</c:v>
                </c:pt>
                <c:pt idx="143">
                  <c:v>1194452.4559184783</c:v>
                </c:pt>
                <c:pt idx="144">
                  <c:v>1194452.4559184783</c:v>
                </c:pt>
                <c:pt idx="145">
                  <c:v>1194452.4559184783</c:v>
                </c:pt>
                <c:pt idx="146">
                  <c:v>1194452.4559184783</c:v>
                </c:pt>
                <c:pt idx="147">
                  <c:v>1194452.4559184783</c:v>
                </c:pt>
                <c:pt idx="148">
                  <c:v>1194452.4559184783</c:v>
                </c:pt>
                <c:pt idx="149">
                  <c:v>1194452.4559184783</c:v>
                </c:pt>
                <c:pt idx="150">
                  <c:v>1194452.4559184783</c:v>
                </c:pt>
                <c:pt idx="151">
                  <c:v>1194452.4559184783</c:v>
                </c:pt>
                <c:pt idx="152">
                  <c:v>1194452.4559184783</c:v>
                </c:pt>
                <c:pt idx="153">
                  <c:v>1194452.4559184783</c:v>
                </c:pt>
                <c:pt idx="154">
                  <c:v>1194452.4559184783</c:v>
                </c:pt>
                <c:pt idx="155">
                  <c:v>1194452.4559184783</c:v>
                </c:pt>
                <c:pt idx="156">
                  <c:v>1194452.4559184783</c:v>
                </c:pt>
                <c:pt idx="157">
                  <c:v>1194452.4559184783</c:v>
                </c:pt>
                <c:pt idx="158">
                  <c:v>1194452.4559184783</c:v>
                </c:pt>
                <c:pt idx="159">
                  <c:v>1194452.4559184783</c:v>
                </c:pt>
                <c:pt idx="160">
                  <c:v>1194452.4559184783</c:v>
                </c:pt>
                <c:pt idx="161">
                  <c:v>1194452.4559184783</c:v>
                </c:pt>
                <c:pt idx="162">
                  <c:v>1194452.4559184783</c:v>
                </c:pt>
                <c:pt idx="163">
                  <c:v>1194452.4559184783</c:v>
                </c:pt>
                <c:pt idx="164">
                  <c:v>1194452.4559184783</c:v>
                </c:pt>
                <c:pt idx="165">
                  <c:v>1194452.4559184783</c:v>
                </c:pt>
                <c:pt idx="166">
                  <c:v>1194452.4559184783</c:v>
                </c:pt>
                <c:pt idx="167">
                  <c:v>1194452.4559184783</c:v>
                </c:pt>
                <c:pt idx="168">
                  <c:v>1194452.4559184783</c:v>
                </c:pt>
                <c:pt idx="169">
                  <c:v>1194452.4559184783</c:v>
                </c:pt>
                <c:pt idx="170">
                  <c:v>1194452.4559184783</c:v>
                </c:pt>
                <c:pt idx="171">
                  <c:v>1194452.4559184783</c:v>
                </c:pt>
                <c:pt idx="172">
                  <c:v>1194452.4559184783</c:v>
                </c:pt>
                <c:pt idx="173">
                  <c:v>1194452.4559184783</c:v>
                </c:pt>
                <c:pt idx="174">
                  <c:v>1194452.4559184783</c:v>
                </c:pt>
                <c:pt idx="175">
                  <c:v>1194452.4559184783</c:v>
                </c:pt>
                <c:pt idx="176">
                  <c:v>1194452.4559184783</c:v>
                </c:pt>
                <c:pt idx="177">
                  <c:v>1194452.4559184783</c:v>
                </c:pt>
                <c:pt idx="178">
                  <c:v>1194452.4559184783</c:v>
                </c:pt>
                <c:pt idx="179">
                  <c:v>1194452.4559184783</c:v>
                </c:pt>
                <c:pt idx="180">
                  <c:v>1194452.4559184783</c:v>
                </c:pt>
                <c:pt idx="181">
                  <c:v>1194452.4559184783</c:v>
                </c:pt>
                <c:pt idx="182">
                  <c:v>1194452.4559184783</c:v>
                </c:pt>
                <c:pt idx="183">
                  <c:v>1194452.4559184783</c:v>
                </c:pt>
                <c:pt idx="184">
                  <c:v>1194452.4559184783</c:v>
                </c:pt>
                <c:pt idx="185">
                  <c:v>1194452.4559184783</c:v>
                </c:pt>
                <c:pt idx="186">
                  <c:v>1194452.4559184783</c:v>
                </c:pt>
                <c:pt idx="187">
                  <c:v>1194452.4559184783</c:v>
                </c:pt>
                <c:pt idx="188">
                  <c:v>1194452.4559184783</c:v>
                </c:pt>
                <c:pt idx="189">
                  <c:v>1194452.4559184783</c:v>
                </c:pt>
                <c:pt idx="190">
                  <c:v>1194452.4559184783</c:v>
                </c:pt>
                <c:pt idx="191">
                  <c:v>1194452.4559184783</c:v>
                </c:pt>
                <c:pt idx="192">
                  <c:v>1194452.4559184783</c:v>
                </c:pt>
                <c:pt idx="193">
                  <c:v>1194452.4559184783</c:v>
                </c:pt>
                <c:pt idx="194">
                  <c:v>1194452.4559184783</c:v>
                </c:pt>
                <c:pt idx="195">
                  <c:v>1194452.4559184783</c:v>
                </c:pt>
                <c:pt idx="196">
                  <c:v>1194452.4559184783</c:v>
                </c:pt>
                <c:pt idx="197">
                  <c:v>1194452.4559184783</c:v>
                </c:pt>
                <c:pt idx="198">
                  <c:v>1194452.4559184783</c:v>
                </c:pt>
                <c:pt idx="199">
                  <c:v>1194452.4559184783</c:v>
                </c:pt>
                <c:pt idx="200">
                  <c:v>1194452.4559184783</c:v>
                </c:pt>
                <c:pt idx="201">
                  <c:v>1194452.4559184783</c:v>
                </c:pt>
                <c:pt idx="202">
                  <c:v>1194452.4559184783</c:v>
                </c:pt>
                <c:pt idx="203">
                  <c:v>1194452.4559184783</c:v>
                </c:pt>
                <c:pt idx="204">
                  <c:v>1194452.4559184783</c:v>
                </c:pt>
                <c:pt idx="205">
                  <c:v>1194452.4559184783</c:v>
                </c:pt>
                <c:pt idx="206">
                  <c:v>1194452.4559184783</c:v>
                </c:pt>
                <c:pt idx="207">
                  <c:v>1194452.4559184783</c:v>
                </c:pt>
                <c:pt idx="208">
                  <c:v>1194452.4559184783</c:v>
                </c:pt>
                <c:pt idx="209">
                  <c:v>1194452.4559184783</c:v>
                </c:pt>
                <c:pt idx="210">
                  <c:v>1194452.4559184783</c:v>
                </c:pt>
                <c:pt idx="211">
                  <c:v>1194452.4559184783</c:v>
                </c:pt>
                <c:pt idx="212">
                  <c:v>1194452.4559184783</c:v>
                </c:pt>
                <c:pt idx="213">
                  <c:v>1194452.4559184783</c:v>
                </c:pt>
                <c:pt idx="214">
                  <c:v>1194452.4559184783</c:v>
                </c:pt>
                <c:pt idx="215">
                  <c:v>1194452.4559184783</c:v>
                </c:pt>
                <c:pt idx="216">
                  <c:v>1194452.4559184783</c:v>
                </c:pt>
                <c:pt idx="217">
                  <c:v>1194452.4559184783</c:v>
                </c:pt>
                <c:pt idx="218">
                  <c:v>1194452.4559184783</c:v>
                </c:pt>
                <c:pt idx="219">
                  <c:v>1194452.4559184783</c:v>
                </c:pt>
                <c:pt idx="220">
                  <c:v>1194452.4559184783</c:v>
                </c:pt>
                <c:pt idx="221">
                  <c:v>1194452.4559184783</c:v>
                </c:pt>
                <c:pt idx="222">
                  <c:v>1194452.4559184783</c:v>
                </c:pt>
                <c:pt idx="223">
                  <c:v>1194452.4559184783</c:v>
                </c:pt>
                <c:pt idx="224">
                  <c:v>1194452.4559184783</c:v>
                </c:pt>
                <c:pt idx="225">
                  <c:v>1194452.4559184783</c:v>
                </c:pt>
                <c:pt idx="226">
                  <c:v>1194452.4559184783</c:v>
                </c:pt>
                <c:pt idx="227">
                  <c:v>1194452.4559184783</c:v>
                </c:pt>
                <c:pt idx="228">
                  <c:v>1194452.4559184783</c:v>
                </c:pt>
                <c:pt idx="229">
                  <c:v>1194452.4559184783</c:v>
                </c:pt>
                <c:pt idx="230">
                  <c:v>1194452.4559184783</c:v>
                </c:pt>
                <c:pt idx="231">
                  <c:v>1194452.4559184783</c:v>
                </c:pt>
                <c:pt idx="232">
                  <c:v>1194452.4559184783</c:v>
                </c:pt>
                <c:pt idx="233">
                  <c:v>1194452.4559184783</c:v>
                </c:pt>
                <c:pt idx="234">
                  <c:v>1194452.4559184783</c:v>
                </c:pt>
                <c:pt idx="235">
                  <c:v>1194452.4559184783</c:v>
                </c:pt>
                <c:pt idx="236">
                  <c:v>1194452.4559184783</c:v>
                </c:pt>
                <c:pt idx="237">
                  <c:v>1194452.4559184783</c:v>
                </c:pt>
                <c:pt idx="238">
                  <c:v>1194452.4559184783</c:v>
                </c:pt>
                <c:pt idx="239">
                  <c:v>1194452.4559184783</c:v>
                </c:pt>
                <c:pt idx="240">
                  <c:v>1194452.4559184783</c:v>
                </c:pt>
                <c:pt idx="241">
                  <c:v>1194452.4559184783</c:v>
                </c:pt>
                <c:pt idx="242">
                  <c:v>1194452.4559184783</c:v>
                </c:pt>
                <c:pt idx="243">
                  <c:v>1194452.4559184783</c:v>
                </c:pt>
                <c:pt idx="244">
                  <c:v>1194452.4559184783</c:v>
                </c:pt>
                <c:pt idx="245">
                  <c:v>1194452.4559184783</c:v>
                </c:pt>
                <c:pt idx="246">
                  <c:v>1194452.4559184783</c:v>
                </c:pt>
                <c:pt idx="247">
                  <c:v>1194452.4559184783</c:v>
                </c:pt>
                <c:pt idx="248">
                  <c:v>1194452.4559184783</c:v>
                </c:pt>
                <c:pt idx="249">
                  <c:v>1194452.4559184783</c:v>
                </c:pt>
                <c:pt idx="250">
                  <c:v>1194452.4559184783</c:v>
                </c:pt>
                <c:pt idx="251">
                  <c:v>1194452.4559184783</c:v>
                </c:pt>
                <c:pt idx="252">
                  <c:v>1194452.4559184783</c:v>
                </c:pt>
                <c:pt idx="253">
                  <c:v>1194452.4559184783</c:v>
                </c:pt>
                <c:pt idx="254">
                  <c:v>1194452.4559184783</c:v>
                </c:pt>
                <c:pt idx="255">
                  <c:v>1194452.4559184783</c:v>
                </c:pt>
                <c:pt idx="256">
                  <c:v>1194452.4559184783</c:v>
                </c:pt>
                <c:pt idx="257">
                  <c:v>1194452.4559184783</c:v>
                </c:pt>
                <c:pt idx="258">
                  <c:v>1194452.4559184783</c:v>
                </c:pt>
                <c:pt idx="259">
                  <c:v>1194452.4559184783</c:v>
                </c:pt>
                <c:pt idx="260">
                  <c:v>1194452.4559184783</c:v>
                </c:pt>
                <c:pt idx="261">
                  <c:v>1194452.4559184783</c:v>
                </c:pt>
                <c:pt idx="262">
                  <c:v>1194452.4559184783</c:v>
                </c:pt>
                <c:pt idx="263">
                  <c:v>1194452.4559184783</c:v>
                </c:pt>
                <c:pt idx="264">
                  <c:v>1194452.4559184783</c:v>
                </c:pt>
                <c:pt idx="265">
                  <c:v>1194452.4559184783</c:v>
                </c:pt>
                <c:pt idx="266">
                  <c:v>1194452.4559184783</c:v>
                </c:pt>
                <c:pt idx="267">
                  <c:v>1194452.4559184783</c:v>
                </c:pt>
                <c:pt idx="268">
                  <c:v>1194452.4559184783</c:v>
                </c:pt>
                <c:pt idx="269">
                  <c:v>1194452.4559184783</c:v>
                </c:pt>
                <c:pt idx="270">
                  <c:v>1194452.4559184783</c:v>
                </c:pt>
                <c:pt idx="271">
                  <c:v>1194452.4559184783</c:v>
                </c:pt>
                <c:pt idx="272">
                  <c:v>1194452.4559184783</c:v>
                </c:pt>
                <c:pt idx="273">
                  <c:v>1194452.4559184783</c:v>
                </c:pt>
                <c:pt idx="274">
                  <c:v>1194452.4559184783</c:v>
                </c:pt>
                <c:pt idx="275">
                  <c:v>1194452.4559184783</c:v>
                </c:pt>
                <c:pt idx="276">
                  <c:v>1194452.4559184783</c:v>
                </c:pt>
                <c:pt idx="277">
                  <c:v>1194452.4559184783</c:v>
                </c:pt>
                <c:pt idx="278">
                  <c:v>1194452.4559184783</c:v>
                </c:pt>
                <c:pt idx="279">
                  <c:v>1194452.4559184783</c:v>
                </c:pt>
                <c:pt idx="280">
                  <c:v>1194452.4559184783</c:v>
                </c:pt>
                <c:pt idx="281">
                  <c:v>1194452.4559184783</c:v>
                </c:pt>
                <c:pt idx="282">
                  <c:v>1194452.4559184783</c:v>
                </c:pt>
                <c:pt idx="283">
                  <c:v>1194452.4559184783</c:v>
                </c:pt>
                <c:pt idx="284">
                  <c:v>1194452.4559184783</c:v>
                </c:pt>
                <c:pt idx="285">
                  <c:v>1194452.4559184783</c:v>
                </c:pt>
                <c:pt idx="286">
                  <c:v>1194452.4559184783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1080922.8579248681</c:v>
                </c:pt>
                <c:pt idx="16">
                  <c:v>1225045.9056481838</c:v>
                </c:pt>
                <c:pt idx="17">
                  <c:v>1001533.9256481838</c:v>
                </c:pt>
                <c:pt idx="18">
                  <c:v>867241.92564818379</c:v>
                </c:pt>
                <c:pt idx="19">
                  <c:v>530798.43869166204</c:v>
                </c:pt>
                <c:pt idx="20">
                  <c:v>674921.4864149777</c:v>
                </c:pt>
                <c:pt idx="21">
                  <c:v>731164.55131467897</c:v>
                </c:pt>
                <c:pt idx="22">
                  <c:v>731164.55131467897</c:v>
                </c:pt>
                <c:pt idx="23">
                  <c:v>246778.02131467895</c:v>
                </c:pt>
                <c:pt idx="24">
                  <c:v>246778.02131467895</c:v>
                </c:pt>
                <c:pt idx="25">
                  <c:v>246778.02131467895</c:v>
                </c:pt>
                <c:pt idx="26">
                  <c:v>246778.02131467895</c:v>
                </c:pt>
                <c:pt idx="27">
                  <c:v>246778.02131467895</c:v>
                </c:pt>
                <c:pt idx="28">
                  <c:v>246778.02131467895</c:v>
                </c:pt>
                <c:pt idx="29">
                  <c:v>246778.02131467895</c:v>
                </c:pt>
                <c:pt idx="30">
                  <c:v>246778.02131467895</c:v>
                </c:pt>
                <c:pt idx="31">
                  <c:v>246778.02131467895</c:v>
                </c:pt>
                <c:pt idx="32">
                  <c:v>246778.02131467895</c:v>
                </c:pt>
                <c:pt idx="33">
                  <c:v>246778.02131467895</c:v>
                </c:pt>
                <c:pt idx="34">
                  <c:v>246778.02131467895</c:v>
                </c:pt>
                <c:pt idx="35">
                  <c:v>246778.02131467895</c:v>
                </c:pt>
                <c:pt idx="36">
                  <c:v>246778.02131467895</c:v>
                </c:pt>
                <c:pt idx="37">
                  <c:v>246778.02131467895</c:v>
                </c:pt>
                <c:pt idx="38">
                  <c:v>246778.02131467895</c:v>
                </c:pt>
                <c:pt idx="39">
                  <c:v>246778.02131467895</c:v>
                </c:pt>
                <c:pt idx="40">
                  <c:v>246778.02131467895</c:v>
                </c:pt>
                <c:pt idx="41">
                  <c:v>246778.02131467895</c:v>
                </c:pt>
                <c:pt idx="42">
                  <c:v>246778.02131467895</c:v>
                </c:pt>
                <c:pt idx="43">
                  <c:v>246778.02131467895</c:v>
                </c:pt>
                <c:pt idx="44">
                  <c:v>246778.02131467895</c:v>
                </c:pt>
                <c:pt idx="45">
                  <c:v>246778.02131467895</c:v>
                </c:pt>
                <c:pt idx="46">
                  <c:v>246778.02131467895</c:v>
                </c:pt>
                <c:pt idx="47">
                  <c:v>246778.02131467895</c:v>
                </c:pt>
                <c:pt idx="48">
                  <c:v>246778.02131467895</c:v>
                </c:pt>
                <c:pt idx="49">
                  <c:v>246778.02131467895</c:v>
                </c:pt>
                <c:pt idx="50">
                  <c:v>246778.02131467895</c:v>
                </c:pt>
                <c:pt idx="51">
                  <c:v>246778.02131467895</c:v>
                </c:pt>
                <c:pt idx="52">
                  <c:v>246778.02131467895</c:v>
                </c:pt>
                <c:pt idx="53">
                  <c:v>246778.02131467895</c:v>
                </c:pt>
                <c:pt idx="54">
                  <c:v>246778.02131467895</c:v>
                </c:pt>
                <c:pt idx="55">
                  <c:v>246778.02131467895</c:v>
                </c:pt>
                <c:pt idx="56">
                  <c:v>246778.02131467895</c:v>
                </c:pt>
                <c:pt idx="57">
                  <c:v>246778.02131467895</c:v>
                </c:pt>
                <c:pt idx="58">
                  <c:v>246778.02131467895</c:v>
                </c:pt>
                <c:pt idx="59">
                  <c:v>246778.02131467895</c:v>
                </c:pt>
                <c:pt idx="60">
                  <c:v>246778.02131467895</c:v>
                </c:pt>
                <c:pt idx="61">
                  <c:v>246778.02131467895</c:v>
                </c:pt>
                <c:pt idx="62">
                  <c:v>246778.02131467895</c:v>
                </c:pt>
                <c:pt idx="63">
                  <c:v>246778.02131467895</c:v>
                </c:pt>
                <c:pt idx="64">
                  <c:v>246778.02131467895</c:v>
                </c:pt>
                <c:pt idx="65">
                  <c:v>246778.02131467895</c:v>
                </c:pt>
                <c:pt idx="66">
                  <c:v>246778.02131467895</c:v>
                </c:pt>
                <c:pt idx="67">
                  <c:v>246778.02131467895</c:v>
                </c:pt>
                <c:pt idx="68">
                  <c:v>246778.02131467895</c:v>
                </c:pt>
                <c:pt idx="69">
                  <c:v>246778.02131467895</c:v>
                </c:pt>
                <c:pt idx="70">
                  <c:v>246778.02131467895</c:v>
                </c:pt>
                <c:pt idx="71">
                  <c:v>246778.02131467895</c:v>
                </c:pt>
                <c:pt idx="72">
                  <c:v>246778.02131467895</c:v>
                </c:pt>
                <c:pt idx="73">
                  <c:v>246778.02131467895</c:v>
                </c:pt>
                <c:pt idx="74">
                  <c:v>246778.02131467895</c:v>
                </c:pt>
                <c:pt idx="75">
                  <c:v>246778.02131467895</c:v>
                </c:pt>
                <c:pt idx="76">
                  <c:v>246778.02131467895</c:v>
                </c:pt>
                <c:pt idx="77">
                  <c:v>246778.02131467895</c:v>
                </c:pt>
                <c:pt idx="78">
                  <c:v>246778.02131467895</c:v>
                </c:pt>
                <c:pt idx="79">
                  <c:v>246778.02131467895</c:v>
                </c:pt>
                <c:pt idx="80">
                  <c:v>246778.02131467895</c:v>
                </c:pt>
                <c:pt idx="81">
                  <c:v>246778.02131467895</c:v>
                </c:pt>
                <c:pt idx="82">
                  <c:v>246778.02131467895</c:v>
                </c:pt>
                <c:pt idx="83">
                  <c:v>246778.02131467895</c:v>
                </c:pt>
                <c:pt idx="84">
                  <c:v>246778.02131467895</c:v>
                </c:pt>
                <c:pt idx="85">
                  <c:v>246778.02131467895</c:v>
                </c:pt>
                <c:pt idx="86">
                  <c:v>246778.02131467895</c:v>
                </c:pt>
                <c:pt idx="87">
                  <c:v>246778.02131467895</c:v>
                </c:pt>
                <c:pt idx="88">
                  <c:v>246778.02131467895</c:v>
                </c:pt>
                <c:pt idx="89">
                  <c:v>246778.02131467895</c:v>
                </c:pt>
                <c:pt idx="90">
                  <c:v>246778.02131467895</c:v>
                </c:pt>
                <c:pt idx="91">
                  <c:v>246778.02131467895</c:v>
                </c:pt>
                <c:pt idx="92">
                  <c:v>246778.02131467895</c:v>
                </c:pt>
                <c:pt idx="93">
                  <c:v>246778.02131467895</c:v>
                </c:pt>
                <c:pt idx="94">
                  <c:v>246778.02131467895</c:v>
                </c:pt>
                <c:pt idx="95">
                  <c:v>246778.02131467895</c:v>
                </c:pt>
                <c:pt idx="96">
                  <c:v>246778.02131467895</c:v>
                </c:pt>
                <c:pt idx="97">
                  <c:v>246778.02131467895</c:v>
                </c:pt>
                <c:pt idx="98">
                  <c:v>246778.02131467895</c:v>
                </c:pt>
                <c:pt idx="99">
                  <c:v>246778.02131467895</c:v>
                </c:pt>
                <c:pt idx="100">
                  <c:v>246778.02131467895</c:v>
                </c:pt>
                <c:pt idx="101">
                  <c:v>246778.02131467895</c:v>
                </c:pt>
                <c:pt idx="102">
                  <c:v>246778.02131467895</c:v>
                </c:pt>
                <c:pt idx="103">
                  <c:v>246778.02131467895</c:v>
                </c:pt>
                <c:pt idx="104">
                  <c:v>246778.02131467895</c:v>
                </c:pt>
                <c:pt idx="105">
                  <c:v>246778.02131467895</c:v>
                </c:pt>
                <c:pt idx="106">
                  <c:v>246778.02131467895</c:v>
                </c:pt>
                <c:pt idx="107">
                  <c:v>246778.02131467895</c:v>
                </c:pt>
                <c:pt idx="108">
                  <c:v>246778.02131467895</c:v>
                </c:pt>
                <c:pt idx="109">
                  <c:v>246778.02131467895</c:v>
                </c:pt>
                <c:pt idx="110">
                  <c:v>246778.02131467895</c:v>
                </c:pt>
                <c:pt idx="111">
                  <c:v>246778.02131467895</c:v>
                </c:pt>
                <c:pt idx="112">
                  <c:v>246778.02131467895</c:v>
                </c:pt>
                <c:pt idx="113">
                  <c:v>246778.02131467895</c:v>
                </c:pt>
                <c:pt idx="114">
                  <c:v>246778.02131467895</c:v>
                </c:pt>
                <c:pt idx="115">
                  <c:v>246778.02131467895</c:v>
                </c:pt>
                <c:pt idx="116">
                  <c:v>246778.02131467895</c:v>
                </c:pt>
                <c:pt idx="117">
                  <c:v>246778.02131467895</c:v>
                </c:pt>
                <c:pt idx="118">
                  <c:v>246778.02131467895</c:v>
                </c:pt>
                <c:pt idx="119">
                  <c:v>246778.02131467895</c:v>
                </c:pt>
                <c:pt idx="120">
                  <c:v>246778.02131467895</c:v>
                </c:pt>
                <c:pt idx="121">
                  <c:v>246778.02131467895</c:v>
                </c:pt>
                <c:pt idx="122">
                  <c:v>246778.02131467895</c:v>
                </c:pt>
                <c:pt idx="123">
                  <c:v>246778.02131467895</c:v>
                </c:pt>
                <c:pt idx="124">
                  <c:v>246778.02131467895</c:v>
                </c:pt>
                <c:pt idx="125">
                  <c:v>246778.02131467895</c:v>
                </c:pt>
                <c:pt idx="126">
                  <c:v>246778.02131467895</c:v>
                </c:pt>
                <c:pt idx="127">
                  <c:v>246778.02131467895</c:v>
                </c:pt>
                <c:pt idx="128">
                  <c:v>246778.02131467895</c:v>
                </c:pt>
                <c:pt idx="129">
                  <c:v>246778.02131467895</c:v>
                </c:pt>
                <c:pt idx="130">
                  <c:v>246778.02131467895</c:v>
                </c:pt>
                <c:pt idx="131">
                  <c:v>246778.02131467895</c:v>
                </c:pt>
                <c:pt idx="132">
                  <c:v>246778.02131467895</c:v>
                </c:pt>
                <c:pt idx="133">
                  <c:v>246778.02131467895</c:v>
                </c:pt>
                <c:pt idx="134">
                  <c:v>246778.02131467895</c:v>
                </c:pt>
                <c:pt idx="135">
                  <c:v>246778.02131467895</c:v>
                </c:pt>
                <c:pt idx="136">
                  <c:v>246778.02131467895</c:v>
                </c:pt>
                <c:pt idx="137">
                  <c:v>246778.02131467895</c:v>
                </c:pt>
                <c:pt idx="138">
                  <c:v>246778.02131467895</c:v>
                </c:pt>
                <c:pt idx="139">
                  <c:v>246778.02131467895</c:v>
                </c:pt>
                <c:pt idx="140">
                  <c:v>246778.02131467895</c:v>
                </c:pt>
                <c:pt idx="141">
                  <c:v>246778.02131467895</c:v>
                </c:pt>
                <c:pt idx="142">
                  <c:v>246778.02131467895</c:v>
                </c:pt>
                <c:pt idx="143">
                  <c:v>246778.02131467895</c:v>
                </c:pt>
                <c:pt idx="144">
                  <c:v>246778.02131467895</c:v>
                </c:pt>
                <c:pt idx="145">
                  <c:v>246778.02131467895</c:v>
                </c:pt>
                <c:pt idx="146">
                  <c:v>246778.02131467895</c:v>
                </c:pt>
                <c:pt idx="147">
                  <c:v>246778.02131467895</c:v>
                </c:pt>
                <c:pt idx="148">
                  <c:v>246778.02131467895</c:v>
                </c:pt>
                <c:pt idx="149">
                  <c:v>246778.02131467895</c:v>
                </c:pt>
                <c:pt idx="150">
                  <c:v>246778.02131467895</c:v>
                </c:pt>
                <c:pt idx="151">
                  <c:v>246778.02131467895</c:v>
                </c:pt>
                <c:pt idx="152">
                  <c:v>246778.02131467895</c:v>
                </c:pt>
                <c:pt idx="153">
                  <c:v>246778.02131467895</c:v>
                </c:pt>
                <c:pt idx="154">
                  <c:v>246778.02131467895</c:v>
                </c:pt>
                <c:pt idx="155">
                  <c:v>246778.02131467895</c:v>
                </c:pt>
                <c:pt idx="156">
                  <c:v>246778.02131467895</c:v>
                </c:pt>
                <c:pt idx="157">
                  <c:v>246778.02131467895</c:v>
                </c:pt>
                <c:pt idx="158">
                  <c:v>246778.02131467895</c:v>
                </c:pt>
                <c:pt idx="159">
                  <c:v>246778.02131467895</c:v>
                </c:pt>
                <c:pt idx="160">
                  <c:v>246778.02131467895</c:v>
                </c:pt>
                <c:pt idx="161">
                  <c:v>246778.02131467895</c:v>
                </c:pt>
                <c:pt idx="162">
                  <c:v>246778.02131467895</c:v>
                </c:pt>
                <c:pt idx="163">
                  <c:v>246778.02131467895</c:v>
                </c:pt>
                <c:pt idx="164">
                  <c:v>246778.02131467895</c:v>
                </c:pt>
                <c:pt idx="165">
                  <c:v>246778.02131467895</c:v>
                </c:pt>
                <c:pt idx="166">
                  <c:v>246778.02131467895</c:v>
                </c:pt>
                <c:pt idx="167">
                  <c:v>246778.02131467895</c:v>
                </c:pt>
                <c:pt idx="168">
                  <c:v>246778.02131467895</c:v>
                </c:pt>
                <c:pt idx="169">
                  <c:v>246778.02131467895</c:v>
                </c:pt>
                <c:pt idx="170">
                  <c:v>246778.02131467895</c:v>
                </c:pt>
                <c:pt idx="171">
                  <c:v>246778.02131467895</c:v>
                </c:pt>
                <c:pt idx="172">
                  <c:v>246778.02131467895</c:v>
                </c:pt>
                <c:pt idx="173">
                  <c:v>246778.02131467895</c:v>
                </c:pt>
                <c:pt idx="174">
                  <c:v>246778.02131467895</c:v>
                </c:pt>
                <c:pt idx="175">
                  <c:v>246778.02131467895</c:v>
                </c:pt>
                <c:pt idx="176">
                  <c:v>246778.02131467895</c:v>
                </c:pt>
                <c:pt idx="177">
                  <c:v>246778.02131467895</c:v>
                </c:pt>
                <c:pt idx="178">
                  <c:v>246778.02131467895</c:v>
                </c:pt>
                <c:pt idx="179">
                  <c:v>246778.02131467895</c:v>
                </c:pt>
                <c:pt idx="180">
                  <c:v>246778.02131467895</c:v>
                </c:pt>
                <c:pt idx="181">
                  <c:v>246778.02131467895</c:v>
                </c:pt>
                <c:pt idx="182">
                  <c:v>246778.02131467895</c:v>
                </c:pt>
                <c:pt idx="183">
                  <c:v>246778.02131467895</c:v>
                </c:pt>
                <c:pt idx="184">
                  <c:v>246778.02131467895</c:v>
                </c:pt>
                <c:pt idx="185">
                  <c:v>246778.02131467895</c:v>
                </c:pt>
                <c:pt idx="186">
                  <c:v>246778.02131467895</c:v>
                </c:pt>
                <c:pt idx="187">
                  <c:v>246778.02131467895</c:v>
                </c:pt>
                <c:pt idx="188">
                  <c:v>246778.02131467895</c:v>
                </c:pt>
                <c:pt idx="189">
                  <c:v>246778.02131467895</c:v>
                </c:pt>
                <c:pt idx="190">
                  <c:v>246778.02131467895</c:v>
                </c:pt>
                <c:pt idx="191">
                  <c:v>246778.02131467895</c:v>
                </c:pt>
                <c:pt idx="192">
                  <c:v>246778.02131467895</c:v>
                </c:pt>
                <c:pt idx="193">
                  <c:v>246778.02131467895</c:v>
                </c:pt>
                <c:pt idx="194">
                  <c:v>246778.02131467895</c:v>
                </c:pt>
                <c:pt idx="195">
                  <c:v>246778.02131467895</c:v>
                </c:pt>
                <c:pt idx="196">
                  <c:v>246778.02131467895</c:v>
                </c:pt>
                <c:pt idx="197">
                  <c:v>246778.02131467895</c:v>
                </c:pt>
                <c:pt idx="198">
                  <c:v>246778.02131467895</c:v>
                </c:pt>
                <c:pt idx="199">
                  <c:v>246778.02131467895</c:v>
                </c:pt>
                <c:pt idx="200">
                  <c:v>246778.02131467895</c:v>
                </c:pt>
                <c:pt idx="201">
                  <c:v>246778.02131467895</c:v>
                </c:pt>
                <c:pt idx="202">
                  <c:v>246778.02131467895</c:v>
                </c:pt>
                <c:pt idx="203">
                  <c:v>246778.02131467895</c:v>
                </c:pt>
                <c:pt idx="204">
                  <c:v>246778.02131467895</c:v>
                </c:pt>
                <c:pt idx="205">
                  <c:v>246778.02131467895</c:v>
                </c:pt>
                <c:pt idx="206">
                  <c:v>246778.02131467895</c:v>
                </c:pt>
                <c:pt idx="207">
                  <c:v>246778.02131467895</c:v>
                </c:pt>
                <c:pt idx="208">
                  <c:v>246778.02131467895</c:v>
                </c:pt>
                <c:pt idx="209">
                  <c:v>246778.02131467895</c:v>
                </c:pt>
                <c:pt idx="210">
                  <c:v>246778.02131467895</c:v>
                </c:pt>
                <c:pt idx="211">
                  <c:v>246778.02131467895</c:v>
                </c:pt>
                <c:pt idx="212">
                  <c:v>246778.02131467895</c:v>
                </c:pt>
                <c:pt idx="213">
                  <c:v>246778.02131467895</c:v>
                </c:pt>
                <c:pt idx="214">
                  <c:v>246778.02131467895</c:v>
                </c:pt>
                <c:pt idx="215">
                  <c:v>246778.02131467895</c:v>
                </c:pt>
                <c:pt idx="216">
                  <c:v>246778.02131467895</c:v>
                </c:pt>
                <c:pt idx="217">
                  <c:v>246778.02131467895</c:v>
                </c:pt>
                <c:pt idx="218">
                  <c:v>246778.02131467895</c:v>
                </c:pt>
                <c:pt idx="219">
                  <c:v>246778.02131467895</c:v>
                </c:pt>
                <c:pt idx="220">
                  <c:v>246778.02131467895</c:v>
                </c:pt>
                <c:pt idx="221">
                  <c:v>246778.02131467895</c:v>
                </c:pt>
                <c:pt idx="222">
                  <c:v>246778.02131467895</c:v>
                </c:pt>
                <c:pt idx="223">
                  <c:v>246778.02131467895</c:v>
                </c:pt>
                <c:pt idx="224">
                  <c:v>246778.02131467895</c:v>
                </c:pt>
                <c:pt idx="225">
                  <c:v>246778.02131467895</c:v>
                </c:pt>
                <c:pt idx="226">
                  <c:v>246778.02131467895</c:v>
                </c:pt>
                <c:pt idx="227">
                  <c:v>246778.02131467895</c:v>
                </c:pt>
                <c:pt idx="228">
                  <c:v>246778.02131467895</c:v>
                </c:pt>
                <c:pt idx="229">
                  <c:v>246778.02131467895</c:v>
                </c:pt>
                <c:pt idx="230">
                  <c:v>246778.02131467895</c:v>
                </c:pt>
                <c:pt idx="231">
                  <c:v>246778.02131467895</c:v>
                </c:pt>
                <c:pt idx="232">
                  <c:v>246778.02131467895</c:v>
                </c:pt>
                <c:pt idx="233">
                  <c:v>246778.02131467895</c:v>
                </c:pt>
                <c:pt idx="234">
                  <c:v>246778.02131467895</c:v>
                </c:pt>
                <c:pt idx="235">
                  <c:v>246778.02131467895</c:v>
                </c:pt>
                <c:pt idx="236">
                  <c:v>246778.02131467895</c:v>
                </c:pt>
                <c:pt idx="237">
                  <c:v>246778.02131467895</c:v>
                </c:pt>
                <c:pt idx="238">
                  <c:v>246778.02131467895</c:v>
                </c:pt>
                <c:pt idx="239">
                  <c:v>246778.02131467895</c:v>
                </c:pt>
                <c:pt idx="240">
                  <c:v>246778.02131467895</c:v>
                </c:pt>
                <c:pt idx="241">
                  <c:v>246778.02131467895</c:v>
                </c:pt>
                <c:pt idx="242">
                  <c:v>246778.02131467895</c:v>
                </c:pt>
                <c:pt idx="243">
                  <c:v>246778.02131467895</c:v>
                </c:pt>
                <c:pt idx="244">
                  <c:v>246778.02131467895</c:v>
                </c:pt>
                <c:pt idx="245">
                  <c:v>246778.02131467895</c:v>
                </c:pt>
                <c:pt idx="246">
                  <c:v>246778.02131467895</c:v>
                </c:pt>
                <c:pt idx="247">
                  <c:v>246778.02131467895</c:v>
                </c:pt>
                <c:pt idx="248">
                  <c:v>246778.02131467895</c:v>
                </c:pt>
                <c:pt idx="249">
                  <c:v>246778.02131467895</c:v>
                </c:pt>
                <c:pt idx="250">
                  <c:v>246778.02131467895</c:v>
                </c:pt>
                <c:pt idx="251">
                  <c:v>246778.02131467895</c:v>
                </c:pt>
                <c:pt idx="252">
                  <c:v>246778.02131467895</c:v>
                </c:pt>
                <c:pt idx="253">
                  <c:v>246778.02131467895</c:v>
                </c:pt>
                <c:pt idx="254">
                  <c:v>246778.02131467895</c:v>
                </c:pt>
                <c:pt idx="255">
                  <c:v>246778.02131467895</c:v>
                </c:pt>
                <c:pt idx="256">
                  <c:v>246778.02131467895</c:v>
                </c:pt>
                <c:pt idx="257">
                  <c:v>246778.02131467895</c:v>
                </c:pt>
                <c:pt idx="258">
                  <c:v>246778.02131467895</c:v>
                </c:pt>
                <c:pt idx="259">
                  <c:v>246778.02131467895</c:v>
                </c:pt>
                <c:pt idx="260">
                  <c:v>246778.02131467895</c:v>
                </c:pt>
                <c:pt idx="261">
                  <c:v>246778.02131467895</c:v>
                </c:pt>
                <c:pt idx="262">
                  <c:v>246778.02131467895</c:v>
                </c:pt>
                <c:pt idx="263">
                  <c:v>246778.02131467895</c:v>
                </c:pt>
                <c:pt idx="264">
                  <c:v>246778.02131467895</c:v>
                </c:pt>
                <c:pt idx="265">
                  <c:v>246778.02131467895</c:v>
                </c:pt>
                <c:pt idx="266">
                  <c:v>246778.02131467895</c:v>
                </c:pt>
                <c:pt idx="267">
                  <c:v>246778.02131467895</c:v>
                </c:pt>
                <c:pt idx="268">
                  <c:v>246778.02131467895</c:v>
                </c:pt>
                <c:pt idx="269">
                  <c:v>246778.02131467895</c:v>
                </c:pt>
                <c:pt idx="270">
                  <c:v>246778.02131467895</c:v>
                </c:pt>
                <c:pt idx="271">
                  <c:v>246778.02131467895</c:v>
                </c:pt>
                <c:pt idx="272">
                  <c:v>246778.02131467895</c:v>
                </c:pt>
                <c:pt idx="273">
                  <c:v>246778.02131467895</c:v>
                </c:pt>
                <c:pt idx="274">
                  <c:v>246778.02131467895</c:v>
                </c:pt>
                <c:pt idx="275">
                  <c:v>246778.02131467895</c:v>
                </c:pt>
                <c:pt idx="276">
                  <c:v>246778.02131467895</c:v>
                </c:pt>
                <c:pt idx="277">
                  <c:v>246778.02131467895</c:v>
                </c:pt>
                <c:pt idx="278">
                  <c:v>246778.02131467895</c:v>
                </c:pt>
                <c:pt idx="279">
                  <c:v>246778.02131467895</c:v>
                </c:pt>
                <c:pt idx="280">
                  <c:v>246778.02131467895</c:v>
                </c:pt>
                <c:pt idx="281">
                  <c:v>246778.02131467895</c:v>
                </c:pt>
                <c:pt idx="282">
                  <c:v>246778.02131467895</c:v>
                </c:pt>
                <c:pt idx="283">
                  <c:v>246778.02131467895</c:v>
                </c:pt>
                <c:pt idx="284">
                  <c:v>246778.02131467895</c:v>
                </c:pt>
                <c:pt idx="285">
                  <c:v>246778.02131467895</c:v>
                </c:pt>
                <c:pt idx="286">
                  <c:v>246778.02131467895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720615.23861657875</c:v>
                </c:pt>
                <c:pt idx="15">
                  <c:v>1080922.8579248681</c:v>
                </c:pt>
                <c:pt idx="16">
                  <c:v>1225045.9056481838</c:v>
                </c:pt>
                <c:pt idx="17">
                  <c:v>1225045.9056481838</c:v>
                </c:pt>
                <c:pt idx="18">
                  <c:v>1225045.9056481838</c:v>
                </c:pt>
                <c:pt idx="19">
                  <c:v>1225045.9056481838</c:v>
                </c:pt>
                <c:pt idx="20">
                  <c:v>1369168.9533714994</c:v>
                </c:pt>
                <c:pt idx="21">
                  <c:v>1441230.4772331573</c:v>
                </c:pt>
                <c:pt idx="22">
                  <c:v>1441230.4772331573</c:v>
                </c:pt>
                <c:pt idx="23">
                  <c:v>1441230.4772331573</c:v>
                </c:pt>
                <c:pt idx="24">
                  <c:v>1441230.4772331573</c:v>
                </c:pt>
                <c:pt idx="25">
                  <c:v>1441230.4772331573</c:v>
                </c:pt>
                <c:pt idx="26">
                  <c:v>1441230.4772331573</c:v>
                </c:pt>
                <c:pt idx="27">
                  <c:v>1441230.4772331573</c:v>
                </c:pt>
                <c:pt idx="28">
                  <c:v>1441230.4772331573</c:v>
                </c:pt>
                <c:pt idx="29">
                  <c:v>1441230.4772331573</c:v>
                </c:pt>
                <c:pt idx="30">
                  <c:v>1441230.4772331573</c:v>
                </c:pt>
                <c:pt idx="31">
                  <c:v>1441230.4772331573</c:v>
                </c:pt>
                <c:pt idx="32">
                  <c:v>1441230.4772331573</c:v>
                </c:pt>
                <c:pt idx="33">
                  <c:v>1441230.4772331573</c:v>
                </c:pt>
                <c:pt idx="34">
                  <c:v>1441230.4772331573</c:v>
                </c:pt>
                <c:pt idx="35">
                  <c:v>1441230.4772331573</c:v>
                </c:pt>
                <c:pt idx="36">
                  <c:v>1441230.4772331573</c:v>
                </c:pt>
                <c:pt idx="37">
                  <c:v>1441230.4772331573</c:v>
                </c:pt>
                <c:pt idx="38">
                  <c:v>1441230.4772331573</c:v>
                </c:pt>
                <c:pt idx="39">
                  <c:v>1441230.4772331573</c:v>
                </c:pt>
                <c:pt idx="40">
                  <c:v>1441230.4772331573</c:v>
                </c:pt>
                <c:pt idx="41">
                  <c:v>1441230.4772331573</c:v>
                </c:pt>
                <c:pt idx="42">
                  <c:v>1441230.4772331573</c:v>
                </c:pt>
                <c:pt idx="43">
                  <c:v>1441230.4772331573</c:v>
                </c:pt>
                <c:pt idx="44">
                  <c:v>1441230.4772331573</c:v>
                </c:pt>
                <c:pt idx="45">
                  <c:v>1441230.4772331573</c:v>
                </c:pt>
                <c:pt idx="46">
                  <c:v>1441230.4772331573</c:v>
                </c:pt>
                <c:pt idx="47">
                  <c:v>1441230.4772331573</c:v>
                </c:pt>
                <c:pt idx="48">
                  <c:v>1441230.4772331573</c:v>
                </c:pt>
                <c:pt idx="49">
                  <c:v>1441230.4772331573</c:v>
                </c:pt>
                <c:pt idx="50">
                  <c:v>1441230.4772331573</c:v>
                </c:pt>
                <c:pt idx="51">
                  <c:v>1441230.4772331573</c:v>
                </c:pt>
                <c:pt idx="52">
                  <c:v>1441230.4772331573</c:v>
                </c:pt>
                <c:pt idx="53">
                  <c:v>1441230.4772331573</c:v>
                </c:pt>
                <c:pt idx="54">
                  <c:v>1441230.4772331573</c:v>
                </c:pt>
                <c:pt idx="55">
                  <c:v>1441230.4772331573</c:v>
                </c:pt>
                <c:pt idx="56">
                  <c:v>1441230.4772331573</c:v>
                </c:pt>
                <c:pt idx="57">
                  <c:v>1441230.4772331573</c:v>
                </c:pt>
                <c:pt idx="58">
                  <c:v>1441230.4772331573</c:v>
                </c:pt>
                <c:pt idx="59">
                  <c:v>1441230.4772331573</c:v>
                </c:pt>
                <c:pt idx="60">
                  <c:v>1441230.4772331573</c:v>
                </c:pt>
                <c:pt idx="61">
                  <c:v>1441230.4772331573</c:v>
                </c:pt>
                <c:pt idx="62">
                  <c:v>1441230.4772331573</c:v>
                </c:pt>
                <c:pt idx="63">
                  <c:v>1441230.4772331573</c:v>
                </c:pt>
                <c:pt idx="64">
                  <c:v>1441230.4772331573</c:v>
                </c:pt>
                <c:pt idx="65">
                  <c:v>1441230.4772331573</c:v>
                </c:pt>
                <c:pt idx="66">
                  <c:v>1441230.4772331573</c:v>
                </c:pt>
                <c:pt idx="67">
                  <c:v>1441230.4772331573</c:v>
                </c:pt>
                <c:pt idx="68">
                  <c:v>1441230.4772331573</c:v>
                </c:pt>
                <c:pt idx="69">
                  <c:v>1441230.4772331573</c:v>
                </c:pt>
                <c:pt idx="70">
                  <c:v>1441230.4772331573</c:v>
                </c:pt>
                <c:pt idx="71">
                  <c:v>1441230.4772331573</c:v>
                </c:pt>
                <c:pt idx="72">
                  <c:v>1441230.4772331573</c:v>
                </c:pt>
                <c:pt idx="73">
                  <c:v>1441230.4772331573</c:v>
                </c:pt>
                <c:pt idx="74">
                  <c:v>1441230.4772331573</c:v>
                </c:pt>
                <c:pt idx="75">
                  <c:v>1441230.4772331573</c:v>
                </c:pt>
                <c:pt idx="76">
                  <c:v>1441230.4772331573</c:v>
                </c:pt>
                <c:pt idx="77">
                  <c:v>1441230.4772331573</c:v>
                </c:pt>
                <c:pt idx="78">
                  <c:v>1441230.4772331573</c:v>
                </c:pt>
                <c:pt idx="79">
                  <c:v>1441230.4772331573</c:v>
                </c:pt>
                <c:pt idx="80">
                  <c:v>1441230.4772331573</c:v>
                </c:pt>
                <c:pt idx="81">
                  <c:v>1441230.4772331573</c:v>
                </c:pt>
                <c:pt idx="82">
                  <c:v>1441230.4772331573</c:v>
                </c:pt>
                <c:pt idx="83">
                  <c:v>1441230.4772331573</c:v>
                </c:pt>
                <c:pt idx="84">
                  <c:v>1441230.4772331573</c:v>
                </c:pt>
                <c:pt idx="85">
                  <c:v>1441230.4772331573</c:v>
                </c:pt>
                <c:pt idx="86">
                  <c:v>1441230.4772331573</c:v>
                </c:pt>
                <c:pt idx="87">
                  <c:v>1441230.4772331573</c:v>
                </c:pt>
                <c:pt idx="88">
                  <c:v>1441230.4772331573</c:v>
                </c:pt>
                <c:pt idx="89">
                  <c:v>1441230.4772331573</c:v>
                </c:pt>
                <c:pt idx="90">
                  <c:v>1441230.4772331573</c:v>
                </c:pt>
                <c:pt idx="91">
                  <c:v>1441230.4772331573</c:v>
                </c:pt>
                <c:pt idx="92">
                  <c:v>1441230.4772331573</c:v>
                </c:pt>
                <c:pt idx="93">
                  <c:v>1441230.4772331573</c:v>
                </c:pt>
                <c:pt idx="94">
                  <c:v>1441230.4772331573</c:v>
                </c:pt>
                <c:pt idx="95">
                  <c:v>1441230.4772331573</c:v>
                </c:pt>
                <c:pt idx="96">
                  <c:v>1441230.4772331573</c:v>
                </c:pt>
                <c:pt idx="97">
                  <c:v>1441230.4772331573</c:v>
                </c:pt>
                <c:pt idx="98">
                  <c:v>1441230.4772331573</c:v>
                </c:pt>
                <c:pt idx="99">
                  <c:v>1441230.4772331573</c:v>
                </c:pt>
                <c:pt idx="100">
                  <c:v>1441230.4772331573</c:v>
                </c:pt>
                <c:pt idx="101">
                  <c:v>1441230.4772331573</c:v>
                </c:pt>
                <c:pt idx="102">
                  <c:v>1441230.4772331573</c:v>
                </c:pt>
                <c:pt idx="103">
                  <c:v>1441230.4772331573</c:v>
                </c:pt>
                <c:pt idx="104">
                  <c:v>1441230.4772331573</c:v>
                </c:pt>
                <c:pt idx="105">
                  <c:v>1441230.4772331573</c:v>
                </c:pt>
                <c:pt idx="106">
                  <c:v>1441230.4772331573</c:v>
                </c:pt>
                <c:pt idx="107">
                  <c:v>1441230.4772331573</c:v>
                </c:pt>
                <c:pt idx="108">
                  <c:v>1441230.4772331573</c:v>
                </c:pt>
                <c:pt idx="109">
                  <c:v>1441230.4772331573</c:v>
                </c:pt>
                <c:pt idx="110">
                  <c:v>1441230.4772331573</c:v>
                </c:pt>
                <c:pt idx="111">
                  <c:v>1441230.4772331573</c:v>
                </c:pt>
                <c:pt idx="112">
                  <c:v>1441230.4772331573</c:v>
                </c:pt>
                <c:pt idx="113">
                  <c:v>1441230.4772331573</c:v>
                </c:pt>
                <c:pt idx="114">
                  <c:v>1441230.4772331573</c:v>
                </c:pt>
                <c:pt idx="115">
                  <c:v>1441230.4772331573</c:v>
                </c:pt>
                <c:pt idx="116">
                  <c:v>1441230.4772331573</c:v>
                </c:pt>
                <c:pt idx="117">
                  <c:v>1441230.4772331573</c:v>
                </c:pt>
                <c:pt idx="118">
                  <c:v>1441230.4772331573</c:v>
                </c:pt>
                <c:pt idx="119">
                  <c:v>1441230.4772331573</c:v>
                </c:pt>
                <c:pt idx="120">
                  <c:v>1441230.4772331573</c:v>
                </c:pt>
                <c:pt idx="121">
                  <c:v>1441230.4772331573</c:v>
                </c:pt>
                <c:pt idx="122">
                  <c:v>1441230.4772331573</c:v>
                </c:pt>
                <c:pt idx="123">
                  <c:v>1441230.4772331573</c:v>
                </c:pt>
                <c:pt idx="124">
                  <c:v>1441230.4772331573</c:v>
                </c:pt>
                <c:pt idx="125">
                  <c:v>1441230.4772331573</c:v>
                </c:pt>
                <c:pt idx="126">
                  <c:v>1441230.4772331573</c:v>
                </c:pt>
                <c:pt idx="127">
                  <c:v>1441230.4772331573</c:v>
                </c:pt>
                <c:pt idx="128">
                  <c:v>1441230.4772331573</c:v>
                </c:pt>
                <c:pt idx="129">
                  <c:v>1441230.4772331573</c:v>
                </c:pt>
                <c:pt idx="130">
                  <c:v>1441230.4772331573</c:v>
                </c:pt>
                <c:pt idx="131">
                  <c:v>1441230.4772331573</c:v>
                </c:pt>
                <c:pt idx="132">
                  <c:v>1441230.4772331573</c:v>
                </c:pt>
                <c:pt idx="133">
                  <c:v>1441230.4772331573</c:v>
                </c:pt>
                <c:pt idx="134">
                  <c:v>1441230.4772331573</c:v>
                </c:pt>
                <c:pt idx="135">
                  <c:v>1441230.4772331573</c:v>
                </c:pt>
                <c:pt idx="136">
                  <c:v>1441230.4772331573</c:v>
                </c:pt>
                <c:pt idx="137">
                  <c:v>1441230.4772331573</c:v>
                </c:pt>
                <c:pt idx="138">
                  <c:v>1441230.4772331573</c:v>
                </c:pt>
                <c:pt idx="139">
                  <c:v>1441230.4772331573</c:v>
                </c:pt>
                <c:pt idx="140">
                  <c:v>1441230.4772331573</c:v>
                </c:pt>
                <c:pt idx="141">
                  <c:v>1441230.4772331573</c:v>
                </c:pt>
                <c:pt idx="142">
                  <c:v>1441230.4772331573</c:v>
                </c:pt>
                <c:pt idx="143">
                  <c:v>1441230.4772331573</c:v>
                </c:pt>
                <c:pt idx="144">
                  <c:v>1441230.4772331573</c:v>
                </c:pt>
                <c:pt idx="145">
                  <c:v>1441230.4772331573</c:v>
                </c:pt>
                <c:pt idx="146">
                  <c:v>1441230.4772331573</c:v>
                </c:pt>
                <c:pt idx="147">
                  <c:v>1441230.4772331573</c:v>
                </c:pt>
                <c:pt idx="148">
                  <c:v>1441230.4772331573</c:v>
                </c:pt>
                <c:pt idx="149">
                  <c:v>1441230.4772331573</c:v>
                </c:pt>
                <c:pt idx="150">
                  <c:v>1441230.4772331573</c:v>
                </c:pt>
                <c:pt idx="151">
                  <c:v>1441230.4772331573</c:v>
                </c:pt>
                <c:pt idx="152">
                  <c:v>1441230.4772331573</c:v>
                </c:pt>
                <c:pt idx="153">
                  <c:v>1441230.4772331573</c:v>
                </c:pt>
                <c:pt idx="154">
                  <c:v>1441230.4772331573</c:v>
                </c:pt>
                <c:pt idx="155">
                  <c:v>1441230.4772331573</c:v>
                </c:pt>
                <c:pt idx="156">
                  <c:v>1441230.4772331573</c:v>
                </c:pt>
                <c:pt idx="157">
                  <c:v>1441230.4772331573</c:v>
                </c:pt>
                <c:pt idx="158">
                  <c:v>1441230.4772331573</c:v>
                </c:pt>
                <c:pt idx="159">
                  <c:v>1441230.4772331573</c:v>
                </c:pt>
                <c:pt idx="160">
                  <c:v>1441230.4772331573</c:v>
                </c:pt>
                <c:pt idx="161">
                  <c:v>1441230.4772331573</c:v>
                </c:pt>
                <c:pt idx="162">
                  <c:v>1441230.4772331573</c:v>
                </c:pt>
                <c:pt idx="163">
                  <c:v>1441230.4772331573</c:v>
                </c:pt>
                <c:pt idx="164">
                  <c:v>1441230.4772331573</c:v>
                </c:pt>
                <c:pt idx="165">
                  <c:v>1441230.4772331573</c:v>
                </c:pt>
                <c:pt idx="166">
                  <c:v>1441230.4772331573</c:v>
                </c:pt>
                <c:pt idx="167">
                  <c:v>1441230.4772331573</c:v>
                </c:pt>
                <c:pt idx="168">
                  <c:v>1441230.4772331573</c:v>
                </c:pt>
                <c:pt idx="169">
                  <c:v>1441230.4772331573</c:v>
                </c:pt>
                <c:pt idx="170">
                  <c:v>1441230.4772331573</c:v>
                </c:pt>
                <c:pt idx="171">
                  <c:v>1441230.4772331573</c:v>
                </c:pt>
                <c:pt idx="172">
                  <c:v>1441230.4772331573</c:v>
                </c:pt>
                <c:pt idx="173">
                  <c:v>1441230.4772331573</c:v>
                </c:pt>
                <c:pt idx="174">
                  <c:v>1441230.4772331573</c:v>
                </c:pt>
                <c:pt idx="175">
                  <c:v>1441230.4772331573</c:v>
                </c:pt>
                <c:pt idx="176">
                  <c:v>1441230.4772331573</c:v>
                </c:pt>
                <c:pt idx="177">
                  <c:v>1441230.4772331573</c:v>
                </c:pt>
                <c:pt idx="178">
                  <c:v>1441230.4772331573</c:v>
                </c:pt>
                <c:pt idx="179">
                  <c:v>1441230.4772331573</c:v>
                </c:pt>
                <c:pt idx="180">
                  <c:v>1441230.4772331573</c:v>
                </c:pt>
                <c:pt idx="181">
                  <c:v>1441230.4772331573</c:v>
                </c:pt>
                <c:pt idx="182">
                  <c:v>1441230.4772331573</c:v>
                </c:pt>
                <c:pt idx="183">
                  <c:v>1441230.4772331573</c:v>
                </c:pt>
                <c:pt idx="184">
                  <c:v>1441230.4772331573</c:v>
                </c:pt>
                <c:pt idx="185">
                  <c:v>1441230.4772331573</c:v>
                </c:pt>
                <c:pt idx="186">
                  <c:v>1441230.4772331573</c:v>
                </c:pt>
                <c:pt idx="187">
                  <c:v>1441230.4772331573</c:v>
                </c:pt>
                <c:pt idx="188">
                  <c:v>1441230.4772331573</c:v>
                </c:pt>
                <c:pt idx="189">
                  <c:v>1441230.4772331573</c:v>
                </c:pt>
                <c:pt idx="190">
                  <c:v>1441230.4772331573</c:v>
                </c:pt>
                <c:pt idx="191">
                  <c:v>1441230.4772331573</c:v>
                </c:pt>
                <c:pt idx="192">
                  <c:v>1441230.4772331573</c:v>
                </c:pt>
                <c:pt idx="193">
                  <c:v>1441230.4772331573</c:v>
                </c:pt>
                <c:pt idx="194">
                  <c:v>1441230.4772331573</c:v>
                </c:pt>
                <c:pt idx="195">
                  <c:v>1441230.4772331573</c:v>
                </c:pt>
                <c:pt idx="196">
                  <c:v>1441230.4772331573</c:v>
                </c:pt>
                <c:pt idx="197">
                  <c:v>1441230.4772331573</c:v>
                </c:pt>
                <c:pt idx="198">
                  <c:v>1441230.4772331573</c:v>
                </c:pt>
                <c:pt idx="199">
                  <c:v>1441230.4772331573</c:v>
                </c:pt>
                <c:pt idx="200">
                  <c:v>1441230.4772331573</c:v>
                </c:pt>
                <c:pt idx="201">
                  <c:v>1441230.4772331573</c:v>
                </c:pt>
                <c:pt idx="202">
                  <c:v>1441230.4772331573</c:v>
                </c:pt>
                <c:pt idx="203">
                  <c:v>1441230.4772331573</c:v>
                </c:pt>
                <c:pt idx="204">
                  <c:v>1441230.4772331573</c:v>
                </c:pt>
                <c:pt idx="205">
                  <c:v>1441230.4772331573</c:v>
                </c:pt>
                <c:pt idx="206">
                  <c:v>1441230.4772331573</c:v>
                </c:pt>
                <c:pt idx="207">
                  <c:v>1441230.4772331573</c:v>
                </c:pt>
                <c:pt idx="208">
                  <c:v>1441230.4772331573</c:v>
                </c:pt>
                <c:pt idx="209">
                  <c:v>1441230.4772331573</c:v>
                </c:pt>
                <c:pt idx="210">
                  <c:v>1441230.4772331573</c:v>
                </c:pt>
                <c:pt idx="211">
                  <c:v>1441230.4772331573</c:v>
                </c:pt>
                <c:pt idx="212">
                  <c:v>1441230.4772331573</c:v>
                </c:pt>
                <c:pt idx="213">
                  <c:v>1441230.4772331573</c:v>
                </c:pt>
                <c:pt idx="214">
                  <c:v>1441230.4772331573</c:v>
                </c:pt>
                <c:pt idx="215">
                  <c:v>1441230.4772331573</c:v>
                </c:pt>
                <c:pt idx="216">
                  <c:v>1441230.4772331573</c:v>
                </c:pt>
                <c:pt idx="217">
                  <c:v>1441230.4772331573</c:v>
                </c:pt>
                <c:pt idx="218">
                  <c:v>1441230.4772331573</c:v>
                </c:pt>
                <c:pt idx="219">
                  <c:v>1441230.4772331573</c:v>
                </c:pt>
                <c:pt idx="220">
                  <c:v>1441230.4772331573</c:v>
                </c:pt>
                <c:pt idx="221">
                  <c:v>1441230.4772331573</c:v>
                </c:pt>
                <c:pt idx="222">
                  <c:v>1441230.4772331573</c:v>
                </c:pt>
                <c:pt idx="223">
                  <c:v>1441230.4772331573</c:v>
                </c:pt>
                <c:pt idx="224">
                  <c:v>1441230.4772331573</c:v>
                </c:pt>
                <c:pt idx="225">
                  <c:v>1441230.4772331573</c:v>
                </c:pt>
                <c:pt idx="226">
                  <c:v>1441230.4772331573</c:v>
                </c:pt>
                <c:pt idx="227">
                  <c:v>1441230.4772331573</c:v>
                </c:pt>
                <c:pt idx="228">
                  <c:v>1441230.4772331573</c:v>
                </c:pt>
                <c:pt idx="229">
                  <c:v>1441230.4772331573</c:v>
                </c:pt>
                <c:pt idx="230">
                  <c:v>1441230.4772331573</c:v>
                </c:pt>
                <c:pt idx="231">
                  <c:v>1441230.4772331573</c:v>
                </c:pt>
                <c:pt idx="232">
                  <c:v>1441230.4772331573</c:v>
                </c:pt>
                <c:pt idx="233">
                  <c:v>1441230.4772331573</c:v>
                </c:pt>
                <c:pt idx="234">
                  <c:v>1441230.4772331573</c:v>
                </c:pt>
                <c:pt idx="235">
                  <c:v>1441230.4772331573</c:v>
                </c:pt>
                <c:pt idx="236">
                  <c:v>1441230.4772331573</c:v>
                </c:pt>
                <c:pt idx="237">
                  <c:v>1441230.4772331573</c:v>
                </c:pt>
                <c:pt idx="238">
                  <c:v>1441230.4772331573</c:v>
                </c:pt>
                <c:pt idx="239">
                  <c:v>1441230.4772331573</c:v>
                </c:pt>
                <c:pt idx="240">
                  <c:v>1441230.4772331573</c:v>
                </c:pt>
                <c:pt idx="241">
                  <c:v>1441230.4772331573</c:v>
                </c:pt>
                <c:pt idx="242">
                  <c:v>1441230.4772331573</c:v>
                </c:pt>
                <c:pt idx="243">
                  <c:v>1441230.4772331573</c:v>
                </c:pt>
                <c:pt idx="244">
                  <c:v>1441230.4772331573</c:v>
                </c:pt>
                <c:pt idx="245">
                  <c:v>1441230.4772331573</c:v>
                </c:pt>
                <c:pt idx="246">
                  <c:v>1441230.4772331573</c:v>
                </c:pt>
                <c:pt idx="247">
                  <c:v>1441230.4772331573</c:v>
                </c:pt>
                <c:pt idx="248">
                  <c:v>1441230.4772331573</c:v>
                </c:pt>
                <c:pt idx="249">
                  <c:v>1441230.4772331573</c:v>
                </c:pt>
                <c:pt idx="250">
                  <c:v>1441230.4772331573</c:v>
                </c:pt>
                <c:pt idx="251">
                  <c:v>1441230.4772331573</c:v>
                </c:pt>
                <c:pt idx="252">
                  <c:v>1441230.4772331573</c:v>
                </c:pt>
                <c:pt idx="253">
                  <c:v>1441230.4772331573</c:v>
                </c:pt>
                <c:pt idx="254">
                  <c:v>1441230.4772331573</c:v>
                </c:pt>
                <c:pt idx="255">
                  <c:v>1441230.4772331573</c:v>
                </c:pt>
                <c:pt idx="256">
                  <c:v>1441230.4772331573</c:v>
                </c:pt>
                <c:pt idx="257">
                  <c:v>1441230.4772331573</c:v>
                </c:pt>
                <c:pt idx="258">
                  <c:v>1441230.4772331573</c:v>
                </c:pt>
                <c:pt idx="259">
                  <c:v>1441230.4772331573</c:v>
                </c:pt>
                <c:pt idx="260">
                  <c:v>1441230.4772331573</c:v>
                </c:pt>
                <c:pt idx="261">
                  <c:v>1441230.4772331573</c:v>
                </c:pt>
                <c:pt idx="262">
                  <c:v>1441230.4772331573</c:v>
                </c:pt>
                <c:pt idx="263">
                  <c:v>1441230.4772331573</c:v>
                </c:pt>
                <c:pt idx="264">
                  <c:v>1441230.4772331573</c:v>
                </c:pt>
                <c:pt idx="265">
                  <c:v>1441230.4772331573</c:v>
                </c:pt>
                <c:pt idx="266">
                  <c:v>1441230.4772331573</c:v>
                </c:pt>
                <c:pt idx="267">
                  <c:v>1441230.4772331573</c:v>
                </c:pt>
                <c:pt idx="268">
                  <c:v>1441230.4772331573</c:v>
                </c:pt>
                <c:pt idx="269">
                  <c:v>1441230.4772331573</c:v>
                </c:pt>
                <c:pt idx="270">
                  <c:v>1441230.4772331573</c:v>
                </c:pt>
                <c:pt idx="271">
                  <c:v>1441230.4772331573</c:v>
                </c:pt>
                <c:pt idx="272">
                  <c:v>1441230.4772331573</c:v>
                </c:pt>
                <c:pt idx="273">
                  <c:v>1441230.4772331573</c:v>
                </c:pt>
                <c:pt idx="274">
                  <c:v>1441230.4772331573</c:v>
                </c:pt>
                <c:pt idx="275">
                  <c:v>1441230.4772331573</c:v>
                </c:pt>
                <c:pt idx="276">
                  <c:v>1441230.4772331573</c:v>
                </c:pt>
                <c:pt idx="277">
                  <c:v>1441230.4772331573</c:v>
                </c:pt>
                <c:pt idx="278">
                  <c:v>1441230.4772331573</c:v>
                </c:pt>
                <c:pt idx="279">
                  <c:v>1441230.4772331573</c:v>
                </c:pt>
                <c:pt idx="280">
                  <c:v>1441230.4772331573</c:v>
                </c:pt>
                <c:pt idx="281">
                  <c:v>1441230.4772331573</c:v>
                </c:pt>
                <c:pt idx="282">
                  <c:v>1441230.4772331573</c:v>
                </c:pt>
                <c:pt idx="283">
                  <c:v>1441230.4772331573</c:v>
                </c:pt>
                <c:pt idx="284">
                  <c:v>1441230.4772331573</c:v>
                </c:pt>
                <c:pt idx="285">
                  <c:v>1441230.4772331573</c:v>
                </c:pt>
                <c:pt idx="286">
                  <c:v>1441230.4772331573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15037.08</c:v>
                </c:pt>
                <c:pt idx="13">
                  <c:v>15037.08</c:v>
                </c:pt>
                <c:pt idx="14">
                  <c:v>92410.139239130425</c:v>
                </c:pt>
                <c:pt idx="15">
                  <c:v>203410.13923913043</c:v>
                </c:pt>
                <c:pt idx="16">
                  <c:v>203935.13923913043</c:v>
                </c:pt>
                <c:pt idx="17">
                  <c:v>265833.58663043479</c:v>
                </c:pt>
                <c:pt idx="18">
                  <c:v>343206.6458695652</c:v>
                </c:pt>
                <c:pt idx="19">
                  <c:v>438379.30683497968</c:v>
                </c:pt>
                <c:pt idx="20">
                  <c:v>574234.36607411015</c:v>
                </c:pt>
                <c:pt idx="21">
                  <c:v>587336.86607411015</c:v>
                </c:pt>
                <c:pt idx="22">
                  <c:v>587336.86607411015</c:v>
                </c:pt>
                <c:pt idx="23">
                  <c:v>1014401.9779219363</c:v>
                </c:pt>
                <c:pt idx="24">
                  <c:v>1095233.9279219364</c:v>
                </c:pt>
                <c:pt idx="25">
                  <c:v>1095758.9279219364</c:v>
                </c:pt>
                <c:pt idx="26">
                  <c:v>1095758.9279219364</c:v>
                </c:pt>
                <c:pt idx="27">
                  <c:v>1095758.9279219364</c:v>
                </c:pt>
                <c:pt idx="28">
                  <c:v>1095758.9279219364</c:v>
                </c:pt>
                <c:pt idx="29">
                  <c:v>1095758.9279219364</c:v>
                </c:pt>
                <c:pt idx="30">
                  <c:v>1095758.9279219364</c:v>
                </c:pt>
                <c:pt idx="31">
                  <c:v>1095758.9279219364</c:v>
                </c:pt>
                <c:pt idx="32">
                  <c:v>1095758.9279219364</c:v>
                </c:pt>
                <c:pt idx="33">
                  <c:v>1095758.9279219364</c:v>
                </c:pt>
                <c:pt idx="34">
                  <c:v>1095758.9279219364</c:v>
                </c:pt>
                <c:pt idx="35">
                  <c:v>1095758.9279219364</c:v>
                </c:pt>
                <c:pt idx="36">
                  <c:v>1095758.9279219364</c:v>
                </c:pt>
                <c:pt idx="37">
                  <c:v>1095758.9279219364</c:v>
                </c:pt>
                <c:pt idx="38">
                  <c:v>1095758.9279219364</c:v>
                </c:pt>
                <c:pt idx="39">
                  <c:v>1095758.9279219364</c:v>
                </c:pt>
                <c:pt idx="40">
                  <c:v>1095758.9279219364</c:v>
                </c:pt>
                <c:pt idx="41">
                  <c:v>1095758.9279219364</c:v>
                </c:pt>
                <c:pt idx="42">
                  <c:v>1095758.9279219364</c:v>
                </c:pt>
                <c:pt idx="43">
                  <c:v>1095758.9279219364</c:v>
                </c:pt>
                <c:pt idx="44">
                  <c:v>1095758.9279219364</c:v>
                </c:pt>
                <c:pt idx="45">
                  <c:v>1095758.9279219364</c:v>
                </c:pt>
                <c:pt idx="46">
                  <c:v>1095758.9279219364</c:v>
                </c:pt>
                <c:pt idx="47">
                  <c:v>1095758.9279219364</c:v>
                </c:pt>
                <c:pt idx="48">
                  <c:v>1095758.9279219364</c:v>
                </c:pt>
                <c:pt idx="49">
                  <c:v>1095758.9279219364</c:v>
                </c:pt>
                <c:pt idx="50">
                  <c:v>1095758.9279219364</c:v>
                </c:pt>
                <c:pt idx="51">
                  <c:v>1095758.9279219364</c:v>
                </c:pt>
                <c:pt idx="52">
                  <c:v>1095758.9279219364</c:v>
                </c:pt>
                <c:pt idx="53">
                  <c:v>1095758.9279219364</c:v>
                </c:pt>
                <c:pt idx="54">
                  <c:v>1095758.9279219364</c:v>
                </c:pt>
                <c:pt idx="55">
                  <c:v>1095758.9279219364</c:v>
                </c:pt>
                <c:pt idx="56">
                  <c:v>1095758.9279219364</c:v>
                </c:pt>
                <c:pt idx="57">
                  <c:v>1095758.9279219364</c:v>
                </c:pt>
                <c:pt idx="58">
                  <c:v>1095758.9279219364</c:v>
                </c:pt>
                <c:pt idx="59">
                  <c:v>1095758.9279219364</c:v>
                </c:pt>
                <c:pt idx="60">
                  <c:v>1095758.9279219364</c:v>
                </c:pt>
                <c:pt idx="61">
                  <c:v>1095758.9279219364</c:v>
                </c:pt>
                <c:pt idx="62">
                  <c:v>1095758.9279219364</c:v>
                </c:pt>
                <c:pt idx="63">
                  <c:v>1095758.9279219364</c:v>
                </c:pt>
                <c:pt idx="64">
                  <c:v>1095758.9279219364</c:v>
                </c:pt>
                <c:pt idx="65">
                  <c:v>1095758.9279219364</c:v>
                </c:pt>
                <c:pt idx="66">
                  <c:v>1095758.9279219364</c:v>
                </c:pt>
                <c:pt idx="67">
                  <c:v>1095758.9279219364</c:v>
                </c:pt>
                <c:pt idx="68">
                  <c:v>1095758.9279219364</c:v>
                </c:pt>
                <c:pt idx="69">
                  <c:v>1095758.9279219364</c:v>
                </c:pt>
                <c:pt idx="70">
                  <c:v>1095758.9279219364</c:v>
                </c:pt>
                <c:pt idx="71">
                  <c:v>1095758.9279219364</c:v>
                </c:pt>
                <c:pt idx="72">
                  <c:v>1095758.9279219364</c:v>
                </c:pt>
                <c:pt idx="73">
                  <c:v>1095758.9279219364</c:v>
                </c:pt>
                <c:pt idx="74">
                  <c:v>1095758.9279219364</c:v>
                </c:pt>
                <c:pt idx="75">
                  <c:v>1095758.9279219364</c:v>
                </c:pt>
                <c:pt idx="76">
                  <c:v>1095758.9279219364</c:v>
                </c:pt>
                <c:pt idx="77">
                  <c:v>1095758.9279219364</c:v>
                </c:pt>
                <c:pt idx="78">
                  <c:v>1095758.9279219364</c:v>
                </c:pt>
                <c:pt idx="79">
                  <c:v>1095758.9279219364</c:v>
                </c:pt>
                <c:pt idx="80">
                  <c:v>1095758.9279219364</c:v>
                </c:pt>
                <c:pt idx="81">
                  <c:v>1095758.9279219364</c:v>
                </c:pt>
                <c:pt idx="82">
                  <c:v>1095758.9279219364</c:v>
                </c:pt>
                <c:pt idx="83">
                  <c:v>1095758.9279219364</c:v>
                </c:pt>
                <c:pt idx="84">
                  <c:v>1095758.9279219364</c:v>
                </c:pt>
                <c:pt idx="85">
                  <c:v>1095758.9279219364</c:v>
                </c:pt>
                <c:pt idx="86">
                  <c:v>1095758.9279219364</c:v>
                </c:pt>
                <c:pt idx="87">
                  <c:v>1095758.9279219364</c:v>
                </c:pt>
                <c:pt idx="88">
                  <c:v>1095758.9279219364</c:v>
                </c:pt>
                <c:pt idx="89">
                  <c:v>1095758.9279219364</c:v>
                </c:pt>
                <c:pt idx="90">
                  <c:v>1095758.9279219364</c:v>
                </c:pt>
                <c:pt idx="91">
                  <c:v>1095758.9279219364</c:v>
                </c:pt>
                <c:pt idx="92">
                  <c:v>1095758.9279219364</c:v>
                </c:pt>
                <c:pt idx="93">
                  <c:v>1095758.9279219364</c:v>
                </c:pt>
                <c:pt idx="94">
                  <c:v>1095758.9279219364</c:v>
                </c:pt>
                <c:pt idx="95">
                  <c:v>1095758.9279219364</c:v>
                </c:pt>
                <c:pt idx="96">
                  <c:v>1095758.9279219364</c:v>
                </c:pt>
                <c:pt idx="97">
                  <c:v>1095758.9279219364</c:v>
                </c:pt>
                <c:pt idx="98">
                  <c:v>1095758.9279219364</c:v>
                </c:pt>
                <c:pt idx="99">
                  <c:v>1095758.9279219364</c:v>
                </c:pt>
                <c:pt idx="100">
                  <c:v>1095758.9279219364</c:v>
                </c:pt>
                <c:pt idx="101">
                  <c:v>1095758.9279219364</c:v>
                </c:pt>
                <c:pt idx="102">
                  <c:v>1095758.9279219364</c:v>
                </c:pt>
                <c:pt idx="103">
                  <c:v>1095758.9279219364</c:v>
                </c:pt>
                <c:pt idx="104">
                  <c:v>1095758.9279219364</c:v>
                </c:pt>
                <c:pt idx="105">
                  <c:v>1095758.9279219364</c:v>
                </c:pt>
                <c:pt idx="106">
                  <c:v>1095758.9279219364</c:v>
                </c:pt>
                <c:pt idx="107">
                  <c:v>1095758.9279219364</c:v>
                </c:pt>
                <c:pt idx="108">
                  <c:v>1095758.9279219364</c:v>
                </c:pt>
                <c:pt idx="109">
                  <c:v>1095758.9279219364</c:v>
                </c:pt>
                <c:pt idx="110">
                  <c:v>1095758.9279219364</c:v>
                </c:pt>
                <c:pt idx="111">
                  <c:v>1095758.9279219364</c:v>
                </c:pt>
                <c:pt idx="112">
                  <c:v>1095758.9279219364</c:v>
                </c:pt>
                <c:pt idx="113">
                  <c:v>1095758.9279219364</c:v>
                </c:pt>
                <c:pt idx="114">
                  <c:v>1095758.9279219364</c:v>
                </c:pt>
                <c:pt idx="115">
                  <c:v>1095758.9279219364</c:v>
                </c:pt>
                <c:pt idx="116">
                  <c:v>1095758.9279219364</c:v>
                </c:pt>
                <c:pt idx="117">
                  <c:v>1095758.9279219364</c:v>
                </c:pt>
                <c:pt idx="118">
                  <c:v>1095758.9279219364</c:v>
                </c:pt>
                <c:pt idx="119">
                  <c:v>1095758.9279219364</c:v>
                </c:pt>
                <c:pt idx="120">
                  <c:v>1095758.9279219364</c:v>
                </c:pt>
                <c:pt idx="121">
                  <c:v>1095758.9279219364</c:v>
                </c:pt>
                <c:pt idx="122">
                  <c:v>1095758.9279219364</c:v>
                </c:pt>
                <c:pt idx="123">
                  <c:v>1095758.9279219364</c:v>
                </c:pt>
                <c:pt idx="124">
                  <c:v>1095758.9279219364</c:v>
                </c:pt>
                <c:pt idx="125">
                  <c:v>1095758.9279219364</c:v>
                </c:pt>
                <c:pt idx="126">
                  <c:v>1095758.9279219364</c:v>
                </c:pt>
                <c:pt idx="127">
                  <c:v>1095758.9279219364</c:v>
                </c:pt>
                <c:pt idx="128">
                  <c:v>1095758.9279219364</c:v>
                </c:pt>
                <c:pt idx="129">
                  <c:v>1095758.9279219364</c:v>
                </c:pt>
                <c:pt idx="130">
                  <c:v>1095758.9279219364</c:v>
                </c:pt>
                <c:pt idx="131">
                  <c:v>1095758.9279219364</c:v>
                </c:pt>
                <c:pt idx="132">
                  <c:v>1095758.9279219364</c:v>
                </c:pt>
                <c:pt idx="133">
                  <c:v>1095758.9279219364</c:v>
                </c:pt>
                <c:pt idx="134">
                  <c:v>1095758.9279219364</c:v>
                </c:pt>
                <c:pt idx="135">
                  <c:v>1095758.9279219364</c:v>
                </c:pt>
                <c:pt idx="136">
                  <c:v>1095758.9279219364</c:v>
                </c:pt>
                <c:pt idx="137">
                  <c:v>1095758.9279219364</c:v>
                </c:pt>
                <c:pt idx="138">
                  <c:v>1095758.9279219364</c:v>
                </c:pt>
                <c:pt idx="139">
                  <c:v>1095758.9279219364</c:v>
                </c:pt>
                <c:pt idx="140">
                  <c:v>1095758.9279219364</c:v>
                </c:pt>
                <c:pt idx="141">
                  <c:v>1095758.9279219364</c:v>
                </c:pt>
                <c:pt idx="142">
                  <c:v>1095758.9279219364</c:v>
                </c:pt>
                <c:pt idx="143">
                  <c:v>1095758.9279219364</c:v>
                </c:pt>
                <c:pt idx="144">
                  <c:v>1095758.9279219364</c:v>
                </c:pt>
                <c:pt idx="145">
                  <c:v>1095758.9279219364</c:v>
                </c:pt>
                <c:pt idx="146">
                  <c:v>1095758.9279219364</c:v>
                </c:pt>
                <c:pt idx="147">
                  <c:v>1095758.9279219364</c:v>
                </c:pt>
                <c:pt idx="148">
                  <c:v>1095758.9279219364</c:v>
                </c:pt>
                <c:pt idx="149">
                  <c:v>1095758.9279219364</c:v>
                </c:pt>
                <c:pt idx="150">
                  <c:v>1095758.9279219364</c:v>
                </c:pt>
                <c:pt idx="151">
                  <c:v>1095758.9279219364</c:v>
                </c:pt>
                <c:pt idx="152">
                  <c:v>1095758.9279219364</c:v>
                </c:pt>
                <c:pt idx="153">
                  <c:v>1095758.9279219364</c:v>
                </c:pt>
                <c:pt idx="154">
                  <c:v>1095758.9279219364</c:v>
                </c:pt>
                <c:pt idx="155">
                  <c:v>1095758.9279219364</c:v>
                </c:pt>
                <c:pt idx="156">
                  <c:v>1095758.9279219364</c:v>
                </c:pt>
                <c:pt idx="157">
                  <c:v>1095758.9279219364</c:v>
                </c:pt>
                <c:pt idx="158">
                  <c:v>1095758.9279219364</c:v>
                </c:pt>
                <c:pt idx="159">
                  <c:v>1095758.9279219364</c:v>
                </c:pt>
                <c:pt idx="160">
                  <c:v>1095758.9279219364</c:v>
                </c:pt>
                <c:pt idx="161">
                  <c:v>1095758.9279219364</c:v>
                </c:pt>
                <c:pt idx="162">
                  <c:v>1095758.9279219364</c:v>
                </c:pt>
                <c:pt idx="163">
                  <c:v>1095758.9279219364</c:v>
                </c:pt>
                <c:pt idx="164">
                  <c:v>1095758.9279219364</c:v>
                </c:pt>
                <c:pt idx="165">
                  <c:v>1095758.9279219364</c:v>
                </c:pt>
                <c:pt idx="166">
                  <c:v>1095758.9279219364</c:v>
                </c:pt>
                <c:pt idx="167">
                  <c:v>1095758.9279219364</c:v>
                </c:pt>
                <c:pt idx="168">
                  <c:v>1095758.9279219364</c:v>
                </c:pt>
                <c:pt idx="169">
                  <c:v>1095758.9279219364</c:v>
                </c:pt>
                <c:pt idx="170">
                  <c:v>1095758.9279219364</c:v>
                </c:pt>
                <c:pt idx="171">
                  <c:v>1095758.9279219364</c:v>
                </c:pt>
                <c:pt idx="172">
                  <c:v>1095758.9279219364</c:v>
                </c:pt>
                <c:pt idx="173">
                  <c:v>1095758.9279219364</c:v>
                </c:pt>
                <c:pt idx="174">
                  <c:v>1095758.9279219364</c:v>
                </c:pt>
                <c:pt idx="175">
                  <c:v>1095758.9279219364</c:v>
                </c:pt>
                <c:pt idx="176">
                  <c:v>1095758.9279219364</c:v>
                </c:pt>
                <c:pt idx="177">
                  <c:v>1095758.9279219364</c:v>
                </c:pt>
                <c:pt idx="178">
                  <c:v>1095758.9279219364</c:v>
                </c:pt>
                <c:pt idx="179">
                  <c:v>1095758.9279219364</c:v>
                </c:pt>
                <c:pt idx="180">
                  <c:v>1095758.9279219364</c:v>
                </c:pt>
                <c:pt idx="181">
                  <c:v>1095758.9279219364</c:v>
                </c:pt>
                <c:pt idx="182">
                  <c:v>1095758.9279219364</c:v>
                </c:pt>
                <c:pt idx="183">
                  <c:v>1095758.9279219364</c:v>
                </c:pt>
                <c:pt idx="184">
                  <c:v>1095758.9279219364</c:v>
                </c:pt>
                <c:pt idx="185">
                  <c:v>1095758.9279219364</c:v>
                </c:pt>
                <c:pt idx="186">
                  <c:v>1095758.9279219364</c:v>
                </c:pt>
                <c:pt idx="187">
                  <c:v>1095758.9279219364</c:v>
                </c:pt>
                <c:pt idx="188">
                  <c:v>1095758.9279219364</c:v>
                </c:pt>
                <c:pt idx="189">
                  <c:v>1095758.9279219364</c:v>
                </c:pt>
                <c:pt idx="190">
                  <c:v>1095758.9279219364</c:v>
                </c:pt>
                <c:pt idx="191">
                  <c:v>1095758.9279219364</c:v>
                </c:pt>
                <c:pt idx="192">
                  <c:v>1095758.9279219364</c:v>
                </c:pt>
                <c:pt idx="193">
                  <c:v>1095758.9279219364</c:v>
                </c:pt>
                <c:pt idx="194">
                  <c:v>1095758.9279219364</c:v>
                </c:pt>
                <c:pt idx="195">
                  <c:v>1095758.9279219364</c:v>
                </c:pt>
                <c:pt idx="196">
                  <c:v>1095758.9279219364</c:v>
                </c:pt>
                <c:pt idx="197">
                  <c:v>1095758.9279219364</c:v>
                </c:pt>
                <c:pt idx="198">
                  <c:v>1095758.9279219364</c:v>
                </c:pt>
                <c:pt idx="199">
                  <c:v>1095758.9279219364</c:v>
                </c:pt>
                <c:pt idx="200">
                  <c:v>1095758.9279219364</c:v>
                </c:pt>
                <c:pt idx="201">
                  <c:v>1095758.9279219364</c:v>
                </c:pt>
                <c:pt idx="202">
                  <c:v>1095758.9279219364</c:v>
                </c:pt>
                <c:pt idx="203">
                  <c:v>1095758.9279219364</c:v>
                </c:pt>
                <c:pt idx="204">
                  <c:v>1095758.9279219364</c:v>
                </c:pt>
                <c:pt idx="205">
                  <c:v>1095758.9279219364</c:v>
                </c:pt>
                <c:pt idx="206">
                  <c:v>1095758.9279219364</c:v>
                </c:pt>
                <c:pt idx="207">
                  <c:v>1095758.9279219364</c:v>
                </c:pt>
                <c:pt idx="208">
                  <c:v>1095758.9279219364</c:v>
                </c:pt>
                <c:pt idx="209">
                  <c:v>1095758.9279219364</c:v>
                </c:pt>
                <c:pt idx="210">
                  <c:v>1095758.9279219364</c:v>
                </c:pt>
                <c:pt idx="211">
                  <c:v>1095758.9279219364</c:v>
                </c:pt>
                <c:pt idx="212">
                  <c:v>1095758.9279219364</c:v>
                </c:pt>
                <c:pt idx="213">
                  <c:v>1095758.9279219364</c:v>
                </c:pt>
                <c:pt idx="214">
                  <c:v>1095758.9279219364</c:v>
                </c:pt>
                <c:pt idx="215">
                  <c:v>1095758.9279219364</c:v>
                </c:pt>
                <c:pt idx="216">
                  <c:v>1095758.9279219364</c:v>
                </c:pt>
                <c:pt idx="217">
                  <c:v>1095758.9279219364</c:v>
                </c:pt>
                <c:pt idx="218">
                  <c:v>1095758.9279219364</c:v>
                </c:pt>
                <c:pt idx="219">
                  <c:v>1095758.9279219364</c:v>
                </c:pt>
                <c:pt idx="220">
                  <c:v>1095758.9279219364</c:v>
                </c:pt>
                <c:pt idx="221">
                  <c:v>1095758.9279219364</c:v>
                </c:pt>
                <c:pt idx="222">
                  <c:v>1095758.9279219364</c:v>
                </c:pt>
                <c:pt idx="223">
                  <c:v>1095758.9279219364</c:v>
                </c:pt>
                <c:pt idx="224">
                  <c:v>1095758.9279219364</c:v>
                </c:pt>
                <c:pt idx="225">
                  <c:v>1095758.9279219364</c:v>
                </c:pt>
                <c:pt idx="226">
                  <c:v>1095758.9279219364</c:v>
                </c:pt>
                <c:pt idx="227">
                  <c:v>1095758.9279219364</c:v>
                </c:pt>
                <c:pt idx="228">
                  <c:v>1095758.9279219364</c:v>
                </c:pt>
                <c:pt idx="229">
                  <c:v>1095758.9279219364</c:v>
                </c:pt>
                <c:pt idx="230">
                  <c:v>1095758.9279219364</c:v>
                </c:pt>
                <c:pt idx="231">
                  <c:v>1095758.9279219364</c:v>
                </c:pt>
                <c:pt idx="232">
                  <c:v>1095758.9279219364</c:v>
                </c:pt>
                <c:pt idx="233">
                  <c:v>1095758.9279219364</c:v>
                </c:pt>
                <c:pt idx="234">
                  <c:v>1095758.9279219364</c:v>
                </c:pt>
                <c:pt idx="235">
                  <c:v>1095758.9279219364</c:v>
                </c:pt>
                <c:pt idx="236">
                  <c:v>1095758.9279219364</c:v>
                </c:pt>
                <c:pt idx="237">
                  <c:v>1095758.9279219364</c:v>
                </c:pt>
                <c:pt idx="238">
                  <c:v>1095758.9279219364</c:v>
                </c:pt>
                <c:pt idx="239">
                  <c:v>1095758.9279219364</c:v>
                </c:pt>
                <c:pt idx="240">
                  <c:v>1095758.9279219364</c:v>
                </c:pt>
                <c:pt idx="241">
                  <c:v>1095758.9279219364</c:v>
                </c:pt>
                <c:pt idx="242">
                  <c:v>1095758.9279219364</c:v>
                </c:pt>
                <c:pt idx="243">
                  <c:v>1095758.9279219364</c:v>
                </c:pt>
                <c:pt idx="244">
                  <c:v>1095758.9279219364</c:v>
                </c:pt>
                <c:pt idx="245">
                  <c:v>1095758.9279219364</c:v>
                </c:pt>
                <c:pt idx="246">
                  <c:v>1095758.9279219364</c:v>
                </c:pt>
                <c:pt idx="247">
                  <c:v>1095758.9279219364</c:v>
                </c:pt>
                <c:pt idx="248">
                  <c:v>1095758.9279219364</c:v>
                </c:pt>
                <c:pt idx="249">
                  <c:v>1095758.9279219364</c:v>
                </c:pt>
                <c:pt idx="250">
                  <c:v>1095758.9279219364</c:v>
                </c:pt>
                <c:pt idx="251">
                  <c:v>1095758.9279219364</c:v>
                </c:pt>
                <c:pt idx="252">
                  <c:v>1095758.9279219364</c:v>
                </c:pt>
                <c:pt idx="253">
                  <c:v>1095758.9279219364</c:v>
                </c:pt>
                <c:pt idx="254">
                  <c:v>1095758.9279219364</c:v>
                </c:pt>
                <c:pt idx="255">
                  <c:v>1095758.9279219364</c:v>
                </c:pt>
                <c:pt idx="256">
                  <c:v>1095758.9279219364</c:v>
                </c:pt>
                <c:pt idx="257">
                  <c:v>1095758.9279219364</c:v>
                </c:pt>
                <c:pt idx="258">
                  <c:v>1095758.9279219364</c:v>
                </c:pt>
                <c:pt idx="259">
                  <c:v>1095758.9279219364</c:v>
                </c:pt>
                <c:pt idx="260">
                  <c:v>1095758.9279219364</c:v>
                </c:pt>
                <c:pt idx="261">
                  <c:v>1095758.9279219364</c:v>
                </c:pt>
                <c:pt idx="262">
                  <c:v>1095758.9279219364</c:v>
                </c:pt>
                <c:pt idx="263">
                  <c:v>1095758.9279219364</c:v>
                </c:pt>
                <c:pt idx="264">
                  <c:v>1095758.9279219364</c:v>
                </c:pt>
                <c:pt idx="265">
                  <c:v>1095758.9279219364</c:v>
                </c:pt>
                <c:pt idx="266">
                  <c:v>1095758.9279219364</c:v>
                </c:pt>
                <c:pt idx="267">
                  <c:v>1095758.9279219364</c:v>
                </c:pt>
                <c:pt idx="268">
                  <c:v>1095758.9279219364</c:v>
                </c:pt>
                <c:pt idx="269">
                  <c:v>1095758.9279219364</c:v>
                </c:pt>
                <c:pt idx="270">
                  <c:v>1095758.9279219364</c:v>
                </c:pt>
                <c:pt idx="271">
                  <c:v>1095758.9279219364</c:v>
                </c:pt>
                <c:pt idx="272">
                  <c:v>1095758.9279219364</c:v>
                </c:pt>
                <c:pt idx="273">
                  <c:v>1095758.9279219364</c:v>
                </c:pt>
                <c:pt idx="274">
                  <c:v>1095758.9279219364</c:v>
                </c:pt>
                <c:pt idx="275">
                  <c:v>1095758.9279219364</c:v>
                </c:pt>
                <c:pt idx="276">
                  <c:v>1095758.9279219364</c:v>
                </c:pt>
                <c:pt idx="277">
                  <c:v>1095758.9279219364</c:v>
                </c:pt>
                <c:pt idx="278">
                  <c:v>1095758.9279219364</c:v>
                </c:pt>
                <c:pt idx="279">
                  <c:v>1095758.9279219364</c:v>
                </c:pt>
                <c:pt idx="280">
                  <c:v>1095758.9279219364</c:v>
                </c:pt>
                <c:pt idx="281">
                  <c:v>1095758.9279219364</c:v>
                </c:pt>
                <c:pt idx="282">
                  <c:v>1095758.9279219364</c:v>
                </c:pt>
                <c:pt idx="283">
                  <c:v>1095758.9279219364</c:v>
                </c:pt>
                <c:pt idx="284">
                  <c:v>1095758.9279219364</c:v>
                </c:pt>
                <c:pt idx="285">
                  <c:v>1095758.9279219364</c:v>
                </c:pt>
                <c:pt idx="286">
                  <c:v>1095758.9279219364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-15037.08</c:v>
                </c:pt>
                <c:pt idx="13">
                  <c:v>-15037.08</c:v>
                </c:pt>
                <c:pt idx="14">
                  <c:v>628205.09937744832</c:v>
                </c:pt>
                <c:pt idx="15">
                  <c:v>877512.71868573769</c:v>
                </c:pt>
                <c:pt idx="16">
                  <c:v>1021110.7664090534</c:v>
                </c:pt>
                <c:pt idx="17">
                  <c:v>959212.31901774905</c:v>
                </c:pt>
                <c:pt idx="18">
                  <c:v>881839.25977861858</c:v>
                </c:pt>
                <c:pt idx="19">
                  <c:v>786666.59881320409</c:v>
                </c:pt>
                <c:pt idx="20">
                  <c:v>794934.58729738928</c:v>
                </c:pt>
                <c:pt idx="21">
                  <c:v>853893.61115904711</c:v>
                </c:pt>
                <c:pt idx="22">
                  <c:v>853893.61115904711</c:v>
                </c:pt>
                <c:pt idx="23">
                  <c:v>426828.49931122095</c:v>
                </c:pt>
                <c:pt idx="24">
                  <c:v>345996.54931122088</c:v>
                </c:pt>
                <c:pt idx="25">
                  <c:v>345471.54931122088</c:v>
                </c:pt>
                <c:pt idx="26">
                  <c:v>345471.54931122088</c:v>
                </c:pt>
                <c:pt idx="27">
                  <c:v>345471.54931122088</c:v>
                </c:pt>
                <c:pt idx="28">
                  <c:v>345471.54931122088</c:v>
                </c:pt>
                <c:pt idx="29">
                  <c:v>345471.54931122088</c:v>
                </c:pt>
                <c:pt idx="30">
                  <c:v>345471.54931122088</c:v>
                </c:pt>
                <c:pt idx="31">
                  <c:v>345471.54931122088</c:v>
                </c:pt>
                <c:pt idx="32">
                  <c:v>345471.54931122088</c:v>
                </c:pt>
                <c:pt idx="33">
                  <c:v>345471.54931122088</c:v>
                </c:pt>
                <c:pt idx="34">
                  <c:v>345471.54931122088</c:v>
                </c:pt>
                <c:pt idx="35">
                  <c:v>345471.54931122088</c:v>
                </c:pt>
                <c:pt idx="36">
                  <c:v>345471.54931122088</c:v>
                </c:pt>
                <c:pt idx="37">
                  <c:v>345471.54931122088</c:v>
                </c:pt>
                <c:pt idx="38">
                  <c:v>345471.54931122088</c:v>
                </c:pt>
                <c:pt idx="39">
                  <c:v>345471.54931122088</c:v>
                </c:pt>
                <c:pt idx="40">
                  <c:v>345471.54931122088</c:v>
                </c:pt>
                <c:pt idx="41">
                  <c:v>345471.54931122088</c:v>
                </c:pt>
                <c:pt idx="42">
                  <c:v>345471.54931122088</c:v>
                </c:pt>
                <c:pt idx="43">
                  <c:v>345471.54931122088</c:v>
                </c:pt>
                <c:pt idx="44">
                  <c:v>345471.54931122088</c:v>
                </c:pt>
                <c:pt idx="45">
                  <c:v>345471.54931122088</c:v>
                </c:pt>
                <c:pt idx="46">
                  <c:v>345471.54931122088</c:v>
                </c:pt>
                <c:pt idx="47">
                  <c:v>345471.54931122088</c:v>
                </c:pt>
                <c:pt idx="48">
                  <c:v>345471.54931122088</c:v>
                </c:pt>
                <c:pt idx="49">
                  <c:v>345471.54931122088</c:v>
                </c:pt>
                <c:pt idx="50">
                  <c:v>345471.54931122088</c:v>
                </c:pt>
                <c:pt idx="51">
                  <c:v>345471.54931122088</c:v>
                </c:pt>
                <c:pt idx="52">
                  <c:v>345471.54931122088</c:v>
                </c:pt>
                <c:pt idx="53">
                  <c:v>345471.54931122088</c:v>
                </c:pt>
                <c:pt idx="54">
                  <c:v>345471.54931122088</c:v>
                </c:pt>
                <c:pt idx="55">
                  <c:v>345471.54931122088</c:v>
                </c:pt>
                <c:pt idx="56">
                  <c:v>345471.54931122088</c:v>
                </c:pt>
                <c:pt idx="57">
                  <c:v>345471.54931122088</c:v>
                </c:pt>
                <c:pt idx="58">
                  <c:v>345471.54931122088</c:v>
                </c:pt>
                <c:pt idx="59">
                  <c:v>345471.54931122088</c:v>
                </c:pt>
                <c:pt idx="60">
                  <c:v>345471.54931122088</c:v>
                </c:pt>
                <c:pt idx="61">
                  <c:v>345471.54931122088</c:v>
                </c:pt>
                <c:pt idx="62">
                  <c:v>345471.54931122088</c:v>
                </c:pt>
                <c:pt idx="63">
                  <c:v>345471.54931122088</c:v>
                </c:pt>
                <c:pt idx="64">
                  <c:v>345471.54931122088</c:v>
                </c:pt>
                <c:pt idx="65">
                  <c:v>345471.54931122088</c:v>
                </c:pt>
                <c:pt idx="66">
                  <c:v>345471.54931122088</c:v>
                </c:pt>
                <c:pt idx="67">
                  <c:v>345471.54931122088</c:v>
                </c:pt>
                <c:pt idx="68">
                  <c:v>345471.54931122088</c:v>
                </c:pt>
                <c:pt idx="69">
                  <c:v>345471.54931122088</c:v>
                </c:pt>
                <c:pt idx="70">
                  <c:v>345471.54931122088</c:v>
                </c:pt>
                <c:pt idx="71">
                  <c:v>345471.54931122088</c:v>
                </c:pt>
                <c:pt idx="72">
                  <c:v>345471.54931122088</c:v>
                </c:pt>
                <c:pt idx="73">
                  <c:v>345471.54931122088</c:v>
                </c:pt>
                <c:pt idx="74">
                  <c:v>345471.54931122088</c:v>
                </c:pt>
                <c:pt idx="75">
                  <c:v>345471.54931122088</c:v>
                </c:pt>
                <c:pt idx="76">
                  <c:v>345471.54931122088</c:v>
                </c:pt>
                <c:pt idx="77">
                  <c:v>345471.54931122088</c:v>
                </c:pt>
                <c:pt idx="78">
                  <c:v>345471.54931122088</c:v>
                </c:pt>
                <c:pt idx="79">
                  <c:v>345471.54931122088</c:v>
                </c:pt>
                <c:pt idx="80">
                  <c:v>345471.54931122088</c:v>
                </c:pt>
                <c:pt idx="81">
                  <c:v>345471.54931122088</c:v>
                </c:pt>
                <c:pt idx="82">
                  <c:v>345471.54931122088</c:v>
                </c:pt>
                <c:pt idx="83">
                  <c:v>345471.54931122088</c:v>
                </c:pt>
                <c:pt idx="84">
                  <c:v>345471.54931122088</c:v>
                </c:pt>
                <c:pt idx="85">
                  <c:v>345471.54931122088</c:v>
                </c:pt>
                <c:pt idx="86">
                  <c:v>345471.54931122088</c:v>
                </c:pt>
                <c:pt idx="87">
                  <c:v>345471.54931122088</c:v>
                </c:pt>
                <c:pt idx="88">
                  <c:v>345471.54931122088</c:v>
                </c:pt>
                <c:pt idx="89">
                  <c:v>345471.54931122088</c:v>
                </c:pt>
                <c:pt idx="90">
                  <c:v>345471.54931122088</c:v>
                </c:pt>
                <c:pt idx="91">
                  <c:v>345471.54931122088</c:v>
                </c:pt>
                <c:pt idx="92">
                  <c:v>345471.54931122088</c:v>
                </c:pt>
                <c:pt idx="93">
                  <c:v>345471.54931122088</c:v>
                </c:pt>
                <c:pt idx="94">
                  <c:v>345471.54931122088</c:v>
                </c:pt>
                <c:pt idx="95">
                  <c:v>345471.54931122088</c:v>
                </c:pt>
                <c:pt idx="96">
                  <c:v>345471.54931122088</c:v>
                </c:pt>
                <c:pt idx="97">
                  <c:v>345471.54931122088</c:v>
                </c:pt>
                <c:pt idx="98">
                  <c:v>345471.54931122088</c:v>
                </c:pt>
                <c:pt idx="99">
                  <c:v>345471.54931122088</c:v>
                </c:pt>
                <c:pt idx="100">
                  <c:v>345471.54931122088</c:v>
                </c:pt>
                <c:pt idx="101">
                  <c:v>345471.54931122088</c:v>
                </c:pt>
                <c:pt idx="102">
                  <c:v>345471.54931122088</c:v>
                </c:pt>
                <c:pt idx="103">
                  <c:v>345471.54931122088</c:v>
                </c:pt>
                <c:pt idx="104">
                  <c:v>345471.54931122088</c:v>
                </c:pt>
                <c:pt idx="105">
                  <c:v>345471.54931122088</c:v>
                </c:pt>
                <c:pt idx="106">
                  <c:v>345471.54931122088</c:v>
                </c:pt>
                <c:pt idx="107">
                  <c:v>345471.54931122088</c:v>
                </c:pt>
                <c:pt idx="108">
                  <c:v>345471.54931122088</c:v>
                </c:pt>
                <c:pt idx="109">
                  <c:v>345471.54931122088</c:v>
                </c:pt>
                <c:pt idx="110">
                  <c:v>345471.54931122088</c:v>
                </c:pt>
                <c:pt idx="111">
                  <c:v>345471.54931122088</c:v>
                </c:pt>
                <c:pt idx="112">
                  <c:v>345471.54931122088</c:v>
                </c:pt>
                <c:pt idx="113">
                  <c:v>345471.54931122088</c:v>
                </c:pt>
                <c:pt idx="114">
                  <c:v>345471.54931122088</c:v>
                </c:pt>
                <c:pt idx="115">
                  <c:v>345471.54931122088</c:v>
                </c:pt>
                <c:pt idx="116">
                  <c:v>345471.54931122088</c:v>
                </c:pt>
                <c:pt idx="117">
                  <c:v>345471.54931122088</c:v>
                </c:pt>
                <c:pt idx="118">
                  <c:v>345471.54931122088</c:v>
                </c:pt>
                <c:pt idx="119">
                  <c:v>345471.54931122088</c:v>
                </c:pt>
                <c:pt idx="120">
                  <c:v>345471.54931122088</c:v>
                </c:pt>
                <c:pt idx="121">
                  <c:v>345471.54931122088</c:v>
                </c:pt>
                <c:pt idx="122">
                  <c:v>345471.54931122088</c:v>
                </c:pt>
                <c:pt idx="123">
                  <c:v>345471.54931122088</c:v>
                </c:pt>
                <c:pt idx="124">
                  <c:v>345471.54931122088</c:v>
                </c:pt>
                <c:pt idx="125">
                  <c:v>345471.54931122088</c:v>
                </c:pt>
                <c:pt idx="126">
                  <c:v>345471.54931122088</c:v>
                </c:pt>
                <c:pt idx="127">
                  <c:v>345471.54931122088</c:v>
                </c:pt>
                <c:pt idx="128">
                  <c:v>345471.54931122088</c:v>
                </c:pt>
                <c:pt idx="129">
                  <c:v>345471.54931122088</c:v>
                </c:pt>
                <c:pt idx="130">
                  <c:v>345471.54931122088</c:v>
                </c:pt>
                <c:pt idx="131">
                  <c:v>345471.54931122088</c:v>
                </c:pt>
                <c:pt idx="132">
                  <c:v>345471.54931122088</c:v>
                </c:pt>
                <c:pt idx="133">
                  <c:v>345471.54931122088</c:v>
                </c:pt>
                <c:pt idx="134">
                  <c:v>345471.54931122088</c:v>
                </c:pt>
                <c:pt idx="135">
                  <c:v>345471.54931122088</c:v>
                </c:pt>
                <c:pt idx="136">
                  <c:v>345471.54931122088</c:v>
                </c:pt>
                <c:pt idx="137">
                  <c:v>345471.54931122088</c:v>
                </c:pt>
                <c:pt idx="138">
                  <c:v>345471.54931122088</c:v>
                </c:pt>
                <c:pt idx="139">
                  <c:v>345471.54931122088</c:v>
                </c:pt>
                <c:pt idx="140">
                  <c:v>345471.54931122088</c:v>
                </c:pt>
                <c:pt idx="141">
                  <c:v>345471.54931122088</c:v>
                </c:pt>
                <c:pt idx="142">
                  <c:v>345471.54931122088</c:v>
                </c:pt>
                <c:pt idx="143">
                  <c:v>345471.54931122088</c:v>
                </c:pt>
                <c:pt idx="144">
                  <c:v>345471.54931122088</c:v>
                </c:pt>
                <c:pt idx="145">
                  <c:v>345471.54931122088</c:v>
                </c:pt>
                <c:pt idx="146">
                  <c:v>345471.54931122088</c:v>
                </c:pt>
                <c:pt idx="147">
                  <c:v>345471.54931122088</c:v>
                </c:pt>
                <c:pt idx="148">
                  <c:v>345471.54931122088</c:v>
                </c:pt>
                <c:pt idx="149">
                  <c:v>345471.54931122088</c:v>
                </c:pt>
                <c:pt idx="150">
                  <c:v>345471.54931122088</c:v>
                </c:pt>
                <c:pt idx="151">
                  <c:v>345471.54931122088</c:v>
                </c:pt>
                <c:pt idx="152">
                  <c:v>345471.54931122088</c:v>
                </c:pt>
                <c:pt idx="153">
                  <c:v>345471.54931122088</c:v>
                </c:pt>
                <c:pt idx="154">
                  <c:v>345471.54931122088</c:v>
                </c:pt>
                <c:pt idx="155">
                  <c:v>345471.54931122088</c:v>
                </c:pt>
                <c:pt idx="156">
                  <c:v>345471.54931122088</c:v>
                </c:pt>
                <c:pt idx="157">
                  <c:v>345471.54931122088</c:v>
                </c:pt>
                <c:pt idx="158">
                  <c:v>345471.54931122088</c:v>
                </c:pt>
                <c:pt idx="159">
                  <c:v>345471.54931122088</c:v>
                </c:pt>
                <c:pt idx="160">
                  <c:v>345471.54931122088</c:v>
                </c:pt>
                <c:pt idx="161">
                  <c:v>345471.54931122088</c:v>
                </c:pt>
                <c:pt idx="162">
                  <c:v>345471.54931122088</c:v>
                </c:pt>
                <c:pt idx="163">
                  <c:v>345471.54931122088</c:v>
                </c:pt>
                <c:pt idx="164">
                  <c:v>345471.54931122088</c:v>
                </c:pt>
                <c:pt idx="165">
                  <c:v>345471.54931122088</c:v>
                </c:pt>
                <c:pt idx="166">
                  <c:v>345471.54931122088</c:v>
                </c:pt>
                <c:pt idx="167">
                  <c:v>345471.54931122088</c:v>
                </c:pt>
                <c:pt idx="168">
                  <c:v>345471.54931122088</c:v>
                </c:pt>
                <c:pt idx="169">
                  <c:v>345471.54931122088</c:v>
                </c:pt>
                <c:pt idx="170">
                  <c:v>345471.54931122088</c:v>
                </c:pt>
                <c:pt idx="171">
                  <c:v>345471.54931122088</c:v>
                </c:pt>
                <c:pt idx="172">
                  <c:v>345471.54931122088</c:v>
                </c:pt>
                <c:pt idx="173">
                  <c:v>345471.54931122088</c:v>
                </c:pt>
                <c:pt idx="174">
                  <c:v>345471.54931122088</c:v>
                </c:pt>
                <c:pt idx="175">
                  <c:v>345471.54931122088</c:v>
                </c:pt>
                <c:pt idx="176">
                  <c:v>345471.54931122088</c:v>
                </c:pt>
                <c:pt idx="177">
                  <c:v>345471.54931122088</c:v>
                </c:pt>
                <c:pt idx="178">
                  <c:v>345471.54931122088</c:v>
                </c:pt>
                <c:pt idx="179">
                  <c:v>345471.54931122088</c:v>
                </c:pt>
                <c:pt idx="180">
                  <c:v>345471.54931122088</c:v>
                </c:pt>
                <c:pt idx="181">
                  <c:v>345471.54931122088</c:v>
                </c:pt>
                <c:pt idx="182">
                  <c:v>345471.54931122088</c:v>
                </c:pt>
                <c:pt idx="183">
                  <c:v>345471.54931122088</c:v>
                </c:pt>
                <c:pt idx="184">
                  <c:v>345471.54931122088</c:v>
                </c:pt>
                <c:pt idx="185">
                  <c:v>345471.54931122088</c:v>
                </c:pt>
                <c:pt idx="186">
                  <c:v>345471.54931122088</c:v>
                </c:pt>
                <c:pt idx="187">
                  <c:v>345471.54931122088</c:v>
                </c:pt>
                <c:pt idx="188">
                  <c:v>345471.54931122088</c:v>
                </c:pt>
                <c:pt idx="189">
                  <c:v>345471.54931122088</c:v>
                </c:pt>
                <c:pt idx="190">
                  <c:v>345471.54931122088</c:v>
                </c:pt>
                <c:pt idx="191">
                  <c:v>345471.54931122088</c:v>
                </c:pt>
                <c:pt idx="192">
                  <c:v>345471.54931122088</c:v>
                </c:pt>
                <c:pt idx="193">
                  <c:v>345471.54931122088</c:v>
                </c:pt>
                <c:pt idx="194">
                  <c:v>345471.54931122088</c:v>
                </c:pt>
                <c:pt idx="195">
                  <c:v>345471.54931122088</c:v>
                </c:pt>
                <c:pt idx="196">
                  <c:v>345471.54931122088</c:v>
                </c:pt>
                <c:pt idx="197">
                  <c:v>345471.54931122088</c:v>
                </c:pt>
                <c:pt idx="198">
                  <c:v>345471.54931122088</c:v>
                </c:pt>
                <c:pt idx="199">
                  <c:v>345471.54931122088</c:v>
                </c:pt>
                <c:pt idx="200">
                  <c:v>345471.54931122088</c:v>
                </c:pt>
                <c:pt idx="201">
                  <c:v>345471.54931122088</c:v>
                </c:pt>
                <c:pt idx="202">
                  <c:v>345471.54931122088</c:v>
                </c:pt>
                <c:pt idx="203">
                  <c:v>345471.54931122088</c:v>
                </c:pt>
                <c:pt idx="204">
                  <c:v>345471.54931122088</c:v>
                </c:pt>
                <c:pt idx="205">
                  <c:v>345471.54931122088</c:v>
                </c:pt>
                <c:pt idx="206">
                  <c:v>345471.54931122088</c:v>
                </c:pt>
                <c:pt idx="207">
                  <c:v>345471.54931122088</c:v>
                </c:pt>
                <c:pt idx="208">
                  <c:v>345471.54931122088</c:v>
                </c:pt>
                <c:pt idx="209">
                  <c:v>345471.54931122088</c:v>
                </c:pt>
                <c:pt idx="210">
                  <c:v>345471.54931122088</c:v>
                </c:pt>
                <c:pt idx="211">
                  <c:v>345471.54931122088</c:v>
                </c:pt>
                <c:pt idx="212">
                  <c:v>345471.54931122088</c:v>
                </c:pt>
                <c:pt idx="213">
                  <c:v>345471.54931122088</c:v>
                </c:pt>
                <c:pt idx="214">
                  <c:v>345471.54931122088</c:v>
                </c:pt>
                <c:pt idx="215">
                  <c:v>345471.54931122088</c:v>
                </c:pt>
                <c:pt idx="216">
                  <c:v>345471.54931122088</c:v>
                </c:pt>
                <c:pt idx="217">
                  <c:v>345471.54931122088</c:v>
                </c:pt>
                <c:pt idx="218">
                  <c:v>345471.54931122088</c:v>
                </c:pt>
                <c:pt idx="219">
                  <c:v>345471.54931122088</c:v>
                </c:pt>
                <c:pt idx="220">
                  <c:v>345471.54931122088</c:v>
                </c:pt>
                <c:pt idx="221">
                  <c:v>345471.54931122088</c:v>
                </c:pt>
                <c:pt idx="222">
                  <c:v>345471.54931122088</c:v>
                </c:pt>
                <c:pt idx="223">
                  <c:v>345471.54931122088</c:v>
                </c:pt>
                <c:pt idx="224">
                  <c:v>345471.54931122088</c:v>
                </c:pt>
                <c:pt idx="225">
                  <c:v>345471.54931122088</c:v>
                </c:pt>
                <c:pt idx="226">
                  <c:v>345471.54931122088</c:v>
                </c:pt>
                <c:pt idx="227">
                  <c:v>345471.54931122088</c:v>
                </c:pt>
                <c:pt idx="228">
                  <c:v>345471.54931122088</c:v>
                </c:pt>
                <c:pt idx="229">
                  <c:v>345471.54931122088</c:v>
                </c:pt>
                <c:pt idx="230">
                  <c:v>345471.54931122088</c:v>
                </c:pt>
                <c:pt idx="231">
                  <c:v>345471.54931122088</c:v>
                </c:pt>
                <c:pt idx="232">
                  <c:v>345471.54931122088</c:v>
                </c:pt>
                <c:pt idx="233">
                  <c:v>345471.54931122088</c:v>
                </c:pt>
                <c:pt idx="234">
                  <c:v>345471.54931122088</c:v>
                </c:pt>
                <c:pt idx="235">
                  <c:v>345471.54931122088</c:v>
                </c:pt>
                <c:pt idx="236">
                  <c:v>345471.54931122088</c:v>
                </c:pt>
                <c:pt idx="237">
                  <c:v>345471.54931122088</c:v>
                </c:pt>
                <c:pt idx="238">
                  <c:v>345471.54931122088</c:v>
                </c:pt>
                <c:pt idx="239">
                  <c:v>345471.54931122088</c:v>
                </c:pt>
                <c:pt idx="240">
                  <c:v>345471.54931122088</c:v>
                </c:pt>
                <c:pt idx="241">
                  <c:v>345471.54931122088</c:v>
                </c:pt>
                <c:pt idx="242">
                  <c:v>345471.54931122088</c:v>
                </c:pt>
                <c:pt idx="243">
                  <c:v>345471.54931122088</c:v>
                </c:pt>
                <c:pt idx="244">
                  <c:v>345471.54931122088</c:v>
                </c:pt>
                <c:pt idx="245">
                  <c:v>345471.54931122088</c:v>
                </c:pt>
                <c:pt idx="246">
                  <c:v>345471.54931122088</c:v>
                </c:pt>
                <c:pt idx="247">
                  <c:v>345471.54931122088</c:v>
                </c:pt>
                <c:pt idx="248">
                  <c:v>345471.54931122088</c:v>
                </c:pt>
                <c:pt idx="249">
                  <c:v>345471.54931122088</c:v>
                </c:pt>
                <c:pt idx="250">
                  <c:v>345471.54931122088</c:v>
                </c:pt>
                <c:pt idx="251">
                  <c:v>345471.54931122088</c:v>
                </c:pt>
                <c:pt idx="252">
                  <c:v>345471.54931122088</c:v>
                </c:pt>
                <c:pt idx="253">
                  <c:v>345471.54931122088</c:v>
                </c:pt>
                <c:pt idx="254">
                  <c:v>345471.54931122088</c:v>
                </c:pt>
                <c:pt idx="255">
                  <c:v>345471.54931122088</c:v>
                </c:pt>
                <c:pt idx="256">
                  <c:v>345471.54931122088</c:v>
                </c:pt>
                <c:pt idx="257">
                  <c:v>345471.54931122088</c:v>
                </c:pt>
                <c:pt idx="258">
                  <c:v>345471.54931122088</c:v>
                </c:pt>
                <c:pt idx="259">
                  <c:v>345471.54931122088</c:v>
                </c:pt>
                <c:pt idx="260">
                  <c:v>345471.54931122088</c:v>
                </c:pt>
                <c:pt idx="261">
                  <c:v>345471.54931122088</c:v>
                </c:pt>
                <c:pt idx="262">
                  <c:v>345471.54931122088</c:v>
                </c:pt>
                <c:pt idx="263">
                  <c:v>345471.54931122088</c:v>
                </c:pt>
                <c:pt idx="264">
                  <c:v>345471.54931122088</c:v>
                </c:pt>
                <c:pt idx="265">
                  <c:v>345471.54931122088</c:v>
                </c:pt>
                <c:pt idx="266">
                  <c:v>345471.54931122088</c:v>
                </c:pt>
                <c:pt idx="267">
                  <c:v>345471.54931122088</c:v>
                </c:pt>
                <c:pt idx="268">
                  <c:v>345471.54931122088</c:v>
                </c:pt>
                <c:pt idx="269">
                  <c:v>345471.54931122088</c:v>
                </c:pt>
                <c:pt idx="270">
                  <c:v>345471.54931122088</c:v>
                </c:pt>
                <c:pt idx="271">
                  <c:v>345471.54931122088</c:v>
                </c:pt>
                <c:pt idx="272">
                  <c:v>345471.54931122088</c:v>
                </c:pt>
                <c:pt idx="273">
                  <c:v>345471.54931122088</c:v>
                </c:pt>
                <c:pt idx="274">
                  <c:v>345471.54931122088</c:v>
                </c:pt>
                <c:pt idx="275">
                  <c:v>345471.54931122088</c:v>
                </c:pt>
                <c:pt idx="276">
                  <c:v>345471.54931122088</c:v>
                </c:pt>
                <c:pt idx="277">
                  <c:v>345471.54931122088</c:v>
                </c:pt>
                <c:pt idx="278">
                  <c:v>345471.54931122088</c:v>
                </c:pt>
                <c:pt idx="279">
                  <c:v>345471.54931122088</c:v>
                </c:pt>
                <c:pt idx="280">
                  <c:v>345471.54931122088</c:v>
                </c:pt>
                <c:pt idx="281">
                  <c:v>345471.54931122088</c:v>
                </c:pt>
                <c:pt idx="282">
                  <c:v>345471.54931122088</c:v>
                </c:pt>
                <c:pt idx="283">
                  <c:v>345471.54931122088</c:v>
                </c:pt>
                <c:pt idx="284">
                  <c:v>345471.54931122088</c:v>
                </c:pt>
                <c:pt idx="285">
                  <c:v>345471.54931122088</c:v>
                </c:pt>
                <c:pt idx="286">
                  <c:v>345471.54931122088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30174.27092864634</c:v>
                </c:pt>
                <c:pt idx="12">
                  <c:v>30174.27092864634</c:v>
                </c:pt>
                <c:pt idx="13">
                  <c:v>30174.27092864634</c:v>
                </c:pt>
                <c:pt idx="14">
                  <c:v>30174.27092864634</c:v>
                </c:pt>
                <c:pt idx="15">
                  <c:v>926519.39037425863</c:v>
                </c:pt>
                <c:pt idx="16">
                  <c:v>926519.39037425863</c:v>
                </c:pt>
                <c:pt idx="17">
                  <c:v>926519.39037425863</c:v>
                </c:pt>
                <c:pt idx="18">
                  <c:v>926519.39037425863</c:v>
                </c:pt>
                <c:pt idx="19">
                  <c:v>926519.39037425863</c:v>
                </c:pt>
                <c:pt idx="20">
                  <c:v>1399295.0250880378</c:v>
                </c:pt>
                <c:pt idx="21">
                  <c:v>1399295.0250880378</c:v>
                </c:pt>
                <c:pt idx="22">
                  <c:v>1399295.0250880378</c:v>
                </c:pt>
                <c:pt idx="23">
                  <c:v>1399295.0250880378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66105439815" createdVersion="8" refreshedVersion="8" minRefreshableVersion="3" recordCount="156" xr:uid="{D37A5069-1A2D-4864-A726-735BFBE61275}">
  <cacheSource type="worksheet">
    <worksheetSource ref="L4:X1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7611.53695652176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2-28T00:00:00"/>
        <s v=""/>
        <d v="2026-03-31T00:00:00"/>
        <d v="2026-04-30T00:00:00"/>
        <d v="2026-01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28T00:00:00" maxDate="2026-05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0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87212.160000000003"/>
  </r>
  <r>
    <n v="2"/>
    <x v="2"/>
    <s v="Huawei 50KTL - Menlo"/>
    <n v="2"/>
    <n v="43606.080000000002"/>
    <n v="87212.160000000003"/>
    <m/>
    <m/>
    <x v="1"/>
    <n v="115853.65853658537"/>
    <m/>
    <d v="2026-04-2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8482.000000000007"/>
    <m/>
    <m/>
    <x v="1"/>
    <n v="71319.512195121963"/>
    <n v="0"/>
    <d v="2026-03-30T00:00:00"/>
    <n v="58482.000000000007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75"/>
    <n v="55000"/>
    <m/>
    <m/>
    <x v="1"/>
    <n v="43996.858254622995"/>
    <n v="0"/>
    <d v="2026-04-20T00:00:00"/>
    <n v="105822.79999999999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50822.8"/>
    <n v="0.1"/>
    <n v="5082.2800000000007"/>
    <m/>
    <m/>
    <x v="1"/>
    <n v="4065.5336867328247"/>
    <m/>
    <d v="2026-02-19T00:00:00"/>
    <m/>
  </r>
  <r>
    <n v="4"/>
    <x v="4"/>
    <s v="Site Establishment"/>
    <m/>
    <n v="0.15"/>
    <n v="7623.42"/>
    <m/>
    <m/>
    <x v="1"/>
    <n v="6098.3005300992363"/>
    <m/>
    <d v="2026-02-19T00:00:00"/>
    <m/>
  </r>
  <r>
    <n v="4"/>
    <x v="4"/>
    <s v="AC Installation Complete"/>
    <m/>
    <n v="0.2"/>
    <n v="10164.560000000001"/>
    <m/>
    <m/>
    <x v="3"/>
    <n v="8131.0673734656493"/>
    <m/>
    <d v="2026-03-09T00:00:00"/>
    <m/>
  </r>
  <r>
    <n v="4"/>
    <x v="4"/>
    <s v="DC Installation Complete"/>
    <m/>
    <n v="0.25"/>
    <n v="12705.7"/>
    <m/>
    <m/>
    <x v="3"/>
    <n v="10163.834216832061"/>
    <m/>
    <d v="2026-03-19T00:00:00"/>
    <m/>
  </r>
  <r>
    <n v="4"/>
    <x v="4"/>
    <s v="Commissioning Complete"/>
    <m/>
    <n v="0.1"/>
    <n v="5082.2800000000007"/>
    <m/>
    <m/>
    <x v="3"/>
    <n v="4065.5336867328247"/>
    <m/>
    <d v="2026-03-30T00:00:00"/>
    <m/>
  </r>
  <r>
    <n v="4"/>
    <x v="4"/>
    <s v="Site De-establisment"/>
    <m/>
    <n v="0.1"/>
    <n v="5082.2800000000007"/>
    <m/>
    <m/>
    <x v="3"/>
    <n v="4065.5336867328247"/>
    <m/>
    <d v="2026-03-31T00:00:00"/>
    <m/>
  </r>
  <r>
    <n v="4"/>
    <x v="4"/>
    <s v="Handover Document Complete"/>
    <m/>
    <n v="0.05"/>
    <n v="2541.1400000000003"/>
    <m/>
    <m/>
    <x v="3"/>
    <n v="2032.7668433664123"/>
    <m/>
    <d v="2026-03-31T00:00:00"/>
    <m/>
  </r>
  <r>
    <n v="4"/>
    <x v="4"/>
    <s v="End of Defects Period"/>
    <m/>
    <n v="0.05"/>
    <n v="2541.1400000000003"/>
    <m/>
    <m/>
    <x v="4"/>
    <n v="2032.7668433664123"/>
    <m/>
    <d v="2026-04-2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8819.5300703642151"/>
    <n v="0"/>
    <d v="2026-04-20T00:00:00"/>
    <n v="58257.439999999995"/>
  </r>
  <r>
    <n v="5"/>
    <x v="5"/>
    <s v="Comms DB"/>
    <m/>
    <m/>
    <n v="26000"/>
    <m/>
    <m/>
    <x v="1"/>
    <n v="26668.843268522716"/>
    <m/>
    <d v="2026-02-28T00:00:00"/>
    <m/>
  </r>
  <r>
    <n v="5"/>
    <x v="5"/>
    <s v="Revenue Grade Meter"/>
    <m/>
    <m/>
    <n v="15000"/>
    <m/>
    <m/>
    <x v="1"/>
    <n v="15385.871116455413"/>
    <m/>
    <d v="2026-02-28T00:00:00"/>
    <m/>
  </r>
  <r>
    <n v="5"/>
    <x v="5"/>
    <s v="Check meter "/>
    <m/>
    <m/>
    <n v="3600"/>
    <s v="PO4051-STLP-20250627 - RV Approved"/>
    <s v="CBB Inv: CBB-5722"/>
    <x v="5"/>
    <n v="3692.6090679492991"/>
    <m/>
    <d v="2026-01-07T00:00:00"/>
    <m/>
  </r>
  <r>
    <n v="5"/>
    <x v="5"/>
    <s v="Check Meter CT's"/>
    <m/>
    <m/>
    <n v="2870"/>
    <m/>
    <s v="Accuenergy Inv: ASAI-006974"/>
    <x v="5"/>
    <n v="2943.8300069484685"/>
    <m/>
    <m/>
    <m/>
  </r>
  <r>
    <n v="5"/>
    <x v="5"/>
    <s v="Lithium Battery"/>
    <m/>
    <m/>
    <n v="975"/>
    <m/>
    <s v="Red Pole:SO-35689"/>
    <x v="5"/>
    <n v="1000.0816225696019"/>
    <m/>
    <m/>
    <m/>
  </r>
  <r>
    <n v="5"/>
    <x v="5"/>
    <s v="Power Supply"/>
    <m/>
    <m/>
    <n v="1214.0999999999999"/>
    <m/>
    <s v="current Automation Inv: SOQ324142"/>
    <x v="5"/>
    <n v="1245.3324081659009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98443.48695652178"/>
  </r>
  <r>
    <n v="6"/>
    <x v="6"/>
    <s v="PVDB"/>
    <m/>
    <m/>
    <n v="80831.95"/>
    <m/>
    <m/>
    <x v="3"/>
    <n v="98575.54878048777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17611.53695652176"/>
    <n v="0.1"/>
    <n v="11761.153695652176"/>
    <m/>
    <m/>
    <x v="1"/>
    <n v="14342.870360551431"/>
    <m/>
    <d v="2026-02-19T00:00:00"/>
    <m/>
  </r>
  <r>
    <n v="6"/>
    <x v="6"/>
    <s v="Site Establishment"/>
    <m/>
    <n v="0.15"/>
    <n v="17641.730543478261"/>
    <m/>
    <m/>
    <x v="1"/>
    <n v="21514.305540827147"/>
    <m/>
    <d v="2026-02-19T00:00:00"/>
    <m/>
  </r>
  <r>
    <n v="6"/>
    <x v="6"/>
    <s v="AC Installation Complete"/>
    <m/>
    <n v="0.2"/>
    <n v="23522.307391304352"/>
    <m/>
    <m/>
    <x v="3"/>
    <n v="28685.740721102862"/>
    <m/>
    <d v="2026-03-09T00:00:00"/>
    <m/>
  </r>
  <r>
    <n v="6"/>
    <x v="6"/>
    <s v="DC Installation Complete"/>
    <m/>
    <n v="0.25"/>
    <n v="29402.884239130439"/>
    <m/>
    <m/>
    <x v="3"/>
    <n v="35857.175901378578"/>
    <m/>
    <d v="2026-03-19T00:00:00"/>
    <m/>
  </r>
  <r>
    <n v="6"/>
    <x v="6"/>
    <s v="Commissioning Complete"/>
    <m/>
    <n v="0.1"/>
    <n v="11761.153695652176"/>
    <m/>
    <m/>
    <x v="3"/>
    <n v="14342.870360551431"/>
    <m/>
    <d v="2026-03-30T00:00:00"/>
    <m/>
  </r>
  <r>
    <n v="6"/>
    <x v="6"/>
    <s v="Site De-establisment"/>
    <m/>
    <n v="0.1"/>
    <n v="11761.153695652176"/>
    <m/>
    <m/>
    <x v="3"/>
    <n v="14342.870360551431"/>
    <m/>
    <d v="2026-03-31T00:00:00"/>
    <m/>
  </r>
  <r>
    <n v="6"/>
    <x v="6"/>
    <s v="Handover Document Complete"/>
    <m/>
    <n v="0.05"/>
    <n v="5880.5768478260879"/>
    <m/>
    <m/>
    <x v="3"/>
    <n v="7171.4351802757155"/>
    <m/>
    <d v="2026-03-31T00:00:00"/>
    <m/>
  </r>
  <r>
    <n v="6"/>
    <x v="6"/>
    <s v="End of Defects Period"/>
    <m/>
    <n v="0.05"/>
    <n v="5880.5768478260879"/>
    <m/>
    <m/>
    <x v="4"/>
    <n v="7171.4351802757155"/>
    <m/>
    <d v="2026-04-2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heck Meter"/>
    <m/>
    <m/>
    <n v="4000"/>
    <m/>
    <m/>
    <x v="1"/>
    <n v="4494.3820224719102"/>
    <n v="0"/>
    <d v="2026-02-28T00:00:00"/>
    <n v="4000"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08300"/>
  </r>
  <r>
    <n v="9"/>
    <x v="9"/>
    <s v="Project Kick Off"/>
    <n v="108300"/>
    <n v="0.1"/>
    <n v="10830"/>
    <m/>
    <m/>
    <x v="1"/>
    <n v="12741.176470588236"/>
    <m/>
    <d v="2026-02-19T00:00:00"/>
    <m/>
  </r>
  <r>
    <n v="9"/>
    <x v="9"/>
    <s v="Site Establishment"/>
    <m/>
    <n v="0.15"/>
    <n v="16245"/>
    <m/>
    <m/>
    <x v="1"/>
    <n v="19111.764705882353"/>
    <m/>
    <d v="2026-02-19T00:00:00"/>
    <m/>
  </r>
  <r>
    <n v="9"/>
    <x v="9"/>
    <s v="AC Installation Complete"/>
    <m/>
    <n v="0.2"/>
    <n v="21660"/>
    <m/>
    <m/>
    <x v="3"/>
    <n v="25482.352941176472"/>
    <m/>
    <d v="2026-03-09T00:00:00"/>
    <m/>
  </r>
  <r>
    <n v="9"/>
    <x v="9"/>
    <s v="DC Installation Complete"/>
    <m/>
    <n v="0.25"/>
    <n v="27075"/>
    <m/>
    <m/>
    <x v="3"/>
    <n v="31852.941176470587"/>
    <m/>
    <d v="2026-03-19T00:00:00"/>
    <m/>
  </r>
  <r>
    <n v="9"/>
    <x v="9"/>
    <s v="Commissioning Complete"/>
    <m/>
    <n v="0.1"/>
    <n v="10830"/>
    <m/>
    <m/>
    <x v="3"/>
    <n v="12741.176470588236"/>
    <m/>
    <d v="2026-03-30T00:00:00"/>
    <m/>
  </r>
  <r>
    <n v="9"/>
    <x v="9"/>
    <s v="Site De-establisment"/>
    <m/>
    <n v="0.1"/>
    <n v="10830"/>
    <m/>
    <m/>
    <x v="3"/>
    <n v="12741.176470588236"/>
    <m/>
    <d v="2026-03-31T00:00:00"/>
    <m/>
  </r>
  <r>
    <n v="9"/>
    <x v="9"/>
    <s v="Handover Document Complete"/>
    <m/>
    <n v="0.05"/>
    <n v="5415"/>
    <m/>
    <m/>
    <x v="3"/>
    <n v="6370.588235294118"/>
    <m/>
    <d v="2026-03-31T00:00:00"/>
    <m/>
  </r>
  <r>
    <n v="9"/>
    <x v="9"/>
    <s v="End of Defects Period"/>
    <m/>
    <n v="0.05"/>
    <n v="5415"/>
    <m/>
    <m/>
    <x v="4"/>
    <n v="6370.588235294118"/>
    <m/>
    <d v="2026-04-2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32757.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757.9"/>
    <n v="0.1"/>
    <n v="3275.7900000000004"/>
    <m/>
    <m/>
    <x v="1"/>
    <n v="6946.105882352942"/>
    <m/>
    <d v="2026-02-19T00:00:00"/>
    <m/>
  </r>
  <r>
    <n v="10"/>
    <x v="10"/>
    <s v="Site Establishment"/>
    <m/>
    <n v="0.15"/>
    <n v="4913.6850000000004"/>
    <m/>
    <m/>
    <x v="1"/>
    <n v="10419.158823529411"/>
    <m/>
    <d v="2026-02-19T00:00:00"/>
    <m/>
  </r>
  <r>
    <n v="10"/>
    <x v="10"/>
    <s v="AC Installation Complete"/>
    <m/>
    <n v="0.2"/>
    <n v="6551.5800000000008"/>
    <m/>
    <m/>
    <x v="3"/>
    <n v="13892.211764705884"/>
    <m/>
    <d v="2026-03-09T00:00:00"/>
    <m/>
  </r>
  <r>
    <n v="10"/>
    <x v="10"/>
    <s v="DC Installation Complete"/>
    <m/>
    <n v="0.25"/>
    <n v="8189.4750000000004"/>
    <m/>
    <m/>
    <x v="3"/>
    <n v="17365.264705882353"/>
    <m/>
    <d v="2026-03-19T00:00:00"/>
    <m/>
  </r>
  <r>
    <n v="10"/>
    <x v="10"/>
    <s v="Commissioning Complete"/>
    <m/>
    <n v="0.1"/>
    <n v="3275.7900000000004"/>
    <m/>
    <m/>
    <x v="3"/>
    <n v="6946.105882352942"/>
    <m/>
    <d v="2026-03-30T00:00:00"/>
    <m/>
  </r>
  <r>
    <n v="10"/>
    <x v="10"/>
    <s v="Site De-establisment"/>
    <m/>
    <n v="0.1"/>
    <n v="3275.7900000000004"/>
    <m/>
    <m/>
    <x v="3"/>
    <n v="6946.105882352942"/>
    <m/>
    <d v="2026-03-31T00:00:00"/>
    <m/>
  </r>
  <r>
    <n v="10"/>
    <x v="10"/>
    <s v="Handover Document Complete"/>
    <m/>
    <n v="0.05"/>
    <n v="1637.8950000000002"/>
    <m/>
    <m/>
    <x v="3"/>
    <n v="3473.052941176471"/>
    <m/>
    <d v="2026-03-31T00:00:00"/>
    <m/>
  </r>
  <r>
    <n v="10"/>
    <x v="10"/>
    <s v="End of Defects Period"/>
    <m/>
    <n v="0.05"/>
    <n v="1637.8950000000002"/>
    <m/>
    <m/>
    <x v="4"/>
    <n v="3473.052941176471"/>
    <m/>
    <d v="2026-04-2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3140.528380722784"/>
    <n v="0"/>
    <d v="2026-04-06T00:00:00"/>
    <n v="100219.58"/>
  </r>
  <r>
    <n v="11"/>
    <x v="11"/>
    <s v="Structural Sign Off"/>
    <m/>
    <m/>
    <n v="10000"/>
    <m/>
    <m/>
    <x v="5"/>
    <n v="10447.647291371724"/>
    <m/>
    <d v="2026-01-31T00:00:00"/>
    <m/>
  </r>
  <r>
    <n v="11"/>
    <x v="11"/>
    <s v="Scada for CoCT"/>
    <m/>
    <m/>
    <n v="60000"/>
    <m/>
    <m/>
    <x v="1"/>
    <n v="62685.883748230335"/>
    <m/>
    <d v="2026-02-28T00:00:00"/>
    <m/>
  </r>
  <r>
    <n v="11"/>
    <x v="11"/>
    <s v="Red Team Inspection"/>
    <m/>
    <m/>
    <n v="6000"/>
    <m/>
    <m/>
    <x v="1"/>
    <n v="6268.5883748230344"/>
    <m/>
    <d v="2026-02-28T00:00:00"/>
    <m/>
  </r>
  <r>
    <n v="11"/>
    <x v="11"/>
    <s v="Roof inspection "/>
    <m/>
    <m/>
    <n v="9900"/>
    <m/>
    <s v="HappySolar Inv: 0346"/>
    <x v="5"/>
    <n v="10343.170818458006"/>
    <m/>
    <m/>
    <m/>
  </r>
  <r>
    <n v="11"/>
    <x v="11"/>
    <s v="Roof inspection "/>
    <m/>
    <m/>
    <n v="1742.08"/>
    <m/>
    <s v="Leading Edge INV0171"/>
    <x v="5"/>
    <n v="1820.0637393352849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23T00:00:00"/>
    <n v="95172.66096541447"/>
  </r>
  <r>
    <n v="13"/>
    <x v="13"/>
    <s v="Management"/>
    <m/>
    <m/>
    <n v="9600"/>
    <m/>
    <m/>
    <x v="3"/>
    <n v="10784.202907521118"/>
    <m/>
    <d v="2026-03-23T00:00:00"/>
    <m/>
  </r>
  <r>
    <n v="13"/>
    <x v="13"/>
    <s v="Project manager "/>
    <m/>
    <m/>
    <n v="32640"/>
    <m/>
    <m/>
    <x v="3"/>
    <n v="36666.289885571801"/>
    <m/>
    <d v="2026-03-23T00:00:00"/>
    <m/>
  </r>
  <r>
    <n v="13"/>
    <x v="13"/>
    <s v="Planner time"/>
    <m/>
    <m/>
    <n v="12480"/>
    <m/>
    <m/>
    <x v="3"/>
    <n v="14019.463779777452"/>
    <m/>
    <d v="2026-03-23T00:00:00"/>
    <m/>
  </r>
  <r>
    <n v="13"/>
    <x v="13"/>
    <s v="De Snagging"/>
    <m/>
    <m/>
    <n v="22437.279999999999"/>
    <m/>
    <m/>
    <x v="3"/>
    <n v="25205.018772173476"/>
    <m/>
    <d v="2026-03-23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5"/>
    <n v="617.64705882352939"/>
    <n v="0"/>
    <d v="2026-02-07T00:00:00"/>
    <n v="2100"/>
  </r>
  <r>
    <n v="14"/>
    <x v="14"/>
    <s v="Travel"/>
    <m/>
    <m/>
    <n v="525"/>
    <m/>
    <m/>
    <x v="1"/>
    <n v="617.64705882352939"/>
    <m/>
    <d v="2026-03-07T00:00:00"/>
    <m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m="1" x="7"/>
        <item m="1" x="6"/>
        <item x="2"/>
        <item m="1" x="16"/>
        <item m="1" x="13"/>
        <item x="5"/>
        <item x="1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m="1" x="7"/>
        <item m="1" x="6"/>
        <item x="2"/>
        <item m="1" x="16"/>
        <item m="1" x="13"/>
        <item x="5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4.65" thickBot="1"/>
    <row r="2" spans="2:15" ht="18">
      <c r="B2" s="636" t="s">
        <v>0</v>
      </c>
      <c r="C2" s="636"/>
      <c r="D2" s="636"/>
      <c r="E2" s="636"/>
      <c r="H2" s="637" t="s">
        <v>1</v>
      </c>
      <c r="I2" s="638"/>
      <c r="J2" s="638"/>
      <c r="K2" s="638"/>
      <c r="L2" s="638"/>
      <c r="M2" s="638"/>
      <c r="N2" s="638"/>
      <c r="O2" s="639"/>
    </row>
    <row r="3" spans="2:15">
      <c r="B3" s="616"/>
      <c r="H3" s="640"/>
      <c r="I3" s="641"/>
      <c r="J3" s="641"/>
      <c r="K3" s="641"/>
      <c r="L3" s="641"/>
      <c r="M3" s="641"/>
      <c r="N3" s="641"/>
      <c r="O3" s="642"/>
    </row>
    <row r="4" spans="2:15">
      <c r="B4" s="617" t="s">
        <v>2</v>
      </c>
      <c r="C4" s="618" t="str">
        <f>'Project Plan'!E2</f>
        <v>Steelpark</v>
      </c>
      <c r="H4" s="640"/>
      <c r="I4" s="641"/>
      <c r="J4" s="641"/>
      <c r="K4" s="641"/>
      <c r="L4" s="641"/>
      <c r="M4" s="641"/>
      <c r="N4" s="641"/>
      <c r="O4" s="642"/>
    </row>
    <row r="5" spans="2:15">
      <c r="B5" s="617" t="s">
        <v>3</v>
      </c>
      <c r="C5" s="618" t="s">
        <v>4</v>
      </c>
      <c r="H5" s="640"/>
      <c r="I5" s="641"/>
      <c r="J5" s="641"/>
      <c r="K5" s="641"/>
      <c r="L5" s="641"/>
      <c r="M5" s="641"/>
      <c r="N5" s="641"/>
      <c r="O5" s="642"/>
    </row>
    <row r="6" spans="2:15">
      <c r="B6" s="617" t="s">
        <v>5</v>
      </c>
      <c r="C6" s="618" t="s">
        <v>6</v>
      </c>
      <c r="H6" s="640"/>
      <c r="I6" s="641"/>
      <c r="J6" s="641"/>
      <c r="K6" s="641"/>
      <c r="L6" s="641"/>
      <c r="M6" s="641"/>
      <c r="N6" s="641"/>
      <c r="O6" s="642"/>
    </row>
    <row r="7" spans="2:15">
      <c r="B7" s="617" t="s">
        <v>7</v>
      </c>
      <c r="C7" s="618" t="s">
        <v>8</v>
      </c>
      <c r="H7" s="640"/>
      <c r="I7" s="641"/>
      <c r="J7" s="641"/>
      <c r="K7" s="641"/>
      <c r="L7" s="641"/>
      <c r="M7" s="641"/>
      <c r="N7" s="641"/>
      <c r="O7" s="642"/>
    </row>
    <row r="8" spans="2:15">
      <c r="B8" s="616"/>
      <c r="H8" s="640"/>
      <c r="I8" s="641"/>
      <c r="J8" s="641"/>
      <c r="K8" s="641"/>
      <c r="L8" s="641"/>
      <c r="M8" s="641"/>
      <c r="N8" s="641"/>
      <c r="O8" s="642"/>
    </row>
    <row r="9" spans="2:15">
      <c r="B9" s="646" t="s">
        <v>9</v>
      </c>
      <c r="C9" s="646"/>
      <c r="D9" s="646"/>
      <c r="E9" s="646"/>
      <c r="H9" s="640"/>
      <c r="I9" s="641"/>
      <c r="J9" s="641"/>
      <c r="K9" s="641"/>
      <c r="L9" s="641"/>
      <c r="M9" s="641"/>
      <c r="N9" s="641"/>
      <c r="O9" s="642"/>
    </row>
    <row r="10" spans="2:15" ht="14.65" thickBot="1">
      <c r="B10" s="646" t="s">
        <v>10</v>
      </c>
      <c r="C10" s="646"/>
      <c r="D10" s="646"/>
      <c r="E10" s="646"/>
      <c r="H10" s="643"/>
      <c r="I10" s="644"/>
      <c r="J10" s="644"/>
      <c r="K10" s="644"/>
      <c r="L10" s="644"/>
      <c r="M10" s="644"/>
      <c r="N10" s="644"/>
      <c r="O10" s="645"/>
    </row>
    <row r="11" spans="2:15">
      <c r="B11" s="619" t="s">
        <v>11</v>
      </c>
      <c r="C11" s="635"/>
      <c r="D11" s="635"/>
      <c r="E11" s="635"/>
    </row>
    <row r="12" spans="2:15">
      <c r="B12" s="619" t="s">
        <v>12</v>
      </c>
      <c r="C12" s="635"/>
      <c r="D12" s="635"/>
      <c r="E12" s="635"/>
    </row>
    <row r="13" spans="2:15">
      <c r="B13" s="619" t="s">
        <v>13</v>
      </c>
      <c r="C13" s="635"/>
      <c r="D13" s="635"/>
      <c r="E13" s="635"/>
    </row>
    <row r="14" spans="2:15">
      <c r="B14" s="619" t="s">
        <v>14</v>
      </c>
      <c r="C14" s="635"/>
      <c r="D14" s="635"/>
      <c r="E14" s="635"/>
    </row>
    <row r="15" spans="2:15">
      <c r="B15" s="619" t="s">
        <v>15</v>
      </c>
      <c r="C15" s="635"/>
      <c r="D15" s="635"/>
      <c r="E15" s="635"/>
    </row>
    <row r="16" spans="2:15" ht="15" customHeight="1">
      <c r="B16" s="619" t="s">
        <v>16</v>
      </c>
      <c r="C16" s="635"/>
      <c r="D16" s="635"/>
      <c r="E16" s="635"/>
    </row>
    <row r="17" spans="2:5">
      <c r="B17" s="616"/>
    </row>
    <row r="18" spans="2:5">
      <c r="B18" s="647" t="s">
        <v>17</v>
      </c>
      <c r="C18" s="647"/>
      <c r="D18" s="647"/>
      <c r="E18" s="64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4.65" thickBot="1"/>
    <row r="2" spans="2:15" ht="18">
      <c r="B2" s="636" t="s">
        <v>22</v>
      </c>
      <c r="C2" s="636"/>
      <c r="D2" s="636"/>
      <c r="E2" s="636"/>
      <c r="H2" s="637" t="s">
        <v>23</v>
      </c>
      <c r="I2" s="638"/>
      <c r="J2" s="638"/>
      <c r="K2" s="638"/>
      <c r="L2" s="638"/>
      <c r="M2" s="638"/>
      <c r="N2" s="638"/>
      <c r="O2" s="639"/>
    </row>
    <row r="3" spans="2:15">
      <c r="B3" s="616"/>
      <c r="H3" s="640"/>
      <c r="I3" s="641"/>
      <c r="J3" s="641"/>
      <c r="K3" s="641"/>
      <c r="L3" s="641"/>
      <c r="M3" s="641"/>
      <c r="N3" s="641"/>
      <c r="O3" s="642"/>
    </row>
    <row r="4" spans="2:15">
      <c r="B4" s="617" t="s">
        <v>2</v>
      </c>
      <c r="C4" s="618" t="str">
        <f>'Project Plan'!E2</f>
        <v>Steelpark</v>
      </c>
      <c r="H4" s="640"/>
      <c r="I4" s="641"/>
      <c r="J4" s="641"/>
      <c r="K4" s="641"/>
      <c r="L4" s="641"/>
      <c r="M4" s="641"/>
      <c r="N4" s="641"/>
      <c r="O4" s="642"/>
    </row>
    <row r="5" spans="2:15">
      <c r="B5" s="617" t="s">
        <v>24</v>
      </c>
      <c r="C5" s="618"/>
      <c r="H5" s="640"/>
      <c r="I5" s="641"/>
      <c r="J5" s="641"/>
      <c r="K5" s="641"/>
      <c r="L5" s="641"/>
      <c r="M5" s="641"/>
      <c r="N5" s="641"/>
      <c r="O5" s="642"/>
    </row>
    <row r="6" spans="2:15">
      <c r="B6" s="617" t="s">
        <v>5</v>
      </c>
      <c r="C6" s="618" t="s">
        <v>6</v>
      </c>
      <c r="H6" s="640"/>
      <c r="I6" s="641"/>
      <c r="J6" s="641"/>
      <c r="K6" s="641"/>
      <c r="L6" s="641"/>
      <c r="M6" s="641"/>
      <c r="N6" s="641"/>
      <c r="O6" s="642"/>
    </row>
    <row r="7" spans="2:15">
      <c r="B7" s="617" t="s">
        <v>25</v>
      </c>
      <c r="C7" s="618" t="str">
        <f>'Project Plan'!E5</f>
        <v>Justin Franke</v>
      </c>
      <c r="H7" s="640"/>
      <c r="I7" s="641"/>
      <c r="J7" s="641"/>
      <c r="K7" s="641"/>
      <c r="L7" s="641"/>
      <c r="M7" s="641"/>
      <c r="N7" s="641"/>
      <c r="O7" s="642"/>
    </row>
    <row r="8" spans="2:15">
      <c r="B8" s="617" t="s">
        <v>26</v>
      </c>
      <c r="C8" s="618"/>
      <c r="H8" s="640"/>
      <c r="I8" s="641"/>
      <c r="J8" s="641"/>
      <c r="K8" s="641"/>
      <c r="L8" s="641"/>
      <c r="M8" s="641"/>
      <c r="N8" s="641"/>
      <c r="O8" s="642"/>
    </row>
    <row r="9" spans="2:15">
      <c r="B9" s="616"/>
      <c r="H9" s="640"/>
      <c r="I9" s="641"/>
      <c r="J9" s="641"/>
      <c r="K9" s="641"/>
      <c r="L9" s="641"/>
      <c r="M9" s="641"/>
      <c r="N9" s="641"/>
      <c r="O9" s="642"/>
    </row>
    <row r="10" spans="2:15">
      <c r="B10" s="646" t="s">
        <v>9</v>
      </c>
      <c r="C10" s="646"/>
      <c r="D10" s="646"/>
      <c r="E10" s="646"/>
      <c r="H10" s="640"/>
      <c r="I10" s="641"/>
      <c r="J10" s="641"/>
      <c r="K10" s="641"/>
      <c r="L10" s="641"/>
      <c r="M10" s="641"/>
      <c r="N10" s="641"/>
      <c r="O10" s="642"/>
    </row>
    <row r="11" spans="2:15" ht="14.65" thickBot="1">
      <c r="B11" s="646" t="s">
        <v>10</v>
      </c>
      <c r="C11" s="646"/>
      <c r="D11" s="646"/>
      <c r="E11" s="646"/>
      <c r="H11" s="643"/>
      <c r="I11" s="644"/>
      <c r="J11" s="644"/>
      <c r="K11" s="644"/>
      <c r="L11" s="644"/>
      <c r="M11" s="644"/>
      <c r="N11" s="644"/>
      <c r="O11" s="645"/>
    </row>
    <row r="12" spans="2:15" ht="25.5">
      <c r="B12" s="619" t="s">
        <v>27</v>
      </c>
      <c r="C12" s="635"/>
      <c r="D12" s="635"/>
      <c r="E12" s="635"/>
    </row>
    <row r="13" spans="2:15">
      <c r="B13" s="619" t="s">
        <v>28</v>
      </c>
      <c r="C13" s="635"/>
      <c r="D13" s="635"/>
      <c r="E13" s="635"/>
    </row>
    <row r="14" spans="2:15">
      <c r="B14" s="619" t="s">
        <v>29</v>
      </c>
      <c r="C14" s="635"/>
      <c r="D14" s="635"/>
      <c r="E14" s="635"/>
    </row>
    <row r="15" spans="2:15">
      <c r="B15" s="619" t="s">
        <v>30</v>
      </c>
      <c r="C15" s="635"/>
      <c r="D15" s="635"/>
      <c r="E15" s="635"/>
    </row>
    <row r="16" spans="2:15" ht="25.5">
      <c r="B16" s="619" t="s">
        <v>31</v>
      </c>
      <c r="C16" s="635"/>
      <c r="D16" s="635"/>
      <c r="E16" s="635"/>
    </row>
    <row r="17" spans="2:5">
      <c r="B17" s="619" t="s">
        <v>32</v>
      </c>
      <c r="C17" s="635"/>
      <c r="D17" s="635"/>
      <c r="E17" s="635"/>
    </row>
    <row r="18" spans="2:5">
      <c r="B18" s="619" t="s">
        <v>33</v>
      </c>
      <c r="C18" s="635"/>
      <c r="D18" s="635"/>
      <c r="E18" s="635"/>
    </row>
    <row r="19" spans="2:5">
      <c r="B19" s="619" t="s">
        <v>34</v>
      </c>
      <c r="C19" s="635"/>
      <c r="D19" s="635"/>
      <c r="E19" s="635"/>
    </row>
    <row r="20" spans="2:5">
      <c r="B20" s="619" t="s">
        <v>35</v>
      </c>
      <c r="C20" s="635"/>
      <c r="D20" s="635"/>
      <c r="E20" s="635"/>
    </row>
    <row r="21" spans="2:5">
      <c r="B21" s="619" t="s">
        <v>36</v>
      </c>
      <c r="C21" s="635"/>
      <c r="D21" s="635"/>
      <c r="E21" s="635"/>
    </row>
    <row r="22" spans="2:5" ht="15" customHeight="1">
      <c r="B22" s="619" t="s">
        <v>16</v>
      </c>
      <c r="C22" s="635"/>
      <c r="D22" s="635"/>
      <c r="E22" s="635"/>
    </row>
    <row r="23" spans="2:5">
      <c r="B23" s="616"/>
    </row>
    <row r="24" spans="2:5">
      <c r="B24" s="647" t="s">
        <v>17</v>
      </c>
      <c r="C24" s="647"/>
      <c r="D24" s="647"/>
      <c r="E24" s="64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2578125" defaultRowHeight="14.2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50"/>
      <c r="C1" s="651"/>
      <c r="D1" s="651"/>
      <c r="E1" s="651"/>
      <c r="F1" s="648" t="s">
        <v>37</v>
      </c>
      <c r="G1" s="648"/>
      <c r="H1" s="648"/>
      <c r="I1" s="648"/>
      <c r="J1" s="648"/>
      <c r="K1" s="649"/>
      <c r="L1" s="13"/>
      <c r="M1" s="13"/>
      <c r="N1" s="13"/>
      <c r="O1" s="13"/>
    </row>
    <row r="2" spans="2:15" ht="6.75" customHeight="1"/>
    <row r="3" spans="2:15" s="623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5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221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4000</v>
      </c>
      <c r="F4" s="603"/>
      <c r="G4" s="1"/>
    </row>
    <row r="5" spans="1:7">
      <c r="A5" s="126"/>
      <c r="B5" s="603" t="s">
        <v>87</v>
      </c>
      <c r="C5" s="603" t="s">
        <v>83</v>
      </c>
      <c r="D5" s="603" t="s">
        <v>88</v>
      </c>
      <c r="E5" s="606">
        <v>2</v>
      </c>
      <c r="F5" s="603"/>
      <c r="G5" s="1"/>
    </row>
    <row r="6" spans="1:7">
      <c r="A6" s="126"/>
      <c r="B6" s="603" t="s">
        <v>89</v>
      </c>
      <c r="C6" s="603" t="s">
        <v>90</v>
      </c>
      <c r="D6" s="603"/>
      <c r="E6" s="606"/>
      <c r="F6" s="603"/>
      <c r="G6" s="1"/>
    </row>
    <row r="7" spans="1:7">
      <c r="A7" s="126"/>
      <c r="B7" s="603" t="s">
        <v>91</v>
      </c>
      <c r="C7" s="603"/>
      <c r="D7" s="603"/>
      <c r="E7" s="606"/>
      <c r="F7" s="603"/>
      <c r="G7" s="1"/>
    </row>
    <row r="8" spans="1:7">
      <c r="A8" s="126"/>
      <c r="B8" s="603" t="s">
        <v>92</v>
      </c>
      <c r="C8" s="603"/>
      <c r="D8" s="603"/>
      <c r="E8" s="606"/>
      <c r="F8" s="603"/>
      <c r="G8" s="1"/>
    </row>
    <row r="9" spans="1:7">
      <c r="A9" s="126"/>
      <c r="B9" s="603" t="s">
        <v>93</v>
      </c>
      <c r="C9" s="603"/>
      <c r="D9" s="603"/>
      <c r="E9" s="606"/>
      <c r="F9" s="603"/>
      <c r="G9" s="1"/>
    </row>
    <row r="10" spans="1:7">
      <c r="A10" s="126"/>
      <c r="B10" s="603" t="s">
        <v>94</v>
      </c>
      <c r="C10" s="603"/>
      <c r="D10" s="603"/>
      <c r="E10" s="606"/>
      <c r="F10" s="603"/>
      <c r="G10" s="1"/>
    </row>
    <row r="11" spans="1:7">
      <c r="A11" s="126"/>
      <c r="B11" s="603" t="s">
        <v>95</v>
      </c>
      <c r="C11" s="603"/>
      <c r="D11" s="603"/>
      <c r="E11" s="606"/>
      <c r="F11" s="603"/>
      <c r="G11" s="1"/>
    </row>
    <row r="12" spans="1:7">
      <c r="A12" s="126"/>
      <c r="B12" s="603" t="s">
        <v>96</v>
      </c>
      <c r="C12" s="603"/>
      <c r="D12" s="603"/>
      <c r="E12" s="606"/>
      <c r="F12" s="603"/>
      <c r="G12" s="1"/>
    </row>
    <row r="13" spans="1:7">
      <c r="A13" s="126"/>
      <c r="B13" s="603" t="s">
        <v>97</v>
      </c>
      <c r="C13" s="603"/>
      <c r="D13" s="603"/>
      <c r="E13" s="606"/>
      <c r="F13" s="603"/>
      <c r="G13" s="1"/>
    </row>
    <row r="14" spans="1:7">
      <c r="A14" s="126"/>
      <c r="B14" s="603" t="s">
        <v>98</v>
      </c>
      <c r="C14" s="603" t="s">
        <v>99</v>
      </c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 ht="13.9">
      <c r="A23" s="26"/>
      <c r="B23" s="605" t="s">
        <v>100</v>
      </c>
      <c r="C23" s="26"/>
      <c r="D23" s="26"/>
      <c r="E23" s="26"/>
      <c r="F23" s="26"/>
      <c r="G23" s="26"/>
    </row>
    <row r="24" spans="1:7">
      <c r="A24" s="26"/>
      <c r="B24" s="604" t="s">
        <v>101</v>
      </c>
      <c r="C24" s="26"/>
      <c r="D24" s="26"/>
      <c r="E24" s="26"/>
      <c r="F24" s="26"/>
    </row>
    <row r="25" spans="1:7">
      <c r="A25" s="26"/>
      <c r="B25" s="604" t="s">
        <v>102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103</v>
      </c>
      <c r="C27" s="26"/>
      <c r="D27" s="26"/>
      <c r="E27" s="26"/>
      <c r="F27" s="26"/>
    </row>
    <row r="28" spans="1:7">
      <c r="A28" s="26"/>
      <c r="B28" s="604" t="s">
        <v>90</v>
      </c>
      <c r="C28" s="26"/>
      <c r="D28" s="26"/>
      <c r="E28" s="26"/>
      <c r="F28" s="26"/>
    </row>
    <row r="29" spans="1:7">
      <c r="A29" s="26"/>
      <c r="B29" s="604" t="s">
        <v>99</v>
      </c>
      <c r="C29" s="26"/>
      <c r="D29" s="26"/>
      <c r="E29" s="26"/>
      <c r="F29" s="26"/>
    </row>
    <row r="30" spans="1:7">
      <c r="A30" s="26"/>
      <c r="B30" s="604" t="s">
        <v>104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2578125" defaultRowHeight="14.2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4.65" thickBot="1"/>
    <row r="2" spans="2:10" ht="15" thickTop="1" thickBot="1">
      <c r="B2" s="652" t="s">
        <v>105</v>
      </c>
      <c r="C2" s="653"/>
      <c r="D2" s="653"/>
      <c r="E2" s="653"/>
      <c r="F2" s="654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52" t="s">
        <v>114</v>
      </c>
      <c r="C16" s="653"/>
      <c r="D16" s="653"/>
      <c r="E16" s="653"/>
      <c r="F16" s="654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40" zoomScaleNormal="100" workbookViewId="0">
      <selection activeCell="C7" sqref="C7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46052</v>
      </c>
      <c r="O1" s="305">
        <f ca="1">TODAY()</f>
        <v>46052</v>
      </c>
      <c r="Q1" s="1"/>
    </row>
    <row r="2" spans="2:28" ht="15" customHeight="1" thickBot="1">
      <c r="B2" s="88"/>
      <c r="C2" s="89" t="s">
        <v>117</v>
      </c>
      <c r="D2" s="90"/>
      <c r="E2" s="567" t="s">
        <v>118</v>
      </c>
      <c r="F2" s="568"/>
      <c r="G2" s="568"/>
      <c r="H2" s="569"/>
      <c r="I2" s="655" t="s">
        <v>119</v>
      </c>
      <c r="J2" s="656"/>
      <c r="K2" s="588">
        <f>NETWORKDAYS(I18,K39,Data!C3:C60)</f>
        <v>23</v>
      </c>
      <c r="N2" s="306">
        <v>0</v>
      </c>
      <c r="O2" s="306">
        <v>1</v>
      </c>
    </row>
    <row r="3" spans="2:28" s="26" customFormat="1" ht="14.25" thickBot="1">
      <c r="B3" s="91"/>
      <c r="C3" s="92" t="s">
        <v>120</v>
      </c>
      <c r="D3" s="90"/>
      <c r="E3" s="312">
        <v>130</v>
      </c>
      <c r="F3" s="93"/>
      <c r="G3" s="94"/>
      <c r="H3" s="94"/>
      <c r="I3" s="655" t="s">
        <v>121</v>
      </c>
      <c r="J3" s="656"/>
      <c r="K3" s="588">
        <f>K2/5</f>
        <v>4.5999999999999996</v>
      </c>
      <c r="Q3" s="1"/>
    </row>
    <row r="4" spans="2:28" s="26" customFormat="1" ht="14.25" thickBot="1">
      <c r="B4" s="91"/>
      <c r="C4" s="92" t="s">
        <v>122</v>
      </c>
      <c r="D4" s="90"/>
      <c r="E4" s="566" t="s">
        <v>8</v>
      </c>
      <c r="F4" s="94"/>
      <c r="G4" s="94"/>
      <c r="H4" s="94"/>
      <c r="I4" s="655" t="s">
        <v>123</v>
      </c>
      <c r="J4" s="656"/>
      <c r="K4" s="589">
        <f>E3/K3</f>
        <v>28.260869565217394</v>
      </c>
      <c r="Q4" s="1"/>
    </row>
    <row r="5" spans="2:28" s="26" customFormat="1" ht="13.9">
      <c r="B5" s="91"/>
      <c r="C5" s="92" t="s">
        <v>124</v>
      </c>
      <c r="D5" s="90"/>
      <c r="E5" s="566" t="s">
        <v>125</v>
      </c>
      <c r="F5" s="94"/>
      <c r="G5" s="94"/>
      <c r="H5" s="94"/>
      <c r="Q5" s="1"/>
    </row>
    <row r="6" spans="2:28" ht="13.9">
      <c r="B6" s="95"/>
      <c r="C6" s="96" t="s">
        <v>126</v>
      </c>
      <c r="D6" s="90"/>
      <c r="E6" s="545">
        <v>1441230.4772331575</v>
      </c>
      <c r="F6" s="570"/>
      <c r="G6" s="570"/>
      <c r="H6" s="571"/>
    </row>
    <row r="7" spans="2:28" s="26" customFormat="1" ht="13.9">
      <c r="B7" s="79"/>
      <c r="C7" s="630" t="s">
        <v>127</v>
      </c>
      <c r="E7" s="631" t="s">
        <v>128</v>
      </c>
      <c r="F7" s="80"/>
      <c r="G7" s="97"/>
      <c r="J7" s="27"/>
      <c r="Q7" s="1"/>
    </row>
    <row r="8" spans="2:28" ht="30" customHeight="1">
      <c r="B8" s="659" t="s">
        <v>129</v>
      </c>
      <c r="C8" s="660" t="s">
        <v>130</v>
      </c>
      <c r="D8" s="126"/>
      <c r="E8" s="661" t="s">
        <v>131</v>
      </c>
      <c r="F8" s="148" t="s">
        <v>132</v>
      </c>
      <c r="G8" s="661" t="s">
        <v>133</v>
      </c>
      <c r="H8" s="149"/>
      <c r="I8" s="661" t="s">
        <v>134</v>
      </c>
      <c r="J8" s="148" t="s">
        <v>132</v>
      </c>
      <c r="K8" s="661" t="s">
        <v>135</v>
      </c>
      <c r="M8" s="585" t="s">
        <v>44</v>
      </c>
      <c r="N8" s="586" t="s">
        <v>136</v>
      </c>
      <c r="O8" s="657" t="s">
        <v>137</v>
      </c>
      <c r="Z8" s="26"/>
      <c r="AA8" s="26"/>
      <c r="AB8" s="26"/>
    </row>
    <row r="9" spans="2:28" ht="13.9">
      <c r="B9" s="659"/>
      <c r="C9" s="660"/>
      <c r="D9" s="126"/>
      <c r="E9" s="661"/>
      <c r="F9" s="40">
        <f>G39-E19</f>
        <v>32</v>
      </c>
      <c r="G9" s="661"/>
      <c r="H9" s="149"/>
      <c r="I9" s="661"/>
      <c r="J9" s="41">
        <f>K39-I19</f>
        <v>32</v>
      </c>
      <c r="K9" s="661"/>
      <c r="M9" s="265">
        <f>AVERAGE(M11,M18,M21,M28,M35,M39,M48,M44)</f>
        <v>3.6764705882352941E-3</v>
      </c>
      <c r="N9" s="265">
        <f ca="1">AVERAGE(N11,N18,N21,N28,N35,N39,N48,N44)</f>
        <v>0.11973917098044057</v>
      </c>
      <c r="O9" s="658"/>
      <c r="S9" s="587">
        <f ca="1">TODAY()</f>
        <v>46052</v>
      </c>
      <c r="T9" s="587">
        <f ca="1">TODAY()</f>
        <v>46052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138</v>
      </c>
      <c r="D11" s="130"/>
      <c r="E11" s="572">
        <f>MIN(E12:E17)</f>
        <v>45986</v>
      </c>
      <c r="F11" s="573">
        <f>G11-E11</f>
        <v>85</v>
      </c>
      <c r="G11" s="572">
        <f>MAX(G12:G17)</f>
        <v>46071</v>
      </c>
      <c r="H11" s="574"/>
      <c r="I11" s="572">
        <f>MIN(I12:I17)</f>
        <v>45986</v>
      </c>
      <c r="J11" s="573">
        <f>K11-I11</f>
        <v>85</v>
      </c>
      <c r="K11" s="572">
        <f>MAX(K12:K17)</f>
        <v>46071</v>
      </c>
      <c r="L11" s="575"/>
      <c r="M11" s="576">
        <f>(J12*M12+J13*M13+J14*M14+J15*M15+J16*M16)/SUM(J12:J16)</f>
        <v>2.9411764705882353E-2</v>
      </c>
      <c r="N11" s="576">
        <f ca="1">(K12*N12+K13*N13+K14*N14+K15*N15+K16*N16)/SUM(K12:K16)</f>
        <v>0.75054009595412363</v>
      </c>
      <c r="O11" s="33"/>
      <c r="P11" s="26"/>
      <c r="Q11" s="34"/>
    </row>
    <row r="12" spans="2:28" s="26" customFormat="1" ht="13.9">
      <c r="B12" s="157" t="s">
        <v>139</v>
      </c>
      <c r="C12" s="158" t="s">
        <v>140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141</v>
      </c>
      <c r="T12" s="538" t="s">
        <v>142</v>
      </c>
      <c r="U12" s="538" t="s">
        <v>132</v>
      </c>
      <c r="V12" s="538" t="s">
        <v>143</v>
      </c>
    </row>
    <row r="13" spans="2:28" s="26" customFormat="1">
      <c r="B13" s="157" t="s">
        <v>144</v>
      </c>
      <c r="C13" s="158" t="s">
        <v>145</v>
      </c>
      <c r="D13" s="126"/>
      <c r="E13" s="577">
        <f>WORKDAY.INTL(G12,0,1,Data!$C$3:$C$60)+7</f>
        <v>45994</v>
      </c>
      <c r="F13" s="578">
        <v>30</v>
      </c>
      <c r="G13" s="577">
        <f>WORKDAY.INTL(E13,F13,1,Data!$C$3:$C$60)</f>
        <v>46071</v>
      </c>
      <c r="H13" s="579"/>
      <c r="I13" s="577">
        <f>WORKDAY.INTL(K12,0,1,Data!$C$3:$C$60)+7</f>
        <v>45994</v>
      </c>
      <c r="J13" s="578">
        <v>30</v>
      </c>
      <c r="K13" s="577">
        <f>WORKDAY.INTL(I13,J13,1,Data!$C$3:$C$60)</f>
        <v>46071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0.75324675324675328</v>
      </c>
      <c r="O13" s="36"/>
      <c r="Q13" s="1"/>
      <c r="S13" s="537" t="str">
        <f>C11</f>
        <v>Project Initiation</v>
      </c>
      <c r="T13" s="539">
        <f>I11</f>
        <v>45986</v>
      </c>
      <c r="U13" s="540">
        <f>J11</f>
        <v>85</v>
      </c>
      <c r="V13" s="539">
        <f>K11</f>
        <v>46071</v>
      </c>
    </row>
    <row r="14" spans="2:28" s="26" customFormat="1">
      <c r="B14" s="157" t="s">
        <v>146</v>
      </c>
      <c r="C14" s="158" t="s">
        <v>147</v>
      </c>
      <c r="D14" s="126"/>
      <c r="E14" s="577">
        <f>WORKDAY.INTL(G13,0,1,Data!$C$3:$C$60)-14</f>
        <v>46057</v>
      </c>
      <c r="F14" s="578">
        <v>1</v>
      </c>
      <c r="G14" s="577">
        <f>WORKDAY.INTL(E14,F14,1,Data!$C$3:$C$60)</f>
        <v>46058</v>
      </c>
      <c r="H14" s="579"/>
      <c r="I14" s="577">
        <f>WORKDAY.INTL(K13,0,1,Data!$C$3:$C$60)-14</f>
        <v>46057</v>
      </c>
      <c r="J14" s="578">
        <v>1</v>
      </c>
      <c r="K14" s="577">
        <f>WORKDAY.INTL(I14,J14,1,Data!$C$3:$C$60)</f>
        <v>46058</v>
      </c>
      <c r="L14" s="77"/>
      <c r="M14" s="580">
        <v>0</v>
      </c>
      <c r="N14" s="580">
        <f t="shared" ref="N14:N16" ca="1" si="0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7" t="str">
        <f>C18</f>
        <v>Site Establishment</v>
      </c>
      <c r="T14" s="539">
        <f>I18</f>
        <v>46072</v>
      </c>
      <c r="U14" s="540">
        <f>J18</f>
        <v>1</v>
      </c>
      <c r="V14" s="539">
        <f>K18</f>
        <v>46073</v>
      </c>
    </row>
    <row r="15" spans="2:28" s="26" customFormat="1">
      <c r="B15" s="157" t="s">
        <v>148</v>
      </c>
      <c r="C15" s="158" t="s">
        <v>149</v>
      </c>
      <c r="D15" s="126"/>
      <c r="E15" s="577">
        <f>WORKDAY.INTL(G14,0,1,Data!$C$3:$C$60)-14</f>
        <v>46044</v>
      </c>
      <c r="F15" s="578">
        <v>1</v>
      </c>
      <c r="G15" s="577">
        <f>WORKDAY.INTL(E15,F15,1,Data!$C$3:$C$60)</f>
        <v>46045</v>
      </c>
      <c r="H15" s="579"/>
      <c r="I15" s="577">
        <f>WORKDAY.INTL(K14,0,1,Data!$C$3:$C$60)-14</f>
        <v>46044</v>
      </c>
      <c r="J15" s="578">
        <v>1</v>
      </c>
      <c r="K15" s="577">
        <f>WORKDAY.INTL(I15,J15,1,Data!$C$3:$C$60)</f>
        <v>46045</v>
      </c>
      <c r="L15" s="77"/>
      <c r="M15" s="580">
        <v>0</v>
      </c>
      <c r="N15" s="580">
        <f t="shared" ca="1" si="0"/>
        <v>1</v>
      </c>
      <c r="O15" s="36"/>
      <c r="Q15" s="1"/>
      <c r="S15" s="537" t="str">
        <f>C21</f>
        <v>AC Installation</v>
      </c>
      <c r="T15" s="539">
        <f>I21</f>
        <v>46043</v>
      </c>
      <c r="U15" s="540">
        <f>J21</f>
        <v>40</v>
      </c>
      <c r="V15" s="539">
        <f>K21</f>
        <v>46083</v>
      </c>
    </row>
    <row r="16" spans="2:28" s="26" customFormat="1">
      <c r="B16" s="157" t="s">
        <v>150</v>
      </c>
      <c r="C16" s="158" t="s">
        <v>151</v>
      </c>
      <c r="D16" s="126"/>
      <c r="E16" s="577">
        <f>WORKDAY.INTL(E15,0,1,Data!$C$3:$C$60)-4</f>
        <v>46040</v>
      </c>
      <c r="F16" s="578">
        <v>1</v>
      </c>
      <c r="G16" s="577">
        <f>WORKDAY.INTL(E16,F16,1,Data!$C$3:$C$60)</f>
        <v>46041</v>
      </c>
      <c r="H16" s="579"/>
      <c r="I16" s="577">
        <f>WORKDAY.INTL(I15,0,1,Data!$C$3:$C$60)-4</f>
        <v>46040</v>
      </c>
      <c r="J16" s="578">
        <v>1</v>
      </c>
      <c r="K16" s="577">
        <f>WORKDAY.INTL(I16,J16,1,Data!$C$3:$C$60)</f>
        <v>46041</v>
      </c>
      <c r="L16" s="77"/>
      <c r="M16" s="580">
        <v>0</v>
      </c>
      <c r="N16" s="580">
        <f t="shared" ca="1" si="0"/>
        <v>1</v>
      </c>
      <c r="O16" s="36"/>
      <c r="Q16" s="1"/>
      <c r="S16" s="537" t="str">
        <f>C28</f>
        <v>DC Works</v>
      </c>
      <c r="T16" s="539">
        <f>I28</f>
        <v>46072</v>
      </c>
      <c r="U16" s="540">
        <f>J28</f>
        <v>21</v>
      </c>
      <c r="V16" s="539">
        <f>K28</f>
        <v>46093</v>
      </c>
    </row>
    <row r="17" spans="2:28" s="26" customFormat="1">
      <c r="B17" s="150"/>
      <c r="C17" s="126"/>
      <c r="D17" s="126"/>
      <c r="E17" s="581"/>
      <c r="F17" s="581"/>
      <c r="G17" s="581"/>
      <c r="H17" s="579"/>
      <c r="I17" s="581"/>
      <c r="J17" s="581"/>
      <c r="K17" s="581"/>
      <c r="L17" s="77"/>
      <c r="M17" s="77"/>
      <c r="N17" s="77"/>
      <c r="Q17" s="1"/>
      <c r="S17" s="537" t="str">
        <f>C35</f>
        <v>Module installation</v>
      </c>
      <c r="T17" s="539">
        <f>I35</f>
        <v>46072</v>
      </c>
      <c r="U17" s="540">
        <f>J35</f>
        <v>19</v>
      </c>
      <c r="V17" s="539">
        <f>K35</f>
        <v>46091</v>
      </c>
    </row>
    <row r="18" spans="2:28" s="28" customFormat="1" ht="13.9">
      <c r="B18" s="155">
        <v>2</v>
      </c>
      <c r="C18" s="156" t="s">
        <v>152</v>
      </c>
      <c r="D18" s="130"/>
      <c r="E18" s="572">
        <f>MIN(E19:E20)</f>
        <v>46072</v>
      </c>
      <c r="F18" s="573">
        <f>G18-E18</f>
        <v>1</v>
      </c>
      <c r="G18" s="572">
        <f>MAX(G19:G20)</f>
        <v>46073</v>
      </c>
      <c r="H18" s="574"/>
      <c r="I18" s="572">
        <f>MIN(I19:I20)</f>
        <v>46072</v>
      </c>
      <c r="J18" s="573">
        <f>K18-I18</f>
        <v>1</v>
      </c>
      <c r="K18" s="572">
        <f>MAX(K19:K20)</f>
        <v>46073</v>
      </c>
      <c r="L18" s="575"/>
      <c r="M18" s="576">
        <f>(J19*M19)/J18</f>
        <v>0</v>
      </c>
      <c r="N18" s="576">
        <f ca="1">(K19*N19)/K18</f>
        <v>0</v>
      </c>
      <c r="O18" s="33"/>
      <c r="P18" s="26"/>
      <c r="Q18" s="37"/>
      <c r="R18" s="32"/>
      <c r="S18" s="537" t="str">
        <f>C39</f>
        <v>Commissioning</v>
      </c>
      <c r="T18" s="539">
        <f>I39</f>
        <v>46093</v>
      </c>
      <c r="U18" s="540">
        <f>J39</f>
        <v>11</v>
      </c>
      <c r="V18" s="539">
        <f>K39</f>
        <v>46104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153</v>
      </c>
      <c r="C19" s="158" t="s">
        <v>154</v>
      </c>
      <c r="D19" s="126"/>
      <c r="E19" s="577">
        <f>WORKDAY.INTL(G14,0,1,Data!$C$3:$C$60)+14</f>
        <v>46072</v>
      </c>
      <c r="F19" s="578">
        <v>1</v>
      </c>
      <c r="G19" s="577">
        <f>E19+F19</f>
        <v>46073</v>
      </c>
      <c r="H19" s="579"/>
      <c r="I19" s="577">
        <f>WORKDAY.INTL(K14,0,1,Data!$C$3:$C$60)+14</f>
        <v>46072</v>
      </c>
      <c r="J19" s="578">
        <v>1</v>
      </c>
      <c r="K19" s="577">
        <f>I19+J19</f>
        <v>46073</v>
      </c>
      <c r="L19" s="77"/>
      <c r="M19" s="580">
        <v>0</v>
      </c>
      <c r="N19" s="580">
        <f ca="1">_xlfn.LET(
  _xlpm.s,VALUE($I19),
  _xlpm.e,VALUE($K19),
  IF(OR(_xlpm.s="",_xlpm.e=""),"", IF(_xlpm.e&lt;=_xlpm.s, IF(TODAY()&gt;=_xlpm.e,1,0), MAX(0,MIN(1,(TODAY()-_xlpm.s)/(_xlpm.e-_xlpm.s)))))
)</f>
        <v>0</v>
      </c>
      <c r="O19" s="36"/>
      <c r="Q19" s="38"/>
      <c r="R19" s="35"/>
      <c r="S19" s="537" t="str">
        <f>C44</f>
        <v>QA Inspections</v>
      </c>
      <c r="T19" s="539">
        <f>I44</f>
        <v>46097</v>
      </c>
      <c r="U19" s="540">
        <f>J44</f>
        <v>8</v>
      </c>
      <c r="V19" s="539">
        <f>K44</f>
        <v>46105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1"/>
      <c r="F20" s="581"/>
      <c r="G20" s="581"/>
      <c r="H20" s="579"/>
      <c r="I20" s="581"/>
      <c r="J20" s="581"/>
      <c r="K20" s="581"/>
      <c r="L20" s="77"/>
      <c r="M20" s="77"/>
      <c r="N20" s="77"/>
      <c r="Q20" s="1"/>
      <c r="S20" s="537" t="str">
        <f>C48</f>
        <v>Project Closure</v>
      </c>
      <c r="T20" s="539">
        <f>I48</f>
        <v>46100</v>
      </c>
      <c r="U20" s="540">
        <f>J48</f>
        <v>20</v>
      </c>
      <c r="V20" s="539">
        <f>K48</f>
        <v>46120</v>
      </c>
    </row>
    <row r="21" spans="2:28" s="28" customFormat="1" ht="13.9">
      <c r="B21" s="155">
        <v>3</v>
      </c>
      <c r="C21" s="156" t="s">
        <v>155</v>
      </c>
      <c r="D21" s="130"/>
      <c r="E21" s="572">
        <f>MIN(E22:E27)</f>
        <v>46043</v>
      </c>
      <c r="F21" s="573">
        <f>G21-E21</f>
        <v>40</v>
      </c>
      <c r="G21" s="572">
        <f>MAX(G22:G27)</f>
        <v>46083</v>
      </c>
      <c r="H21" s="582"/>
      <c r="I21" s="572">
        <f>MIN(I22:I27)</f>
        <v>46043</v>
      </c>
      <c r="J21" s="573">
        <f>K21-I21</f>
        <v>40</v>
      </c>
      <c r="K21" s="572">
        <f>MAX(K22:K27)</f>
        <v>46083</v>
      </c>
      <c r="L21" s="575"/>
      <c r="M21" s="576">
        <f>(J22*M22+J23*M23+J24*M24+J25*M25+J26*M26)/SUM(J22:J26)</f>
        <v>0</v>
      </c>
      <c r="N21" s="576">
        <f ca="1">(J22*N22+J23*N23+J24*N24+J25*N25+J26*N26)/SUM(J22:J26)</f>
        <v>0.20737327188940091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156</v>
      </c>
      <c r="C22" s="158" t="s">
        <v>157</v>
      </c>
      <c r="D22" s="126"/>
      <c r="E22" s="577">
        <f>WORKDAY.INTL(G19,0,1,Data!$C$3:$C$60)</f>
        <v>46073</v>
      </c>
      <c r="F22" s="578">
        <v>1</v>
      </c>
      <c r="G22" s="577">
        <f>WORKDAY.INTL(E22,F22,1,Data!$C$3:$C$60)</f>
        <v>46076</v>
      </c>
      <c r="H22" s="579"/>
      <c r="I22" s="577">
        <f>WORKDAY.INTL(K19,0,1,Data!$C$3:$C$60)</f>
        <v>46073</v>
      </c>
      <c r="J22" s="578">
        <v>1</v>
      </c>
      <c r="K22" s="577">
        <f>WORKDAY.INTL(I22,J22,1,Data!$C$3:$C$60)</f>
        <v>46076</v>
      </c>
      <c r="L22" s="77"/>
      <c r="M22" s="580">
        <v>0</v>
      </c>
      <c r="N22" s="580">
        <f t="shared" ref="N22:N26" ca="1" si="1">_xlfn.LET(
  _xlpm.s,VALUE($I22),
  _xlpm.e,VALUE($K22),
  IF(OR(_xlpm.s="",_xlpm.e=""),"", IF(_xlpm.e&lt;=_xlpm.s, IF(TODAY()&gt;=_xlpm.e,1,0), MAX(0,MIN(1,(TODAY()-_xlpm.s)/(_xlpm.e-_xlpm.s)))))
)</f>
        <v>0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158</v>
      </c>
      <c r="C23" s="158" t="s">
        <v>159</v>
      </c>
      <c r="D23" s="126"/>
      <c r="E23" s="577">
        <f>WORKDAY.INTL(G22,0,1,Data!$C$3:$C$60)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WORKDAY.INTL(K22,0,1,Data!$C$3:$C$60)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160</v>
      </c>
      <c r="C24" s="158" t="s">
        <v>161</v>
      </c>
      <c r="D24" s="126"/>
      <c r="E24" s="577">
        <f>WORKDAY.INTL(E14,0,1,Data!$C$3:$C$60)-14</f>
        <v>46043</v>
      </c>
      <c r="F24" s="578">
        <v>25</v>
      </c>
      <c r="G24" s="577">
        <f>WORKDAY.INTL(E24,F24,1,Data!$C$3:$C$60)</f>
        <v>46078</v>
      </c>
      <c r="H24" s="579"/>
      <c r="I24" s="577">
        <f>WORKDAY.INTL(I14,0,1,Data!$C$3:$C$60)-14</f>
        <v>46043</v>
      </c>
      <c r="J24" s="578">
        <v>25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0.25714285714285712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162</v>
      </c>
      <c r="C25" s="158" t="s">
        <v>163</v>
      </c>
      <c r="D25" s="126"/>
      <c r="E25" s="577">
        <f>WORKDAY.INTL(G24,0,1,Data!$C$3:$C$60)</f>
        <v>46078</v>
      </c>
      <c r="F25" s="578">
        <v>3</v>
      </c>
      <c r="G25" s="577">
        <f>WORKDAY.INTL(E25,F25,1,Data!$C$3:$C$60)</f>
        <v>46083</v>
      </c>
      <c r="H25" s="579"/>
      <c r="I25" s="577">
        <f>WORKDAY.INTL(K24,0,1,Data!$C$3:$C$60)</f>
        <v>46078</v>
      </c>
      <c r="J25" s="578">
        <v>3</v>
      </c>
      <c r="K25" s="577">
        <f>WORKDAY.INTL(I25,J25,1,Data!$C$3:$C$60)</f>
        <v>46083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164</v>
      </c>
      <c r="C26" s="158" t="s">
        <v>165</v>
      </c>
      <c r="D26" s="126"/>
      <c r="E26" s="577">
        <f>WORKDAY.INTL(E25,0,1,Data!$C$3:$C$60)</f>
        <v>46078</v>
      </c>
      <c r="F26" s="578">
        <v>1</v>
      </c>
      <c r="G26" s="577">
        <f>WORKDAY.INTL(E26,F26,1,Data!$C$3:$C$60)</f>
        <v>46079</v>
      </c>
      <c r="H26" s="579"/>
      <c r="I26" s="577">
        <f>WORKDAY.INTL(I25,0,1,Data!$C$3:$C$60)</f>
        <v>46078</v>
      </c>
      <c r="J26" s="578">
        <v>1</v>
      </c>
      <c r="K26" s="577">
        <f>WORKDAY.INTL(I26,J26,1,Data!$C$3:$C$60)</f>
        <v>46079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1"/>
      <c r="F27" s="581"/>
      <c r="G27" s="581"/>
      <c r="H27" s="579"/>
      <c r="I27" s="581"/>
      <c r="J27" s="581"/>
      <c r="K27" s="581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166</v>
      </c>
      <c r="D28" s="130"/>
      <c r="E28" s="572">
        <f>MIN(E30:E34)</f>
        <v>46072</v>
      </c>
      <c r="F28" s="573">
        <f>G28-E28</f>
        <v>21</v>
      </c>
      <c r="G28" s="572">
        <f>MAX(G30:G34)</f>
        <v>46093</v>
      </c>
      <c r="H28" s="582"/>
      <c r="I28" s="572">
        <f>MIN(I30:I34)</f>
        <v>46072</v>
      </c>
      <c r="J28" s="573">
        <f>K28-I28</f>
        <v>21</v>
      </c>
      <c r="K28" s="572">
        <f>MAX(K30:K34)</f>
        <v>46093</v>
      </c>
      <c r="L28" s="575"/>
      <c r="M28" s="576">
        <f>(J30*M30+J31*M31+J33*M33)/SUM(J30:J33)</f>
        <v>0</v>
      </c>
      <c r="N28" s="576">
        <f ca="1">(K30*N30+K31*N31+K33*N33)/SUM(K30:K33)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7"/>
      <c r="F29" s="578"/>
      <c r="G29" s="577"/>
      <c r="H29" s="579"/>
      <c r="I29" s="577"/>
      <c r="J29" s="578"/>
      <c r="K29" s="577"/>
      <c r="L29" s="77"/>
      <c r="M29" s="580"/>
      <c r="N29" s="580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167</v>
      </c>
      <c r="C30" s="158" t="s">
        <v>168</v>
      </c>
      <c r="D30" s="126"/>
      <c r="E30" s="577">
        <f>E19</f>
        <v>46072</v>
      </c>
      <c r="F30" s="578">
        <v>1</v>
      </c>
      <c r="G30" s="577">
        <f>WORKDAY.INTL(E30,F30,1,Data!$C$3:$C$60)</f>
        <v>46073</v>
      </c>
      <c r="H30" s="579"/>
      <c r="I30" s="577">
        <f>I19</f>
        <v>46072</v>
      </c>
      <c r="J30" s="578">
        <v>1</v>
      </c>
      <c r="K30" s="577">
        <f>WORKDAY.INTL(I30,J30,1,Data!$C$3:$C$60)</f>
        <v>46073</v>
      </c>
      <c r="L30" s="77"/>
      <c r="M30" s="580">
        <v>0</v>
      </c>
      <c r="N30" s="580">
        <f t="shared" ref="N30:N33" ca="1" si="2">_xlfn.LET(
  _xlpm.s,VALUE($I30),
  _xlpm.e,VALUE($K30),
  IF(OR(_xlpm.s="",_xlpm.e=""),"", IF(_xlpm.e&lt;=_xlpm.s, IF(TODAY()&gt;=_xlpm.e,1,0), MAX(0,MIN(1,(TODAY()-_xlpm.s)/(_xlpm.e-_xlpm.s)))))
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169</v>
      </c>
      <c r="C31" s="158" t="s">
        <v>170</v>
      </c>
      <c r="D31" s="126"/>
      <c r="E31" s="577">
        <f>WORKDAY.INTL(G30,0,1,Data!$C$3:$C$60)</f>
        <v>46073</v>
      </c>
      <c r="F31" s="578">
        <v>3</v>
      </c>
      <c r="G31" s="577">
        <f>WORKDAY.INTL(E31,F31,1,Data!$C$3:$C$60)</f>
        <v>46078</v>
      </c>
      <c r="H31" s="579"/>
      <c r="I31" s="577">
        <f>WORKDAY.INTL(K30,0,1,Data!$C$3:$C$60)</f>
        <v>46073</v>
      </c>
      <c r="J31" s="578">
        <v>3</v>
      </c>
      <c r="K31" s="577">
        <f>WORKDAY.INTL(I31,J31,1,Data!$C$3:$C$60)</f>
        <v>46078</v>
      </c>
      <c r="L31" s="77"/>
      <c r="M31" s="580">
        <v>0</v>
      </c>
      <c r="N31" s="580">
        <f t="shared" ca="1" si="2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171</v>
      </c>
      <c r="C32" s="158" t="s">
        <v>172</v>
      </c>
      <c r="D32" s="126"/>
      <c r="E32" s="577">
        <f>E30</f>
        <v>46072</v>
      </c>
      <c r="F32" s="578">
        <v>1</v>
      </c>
      <c r="G32" s="577">
        <f>WORKDAY.INTL(E32,F32,1,Data!$C$3:$C$60)</f>
        <v>46073</v>
      </c>
      <c r="H32" s="579"/>
      <c r="I32" s="577">
        <f>I30</f>
        <v>46072</v>
      </c>
      <c r="J32" s="578">
        <v>1</v>
      </c>
      <c r="K32" s="577">
        <f>WORKDAY.INTL(I32,J32,1,Data!$C$3:$C$60)</f>
        <v>46073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173</v>
      </c>
      <c r="C33" s="154" t="s">
        <v>174</v>
      </c>
      <c r="D33" s="126"/>
      <c r="E33" s="583">
        <f>WORKDAY.INTL(G37,0,1,Data!$C$3:$C$60)-3</f>
        <v>46088</v>
      </c>
      <c r="F33" s="578">
        <v>4</v>
      </c>
      <c r="G33" s="583">
        <f>WORKDAY.INTL(E33,F33,1,Data!$C$3:$C$60)</f>
        <v>46093</v>
      </c>
      <c r="H33" s="579"/>
      <c r="I33" s="583">
        <f>WORKDAY.INTL(K37,0,1,Data!$C$3:$C$60)-3</f>
        <v>46088</v>
      </c>
      <c r="J33" s="578">
        <v>4</v>
      </c>
      <c r="K33" s="583">
        <f>WORKDAY.INTL(I33,J33,1,Data!$C$3:$C$60)</f>
        <v>46093</v>
      </c>
      <c r="L33" s="77"/>
      <c r="M33" s="580">
        <v>0</v>
      </c>
      <c r="N33" s="580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1"/>
      <c r="F34" s="581"/>
      <c r="G34" s="581"/>
      <c r="H34" s="579"/>
      <c r="I34" s="581"/>
      <c r="J34" s="581"/>
      <c r="K34" s="581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175</v>
      </c>
      <c r="D35" s="130"/>
      <c r="E35" s="572">
        <f>MIN(E36:E38)</f>
        <v>46072</v>
      </c>
      <c r="F35" s="573">
        <f>G35-E35</f>
        <v>19</v>
      </c>
      <c r="G35" s="572">
        <f>MAX(G36:G38)</f>
        <v>46091</v>
      </c>
      <c r="H35" s="574"/>
      <c r="I35" s="572">
        <f>MIN(I36:I38)</f>
        <v>46072</v>
      </c>
      <c r="J35" s="573">
        <f>K35-I35</f>
        <v>19</v>
      </c>
      <c r="K35" s="572">
        <f>MAX(K36:K38)</f>
        <v>46091</v>
      </c>
      <c r="L35" s="575"/>
      <c r="M35" s="576">
        <f>(J36*M36+J37*M37)/SUM(J36:J37)</f>
        <v>0</v>
      </c>
      <c r="N35" s="576">
        <f ca="1">(K36*N36+K37*N37)/SUM(K36:K37)</f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176</v>
      </c>
      <c r="C36" s="158" t="s">
        <v>177</v>
      </c>
      <c r="D36" s="126"/>
      <c r="E36" s="583">
        <f>WORKDAY.INTL(E19,0,1,Data!$C$3:$C$60)</f>
        <v>46072</v>
      </c>
      <c r="F36" s="578">
        <v>1</v>
      </c>
      <c r="G36" s="577">
        <f>WORKDAY.INTL(E36,F36,1,Data!$C$3:$C$60)</f>
        <v>46073</v>
      </c>
      <c r="H36" s="579"/>
      <c r="I36" s="583">
        <f>WORKDAY.INTL(I19,0,1,Data!$C$3:$C$60)</f>
        <v>46072</v>
      </c>
      <c r="J36" s="578">
        <v>1</v>
      </c>
      <c r="K36" s="577">
        <f>WORKDAY.INTL(I36,J36,1,Data!$C$3:$C$60)</f>
        <v>46073</v>
      </c>
      <c r="L36" s="77"/>
      <c r="M36" s="580">
        <v>0</v>
      </c>
      <c r="N36" s="580">
        <f t="shared" ref="N36:N37" ca="1" si="3">_xlfn.LET(
  _xlpm.s,VALUE($I36),
  _xlpm.e,VALUE($K36),
  IF(OR(_xlpm.s="",_xlpm.e=""),"", IF(_xlpm.e&lt;=_xlpm.s, IF(TODAY()&gt;=_xlpm.e,1,0), MAX(0,MIN(1,(TODAY()-_xlpm.s)/(_xlpm.e-_xlpm.s)))))
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178</v>
      </c>
      <c r="C37" s="158" t="s">
        <v>179</v>
      </c>
      <c r="D37" s="126"/>
      <c r="E37" s="583">
        <f>G31</f>
        <v>46078</v>
      </c>
      <c r="F37" s="578">
        <v>9</v>
      </c>
      <c r="G37" s="577">
        <f>WORKDAY.INTL(E37,F37,1,Data!$C$3:$C$60)</f>
        <v>46091</v>
      </c>
      <c r="H37" s="579"/>
      <c r="I37" s="583">
        <f>K31</f>
        <v>46078</v>
      </c>
      <c r="J37" s="578">
        <v>9</v>
      </c>
      <c r="K37" s="577">
        <f>WORKDAY.INTL(I37,J37,1,Data!$C$3:$C$60)</f>
        <v>46091</v>
      </c>
      <c r="L37" s="77"/>
      <c r="M37" s="580">
        <v>0</v>
      </c>
      <c r="N37" s="580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1"/>
      <c r="F38" s="581"/>
      <c r="G38" s="581"/>
      <c r="H38" s="579"/>
      <c r="I38" s="581"/>
      <c r="J38" s="581"/>
      <c r="K38" s="581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180</v>
      </c>
      <c r="D39" s="130"/>
      <c r="E39" s="572">
        <f>MIN(E40:E43)</f>
        <v>46093</v>
      </c>
      <c r="F39" s="573">
        <f>G39-E39</f>
        <v>11</v>
      </c>
      <c r="G39" s="572">
        <f>MAX(G40:G43)</f>
        <v>46104</v>
      </c>
      <c r="H39" s="574"/>
      <c r="I39" s="572">
        <f>MIN(I40:I43)</f>
        <v>46093</v>
      </c>
      <c r="J39" s="573">
        <f>K39-I39</f>
        <v>11</v>
      </c>
      <c r="K39" s="572">
        <f>MAX(K40:K43)</f>
        <v>46104</v>
      </c>
      <c r="L39" s="575"/>
      <c r="M39" s="576">
        <f>(J40*M40+J41*M41+J42*M42)/SUM(J40:J42)</f>
        <v>0</v>
      </c>
      <c r="N39" s="576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181</v>
      </c>
      <c r="C40" s="154" t="s">
        <v>180</v>
      </c>
      <c r="D40" s="126"/>
      <c r="E40" s="583">
        <f>WORKDAY.INTL(MAX(G21,G28,G35),0,1,Data!$C$3:$C$60)</f>
        <v>46093</v>
      </c>
      <c r="F40" s="578">
        <v>1</v>
      </c>
      <c r="G40" s="583">
        <f>WORKDAY.INTL(E40,F40,1,Data!$C$3:$C$60)</f>
        <v>46094</v>
      </c>
      <c r="H40" s="579"/>
      <c r="I40" s="583">
        <f>WORKDAY.INTL(MAX(K21,K28,K35),0,1,Data!$C$3:$C$60)</f>
        <v>46093</v>
      </c>
      <c r="J40" s="578">
        <v>1</v>
      </c>
      <c r="K40" s="583">
        <f>WORKDAY.INTL(I40,J40,1,Data!$C$3:$C$60)</f>
        <v>46094</v>
      </c>
      <c r="L40" s="77"/>
      <c r="M40" s="580">
        <v>0</v>
      </c>
      <c r="N40" s="580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182</v>
      </c>
      <c r="C41" s="154" t="s">
        <v>183</v>
      </c>
      <c r="D41" s="126"/>
      <c r="E41" s="583">
        <f>WORKDAY.INTL(G40,0,1,Data!$C$3:$C$60)</f>
        <v>46094</v>
      </c>
      <c r="F41" s="578">
        <v>1</v>
      </c>
      <c r="G41" s="583">
        <f>WORKDAY.INTL(E41,F41,1,Data!$C$3:$C$60)</f>
        <v>46097</v>
      </c>
      <c r="H41" s="579"/>
      <c r="I41" s="583">
        <f>WORKDAY.INTL(K40,0,1,Data!$C$3:$C$60)</f>
        <v>46094</v>
      </c>
      <c r="J41" s="578">
        <v>1</v>
      </c>
      <c r="K41" s="583">
        <f>WORKDAY.INTL(I41,J41,1,Data!$C$3:$C$60)</f>
        <v>46097</v>
      </c>
      <c r="L41" s="77"/>
      <c r="M41" s="580">
        <v>0</v>
      </c>
      <c r="N41" s="580">
        <f t="shared" ca="1" si="4"/>
        <v>0</v>
      </c>
      <c r="O41" s="36"/>
      <c r="Y41" s="4"/>
    </row>
    <row r="42" spans="2:28">
      <c r="B42" s="157" t="s">
        <v>184</v>
      </c>
      <c r="C42" s="154" t="s">
        <v>185</v>
      </c>
      <c r="D42" s="126"/>
      <c r="E42" s="583">
        <f>WORKDAY.INTL(G41,0,1,Data!$C$3:$C$60)</f>
        <v>46097</v>
      </c>
      <c r="F42" s="578">
        <v>5</v>
      </c>
      <c r="G42" s="583">
        <f>WORKDAY.INTL(E42,F42,1,Data!$C$3:$C$60)</f>
        <v>46104</v>
      </c>
      <c r="H42" s="579"/>
      <c r="I42" s="583">
        <f>WORKDAY.INTL(K41,0,1,Data!$C$3:$C$60)</f>
        <v>46097</v>
      </c>
      <c r="J42" s="578">
        <v>5</v>
      </c>
      <c r="K42" s="583">
        <f>WORKDAY.INTL(I42,J42,1,Data!$C$3:$C$60)</f>
        <v>46104</v>
      </c>
      <c r="L42" s="77"/>
      <c r="M42" s="580">
        <v>0</v>
      </c>
      <c r="N42" s="580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1"/>
      <c r="F43" s="581"/>
      <c r="G43" s="581"/>
      <c r="H43" s="579"/>
      <c r="I43" s="581"/>
      <c r="J43" s="581"/>
      <c r="K43" s="581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186</v>
      </c>
      <c r="D44" s="130"/>
      <c r="E44" s="572">
        <f>MIN(E45:E47)</f>
        <v>46097</v>
      </c>
      <c r="F44" s="573">
        <f>G44-E44</f>
        <v>8</v>
      </c>
      <c r="G44" s="572">
        <f>MAX(G45:G47)</f>
        <v>46105</v>
      </c>
      <c r="H44" s="574"/>
      <c r="I44" s="572">
        <f>MIN(I45:I47)</f>
        <v>46097</v>
      </c>
      <c r="J44" s="573">
        <f>K44-I44</f>
        <v>8</v>
      </c>
      <c r="K44" s="572">
        <f>MAX(K45:K47)</f>
        <v>46105</v>
      </c>
      <c r="L44" s="575"/>
      <c r="M44" s="576">
        <f>(J45*M45+J46*M46)/SUM(J45:J46)</f>
        <v>0</v>
      </c>
      <c r="N44" s="576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187</v>
      </c>
      <c r="C45" s="154" t="s">
        <v>188</v>
      </c>
      <c r="D45" s="126"/>
      <c r="E45" s="583">
        <f>WORKDAY.INTL(E42,0,1,Data!$C$3:$C$60)</f>
        <v>46097</v>
      </c>
      <c r="F45" s="578">
        <v>3</v>
      </c>
      <c r="G45" s="583">
        <f>WORKDAY.INTL(E45,F45,1,Data!$C$3:$C$60)</f>
        <v>46100</v>
      </c>
      <c r="H45" s="579"/>
      <c r="I45" s="583">
        <f>WORKDAY.INTL(I42,0,1,Data!$C$3:$C$60)</f>
        <v>46097</v>
      </c>
      <c r="J45" s="578">
        <v>3</v>
      </c>
      <c r="K45" s="583">
        <f>WORKDAY.INTL(I45,J45,1,Data!$C$3:$C$60)</f>
        <v>46100</v>
      </c>
      <c r="L45" s="77"/>
      <c r="M45" s="580">
        <v>0</v>
      </c>
      <c r="N45" s="580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189</v>
      </c>
      <c r="C46" s="154" t="s">
        <v>190</v>
      </c>
      <c r="D46" s="126"/>
      <c r="E46" s="583">
        <f>G45</f>
        <v>46100</v>
      </c>
      <c r="F46" s="578">
        <v>3</v>
      </c>
      <c r="G46" s="583">
        <f>WORKDAY.INTL(E46,F46,1,Data!$C$3:$C$60)</f>
        <v>46105</v>
      </c>
      <c r="H46" s="579"/>
      <c r="I46" s="583">
        <f>K45</f>
        <v>46100</v>
      </c>
      <c r="J46" s="578">
        <v>3</v>
      </c>
      <c r="K46" s="583">
        <f>WORKDAY.INTL(I46,J46,1,Data!$C$3:$C$60)</f>
        <v>46105</v>
      </c>
      <c r="L46" s="77"/>
      <c r="M46" s="580">
        <v>0</v>
      </c>
      <c r="N46" s="580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1"/>
      <c r="F47" s="581"/>
      <c r="G47" s="581"/>
      <c r="H47" s="579"/>
      <c r="I47" s="581"/>
      <c r="J47" s="581"/>
      <c r="K47" s="581"/>
      <c r="L47" s="77"/>
      <c r="M47" s="77"/>
      <c r="N47" s="77"/>
      <c r="Q47" s="1"/>
    </row>
    <row r="48" spans="2:28" s="26" customFormat="1" ht="13.9">
      <c r="B48" s="155">
        <v>8</v>
      </c>
      <c r="C48" s="156" t="s">
        <v>191</v>
      </c>
      <c r="D48" s="130"/>
      <c r="E48" s="572">
        <f>MIN(E49:E51)</f>
        <v>46100</v>
      </c>
      <c r="F48" s="573">
        <f>G48-E48</f>
        <v>20</v>
      </c>
      <c r="G48" s="572">
        <f>MAX(G49:G51)</f>
        <v>46120</v>
      </c>
      <c r="H48" s="574"/>
      <c r="I48" s="572">
        <f>MIN(I49:I51)</f>
        <v>46100</v>
      </c>
      <c r="J48" s="573">
        <f>K48-I48</f>
        <v>20</v>
      </c>
      <c r="K48" s="572">
        <f>MAX(K49:K51)</f>
        <v>46120</v>
      </c>
      <c r="L48" s="575"/>
      <c r="M48" s="576">
        <f>(J49*M49+J50*M50+J51*M51)/SUM(J49:J51)</f>
        <v>0</v>
      </c>
      <c r="N48" s="576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192</v>
      </c>
      <c r="C49" s="154" t="s">
        <v>193</v>
      </c>
      <c r="D49" s="126"/>
      <c r="E49" s="583">
        <f>WORKDAY.INTL(E46,0,1,Data!$C$3:$C$60)</f>
        <v>46100</v>
      </c>
      <c r="F49" s="578">
        <v>7</v>
      </c>
      <c r="G49" s="583">
        <f>WORKDAY.INTL(E49,F49,1,Data!$C$3:$C$60)</f>
        <v>46111</v>
      </c>
      <c r="H49" s="579"/>
      <c r="I49" s="583">
        <f>WORKDAY.INTL(I46,0,1,Data!$C$3:$C$60)</f>
        <v>46100</v>
      </c>
      <c r="J49" s="578">
        <v>7</v>
      </c>
      <c r="K49" s="583">
        <f>WORKDAY.INTL(I49,J49,1,Data!$C$3:$C$60)</f>
        <v>46111</v>
      </c>
      <c r="L49" s="77"/>
      <c r="M49" s="580">
        <v>0</v>
      </c>
      <c r="N49" s="580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194</v>
      </c>
      <c r="C50" s="154" t="s">
        <v>195</v>
      </c>
      <c r="D50" s="126"/>
      <c r="E50" s="583">
        <f>WORKDAY.INTL(G49,0,1,Data!$C$3:$C$60)</f>
        <v>46111</v>
      </c>
      <c r="F50" s="578">
        <v>1</v>
      </c>
      <c r="G50" s="583">
        <f>WORKDAY.INTL(E50,F50,1,Data!$C$3:$C$60)</f>
        <v>46112</v>
      </c>
      <c r="H50" s="579"/>
      <c r="I50" s="583">
        <f>WORKDAY.INTL(K49,0,1,Data!$C$3:$C$60)</f>
        <v>46111</v>
      </c>
      <c r="J50" s="578">
        <v>1</v>
      </c>
      <c r="K50" s="583">
        <f>WORKDAY.INTL(I50,J50,1,Data!$C$3:$C$60)</f>
        <v>46112</v>
      </c>
      <c r="L50" s="77"/>
      <c r="M50" s="580">
        <v>0</v>
      </c>
      <c r="N50" s="580">
        <f t="shared" ca="1" si="6"/>
        <v>0</v>
      </c>
      <c r="O50" s="36"/>
      <c r="Y50" s="4"/>
    </row>
    <row r="51" spans="2:28">
      <c r="B51" s="157" t="s">
        <v>196</v>
      </c>
      <c r="C51" s="154" t="s">
        <v>197</v>
      </c>
      <c r="D51" s="126"/>
      <c r="E51" s="583">
        <f>WORKDAY.INTL(G49,0,1,Data!$C$3:$C$60)</f>
        <v>46111</v>
      </c>
      <c r="F51" s="578">
        <v>5</v>
      </c>
      <c r="G51" s="583">
        <f>WORKDAY.INTL(E51,F51,1,Data!$C$3:$C$60)</f>
        <v>46120</v>
      </c>
      <c r="H51" s="579"/>
      <c r="I51" s="583">
        <f>WORKDAY.INTL(K49,0,1,Data!$C$3:$C$60)</f>
        <v>46111</v>
      </c>
      <c r="J51" s="578">
        <v>5</v>
      </c>
      <c r="K51" s="583">
        <f>WORKDAY.INTL(I51,J51,1,Data!$C$3:$C$60)</f>
        <v>46120</v>
      </c>
      <c r="L51" s="77"/>
      <c r="M51" s="580">
        <v>0</v>
      </c>
      <c r="N51" s="580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4"/>
      <c r="F52" s="584"/>
      <c r="G52" s="584"/>
      <c r="H52" s="584"/>
      <c r="I52" s="584"/>
      <c r="J52" s="584"/>
      <c r="K52" s="584"/>
      <c r="L52" s="584"/>
      <c r="M52" s="584"/>
      <c r="N52" s="584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Normal="100" workbookViewId="0">
      <selection activeCell="P13" sqref="P13"/>
    </sheetView>
  </sheetViews>
  <sheetFormatPr defaultColWidth="8.42578125" defaultRowHeight="14.25"/>
  <cols>
    <col min="1" max="1" width="5.28515625" style="24" customWidth="1"/>
    <col min="2" max="2" width="5.28515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140625" style="24" bestFit="1" customWidth="1"/>
    <col min="22" max="22" width="12.42578125" style="24" bestFit="1" customWidth="1"/>
    <col min="23" max="23" width="14.14062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199</v>
      </c>
      <c r="F3" s="39" t="s">
        <v>200</v>
      </c>
      <c r="J3" s="53"/>
      <c r="L3" s="310" t="s">
        <v>201</v>
      </c>
      <c r="N3" s="310" t="s">
        <v>202</v>
      </c>
      <c r="S3" s="53"/>
      <c r="T3" s="626" t="s">
        <v>203</v>
      </c>
      <c r="U3" s="626" t="s">
        <v>204</v>
      </c>
      <c r="V3" s="626" t="s">
        <v>205</v>
      </c>
      <c r="W3" s="626" t="s">
        <v>206</v>
      </c>
    </row>
    <row r="4" spans="1:41" s="24" customFormat="1" ht="13.15">
      <c r="B4" s="256">
        <v>1</v>
      </c>
      <c r="C4" s="257" t="s">
        <v>207</v>
      </c>
      <c r="D4" s="258">
        <f>'Project Plan'!E6</f>
        <v>1441230.4772331575</v>
      </c>
      <c r="E4" s="259"/>
      <c r="F4" s="258">
        <f>F21</f>
        <v>1441230.4772331573</v>
      </c>
      <c r="J4" s="53"/>
      <c r="L4" s="276"/>
      <c r="N4" s="276" t="s">
        <v>142</v>
      </c>
      <c r="Q4" s="44"/>
      <c r="S4" s="53"/>
      <c r="T4" s="627">
        <f>SUMIFS('Expenditure Breakdown'!$U:$U,
        'Expenditure Breakdown'!$T:$T, "&gt;"&amp;DATE(2025,8,31),
        'Expenditure Breakdown'!$T:$T, "&lt;="&amp;DATE(2026,8,31))</f>
        <v>1441230.477233158</v>
      </c>
      <c r="U4" s="627">
        <f>SUMIFS('Expenditure Breakdown'!$Q:$Q,
        'Expenditure Breakdown'!$T:$T, "&gt;"&amp;DATE(2025,8,31),
        'Expenditure Breakdown'!$T:$T, "&lt;="&amp;DATE(2026,8,31))</f>
        <v>1109238.9279219366</v>
      </c>
      <c r="V4" s="627">
        <f>SUMIFS('Expenditure Breakdown'!$U:$U,
        'Expenditure Breakdown'!$T:$T, "&gt;"&amp;DATE(2025,8,31),
        'Expenditure Breakdown'!$T:$T, "&lt;="&amp;DATE(2026,8,31),
        'Expenditure Breakdown'!$S:$S, "&lt;&gt;")</f>
        <v>29556.623869822812</v>
      </c>
      <c r="W4" s="627">
        <f>SUMIFS('Expenditure Breakdown'!$Q:$Q,
        'Expenditure Breakdown'!$T:$T, "&gt;"&amp;DATE(2025,8,31),
        'Expenditure Breakdown'!$T:$T, "&lt;="&amp;DATE(2026,8,31),
        'Expenditure Breakdown'!$S:$S, "&lt;&gt;")</f>
        <v>27992.080000000002</v>
      </c>
    </row>
    <row r="5" spans="1:41" s="24" customFormat="1" ht="15" customHeight="1">
      <c r="B5" s="256">
        <v>2</v>
      </c>
      <c r="C5" s="257" t="s">
        <v>208</v>
      </c>
      <c r="D5" s="258">
        <f>+'Expenditure Tracking'!F5</f>
        <v>1194452.4559184783</v>
      </c>
      <c r="E5" s="259"/>
      <c r="F5" s="258">
        <f>+'Expenditure Tracking'!H5</f>
        <v>1109238.9279219361</v>
      </c>
      <c r="G5" s="634" t="s">
        <v>209</v>
      </c>
      <c r="H5" s="634" t="s">
        <v>210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246778.02131467918</v>
      </c>
      <c r="E6" s="259"/>
      <c r="F6" s="258">
        <f>+F4-F5</f>
        <v>331991.54931122111</v>
      </c>
      <c r="G6" s="544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0.17122731250343678</v>
      </c>
      <c r="E7" s="259"/>
      <c r="F7" s="260">
        <f>+F6/F4</f>
        <v>0.23035285095314612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129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.15">
      <c r="B13" s="590">
        <v>1</v>
      </c>
      <c r="C13" s="664" t="s">
        <v>223</v>
      </c>
      <c r="D13" s="665"/>
      <c r="E13" s="591">
        <v>0.5</v>
      </c>
      <c r="F13" s="592">
        <f>$D$4*E13</f>
        <v>720615.23861657875</v>
      </c>
      <c r="G13" s="593"/>
      <c r="H13" s="594">
        <v>46053</v>
      </c>
      <c r="I13" s="595"/>
      <c r="J13" s="596"/>
      <c r="K13" s="595"/>
      <c r="L13" s="597" t="s">
        <v>224</v>
      </c>
      <c r="M13" s="598"/>
      <c r="N13" s="594">
        <v>46036</v>
      </c>
      <c r="O13" s="598"/>
      <c r="P13" s="599">
        <v>46073</v>
      </c>
      <c r="R13" s="86"/>
      <c r="S13" s="53"/>
      <c r="AO13" s="526">
        <f>'Change Register'!$Q$14+ 7</f>
        <v>7</v>
      </c>
    </row>
    <row r="14" spans="1:41" s="24" customFormat="1" ht="12.75">
      <c r="B14" s="600">
        <v>2</v>
      </c>
      <c r="C14" s="664" t="s">
        <v>225</v>
      </c>
      <c r="D14" s="665"/>
      <c r="E14" s="591">
        <v>0.25</v>
      </c>
      <c r="F14" s="592">
        <f t="shared" ref="F14:F18" si="0">$D$4*E14</f>
        <v>360307.61930828937</v>
      </c>
      <c r="G14" s="601"/>
      <c r="H14" s="594">
        <f>'Project Plan'!G36+7</f>
        <v>46080</v>
      </c>
      <c r="I14" s="595"/>
      <c r="J14" s="596"/>
      <c r="K14" s="595"/>
      <c r="L14" s="597"/>
      <c r="M14" s="595"/>
      <c r="N14" s="594"/>
      <c r="O14" s="595"/>
      <c r="P14" s="599">
        <f>'Project Plan'!K36+7</f>
        <v>46080</v>
      </c>
      <c r="R14" s="280"/>
      <c r="S14" s="53"/>
    </row>
    <row r="15" spans="1:41" s="24" customFormat="1" ht="12.75">
      <c r="B15" s="590">
        <v>3</v>
      </c>
      <c r="C15" s="664" t="s">
        <v>226</v>
      </c>
      <c r="D15" s="665"/>
      <c r="E15" s="591">
        <v>9.9999999999999992E-2</v>
      </c>
      <c r="F15" s="592">
        <f t="shared" si="0"/>
        <v>144123.04772331574</v>
      </c>
      <c r="G15" s="601"/>
      <c r="H15" s="594">
        <f>'Project Plan'!G22+7</f>
        <v>46083</v>
      </c>
      <c r="I15" s="595"/>
      <c r="J15" s="596"/>
      <c r="K15" s="595"/>
      <c r="L15" s="597"/>
      <c r="M15" s="595"/>
      <c r="N15" s="594"/>
      <c r="O15" s="595"/>
      <c r="P15" s="599">
        <f>'Project Plan'!K22+7</f>
        <v>46083</v>
      </c>
      <c r="R15" s="280"/>
      <c r="S15" s="53"/>
    </row>
    <row r="16" spans="1:41" s="24" customFormat="1" ht="12.75">
      <c r="B16" s="590">
        <v>4</v>
      </c>
      <c r="C16" s="662" t="s">
        <v>183</v>
      </c>
      <c r="D16" s="663"/>
      <c r="E16" s="591">
        <v>0.1</v>
      </c>
      <c r="F16" s="592">
        <f t="shared" si="0"/>
        <v>144123.04772331574</v>
      </c>
      <c r="G16" s="601"/>
      <c r="H16" s="594">
        <f>'Project Plan'!G39+7</f>
        <v>46111</v>
      </c>
      <c r="I16" s="595"/>
      <c r="J16" s="596"/>
      <c r="K16" s="595"/>
      <c r="L16" s="597"/>
      <c r="M16" s="602"/>
      <c r="N16" s="594"/>
      <c r="O16" s="602"/>
      <c r="P16" s="599">
        <f>'Project Plan'!K39+7</f>
        <v>46111</v>
      </c>
      <c r="R16" s="280"/>
      <c r="S16" s="53"/>
    </row>
    <row r="17" spans="2:19" s="24" customFormat="1" ht="12.75">
      <c r="B17" s="590">
        <v>5</v>
      </c>
      <c r="C17" s="662" t="s">
        <v>227</v>
      </c>
      <c r="D17" s="663"/>
      <c r="E17" s="591">
        <v>0.05</v>
      </c>
      <c r="F17" s="592">
        <f t="shared" si="0"/>
        <v>72061.523861657872</v>
      </c>
      <c r="G17" s="601"/>
      <c r="H17" s="594">
        <f>'Project Plan'!G50+7</f>
        <v>46119</v>
      </c>
      <c r="I17" s="595"/>
      <c r="J17" s="596"/>
      <c r="K17" s="595"/>
      <c r="L17" s="597"/>
      <c r="M17" s="595"/>
      <c r="N17" s="594"/>
      <c r="O17" s="595"/>
      <c r="P17" s="599">
        <f>'Project Plan'!K50+7</f>
        <v>46119</v>
      </c>
      <c r="R17" s="280"/>
      <c r="S17" s="53"/>
    </row>
    <row r="18" spans="2:19" s="24" customFormat="1" ht="12.75">
      <c r="B18" s="590">
        <v>6</v>
      </c>
      <c r="C18" s="662" t="s">
        <v>228</v>
      </c>
      <c r="D18" s="663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75">
      <c r="B19" s="590">
        <v>7</v>
      </c>
      <c r="C19" s="664" t="s">
        <v>228</v>
      </c>
      <c r="D19" s="665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1441230.4772331573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229</v>
      </c>
      <c r="C23" s="57" t="s">
        <v>230</v>
      </c>
      <c r="D23" s="57"/>
      <c r="F23" s="58"/>
      <c r="H23" s="30"/>
    </row>
    <row r="24" spans="2:19" s="24" customFormat="1" ht="12.75">
      <c r="C24" s="59" t="s">
        <v>231</v>
      </c>
      <c r="D24" s="60"/>
      <c r="F24" s="61"/>
    </row>
    <row r="25" spans="2:19" s="24" customFormat="1" ht="12.75">
      <c r="C25" s="59" t="s">
        <v>232</v>
      </c>
      <c r="D25" s="60"/>
    </row>
    <row r="26" spans="2:19" s="24" customFormat="1" ht="12.75">
      <c r="C26" s="62" t="s">
        <v>233</v>
      </c>
      <c r="D26" s="63"/>
    </row>
    <row r="27" spans="2:19" s="24" customFormat="1" ht="12.75">
      <c r="C27" s="64" t="s">
        <v>234</v>
      </c>
      <c r="D27" s="60"/>
    </row>
    <row r="28" spans="2:19" s="24" customFormat="1" ht="12.75">
      <c r="B28" s="31"/>
      <c r="C28" s="64" t="s">
        <v>235</v>
      </c>
      <c r="D28" s="60"/>
    </row>
    <row r="29" spans="2:19" s="24" customFormat="1" ht="12.75">
      <c r="B29" s="31"/>
      <c r="C29" s="24" t="s">
        <v>236</v>
      </c>
    </row>
    <row r="30" spans="2:19" s="24" customFormat="1" ht="27.75" customHeight="1">
      <c r="B30" s="31"/>
      <c r="C30" s="65" t="s">
        <v>237</v>
      </c>
      <c r="D30" s="65"/>
      <c r="F30" s="61"/>
    </row>
    <row r="31" spans="2:19" s="24" customFormat="1" ht="12.75">
      <c r="B31" s="31"/>
      <c r="F31" s="58"/>
      <c r="N31" s="544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129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238</v>
      </c>
      <c r="D41" s="67"/>
      <c r="E41" s="50">
        <v>0.35</v>
      </c>
      <c r="F41" s="51">
        <f>$F$47*E41</f>
        <v>504430.66703160503</v>
      </c>
    </row>
    <row r="42" spans="2:6" s="24" customFormat="1" ht="12.75" hidden="1" customHeight="1">
      <c r="B42" s="66">
        <v>2</v>
      </c>
      <c r="C42" s="67" t="s">
        <v>225</v>
      </c>
      <c r="D42" s="67"/>
      <c r="E42" s="50">
        <v>0.3</v>
      </c>
      <c r="F42" s="51">
        <f t="shared" ref="F42:F45" si="2">$F$47*E42</f>
        <v>432369.14316994714</v>
      </c>
    </row>
    <row r="43" spans="2:6" s="24" customFormat="1" ht="12.75" hidden="1" customHeight="1">
      <c r="B43" s="66">
        <v>3</v>
      </c>
      <c r="C43" s="67" t="s">
        <v>226</v>
      </c>
      <c r="D43" s="67"/>
      <c r="E43" s="50">
        <v>0.2</v>
      </c>
      <c r="F43" s="51">
        <f t="shared" si="2"/>
        <v>288246.09544663149</v>
      </c>
    </row>
    <row r="44" spans="2:6" s="24" customFormat="1" ht="12.75" hidden="1" customHeight="1">
      <c r="B44" s="66">
        <v>4</v>
      </c>
      <c r="C44" s="67" t="s">
        <v>239</v>
      </c>
      <c r="D44" s="67"/>
      <c r="E44" s="50">
        <v>0.1</v>
      </c>
      <c r="F44" s="51">
        <f t="shared" si="2"/>
        <v>144123.04772331574</v>
      </c>
    </row>
    <row r="45" spans="2:6" s="24" customFormat="1" ht="13.5" hidden="1" customHeight="1" thickBot="1">
      <c r="B45" s="68">
        <v>5</v>
      </c>
      <c r="C45" s="69" t="s">
        <v>227</v>
      </c>
      <c r="D45" s="69"/>
      <c r="E45" s="70">
        <v>0.05</v>
      </c>
      <c r="F45" s="71">
        <f t="shared" si="2"/>
        <v>72061.523861657872</v>
      </c>
    </row>
    <row r="46" spans="2:6" s="24" customFormat="1" ht="13.5" hidden="1" customHeight="1" thickBot="1">
      <c r="B46" s="72"/>
      <c r="C46" s="73" t="s">
        <v>240</v>
      </c>
      <c r="D46" s="73"/>
      <c r="E46" s="74">
        <f>SUM(E41:E45)</f>
        <v>0.99999999999999989</v>
      </c>
      <c r="F46" s="75">
        <f>SUM(F41:F45)</f>
        <v>1441230.4772331573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1441230.4772331573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1048576 A13:B13 F13:G13 I13:K13 Q13:XFD13 A14:B14 F14:G14 A15:B15 F15:G15 O13 A16:B16 A17:B17 F16:G16 F17:G17 I16:O16 I17:O17 Q16:XFD16 Q17:XFD17 Q14:XFD14 Q15:XFD15 I14:O14 I15:O15 A3:S3 X3:XFD3 I4:S4 X4:XFD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F24" sqref="F24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241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66"/>
      <c r="C4" s="666"/>
      <c r="D4" s="666"/>
      <c r="E4" s="313"/>
      <c r="F4" s="131" t="s">
        <v>199</v>
      </c>
      <c r="G4" s="126"/>
      <c r="H4" s="131" t="s">
        <v>200</v>
      </c>
      <c r="I4" s="126"/>
      <c r="J4" s="132" t="s">
        <v>242</v>
      </c>
      <c r="K4" s="26"/>
      <c r="L4" s="26"/>
    </row>
    <row r="5" spans="1:12" ht="14.25" thickBot="1">
      <c r="A5" s="126"/>
      <c r="B5" s="667" t="s">
        <v>243</v>
      </c>
      <c r="C5" s="667"/>
      <c r="D5" s="667"/>
      <c r="E5" s="313"/>
      <c r="F5" s="133">
        <f>SUM(F9:F23)</f>
        <v>1194452.4559184783</v>
      </c>
      <c r="G5" s="128"/>
      <c r="H5" s="133">
        <f>SUM(H9:H23)</f>
        <v>1109238.9279219361</v>
      </c>
      <c r="I5" s="126"/>
      <c r="J5" s="134">
        <f>SUM(J9:J23)</f>
        <v>85213.527996542165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129</v>
      </c>
      <c r="C7" s="137"/>
      <c r="D7" s="136" t="s">
        <v>78</v>
      </c>
      <c r="E7" s="137"/>
      <c r="F7" s="138" t="s">
        <v>244</v>
      </c>
      <c r="G7" s="139"/>
      <c r="H7" s="138" t="s">
        <v>245</v>
      </c>
      <c r="I7" s="139"/>
      <c r="J7" s="138" t="s">
        <v>246</v>
      </c>
      <c r="K7" s="84"/>
      <c r="L7" s="29" t="s">
        <v>247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87212.160000000003</v>
      </c>
      <c r="I10" s="23"/>
      <c r="J10" s="143">
        <f t="shared" si="0"/>
        <v>7787.8399999999965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58482.000000000007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69414.8</v>
      </c>
      <c r="G12" s="21"/>
      <c r="H12" s="142">
        <f>'Expenditure Breakdown'!X28</f>
        <v>105822.79999999999</v>
      </c>
      <c r="I12" s="23"/>
      <c r="J12" s="143">
        <f t="shared" si="0"/>
        <v>-36407.999999999985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58257.439999999995</v>
      </c>
      <c r="I13" s="23"/>
      <c r="J13" s="143">
        <f t="shared" si="0"/>
        <v>-9257.4399999999951</v>
      </c>
      <c r="K13" s="85"/>
      <c r="L13" s="159"/>
    </row>
    <row r="14" spans="1:12" ht="13.9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198443.48695652175</v>
      </c>
      <c r="G14" s="21"/>
      <c r="H14" s="142">
        <f>'Expenditure Breakdown'!X53</f>
        <v>198443.48695652178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4000</v>
      </c>
      <c r="G16" s="21"/>
      <c r="H16" s="142">
        <f>'Expenditure Breakdown'!X80</f>
        <v>4000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108300</v>
      </c>
      <c r="G17" s="21"/>
      <c r="H17" s="142">
        <f>'Expenditure Breakdown'!X90</f>
        <v>108300</v>
      </c>
      <c r="I17" s="23"/>
      <c r="J17" s="143">
        <f t="shared" si="0"/>
        <v>0</v>
      </c>
      <c r="K17" s="85"/>
      <c r="L17" s="159"/>
    </row>
    <row r="18" spans="1:12" ht="13.9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59041.9</v>
      </c>
      <c r="G18" s="21"/>
      <c r="H18" s="142">
        <f>'Expenditure Breakdown'!X103</f>
        <v>32757.9</v>
      </c>
      <c r="I18" s="23"/>
      <c r="J18" s="143">
        <f t="shared" si="0"/>
        <v>26284</v>
      </c>
      <c r="K18" s="85"/>
      <c r="L18" s="159"/>
    </row>
    <row r="19" spans="1:12" ht="13.9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97910.48</v>
      </c>
      <c r="I19" s="23"/>
      <c r="J19" s="143">
        <f t="shared" si="0"/>
        <v>-8910.4799999999959</v>
      </c>
      <c r="K19" s="85"/>
      <c r="L19" s="159"/>
    </row>
    <row r="20" spans="1:12" ht="13.9">
      <c r="A20" s="126"/>
      <c r="B20" s="140">
        <f>'Expenditure Breakdown'!L126</f>
        <v>12</v>
      </c>
      <c r="C20" s="129"/>
      <c r="D20" s="141" t="str">
        <f>'Expenditure Breakdown'!M126</f>
        <v>12. BDP Commission</v>
      </c>
      <c r="E20" s="21"/>
      <c r="F20" s="142">
        <f>'Expenditure Breakdown'!I126</f>
        <v>0</v>
      </c>
      <c r="G20" s="21"/>
      <c r="H20" s="142">
        <f>'Expenditure Breakdown'!X126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Breakdown'!L129</f>
        <v>13</v>
      </c>
      <c r="C21" s="129"/>
      <c r="D21" s="141" t="str">
        <f>'Expenditure Breakdown'!M130</f>
        <v>13. Engineering</v>
      </c>
      <c r="E21" s="21"/>
      <c r="F21" s="142">
        <f>'Expenditure Breakdown'!I129</f>
        <v>90875.738961956522</v>
      </c>
      <c r="G21" s="21"/>
      <c r="H21" s="142">
        <f>'Expenditure Breakdown'!X129</f>
        <v>95172.66096541447</v>
      </c>
      <c r="I21" s="23"/>
      <c r="J21" s="143">
        <f t="shared" si="0"/>
        <v>-4296.9220034579484</v>
      </c>
      <c r="K21" s="85"/>
      <c r="L21" s="159"/>
    </row>
    <row r="22" spans="1:12" ht="13.9">
      <c r="A22" s="126"/>
      <c r="B22" s="140">
        <f>'Expenditure Breakdown'!L136</f>
        <v>14</v>
      </c>
      <c r="C22" s="129"/>
      <c r="D22" s="141" t="str">
        <f>'Expenditure Breakdown'!M136</f>
        <v>14. General Expenses</v>
      </c>
      <c r="E22" s="21"/>
      <c r="F22" s="142">
        <f>'Expenditure Breakdown'!I136</f>
        <v>2100</v>
      </c>
      <c r="G22" s="21"/>
      <c r="H22" s="142">
        <f>'Expenditure Breakdown'!X136</f>
        <v>2100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Breakdown'!L149</f>
        <v>15</v>
      </c>
      <c r="C23" s="129"/>
      <c r="D23" s="141" t="str">
        <f>'Expenditure Breakdown'!M149</f>
        <v>15. Service Add On</v>
      </c>
      <c r="E23" s="21"/>
      <c r="F23" s="142">
        <f>'Expenditure Breakdown'!I149</f>
        <v>0</v>
      </c>
      <c r="G23" s="21"/>
      <c r="H23" s="142">
        <f>'Expenditure Breakdown'!X149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0"/>
  <sheetViews>
    <sheetView zoomScale="85" zoomScaleNormal="85" workbookViewId="0">
      <pane ySplit="4" topLeftCell="A129" activePane="bottomLeft" state="frozen"/>
      <selection pane="bottomLeft" activeCell="S122" sqref="S122"/>
      <selection activeCell="X33" sqref="X33"/>
    </sheetView>
  </sheetViews>
  <sheetFormatPr defaultColWidth="9.42578125" defaultRowHeight="13.5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5" t="s">
        <v>249</v>
      </c>
      <c r="C2" s="716"/>
      <c r="D2" s="716"/>
      <c r="E2" s="716"/>
      <c r="F2" s="716"/>
      <c r="G2" s="716"/>
      <c r="H2" s="395"/>
      <c r="I2" s="162">
        <f>SUM(I6:I161)</f>
        <v>1194452.4559184783</v>
      </c>
      <c r="J2" s="162">
        <f>SUM(J6:J161)</f>
        <v>1441230.4772331575</v>
      </c>
      <c r="L2" s="717" t="s">
        <v>250</v>
      </c>
      <c r="M2" s="718"/>
      <c r="N2" s="718"/>
      <c r="O2" s="718"/>
      <c r="P2" s="718"/>
      <c r="Q2" s="718"/>
      <c r="R2" s="719" t="s">
        <v>251</v>
      </c>
      <c r="S2" s="720"/>
      <c r="T2" s="720"/>
      <c r="U2" s="720"/>
      <c r="V2" s="720"/>
      <c r="W2" s="721"/>
      <c r="X2" s="162">
        <f>SUM(X6:X161)</f>
        <v>1109238.9279219361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252</v>
      </c>
      <c r="C4" s="164" t="s">
        <v>253</v>
      </c>
      <c r="D4" s="164" t="s">
        <v>254</v>
      </c>
      <c r="E4" s="164" t="s">
        <v>255</v>
      </c>
      <c r="F4" s="363" t="s">
        <v>256</v>
      </c>
      <c r="G4" s="165" t="s">
        <v>257</v>
      </c>
      <c r="H4" s="273" t="s">
        <v>258</v>
      </c>
      <c r="I4" s="166" t="s">
        <v>259</v>
      </c>
      <c r="J4" s="166" t="str">
        <f>IF(J2-'Revenue Tracking'!D4&gt;=0, "Total Revenue", "ERROR on REV" )</f>
        <v>Total Revenue</v>
      </c>
      <c r="K4" s="77"/>
      <c r="L4" s="163" t="s">
        <v>252</v>
      </c>
      <c r="M4" s="164" t="s">
        <v>260</v>
      </c>
      <c r="N4" s="164" t="s">
        <v>254</v>
      </c>
      <c r="O4" s="164" t="s">
        <v>255</v>
      </c>
      <c r="P4" s="363" t="s">
        <v>256</v>
      </c>
      <c r="Q4" s="274" t="s">
        <v>261</v>
      </c>
      <c r="R4" s="497" t="s">
        <v>262</v>
      </c>
      <c r="S4" s="498" t="s">
        <v>219</v>
      </c>
      <c r="T4" s="522" t="s">
        <v>220</v>
      </c>
      <c r="U4" s="523" t="s">
        <v>263</v>
      </c>
      <c r="V4" s="274" t="s">
        <v>264</v>
      </c>
      <c r="W4" s="522" t="s">
        <v>265</v>
      </c>
      <c r="X4" s="166" t="s">
        <v>259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266</v>
      </c>
      <c r="D6" s="186" t="s">
        <v>267</v>
      </c>
      <c r="E6" s="187"/>
      <c r="F6" s="336"/>
      <c r="G6" s="292">
        <f>D162</f>
        <v>370794.53000000009</v>
      </c>
      <c r="H6" s="551">
        <f>'Project Plan'!E36+60</f>
        <v>46132</v>
      </c>
      <c r="I6" s="668">
        <f>SUM(G6:G11)</f>
        <v>370794.53000000009</v>
      </c>
      <c r="J6" s="671">
        <f>F162</f>
        <v>452188.45121951227</v>
      </c>
      <c r="K6" s="289"/>
      <c r="L6" s="185">
        <v>1</v>
      </c>
      <c r="M6" s="316" t="s">
        <v>268</v>
      </c>
      <c r="N6" s="186" t="s">
        <v>269</v>
      </c>
      <c r="O6" s="521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80">
        <f>J6-SUM(U6:U11)</f>
        <v>0</v>
      </c>
      <c r="W6" s="453">
        <f>'Project Plan'!I36+60</f>
        <v>46132</v>
      </c>
      <c r="X6" s="668">
        <f>SUM(Q6:Q11)</f>
        <v>260780</v>
      </c>
    </row>
    <row r="7" spans="1:76" ht="15" customHeight="1">
      <c r="B7" s="215">
        <v>1</v>
      </c>
      <c r="C7" s="317"/>
      <c r="D7" s="290" t="s">
        <v>270</v>
      </c>
      <c r="E7" s="291"/>
      <c r="F7" s="357"/>
      <c r="G7" s="219"/>
      <c r="H7" s="542"/>
      <c r="I7" s="669"/>
      <c r="J7" s="672"/>
      <c r="K7" s="192"/>
      <c r="L7" s="215">
        <v>1</v>
      </c>
      <c r="M7" s="217" t="s">
        <v>268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0" si="1">IF(W7&gt;1,EOMONTH(W7,0),"")</f>
        <v/>
      </c>
      <c r="U7" s="397">
        <f t="shared" si="0"/>
        <v>0</v>
      </c>
      <c r="V7" s="681"/>
      <c r="W7" s="454"/>
      <c r="X7" s="669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9"/>
      <c r="J8" s="672"/>
      <c r="K8" s="192"/>
      <c r="L8" s="215">
        <v>1</v>
      </c>
      <c r="M8" s="217" t="s">
        <v>268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81"/>
      <c r="W8" s="454"/>
      <c r="X8" s="669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9"/>
      <c r="J9" s="672"/>
      <c r="K9" s="192"/>
      <c r="L9" s="215">
        <v>1</v>
      </c>
      <c r="M9" s="217" t="s">
        <v>268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1"/>
      <c r="W9" s="455"/>
      <c r="X9" s="66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9"/>
      <c r="J10" s="672"/>
      <c r="K10" s="192"/>
      <c r="L10" s="215">
        <v>1</v>
      </c>
      <c r="M10" s="217" t="s">
        <v>268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1"/>
      <c r="W10" s="455"/>
      <c r="X10" s="66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70"/>
      <c r="J11" s="673"/>
      <c r="K11" s="193"/>
      <c r="L11" s="220">
        <v>1</v>
      </c>
      <c r="M11" s="318" t="s">
        <v>268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2"/>
      <c r="W11" s="456"/>
      <c r="X11" s="670"/>
      <c r="Y11" s="608" t="s">
        <v>271</v>
      </c>
      <c r="Z11" s="487" t="s">
        <v>272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9" t="s">
        <v>273</v>
      </c>
      <c r="Z12" s="488">
        <f>G53</f>
        <v>198443.48695652175</v>
      </c>
      <c r="AA12" s="527"/>
    </row>
    <row r="13" spans="1:76" ht="14.25" customHeight="1">
      <c r="B13" s="197">
        <v>2</v>
      </c>
      <c r="C13" s="223" t="s">
        <v>87</v>
      </c>
      <c r="D13" s="223" t="s">
        <v>274</v>
      </c>
      <c r="E13" s="268"/>
      <c r="F13" s="355"/>
      <c r="G13" s="200">
        <f>D163</f>
        <v>95000</v>
      </c>
      <c r="H13" s="555">
        <f>'Project Plan'!E22+60</f>
        <v>46133</v>
      </c>
      <c r="I13" s="697">
        <f>SUM(G13:G19)</f>
        <v>95000</v>
      </c>
      <c r="J13" s="700">
        <f>F163</f>
        <v>115853.65853658537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2">
        <f>J13-SUM(U13:U19)</f>
        <v>0</v>
      </c>
      <c r="W13" s="458"/>
      <c r="X13" s="697">
        <f>SUM(Q13:Q19)</f>
        <v>87212.160000000003</v>
      </c>
      <c r="Y13" s="609" t="s">
        <v>276</v>
      </c>
      <c r="Z13" s="489">
        <f>G29</f>
        <v>50822.8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98"/>
      <c r="J14" s="701"/>
      <c r="K14" s="205"/>
      <c r="L14" s="202">
        <v>2</v>
      </c>
      <c r="M14" s="325" t="s">
        <v>275</v>
      </c>
      <c r="N14" s="309" t="s">
        <v>277</v>
      </c>
      <c r="O14" s="438">
        <v>2</v>
      </c>
      <c r="P14" s="351">
        <v>43606.080000000002</v>
      </c>
      <c r="Q14" s="375">
        <f>O14*P14</f>
        <v>87212.160000000003</v>
      </c>
      <c r="R14" s="475"/>
      <c r="S14" s="506"/>
      <c r="T14" s="416">
        <f>T6</f>
        <v>46081</v>
      </c>
      <c r="U14" s="401">
        <f t="shared" si="2"/>
        <v>115853.65853658537</v>
      </c>
      <c r="V14" s="713"/>
      <c r="W14" s="459">
        <f>W6</f>
        <v>46132</v>
      </c>
      <c r="X14" s="698"/>
      <c r="Y14" s="609" t="s">
        <v>278</v>
      </c>
      <c r="Z14" s="488">
        <f>G90</f>
        <v>32490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98"/>
      <c r="J15" s="701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3"/>
      <c r="W15" s="459"/>
      <c r="X15" s="698"/>
      <c r="Y15" s="609" t="s">
        <v>279</v>
      </c>
      <c r="Z15" s="488">
        <f>G91</f>
        <v>75810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98"/>
      <c r="J16" s="701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3"/>
      <c r="W16" s="459"/>
      <c r="X16" s="698"/>
      <c r="Y16" s="609" t="s">
        <v>280</v>
      </c>
      <c r="Z16" s="488">
        <f>G103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98"/>
      <c r="J17" s="701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3"/>
      <c r="W17" s="459"/>
      <c r="X17" s="698"/>
      <c r="Y17" s="609" t="s">
        <v>281</v>
      </c>
      <c r="Z17" s="488">
        <f>G104</f>
        <v>21741.9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98"/>
      <c r="J18" s="701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3"/>
      <c r="W18" s="459"/>
      <c r="X18" s="698"/>
      <c r="Y18" s="609" t="s">
        <v>282</v>
      </c>
      <c r="Z18" s="488">
        <f>G106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99"/>
      <c r="J19" s="702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4"/>
      <c r="W19" s="460"/>
      <c r="X19" s="699"/>
      <c r="Y19" s="609" t="s">
        <v>283</v>
      </c>
      <c r="Z19" s="488">
        <v>0</v>
      </c>
      <c r="AA19" s="527"/>
    </row>
    <row r="20" spans="1:27" ht="14.2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9"/>
      <c r="Z20" s="488"/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D164</f>
        <v>58482.000000000007</v>
      </c>
      <c r="H21" s="543">
        <f>'Project Plan'!E30+30</f>
        <v>46102</v>
      </c>
      <c r="I21" s="668">
        <f>SUM(G21:G26)</f>
        <v>58482.000000000007</v>
      </c>
      <c r="J21" s="671">
        <f>F164</f>
        <v>71319.512195121963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58482.000000000007</v>
      </c>
      <c r="R21" s="477"/>
      <c r="S21" s="508"/>
      <c r="T21" s="607">
        <v>46081</v>
      </c>
      <c r="U21" s="397">
        <f t="shared" ref="U21:U26" si="3">(Q21/$X$21*$J$21)</f>
        <v>71319.512195121963</v>
      </c>
      <c r="V21" s="680">
        <f>J21-SUM(U21:U26)</f>
        <v>0</v>
      </c>
      <c r="W21" s="461">
        <f>T21+30</f>
        <v>46111</v>
      </c>
      <c r="X21" s="668">
        <f>SUM(Q21:Q26)</f>
        <v>58482.000000000007</v>
      </c>
      <c r="Y21" s="609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9"/>
      <c r="J22" s="672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1"/>
      <c r="W22" s="454"/>
      <c r="X22" s="669"/>
      <c r="Y22" s="609" t="s">
        <v>240</v>
      </c>
      <c r="Z22" s="488">
        <f>SUM(Z12:Z21)</f>
        <v>387808.18695652176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9"/>
      <c r="J23" s="672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1"/>
      <c r="W23" s="454"/>
      <c r="X23" s="669"/>
      <c r="Y23" s="609" t="s">
        <v>289</v>
      </c>
      <c r="Z23" s="491">
        <f>+Z22*0.85</f>
        <v>329636.95891304349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9"/>
      <c r="J24" s="672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1"/>
      <c r="W24" s="455"/>
      <c r="X24" s="669"/>
      <c r="Y24" s="610" t="s">
        <v>290</v>
      </c>
      <c r="Z24" s="490">
        <f>Z23/'Project Plan'!$E$3/1000</f>
        <v>2.535668914715719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9"/>
      <c r="J25" s="672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1"/>
      <c r="W25" s="455"/>
      <c r="X25" s="66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70"/>
      <c r="J26" s="673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2"/>
      <c r="W26" s="456"/>
      <c r="X26" s="670"/>
      <c r="Y26" s="611" t="s">
        <v>200</v>
      </c>
      <c r="Z26" s="492" t="s">
        <v>291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2" t="str">
        <f>Y12</f>
        <v>AC Equipment</v>
      </c>
      <c r="Z27" s="493">
        <v>198443.48695652175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1328</v>
      </c>
      <c r="F28" s="355"/>
      <c r="G28" s="200">
        <v>18592</v>
      </c>
      <c r="H28" s="555">
        <f>'Project Plan'!E32+60</f>
        <v>46132</v>
      </c>
      <c r="I28" s="697">
        <f>SUM(G28:G42)</f>
        <v>69414.8</v>
      </c>
      <c r="J28" s="700">
        <f>F165</f>
        <v>84652.195121951227</v>
      </c>
      <c r="K28" s="201"/>
      <c r="L28" s="197">
        <v>4</v>
      </c>
      <c r="M28" s="324" t="s">
        <v>293</v>
      </c>
      <c r="N28" s="198" t="s">
        <v>294</v>
      </c>
      <c r="O28" s="429">
        <v>4000</v>
      </c>
      <c r="P28" s="355">
        <v>13.75</v>
      </c>
      <c r="Q28" s="200">
        <f>O28*P28</f>
        <v>55000</v>
      </c>
      <c r="R28" s="474"/>
      <c r="S28" s="505"/>
      <c r="T28" s="415">
        <f>T6</f>
        <v>46081</v>
      </c>
      <c r="U28" s="401">
        <f t="shared" ref="U28:U41" si="4">(Q28/$X$28*$J$28)</f>
        <v>43996.858254622995</v>
      </c>
      <c r="V28" s="712">
        <f>J28-SUM(U28:U42)</f>
        <v>0</v>
      </c>
      <c r="W28" s="458">
        <f>W6</f>
        <v>46132</v>
      </c>
      <c r="X28" s="697">
        <f>SUM(Q28:Q42)</f>
        <v>105822.79999999999</v>
      </c>
      <c r="Y28" s="612" t="str">
        <f t="shared" ref="Y28:Y30" si="5">Y13</f>
        <v>DC Equipment</v>
      </c>
      <c r="Z28" s="493">
        <v>50822.8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D165-G28</f>
        <v>50822.8</v>
      </c>
      <c r="H29" s="546">
        <f>'Project Plan'!G28</f>
        <v>46093</v>
      </c>
      <c r="I29" s="698"/>
      <c r="J29" s="701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13"/>
      <c r="W29" s="459"/>
      <c r="X29" s="698"/>
      <c r="Y29" s="612" t="str">
        <f t="shared" si="5"/>
        <v>AC Labour</v>
      </c>
      <c r="Z29" s="493">
        <v>32490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98"/>
      <c r="J30" s="701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13"/>
      <c r="W30" s="459"/>
      <c r="X30" s="698"/>
      <c r="Y30" s="612" t="str">
        <f t="shared" si="5"/>
        <v>DC Labour</v>
      </c>
      <c r="Z30" s="493">
        <v>75810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98"/>
      <c r="J31" s="701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13"/>
      <c r="W31" s="459"/>
      <c r="X31" s="698"/>
      <c r="Y31" s="612" t="s">
        <v>296</v>
      </c>
      <c r="Z31" s="493">
        <v>8500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98"/>
      <c r="J32" s="701"/>
      <c r="K32" s="205"/>
      <c r="L32" s="202">
        <v>4</v>
      </c>
      <c r="M32" s="325" t="s">
        <v>293</v>
      </c>
      <c r="N32" s="309" t="s">
        <v>297</v>
      </c>
      <c r="O32" s="447">
        <f>Z28</f>
        <v>50822.8</v>
      </c>
      <c r="P32" s="448">
        <v>0.1</v>
      </c>
      <c r="Q32" s="204">
        <f>$O$32*P32</f>
        <v>5082.2800000000007</v>
      </c>
      <c r="R32" s="694"/>
      <c r="S32" s="506"/>
      <c r="T32" s="416">
        <f>T91</f>
        <v>46081</v>
      </c>
      <c r="U32" s="401">
        <f t="shared" si="4"/>
        <v>4065.5336867328247</v>
      </c>
      <c r="V32" s="713"/>
      <c r="W32" s="459">
        <f>W91</f>
        <v>46072</v>
      </c>
      <c r="X32" s="698"/>
      <c r="Y32" s="612" t="s">
        <v>298</v>
      </c>
      <c r="Z32" s="493">
        <v>21741.9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98"/>
      <c r="J33" s="701"/>
      <c r="K33" s="205"/>
      <c r="L33" s="202">
        <v>4</v>
      </c>
      <c r="M33" s="325" t="s">
        <v>293</v>
      </c>
      <c r="N33" s="309" t="s">
        <v>152</v>
      </c>
      <c r="O33" s="438"/>
      <c r="P33" s="448">
        <v>0.15</v>
      </c>
      <c r="Q33" s="204">
        <f t="shared" ref="Q33:Q39" si="6">$O$32*P33</f>
        <v>7623.42</v>
      </c>
      <c r="R33" s="695"/>
      <c r="S33" s="506"/>
      <c r="T33" s="416">
        <f t="shared" ref="T33:T39" si="7">T92</f>
        <v>46081</v>
      </c>
      <c r="U33" s="401">
        <f t="shared" si="4"/>
        <v>6098.3005300992363</v>
      </c>
      <c r="V33" s="713"/>
      <c r="W33" s="459">
        <f t="shared" ref="W33:W39" si="8">W92</f>
        <v>46072</v>
      </c>
      <c r="X33" s="698"/>
      <c r="Y33" s="612" t="s">
        <v>299</v>
      </c>
      <c r="Z33" s="493">
        <v>2516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98"/>
      <c r="J34" s="701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10164.560000000001</v>
      </c>
      <c r="R34" s="695"/>
      <c r="S34" s="506"/>
      <c r="T34" s="416">
        <f t="shared" si="7"/>
        <v>46112</v>
      </c>
      <c r="U34" s="401">
        <f t="shared" si="4"/>
        <v>8131.0673734656493</v>
      </c>
      <c r="V34" s="713"/>
      <c r="W34" s="459">
        <f t="shared" si="8"/>
        <v>46090</v>
      </c>
      <c r="X34" s="698"/>
      <c r="Y34" s="612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98"/>
      <c r="J35" s="701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12705.7</v>
      </c>
      <c r="R35" s="695"/>
      <c r="S35" s="506"/>
      <c r="T35" s="416">
        <f t="shared" si="7"/>
        <v>46112</v>
      </c>
      <c r="U35" s="401">
        <f t="shared" si="4"/>
        <v>10163.834216832061</v>
      </c>
      <c r="V35" s="713"/>
      <c r="W35" s="459">
        <f t="shared" si="8"/>
        <v>46100</v>
      </c>
      <c r="X35" s="698"/>
      <c r="Y35" s="612" t="s">
        <v>105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98"/>
      <c r="J36" s="701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5082.2800000000007</v>
      </c>
      <c r="R36" s="695"/>
      <c r="S36" s="506"/>
      <c r="T36" s="416">
        <f t="shared" si="7"/>
        <v>46112</v>
      </c>
      <c r="U36" s="401">
        <f t="shared" si="4"/>
        <v>4065.5336867328247</v>
      </c>
      <c r="V36" s="713"/>
      <c r="W36" s="459">
        <f t="shared" si="8"/>
        <v>46111</v>
      </c>
      <c r="X36" s="698"/>
      <c r="Y36" s="612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98"/>
      <c r="J37" s="701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5082.2800000000007</v>
      </c>
      <c r="R37" s="695"/>
      <c r="S37" s="506"/>
      <c r="T37" s="416">
        <f t="shared" si="7"/>
        <v>46112</v>
      </c>
      <c r="U37" s="401">
        <f t="shared" si="4"/>
        <v>4065.5336867328247</v>
      </c>
      <c r="V37" s="713"/>
      <c r="W37" s="459">
        <f t="shared" si="8"/>
        <v>46112</v>
      </c>
      <c r="X37" s="698"/>
      <c r="Y37" s="612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98"/>
      <c r="J38" s="701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2541.1400000000003</v>
      </c>
      <c r="R38" s="695"/>
      <c r="S38" s="506"/>
      <c r="T38" s="416">
        <f t="shared" si="7"/>
        <v>46112</v>
      </c>
      <c r="U38" s="401">
        <f t="shared" si="4"/>
        <v>2032.7668433664123</v>
      </c>
      <c r="V38" s="713"/>
      <c r="W38" s="459">
        <f t="shared" si="8"/>
        <v>46112</v>
      </c>
      <c r="X38" s="698"/>
      <c r="Y38" s="612" t="s">
        <v>240</v>
      </c>
      <c r="Z38" s="493">
        <f>SUM(Z27:Z37)</f>
        <v>390324.18695652176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98"/>
      <c r="J39" s="701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2541.1400000000003</v>
      </c>
      <c r="R39" s="696"/>
      <c r="S39" s="506"/>
      <c r="T39" s="416">
        <f t="shared" si="7"/>
        <v>46142</v>
      </c>
      <c r="U39" s="401">
        <f t="shared" si="4"/>
        <v>2032.7668433664123</v>
      </c>
      <c r="V39" s="713"/>
      <c r="W39" s="459">
        <f t="shared" si="8"/>
        <v>46135</v>
      </c>
      <c r="X39" s="698"/>
      <c r="Y39" s="613" t="s">
        <v>290</v>
      </c>
      <c r="Z39" s="494">
        <f>Z38/'Project Plan'!$E$3/1000</f>
        <v>3.0024937458193981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98"/>
      <c r="J40" s="701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13"/>
      <c r="W40" s="459"/>
      <c r="X40" s="69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98"/>
      <c r="J41" s="701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13"/>
      <c r="W41" s="459"/>
      <c r="X41" s="69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99"/>
      <c r="J42" s="702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14"/>
      <c r="W42" s="460"/>
      <c r="X42" s="699"/>
    </row>
    <row r="43" spans="1:26" ht="13.9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3">
        <f>H53</f>
        <v>46108</v>
      </c>
      <c r="I44" s="668">
        <f>D167</f>
        <v>49000</v>
      </c>
      <c r="J44" s="671">
        <f>F167</f>
        <v>59756.097560975606</v>
      </c>
      <c r="K44" s="189"/>
      <c r="L44" s="185">
        <v>5</v>
      </c>
      <c r="M44" s="321" t="s">
        <v>309</v>
      </c>
      <c r="N44" s="231" t="s">
        <v>310</v>
      </c>
      <c r="O44" s="432"/>
      <c r="P44" s="336"/>
      <c r="Q44" s="188">
        <v>8598.34</v>
      </c>
      <c r="R44" s="477"/>
      <c r="S44" s="508"/>
      <c r="T44" s="411">
        <f t="shared" si="1"/>
        <v>46142</v>
      </c>
      <c r="U44" s="396">
        <f>(Q44/$X$44*$J$44)</f>
        <v>8819.5300703642151</v>
      </c>
      <c r="V44" s="680">
        <f>J44-SUM(U44:U51)</f>
        <v>0</v>
      </c>
      <c r="W44" s="461">
        <f>W14</f>
        <v>46132</v>
      </c>
      <c r="X44" s="668">
        <f>SUM(Q44:Q51)</f>
        <v>58257.439999999995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46108</v>
      </c>
      <c r="I45" s="669"/>
      <c r="J45" s="672"/>
      <c r="K45" s="192"/>
      <c r="L45" s="190">
        <v>5</v>
      </c>
      <c r="M45" s="327" t="s">
        <v>309</v>
      </c>
      <c r="N45" s="191" t="s">
        <v>311</v>
      </c>
      <c r="O45" s="440"/>
      <c r="P45" s="350"/>
      <c r="Q45" s="219">
        <v>26000</v>
      </c>
      <c r="R45" s="518"/>
      <c r="S45" s="501"/>
      <c r="T45" s="411">
        <f t="shared" si="1"/>
        <v>46081</v>
      </c>
      <c r="U45" s="396">
        <f t="shared" ref="U45:U51" si="9">(Q45/$X$44*$J$44)</f>
        <v>26668.843268522716</v>
      </c>
      <c r="V45" s="681"/>
      <c r="W45" s="454">
        <v>46081</v>
      </c>
      <c r="X45" s="669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46108</v>
      </c>
      <c r="I46" s="669"/>
      <c r="J46" s="672"/>
      <c r="K46" s="192"/>
      <c r="L46" s="190">
        <v>5</v>
      </c>
      <c r="M46" s="327" t="s">
        <v>309</v>
      </c>
      <c r="N46" s="217" t="s">
        <v>312</v>
      </c>
      <c r="O46" s="433"/>
      <c r="P46" s="357"/>
      <c r="Q46" s="219">
        <v>15000</v>
      </c>
      <c r="R46" s="470"/>
      <c r="S46" s="501"/>
      <c r="T46" s="411">
        <f t="shared" si="1"/>
        <v>46081</v>
      </c>
      <c r="U46" s="396">
        <f t="shared" si="9"/>
        <v>15385.871116455413</v>
      </c>
      <c r="V46" s="681"/>
      <c r="W46" s="454">
        <f>W45</f>
        <v>46081</v>
      </c>
      <c r="X46" s="66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2"/>
      <c r="I47" s="669"/>
      <c r="J47" s="672"/>
      <c r="K47" s="192"/>
      <c r="L47" s="215">
        <v>5</v>
      </c>
      <c r="M47" s="327" t="s">
        <v>309</v>
      </c>
      <c r="N47" s="217" t="s">
        <v>313</v>
      </c>
      <c r="O47" s="433"/>
      <c r="P47" s="357"/>
      <c r="Q47" s="219">
        <v>3600</v>
      </c>
      <c r="R47" s="470" t="s">
        <v>314</v>
      </c>
      <c r="S47" s="501" t="s">
        <v>315</v>
      </c>
      <c r="T47" s="628">
        <v>46053</v>
      </c>
      <c r="U47" s="396">
        <f t="shared" si="9"/>
        <v>3692.6090679492991</v>
      </c>
      <c r="V47" s="681"/>
      <c r="W47" s="629">
        <v>45911</v>
      </c>
      <c r="X47" s="66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9"/>
      <c r="J48" s="672"/>
      <c r="K48" s="192"/>
      <c r="L48" s="215">
        <v>5</v>
      </c>
      <c r="M48" s="327" t="s">
        <v>309</v>
      </c>
      <c r="N48" s="217" t="s">
        <v>316</v>
      </c>
      <c r="O48" s="434"/>
      <c r="P48" s="343"/>
      <c r="Q48" s="287">
        <v>2870</v>
      </c>
      <c r="R48" s="471"/>
      <c r="S48" s="502" t="s">
        <v>317</v>
      </c>
      <c r="T48" s="628">
        <v>46053</v>
      </c>
      <c r="U48" s="396">
        <f t="shared" si="9"/>
        <v>2943.8300069484685</v>
      </c>
      <c r="V48" s="681"/>
      <c r="W48" s="633">
        <v>46029</v>
      </c>
      <c r="X48" s="669"/>
    </row>
    <row r="49" spans="1:24" ht="14.25" customHeight="1">
      <c r="B49" s="284"/>
      <c r="C49" s="285"/>
      <c r="D49" s="288"/>
      <c r="E49" s="307"/>
      <c r="F49" s="343"/>
      <c r="G49" s="287"/>
      <c r="H49" s="552"/>
      <c r="I49" s="669"/>
      <c r="J49" s="672"/>
      <c r="K49" s="192"/>
      <c r="L49" s="215">
        <v>5</v>
      </c>
      <c r="M49" s="327" t="s">
        <v>309</v>
      </c>
      <c r="N49" s="288" t="s">
        <v>318</v>
      </c>
      <c r="O49" s="434"/>
      <c r="P49" s="343"/>
      <c r="Q49" s="287">
        <v>975</v>
      </c>
      <c r="R49" s="471"/>
      <c r="S49" s="502" t="s">
        <v>319</v>
      </c>
      <c r="T49" s="632">
        <v>46053</v>
      </c>
      <c r="U49" s="396">
        <f t="shared" si="9"/>
        <v>1000.0816225696019</v>
      </c>
      <c r="V49" s="681"/>
      <c r="W49" s="633">
        <v>45899</v>
      </c>
      <c r="X49" s="669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2"/>
      <c r="I50" s="669"/>
      <c r="J50" s="672"/>
      <c r="K50" s="192"/>
      <c r="L50" s="215">
        <v>5</v>
      </c>
      <c r="M50" s="327" t="s">
        <v>309</v>
      </c>
      <c r="N50" s="288" t="s">
        <v>320</v>
      </c>
      <c r="O50" s="434"/>
      <c r="P50" s="343"/>
      <c r="Q50" s="287">
        <v>1214.0999999999999</v>
      </c>
      <c r="R50" s="471"/>
      <c r="S50" s="502" t="s">
        <v>321</v>
      </c>
      <c r="T50" s="632">
        <v>46053</v>
      </c>
      <c r="U50" s="397">
        <f t="shared" si="9"/>
        <v>1245.3324081659009</v>
      </c>
      <c r="V50" s="681"/>
      <c r="W50" s="633">
        <v>45910</v>
      </c>
      <c r="X50" s="669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3"/>
      <c r="I51" s="670"/>
      <c r="J51" s="673"/>
      <c r="K51" s="193"/>
      <c r="L51" s="220">
        <v>5</v>
      </c>
      <c r="M51" s="323" t="s">
        <v>309</v>
      </c>
      <c r="N51" s="221"/>
      <c r="O51" s="435"/>
      <c r="P51" s="358"/>
      <c r="Q51" s="234"/>
      <c r="R51" s="472"/>
      <c r="S51" s="503"/>
      <c r="T51" s="413" t="str">
        <f t="shared" si="1"/>
        <v/>
      </c>
      <c r="U51" s="398">
        <f t="shared" si="9"/>
        <v>0</v>
      </c>
      <c r="V51" s="682"/>
      <c r="W51" s="456"/>
      <c r="X51" s="670"/>
    </row>
    <row r="52" spans="1:24" ht="14.25" thickBot="1">
      <c r="A52" s="4"/>
      <c r="B52" s="194"/>
      <c r="C52" s="211"/>
      <c r="D52" s="182"/>
      <c r="E52" s="195"/>
      <c r="F52" s="354"/>
      <c r="G52" s="196"/>
      <c r="H52" s="554"/>
      <c r="I52" s="549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1"/>
        <v/>
      </c>
      <c r="U52" s="403"/>
      <c r="V52" s="385"/>
      <c r="W52" s="457"/>
      <c r="X52" s="549"/>
    </row>
    <row r="53" spans="1:24" ht="14.25" customHeight="1">
      <c r="B53" s="197">
        <v>6</v>
      </c>
      <c r="C53" s="198" t="s">
        <v>273</v>
      </c>
      <c r="D53" s="199" t="s">
        <v>322</v>
      </c>
      <c r="E53" s="373"/>
      <c r="F53" s="355"/>
      <c r="G53" s="200">
        <f>D166</f>
        <v>198443.48695652175</v>
      </c>
      <c r="H53" s="555">
        <f>'Project Plan'!G24+30</f>
        <v>46108</v>
      </c>
      <c r="I53" s="697">
        <f>SUM(G53:G69)</f>
        <v>198443.48695652175</v>
      </c>
      <c r="J53" s="700">
        <f>F166</f>
        <v>242004.25238600213</v>
      </c>
      <c r="K53" s="201"/>
      <c r="L53" s="197">
        <v>6</v>
      </c>
      <c r="M53" s="330" t="s">
        <v>323</v>
      </c>
      <c r="N53" s="199"/>
      <c r="O53" s="428"/>
      <c r="P53" s="355"/>
      <c r="Q53" s="200"/>
      <c r="R53" s="474"/>
      <c r="S53" s="505"/>
      <c r="T53" s="415" t="str">
        <f t="shared" si="1"/>
        <v/>
      </c>
      <c r="U53" s="400">
        <f t="shared" ref="U53:U68" si="10">(Q53/$X$53*$J$53)</f>
        <v>0</v>
      </c>
      <c r="V53" s="712">
        <f>J53-SUM(U53:U69)</f>
        <v>0</v>
      </c>
      <c r="W53" s="458"/>
      <c r="X53" s="697">
        <f>SUM(Q53:Q69)</f>
        <v>198443.48695652178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98"/>
      <c r="J54" s="701"/>
      <c r="K54" s="205"/>
      <c r="L54" s="202">
        <v>6</v>
      </c>
      <c r="M54" s="328" t="s">
        <v>323</v>
      </c>
      <c r="N54" s="342" t="s">
        <v>98</v>
      </c>
      <c r="O54" s="438"/>
      <c r="P54" s="351"/>
      <c r="Q54" s="225">
        <v>80831.95</v>
      </c>
      <c r="R54" s="475"/>
      <c r="S54" s="506"/>
      <c r="T54" s="416">
        <v>46112</v>
      </c>
      <c r="U54" s="401">
        <f t="shared" si="10"/>
        <v>98575.548780487778</v>
      </c>
      <c r="V54" s="713"/>
      <c r="W54" s="459">
        <f>T54+30</f>
        <v>46142</v>
      </c>
      <c r="X54" s="69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98"/>
      <c r="J55" s="701"/>
      <c r="K55" s="205"/>
      <c r="L55" s="202">
        <v>6</v>
      </c>
      <c r="M55" s="328" t="s">
        <v>323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0"/>
        <v>0</v>
      </c>
      <c r="V55" s="713"/>
      <c r="W55" s="459"/>
      <c r="X55" s="69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98"/>
      <c r="J56" s="701"/>
      <c r="K56" s="205"/>
      <c r="L56" s="202">
        <v>6</v>
      </c>
      <c r="M56" s="328" t="s">
        <v>323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0"/>
        <v>0</v>
      </c>
      <c r="V56" s="713"/>
      <c r="W56" s="459"/>
      <c r="X56" s="69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98"/>
      <c r="J57" s="701"/>
      <c r="K57" s="205"/>
      <c r="L57" s="202">
        <v>6</v>
      </c>
      <c r="M57" s="328" t="s">
        <v>323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0"/>
        <v>0</v>
      </c>
      <c r="V57" s="713"/>
      <c r="W57" s="459"/>
      <c r="X57" s="698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6"/>
      <c r="I58" s="698"/>
      <c r="J58" s="701"/>
      <c r="K58" s="205"/>
      <c r="L58" s="202">
        <v>6</v>
      </c>
      <c r="M58" s="328" t="s">
        <v>323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10"/>
        <v>0</v>
      </c>
      <c r="V58" s="713"/>
      <c r="W58" s="459"/>
      <c r="X58" s="698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6"/>
      <c r="I59" s="698"/>
      <c r="J59" s="701"/>
      <c r="K59" s="205"/>
      <c r="L59" s="202">
        <v>6</v>
      </c>
      <c r="M59" s="328" t="s">
        <v>323</v>
      </c>
      <c r="N59" s="309" t="s">
        <v>297</v>
      </c>
      <c r="O59" s="447">
        <f>Z27-Q54</f>
        <v>117611.53695652176</v>
      </c>
      <c r="P59" s="448">
        <v>0.1</v>
      </c>
      <c r="Q59" s="204">
        <f>$O$59*P59</f>
        <v>11761.153695652176</v>
      </c>
      <c r="R59" s="694"/>
      <c r="S59" s="506"/>
      <c r="T59" s="419">
        <f>T91</f>
        <v>46081</v>
      </c>
      <c r="U59" s="401">
        <f t="shared" si="10"/>
        <v>14342.870360551431</v>
      </c>
      <c r="V59" s="713"/>
      <c r="W59" s="459">
        <f>W91</f>
        <v>46072</v>
      </c>
      <c r="X59" s="69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98"/>
      <c r="J60" s="701"/>
      <c r="K60" s="205"/>
      <c r="L60" s="202">
        <v>6</v>
      </c>
      <c r="M60" s="329" t="s">
        <v>323</v>
      </c>
      <c r="N60" s="309" t="s">
        <v>152</v>
      </c>
      <c r="O60" s="438"/>
      <c r="P60" s="448">
        <v>0.15</v>
      </c>
      <c r="Q60" s="204">
        <f t="shared" ref="Q60:Q66" si="11">$O$59*P60</f>
        <v>17641.730543478261</v>
      </c>
      <c r="R60" s="695"/>
      <c r="S60" s="506"/>
      <c r="T60" s="419">
        <f t="shared" si="1"/>
        <v>46081</v>
      </c>
      <c r="U60" s="401">
        <f t="shared" si="10"/>
        <v>21514.305540827147</v>
      </c>
      <c r="V60" s="713"/>
      <c r="W60" s="459">
        <f t="shared" ref="W60:W66" si="12">W92</f>
        <v>46072</v>
      </c>
      <c r="X60" s="69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98"/>
      <c r="J61" s="701"/>
      <c r="K61" s="205"/>
      <c r="L61" s="202">
        <v>6</v>
      </c>
      <c r="M61" s="329" t="s">
        <v>323</v>
      </c>
      <c r="N61" s="309" t="s">
        <v>300</v>
      </c>
      <c r="O61" s="438"/>
      <c r="P61" s="448">
        <v>0.2</v>
      </c>
      <c r="Q61" s="204">
        <f t="shared" si="11"/>
        <v>23522.307391304352</v>
      </c>
      <c r="R61" s="695"/>
      <c r="S61" s="506"/>
      <c r="T61" s="419">
        <f t="shared" si="1"/>
        <v>46112</v>
      </c>
      <c r="U61" s="401">
        <f t="shared" si="10"/>
        <v>28685.740721102862</v>
      </c>
      <c r="V61" s="713"/>
      <c r="W61" s="459">
        <f t="shared" si="12"/>
        <v>46090</v>
      </c>
      <c r="X61" s="69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98"/>
      <c r="J62" s="701"/>
      <c r="K62" s="205"/>
      <c r="L62" s="202">
        <v>6</v>
      </c>
      <c r="M62" s="329" t="s">
        <v>323</v>
      </c>
      <c r="N62" s="309" t="s">
        <v>302</v>
      </c>
      <c r="O62" s="438"/>
      <c r="P62" s="448">
        <v>0.25</v>
      </c>
      <c r="Q62" s="204">
        <f t="shared" si="11"/>
        <v>29402.884239130439</v>
      </c>
      <c r="R62" s="695"/>
      <c r="S62" s="506"/>
      <c r="T62" s="419">
        <f t="shared" si="1"/>
        <v>46112</v>
      </c>
      <c r="U62" s="401">
        <f t="shared" si="10"/>
        <v>35857.175901378578</v>
      </c>
      <c r="V62" s="713"/>
      <c r="W62" s="459">
        <f t="shared" si="12"/>
        <v>46100</v>
      </c>
      <c r="X62" s="698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6"/>
      <c r="I63" s="698"/>
      <c r="J63" s="701"/>
      <c r="K63" s="205"/>
      <c r="L63" s="202">
        <v>6</v>
      </c>
      <c r="M63" s="329" t="s">
        <v>323</v>
      </c>
      <c r="N63" s="309" t="s">
        <v>303</v>
      </c>
      <c r="O63" s="438"/>
      <c r="P63" s="448">
        <v>0.1</v>
      </c>
      <c r="Q63" s="204">
        <f t="shared" si="11"/>
        <v>11761.153695652176</v>
      </c>
      <c r="R63" s="695"/>
      <c r="S63" s="506"/>
      <c r="T63" s="419">
        <f t="shared" si="1"/>
        <v>46112</v>
      </c>
      <c r="U63" s="401">
        <f t="shared" si="10"/>
        <v>14342.870360551431</v>
      </c>
      <c r="V63" s="713"/>
      <c r="W63" s="459">
        <f t="shared" si="12"/>
        <v>46111</v>
      </c>
      <c r="X63" s="69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98"/>
      <c r="J64" s="701"/>
      <c r="K64" s="205"/>
      <c r="L64" s="202">
        <v>6</v>
      </c>
      <c r="M64" s="329" t="s">
        <v>323</v>
      </c>
      <c r="N64" s="309" t="s">
        <v>304</v>
      </c>
      <c r="O64" s="438"/>
      <c r="P64" s="448">
        <v>0.1</v>
      </c>
      <c r="Q64" s="204">
        <f t="shared" si="11"/>
        <v>11761.153695652176</v>
      </c>
      <c r="R64" s="695"/>
      <c r="S64" s="510"/>
      <c r="T64" s="419">
        <f t="shared" si="1"/>
        <v>46112</v>
      </c>
      <c r="U64" s="406">
        <f t="shared" si="10"/>
        <v>14342.870360551431</v>
      </c>
      <c r="V64" s="713"/>
      <c r="W64" s="459">
        <f t="shared" si="12"/>
        <v>46112</v>
      </c>
      <c r="X64" s="69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98"/>
      <c r="J65" s="701"/>
      <c r="K65" s="205"/>
      <c r="L65" s="202">
        <v>6</v>
      </c>
      <c r="M65" s="329" t="s">
        <v>323</v>
      </c>
      <c r="N65" s="309" t="s">
        <v>305</v>
      </c>
      <c r="O65" s="438"/>
      <c r="P65" s="448">
        <v>0.05</v>
      </c>
      <c r="Q65" s="204">
        <f t="shared" si="11"/>
        <v>5880.5768478260879</v>
      </c>
      <c r="R65" s="695"/>
      <c r="S65" s="510"/>
      <c r="T65" s="419">
        <f t="shared" si="1"/>
        <v>46112</v>
      </c>
      <c r="U65" s="406">
        <f t="shared" si="10"/>
        <v>7171.4351802757155</v>
      </c>
      <c r="V65" s="713"/>
      <c r="W65" s="459">
        <f t="shared" si="12"/>
        <v>46112</v>
      </c>
      <c r="X65" s="69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98"/>
      <c r="J66" s="701"/>
      <c r="K66" s="205"/>
      <c r="L66" s="202">
        <v>6</v>
      </c>
      <c r="M66" s="329" t="s">
        <v>323</v>
      </c>
      <c r="N66" s="309" t="s">
        <v>306</v>
      </c>
      <c r="O66" s="438"/>
      <c r="P66" s="448">
        <v>0.05</v>
      </c>
      <c r="Q66" s="204">
        <f t="shared" si="11"/>
        <v>5880.5768478260879</v>
      </c>
      <c r="R66" s="696"/>
      <c r="S66" s="510"/>
      <c r="T66" s="419">
        <f t="shared" si="1"/>
        <v>46142</v>
      </c>
      <c r="U66" s="406">
        <f t="shared" si="10"/>
        <v>7171.4351802757155</v>
      </c>
      <c r="V66" s="713"/>
      <c r="W66" s="459">
        <f t="shared" si="12"/>
        <v>46135</v>
      </c>
      <c r="X66" s="69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98"/>
      <c r="J67" s="701"/>
      <c r="K67" s="205"/>
      <c r="L67" s="202">
        <v>6</v>
      </c>
      <c r="M67" s="329" t="s">
        <v>323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0"/>
        <v>0</v>
      </c>
      <c r="V67" s="713"/>
      <c r="W67" s="462"/>
      <c r="X67" s="698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698"/>
      <c r="J68" s="701"/>
      <c r="K68" s="205"/>
      <c r="L68" s="202">
        <v>6</v>
      </c>
      <c r="M68" s="329" t="s">
        <v>323</v>
      </c>
      <c r="N68" s="309"/>
      <c r="O68" s="438"/>
      <c r="P68" s="448"/>
      <c r="Q68" s="204"/>
      <c r="R68" s="479"/>
      <c r="S68" s="510"/>
      <c r="T68" s="419" t="str">
        <f t="shared" si="1"/>
        <v/>
      </c>
      <c r="U68" s="406">
        <f t="shared" si="10"/>
        <v>0</v>
      </c>
      <c r="V68" s="713"/>
      <c r="W68" s="462"/>
      <c r="X68" s="698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6"/>
      <c r="I69" s="699"/>
      <c r="J69" s="702"/>
      <c r="K69" s="210"/>
      <c r="L69" s="206">
        <v>6</v>
      </c>
      <c r="M69" s="331" t="s">
        <v>323</v>
      </c>
      <c r="N69" s="208"/>
      <c r="O69" s="442"/>
      <c r="P69" s="353"/>
      <c r="Q69" s="209"/>
      <c r="R69" s="476"/>
      <c r="S69" s="507"/>
      <c r="T69" s="417" t="str">
        <f t="shared" si="1"/>
        <v/>
      </c>
      <c r="U69" s="402">
        <f>(Q69/$X$53*$J$53)</f>
        <v>0</v>
      </c>
      <c r="V69" s="714"/>
      <c r="W69" s="460"/>
      <c r="X69" s="699"/>
    </row>
    <row r="70" spans="1:24" ht="13.9" thickBot="1">
      <c r="A70" s="4"/>
      <c r="B70" s="194"/>
      <c r="C70" s="235"/>
      <c r="D70" s="212"/>
      <c r="E70" s="195"/>
      <c r="F70" s="354"/>
      <c r="G70" s="196"/>
      <c r="H70" s="558"/>
      <c r="I70" s="548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1"/>
        <v/>
      </c>
      <c r="U70" s="407"/>
      <c r="V70" s="382"/>
      <c r="W70" s="463"/>
      <c r="X70" s="548"/>
    </row>
    <row r="71" spans="1:24" ht="14.25" customHeight="1">
      <c r="B71" s="281">
        <v>7</v>
      </c>
      <c r="C71" s="213" t="s">
        <v>324</v>
      </c>
      <c r="D71" s="282"/>
      <c r="E71" s="360"/>
      <c r="F71" s="366"/>
      <c r="G71" s="283"/>
      <c r="H71" s="559"/>
      <c r="I71" s="668">
        <f>SUM(G71:G78)</f>
        <v>0</v>
      </c>
      <c r="J71" s="671">
        <f>F171</f>
        <v>0</v>
      </c>
      <c r="K71" s="189"/>
      <c r="L71" s="281">
        <v>7</v>
      </c>
      <c r="M71" s="213" t="s">
        <v>325</v>
      </c>
      <c r="N71" s="282"/>
      <c r="O71" s="360"/>
      <c r="P71" s="366"/>
      <c r="Q71" s="283"/>
      <c r="R71" s="481"/>
      <c r="S71" s="512"/>
      <c r="T71" s="421" t="str">
        <f t="shared" ref="T71:T135" si="13">IF(W71&gt;1,EOMONTH(W71,0),"")</f>
        <v/>
      </c>
      <c r="U71" s="525"/>
      <c r="V71" s="709">
        <f>J71-SUM(U71:U78)</f>
        <v>0</v>
      </c>
      <c r="W71" s="464"/>
      <c r="X71" s="668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9"/>
      <c r="J72" s="672"/>
      <c r="K72" s="192"/>
      <c r="L72" s="284">
        <v>7</v>
      </c>
      <c r="M72" s="285" t="s">
        <v>325</v>
      </c>
      <c r="N72" s="286"/>
      <c r="O72" s="307"/>
      <c r="P72" s="343"/>
      <c r="Q72" s="287"/>
      <c r="R72" s="471"/>
      <c r="S72" s="502"/>
      <c r="T72" s="412" t="str">
        <f t="shared" si="13"/>
        <v/>
      </c>
      <c r="U72" s="397"/>
      <c r="V72" s="710"/>
      <c r="W72" s="455"/>
      <c r="X72" s="669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9"/>
      <c r="J73" s="672"/>
      <c r="K73" s="192"/>
      <c r="L73" s="284">
        <v>7</v>
      </c>
      <c r="M73" s="285" t="s">
        <v>325</v>
      </c>
      <c r="N73" s="286"/>
      <c r="O73" s="307"/>
      <c r="P73" s="343"/>
      <c r="Q73" s="287"/>
      <c r="R73" s="471"/>
      <c r="S73" s="502"/>
      <c r="T73" s="412" t="str">
        <f t="shared" si="13"/>
        <v/>
      </c>
      <c r="U73" s="397"/>
      <c r="V73" s="710"/>
      <c r="W73" s="455"/>
      <c r="X73" s="669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9"/>
      <c r="J74" s="672"/>
      <c r="K74" s="192"/>
      <c r="L74" s="284">
        <v>7</v>
      </c>
      <c r="M74" s="285" t="s">
        <v>325</v>
      </c>
      <c r="N74" s="286"/>
      <c r="O74" s="307"/>
      <c r="P74" s="343"/>
      <c r="Q74" s="287"/>
      <c r="R74" s="471"/>
      <c r="S74" s="502"/>
      <c r="T74" s="412" t="str">
        <f t="shared" si="13"/>
        <v/>
      </c>
      <c r="U74" s="397"/>
      <c r="V74" s="710"/>
      <c r="W74" s="455"/>
      <c r="X74" s="669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9"/>
      <c r="J75" s="672"/>
      <c r="K75" s="192"/>
      <c r="L75" s="284">
        <v>7</v>
      </c>
      <c r="M75" s="285" t="s">
        <v>325</v>
      </c>
      <c r="N75" s="286"/>
      <c r="O75" s="307"/>
      <c r="P75" s="343"/>
      <c r="Q75" s="287"/>
      <c r="R75" s="471"/>
      <c r="S75" s="502"/>
      <c r="T75" s="412" t="str">
        <f t="shared" si="13"/>
        <v/>
      </c>
      <c r="U75" s="397"/>
      <c r="V75" s="710"/>
      <c r="W75" s="455"/>
      <c r="X75" s="66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9"/>
      <c r="J76" s="672"/>
      <c r="K76" s="192"/>
      <c r="L76" s="284">
        <v>7</v>
      </c>
      <c r="M76" s="285" t="s">
        <v>325</v>
      </c>
      <c r="N76" s="286"/>
      <c r="O76" s="434"/>
      <c r="P76" s="343"/>
      <c r="Q76" s="287"/>
      <c r="R76" s="471"/>
      <c r="S76" s="502"/>
      <c r="T76" s="412" t="str">
        <f t="shared" si="13"/>
        <v/>
      </c>
      <c r="U76" s="397"/>
      <c r="V76" s="710"/>
      <c r="W76" s="455"/>
      <c r="X76" s="669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69"/>
      <c r="J77" s="672"/>
      <c r="K77" s="192"/>
      <c r="L77" s="284">
        <v>7</v>
      </c>
      <c r="M77" s="285" t="s">
        <v>325</v>
      </c>
      <c r="N77" s="286"/>
      <c r="O77" s="434"/>
      <c r="P77" s="343"/>
      <c r="Q77" s="287"/>
      <c r="R77" s="471"/>
      <c r="S77" s="502"/>
      <c r="T77" s="412" t="str">
        <f t="shared" si="13"/>
        <v/>
      </c>
      <c r="U77" s="397"/>
      <c r="V77" s="710"/>
      <c r="W77" s="455"/>
      <c r="X77" s="669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60"/>
      <c r="I78" s="670"/>
      <c r="J78" s="673"/>
      <c r="K78" s="193"/>
      <c r="L78" s="220">
        <v>7</v>
      </c>
      <c r="M78" s="241" t="s">
        <v>325</v>
      </c>
      <c r="N78" s="233"/>
      <c r="O78" s="435"/>
      <c r="P78" s="358"/>
      <c r="Q78" s="234"/>
      <c r="R78" s="472"/>
      <c r="S78" s="503"/>
      <c r="T78" s="413" t="str">
        <f t="shared" si="13"/>
        <v/>
      </c>
      <c r="U78" s="398"/>
      <c r="V78" s="711"/>
      <c r="W78" s="456"/>
      <c r="X78" s="670"/>
    </row>
    <row r="79" spans="1:24" ht="13.9" thickBot="1">
      <c r="A79" s="4"/>
      <c r="B79" s="194"/>
      <c r="C79" s="235"/>
      <c r="D79" s="212"/>
      <c r="E79" s="195"/>
      <c r="F79" s="354"/>
      <c r="G79" s="196"/>
      <c r="H79" s="554"/>
      <c r="I79" s="548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3"/>
        <v/>
      </c>
      <c r="U79" s="403"/>
      <c r="V79" s="385"/>
      <c r="W79" s="457"/>
      <c r="X79" s="548"/>
    </row>
    <row r="80" spans="1:24" ht="14.25" customHeight="1">
      <c r="B80" s="236">
        <v>8</v>
      </c>
      <c r="C80" s="198" t="s">
        <v>326</v>
      </c>
      <c r="D80" s="237" t="s">
        <v>327</v>
      </c>
      <c r="E80" s="361"/>
      <c r="F80" s="315"/>
      <c r="G80" s="238">
        <f>D170</f>
        <v>4000</v>
      </c>
      <c r="H80" s="555">
        <f>H90</f>
        <v>46090</v>
      </c>
      <c r="I80" s="697">
        <f>SUM(G80:G88)</f>
        <v>4000</v>
      </c>
      <c r="J80" s="700">
        <f>F170</f>
        <v>4494.3820224719102</v>
      </c>
      <c r="K80" s="201"/>
      <c r="L80" s="236">
        <v>8</v>
      </c>
      <c r="M80" s="324" t="s">
        <v>328</v>
      </c>
      <c r="N80" s="237" t="s">
        <v>327</v>
      </c>
      <c r="O80" s="361"/>
      <c r="P80" s="315"/>
      <c r="Q80" s="238">
        <v>4000</v>
      </c>
      <c r="R80" s="474"/>
      <c r="S80" s="505"/>
      <c r="T80" s="415">
        <v>46081</v>
      </c>
      <c r="U80" s="400">
        <f>(Q80/$X$80*$J$80)</f>
        <v>4494.3820224719102</v>
      </c>
      <c r="V80" s="706">
        <f>J80-SUM(U80:U88)</f>
        <v>0</v>
      </c>
      <c r="W80" s="458">
        <v>46081</v>
      </c>
      <c r="X80" s="697">
        <f>SUM(Q80:Q88)</f>
        <v>4000</v>
      </c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98"/>
      <c r="J81" s="701"/>
      <c r="K81" s="205"/>
      <c r="L81" s="226">
        <v>8</v>
      </c>
      <c r="M81" s="332" t="s">
        <v>328</v>
      </c>
      <c r="N81" s="239"/>
      <c r="O81" s="314"/>
      <c r="P81" s="359"/>
      <c r="Q81" s="228"/>
      <c r="R81" s="475"/>
      <c r="S81" s="506"/>
      <c r="T81" s="416"/>
      <c r="U81" s="401">
        <f t="shared" ref="U81:U88" si="14">(Q81/$X$80*$J$80)</f>
        <v>0</v>
      </c>
      <c r="V81" s="707"/>
      <c r="W81" s="459"/>
      <c r="X81" s="698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98"/>
      <c r="J82" s="701"/>
      <c r="K82" s="205"/>
      <c r="L82" s="226">
        <v>8</v>
      </c>
      <c r="M82" s="332" t="s">
        <v>328</v>
      </c>
      <c r="N82" s="239"/>
      <c r="O82" s="314"/>
      <c r="P82" s="359"/>
      <c r="Q82" s="228"/>
      <c r="R82" s="475"/>
      <c r="S82" s="506"/>
      <c r="T82" s="416" t="str">
        <f t="shared" si="13"/>
        <v/>
      </c>
      <c r="U82" s="401">
        <f t="shared" si="14"/>
        <v>0</v>
      </c>
      <c r="V82" s="707"/>
      <c r="W82" s="459"/>
      <c r="X82" s="69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98"/>
      <c r="J83" s="701"/>
      <c r="K83" s="205"/>
      <c r="L83" s="226">
        <v>8</v>
      </c>
      <c r="M83" s="332" t="s">
        <v>328</v>
      </c>
      <c r="N83" s="239"/>
      <c r="O83" s="314"/>
      <c r="P83" s="359"/>
      <c r="Q83" s="228"/>
      <c r="R83" s="475"/>
      <c r="S83" s="506"/>
      <c r="T83" s="416" t="str">
        <f t="shared" si="13"/>
        <v/>
      </c>
      <c r="U83" s="401">
        <f t="shared" si="14"/>
        <v>0</v>
      </c>
      <c r="V83" s="707"/>
      <c r="W83" s="459"/>
      <c r="X83" s="69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98"/>
      <c r="J84" s="701"/>
      <c r="K84" s="205"/>
      <c r="L84" s="226">
        <v>8</v>
      </c>
      <c r="M84" s="332" t="s">
        <v>328</v>
      </c>
      <c r="N84" s="239"/>
      <c r="O84" s="314"/>
      <c r="P84" s="359"/>
      <c r="Q84" s="228"/>
      <c r="R84" s="475"/>
      <c r="S84" s="506"/>
      <c r="T84" s="416" t="str">
        <f t="shared" si="13"/>
        <v/>
      </c>
      <c r="U84" s="401">
        <f t="shared" si="14"/>
        <v>0</v>
      </c>
      <c r="V84" s="707"/>
      <c r="W84" s="459"/>
      <c r="X84" s="69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98"/>
      <c r="J85" s="701"/>
      <c r="K85" s="205"/>
      <c r="L85" s="226">
        <v>8</v>
      </c>
      <c r="M85" s="332" t="s">
        <v>328</v>
      </c>
      <c r="N85" s="239"/>
      <c r="O85" s="441"/>
      <c r="P85" s="534"/>
      <c r="Q85" s="228"/>
      <c r="R85" s="475"/>
      <c r="S85" s="506"/>
      <c r="T85" s="416"/>
      <c r="U85" s="401">
        <f t="shared" si="14"/>
        <v>0</v>
      </c>
      <c r="V85" s="707"/>
      <c r="W85" s="459"/>
      <c r="X85" s="69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698"/>
      <c r="J86" s="701"/>
      <c r="K86" s="205"/>
      <c r="L86" s="226">
        <v>8</v>
      </c>
      <c r="M86" s="332" t="s">
        <v>328</v>
      </c>
      <c r="N86" s="239"/>
      <c r="O86" s="441"/>
      <c r="P86" s="359"/>
      <c r="Q86" s="228"/>
      <c r="R86" s="475"/>
      <c r="S86" s="506"/>
      <c r="T86" s="546" t="str">
        <f t="shared" si="13"/>
        <v/>
      </c>
      <c r="U86" s="401">
        <f t="shared" si="14"/>
        <v>0</v>
      </c>
      <c r="V86" s="707"/>
      <c r="W86" s="459"/>
      <c r="X86" s="69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1"/>
      <c r="I87" s="698"/>
      <c r="J87" s="701"/>
      <c r="K87" s="205"/>
      <c r="L87" s="226">
        <v>8</v>
      </c>
      <c r="M87" s="332" t="s">
        <v>328</v>
      </c>
      <c r="N87" s="239"/>
      <c r="O87" s="441"/>
      <c r="P87" s="359"/>
      <c r="Q87" s="228"/>
      <c r="R87" s="479"/>
      <c r="S87" s="510"/>
      <c r="T87" s="419" t="str">
        <f t="shared" si="13"/>
        <v/>
      </c>
      <c r="U87" s="406">
        <f t="shared" si="14"/>
        <v>0</v>
      </c>
      <c r="V87" s="707"/>
      <c r="W87" s="462"/>
      <c r="X87" s="698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6"/>
      <c r="I88" s="699"/>
      <c r="J88" s="702"/>
      <c r="K88" s="210"/>
      <c r="L88" s="206">
        <v>8</v>
      </c>
      <c r="M88" s="331" t="s">
        <v>328</v>
      </c>
      <c r="N88" s="208"/>
      <c r="O88" s="442"/>
      <c r="P88" s="353"/>
      <c r="Q88" s="209"/>
      <c r="R88" s="476"/>
      <c r="S88" s="507"/>
      <c r="T88" s="417" t="str">
        <f t="shared" si="13"/>
        <v/>
      </c>
      <c r="U88" s="402">
        <f t="shared" si="14"/>
        <v>0</v>
      </c>
      <c r="V88" s="708"/>
      <c r="W88" s="460"/>
      <c r="X88" s="699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329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3"/>
        <v/>
      </c>
      <c r="U89" s="387"/>
      <c r="V89" s="387"/>
      <c r="W89" s="427"/>
      <c r="X89" s="615"/>
    </row>
    <row r="90" spans="1:24" ht="15" customHeight="1">
      <c r="B90" s="215">
        <v>9</v>
      </c>
      <c r="C90" s="341" t="s">
        <v>330</v>
      </c>
      <c r="D90" s="231" t="s">
        <v>331</v>
      </c>
      <c r="E90" s="218"/>
      <c r="F90" s="336"/>
      <c r="G90" s="496">
        <f>D175</f>
        <v>32490</v>
      </c>
      <c r="H90" s="543">
        <f>'Project Plan'!G21+7</f>
        <v>46090</v>
      </c>
      <c r="I90" s="703">
        <f>SUM(G90:G101)</f>
        <v>108300</v>
      </c>
      <c r="J90" s="671">
        <f>F175+F176</f>
        <v>127411.76470588235</v>
      </c>
      <c r="K90" s="192"/>
      <c r="L90" s="215">
        <v>9</v>
      </c>
      <c r="M90" s="322" t="s">
        <v>332</v>
      </c>
      <c r="N90" s="231"/>
      <c r="O90" s="433"/>
      <c r="P90" s="336"/>
      <c r="Q90" s="219"/>
      <c r="R90" s="477"/>
      <c r="S90" s="508"/>
      <c r="T90" s="418" t="str">
        <f t="shared" si="13"/>
        <v/>
      </c>
      <c r="U90" s="404">
        <f t="shared" ref="U90:U101" si="15">(Q90/$X$90*$J$90)</f>
        <v>0</v>
      </c>
      <c r="V90" s="680">
        <f>J90-SUM(U90:U101)</f>
        <v>0</v>
      </c>
      <c r="W90" s="461"/>
      <c r="X90" s="668">
        <f>SUM(Q90:Q101)</f>
        <v>108300</v>
      </c>
    </row>
    <row r="91" spans="1:24" ht="15" customHeight="1">
      <c r="B91" s="215">
        <v>9</v>
      </c>
      <c r="C91" s="341"/>
      <c r="D91" s="232" t="s">
        <v>333</v>
      </c>
      <c r="E91" s="218"/>
      <c r="F91" s="357"/>
      <c r="G91" s="496">
        <f>D176</f>
        <v>75810</v>
      </c>
      <c r="H91" s="542">
        <f>'Project Plan'!G28+7</f>
        <v>46100</v>
      </c>
      <c r="I91" s="704"/>
      <c r="J91" s="672"/>
      <c r="K91" s="192"/>
      <c r="L91" s="215">
        <v>9</v>
      </c>
      <c r="M91" s="322" t="s">
        <v>332</v>
      </c>
      <c r="N91" s="232" t="s">
        <v>297</v>
      </c>
      <c r="O91" s="450">
        <f>Z30+Z29</f>
        <v>108300</v>
      </c>
      <c r="P91" s="451">
        <v>0.1</v>
      </c>
      <c r="Q91" s="219">
        <f>$O$91*P91</f>
        <v>10830</v>
      </c>
      <c r="R91" s="689"/>
      <c r="S91" s="501"/>
      <c r="T91" s="412">
        <f t="shared" si="13"/>
        <v>46081</v>
      </c>
      <c r="U91" s="397">
        <f t="shared" si="15"/>
        <v>12741.176470588236</v>
      </c>
      <c r="V91" s="681"/>
      <c r="W91" s="454">
        <f>'Project Plan'!I19</f>
        <v>46072</v>
      </c>
      <c r="X91" s="66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4"/>
      <c r="J92" s="672"/>
      <c r="K92" s="192"/>
      <c r="L92" s="284">
        <v>9</v>
      </c>
      <c r="M92" s="394" t="s">
        <v>332</v>
      </c>
      <c r="N92" s="286" t="s">
        <v>152</v>
      </c>
      <c r="O92" s="434"/>
      <c r="P92" s="449">
        <v>0.15</v>
      </c>
      <c r="Q92" s="219">
        <f t="shared" ref="Q92:Q98" si="16">$O$91*P92</f>
        <v>16245</v>
      </c>
      <c r="R92" s="690"/>
      <c r="S92" s="502"/>
      <c r="T92" s="412">
        <f t="shared" si="13"/>
        <v>46081</v>
      </c>
      <c r="U92" s="397">
        <f t="shared" si="15"/>
        <v>19111.764705882353</v>
      </c>
      <c r="V92" s="681"/>
      <c r="W92" s="455">
        <f>'Project Plan'!I19</f>
        <v>46072</v>
      </c>
      <c r="X92" s="66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4"/>
      <c r="J93" s="672"/>
      <c r="K93" s="192"/>
      <c r="L93" s="284">
        <v>9</v>
      </c>
      <c r="M93" s="394" t="s">
        <v>332</v>
      </c>
      <c r="N93" s="286" t="s">
        <v>300</v>
      </c>
      <c r="O93" s="434"/>
      <c r="P93" s="449">
        <v>0.2</v>
      </c>
      <c r="Q93" s="219">
        <f t="shared" si="16"/>
        <v>21660</v>
      </c>
      <c r="R93" s="690"/>
      <c r="S93" s="502"/>
      <c r="T93" s="412">
        <f t="shared" si="13"/>
        <v>46112</v>
      </c>
      <c r="U93" s="397">
        <f t="shared" si="15"/>
        <v>25482.352941176472</v>
      </c>
      <c r="V93" s="681"/>
      <c r="W93" s="455">
        <f>'Project Plan'!K21+7</f>
        <v>46090</v>
      </c>
      <c r="X93" s="66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4"/>
      <c r="J94" s="672"/>
      <c r="K94" s="192"/>
      <c r="L94" s="284">
        <v>9</v>
      </c>
      <c r="M94" s="394" t="s">
        <v>332</v>
      </c>
      <c r="N94" s="286" t="s">
        <v>302</v>
      </c>
      <c r="O94" s="434"/>
      <c r="P94" s="449">
        <v>0.25</v>
      </c>
      <c r="Q94" s="219">
        <f t="shared" si="16"/>
        <v>27075</v>
      </c>
      <c r="R94" s="690"/>
      <c r="S94" s="502"/>
      <c r="T94" s="412">
        <f t="shared" si="13"/>
        <v>46112</v>
      </c>
      <c r="U94" s="397">
        <f t="shared" si="15"/>
        <v>31852.941176470587</v>
      </c>
      <c r="V94" s="681"/>
      <c r="W94" s="455">
        <f>'Project Plan'!K28+7</f>
        <v>46100</v>
      </c>
      <c r="X94" s="66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4"/>
      <c r="J95" s="672"/>
      <c r="K95" s="192"/>
      <c r="L95" s="284">
        <v>9</v>
      </c>
      <c r="M95" s="394" t="s">
        <v>332</v>
      </c>
      <c r="N95" s="286" t="s">
        <v>303</v>
      </c>
      <c r="O95" s="434"/>
      <c r="P95" s="449">
        <v>0.1</v>
      </c>
      <c r="Q95" s="219">
        <f t="shared" si="16"/>
        <v>10830</v>
      </c>
      <c r="R95" s="690"/>
      <c r="S95" s="502"/>
      <c r="T95" s="412">
        <f t="shared" si="13"/>
        <v>46112</v>
      </c>
      <c r="U95" s="397">
        <f t="shared" si="15"/>
        <v>12741.176470588236</v>
      </c>
      <c r="V95" s="681"/>
      <c r="W95" s="455">
        <f>'Project Plan'!K39+7</f>
        <v>46111</v>
      </c>
      <c r="X95" s="66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4"/>
      <c r="J96" s="672"/>
      <c r="K96" s="192"/>
      <c r="L96" s="284">
        <v>9</v>
      </c>
      <c r="M96" s="394" t="s">
        <v>332</v>
      </c>
      <c r="N96" s="286" t="s">
        <v>304</v>
      </c>
      <c r="O96" s="434"/>
      <c r="P96" s="449">
        <v>0.1</v>
      </c>
      <c r="Q96" s="219">
        <f t="shared" si="16"/>
        <v>10830</v>
      </c>
      <c r="R96" s="690"/>
      <c r="S96" s="502"/>
      <c r="T96" s="412">
        <f t="shared" si="13"/>
        <v>46112</v>
      </c>
      <c r="U96" s="397">
        <f t="shared" si="15"/>
        <v>12741.176470588236</v>
      </c>
      <c r="V96" s="681"/>
      <c r="W96" s="455">
        <f>'Project Plan'!K46+7</f>
        <v>46112</v>
      </c>
      <c r="X96" s="66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4"/>
      <c r="J97" s="672"/>
      <c r="K97" s="192"/>
      <c r="L97" s="284">
        <v>9</v>
      </c>
      <c r="M97" s="394" t="s">
        <v>332</v>
      </c>
      <c r="N97" s="286" t="s">
        <v>305</v>
      </c>
      <c r="O97" s="434"/>
      <c r="P97" s="449">
        <v>0.05</v>
      </c>
      <c r="Q97" s="219">
        <f t="shared" si="16"/>
        <v>5415</v>
      </c>
      <c r="R97" s="690"/>
      <c r="S97" s="502"/>
      <c r="T97" s="412">
        <f t="shared" si="13"/>
        <v>46112</v>
      </c>
      <c r="U97" s="397">
        <f t="shared" si="15"/>
        <v>6370.588235294118</v>
      </c>
      <c r="V97" s="681"/>
      <c r="W97" s="455">
        <f>'Project Plan'!K46+7</f>
        <v>46112</v>
      </c>
      <c r="X97" s="66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4"/>
      <c r="J98" s="672"/>
      <c r="K98" s="192"/>
      <c r="L98" s="284">
        <v>9</v>
      </c>
      <c r="M98" s="394" t="s">
        <v>332</v>
      </c>
      <c r="N98" s="286" t="s">
        <v>306</v>
      </c>
      <c r="O98" s="434"/>
      <c r="P98" s="449">
        <v>0.05</v>
      </c>
      <c r="Q98" s="219">
        <f t="shared" si="16"/>
        <v>5415</v>
      </c>
      <c r="R98" s="691"/>
      <c r="S98" s="502"/>
      <c r="T98" s="412">
        <f t="shared" si="13"/>
        <v>46142</v>
      </c>
      <c r="U98" s="397">
        <f t="shared" si="15"/>
        <v>6370.588235294118</v>
      </c>
      <c r="V98" s="681"/>
      <c r="W98" s="455">
        <f>'Project Plan'!K46+30</f>
        <v>46135</v>
      </c>
      <c r="X98" s="66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4"/>
      <c r="J99" s="672"/>
      <c r="K99" s="192"/>
      <c r="L99" s="284">
        <v>9</v>
      </c>
      <c r="M99" s="394" t="s">
        <v>332</v>
      </c>
      <c r="N99" s="286"/>
      <c r="O99" s="434"/>
      <c r="P99" s="343"/>
      <c r="Q99" s="287"/>
      <c r="R99" s="471"/>
      <c r="S99" s="502"/>
      <c r="T99" s="412" t="str">
        <f t="shared" si="13"/>
        <v/>
      </c>
      <c r="U99" s="397">
        <f t="shared" si="15"/>
        <v>0</v>
      </c>
      <c r="V99" s="681"/>
      <c r="W99" s="455"/>
      <c r="X99" s="66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704"/>
      <c r="J100" s="672"/>
      <c r="K100" s="192"/>
      <c r="L100" s="284">
        <v>9</v>
      </c>
      <c r="M100" s="394" t="s">
        <v>332</v>
      </c>
      <c r="N100" s="286"/>
      <c r="O100" s="434"/>
      <c r="P100" s="343"/>
      <c r="Q100" s="287"/>
      <c r="R100" s="471"/>
      <c r="S100" s="502"/>
      <c r="T100" s="412" t="str">
        <f t="shared" si="13"/>
        <v/>
      </c>
      <c r="U100" s="397">
        <f t="shared" si="15"/>
        <v>0</v>
      </c>
      <c r="V100" s="681"/>
      <c r="W100" s="455"/>
      <c r="X100" s="669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3"/>
      <c r="I101" s="705"/>
      <c r="J101" s="673"/>
      <c r="K101" s="267"/>
      <c r="L101" s="220">
        <v>9</v>
      </c>
      <c r="M101" s="340" t="s">
        <v>332</v>
      </c>
      <c r="N101" s="233"/>
      <c r="O101" s="435"/>
      <c r="P101" s="358"/>
      <c r="Q101" s="234"/>
      <c r="R101" s="472"/>
      <c r="S101" s="503"/>
      <c r="T101" s="413" t="str">
        <f t="shared" si="13"/>
        <v/>
      </c>
      <c r="U101" s="398">
        <f t="shared" si="15"/>
        <v>0</v>
      </c>
      <c r="V101" s="682"/>
      <c r="W101" s="456"/>
      <c r="X101" s="670"/>
    </row>
    <row r="102" spans="1:24" ht="13.9" thickBot="1">
      <c r="A102" s="4"/>
      <c r="B102" s="194"/>
      <c r="C102" s="211"/>
      <c r="D102" s="212"/>
      <c r="E102" s="195"/>
      <c r="F102" s="354"/>
      <c r="G102" s="196"/>
      <c r="H102" s="554"/>
      <c r="I102" s="548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3"/>
        <v/>
      </c>
      <c r="U102" s="403"/>
      <c r="V102" s="385"/>
      <c r="W102" s="457"/>
      <c r="X102" s="548"/>
    </row>
    <row r="103" spans="1:24" ht="14.25" customHeight="1">
      <c r="B103" s="173">
        <v>10</v>
      </c>
      <c r="C103" s="174" t="s">
        <v>334</v>
      </c>
      <c r="D103" s="174" t="s">
        <v>280</v>
      </c>
      <c r="E103" s="175"/>
      <c r="F103" s="368"/>
      <c r="G103" s="242">
        <f>D179</f>
        <v>8500</v>
      </c>
      <c r="H103" s="562">
        <f>H90</f>
        <v>46090</v>
      </c>
      <c r="I103" s="674">
        <f>SUM(G103:G117)</f>
        <v>59041.9</v>
      </c>
      <c r="J103" s="677">
        <f>F179+F182+F183+F181+F180</f>
        <v>69461.058823529413</v>
      </c>
      <c r="K103" s="243"/>
      <c r="L103" s="173">
        <v>10</v>
      </c>
      <c r="M103" s="333" t="s">
        <v>335</v>
      </c>
      <c r="N103" s="174"/>
      <c r="O103" s="444"/>
      <c r="P103" s="368"/>
      <c r="Q103" s="242"/>
      <c r="R103" s="483"/>
      <c r="S103" s="513"/>
      <c r="T103" s="423" t="str">
        <f t="shared" si="13"/>
        <v/>
      </c>
      <c r="U103" s="408">
        <f t="shared" ref="U103:U116" si="17">(Q103/$X$103*$J$103)</f>
        <v>0</v>
      </c>
      <c r="V103" s="683">
        <f>J103-SUM(U103:U117)</f>
        <v>0</v>
      </c>
      <c r="W103" s="465"/>
      <c r="X103" s="674">
        <f>SUM(Q103:Q117)</f>
        <v>32757.9</v>
      </c>
    </row>
    <row r="104" spans="1:24" ht="14.25" customHeight="1">
      <c r="B104" s="244">
        <v>10</v>
      </c>
      <c r="C104" s="245"/>
      <c r="D104" s="245" t="s">
        <v>281</v>
      </c>
      <c r="E104" s="246"/>
      <c r="F104" s="369"/>
      <c r="G104" s="247">
        <f>D183</f>
        <v>21741.9</v>
      </c>
      <c r="H104" s="563">
        <f>H90</f>
        <v>46090</v>
      </c>
      <c r="I104" s="675"/>
      <c r="J104" s="678"/>
      <c r="K104" s="176"/>
      <c r="L104" s="244">
        <v>10</v>
      </c>
      <c r="M104" s="334" t="s">
        <v>335</v>
      </c>
      <c r="N104" s="245"/>
      <c r="O104" s="445"/>
      <c r="P104" s="369"/>
      <c r="Q104" s="247"/>
      <c r="R104" s="484"/>
      <c r="S104" s="514"/>
      <c r="T104" s="424" t="str">
        <f t="shared" si="13"/>
        <v/>
      </c>
      <c r="U104" s="524">
        <f t="shared" si="17"/>
        <v>0</v>
      </c>
      <c r="V104" s="684"/>
      <c r="W104" s="466"/>
      <c r="X104" s="675"/>
    </row>
    <row r="105" spans="1:24" ht="14.25" customHeight="1">
      <c r="B105" s="244">
        <v>10</v>
      </c>
      <c r="C105" s="245"/>
      <c r="D105" s="245" t="s">
        <v>336</v>
      </c>
      <c r="E105" s="246"/>
      <c r="F105" s="369"/>
      <c r="G105" s="247">
        <f>D182</f>
        <v>28800</v>
      </c>
      <c r="H105" s="563">
        <f>H90</f>
        <v>46090</v>
      </c>
      <c r="I105" s="675"/>
      <c r="J105" s="678"/>
      <c r="K105" s="176"/>
      <c r="L105" s="244">
        <v>10</v>
      </c>
      <c r="M105" s="334" t="s">
        <v>335</v>
      </c>
      <c r="N105" s="245"/>
      <c r="O105" s="445"/>
      <c r="P105" s="369"/>
      <c r="Q105" s="247"/>
      <c r="R105" s="484"/>
      <c r="S105" s="514"/>
      <c r="T105" s="424" t="str">
        <f t="shared" si="13"/>
        <v/>
      </c>
      <c r="U105" s="409">
        <f t="shared" si="17"/>
        <v>0</v>
      </c>
      <c r="V105" s="684"/>
      <c r="W105" s="466"/>
      <c r="X105" s="675"/>
    </row>
    <row r="106" spans="1:24" ht="14.25" customHeight="1">
      <c r="B106" s="244">
        <v>10</v>
      </c>
      <c r="C106" s="245"/>
      <c r="D106" s="245" t="s">
        <v>282</v>
      </c>
      <c r="E106" s="246"/>
      <c r="F106" s="369"/>
      <c r="G106" s="247">
        <f>D181</f>
        <v>0</v>
      </c>
      <c r="H106" s="563">
        <f>H90</f>
        <v>46090</v>
      </c>
      <c r="I106" s="675"/>
      <c r="J106" s="678"/>
      <c r="K106" s="176"/>
      <c r="L106" s="244">
        <v>10</v>
      </c>
      <c r="M106" s="334" t="s">
        <v>335</v>
      </c>
      <c r="N106" s="245"/>
      <c r="O106" s="445"/>
      <c r="P106" s="369"/>
      <c r="Q106" s="247"/>
      <c r="R106" s="484"/>
      <c r="S106" s="514"/>
      <c r="T106" s="424" t="str">
        <f t="shared" si="13"/>
        <v/>
      </c>
      <c r="U106" s="409">
        <f t="shared" si="17"/>
        <v>0</v>
      </c>
      <c r="V106" s="684"/>
      <c r="W106" s="466"/>
      <c r="X106" s="67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75"/>
      <c r="J107" s="678"/>
      <c r="K107" s="176"/>
      <c r="L107" s="244">
        <v>10</v>
      </c>
      <c r="M107" s="334" t="s">
        <v>335</v>
      </c>
      <c r="N107" s="245" t="s">
        <v>297</v>
      </c>
      <c r="O107" s="495">
        <f>SUM(Z31:Z35)</f>
        <v>32757.9</v>
      </c>
      <c r="P107" s="452">
        <v>0.1</v>
      </c>
      <c r="Q107" s="247">
        <f>$O$107*P107</f>
        <v>3275.7900000000004</v>
      </c>
      <c r="R107" s="686"/>
      <c r="S107" s="515"/>
      <c r="T107" s="425">
        <f>T91</f>
        <v>46081</v>
      </c>
      <c r="U107" s="409">
        <f t="shared" si="17"/>
        <v>6946.105882352942</v>
      </c>
      <c r="V107" s="684"/>
      <c r="W107" s="467">
        <f>W91</f>
        <v>46072</v>
      </c>
      <c r="X107" s="67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75"/>
      <c r="J108" s="678"/>
      <c r="K108" s="176"/>
      <c r="L108" s="244">
        <v>10</v>
      </c>
      <c r="M108" s="334" t="s">
        <v>335</v>
      </c>
      <c r="N108" s="245" t="s">
        <v>152</v>
      </c>
      <c r="O108" s="445"/>
      <c r="P108" s="452">
        <v>0.15</v>
      </c>
      <c r="Q108" s="247">
        <f t="shared" ref="Q108:Q114" si="18">$O$107*P108</f>
        <v>4913.6850000000004</v>
      </c>
      <c r="R108" s="687"/>
      <c r="S108" s="520"/>
      <c r="T108" s="425">
        <f t="shared" ref="T108:T114" si="19">T92</f>
        <v>46081</v>
      </c>
      <c r="U108" s="409">
        <f t="shared" si="17"/>
        <v>10419.158823529411</v>
      </c>
      <c r="V108" s="684"/>
      <c r="W108" s="467">
        <f t="shared" ref="W108:W114" si="20">W92</f>
        <v>46072</v>
      </c>
      <c r="X108" s="67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75"/>
      <c r="J109" s="678"/>
      <c r="K109" s="176"/>
      <c r="L109" s="244">
        <v>10</v>
      </c>
      <c r="M109" s="334" t="s">
        <v>335</v>
      </c>
      <c r="N109" s="245" t="s">
        <v>300</v>
      </c>
      <c r="O109" s="445"/>
      <c r="P109" s="452">
        <v>0.2</v>
      </c>
      <c r="Q109" s="247">
        <f t="shared" si="18"/>
        <v>6551.5800000000008</v>
      </c>
      <c r="R109" s="687"/>
      <c r="S109" s="515"/>
      <c r="T109" s="425">
        <f t="shared" si="19"/>
        <v>46112</v>
      </c>
      <c r="U109" s="409">
        <f t="shared" si="17"/>
        <v>13892.211764705884</v>
      </c>
      <c r="V109" s="684"/>
      <c r="W109" s="467">
        <f t="shared" si="20"/>
        <v>46090</v>
      </c>
      <c r="X109" s="67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75"/>
      <c r="J110" s="678"/>
      <c r="K110" s="176"/>
      <c r="L110" s="244">
        <v>10</v>
      </c>
      <c r="M110" s="334" t="s">
        <v>335</v>
      </c>
      <c r="N110" s="245" t="s">
        <v>302</v>
      </c>
      <c r="O110" s="445"/>
      <c r="P110" s="452">
        <v>0.25</v>
      </c>
      <c r="Q110" s="247">
        <f t="shared" si="18"/>
        <v>8189.4750000000004</v>
      </c>
      <c r="R110" s="687"/>
      <c r="S110" s="515"/>
      <c r="T110" s="425">
        <f t="shared" si="19"/>
        <v>46112</v>
      </c>
      <c r="U110" s="409">
        <f t="shared" si="17"/>
        <v>17365.264705882353</v>
      </c>
      <c r="V110" s="684"/>
      <c r="W110" s="467">
        <f t="shared" si="20"/>
        <v>46100</v>
      </c>
      <c r="X110" s="67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75"/>
      <c r="J111" s="678"/>
      <c r="K111" s="176"/>
      <c r="L111" s="244">
        <v>10</v>
      </c>
      <c r="M111" s="334" t="s">
        <v>335</v>
      </c>
      <c r="N111" s="245" t="s">
        <v>303</v>
      </c>
      <c r="O111" s="445"/>
      <c r="P111" s="452">
        <v>0.1</v>
      </c>
      <c r="Q111" s="247">
        <f t="shared" si="18"/>
        <v>3275.7900000000004</v>
      </c>
      <c r="R111" s="687"/>
      <c r="S111" s="515"/>
      <c r="T111" s="425">
        <f t="shared" si="19"/>
        <v>46112</v>
      </c>
      <c r="U111" s="409">
        <f t="shared" si="17"/>
        <v>6946.105882352942</v>
      </c>
      <c r="V111" s="684"/>
      <c r="W111" s="467">
        <f t="shared" si="20"/>
        <v>46111</v>
      </c>
      <c r="X111" s="67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75"/>
      <c r="J112" s="678"/>
      <c r="K112" s="176"/>
      <c r="L112" s="244">
        <v>10</v>
      </c>
      <c r="M112" s="334" t="s">
        <v>335</v>
      </c>
      <c r="N112" s="245" t="s">
        <v>304</v>
      </c>
      <c r="O112" s="445"/>
      <c r="P112" s="452">
        <v>0.1</v>
      </c>
      <c r="Q112" s="247">
        <f t="shared" si="18"/>
        <v>3275.7900000000004</v>
      </c>
      <c r="R112" s="687"/>
      <c r="S112" s="515"/>
      <c r="T112" s="425">
        <f t="shared" si="19"/>
        <v>46112</v>
      </c>
      <c r="U112" s="409">
        <f t="shared" si="17"/>
        <v>6946.105882352942</v>
      </c>
      <c r="V112" s="684"/>
      <c r="W112" s="467">
        <f t="shared" si="20"/>
        <v>46112</v>
      </c>
      <c r="X112" s="67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75"/>
      <c r="J113" s="678"/>
      <c r="K113" s="176"/>
      <c r="L113" s="244">
        <v>10</v>
      </c>
      <c r="M113" s="334" t="s">
        <v>335</v>
      </c>
      <c r="N113" s="245" t="s">
        <v>305</v>
      </c>
      <c r="O113" s="445"/>
      <c r="P113" s="452">
        <v>0.05</v>
      </c>
      <c r="Q113" s="247">
        <f t="shared" si="18"/>
        <v>1637.8950000000002</v>
      </c>
      <c r="R113" s="687"/>
      <c r="S113" s="515"/>
      <c r="T113" s="425">
        <f t="shared" si="19"/>
        <v>46112</v>
      </c>
      <c r="U113" s="409">
        <f t="shared" si="17"/>
        <v>3473.052941176471</v>
      </c>
      <c r="V113" s="684"/>
      <c r="W113" s="467">
        <f t="shared" si="20"/>
        <v>46112</v>
      </c>
      <c r="X113" s="67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75"/>
      <c r="J114" s="678"/>
      <c r="K114" s="176"/>
      <c r="L114" s="244">
        <v>10</v>
      </c>
      <c r="M114" s="334" t="s">
        <v>335</v>
      </c>
      <c r="N114" s="245" t="s">
        <v>306</v>
      </c>
      <c r="O114" s="445"/>
      <c r="P114" s="452">
        <v>0.05</v>
      </c>
      <c r="Q114" s="247">
        <f t="shared" si="18"/>
        <v>1637.8950000000002</v>
      </c>
      <c r="R114" s="688"/>
      <c r="S114" s="515"/>
      <c r="T114" s="425">
        <f t="shared" si="19"/>
        <v>46142</v>
      </c>
      <c r="U114" s="409">
        <f t="shared" si="17"/>
        <v>3473.052941176471</v>
      </c>
      <c r="V114" s="684"/>
      <c r="W114" s="467">
        <f t="shared" si="20"/>
        <v>46135</v>
      </c>
      <c r="X114" s="67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75"/>
      <c r="J115" s="678"/>
      <c r="K115" s="176"/>
      <c r="L115" s="244">
        <v>10</v>
      </c>
      <c r="M115" s="334" t="s">
        <v>335</v>
      </c>
      <c r="N115" s="245"/>
      <c r="O115" s="445"/>
      <c r="P115" s="369"/>
      <c r="Q115" s="247"/>
      <c r="R115" s="485"/>
      <c r="S115" s="515"/>
      <c r="T115" s="425" t="str">
        <f t="shared" si="13"/>
        <v/>
      </c>
      <c r="U115" s="409">
        <f t="shared" si="17"/>
        <v>0</v>
      </c>
      <c r="V115" s="684"/>
      <c r="W115" s="467"/>
      <c r="X115" s="67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675"/>
      <c r="J116" s="678"/>
      <c r="K116" s="176"/>
      <c r="L116" s="244">
        <v>10</v>
      </c>
      <c r="M116" s="334" t="s">
        <v>335</v>
      </c>
      <c r="N116" s="245"/>
      <c r="O116" s="445"/>
      <c r="P116" s="369"/>
      <c r="Q116" s="247"/>
      <c r="R116" s="485"/>
      <c r="S116" s="515"/>
      <c r="T116" s="425" t="str">
        <f t="shared" si="13"/>
        <v/>
      </c>
      <c r="U116" s="409">
        <f t="shared" si="17"/>
        <v>0</v>
      </c>
      <c r="V116" s="684"/>
      <c r="W116" s="467"/>
      <c r="X116" s="675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5"/>
      <c r="I117" s="676"/>
      <c r="J117" s="679"/>
      <c r="K117" s="179"/>
      <c r="L117" s="177">
        <v>10</v>
      </c>
      <c r="M117" s="335" t="s">
        <v>335</v>
      </c>
      <c r="N117" s="248"/>
      <c r="O117" s="446"/>
      <c r="P117" s="370"/>
      <c r="Q117" s="178"/>
      <c r="R117" s="486"/>
      <c r="S117" s="516"/>
      <c r="T117" s="426" t="str">
        <f t="shared" si="13"/>
        <v/>
      </c>
      <c r="U117" s="410"/>
      <c r="V117" s="685"/>
      <c r="W117" s="468"/>
      <c r="X117" s="676"/>
    </row>
    <row r="118" spans="1:24" ht="13.9" thickBot="1">
      <c r="A118" s="4"/>
      <c r="B118" s="180"/>
      <c r="C118" s="181"/>
      <c r="D118" s="181"/>
      <c r="E118" s="195"/>
      <c r="F118" s="354"/>
      <c r="G118" s="183"/>
      <c r="H118" s="557"/>
      <c r="I118" s="548"/>
      <c r="J118" s="303"/>
      <c r="K118" s="4"/>
      <c r="L118" s="180"/>
      <c r="M118" s="181"/>
      <c r="N118" s="181"/>
      <c r="O118" s="436"/>
      <c r="P118" s="354"/>
      <c r="Q118" s="535"/>
      <c r="R118" s="478"/>
      <c r="S118" s="509"/>
      <c r="T118" s="414" t="str">
        <f t="shared" si="13"/>
        <v/>
      </c>
      <c r="U118" s="399"/>
      <c r="V118" s="386"/>
      <c r="W118" s="457"/>
      <c r="X118" s="548"/>
    </row>
    <row r="119" spans="1:24" ht="14.25" customHeight="1">
      <c r="B119" s="185">
        <v>11</v>
      </c>
      <c r="C119" s="186" t="s">
        <v>337</v>
      </c>
      <c r="D119" s="255" t="s">
        <v>338</v>
      </c>
      <c r="E119" s="187"/>
      <c r="F119" s="336"/>
      <c r="G119" s="188">
        <v>11000</v>
      </c>
      <c r="H119" s="543">
        <f>'Project Plan'!G39</f>
        <v>46104</v>
      </c>
      <c r="I119" s="668">
        <f>SUM(G119:G124)</f>
        <v>89000</v>
      </c>
      <c r="J119" s="671">
        <f>F178</f>
        <v>104705.88235294117</v>
      </c>
      <c r="K119" s="189"/>
      <c r="L119" s="185">
        <v>11</v>
      </c>
      <c r="M119" s="255" t="s">
        <v>339</v>
      </c>
      <c r="N119" s="255" t="s">
        <v>338</v>
      </c>
      <c r="O119" s="187"/>
      <c r="P119" s="336"/>
      <c r="Q119" s="188">
        <v>12577.5</v>
      </c>
      <c r="R119" s="536"/>
      <c r="S119" s="508"/>
      <c r="T119" s="418">
        <f t="shared" si="13"/>
        <v>46142</v>
      </c>
      <c r="U119" s="397">
        <f t="shared" ref="U119:U124" si="21">(Q119/$X$119*$J$119)</f>
        <v>13450.431815819078</v>
      </c>
      <c r="V119" s="680">
        <f>J119-SUM(U119:U124)</f>
        <v>0</v>
      </c>
      <c r="W119" s="461">
        <f>'Project Plan'!K39+14</f>
        <v>46118</v>
      </c>
      <c r="X119" s="668">
        <f>SUM(Q119:Q124)</f>
        <v>97910.48</v>
      </c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18000</v>
      </c>
      <c r="H120" s="543">
        <f>H119</f>
        <v>46104</v>
      </c>
      <c r="I120" s="669"/>
      <c r="J120" s="672"/>
      <c r="K120" s="192"/>
      <c r="L120" s="215">
        <v>11</v>
      </c>
      <c r="M120" s="290" t="s">
        <v>339</v>
      </c>
      <c r="N120" s="217" t="s">
        <v>341</v>
      </c>
      <c r="O120" s="218"/>
      <c r="P120" s="357"/>
      <c r="Q120" s="219">
        <v>7690.9</v>
      </c>
      <c r="R120" s="518"/>
      <c r="S120" s="501" t="s">
        <v>342</v>
      </c>
      <c r="T120" s="628">
        <v>46053</v>
      </c>
      <c r="U120" s="397">
        <f t="shared" si="21"/>
        <v>8224.6810616007115</v>
      </c>
      <c r="V120" s="681"/>
      <c r="W120" s="629">
        <v>45526</v>
      </c>
      <c r="X120" s="669"/>
    </row>
    <row r="121" spans="1:24" ht="15" customHeight="1">
      <c r="B121" s="215">
        <v>11</v>
      </c>
      <c r="C121" s="217"/>
      <c r="D121" s="217" t="s">
        <v>343</v>
      </c>
      <c r="E121" s="218"/>
      <c r="F121" s="357"/>
      <c r="G121" s="219">
        <v>60000</v>
      </c>
      <c r="H121" s="543">
        <f>H120</f>
        <v>46104</v>
      </c>
      <c r="I121" s="669"/>
      <c r="J121" s="672"/>
      <c r="K121" s="192"/>
      <c r="L121" s="215">
        <v>11</v>
      </c>
      <c r="M121" s="290" t="s">
        <v>339</v>
      </c>
      <c r="N121" s="217" t="s">
        <v>343</v>
      </c>
      <c r="O121" s="218"/>
      <c r="P121" s="357"/>
      <c r="Q121" s="219">
        <v>60000</v>
      </c>
      <c r="R121" s="470"/>
      <c r="S121" s="501"/>
      <c r="T121" s="411">
        <f t="shared" si="13"/>
        <v>46081</v>
      </c>
      <c r="U121" s="397">
        <f t="shared" si="21"/>
        <v>64164.254339029605</v>
      </c>
      <c r="V121" s="681"/>
      <c r="W121" s="454">
        <f>W122</f>
        <v>46081</v>
      </c>
      <c r="X121" s="669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2"/>
      <c r="I122" s="669"/>
      <c r="J122" s="672"/>
      <c r="K122" s="192"/>
      <c r="L122" s="215">
        <v>11</v>
      </c>
      <c r="M122" s="290" t="s">
        <v>339</v>
      </c>
      <c r="N122" s="288" t="s">
        <v>344</v>
      </c>
      <c r="O122" s="434"/>
      <c r="P122" s="343"/>
      <c r="Q122" s="287">
        <v>6000</v>
      </c>
      <c r="R122" s="471"/>
      <c r="S122" s="502"/>
      <c r="T122" s="411">
        <f t="shared" si="13"/>
        <v>46081</v>
      </c>
      <c r="U122" s="397">
        <f t="shared" si="21"/>
        <v>6416.4254339029603</v>
      </c>
      <c r="V122" s="681"/>
      <c r="W122" s="455">
        <v>46081</v>
      </c>
      <c r="X122" s="669"/>
    </row>
    <row r="123" spans="1:24" ht="15" customHeight="1">
      <c r="B123" s="284"/>
      <c r="C123" s="288"/>
      <c r="D123" s="288"/>
      <c r="E123" s="307"/>
      <c r="F123" s="343"/>
      <c r="G123" s="287"/>
      <c r="H123" s="552"/>
      <c r="I123" s="669"/>
      <c r="J123" s="672"/>
      <c r="K123" s="192"/>
      <c r="L123" s="215">
        <v>11</v>
      </c>
      <c r="M123" s="290" t="s">
        <v>339</v>
      </c>
      <c r="N123" s="288" t="s">
        <v>345</v>
      </c>
      <c r="O123" s="434"/>
      <c r="P123" s="343"/>
      <c r="Q123" s="287">
        <v>9900</v>
      </c>
      <c r="R123" s="471"/>
      <c r="S123" s="502" t="s">
        <v>346</v>
      </c>
      <c r="T123" s="632">
        <v>46053</v>
      </c>
      <c r="U123" s="397">
        <f t="shared" si="21"/>
        <v>10587.101965939884</v>
      </c>
      <c r="V123" s="681"/>
      <c r="W123" s="633">
        <v>46015</v>
      </c>
      <c r="X123" s="669"/>
    </row>
    <row r="124" spans="1:24" ht="15" customHeight="1" thickBot="1">
      <c r="B124" s="220">
        <v>11</v>
      </c>
      <c r="C124" s="221"/>
      <c r="D124" s="221"/>
      <c r="E124" s="222"/>
      <c r="F124" s="358"/>
      <c r="G124" s="234"/>
      <c r="H124" s="553"/>
      <c r="I124" s="670"/>
      <c r="J124" s="673"/>
      <c r="K124" s="193"/>
      <c r="L124" s="220">
        <v>11</v>
      </c>
      <c r="M124" s="318" t="s">
        <v>339</v>
      </c>
      <c r="N124" s="221" t="s">
        <v>345</v>
      </c>
      <c r="O124" s="222"/>
      <c r="P124" s="358"/>
      <c r="Q124" s="234">
        <v>1742.08</v>
      </c>
      <c r="R124" s="472"/>
      <c r="S124" s="503" t="s">
        <v>347</v>
      </c>
      <c r="T124" s="553">
        <v>46053</v>
      </c>
      <c r="U124" s="398">
        <f t="shared" si="21"/>
        <v>1862.9877366489447</v>
      </c>
      <c r="V124" s="682"/>
      <c r="W124" s="625">
        <v>45989</v>
      </c>
      <c r="X124" s="670"/>
    </row>
    <row r="125" spans="1:24" ht="15" customHeight="1" thickBot="1">
      <c r="A125" s="4"/>
      <c r="B125" s="194"/>
      <c r="C125" s="181"/>
      <c r="D125" s="181"/>
      <c r="E125" s="195"/>
      <c r="F125" s="354"/>
      <c r="G125" s="196"/>
      <c r="H125" s="554"/>
      <c r="I125" s="548"/>
      <c r="J125" s="184"/>
      <c r="K125" s="4"/>
      <c r="L125" s="194"/>
      <c r="M125" s="181"/>
      <c r="N125" s="181"/>
      <c r="O125" s="436"/>
      <c r="P125" s="354"/>
      <c r="Q125" s="196"/>
      <c r="R125" s="473"/>
      <c r="S125" s="504"/>
      <c r="T125" s="414" t="str">
        <f t="shared" si="13"/>
        <v/>
      </c>
      <c r="U125" s="403"/>
      <c r="V125" s="385"/>
      <c r="W125" s="457"/>
      <c r="X125" s="548"/>
    </row>
    <row r="126" spans="1:24">
      <c r="B126" s="173">
        <v>12</v>
      </c>
      <c r="C126" s="174" t="s">
        <v>348</v>
      </c>
      <c r="D126" s="174" t="s">
        <v>349</v>
      </c>
      <c r="E126" s="175"/>
      <c r="F126" s="368"/>
      <c r="G126" s="242">
        <v>0</v>
      </c>
      <c r="H126" s="562"/>
      <c r="I126" s="674">
        <f>SUM(G126:G127)</f>
        <v>0</v>
      </c>
      <c r="J126" s="677">
        <v>0</v>
      </c>
      <c r="K126" s="692"/>
      <c r="L126" s="173">
        <v>12</v>
      </c>
      <c r="M126" s="174" t="s">
        <v>350</v>
      </c>
      <c r="N126" s="174" t="s">
        <v>349</v>
      </c>
      <c r="O126" s="444"/>
      <c r="P126" s="368"/>
      <c r="Q126" s="242">
        <f>G126</f>
        <v>0</v>
      </c>
      <c r="R126" s="483"/>
      <c r="S126" s="513"/>
      <c r="T126" s="423" t="str">
        <f t="shared" si="13"/>
        <v/>
      </c>
      <c r="U126" s="408"/>
      <c r="V126" s="384"/>
      <c r="W126" s="465"/>
      <c r="X126" s="674">
        <f>SUM(Q126:Q127)</f>
        <v>0</v>
      </c>
    </row>
    <row r="127" spans="1:24" ht="15" customHeight="1" thickBot="1">
      <c r="B127" s="177">
        <v>12</v>
      </c>
      <c r="C127" s="248" t="s">
        <v>348</v>
      </c>
      <c r="D127" s="248"/>
      <c r="E127" s="249"/>
      <c r="F127" s="370"/>
      <c r="G127" s="178"/>
      <c r="H127" s="565"/>
      <c r="I127" s="676"/>
      <c r="J127" s="679"/>
      <c r="K127" s="693"/>
      <c r="L127" s="177">
        <v>12</v>
      </c>
      <c r="M127" s="248" t="s">
        <v>350</v>
      </c>
      <c r="N127" s="248"/>
      <c r="O127" s="446"/>
      <c r="P127" s="370"/>
      <c r="Q127" s="178"/>
      <c r="R127" s="486"/>
      <c r="S127" s="516"/>
      <c r="T127" s="426" t="str">
        <f t="shared" si="13"/>
        <v/>
      </c>
      <c r="U127" s="410"/>
      <c r="V127" s="383"/>
      <c r="W127" s="468"/>
      <c r="X127" s="676"/>
    </row>
    <row r="128" spans="1:24" ht="14.25" thickBot="1">
      <c r="A128" s="4"/>
      <c r="B128" s="194"/>
      <c r="C128" s="181"/>
      <c r="D128" s="181"/>
      <c r="E128" s="195"/>
      <c r="F128" s="354"/>
      <c r="G128" s="196"/>
      <c r="H128" s="554"/>
      <c r="I128" s="549"/>
      <c r="J128" s="230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3"/>
        <v/>
      </c>
      <c r="U128" s="403"/>
      <c r="V128" s="385"/>
      <c r="W128" s="457"/>
      <c r="X128" s="549"/>
    </row>
    <row r="129" spans="1:24" ht="15.75" customHeight="1">
      <c r="B129" s="185">
        <v>13</v>
      </c>
      <c r="C129" s="186" t="s">
        <v>351</v>
      </c>
      <c r="D129" s="255" t="s">
        <v>352</v>
      </c>
      <c r="E129" s="187"/>
      <c r="F129" s="336"/>
      <c r="G129" s="188">
        <v>13718.458961956521</v>
      </c>
      <c r="H129" s="543">
        <f>'Project Plan'!G48</f>
        <v>46120</v>
      </c>
      <c r="I129" s="668">
        <f>SUM(G129:G133)</f>
        <v>90875.738961956522</v>
      </c>
      <c r="J129" s="671">
        <f>F177</f>
        <v>106912.63407289002</v>
      </c>
      <c r="K129" s="189"/>
      <c r="L129" s="185">
        <v>13</v>
      </c>
      <c r="M129" s="255" t="s">
        <v>353</v>
      </c>
      <c r="N129" s="255" t="s">
        <v>354</v>
      </c>
      <c r="O129" s="432"/>
      <c r="P129" s="336"/>
      <c r="Q129" s="188">
        <f>'Project Plan'!$E$6*1.25%</f>
        <v>18015.380965414468</v>
      </c>
      <c r="R129" s="477"/>
      <c r="S129" s="508"/>
      <c r="T129" s="418">
        <f t="shared" si="13"/>
        <v>46112</v>
      </c>
      <c r="U129" s="404">
        <f t="shared" ref="U129:U134" si="22">(Q129/$X$129*$J$129)</f>
        <v>20237.658727846177</v>
      </c>
      <c r="V129" s="680">
        <f>J129-SUM(U129:U134)</f>
        <v>0</v>
      </c>
      <c r="W129" s="461">
        <f>'Project Plan'!K39</f>
        <v>46104</v>
      </c>
      <c r="X129" s="668">
        <f>SUM(Q129:Q134)</f>
        <v>95172.66096541447</v>
      </c>
    </row>
    <row r="130" spans="1:24" ht="15.75" customHeight="1">
      <c r="B130" s="215">
        <v>13</v>
      </c>
      <c r="C130" s="217"/>
      <c r="D130" s="217" t="s">
        <v>355</v>
      </c>
      <c r="E130" s="218"/>
      <c r="F130" s="357"/>
      <c r="G130" s="219">
        <v>9600</v>
      </c>
      <c r="H130" s="542">
        <v>46092</v>
      </c>
      <c r="I130" s="669"/>
      <c r="J130" s="672"/>
      <c r="K130" s="192"/>
      <c r="L130" s="215">
        <v>13</v>
      </c>
      <c r="M130" s="290" t="s">
        <v>353</v>
      </c>
      <c r="N130" s="217" t="s">
        <v>355</v>
      </c>
      <c r="O130" s="218"/>
      <c r="P130" s="357"/>
      <c r="Q130" s="219">
        <v>9600</v>
      </c>
      <c r="R130" s="470"/>
      <c r="S130" s="501"/>
      <c r="T130" s="411">
        <f t="shared" si="13"/>
        <v>46112</v>
      </c>
      <c r="U130" s="396">
        <f t="shared" si="22"/>
        <v>10784.202907521118</v>
      </c>
      <c r="V130" s="681"/>
      <c r="W130" s="454">
        <f>W129</f>
        <v>46104</v>
      </c>
      <c r="X130" s="669"/>
    </row>
    <row r="131" spans="1:24" ht="15.75" customHeight="1">
      <c r="B131" s="215">
        <v>13</v>
      </c>
      <c r="C131" s="217"/>
      <c r="D131" s="217" t="s">
        <v>356</v>
      </c>
      <c r="E131" s="218"/>
      <c r="F131" s="357"/>
      <c r="G131" s="219">
        <v>32640</v>
      </c>
      <c r="H131" s="542">
        <v>46092</v>
      </c>
      <c r="I131" s="669"/>
      <c r="J131" s="672"/>
      <c r="K131" s="192"/>
      <c r="L131" s="215">
        <v>13</v>
      </c>
      <c r="M131" s="290" t="s">
        <v>353</v>
      </c>
      <c r="N131" s="217" t="s">
        <v>356</v>
      </c>
      <c r="O131" s="218"/>
      <c r="P131" s="357"/>
      <c r="Q131" s="219">
        <v>32640</v>
      </c>
      <c r="R131" s="470"/>
      <c r="S131" s="501"/>
      <c r="T131" s="411">
        <f t="shared" si="13"/>
        <v>46112</v>
      </c>
      <c r="U131" s="396">
        <f t="shared" si="22"/>
        <v>36666.289885571801</v>
      </c>
      <c r="V131" s="681"/>
      <c r="W131" s="454">
        <f t="shared" ref="W131:W133" si="23">W130</f>
        <v>46104</v>
      </c>
      <c r="X131" s="669"/>
    </row>
    <row r="132" spans="1:24" ht="15.75" customHeight="1">
      <c r="B132" s="215">
        <v>13</v>
      </c>
      <c r="C132" s="217"/>
      <c r="D132" s="217" t="s">
        <v>357</v>
      </c>
      <c r="E132" s="218"/>
      <c r="F132" s="357"/>
      <c r="G132" s="219">
        <v>12480</v>
      </c>
      <c r="H132" s="542">
        <v>46092</v>
      </c>
      <c r="I132" s="669"/>
      <c r="J132" s="672"/>
      <c r="K132" s="192"/>
      <c r="L132" s="215">
        <v>13</v>
      </c>
      <c r="M132" s="290" t="s">
        <v>353</v>
      </c>
      <c r="N132" s="217" t="s">
        <v>357</v>
      </c>
      <c r="O132" s="218"/>
      <c r="P132" s="357"/>
      <c r="Q132" s="219">
        <v>12480</v>
      </c>
      <c r="R132" s="470"/>
      <c r="S132" s="501"/>
      <c r="T132" s="411">
        <f t="shared" si="13"/>
        <v>46112</v>
      </c>
      <c r="U132" s="396">
        <f t="shared" si="22"/>
        <v>14019.463779777452</v>
      </c>
      <c r="V132" s="681"/>
      <c r="W132" s="454">
        <f t="shared" si="23"/>
        <v>46104</v>
      </c>
      <c r="X132" s="669"/>
    </row>
    <row r="133" spans="1:24" ht="15.75" customHeight="1">
      <c r="B133" s="215">
        <v>13</v>
      </c>
      <c r="C133" s="217"/>
      <c r="D133" s="217" t="s">
        <v>358</v>
      </c>
      <c r="E133" s="218"/>
      <c r="F133" s="357"/>
      <c r="G133" s="219">
        <v>22437.279999999999</v>
      </c>
      <c r="H133" s="542">
        <v>46092</v>
      </c>
      <c r="I133" s="669"/>
      <c r="J133" s="672"/>
      <c r="K133" s="192"/>
      <c r="L133" s="215">
        <v>13</v>
      </c>
      <c r="M133" s="290" t="s">
        <v>353</v>
      </c>
      <c r="N133" s="217" t="s">
        <v>358</v>
      </c>
      <c r="O133" s="218"/>
      <c r="P133" s="357"/>
      <c r="Q133" s="219">
        <v>22437.279999999999</v>
      </c>
      <c r="R133" s="470"/>
      <c r="S133" s="501"/>
      <c r="T133" s="411">
        <f t="shared" si="13"/>
        <v>46112</v>
      </c>
      <c r="U133" s="396">
        <f t="shared" si="22"/>
        <v>25205.018772173476</v>
      </c>
      <c r="V133" s="681"/>
      <c r="W133" s="454">
        <f t="shared" si="23"/>
        <v>46104</v>
      </c>
      <c r="X133" s="669"/>
    </row>
    <row r="134" spans="1:24" ht="15.75" customHeight="1" thickBot="1">
      <c r="B134" s="220">
        <v>13</v>
      </c>
      <c r="C134" s="221"/>
      <c r="D134" s="221"/>
      <c r="E134" s="222"/>
      <c r="F134" s="358"/>
      <c r="G134" s="234"/>
      <c r="H134" s="553"/>
      <c r="I134" s="670"/>
      <c r="J134" s="673"/>
      <c r="K134" s="267"/>
      <c r="L134" s="220">
        <v>13</v>
      </c>
      <c r="M134" s="318" t="s">
        <v>353</v>
      </c>
      <c r="N134" s="221"/>
      <c r="O134" s="435"/>
      <c r="P134" s="358"/>
      <c r="Q134" s="234"/>
      <c r="R134" s="472"/>
      <c r="S134" s="503"/>
      <c r="T134" s="413" t="str">
        <f t="shared" si="13"/>
        <v/>
      </c>
      <c r="U134" s="398">
        <f t="shared" si="22"/>
        <v>0</v>
      </c>
      <c r="V134" s="682"/>
      <c r="W134" s="456"/>
      <c r="X134" s="670"/>
    </row>
    <row r="135" spans="1:24" ht="14.25" thickBot="1">
      <c r="A135" s="4"/>
      <c r="B135" s="194"/>
      <c r="C135" s="181"/>
      <c r="D135" s="181"/>
      <c r="E135" s="195"/>
      <c r="F135" s="354"/>
      <c r="G135" s="196"/>
      <c r="H135" s="554"/>
      <c r="I135" s="548"/>
      <c r="J135" s="184"/>
      <c r="K135" s="4"/>
      <c r="L135" s="194"/>
      <c r="M135" s="181"/>
      <c r="N135" s="181"/>
      <c r="O135" s="436"/>
      <c r="P135" s="354"/>
      <c r="Q135" s="196"/>
      <c r="R135" s="473"/>
      <c r="S135" s="504"/>
      <c r="T135" s="414" t="str">
        <f t="shared" si="13"/>
        <v/>
      </c>
      <c r="U135" s="403"/>
      <c r="V135" s="385"/>
      <c r="W135" s="457"/>
      <c r="X135" s="549"/>
    </row>
    <row r="136" spans="1:24" ht="14.25" customHeight="1">
      <c r="B136" s="173">
        <v>14</v>
      </c>
      <c r="C136" s="174" t="s">
        <v>359</v>
      </c>
      <c r="D136" s="174" t="s">
        <v>360</v>
      </c>
      <c r="E136" s="175"/>
      <c r="F136" s="368"/>
      <c r="G136" s="242">
        <f>D188</f>
        <v>2100</v>
      </c>
      <c r="H136" s="562">
        <f>'Project Plan'!G48</f>
        <v>46120</v>
      </c>
      <c r="I136" s="674">
        <f>SUM(G136:G147)</f>
        <v>2100</v>
      </c>
      <c r="J136" s="677">
        <f>F188</f>
        <v>2470.5882352941176</v>
      </c>
      <c r="K136" s="243"/>
      <c r="L136" s="173">
        <v>14</v>
      </c>
      <c r="M136" s="333" t="s">
        <v>361</v>
      </c>
      <c r="N136" s="174" t="s">
        <v>362</v>
      </c>
      <c r="O136" s="444"/>
      <c r="P136" s="528"/>
      <c r="Q136" s="533">
        <f>$G$136/4</f>
        <v>525</v>
      </c>
      <c r="R136" s="530"/>
      <c r="S136" s="519"/>
      <c r="T136" s="423">
        <v>46053</v>
      </c>
      <c r="U136" s="408">
        <f t="shared" ref="U136:U147" si="24">(Q136/$X$136*$J$136)</f>
        <v>617.64705882352939</v>
      </c>
      <c r="V136" s="683">
        <f>J136-SUM(U136:U147)</f>
        <v>0</v>
      </c>
      <c r="W136" s="467">
        <f>T136+7</f>
        <v>46060</v>
      </c>
      <c r="X136" s="674">
        <f>SUM(Q136:Q147)</f>
        <v>2100</v>
      </c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75"/>
      <c r="J137" s="678"/>
      <c r="K137" s="176"/>
      <c r="L137" s="244">
        <v>14</v>
      </c>
      <c r="M137" s="334" t="s">
        <v>361</v>
      </c>
      <c r="N137" s="245" t="s">
        <v>362</v>
      </c>
      <c r="O137" s="445"/>
      <c r="P137" s="529"/>
      <c r="Q137" s="532">
        <f>$G$136/4</f>
        <v>525</v>
      </c>
      <c r="R137" s="531"/>
      <c r="S137" s="519"/>
      <c r="T137" s="425">
        <v>46081</v>
      </c>
      <c r="U137" s="409">
        <f t="shared" si="24"/>
        <v>617.64705882352939</v>
      </c>
      <c r="V137" s="684"/>
      <c r="W137" s="467">
        <f t="shared" ref="W137:W139" si="25">T137+7</f>
        <v>46088</v>
      </c>
      <c r="X137" s="67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75"/>
      <c r="J138" s="678"/>
      <c r="K138" s="176"/>
      <c r="L138" s="244">
        <v>14</v>
      </c>
      <c r="M138" s="334" t="s">
        <v>361</v>
      </c>
      <c r="N138" s="245" t="s">
        <v>362</v>
      </c>
      <c r="O138" s="445"/>
      <c r="P138" s="369"/>
      <c r="Q138" s="247">
        <f>$G$136/4</f>
        <v>525</v>
      </c>
      <c r="R138" s="485"/>
      <c r="S138" s="519"/>
      <c r="T138" s="425">
        <v>46112</v>
      </c>
      <c r="U138" s="409">
        <f t="shared" si="24"/>
        <v>617.64705882352939</v>
      </c>
      <c r="V138" s="684"/>
      <c r="W138" s="467">
        <f t="shared" si="25"/>
        <v>46119</v>
      </c>
      <c r="X138" s="67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75"/>
      <c r="J139" s="678"/>
      <c r="K139" s="176"/>
      <c r="L139" s="244">
        <v>14</v>
      </c>
      <c r="M139" s="334" t="s">
        <v>361</v>
      </c>
      <c r="N139" s="245" t="s">
        <v>362</v>
      </c>
      <c r="O139" s="445"/>
      <c r="P139" s="369"/>
      <c r="Q139" s="247">
        <f>$G$136/4</f>
        <v>525</v>
      </c>
      <c r="R139" s="485"/>
      <c r="S139" s="513"/>
      <c r="T139" s="425">
        <v>46142</v>
      </c>
      <c r="U139" s="409">
        <f t="shared" si="24"/>
        <v>617.64705882352939</v>
      </c>
      <c r="V139" s="684"/>
      <c r="W139" s="467">
        <f t="shared" si="25"/>
        <v>46149</v>
      </c>
      <c r="X139" s="67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75"/>
      <c r="J140" s="678"/>
      <c r="K140" s="176"/>
      <c r="L140" s="244">
        <v>14</v>
      </c>
      <c r="M140" s="334" t="s">
        <v>361</v>
      </c>
      <c r="N140" s="245" t="s">
        <v>362</v>
      </c>
      <c r="O140" s="445"/>
      <c r="P140" s="369"/>
      <c r="Q140" s="247"/>
      <c r="R140" s="485"/>
      <c r="S140" s="513"/>
      <c r="T140" s="425" t="str">
        <f t="shared" ref="T140:T160" si="26">IF(W140&gt;1,EOMONTH(W140,0),"")</f>
        <v/>
      </c>
      <c r="U140" s="409">
        <f t="shared" si="24"/>
        <v>0</v>
      </c>
      <c r="V140" s="684"/>
      <c r="W140" s="467"/>
      <c r="X140" s="67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75"/>
      <c r="J141" s="678"/>
      <c r="K141" s="176"/>
      <c r="L141" s="244">
        <v>14</v>
      </c>
      <c r="M141" s="334" t="s">
        <v>361</v>
      </c>
      <c r="N141" s="245" t="s">
        <v>362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4"/>
        <v>0</v>
      </c>
      <c r="V141" s="684"/>
      <c r="W141" s="467"/>
      <c r="X141" s="67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75"/>
      <c r="J142" s="678"/>
      <c r="K142" s="176"/>
      <c r="L142" s="244">
        <v>14</v>
      </c>
      <c r="M142" s="334" t="s">
        <v>361</v>
      </c>
      <c r="N142" s="245" t="s">
        <v>362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4"/>
        <v>0</v>
      </c>
      <c r="V142" s="684"/>
      <c r="W142" s="467"/>
      <c r="X142" s="67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75"/>
      <c r="J143" s="678"/>
      <c r="K143" s="176"/>
      <c r="L143" s="244">
        <v>14</v>
      </c>
      <c r="M143" s="334" t="s">
        <v>361</v>
      </c>
      <c r="N143" s="245" t="s">
        <v>362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4"/>
        <v>0</v>
      </c>
      <c r="V143" s="684"/>
      <c r="W143" s="467"/>
      <c r="X143" s="67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75"/>
      <c r="J144" s="678"/>
      <c r="K144" s="176"/>
      <c r="L144" s="244">
        <v>14</v>
      </c>
      <c r="M144" s="334" t="s">
        <v>361</v>
      </c>
      <c r="N144" s="245" t="s">
        <v>362</v>
      </c>
      <c r="O144" s="445"/>
      <c r="P144" s="369"/>
      <c r="Q144" s="247"/>
      <c r="R144" s="485"/>
      <c r="S144" s="513"/>
      <c r="T144" s="425" t="str">
        <f t="shared" si="26"/>
        <v/>
      </c>
      <c r="U144" s="409">
        <f t="shared" si="24"/>
        <v>0</v>
      </c>
      <c r="V144" s="684"/>
      <c r="W144" s="467"/>
      <c r="X144" s="67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675"/>
      <c r="J145" s="678"/>
      <c r="K145" s="176"/>
      <c r="L145" s="244">
        <v>14</v>
      </c>
      <c r="M145" s="334" t="s">
        <v>361</v>
      </c>
      <c r="N145" s="245" t="s">
        <v>362</v>
      </c>
      <c r="O145" s="445"/>
      <c r="P145" s="369"/>
      <c r="Q145" s="247"/>
      <c r="R145" s="485"/>
      <c r="S145" s="513"/>
      <c r="T145" s="425" t="str">
        <f t="shared" si="26"/>
        <v/>
      </c>
      <c r="U145" s="409">
        <f t="shared" si="24"/>
        <v>0</v>
      </c>
      <c r="V145" s="684"/>
      <c r="W145" s="467"/>
      <c r="X145" s="67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675"/>
      <c r="J146" s="678"/>
      <c r="K146" s="176"/>
      <c r="L146" s="244">
        <v>14</v>
      </c>
      <c r="M146" s="334" t="s">
        <v>361</v>
      </c>
      <c r="N146" s="245"/>
      <c r="O146" s="445"/>
      <c r="P146" s="369"/>
      <c r="Q146" s="247"/>
      <c r="R146" s="485"/>
      <c r="S146" s="515"/>
      <c r="T146" s="425" t="str">
        <f t="shared" si="26"/>
        <v/>
      </c>
      <c r="U146" s="409">
        <f t="shared" si="24"/>
        <v>0</v>
      </c>
      <c r="V146" s="684"/>
      <c r="W146" s="467"/>
      <c r="X146" s="675"/>
    </row>
    <row r="147" spans="1:24" ht="15" customHeight="1" thickBot="1">
      <c r="B147" s="177">
        <v>14</v>
      </c>
      <c r="C147" s="248"/>
      <c r="D147" s="248"/>
      <c r="E147" s="249"/>
      <c r="F147" s="370"/>
      <c r="G147" s="178"/>
      <c r="H147" s="565"/>
      <c r="I147" s="676"/>
      <c r="J147" s="679"/>
      <c r="K147" s="179"/>
      <c r="L147" s="177">
        <v>14</v>
      </c>
      <c r="M147" s="335" t="s">
        <v>361</v>
      </c>
      <c r="N147" s="248"/>
      <c r="O147" s="446"/>
      <c r="P147" s="370"/>
      <c r="Q147" s="178"/>
      <c r="R147" s="486"/>
      <c r="S147" s="516"/>
      <c r="T147" s="426" t="str">
        <f t="shared" si="26"/>
        <v/>
      </c>
      <c r="U147" s="410">
        <f t="shared" si="24"/>
        <v>0</v>
      </c>
      <c r="V147" s="685"/>
      <c r="W147" s="468"/>
      <c r="X147" s="676"/>
    </row>
    <row r="148" spans="1:24" ht="14.25" thickBot="1">
      <c r="A148" s="4"/>
      <c r="B148" s="194"/>
      <c r="C148" s="181"/>
      <c r="D148" s="181"/>
      <c r="E148" s="195"/>
      <c r="F148" s="354"/>
      <c r="G148" s="196"/>
      <c r="H148" s="554"/>
      <c r="I148" s="550"/>
      <c r="J148" s="250"/>
      <c r="K148" s="4"/>
      <c r="L148" s="194"/>
      <c r="M148" s="181"/>
      <c r="N148" s="181"/>
      <c r="O148" s="436"/>
      <c r="P148" s="354"/>
      <c r="Q148" s="196"/>
      <c r="R148" s="473"/>
      <c r="S148" s="504"/>
      <c r="T148" s="414" t="str">
        <f t="shared" si="26"/>
        <v/>
      </c>
      <c r="U148" s="403"/>
      <c r="V148" s="385"/>
      <c r="W148" s="457"/>
      <c r="X148" s="550"/>
    </row>
    <row r="149" spans="1:24">
      <c r="B149" s="185">
        <v>15</v>
      </c>
      <c r="C149" s="186" t="s">
        <v>363</v>
      </c>
      <c r="D149" s="186"/>
      <c r="E149" s="187"/>
      <c r="F149" s="336"/>
      <c r="G149" s="188"/>
      <c r="H149" s="543"/>
      <c r="I149" s="668">
        <f>SUM(G149:G160)</f>
        <v>0</v>
      </c>
      <c r="J149" s="671">
        <f>F185</f>
        <v>0</v>
      </c>
      <c r="K149" s="189"/>
      <c r="L149" s="185">
        <v>15</v>
      </c>
      <c r="M149" s="255" t="s">
        <v>364</v>
      </c>
      <c r="N149" s="186"/>
      <c r="O149" s="187"/>
      <c r="P149" s="336"/>
      <c r="Q149" s="188"/>
      <c r="R149" s="477"/>
      <c r="S149" s="508"/>
      <c r="T149" s="418" t="str">
        <f t="shared" si="26"/>
        <v/>
      </c>
      <c r="U149" s="404"/>
      <c r="V149" s="680">
        <v>0</v>
      </c>
      <c r="W149" s="461"/>
      <c r="X149" s="668">
        <f>SUM(Q149:Q160)</f>
        <v>0</v>
      </c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9"/>
      <c r="J150" s="672"/>
      <c r="K150" s="192"/>
      <c r="L150" s="215">
        <v>15</v>
      </c>
      <c r="M150" s="290" t="s">
        <v>364</v>
      </c>
      <c r="N150" s="217"/>
      <c r="O150" s="433"/>
      <c r="P150" s="357"/>
      <c r="Q150" s="219"/>
      <c r="R150" s="470"/>
      <c r="S150" s="501"/>
      <c r="T150" s="411"/>
      <c r="U150" s="396"/>
      <c r="V150" s="681"/>
      <c r="W150" s="454"/>
      <c r="X150" s="669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9"/>
      <c r="J151" s="672"/>
      <c r="K151" s="192"/>
      <c r="L151" s="215">
        <v>15</v>
      </c>
      <c r="M151" s="290" t="s">
        <v>364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1"/>
      <c r="W151" s="454"/>
      <c r="X151" s="669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9"/>
      <c r="J152" s="672"/>
      <c r="K152" s="192"/>
      <c r="L152" s="215">
        <v>15</v>
      </c>
      <c r="M152" s="290" t="s">
        <v>364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1"/>
      <c r="W152" s="454"/>
      <c r="X152" s="669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9"/>
      <c r="J153" s="672"/>
      <c r="K153" s="192"/>
      <c r="L153" s="215">
        <v>15</v>
      </c>
      <c r="M153" s="290" t="s">
        <v>364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1"/>
      <c r="W153" s="454"/>
      <c r="X153" s="669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9"/>
      <c r="J154" s="672"/>
      <c r="K154" s="192"/>
      <c r="L154" s="215">
        <v>15</v>
      </c>
      <c r="M154" s="290" t="s">
        <v>364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1"/>
      <c r="W154" s="454"/>
      <c r="X154" s="669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9"/>
      <c r="J155" s="672"/>
      <c r="K155" s="192"/>
      <c r="L155" s="215">
        <v>15</v>
      </c>
      <c r="M155" s="290" t="s">
        <v>364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1"/>
      <c r="W155" s="454"/>
      <c r="X155" s="669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9"/>
      <c r="J156" s="672"/>
      <c r="K156" s="192"/>
      <c r="L156" s="215">
        <v>15</v>
      </c>
      <c r="M156" s="290" t="s">
        <v>364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1"/>
      <c r="W156" s="454"/>
      <c r="X156" s="669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9"/>
      <c r="J157" s="672"/>
      <c r="K157" s="192"/>
      <c r="L157" s="215">
        <v>15</v>
      </c>
      <c r="M157" s="290" t="s">
        <v>364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1"/>
      <c r="W157" s="454"/>
      <c r="X157" s="669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69"/>
      <c r="J158" s="672"/>
      <c r="K158" s="192"/>
      <c r="L158" s="215">
        <v>15</v>
      </c>
      <c r="M158" s="290" t="s">
        <v>364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681"/>
      <c r="W158" s="454"/>
      <c r="X158" s="669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69"/>
      <c r="J159" s="672"/>
      <c r="K159" s="192"/>
      <c r="L159" s="215">
        <v>15</v>
      </c>
      <c r="M159" s="290" t="s">
        <v>364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681"/>
      <c r="W159" s="454"/>
      <c r="X159" s="669"/>
    </row>
    <row r="160" spans="1:24" ht="15" customHeight="1" thickBot="1">
      <c r="B160" s="220">
        <v>15</v>
      </c>
      <c r="C160" s="221"/>
      <c r="D160" s="221"/>
      <c r="E160" s="222"/>
      <c r="F160" s="358"/>
      <c r="G160" s="234"/>
      <c r="H160" s="553"/>
      <c r="I160" s="670"/>
      <c r="J160" s="673"/>
      <c r="K160" s="193"/>
      <c r="L160" s="220">
        <v>15</v>
      </c>
      <c r="M160" s="318" t="s">
        <v>364</v>
      </c>
      <c r="N160" s="221"/>
      <c r="O160" s="435"/>
      <c r="P160" s="358"/>
      <c r="Q160" s="234"/>
      <c r="R160" s="472"/>
      <c r="S160" s="503"/>
      <c r="T160" s="413" t="str">
        <f t="shared" si="26"/>
        <v/>
      </c>
      <c r="U160" s="398"/>
      <c r="V160" s="682"/>
      <c r="W160" s="456"/>
      <c r="X160" s="670"/>
    </row>
    <row r="161" spans="2:24" s="1" customFormat="1">
      <c r="B161" s="25"/>
      <c r="E161" s="2"/>
      <c r="F161" s="371"/>
      <c r="G161" s="3"/>
      <c r="H161" s="3"/>
      <c r="I161" s="251"/>
      <c r="J161" s="251"/>
      <c r="L161" s="25"/>
      <c r="O161" s="2"/>
      <c r="P161" s="371"/>
      <c r="Q161" s="252"/>
      <c r="R161" s="252"/>
      <c r="S161" s="252"/>
      <c r="T161" s="252"/>
      <c r="U161" s="252"/>
      <c r="V161" s="252"/>
      <c r="W161" s="252"/>
      <c r="X161" s="252"/>
    </row>
    <row r="162" spans="2:24">
      <c r="B162" s="26"/>
      <c r="C162" s="431" t="s">
        <v>365</v>
      </c>
      <c r="D162" s="4">
        <v>370794.53000000009</v>
      </c>
      <c r="E162" s="77"/>
      <c r="F162" s="431">
        <v>452188.45121951227</v>
      </c>
      <c r="G162" s="26"/>
      <c r="H162" s="26"/>
      <c r="I162" s="160"/>
      <c r="J162" s="160"/>
    </row>
    <row r="163" spans="2:24">
      <c r="B163" s="26"/>
      <c r="C163" s="431" t="s">
        <v>366</v>
      </c>
      <c r="D163" s="4">
        <v>95000</v>
      </c>
      <c r="E163" s="77"/>
      <c r="F163" s="431">
        <v>115853.65853658537</v>
      </c>
      <c r="G163" s="26"/>
      <c r="H163" s="26"/>
      <c r="I163" s="160"/>
      <c r="J163" s="160"/>
    </row>
    <row r="164" spans="2:24">
      <c r="B164" s="26"/>
      <c r="C164" s="431" t="s">
        <v>367</v>
      </c>
      <c r="D164" s="4">
        <v>58482.000000000007</v>
      </c>
      <c r="E164" s="77"/>
      <c r="F164" s="431">
        <v>71319.512195121963</v>
      </c>
      <c r="G164" s="26"/>
      <c r="H164" s="26"/>
      <c r="I164" s="253"/>
      <c r="J164" s="253"/>
    </row>
    <row r="165" spans="2:24">
      <c r="B165" s="26"/>
      <c r="C165" s="431" t="s">
        <v>295</v>
      </c>
      <c r="D165" s="4">
        <v>69414.8</v>
      </c>
      <c r="E165" s="77"/>
      <c r="F165" s="431">
        <v>84652.195121951227</v>
      </c>
      <c r="G165" s="26"/>
      <c r="H165" s="26"/>
      <c r="I165" s="160"/>
      <c r="J165" s="160"/>
    </row>
    <row r="166" spans="2:24">
      <c r="B166" s="26"/>
      <c r="C166" s="431" t="s">
        <v>322</v>
      </c>
      <c r="D166" s="4">
        <v>198443.48695652175</v>
      </c>
      <c r="E166" s="77"/>
      <c r="F166" s="431">
        <v>242004.25238600213</v>
      </c>
      <c r="G166" s="26"/>
      <c r="H166" s="26"/>
      <c r="I166" s="253"/>
      <c r="J166" s="253"/>
    </row>
    <row r="167" spans="2:24">
      <c r="B167" s="26"/>
      <c r="C167" s="431" t="s">
        <v>368</v>
      </c>
      <c r="D167" s="4">
        <v>49000</v>
      </c>
      <c r="E167" s="77"/>
      <c r="F167" s="431">
        <v>59756.097560975606</v>
      </c>
      <c r="G167" s="26"/>
      <c r="H167" s="26"/>
      <c r="I167" s="160"/>
      <c r="J167" s="160"/>
    </row>
    <row r="168" spans="2:24">
      <c r="B168" s="26"/>
      <c r="C168" s="431" t="s">
        <v>369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370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371</v>
      </c>
      <c r="D170" s="4">
        <v>4000</v>
      </c>
      <c r="E170" s="77"/>
      <c r="F170" s="431">
        <v>4494.3820224719102</v>
      </c>
      <c r="G170" s="26"/>
      <c r="H170" s="26"/>
      <c r="I170" s="160"/>
      <c r="J170" s="160"/>
    </row>
    <row r="171" spans="2:24">
      <c r="B171" s="26"/>
      <c r="C171" s="431" t="s">
        <v>372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373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374</v>
      </c>
      <c r="E173" s="77"/>
      <c r="F173" s="431"/>
      <c r="G173" s="26"/>
      <c r="H173" s="26"/>
      <c r="I173" s="160"/>
      <c r="J173" s="160"/>
    </row>
    <row r="174" spans="2:24">
      <c r="B174" s="26"/>
      <c r="C174" s="431"/>
      <c r="E174" s="77"/>
      <c r="F174" s="431"/>
      <c r="G174" s="26"/>
      <c r="H174" s="26"/>
      <c r="I174" s="160"/>
      <c r="J174" s="160"/>
    </row>
    <row r="175" spans="2:24" s="26" customFormat="1">
      <c r="C175" s="431" t="s">
        <v>375</v>
      </c>
      <c r="D175" s="26">
        <v>32490</v>
      </c>
      <c r="E175" s="77"/>
      <c r="F175" s="431">
        <v>38223.529411764706</v>
      </c>
      <c r="I175" s="160"/>
      <c r="J175" s="160"/>
      <c r="T175" s="431"/>
      <c r="U175" s="431"/>
      <c r="W175" s="431"/>
    </row>
    <row r="176" spans="2:24" s="26" customFormat="1">
      <c r="C176" s="431" t="s">
        <v>376</v>
      </c>
      <c r="D176" s="26">
        <v>75810</v>
      </c>
      <c r="E176" s="77"/>
      <c r="F176" s="431">
        <v>89188.23529411765</v>
      </c>
      <c r="I176" s="160"/>
      <c r="J176" s="160"/>
      <c r="T176" s="431"/>
      <c r="U176" s="431"/>
      <c r="W176" s="431"/>
    </row>
    <row r="177" spans="3:23" s="26" customFormat="1">
      <c r="C177" s="431" t="s">
        <v>377</v>
      </c>
      <c r="D177" s="26">
        <v>90875.738961956522</v>
      </c>
      <c r="E177" s="77"/>
      <c r="F177" s="431">
        <v>106912.63407289002</v>
      </c>
      <c r="I177" s="160"/>
      <c r="J177" s="160"/>
      <c r="T177" s="431"/>
      <c r="U177" s="431"/>
      <c r="W177" s="431"/>
    </row>
    <row r="178" spans="3:23" s="26" customFormat="1">
      <c r="C178" s="431" t="s">
        <v>378</v>
      </c>
      <c r="D178" s="26">
        <v>89000</v>
      </c>
      <c r="E178" s="77"/>
      <c r="F178" s="431">
        <v>104705.88235294117</v>
      </c>
      <c r="I178" s="160"/>
      <c r="J178" s="160"/>
      <c r="T178" s="431"/>
      <c r="U178" s="431"/>
      <c r="W178" s="431"/>
    </row>
    <row r="179" spans="3:23" s="26" customFormat="1">
      <c r="C179" s="431" t="s">
        <v>379</v>
      </c>
      <c r="D179" s="26">
        <v>8500</v>
      </c>
      <c r="E179" s="77"/>
      <c r="F179" s="431">
        <v>10000</v>
      </c>
      <c r="I179" s="160"/>
      <c r="J179" s="160"/>
      <c r="T179" s="431"/>
      <c r="U179" s="431"/>
      <c r="W179" s="431"/>
    </row>
    <row r="180" spans="3:23" s="26" customFormat="1">
      <c r="C180" s="431" t="s">
        <v>380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381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382</v>
      </c>
      <c r="D182" s="26">
        <v>28800</v>
      </c>
      <c r="E182" s="77"/>
      <c r="F182" s="431">
        <v>33882.352941176468</v>
      </c>
      <c r="I182" s="160"/>
      <c r="J182" s="160"/>
      <c r="T182" s="431"/>
      <c r="U182" s="431"/>
      <c r="W182" s="431"/>
    </row>
    <row r="183" spans="3:23" s="26" customFormat="1">
      <c r="C183" s="431" t="s">
        <v>383</v>
      </c>
      <c r="D183" s="26">
        <v>21741.9</v>
      </c>
      <c r="E183" s="77"/>
      <c r="F183" s="431">
        <v>25578.705882352944</v>
      </c>
      <c r="I183" s="160"/>
      <c r="J183" s="160"/>
      <c r="T183" s="431"/>
      <c r="U183" s="431"/>
      <c r="W183" s="431"/>
    </row>
    <row r="184" spans="3:23" s="26" customFormat="1">
      <c r="C184" s="431" t="s">
        <v>384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 t="s">
        <v>371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/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385</v>
      </c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386</v>
      </c>
      <c r="D188" s="26">
        <v>2100</v>
      </c>
      <c r="E188" s="77"/>
      <c r="F188" s="431">
        <v>2470.5882352941176</v>
      </c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X119:X124"/>
    <mergeCell ref="I126:I127"/>
    <mergeCell ref="J126:J127"/>
    <mergeCell ref="K126:K127"/>
    <mergeCell ref="X126:X127"/>
    <mergeCell ref="V119:V124"/>
    <mergeCell ref="I119:I124"/>
    <mergeCell ref="J119:J124"/>
    <mergeCell ref="I149:I160"/>
    <mergeCell ref="J149:J160"/>
    <mergeCell ref="X149:X160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0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J31" sqref="J31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387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2" t="s">
        <v>388</v>
      </c>
      <c r="B2" s="103"/>
      <c r="C2" s="104" t="s">
        <v>264</v>
      </c>
      <c r="D2" s="104" t="s">
        <v>264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3"/>
      <c r="B3" s="106" t="s">
        <v>207</v>
      </c>
      <c r="C3" s="107">
        <f>'Revenue Tracking'!D4</f>
        <v>1441230.4772331575</v>
      </c>
      <c r="D3" s="107">
        <f>SUM(F3:KF3)</f>
        <v>1441230.4772331573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720615.23861657875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360307.61930828937</v>
      </c>
      <c r="V3" s="109">
        <f>SUMIFS('Revenue Tracking'!$F$13:$F$19, 'Revenue Tracking'!$H$13:$H$19, "&gt;="&amp;V1,'Revenue Tracking'!$H$13:$H$19, "&lt;"&amp;W1)</f>
        <v>144123.04772331574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144123.04772331574</v>
      </c>
      <c r="AA3" s="109">
        <f>SUMIFS('Revenue Tracking'!$F$13:$F$19, 'Revenue Tracking'!$H$13:$H$19, "&gt;="&amp;AA1,'Revenue Tracking'!$H$13:$H$19, "&lt;"&amp;AB1)</f>
        <v>72061.523861657872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3"/>
      <c r="B4" s="106" t="s">
        <v>389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720615.23861657875</v>
      </c>
      <c r="R4" s="109">
        <f t="shared" si="5"/>
        <v>720615.23861657875</v>
      </c>
      <c r="S4" s="109">
        <f t="shared" si="5"/>
        <v>720615.23861657875</v>
      </c>
      <c r="T4" s="109">
        <f t="shared" si="5"/>
        <v>720615.23861657875</v>
      </c>
      <c r="U4" s="109">
        <f t="shared" si="5"/>
        <v>1080922.8579248681</v>
      </c>
      <c r="V4" s="109">
        <f t="shared" si="5"/>
        <v>1225045.9056481838</v>
      </c>
      <c r="W4" s="109">
        <f t="shared" si="5"/>
        <v>1225045.9056481838</v>
      </c>
      <c r="X4" s="109">
        <f t="shared" si="5"/>
        <v>1225045.9056481838</v>
      </c>
      <c r="Y4" s="109">
        <f t="shared" si="5"/>
        <v>1225045.9056481838</v>
      </c>
      <c r="Z4" s="109">
        <f t="shared" si="5"/>
        <v>1369168.9533714994</v>
      </c>
      <c r="AA4" s="109">
        <f t="shared" si="5"/>
        <v>1441230.4772331573</v>
      </c>
      <c r="AB4" s="109">
        <f t="shared" si="5"/>
        <v>1441230.4772331573</v>
      </c>
      <c r="AC4" s="109">
        <f t="shared" si="5"/>
        <v>1441230.4772331573</v>
      </c>
      <c r="AD4" s="109">
        <f>AC4+AD3</f>
        <v>1441230.4772331573</v>
      </c>
      <c r="AE4" s="109">
        <f t="shared" si="5"/>
        <v>1441230.4772331573</v>
      </c>
      <c r="AF4" s="109">
        <f t="shared" si="5"/>
        <v>1441230.4772331573</v>
      </c>
      <c r="AG4" s="109">
        <f t="shared" si="5"/>
        <v>1441230.4772331573</v>
      </c>
      <c r="AH4" s="109">
        <f t="shared" si="5"/>
        <v>1441230.4772331573</v>
      </c>
      <c r="AI4" s="109">
        <f t="shared" si="5"/>
        <v>1441230.4772331573</v>
      </c>
      <c r="AJ4" s="109">
        <f t="shared" si="5"/>
        <v>1441230.4772331573</v>
      </c>
      <c r="AK4" s="109">
        <f t="shared" si="5"/>
        <v>1441230.4772331573</v>
      </c>
      <c r="AL4" s="109">
        <f t="shared" si="5"/>
        <v>1441230.4772331573</v>
      </c>
      <c r="AM4" s="109">
        <f t="shared" si="5"/>
        <v>1441230.4772331573</v>
      </c>
      <c r="AN4" s="109">
        <f t="shared" si="5"/>
        <v>1441230.4772331573</v>
      </c>
      <c r="AO4" s="109">
        <f t="shared" si="5"/>
        <v>1441230.4772331573</v>
      </c>
      <c r="AP4" s="109">
        <f t="shared" si="5"/>
        <v>1441230.4772331573</v>
      </c>
      <c r="AQ4" s="109">
        <f t="shared" si="5"/>
        <v>1441230.4772331573</v>
      </c>
      <c r="AR4" s="109">
        <f t="shared" si="5"/>
        <v>1441230.4772331573</v>
      </c>
      <c r="AS4" s="109">
        <f t="shared" si="5"/>
        <v>1441230.4772331573</v>
      </c>
      <c r="AT4" s="109">
        <f t="shared" si="5"/>
        <v>1441230.4772331573</v>
      </c>
      <c r="AU4" s="109">
        <f t="shared" si="5"/>
        <v>1441230.4772331573</v>
      </c>
      <c r="AV4" s="109">
        <f t="shared" si="5"/>
        <v>1441230.4772331573</v>
      </c>
      <c r="AW4" s="109">
        <f t="shared" si="5"/>
        <v>1441230.4772331573</v>
      </c>
      <c r="AX4" s="109">
        <f t="shared" si="5"/>
        <v>1441230.4772331573</v>
      </c>
      <c r="AY4" s="109">
        <f t="shared" si="5"/>
        <v>1441230.4772331573</v>
      </c>
      <c r="AZ4" s="109">
        <f t="shared" si="5"/>
        <v>1441230.4772331573</v>
      </c>
      <c r="BA4" s="109">
        <f t="shared" si="5"/>
        <v>1441230.4772331573</v>
      </c>
      <c r="BB4" s="109">
        <f t="shared" si="5"/>
        <v>1441230.4772331573</v>
      </c>
      <c r="BC4" s="109">
        <f t="shared" si="5"/>
        <v>1441230.4772331573</v>
      </c>
      <c r="BD4" s="109">
        <f t="shared" si="5"/>
        <v>1441230.4772331573</v>
      </c>
      <c r="BE4" s="109">
        <f t="shared" si="5"/>
        <v>1441230.4772331573</v>
      </c>
      <c r="BF4" s="109">
        <f t="shared" si="5"/>
        <v>1441230.4772331573</v>
      </c>
      <c r="BG4" s="109">
        <f t="shared" si="5"/>
        <v>1441230.4772331573</v>
      </c>
      <c r="BH4" s="109">
        <f t="shared" si="5"/>
        <v>1441230.4772331573</v>
      </c>
      <c r="BI4" s="109">
        <f t="shared" si="5"/>
        <v>1441230.4772331573</v>
      </c>
      <c r="BJ4" s="109">
        <f t="shared" si="5"/>
        <v>1441230.4772331573</v>
      </c>
      <c r="BK4" s="109">
        <f t="shared" si="5"/>
        <v>1441230.4772331573</v>
      </c>
      <c r="BL4" s="109">
        <f t="shared" si="5"/>
        <v>1441230.4772331573</v>
      </c>
      <c r="BM4" s="109">
        <f t="shared" si="5"/>
        <v>1441230.4772331573</v>
      </c>
      <c r="BN4" s="109">
        <f t="shared" si="5"/>
        <v>1441230.4772331573</v>
      </c>
      <c r="BO4" s="109">
        <f t="shared" si="5"/>
        <v>1441230.4772331573</v>
      </c>
      <c r="BP4" s="109">
        <f t="shared" si="5"/>
        <v>1441230.4772331573</v>
      </c>
      <c r="BQ4" s="109">
        <f t="shared" si="5"/>
        <v>1441230.4772331573</v>
      </c>
      <c r="BR4" s="109">
        <f t="shared" si="5"/>
        <v>1441230.4772331573</v>
      </c>
      <c r="BS4" s="109">
        <f t="shared" si="5"/>
        <v>1441230.4772331573</v>
      </c>
      <c r="BT4" s="109">
        <f t="shared" si="5"/>
        <v>1441230.4772331573</v>
      </c>
      <c r="BU4" s="109">
        <f t="shared" ref="BU4:EF4" si="6">BT4+BU3</f>
        <v>1441230.4772331573</v>
      </c>
      <c r="BV4" s="109">
        <f t="shared" si="6"/>
        <v>1441230.4772331573</v>
      </c>
      <c r="BW4" s="109">
        <f t="shared" si="6"/>
        <v>1441230.4772331573</v>
      </c>
      <c r="BX4" s="109">
        <f t="shared" si="6"/>
        <v>1441230.4772331573</v>
      </c>
      <c r="BY4" s="109">
        <f t="shared" si="6"/>
        <v>1441230.4772331573</v>
      </c>
      <c r="BZ4" s="109">
        <f t="shared" si="6"/>
        <v>1441230.4772331573</v>
      </c>
      <c r="CA4" s="109">
        <f t="shared" si="6"/>
        <v>1441230.4772331573</v>
      </c>
      <c r="CB4" s="109">
        <f t="shared" si="6"/>
        <v>1441230.4772331573</v>
      </c>
      <c r="CC4" s="109">
        <f t="shared" si="6"/>
        <v>1441230.4772331573</v>
      </c>
      <c r="CD4" s="109">
        <f t="shared" si="6"/>
        <v>1441230.4772331573</v>
      </c>
      <c r="CE4" s="109">
        <f t="shared" si="6"/>
        <v>1441230.4772331573</v>
      </c>
      <c r="CF4" s="109">
        <f t="shared" si="6"/>
        <v>1441230.4772331573</v>
      </c>
      <c r="CG4" s="109">
        <f t="shared" si="6"/>
        <v>1441230.4772331573</v>
      </c>
      <c r="CH4" s="109">
        <f t="shared" si="6"/>
        <v>1441230.4772331573</v>
      </c>
      <c r="CI4" s="109">
        <f t="shared" si="6"/>
        <v>1441230.4772331573</v>
      </c>
      <c r="CJ4" s="109">
        <f t="shared" si="6"/>
        <v>1441230.4772331573</v>
      </c>
      <c r="CK4" s="109">
        <f t="shared" si="6"/>
        <v>1441230.4772331573</v>
      </c>
      <c r="CL4" s="109">
        <f t="shared" si="6"/>
        <v>1441230.4772331573</v>
      </c>
      <c r="CM4" s="109">
        <f t="shared" si="6"/>
        <v>1441230.4772331573</v>
      </c>
      <c r="CN4" s="109">
        <f t="shared" si="6"/>
        <v>1441230.4772331573</v>
      </c>
      <c r="CO4" s="109">
        <f t="shared" si="6"/>
        <v>1441230.4772331573</v>
      </c>
      <c r="CP4" s="109">
        <f t="shared" si="6"/>
        <v>1441230.4772331573</v>
      </c>
      <c r="CQ4" s="109">
        <f t="shared" si="6"/>
        <v>1441230.4772331573</v>
      </c>
      <c r="CR4" s="109">
        <f t="shared" si="6"/>
        <v>1441230.4772331573</v>
      </c>
      <c r="CS4" s="109">
        <f t="shared" si="6"/>
        <v>1441230.4772331573</v>
      </c>
      <c r="CT4" s="109">
        <f t="shared" si="6"/>
        <v>1441230.4772331573</v>
      </c>
      <c r="CU4" s="109">
        <f t="shared" si="6"/>
        <v>1441230.4772331573</v>
      </c>
      <c r="CV4" s="109">
        <f t="shared" si="6"/>
        <v>1441230.4772331573</v>
      </c>
      <c r="CW4" s="109">
        <f t="shared" si="6"/>
        <v>1441230.4772331573</v>
      </c>
      <c r="CX4" s="109">
        <f t="shared" si="6"/>
        <v>1441230.4772331573</v>
      </c>
      <c r="CY4" s="109">
        <f t="shared" si="6"/>
        <v>1441230.4772331573</v>
      </c>
      <c r="CZ4" s="109">
        <f t="shared" si="6"/>
        <v>1441230.4772331573</v>
      </c>
      <c r="DA4" s="109">
        <f t="shared" si="6"/>
        <v>1441230.4772331573</v>
      </c>
      <c r="DB4" s="109">
        <f t="shared" si="6"/>
        <v>1441230.4772331573</v>
      </c>
      <c r="DC4" s="109">
        <f t="shared" si="6"/>
        <v>1441230.4772331573</v>
      </c>
      <c r="DD4" s="109">
        <f t="shared" si="6"/>
        <v>1441230.4772331573</v>
      </c>
      <c r="DE4" s="109">
        <f t="shared" si="6"/>
        <v>1441230.4772331573</v>
      </c>
      <c r="DF4" s="109">
        <f t="shared" si="6"/>
        <v>1441230.4772331573</v>
      </c>
      <c r="DG4" s="109">
        <f t="shared" si="6"/>
        <v>1441230.4772331573</v>
      </c>
      <c r="DH4" s="109">
        <f t="shared" si="6"/>
        <v>1441230.4772331573</v>
      </c>
      <c r="DI4" s="109">
        <f t="shared" si="6"/>
        <v>1441230.4772331573</v>
      </c>
      <c r="DJ4" s="109">
        <f t="shared" si="6"/>
        <v>1441230.4772331573</v>
      </c>
      <c r="DK4" s="109">
        <f t="shared" si="6"/>
        <v>1441230.4772331573</v>
      </c>
      <c r="DL4" s="109">
        <f t="shared" si="6"/>
        <v>1441230.4772331573</v>
      </c>
      <c r="DM4" s="109">
        <f t="shared" si="6"/>
        <v>1441230.4772331573</v>
      </c>
      <c r="DN4" s="109">
        <f t="shared" si="6"/>
        <v>1441230.4772331573</v>
      </c>
      <c r="DO4" s="109">
        <f t="shared" si="6"/>
        <v>1441230.4772331573</v>
      </c>
      <c r="DP4" s="109">
        <f t="shared" si="6"/>
        <v>1441230.4772331573</v>
      </c>
      <c r="DQ4" s="109">
        <f t="shared" si="6"/>
        <v>1441230.4772331573</v>
      </c>
      <c r="DR4" s="109">
        <f t="shared" si="6"/>
        <v>1441230.4772331573</v>
      </c>
      <c r="DS4" s="109">
        <f t="shared" si="6"/>
        <v>1441230.4772331573</v>
      </c>
      <c r="DT4" s="109">
        <f t="shared" si="6"/>
        <v>1441230.4772331573</v>
      </c>
      <c r="DU4" s="109">
        <f t="shared" si="6"/>
        <v>1441230.4772331573</v>
      </c>
      <c r="DV4" s="109">
        <f t="shared" si="6"/>
        <v>1441230.4772331573</v>
      </c>
      <c r="DW4" s="109">
        <f t="shared" si="6"/>
        <v>1441230.4772331573</v>
      </c>
      <c r="DX4" s="109">
        <f t="shared" si="6"/>
        <v>1441230.4772331573</v>
      </c>
      <c r="DY4" s="109">
        <f t="shared" si="6"/>
        <v>1441230.4772331573</v>
      </c>
      <c r="DZ4" s="109">
        <f t="shared" si="6"/>
        <v>1441230.4772331573</v>
      </c>
      <c r="EA4" s="109">
        <f t="shared" si="6"/>
        <v>1441230.4772331573</v>
      </c>
      <c r="EB4" s="109">
        <f t="shared" si="6"/>
        <v>1441230.4772331573</v>
      </c>
      <c r="EC4" s="109">
        <f t="shared" si="6"/>
        <v>1441230.4772331573</v>
      </c>
      <c r="ED4" s="109">
        <f t="shared" si="6"/>
        <v>1441230.4772331573</v>
      </c>
      <c r="EE4" s="109">
        <f t="shared" si="6"/>
        <v>1441230.4772331573</v>
      </c>
      <c r="EF4" s="109">
        <f t="shared" si="6"/>
        <v>1441230.4772331573</v>
      </c>
      <c r="EG4" s="109">
        <f t="shared" ref="EG4:GR4" si="7">EF4+EG3</f>
        <v>1441230.4772331573</v>
      </c>
      <c r="EH4" s="109">
        <f t="shared" si="7"/>
        <v>1441230.4772331573</v>
      </c>
      <c r="EI4" s="109">
        <f t="shared" si="7"/>
        <v>1441230.4772331573</v>
      </c>
      <c r="EJ4" s="109">
        <f t="shared" si="7"/>
        <v>1441230.4772331573</v>
      </c>
      <c r="EK4" s="109">
        <f t="shared" si="7"/>
        <v>1441230.4772331573</v>
      </c>
      <c r="EL4" s="109">
        <f t="shared" si="7"/>
        <v>1441230.4772331573</v>
      </c>
      <c r="EM4" s="109">
        <f t="shared" si="7"/>
        <v>1441230.4772331573</v>
      </c>
      <c r="EN4" s="109">
        <f t="shared" si="7"/>
        <v>1441230.4772331573</v>
      </c>
      <c r="EO4" s="109">
        <f t="shared" si="7"/>
        <v>1441230.4772331573</v>
      </c>
      <c r="EP4" s="109">
        <f t="shared" si="7"/>
        <v>1441230.4772331573</v>
      </c>
      <c r="EQ4" s="109">
        <f t="shared" si="7"/>
        <v>1441230.4772331573</v>
      </c>
      <c r="ER4" s="109">
        <f t="shared" si="7"/>
        <v>1441230.4772331573</v>
      </c>
      <c r="ES4" s="109">
        <f t="shared" si="7"/>
        <v>1441230.4772331573</v>
      </c>
      <c r="ET4" s="109">
        <f t="shared" si="7"/>
        <v>1441230.4772331573</v>
      </c>
      <c r="EU4" s="109">
        <f t="shared" si="7"/>
        <v>1441230.4772331573</v>
      </c>
      <c r="EV4" s="109">
        <f t="shared" si="7"/>
        <v>1441230.4772331573</v>
      </c>
      <c r="EW4" s="109">
        <f t="shared" si="7"/>
        <v>1441230.4772331573</v>
      </c>
      <c r="EX4" s="109">
        <f t="shared" si="7"/>
        <v>1441230.4772331573</v>
      </c>
      <c r="EY4" s="109">
        <f t="shared" si="7"/>
        <v>1441230.4772331573</v>
      </c>
      <c r="EZ4" s="109">
        <f t="shared" si="7"/>
        <v>1441230.4772331573</v>
      </c>
      <c r="FA4" s="109">
        <f t="shared" si="7"/>
        <v>1441230.4772331573</v>
      </c>
      <c r="FB4" s="109">
        <f t="shared" si="7"/>
        <v>1441230.4772331573</v>
      </c>
      <c r="FC4" s="109">
        <f t="shared" si="7"/>
        <v>1441230.4772331573</v>
      </c>
      <c r="FD4" s="109">
        <f t="shared" si="7"/>
        <v>1441230.4772331573</v>
      </c>
      <c r="FE4" s="109">
        <f t="shared" si="7"/>
        <v>1441230.4772331573</v>
      </c>
      <c r="FF4" s="109">
        <f t="shared" si="7"/>
        <v>1441230.4772331573</v>
      </c>
      <c r="FG4" s="109">
        <f t="shared" si="7"/>
        <v>1441230.4772331573</v>
      </c>
      <c r="FH4" s="109">
        <f t="shared" si="7"/>
        <v>1441230.4772331573</v>
      </c>
      <c r="FI4" s="109">
        <f t="shared" si="7"/>
        <v>1441230.4772331573</v>
      </c>
      <c r="FJ4" s="109">
        <f t="shared" si="7"/>
        <v>1441230.4772331573</v>
      </c>
      <c r="FK4" s="109">
        <f t="shared" si="7"/>
        <v>1441230.4772331573</v>
      </c>
      <c r="FL4" s="109">
        <f t="shared" si="7"/>
        <v>1441230.4772331573</v>
      </c>
      <c r="FM4" s="109">
        <f t="shared" si="7"/>
        <v>1441230.4772331573</v>
      </c>
      <c r="FN4" s="109">
        <f t="shared" si="7"/>
        <v>1441230.4772331573</v>
      </c>
      <c r="FO4" s="109">
        <f t="shared" si="7"/>
        <v>1441230.4772331573</v>
      </c>
      <c r="FP4" s="109">
        <f t="shared" si="7"/>
        <v>1441230.4772331573</v>
      </c>
      <c r="FQ4" s="109">
        <f t="shared" si="7"/>
        <v>1441230.4772331573</v>
      </c>
      <c r="FR4" s="109">
        <f t="shared" si="7"/>
        <v>1441230.4772331573</v>
      </c>
      <c r="FS4" s="109">
        <f t="shared" si="7"/>
        <v>1441230.4772331573</v>
      </c>
      <c r="FT4" s="109">
        <f t="shared" si="7"/>
        <v>1441230.4772331573</v>
      </c>
      <c r="FU4" s="109">
        <f t="shared" si="7"/>
        <v>1441230.4772331573</v>
      </c>
      <c r="FV4" s="109">
        <f t="shared" si="7"/>
        <v>1441230.4772331573</v>
      </c>
      <c r="FW4" s="109">
        <f t="shared" si="7"/>
        <v>1441230.4772331573</v>
      </c>
      <c r="FX4" s="109">
        <f t="shared" si="7"/>
        <v>1441230.4772331573</v>
      </c>
      <c r="FY4" s="109">
        <f t="shared" si="7"/>
        <v>1441230.4772331573</v>
      </c>
      <c r="FZ4" s="109">
        <f t="shared" si="7"/>
        <v>1441230.4772331573</v>
      </c>
      <c r="GA4" s="109">
        <f t="shared" si="7"/>
        <v>1441230.4772331573</v>
      </c>
      <c r="GB4" s="109">
        <f t="shared" si="7"/>
        <v>1441230.4772331573</v>
      </c>
      <c r="GC4" s="109">
        <f t="shared" si="7"/>
        <v>1441230.4772331573</v>
      </c>
      <c r="GD4" s="109">
        <f t="shared" si="7"/>
        <v>1441230.4772331573</v>
      </c>
      <c r="GE4" s="109">
        <f t="shared" si="7"/>
        <v>1441230.4772331573</v>
      </c>
      <c r="GF4" s="109">
        <f t="shared" si="7"/>
        <v>1441230.4772331573</v>
      </c>
      <c r="GG4" s="109">
        <f t="shared" si="7"/>
        <v>1441230.4772331573</v>
      </c>
      <c r="GH4" s="109">
        <f t="shared" si="7"/>
        <v>1441230.4772331573</v>
      </c>
      <c r="GI4" s="109">
        <f t="shared" si="7"/>
        <v>1441230.4772331573</v>
      </c>
      <c r="GJ4" s="109">
        <f t="shared" si="7"/>
        <v>1441230.4772331573</v>
      </c>
      <c r="GK4" s="109">
        <f t="shared" si="7"/>
        <v>1441230.4772331573</v>
      </c>
      <c r="GL4" s="109">
        <f t="shared" si="7"/>
        <v>1441230.4772331573</v>
      </c>
      <c r="GM4" s="109">
        <f t="shared" si="7"/>
        <v>1441230.4772331573</v>
      </c>
      <c r="GN4" s="109">
        <f t="shared" si="7"/>
        <v>1441230.4772331573</v>
      </c>
      <c r="GO4" s="109">
        <f t="shared" si="7"/>
        <v>1441230.4772331573</v>
      </c>
      <c r="GP4" s="109">
        <f t="shared" si="7"/>
        <v>1441230.4772331573</v>
      </c>
      <c r="GQ4" s="109">
        <f t="shared" si="7"/>
        <v>1441230.4772331573</v>
      </c>
      <c r="GR4" s="109">
        <f t="shared" si="7"/>
        <v>1441230.4772331573</v>
      </c>
      <c r="GS4" s="109">
        <f t="shared" ref="GS4:JD4" si="8">GR4+GS3</f>
        <v>1441230.4772331573</v>
      </c>
      <c r="GT4" s="109">
        <f t="shared" si="8"/>
        <v>1441230.4772331573</v>
      </c>
      <c r="GU4" s="109">
        <f t="shared" si="8"/>
        <v>1441230.4772331573</v>
      </c>
      <c r="GV4" s="109">
        <f t="shared" si="8"/>
        <v>1441230.4772331573</v>
      </c>
      <c r="GW4" s="109">
        <f t="shared" si="8"/>
        <v>1441230.4772331573</v>
      </c>
      <c r="GX4" s="109">
        <f t="shared" si="8"/>
        <v>1441230.4772331573</v>
      </c>
      <c r="GY4" s="109">
        <f t="shared" si="8"/>
        <v>1441230.4772331573</v>
      </c>
      <c r="GZ4" s="109">
        <f t="shared" si="8"/>
        <v>1441230.4772331573</v>
      </c>
      <c r="HA4" s="109">
        <f t="shared" si="8"/>
        <v>1441230.4772331573</v>
      </c>
      <c r="HB4" s="109">
        <f t="shared" si="8"/>
        <v>1441230.4772331573</v>
      </c>
      <c r="HC4" s="109">
        <f t="shared" si="8"/>
        <v>1441230.4772331573</v>
      </c>
      <c r="HD4" s="109">
        <f t="shared" si="8"/>
        <v>1441230.4772331573</v>
      </c>
      <c r="HE4" s="109">
        <f t="shared" si="8"/>
        <v>1441230.4772331573</v>
      </c>
      <c r="HF4" s="109">
        <f t="shared" si="8"/>
        <v>1441230.4772331573</v>
      </c>
      <c r="HG4" s="109">
        <f t="shared" si="8"/>
        <v>1441230.4772331573</v>
      </c>
      <c r="HH4" s="109">
        <f t="shared" si="8"/>
        <v>1441230.4772331573</v>
      </c>
      <c r="HI4" s="109">
        <f t="shared" si="8"/>
        <v>1441230.4772331573</v>
      </c>
      <c r="HJ4" s="109">
        <f t="shared" si="8"/>
        <v>1441230.4772331573</v>
      </c>
      <c r="HK4" s="109">
        <f t="shared" si="8"/>
        <v>1441230.4772331573</v>
      </c>
      <c r="HL4" s="109">
        <f t="shared" si="8"/>
        <v>1441230.4772331573</v>
      </c>
      <c r="HM4" s="109">
        <f t="shared" si="8"/>
        <v>1441230.4772331573</v>
      </c>
      <c r="HN4" s="109">
        <f t="shared" si="8"/>
        <v>1441230.4772331573</v>
      </c>
      <c r="HO4" s="109">
        <f t="shared" si="8"/>
        <v>1441230.4772331573</v>
      </c>
      <c r="HP4" s="109">
        <f t="shared" si="8"/>
        <v>1441230.4772331573</v>
      </c>
      <c r="HQ4" s="109">
        <f t="shared" si="8"/>
        <v>1441230.4772331573</v>
      </c>
      <c r="HR4" s="109">
        <f t="shared" si="8"/>
        <v>1441230.4772331573</v>
      </c>
      <c r="HS4" s="109">
        <f t="shared" si="8"/>
        <v>1441230.4772331573</v>
      </c>
      <c r="HT4" s="109">
        <f t="shared" si="8"/>
        <v>1441230.4772331573</v>
      </c>
      <c r="HU4" s="109">
        <f t="shared" si="8"/>
        <v>1441230.4772331573</v>
      </c>
      <c r="HV4" s="109">
        <f t="shared" si="8"/>
        <v>1441230.4772331573</v>
      </c>
      <c r="HW4" s="109">
        <f t="shared" si="8"/>
        <v>1441230.4772331573</v>
      </c>
      <c r="HX4" s="109">
        <f t="shared" si="8"/>
        <v>1441230.4772331573</v>
      </c>
      <c r="HY4" s="109">
        <f t="shared" si="8"/>
        <v>1441230.4772331573</v>
      </c>
      <c r="HZ4" s="109">
        <f t="shared" si="8"/>
        <v>1441230.4772331573</v>
      </c>
      <c r="IA4" s="109">
        <f t="shared" si="8"/>
        <v>1441230.4772331573</v>
      </c>
      <c r="IB4" s="109">
        <f t="shared" si="8"/>
        <v>1441230.4772331573</v>
      </c>
      <c r="IC4" s="109">
        <f t="shared" si="8"/>
        <v>1441230.4772331573</v>
      </c>
      <c r="ID4" s="109">
        <f t="shared" si="8"/>
        <v>1441230.4772331573</v>
      </c>
      <c r="IE4" s="109">
        <f t="shared" si="8"/>
        <v>1441230.4772331573</v>
      </c>
      <c r="IF4" s="109">
        <f t="shared" si="8"/>
        <v>1441230.4772331573</v>
      </c>
      <c r="IG4" s="109">
        <f t="shared" si="8"/>
        <v>1441230.4772331573</v>
      </c>
      <c r="IH4" s="109">
        <f t="shared" si="8"/>
        <v>1441230.4772331573</v>
      </c>
      <c r="II4" s="109">
        <f t="shared" si="8"/>
        <v>1441230.4772331573</v>
      </c>
      <c r="IJ4" s="109">
        <f t="shared" si="8"/>
        <v>1441230.4772331573</v>
      </c>
      <c r="IK4" s="109">
        <f t="shared" si="8"/>
        <v>1441230.4772331573</v>
      </c>
      <c r="IL4" s="109">
        <f t="shared" si="8"/>
        <v>1441230.4772331573</v>
      </c>
      <c r="IM4" s="109">
        <f t="shared" si="8"/>
        <v>1441230.4772331573</v>
      </c>
      <c r="IN4" s="109">
        <f t="shared" si="8"/>
        <v>1441230.4772331573</v>
      </c>
      <c r="IO4" s="109">
        <f t="shared" si="8"/>
        <v>1441230.4772331573</v>
      </c>
      <c r="IP4" s="109">
        <f t="shared" si="8"/>
        <v>1441230.4772331573</v>
      </c>
      <c r="IQ4" s="109">
        <f t="shared" si="8"/>
        <v>1441230.4772331573</v>
      </c>
      <c r="IR4" s="109">
        <f t="shared" si="8"/>
        <v>1441230.4772331573</v>
      </c>
      <c r="IS4" s="109">
        <f t="shared" si="8"/>
        <v>1441230.4772331573</v>
      </c>
      <c r="IT4" s="109">
        <f t="shared" si="8"/>
        <v>1441230.4772331573</v>
      </c>
      <c r="IU4" s="109">
        <f t="shared" si="8"/>
        <v>1441230.4772331573</v>
      </c>
      <c r="IV4" s="109">
        <f t="shared" si="8"/>
        <v>1441230.4772331573</v>
      </c>
      <c r="IW4" s="109">
        <f t="shared" si="8"/>
        <v>1441230.4772331573</v>
      </c>
      <c r="IX4" s="109">
        <f t="shared" si="8"/>
        <v>1441230.4772331573</v>
      </c>
      <c r="IY4" s="109">
        <f t="shared" si="8"/>
        <v>1441230.4772331573</v>
      </c>
      <c r="IZ4" s="109">
        <f t="shared" si="8"/>
        <v>1441230.4772331573</v>
      </c>
      <c r="JA4" s="109">
        <f t="shared" si="8"/>
        <v>1441230.4772331573</v>
      </c>
      <c r="JB4" s="109">
        <f t="shared" si="8"/>
        <v>1441230.4772331573</v>
      </c>
      <c r="JC4" s="109">
        <f t="shared" si="8"/>
        <v>1441230.4772331573</v>
      </c>
      <c r="JD4" s="109">
        <f t="shared" si="8"/>
        <v>1441230.4772331573</v>
      </c>
      <c r="JE4" s="109">
        <f t="shared" ref="JE4:KF4" si="9">JD4+JE3</f>
        <v>1441230.4772331573</v>
      </c>
      <c r="JF4" s="109">
        <f t="shared" si="9"/>
        <v>1441230.4772331573</v>
      </c>
      <c r="JG4" s="109">
        <f t="shared" si="9"/>
        <v>1441230.4772331573</v>
      </c>
      <c r="JH4" s="109">
        <f t="shared" si="9"/>
        <v>1441230.4772331573</v>
      </c>
      <c r="JI4" s="109">
        <f t="shared" si="9"/>
        <v>1441230.4772331573</v>
      </c>
      <c r="JJ4" s="109">
        <f t="shared" si="9"/>
        <v>1441230.4772331573</v>
      </c>
      <c r="JK4" s="109">
        <f t="shared" si="9"/>
        <v>1441230.4772331573</v>
      </c>
      <c r="JL4" s="109">
        <f t="shared" si="9"/>
        <v>1441230.4772331573</v>
      </c>
      <c r="JM4" s="109">
        <f t="shared" si="9"/>
        <v>1441230.4772331573</v>
      </c>
      <c r="JN4" s="109">
        <f t="shared" si="9"/>
        <v>1441230.4772331573</v>
      </c>
      <c r="JO4" s="109">
        <f t="shared" si="9"/>
        <v>1441230.4772331573</v>
      </c>
      <c r="JP4" s="109">
        <f t="shared" si="9"/>
        <v>1441230.4772331573</v>
      </c>
      <c r="JQ4" s="109">
        <f t="shared" si="9"/>
        <v>1441230.4772331573</v>
      </c>
      <c r="JR4" s="109">
        <f t="shared" si="9"/>
        <v>1441230.4772331573</v>
      </c>
      <c r="JS4" s="109">
        <f t="shared" si="9"/>
        <v>1441230.4772331573</v>
      </c>
      <c r="JT4" s="109">
        <f t="shared" si="9"/>
        <v>1441230.4772331573</v>
      </c>
      <c r="JU4" s="109">
        <f t="shared" si="9"/>
        <v>1441230.4772331573</v>
      </c>
      <c r="JV4" s="109">
        <f t="shared" si="9"/>
        <v>1441230.4772331573</v>
      </c>
      <c r="JW4" s="109">
        <f t="shared" si="9"/>
        <v>1441230.4772331573</v>
      </c>
      <c r="JX4" s="109">
        <f t="shared" si="9"/>
        <v>1441230.4772331573</v>
      </c>
      <c r="JY4" s="109">
        <f t="shared" si="9"/>
        <v>1441230.4772331573</v>
      </c>
      <c r="JZ4" s="109">
        <f t="shared" si="9"/>
        <v>1441230.4772331573</v>
      </c>
      <c r="KA4" s="109">
        <f t="shared" si="9"/>
        <v>1441230.4772331573</v>
      </c>
      <c r="KB4" s="109">
        <f t="shared" si="9"/>
        <v>1441230.4772331573</v>
      </c>
      <c r="KC4" s="109">
        <f t="shared" si="9"/>
        <v>1441230.4772331573</v>
      </c>
      <c r="KD4" s="109">
        <f t="shared" si="9"/>
        <v>1441230.4772331573</v>
      </c>
      <c r="KE4" s="109">
        <f t="shared" si="9"/>
        <v>1441230.4772331573</v>
      </c>
      <c r="KF4" s="109">
        <f t="shared" si="9"/>
        <v>1441230.4772331573</v>
      </c>
    </row>
    <row r="5" spans="1:770" s="114" customFormat="1">
      <c r="A5" s="723"/>
      <c r="B5" s="110" t="s">
        <v>208</v>
      </c>
      <c r="C5" s="111">
        <f>'Revenue Tracking'!D5</f>
        <v>1194452.4559184783</v>
      </c>
      <c r="D5" s="111">
        <f>SUM(F5:KF5)</f>
        <v>1194452.4559184783</v>
      </c>
      <c r="E5" s="108"/>
      <c r="F5" s="112">
        <f>SUMIFS('Expenditure Breakdown'!$G$6:$G$168, 'Expenditure Breakdown'!$H$6:$H$168, "&gt;="&amp;F1,'Expenditure Breakdown'!$H$6:$H$168, "&lt;"&amp;G1)</f>
        <v>0</v>
      </c>
      <c r="G5" s="112">
        <f>SUMIFS('Expenditure Breakdown'!$G$6:$G$168, 'Expenditure Breakdown'!$H$6:$H$168, "&gt;="&amp;G1,'Expenditure Breakdown'!$H$6:$H$168, "&lt;"&amp;H1)</f>
        <v>0</v>
      </c>
      <c r="H5" s="112">
        <f>SUMIFS('Expenditure Breakdown'!$G$6:$G$168, 'Expenditure Breakdown'!$H$6:$H$168, "&gt;="&amp;H1,'Expenditure Breakdown'!$H$6:$H$168, "&lt;"&amp;I1)</f>
        <v>0</v>
      </c>
      <c r="I5" s="112">
        <f>SUMIFS('Expenditure Breakdown'!$G$6:$G$168, 'Expenditure Breakdown'!$H$6:$H$168, "&gt;="&amp;I1,'Expenditure Breakdown'!$H$6:$H$168, "&lt;"&amp;J1)</f>
        <v>0</v>
      </c>
      <c r="J5" s="112">
        <f>SUMIFS('Expenditure Breakdown'!$G$6:$G$168, 'Expenditure Breakdown'!$H$6:$H$168, "&gt;="&amp;J1,'Expenditure Breakdown'!$H$6:$H$168, "&lt;"&amp;K1)</f>
        <v>0</v>
      </c>
      <c r="K5" s="112">
        <f>SUMIFS('Expenditure Breakdown'!$G$6:$G$168, 'Expenditure Breakdown'!$H$6:$H$168, "&gt;="&amp;K1,'Expenditure Breakdown'!$H$6:$H$168, "&lt;"&amp;L1)</f>
        <v>0</v>
      </c>
      <c r="L5" s="112">
        <f>SUMIFS('Expenditure Breakdown'!$G$6:$G$168, 'Expenditure Breakdown'!$H$6:$H$168, "&gt;="&amp;L1,'Expenditure Breakdown'!$H$6:$H$168, "&lt;"&amp;M1)</f>
        <v>0</v>
      </c>
      <c r="M5" s="112">
        <f>SUMIFS('Expenditure Breakdown'!$G$6:$G$168, 'Expenditure Breakdown'!$H$6:$H$168, "&gt;="&amp;M1,'Expenditure Breakdown'!$H$6:$H$168, "&lt;"&amp;N1)</f>
        <v>0</v>
      </c>
      <c r="N5" s="112">
        <f>SUMIFS('Expenditure Breakdown'!$G$6:$G$168, 'Expenditure Breakdown'!$H$6:$H$168, "&gt;="&amp;N1,'Expenditure Breakdown'!$H$6:$H$168, "&lt;"&amp;O1)</f>
        <v>0</v>
      </c>
      <c r="O5" s="112">
        <f>SUMIFS('Expenditure Breakdown'!$G$6:$G$168, 'Expenditure Breakdown'!$H$6:$H$168, "&gt;="&amp;O1,'Expenditure Breakdown'!$H$6:$H$168, "&lt;"&amp;P1)</f>
        <v>0</v>
      </c>
      <c r="P5" s="112">
        <f>SUMIFS('Expenditure Breakdown'!$G$6:$G$168, 'Expenditure Breakdown'!$H$6:$H$168, "&gt;="&amp;P1,'Expenditure Breakdown'!$H$6:$H$168, "&lt;"&amp;Q1)</f>
        <v>0</v>
      </c>
      <c r="Q5" s="112">
        <f>SUMIFS('Expenditure Breakdown'!$G$6:$G$168, 'Expenditure Breakdown'!$H$6:$H$168, "&gt;="&amp;Q1,'Expenditure Breakdown'!$H$6:$H$168, "&lt;"&amp;R1)</f>
        <v>0</v>
      </c>
      <c r="R5" s="112">
        <f>SUMIFS('Expenditure Breakdown'!$G$6:$G$168, 'Expenditure Breakdown'!$H$6:$H$168, "&gt;="&amp;R1,'Expenditure Breakdown'!$H$6:$H$168, "&lt;"&amp;S1)</f>
        <v>0</v>
      </c>
      <c r="S5" s="112">
        <f>SUMIFS('Expenditure Breakdown'!$G$6:$G$168, 'Expenditure Breakdown'!$H$6:$H$168, "&gt;="&amp;S1,'Expenditure Breakdown'!$H$6:$H$168, "&lt;"&amp;T1)</f>
        <v>0</v>
      </c>
      <c r="T5" s="112">
        <f>SUMIFS('Expenditure Breakdown'!$G$6:$G$168, 'Expenditure Breakdown'!$H$6:$H$168, "&gt;="&amp;T1,'Expenditure Breakdown'!$H$6:$H$168, "&lt;"&amp;U1)</f>
        <v>0</v>
      </c>
      <c r="U5" s="112">
        <f>SUMIFS('Expenditure Breakdown'!$G$6:$G$168, 'Expenditure Breakdown'!$H$6:$H$168, "&gt;="&amp;U1,'Expenditure Breakdown'!$H$6:$H$168, "&lt;"&amp;V1)</f>
        <v>0</v>
      </c>
      <c r="V5" s="112">
        <f>SUMIFS('Expenditure Breakdown'!$G$6:$G$168, 'Expenditure Breakdown'!$H$6:$H$168, "&gt;="&amp;V1,'Expenditure Breakdown'!$H$6:$H$168, "&lt;"&amp;W1)</f>
        <v>0</v>
      </c>
      <c r="W5" s="112">
        <f>SUMIFS('Expenditure Breakdown'!$G$6:$G$168, 'Expenditure Breakdown'!$H$6:$H$168, "&gt;="&amp;W1,'Expenditure Breakdown'!$H$6:$H$168, "&lt;"&amp;X1)</f>
        <v>223511.98</v>
      </c>
      <c r="X5" s="112">
        <f>SUMIFS('Expenditure Breakdown'!$G$6:$G$168, 'Expenditure Breakdown'!$H$6:$H$168, "&gt;="&amp;X1,'Expenditure Breakdown'!$H$6:$H$168, "&lt;"&amp;Y1)</f>
        <v>134292</v>
      </c>
      <c r="Y5" s="112">
        <f>SUMIFS('Expenditure Breakdown'!$G$6:$G$168, 'Expenditure Breakdown'!$H$6:$H$168, "&gt;="&amp;Y1,'Expenditure Breakdown'!$H$6:$H$168, "&lt;"&amp;Z1)</f>
        <v>336443.48695652175</v>
      </c>
      <c r="Z5" s="112">
        <f>SUMIFS('Expenditure Breakdown'!$G$6:$G$168, 'Expenditure Breakdown'!$H$6:$H$168, "&gt;="&amp;Z1,'Expenditure Breakdown'!$H$6:$H$168, "&lt;"&amp;AA1)</f>
        <v>0</v>
      </c>
      <c r="AA5" s="112">
        <f>SUMIFS('Expenditure Breakdown'!$G$6:$G$168, 'Expenditure Breakdown'!$H$6:$H$168, "&gt;="&amp;AA1,'Expenditure Breakdown'!$H$6:$H$168, "&lt;"&amp;AB1)</f>
        <v>15818.458961956521</v>
      </c>
      <c r="AB5" s="112">
        <f>SUMIFS('Expenditure Breakdown'!$G$6:$G$168, 'Expenditure Breakdown'!$H$6:$H$168, "&gt;="&amp;AB1,'Expenditure Breakdown'!$H$6:$H$168, "&lt;"&amp;AC1)</f>
        <v>0</v>
      </c>
      <c r="AC5" s="112">
        <f>SUMIFS('Expenditure Breakdown'!$G$6:$G$168, 'Expenditure Breakdown'!$H$6:$H$168, "&gt;="&amp;AC1,'Expenditure Breakdown'!$H$6:$H$168, "&lt;"&amp;AD1)</f>
        <v>484386.53000000009</v>
      </c>
      <c r="AD5" s="112">
        <f>SUMIFS('Expenditure Breakdown'!$G$6:$G$168, 'Expenditure Breakdown'!$H$6:$H$168, "&gt;="&amp;AD1,'Expenditure Breakdown'!$H$6:$H$168, "&lt;"&amp;AE1)</f>
        <v>0</v>
      </c>
      <c r="AE5" s="112">
        <f>SUMIFS('Expenditure Breakdown'!$G$6:$G$168, 'Expenditure Breakdown'!$H$6:$H$168, "&gt;="&amp;AE1,'Expenditure Breakdown'!$H$6:$H$168, "&lt;"&amp;AF1)</f>
        <v>0</v>
      </c>
      <c r="AF5" s="112">
        <f>SUMIFS('Expenditure Breakdown'!$G$6:$G$168, 'Expenditure Breakdown'!$H$6:$H$168, "&gt;="&amp;AF1,'Expenditure Breakdown'!$H$6:$H$168, "&lt;"&amp;AG1)</f>
        <v>0</v>
      </c>
      <c r="AG5" s="112">
        <f>SUMIFS('Expenditure Breakdown'!$G$6:$G$168, 'Expenditure Breakdown'!$H$6:$H$168, "&gt;="&amp;AG1,'Expenditure Breakdown'!$H$6:$H$168, "&lt;"&amp;AH1)</f>
        <v>0</v>
      </c>
      <c r="AH5" s="112">
        <f>SUMIFS('Expenditure Breakdown'!$G$6:$G$168, 'Expenditure Breakdown'!$H$6:$H$168, "&gt;="&amp;AH1,'Expenditure Breakdown'!$H$6:$H$168, "&lt;"&amp;AI1)</f>
        <v>0</v>
      </c>
      <c r="AI5" s="112">
        <f>SUMIFS('Expenditure Breakdown'!$G$6:$G$168, 'Expenditure Breakdown'!$H$6:$H$168, "&gt;="&amp;AI1,'Expenditure Breakdown'!$H$6:$H$168, "&lt;"&amp;AJ1)</f>
        <v>0</v>
      </c>
      <c r="AJ5" s="112">
        <f>SUMIFS('Expenditure Breakdown'!$G$6:$G$168, 'Expenditure Breakdown'!$H$6:$H$168, "&gt;="&amp;AJ1,'Expenditure Breakdown'!$H$6:$H$168, "&lt;"&amp;AK1)</f>
        <v>0</v>
      </c>
      <c r="AK5" s="112">
        <f>SUMIFS('Expenditure Breakdown'!$G$6:$G$168, 'Expenditure Breakdown'!$H$6:$H$168, "&gt;="&amp;AK1,'Expenditure Breakdown'!$H$6:$H$168, "&lt;"&amp;AL1)</f>
        <v>0</v>
      </c>
      <c r="AL5" s="112">
        <f>SUMIFS('Expenditure Breakdown'!$G$6:$G$168, 'Expenditure Breakdown'!$H$6:$H$168, "&gt;="&amp;AL1,'Expenditure Breakdown'!$H$6:$H$168, "&lt;"&amp;AM1)</f>
        <v>0</v>
      </c>
      <c r="AM5" s="112">
        <f>SUMIFS('Expenditure Breakdown'!$G$6:$G$168, 'Expenditure Breakdown'!$H$6:$H$168, "&gt;="&amp;AM1,'Expenditure Breakdown'!$H$6:$H$168, "&lt;"&amp;AN1)</f>
        <v>0</v>
      </c>
      <c r="AN5" s="112">
        <f>SUMIFS('Expenditure Breakdown'!$G$6:$G$168, 'Expenditure Breakdown'!$H$6:$H$168, "&gt;="&amp;AN1,'Expenditure Breakdown'!$H$6:$H$168, "&lt;"&amp;AO1)</f>
        <v>0</v>
      </c>
      <c r="AO5" s="112">
        <f>SUMIFS('Expenditure Breakdown'!$G$6:$G$168, 'Expenditure Breakdown'!$H$6:$H$168, "&gt;="&amp;AO1,'Expenditure Breakdown'!$H$6:$H$168, "&lt;"&amp;AP1)</f>
        <v>0</v>
      </c>
      <c r="AP5" s="112">
        <f>SUMIFS('Expenditure Breakdown'!$G$6:$G$168, 'Expenditure Breakdown'!$H$6:$H$168, "&gt;="&amp;AP1,'Expenditure Breakdown'!$H$6:$H$168, "&lt;"&amp;AQ1)</f>
        <v>0</v>
      </c>
      <c r="AQ5" s="112">
        <f>SUMIFS('Expenditure Breakdown'!$G$6:$G$168, 'Expenditure Breakdown'!$H$6:$H$168, "&gt;="&amp;AQ1,'Expenditure Breakdown'!$H$6:$H$168, "&lt;"&amp;AR1)</f>
        <v>0</v>
      </c>
      <c r="AR5" s="112">
        <f>SUMIFS('Expenditure Breakdown'!$G$6:$G$168, 'Expenditure Breakdown'!$H$6:$H$168, "&gt;="&amp;AR1,'Expenditure Breakdown'!$H$6:$H$168, "&lt;"&amp;AS1)</f>
        <v>0</v>
      </c>
      <c r="AS5" s="112">
        <f>SUMIFS('Expenditure Breakdown'!$G$6:$G$168, 'Expenditure Breakdown'!$H$6:$H$168, "&gt;="&amp;AS1,'Expenditure Breakdown'!$H$6:$H$168, "&lt;"&amp;AT1)</f>
        <v>0</v>
      </c>
      <c r="AT5" s="112">
        <f>SUMIFS('Expenditure Breakdown'!$G$6:$G$168, 'Expenditure Breakdown'!$H$6:$H$168, "&gt;="&amp;AT1,'Expenditure Breakdown'!$H$6:$H$168, "&lt;"&amp;AU1)</f>
        <v>0</v>
      </c>
      <c r="AU5" s="112">
        <f>SUMIFS('Expenditure Breakdown'!$G$6:$G$168, 'Expenditure Breakdown'!$H$6:$H$168, "&gt;="&amp;AU1,'Expenditure Breakdown'!$H$6:$H$168, "&lt;"&amp;AV1)</f>
        <v>0</v>
      </c>
      <c r="AV5" s="112">
        <f>SUMIFS('Expenditure Breakdown'!$G$6:$G$168, 'Expenditure Breakdown'!$H$6:$H$168, "&gt;="&amp;AV1,'Expenditure Breakdown'!$H$6:$H$168, "&lt;"&amp;AW1)</f>
        <v>0</v>
      </c>
      <c r="AW5" s="112">
        <f>SUMIFS('Expenditure Breakdown'!$G$6:$G$168, 'Expenditure Breakdown'!$H$6:$H$168, "&gt;="&amp;AW1,'Expenditure Breakdown'!$H$6:$H$168, "&lt;"&amp;AX1)</f>
        <v>0</v>
      </c>
      <c r="AX5" s="112">
        <f>SUMIFS('Expenditure Breakdown'!$G$6:$G$168, 'Expenditure Breakdown'!$H$6:$H$168, "&gt;="&amp;AX1,'Expenditure Breakdown'!$H$6:$H$168, "&lt;"&amp;AY1)</f>
        <v>0</v>
      </c>
      <c r="AY5" s="112">
        <f>SUMIFS('Expenditure Breakdown'!$G$6:$G$168, 'Expenditure Breakdown'!$H$6:$H$168, "&gt;="&amp;AY1,'Expenditure Breakdown'!$H$6:$H$168, "&lt;"&amp;AZ1)</f>
        <v>0</v>
      </c>
      <c r="AZ5" s="112">
        <f>SUMIFS('Expenditure Breakdown'!$G$6:$G$168, 'Expenditure Breakdown'!$H$6:$H$168, "&gt;="&amp;AZ1,'Expenditure Breakdown'!$H$6:$H$168, "&lt;"&amp;BA1)</f>
        <v>0</v>
      </c>
      <c r="BA5" s="112">
        <f>SUMIFS('Expenditure Breakdown'!$G$6:$G$168, 'Expenditure Breakdown'!$H$6:$H$168, "&gt;="&amp;BA1,'Expenditure Breakdown'!$H$6:$H$168, "&lt;"&amp;BB1)</f>
        <v>0</v>
      </c>
      <c r="BB5" s="112">
        <f>SUMIFS('Expenditure Breakdown'!$G$6:$G$168, 'Expenditure Breakdown'!$H$6:$H$168, "&gt;="&amp;BB1,'Expenditure Breakdown'!$H$6:$H$168, "&lt;"&amp;BC1)</f>
        <v>0</v>
      </c>
      <c r="BC5" s="112">
        <f>SUMIFS('Expenditure Breakdown'!$G$6:$G$168, 'Expenditure Breakdown'!$H$6:$H$168, "&gt;="&amp;BC1,'Expenditure Breakdown'!$H$6:$H$168, "&lt;"&amp;BD1)</f>
        <v>0</v>
      </c>
      <c r="BD5" s="112">
        <f>SUMIFS('Expenditure Breakdown'!$G$6:$G$168, 'Expenditure Breakdown'!$H$6:$H$168, "&gt;="&amp;BD1,'Expenditure Breakdown'!$H$6:$H$168, "&lt;"&amp;BE1)</f>
        <v>0</v>
      </c>
      <c r="BE5" s="112">
        <f>SUMIFS('Expenditure Breakdown'!$G$6:$G$168, 'Expenditure Breakdown'!$H$6:$H$168, "&gt;="&amp;BE1,'Expenditure Breakdown'!$H$6:$H$168, "&lt;"&amp;BF1)</f>
        <v>0</v>
      </c>
      <c r="BF5" s="112">
        <f>SUMIFS('Expenditure Breakdown'!$G$6:$G$168, 'Expenditure Breakdown'!$H$6:$H$168, "&gt;="&amp;BF1,'Expenditure Breakdown'!$H$6:$H$168, "&lt;"&amp;BG1)</f>
        <v>0</v>
      </c>
      <c r="BG5" s="112">
        <f>SUMIFS('Expenditure Breakdown'!$G$6:$G$168, 'Expenditure Breakdown'!$H$6:$H$168, "&gt;="&amp;BG1,'Expenditure Breakdown'!$H$6:$H$168, "&lt;"&amp;BH1)</f>
        <v>0</v>
      </c>
      <c r="BH5" s="112">
        <f>SUMIFS('Expenditure Breakdown'!$G$6:$G$168, 'Expenditure Breakdown'!$H$6:$H$168, "&gt;="&amp;BH1,'Expenditure Breakdown'!$H$6:$H$168, "&lt;"&amp;BI1)</f>
        <v>0</v>
      </c>
      <c r="BI5" s="112">
        <f>SUMIFS('Expenditure Breakdown'!$G$6:$G$168, 'Expenditure Breakdown'!$H$6:$H$168, "&gt;="&amp;BI1,'Expenditure Breakdown'!$H$6:$H$168, "&lt;"&amp;BJ1)</f>
        <v>0</v>
      </c>
      <c r="BJ5" s="112">
        <f>SUMIFS('Expenditure Breakdown'!$G$6:$G$168, 'Expenditure Breakdown'!$H$6:$H$168, "&gt;="&amp;BJ1,'Expenditure Breakdown'!$H$6:$H$168, "&lt;"&amp;BK1)</f>
        <v>0</v>
      </c>
      <c r="BK5" s="112">
        <f>SUMIFS('Expenditure Breakdown'!$G$6:$G$168, 'Expenditure Breakdown'!$H$6:$H$168, "&gt;="&amp;BK1,'Expenditure Breakdown'!$H$6:$H$168, "&lt;"&amp;BL1)</f>
        <v>0</v>
      </c>
      <c r="BL5" s="112">
        <f>SUMIFS('Expenditure Breakdown'!$G$6:$G$168, 'Expenditure Breakdown'!$H$6:$H$168, "&gt;="&amp;BL1,'Expenditure Breakdown'!$H$6:$H$168, "&lt;"&amp;BM1)</f>
        <v>0</v>
      </c>
      <c r="BM5" s="112">
        <f>SUMIFS('Expenditure Breakdown'!$G$6:$G$168, 'Expenditure Breakdown'!$H$6:$H$168, "&gt;="&amp;BM1,'Expenditure Breakdown'!$H$6:$H$168, "&lt;"&amp;BN1)</f>
        <v>0</v>
      </c>
      <c r="BN5" s="112">
        <f>SUMIFS('Expenditure Breakdown'!$G$6:$G$168, 'Expenditure Breakdown'!$H$6:$H$168, "&gt;="&amp;BN1,'Expenditure Breakdown'!$H$6:$H$168, "&lt;"&amp;BO1)</f>
        <v>0</v>
      </c>
      <c r="BO5" s="112">
        <f>SUMIFS('Expenditure Breakdown'!$G$6:$G$168, 'Expenditure Breakdown'!$H$6:$H$168, "&gt;="&amp;BO1,'Expenditure Breakdown'!$H$6:$H$168, "&lt;"&amp;BP1)</f>
        <v>0</v>
      </c>
      <c r="BP5" s="112">
        <f>SUMIFS('Expenditure Breakdown'!$G$6:$G$168, 'Expenditure Breakdown'!$H$6:$H$168, "&gt;="&amp;BP1,'Expenditure Breakdown'!$H$6:$H$168, "&lt;"&amp;BQ1)</f>
        <v>0</v>
      </c>
      <c r="BQ5" s="112">
        <f>SUMIFS('Expenditure Breakdown'!$G$6:$G$168, 'Expenditure Breakdown'!$H$6:$H$168, "&gt;="&amp;BQ1,'Expenditure Breakdown'!$H$6:$H$168, "&lt;"&amp;BR1)</f>
        <v>0</v>
      </c>
      <c r="BR5" s="112">
        <f>SUMIFS('Expenditure Breakdown'!$G$6:$G$168, 'Expenditure Breakdown'!$H$6:$H$168, "&gt;="&amp;BR1,'Expenditure Breakdown'!$H$6:$H$168, "&lt;"&amp;BS1)</f>
        <v>0</v>
      </c>
      <c r="BS5" s="112">
        <f>SUMIFS('Expenditure Breakdown'!$G$6:$G$168, 'Expenditure Breakdown'!$H$6:$H$168, "&gt;="&amp;BS1,'Expenditure Breakdown'!$H$6:$H$168, "&lt;"&amp;BT1)</f>
        <v>0</v>
      </c>
      <c r="BT5" s="112">
        <f>SUMIFS('Expenditure Breakdown'!$G$6:$G$168, 'Expenditure Breakdown'!$H$6:$H$168, "&gt;="&amp;BT1,'Expenditure Breakdown'!$H$6:$H$168, "&lt;"&amp;BU1)</f>
        <v>0</v>
      </c>
      <c r="BU5" s="112">
        <f>SUMIFS('Expenditure Breakdown'!$G$6:$G$168, 'Expenditure Breakdown'!$H$6:$H$168, "&gt;="&amp;BU1,'Expenditure Breakdown'!$H$6:$H$168, "&lt;"&amp;BV1)</f>
        <v>0</v>
      </c>
      <c r="BV5" s="112">
        <f>SUMIFS('Expenditure Breakdown'!$G$6:$G$168, 'Expenditure Breakdown'!$H$6:$H$168, "&gt;="&amp;BV1,'Expenditure Breakdown'!$H$6:$H$168, "&lt;"&amp;BW1)</f>
        <v>0</v>
      </c>
      <c r="BW5" s="112">
        <f>SUMIFS('Expenditure Breakdown'!$G$6:$G$168, 'Expenditure Breakdown'!$H$6:$H$168, "&gt;="&amp;BW1,'Expenditure Breakdown'!$H$6:$H$168, "&lt;"&amp;BX1)</f>
        <v>0</v>
      </c>
      <c r="BX5" s="112">
        <f>SUMIFS('Expenditure Breakdown'!$G$6:$G$168, 'Expenditure Breakdown'!$H$6:$H$168, "&gt;="&amp;BX1,'Expenditure Breakdown'!$H$6:$H$168, "&lt;"&amp;BY1)</f>
        <v>0</v>
      </c>
      <c r="BY5" s="112">
        <f>SUMIFS('Expenditure Breakdown'!$G$6:$G$168, 'Expenditure Breakdown'!$H$6:$H$168, "&gt;="&amp;BY1,'Expenditure Breakdown'!$H$6:$H$168, "&lt;"&amp;BZ1)</f>
        <v>0</v>
      </c>
      <c r="BZ5" s="112">
        <f>SUMIFS('Expenditure Breakdown'!$G$6:$G$168, 'Expenditure Breakdown'!$H$6:$H$168, "&gt;="&amp;BZ1,'Expenditure Breakdown'!$H$6:$H$168, "&lt;"&amp;CA1)</f>
        <v>0</v>
      </c>
      <c r="CA5" s="112">
        <f>SUMIFS('Expenditure Breakdown'!$G$6:$G$168, 'Expenditure Breakdown'!$H$6:$H$168, "&gt;="&amp;CA1,'Expenditure Breakdown'!$H$6:$H$168, "&lt;"&amp;CB1)</f>
        <v>0</v>
      </c>
      <c r="CB5" s="112">
        <f>SUMIFS('Expenditure Breakdown'!$G$6:$G$168, 'Expenditure Breakdown'!$H$6:$H$168, "&gt;="&amp;CB1,'Expenditure Breakdown'!$H$6:$H$168, "&lt;"&amp;CC1)</f>
        <v>0</v>
      </c>
      <c r="CC5" s="112">
        <f>SUMIFS('Expenditure Breakdown'!$G$6:$G$168, 'Expenditure Breakdown'!$H$6:$H$168, "&gt;="&amp;CC1,'Expenditure Breakdown'!$H$6:$H$168, "&lt;"&amp;CD1)</f>
        <v>0</v>
      </c>
      <c r="CD5" s="112">
        <f>SUMIFS('Expenditure Breakdown'!$G$6:$G$168, 'Expenditure Breakdown'!$H$6:$H$168, "&gt;="&amp;CD1,'Expenditure Breakdown'!$H$6:$H$168, "&lt;"&amp;CE1)</f>
        <v>0</v>
      </c>
      <c r="CE5" s="112">
        <f>SUMIFS('Expenditure Breakdown'!$G$6:$G$168, 'Expenditure Breakdown'!$H$6:$H$168, "&gt;="&amp;CE1,'Expenditure Breakdown'!$H$6:$H$168, "&lt;"&amp;CF1)</f>
        <v>0</v>
      </c>
      <c r="CF5" s="112">
        <f>SUMIFS('Expenditure Breakdown'!$G$6:$G$168, 'Expenditure Breakdown'!$H$6:$H$168, "&gt;="&amp;CF1,'Expenditure Breakdown'!$H$6:$H$168, "&lt;"&amp;CG1)</f>
        <v>0</v>
      </c>
      <c r="CG5" s="112">
        <f>SUMIFS('Expenditure Breakdown'!$G$6:$G$168, 'Expenditure Breakdown'!$H$6:$H$168, "&gt;="&amp;CG1,'Expenditure Breakdown'!$H$6:$H$168, "&lt;"&amp;CH1)</f>
        <v>0</v>
      </c>
      <c r="CH5" s="112">
        <f>SUMIFS('Expenditure Breakdown'!$G$6:$G$168, 'Expenditure Breakdown'!$H$6:$H$168, "&gt;="&amp;CH1,'Expenditure Breakdown'!$H$6:$H$168, "&lt;"&amp;CI1)</f>
        <v>0</v>
      </c>
      <c r="CI5" s="112">
        <f>SUMIFS('Expenditure Breakdown'!$G$6:$G$168, 'Expenditure Breakdown'!$H$6:$H$168, "&gt;="&amp;CI1,'Expenditure Breakdown'!$H$6:$H$168, "&lt;"&amp;CJ1)</f>
        <v>0</v>
      </c>
      <c r="CJ5" s="112">
        <f>SUMIFS('Expenditure Breakdown'!$G$6:$G$168, 'Expenditure Breakdown'!$H$6:$H$168, "&gt;="&amp;CJ1,'Expenditure Breakdown'!$H$6:$H$168, "&lt;"&amp;CK1)</f>
        <v>0</v>
      </c>
      <c r="CK5" s="112">
        <f>SUMIFS('Expenditure Breakdown'!$G$6:$G$168, 'Expenditure Breakdown'!$H$6:$H$168, "&gt;="&amp;CK1,'Expenditure Breakdown'!$H$6:$H$168, "&lt;"&amp;CL1)</f>
        <v>0</v>
      </c>
      <c r="CL5" s="112">
        <f>SUMIFS('Expenditure Breakdown'!$G$6:$G$168, 'Expenditure Breakdown'!$H$6:$H$168, "&gt;="&amp;CL1,'Expenditure Breakdown'!$H$6:$H$168, "&lt;"&amp;CM1)</f>
        <v>0</v>
      </c>
      <c r="CM5" s="112">
        <f>SUMIFS('Expenditure Breakdown'!$G$6:$G$168, 'Expenditure Breakdown'!$H$6:$H$168, "&gt;="&amp;CM1,'Expenditure Breakdown'!$H$6:$H$168, "&lt;"&amp;CN1)</f>
        <v>0</v>
      </c>
      <c r="CN5" s="112">
        <f>SUMIFS('Expenditure Breakdown'!$G$6:$G$168, 'Expenditure Breakdown'!$H$6:$H$168, "&gt;="&amp;CN1,'Expenditure Breakdown'!$H$6:$H$168, "&lt;"&amp;CO1)</f>
        <v>0</v>
      </c>
      <c r="CO5" s="112">
        <f>SUMIFS('Expenditure Breakdown'!$G$6:$G$168, 'Expenditure Breakdown'!$H$6:$H$168, "&gt;="&amp;CO1,'Expenditure Breakdown'!$H$6:$H$168, "&lt;"&amp;CP1)</f>
        <v>0</v>
      </c>
      <c r="CP5" s="112">
        <f>SUMIFS('Expenditure Breakdown'!$G$6:$G$168, 'Expenditure Breakdown'!$H$6:$H$168, "&gt;="&amp;CP1,'Expenditure Breakdown'!$H$6:$H$168, "&lt;"&amp;CQ1)</f>
        <v>0</v>
      </c>
      <c r="CQ5" s="112">
        <f>SUMIFS('Expenditure Breakdown'!$G$6:$G$168, 'Expenditure Breakdown'!$H$6:$H$168, "&gt;="&amp;CQ1,'Expenditure Breakdown'!$H$6:$H$168, "&lt;"&amp;CR1)</f>
        <v>0</v>
      </c>
      <c r="CR5" s="112">
        <f>SUMIFS('Expenditure Breakdown'!$G$6:$G$168, 'Expenditure Breakdown'!$H$6:$H$168, "&gt;="&amp;CR1,'Expenditure Breakdown'!$H$6:$H$168, "&lt;"&amp;CS1)</f>
        <v>0</v>
      </c>
      <c r="CS5" s="112">
        <f>SUMIFS('Expenditure Breakdown'!$G$6:$G$168, 'Expenditure Breakdown'!$H$6:$H$168, "&gt;="&amp;CS1,'Expenditure Breakdown'!$H$6:$H$168, "&lt;"&amp;CT1)</f>
        <v>0</v>
      </c>
      <c r="CT5" s="112">
        <f>SUMIFS('Expenditure Breakdown'!$G$6:$G$168, 'Expenditure Breakdown'!$H$6:$H$168, "&gt;="&amp;CT1,'Expenditure Breakdown'!$H$6:$H$168, "&lt;"&amp;CU1)</f>
        <v>0</v>
      </c>
      <c r="CU5" s="112">
        <f>SUMIFS('Expenditure Breakdown'!$G$6:$G$168, 'Expenditure Breakdown'!$H$6:$H$168, "&gt;="&amp;CU1,'Expenditure Breakdown'!$H$6:$H$168, "&lt;"&amp;CV1)</f>
        <v>0</v>
      </c>
      <c r="CV5" s="112">
        <f>SUMIFS('Expenditure Breakdown'!$G$6:$G$168, 'Expenditure Breakdown'!$H$6:$H$168, "&gt;="&amp;CV1,'Expenditure Breakdown'!$H$6:$H$168, "&lt;"&amp;CW1)</f>
        <v>0</v>
      </c>
      <c r="CW5" s="112">
        <f>SUMIFS('Expenditure Breakdown'!$G$6:$G$168, 'Expenditure Breakdown'!$H$6:$H$168, "&gt;="&amp;CW1,'Expenditure Breakdown'!$H$6:$H$168, "&lt;"&amp;CX1)</f>
        <v>0</v>
      </c>
      <c r="CX5" s="112">
        <f>SUMIFS('Expenditure Breakdown'!$G$6:$G$168, 'Expenditure Breakdown'!$H$6:$H$168, "&gt;="&amp;CX1,'Expenditure Breakdown'!$H$6:$H$168, "&lt;"&amp;CY1)</f>
        <v>0</v>
      </c>
      <c r="CY5" s="112">
        <f>SUMIFS('Expenditure Breakdown'!$G$6:$G$168, 'Expenditure Breakdown'!$H$6:$H$168, "&gt;="&amp;CY1,'Expenditure Breakdown'!$H$6:$H$168, "&lt;"&amp;CZ1)</f>
        <v>0</v>
      </c>
      <c r="CZ5" s="112">
        <f>SUMIFS('Expenditure Breakdown'!$G$6:$G$168, 'Expenditure Breakdown'!$H$6:$H$168, "&gt;="&amp;CZ1,'Expenditure Breakdown'!$H$6:$H$168, "&lt;"&amp;DA1)</f>
        <v>0</v>
      </c>
      <c r="DA5" s="112">
        <f>SUMIFS('Expenditure Breakdown'!$G$6:$G$168, 'Expenditure Breakdown'!$H$6:$H$168, "&gt;="&amp;DA1,'Expenditure Breakdown'!$H$6:$H$168, "&lt;"&amp;DB1)</f>
        <v>0</v>
      </c>
      <c r="DB5" s="112">
        <f>SUMIFS('Expenditure Breakdown'!$G$6:$G$168, 'Expenditure Breakdown'!$H$6:$H$168, "&gt;="&amp;DB1,'Expenditure Breakdown'!$H$6:$H$168, "&lt;"&amp;DC1)</f>
        <v>0</v>
      </c>
      <c r="DC5" s="112">
        <f>SUMIFS('Expenditure Breakdown'!$G$6:$G$168, 'Expenditure Breakdown'!$H$6:$H$168, "&gt;="&amp;DC1,'Expenditure Breakdown'!$H$6:$H$168, "&lt;"&amp;DD1)</f>
        <v>0</v>
      </c>
      <c r="DD5" s="112">
        <f>SUMIFS('Expenditure Breakdown'!$G$6:$G$168, 'Expenditure Breakdown'!$H$6:$H$168, "&gt;="&amp;DD1,'Expenditure Breakdown'!$H$6:$H$168, "&lt;"&amp;DE1)</f>
        <v>0</v>
      </c>
      <c r="DE5" s="112">
        <f>SUMIFS('Expenditure Breakdown'!$G$6:$G$168, 'Expenditure Breakdown'!$H$6:$H$168, "&gt;="&amp;DE1,'Expenditure Breakdown'!$H$6:$H$168, "&lt;"&amp;DF1)</f>
        <v>0</v>
      </c>
      <c r="DF5" s="112">
        <f>SUMIFS('Expenditure Breakdown'!$G$6:$G$168, 'Expenditure Breakdown'!$H$6:$H$168, "&gt;="&amp;DF1,'Expenditure Breakdown'!$H$6:$H$168, "&lt;"&amp;DG1)</f>
        <v>0</v>
      </c>
      <c r="DG5" s="112">
        <f>SUMIFS('Expenditure Breakdown'!$G$6:$G$168, 'Expenditure Breakdown'!$H$6:$H$168, "&gt;="&amp;DG1,'Expenditure Breakdown'!$H$6:$H$168, "&lt;"&amp;DH1)</f>
        <v>0</v>
      </c>
      <c r="DH5" s="112">
        <f>SUMIFS('Expenditure Breakdown'!$G$6:$G$168, 'Expenditure Breakdown'!$H$6:$H$168, "&gt;="&amp;DH1,'Expenditure Breakdown'!$H$6:$H$168, "&lt;"&amp;DI1)</f>
        <v>0</v>
      </c>
      <c r="DI5" s="112">
        <f>SUMIFS('Expenditure Breakdown'!$G$6:$G$168, 'Expenditure Breakdown'!$H$6:$H$168, "&gt;="&amp;DI1,'Expenditure Breakdown'!$H$6:$H$168, "&lt;"&amp;DJ1)</f>
        <v>0</v>
      </c>
      <c r="DJ5" s="112">
        <f>SUMIFS('Expenditure Breakdown'!$G$6:$G$168, 'Expenditure Breakdown'!$H$6:$H$168, "&gt;="&amp;DJ1,'Expenditure Breakdown'!$H$6:$H$168, "&lt;"&amp;DK1)</f>
        <v>0</v>
      </c>
      <c r="DK5" s="112">
        <f>SUMIFS('Expenditure Breakdown'!$G$6:$G$168, 'Expenditure Breakdown'!$H$6:$H$168, "&gt;="&amp;DK1,'Expenditure Breakdown'!$H$6:$H$168, "&lt;"&amp;DL1)</f>
        <v>0</v>
      </c>
      <c r="DL5" s="112">
        <f>SUMIFS('Expenditure Breakdown'!$G$6:$G$168, 'Expenditure Breakdown'!$H$6:$H$168, "&gt;="&amp;DL1,'Expenditure Breakdown'!$H$6:$H$168, "&lt;"&amp;DM1)</f>
        <v>0</v>
      </c>
      <c r="DM5" s="112">
        <f>SUMIFS('Expenditure Breakdown'!$G$6:$G$168, 'Expenditure Breakdown'!$H$6:$H$168, "&gt;="&amp;DM1,'Expenditure Breakdown'!$H$6:$H$168, "&lt;"&amp;DN1)</f>
        <v>0</v>
      </c>
      <c r="DN5" s="112">
        <f>SUMIFS('Expenditure Breakdown'!$G$6:$G$168, 'Expenditure Breakdown'!$H$6:$H$168, "&gt;="&amp;DN1,'Expenditure Breakdown'!$H$6:$H$168, "&lt;"&amp;DO1)</f>
        <v>0</v>
      </c>
      <c r="DO5" s="112">
        <f>SUMIFS('Expenditure Breakdown'!$G$6:$G$168, 'Expenditure Breakdown'!$H$6:$H$168, "&gt;="&amp;DO1,'Expenditure Breakdown'!$H$6:$H$168, "&lt;"&amp;DP1)</f>
        <v>0</v>
      </c>
      <c r="DP5" s="112">
        <f>SUMIFS('Expenditure Breakdown'!$G$6:$G$168, 'Expenditure Breakdown'!$H$6:$H$168, "&gt;="&amp;DP1,'Expenditure Breakdown'!$H$6:$H$168, "&lt;"&amp;DQ1)</f>
        <v>0</v>
      </c>
      <c r="DQ5" s="112">
        <f>SUMIFS('Expenditure Breakdown'!$G$6:$G$168, 'Expenditure Breakdown'!$H$6:$H$168, "&gt;="&amp;DQ1,'Expenditure Breakdown'!$H$6:$H$168, "&lt;"&amp;DR1)</f>
        <v>0</v>
      </c>
      <c r="DR5" s="112">
        <f>SUMIFS('Expenditure Breakdown'!$G$6:$G$168, 'Expenditure Breakdown'!$H$6:$H$168, "&gt;="&amp;DR1,'Expenditure Breakdown'!$H$6:$H$168, "&lt;"&amp;DS1)</f>
        <v>0</v>
      </c>
      <c r="DS5" s="112">
        <f>SUMIFS('Expenditure Breakdown'!$G$6:$G$168, 'Expenditure Breakdown'!$H$6:$H$168, "&gt;="&amp;DS1,'Expenditure Breakdown'!$H$6:$H$168, "&lt;"&amp;DT1)</f>
        <v>0</v>
      </c>
      <c r="DT5" s="112">
        <f>SUMIFS('Expenditure Breakdown'!$G$6:$G$168, 'Expenditure Breakdown'!$H$6:$H$168, "&gt;="&amp;DT1,'Expenditure Breakdown'!$H$6:$H$168, "&lt;"&amp;DU1)</f>
        <v>0</v>
      </c>
      <c r="DU5" s="112">
        <f>SUMIFS('Expenditure Breakdown'!$G$6:$G$168, 'Expenditure Breakdown'!$H$6:$H$168, "&gt;="&amp;DU1,'Expenditure Breakdown'!$H$6:$H$168, "&lt;"&amp;DV1)</f>
        <v>0</v>
      </c>
      <c r="DV5" s="112">
        <f>SUMIFS('Expenditure Breakdown'!$G$6:$G$168, 'Expenditure Breakdown'!$H$6:$H$168, "&gt;="&amp;DV1,'Expenditure Breakdown'!$H$6:$H$168, "&lt;"&amp;DW1)</f>
        <v>0</v>
      </c>
      <c r="DW5" s="112">
        <f>SUMIFS('Expenditure Breakdown'!$G$6:$G$168, 'Expenditure Breakdown'!$H$6:$H$168, "&gt;="&amp;DW1,'Expenditure Breakdown'!$H$6:$H$168, "&lt;"&amp;DX1)</f>
        <v>0</v>
      </c>
      <c r="DX5" s="112">
        <f>SUMIFS('Expenditure Breakdown'!$G$6:$G$168, 'Expenditure Breakdown'!$H$6:$H$168, "&gt;="&amp;DX1,'Expenditure Breakdown'!$H$6:$H$168, "&lt;"&amp;DY1)</f>
        <v>0</v>
      </c>
      <c r="DY5" s="112">
        <f>SUMIFS('Expenditure Breakdown'!$G$6:$G$168, 'Expenditure Breakdown'!$H$6:$H$168, "&gt;="&amp;DY1,'Expenditure Breakdown'!$H$6:$H$168, "&lt;"&amp;DZ1)</f>
        <v>0</v>
      </c>
      <c r="DZ5" s="112">
        <f>SUMIFS('Expenditure Breakdown'!$G$6:$G$168, 'Expenditure Breakdown'!$H$6:$H$168, "&gt;="&amp;DZ1,'Expenditure Breakdown'!$H$6:$H$168, "&lt;"&amp;EA1)</f>
        <v>0</v>
      </c>
      <c r="EA5" s="112">
        <f>SUMIFS('Expenditure Breakdown'!$G$6:$G$168, 'Expenditure Breakdown'!$H$6:$H$168, "&gt;="&amp;EA1,'Expenditure Breakdown'!$H$6:$H$168, "&lt;"&amp;EB1)</f>
        <v>0</v>
      </c>
      <c r="EB5" s="112">
        <f>SUMIFS('Expenditure Breakdown'!$G$6:$G$168, 'Expenditure Breakdown'!$H$6:$H$168, "&gt;="&amp;EB1,'Expenditure Breakdown'!$H$6:$H$168, "&lt;"&amp;EC1)</f>
        <v>0</v>
      </c>
      <c r="EC5" s="112">
        <f>SUMIFS('Expenditure Breakdown'!$G$6:$G$168, 'Expenditure Breakdown'!$H$6:$H$168, "&gt;="&amp;EC1,'Expenditure Breakdown'!$H$6:$H$168, "&lt;"&amp;ED1)</f>
        <v>0</v>
      </c>
      <c r="ED5" s="112">
        <f>SUMIFS('Expenditure Breakdown'!$G$6:$G$168, 'Expenditure Breakdown'!$H$6:$H$168, "&gt;="&amp;ED1,'Expenditure Breakdown'!$H$6:$H$168, "&lt;"&amp;EE1)</f>
        <v>0</v>
      </c>
      <c r="EE5" s="112">
        <f>SUMIFS('Expenditure Breakdown'!$G$6:$G$168, 'Expenditure Breakdown'!$H$6:$H$168, "&gt;="&amp;EE1,'Expenditure Breakdown'!$H$6:$H$168, "&lt;"&amp;EF1)</f>
        <v>0</v>
      </c>
      <c r="EF5" s="112">
        <f>SUMIFS('Expenditure Breakdown'!$G$6:$G$168, 'Expenditure Breakdown'!$H$6:$H$168, "&gt;="&amp;EF1,'Expenditure Breakdown'!$H$6:$H$168, "&lt;"&amp;EG1)</f>
        <v>0</v>
      </c>
      <c r="EG5" s="112">
        <f>SUMIFS('Expenditure Breakdown'!$G$6:$G$168, 'Expenditure Breakdown'!$H$6:$H$168, "&gt;="&amp;EG1,'Expenditure Breakdown'!$H$6:$H$168, "&lt;"&amp;EH1)</f>
        <v>0</v>
      </c>
      <c r="EH5" s="112">
        <f>SUMIFS('Expenditure Breakdown'!$G$6:$G$168, 'Expenditure Breakdown'!$H$6:$H$168, "&gt;="&amp;EH1,'Expenditure Breakdown'!$H$6:$H$168, "&lt;"&amp;EI1)</f>
        <v>0</v>
      </c>
      <c r="EI5" s="112">
        <f>SUMIFS('Expenditure Breakdown'!$G$6:$G$168, 'Expenditure Breakdown'!$H$6:$H$168, "&gt;="&amp;EI1,'Expenditure Breakdown'!$H$6:$H$168, "&lt;"&amp;EJ1)</f>
        <v>0</v>
      </c>
      <c r="EJ5" s="112">
        <f>SUMIFS('Expenditure Breakdown'!$G$6:$G$168, 'Expenditure Breakdown'!$H$6:$H$168, "&gt;="&amp;EJ1,'Expenditure Breakdown'!$H$6:$H$168, "&lt;"&amp;EK1)</f>
        <v>0</v>
      </c>
      <c r="EK5" s="112">
        <f>SUMIFS('Expenditure Breakdown'!$G$6:$G$168, 'Expenditure Breakdown'!$H$6:$H$168, "&gt;="&amp;EK1,'Expenditure Breakdown'!$H$6:$H$168, "&lt;"&amp;EL1)</f>
        <v>0</v>
      </c>
      <c r="EL5" s="112">
        <f>SUMIFS('Expenditure Breakdown'!$G$6:$G$168, 'Expenditure Breakdown'!$H$6:$H$168, "&gt;="&amp;EL1,'Expenditure Breakdown'!$H$6:$H$168, "&lt;"&amp;EM1)</f>
        <v>0</v>
      </c>
      <c r="EM5" s="112">
        <f>SUMIFS('Expenditure Breakdown'!$G$6:$G$168, 'Expenditure Breakdown'!$H$6:$H$168, "&gt;="&amp;EM1,'Expenditure Breakdown'!$H$6:$H$168, "&lt;"&amp;EN1)</f>
        <v>0</v>
      </c>
      <c r="EN5" s="112">
        <f>SUMIFS('Expenditure Breakdown'!$G$6:$G$168, 'Expenditure Breakdown'!$H$6:$H$168, "&gt;="&amp;EN1,'Expenditure Breakdown'!$H$6:$H$168, "&lt;"&amp;EO1)</f>
        <v>0</v>
      </c>
      <c r="EO5" s="112">
        <f>SUMIFS('Expenditure Breakdown'!$G$6:$G$168, 'Expenditure Breakdown'!$H$6:$H$168, "&gt;="&amp;EO1,'Expenditure Breakdown'!$H$6:$H$168, "&lt;"&amp;EP1)</f>
        <v>0</v>
      </c>
      <c r="EP5" s="112">
        <f>SUMIFS('Expenditure Breakdown'!$G$6:$G$168, 'Expenditure Breakdown'!$H$6:$H$168, "&gt;="&amp;EP1,'Expenditure Breakdown'!$H$6:$H$168, "&lt;"&amp;EQ1)</f>
        <v>0</v>
      </c>
      <c r="EQ5" s="112">
        <f>SUMIFS('Expenditure Breakdown'!$G$6:$G$168, 'Expenditure Breakdown'!$H$6:$H$168, "&gt;="&amp;EQ1,'Expenditure Breakdown'!$H$6:$H$168, "&lt;"&amp;ER1)</f>
        <v>0</v>
      </c>
      <c r="ER5" s="112">
        <f>SUMIFS('Expenditure Breakdown'!$G$6:$G$168, 'Expenditure Breakdown'!$H$6:$H$168, "&gt;="&amp;ER1,'Expenditure Breakdown'!$H$6:$H$168, "&lt;"&amp;ES1)</f>
        <v>0</v>
      </c>
      <c r="ES5" s="112">
        <f>SUMIFS('Expenditure Breakdown'!$G$6:$G$168, 'Expenditure Breakdown'!$H$6:$H$168, "&gt;="&amp;ES1,'Expenditure Breakdown'!$H$6:$H$168, "&lt;"&amp;ET1)</f>
        <v>0</v>
      </c>
      <c r="ET5" s="112">
        <f>SUMIFS('Expenditure Breakdown'!$G$6:$G$168, 'Expenditure Breakdown'!$H$6:$H$168, "&gt;="&amp;ET1,'Expenditure Breakdown'!$H$6:$H$168, "&lt;"&amp;EU1)</f>
        <v>0</v>
      </c>
      <c r="EU5" s="112">
        <f>SUMIFS('Expenditure Breakdown'!$G$6:$G$168, 'Expenditure Breakdown'!$H$6:$H$168, "&gt;="&amp;EU1,'Expenditure Breakdown'!$H$6:$H$168, "&lt;"&amp;EV1)</f>
        <v>0</v>
      </c>
      <c r="EV5" s="112">
        <f>SUMIFS('Expenditure Breakdown'!$G$6:$G$168, 'Expenditure Breakdown'!$H$6:$H$168, "&gt;="&amp;EV1,'Expenditure Breakdown'!$H$6:$H$168, "&lt;"&amp;EW1)</f>
        <v>0</v>
      </c>
      <c r="EW5" s="112">
        <f>SUMIFS('Expenditure Breakdown'!$G$6:$G$168, 'Expenditure Breakdown'!$H$6:$H$168, "&gt;="&amp;EW1,'Expenditure Breakdown'!$H$6:$H$168, "&lt;"&amp;EX1)</f>
        <v>0</v>
      </c>
      <c r="EX5" s="112">
        <f>SUMIFS('Expenditure Breakdown'!$G$6:$G$168, 'Expenditure Breakdown'!$H$6:$H$168, "&gt;="&amp;EX1,'Expenditure Breakdown'!$H$6:$H$168, "&lt;"&amp;EY1)</f>
        <v>0</v>
      </c>
      <c r="EY5" s="112">
        <f>SUMIFS('Expenditure Breakdown'!$G$6:$G$168, 'Expenditure Breakdown'!$H$6:$H$168, "&gt;="&amp;EY1,'Expenditure Breakdown'!$H$6:$H$168, "&lt;"&amp;EZ1)</f>
        <v>0</v>
      </c>
      <c r="EZ5" s="112">
        <f>SUMIFS('Expenditure Breakdown'!$G$6:$G$168, 'Expenditure Breakdown'!$H$6:$H$168, "&gt;="&amp;EZ1,'Expenditure Breakdown'!$H$6:$H$168, "&lt;"&amp;FA1)</f>
        <v>0</v>
      </c>
      <c r="FA5" s="112">
        <f>SUMIFS('Expenditure Breakdown'!$G$6:$G$168, 'Expenditure Breakdown'!$H$6:$H$168, "&gt;="&amp;FA1,'Expenditure Breakdown'!$H$6:$H$168, "&lt;"&amp;FB1)</f>
        <v>0</v>
      </c>
      <c r="FB5" s="112">
        <f>SUMIFS('Expenditure Breakdown'!$G$6:$G$168, 'Expenditure Breakdown'!$H$6:$H$168, "&gt;="&amp;FB1,'Expenditure Breakdown'!$H$6:$H$168, "&lt;"&amp;FC1)</f>
        <v>0</v>
      </c>
      <c r="FC5" s="112">
        <f>SUMIFS('Expenditure Breakdown'!$G$6:$G$168, 'Expenditure Breakdown'!$H$6:$H$168, "&gt;="&amp;FC1,'Expenditure Breakdown'!$H$6:$H$168, "&lt;"&amp;FD1)</f>
        <v>0</v>
      </c>
      <c r="FD5" s="112">
        <f>SUMIFS('Expenditure Breakdown'!$G$6:$G$168, 'Expenditure Breakdown'!$H$6:$H$168, "&gt;="&amp;FD1,'Expenditure Breakdown'!$H$6:$H$168, "&lt;"&amp;FE1)</f>
        <v>0</v>
      </c>
      <c r="FE5" s="112">
        <f>SUMIFS('Expenditure Breakdown'!$G$6:$G$168, 'Expenditure Breakdown'!$H$6:$H$168, "&gt;="&amp;FE1,'Expenditure Breakdown'!$H$6:$H$168, "&lt;"&amp;FF1)</f>
        <v>0</v>
      </c>
      <c r="FF5" s="112">
        <f>SUMIFS('Expenditure Breakdown'!$G$6:$G$168, 'Expenditure Breakdown'!$H$6:$H$168, "&gt;="&amp;FF1,'Expenditure Breakdown'!$H$6:$H$168, "&lt;"&amp;FG1)</f>
        <v>0</v>
      </c>
      <c r="FG5" s="112">
        <f>SUMIFS('Expenditure Breakdown'!$G$6:$G$168, 'Expenditure Breakdown'!$H$6:$H$168, "&gt;="&amp;FG1,'Expenditure Breakdown'!$H$6:$H$168, "&lt;"&amp;FH1)</f>
        <v>0</v>
      </c>
      <c r="FH5" s="112">
        <f>SUMIFS('Expenditure Breakdown'!$G$6:$G$168, 'Expenditure Breakdown'!$H$6:$H$168, "&gt;="&amp;FH1,'Expenditure Breakdown'!$H$6:$H$168, "&lt;"&amp;FI1)</f>
        <v>0</v>
      </c>
      <c r="FI5" s="112">
        <f>SUMIFS('Expenditure Breakdown'!$G$6:$G$168, 'Expenditure Breakdown'!$H$6:$H$168, "&gt;="&amp;FI1,'Expenditure Breakdown'!$H$6:$H$168, "&lt;"&amp;FJ1)</f>
        <v>0</v>
      </c>
      <c r="FJ5" s="112">
        <f>SUMIFS('Expenditure Breakdown'!$G$6:$G$168, 'Expenditure Breakdown'!$H$6:$H$168, "&gt;="&amp;FJ1,'Expenditure Breakdown'!$H$6:$H$168, "&lt;"&amp;FK1)</f>
        <v>0</v>
      </c>
      <c r="FK5" s="112">
        <f>SUMIFS('Expenditure Breakdown'!$G$6:$G$168, 'Expenditure Breakdown'!$H$6:$H$168, "&gt;="&amp;FK1,'Expenditure Breakdown'!$H$6:$H$168, "&lt;"&amp;FL1)</f>
        <v>0</v>
      </c>
      <c r="FL5" s="112">
        <f>SUMIFS('Expenditure Breakdown'!$G$6:$G$168, 'Expenditure Breakdown'!$H$6:$H$168, "&gt;="&amp;FL1,'Expenditure Breakdown'!$H$6:$H$168, "&lt;"&amp;FM1)</f>
        <v>0</v>
      </c>
      <c r="FM5" s="112">
        <f>SUMIFS('Expenditure Breakdown'!$G$6:$G$168, 'Expenditure Breakdown'!$H$6:$H$168, "&gt;="&amp;FM1,'Expenditure Breakdown'!$H$6:$H$168, "&lt;"&amp;FN1)</f>
        <v>0</v>
      </c>
      <c r="FN5" s="112">
        <f>SUMIFS('Expenditure Breakdown'!$G$6:$G$168, 'Expenditure Breakdown'!$H$6:$H$168, "&gt;="&amp;FN1,'Expenditure Breakdown'!$H$6:$H$168, "&lt;"&amp;FO1)</f>
        <v>0</v>
      </c>
      <c r="FO5" s="112">
        <f>SUMIFS('Expenditure Breakdown'!$G$6:$G$168, 'Expenditure Breakdown'!$H$6:$H$168, "&gt;="&amp;FO1,'Expenditure Breakdown'!$H$6:$H$168, "&lt;"&amp;FP1)</f>
        <v>0</v>
      </c>
      <c r="FP5" s="112">
        <f>SUMIFS('Expenditure Breakdown'!$G$6:$G$168, 'Expenditure Breakdown'!$H$6:$H$168, "&gt;="&amp;FP1,'Expenditure Breakdown'!$H$6:$H$168, "&lt;"&amp;FQ1)</f>
        <v>0</v>
      </c>
      <c r="FQ5" s="112">
        <f>SUMIFS('Expenditure Breakdown'!$G$6:$G$168, 'Expenditure Breakdown'!$H$6:$H$168, "&gt;="&amp;FQ1,'Expenditure Breakdown'!$H$6:$H$168, "&lt;"&amp;FR1)</f>
        <v>0</v>
      </c>
      <c r="FR5" s="112">
        <f>SUMIFS('Expenditure Breakdown'!$G$6:$G$168, 'Expenditure Breakdown'!$H$6:$H$168, "&gt;="&amp;FR1,'Expenditure Breakdown'!$H$6:$H$168, "&lt;"&amp;FS1)</f>
        <v>0</v>
      </c>
      <c r="FS5" s="112">
        <f>SUMIFS('Expenditure Breakdown'!$G$6:$G$168, 'Expenditure Breakdown'!$H$6:$H$168, "&gt;="&amp;FS1,'Expenditure Breakdown'!$H$6:$H$168, "&lt;"&amp;FT1)</f>
        <v>0</v>
      </c>
      <c r="FT5" s="112">
        <f>SUMIFS('Expenditure Breakdown'!$G$6:$G$168, 'Expenditure Breakdown'!$H$6:$H$168, "&gt;="&amp;FT1,'Expenditure Breakdown'!$H$6:$H$168, "&lt;"&amp;FU1)</f>
        <v>0</v>
      </c>
      <c r="FU5" s="112">
        <f>SUMIFS('Expenditure Breakdown'!$G$6:$G$168, 'Expenditure Breakdown'!$H$6:$H$168, "&gt;="&amp;FU1,'Expenditure Breakdown'!$H$6:$H$168, "&lt;"&amp;FV1)</f>
        <v>0</v>
      </c>
      <c r="FV5" s="112">
        <f>SUMIFS('Expenditure Breakdown'!$G$6:$G$168, 'Expenditure Breakdown'!$H$6:$H$168, "&gt;="&amp;FV1,'Expenditure Breakdown'!$H$6:$H$168, "&lt;"&amp;FW1)</f>
        <v>0</v>
      </c>
      <c r="FW5" s="112">
        <f>SUMIFS('Expenditure Breakdown'!$G$6:$G$168, 'Expenditure Breakdown'!$H$6:$H$168, "&gt;="&amp;FW1,'Expenditure Breakdown'!$H$6:$H$168, "&lt;"&amp;FX1)</f>
        <v>0</v>
      </c>
      <c r="FX5" s="112">
        <f>SUMIFS('Expenditure Breakdown'!$G$6:$G$168, 'Expenditure Breakdown'!$H$6:$H$168, "&gt;="&amp;FX1,'Expenditure Breakdown'!$H$6:$H$168, "&lt;"&amp;FY1)</f>
        <v>0</v>
      </c>
      <c r="FY5" s="112">
        <f>SUMIFS('Expenditure Breakdown'!$G$6:$G$168, 'Expenditure Breakdown'!$H$6:$H$168, "&gt;="&amp;FY1,'Expenditure Breakdown'!$H$6:$H$168, "&lt;"&amp;FZ1)</f>
        <v>0</v>
      </c>
      <c r="FZ5" s="112">
        <f>SUMIFS('Expenditure Breakdown'!$G$6:$G$168, 'Expenditure Breakdown'!$H$6:$H$168, "&gt;="&amp;FZ1,'Expenditure Breakdown'!$H$6:$H$168, "&lt;"&amp;GA1)</f>
        <v>0</v>
      </c>
      <c r="GA5" s="112">
        <f>SUMIFS('Expenditure Breakdown'!$G$6:$G$168, 'Expenditure Breakdown'!$H$6:$H$168, "&gt;="&amp;GA1,'Expenditure Breakdown'!$H$6:$H$168, "&lt;"&amp;GB1)</f>
        <v>0</v>
      </c>
      <c r="GB5" s="112">
        <f>SUMIFS('Expenditure Breakdown'!$G$6:$G$168, 'Expenditure Breakdown'!$H$6:$H$168, "&gt;="&amp;GB1,'Expenditure Breakdown'!$H$6:$H$168, "&lt;"&amp;GC1)</f>
        <v>0</v>
      </c>
      <c r="GC5" s="112">
        <f>SUMIFS('Expenditure Breakdown'!$G$6:$G$168, 'Expenditure Breakdown'!$H$6:$H$168, "&gt;="&amp;GC1,'Expenditure Breakdown'!$H$6:$H$168, "&lt;"&amp;GD1)</f>
        <v>0</v>
      </c>
      <c r="GD5" s="112">
        <f>SUMIFS('Expenditure Breakdown'!$G$6:$G$168, 'Expenditure Breakdown'!$H$6:$H$168, "&gt;="&amp;GD1,'Expenditure Breakdown'!$H$6:$H$168, "&lt;"&amp;GE1)</f>
        <v>0</v>
      </c>
      <c r="GE5" s="112">
        <f>SUMIFS('Expenditure Breakdown'!$G$6:$G$168, 'Expenditure Breakdown'!$H$6:$H$168, "&gt;="&amp;GE1,'Expenditure Breakdown'!$H$6:$H$168, "&lt;"&amp;GF1)</f>
        <v>0</v>
      </c>
      <c r="GF5" s="112">
        <f>SUMIFS('Expenditure Breakdown'!$G$6:$G$168, 'Expenditure Breakdown'!$H$6:$H$168, "&gt;="&amp;GF1,'Expenditure Breakdown'!$H$6:$H$168, "&lt;"&amp;GG1)</f>
        <v>0</v>
      </c>
      <c r="GG5" s="112">
        <f>SUMIFS('Expenditure Breakdown'!$G$6:$G$168, 'Expenditure Breakdown'!$H$6:$H$168, "&gt;="&amp;GG1,'Expenditure Breakdown'!$H$6:$H$168, "&lt;"&amp;GH1)</f>
        <v>0</v>
      </c>
      <c r="GH5" s="112">
        <f>SUMIFS('Expenditure Breakdown'!$G$6:$G$168, 'Expenditure Breakdown'!$H$6:$H$168, "&gt;="&amp;GH1,'Expenditure Breakdown'!$H$6:$H$168, "&lt;"&amp;GI1)</f>
        <v>0</v>
      </c>
      <c r="GI5" s="112">
        <f>SUMIFS('Expenditure Breakdown'!$G$6:$G$168, 'Expenditure Breakdown'!$H$6:$H$168, "&gt;="&amp;GI1,'Expenditure Breakdown'!$H$6:$H$168, "&lt;"&amp;GJ1)</f>
        <v>0</v>
      </c>
      <c r="GJ5" s="112">
        <f>SUMIFS('Expenditure Breakdown'!$G$6:$G$168, 'Expenditure Breakdown'!$H$6:$H$168, "&gt;="&amp;GJ1,'Expenditure Breakdown'!$H$6:$H$168, "&lt;"&amp;GK1)</f>
        <v>0</v>
      </c>
      <c r="GK5" s="112">
        <f>SUMIFS('Expenditure Breakdown'!$G$6:$G$168, 'Expenditure Breakdown'!$H$6:$H$168, "&gt;="&amp;GK1,'Expenditure Breakdown'!$H$6:$H$168, "&lt;"&amp;GL1)</f>
        <v>0</v>
      </c>
      <c r="GL5" s="112">
        <f>SUMIFS('Expenditure Breakdown'!$G$6:$G$168, 'Expenditure Breakdown'!$H$6:$H$168, "&gt;="&amp;GL1,'Expenditure Breakdown'!$H$6:$H$168, "&lt;"&amp;GM1)</f>
        <v>0</v>
      </c>
      <c r="GM5" s="112">
        <f>SUMIFS('Expenditure Breakdown'!$G$6:$G$168, 'Expenditure Breakdown'!$H$6:$H$168, "&gt;="&amp;GM1,'Expenditure Breakdown'!$H$6:$H$168, "&lt;"&amp;GN1)</f>
        <v>0</v>
      </c>
      <c r="GN5" s="112">
        <f>SUMIFS('Expenditure Breakdown'!$G$6:$G$168, 'Expenditure Breakdown'!$H$6:$H$168, "&gt;="&amp;GN1,'Expenditure Breakdown'!$H$6:$H$168, "&lt;"&amp;GO1)</f>
        <v>0</v>
      </c>
      <c r="GO5" s="112">
        <f>SUMIFS('Expenditure Breakdown'!$G$6:$G$168, 'Expenditure Breakdown'!$H$6:$H$168, "&gt;="&amp;GO1,'Expenditure Breakdown'!$H$6:$H$168, "&lt;"&amp;GP1)</f>
        <v>0</v>
      </c>
      <c r="GP5" s="112">
        <f>SUMIFS('Expenditure Breakdown'!$G$6:$G$168, 'Expenditure Breakdown'!$H$6:$H$168, "&gt;="&amp;GP1,'Expenditure Breakdown'!$H$6:$H$168, "&lt;"&amp;GQ1)</f>
        <v>0</v>
      </c>
      <c r="GQ5" s="112">
        <f>SUMIFS('Expenditure Breakdown'!$G$6:$G$168, 'Expenditure Breakdown'!$H$6:$H$168, "&gt;="&amp;GQ1,'Expenditure Breakdown'!$H$6:$H$168, "&lt;"&amp;GR1)</f>
        <v>0</v>
      </c>
      <c r="GR5" s="112">
        <f>SUMIFS('Expenditure Breakdown'!$G$6:$G$168, 'Expenditure Breakdown'!$H$6:$H$168, "&gt;="&amp;GR1,'Expenditure Breakdown'!$H$6:$H$168, "&lt;"&amp;GS1)</f>
        <v>0</v>
      </c>
      <c r="GS5" s="112">
        <f>SUMIFS('Expenditure Breakdown'!$G$6:$G$168, 'Expenditure Breakdown'!$H$6:$H$168, "&gt;="&amp;GS1,'Expenditure Breakdown'!$H$6:$H$168, "&lt;"&amp;GT1)</f>
        <v>0</v>
      </c>
      <c r="GT5" s="112">
        <f>SUMIFS('Expenditure Breakdown'!$G$6:$G$168, 'Expenditure Breakdown'!$H$6:$H$168, "&gt;="&amp;GT1,'Expenditure Breakdown'!$H$6:$H$168, "&lt;"&amp;GU1)</f>
        <v>0</v>
      </c>
      <c r="GU5" s="112">
        <f>SUMIFS('Expenditure Breakdown'!$G$6:$G$168, 'Expenditure Breakdown'!$H$6:$H$168, "&gt;="&amp;GU1,'Expenditure Breakdown'!$H$6:$H$168, "&lt;"&amp;GV1)</f>
        <v>0</v>
      </c>
      <c r="GV5" s="112">
        <f>SUMIFS('Expenditure Breakdown'!$G$6:$G$168, 'Expenditure Breakdown'!$H$6:$H$168, "&gt;="&amp;GV1,'Expenditure Breakdown'!$H$6:$H$168, "&lt;"&amp;GW1)</f>
        <v>0</v>
      </c>
      <c r="GW5" s="112">
        <f>SUMIFS('Expenditure Breakdown'!$G$6:$G$168, 'Expenditure Breakdown'!$H$6:$H$168, "&gt;="&amp;GW1,'Expenditure Breakdown'!$H$6:$H$168, "&lt;"&amp;GX1)</f>
        <v>0</v>
      </c>
      <c r="GX5" s="112">
        <f>SUMIFS('Expenditure Breakdown'!$G$6:$G$168, 'Expenditure Breakdown'!$H$6:$H$168, "&gt;="&amp;GX1,'Expenditure Breakdown'!$H$6:$H$168, "&lt;"&amp;GY1)</f>
        <v>0</v>
      </c>
      <c r="GY5" s="112">
        <f>SUMIFS('Expenditure Breakdown'!$G$6:$G$168, 'Expenditure Breakdown'!$H$6:$H$168, "&gt;="&amp;GY1,'Expenditure Breakdown'!$H$6:$H$168, "&lt;"&amp;GZ1)</f>
        <v>0</v>
      </c>
      <c r="GZ5" s="112">
        <f>SUMIFS('Expenditure Breakdown'!$G$6:$G$168, 'Expenditure Breakdown'!$H$6:$H$168, "&gt;="&amp;GZ1,'Expenditure Breakdown'!$H$6:$H$168, "&lt;"&amp;HA1)</f>
        <v>0</v>
      </c>
      <c r="HA5" s="112">
        <f>SUMIFS('Expenditure Breakdown'!$G$6:$G$168, 'Expenditure Breakdown'!$H$6:$H$168, "&gt;="&amp;HA1,'Expenditure Breakdown'!$H$6:$H$168, "&lt;"&amp;HB1)</f>
        <v>0</v>
      </c>
      <c r="HB5" s="112">
        <f>SUMIFS('Expenditure Breakdown'!$G$6:$G$168, 'Expenditure Breakdown'!$H$6:$H$168, "&gt;="&amp;HB1,'Expenditure Breakdown'!$H$6:$H$168, "&lt;"&amp;HC1)</f>
        <v>0</v>
      </c>
      <c r="HC5" s="112">
        <f>SUMIFS('Expenditure Breakdown'!$G$6:$G$168, 'Expenditure Breakdown'!$H$6:$H$168, "&gt;="&amp;HC1,'Expenditure Breakdown'!$H$6:$H$168, "&lt;"&amp;HD1)</f>
        <v>0</v>
      </c>
      <c r="HD5" s="112">
        <f>SUMIFS('Expenditure Breakdown'!$G$6:$G$168, 'Expenditure Breakdown'!$H$6:$H$168, "&gt;="&amp;HD1,'Expenditure Breakdown'!$H$6:$H$168, "&lt;"&amp;HE1)</f>
        <v>0</v>
      </c>
      <c r="HE5" s="112">
        <f>SUMIFS('Expenditure Breakdown'!$G$6:$G$168, 'Expenditure Breakdown'!$H$6:$H$168, "&gt;="&amp;HE1,'Expenditure Breakdown'!$H$6:$H$168, "&lt;"&amp;HF1)</f>
        <v>0</v>
      </c>
      <c r="HF5" s="112">
        <f>SUMIFS('Expenditure Breakdown'!$G$6:$G$168, 'Expenditure Breakdown'!$H$6:$H$168, "&gt;="&amp;HF1,'Expenditure Breakdown'!$H$6:$H$168, "&lt;"&amp;HG1)</f>
        <v>0</v>
      </c>
      <c r="HG5" s="112">
        <f>SUMIFS('Expenditure Breakdown'!$G$6:$G$168, 'Expenditure Breakdown'!$H$6:$H$168, "&gt;="&amp;HG1,'Expenditure Breakdown'!$H$6:$H$168, "&lt;"&amp;HH1)</f>
        <v>0</v>
      </c>
      <c r="HH5" s="112">
        <f>SUMIFS('Expenditure Breakdown'!$G$6:$G$168, 'Expenditure Breakdown'!$H$6:$H$168, "&gt;="&amp;HH1,'Expenditure Breakdown'!$H$6:$H$168, "&lt;"&amp;HI1)</f>
        <v>0</v>
      </c>
      <c r="HI5" s="112">
        <f>SUMIFS('Expenditure Breakdown'!$G$6:$G$168, 'Expenditure Breakdown'!$H$6:$H$168, "&gt;="&amp;HI1,'Expenditure Breakdown'!$H$6:$H$168, "&lt;"&amp;HJ1)</f>
        <v>0</v>
      </c>
      <c r="HJ5" s="112">
        <f>SUMIFS('Expenditure Breakdown'!$G$6:$G$168, 'Expenditure Breakdown'!$H$6:$H$168, "&gt;="&amp;HJ1,'Expenditure Breakdown'!$H$6:$H$168, "&lt;"&amp;HK1)</f>
        <v>0</v>
      </c>
      <c r="HK5" s="112">
        <f>SUMIFS('Expenditure Breakdown'!$G$6:$G$168, 'Expenditure Breakdown'!$H$6:$H$168, "&gt;="&amp;HK1,'Expenditure Breakdown'!$H$6:$H$168, "&lt;"&amp;HL1)</f>
        <v>0</v>
      </c>
      <c r="HL5" s="112">
        <f>SUMIFS('Expenditure Breakdown'!$G$6:$G$168, 'Expenditure Breakdown'!$H$6:$H$168, "&gt;="&amp;HL1,'Expenditure Breakdown'!$H$6:$H$168, "&lt;"&amp;HM1)</f>
        <v>0</v>
      </c>
      <c r="HM5" s="112">
        <f>SUMIFS('Expenditure Breakdown'!$G$6:$G$168, 'Expenditure Breakdown'!$H$6:$H$168, "&gt;="&amp;HM1,'Expenditure Breakdown'!$H$6:$H$168, "&lt;"&amp;HN1)</f>
        <v>0</v>
      </c>
      <c r="HN5" s="112">
        <f>SUMIFS('Expenditure Breakdown'!$G$6:$G$168, 'Expenditure Breakdown'!$H$6:$H$168, "&gt;="&amp;HN1,'Expenditure Breakdown'!$H$6:$H$168, "&lt;"&amp;HO1)</f>
        <v>0</v>
      </c>
      <c r="HO5" s="112">
        <f>SUMIFS('Expenditure Breakdown'!$G$6:$G$168, 'Expenditure Breakdown'!$H$6:$H$168, "&gt;="&amp;HO1,'Expenditure Breakdown'!$H$6:$H$168, "&lt;"&amp;HP1)</f>
        <v>0</v>
      </c>
      <c r="HP5" s="112">
        <f>SUMIFS('Expenditure Breakdown'!$G$6:$G$168, 'Expenditure Breakdown'!$H$6:$H$168, "&gt;="&amp;HP1,'Expenditure Breakdown'!$H$6:$H$168, "&lt;"&amp;HQ1)</f>
        <v>0</v>
      </c>
      <c r="HQ5" s="112">
        <f>SUMIFS('Expenditure Breakdown'!$G$6:$G$168, 'Expenditure Breakdown'!$H$6:$H$168, "&gt;="&amp;HQ1,'Expenditure Breakdown'!$H$6:$H$168, "&lt;"&amp;HR1)</f>
        <v>0</v>
      </c>
      <c r="HR5" s="112">
        <f>SUMIFS('Expenditure Breakdown'!$G$6:$G$168, 'Expenditure Breakdown'!$H$6:$H$168, "&gt;="&amp;HR1,'Expenditure Breakdown'!$H$6:$H$168, "&lt;"&amp;HS1)</f>
        <v>0</v>
      </c>
      <c r="HS5" s="112">
        <f>SUMIFS('Expenditure Breakdown'!$G$6:$G$168, 'Expenditure Breakdown'!$H$6:$H$168, "&gt;="&amp;HS1,'Expenditure Breakdown'!$H$6:$H$168, "&lt;"&amp;HT1)</f>
        <v>0</v>
      </c>
      <c r="HT5" s="112">
        <f>SUMIFS('Expenditure Breakdown'!$G$6:$G$168, 'Expenditure Breakdown'!$H$6:$H$168, "&gt;="&amp;HT1,'Expenditure Breakdown'!$H$6:$H$168, "&lt;"&amp;HU1)</f>
        <v>0</v>
      </c>
      <c r="HU5" s="112">
        <f>SUMIFS('Expenditure Breakdown'!$G$6:$G$168, 'Expenditure Breakdown'!$H$6:$H$168, "&gt;="&amp;HU1,'Expenditure Breakdown'!$H$6:$H$168, "&lt;"&amp;HV1)</f>
        <v>0</v>
      </c>
      <c r="HV5" s="112">
        <f>SUMIFS('Expenditure Breakdown'!$G$6:$G$168, 'Expenditure Breakdown'!$H$6:$H$168, "&gt;="&amp;HV1,'Expenditure Breakdown'!$H$6:$H$168, "&lt;"&amp;HW1)</f>
        <v>0</v>
      </c>
      <c r="HW5" s="112">
        <f>SUMIFS('Expenditure Breakdown'!$G$6:$G$168, 'Expenditure Breakdown'!$H$6:$H$168, "&gt;="&amp;HW1,'Expenditure Breakdown'!$H$6:$H$168, "&lt;"&amp;HX1)</f>
        <v>0</v>
      </c>
      <c r="HX5" s="112">
        <f>SUMIFS('Expenditure Breakdown'!$G$6:$G$168, 'Expenditure Breakdown'!$H$6:$H$168, "&gt;="&amp;HX1,'Expenditure Breakdown'!$H$6:$H$168, "&lt;"&amp;HY1)</f>
        <v>0</v>
      </c>
      <c r="HY5" s="112">
        <f>SUMIFS('Expenditure Breakdown'!$G$6:$G$168, 'Expenditure Breakdown'!$H$6:$H$168, "&gt;="&amp;HY1,'Expenditure Breakdown'!$H$6:$H$168, "&lt;"&amp;HZ1)</f>
        <v>0</v>
      </c>
      <c r="HZ5" s="112">
        <f>SUMIFS('Expenditure Breakdown'!$G$6:$G$168, 'Expenditure Breakdown'!$H$6:$H$168, "&gt;="&amp;HZ1,'Expenditure Breakdown'!$H$6:$H$168, "&lt;"&amp;IA1)</f>
        <v>0</v>
      </c>
      <c r="IA5" s="112">
        <f>SUMIFS('Expenditure Breakdown'!$G$6:$G$168, 'Expenditure Breakdown'!$H$6:$H$168, "&gt;="&amp;IA1,'Expenditure Breakdown'!$H$6:$H$168, "&lt;"&amp;IB1)</f>
        <v>0</v>
      </c>
      <c r="IB5" s="112">
        <f>SUMIFS('Expenditure Breakdown'!$G$6:$G$168, 'Expenditure Breakdown'!$H$6:$H$168, "&gt;="&amp;IB1,'Expenditure Breakdown'!$H$6:$H$168, "&lt;"&amp;IC1)</f>
        <v>0</v>
      </c>
      <c r="IC5" s="112">
        <f>SUMIFS('Expenditure Breakdown'!$G$6:$G$168, 'Expenditure Breakdown'!$H$6:$H$168, "&gt;="&amp;IC1,'Expenditure Breakdown'!$H$6:$H$168, "&lt;"&amp;ID1)</f>
        <v>0</v>
      </c>
      <c r="ID5" s="112">
        <f>SUMIFS('Expenditure Breakdown'!$G$6:$G$168, 'Expenditure Breakdown'!$H$6:$H$168, "&gt;="&amp;ID1,'Expenditure Breakdown'!$H$6:$H$168, "&lt;"&amp;IE1)</f>
        <v>0</v>
      </c>
      <c r="IE5" s="112">
        <f>SUMIFS('Expenditure Breakdown'!$G$6:$G$168, 'Expenditure Breakdown'!$H$6:$H$168, "&gt;="&amp;IE1,'Expenditure Breakdown'!$H$6:$H$168, "&lt;"&amp;IF1)</f>
        <v>0</v>
      </c>
      <c r="IF5" s="112">
        <f>SUMIFS('Expenditure Breakdown'!$G$6:$G$168, 'Expenditure Breakdown'!$H$6:$H$168, "&gt;="&amp;IF1,'Expenditure Breakdown'!$H$6:$H$168, "&lt;"&amp;IG1)</f>
        <v>0</v>
      </c>
      <c r="IG5" s="112">
        <f>SUMIFS('Expenditure Breakdown'!$G$6:$G$168, 'Expenditure Breakdown'!$H$6:$H$168, "&gt;="&amp;IG1,'Expenditure Breakdown'!$H$6:$H$168, "&lt;"&amp;IH1)</f>
        <v>0</v>
      </c>
      <c r="IH5" s="112">
        <f>SUMIFS('Expenditure Breakdown'!$G$6:$G$168, 'Expenditure Breakdown'!$H$6:$H$168, "&gt;="&amp;IH1,'Expenditure Breakdown'!$H$6:$H$168, "&lt;"&amp;II1)</f>
        <v>0</v>
      </c>
      <c r="II5" s="112">
        <f>SUMIFS('Expenditure Breakdown'!$G$6:$G$168, 'Expenditure Breakdown'!$H$6:$H$168, "&gt;="&amp;II1,'Expenditure Breakdown'!$H$6:$H$168, "&lt;"&amp;IJ1)</f>
        <v>0</v>
      </c>
      <c r="IJ5" s="112">
        <f>SUMIFS('Expenditure Breakdown'!$G$6:$G$168, 'Expenditure Breakdown'!$H$6:$H$168, "&gt;="&amp;IJ1,'Expenditure Breakdown'!$H$6:$H$168, "&lt;"&amp;IK1)</f>
        <v>0</v>
      </c>
      <c r="IK5" s="112">
        <f>SUMIFS('Expenditure Breakdown'!$G$6:$G$168, 'Expenditure Breakdown'!$H$6:$H$168, "&gt;="&amp;IK1,'Expenditure Breakdown'!$H$6:$H$168, "&lt;"&amp;IL1)</f>
        <v>0</v>
      </c>
      <c r="IL5" s="112">
        <f>SUMIFS('Expenditure Breakdown'!$G$6:$G$168, 'Expenditure Breakdown'!$H$6:$H$168, "&gt;="&amp;IL1,'Expenditure Breakdown'!$H$6:$H$168, "&lt;"&amp;IM1)</f>
        <v>0</v>
      </c>
      <c r="IM5" s="112">
        <f>SUMIFS('Expenditure Breakdown'!$G$6:$G$168, 'Expenditure Breakdown'!$H$6:$H$168, "&gt;="&amp;IM1,'Expenditure Breakdown'!$H$6:$H$168, "&lt;"&amp;IN1)</f>
        <v>0</v>
      </c>
      <c r="IN5" s="112">
        <f>SUMIFS('Expenditure Breakdown'!$G$6:$G$168, 'Expenditure Breakdown'!$H$6:$H$168, "&gt;="&amp;IN1,'Expenditure Breakdown'!$H$6:$H$168, "&lt;"&amp;IO1)</f>
        <v>0</v>
      </c>
      <c r="IO5" s="112">
        <f>SUMIFS('Expenditure Breakdown'!$G$6:$G$168, 'Expenditure Breakdown'!$H$6:$H$168, "&gt;="&amp;IO1,'Expenditure Breakdown'!$H$6:$H$168, "&lt;"&amp;IP1)</f>
        <v>0</v>
      </c>
      <c r="IP5" s="112">
        <f>SUMIFS('Expenditure Breakdown'!$G$6:$G$168, 'Expenditure Breakdown'!$H$6:$H$168, "&gt;="&amp;IP1,'Expenditure Breakdown'!$H$6:$H$168, "&lt;"&amp;IQ1)</f>
        <v>0</v>
      </c>
      <c r="IQ5" s="112">
        <f>SUMIFS('Expenditure Breakdown'!$G$6:$G$168, 'Expenditure Breakdown'!$H$6:$H$168, "&gt;="&amp;IQ1,'Expenditure Breakdown'!$H$6:$H$168, "&lt;"&amp;IR1)</f>
        <v>0</v>
      </c>
      <c r="IR5" s="112">
        <f>SUMIFS('Expenditure Breakdown'!$G$6:$G$168, 'Expenditure Breakdown'!$H$6:$H$168, "&gt;="&amp;IR1,'Expenditure Breakdown'!$H$6:$H$168, "&lt;"&amp;IS1)</f>
        <v>0</v>
      </c>
      <c r="IS5" s="112">
        <f>SUMIFS('Expenditure Breakdown'!$G$6:$G$168, 'Expenditure Breakdown'!$H$6:$H$168, "&gt;="&amp;IS1,'Expenditure Breakdown'!$H$6:$H$168, "&lt;"&amp;IT1)</f>
        <v>0</v>
      </c>
      <c r="IT5" s="112">
        <f>SUMIFS('Expenditure Breakdown'!$G$6:$G$168, 'Expenditure Breakdown'!$H$6:$H$168, "&gt;="&amp;IT1,'Expenditure Breakdown'!$H$6:$H$168, "&lt;"&amp;IU1)</f>
        <v>0</v>
      </c>
      <c r="IU5" s="112">
        <f>SUMIFS('Expenditure Breakdown'!$G$6:$G$168, 'Expenditure Breakdown'!$H$6:$H$168, "&gt;="&amp;IU1,'Expenditure Breakdown'!$H$6:$H$168, "&lt;"&amp;IV1)</f>
        <v>0</v>
      </c>
      <c r="IV5" s="112">
        <f>SUMIFS('Expenditure Breakdown'!$G$6:$G$168, 'Expenditure Breakdown'!$H$6:$H$168, "&gt;="&amp;IV1,'Expenditure Breakdown'!$H$6:$H$168, "&lt;"&amp;IW1)</f>
        <v>0</v>
      </c>
      <c r="IW5" s="112">
        <f>SUMIFS('Expenditure Breakdown'!$G$6:$G$168, 'Expenditure Breakdown'!$H$6:$H$168, "&gt;="&amp;IW1,'Expenditure Breakdown'!$H$6:$H$168, "&lt;"&amp;IX1)</f>
        <v>0</v>
      </c>
      <c r="IX5" s="112">
        <f>SUMIFS('Expenditure Breakdown'!$G$6:$G$168, 'Expenditure Breakdown'!$H$6:$H$168, "&gt;="&amp;IX1,'Expenditure Breakdown'!$H$6:$H$168, "&lt;"&amp;IY1)</f>
        <v>0</v>
      </c>
      <c r="IY5" s="112">
        <f>SUMIFS('Expenditure Breakdown'!$G$6:$G$168, 'Expenditure Breakdown'!$H$6:$H$168, "&gt;="&amp;IY1,'Expenditure Breakdown'!$H$6:$H$168, "&lt;"&amp;IZ1)</f>
        <v>0</v>
      </c>
      <c r="IZ5" s="112">
        <f>SUMIFS('Expenditure Breakdown'!$G$6:$G$168, 'Expenditure Breakdown'!$H$6:$H$168, "&gt;="&amp;IZ1,'Expenditure Breakdown'!$H$6:$H$168, "&lt;"&amp;JA1)</f>
        <v>0</v>
      </c>
      <c r="JA5" s="112">
        <f>SUMIFS('Expenditure Breakdown'!$G$6:$G$168, 'Expenditure Breakdown'!$H$6:$H$168, "&gt;="&amp;JA1,'Expenditure Breakdown'!$H$6:$H$168, "&lt;"&amp;JB1)</f>
        <v>0</v>
      </c>
      <c r="JB5" s="112">
        <f>SUMIFS('Expenditure Breakdown'!$G$6:$G$168, 'Expenditure Breakdown'!$H$6:$H$168, "&gt;="&amp;JB1,'Expenditure Breakdown'!$H$6:$H$168, "&lt;"&amp;JC1)</f>
        <v>0</v>
      </c>
      <c r="JC5" s="112">
        <f>SUMIFS('Expenditure Breakdown'!$G$6:$G$168, 'Expenditure Breakdown'!$H$6:$H$168, "&gt;="&amp;JC1,'Expenditure Breakdown'!$H$6:$H$168, "&lt;"&amp;JD1)</f>
        <v>0</v>
      </c>
      <c r="JD5" s="112">
        <f>SUMIFS('Expenditure Breakdown'!$G$6:$G$168, 'Expenditure Breakdown'!$H$6:$H$168, "&gt;="&amp;JD1,'Expenditure Breakdown'!$H$6:$H$168, "&lt;"&amp;JE1)</f>
        <v>0</v>
      </c>
      <c r="JE5" s="112">
        <f>SUMIFS('Expenditure Breakdown'!$G$6:$G$168, 'Expenditure Breakdown'!$H$6:$H$168, "&gt;="&amp;JE1,'Expenditure Breakdown'!$H$6:$H$168, "&lt;"&amp;JF1)</f>
        <v>0</v>
      </c>
      <c r="JF5" s="112">
        <f>SUMIFS('Expenditure Breakdown'!$G$6:$G$168, 'Expenditure Breakdown'!$H$6:$H$168, "&gt;="&amp;JF1,'Expenditure Breakdown'!$H$6:$H$168, "&lt;"&amp;JG1)</f>
        <v>0</v>
      </c>
      <c r="JG5" s="112">
        <f>SUMIFS('Expenditure Breakdown'!$G$6:$G$168, 'Expenditure Breakdown'!$H$6:$H$168, "&gt;="&amp;JG1,'Expenditure Breakdown'!$H$6:$H$168, "&lt;"&amp;JH1)</f>
        <v>0</v>
      </c>
      <c r="JH5" s="112">
        <f>SUMIFS('Expenditure Breakdown'!$G$6:$G$168, 'Expenditure Breakdown'!$H$6:$H$168, "&gt;="&amp;JH1,'Expenditure Breakdown'!$H$6:$H$168, "&lt;"&amp;JI1)</f>
        <v>0</v>
      </c>
      <c r="JI5" s="112">
        <f>SUMIFS('Expenditure Breakdown'!$G$6:$G$168, 'Expenditure Breakdown'!$H$6:$H$168, "&gt;="&amp;JI1,'Expenditure Breakdown'!$H$6:$H$168, "&lt;"&amp;JJ1)</f>
        <v>0</v>
      </c>
      <c r="JJ5" s="112">
        <f>SUMIFS('Expenditure Breakdown'!$G$6:$G$168, 'Expenditure Breakdown'!$H$6:$H$168, "&gt;="&amp;JJ1,'Expenditure Breakdown'!$H$6:$H$168, "&lt;"&amp;JK1)</f>
        <v>0</v>
      </c>
      <c r="JK5" s="112">
        <f>SUMIFS('Expenditure Breakdown'!$G$6:$G$168, 'Expenditure Breakdown'!$H$6:$H$168, "&gt;="&amp;JK1,'Expenditure Breakdown'!$H$6:$H$168, "&lt;"&amp;JL1)</f>
        <v>0</v>
      </c>
      <c r="JL5" s="112">
        <f>SUMIFS('Expenditure Breakdown'!$G$6:$G$168, 'Expenditure Breakdown'!$H$6:$H$168, "&gt;="&amp;JL1,'Expenditure Breakdown'!$H$6:$H$168, "&lt;"&amp;JM1)</f>
        <v>0</v>
      </c>
      <c r="JM5" s="112">
        <f>SUMIFS('Expenditure Breakdown'!$G$6:$G$168, 'Expenditure Breakdown'!$H$6:$H$168, "&gt;="&amp;JM1,'Expenditure Breakdown'!$H$6:$H$168, "&lt;"&amp;JN1)</f>
        <v>0</v>
      </c>
      <c r="JN5" s="112">
        <f>SUMIFS('Expenditure Breakdown'!$G$6:$G$168, 'Expenditure Breakdown'!$H$6:$H$168, "&gt;="&amp;JN1,'Expenditure Breakdown'!$H$6:$H$168, "&lt;"&amp;JO1)</f>
        <v>0</v>
      </c>
      <c r="JO5" s="112">
        <f>SUMIFS('Expenditure Breakdown'!$G$6:$G$168, 'Expenditure Breakdown'!$H$6:$H$168, "&gt;="&amp;JO1,'Expenditure Breakdown'!$H$6:$H$168, "&lt;"&amp;JP1)</f>
        <v>0</v>
      </c>
      <c r="JP5" s="112">
        <f>SUMIFS('Expenditure Breakdown'!$G$6:$G$168, 'Expenditure Breakdown'!$H$6:$H$168, "&gt;="&amp;JP1,'Expenditure Breakdown'!$H$6:$H$168, "&lt;"&amp;JQ1)</f>
        <v>0</v>
      </c>
      <c r="JQ5" s="112">
        <f>SUMIFS('Expenditure Breakdown'!$G$6:$G$168, 'Expenditure Breakdown'!$H$6:$H$168, "&gt;="&amp;JQ1,'Expenditure Breakdown'!$H$6:$H$168, "&lt;"&amp;JR1)</f>
        <v>0</v>
      </c>
      <c r="JR5" s="112">
        <f>SUMIFS('Expenditure Breakdown'!$G$6:$G$168, 'Expenditure Breakdown'!$H$6:$H$168, "&gt;="&amp;JR1,'Expenditure Breakdown'!$H$6:$H$168, "&lt;"&amp;JS1)</f>
        <v>0</v>
      </c>
      <c r="JS5" s="112">
        <f>SUMIFS('Expenditure Breakdown'!$G$6:$G$168, 'Expenditure Breakdown'!$H$6:$H$168, "&gt;="&amp;JS1,'Expenditure Breakdown'!$H$6:$H$168, "&lt;"&amp;JT1)</f>
        <v>0</v>
      </c>
      <c r="JT5" s="112">
        <f>SUMIFS('Expenditure Breakdown'!$G$6:$G$168, 'Expenditure Breakdown'!$H$6:$H$168, "&gt;="&amp;JT1,'Expenditure Breakdown'!$H$6:$H$168, "&lt;"&amp;JU1)</f>
        <v>0</v>
      </c>
      <c r="JU5" s="112">
        <f>SUMIFS('Expenditure Breakdown'!$G$6:$G$168, 'Expenditure Breakdown'!$H$6:$H$168, "&gt;="&amp;JU1,'Expenditure Breakdown'!$H$6:$H$168, "&lt;"&amp;JV1)</f>
        <v>0</v>
      </c>
      <c r="JV5" s="112">
        <f>SUMIFS('Expenditure Breakdown'!$G$6:$G$168, 'Expenditure Breakdown'!$H$6:$H$168, "&gt;="&amp;JV1,'Expenditure Breakdown'!$H$6:$H$168, "&lt;"&amp;JW1)</f>
        <v>0</v>
      </c>
      <c r="JW5" s="112">
        <f>SUMIFS('Expenditure Breakdown'!$G$6:$G$168, 'Expenditure Breakdown'!$H$6:$H$168, "&gt;="&amp;JW1,'Expenditure Breakdown'!$H$6:$H$168, "&lt;"&amp;JX1)</f>
        <v>0</v>
      </c>
      <c r="JX5" s="112">
        <f>SUMIFS('Expenditure Breakdown'!$G$6:$G$168, 'Expenditure Breakdown'!$H$6:$H$168, "&gt;="&amp;JX1,'Expenditure Breakdown'!$H$6:$H$168, "&lt;"&amp;JY1)</f>
        <v>0</v>
      </c>
      <c r="JY5" s="112">
        <f>SUMIFS('Expenditure Breakdown'!$G$6:$G$168, 'Expenditure Breakdown'!$H$6:$H$168, "&gt;="&amp;JY1,'Expenditure Breakdown'!$H$6:$H$168, "&lt;"&amp;JZ1)</f>
        <v>0</v>
      </c>
      <c r="JZ5" s="112">
        <f>SUMIFS('Expenditure Breakdown'!$G$6:$G$168, 'Expenditure Breakdown'!$H$6:$H$168, "&gt;="&amp;JZ1,'Expenditure Breakdown'!$H$6:$H$168, "&lt;"&amp;KA1)</f>
        <v>0</v>
      </c>
      <c r="KA5" s="112">
        <f>SUMIFS('Expenditure Breakdown'!$G$6:$G$168, 'Expenditure Breakdown'!$H$6:$H$168, "&gt;="&amp;KA1,'Expenditure Breakdown'!$H$6:$H$168, "&lt;"&amp;KB1)</f>
        <v>0</v>
      </c>
      <c r="KB5" s="112">
        <f>SUMIFS('Expenditure Breakdown'!$G$6:$G$168, 'Expenditure Breakdown'!$H$6:$H$168, "&gt;="&amp;KB1,'Expenditure Breakdown'!$H$6:$H$168, "&lt;"&amp;KC1)</f>
        <v>0</v>
      </c>
      <c r="KC5" s="112">
        <f>SUMIFS('Expenditure Breakdown'!$G$6:$G$168, 'Expenditure Breakdown'!$H$6:$H$168, "&gt;="&amp;KC1,'Expenditure Breakdown'!$H$6:$H$168, "&lt;"&amp;KD1)</f>
        <v>0</v>
      </c>
      <c r="KD5" s="112">
        <f>SUMIFS('Expenditure Breakdown'!$G$6:$G$168, 'Expenditure Breakdown'!$H$6:$H$168, "&gt;="&amp;KD1,'Expenditure Breakdown'!$H$6:$H$168, "&lt;"&amp;KE1)</f>
        <v>0</v>
      </c>
      <c r="KE5" s="112">
        <f>SUMIFS('Expenditure Breakdown'!$G$6:$G$168, 'Expenditure Breakdown'!$H$6:$H$168, "&gt;="&amp;KE1,'Expenditure Breakdown'!$H$6:$H$168, "&lt;"&amp;KF1)</f>
        <v>0</v>
      </c>
      <c r="KF5" s="112">
        <f>SUMIFS('Expenditure Breakdown'!$G$6:$G$168, 'Expenditure Breakdown'!$H$6:$H$168, "&gt;="&amp;KF1,'Expenditure Breakdown'!$H$6:$H$168, "&lt;"&amp;#REF!)</f>
        <v>0</v>
      </c>
      <c r="KG5" s="102"/>
      <c r="KH5" s="113"/>
      <c r="KI5" s="113"/>
    </row>
    <row r="6" spans="1:770" s="114" customFormat="1">
      <c r="A6" s="723"/>
      <c r="B6" s="110" t="s">
        <v>390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223511.98</v>
      </c>
      <c r="X6" s="112">
        <f t="shared" si="10"/>
        <v>357803.98</v>
      </c>
      <c r="Y6" s="112">
        <f t="shared" si="10"/>
        <v>694247.46695652173</v>
      </c>
      <c r="Z6" s="112">
        <f t="shared" si="10"/>
        <v>694247.46695652173</v>
      </c>
      <c r="AA6" s="112">
        <f t="shared" si="10"/>
        <v>710065.92591847829</v>
      </c>
      <c r="AB6" s="112">
        <f t="shared" si="10"/>
        <v>710065.92591847829</v>
      </c>
      <c r="AC6" s="112">
        <f t="shared" si="10"/>
        <v>1194452.4559184783</v>
      </c>
      <c r="AD6" s="112">
        <f>AC6+AD5</f>
        <v>1194452.4559184783</v>
      </c>
      <c r="AE6" s="112">
        <f t="shared" si="10"/>
        <v>1194452.4559184783</v>
      </c>
      <c r="AF6" s="112">
        <f t="shared" si="10"/>
        <v>1194452.4559184783</v>
      </c>
      <c r="AG6" s="112">
        <f t="shared" si="10"/>
        <v>1194452.4559184783</v>
      </c>
      <c r="AH6" s="112">
        <f t="shared" si="10"/>
        <v>1194452.4559184783</v>
      </c>
      <c r="AI6" s="112">
        <f t="shared" si="10"/>
        <v>1194452.4559184783</v>
      </c>
      <c r="AJ6" s="112">
        <f t="shared" si="10"/>
        <v>1194452.4559184783</v>
      </c>
      <c r="AK6" s="112">
        <f t="shared" si="10"/>
        <v>1194452.4559184783</v>
      </c>
      <c r="AL6" s="112">
        <f t="shared" si="10"/>
        <v>1194452.4559184783</v>
      </c>
      <c r="AM6" s="112">
        <f t="shared" si="10"/>
        <v>1194452.4559184783</v>
      </c>
      <c r="AN6" s="112">
        <f t="shared" si="10"/>
        <v>1194452.4559184783</v>
      </c>
      <c r="AO6" s="112">
        <f t="shared" si="10"/>
        <v>1194452.4559184783</v>
      </c>
      <c r="AP6" s="112">
        <f t="shared" si="10"/>
        <v>1194452.4559184783</v>
      </c>
      <c r="AQ6" s="112">
        <f t="shared" si="10"/>
        <v>1194452.4559184783</v>
      </c>
      <c r="AR6" s="112">
        <f t="shared" si="10"/>
        <v>1194452.4559184783</v>
      </c>
      <c r="AS6" s="112">
        <f t="shared" si="10"/>
        <v>1194452.4559184783</v>
      </c>
      <c r="AT6" s="112">
        <f t="shared" si="10"/>
        <v>1194452.4559184783</v>
      </c>
      <c r="AU6" s="112">
        <f t="shared" si="10"/>
        <v>1194452.4559184783</v>
      </c>
      <c r="AV6" s="112">
        <f t="shared" si="10"/>
        <v>1194452.4559184783</v>
      </c>
      <c r="AW6" s="112">
        <f t="shared" si="10"/>
        <v>1194452.4559184783</v>
      </c>
      <c r="AX6" s="112">
        <f t="shared" si="10"/>
        <v>1194452.4559184783</v>
      </c>
      <c r="AY6" s="112">
        <f t="shared" si="10"/>
        <v>1194452.4559184783</v>
      </c>
      <c r="AZ6" s="112">
        <f t="shared" si="10"/>
        <v>1194452.4559184783</v>
      </c>
      <c r="BA6" s="112">
        <f t="shared" si="10"/>
        <v>1194452.4559184783</v>
      </c>
      <c r="BB6" s="112">
        <f t="shared" si="10"/>
        <v>1194452.4559184783</v>
      </c>
      <c r="BC6" s="112">
        <f t="shared" si="10"/>
        <v>1194452.4559184783</v>
      </c>
      <c r="BD6" s="112">
        <f t="shared" si="10"/>
        <v>1194452.4559184783</v>
      </c>
      <c r="BE6" s="112">
        <f t="shared" si="10"/>
        <v>1194452.4559184783</v>
      </c>
      <c r="BF6" s="112">
        <f t="shared" si="10"/>
        <v>1194452.4559184783</v>
      </c>
      <c r="BG6" s="112">
        <f t="shared" si="10"/>
        <v>1194452.4559184783</v>
      </c>
      <c r="BH6" s="112">
        <f t="shared" si="10"/>
        <v>1194452.4559184783</v>
      </c>
      <c r="BI6" s="112">
        <f t="shared" si="10"/>
        <v>1194452.4559184783</v>
      </c>
      <c r="BJ6" s="112">
        <f t="shared" si="10"/>
        <v>1194452.4559184783</v>
      </c>
      <c r="BK6" s="112">
        <f t="shared" si="10"/>
        <v>1194452.4559184783</v>
      </c>
      <c r="BL6" s="112">
        <f t="shared" si="10"/>
        <v>1194452.4559184783</v>
      </c>
      <c r="BM6" s="112">
        <f t="shared" si="10"/>
        <v>1194452.4559184783</v>
      </c>
      <c r="BN6" s="112">
        <f t="shared" si="10"/>
        <v>1194452.4559184783</v>
      </c>
      <c r="BO6" s="112">
        <f t="shared" si="10"/>
        <v>1194452.4559184783</v>
      </c>
      <c r="BP6" s="112">
        <f t="shared" si="10"/>
        <v>1194452.4559184783</v>
      </c>
      <c r="BQ6" s="112">
        <f t="shared" si="10"/>
        <v>1194452.4559184783</v>
      </c>
      <c r="BR6" s="112">
        <f t="shared" si="10"/>
        <v>1194452.4559184783</v>
      </c>
      <c r="BS6" s="112">
        <f t="shared" si="10"/>
        <v>1194452.4559184783</v>
      </c>
      <c r="BT6" s="112">
        <f t="shared" si="10"/>
        <v>1194452.4559184783</v>
      </c>
      <c r="BU6" s="112">
        <f t="shared" ref="BU6:EF6" si="11">BT6+BU5</f>
        <v>1194452.4559184783</v>
      </c>
      <c r="BV6" s="112">
        <f t="shared" si="11"/>
        <v>1194452.4559184783</v>
      </c>
      <c r="BW6" s="112">
        <f t="shared" si="11"/>
        <v>1194452.4559184783</v>
      </c>
      <c r="BX6" s="112">
        <f t="shared" si="11"/>
        <v>1194452.4559184783</v>
      </c>
      <c r="BY6" s="112">
        <f t="shared" si="11"/>
        <v>1194452.4559184783</v>
      </c>
      <c r="BZ6" s="112">
        <f t="shared" si="11"/>
        <v>1194452.4559184783</v>
      </c>
      <c r="CA6" s="112">
        <f t="shared" si="11"/>
        <v>1194452.4559184783</v>
      </c>
      <c r="CB6" s="112">
        <f t="shared" si="11"/>
        <v>1194452.4559184783</v>
      </c>
      <c r="CC6" s="112">
        <f t="shared" si="11"/>
        <v>1194452.4559184783</v>
      </c>
      <c r="CD6" s="112">
        <f t="shared" si="11"/>
        <v>1194452.4559184783</v>
      </c>
      <c r="CE6" s="112">
        <f t="shared" si="11"/>
        <v>1194452.4559184783</v>
      </c>
      <c r="CF6" s="112">
        <f t="shared" si="11"/>
        <v>1194452.4559184783</v>
      </c>
      <c r="CG6" s="112">
        <f t="shared" si="11"/>
        <v>1194452.4559184783</v>
      </c>
      <c r="CH6" s="112">
        <f t="shared" si="11"/>
        <v>1194452.4559184783</v>
      </c>
      <c r="CI6" s="112">
        <f t="shared" si="11"/>
        <v>1194452.4559184783</v>
      </c>
      <c r="CJ6" s="112">
        <f t="shared" si="11"/>
        <v>1194452.4559184783</v>
      </c>
      <c r="CK6" s="112">
        <f t="shared" si="11"/>
        <v>1194452.4559184783</v>
      </c>
      <c r="CL6" s="112">
        <f t="shared" si="11"/>
        <v>1194452.4559184783</v>
      </c>
      <c r="CM6" s="112">
        <f t="shared" si="11"/>
        <v>1194452.4559184783</v>
      </c>
      <c r="CN6" s="112">
        <f t="shared" si="11"/>
        <v>1194452.4559184783</v>
      </c>
      <c r="CO6" s="112">
        <f t="shared" si="11"/>
        <v>1194452.4559184783</v>
      </c>
      <c r="CP6" s="112">
        <f t="shared" si="11"/>
        <v>1194452.4559184783</v>
      </c>
      <c r="CQ6" s="112">
        <f t="shared" si="11"/>
        <v>1194452.4559184783</v>
      </c>
      <c r="CR6" s="112">
        <f t="shared" si="11"/>
        <v>1194452.4559184783</v>
      </c>
      <c r="CS6" s="112">
        <f t="shared" si="11"/>
        <v>1194452.4559184783</v>
      </c>
      <c r="CT6" s="112">
        <f t="shared" si="11"/>
        <v>1194452.4559184783</v>
      </c>
      <c r="CU6" s="112">
        <f t="shared" si="11"/>
        <v>1194452.4559184783</v>
      </c>
      <c r="CV6" s="112">
        <f t="shared" si="11"/>
        <v>1194452.4559184783</v>
      </c>
      <c r="CW6" s="112">
        <f t="shared" si="11"/>
        <v>1194452.4559184783</v>
      </c>
      <c r="CX6" s="112">
        <f t="shared" si="11"/>
        <v>1194452.4559184783</v>
      </c>
      <c r="CY6" s="112">
        <f t="shared" si="11"/>
        <v>1194452.4559184783</v>
      </c>
      <c r="CZ6" s="112">
        <f t="shared" si="11"/>
        <v>1194452.4559184783</v>
      </c>
      <c r="DA6" s="112">
        <f t="shared" si="11"/>
        <v>1194452.4559184783</v>
      </c>
      <c r="DB6" s="112">
        <f t="shared" si="11"/>
        <v>1194452.4559184783</v>
      </c>
      <c r="DC6" s="112">
        <f t="shared" si="11"/>
        <v>1194452.4559184783</v>
      </c>
      <c r="DD6" s="112">
        <f t="shared" si="11"/>
        <v>1194452.4559184783</v>
      </c>
      <c r="DE6" s="112">
        <f t="shared" si="11"/>
        <v>1194452.4559184783</v>
      </c>
      <c r="DF6" s="112">
        <f t="shared" si="11"/>
        <v>1194452.4559184783</v>
      </c>
      <c r="DG6" s="112">
        <f t="shared" si="11"/>
        <v>1194452.4559184783</v>
      </c>
      <c r="DH6" s="112">
        <f t="shared" si="11"/>
        <v>1194452.4559184783</v>
      </c>
      <c r="DI6" s="112">
        <f t="shared" si="11"/>
        <v>1194452.4559184783</v>
      </c>
      <c r="DJ6" s="112">
        <f t="shared" si="11"/>
        <v>1194452.4559184783</v>
      </c>
      <c r="DK6" s="112">
        <f t="shared" si="11"/>
        <v>1194452.4559184783</v>
      </c>
      <c r="DL6" s="112">
        <f t="shared" si="11"/>
        <v>1194452.4559184783</v>
      </c>
      <c r="DM6" s="112">
        <f t="shared" si="11"/>
        <v>1194452.4559184783</v>
      </c>
      <c r="DN6" s="112">
        <f t="shared" si="11"/>
        <v>1194452.4559184783</v>
      </c>
      <c r="DO6" s="112">
        <f t="shared" si="11"/>
        <v>1194452.4559184783</v>
      </c>
      <c r="DP6" s="112">
        <f t="shared" si="11"/>
        <v>1194452.4559184783</v>
      </c>
      <c r="DQ6" s="112">
        <f t="shared" si="11"/>
        <v>1194452.4559184783</v>
      </c>
      <c r="DR6" s="112">
        <f t="shared" si="11"/>
        <v>1194452.4559184783</v>
      </c>
      <c r="DS6" s="112">
        <f t="shared" si="11"/>
        <v>1194452.4559184783</v>
      </c>
      <c r="DT6" s="112">
        <f t="shared" si="11"/>
        <v>1194452.4559184783</v>
      </c>
      <c r="DU6" s="112">
        <f t="shared" si="11"/>
        <v>1194452.4559184783</v>
      </c>
      <c r="DV6" s="112">
        <f t="shared" si="11"/>
        <v>1194452.4559184783</v>
      </c>
      <c r="DW6" s="112">
        <f t="shared" si="11"/>
        <v>1194452.4559184783</v>
      </c>
      <c r="DX6" s="112">
        <f t="shared" si="11"/>
        <v>1194452.4559184783</v>
      </c>
      <c r="DY6" s="112">
        <f t="shared" si="11"/>
        <v>1194452.4559184783</v>
      </c>
      <c r="DZ6" s="112">
        <f t="shared" si="11"/>
        <v>1194452.4559184783</v>
      </c>
      <c r="EA6" s="112">
        <f t="shared" si="11"/>
        <v>1194452.4559184783</v>
      </c>
      <c r="EB6" s="112">
        <f t="shared" si="11"/>
        <v>1194452.4559184783</v>
      </c>
      <c r="EC6" s="112">
        <f t="shared" si="11"/>
        <v>1194452.4559184783</v>
      </c>
      <c r="ED6" s="112">
        <f t="shared" si="11"/>
        <v>1194452.4559184783</v>
      </c>
      <c r="EE6" s="112">
        <f t="shared" si="11"/>
        <v>1194452.4559184783</v>
      </c>
      <c r="EF6" s="112">
        <f t="shared" si="11"/>
        <v>1194452.4559184783</v>
      </c>
      <c r="EG6" s="112">
        <f t="shared" ref="EG6:GR6" si="12">EF6+EG5</f>
        <v>1194452.4559184783</v>
      </c>
      <c r="EH6" s="112">
        <f t="shared" si="12"/>
        <v>1194452.4559184783</v>
      </c>
      <c r="EI6" s="112">
        <f t="shared" si="12"/>
        <v>1194452.4559184783</v>
      </c>
      <c r="EJ6" s="112">
        <f t="shared" si="12"/>
        <v>1194452.4559184783</v>
      </c>
      <c r="EK6" s="112">
        <f t="shared" si="12"/>
        <v>1194452.4559184783</v>
      </c>
      <c r="EL6" s="112">
        <f t="shared" si="12"/>
        <v>1194452.4559184783</v>
      </c>
      <c r="EM6" s="112">
        <f t="shared" si="12"/>
        <v>1194452.4559184783</v>
      </c>
      <c r="EN6" s="112">
        <f t="shared" si="12"/>
        <v>1194452.4559184783</v>
      </c>
      <c r="EO6" s="112">
        <f t="shared" si="12"/>
        <v>1194452.4559184783</v>
      </c>
      <c r="EP6" s="112">
        <f t="shared" si="12"/>
        <v>1194452.4559184783</v>
      </c>
      <c r="EQ6" s="112">
        <f t="shared" si="12"/>
        <v>1194452.4559184783</v>
      </c>
      <c r="ER6" s="112">
        <f t="shared" si="12"/>
        <v>1194452.4559184783</v>
      </c>
      <c r="ES6" s="112">
        <f t="shared" si="12"/>
        <v>1194452.4559184783</v>
      </c>
      <c r="ET6" s="112">
        <f t="shared" si="12"/>
        <v>1194452.4559184783</v>
      </c>
      <c r="EU6" s="112">
        <f t="shared" si="12"/>
        <v>1194452.4559184783</v>
      </c>
      <c r="EV6" s="112">
        <f t="shared" si="12"/>
        <v>1194452.4559184783</v>
      </c>
      <c r="EW6" s="112">
        <f t="shared" si="12"/>
        <v>1194452.4559184783</v>
      </c>
      <c r="EX6" s="112">
        <f t="shared" si="12"/>
        <v>1194452.4559184783</v>
      </c>
      <c r="EY6" s="112">
        <f t="shared" si="12"/>
        <v>1194452.4559184783</v>
      </c>
      <c r="EZ6" s="112">
        <f t="shared" si="12"/>
        <v>1194452.4559184783</v>
      </c>
      <c r="FA6" s="112">
        <f t="shared" si="12"/>
        <v>1194452.4559184783</v>
      </c>
      <c r="FB6" s="112">
        <f t="shared" si="12"/>
        <v>1194452.4559184783</v>
      </c>
      <c r="FC6" s="112">
        <f t="shared" si="12"/>
        <v>1194452.4559184783</v>
      </c>
      <c r="FD6" s="112">
        <f t="shared" si="12"/>
        <v>1194452.4559184783</v>
      </c>
      <c r="FE6" s="112">
        <f t="shared" si="12"/>
        <v>1194452.4559184783</v>
      </c>
      <c r="FF6" s="112">
        <f t="shared" si="12"/>
        <v>1194452.4559184783</v>
      </c>
      <c r="FG6" s="112">
        <f t="shared" si="12"/>
        <v>1194452.4559184783</v>
      </c>
      <c r="FH6" s="112">
        <f t="shared" si="12"/>
        <v>1194452.4559184783</v>
      </c>
      <c r="FI6" s="112">
        <f t="shared" si="12"/>
        <v>1194452.4559184783</v>
      </c>
      <c r="FJ6" s="112">
        <f t="shared" si="12"/>
        <v>1194452.4559184783</v>
      </c>
      <c r="FK6" s="112">
        <f t="shared" si="12"/>
        <v>1194452.4559184783</v>
      </c>
      <c r="FL6" s="112">
        <f t="shared" si="12"/>
        <v>1194452.4559184783</v>
      </c>
      <c r="FM6" s="112">
        <f t="shared" si="12"/>
        <v>1194452.4559184783</v>
      </c>
      <c r="FN6" s="112">
        <f t="shared" si="12"/>
        <v>1194452.4559184783</v>
      </c>
      <c r="FO6" s="112">
        <f t="shared" si="12"/>
        <v>1194452.4559184783</v>
      </c>
      <c r="FP6" s="112">
        <f t="shared" si="12"/>
        <v>1194452.4559184783</v>
      </c>
      <c r="FQ6" s="112">
        <f t="shared" si="12"/>
        <v>1194452.4559184783</v>
      </c>
      <c r="FR6" s="112">
        <f t="shared" si="12"/>
        <v>1194452.4559184783</v>
      </c>
      <c r="FS6" s="112">
        <f t="shared" si="12"/>
        <v>1194452.4559184783</v>
      </c>
      <c r="FT6" s="112">
        <f t="shared" si="12"/>
        <v>1194452.4559184783</v>
      </c>
      <c r="FU6" s="112">
        <f t="shared" si="12"/>
        <v>1194452.4559184783</v>
      </c>
      <c r="FV6" s="112">
        <f t="shared" si="12"/>
        <v>1194452.4559184783</v>
      </c>
      <c r="FW6" s="112">
        <f t="shared" si="12"/>
        <v>1194452.4559184783</v>
      </c>
      <c r="FX6" s="112">
        <f t="shared" si="12"/>
        <v>1194452.4559184783</v>
      </c>
      <c r="FY6" s="112">
        <f t="shared" si="12"/>
        <v>1194452.4559184783</v>
      </c>
      <c r="FZ6" s="112">
        <f t="shared" si="12"/>
        <v>1194452.4559184783</v>
      </c>
      <c r="GA6" s="112">
        <f t="shared" si="12"/>
        <v>1194452.4559184783</v>
      </c>
      <c r="GB6" s="112">
        <f t="shared" si="12"/>
        <v>1194452.4559184783</v>
      </c>
      <c r="GC6" s="112">
        <f t="shared" si="12"/>
        <v>1194452.4559184783</v>
      </c>
      <c r="GD6" s="112">
        <f t="shared" si="12"/>
        <v>1194452.4559184783</v>
      </c>
      <c r="GE6" s="112">
        <f t="shared" si="12"/>
        <v>1194452.4559184783</v>
      </c>
      <c r="GF6" s="112">
        <f t="shared" si="12"/>
        <v>1194452.4559184783</v>
      </c>
      <c r="GG6" s="112">
        <f t="shared" si="12"/>
        <v>1194452.4559184783</v>
      </c>
      <c r="GH6" s="112">
        <f t="shared" si="12"/>
        <v>1194452.4559184783</v>
      </c>
      <c r="GI6" s="112">
        <f t="shared" si="12"/>
        <v>1194452.4559184783</v>
      </c>
      <c r="GJ6" s="112">
        <f t="shared" si="12"/>
        <v>1194452.4559184783</v>
      </c>
      <c r="GK6" s="112">
        <f t="shared" si="12"/>
        <v>1194452.4559184783</v>
      </c>
      <c r="GL6" s="112">
        <f t="shared" si="12"/>
        <v>1194452.4559184783</v>
      </c>
      <c r="GM6" s="112">
        <f t="shared" si="12"/>
        <v>1194452.4559184783</v>
      </c>
      <c r="GN6" s="112">
        <f t="shared" si="12"/>
        <v>1194452.4559184783</v>
      </c>
      <c r="GO6" s="112">
        <f t="shared" si="12"/>
        <v>1194452.4559184783</v>
      </c>
      <c r="GP6" s="112">
        <f t="shared" si="12"/>
        <v>1194452.4559184783</v>
      </c>
      <c r="GQ6" s="112">
        <f t="shared" si="12"/>
        <v>1194452.4559184783</v>
      </c>
      <c r="GR6" s="112">
        <f t="shared" si="12"/>
        <v>1194452.4559184783</v>
      </c>
      <c r="GS6" s="112">
        <f t="shared" ref="GS6:JD6" si="13">GR6+GS5</f>
        <v>1194452.4559184783</v>
      </c>
      <c r="GT6" s="112">
        <f t="shared" si="13"/>
        <v>1194452.4559184783</v>
      </c>
      <c r="GU6" s="112">
        <f t="shared" si="13"/>
        <v>1194452.4559184783</v>
      </c>
      <c r="GV6" s="112">
        <f t="shared" si="13"/>
        <v>1194452.4559184783</v>
      </c>
      <c r="GW6" s="112">
        <f t="shared" si="13"/>
        <v>1194452.4559184783</v>
      </c>
      <c r="GX6" s="112">
        <f t="shared" si="13"/>
        <v>1194452.4559184783</v>
      </c>
      <c r="GY6" s="112">
        <f t="shared" si="13"/>
        <v>1194452.4559184783</v>
      </c>
      <c r="GZ6" s="112">
        <f t="shared" si="13"/>
        <v>1194452.4559184783</v>
      </c>
      <c r="HA6" s="112">
        <f t="shared" si="13"/>
        <v>1194452.4559184783</v>
      </c>
      <c r="HB6" s="112">
        <f t="shared" si="13"/>
        <v>1194452.4559184783</v>
      </c>
      <c r="HC6" s="112">
        <f t="shared" si="13"/>
        <v>1194452.4559184783</v>
      </c>
      <c r="HD6" s="112">
        <f t="shared" si="13"/>
        <v>1194452.4559184783</v>
      </c>
      <c r="HE6" s="112">
        <f t="shared" si="13"/>
        <v>1194452.4559184783</v>
      </c>
      <c r="HF6" s="112">
        <f t="shared" si="13"/>
        <v>1194452.4559184783</v>
      </c>
      <c r="HG6" s="112">
        <f t="shared" si="13"/>
        <v>1194452.4559184783</v>
      </c>
      <c r="HH6" s="112">
        <f t="shared" si="13"/>
        <v>1194452.4559184783</v>
      </c>
      <c r="HI6" s="112">
        <f t="shared" si="13"/>
        <v>1194452.4559184783</v>
      </c>
      <c r="HJ6" s="112">
        <f t="shared" si="13"/>
        <v>1194452.4559184783</v>
      </c>
      <c r="HK6" s="112">
        <f t="shared" si="13"/>
        <v>1194452.4559184783</v>
      </c>
      <c r="HL6" s="112">
        <f t="shared" si="13"/>
        <v>1194452.4559184783</v>
      </c>
      <c r="HM6" s="112">
        <f t="shared" si="13"/>
        <v>1194452.4559184783</v>
      </c>
      <c r="HN6" s="112">
        <f t="shared" si="13"/>
        <v>1194452.4559184783</v>
      </c>
      <c r="HO6" s="112">
        <f t="shared" si="13"/>
        <v>1194452.4559184783</v>
      </c>
      <c r="HP6" s="112">
        <f t="shared" si="13"/>
        <v>1194452.4559184783</v>
      </c>
      <c r="HQ6" s="112">
        <f t="shared" si="13"/>
        <v>1194452.4559184783</v>
      </c>
      <c r="HR6" s="112">
        <f t="shared" si="13"/>
        <v>1194452.4559184783</v>
      </c>
      <c r="HS6" s="112">
        <f t="shared" si="13"/>
        <v>1194452.4559184783</v>
      </c>
      <c r="HT6" s="112">
        <f t="shared" si="13"/>
        <v>1194452.4559184783</v>
      </c>
      <c r="HU6" s="112">
        <f t="shared" si="13"/>
        <v>1194452.4559184783</v>
      </c>
      <c r="HV6" s="112">
        <f t="shared" si="13"/>
        <v>1194452.4559184783</v>
      </c>
      <c r="HW6" s="112">
        <f t="shared" si="13"/>
        <v>1194452.4559184783</v>
      </c>
      <c r="HX6" s="112">
        <f t="shared" si="13"/>
        <v>1194452.4559184783</v>
      </c>
      <c r="HY6" s="112">
        <f t="shared" si="13"/>
        <v>1194452.4559184783</v>
      </c>
      <c r="HZ6" s="112">
        <f t="shared" si="13"/>
        <v>1194452.4559184783</v>
      </c>
      <c r="IA6" s="112">
        <f t="shared" si="13"/>
        <v>1194452.4559184783</v>
      </c>
      <c r="IB6" s="112">
        <f t="shared" si="13"/>
        <v>1194452.4559184783</v>
      </c>
      <c r="IC6" s="112">
        <f t="shared" si="13"/>
        <v>1194452.4559184783</v>
      </c>
      <c r="ID6" s="112">
        <f t="shared" si="13"/>
        <v>1194452.4559184783</v>
      </c>
      <c r="IE6" s="112">
        <f t="shared" si="13"/>
        <v>1194452.4559184783</v>
      </c>
      <c r="IF6" s="112">
        <f t="shared" si="13"/>
        <v>1194452.4559184783</v>
      </c>
      <c r="IG6" s="112">
        <f t="shared" si="13"/>
        <v>1194452.4559184783</v>
      </c>
      <c r="IH6" s="112">
        <f t="shared" si="13"/>
        <v>1194452.4559184783</v>
      </c>
      <c r="II6" s="112">
        <f t="shared" si="13"/>
        <v>1194452.4559184783</v>
      </c>
      <c r="IJ6" s="112">
        <f t="shared" si="13"/>
        <v>1194452.4559184783</v>
      </c>
      <c r="IK6" s="112">
        <f t="shared" si="13"/>
        <v>1194452.4559184783</v>
      </c>
      <c r="IL6" s="112">
        <f t="shared" si="13"/>
        <v>1194452.4559184783</v>
      </c>
      <c r="IM6" s="112">
        <f t="shared" si="13"/>
        <v>1194452.4559184783</v>
      </c>
      <c r="IN6" s="112">
        <f t="shared" si="13"/>
        <v>1194452.4559184783</v>
      </c>
      <c r="IO6" s="112">
        <f t="shared" si="13"/>
        <v>1194452.4559184783</v>
      </c>
      <c r="IP6" s="112">
        <f t="shared" si="13"/>
        <v>1194452.4559184783</v>
      </c>
      <c r="IQ6" s="112">
        <f t="shared" si="13"/>
        <v>1194452.4559184783</v>
      </c>
      <c r="IR6" s="112">
        <f t="shared" si="13"/>
        <v>1194452.4559184783</v>
      </c>
      <c r="IS6" s="112">
        <f t="shared" si="13"/>
        <v>1194452.4559184783</v>
      </c>
      <c r="IT6" s="112">
        <f t="shared" si="13"/>
        <v>1194452.4559184783</v>
      </c>
      <c r="IU6" s="112">
        <f t="shared" si="13"/>
        <v>1194452.4559184783</v>
      </c>
      <c r="IV6" s="112">
        <f t="shared" si="13"/>
        <v>1194452.4559184783</v>
      </c>
      <c r="IW6" s="112">
        <f t="shared" si="13"/>
        <v>1194452.4559184783</v>
      </c>
      <c r="IX6" s="112">
        <f t="shared" si="13"/>
        <v>1194452.4559184783</v>
      </c>
      <c r="IY6" s="112">
        <f t="shared" si="13"/>
        <v>1194452.4559184783</v>
      </c>
      <c r="IZ6" s="112">
        <f t="shared" si="13"/>
        <v>1194452.4559184783</v>
      </c>
      <c r="JA6" s="112">
        <f t="shared" si="13"/>
        <v>1194452.4559184783</v>
      </c>
      <c r="JB6" s="112">
        <f t="shared" si="13"/>
        <v>1194452.4559184783</v>
      </c>
      <c r="JC6" s="112">
        <f t="shared" si="13"/>
        <v>1194452.4559184783</v>
      </c>
      <c r="JD6" s="112">
        <f t="shared" si="13"/>
        <v>1194452.4559184783</v>
      </c>
      <c r="JE6" s="112">
        <f t="shared" ref="JE6:KF6" si="14">JD6+JE5</f>
        <v>1194452.4559184783</v>
      </c>
      <c r="JF6" s="112">
        <f t="shared" si="14"/>
        <v>1194452.4559184783</v>
      </c>
      <c r="JG6" s="112">
        <f t="shared" si="14"/>
        <v>1194452.4559184783</v>
      </c>
      <c r="JH6" s="112">
        <f t="shared" si="14"/>
        <v>1194452.4559184783</v>
      </c>
      <c r="JI6" s="112">
        <f t="shared" si="14"/>
        <v>1194452.4559184783</v>
      </c>
      <c r="JJ6" s="112">
        <f t="shared" si="14"/>
        <v>1194452.4559184783</v>
      </c>
      <c r="JK6" s="112">
        <f t="shared" si="14"/>
        <v>1194452.4559184783</v>
      </c>
      <c r="JL6" s="112">
        <f t="shared" si="14"/>
        <v>1194452.4559184783</v>
      </c>
      <c r="JM6" s="112">
        <f t="shared" si="14"/>
        <v>1194452.4559184783</v>
      </c>
      <c r="JN6" s="112">
        <f t="shared" si="14"/>
        <v>1194452.4559184783</v>
      </c>
      <c r="JO6" s="112">
        <f t="shared" si="14"/>
        <v>1194452.4559184783</v>
      </c>
      <c r="JP6" s="112">
        <f t="shared" si="14"/>
        <v>1194452.4559184783</v>
      </c>
      <c r="JQ6" s="112">
        <f t="shared" si="14"/>
        <v>1194452.4559184783</v>
      </c>
      <c r="JR6" s="112">
        <f t="shared" si="14"/>
        <v>1194452.4559184783</v>
      </c>
      <c r="JS6" s="112">
        <f t="shared" si="14"/>
        <v>1194452.4559184783</v>
      </c>
      <c r="JT6" s="112">
        <f t="shared" si="14"/>
        <v>1194452.4559184783</v>
      </c>
      <c r="JU6" s="112">
        <f t="shared" si="14"/>
        <v>1194452.4559184783</v>
      </c>
      <c r="JV6" s="112">
        <f t="shared" si="14"/>
        <v>1194452.4559184783</v>
      </c>
      <c r="JW6" s="112">
        <f t="shared" si="14"/>
        <v>1194452.4559184783</v>
      </c>
      <c r="JX6" s="112">
        <f t="shared" si="14"/>
        <v>1194452.4559184783</v>
      </c>
      <c r="JY6" s="112">
        <f t="shared" si="14"/>
        <v>1194452.4559184783</v>
      </c>
      <c r="JZ6" s="112">
        <f t="shared" si="14"/>
        <v>1194452.4559184783</v>
      </c>
      <c r="KA6" s="112">
        <f t="shared" si="14"/>
        <v>1194452.4559184783</v>
      </c>
      <c r="KB6" s="112">
        <f t="shared" si="14"/>
        <v>1194452.4559184783</v>
      </c>
      <c r="KC6" s="112">
        <f t="shared" si="14"/>
        <v>1194452.4559184783</v>
      </c>
      <c r="KD6" s="112">
        <f t="shared" si="14"/>
        <v>1194452.4559184783</v>
      </c>
      <c r="KE6" s="112">
        <f t="shared" si="14"/>
        <v>1194452.4559184783</v>
      </c>
      <c r="KF6" s="112">
        <f t="shared" si="14"/>
        <v>1194452.4559184783</v>
      </c>
      <c r="KG6" s="102"/>
      <c r="KH6" s="113"/>
    </row>
    <row r="7" spans="1:770">
      <c r="A7" s="723"/>
      <c r="B7" s="115" t="s">
        <v>391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720615.23861657875</v>
      </c>
      <c r="R7" s="118">
        <f t="shared" si="16"/>
        <v>720615.23861657875</v>
      </c>
      <c r="S7" s="118">
        <f t="shared" si="16"/>
        <v>720615.23861657875</v>
      </c>
      <c r="T7" s="118">
        <f t="shared" si="16"/>
        <v>720615.23861657875</v>
      </c>
      <c r="U7" s="118">
        <f t="shared" si="16"/>
        <v>1080922.8579248681</v>
      </c>
      <c r="V7" s="118">
        <f t="shared" si="16"/>
        <v>1225045.9056481838</v>
      </c>
      <c r="W7" s="118">
        <f t="shared" si="16"/>
        <v>1001533.9256481838</v>
      </c>
      <c r="X7" s="118">
        <f t="shared" si="16"/>
        <v>867241.92564818379</v>
      </c>
      <c r="Y7" s="118">
        <f t="shared" si="16"/>
        <v>530798.43869166204</v>
      </c>
      <c r="Z7" s="118">
        <f t="shared" si="16"/>
        <v>674921.4864149777</v>
      </c>
      <c r="AA7" s="118">
        <f t="shared" si="16"/>
        <v>731164.55131467897</v>
      </c>
      <c r="AB7" s="118">
        <f t="shared" si="16"/>
        <v>731164.55131467897</v>
      </c>
      <c r="AC7" s="118">
        <f t="shared" si="16"/>
        <v>246778.02131467895</v>
      </c>
      <c r="AD7" s="118">
        <f t="shared" si="16"/>
        <v>246778.02131467895</v>
      </c>
      <c r="AE7" s="118">
        <f t="shared" si="16"/>
        <v>246778.02131467895</v>
      </c>
      <c r="AF7" s="118">
        <f t="shared" si="16"/>
        <v>246778.02131467895</v>
      </c>
      <c r="AG7" s="118">
        <f t="shared" si="16"/>
        <v>246778.02131467895</v>
      </c>
      <c r="AH7" s="118">
        <f t="shared" si="16"/>
        <v>246778.02131467895</v>
      </c>
      <c r="AI7" s="118">
        <f t="shared" si="16"/>
        <v>246778.02131467895</v>
      </c>
      <c r="AJ7" s="118">
        <f t="shared" si="16"/>
        <v>246778.02131467895</v>
      </c>
      <c r="AK7" s="118">
        <f t="shared" si="16"/>
        <v>246778.02131467895</v>
      </c>
      <c r="AL7" s="118">
        <f t="shared" si="16"/>
        <v>246778.02131467895</v>
      </c>
      <c r="AM7" s="118">
        <f t="shared" si="16"/>
        <v>246778.02131467895</v>
      </c>
      <c r="AN7" s="118">
        <f t="shared" si="16"/>
        <v>246778.02131467895</v>
      </c>
      <c r="AO7" s="118">
        <f t="shared" si="16"/>
        <v>246778.02131467895</v>
      </c>
      <c r="AP7" s="118">
        <f t="shared" si="16"/>
        <v>246778.02131467895</v>
      </c>
      <c r="AQ7" s="118">
        <f t="shared" si="16"/>
        <v>246778.02131467895</v>
      </c>
      <c r="AR7" s="118">
        <f t="shared" si="16"/>
        <v>246778.02131467895</v>
      </c>
      <c r="AS7" s="118">
        <f t="shared" si="16"/>
        <v>246778.02131467895</v>
      </c>
      <c r="AT7" s="118">
        <f t="shared" si="16"/>
        <v>246778.02131467895</v>
      </c>
      <c r="AU7" s="118">
        <f t="shared" si="16"/>
        <v>246778.02131467895</v>
      </c>
      <c r="AV7" s="118">
        <f t="shared" si="16"/>
        <v>246778.02131467895</v>
      </c>
      <c r="AW7" s="118">
        <f t="shared" si="16"/>
        <v>246778.02131467895</v>
      </c>
      <c r="AX7" s="118">
        <f t="shared" si="16"/>
        <v>246778.02131467895</v>
      </c>
      <c r="AY7" s="118">
        <f t="shared" si="16"/>
        <v>246778.02131467895</v>
      </c>
      <c r="AZ7" s="118">
        <f t="shared" si="16"/>
        <v>246778.02131467895</v>
      </c>
      <c r="BA7" s="118">
        <f t="shared" si="16"/>
        <v>246778.02131467895</v>
      </c>
      <c r="BB7" s="118">
        <f t="shared" si="16"/>
        <v>246778.02131467895</v>
      </c>
      <c r="BC7" s="118">
        <f t="shared" si="16"/>
        <v>246778.02131467895</v>
      </c>
      <c r="BD7" s="118">
        <f t="shared" si="16"/>
        <v>246778.02131467895</v>
      </c>
      <c r="BE7" s="118">
        <f t="shared" si="16"/>
        <v>246778.02131467895</v>
      </c>
      <c r="BF7" s="118">
        <f t="shared" si="16"/>
        <v>246778.02131467895</v>
      </c>
      <c r="BG7" s="118">
        <f t="shared" si="16"/>
        <v>246778.02131467895</v>
      </c>
      <c r="BH7" s="118">
        <f t="shared" si="16"/>
        <v>246778.02131467895</v>
      </c>
      <c r="BI7" s="118">
        <f t="shared" si="16"/>
        <v>246778.02131467895</v>
      </c>
      <c r="BJ7" s="118">
        <f t="shared" si="16"/>
        <v>246778.02131467895</v>
      </c>
      <c r="BK7" s="118">
        <f t="shared" si="16"/>
        <v>246778.02131467895</v>
      </c>
      <c r="BL7" s="118">
        <f t="shared" si="16"/>
        <v>246778.02131467895</v>
      </c>
      <c r="BM7" s="118">
        <f t="shared" si="16"/>
        <v>246778.02131467895</v>
      </c>
      <c r="BN7" s="118">
        <f t="shared" si="16"/>
        <v>246778.02131467895</v>
      </c>
      <c r="BO7" s="118">
        <f t="shared" si="16"/>
        <v>246778.02131467895</v>
      </c>
      <c r="BP7" s="118">
        <f t="shared" si="16"/>
        <v>246778.02131467895</v>
      </c>
      <c r="BQ7" s="118">
        <f t="shared" si="16"/>
        <v>246778.02131467895</v>
      </c>
      <c r="BR7" s="118">
        <f t="shared" si="16"/>
        <v>246778.02131467895</v>
      </c>
      <c r="BS7" s="118">
        <f t="shared" si="16"/>
        <v>246778.02131467895</v>
      </c>
      <c r="BT7" s="118">
        <f t="shared" si="16"/>
        <v>246778.02131467895</v>
      </c>
      <c r="BU7" s="118">
        <f t="shared" ref="BU7:EF7" si="17">BU4-BU6</f>
        <v>246778.02131467895</v>
      </c>
      <c r="BV7" s="118">
        <f t="shared" si="17"/>
        <v>246778.02131467895</v>
      </c>
      <c r="BW7" s="118">
        <f t="shared" si="17"/>
        <v>246778.02131467895</v>
      </c>
      <c r="BX7" s="118">
        <f t="shared" si="17"/>
        <v>246778.02131467895</v>
      </c>
      <c r="BY7" s="118">
        <f t="shared" si="17"/>
        <v>246778.02131467895</v>
      </c>
      <c r="BZ7" s="118">
        <f t="shared" si="17"/>
        <v>246778.02131467895</v>
      </c>
      <c r="CA7" s="118">
        <f t="shared" si="17"/>
        <v>246778.02131467895</v>
      </c>
      <c r="CB7" s="118">
        <f t="shared" si="17"/>
        <v>246778.02131467895</v>
      </c>
      <c r="CC7" s="118">
        <f t="shared" si="17"/>
        <v>246778.02131467895</v>
      </c>
      <c r="CD7" s="118">
        <f t="shared" si="17"/>
        <v>246778.02131467895</v>
      </c>
      <c r="CE7" s="118">
        <f t="shared" si="17"/>
        <v>246778.02131467895</v>
      </c>
      <c r="CF7" s="118">
        <f t="shared" si="17"/>
        <v>246778.02131467895</v>
      </c>
      <c r="CG7" s="118">
        <f t="shared" si="17"/>
        <v>246778.02131467895</v>
      </c>
      <c r="CH7" s="118">
        <f t="shared" si="17"/>
        <v>246778.02131467895</v>
      </c>
      <c r="CI7" s="118">
        <f t="shared" si="17"/>
        <v>246778.02131467895</v>
      </c>
      <c r="CJ7" s="118">
        <f t="shared" si="17"/>
        <v>246778.02131467895</v>
      </c>
      <c r="CK7" s="118">
        <f t="shared" si="17"/>
        <v>246778.02131467895</v>
      </c>
      <c r="CL7" s="118">
        <f t="shared" si="17"/>
        <v>246778.02131467895</v>
      </c>
      <c r="CM7" s="118">
        <f t="shared" si="17"/>
        <v>246778.02131467895</v>
      </c>
      <c r="CN7" s="118">
        <f t="shared" si="17"/>
        <v>246778.02131467895</v>
      </c>
      <c r="CO7" s="118">
        <f t="shared" si="17"/>
        <v>246778.02131467895</v>
      </c>
      <c r="CP7" s="118">
        <f t="shared" si="17"/>
        <v>246778.02131467895</v>
      </c>
      <c r="CQ7" s="118">
        <f t="shared" si="17"/>
        <v>246778.02131467895</v>
      </c>
      <c r="CR7" s="118">
        <f t="shared" si="17"/>
        <v>246778.02131467895</v>
      </c>
      <c r="CS7" s="118">
        <f t="shared" si="17"/>
        <v>246778.02131467895</v>
      </c>
      <c r="CT7" s="118">
        <f t="shared" si="17"/>
        <v>246778.02131467895</v>
      </c>
      <c r="CU7" s="118">
        <f t="shared" si="17"/>
        <v>246778.02131467895</v>
      </c>
      <c r="CV7" s="118">
        <f t="shared" si="17"/>
        <v>246778.02131467895</v>
      </c>
      <c r="CW7" s="118">
        <f t="shared" si="17"/>
        <v>246778.02131467895</v>
      </c>
      <c r="CX7" s="118">
        <f t="shared" si="17"/>
        <v>246778.02131467895</v>
      </c>
      <c r="CY7" s="118">
        <f t="shared" si="17"/>
        <v>246778.02131467895</v>
      </c>
      <c r="CZ7" s="118">
        <f t="shared" si="17"/>
        <v>246778.02131467895</v>
      </c>
      <c r="DA7" s="118">
        <f t="shared" si="17"/>
        <v>246778.02131467895</v>
      </c>
      <c r="DB7" s="118">
        <f t="shared" si="17"/>
        <v>246778.02131467895</v>
      </c>
      <c r="DC7" s="118">
        <f t="shared" si="17"/>
        <v>246778.02131467895</v>
      </c>
      <c r="DD7" s="118">
        <f t="shared" si="17"/>
        <v>246778.02131467895</v>
      </c>
      <c r="DE7" s="118">
        <f t="shared" si="17"/>
        <v>246778.02131467895</v>
      </c>
      <c r="DF7" s="118">
        <f t="shared" si="17"/>
        <v>246778.02131467895</v>
      </c>
      <c r="DG7" s="118">
        <f t="shared" si="17"/>
        <v>246778.02131467895</v>
      </c>
      <c r="DH7" s="118">
        <f t="shared" si="17"/>
        <v>246778.02131467895</v>
      </c>
      <c r="DI7" s="118">
        <f t="shared" si="17"/>
        <v>246778.02131467895</v>
      </c>
      <c r="DJ7" s="118">
        <f t="shared" si="17"/>
        <v>246778.02131467895</v>
      </c>
      <c r="DK7" s="118">
        <f t="shared" si="17"/>
        <v>246778.02131467895</v>
      </c>
      <c r="DL7" s="118">
        <f t="shared" si="17"/>
        <v>246778.02131467895</v>
      </c>
      <c r="DM7" s="118">
        <f t="shared" si="17"/>
        <v>246778.02131467895</v>
      </c>
      <c r="DN7" s="118">
        <f t="shared" si="17"/>
        <v>246778.02131467895</v>
      </c>
      <c r="DO7" s="118">
        <f t="shared" si="17"/>
        <v>246778.02131467895</v>
      </c>
      <c r="DP7" s="118">
        <f t="shared" si="17"/>
        <v>246778.02131467895</v>
      </c>
      <c r="DQ7" s="118">
        <f t="shared" si="17"/>
        <v>246778.02131467895</v>
      </c>
      <c r="DR7" s="118">
        <f t="shared" si="17"/>
        <v>246778.02131467895</v>
      </c>
      <c r="DS7" s="118">
        <f t="shared" si="17"/>
        <v>246778.02131467895</v>
      </c>
      <c r="DT7" s="118">
        <f t="shared" si="17"/>
        <v>246778.02131467895</v>
      </c>
      <c r="DU7" s="118">
        <f t="shared" si="17"/>
        <v>246778.02131467895</v>
      </c>
      <c r="DV7" s="118">
        <f t="shared" si="17"/>
        <v>246778.02131467895</v>
      </c>
      <c r="DW7" s="118">
        <f t="shared" si="17"/>
        <v>246778.02131467895</v>
      </c>
      <c r="DX7" s="118">
        <f t="shared" si="17"/>
        <v>246778.02131467895</v>
      </c>
      <c r="DY7" s="118">
        <f t="shared" si="17"/>
        <v>246778.02131467895</v>
      </c>
      <c r="DZ7" s="118">
        <f t="shared" si="17"/>
        <v>246778.02131467895</v>
      </c>
      <c r="EA7" s="118">
        <f t="shared" si="17"/>
        <v>246778.02131467895</v>
      </c>
      <c r="EB7" s="118">
        <f t="shared" si="17"/>
        <v>246778.02131467895</v>
      </c>
      <c r="EC7" s="118">
        <f t="shared" si="17"/>
        <v>246778.02131467895</v>
      </c>
      <c r="ED7" s="118">
        <f t="shared" si="17"/>
        <v>246778.02131467895</v>
      </c>
      <c r="EE7" s="118">
        <f t="shared" si="17"/>
        <v>246778.02131467895</v>
      </c>
      <c r="EF7" s="118">
        <f t="shared" si="17"/>
        <v>246778.02131467895</v>
      </c>
      <c r="EG7" s="118">
        <f t="shared" ref="EG7:GR7" si="18">EG4-EG6</f>
        <v>246778.02131467895</v>
      </c>
      <c r="EH7" s="118">
        <f t="shared" si="18"/>
        <v>246778.02131467895</v>
      </c>
      <c r="EI7" s="118">
        <f t="shared" si="18"/>
        <v>246778.02131467895</v>
      </c>
      <c r="EJ7" s="118">
        <f t="shared" si="18"/>
        <v>246778.02131467895</v>
      </c>
      <c r="EK7" s="118">
        <f t="shared" si="18"/>
        <v>246778.02131467895</v>
      </c>
      <c r="EL7" s="118">
        <f t="shared" si="18"/>
        <v>246778.02131467895</v>
      </c>
      <c r="EM7" s="118">
        <f t="shared" si="18"/>
        <v>246778.02131467895</v>
      </c>
      <c r="EN7" s="118">
        <f t="shared" si="18"/>
        <v>246778.02131467895</v>
      </c>
      <c r="EO7" s="118">
        <f t="shared" si="18"/>
        <v>246778.02131467895</v>
      </c>
      <c r="EP7" s="118">
        <f t="shared" si="18"/>
        <v>246778.02131467895</v>
      </c>
      <c r="EQ7" s="118">
        <f t="shared" si="18"/>
        <v>246778.02131467895</v>
      </c>
      <c r="ER7" s="118">
        <f t="shared" si="18"/>
        <v>246778.02131467895</v>
      </c>
      <c r="ES7" s="118">
        <f t="shared" si="18"/>
        <v>246778.02131467895</v>
      </c>
      <c r="ET7" s="118">
        <f t="shared" si="18"/>
        <v>246778.02131467895</v>
      </c>
      <c r="EU7" s="118">
        <f t="shared" si="18"/>
        <v>246778.02131467895</v>
      </c>
      <c r="EV7" s="118">
        <f t="shared" si="18"/>
        <v>246778.02131467895</v>
      </c>
      <c r="EW7" s="118">
        <f t="shared" si="18"/>
        <v>246778.02131467895</v>
      </c>
      <c r="EX7" s="118">
        <f t="shared" si="18"/>
        <v>246778.02131467895</v>
      </c>
      <c r="EY7" s="118">
        <f t="shared" si="18"/>
        <v>246778.02131467895</v>
      </c>
      <c r="EZ7" s="118">
        <f t="shared" si="18"/>
        <v>246778.02131467895</v>
      </c>
      <c r="FA7" s="118">
        <f t="shared" si="18"/>
        <v>246778.02131467895</v>
      </c>
      <c r="FB7" s="118">
        <f t="shared" si="18"/>
        <v>246778.02131467895</v>
      </c>
      <c r="FC7" s="118">
        <f t="shared" si="18"/>
        <v>246778.02131467895</v>
      </c>
      <c r="FD7" s="118">
        <f t="shared" si="18"/>
        <v>246778.02131467895</v>
      </c>
      <c r="FE7" s="118">
        <f t="shared" si="18"/>
        <v>246778.02131467895</v>
      </c>
      <c r="FF7" s="118">
        <f t="shared" si="18"/>
        <v>246778.02131467895</v>
      </c>
      <c r="FG7" s="118">
        <f t="shared" si="18"/>
        <v>246778.02131467895</v>
      </c>
      <c r="FH7" s="118">
        <f t="shared" si="18"/>
        <v>246778.02131467895</v>
      </c>
      <c r="FI7" s="118">
        <f t="shared" si="18"/>
        <v>246778.02131467895</v>
      </c>
      <c r="FJ7" s="118">
        <f t="shared" si="18"/>
        <v>246778.02131467895</v>
      </c>
      <c r="FK7" s="118">
        <f t="shared" si="18"/>
        <v>246778.02131467895</v>
      </c>
      <c r="FL7" s="118">
        <f t="shared" si="18"/>
        <v>246778.02131467895</v>
      </c>
      <c r="FM7" s="118">
        <f t="shared" si="18"/>
        <v>246778.02131467895</v>
      </c>
      <c r="FN7" s="118">
        <f t="shared" si="18"/>
        <v>246778.02131467895</v>
      </c>
      <c r="FO7" s="118">
        <f t="shared" si="18"/>
        <v>246778.02131467895</v>
      </c>
      <c r="FP7" s="118">
        <f t="shared" si="18"/>
        <v>246778.02131467895</v>
      </c>
      <c r="FQ7" s="118">
        <f t="shared" si="18"/>
        <v>246778.02131467895</v>
      </c>
      <c r="FR7" s="118">
        <f t="shared" si="18"/>
        <v>246778.02131467895</v>
      </c>
      <c r="FS7" s="118">
        <f t="shared" si="18"/>
        <v>246778.02131467895</v>
      </c>
      <c r="FT7" s="118">
        <f t="shared" si="18"/>
        <v>246778.02131467895</v>
      </c>
      <c r="FU7" s="118">
        <f t="shared" si="18"/>
        <v>246778.02131467895</v>
      </c>
      <c r="FV7" s="118">
        <f t="shared" si="18"/>
        <v>246778.02131467895</v>
      </c>
      <c r="FW7" s="118">
        <f t="shared" si="18"/>
        <v>246778.02131467895</v>
      </c>
      <c r="FX7" s="118">
        <f t="shared" si="18"/>
        <v>246778.02131467895</v>
      </c>
      <c r="FY7" s="118">
        <f t="shared" si="18"/>
        <v>246778.02131467895</v>
      </c>
      <c r="FZ7" s="118">
        <f t="shared" si="18"/>
        <v>246778.02131467895</v>
      </c>
      <c r="GA7" s="118">
        <f t="shared" si="18"/>
        <v>246778.02131467895</v>
      </c>
      <c r="GB7" s="118">
        <f t="shared" si="18"/>
        <v>246778.02131467895</v>
      </c>
      <c r="GC7" s="118">
        <f t="shared" si="18"/>
        <v>246778.02131467895</v>
      </c>
      <c r="GD7" s="118">
        <f t="shared" si="18"/>
        <v>246778.02131467895</v>
      </c>
      <c r="GE7" s="118">
        <f t="shared" si="18"/>
        <v>246778.02131467895</v>
      </c>
      <c r="GF7" s="118">
        <f t="shared" si="18"/>
        <v>246778.02131467895</v>
      </c>
      <c r="GG7" s="118">
        <f t="shared" si="18"/>
        <v>246778.02131467895</v>
      </c>
      <c r="GH7" s="118">
        <f t="shared" si="18"/>
        <v>246778.02131467895</v>
      </c>
      <c r="GI7" s="118">
        <f t="shared" si="18"/>
        <v>246778.02131467895</v>
      </c>
      <c r="GJ7" s="118">
        <f t="shared" si="18"/>
        <v>246778.02131467895</v>
      </c>
      <c r="GK7" s="118">
        <f t="shared" si="18"/>
        <v>246778.02131467895</v>
      </c>
      <c r="GL7" s="118">
        <f t="shared" si="18"/>
        <v>246778.02131467895</v>
      </c>
      <c r="GM7" s="118">
        <f t="shared" si="18"/>
        <v>246778.02131467895</v>
      </c>
      <c r="GN7" s="118">
        <f t="shared" si="18"/>
        <v>246778.02131467895</v>
      </c>
      <c r="GO7" s="118">
        <f t="shared" si="18"/>
        <v>246778.02131467895</v>
      </c>
      <c r="GP7" s="118">
        <f t="shared" si="18"/>
        <v>246778.02131467895</v>
      </c>
      <c r="GQ7" s="118">
        <f t="shared" si="18"/>
        <v>246778.02131467895</v>
      </c>
      <c r="GR7" s="118">
        <f t="shared" si="18"/>
        <v>246778.02131467895</v>
      </c>
      <c r="GS7" s="118">
        <f t="shared" ref="GS7:JD7" si="19">GS4-GS6</f>
        <v>246778.02131467895</v>
      </c>
      <c r="GT7" s="118">
        <f t="shared" si="19"/>
        <v>246778.02131467895</v>
      </c>
      <c r="GU7" s="118">
        <f t="shared" si="19"/>
        <v>246778.02131467895</v>
      </c>
      <c r="GV7" s="118">
        <f t="shared" si="19"/>
        <v>246778.02131467895</v>
      </c>
      <c r="GW7" s="118">
        <f t="shared" si="19"/>
        <v>246778.02131467895</v>
      </c>
      <c r="GX7" s="118">
        <f t="shared" si="19"/>
        <v>246778.02131467895</v>
      </c>
      <c r="GY7" s="118">
        <f t="shared" si="19"/>
        <v>246778.02131467895</v>
      </c>
      <c r="GZ7" s="118">
        <f t="shared" si="19"/>
        <v>246778.02131467895</v>
      </c>
      <c r="HA7" s="118">
        <f t="shared" si="19"/>
        <v>246778.02131467895</v>
      </c>
      <c r="HB7" s="118">
        <f t="shared" si="19"/>
        <v>246778.02131467895</v>
      </c>
      <c r="HC7" s="118">
        <f t="shared" si="19"/>
        <v>246778.02131467895</v>
      </c>
      <c r="HD7" s="118">
        <f t="shared" si="19"/>
        <v>246778.02131467895</v>
      </c>
      <c r="HE7" s="118">
        <f t="shared" si="19"/>
        <v>246778.02131467895</v>
      </c>
      <c r="HF7" s="118">
        <f t="shared" si="19"/>
        <v>246778.02131467895</v>
      </c>
      <c r="HG7" s="118">
        <f t="shared" si="19"/>
        <v>246778.02131467895</v>
      </c>
      <c r="HH7" s="118">
        <f t="shared" si="19"/>
        <v>246778.02131467895</v>
      </c>
      <c r="HI7" s="118">
        <f t="shared" si="19"/>
        <v>246778.02131467895</v>
      </c>
      <c r="HJ7" s="118">
        <f t="shared" si="19"/>
        <v>246778.02131467895</v>
      </c>
      <c r="HK7" s="118">
        <f t="shared" si="19"/>
        <v>246778.02131467895</v>
      </c>
      <c r="HL7" s="118">
        <f t="shared" si="19"/>
        <v>246778.02131467895</v>
      </c>
      <c r="HM7" s="118">
        <f t="shared" si="19"/>
        <v>246778.02131467895</v>
      </c>
      <c r="HN7" s="118">
        <f t="shared" si="19"/>
        <v>246778.02131467895</v>
      </c>
      <c r="HO7" s="118">
        <f t="shared" si="19"/>
        <v>246778.02131467895</v>
      </c>
      <c r="HP7" s="118">
        <f t="shared" si="19"/>
        <v>246778.02131467895</v>
      </c>
      <c r="HQ7" s="118">
        <f t="shared" si="19"/>
        <v>246778.02131467895</v>
      </c>
      <c r="HR7" s="118">
        <f t="shared" si="19"/>
        <v>246778.02131467895</v>
      </c>
      <c r="HS7" s="118">
        <f t="shared" si="19"/>
        <v>246778.02131467895</v>
      </c>
      <c r="HT7" s="118">
        <f t="shared" si="19"/>
        <v>246778.02131467895</v>
      </c>
      <c r="HU7" s="118">
        <f t="shared" si="19"/>
        <v>246778.02131467895</v>
      </c>
      <c r="HV7" s="118">
        <f t="shared" si="19"/>
        <v>246778.02131467895</v>
      </c>
      <c r="HW7" s="118">
        <f t="shared" si="19"/>
        <v>246778.02131467895</v>
      </c>
      <c r="HX7" s="118">
        <f t="shared" si="19"/>
        <v>246778.02131467895</v>
      </c>
      <c r="HY7" s="118">
        <f t="shared" si="19"/>
        <v>246778.02131467895</v>
      </c>
      <c r="HZ7" s="118">
        <f t="shared" si="19"/>
        <v>246778.02131467895</v>
      </c>
      <c r="IA7" s="118">
        <f t="shared" si="19"/>
        <v>246778.02131467895</v>
      </c>
      <c r="IB7" s="118">
        <f t="shared" si="19"/>
        <v>246778.02131467895</v>
      </c>
      <c r="IC7" s="118">
        <f t="shared" si="19"/>
        <v>246778.02131467895</v>
      </c>
      <c r="ID7" s="118">
        <f t="shared" si="19"/>
        <v>246778.02131467895</v>
      </c>
      <c r="IE7" s="118">
        <f t="shared" si="19"/>
        <v>246778.02131467895</v>
      </c>
      <c r="IF7" s="118">
        <f t="shared" si="19"/>
        <v>246778.02131467895</v>
      </c>
      <c r="IG7" s="118">
        <f t="shared" si="19"/>
        <v>246778.02131467895</v>
      </c>
      <c r="IH7" s="118">
        <f t="shared" si="19"/>
        <v>246778.02131467895</v>
      </c>
      <c r="II7" s="118">
        <f t="shared" si="19"/>
        <v>246778.02131467895</v>
      </c>
      <c r="IJ7" s="118">
        <f t="shared" si="19"/>
        <v>246778.02131467895</v>
      </c>
      <c r="IK7" s="118">
        <f t="shared" si="19"/>
        <v>246778.02131467895</v>
      </c>
      <c r="IL7" s="118">
        <f t="shared" si="19"/>
        <v>246778.02131467895</v>
      </c>
      <c r="IM7" s="118">
        <f t="shared" si="19"/>
        <v>246778.02131467895</v>
      </c>
      <c r="IN7" s="118">
        <f t="shared" si="19"/>
        <v>246778.02131467895</v>
      </c>
      <c r="IO7" s="118">
        <f t="shared" si="19"/>
        <v>246778.02131467895</v>
      </c>
      <c r="IP7" s="118">
        <f t="shared" si="19"/>
        <v>246778.02131467895</v>
      </c>
      <c r="IQ7" s="118">
        <f t="shared" si="19"/>
        <v>246778.02131467895</v>
      </c>
      <c r="IR7" s="118">
        <f t="shared" si="19"/>
        <v>246778.02131467895</v>
      </c>
      <c r="IS7" s="118">
        <f t="shared" si="19"/>
        <v>246778.02131467895</v>
      </c>
      <c r="IT7" s="118">
        <f t="shared" si="19"/>
        <v>246778.02131467895</v>
      </c>
      <c r="IU7" s="118">
        <f t="shared" si="19"/>
        <v>246778.02131467895</v>
      </c>
      <c r="IV7" s="118">
        <f t="shared" si="19"/>
        <v>246778.02131467895</v>
      </c>
      <c r="IW7" s="118">
        <f t="shared" si="19"/>
        <v>246778.02131467895</v>
      </c>
      <c r="IX7" s="118">
        <f t="shared" si="19"/>
        <v>246778.02131467895</v>
      </c>
      <c r="IY7" s="118">
        <f t="shared" si="19"/>
        <v>246778.02131467895</v>
      </c>
      <c r="IZ7" s="118">
        <f t="shared" si="19"/>
        <v>246778.02131467895</v>
      </c>
      <c r="JA7" s="118">
        <f t="shared" si="19"/>
        <v>246778.02131467895</v>
      </c>
      <c r="JB7" s="118">
        <f t="shared" si="19"/>
        <v>246778.02131467895</v>
      </c>
      <c r="JC7" s="118">
        <f t="shared" si="19"/>
        <v>246778.02131467895</v>
      </c>
      <c r="JD7" s="118">
        <f t="shared" si="19"/>
        <v>246778.02131467895</v>
      </c>
      <c r="JE7" s="118">
        <f t="shared" ref="JE7:KF7" si="20">JE4-JE6</f>
        <v>246778.02131467895</v>
      </c>
      <c r="JF7" s="118">
        <f t="shared" si="20"/>
        <v>246778.02131467895</v>
      </c>
      <c r="JG7" s="118">
        <f t="shared" si="20"/>
        <v>246778.02131467895</v>
      </c>
      <c r="JH7" s="118">
        <f t="shared" si="20"/>
        <v>246778.02131467895</v>
      </c>
      <c r="JI7" s="118">
        <f t="shared" si="20"/>
        <v>246778.02131467895</v>
      </c>
      <c r="JJ7" s="118">
        <f t="shared" si="20"/>
        <v>246778.02131467895</v>
      </c>
      <c r="JK7" s="118">
        <f t="shared" si="20"/>
        <v>246778.02131467895</v>
      </c>
      <c r="JL7" s="118">
        <f t="shared" si="20"/>
        <v>246778.02131467895</v>
      </c>
      <c r="JM7" s="118">
        <f t="shared" si="20"/>
        <v>246778.02131467895</v>
      </c>
      <c r="JN7" s="118">
        <f t="shared" si="20"/>
        <v>246778.02131467895</v>
      </c>
      <c r="JO7" s="118">
        <f t="shared" si="20"/>
        <v>246778.02131467895</v>
      </c>
      <c r="JP7" s="118">
        <f t="shared" si="20"/>
        <v>246778.02131467895</v>
      </c>
      <c r="JQ7" s="118">
        <f t="shared" si="20"/>
        <v>246778.02131467895</v>
      </c>
      <c r="JR7" s="118">
        <f t="shared" si="20"/>
        <v>246778.02131467895</v>
      </c>
      <c r="JS7" s="118">
        <f t="shared" si="20"/>
        <v>246778.02131467895</v>
      </c>
      <c r="JT7" s="118">
        <f t="shared" si="20"/>
        <v>246778.02131467895</v>
      </c>
      <c r="JU7" s="118">
        <f t="shared" si="20"/>
        <v>246778.02131467895</v>
      </c>
      <c r="JV7" s="118">
        <f t="shared" si="20"/>
        <v>246778.02131467895</v>
      </c>
      <c r="JW7" s="118">
        <f t="shared" si="20"/>
        <v>246778.02131467895</v>
      </c>
      <c r="JX7" s="118">
        <f t="shared" si="20"/>
        <v>246778.02131467895</v>
      </c>
      <c r="JY7" s="118">
        <f t="shared" si="20"/>
        <v>246778.02131467895</v>
      </c>
      <c r="JZ7" s="118">
        <f t="shared" si="20"/>
        <v>246778.02131467895</v>
      </c>
      <c r="KA7" s="118">
        <f t="shared" si="20"/>
        <v>246778.02131467895</v>
      </c>
      <c r="KB7" s="118">
        <f t="shared" si="20"/>
        <v>246778.02131467895</v>
      </c>
      <c r="KC7" s="118">
        <f t="shared" si="20"/>
        <v>246778.02131467895</v>
      </c>
      <c r="KD7" s="118">
        <f t="shared" si="20"/>
        <v>246778.02131467895</v>
      </c>
      <c r="KE7" s="118">
        <f t="shared" si="20"/>
        <v>246778.02131467895</v>
      </c>
      <c r="KF7" s="118">
        <f t="shared" si="20"/>
        <v>246778.02131467895</v>
      </c>
    </row>
    <row r="8" spans="1:770" s="102" customFormat="1">
      <c r="A8" s="722" t="s">
        <v>200</v>
      </c>
      <c r="B8" s="103"/>
      <c r="C8" s="104" t="s">
        <v>264</v>
      </c>
      <c r="D8" s="104" t="s">
        <v>264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3"/>
      <c r="B9" s="120" t="s">
        <v>392</v>
      </c>
      <c r="C9" s="121">
        <f>'Revenue Tracking'!F4</f>
        <v>1441230.4772331573</v>
      </c>
      <c r="D9" s="121">
        <f>SUM(F9:KF9)</f>
        <v>1441230.4772331573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720615.23861657875</v>
      </c>
      <c r="U9" s="122">
        <f>SUMIFS('Revenue Tracking'!$F$13:$F$19, 'Revenue Tracking'!$P$13:$P$19, "&gt;="&amp;U1,'Revenue Tracking'!$P$13:$P$19, "&lt;"&amp;V1)</f>
        <v>360307.61930828937</v>
      </c>
      <c r="V9" s="122">
        <f>SUMIFS('Revenue Tracking'!$F$13:$F$19, 'Revenue Tracking'!$P$13:$P$19, "&gt;="&amp;V1,'Revenue Tracking'!$P$13:$P$19, "&lt;"&amp;W1)</f>
        <v>144123.04772331574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144123.04772331574</v>
      </c>
      <c r="AA9" s="122">
        <f>SUMIFS('Revenue Tracking'!$F$13:$F$19, 'Revenue Tracking'!$P$13:$P$19, "&gt;="&amp;AA1,'Revenue Tracking'!$P$13:$P$19, "&lt;"&amp;AB1)</f>
        <v>72061.523861657872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3"/>
      <c r="B10" s="120" t="s">
        <v>393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720615.23861657875</v>
      </c>
      <c r="U10" s="122">
        <f t="shared" si="21"/>
        <v>1080922.8579248681</v>
      </c>
      <c r="V10" s="122">
        <f t="shared" si="21"/>
        <v>1225045.9056481838</v>
      </c>
      <c r="W10" s="122">
        <f t="shared" si="21"/>
        <v>1225045.9056481838</v>
      </c>
      <c r="X10" s="122">
        <f t="shared" si="21"/>
        <v>1225045.9056481838</v>
      </c>
      <c r="Y10" s="122">
        <f t="shared" si="21"/>
        <v>1225045.9056481838</v>
      </c>
      <c r="Z10" s="122">
        <f t="shared" si="21"/>
        <v>1369168.9533714994</v>
      </c>
      <c r="AA10" s="122">
        <f t="shared" si="21"/>
        <v>1441230.4772331573</v>
      </c>
      <c r="AB10" s="122">
        <f t="shared" si="21"/>
        <v>1441230.4772331573</v>
      </c>
      <c r="AC10" s="122">
        <f t="shared" si="21"/>
        <v>1441230.4772331573</v>
      </c>
      <c r="AD10" s="122">
        <f>AC10+AD9</f>
        <v>1441230.4772331573</v>
      </c>
      <c r="AE10" s="122">
        <f t="shared" si="21"/>
        <v>1441230.4772331573</v>
      </c>
      <c r="AF10" s="122">
        <f t="shared" si="21"/>
        <v>1441230.4772331573</v>
      </c>
      <c r="AG10" s="122">
        <f t="shared" si="21"/>
        <v>1441230.4772331573</v>
      </c>
      <c r="AH10" s="122">
        <f t="shared" si="21"/>
        <v>1441230.4772331573</v>
      </c>
      <c r="AI10" s="122">
        <f t="shared" si="21"/>
        <v>1441230.4772331573</v>
      </c>
      <c r="AJ10" s="122">
        <f t="shared" si="21"/>
        <v>1441230.4772331573</v>
      </c>
      <c r="AK10" s="122">
        <f t="shared" si="21"/>
        <v>1441230.4772331573</v>
      </c>
      <c r="AL10" s="122">
        <f t="shared" si="21"/>
        <v>1441230.4772331573</v>
      </c>
      <c r="AM10" s="122">
        <f t="shared" si="21"/>
        <v>1441230.4772331573</v>
      </c>
      <c r="AN10" s="122">
        <f t="shared" si="21"/>
        <v>1441230.4772331573</v>
      </c>
      <c r="AO10" s="122">
        <f t="shared" si="21"/>
        <v>1441230.4772331573</v>
      </c>
      <c r="AP10" s="122">
        <f t="shared" si="21"/>
        <v>1441230.4772331573</v>
      </c>
      <c r="AQ10" s="122">
        <f t="shared" si="21"/>
        <v>1441230.4772331573</v>
      </c>
      <c r="AR10" s="122">
        <f t="shared" si="21"/>
        <v>1441230.4772331573</v>
      </c>
      <c r="AS10" s="122">
        <f t="shared" si="21"/>
        <v>1441230.4772331573</v>
      </c>
      <c r="AT10" s="122">
        <f t="shared" si="21"/>
        <v>1441230.4772331573</v>
      </c>
      <c r="AU10" s="122">
        <f t="shared" si="21"/>
        <v>1441230.4772331573</v>
      </c>
      <c r="AV10" s="122">
        <f t="shared" si="21"/>
        <v>1441230.4772331573</v>
      </c>
      <c r="AW10" s="122">
        <f t="shared" si="21"/>
        <v>1441230.4772331573</v>
      </c>
      <c r="AX10" s="122">
        <f t="shared" si="21"/>
        <v>1441230.4772331573</v>
      </c>
      <c r="AY10" s="122">
        <f t="shared" si="21"/>
        <v>1441230.4772331573</v>
      </c>
      <c r="AZ10" s="122">
        <f t="shared" si="21"/>
        <v>1441230.4772331573</v>
      </c>
      <c r="BA10" s="122">
        <f t="shared" si="21"/>
        <v>1441230.4772331573</v>
      </c>
      <c r="BB10" s="122">
        <f t="shared" si="21"/>
        <v>1441230.4772331573</v>
      </c>
      <c r="BC10" s="122">
        <f t="shared" si="21"/>
        <v>1441230.4772331573</v>
      </c>
      <c r="BD10" s="122">
        <f t="shared" si="21"/>
        <v>1441230.4772331573</v>
      </c>
      <c r="BE10" s="122">
        <f t="shared" si="21"/>
        <v>1441230.4772331573</v>
      </c>
      <c r="BF10" s="122">
        <f t="shared" si="21"/>
        <v>1441230.4772331573</v>
      </c>
      <c r="BG10" s="122">
        <f t="shared" si="21"/>
        <v>1441230.4772331573</v>
      </c>
      <c r="BH10" s="122">
        <f t="shared" si="21"/>
        <v>1441230.4772331573</v>
      </c>
      <c r="BI10" s="122">
        <f t="shared" si="21"/>
        <v>1441230.4772331573</v>
      </c>
      <c r="BJ10" s="122">
        <f t="shared" si="21"/>
        <v>1441230.4772331573</v>
      </c>
      <c r="BK10" s="122">
        <f t="shared" si="21"/>
        <v>1441230.4772331573</v>
      </c>
      <c r="BL10" s="122">
        <f t="shared" si="21"/>
        <v>1441230.4772331573</v>
      </c>
      <c r="BM10" s="122">
        <f t="shared" si="21"/>
        <v>1441230.4772331573</v>
      </c>
      <c r="BN10" s="122">
        <f t="shared" si="21"/>
        <v>1441230.4772331573</v>
      </c>
      <c r="BO10" s="122">
        <f t="shared" si="21"/>
        <v>1441230.4772331573</v>
      </c>
      <c r="BP10" s="122">
        <f t="shared" si="21"/>
        <v>1441230.4772331573</v>
      </c>
      <c r="BQ10" s="122">
        <f t="shared" si="21"/>
        <v>1441230.4772331573</v>
      </c>
      <c r="BR10" s="122">
        <f t="shared" si="21"/>
        <v>1441230.4772331573</v>
      </c>
      <c r="BS10" s="122">
        <f t="shared" si="21"/>
        <v>1441230.4772331573</v>
      </c>
      <c r="BT10" s="122">
        <f t="shared" si="21"/>
        <v>1441230.4772331573</v>
      </c>
      <c r="BU10" s="122">
        <f t="shared" ref="BU10:EF10" si="22">BT10+BU9</f>
        <v>1441230.4772331573</v>
      </c>
      <c r="BV10" s="122">
        <f t="shared" si="22"/>
        <v>1441230.4772331573</v>
      </c>
      <c r="BW10" s="122">
        <f t="shared" si="22"/>
        <v>1441230.4772331573</v>
      </c>
      <c r="BX10" s="122">
        <f t="shared" si="22"/>
        <v>1441230.4772331573</v>
      </c>
      <c r="BY10" s="122">
        <f t="shared" si="22"/>
        <v>1441230.4772331573</v>
      </c>
      <c r="BZ10" s="122">
        <f t="shared" si="22"/>
        <v>1441230.4772331573</v>
      </c>
      <c r="CA10" s="122">
        <f t="shared" si="22"/>
        <v>1441230.4772331573</v>
      </c>
      <c r="CB10" s="122">
        <f t="shared" si="22"/>
        <v>1441230.4772331573</v>
      </c>
      <c r="CC10" s="122">
        <f t="shared" si="22"/>
        <v>1441230.4772331573</v>
      </c>
      <c r="CD10" s="122">
        <f t="shared" si="22"/>
        <v>1441230.4772331573</v>
      </c>
      <c r="CE10" s="122">
        <f t="shared" si="22"/>
        <v>1441230.4772331573</v>
      </c>
      <c r="CF10" s="122">
        <f t="shared" si="22"/>
        <v>1441230.4772331573</v>
      </c>
      <c r="CG10" s="122">
        <f t="shared" si="22"/>
        <v>1441230.4772331573</v>
      </c>
      <c r="CH10" s="122">
        <f t="shared" si="22"/>
        <v>1441230.4772331573</v>
      </c>
      <c r="CI10" s="122">
        <f t="shared" si="22"/>
        <v>1441230.4772331573</v>
      </c>
      <c r="CJ10" s="122">
        <f t="shared" si="22"/>
        <v>1441230.4772331573</v>
      </c>
      <c r="CK10" s="122">
        <f t="shared" si="22"/>
        <v>1441230.4772331573</v>
      </c>
      <c r="CL10" s="122">
        <f t="shared" si="22"/>
        <v>1441230.4772331573</v>
      </c>
      <c r="CM10" s="122">
        <f t="shared" si="22"/>
        <v>1441230.4772331573</v>
      </c>
      <c r="CN10" s="122">
        <f t="shared" si="22"/>
        <v>1441230.4772331573</v>
      </c>
      <c r="CO10" s="122">
        <f t="shared" si="22"/>
        <v>1441230.4772331573</v>
      </c>
      <c r="CP10" s="122">
        <f t="shared" si="22"/>
        <v>1441230.4772331573</v>
      </c>
      <c r="CQ10" s="122">
        <f t="shared" si="22"/>
        <v>1441230.4772331573</v>
      </c>
      <c r="CR10" s="122">
        <f t="shared" si="22"/>
        <v>1441230.4772331573</v>
      </c>
      <c r="CS10" s="122">
        <f t="shared" si="22"/>
        <v>1441230.4772331573</v>
      </c>
      <c r="CT10" s="122">
        <f t="shared" si="22"/>
        <v>1441230.4772331573</v>
      </c>
      <c r="CU10" s="122">
        <f t="shared" si="22"/>
        <v>1441230.4772331573</v>
      </c>
      <c r="CV10" s="122">
        <f t="shared" si="22"/>
        <v>1441230.4772331573</v>
      </c>
      <c r="CW10" s="122">
        <f t="shared" si="22"/>
        <v>1441230.4772331573</v>
      </c>
      <c r="CX10" s="122">
        <f t="shared" si="22"/>
        <v>1441230.4772331573</v>
      </c>
      <c r="CY10" s="122">
        <f t="shared" si="22"/>
        <v>1441230.4772331573</v>
      </c>
      <c r="CZ10" s="122">
        <f t="shared" si="22"/>
        <v>1441230.4772331573</v>
      </c>
      <c r="DA10" s="122">
        <f t="shared" si="22"/>
        <v>1441230.4772331573</v>
      </c>
      <c r="DB10" s="122">
        <f t="shared" si="22"/>
        <v>1441230.4772331573</v>
      </c>
      <c r="DC10" s="122">
        <f t="shared" si="22"/>
        <v>1441230.4772331573</v>
      </c>
      <c r="DD10" s="122">
        <f t="shared" si="22"/>
        <v>1441230.4772331573</v>
      </c>
      <c r="DE10" s="122">
        <f t="shared" si="22"/>
        <v>1441230.4772331573</v>
      </c>
      <c r="DF10" s="122">
        <f t="shared" si="22"/>
        <v>1441230.4772331573</v>
      </c>
      <c r="DG10" s="122">
        <f t="shared" si="22"/>
        <v>1441230.4772331573</v>
      </c>
      <c r="DH10" s="122">
        <f t="shared" si="22"/>
        <v>1441230.4772331573</v>
      </c>
      <c r="DI10" s="122">
        <f t="shared" si="22"/>
        <v>1441230.4772331573</v>
      </c>
      <c r="DJ10" s="122">
        <f t="shared" si="22"/>
        <v>1441230.4772331573</v>
      </c>
      <c r="DK10" s="122">
        <f t="shared" si="22"/>
        <v>1441230.4772331573</v>
      </c>
      <c r="DL10" s="122">
        <f t="shared" si="22"/>
        <v>1441230.4772331573</v>
      </c>
      <c r="DM10" s="122">
        <f t="shared" si="22"/>
        <v>1441230.4772331573</v>
      </c>
      <c r="DN10" s="122">
        <f t="shared" si="22"/>
        <v>1441230.4772331573</v>
      </c>
      <c r="DO10" s="122">
        <f t="shared" si="22"/>
        <v>1441230.4772331573</v>
      </c>
      <c r="DP10" s="122">
        <f t="shared" si="22"/>
        <v>1441230.4772331573</v>
      </c>
      <c r="DQ10" s="122">
        <f t="shared" si="22"/>
        <v>1441230.4772331573</v>
      </c>
      <c r="DR10" s="122">
        <f t="shared" si="22"/>
        <v>1441230.4772331573</v>
      </c>
      <c r="DS10" s="122">
        <f t="shared" si="22"/>
        <v>1441230.4772331573</v>
      </c>
      <c r="DT10" s="122">
        <f t="shared" si="22"/>
        <v>1441230.4772331573</v>
      </c>
      <c r="DU10" s="122">
        <f t="shared" si="22"/>
        <v>1441230.4772331573</v>
      </c>
      <c r="DV10" s="122">
        <f t="shared" si="22"/>
        <v>1441230.4772331573</v>
      </c>
      <c r="DW10" s="122">
        <f t="shared" si="22"/>
        <v>1441230.4772331573</v>
      </c>
      <c r="DX10" s="122">
        <f t="shared" si="22"/>
        <v>1441230.4772331573</v>
      </c>
      <c r="DY10" s="122">
        <f t="shared" si="22"/>
        <v>1441230.4772331573</v>
      </c>
      <c r="DZ10" s="122">
        <f t="shared" si="22"/>
        <v>1441230.4772331573</v>
      </c>
      <c r="EA10" s="122">
        <f t="shared" si="22"/>
        <v>1441230.4772331573</v>
      </c>
      <c r="EB10" s="122">
        <f t="shared" si="22"/>
        <v>1441230.4772331573</v>
      </c>
      <c r="EC10" s="122">
        <f t="shared" si="22"/>
        <v>1441230.4772331573</v>
      </c>
      <c r="ED10" s="122">
        <f t="shared" si="22"/>
        <v>1441230.4772331573</v>
      </c>
      <c r="EE10" s="122">
        <f t="shared" si="22"/>
        <v>1441230.4772331573</v>
      </c>
      <c r="EF10" s="122">
        <f t="shared" si="22"/>
        <v>1441230.4772331573</v>
      </c>
      <c r="EG10" s="122">
        <f t="shared" ref="EG10:GR10" si="23">EF10+EG9</f>
        <v>1441230.4772331573</v>
      </c>
      <c r="EH10" s="122">
        <f t="shared" si="23"/>
        <v>1441230.4772331573</v>
      </c>
      <c r="EI10" s="122">
        <f t="shared" si="23"/>
        <v>1441230.4772331573</v>
      </c>
      <c r="EJ10" s="122">
        <f t="shared" si="23"/>
        <v>1441230.4772331573</v>
      </c>
      <c r="EK10" s="122">
        <f t="shared" si="23"/>
        <v>1441230.4772331573</v>
      </c>
      <c r="EL10" s="122">
        <f t="shared" si="23"/>
        <v>1441230.4772331573</v>
      </c>
      <c r="EM10" s="122">
        <f t="shared" si="23"/>
        <v>1441230.4772331573</v>
      </c>
      <c r="EN10" s="122">
        <f t="shared" si="23"/>
        <v>1441230.4772331573</v>
      </c>
      <c r="EO10" s="122">
        <f t="shared" si="23"/>
        <v>1441230.4772331573</v>
      </c>
      <c r="EP10" s="122">
        <f t="shared" si="23"/>
        <v>1441230.4772331573</v>
      </c>
      <c r="EQ10" s="122">
        <f t="shared" si="23"/>
        <v>1441230.4772331573</v>
      </c>
      <c r="ER10" s="122">
        <f t="shared" si="23"/>
        <v>1441230.4772331573</v>
      </c>
      <c r="ES10" s="122">
        <f t="shared" si="23"/>
        <v>1441230.4772331573</v>
      </c>
      <c r="ET10" s="122">
        <f t="shared" si="23"/>
        <v>1441230.4772331573</v>
      </c>
      <c r="EU10" s="122">
        <f t="shared" si="23"/>
        <v>1441230.4772331573</v>
      </c>
      <c r="EV10" s="122">
        <f t="shared" si="23"/>
        <v>1441230.4772331573</v>
      </c>
      <c r="EW10" s="122">
        <f t="shared" si="23"/>
        <v>1441230.4772331573</v>
      </c>
      <c r="EX10" s="122">
        <f t="shared" si="23"/>
        <v>1441230.4772331573</v>
      </c>
      <c r="EY10" s="122">
        <f t="shared" si="23"/>
        <v>1441230.4772331573</v>
      </c>
      <c r="EZ10" s="122">
        <f t="shared" si="23"/>
        <v>1441230.4772331573</v>
      </c>
      <c r="FA10" s="122">
        <f t="shared" si="23"/>
        <v>1441230.4772331573</v>
      </c>
      <c r="FB10" s="122">
        <f t="shared" si="23"/>
        <v>1441230.4772331573</v>
      </c>
      <c r="FC10" s="122">
        <f t="shared" si="23"/>
        <v>1441230.4772331573</v>
      </c>
      <c r="FD10" s="122">
        <f t="shared" si="23"/>
        <v>1441230.4772331573</v>
      </c>
      <c r="FE10" s="122">
        <f t="shared" si="23"/>
        <v>1441230.4772331573</v>
      </c>
      <c r="FF10" s="122">
        <f t="shared" si="23"/>
        <v>1441230.4772331573</v>
      </c>
      <c r="FG10" s="122">
        <f t="shared" si="23"/>
        <v>1441230.4772331573</v>
      </c>
      <c r="FH10" s="122">
        <f t="shared" si="23"/>
        <v>1441230.4772331573</v>
      </c>
      <c r="FI10" s="122">
        <f t="shared" si="23"/>
        <v>1441230.4772331573</v>
      </c>
      <c r="FJ10" s="122">
        <f t="shared" si="23"/>
        <v>1441230.4772331573</v>
      </c>
      <c r="FK10" s="122">
        <f t="shared" si="23"/>
        <v>1441230.4772331573</v>
      </c>
      <c r="FL10" s="122">
        <f t="shared" si="23"/>
        <v>1441230.4772331573</v>
      </c>
      <c r="FM10" s="122">
        <f t="shared" si="23"/>
        <v>1441230.4772331573</v>
      </c>
      <c r="FN10" s="122">
        <f t="shared" si="23"/>
        <v>1441230.4772331573</v>
      </c>
      <c r="FO10" s="122">
        <f t="shared" si="23"/>
        <v>1441230.4772331573</v>
      </c>
      <c r="FP10" s="122">
        <f t="shared" si="23"/>
        <v>1441230.4772331573</v>
      </c>
      <c r="FQ10" s="122">
        <f t="shared" si="23"/>
        <v>1441230.4772331573</v>
      </c>
      <c r="FR10" s="122">
        <f t="shared" si="23"/>
        <v>1441230.4772331573</v>
      </c>
      <c r="FS10" s="122">
        <f t="shared" si="23"/>
        <v>1441230.4772331573</v>
      </c>
      <c r="FT10" s="122">
        <f t="shared" si="23"/>
        <v>1441230.4772331573</v>
      </c>
      <c r="FU10" s="122">
        <f t="shared" si="23"/>
        <v>1441230.4772331573</v>
      </c>
      <c r="FV10" s="122">
        <f t="shared" si="23"/>
        <v>1441230.4772331573</v>
      </c>
      <c r="FW10" s="122">
        <f t="shared" si="23"/>
        <v>1441230.4772331573</v>
      </c>
      <c r="FX10" s="122">
        <f t="shared" si="23"/>
        <v>1441230.4772331573</v>
      </c>
      <c r="FY10" s="122">
        <f t="shared" si="23"/>
        <v>1441230.4772331573</v>
      </c>
      <c r="FZ10" s="122">
        <f t="shared" si="23"/>
        <v>1441230.4772331573</v>
      </c>
      <c r="GA10" s="122">
        <f t="shared" si="23"/>
        <v>1441230.4772331573</v>
      </c>
      <c r="GB10" s="122">
        <f t="shared" si="23"/>
        <v>1441230.4772331573</v>
      </c>
      <c r="GC10" s="122">
        <f t="shared" si="23"/>
        <v>1441230.4772331573</v>
      </c>
      <c r="GD10" s="122">
        <f t="shared" si="23"/>
        <v>1441230.4772331573</v>
      </c>
      <c r="GE10" s="122">
        <f t="shared" si="23"/>
        <v>1441230.4772331573</v>
      </c>
      <c r="GF10" s="122">
        <f t="shared" si="23"/>
        <v>1441230.4772331573</v>
      </c>
      <c r="GG10" s="122">
        <f t="shared" si="23"/>
        <v>1441230.4772331573</v>
      </c>
      <c r="GH10" s="122">
        <f t="shared" si="23"/>
        <v>1441230.4772331573</v>
      </c>
      <c r="GI10" s="122">
        <f t="shared" si="23"/>
        <v>1441230.4772331573</v>
      </c>
      <c r="GJ10" s="122">
        <f t="shared" si="23"/>
        <v>1441230.4772331573</v>
      </c>
      <c r="GK10" s="122">
        <f t="shared" si="23"/>
        <v>1441230.4772331573</v>
      </c>
      <c r="GL10" s="122">
        <f t="shared" si="23"/>
        <v>1441230.4772331573</v>
      </c>
      <c r="GM10" s="122">
        <f t="shared" si="23"/>
        <v>1441230.4772331573</v>
      </c>
      <c r="GN10" s="122">
        <f t="shared" si="23"/>
        <v>1441230.4772331573</v>
      </c>
      <c r="GO10" s="122">
        <f t="shared" si="23"/>
        <v>1441230.4772331573</v>
      </c>
      <c r="GP10" s="122">
        <f t="shared" si="23"/>
        <v>1441230.4772331573</v>
      </c>
      <c r="GQ10" s="122">
        <f t="shared" si="23"/>
        <v>1441230.4772331573</v>
      </c>
      <c r="GR10" s="122">
        <f t="shared" si="23"/>
        <v>1441230.4772331573</v>
      </c>
      <c r="GS10" s="122">
        <f t="shared" ref="GS10:JD10" si="24">GR10+GS9</f>
        <v>1441230.4772331573</v>
      </c>
      <c r="GT10" s="122">
        <f t="shared" si="24"/>
        <v>1441230.4772331573</v>
      </c>
      <c r="GU10" s="122">
        <f t="shared" si="24"/>
        <v>1441230.4772331573</v>
      </c>
      <c r="GV10" s="122">
        <f t="shared" si="24"/>
        <v>1441230.4772331573</v>
      </c>
      <c r="GW10" s="122">
        <f t="shared" si="24"/>
        <v>1441230.4772331573</v>
      </c>
      <c r="GX10" s="122">
        <f t="shared" si="24"/>
        <v>1441230.4772331573</v>
      </c>
      <c r="GY10" s="122">
        <f t="shared" si="24"/>
        <v>1441230.4772331573</v>
      </c>
      <c r="GZ10" s="122">
        <f t="shared" si="24"/>
        <v>1441230.4772331573</v>
      </c>
      <c r="HA10" s="122">
        <f t="shared" si="24"/>
        <v>1441230.4772331573</v>
      </c>
      <c r="HB10" s="122">
        <f t="shared" si="24"/>
        <v>1441230.4772331573</v>
      </c>
      <c r="HC10" s="122">
        <f t="shared" si="24"/>
        <v>1441230.4772331573</v>
      </c>
      <c r="HD10" s="122">
        <f t="shared" si="24"/>
        <v>1441230.4772331573</v>
      </c>
      <c r="HE10" s="122">
        <f t="shared" si="24"/>
        <v>1441230.4772331573</v>
      </c>
      <c r="HF10" s="122">
        <f t="shared" si="24"/>
        <v>1441230.4772331573</v>
      </c>
      <c r="HG10" s="122">
        <f t="shared" si="24"/>
        <v>1441230.4772331573</v>
      </c>
      <c r="HH10" s="122">
        <f t="shared" si="24"/>
        <v>1441230.4772331573</v>
      </c>
      <c r="HI10" s="122">
        <f t="shared" si="24"/>
        <v>1441230.4772331573</v>
      </c>
      <c r="HJ10" s="122">
        <f t="shared" si="24"/>
        <v>1441230.4772331573</v>
      </c>
      <c r="HK10" s="122">
        <f t="shared" si="24"/>
        <v>1441230.4772331573</v>
      </c>
      <c r="HL10" s="122">
        <f t="shared" si="24"/>
        <v>1441230.4772331573</v>
      </c>
      <c r="HM10" s="122">
        <f t="shared" si="24"/>
        <v>1441230.4772331573</v>
      </c>
      <c r="HN10" s="122">
        <f t="shared" si="24"/>
        <v>1441230.4772331573</v>
      </c>
      <c r="HO10" s="122">
        <f t="shared" si="24"/>
        <v>1441230.4772331573</v>
      </c>
      <c r="HP10" s="122">
        <f t="shared" si="24"/>
        <v>1441230.4772331573</v>
      </c>
      <c r="HQ10" s="122">
        <f t="shared" si="24"/>
        <v>1441230.4772331573</v>
      </c>
      <c r="HR10" s="122">
        <f t="shared" si="24"/>
        <v>1441230.4772331573</v>
      </c>
      <c r="HS10" s="122">
        <f t="shared" si="24"/>
        <v>1441230.4772331573</v>
      </c>
      <c r="HT10" s="122">
        <f t="shared" si="24"/>
        <v>1441230.4772331573</v>
      </c>
      <c r="HU10" s="122">
        <f t="shared" si="24"/>
        <v>1441230.4772331573</v>
      </c>
      <c r="HV10" s="122">
        <f t="shared" si="24"/>
        <v>1441230.4772331573</v>
      </c>
      <c r="HW10" s="122">
        <f t="shared" si="24"/>
        <v>1441230.4772331573</v>
      </c>
      <c r="HX10" s="122">
        <f t="shared" si="24"/>
        <v>1441230.4772331573</v>
      </c>
      <c r="HY10" s="122">
        <f t="shared" si="24"/>
        <v>1441230.4772331573</v>
      </c>
      <c r="HZ10" s="122">
        <f t="shared" si="24"/>
        <v>1441230.4772331573</v>
      </c>
      <c r="IA10" s="122">
        <f t="shared" si="24"/>
        <v>1441230.4772331573</v>
      </c>
      <c r="IB10" s="122">
        <f t="shared" si="24"/>
        <v>1441230.4772331573</v>
      </c>
      <c r="IC10" s="122">
        <f t="shared" si="24"/>
        <v>1441230.4772331573</v>
      </c>
      <c r="ID10" s="122">
        <f t="shared" si="24"/>
        <v>1441230.4772331573</v>
      </c>
      <c r="IE10" s="122">
        <f t="shared" si="24"/>
        <v>1441230.4772331573</v>
      </c>
      <c r="IF10" s="122">
        <f t="shared" si="24"/>
        <v>1441230.4772331573</v>
      </c>
      <c r="IG10" s="122">
        <f t="shared" si="24"/>
        <v>1441230.4772331573</v>
      </c>
      <c r="IH10" s="122">
        <f t="shared" si="24"/>
        <v>1441230.4772331573</v>
      </c>
      <c r="II10" s="122">
        <f t="shared" si="24"/>
        <v>1441230.4772331573</v>
      </c>
      <c r="IJ10" s="122">
        <f t="shared" si="24"/>
        <v>1441230.4772331573</v>
      </c>
      <c r="IK10" s="122">
        <f t="shared" si="24"/>
        <v>1441230.4772331573</v>
      </c>
      <c r="IL10" s="122">
        <f t="shared" si="24"/>
        <v>1441230.4772331573</v>
      </c>
      <c r="IM10" s="122">
        <f t="shared" si="24"/>
        <v>1441230.4772331573</v>
      </c>
      <c r="IN10" s="122">
        <f t="shared" si="24"/>
        <v>1441230.4772331573</v>
      </c>
      <c r="IO10" s="122">
        <f t="shared" si="24"/>
        <v>1441230.4772331573</v>
      </c>
      <c r="IP10" s="122">
        <f t="shared" si="24"/>
        <v>1441230.4772331573</v>
      </c>
      <c r="IQ10" s="122">
        <f t="shared" si="24"/>
        <v>1441230.4772331573</v>
      </c>
      <c r="IR10" s="122">
        <f t="shared" si="24"/>
        <v>1441230.4772331573</v>
      </c>
      <c r="IS10" s="122">
        <f t="shared" si="24"/>
        <v>1441230.4772331573</v>
      </c>
      <c r="IT10" s="122">
        <f t="shared" si="24"/>
        <v>1441230.4772331573</v>
      </c>
      <c r="IU10" s="122">
        <f t="shared" si="24"/>
        <v>1441230.4772331573</v>
      </c>
      <c r="IV10" s="122">
        <f t="shared" si="24"/>
        <v>1441230.4772331573</v>
      </c>
      <c r="IW10" s="122">
        <f t="shared" si="24"/>
        <v>1441230.4772331573</v>
      </c>
      <c r="IX10" s="122">
        <f t="shared" si="24"/>
        <v>1441230.4772331573</v>
      </c>
      <c r="IY10" s="122">
        <f t="shared" si="24"/>
        <v>1441230.4772331573</v>
      </c>
      <c r="IZ10" s="122">
        <f t="shared" si="24"/>
        <v>1441230.4772331573</v>
      </c>
      <c r="JA10" s="122">
        <f t="shared" si="24"/>
        <v>1441230.4772331573</v>
      </c>
      <c r="JB10" s="122">
        <f t="shared" si="24"/>
        <v>1441230.4772331573</v>
      </c>
      <c r="JC10" s="122">
        <f t="shared" si="24"/>
        <v>1441230.4772331573</v>
      </c>
      <c r="JD10" s="122">
        <f t="shared" si="24"/>
        <v>1441230.4772331573</v>
      </c>
      <c r="JE10" s="122">
        <f t="shared" ref="JE10:KF10" si="25">JD10+JE9</f>
        <v>1441230.4772331573</v>
      </c>
      <c r="JF10" s="122">
        <f t="shared" si="25"/>
        <v>1441230.4772331573</v>
      </c>
      <c r="JG10" s="122">
        <f t="shared" si="25"/>
        <v>1441230.4772331573</v>
      </c>
      <c r="JH10" s="122">
        <f t="shared" si="25"/>
        <v>1441230.4772331573</v>
      </c>
      <c r="JI10" s="122">
        <f t="shared" si="25"/>
        <v>1441230.4772331573</v>
      </c>
      <c r="JJ10" s="122">
        <f t="shared" si="25"/>
        <v>1441230.4772331573</v>
      </c>
      <c r="JK10" s="122">
        <f t="shared" si="25"/>
        <v>1441230.4772331573</v>
      </c>
      <c r="JL10" s="122">
        <f t="shared" si="25"/>
        <v>1441230.4772331573</v>
      </c>
      <c r="JM10" s="122">
        <f t="shared" si="25"/>
        <v>1441230.4772331573</v>
      </c>
      <c r="JN10" s="122">
        <f t="shared" si="25"/>
        <v>1441230.4772331573</v>
      </c>
      <c r="JO10" s="122">
        <f t="shared" si="25"/>
        <v>1441230.4772331573</v>
      </c>
      <c r="JP10" s="122">
        <f t="shared" si="25"/>
        <v>1441230.4772331573</v>
      </c>
      <c r="JQ10" s="122">
        <f t="shared" si="25"/>
        <v>1441230.4772331573</v>
      </c>
      <c r="JR10" s="122">
        <f t="shared" si="25"/>
        <v>1441230.4772331573</v>
      </c>
      <c r="JS10" s="122">
        <f t="shared" si="25"/>
        <v>1441230.4772331573</v>
      </c>
      <c r="JT10" s="122">
        <f t="shared" si="25"/>
        <v>1441230.4772331573</v>
      </c>
      <c r="JU10" s="122">
        <f t="shared" si="25"/>
        <v>1441230.4772331573</v>
      </c>
      <c r="JV10" s="122">
        <f t="shared" si="25"/>
        <v>1441230.4772331573</v>
      </c>
      <c r="JW10" s="122">
        <f t="shared" si="25"/>
        <v>1441230.4772331573</v>
      </c>
      <c r="JX10" s="122">
        <f t="shared" si="25"/>
        <v>1441230.4772331573</v>
      </c>
      <c r="JY10" s="122">
        <f t="shared" si="25"/>
        <v>1441230.4772331573</v>
      </c>
      <c r="JZ10" s="122">
        <f t="shared" si="25"/>
        <v>1441230.4772331573</v>
      </c>
      <c r="KA10" s="122">
        <f t="shared" si="25"/>
        <v>1441230.4772331573</v>
      </c>
      <c r="KB10" s="122">
        <f t="shared" si="25"/>
        <v>1441230.4772331573</v>
      </c>
      <c r="KC10" s="122">
        <f t="shared" si="25"/>
        <v>1441230.4772331573</v>
      </c>
      <c r="KD10" s="122">
        <f t="shared" si="25"/>
        <v>1441230.4772331573</v>
      </c>
      <c r="KE10" s="122">
        <f t="shared" si="25"/>
        <v>1441230.4772331573</v>
      </c>
      <c r="KF10" s="122">
        <f t="shared" si="25"/>
        <v>1441230.4772331573</v>
      </c>
    </row>
    <row r="11" spans="1:770" s="114" customFormat="1">
      <c r="A11" s="723"/>
      <c r="B11" s="123" t="s">
        <v>394</v>
      </c>
      <c r="C11" s="124">
        <f>'Revenue Tracking'!F5</f>
        <v>1109238.9279219361</v>
      </c>
      <c r="D11" s="124">
        <f>SUM(F11:KF11)</f>
        <v>1095758.9279219364</v>
      </c>
      <c r="E11" s="108"/>
      <c r="F11" s="125">
        <f>SUMIFS('Expenditure Breakdown'!$Q$6:$Q$168, 'Expenditure Breakdown'!$W$6:$W$168, "&gt;="&amp;F1,'Expenditure Breakdown'!$W$6:$W$168, "&lt;"&amp;G1)</f>
        <v>0</v>
      </c>
      <c r="G11" s="125">
        <f>SUMIFS('Expenditure Breakdown'!$Q$6:$Q$168, 'Expenditure Breakdown'!$W$6:$W$168, "&gt;="&amp;G1,'Expenditure Breakdown'!$W$6:$W$168, "&lt;"&amp;H1)</f>
        <v>0</v>
      </c>
      <c r="H11" s="125">
        <f>SUMIFS('Expenditure Breakdown'!$Q$6:$Q$168, 'Expenditure Breakdown'!$W$6:$W$168, "&gt;="&amp;H1,'Expenditure Breakdown'!$W$6:$W$168, "&lt;"&amp;I1)</f>
        <v>1742.08</v>
      </c>
      <c r="I11" s="125">
        <f>SUMIFS('Expenditure Breakdown'!$Q$6:$Q$168, 'Expenditure Breakdown'!$W$6:$W$168, "&gt;="&amp;I1,'Expenditure Breakdown'!$W$6:$W$168, "&lt;"&amp;J1)</f>
        <v>0</v>
      </c>
      <c r="J11" s="125">
        <f>SUMIFS('Expenditure Breakdown'!$Q$6:$Q$168, 'Expenditure Breakdown'!$W$6:$W$168, "&gt;="&amp;J1,'Expenditure Breakdown'!$W$6:$W$168, "&lt;"&amp;K1)</f>
        <v>0</v>
      </c>
      <c r="K11" s="125">
        <f>SUMIFS('Expenditure Breakdown'!$Q$6:$Q$168, 'Expenditure Breakdown'!$W$6:$W$168, "&gt;="&amp;K1,'Expenditure Breakdown'!$W$6:$W$168, "&lt;"&amp;L1)</f>
        <v>0</v>
      </c>
      <c r="L11" s="125">
        <f>SUMIFS('Expenditure Breakdown'!$Q$6:$Q$168, 'Expenditure Breakdown'!$W$6:$W$168, "&gt;="&amp;L1,'Expenditure Breakdown'!$W$6:$W$168, "&lt;"&amp;M1)</f>
        <v>9900</v>
      </c>
      <c r="M11" s="125">
        <f>SUMIFS('Expenditure Breakdown'!$Q$6:$Q$168, 'Expenditure Breakdown'!$W$6:$W$168, "&gt;="&amp;M1,'Expenditure Breakdown'!$W$6:$W$168, "&lt;"&amp;N1)</f>
        <v>0</v>
      </c>
      <c r="N11" s="125">
        <f>SUMIFS('Expenditure Breakdown'!$Q$6:$Q$168, 'Expenditure Breakdown'!$W$6:$W$168, "&gt;="&amp;N1,'Expenditure Breakdown'!$W$6:$W$168, "&lt;"&amp;O1)</f>
        <v>2870</v>
      </c>
      <c r="O11" s="125">
        <f>SUMIFS('Expenditure Breakdown'!$Q$6:$Q$168, 'Expenditure Breakdown'!$W$6:$W$168, "&gt;="&amp;O1,'Expenditure Breakdown'!$W$6:$W$168, "&lt;"&amp;P1)</f>
        <v>0</v>
      </c>
      <c r="P11" s="125">
        <f>SUMIFS('Expenditure Breakdown'!$Q$6:$Q$168, 'Expenditure Breakdown'!$W$6:$W$168, "&gt;="&amp;P1,'Expenditure Breakdown'!$W$6:$W$168, "&lt;"&amp;Q1)</f>
        <v>0</v>
      </c>
      <c r="Q11" s="125">
        <f>SUMIFS('Expenditure Breakdown'!$Q$6:$Q$168, 'Expenditure Breakdown'!$W$6:$W$168, "&gt;="&amp;Q1,'Expenditure Breakdown'!$W$6:$W$168, "&lt;"&amp;R1)</f>
        <v>0</v>
      </c>
      <c r="R11" s="125">
        <f>SUMIFS('Expenditure Breakdown'!$Q$6:$Q$168, 'Expenditure Breakdown'!$W$6:$W$168, "&gt;="&amp;R1,'Expenditure Breakdown'!$W$6:$W$168, "&lt;"&amp;S1)</f>
        <v>525</v>
      </c>
      <c r="S11" s="125">
        <f>SUMIFS('Expenditure Breakdown'!$Q$6:$Q$168, 'Expenditure Breakdown'!$W$6:$W$168, "&gt;="&amp;S1,'Expenditure Breakdown'!$W$6:$W$168, "&lt;"&amp;T1)</f>
        <v>0</v>
      </c>
      <c r="T11" s="125">
        <f>SUMIFS('Expenditure Breakdown'!$Q$6:$Q$168, 'Expenditure Breakdown'!$W$6:$W$168, "&gt;="&amp;T1,'Expenditure Breakdown'!$W$6:$W$168, "&lt;"&amp;U1)</f>
        <v>77373.059239130424</v>
      </c>
      <c r="U11" s="125">
        <f>SUMIFS('Expenditure Breakdown'!$Q$6:$Q$168, 'Expenditure Breakdown'!$W$6:$W$168, "&gt;="&amp;U1,'Expenditure Breakdown'!$W$6:$W$168, "&lt;"&amp;V1)</f>
        <v>111000</v>
      </c>
      <c r="V11" s="125">
        <f>SUMIFS('Expenditure Breakdown'!$Q$6:$Q$168, 'Expenditure Breakdown'!$W$6:$W$168, "&gt;="&amp;V1,'Expenditure Breakdown'!$W$6:$W$168, "&lt;"&amp;W1)</f>
        <v>525</v>
      </c>
      <c r="W11" s="125">
        <f>SUMIFS('Expenditure Breakdown'!$Q$6:$Q$168, 'Expenditure Breakdown'!$W$6:$W$168, "&gt;="&amp;W1,'Expenditure Breakdown'!$W$6:$W$168, "&lt;"&amp;X1)</f>
        <v>61898.447391304355</v>
      </c>
      <c r="X11" s="125">
        <f>SUMIFS('Expenditure Breakdown'!$Q$6:$Q$168, 'Expenditure Breakdown'!$W$6:$W$168, "&gt;="&amp;X1,'Expenditure Breakdown'!$W$6:$W$168, "&lt;"&amp;Y1)</f>
        <v>77373.059239130438</v>
      </c>
      <c r="Y11" s="125">
        <f>SUMIFS('Expenditure Breakdown'!$Q$6:$Q$168, 'Expenditure Breakdown'!$W$6:$W$168, "&gt;="&amp;Y1,'Expenditure Breakdown'!$W$6:$W$168, "&lt;"&amp;Z1)</f>
        <v>95172.66096541447</v>
      </c>
      <c r="Z11" s="125">
        <f>SUMIFS('Expenditure Breakdown'!$Q$6:$Q$168, 'Expenditure Breakdown'!$W$6:$W$168, "&gt;="&amp;Z1,'Expenditure Breakdown'!$W$6:$W$168, "&lt;"&amp;AA1)</f>
        <v>135855.05923913044</v>
      </c>
      <c r="AA11" s="125">
        <f>SUMIFS('Expenditure Breakdown'!$Q$6:$Q$168, 'Expenditure Breakdown'!$W$6:$W$168, "&gt;="&amp;AA1,'Expenditure Breakdown'!$W$6:$W$168, "&lt;"&amp;AB1)</f>
        <v>13102.5</v>
      </c>
      <c r="AB11" s="125">
        <f>SUMIFS('Expenditure Breakdown'!$Q$6:$Q$168, 'Expenditure Breakdown'!$W$6:$W$168, "&gt;="&amp;AB1,'Expenditure Breakdown'!$W$6:$W$168, "&lt;"&amp;AC1)</f>
        <v>0</v>
      </c>
      <c r="AC11" s="125">
        <f>SUMIFS('Expenditure Breakdown'!$Q$6:$Q$168, 'Expenditure Breakdown'!$W$6:$W$168, "&gt;="&amp;AC1,'Expenditure Breakdown'!$W$6:$W$168, "&lt;"&amp;AD1)</f>
        <v>427065.11184782616</v>
      </c>
      <c r="AD11" s="125">
        <f>SUMIFS('Expenditure Breakdown'!$Q$6:$Q$168, 'Expenditure Breakdown'!$W$6:$W$168, "&gt;="&amp;AD1,'Expenditure Breakdown'!$W$6:$W$168, "&lt;"&amp;AE1)</f>
        <v>80831.95</v>
      </c>
      <c r="AE11" s="125">
        <f>SUMIFS('Expenditure Breakdown'!$Q$6:$Q$168, 'Expenditure Breakdown'!$W$6:$W$168, "&gt;="&amp;AE1,'Expenditure Breakdown'!$W$6:$W$168, "&lt;"&amp;AF1)</f>
        <v>525</v>
      </c>
      <c r="AF11" s="125">
        <f>SUMIFS('Expenditure Breakdown'!$Q$6:$Q$168, 'Expenditure Breakdown'!$W$6:$W$168, "&gt;="&amp;AF1,'Expenditure Breakdown'!$W$6:$W$168, "&lt;"&amp;AG1)</f>
        <v>0</v>
      </c>
      <c r="AG11" s="125">
        <f>SUMIFS('Expenditure Breakdown'!$Q$6:$Q$168, 'Expenditure Breakdown'!$W$6:$W$168, "&gt;="&amp;AG1,'Expenditure Breakdown'!$W$6:$W$168, "&lt;"&amp;AH1)</f>
        <v>0</v>
      </c>
      <c r="AH11" s="125">
        <f>SUMIFS('Expenditure Breakdown'!$Q$6:$Q$168, 'Expenditure Breakdown'!$W$6:$W$168, "&gt;="&amp;AH1,'Expenditure Breakdown'!$W$6:$W$168, "&lt;"&amp;AI1)</f>
        <v>0</v>
      </c>
      <c r="AI11" s="125">
        <f>SUMIFS('Expenditure Breakdown'!$Q$6:$Q$168, 'Expenditure Breakdown'!$W$6:$W$168, "&gt;="&amp;AI1,'Expenditure Breakdown'!$W$6:$W$168, "&lt;"&amp;AJ1)</f>
        <v>0</v>
      </c>
      <c r="AJ11" s="125">
        <f>SUMIFS('Expenditure Breakdown'!$Q$6:$Q$168, 'Expenditure Breakdown'!$W$6:$W$168, "&gt;="&amp;AJ1,'Expenditure Breakdown'!$W$6:$W$168, "&lt;"&amp;AK1)</f>
        <v>0</v>
      </c>
      <c r="AK11" s="125">
        <f>SUMIFS('Expenditure Breakdown'!$Q$6:$Q$168, 'Expenditure Breakdown'!$W$6:$W$168, "&gt;="&amp;AK1,'Expenditure Breakdown'!$W$6:$W$168, "&lt;"&amp;AL1)</f>
        <v>0</v>
      </c>
      <c r="AL11" s="125">
        <f>SUMIFS('Expenditure Breakdown'!$Q$6:$Q$168, 'Expenditure Breakdown'!$W$6:$W$168, "&gt;="&amp;AL1,'Expenditure Breakdown'!$W$6:$W$168, "&lt;"&amp;AM1)</f>
        <v>0</v>
      </c>
      <c r="AM11" s="125">
        <f>SUMIFS('Expenditure Breakdown'!$Q$6:$Q$168, 'Expenditure Breakdown'!$W$6:$W$168, "&gt;="&amp;AM1,'Expenditure Breakdown'!$W$6:$W$168, "&lt;"&amp;AN1)</f>
        <v>0</v>
      </c>
      <c r="AN11" s="125">
        <f>SUMIFS('Expenditure Breakdown'!$Q$6:$Q$168, 'Expenditure Breakdown'!$W$6:$W$168, "&gt;="&amp;AN1,'Expenditure Breakdown'!$W$6:$W$168, "&lt;"&amp;AO1)</f>
        <v>0</v>
      </c>
      <c r="AO11" s="125">
        <f>SUMIFS('Expenditure Breakdown'!$Q$6:$Q$168, 'Expenditure Breakdown'!$W$6:$W$168, "&gt;="&amp;AO1,'Expenditure Breakdown'!$W$6:$W$168, "&lt;"&amp;AP1)</f>
        <v>0</v>
      </c>
      <c r="AP11" s="125">
        <f>SUMIFS('Expenditure Breakdown'!$Q$6:$Q$168, 'Expenditure Breakdown'!$W$6:$W$168, "&gt;="&amp;AP1,'Expenditure Breakdown'!$W$6:$W$168, "&lt;"&amp;AQ1)</f>
        <v>0</v>
      </c>
      <c r="AQ11" s="125">
        <f>SUMIFS('Expenditure Breakdown'!$Q$6:$Q$168, 'Expenditure Breakdown'!$W$6:$W$168, "&gt;="&amp;AQ1,'Expenditure Breakdown'!$W$6:$W$168, "&lt;"&amp;AR1)</f>
        <v>0</v>
      </c>
      <c r="AR11" s="125">
        <f>SUMIFS('Expenditure Breakdown'!$Q$6:$Q$168, 'Expenditure Breakdown'!$W$6:$W$168, "&gt;="&amp;AR1,'Expenditure Breakdown'!$W$6:$W$168, "&lt;"&amp;AS1)</f>
        <v>0</v>
      </c>
      <c r="AS11" s="125">
        <f>SUMIFS('Expenditure Breakdown'!$Q$6:$Q$168, 'Expenditure Breakdown'!$W$6:$W$168, "&gt;="&amp;AS1,'Expenditure Breakdown'!$W$6:$W$168, "&lt;"&amp;AT1)</f>
        <v>0</v>
      </c>
      <c r="AT11" s="125">
        <f>SUMIFS('Expenditure Breakdown'!$Q$6:$Q$168, 'Expenditure Breakdown'!$W$6:$W$168, "&gt;="&amp;AT1,'Expenditure Breakdown'!$W$6:$W$168, "&lt;"&amp;AU1)</f>
        <v>0</v>
      </c>
      <c r="AU11" s="125">
        <f>SUMIFS('Expenditure Breakdown'!$Q$6:$Q$168, 'Expenditure Breakdown'!$W$6:$W$168, "&gt;="&amp;AU1,'Expenditure Breakdown'!$W$6:$W$168, "&lt;"&amp;AV1)</f>
        <v>0</v>
      </c>
      <c r="AV11" s="125">
        <f>SUMIFS('Expenditure Breakdown'!$Q$6:$Q$168, 'Expenditure Breakdown'!$W$6:$W$168, "&gt;="&amp;AV1,'Expenditure Breakdown'!$W$6:$W$168, "&lt;"&amp;AW1)</f>
        <v>0</v>
      </c>
      <c r="AW11" s="125">
        <f>SUMIFS('Expenditure Breakdown'!$Q$6:$Q$168, 'Expenditure Breakdown'!$W$6:$W$168, "&gt;="&amp;AW1,'Expenditure Breakdown'!$W$6:$W$168, "&lt;"&amp;AX1)</f>
        <v>0</v>
      </c>
      <c r="AX11" s="125">
        <f>SUMIFS('Expenditure Breakdown'!$Q$6:$Q$168, 'Expenditure Breakdown'!$W$6:$W$168, "&gt;="&amp;AX1,'Expenditure Breakdown'!$W$6:$W$168, "&lt;"&amp;AY1)</f>
        <v>0</v>
      </c>
      <c r="AY11" s="125">
        <f>SUMIFS('Expenditure Breakdown'!$Q$6:$Q$168, 'Expenditure Breakdown'!$W$6:$W$168, "&gt;="&amp;AY1,'Expenditure Breakdown'!$W$6:$W$168, "&lt;"&amp;AZ1)</f>
        <v>0</v>
      </c>
      <c r="AZ11" s="125">
        <f>SUMIFS('Expenditure Breakdown'!$Q$6:$Q$168, 'Expenditure Breakdown'!$W$6:$W$168, "&gt;="&amp;AZ1,'Expenditure Breakdown'!$W$6:$W$168, "&lt;"&amp;BA1)</f>
        <v>0</v>
      </c>
      <c r="BA11" s="125">
        <f>SUMIFS('Expenditure Breakdown'!$Q$6:$Q$168, 'Expenditure Breakdown'!$W$6:$W$168, "&gt;="&amp;BA1,'Expenditure Breakdown'!$W$6:$W$168, "&lt;"&amp;BB1)</f>
        <v>0</v>
      </c>
      <c r="BB11" s="125">
        <f>SUMIFS('Expenditure Breakdown'!$Q$6:$Q$168, 'Expenditure Breakdown'!$W$6:$W$168, "&gt;="&amp;BB1,'Expenditure Breakdown'!$W$6:$W$168, "&lt;"&amp;BC1)</f>
        <v>0</v>
      </c>
      <c r="BC11" s="125">
        <f>SUMIFS('Expenditure Breakdown'!$Q$6:$Q$168, 'Expenditure Breakdown'!$W$6:$W$168, "&gt;="&amp;BC1,'Expenditure Breakdown'!$W$6:$W$168, "&lt;"&amp;BD1)</f>
        <v>0</v>
      </c>
      <c r="BD11" s="125">
        <f>SUMIFS('Expenditure Breakdown'!$Q$6:$Q$168, 'Expenditure Breakdown'!$W$6:$W$168, "&gt;="&amp;BD1,'Expenditure Breakdown'!$W$6:$W$168, "&lt;"&amp;BE1)</f>
        <v>0</v>
      </c>
      <c r="BE11" s="125">
        <f>SUMIFS('Expenditure Breakdown'!$Q$6:$Q$168, 'Expenditure Breakdown'!$W$6:$W$168, "&gt;="&amp;BE1,'Expenditure Breakdown'!$W$6:$W$168, "&lt;"&amp;BF1)</f>
        <v>0</v>
      </c>
      <c r="BF11" s="125">
        <f>SUMIFS('Expenditure Breakdown'!$Q$6:$Q$168, 'Expenditure Breakdown'!$W$6:$W$168, "&gt;="&amp;BF1,'Expenditure Breakdown'!$W$6:$W$168, "&lt;"&amp;BG1)</f>
        <v>0</v>
      </c>
      <c r="BG11" s="125">
        <f>SUMIFS('Expenditure Breakdown'!$Q$6:$Q$168, 'Expenditure Breakdown'!$W$6:$W$168, "&gt;="&amp;BG1,'Expenditure Breakdown'!$W$6:$W$168, "&lt;"&amp;BH1)</f>
        <v>0</v>
      </c>
      <c r="BH11" s="125">
        <f>SUMIFS('Expenditure Breakdown'!$Q$6:$Q$168, 'Expenditure Breakdown'!$W$6:$W$168, "&gt;="&amp;BH1,'Expenditure Breakdown'!$W$6:$W$168, "&lt;"&amp;BI1)</f>
        <v>0</v>
      </c>
      <c r="BI11" s="125">
        <f>SUMIFS('Expenditure Breakdown'!$Q$6:$Q$168, 'Expenditure Breakdown'!$W$6:$W$168, "&gt;="&amp;BI1,'Expenditure Breakdown'!$W$6:$W$168, "&lt;"&amp;BJ1)</f>
        <v>0</v>
      </c>
      <c r="BJ11" s="125">
        <f>SUMIFS('Expenditure Breakdown'!$Q$6:$Q$168, 'Expenditure Breakdown'!$W$6:$W$168, "&gt;="&amp;BJ1,'Expenditure Breakdown'!$W$6:$W$168, "&lt;"&amp;BK1)</f>
        <v>0</v>
      </c>
      <c r="BK11" s="125">
        <f>SUMIFS('Expenditure Breakdown'!$Q$6:$Q$168, 'Expenditure Breakdown'!$W$6:$W$168, "&gt;="&amp;BK1,'Expenditure Breakdown'!$W$6:$W$168, "&lt;"&amp;BL1)</f>
        <v>0</v>
      </c>
      <c r="BL11" s="125">
        <f>SUMIFS('Expenditure Breakdown'!$Q$6:$Q$168, 'Expenditure Breakdown'!$W$6:$W$168, "&gt;="&amp;BL1,'Expenditure Breakdown'!$W$6:$W$168, "&lt;"&amp;BM1)</f>
        <v>0</v>
      </c>
      <c r="BM11" s="125">
        <f>SUMIFS('Expenditure Breakdown'!$Q$6:$Q$168, 'Expenditure Breakdown'!$W$6:$W$168, "&gt;="&amp;BM1,'Expenditure Breakdown'!$W$6:$W$168, "&lt;"&amp;BN1)</f>
        <v>0</v>
      </c>
      <c r="BN11" s="125">
        <f>SUMIFS('Expenditure Breakdown'!$Q$6:$Q$168, 'Expenditure Breakdown'!$W$6:$W$168, "&gt;="&amp;BN1,'Expenditure Breakdown'!$W$6:$W$168, "&lt;"&amp;BO1)</f>
        <v>0</v>
      </c>
      <c r="BO11" s="125">
        <f>SUMIFS('Expenditure Breakdown'!$Q$6:$Q$168, 'Expenditure Breakdown'!$W$6:$W$168, "&gt;="&amp;BO1,'Expenditure Breakdown'!$W$6:$W$168, "&lt;"&amp;BP1)</f>
        <v>0</v>
      </c>
      <c r="BP11" s="125">
        <f>SUMIFS('Expenditure Breakdown'!$Q$6:$Q$168, 'Expenditure Breakdown'!$W$6:$W$168, "&gt;="&amp;BP1,'Expenditure Breakdown'!$W$6:$W$168, "&lt;"&amp;BQ1)</f>
        <v>0</v>
      </c>
      <c r="BQ11" s="125">
        <f>SUMIFS('Expenditure Breakdown'!$Q$6:$Q$168, 'Expenditure Breakdown'!$W$6:$W$168, "&gt;="&amp;BQ1,'Expenditure Breakdown'!$W$6:$W$168, "&lt;"&amp;BR1)</f>
        <v>0</v>
      </c>
      <c r="BR11" s="125">
        <f>SUMIFS('Expenditure Breakdown'!$Q$6:$Q$168, 'Expenditure Breakdown'!$W$6:$W$168, "&gt;="&amp;BR1,'Expenditure Breakdown'!$W$6:$W$168, "&lt;"&amp;BS1)</f>
        <v>0</v>
      </c>
      <c r="BS11" s="125">
        <f>SUMIFS('Expenditure Breakdown'!$Q$6:$Q$168, 'Expenditure Breakdown'!$W$6:$W$168, "&gt;="&amp;BS1,'Expenditure Breakdown'!$W$6:$W$168, "&lt;"&amp;BT1)</f>
        <v>0</v>
      </c>
      <c r="BT11" s="125">
        <f>SUMIFS('Expenditure Breakdown'!$Q$6:$Q$168, 'Expenditure Breakdown'!$W$6:$W$168, "&gt;="&amp;BT1,'Expenditure Breakdown'!$W$6:$W$168, "&lt;"&amp;BU1)</f>
        <v>0</v>
      </c>
      <c r="BU11" s="125">
        <f>SUMIFS('Expenditure Breakdown'!$Q$6:$Q$168, 'Expenditure Breakdown'!$W$6:$W$168, "&gt;="&amp;BU1,'Expenditure Breakdown'!$W$6:$W$168, "&lt;"&amp;BV1)</f>
        <v>0</v>
      </c>
      <c r="BV11" s="125">
        <f>SUMIFS('Expenditure Breakdown'!$Q$6:$Q$168, 'Expenditure Breakdown'!$W$6:$W$168, "&gt;="&amp;BV1,'Expenditure Breakdown'!$W$6:$W$168, "&lt;"&amp;BW1)</f>
        <v>0</v>
      </c>
      <c r="BW11" s="125">
        <f>SUMIFS('Expenditure Breakdown'!$Q$6:$Q$168, 'Expenditure Breakdown'!$W$6:$W$168, "&gt;="&amp;BW1,'Expenditure Breakdown'!$W$6:$W$168, "&lt;"&amp;BX1)</f>
        <v>0</v>
      </c>
      <c r="BX11" s="125">
        <f>SUMIFS('Expenditure Breakdown'!$Q$6:$Q$168, 'Expenditure Breakdown'!$W$6:$W$168, "&gt;="&amp;BX1,'Expenditure Breakdown'!$W$6:$W$168, "&lt;"&amp;BY1)</f>
        <v>0</v>
      </c>
      <c r="BY11" s="125">
        <f>SUMIFS('Expenditure Breakdown'!$Q$6:$Q$168, 'Expenditure Breakdown'!$W$6:$W$168, "&gt;="&amp;BY1,'Expenditure Breakdown'!$W$6:$W$168, "&lt;"&amp;BZ1)</f>
        <v>0</v>
      </c>
      <c r="BZ11" s="125">
        <f>SUMIFS('Expenditure Breakdown'!$Q$6:$Q$168, 'Expenditure Breakdown'!$W$6:$W$168, "&gt;="&amp;BZ1,'Expenditure Breakdown'!$W$6:$W$168, "&lt;"&amp;CA1)</f>
        <v>0</v>
      </c>
      <c r="CA11" s="125">
        <f>SUMIFS('Expenditure Breakdown'!$Q$6:$Q$168, 'Expenditure Breakdown'!$W$6:$W$168, "&gt;="&amp;CA1,'Expenditure Breakdown'!$W$6:$W$168, "&lt;"&amp;CB1)</f>
        <v>0</v>
      </c>
      <c r="CB11" s="125">
        <f>SUMIFS('Expenditure Breakdown'!$Q$6:$Q$168, 'Expenditure Breakdown'!$W$6:$W$168, "&gt;="&amp;CB1,'Expenditure Breakdown'!$W$6:$W$168, "&lt;"&amp;CC1)</f>
        <v>0</v>
      </c>
      <c r="CC11" s="125">
        <f>SUMIFS('Expenditure Breakdown'!$Q$6:$Q$168, 'Expenditure Breakdown'!$W$6:$W$168, "&gt;="&amp;CC1,'Expenditure Breakdown'!$W$6:$W$168, "&lt;"&amp;CD1)</f>
        <v>0</v>
      </c>
      <c r="CD11" s="125">
        <f>SUMIFS('Expenditure Breakdown'!$Q$6:$Q$168, 'Expenditure Breakdown'!$W$6:$W$168, "&gt;="&amp;CD1,'Expenditure Breakdown'!$W$6:$W$168, "&lt;"&amp;CE1)</f>
        <v>0</v>
      </c>
      <c r="CE11" s="125">
        <f>SUMIFS('Expenditure Breakdown'!$Q$6:$Q$168, 'Expenditure Breakdown'!$W$6:$W$168, "&gt;="&amp;CE1,'Expenditure Breakdown'!$W$6:$W$168, "&lt;"&amp;CF1)</f>
        <v>0</v>
      </c>
      <c r="CF11" s="125">
        <f>SUMIFS('Expenditure Breakdown'!$Q$6:$Q$168, 'Expenditure Breakdown'!$W$6:$W$168, "&gt;="&amp;CF1,'Expenditure Breakdown'!$W$6:$W$168, "&lt;"&amp;CG1)</f>
        <v>0</v>
      </c>
      <c r="CG11" s="125">
        <f>SUMIFS('Expenditure Breakdown'!$Q$6:$Q$168, 'Expenditure Breakdown'!$W$6:$W$168, "&gt;="&amp;CG1,'Expenditure Breakdown'!$W$6:$W$168, "&lt;"&amp;CH1)</f>
        <v>0</v>
      </c>
      <c r="CH11" s="125">
        <f>SUMIFS('Expenditure Breakdown'!$Q$6:$Q$168, 'Expenditure Breakdown'!$W$6:$W$168, "&gt;="&amp;CH1,'Expenditure Breakdown'!$W$6:$W$168, "&lt;"&amp;CI1)</f>
        <v>0</v>
      </c>
      <c r="CI11" s="125">
        <f>SUMIFS('Expenditure Breakdown'!$Q$6:$Q$168, 'Expenditure Breakdown'!$W$6:$W$168, "&gt;="&amp;CI1,'Expenditure Breakdown'!$W$6:$W$168, "&lt;"&amp;CJ1)</f>
        <v>0</v>
      </c>
      <c r="CJ11" s="125">
        <f>SUMIFS('Expenditure Breakdown'!$Q$6:$Q$168, 'Expenditure Breakdown'!$W$6:$W$168, "&gt;="&amp;CJ1,'Expenditure Breakdown'!$W$6:$W$168, "&lt;"&amp;CK1)</f>
        <v>0</v>
      </c>
      <c r="CK11" s="125">
        <f>SUMIFS('Expenditure Breakdown'!$Q$6:$Q$168, 'Expenditure Breakdown'!$W$6:$W$168, "&gt;="&amp;CK1,'Expenditure Breakdown'!$W$6:$W$168, "&lt;"&amp;CL1)</f>
        <v>0</v>
      </c>
      <c r="CL11" s="125">
        <f>SUMIFS('Expenditure Breakdown'!$Q$6:$Q$168, 'Expenditure Breakdown'!$W$6:$W$168, "&gt;="&amp;CL1,'Expenditure Breakdown'!$W$6:$W$168, "&lt;"&amp;CM1)</f>
        <v>0</v>
      </c>
      <c r="CM11" s="125">
        <f>SUMIFS('Expenditure Breakdown'!$Q$6:$Q$168, 'Expenditure Breakdown'!$W$6:$W$168, "&gt;="&amp;CM1,'Expenditure Breakdown'!$W$6:$W$168, "&lt;"&amp;CN1)</f>
        <v>0</v>
      </c>
      <c r="CN11" s="125">
        <f>SUMIFS('Expenditure Breakdown'!$Q$6:$Q$168, 'Expenditure Breakdown'!$W$6:$W$168, "&gt;="&amp;CN1,'Expenditure Breakdown'!$W$6:$W$168, "&lt;"&amp;CO1)</f>
        <v>0</v>
      </c>
      <c r="CO11" s="125">
        <f>SUMIFS('Expenditure Breakdown'!$Q$6:$Q$168, 'Expenditure Breakdown'!$W$6:$W$168, "&gt;="&amp;CO1,'Expenditure Breakdown'!$W$6:$W$168, "&lt;"&amp;CP1)</f>
        <v>0</v>
      </c>
      <c r="CP11" s="125">
        <f>SUMIFS('Expenditure Breakdown'!$Q$6:$Q$168, 'Expenditure Breakdown'!$W$6:$W$168, "&gt;="&amp;CP1,'Expenditure Breakdown'!$W$6:$W$168, "&lt;"&amp;CQ1)</f>
        <v>0</v>
      </c>
      <c r="CQ11" s="125">
        <f>SUMIFS('Expenditure Breakdown'!$Q$6:$Q$168, 'Expenditure Breakdown'!$W$6:$W$168, "&gt;="&amp;CQ1,'Expenditure Breakdown'!$W$6:$W$168, "&lt;"&amp;CR1)</f>
        <v>0</v>
      </c>
      <c r="CR11" s="125">
        <f>SUMIFS('Expenditure Breakdown'!$Q$6:$Q$168, 'Expenditure Breakdown'!$W$6:$W$168, "&gt;="&amp;CR1,'Expenditure Breakdown'!$W$6:$W$168, "&lt;"&amp;CS1)</f>
        <v>0</v>
      </c>
      <c r="CS11" s="125">
        <f>SUMIFS('Expenditure Breakdown'!$Q$6:$Q$168, 'Expenditure Breakdown'!$W$6:$W$168, "&gt;="&amp;CS1,'Expenditure Breakdown'!$W$6:$W$168, "&lt;"&amp;CT1)</f>
        <v>0</v>
      </c>
      <c r="CT11" s="125">
        <f>SUMIFS('Expenditure Breakdown'!$Q$6:$Q$168, 'Expenditure Breakdown'!$W$6:$W$168, "&gt;="&amp;CT1,'Expenditure Breakdown'!$W$6:$W$168, "&lt;"&amp;CU1)</f>
        <v>0</v>
      </c>
      <c r="CU11" s="125">
        <f>SUMIFS('Expenditure Breakdown'!$Q$6:$Q$168, 'Expenditure Breakdown'!$W$6:$W$168, "&gt;="&amp;CU1,'Expenditure Breakdown'!$W$6:$W$168, "&lt;"&amp;CV1)</f>
        <v>0</v>
      </c>
      <c r="CV11" s="125">
        <f>SUMIFS('Expenditure Breakdown'!$Q$6:$Q$168, 'Expenditure Breakdown'!$W$6:$W$168, "&gt;="&amp;CV1,'Expenditure Breakdown'!$W$6:$W$168, "&lt;"&amp;CW1)</f>
        <v>0</v>
      </c>
      <c r="CW11" s="125">
        <f>SUMIFS('Expenditure Breakdown'!$Q$6:$Q$168, 'Expenditure Breakdown'!$W$6:$W$168, "&gt;="&amp;CW1,'Expenditure Breakdown'!$W$6:$W$168, "&lt;"&amp;CX1)</f>
        <v>0</v>
      </c>
      <c r="CX11" s="125">
        <f>SUMIFS('Expenditure Breakdown'!$Q$6:$Q$168, 'Expenditure Breakdown'!$W$6:$W$168, "&gt;="&amp;CX1,'Expenditure Breakdown'!$W$6:$W$168, "&lt;"&amp;CY1)</f>
        <v>0</v>
      </c>
      <c r="CY11" s="125">
        <f>SUMIFS('Expenditure Breakdown'!$Q$6:$Q$168, 'Expenditure Breakdown'!$W$6:$W$168, "&gt;="&amp;CY1,'Expenditure Breakdown'!$W$6:$W$168, "&lt;"&amp;CZ1)</f>
        <v>0</v>
      </c>
      <c r="CZ11" s="125">
        <f>SUMIFS('Expenditure Breakdown'!$Q$6:$Q$168, 'Expenditure Breakdown'!$W$6:$W$168, "&gt;="&amp;CZ1,'Expenditure Breakdown'!$W$6:$W$168, "&lt;"&amp;DA1)</f>
        <v>0</v>
      </c>
      <c r="DA11" s="125">
        <f>SUMIFS('Expenditure Breakdown'!$Q$6:$Q$168, 'Expenditure Breakdown'!$W$6:$W$168, "&gt;="&amp;DA1,'Expenditure Breakdown'!$W$6:$W$168, "&lt;"&amp;DB1)</f>
        <v>0</v>
      </c>
      <c r="DB11" s="125">
        <f>SUMIFS('Expenditure Breakdown'!$Q$6:$Q$168, 'Expenditure Breakdown'!$W$6:$W$168, "&gt;="&amp;DB1,'Expenditure Breakdown'!$W$6:$W$168, "&lt;"&amp;DC1)</f>
        <v>0</v>
      </c>
      <c r="DC11" s="125">
        <f>SUMIFS('Expenditure Breakdown'!$Q$6:$Q$168, 'Expenditure Breakdown'!$W$6:$W$168, "&gt;="&amp;DC1,'Expenditure Breakdown'!$W$6:$W$168, "&lt;"&amp;DD1)</f>
        <v>0</v>
      </c>
      <c r="DD11" s="125">
        <f>SUMIFS('Expenditure Breakdown'!$Q$6:$Q$168, 'Expenditure Breakdown'!$W$6:$W$168, "&gt;="&amp;DD1,'Expenditure Breakdown'!$W$6:$W$168, "&lt;"&amp;DE1)</f>
        <v>0</v>
      </c>
      <c r="DE11" s="125">
        <f>SUMIFS('Expenditure Breakdown'!$Q$6:$Q$168, 'Expenditure Breakdown'!$W$6:$W$168, "&gt;="&amp;DE1,'Expenditure Breakdown'!$W$6:$W$168, "&lt;"&amp;DF1)</f>
        <v>0</v>
      </c>
      <c r="DF11" s="125">
        <f>SUMIFS('Expenditure Breakdown'!$Q$6:$Q$168, 'Expenditure Breakdown'!$W$6:$W$168, "&gt;="&amp;DF1,'Expenditure Breakdown'!$W$6:$W$168, "&lt;"&amp;DG1)</f>
        <v>0</v>
      </c>
      <c r="DG11" s="125">
        <f>SUMIFS('Expenditure Breakdown'!$Q$6:$Q$168, 'Expenditure Breakdown'!$W$6:$W$168, "&gt;="&amp;DG1,'Expenditure Breakdown'!$W$6:$W$168, "&lt;"&amp;DH1)</f>
        <v>0</v>
      </c>
      <c r="DH11" s="125">
        <f>SUMIFS('Expenditure Breakdown'!$Q$6:$Q$168, 'Expenditure Breakdown'!$W$6:$W$168, "&gt;="&amp;DH1,'Expenditure Breakdown'!$W$6:$W$168, "&lt;"&amp;DI1)</f>
        <v>0</v>
      </c>
      <c r="DI11" s="125">
        <f>SUMIFS('Expenditure Breakdown'!$Q$6:$Q$168, 'Expenditure Breakdown'!$W$6:$W$168, "&gt;="&amp;DI1,'Expenditure Breakdown'!$W$6:$W$168, "&lt;"&amp;DJ1)</f>
        <v>0</v>
      </c>
      <c r="DJ11" s="125">
        <f>SUMIFS('Expenditure Breakdown'!$Q$6:$Q$168, 'Expenditure Breakdown'!$W$6:$W$168, "&gt;="&amp;DJ1,'Expenditure Breakdown'!$W$6:$W$168, "&lt;"&amp;DK1)</f>
        <v>0</v>
      </c>
      <c r="DK11" s="125">
        <f>SUMIFS('Expenditure Breakdown'!$Q$6:$Q$168, 'Expenditure Breakdown'!$W$6:$W$168, "&gt;="&amp;DK1,'Expenditure Breakdown'!$W$6:$W$168, "&lt;"&amp;DL1)</f>
        <v>0</v>
      </c>
      <c r="DL11" s="125">
        <f>SUMIFS('Expenditure Breakdown'!$Q$6:$Q$168, 'Expenditure Breakdown'!$W$6:$W$168, "&gt;="&amp;DL1,'Expenditure Breakdown'!$W$6:$W$168, "&lt;"&amp;DM1)</f>
        <v>0</v>
      </c>
      <c r="DM11" s="125">
        <f>SUMIFS('Expenditure Breakdown'!$Q$6:$Q$168, 'Expenditure Breakdown'!$W$6:$W$168, "&gt;="&amp;DM1,'Expenditure Breakdown'!$W$6:$W$168, "&lt;"&amp;DN1)</f>
        <v>0</v>
      </c>
      <c r="DN11" s="125">
        <f>SUMIFS('Expenditure Breakdown'!$Q$6:$Q$168, 'Expenditure Breakdown'!$W$6:$W$168, "&gt;="&amp;DN1,'Expenditure Breakdown'!$W$6:$W$168, "&lt;"&amp;DO1)</f>
        <v>0</v>
      </c>
      <c r="DO11" s="125">
        <f>SUMIFS('Expenditure Breakdown'!$Q$6:$Q$168, 'Expenditure Breakdown'!$W$6:$W$168, "&gt;="&amp;DO1,'Expenditure Breakdown'!$W$6:$W$168, "&lt;"&amp;DP1)</f>
        <v>0</v>
      </c>
      <c r="DP11" s="125">
        <f>SUMIFS('Expenditure Breakdown'!$Q$6:$Q$168, 'Expenditure Breakdown'!$W$6:$W$168, "&gt;="&amp;DP1,'Expenditure Breakdown'!$W$6:$W$168, "&lt;"&amp;DQ1)</f>
        <v>0</v>
      </c>
      <c r="DQ11" s="125">
        <f>SUMIFS('Expenditure Breakdown'!$Q$6:$Q$168, 'Expenditure Breakdown'!$W$6:$W$168, "&gt;="&amp;DQ1,'Expenditure Breakdown'!$W$6:$W$168, "&lt;"&amp;DR1)</f>
        <v>0</v>
      </c>
      <c r="DR11" s="125">
        <f>SUMIFS('Expenditure Breakdown'!$Q$6:$Q$168, 'Expenditure Breakdown'!$W$6:$W$168, "&gt;="&amp;DR1,'Expenditure Breakdown'!$W$6:$W$168, "&lt;"&amp;DS1)</f>
        <v>0</v>
      </c>
      <c r="DS11" s="125">
        <f>SUMIFS('Expenditure Breakdown'!$Q$6:$Q$168, 'Expenditure Breakdown'!$W$6:$W$168, "&gt;="&amp;DS1,'Expenditure Breakdown'!$W$6:$W$168, "&lt;"&amp;DT1)</f>
        <v>0</v>
      </c>
      <c r="DT11" s="125">
        <f>SUMIFS('Expenditure Breakdown'!$Q$6:$Q$168, 'Expenditure Breakdown'!$W$6:$W$168, "&gt;="&amp;DT1,'Expenditure Breakdown'!$W$6:$W$168, "&lt;"&amp;DU1)</f>
        <v>0</v>
      </c>
      <c r="DU11" s="125">
        <f>SUMIFS('Expenditure Breakdown'!$Q$6:$Q$168, 'Expenditure Breakdown'!$W$6:$W$168, "&gt;="&amp;DU1,'Expenditure Breakdown'!$W$6:$W$168, "&lt;"&amp;DV1)</f>
        <v>0</v>
      </c>
      <c r="DV11" s="125">
        <f>SUMIFS('Expenditure Breakdown'!$Q$6:$Q$168, 'Expenditure Breakdown'!$W$6:$W$168, "&gt;="&amp;DV1,'Expenditure Breakdown'!$W$6:$W$168, "&lt;"&amp;DW1)</f>
        <v>0</v>
      </c>
      <c r="DW11" s="125">
        <f>SUMIFS('Expenditure Breakdown'!$Q$6:$Q$168, 'Expenditure Breakdown'!$W$6:$W$168, "&gt;="&amp;DW1,'Expenditure Breakdown'!$W$6:$W$168, "&lt;"&amp;DX1)</f>
        <v>0</v>
      </c>
      <c r="DX11" s="125">
        <f>SUMIFS('Expenditure Breakdown'!$Q$6:$Q$168, 'Expenditure Breakdown'!$W$6:$W$168, "&gt;="&amp;DX1,'Expenditure Breakdown'!$W$6:$W$168, "&lt;"&amp;DY1)</f>
        <v>0</v>
      </c>
      <c r="DY11" s="125">
        <f>SUMIFS('Expenditure Breakdown'!$Q$6:$Q$168, 'Expenditure Breakdown'!$W$6:$W$168, "&gt;="&amp;DY1,'Expenditure Breakdown'!$W$6:$W$168, "&lt;"&amp;DZ1)</f>
        <v>0</v>
      </c>
      <c r="DZ11" s="125">
        <f>SUMIFS('Expenditure Breakdown'!$Q$6:$Q$168, 'Expenditure Breakdown'!$W$6:$W$168, "&gt;="&amp;DZ1,'Expenditure Breakdown'!$W$6:$W$168, "&lt;"&amp;EA1)</f>
        <v>0</v>
      </c>
      <c r="EA11" s="125">
        <f>SUMIFS('Expenditure Breakdown'!$Q$6:$Q$168, 'Expenditure Breakdown'!$W$6:$W$168, "&gt;="&amp;EA1,'Expenditure Breakdown'!$W$6:$W$168, "&lt;"&amp;EB1)</f>
        <v>0</v>
      </c>
      <c r="EB11" s="125">
        <f>SUMIFS('Expenditure Breakdown'!$Q$6:$Q$168, 'Expenditure Breakdown'!$W$6:$W$168, "&gt;="&amp;EB1,'Expenditure Breakdown'!$W$6:$W$168, "&lt;"&amp;EC1)</f>
        <v>0</v>
      </c>
      <c r="EC11" s="125">
        <f>SUMIFS('Expenditure Breakdown'!$Q$6:$Q$168, 'Expenditure Breakdown'!$W$6:$W$168, "&gt;="&amp;EC1,'Expenditure Breakdown'!$W$6:$W$168, "&lt;"&amp;ED1)</f>
        <v>0</v>
      </c>
      <c r="ED11" s="125">
        <f>SUMIFS('Expenditure Breakdown'!$Q$6:$Q$168, 'Expenditure Breakdown'!$W$6:$W$168, "&gt;="&amp;ED1,'Expenditure Breakdown'!$W$6:$W$168, "&lt;"&amp;EE1)</f>
        <v>0</v>
      </c>
      <c r="EE11" s="125">
        <f>SUMIFS('Expenditure Breakdown'!$Q$6:$Q$168, 'Expenditure Breakdown'!$W$6:$W$168, "&gt;="&amp;EE1,'Expenditure Breakdown'!$W$6:$W$168, "&lt;"&amp;EF1)</f>
        <v>0</v>
      </c>
      <c r="EF11" s="125">
        <f>SUMIFS('Expenditure Breakdown'!$Q$6:$Q$168, 'Expenditure Breakdown'!$W$6:$W$168, "&gt;="&amp;EF1,'Expenditure Breakdown'!$W$6:$W$168, "&lt;"&amp;EG1)</f>
        <v>0</v>
      </c>
      <c r="EG11" s="125">
        <f>SUMIFS('Expenditure Breakdown'!$Q$6:$Q$168, 'Expenditure Breakdown'!$W$6:$W$168, "&gt;="&amp;EG1,'Expenditure Breakdown'!$W$6:$W$168, "&lt;"&amp;EH1)</f>
        <v>0</v>
      </c>
      <c r="EH11" s="125">
        <f>SUMIFS('Expenditure Breakdown'!$Q$6:$Q$168, 'Expenditure Breakdown'!$W$6:$W$168, "&gt;="&amp;EH1,'Expenditure Breakdown'!$W$6:$W$168, "&lt;"&amp;EI1)</f>
        <v>0</v>
      </c>
      <c r="EI11" s="125">
        <f>SUMIFS('Expenditure Breakdown'!$Q$6:$Q$168, 'Expenditure Breakdown'!$W$6:$W$168, "&gt;="&amp;EI1,'Expenditure Breakdown'!$W$6:$W$168, "&lt;"&amp;EJ1)</f>
        <v>0</v>
      </c>
      <c r="EJ11" s="125">
        <f>SUMIFS('Expenditure Breakdown'!$Q$6:$Q$168, 'Expenditure Breakdown'!$W$6:$W$168, "&gt;="&amp;EJ1,'Expenditure Breakdown'!$W$6:$W$168, "&lt;"&amp;EK1)</f>
        <v>0</v>
      </c>
      <c r="EK11" s="125">
        <f>SUMIFS('Expenditure Breakdown'!$Q$6:$Q$168, 'Expenditure Breakdown'!$W$6:$W$168, "&gt;="&amp;EK1,'Expenditure Breakdown'!$W$6:$W$168, "&lt;"&amp;EL1)</f>
        <v>0</v>
      </c>
      <c r="EL11" s="125">
        <f>SUMIFS('Expenditure Breakdown'!$Q$6:$Q$168, 'Expenditure Breakdown'!$W$6:$W$168, "&gt;="&amp;EL1,'Expenditure Breakdown'!$W$6:$W$168, "&lt;"&amp;EM1)</f>
        <v>0</v>
      </c>
      <c r="EM11" s="125">
        <f>SUMIFS('Expenditure Breakdown'!$Q$6:$Q$168, 'Expenditure Breakdown'!$W$6:$W$168, "&gt;="&amp;EM1,'Expenditure Breakdown'!$W$6:$W$168, "&lt;"&amp;EN1)</f>
        <v>0</v>
      </c>
      <c r="EN11" s="125">
        <f>SUMIFS('Expenditure Breakdown'!$Q$6:$Q$168, 'Expenditure Breakdown'!$W$6:$W$168, "&gt;="&amp;EN1,'Expenditure Breakdown'!$W$6:$W$168, "&lt;"&amp;EO1)</f>
        <v>0</v>
      </c>
      <c r="EO11" s="125">
        <f>SUMIFS('Expenditure Breakdown'!$Q$6:$Q$168, 'Expenditure Breakdown'!$W$6:$W$168, "&gt;="&amp;EO1,'Expenditure Breakdown'!$W$6:$W$168, "&lt;"&amp;EP1)</f>
        <v>0</v>
      </c>
      <c r="EP11" s="125">
        <f>SUMIFS('Expenditure Breakdown'!$Q$6:$Q$168, 'Expenditure Breakdown'!$W$6:$W$168, "&gt;="&amp;EP1,'Expenditure Breakdown'!$W$6:$W$168, "&lt;"&amp;EQ1)</f>
        <v>0</v>
      </c>
      <c r="EQ11" s="125">
        <f>SUMIFS('Expenditure Breakdown'!$Q$6:$Q$168, 'Expenditure Breakdown'!$W$6:$W$168, "&gt;="&amp;EQ1,'Expenditure Breakdown'!$W$6:$W$168, "&lt;"&amp;ER1)</f>
        <v>0</v>
      </c>
      <c r="ER11" s="125">
        <f>SUMIFS('Expenditure Breakdown'!$Q$6:$Q$168, 'Expenditure Breakdown'!$W$6:$W$168, "&gt;="&amp;ER1,'Expenditure Breakdown'!$W$6:$W$168, "&lt;"&amp;ES1)</f>
        <v>0</v>
      </c>
      <c r="ES11" s="125">
        <f>SUMIFS('Expenditure Breakdown'!$Q$6:$Q$168, 'Expenditure Breakdown'!$W$6:$W$168, "&gt;="&amp;ES1,'Expenditure Breakdown'!$W$6:$W$168, "&lt;"&amp;ET1)</f>
        <v>0</v>
      </c>
      <c r="ET11" s="125">
        <f>SUMIFS('Expenditure Breakdown'!$Q$6:$Q$168, 'Expenditure Breakdown'!$W$6:$W$168, "&gt;="&amp;ET1,'Expenditure Breakdown'!$W$6:$W$168, "&lt;"&amp;EU1)</f>
        <v>0</v>
      </c>
      <c r="EU11" s="125">
        <f>SUMIFS('Expenditure Breakdown'!$Q$6:$Q$168, 'Expenditure Breakdown'!$W$6:$W$168, "&gt;="&amp;EU1,'Expenditure Breakdown'!$W$6:$W$168, "&lt;"&amp;EV1)</f>
        <v>0</v>
      </c>
      <c r="EV11" s="125">
        <f>SUMIFS('Expenditure Breakdown'!$Q$6:$Q$168, 'Expenditure Breakdown'!$W$6:$W$168, "&gt;="&amp;EV1,'Expenditure Breakdown'!$W$6:$W$168, "&lt;"&amp;EW1)</f>
        <v>0</v>
      </c>
      <c r="EW11" s="125">
        <f>SUMIFS('Expenditure Breakdown'!$Q$6:$Q$168, 'Expenditure Breakdown'!$W$6:$W$168, "&gt;="&amp;EW1,'Expenditure Breakdown'!$W$6:$W$168, "&lt;"&amp;EX1)</f>
        <v>0</v>
      </c>
      <c r="EX11" s="125">
        <f>SUMIFS('Expenditure Breakdown'!$Q$6:$Q$168, 'Expenditure Breakdown'!$W$6:$W$168, "&gt;="&amp;EX1,'Expenditure Breakdown'!$W$6:$W$168, "&lt;"&amp;EY1)</f>
        <v>0</v>
      </c>
      <c r="EY11" s="125">
        <f>SUMIFS('Expenditure Breakdown'!$Q$6:$Q$168, 'Expenditure Breakdown'!$W$6:$W$168, "&gt;="&amp;EY1,'Expenditure Breakdown'!$W$6:$W$168, "&lt;"&amp;EZ1)</f>
        <v>0</v>
      </c>
      <c r="EZ11" s="125">
        <f>SUMIFS('Expenditure Breakdown'!$Q$6:$Q$168, 'Expenditure Breakdown'!$W$6:$W$168, "&gt;="&amp;EZ1,'Expenditure Breakdown'!$W$6:$W$168, "&lt;"&amp;FA1)</f>
        <v>0</v>
      </c>
      <c r="FA11" s="125">
        <f>SUMIFS('Expenditure Breakdown'!$Q$6:$Q$168, 'Expenditure Breakdown'!$W$6:$W$168, "&gt;="&amp;FA1,'Expenditure Breakdown'!$W$6:$W$168, "&lt;"&amp;FB1)</f>
        <v>0</v>
      </c>
      <c r="FB11" s="125">
        <f>SUMIFS('Expenditure Breakdown'!$Q$6:$Q$168, 'Expenditure Breakdown'!$W$6:$W$168, "&gt;="&amp;FB1,'Expenditure Breakdown'!$W$6:$W$168, "&lt;"&amp;FC1)</f>
        <v>0</v>
      </c>
      <c r="FC11" s="125">
        <f>SUMIFS('Expenditure Breakdown'!$Q$6:$Q$168, 'Expenditure Breakdown'!$W$6:$W$168, "&gt;="&amp;FC1,'Expenditure Breakdown'!$W$6:$W$168, "&lt;"&amp;FD1)</f>
        <v>0</v>
      </c>
      <c r="FD11" s="125">
        <f>SUMIFS('Expenditure Breakdown'!$Q$6:$Q$168, 'Expenditure Breakdown'!$W$6:$W$168, "&gt;="&amp;FD1,'Expenditure Breakdown'!$W$6:$W$168, "&lt;"&amp;FE1)</f>
        <v>0</v>
      </c>
      <c r="FE11" s="125">
        <f>SUMIFS('Expenditure Breakdown'!$Q$6:$Q$168, 'Expenditure Breakdown'!$W$6:$W$168, "&gt;="&amp;FE1,'Expenditure Breakdown'!$W$6:$W$168, "&lt;"&amp;FF1)</f>
        <v>0</v>
      </c>
      <c r="FF11" s="125">
        <f>SUMIFS('Expenditure Breakdown'!$Q$6:$Q$168, 'Expenditure Breakdown'!$W$6:$W$168, "&gt;="&amp;FF1,'Expenditure Breakdown'!$W$6:$W$168, "&lt;"&amp;FG1)</f>
        <v>0</v>
      </c>
      <c r="FG11" s="125">
        <f>SUMIFS('Expenditure Breakdown'!$Q$6:$Q$168, 'Expenditure Breakdown'!$W$6:$W$168, "&gt;="&amp;FG1,'Expenditure Breakdown'!$W$6:$W$168, "&lt;"&amp;FH1)</f>
        <v>0</v>
      </c>
      <c r="FH11" s="125">
        <f>SUMIFS('Expenditure Breakdown'!$Q$6:$Q$168, 'Expenditure Breakdown'!$W$6:$W$168, "&gt;="&amp;FH1,'Expenditure Breakdown'!$W$6:$W$168, "&lt;"&amp;FI1)</f>
        <v>0</v>
      </c>
      <c r="FI11" s="125">
        <f>SUMIFS('Expenditure Breakdown'!$Q$6:$Q$168, 'Expenditure Breakdown'!$W$6:$W$168, "&gt;="&amp;FI1,'Expenditure Breakdown'!$W$6:$W$168, "&lt;"&amp;FJ1)</f>
        <v>0</v>
      </c>
      <c r="FJ11" s="125">
        <f>SUMIFS('Expenditure Breakdown'!$Q$6:$Q$168, 'Expenditure Breakdown'!$W$6:$W$168, "&gt;="&amp;FJ1,'Expenditure Breakdown'!$W$6:$W$168, "&lt;"&amp;FK1)</f>
        <v>0</v>
      </c>
      <c r="FK11" s="125">
        <f>SUMIFS('Expenditure Breakdown'!$Q$6:$Q$168, 'Expenditure Breakdown'!$W$6:$W$168, "&gt;="&amp;FK1,'Expenditure Breakdown'!$W$6:$W$168, "&lt;"&amp;FL1)</f>
        <v>0</v>
      </c>
      <c r="FL11" s="125">
        <f>SUMIFS('Expenditure Breakdown'!$Q$6:$Q$168, 'Expenditure Breakdown'!$W$6:$W$168, "&gt;="&amp;FL1,'Expenditure Breakdown'!$W$6:$W$168, "&lt;"&amp;FM1)</f>
        <v>0</v>
      </c>
      <c r="FM11" s="125">
        <f>SUMIFS('Expenditure Breakdown'!$Q$6:$Q$168, 'Expenditure Breakdown'!$W$6:$W$168, "&gt;="&amp;FM1,'Expenditure Breakdown'!$W$6:$W$168, "&lt;"&amp;FN1)</f>
        <v>0</v>
      </c>
      <c r="FN11" s="125">
        <f>SUMIFS('Expenditure Breakdown'!$Q$6:$Q$168, 'Expenditure Breakdown'!$W$6:$W$168, "&gt;="&amp;FN1,'Expenditure Breakdown'!$W$6:$W$168, "&lt;"&amp;FO1)</f>
        <v>0</v>
      </c>
      <c r="FO11" s="125">
        <f>SUMIFS('Expenditure Breakdown'!$Q$6:$Q$168, 'Expenditure Breakdown'!$W$6:$W$168, "&gt;="&amp;FO1,'Expenditure Breakdown'!$W$6:$W$168, "&lt;"&amp;FP1)</f>
        <v>0</v>
      </c>
      <c r="FP11" s="125">
        <f>SUMIFS('Expenditure Breakdown'!$Q$6:$Q$168, 'Expenditure Breakdown'!$W$6:$W$168, "&gt;="&amp;FP1,'Expenditure Breakdown'!$W$6:$W$168, "&lt;"&amp;FQ1)</f>
        <v>0</v>
      </c>
      <c r="FQ11" s="125">
        <f>SUMIFS('Expenditure Breakdown'!$Q$6:$Q$168, 'Expenditure Breakdown'!$W$6:$W$168, "&gt;="&amp;FQ1,'Expenditure Breakdown'!$W$6:$W$168, "&lt;"&amp;FR1)</f>
        <v>0</v>
      </c>
      <c r="FR11" s="125">
        <f>SUMIFS('Expenditure Breakdown'!$Q$6:$Q$168, 'Expenditure Breakdown'!$W$6:$W$168, "&gt;="&amp;FR1,'Expenditure Breakdown'!$W$6:$W$168, "&lt;"&amp;FS1)</f>
        <v>0</v>
      </c>
      <c r="FS11" s="125">
        <f>SUMIFS('Expenditure Breakdown'!$Q$6:$Q$168, 'Expenditure Breakdown'!$W$6:$W$168, "&gt;="&amp;FS1,'Expenditure Breakdown'!$W$6:$W$168, "&lt;"&amp;FT1)</f>
        <v>0</v>
      </c>
      <c r="FT11" s="125">
        <f>SUMIFS('Expenditure Breakdown'!$Q$6:$Q$168, 'Expenditure Breakdown'!$W$6:$W$168, "&gt;="&amp;FT1,'Expenditure Breakdown'!$W$6:$W$168, "&lt;"&amp;FU1)</f>
        <v>0</v>
      </c>
      <c r="FU11" s="125">
        <f>SUMIFS('Expenditure Breakdown'!$Q$6:$Q$168, 'Expenditure Breakdown'!$W$6:$W$168, "&gt;="&amp;FU1,'Expenditure Breakdown'!$W$6:$W$168, "&lt;"&amp;FV1)</f>
        <v>0</v>
      </c>
      <c r="FV11" s="125">
        <f>SUMIFS('Expenditure Breakdown'!$Q$6:$Q$168, 'Expenditure Breakdown'!$W$6:$W$168, "&gt;="&amp;FV1,'Expenditure Breakdown'!$W$6:$W$168, "&lt;"&amp;FW1)</f>
        <v>0</v>
      </c>
      <c r="FW11" s="125">
        <f>SUMIFS('Expenditure Breakdown'!$Q$6:$Q$168, 'Expenditure Breakdown'!$W$6:$W$168, "&gt;="&amp;FW1,'Expenditure Breakdown'!$W$6:$W$168, "&lt;"&amp;FX1)</f>
        <v>0</v>
      </c>
      <c r="FX11" s="125">
        <f>SUMIFS('Expenditure Breakdown'!$Q$6:$Q$168, 'Expenditure Breakdown'!$W$6:$W$168, "&gt;="&amp;FX1,'Expenditure Breakdown'!$W$6:$W$168, "&lt;"&amp;FY1)</f>
        <v>0</v>
      </c>
      <c r="FY11" s="125">
        <f>SUMIFS('Expenditure Breakdown'!$Q$6:$Q$168, 'Expenditure Breakdown'!$W$6:$W$168, "&gt;="&amp;FY1,'Expenditure Breakdown'!$W$6:$W$168, "&lt;"&amp;FZ1)</f>
        <v>0</v>
      </c>
      <c r="FZ11" s="125">
        <f>SUMIFS('Expenditure Breakdown'!$Q$6:$Q$168, 'Expenditure Breakdown'!$W$6:$W$168, "&gt;="&amp;FZ1,'Expenditure Breakdown'!$W$6:$W$168, "&lt;"&amp;GA1)</f>
        <v>0</v>
      </c>
      <c r="GA11" s="125">
        <f>SUMIFS('Expenditure Breakdown'!$Q$6:$Q$168, 'Expenditure Breakdown'!$W$6:$W$168, "&gt;="&amp;GA1,'Expenditure Breakdown'!$W$6:$W$168, "&lt;"&amp;GB1)</f>
        <v>0</v>
      </c>
      <c r="GB11" s="125">
        <f>SUMIFS('Expenditure Breakdown'!$Q$6:$Q$168, 'Expenditure Breakdown'!$W$6:$W$168, "&gt;="&amp;GB1,'Expenditure Breakdown'!$W$6:$W$168, "&lt;"&amp;GC1)</f>
        <v>0</v>
      </c>
      <c r="GC11" s="125">
        <f>SUMIFS('Expenditure Breakdown'!$Q$6:$Q$168, 'Expenditure Breakdown'!$W$6:$W$168, "&gt;="&amp;GC1,'Expenditure Breakdown'!$W$6:$W$168, "&lt;"&amp;GD1)</f>
        <v>0</v>
      </c>
      <c r="GD11" s="125">
        <f>SUMIFS('Expenditure Breakdown'!$Q$6:$Q$168, 'Expenditure Breakdown'!$W$6:$W$168, "&gt;="&amp;GD1,'Expenditure Breakdown'!$W$6:$W$168, "&lt;"&amp;GE1)</f>
        <v>0</v>
      </c>
      <c r="GE11" s="125">
        <f>SUMIFS('Expenditure Breakdown'!$Q$6:$Q$168, 'Expenditure Breakdown'!$W$6:$W$168, "&gt;="&amp;GE1,'Expenditure Breakdown'!$W$6:$W$168, "&lt;"&amp;GF1)</f>
        <v>0</v>
      </c>
      <c r="GF11" s="125">
        <f>SUMIFS('Expenditure Breakdown'!$Q$6:$Q$168, 'Expenditure Breakdown'!$W$6:$W$168, "&gt;="&amp;GF1,'Expenditure Breakdown'!$W$6:$W$168, "&lt;"&amp;GG1)</f>
        <v>0</v>
      </c>
      <c r="GG11" s="125">
        <f>SUMIFS('Expenditure Breakdown'!$Q$6:$Q$168, 'Expenditure Breakdown'!$W$6:$W$168, "&gt;="&amp;GG1,'Expenditure Breakdown'!$W$6:$W$168, "&lt;"&amp;GH1)</f>
        <v>0</v>
      </c>
      <c r="GH11" s="125">
        <f>SUMIFS('Expenditure Breakdown'!$Q$6:$Q$168, 'Expenditure Breakdown'!$W$6:$W$168, "&gt;="&amp;GH1,'Expenditure Breakdown'!$W$6:$W$168, "&lt;"&amp;GI1)</f>
        <v>0</v>
      </c>
      <c r="GI11" s="125">
        <f>SUMIFS('Expenditure Breakdown'!$Q$6:$Q$168, 'Expenditure Breakdown'!$W$6:$W$168, "&gt;="&amp;GI1,'Expenditure Breakdown'!$W$6:$W$168, "&lt;"&amp;GJ1)</f>
        <v>0</v>
      </c>
      <c r="GJ11" s="125">
        <f>SUMIFS('Expenditure Breakdown'!$Q$6:$Q$168, 'Expenditure Breakdown'!$W$6:$W$168, "&gt;="&amp;GJ1,'Expenditure Breakdown'!$W$6:$W$168, "&lt;"&amp;GK1)</f>
        <v>0</v>
      </c>
      <c r="GK11" s="125">
        <f>SUMIFS('Expenditure Breakdown'!$Q$6:$Q$168, 'Expenditure Breakdown'!$W$6:$W$168, "&gt;="&amp;GK1,'Expenditure Breakdown'!$W$6:$W$168, "&lt;"&amp;GL1)</f>
        <v>0</v>
      </c>
      <c r="GL11" s="125">
        <f>SUMIFS('Expenditure Breakdown'!$Q$6:$Q$168, 'Expenditure Breakdown'!$W$6:$W$168, "&gt;="&amp;GL1,'Expenditure Breakdown'!$W$6:$W$168, "&lt;"&amp;GM1)</f>
        <v>0</v>
      </c>
      <c r="GM11" s="125">
        <f>SUMIFS('Expenditure Breakdown'!$Q$6:$Q$168, 'Expenditure Breakdown'!$W$6:$W$168, "&gt;="&amp;GM1,'Expenditure Breakdown'!$W$6:$W$168, "&lt;"&amp;GN1)</f>
        <v>0</v>
      </c>
      <c r="GN11" s="125">
        <f>SUMIFS('Expenditure Breakdown'!$Q$6:$Q$168, 'Expenditure Breakdown'!$W$6:$W$168, "&gt;="&amp;GN1,'Expenditure Breakdown'!$W$6:$W$168, "&lt;"&amp;GO1)</f>
        <v>0</v>
      </c>
      <c r="GO11" s="125">
        <f>SUMIFS('Expenditure Breakdown'!$Q$6:$Q$168, 'Expenditure Breakdown'!$W$6:$W$168, "&gt;="&amp;GO1,'Expenditure Breakdown'!$W$6:$W$168, "&lt;"&amp;GP1)</f>
        <v>0</v>
      </c>
      <c r="GP11" s="125">
        <f>SUMIFS('Expenditure Breakdown'!$Q$6:$Q$168, 'Expenditure Breakdown'!$W$6:$W$168, "&gt;="&amp;GP1,'Expenditure Breakdown'!$W$6:$W$168, "&lt;"&amp;GQ1)</f>
        <v>0</v>
      </c>
      <c r="GQ11" s="125">
        <f>SUMIFS('Expenditure Breakdown'!$Q$6:$Q$168, 'Expenditure Breakdown'!$W$6:$W$168, "&gt;="&amp;GQ1,'Expenditure Breakdown'!$W$6:$W$168, "&lt;"&amp;GR1)</f>
        <v>0</v>
      </c>
      <c r="GR11" s="125">
        <f>SUMIFS('Expenditure Breakdown'!$Q$6:$Q$168, 'Expenditure Breakdown'!$W$6:$W$168, "&gt;="&amp;GR1,'Expenditure Breakdown'!$W$6:$W$168, "&lt;"&amp;GS1)</f>
        <v>0</v>
      </c>
      <c r="GS11" s="125">
        <f>SUMIFS('Expenditure Breakdown'!$Q$6:$Q$168, 'Expenditure Breakdown'!$W$6:$W$168, "&gt;="&amp;GS1,'Expenditure Breakdown'!$W$6:$W$168, "&lt;"&amp;GT1)</f>
        <v>0</v>
      </c>
      <c r="GT11" s="125">
        <f>SUMIFS('Expenditure Breakdown'!$Q$6:$Q$168, 'Expenditure Breakdown'!$W$6:$W$168, "&gt;="&amp;GT1,'Expenditure Breakdown'!$W$6:$W$168, "&lt;"&amp;GU1)</f>
        <v>0</v>
      </c>
      <c r="GU11" s="125">
        <f>SUMIFS('Expenditure Breakdown'!$Q$6:$Q$168, 'Expenditure Breakdown'!$W$6:$W$168, "&gt;="&amp;GU1,'Expenditure Breakdown'!$W$6:$W$168, "&lt;"&amp;GV1)</f>
        <v>0</v>
      </c>
      <c r="GV11" s="125">
        <f>SUMIFS('Expenditure Breakdown'!$Q$6:$Q$168, 'Expenditure Breakdown'!$W$6:$W$168, "&gt;="&amp;GV1,'Expenditure Breakdown'!$W$6:$W$168, "&lt;"&amp;GW1)</f>
        <v>0</v>
      </c>
      <c r="GW11" s="125">
        <f>SUMIFS('Expenditure Breakdown'!$Q$6:$Q$168, 'Expenditure Breakdown'!$W$6:$W$168, "&gt;="&amp;GW1,'Expenditure Breakdown'!$W$6:$W$168, "&lt;"&amp;GX1)</f>
        <v>0</v>
      </c>
      <c r="GX11" s="125">
        <f>SUMIFS('Expenditure Breakdown'!$Q$6:$Q$168, 'Expenditure Breakdown'!$W$6:$W$168, "&gt;="&amp;GX1,'Expenditure Breakdown'!$W$6:$W$168, "&lt;"&amp;GY1)</f>
        <v>0</v>
      </c>
      <c r="GY11" s="125">
        <f>SUMIFS('Expenditure Breakdown'!$Q$6:$Q$168, 'Expenditure Breakdown'!$W$6:$W$168, "&gt;="&amp;GY1,'Expenditure Breakdown'!$W$6:$W$168, "&lt;"&amp;GZ1)</f>
        <v>0</v>
      </c>
      <c r="GZ11" s="125">
        <f>SUMIFS('Expenditure Breakdown'!$Q$6:$Q$168, 'Expenditure Breakdown'!$W$6:$W$168, "&gt;="&amp;GZ1,'Expenditure Breakdown'!$W$6:$W$168, "&lt;"&amp;HA1)</f>
        <v>0</v>
      </c>
      <c r="HA11" s="125">
        <f>SUMIFS('Expenditure Breakdown'!$Q$6:$Q$168, 'Expenditure Breakdown'!$W$6:$W$168, "&gt;="&amp;HA1,'Expenditure Breakdown'!$W$6:$W$168, "&lt;"&amp;HB1)</f>
        <v>0</v>
      </c>
      <c r="HB11" s="125">
        <f>SUMIFS('Expenditure Breakdown'!$Q$6:$Q$168, 'Expenditure Breakdown'!$W$6:$W$168, "&gt;="&amp;HB1,'Expenditure Breakdown'!$W$6:$W$168, "&lt;"&amp;HC1)</f>
        <v>0</v>
      </c>
      <c r="HC11" s="125">
        <f>SUMIFS('Expenditure Breakdown'!$Q$6:$Q$168, 'Expenditure Breakdown'!$W$6:$W$168, "&gt;="&amp;HC1,'Expenditure Breakdown'!$W$6:$W$168, "&lt;"&amp;HD1)</f>
        <v>0</v>
      </c>
      <c r="HD11" s="125">
        <f>SUMIFS('Expenditure Breakdown'!$Q$6:$Q$168, 'Expenditure Breakdown'!$W$6:$W$168, "&gt;="&amp;HD1,'Expenditure Breakdown'!$W$6:$W$168, "&lt;"&amp;HE1)</f>
        <v>0</v>
      </c>
      <c r="HE11" s="125">
        <f>SUMIFS('Expenditure Breakdown'!$Q$6:$Q$168, 'Expenditure Breakdown'!$W$6:$W$168, "&gt;="&amp;HE1,'Expenditure Breakdown'!$W$6:$W$168, "&lt;"&amp;HF1)</f>
        <v>0</v>
      </c>
      <c r="HF11" s="125">
        <f>SUMIFS('Expenditure Breakdown'!$Q$6:$Q$168, 'Expenditure Breakdown'!$W$6:$W$168, "&gt;="&amp;HF1,'Expenditure Breakdown'!$W$6:$W$168, "&lt;"&amp;HG1)</f>
        <v>0</v>
      </c>
      <c r="HG11" s="125">
        <f>SUMIFS('Expenditure Breakdown'!$Q$6:$Q$168, 'Expenditure Breakdown'!$W$6:$W$168, "&gt;="&amp;HG1,'Expenditure Breakdown'!$W$6:$W$168, "&lt;"&amp;HH1)</f>
        <v>0</v>
      </c>
      <c r="HH11" s="125">
        <f>SUMIFS('Expenditure Breakdown'!$Q$6:$Q$168, 'Expenditure Breakdown'!$W$6:$W$168, "&gt;="&amp;HH1,'Expenditure Breakdown'!$W$6:$W$168, "&lt;"&amp;HI1)</f>
        <v>0</v>
      </c>
      <c r="HI11" s="125">
        <f>SUMIFS('Expenditure Breakdown'!$Q$6:$Q$168, 'Expenditure Breakdown'!$W$6:$W$168, "&gt;="&amp;HI1,'Expenditure Breakdown'!$W$6:$W$168, "&lt;"&amp;HJ1)</f>
        <v>0</v>
      </c>
      <c r="HJ11" s="125">
        <f>SUMIFS('Expenditure Breakdown'!$Q$6:$Q$168, 'Expenditure Breakdown'!$W$6:$W$168, "&gt;="&amp;HJ1,'Expenditure Breakdown'!$W$6:$W$168, "&lt;"&amp;HK1)</f>
        <v>0</v>
      </c>
      <c r="HK11" s="125">
        <f>SUMIFS('Expenditure Breakdown'!$Q$6:$Q$168, 'Expenditure Breakdown'!$W$6:$W$168, "&gt;="&amp;HK1,'Expenditure Breakdown'!$W$6:$W$168, "&lt;"&amp;HL1)</f>
        <v>0</v>
      </c>
      <c r="HL11" s="125">
        <f>SUMIFS('Expenditure Breakdown'!$Q$6:$Q$168, 'Expenditure Breakdown'!$W$6:$W$168, "&gt;="&amp;HL1,'Expenditure Breakdown'!$W$6:$W$168, "&lt;"&amp;HM1)</f>
        <v>0</v>
      </c>
      <c r="HM11" s="125">
        <f>SUMIFS('Expenditure Breakdown'!$Q$6:$Q$168, 'Expenditure Breakdown'!$W$6:$W$168, "&gt;="&amp;HM1,'Expenditure Breakdown'!$W$6:$W$168, "&lt;"&amp;HN1)</f>
        <v>0</v>
      </c>
      <c r="HN11" s="125">
        <f>SUMIFS('Expenditure Breakdown'!$Q$6:$Q$168, 'Expenditure Breakdown'!$W$6:$W$168, "&gt;="&amp;HN1,'Expenditure Breakdown'!$W$6:$W$168, "&lt;"&amp;HO1)</f>
        <v>0</v>
      </c>
      <c r="HO11" s="125">
        <f>SUMIFS('Expenditure Breakdown'!$Q$6:$Q$168, 'Expenditure Breakdown'!$W$6:$W$168, "&gt;="&amp;HO1,'Expenditure Breakdown'!$W$6:$W$168, "&lt;"&amp;HP1)</f>
        <v>0</v>
      </c>
      <c r="HP11" s="125">
        <f>SUMIFS('Expenditure Breakdown'!$Q$6:$Q$168, 'Expenditure Breakdown'!$W$6:$W$168, "&gt;="&amp;HP1,'Expenditure Breakdown'!$W$6:$W$168, "&lt;"&amp;HQ1)</f>
        <v>0</v>
      </c>
      <c r="HQ11" s="125">
        <f>SUMIFS('Expenditure Breakdown'!$Q$6:$Q$168, 'Expenditure Breakdown'!$W$6:$W$168, "&gt;="&amp;HQ1,'Expenditure Breakdown'!$W$6:$W$168, "&lt;"&amp;HR1)</f>
        <v>0</v>
      </c>
      <c r="HR11" s="125">
        <f>SUMIFS('Expenditure Breakdown'!$Q$6:$Q$168, 'Expenditure Breakdown'!$W$6:$W$168, "&gt;="&amp;HR1,'Expenditure Breakdown'!$W$6:$W$168, "&lt;"&amp;HS1)</f>
        <v>0</v>
      </c>
      <c r="HS11" s="125">
        <f>SUMIFS('Expenditure Breakdown'!$Q$6:$Q$168, 'Expenditure Breakdown'!$W$6:$W$168, "&gt;="&amp;HS1,'Expenditure Breakdown'!$W$6:$W$168, "&lt;"&amp;HT1)</f>
        <v>0</v>
      </c>
      <c r="HT11" s="125">
        <f>SUMIFS('Expenditure Breakdown'!$Q$6:$Q$168, 'Expenditure Breakdown'!$W$6:$W$168, "&gt;="&amp;HT1,'Expenditure Breakdown'!$W$6:$W$168, "&lt;"&amp;HU1)</f>
        <v>0</v>
      </c>
      <c r="HU11" s="125">
        <f>SUMIFS('Expenditure Breakdown'!$Q$6:$Q$168, 'Expenditure Breakdown'!$W$6:$W$168, "&gt;="&amp;HU1,'Expenditure Breakdown'!$W$6:$W$168, "&lt;"&amp;HV1)</f>
        <v>0</v>
      </c>
      <c r="HV11" s="125">
        <f>SUMIFS('Expenditure Breakdown'!$Q$6:$Q$168, 'Expenditure Breakdown'!$W$6:$W$168, "&gt;="&amp;HV1,'Expenditure Breakdown'!$W$6:$W$168, "&lt;"&amp;HW1)</f>
        <v>0</v>
      </c>
      <c r="HW11" s="125">
        <f>SUMIFS('Expenditure Breakdown'!$Q$6:$Q$168, 'Expenditure Breakdown'!$W$6:$W$168, "&gt;="&amp;HW1,'Expenditure Breakdown'!$W$6:$W$168, "&lt;"&amp;HX1)</f>
        <v>0</v>
      </c>
      <c r="HX11" s="125">
        <f>SUMIFS('Expenditure Breakdown'!$Q$6:$Q$168, 'Expenditure Breakdown'!$W$6:$W$168, "&gt;="&amp;HX1,'Expenditure Breakdown'!$W$6:$W$168, "&lt;"&amp;HY1)</f>
        <v>0</v>
      </c>
      <c r="HY11" s="125">
        <f>SUMIFS('Expenditure Breakdown'!$Q$6:$Q$168, 'Expenditure Breakdown'!$W$6:$W$168, "&gt;="&amp;HY1,'Expenditure Breakdown'!$W$6:$W$168, "&lt;"&amp;HZ1)</f>
        <v>0</v>
      </c>
      <c r="HZ11" s="125">
        <f>SUMIFS('Expenditure Breakdown'!$Q$6:$Q$168, 'Expenditure Breakdown'!$W$6:$W$168, "&gt;="&amp;HZ1,'Expenditure Breakdown'!$W$6:$W$168, "&lt;"&amp;IA1)</f>
        <v>0</v>
      </c>
      <c r="IA11" s="125">
        <f>SUMIFS('Expenditure Breakdown'!$Q$6:$Q$168, 'Expenditure Breakdown'!$W$6:$W$168, "&gt;="&amp;IA1,'Expenditure Breakdown'!$W$6:$W$168, "&lt;"&amp;IB1)</f>
        <v>0</v>
      </c>
      <c r="IB11" s="125">
        <f>SUMIFS('Expenditure Breakdown'!$Q$6:$Q$168, 'Expenditure Breakdown'!$W$6:$W$168, "&gt;="&amp;IB1,'Expenditure Breakdown'!$W$6:$W$168, "&lt;"&amp;IC1)</f>
        <v>0</v>
      </c>
      <c r="IC11" s="125">
        <f>SUMIFS('Expenditure Breakdown'!$Q$6:$Q$168, 'Expenditure Breakdown'!$W$6:$W$168, "&gt;="&amp;IC1,'Expenditure Breakdown'!$W$6:$W$168, "&lt;"&amp;ID1)</f>
        <v>0</v>
      </c>
      <c r="ID11" s="125">
        <f>SUMIFS('Expenditure Breakdown'!$Q$6:$Q$168, 'Expenditure Breakdown'!$W$6:$W$168, "&gt;="&amp;ID1,'Expenditure Breakdown'!$W$6:$W$168, "&lt;"&amp;IE1)</f>
        <v>0</v>
      </c>
      <c r="IE11" s="125">
        <f>SUMIFS('Expenditure Breakdown'!$Q$6:$Q$168, 'Expenditure Breakdown'!$W$6:$W$168, "&gt;="&amp;IE1,'Expenditure Breakdown'!$W$6:$W$168, "&lt;"&amp;IF1)</f>
        <v>0</v>
      </c>
      <c r="IF11" s="125">
        <f>SUMIFS('Expenditure Breakdown'!$Q$6:$Q$168, 'Expenditure Breakdown'!$W$6:$W$168, "&gt;="&amp;IF1,'Expenditure Breakdown'!$W$6:$W$168, "&lt;"&amp;IG1)</f>
        <v>0</v>
      </c>
      <c r="IG11" s="125">
        <f>SUMIFS('Expenditure Breakdown'!$Q$6:$Q$168, 'Expenditure Breakdown'!$W$6:$W$168, "&gt;="&amp;IG1,'Expenditure Breakdown'!$W$6:$W$168, "&lt;"&amp;IH1)</f>
        <v>0</v>
      </c>
      <c r="IH11" s="125">
        <f>SUMIFS('Expenditure Breakdown'!$Q$6:$Q$168, 'Expenditure Breakdown'!$W$6:$W$168, "&gt;="&amp;IH1,'Expenditure Breakdown'!$W$6:$W$168, "&lt;"&amp;II1)</f>
        <v>0</v>
      </c>
      <c r="II11" s="125">
        <f>SUMIFS('Expenditure Breakdown'!$Q$6:$Q$168, 'Expenditure Breakdown'!$W$6:$W$168, "&gt;="&amp;II1,'Expenditure Breakdown'!$W$6:$W$168, "&lt;"&amp;IJ1)</f>
        <v>0</v>
      </c>
      <c r="IJ11" s="125">
        <f>SUMIFS('Expenditure Breakdown'!$Q$6:$Q$168, 'Expenditure Breakdown'!$W$6:$W$168, "&gt;="&amp;IJ1,'Expenditure Breakdown'!$W$6:$W$168, "&lt;"&amp;IK1)</f>
        <v>0</v>
      </c>
      <c r="IK11" s="125">
        <f>SUMIFS('Expenditure Breakdown'!$Q$6:$Q$168, 'Expenditure Breakdown'!$W$6:$W$168, "&gt;="&amp;IK1,'Expenditure Breakdown'!$W$6:$W$168, "&lt;"&amp;IL1)</f>
        <v>0</v>
      </c>
      <c r="IL11" s="125">
        <f>SUMIFS('Expenditure Breakdown'!$Q$6:$Q$168, 'Expenditure Breakdown'!$W$6:$W$168, "&gt;="&amp;IL1,'Expenditure Breakdown'!$W$6:$W$168, "&lt;"&amp;IM1)</f>
        <v>0</v>
      </c>
      <c r="IM11" s="125">
        <f>SUMIFS('Expenditure Breakdown'!$Q$6:$Q$168, 'Expenditure Breakdown'!$W$6:$W$168, "&gt;="&amp;IM1,'Expenditure Breakdown'!$W$6:$W$168, "&lt;"&amp;IN1)</f>
        <v>0</v>
      </c>
      <c r="IN11" s="125">
        <f>SUMIFS('Expenditure Breakdown'!$Q$6:$Q$168, 'Expenditure Breakdown'!$W$6:$W$168, "&gt;="&amp;IN1,'Expenditure Breakdown'!$W$6:$W$168, "&lt;"&amp;IO1)</f>
        <v>0</v>
      </c>
      <c r="IO11" s="125">
        <f>SUMIFS('Expenditure Breakdown'!$Q$6:$Q$168, 'Expenditure Breakdown'!$W$6:$W$168, "&gt;="&amp;IO1,'Expenditure Breakdown'!$W$6:$W$168, "&lt;"&amp;IP1)</f>
        <v>0</v>
      </c>
      <c r="IP11" s="125">
        <f>SUMIFS('Expenditure Breakdown'!$Q$6:$Q$168, 'Expenditure Breakdown'!$W$6:$W$168, "&gt;="&amp;IP1,'Expenditure Breakdown'!$W$6:$W$168, "&lt;"&amp;IQ1)</f>
        <v>0</v>
      </c>
      <c r="IQ11" s="125">
        <f>SUMIFS('Expenditure Breakdown'!$Q$6:$Q$168, 'Expenditure Breakdown'!$W$6:$W$168, "&gt;="&amp;IQ1,'Expenditure Breakdown'!$W$6:$W$168, "&lt;"&amp;IR1)</f>
        <v>0</v>
      </c>
      <c r="IR11" s="125">
        <f>SUMIFS('Expenditure Breakdown'!$Q$6:$Q$168, 'Expenditure Breakdown'!$W$6:$W$168, "&gt;="&amp;IR1,'Expenditure Breakdown'!$W$6:$W$168, "&lt;"&amp;IS1)</f>
        <v>0</v>
      </c>
      <c r="IS11" s="125">
        <f>SUMIFS('Expenditure Breakdown'!$Q$6:$Q$168, 'Expenditure Breakdown'!$W$6:$W$168, "&gt;="&amp;IS1,'Expenditure Breakdown'!$W$6:$W$168, "&lt;"&amp;IT1)</f>
        <v>0</v>
      </c>
      <c r="IT11" s="125">
        <f>SUMIFS('Expenditure Breakdown'!$Q$6:$Q$168, 'Expenditure Breakdown'!$W$6:$W$168, "&gt;="&amp;IT1,'Expenditure Breakdown'!$W$6:$W$168, "&lt;"&amp;IU1)</f>
        <v>0</v>
      </c>
      <c r="IU11" s="125">
        <f>SUMIFS('Expenditure Breakdown'!$Q$6:$Q$168, 'Expenditure Breakdown'!$W$6:$W$168, "&gt;="&amp;IU1,'Expenditure Breakdown'!$W$6:$W$168, "&lt;"&amp;IV1)</f>
        <v>0</v>
      </c>
      <c r="IV11" s="125">
        <f>SUMIFS('Expenditure Breakdown'!$Q$6:$Q$168, 'Expenditure Breakdown'!$W$6:$W$168, "&gt;="&amp;IV1,'Expenditure Breakdown'!$W$6:$W$168, "&lt;"&amp;IW1)</f>
        <v>0</v>
      </c>
      <c r="IW11" s="125">
        <f>SUMIFS('Expenditure Breakdown'!$Q$6:$Q$168, 'Expenditure Breakdown'!$W$6:$W$168, "&gt;="&amp;IW1,'Expenditure Breakdown'!$W$6:$W$168, "&lt;"&amp;IX1)</f>
        <v>0</v>
      </c>
      <c r="IX11" s="125">
        <f>SUMIFS('Expenditure Breakdown'!$Q$6:$Q$168, 'Expenditure Breakdown'!$W$6:$W$168, "&gt;="&amp;IX1,'Expenditure Breakdown'!$W$6:$W$168, "&lt;"&amp;IY1)</f>
        <v>0</v>
      </c>
      <c r="IY11" s="125">
        <f>SUMIFS('Expenditure Breakdown'!$Q$6:$Q$168, 'Expenditure Breakdown'!$W$6:$W$168, "&gt;="&amp;IY1,'Expenditure Breakdown'!$W$6:$W$168, "&lt;"&amp;IZ1)</f>
        <v>0</v>
      </c>
      <c r="IZ11" s="125">
        <f>SUMIFS('Expenditure Breakdown'!$Q$6:$Q$168, 'Expenditure Breakdown'!$W$6:$W$168, "&gt;="&amp;IZ1,'Expenditure Breakdown'!$W$6:$W$168, "&lt;"&amp;JA1)</f>
        <v>0</v>
      </c>
      <c r="JA11" s="125">
        <f>SUMIFS('Expenditure Breakdown'!$Q$6:$Q$168, 'Expenditure Breakdown'!$W$6:$W$168, "&gt;="&amp;JA1,'Expenditure Breakdown'!$W$6:$W$168, "&lt;"&amp;JB1)</f>
        <v>0</v>
      </c>
      <c r="JB11" s="125">
        <f>SUMIFS('Expenditure Breakdown'!$Q$6:$Q$168, 'Expenditure Breakdown'!$W$6:$W$168, "&gt;="&amp;JB1,'Expenditure Breakdown'!$W$6:$W$168, "&lt;"&amp;JC1)</f>
        <v>0</v>
      </c>
      <c r="JC11" s="125">
        <f>SUMIFS('Expenditure Breakdown'!$Q$6:$Q$168, 'Expenditure Breakdown'!$W$6:$W$168, "&gt;="&amp;JC1,'Expenditure Breakdown'!$W$6:$W$168, "&lt;"&amp;JD1)</f>
        <v>0</v>
      </c>
      <c r="JD11" s="125">
        <f>SUMIFS('Expenditure Breakdown'!$Q$6:$Q$168, 'Expenditure Breakdown'!$W$6:$W$168, "&gt;="&amp;JD1,'Expenditure Breakdown'!$W$6:$W$168, "&lt;"&amp;JE1)</f>
        <v>0</v>
      </c>
      <c r="JE11" s="125">
        <f>SUMIFS('Expenditure Breakdown'!$Q$6:$Q$168, 'Expenditure Breakdown'!$W$6:$W$168, "&gt;="&amp;JE1,'Expenditure Breakdown'!$W$6:$W$168, "&lt;"&amp;JF1)</f>
        <v>0</v>
      </c>
      <c r="JF11" s="125">
        <f>SUMIFS('Expenditure Breakdown'!$Q$6:$Q$168, 'Expenditure Breakdown'!$W$6:$W$168, "&gt;="&amp;JF1,'Expenditure Breakdown'!$W$6:$W$168, "&lt;"&amp;JG1)</f>
        <v>0</v>
      </c>
      <c r="JG11" s="125">
        <f>SUMIFS('Expenditure Breakdown'!$Q$6:$Q$168, 'Expenditure Breakdown'!$W$6:$W$168, "&gt;="&amp;JG1,'Expenditure Breakdown'!$W$6:$W$168, "&lt;"&amp;JH1)</f>
        <v>0</v>
      </c>
      <c r="JH11" s="125">
        <f>SUMIFS('Expenditure Breakdown'!$Q$6:$Q$168, 'Expenditure Breakdown'!$W$6:$W$168, "&gt;="&amp;JH1,'Expenditure Breakdown'!$W$6:$W$168, "&lt;"&amp;JI1)</f>
        <v>0</v>
      </c>
      <c r="JI11" s="125">
        <f>SUMIFS('Expenditure Breakdown'!$Q$6:$Q$168, 'Expenditure Breakdown'!$W$6:$W$168, "&gt;="&amp;JI1,'Expenditure Breakdown'!$W$6:$W$168, "&lt;"&amp;JJ1)</f>
        <v>0</v>
      </c>
      <c r="JJ11" s="125">
        <f>SUMIFS('Expenditure Breakdown'!$Q$6:$Q$168, 'Expenditure Breakdown'!$W$6:$W$168, "&gt;="&amp;JJ1,'Expenditure Breakdown'!$W$6:$W$168, "&lt;"&amp;JK1)</f>
        <v>0</v>
      </c>
      <c r="JK11" s="125">
        <f>SUMIFS('Expenditure Breakdown'!$Q$6:$Q$168, 'Expenditure Breakdown'!$W$6:$W$168, "&gt;="&amp;JK1,'Expenditure Breakdown'!$W$6:$W$168, "&lt;"&amp;JL1)</f>
        <v>0</v>
      </c>
      <c r="JL11" s="125">
        <f>SUMIFS('Expenditure Breakdown'!$Q$6:$Q$168, 'Expenditure Breakdown'!$W$6:$W$168, "&gt;="&amp;JL1,'Expenditure Breakdown'!$W$6:$W$168, "&lt;"&amp;JM1)</f>
        <v>0</v>
      </c>
      <c r="JM11" s="125">
        <f>SUMIFS('Expenditure Breakdown'!$Q$6:$Q$168, 'Expenditure Breakdown'!$W$6:$W$168, "&gt;="&amp;JM1,'Expenditure Breakdown'!$W$6:$W$168, "&lt;"&amp;JN1)</f>
        <v>0</v>
      </c>
      <c r="JN11" s="125">
        <f>SUMIFS('Expenditure Breakdown'!$Q$6:$Q$168, 'Expenditure Breakdown'!$W$6:$W$168, "&gt;="&amp;JN1,'Expenditure Breakdown'!$W$6:$W$168, "&lt;"&amp;JO1)</f>
        <v>0</v>
      </c>
      <c r="JO11" s="125">
        <f>SUMIFS('Expenditure Breakdown'!$Q$6:$Q$168, 'Expenditure Breakdown'!$W$6:$W$168, "&gt;="&amp;JO1,'Expenditure Breakdown'!$W$6:$W$168, "&lt;"&amp;JP1)</f>
        <v>0</v>
      </c>
      <c r="JP11" s="125">
        <f>SUMIFS('Expenditure Breakdown'!$Q$6:$Q$168, 'Expenditure Breakdown'!$W$6:$W$168, "&gt;="&amp;JP1,'Expenditure Breakdown'!$W$6:$W$168, "&lt;"&amp;JQ1)</f>
        <v>0</v>
      </c>
      <c r="JQ11" s="125">
        <f>SUMIFS('Expenditure Breakdown'!$Q$6:$Q$168, 'Expenditure Breakdown'!$W$6:$W$168, "&gt;="&amp;JQ1,'Expenditure Breakdown'!$W$6:$W$168, "&lt;"&amp;JR1)</f>
        <v>0</v>
      </c>
      <c r="JR11" s="125">
        <f>SUMIFS('Expenditure Breakdown'!$Q$6:$Q$168, 'Expenditure Breakdown'!$W$6:$W$168, "&gt;="&amp;JR1,'Expenditure Breakdown'!$W$6:$W$168, "&lt;"&amp;JS1)</f>
        <v>0</v>
      </c>
      <c r="JS11" s="125">
        <f>SUMIFS('Expenditure Breakdown'!$Q$6:$Q$168, 'Expenditure Breakdown'!$W$6:$W$168, "&gt;="&amp;JS1,'Expenditure Breakdown'!$W$6:$W$168, "&lt;"&amp;JT1)</f>
        <v>0</v>
      </c>
      <c r="JT11" s="125">
        <f>SUMIFS('Expenditure Breakdown'!$Q$6:$Q$168, 'Expenditure Breakdown'!$W$6:$W$168, "&gt;="&amp;JT1,'Expenditure Breakdown'!$W$6:$W$168, "&lt;"&amp;JU1)</f>
        <v>0</v>
      </c>
      <c r="JU11" s="125">
        <f>SUMIFS('Expenditure Breakdown'!$Q$6:$Q$168, 'Expenditure Breakdown'!$W$6:$W$168, "&gt;="&amp;JU1,'Expenditure Breakdown'!$W$6:$W$168, "&lt;"&amp;JV1)</f>
        <v>0</v>
      </c>
      <c r="JV11" s="125">
        <f>SUMIFS('Expenditure Breakdown'!$Q$6:$Q$168, 'Expenditure Breakdown'!$W$6:$W$168, "&gt;="&amp;JV1,'Expenditure Breakdown'!$W$6:$W$168, "&lt;"&amp;JW1)</f>
        <v>0</v>
      </c>
      <c r="JW11" s="125">
        <f>SUMIFS('Expenditure Breakdown'!$Q$6:$Q$168, 'Expenditure Breakdown'!$W$6:$W$168, "&gt;="&amp;JW1,'Expenditure Breakdown'!$W$6:$W$168, "&lt;"&amp;JX1)</f>
        <v>0</v>
      </c>
      <c r="JX11" s="125">
        <f>SUMIFS('Expenditure Breakdown'!$Q$6:$Q$168, 'Expenditure Breakdown'!$W$6:$W$168, "&gt;="&amp;JX1,'Expenditure Breakdown'!$W$6:$W$168, "&lt;"&amp;JY1)</f>
        <v>0</v>
      </c>
      <c r="JY11" s="125">
        <f>SUMIFS('Expenditure Breakdown'!$Q$6:$Q$168, 'Expenditure Breakdown'!$W$6:$W$168, "&gt;="&amp;JY1,'Expenditure Breakdown'!$W$6:$W$168, "&lt;"&amp;JZ1)</f>
        <v>0</v>
      </c>
      <c r="JZ11" s="125">
        <f>SUMIFS('Expenditure Breakdown'!$Q$6:$Q$168, 'Expenditure Breakdown'!$W$6:$W$168, "&gt;="&amp;JZ1,'Expenditure Breakdown'!$W$6:$W$168, "&lt;"&amp;KA1)</f>
        <v>0</v>
      </c>
      <c r="KA11" s="125">
        <f>SUMIFS('Expenditure Breakdown'!$Q$6:$Q$168, 'Expenditure Breakdown'!$W$6:$W$168, "&gt;="&amp;KA1,'Expenditure Breakdown'!$W$6:$W$168, "&lt;"&amp;KB1)</f>
        <v>0</v>
      </c>
      <c r="KB11" s="125">
        <f>SUMIFS('Expenditure Breakdown'!$Q$6:$Q$168, 'Expenditure Breakdown'!$W$6:$W$168, "&gt;="&amp;KB1,'Expenditure Breakdown'!$W$6:$W$168, "&lt;"&amp;KC1)</f>
        <v>0</v>
      </c>
      <c r="KC11" s="125">
        <f>SUMIFS('Expenditure Breakdown'!$Q$6:$Q$168, 'Expenditure Breakdown'!$W$6:$W$168, "&gt;="&amp;KC1,'Expenditure Breakdown'!$W$6:$W$168, "&lt;"&amp;KD1)</f>
        <v>0</v>
      </c>
      <c r="KD11" s="125">
        <f>SUMIFS('Expenditure Breakdown'!$Q$6:$Q$168, 'Expenditure Breakdown'!$W$6:$W$168, "&gt;="&amp;KD1,'Expenditure Breakdown'!$W$6:$W$168, "&lt;"&amp;KE1)</f>
        <v>0</v>
      </c>
      <c r="KE11" s="125">
        <f>SUMIFS('Expenditure Breakdown'!$Q$6:$Q$168, 'Expenditure Breakdown'!$W$6:$W$168, "&gt;="&amp;KE1,'Expenditure Breakdown'!$W$6:$W$168, "&lt;"&amp;KF1)</f>
        <v>0</v>
      </c>
      <c r="KF11" s="125">
        <f>SUMIFS('Expenditure Breakdown'!$Q$6:$Q$168, 'Expenditure Breakdown'!$W$6:$W$168, "&gt;="&amp;KF1,'Expenditure Breakdown'!$W$6:$W$168, "&lt;"&amp;#REF!)</f>
        <v>0</v>
      </c>
      <c r="KG11" s="102"/>
      <c r="KH11" s="113"/>
      <c r="KI11" s="113"/>
    </row>
    <row r="12" spans="1:770" s="114" customFormat="1">
      <c r="A12" s="723"/>
      <c r="B12" s="123" t="s">
        <v>395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15037.08</v>
      </c>
      <c r="S12" s="125">
        <f t="shared" si="26"/>
        <v>15037.08</v>
      </c>
      <c r="T12" s="125">
        <f t="shared" si="26"/>
        <v>92410.139239130425</v>
      </c>
      <c r="U12" s="125">
        <f t="shared" si="26"/>
        <v>203410.13923913043</v>
      </c>
      <c r="V12" s="125">
        <f t="shared" si="26"/>
        <v>203935.13923913043</v>
      </c>
      <c r="W12" s="125">
        <f t="shared" si="26"/>
        <v>265833.58663043479</v>
      </c>
      <c r="X12" s="125">
        <f t="shared" si="26"/>
        <v>343206.6458695652</v>
      </c>
      <c r="Y12" s="125">
        <f t="shared" si="26"/>
        <v>438379.30683497968</v>
      </c>
      <c r="Z12" s="125">
        <f t="shared" si="26"/>
        <v>574234.36607411015</v>
      </c>
      <c r="AA12" s="125">
        <f t="shared" si="26"/>
        <v>587336.86607411015</v>
      </c>
      <c r="AB12" s="125">
        <f t="shared" si="26"/>
        <v>587336.86607411015</v>
      </c>
      <c r="AC12" s="125">
        <f t="shared" si="26"/>
        <v>1014401.9779219363</v>
      </c>
      <c r="AD12" s="125">
        <f>AC12+AD11</f>
        <v>1095233.9279219364</v>
      </c>
      <c r="AE12" s="125">
        <f t="shared" si="26"/>
        <v>1095758.9279219364</v>
      </c>
      <c r="AF12" s="125">
        <f t="shared" si="26"/>
        <v>1095758.9279219364</v>
      </c>
      <c r="AG12" s="125">
        <f t="shared" si="26"/>
        <v>1095758.9279219364</v>
      </c>
      <c r="AH12" s="125">
        <f t="shared" si="26"/>
        <v>1095758.9279219364</v>
      </c>
      <c r="AI12" s="125">
        <f t="shared" si="26"/>
        <v>1095758.9279219364</v>
      </c>
      <c r="AJ12" s="125">
        <f t="shared" si="26"/>
        <v>1095758.9279219364</v>
      </c>
      <c r="AK12" s="125">
        <f t="shared" si="26"/>
        <v>1095758.9279219364</v>
      </c>
      <c r="AL12" s="125">
        <f t="shared" si="26"/>
        <v>1095758.9279219364</v>
      </c>
      <c r="AM12" s="125">
        <f t="shared" si="26"/>
        <v>1095758.9279219364</v>
      </c>
      <c r="AN12" s="125">
        <f t="shared" si="26"/>
        <v>1095758.9279219364</v>
      </c>
      <c r="AO12" s="125">
        <f t="shared" si="26"/>
        <v>1095758.9279219364</v>
      </c>
      <c r="AP12" s="125">
        <f t="shared" si="26"/>
        <v>1095758.9279219364</v>
      </c>
      <c r="AQ12" s="125">
        <f t="shared" si="26"/>
        <v>1095758.9279219364</v>
      </c>
      <c r="AR12" s="125">
        <f t="shared" si="26"/>
        <v>1095758.9279219364</v>
      </c>
      <c r="AS12" s="125">
        <f t="shared" si="26"/>
        <v>1095758.9279219364</v>
      </c>
      <c r="AT12" s="125">
        <f t="shared" si="26"/>
        <v>1095758.9279219364</v>
      </c>
      <c r="AU12" s="125">
        <f t="shared" si="26"/>
        <v>1095758.9279219364</v>
      </c>
      <c r="AV12" s="125">
        <f t="shared" si="26"/>
        <v>1095758.9279219364</v>
      </c>
      <c r="AW12" s="125">
        <f t="shared" si="26"/>
        <v>1095758.9279219364</v>
      </c>
      <c r="AX12" s="125">
        <f t="shared" si="26"/>
        <v>1095758.9279219364</v>
      </c>
      <c r="AY12" s="125">
        <f t="shared" si="26"/>
        <v>1095758.9279219364</v>
      </c>
      <c r="AZ12" s="125">
        <f t="shared" si="26"/>
        <v>1095758.9279219364</v>
      </c>
      <c r="BA12" s="125">
        <f t="shared" si="26"/>
        <v>1095758.9279219364</v>
      </c>
      <c r="BB12" s="125">
        <f t="shared" si="26"/>
        <v>1095758.9279219364</v>
      </c>
      <c r="BC12" s="125">
        <f t="shared" si="26"/>
        <v>1095758.9279219364</v>
      </c>
      <c r="BD12" s="125">
        <f t="shared" si="26"/>
        <v>1095758.9279219364</v>
      </c>
      <c r="BE12" s="125">
        <f t="shared" si="26"/>
        <v>1095758.9279219364</v>
      </c>
      <c r="BF12" s="125">
        <f t="shared" si="26"/>
        <v>1095758.9279219364</v>
      </c>
      <c r="BG12" s="125">
        <f t="shared" si="26"/>
        <v>1095758.9279219364</v>
      </c>
      <c r="BH12" s="125">
        <f t="shared" si="26"/>
        <v>1095758.9279219364</v>
      </c>
      <c r="BI12" s="125">
        <f t="shared" si="26"/>
        <v>1095758.9279219364</v>
      </c>
      <c r="BJ12" s="125">
        <f t="shared" si="26"/>
        <v>1095758.9279219364</v>
      </c>
      <c r="BK12" s="125">
        <f t="shared" si="26"/>
        <v>1095758.9279219364</v>
      </c>
      <c r="BL12" s="125">
        <f t="shared" si="26"/>
        <v>1095758.9279219364</v>
      </c>
      <c r="BM12" s="125">
        <f t="shared" si="26"/>
        <v>1095758.9279219364</v>
      </c>
      <c r="BN12" s="125">
        <f t="shared" si="26"/>
        <v>1095758.9279219364</v>
      </c>
      <c r="BO12" s="125">
        <f t="shared" si="26"/>
        <v>1095758.9279219364</v>
      </c>
      <c r="BP12" s="125">
        <f t="shared" si="26"/>
        <v>1095758.9279219364</v>
      </c>
      <c r="BQ12" s="125">
        <f t="shared" si="26"/>
        <v>1095758.9279219364</v>
      </c>
      <c r="BR12" s="125">
        <f t="shared" si="26"/>
        <v>1095758.9279219364</v>
      </c>
      <c r="BS12" s="125">
        <f t="shared" si="26"/>
        <v>1095758.9279219364</v>
      </c>
      <c r="BT12" s="125">
        <f t="shared" si="26"/>
        <v>1095758.9279219364</v>
      </c>
      <c r="BU12" s="125">
        <f t="shared" ref="BU12:EF12" si="27">BT12+BU11</f>
        <v>1095758.9279219364</v>
      </c>
      <c r="BV12" s="125">
        <f t="shared" si="27"/>
        <v>1095758.9279219364</v>
      </c>
      <c r="BW12" s="125">
        <f t="shared" si="27"/>
        <v>1095758.9279219364</v>
      </c>
      <c r="BX12" s="125">
        <f t="shared" si="27"/>
        <v>1095758.9279219364</v>
      </c>
      <c r="BY12" s="125">
        <f t="shared" si="27"/>
        <v>1095758.9279219364</v>
      </c>
      <c r="BZ12" s="125">
        <f t="shared" si="27"/>
        <v>1095758.9279219364</v>
      </c>
      <c r="CA12" s="125">
        <f t="shared" si="27"/>
        <v>1095758.9279219364</v>
      </c>
      <c r="CB12" s="125">
        <f t="shared" si="27"/>
        <v>1095758.9279219364</v>
      </c>
      <c r="CC12" s="125">
        <f t="shared" si="27"/>
        <v>1095758.9279219364</v>
      </c>
      <c r="CD12" s="125">
        <f t="shared" si="27"/>
        <v>1095758.9279219364</v>
      </c>
      <c r="CE12" s="125">
        <f t="shared" si="27"/>
        <v>1095758.9279219364</v>
      </c>
      <c r="CF12" s="125">
        <f t="shared" si="27"/>
        <v>1095758.9279219364</v>
      </c>
      <c r="CG12" s="125">
        <f t="shared" si="27"/>
        <v>1095758.9279219364</v>
      </c>
      <c r="CH12" s="125">
        <f t="shared" si="27"/>
        <v>1095758.9279219364</v>
      </c>
      <c r="CI12" s="125">
        <f t="shared" si="27"/>
        <v>1095758.9279219364</v>
      </c>
      <c r="CJ12" s="125">
        <f t="shared" si="27"/>
        <v>1095758.9279219364</v>
      </c>
      <c r="CK12" s="125">
        <f t="shared" si="27"/>
        <v>1095758.9279219364</v>
      </c>
      <c r="CL12" s="125">
        <f t="shared" si="27"/>
        <v>1095758.9279219364</v>
      </c>
      <c r="CM12" s="125">
        <f t="shared" si="27"/>
        <v>1095758.9279219364</v>
      </c>
      <c r="CN12" s="125">
        <f t="shared" si="27"/>
        <v>1095758.9279219364</v>
      </c>
      <c r="CO12" s="125">
        <f t="shared" si="27"/>
        <v>1095758.9279219364</v>
      </c>
      <c r="CP12" s="125">
        <f t="shared" si="27"/>
        <v>1095758.9279219364</v>
      </c>
      <c r="CQ12" s="125">
        <f t="shared" si="27"/>
        <v>1095758.9279219364</v>
      </c>
      <c r="CR12" s="125">
        <f t="shared" si="27"/>
        <v>1095758.9279219364</v>
      </c>
      <c r="CS12" s="125">
        <f t="shared" si="27"/>
        <v>1095758.9279219364</v>
      </c>
      <c r="CT12" s="125">
        <f t="shared" si="27"/>
        <v>1095758.9279219364</v>
      </c>
      <c r="CU12" s="125">
        <f t="shared" si="27"/>
        <v>1095758.9279219364</v>
      </c>
      <c r="CV12" s="125">
        <f t="shared" si="27"/>
        <v>1095758.9279219364</v>
      </c>
      <c r="CW12" s="125">
        <f t="shared" si="27"/>
        <v>1095758.9279219364</v>
      </c>
      <c r="CX12" s="125">
        <f t="shared" si="27"/>
        <v>1095758.9279219364</v>
      </c>
      <c r="CY12" s="125">
        <f t="shared" si="27"/>
        <v>1095758.9279219364</v>
      </c>
      <c r="CZ12" s="125">
        <f t="shared" si="27"/>
        <v>1095758.9279219364</v>
      </c>
      <c r="DA12" s="125">
        <f t="shared" si="27"/>
        <v>1095758.9279219364</v>
      </c>
      <c r="DB12" s="125">
        <f t="shared" si="27"/>
        <v>1095758.9279219364</v>
      </c>
      <c r="DC12" s="125">
        <f t="shared" si="27"/>
        <v>1095758.9279219364</v>
      </c>
      <c r="DD12" s="125">
        <f t="shared" si="27"/>
        <v>1095758.9279219364</v>
      </c>
      <c r="DE12" s="125">
        <f t="shared" si="27"/>
        <v>1095758.9279219364</v>
      </c>
      <c r="DF12" s="125">
        <f t="shared" si="27"/>
        <v>1095758.9279219364</v>
      </c>
      <c r="DG12" s="125">
        <f t="shared" si="27"/>
        <v>1095758.9279219364</v>
      </c>
      <c r="DH12" s="125">
        <f t="shared" si="27"/>
        <v>1095758.9279219364</v>
      </c>
      <c r="DI12" s="125">
        <f t="shared" si="27"/>
        <v>1095758.9279219364</v>
      </c>
      <c r="DJ12" s="125">
        <f t="shared" si="27"/>
        <v>1095758.9279219364</v>
      </c>
      <c r="DK12" s="125">
        <f t="shared" si="27"/>
        <v>1095758.9279219364</v>
      </c>
      <c r="DL12" s="125">
        <f t="shared" si="27"/>
        <v>1095758.9279219364</v>
      </c>
      <c r="DM12" s="125">
        <f t="shared" si="27"/>
        <v>1095758.9279219364</v>
      </c>
      <c r="DN12" s="125">
        <f t="shared" si="27"/>
        <v>1095758.9279219364</v>
      </c>
      <c r="DO12" s="125">
        <f t="shared" si="27"/>
        <v>1095758.9279219364</v>
      </c>
      <c r="DP12" s="125">
        <f t="shared" si="27"/>
        <v>1095758.9279219364</v>
      </c>
      <c r="DQ12" s="125">
        <f t="shared" si="27"/>
        <v>1095758.9279219364</v>
      </c>
      <c r="DR12" s="125">
        <f t="shared" si="27"/>
        <v>1095758.9279219364</v>
      </c>
      <c r="DS12" s="125">
        <f t="shared" si="27"/>
        <v>1095758.9279219364</v>
      </c>
      <c r="DT12" s="125">
        <f t="shared" si="27"/>
        <v>1095758.9279219364</v>
      </c>
      <c r="DU12" s="125">
        <f t="shared" si="27"/>
        <v>1095758.9279219364</v>
      </c>
      <c r="DV12" s="125">
        <f t="shared" si="27"/>
        <v>1095758.9279219364</v>
      </c>
      <c r="DW12" s="125">
        <f t="shared" si="27"/>
        <v>1095758.9279219364</v>
      </c>
      <c r="DX12" s="125">
        <f t="shared" si="27"/>
        <v>1095758.9279219364</v>
      </c>
      <c r="DY12" s="125">
        <f t="shared" si="27"/>
        <v>1095758.9279219364</v>
      </c>
      <c r="DZ12" s="125">
        <f t="shared" si="27"/>
        <v>1095758.9279219364</v>
      </c>
      <c r="EA12" s="125">
        <f t="shared" si="27"/>
        <v>1095758.9279219364</v>
      </c>
      <c r="EB12" s="125">
        <f t="shared" si="27"/>
        <v>1095758.9279219364</v>
      </c>
      <c r="EC12" s="125">
        <f t="shared" si="27"/>
        <v>1095758.9279219364</v>
      </c>
      <c r="ED12" s="125">
        <f t="shared" si="27"/>
        <v>1095758.9279219364</v>
      </c>
      <c r="EE12" s="125">
        <f t="shared" si="27"/>
        <v>1095758.9279219364</v>
      </c>
      <c r="EF12" s="125">
        <f t="shared" si="27"/>
        <v>1095758.9279219364</v>
      </c>
      <c r="EG12" s="125">
        <f t="shared" ref="EG12:GR12" si="28">EF12+EG11</f>
        <v>1095758.9279219364</v>
      </c>
      <c r="EH12" s="125">
        <f t="shared" si="28"/>
        <v>1095758.9279219364</v>
      </c>
      <c r="EI12" s="125">
        <f t="shared" si="28"/>
        <v>1095758.9279219364</v>
      </c>
      <c r="EJ12" s="125">
        <f t="shared" si="28"/>
        <v>1095758.9279219364</v>
      </c>
      <c r="EK12" s="125">
        <f t="shared" si="28"/>
        <v>1095758.9279219364</v>
      </c>
      <c r="EL12" s="125">
        <f t="shared" si="28"/>
        <v>1095758.9279219364</v>
      </c>
      <c r="EM12" s="125">
        <f t="shared" si="28"/>
        <v>1095758.9279219364</v>
      </c>
      <c r="EN12" s="125">
        <f t="shared" si="28"/>
        <v>1095758.9279219364</v>
      </c>
      <c r="EO12" s="125">
        <f t="shared" si="28"/>
        <v>1095758.9279219364</v>
      </c>
      <c r="EP12" s="125">
        <f t="shared" si="28"/>
        <v>1095758.9279219364</v>
      </c>
      <c r="EQ12" s="125">
        <f t="shared" si="28"/>
        <v>1095758.9279219364</v>
      </c>
      <c r="ER12" s="125">
        <f t="shared" si="28"/>
        <v>1095758.9279219364</v>
      </c>
      <c r="ES12" s="125">
        <f t="shared" si="28"/>
        <v>1095758.9279219364</v>
      </c>
      <c r="ET12" s="125">
        <f t="shared" si="28"/>
        <v>1095758.9279219364</v>
      </c>
      <c r="EU12" s="125">
        <f t="shared" si="28"/>
        <v>1095758.9279219364</v>
      </c>
      <c r="EV12" s="125">
        <f t="shared" si="28"/>
        <v>1095758.9279219364</v>
      </c>
      <c r="EW12" s="125">
        <f t="shared" si="28"/>
        <v>1095758.9279219364</v>
      </c>
      <c r="EX12" s="125">
        <f t="shared" si="28"/>
        <v>1095758.9279219364</v>
      </c>
      <c r="EY12" s="125">
        <f t="shared" si="28"/>
        <v>1095758.9279219364</v>
      </c>
      <c r="EZ12" s="125">
        <f t="shared" si="28"/>
        <v>1095758.9279219364</v>
      </c>
      <c r="FA12" s="125">
        <f t="shared" si="28"/>
        <v>1095758.9279219364</v>
      </c>
      <c r="FB12" s="125">
        <f t="shared" si="28"/>
        <v>1095758.9279219364</v>
      </c>
      <c r="FC12" s="125">
        <f t="shared" si="28"/>
        <v>1095758.9279219364</v>
      </c>
      <c r="FD12" s="125">
        <f t="shared" si="28"/>
        <v>1095758.9279219364</v>
      </c>
      <c r="FE12" s="125">
        <f t="shared" si="28"/>
        <v>1095758.9279219364</v>
      </c>
      <c r="FF12" s="125">
        <f t="shared" si="28"/>
        <v>1095758.9279219364</v>
      </c>
      <c r="FG12" s="125">
        <f t="shared" si="28"/>
        <v>1095758.9279219364</v>
      </c>
      <c r="FH12" s="125">
        <f t="shared" si="28"/>
        <v>1095758.9279219364</v>
      </c>
      <c r="FI12" s="125">
        <f t="shared" si="28"/>
        <v>1095758.9279219364</v>
      </c>
      <c r="FJ12" s="125">
        <f t="shared" si="28"/>
        <v>1095758.9279219364</v>
      </c>
      <c r="FK12" s="125">
        <f t="shared" si="28"/>
        <v>1095758.9279219364</v>
      </c>
      <c r="FL12" s="125">
        <f t="shared" si="28"/>
        <v>1095758.9279219364</v>
      </c>
      <c r="FM12" s="125">
        <f t="shared" si="28"/>
        <v>1095758.9279219364</v>
      </c>
      <c r="FN12" s="125">
        <f t="shared" si="28"/>
        <v>1095758.9279219364</v>
      </c>
      <c r="FO12" s="125">
        <f t="shared" si="28"/>
        <v>1095758.9279219364</v>
      </c>
      <c r="FP12" s="125">
        <f t="shared" si="28"/>
        <v>1095758.9279219364</v>
      </c>
      <c r="FQ12" s="125">
        <f t="shared" si="28"/>
        <v>1095758.9279219364</v>
      </c>
      <c r="FR12" s="125">
        <f t="shared" si="28"/>
        <v>1095758.9279219364</v>
      </c>
      <c r="FS12" s="125">
        <f t="shared" si="28"/>
        <v>1095758.9279219364</v>
      </c>
      <c r="FT12" s="125">
        <f t="shared" si="28"/>
        <v>1095758.9279219364</v>
      </c>
      <c r="FU12" s="125">
        <f t="shared" si="28"/>
        <v>1095758.9279219364</v>
      </c>
      <c r="FV12" s="125">
        <f t="shared" si="28"/>
        <v>1095758.9279219364</v>
      </c>
      <c r="FW12" s="125">
        <f t="shared" si="28"/>
        <v>1095758.9279219364</v>
      </c>
      <c r="FX12" s="125">
        <f t="shared" si="28"/>
        <v>1095758.9279219364</v>
      </c>
      <c r="FY12" s="125">
        <f t="shared" si="28"/>
        <v>1095758.9279219364</v>
      </c>
      <c r="FZ12" s="125">
        <f t="shared" si="28"/>
        <v>1095758.9279219364</v>
      </c>
      <c r="GA12" s="125">
        <f t="shared" si="28"/>
        <v>1095758.9279219364</v>
      </c>
      <c r="GB12" s="125">
        <f t="shared" si="28"/>
        <v>1095758.9279219364</v>
      </c>
      <c r="GC12" s="125">
        <f t="shared" si="28"/>
        <v>1095758.9279219364</v>
      </c>
      <c r="GD12" s="125">
        <f t="shared" si="28"/>
        <v>1095758.9279219364</v>
      </c>
      <c r="GE12" s="125">
        <f t="shared" si="28"/>
        <v>1095758.9279219364</v>
      </c>
      <c r="GF12" s="125">
        <f t="shared" si="28"/>
        <v>1095758.9279219364</v>
      </c>
      <c r="GG12" s="125">
        <f t="shared" si="28"/>
        <v>1095758.9279219364</v>
      </c>
      <c r="GH12" s="125">
        <f t="shared" si="28"/>
        <v>1095758.9279219364</v>
      </c>
      <c r="GI12" s="125">
        <f t="shared" si="28"/>
        <v>1095758.9279219364</v>
      </c>
      <c r="GJ12" s="125">
        <f t="shared" si="28"/>
        <v>1095758.9279219364</v>
      </c>
      <c r="GK12" s="125">
        <f t="shared" si="28"/>
        <v>1095758.9279219364</v>
      </c>
      <c r="GL12" s="125">
        <f t="shared" si="28"/>
        <v>1095758.9279219364</v>
      </c>
      <c r="GM12" s="125">
        <f t="shared" si="28"/>
        <v>1095758.9279219364</v>
      </c>
      <c r="GN12" s="125">
        <f t="shared" si="28"/>
        <v>1095758.9279219364</v>
      </c>
      <c r="GO12" s="125">
        <f t="shared" si="28"/>
        <v>1095758.9279219364</v>
      </c>
      <c r="GP12" s="125">
        <f t="shared" si="28"/>
        <v>1095758.9279219364</v>
      </c>
      <c r="GQ12" s="125">
        <f t="shared" si="28"/>
        <v>1095758.9279219364</v>
      </c>
      <c r="GR12" s="125">
        <f t="shared" si="28"/>
        <v>1095758.9279219364</v>
      </c>
      <c r="GS12" s="125">
        <f t="shared" ref="GS12:JD12" si="29">GR12+GS11</f>
        <v>1095758.9279219364</v>
      </c>
      <c r="GT12" s="125">
        <f t="shared" si="29"/>
        <v>1095758.9279219364</v>
      </c>
      <c r="GU12" s="125">
        <f t="shared" si="29"/>
        <v>1095758.9279219364</v>
      </c>
      <c r="GV12" s="125">
        <f t="shared" si="29"/>
        <v>1095758.9279219364</v>
      </c>
      <c r="GW12" s="125">
        <f t="shared" si="29"/>
        <v>1095758.9279219364</v>
      </c>
      <c r="GX12" s="125">
        <f t="shared" si="29"/>
        <v>1095758.9279219364</v>
      </c>
      <c r="GY12" s="125">
        <f t="shared" si="29"/>
        <v>1095758.9279219364</v>
      </c>
      <c r="GZ12" s="125">
        <f t="shared" si="29"/>
        <v>1095758.9279219364</v>
      </c>
      <c r="HA12" s="125">
        <f t="shared" si="29"/>
        <v>1095758.9279219364</v>
      </c>
      <c r="HB12" s="125">
        <f t="shared" si="29"/>
        <v>1095758.9279219364</v>
      </c>
      <c r="HC12" s="125">
        <f t="shared" si="29"/>
        <v>1095758.9279219364</v>
      </c>
      <c r="HD12" s="125">
        <f t="shared" si="29"/>
        <v>1095758.9279219364</v>
      </c>
      <c r="HE12" s="125">
        <f t="shared" si="29"/>
        <v>1095758.9279219364</v>
      </c>
      <c r="HF12" s="125">
        <f t="shared" si="29"/>
        <v>1095758.9279219364</v>
      </c>
      <c r="HG12" s="125">
        <f t="shared" si="29"/>
        <v>1095758.9279219364</v>
      </c>
      <c r="HH12" s="125">
        <f t="shared" si="29"/>
        <v>1095758.9279219364</v>
      </c>
      <c r="HI12" s="125">
        <f t="shared" si="29"/>
        <v>1095758.9279219364</v>
      </c>
      <c r="HJ12" s="125">
        <f t="shared" si="29"/>
        <v>1095758.9279219364</v>
      </c>
      <c r="HK12" s="125">
        <f t="shared" si="29"/>
        <v>1095758.9279219364</v>
      </c>
      <c r="HL12" s="125">
        <f t="shared" si="29"/>
        <v>1095758.9279219364</v>
      </c>
      <c r="HM12" s="125">
        <f t="shared" si="29"/>
        <v>1095758.9279219364</v>
      </c>
      <c r="HN12" s="125">
        <f t="shared" si="29"/>
        <v>1095758.9279219364</v>
      </c>
      <c r="HO12" s="125">
        <f t="shared" si="29"/>
        <v>1095758.9279219364</v>
      </c>
      <c r="HP12" s="125">
        <f t="shared" si="29"/>
        <v>1095758.9279219364</v>
      </c>
      <c r="HQ12" s="125">
        <f t="shared" si="29"/>
        <v>1095758.9279219364</v>
      </c>
      <c r="HR12" s="125">
        <f t="shared" si="29"/>
        <v>1095758.9279219364</v>
      </c>
      <c r="HS12" s="125">
        <f t="shared" si="29"/>
        <v>1095758.9279219364</v>
      </c>
      <c r="HT12" s="125">
        <f t="shared" si="29"/>
        <v>1095758.9279219364</v>
      </c>
      <c r="HU12" s="125">
        <f t="shared" si="29"/>
        <v>1095758.9279219364</v>
      </c>
      <c r="HV12" s="125">
        <f t="shared" si="29"/>
        <v>1095758.9279219364</v>
      </c>
      <c r="HW12" s="125">
        <f t="shared" si="29"/>
        <v>1095758.9279219364</v>
      </c>
      <c r="HX12" s="125">
        <f t="shared" si="29"/>
        <v>1095758.9279219364</v>
      </c>
      <c r="HY12" s="125">
        <f t="shared" si="29"/>
        <v>1095758.9279219364</v>
      </c>
      <c r="HZ12" s="125">
        <f t="shared" si="29"/>
        <v>1095758.9279219364</v>
      </c>
      <c r="IA12" s="125">
        <f t="shared" si="29"/>
        <v>1095758.9279219364</v>
      </c>
      <c r="IB12" s="125">
        <f t="shared" si="29"/>
        <v>1095758.9279219364</v>
      </c>
      <c r="IC12" s="125">
        <f t="shared" si="29"/>
        <v>1095758.9279219364</v>
      </c>
      <c r="ID12" s="125">
        <f t="shared" si="29"/>
        <v>1095758.9279219364</v>
      </c>
      <c r="IE12" s="125">
        <f t="shared" si="29"/>
        <v>1095758.9279219364</v>
      </c>
      <c r="IF12" s="125">
        <f t="shared" si="29"/>
        <v>1095758.9279219364</v>
      </c>
      <c r="IG12" s="125">
        <f t="shared" si="29"/>
        <v>1095758.9279219364</v>
      </c>
      <c r="IH12" s="125">
        <f t="shared" si="29"/>
        <v>1095758.9279219364</v>
      </c>
      <c r="II12" s="125">
        <f t="shared" si="29"/>
        <v>1095758.9279219364</v>
      </c>
      <c r="IJ12" s="125">
        <f t="shared" si="29"/>
        <v>1095758.9279219364</v>
      </c>
      <c r="IK12" s="125">
        <f t="shared" si="29"/>
        <v>1095758.9279219364</v>
      </c>
      <c r="IL12" s="125">
        <f t="shared" si="29"/>
        <v>1095758.9279219364</v>
      </c>
      <c r="IM12" s="125">
        <f t="shared" si="29"/>
        <v>1095758.9279219364</v>
      </c>
      <c r="IN12" s="125">
        <f t="shared" si="29"/>
        <v>1095758.9279219364</v>
      </c>
      <c r="IO12" s="125">
        <f t="shared" si="29"/>
        <v>1095758.9279219364</v>
      </c>
      <c r="IP12" s="125">
        <f t="shared" si="29"/>
        <v>1095758.9279219364</v>
      </c>
      <c r="IQ12" s="125">
        <f t="shared" si="29"/>
        <v>1095758.9279219364</v>
      </c>
      <c r="IR12" s="125">
        <f t="shared" si="29"/>
        <v>1095758.9279219364</v>
      </c>
      <c r="IS12" s="125">
        <f t="shared" si="29"/>
        <v>1095758.9279219364</v>
      </c>
      <c r="IT12" s="125">
        <f t="shared" si="29"/>
        <v>1095758.9279219364</v>
      </c>
      <c r="IU12" s="125">
        <f t="shared" si="29"/>
        <v>1095758.9279219364</v>
      </c>
      <c r="IV12" s="125">
        <f t="shared" si="29"/>
        <v>1095758.9279219364</v>
      </c>
      <c r="IW12" s="125">
        <f t="shared" si="29"/>
        <v>1095758.9279219364</v>
      </c>
      <c r="IX12" s="125">
        <f t="shared" si="29"/>
        <v>1095758.9279219364</v>
      </c>
      <c r="IY12" s="125">
        <f t="shared" si="29"/>
        <v>1095758.9279219364</v>
      </c>
      <c r="IZ12" s="125">
        <f t="shared" si="29"/>
        <v>1095758.9279219364</v>
      </c>
      <c r="JA12" s="125">
        <f t="shared" si="29"/>
        <v>1095758.9279219364</v>
      </c>
      <c r="JB12" s="125">
        <f t="shared" si="29"/>
        <v>1095758.9279219364</v>
      </c>
      <c r="JC12" s="125">
        <f t="shared" si="29"/>
        <v>1095758.9279219364</v>
      </c>
      <c r="JD12" s="125">
        <f t="shared" si="29"/>
        <v>1095758.9279219364</v>
      </c>
      <c r="JE12" s="125">
        <f t="shared" ref="JE12:KF12" si="30">JD12+JE11</f>
        <v>1095758.9279219364</v>
      </c>
      <c r="JF12" s="125">
        <f t="shared" si="30"/>
        <v>1095758.9279219364</v>
      </c>
      <c r="JG12" s="125">
        <f t="shared" si="30"/>
        <v>1095758.9279219364</v>
      </c>
      <c r="JH12" s="125">
        <f t="shared" si="30"/>
        <v>1095758.9279219364</v>
      </c>
      <c r="JI12" s="125">
        <f t="shared" si="30"/>
        <v>1095758.9279219364</v>
      </c>
      <c r="JJ12" s="125">
        <f t="shared" si="30"/>
        <v>1095758.9279219364</v>
      </c>
      <c r="JK12" s="125">
        <f t="shared" si="30"/>
        <v>1095758.9279219364</v>
      </c>
      <c r="JL12" s="125">
        <f t="shared" si="30"/>
        <v>1095758.9279219364</v>
      </c>
      <c r="JM12" s="125">
        <f t="shared" si="30"/>
        <v>1095758.9279219364</v>
      </c>
      <c r="JN12" s="125">
        <f t="shared" si="30"/>
        <v>1095758.9279219364</v>
      </c>
      <c r="JO12" s="125">
        <f t="shared" si="30"/>
        <v>1095758.9279219364</v>
      </c>
      <c r="JP12" s="125">
        <f t="shared" si="30"/>
        <v>1095758.9279219364</v>
      </c>
      <c r="JQ12" s="125">
        <f t="shared" si="30"/>
        <v>1095758.9279219364</v>
      </c>
      <c r="JR12" s="125">
        <f t="shared" si="30"/>
        <v>1095758.9279219364</v>
      </c>
      <c r="JS12" s="125">
        <f t="shared" si="30"/>
        <v>1095758.9279219364</v>
      </c>
      <c r="JT12" s="125">
        <f t="shared" si="30"/>
        <v>1095758.9279219364</v>
      </c>
      <c r="JU12" s="125">
        <f t="shared" si="30"/>
        <v>1095758.9279219364</v>
      </c>
      <c r="JV12" s="125">
        <f t="shared" si="30"/>
        <v>1095758.9279219364</v>
      </c>
      <c r="JW12" s="125">
        <f t="shared" si="30"/>
        <v>1095758.9279219364</v>
      </c>
      <c r="JX12" s="125">
        <f t="shared" si="30"/>
        <v>1095758.9279219364</v>
      </c>
      <c r="JY12" s="125">
        <f t="shared" si="30"/>
        <v>1095758.9279219364</v>
      </c>
      <c r="JZ12" s="125">
        <f t="shared" si="30"/>
        <v>1095758.9279219364</v>
      </c>
      <c r="KA12" s="125">
        <f t="shared" si="30"/>
        <v>1095758.9279219364</v>
      </c>
      <c r="KB12" s="125">
        <f t="shared" si="30"/>
        <v>1095758.9279219364</v>
      </c>
      <c r="KC12" s="125">
        <f t="shared" si="30"/>
        <v>1095758.9279219364</v>
      </c>
      <c r="KD12" s="125">
        <f t="shared" si="30"/>
        <v>1095758.9279219364</v>
      </c>
      <c r="KE12" s="125">
        <f t="shared" si="30"/>
        <v>1095758.9279219364</v>
      </c>
      <c r="KF12" s="125">
        <f t="shared" si="30"/>
        <v>1095758.9279219364</v>
      </c>
      <c r="KG12" s="102"/>
      <c r="KH12" s="113"/>
    </row>
    <row r="13" spans="1:770" s="102" customFormat="1">
      <c r="A13" s="72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3"/>
      <c r="B14" s="115" t="s">
        <v>396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-15037.08</v>
      </c>
      <c r="S14" s="118">
        <f t="shared" si="32"/>
        <v>-15037.08</v>
      </c>
      <c r="T14" s="118">
        <f t="shared" si="32"/>
        <v>628205.09937744832</v>
      </c>
      <c r="U14" s="118">
        <f t="shared" si="32"/>
        <v>877512.71868573769</v>
      </c>
      <c r="V14" s="118">
        <f t="shared" si="32"/>
        <v>1021110.7664090534</v>
      </c>
      <c r="W14" s="118">
        <f t="shared" si="32"/>
        <v>959212.31901774905</v>
      </c>
      <c r="X14" s="118">
        <f t="shared" si="32"/>
        <v>881839.25977861858</v>
      </c>
      <c r="Y14" s="118">
        <f t="shared" si="32"/>
        <v>786666.59881320409</v>
      </c>
      <c r="Z14" s="118">
        <f t="shared" si="32"/>
        <v>794934.58729738928</v>
      </c>
      <c r="AA14" s="118">
        <f t="shared" si="32"/>
        <v>853893.61115904711</v>
      </c>
      <c r="AB14" s="118">
        <f t="shared" si="32"/>
        <v>853893.61115904711</v>
      </c>
      <c r="AC14" s="118">
        <f t="shared" si="32"/>
        <v>426828.49931122095</v>
      </c>
      <c r="AD14" s="118">
        <f t="shared" si="32"/>
        <v>345996.54931122088</v>
      </c>
      <c r="AE14" s="118">
        <f t="shared" si="32"/>
        <v>345471.54931122088</v>
      </c>
      <c r="AF14" s="118">
        <f t="shared" si="32"/>
        <v>345471.54931122088</v>
      </c>
      <c r="AG14" s="118">
        <f t="shared" si="32"/>
        <v>345471.54931122088</v>
      </c>
      <c r="AH14" s="118">
        <f t="shared" si="32"/>
        <v>345471.54931122088</v>
      </c>
      <c r="AI14" s="118">
        <f t="shared" si="32"/>
        <v>345471.54931122088</v>
      </c>
      <c r="AJ14" s="118">
        <f t="shared" si="32"/>
        <v>345471.54931122088</v>
      </c>
      <c r="AK14" s="118">
        <f t="shared" si="32"/>
        <v>345471.54931122088</v>
      </c>
      <c r="AL14" s="118">
        <f t="shared" si="32"/>
        <v>345471.54931122088</v>
      </c>
      <c r="AM14" s="118">
        <f t="shared" si="32"/>
        <v>345471.54931122088</v>
      </c>
      <c r="AN14" s="118">
        <f t="shared" si="32"/>
        <v>345471.54931122088</v>
      </c>
      <c r="AO14" s="118">
        <f t="shared" si="32"/>
        <v>345471.54931122088</v>
      </c>
      <c r="AP14" s="118">
        <f t="shared" si="32"/>
        <v>345471.54931122088</v>
      </c>
      <c r="AQ14" s="118">
        <f t="shared" si="32"/>
        <v>345471.54931122088</v>
      </c>
      <c r="AR14" s="118">
        <f t="shared" si="32"/>
        <v>345471.54931122088</v>
      </c>
      <c r="AS14" s="118">
        <f t="shared" si="32"/>
        <v>345471.54931122088</v>
      </c>
      <c r="AT14" s="118">
        <f t="shared" si="32"/>
        <v>345471.54931122088</v>
      </c>
      <c r="AU14" s="118">
        <f t="shared" si="32"/>
        <v>345471.54931122088</v>
      </c>
      <c r="AV14" s="118">
        <f t="shared" si="32"/>
        <v>345471.54931122088</v>
      </c>
      <c r="AW14" s="118">
        <f t="shared" si="32"/>
        <v>345471.54931122088</v>
      </c>
      <c r="AX14" s="118">
        <f t="shared" si="32"/>
        <v>345471.54931122088</v>
      </c>
      <c r="AY14" s="118">
        <f t="shared" si="32"/>
        <v>345471.54931122088</v>
      </c>
      <c r="AZ14" s="118">
        <f t="shared" si="32"/>
        <v>345471.54931122088</v>
      </c>
      <c r="BA14" s="118">
        <f t="shared" si="32"/>
        <v>345471.54931122088</v>
      </c>
      <c r="BB14" s="118">
        <f t="shared" si="32"/>
        <v>345471.54931122088</v>
      </c>
      <c r="BC14" s="118">
        <f t="shared" si="32"/>
        <v>345471.54931122088</v>
      </c>
      <c r="BD14" s="118">
        <f t="shared" si="32"/>
        <v>345471.54931122088</v>
      </c>
      <c r="BE14" s="118">
        <f t="shared" si="32"/>
        <v>345471.54931122088</v>
      </c>
      <c r="BF14" s="118">
        <f t="shared" si="32"/>
        <v>345471.54931122088</v>
      </c>
      <c r="BG14" s="118">
        <f t="shared" si="32"/>
        <v>345471.54931122088</v>
      </c>
      <c r="BH14" s="118">
        <f t="shared" si="32"/>
        <v>345471.54931122088</v>
      </c>
      <c r="BI14" s="118">
        <f t="shared" si="32"/>
        <v>345471.54931122088</v>
      </c>
      <c r="BJ14" s="118">
        <f t="shared" si="32"/>
        <v>345471.54931122088</v>
      </c>
      <c r="BK14" s="118">
        <f t="shared" si="32"/>
        <v>345471.54931122088</v>
      </c>
      <c r="BL14" s="118">
        <f t="shared" si="32"/>
        <v>345471.54931122088</v>
      </c>
      <c r="BM14" s="118">
        <f t="shared" si="32"/>
        <v>345471.54931122088</v>
      </c>
      <c r="BN14" s="118">
        <f t="shared" si="32"/>
        <v>345471.54931122088</v>
      </c>
      <c r="BO14" s="118">
        <f t="shared" si="32"/>
        <v>345471.54931122088</v>
      </c>
      <c r="BP14" s="118">
        <f t="shared" si="32"/>
        <v>345471.54931122088</v>
      </c>
      <c r="BQ14" s="118">
        <f t="shared" si="32"/>
        <v>345471.54931122088</v>
      </c>
      <c r="BR14" s="118">
        <f t="shared" si="32"/>
        <v>345471.54931122088</v>
      </c>
      <c r="BS14" s="118">
        <f t="shared" si="32"/>
        <v>345471.54931122088</v>
      </c>
      <c r="BT14" s="118">
        <f t="shared" si="32"/>
        <v>345471.54931122088</v>
      </c>
      <c r="BU14" s="118">
        <f t="shared" ref="BU14:EF14" si="33">BU10-BU12</f>
        <v>345471.54931122088</v>
      </c>
      <c r="BV14" s="118">
        <f t="shared" si="33"/>
        <v>345471.54931122088</v>
      </c>
      <c r="BW14" s="118">
        <f t="shared" si="33"/>
        <v>345471.54931122088</v>
      </c>
      <c r="BX14" s="118">
        <f t="shared" si="33"/>
        <v>345471.54931122088</v>
      </c>
      <c r="BY14" s="118">
        <f t="shared" si="33"/>
        <v>345471.54931122088</v>
      </c>
      <c r="BZ14" s="118">
        <f t="shared" si="33"/>
        <v>345471.54931122088</v>
      </c>
      <c r="CA14" s="118">
        <f t="shared" si="33"/>
        <v>345471.54931122088</v>
      </c>
      <c r="CB14" s="118">
        <f t="shared" si="33"/>
        <v>345471.54931122088</v>
      </c>
      <c r="CC14" s="118">
        <f t="shared" si="33"/>
        <v>345471.54931122088</v>
      </c>
      <c r="CD14" s="118">
        <f t="shared" si="33"/>
        <v>345471.54931122088</v>
      </c>
      <c r="CE14" s="118">
        <f t="shared" si="33"/>
        <v>345471.54931122088</v>
      </c>
      <c r="CF14" s="118">
        <f t="shared" si="33"/>
        <v>345471.54931122088</v>
      </c>
      <c r="CG14" s="118">
        <f t="shared" si="33"/>
        <v>345471.54931122088</v>
      </c>
      <c r="CH14" s="118">
        <f t="shared" si="33"/>
        <v>345471.54931122088</v>
      </c>
      <c r="CI14" s="118">
        <f t="shared" si="33"/>
        <v>345471.54931122088</v>
      </c>
      <c r="CJ14" s="118">
        <f t="shared" si="33"/>
        <v>345471.54931122088</v>
      </c>
      <c r="CK14" s="118">
        <f t="shared" si="33"/>
        <v>345471.54931122088</v>
      </c>
      <c r="CL14" s="118">
        <f t="shared" si="33"/>
        <v>345471.54931122088</v>
      </c>
      <c r="CM14" s="118">
        <f t="shared" si="33"/>
        <v>345471.54931122088</v>
      </c>
      <c r="CN14" s="118">
        <f t="shared" si="33"/>
        <v>345471.54931122088</v>
      </c>
      <c r="CO14" s="118">
        <f t="shared" si="33"/>
        <v>345471.54931122088</v>
      </c>
      <c r="CP14" s="118">
        <f t="shared" si="33"/>
        <v>345471.54931122088</v>
      </c>
      <c r="CQ14" s="118">
        <f t="shared" si="33"/>
        <v>345471.54931122088</v>
      </c>
      <c r="CR14" s="118">
        <f t="shared" si="33"/>
        <v>345471.54931122088</v>
      </c>
      <c r="CS14" s="118">
        <f t="shared" si="33"/>
        <v>345471.54931122088</v>
      </c>
      <c r="CT14" s="118">
        <f t="shared" si="33"/>
        <v>345471.54931122088</v>
      </c>
      <c r="CU14" s="118">
        <f t="shared" si="33"/>
        <v>345471.54931122088</v>
      </c>
      <c r="CV14" s="118">
        <f t="shared" si="33"/>
        <v>345471.54931122088</v>
      </c>
      <c r="CW14" s="118">
        <f t="shared" si="33"/>
        <v>345471.54931122088</v>
      </c>
      <c r="CX14" s="118">
        <f t="shared" si="33"/>
        <v>345471.54931122088</v>
      </c>
      <c r="CY14" s="118">
        <f t="shared" si="33"/>
        <v>345471.54931122088</v>
      </c>
      <c r="CZ14" s="118">
        <f t="shared" si="33"/>
        <v>345471.54931122088</v>
      </c>
      <c r="DA14" s="118">
        <f t="shared" si="33"/>
        <v>345471.54931122088</v>
      </c>
      <c r="DB14" s="118">
        <f t="shared" si="33"/>
        <v>345471.54931122088</v>
      </c>
      <c r="DC14" s="118">
        <f t="shared" si="33"/>
        <v>345471.54931122088</v>
      </c>
      <c r="DD14" s="118">
        <f t="shared" si="33"/>
        <v>345471.54931122088</v>
      </c>
      <c r="DE14" s="118">
        <f t="shared" si="33"/>
        <v>345471.54931122088</v>
      </c>
      <c r="DF14" s="118">
        <f t="shared" si="33"/>
        <v>345471.54931122088</v>
      </c>
      <c r="DG14" s="118">
        <f t="shared" si="33"/>
        <v>345471.54931122088</v>
      </c>
      <c r="DH14" s="118">
        <f t="shared" si="33"/>
        <v>345471.54931122088</v>
      </c>
      <c r="DI14" s="118">
        <f t="shared" si="33"/>
        <v>345471.54931122088</v>
      </c>
      <c r="DJ14" s="118">
        <f t="shared" si="33"/>
        <v>345471.54931122088</v>
      </c>
      <c r="DK14" s="118">
        <f t="shared" si="33"/>
        <v>345471.54931122088</v>
      </c>
      <c r="DL14" s="118">
        <f t="shared" si="33"/>
        <v>345471.54931122088</v>
      </c>
      <c r="DM14" s="118">
        <f t="shared" si="33"/>
        <v>345471.54931122088</v>
      </c>
      <c r="DN14" s="118">
        <f t="shared" si="33"/>
        <v>345471.54931122088</v>
      </c>
      <c r="DO14" s="118">
        <f t="shared" si="33"/>
        <v>345471.54931122088</v>
      </c>
      <c r="DP14" s="118">
        <f t="shared" si="33"/>
        <v>345471.54931122088</v>
      </c>
      <c r="DQ14" s="118">
        <f t="shared" si="33"/>
        <v>345471.54931122088</v>
      </c>
      <c r="DR14" s="118">
        <f t="shared" si="33"/>
        <v>345471.54931122088</v>
      </c>
      <c r="DS14" s="118">
        <f t="shared" si="33"/>
        <v>345471.54931122088</v>
      </c>
      <c r="DT14" s="118">
        <f t="shared" si="33"/>
        <v>345471.54931122088</v>
      </c>
      <c r="DU14" s="118">
        <f t="shared" si="33"/>
        <v>345471.54931122088</v>
      </c>
      <c r="DV14" s="118">
        <f t="shared" si="33"/>
        <v>345471.54931122088</v>
      </c>
      <c r="DW14" s="118">
        <f t="shared" si="33"/>
        <v>345471.54931122088</v>
      </c>
      <c r="DX14" s="118">
        <f t="shared" si="33"/>
        <v>345471.54931122088</v>
      </c>
      <c r="DY14" s="118">
        <f t="shared" si="33"/>
        <v>345471.54931122088</v>
      </c>
      <c r="DZ14" s="118">
        <f t="shared" si="33"/>
        <v>345471.54931122088</v>
      </c>
      <c r="EA14" s="118">
        <f t="shared" si="33"/>
        <v>345471.54931122088</v>
      </c>
      <c r="EB14" s="118">
        <f t="shared" si="33"/>
        <v>345471.54931122088</v>
      </c>
      <c r="EC14" s="118">
        <f t="shared" si="33"/>
        <v>345471.54931122088</v>
      </c>
      <c r="ED14" s="118">
        <f t="shared" si="33"/>
        <v>345471.54931122088</v>
      </c>
      <c r="EE14" s="118">
        <f t="shared" si="33"/>
        <v>345471.54931122088</v>
      </c>
      <c r="EF14" s="118">
        <f t="shared" si="33"/>
        <v>345471.54931122088</v>
      </c>
      <c r="EG14" s="118">
        <f t="shared" ref="EG14:GR14" si="34">EG10-EG12</f>
        <v>345471.54931122088</v>
      </c>
      <c r="EH14" s="118">
        <f t="shared" si="34"/>
        <v>345471.54931122088</v>
      </c>
      <c r="EI14" s="118">
        <f t="shared" si="34"/>
        <v>345471.54931122088</v>
      </c>
      <c r="EJ14" s="118">
        <f t="shared" si="34"/>
        <v>345471.54931122088</v>
      </c>
      <c r="EK14" s="118">
        <f t="shared" si="34"/>
        <v>345471.54931122088</v>
      </c>
      <c r="EL14" s="118">
        <f t="shared" si="34"/>
        <v>345471.54931122088</v>
      </c>
      <c r="EM14" s="118">
        <f t="shared" si="34"/>
        <v>345471.54931122088</v>
      </c>
      <c r="EN14" s="118">
        <f t="shared" si="34"/>
        <v>345471.54931122088</v>
      </c>
      <c r="EO14" s="118">
        <f t="shared" si="34"/>
        <v>345471.54931122088</v>
      </c>
      <c r="EP14" s="118">
        <f t="shared" si="34"/>
        <v>345471.54931122088</v>
      </c>
      <c r="EQ14" s="118">
        <f t="shared" si="34"/>
        <v>345471.54931122088</v>
      </c>
      <c r="ER14" s="118">
        <f t="shared" si="34"/>
        <v>345471.54931122088</v>
      </c>
      <c r="ES14" s="118">
        <f t="shared" si="34"/>
        <v>345471.54931122088</v>
      </c>
      <c r="ET14" s="118">
        <f t="shared" si="34"/>
        <v>345471.54931122088</v>
      </c>
      <c r="EU14" s="118">
        <f t="shared" si="34"/>
        <v>345471.54931122088</v>
      </c>
      <c r="EV14" s="118">
        <f t="shared" si="34"/>
        <v>345471.54931122088</v>
      </c>
      <c r="EW14" s="118">
        <f t="shared" si="34"/>
        <v>345471.54931122088</v>
      </c>
      <c r="EX14" s="118">
        <f t="shared" si="34"/>
        <v>345471.54931122088</v>
      </c>
      <c r="EY14" s="118">
        <f t="shared" si="34"/>
        <v>345471.54931122088</v>
      </c>
      <c r="EZ14" s="118">
        <f t="shared" si="34"/>
        <v>345471.54931122088</v>
      </c>
      <c r="FA14" s="118">
        <f t="shared" si="34"/>
        <v>345471.54931122088</v>
      </c>
      <c r="FB14" s="118">
        <f t="shared" si="34"/>
        <v>345471.54931122088</v>
      </c>
      <c r="FC14" s="118">
        <f t="shared" si="34"/>
        <v>345471.54931122088</v>
      </c>
      <c r="FD14" s="118">
        <f t="shared" si="34"/>
        <v>345471.54931122088</v>
      </c>
      <c r="FE14" s="118">
        <f t="shared" si="34"/>
        <v>345471.54931122088</v>
      </c>
      <c r="FF14" s="118">
        <f t="shared" si="34"/>
        <v>345471.54931122088</v>
      </c>
      <c r="FG14" s="118">
        <f t="shared" si="34"/>
        <v>345471.54931122088</v>
      </c>
      <c r="FH14" s="118">
        <f t="shared" si="34"/>
        <v>345471.54931122088</v>
      </c>
      <c r="FI14" s="118">
        <f t="shared" si="34"/>
        <v>345471.54931122088</v>
      </c>
      <c r="FJ14" s="118">
        <f t="shared" si="34"/>
        <v>345471.54931122088</v>
      </c>
      <c r="FK14" s="118">
        <f t="shared" si="34"/>
        <v>345471.54931122088</v>
      </c>
      <c r="FL14" s="118">
        <f t="shared" si="34"/>
        <v>345471.54931122088</v>
      </c>
      <c r="FM14" s="118">
        <f t="shared" si="34"/>
        <v>345471.54931122088</v>
      </c>
      <c r="FN14" s="118">
        <f t="shared" si="34"/>
        <v>345471.54931122088</v>
      </c>
      <c r="FO14" s="118">
        <f t="shared" si="34"/>
        <v>345471.54931122088</v>
      </c>
      <c r="FP14" s="118">
        <f t="shared" si="34"/>
        <v>345471.54931122088</v>
      </c>
      <c r="FQ14" s="118">
        <f t="shared" si="34"/>
        <v>345471.54931122088</v>
      </c>
      <c r="FR14" s="118">
        <f t="shared" si="34"/>
        <v>345471.54931122088</v>
      </c>
      <c r="FS14" s="118">
        <f t="shared" si="34"/>
        <v>345471.54931122088</v>
      </c>
      <c r="FT14" s="118">
        <f t="shared" si="34"/>
        <v>345471.54931122088</v>
      </c>
      <c r="FU14" s="118">
        <f t="shared" si="34"/>
        <v>345471.54931122088</v>
      </c>
      <c r="FV14" s="118">
        <f t="shared" si="34"/>
        <v>345471.54931122088</v>
      </c>
      <c r="FW14" s="118">
        <f t="shared" si="34"/>
        <v>345471.54931122088</v>
      </c>
      <c r="FX14" s="118">
        <f t="shared" si="34"/>
        <v>345471.54931122088</v>
      </c>
      <c r="FY14" s="118">
        <f t="shared" si="34"/>
        <v>345471.54931122088</v>
      </c>
      <c r="FZ14" s="118">
        <f t="shared" si="34"/>
        <v>345471.54931122088</v>
      </c>
      <c r="GA14" s="118">
        <f t="shared" si="34"/>
        <v>345471.54931122088</v>
      </c>
      <c r="GB14" s="118">
        <f t="shared" si="34"/>
        <v>345471.54931122088</v>
      </c>
      <c r="GC14" s="118">
        <f t="shared" si="34"/>
        <v>345471.54931122088</v>
      </c>
      <c r="GD14" s="118">
        <f t="shared" si="34"/>
        <v>345471.54931122088</v>
      </c>
      <c r="GE14" s="118">
        <f t="shared" si="34"/>
        <v>345471.54931122088</v>
      </c>
      <c r="GF14" s="118">
        <f t="shared" si="34"/>
        <v>345471.54931122088</v>
      </c>
      <c r="GG14" s="118">
        <f t="shared" si="34"/>
        <v>345471.54931122088</v>
      </c>
      <c r="GH14" s="118">
        <f t="shared" si="34"/>
        <v>345471.54931122088</v>
      </c>
      <c r="GI14" s="118">
        <f t="shared" si="34"/>
        <v>345471.54931122088</v>
      </c>
      <c r="GJ14" s="118">
        <f t="shared" si="34"/>
        <v>345471.54931122088</v>
      </c>
      <c r="GK14" s="118">
        <f t="shared" si="34"/>
        <v>345471.54931122088</v>
      </c>
      <c r="GL14" s="118">
        <f t="shared" si="34"/>
        <v>345471.54931122088</v>
      </c>
      <c r="GM14" s="118">
        <f t="shared" si="34"/>
        <v>345471.54931122088</v>
      </c>
      <c r="GN14" s="118">
        <f t="shared" si="34"/>
        <v>345471.54931122088</v>
      </c>
      <c r="GO14" s="118">
        <f t="shared" si="34"/>
        <v>345471.54931122088</v>
      </c>
      <c r="GP14" s="118">
        <f t="shared" si="34"/>
        <v>345471.54931122088</v>
      </c>
      <c r="GQ14" s="118">
        <f t="shared" si="34"/>
        <v>345471.54931122088</v>
      </c>
      <c r="GR14" s="118">
        <f t="shared" si="34"/>
        <v>345471.54931122088</v>
      </c>
      <c r="GS14" s="118">
        <f t="shared" ref="GS14:JD14" si="35">GS10-GS12</f>
        <v>345471.54931122088</v>
      </c>
      <c r="GT14" s="118">
        <f t="shared" si="35"/>
        <v>345471.54931122088</v>
      </c>
      <c r="GU14" s="118">
        <f t="shared" si="35"/>
        <v>345471.54931122088</v>
      </c>
      <c r="GV14" s="118">
        <f t="shared" si="35"/>
        <v>345471.54931122088</v>
      </c>
      <c r="GW14" s="118">
        <f t="shared" si="35"/>
        <v>345471.54931122088</v>
      </c>
      <c r="GX14" s="118">
        <f t="shared" si="35"/>
        <v>345471.54931122088</v>
      </c>
      <c r="GY14" s="118">
        <f t="shared" si="35"/>
        <v>345471.54931122088</v>
      </c>
      <c r="GZ14" s="118">
        <f t="shared" si="35"/>
        <v>345471.54931122088</v>
      </c>
      <c r="HA14" s="118">
        <f t="shared" si="35"/>
        <v>345471.54931122088</v>
      </c>
      <c r="HB14" s="118">
        <f t="shared" si="35"/>
        <v>345471.54931122088</v>
      </c>
      <c r="HC14" s="118">
        <f t="shared" si="35"/>
        <v>345471.54931122088</v>
      </c>
      <c r="HD14" s="118">
        <f t="shared" si="35"/>
        <v>345471.54931122088</v>
      </c>
      <c r="HE14" s="118">
        <f t="shared" si="35"/>
        <v>345471.54931122088</v>
      </c>
      <c r="HF14" s="118">
        <f t="shared" si="35"/>
        <v>345471.54931122088</v>
      </c>
      <c r="HG14" s="118">
        <f t="shared" si="35"/>
        <v>345471.54931122088</v>
      </c>
      <c r="HH14" s="118">
        <f t="shared" si="35"/>
        <v>345471.54931122088</v>
      </c>
      <c r="HI14" s="118">
        <f t="shared" si="35"/>
        <v>345471.54931122088</v>
      </c>
      <c r="HJ14" s="118">
        <f t="shared" si="35"/>
        <v>345471.54931122088</v>
      </c>
      <c r="HK14" s="118">
        <f t="shared" si="35"/>
        <v>345471.54931122088</v>
      </c>
      <c r="HL14" s="118">
        <f t="shared" si="35"/>
        <v>345471.54931122088</v>
      </c>
      <c r="HM14" s="118">
        <f t="shared" si="35"/>
        <v>345471.54931122088</v>
      </c>
      <c r="HN14" s="118">
        <f t="shared" si="35"/>
        <v>345471.54931122088</v>
      </c>
      <c r="HO14" s="118">
        <f t="shared" si="35"/>
        <v>345471.54931122088</v>
      </c>
      <c r="HP14" s="118">
        <f t="shared" si="35"/>
        <v>345471.54931122088</v>
      </c>
      <c r="HQ14" s="118">
        <f t="shared" si="35"/>
        <v>345471.54931122088</v>
      </c>
      <c r="HR14" s="118">
        <f t="shared" si="35"/>
        <v>345471.54931122088</v>
      </c>
      <c r="HS14" s="118">
        <f t="shared" si="35"/>
        <v>345471.54931122088</v>
      </c>
      <c r="HT14" s="118">
        <f t="shared" si="35"/>
        <v>345471.54931122088</v>
      </c>
      <c r="HU14" s="118">
        <f t="shared" si="35"/>
        <v>345471.54931122088</v>
      </c>
      <c r="HV14" s="118">
        <f t="shared" si="35"/>
        <v>345471.54931122088</v>
      </c>
      <c r="HW14" s="118">
        <f t="shared" si="35"/>
        <v>345471.54931122088</v>
      </c>
      <c r="HX14" s="118">
        <f t="shared" si="35"/>
        <v>345471.54931122088</v>
      </c>
      <c r="HY14" s="118">
        <f t="shared" si="35"/>
        <v>345471.54931122088</v>
      </c>
      <c r="HZ14" s="118">
        <f t="shared" si="35"/>
        <v>345471.54931122088</v>
      </c>
      <c r="IA14" s="118">
        <f t="shared" si="35"/>
        <v>345471.54931122088</v>
      </c>
      <c r="IB14" s="118">
        <f t="shared" si="35"/>
        <v>345471.54931122088</v>
      </c>
      <c r="IC14" s="118">
        <f t="shared" si="35"/>
        <v>345471.54931122088</v>
      </c>
      <c r="ID14" s="118">
        <f t="shared" si="35"/>
        <v>345471.54931122088</v>
      </c>
      <c r="IE14" s="118">
        <f t="shared" si="35"/>
        <v>345471.54931122088</v>
      </c>
      <c r="IF14" s="118">
        <f t="shared" si="35"/>
        <v>345471.54931122088</v>
      </c>
      <c r="IG14" s="118">
        <f t="shared" si="35"/>
        <v>345471.54931122088</v>
      </c>
      <c r="IH14" s="118">
        <f t="shared" si="35"/>
        <v>345471.54931122088</v>
      </c>
      <c r="II14" s="118">
        <f t="shared" si="35"/>
        <v>345471.54931122088</v>
      </c>
      <c r="IJ14" s="118">
        <f t="shared" si="35"/>
        <v>345471.54931122088</v>
      </c>
      <c r="IK14" s="118">
        <f t="shared" si="35"/>
        <v>345471.54931122088</v>
      </c>
      <c r="IL14" s="118">
        <f t="shared" si="35"/>
        <v>345471.54931122088</v>
      </c>
      <c r="IM14" s="118">
        <f t="shared" si="35"/>
        <v>345471.54931122088</v>
      </c>
      <c r="IN14" s="118">
        <f t="shared" si="35"/>
        <v>345471.54931122088</v>
      </c>
      <c r="IO14" s="118">
        <f t="shared" si="35"/>
        <v>345471.54931122088</v>
      </c>
      <c r="IP14" s="118">
        <f t="shared" si="35"/>
        <v>345471.54931122088</v>
      </c>
      <c r="IQ14" s="118">
        <f t="shared" si="35"/>
        <v>345471.54931122088</v>
      </c>
      <c r="IR14" s="118">
        <f t="shared" si="35"/>
        <v>345471.54931122088</v>
      </c>
      <c r="IS14" s="118">
        <f t="shared" si="35"/>
        <v>345471.54931122088</v>
      </c>
      <c r="IT14" s="118">
        <f t="shared" si="35"/>
        <v>345471.54931122088</v>
      </c>
      <c r="IU14" s="118">
        <f t="shared" si="35"/>
        <v>345471.54931122088</v>
      </c>
      <c r="IV14" s="118">
        <f t="shared" si="35"/>
        <v>345471.54931122088</v>
      </c>
      <c r="IW14" s="118">
        <f t="shared" si="35"/>
        <v>345471.54931122088</v>
      </c>
      <c r="IX14" s="118">
        <f t="shared" si="35"/>
        <v>345471.54931122088</v>
      </c>
      <c r="IY14" s="118">
        <f t="shared" si="35"/>
        <v>345471.54931122088</v>
      </c>
      <c r="IZ14" s="118">
        <f t="shared" si="35"/>
        <v>345471.54931122088</v>
      </c>
      <c r="JA14" s="118">
        <f t="shared" si="35"/>
        <v>345471.54931122088</v>
      </c>
      <c r="JB14" s="118">
        <f t="shared" si="35"/>
        <v>345471.54931122088</v>
      </c>
      <c r="JC14" s="118">
        <f t="shared" si="35"/>
        <v>345471.54931122088</v>
      </c>
      <c r="JD14" s="118">
        <f t="shared" si="35"/>
        <v>345471.54931122088</v>
      </c>
      <c r="JE14" s="118">
        <f t="shared" ref="JE14:KF14" si="36">JE10-JE12</f>
        <v>345471.54931122088</v>
      </c>
      <c r="JF14" s="118">
        <f t="shared" si="36"/>
        <v>345471.54931122088</v>
      </c>
      <c r="JG14" s="118">
        <f t="shared" si="36"/>
        <v>345471.54931122088</v>
      </c>
      <c r="JH14" s="118">
        <f t="shared" si="36"/>
        <v>345471.54931122088</v>
      </c>
      <c r="JI14" s="118">
        <f t="shared" si="36"/>
        <v>345471.54931122088</v>
      </c>
      <c r="JJ14" s="118">
        <f t="shared" si="36"/>
        <v>345471.54931122088</v>
      </c>
      <c r="JK14" s="118">
        <f t="shared" si="36"/>
        <v>345471.54931122088</v>
      </c>
      <c r="JL14" s="118">
        <f t="shared" si="36"/>
        <v>345471.54931122088</v>
      </c>
      <c r="JM14" s="118">
        <f t="shared" si="36"/>
        <v>345471.54931122088</v>
      </c>
      <c r="JN14" s="118">
        <f t="shared" si="36"/>
        <v>345471.54931122088</v>
      </c>
      <c r="JO14" s="118">
        <f t="shared" si="36"/>
        <v>345471.54931122088</v>
      </c>
      <c r="JP14" s="118">
        <f t="shared" si="36"/>
        <v>345471.54931122088</v>
      </c>
      <c r="JQ14" s="118">
        <f t="shared" si="36"/>
        <v>345471.54931122088</v>
      </c>
      <c r="JR14" s="118">
        <f t="shared" si="36"/>
        <v>345471.54931122088</v>
      </c>
      <c r="JS14" s="118">
        <f t="shared" si="36"/>
        <v>345471.54931122088</v>
      </c>
      <c r="JT14" s="118">
        <f t="shared" si="36"/>
        <v>345471.54931122088</v>
      </c>
      <c r="JU14" s="118">
        <f t="shared" si="36"/>
        <v>345471.54931122088</v>
      </c>
      <c r="JV14" s="118">
        <f t="shared" si="36"/>
        <v>345471.54931122088</v>
      </c>
      <c r="JW14" s="118">
        <f t="shared" si="36"/>
        <v>345471.54931122088</v>
      </c>
      <c r="JX14" s="118">
        <f t="shared" si="36"/>
        <v>345471.54931122088</v>
      </c>
      <c r="JY14" s="118">
        <f t="shared" si="36"/>
        <v>345471.54931122088</v>
      </c>
      <c r="JZ14" s="118">
        <f t="shared" si="36"/>
        <v>345471.54931122088</v>
      </c>
      <c r="KA14" s="118">
        <f t="shared" si="36"/>
        <v>345471.54931122088</v>
      </c>
      <c r="KB14" s="118">
        <f t="shared" si="36"/>
        <v>345471.54931122088</v>
      </c>
      <c r="KC14" s="118">
        <f t="shared" si="36"/>
        <v>345471.54931122088</v>
      </c>
      <c r="KD14" s="118">
        <f t="shared" si="36"/>
        <v>345471.54931122088</v>
      </c>
      <c r="KE14" s="118">
        <f t="shared" si="36"/>
        <v>345471.54931122088</v>
      </c>
      <c r="KF14" s="118">
        <f t="shared" si="36"/>
        <v>345471.54931122088</v>
      </c>
    </row>
    <row r="15" spans="1:770" s="102" customFormat="1"/>
    <row r="16" spans="1:770" s="102" customFormat="1">
      <c r="C16" s="104" t="s">
        <v>264</v>
      </c>
      <c r="D16" s="104" t="s">
        <v>264</v>
      </c>
    </row>
    <row r="17" spans="1:292">
      <c r="A17" s="724"/>
      <c r="B17" s="106" t="s">
        <v>397</v>
      </c>
      <c r="C17" s="275">
        <f>C3-D17</f>
        <v>0</v>
      </c>
      <c r="D17" s="107">
        <f>SUM(F17:KF17)</f>
        <v>1441230.4772331575</v>
      </c>
      <c r="E17" s="117"/>
      <c r="F17" s="125">
        <f>SUMIFS('Expenditure Breakdown'!$U$6:$U$168, 'Expenditure Breakdown'!$T$6:$T$168, "&gt;="&amp;F1,'Expenditure Breakdown'!$T$6:$T$168, "&lt;"&amp;G1)</f>
        <v>0</v>
      </c>
      <c r="G17" s="125">
        <f>SUMIFS('Expenditure Breakdown'!$U$6:$U$168, 'Expenditure Breakdown'!$T$6:$T$168, "&gt;="&amp;G1,'Expenditure Breakdown'!$T$6:$T$168, "&lt;"&amp;H1)</f>
        <v>0</v>
      </c>
      <c r="H17" s="125">
        <f>SUMIFS('Expenditure Breakdown'!$U$6:$U$168, 'Expenditure Breakdown'!$T$6:$T$168, "&gt;="&amp;H1,'Expenditure Breakdown'!$T$6:$T$168, "&lt;"&amp;I1)</f>
        <v>0</v>
      </c>
      <c r="I17" s="125">
        <f>SUMIFS('Expenditure Breakdown'!$U$6:$U$168, 'Expenditure Breakdown'!$T$6:$T$168, "&gt;="&amp;I1,'Expenditure Breakdown'!$T$6:$T$168, "&lt;"&amp;J1)</f>
        <v>0</v>
      </c>
      <c r="J17" s="125">
        <f>SUMIFS('Expenditure Breakdown'!$U$6:$U$168, 'Expenditure Breakdown'!$T$6:$T$168, "&gt;="&amp;J1,'Expenditure Breakdown'!$T$6:$T$168, "&lt;"&amp;K1)</f>
        <v>0</v>
      </c>
      <c r="K17" s="125">
        <f>SUMIFS('Expenditure Breakdown'!$U$6:$U$168, 'Expenditure Breakdown'!$T$6:$T$168, "&gt;="&amp;K1,'Expenditure Breakdown'!$T$6:$T$168, "&lt;"&amp;L1)</f>
        <v>0</v>
      </c>
      <c r="L17" s="125">
        <f>SUMIFS('Expenditure Breakdown'!$U$6:$U$168, 'Expenditure Breakdown'!$T$6:$T$168, "&gt;="&amp;L1,'Expenditure Breakdown'!$T$6:$T$168, "&lt;"&amp;M1)</f>
        <v>0</v>
      </c>
      <c r="M17" s="125">
        <f>SUMIFS('Expenditure Breakdown'!$U$6:$U$168, 'Expenditure Breakdown'!$T$6:$T$168, "&gt;="&amp;M1,'Expenditure Breakdown'!$T$6:$T$168, "&lt;"&amp;N1)</f>
        <v>0</v>
      </c>
      <c r="N17" s="125">
        <f>SUMIFS('Expenditure Breakdown'!$U$6:$U$168, 'Expenditure Breakdown'!$T$6:$T$168, "&gt;="&amp;N1,'Expenditure Breakdown'!$T$6:$T$168, "&lt;"&amp;O1)</f>
        <v>0</v>
      </c>
      <c r="O17" s="125">
        <f>SUMIFS('Expenditure Breakdown'!$U$6:$U$168, 'Expenditure Breakdown'!$T$6:$T$168, "&gt;="&amp;O1,'Expenditure Breakdown'!$T$6:$T$168, "&lt;"&amp;P1)</f>
        <v>0</v>
      </c>
      <c r="P17" s="125">
        <f>SUMIFS('Expenditure Breakdown'!$U$6:$U$168, 'Expenditure Breakdown'!$T$6:$T$168, "&gt;="&amp;P1,'Expenditure Breakdown'!$T$6:$T$168, "&lt;"&amp;Q1)</f>
        <v>0</v>
      </c>
      <c r="Q17" s="125">
        <f>SUMIFS('Expenditure Breakdown'!$U$6:$U$168, 'Expenditure Breakdown'!$T$6:$T$168, "&gt;="&amp;Q1,'Expenditure Breakdown'!$T$6:$T$168, "&lt;"&amp;R1)</f>
        <v>30174.27092864634</v>
      </c>
      <c r="R17" s="125">
        <f>SUMIFS('Expenditure Breakdown'!$U$6:$U$168, 'Expenditure Breakdown'!$T$6:$T$168, "&gt;="&amp;R1,'Expenditure Breakdown'!$T$6:$T$168, "&lt;"&amp;S1)</f>
        <v>0</v>
      </c>
      <c r="S17" s="125">
        <f>SUMIFS('Expenditure Breakdown'!$U$6:$U$168, 'Expenditure Breakdown'!$T$6:$T$168, "&gt;="&amp;S1,'Expenditure Breakdown'!$T$6:$T$168, "&lt;"&amp;T1)</f>
        <v>0</v>
      </c>
      <c r="T17" s="125">
        <f>SUMIFS('Expenditure Breakdown'!$U$6:$U$168, 'Expenditure Breakdown'!$T$6:$T$168, "&gt;="&amp;T1,'Expenditure Breakdown'!$T$6:$T$168, "&lt;"&amp;U1)</f>
        <v>0</v>
      </c>
      <c r="U17" s="125">
        <f>SUMIFS('Expenditure Breakdown'!$U$6:$U$168, 'Expenditure Breakdown'!$T$6:$T$168, "&gt;="&amp;U1,'Expenditure Breakdown'!$T$6:$T$168, "&lt;"&amp;V1)</f>
        <v>896345.1194456123</v>
      </c>
      <c r="V17" s="125">
        <f>SUMIFS('Expenditure Breakdown'!$U$6:$U$168, 'Expenditure Breakdown'!$T$6:$T$168, "&gt;="&amp;V1,'Expenditure Breakdown'!$T$6:$T$168, "&lt;"&amp;W1)</f>
        <v>0</v>
      </c>
      <c r="W17" s="125">
        <f>SUMIFS('Expenditure Breakdown'!$U$6:$U$168, 'Expenditure Breakdown'!$T$6:$T$168, "&gt;="&amp;W1,'Expenditure Breakdown'!$T$6:$T$168, "&lt;"&amp;X1)</f>
        <v>0</v>
      </c>
      <c r="X17" s="125">
        <f>SUMIFS('Expenditure Breakdown'!$U$6:$U$168, 'Expenditure Breakdown'!$T$6:$T$168, "&gt;="&amp;X1,'Expenditure Breakdown'!$T$6:$T$168, "&lt;"&amp;Y1)</f>
        <v>0</v>
      </c>
      <c r="Y17" s="125">
        <f>SUMIFS('Expenditure Breakdown'!$U$6:$U$168, 'Expenditure Breakdown'!$T$6:$T$168, "&gt;="&amp;Y1,'Expenditure Breakdown'!$T$6:$T$168, "&lt;"&amp;Z1)</f>
        <v>0</v>
      </c>
      <c r="Z17" s="125">
        <f>SUMIFS('Expenditure Breakdown'!$U$6:$U$168, 'Expenditure Breakdown'!$T$6:$T$168, "&gt;="&amp;Z1,'Expenditure Breakdown'!$T$6:$T$168, "&lt;"&amp;AA1)</f>
        <v>472775.63471377932</v>
      </c>
      <c r="AA17" s="125">
        <f>SUMIFS('Expenditure Breakdown'!$U$6:$U$168, 'Expenditure Breakdown'!$T$6:$T$168, "&gt;="&amp;AA1,'Expenditure Breakdown'!$T$6:$T$168, "&lt;"&amp;AB1)</f>
        <v>0</v>
      </c>
      <c r="AB17" s="125">
        <f>SUMIFS('Expenditure Breakdown'!$U$6:$U$168, 'Expenditure Breakdown'!$T$6:$T$168, "&gt;="&amp;AB1,'Expenditure Breakdown'!$T$6:$T$168, "&lt;"&amp;AC1)</f>
        <v>0</v>
      </c>
      <c r="AC17" s="125">
        <f>SUMIFS('Expenditure Breakdown'!$U$6:$U$168, 'Expenditure Breakdown'!$T$6:$T$168, "&gt;="&amp;AC1,'Expenditure Breakdown'!$T$6:$T$168, "&lt;"&amp;AD1)</f>
        <v>0</v>
      </c>
      <c r="AD17" s="125">
        <f>SUMIFS('Expenditure Breakdown'!$U$6:$U$168, 'Expenditure Breakdown'!$T$6:$T$168, "&gt;="&amp;AD1,'Expenditure Breakdown'!$T$6:$T$168, "&lt;"&amp;AE1)</f>
        <v>41935.452145119547</v>
      </c>
      <c r="AE17" s="125">
        <f>SUMIFS('Expenditure Breakdown'!$U$6:$U$168, 'Expenditure Breakdown'!$T$6:$T$168, "&gt;="&amp;AE1,'Expenditure Breakdown'!$T$6:$T$168, "&lt;"&amp;AF1)</f>
        <v>0</v>
      </c>
      <c r="AF17" s="125">
        <f>SUMIFS('Expenditure Breakdown'!$U$6:$U$168, 'Expenditure Breakdown'!$T$6:$T$168, "&gt;="&amp;AF1,'Expenditure Breakdown'!$T$6:$T$168, "&lt;"&amp;AG1)</f>
        <v>0</v>
      </c>
      <c r="AG17" s="125">
        <f>SUMIFS('Expenditure Breakdown'!$U$6:$U$168, 'Expenditure Breakdown'!$T$6:$T$168, "&gt;="&amp;AG1,'Expenditure Breakdown'!$T$6:$T$168, "&lt;"&amp;AH1)</f>
        <v>0</v>
      </c>
      <c r="AH17" s="125">
        <f>SUMIFS('Expenditure Breakdown'!$U$6:$U$168, 'Expenditure Breakdown'!$T$6:$T$168, "&gt;="&amp;AH1,'Expenditure Breakdown'!$T$6:$T$168, "&lt;"&amp;AI1)</f>
        <v>0</v>
      </c>
      <c r="AI17" s="125">
        <f>SUMIFS('Expenditure Breakdown'!$U$6:$U$168, 'Expenditure Breakdown'!$T$6:$T$168, "&gt;="&amp;AI1,'Expenditure Breakdown'!$T$6:$T$168, "&lt;"&amp;AJ1)</f>
        <v>0</v>
      </c>
      <c r="AJ17" s="125">
        <f>SUMIFS('Expenditure Breakdown'!$U$6:$U$168, 'Expenditure Breakdown'!$T$6:$T$168, "&gt;="&amp;AJ1,'Expenditure Breakdown'!$T$6:$T$168, "&lt;"&amp;AK1)</f>
        <v>0</v>
      </c>
      <c r="AK17" s="125">
        <f>SUMIFS('Expenditure Breakdown'!$U$6:$U$168, 'Expenditure Breakdown'!$T$6:$T$168, "&gt;="&amp;AK1,'Expenditure Breakdown'!$T$6:$T$168, "&lt;"&amp;AL1)</f>
        <v>0</v>
      </c>
      <c r="AL17" s="125">
        <f>SUMIFS('Expenditure Breakdown'!$U$6:$U$168, 'Expenditure Breakdown'!$T$6:$T$168, "&gt;="&amp;AL1,'Expenditure Breakdown'!$T$6:$T$168, "&lt;"&amp;AM1)</f>
        <v>0</v>
      </c>
      <c r="AM17" s="125">
        <f>SUMIFS('Expenditure Breakdown'!$U$6:$U$168, 'Expenditure Breakdown'!$T$6:$T$168, "&gt;="&amp;AM1,'Expenditure Breakdown'!$T$6:$T$168, "&lt;"&amp;AN1)</f>
        <v>0</v>
      </c>
      <c r="AN17" s="125">
        <f>SUMIFS('Expenditure Breakdown'!$U$6:$U$168, 'Expenditure Breakdown'!$T$6:$T$168, "&gt;="&amp;AN1,'Expenditure Breakdown'!$T$6:$T$168, "&lt;"&amp;AO1)</f>
        <v>0</v>
      </c>
      <c r="AO17" s="125">
        <f>SUMIFS('Expenditure Breakdown'!$U$6:$U$168, 'Expenditure Breakdown'!$T$6:$T$168, "&gt;="&amp;AO1,'Expenditure Breakdown'!$T$6:$T$168, "&lt;"&amp;AP1)</f>
        <v>0</v>
      </c>
      <c r="AP17" s="125">
        <f>SUMIFS('Expenditure Breakdown'!$U$6:$U$168, 'Expenditure Breakdown'!$T$6:$T$168, "&gt;="&amp;AP1,'Expenditure Breakdown'!$T$6:$T$168, "&lt;"&amp;AQ1)</f>
        <v>0</v>
      </c>
      <c r="AQ17" s="125">
        <f>SUMIFS('Expenditure Breakdown'!$U$6:$U$168, 'Expenditure Breakdown'!$T$6:$T$168, "&gt;="&amp;AQ1,'Expenditure Breakdown'!$T$6:$T$168, "&lt;"&amp;AR1)</f>
        <v>0</v>
      </c>
      <c r="AR17" s="125">
        <f>SUMIFS('Expenditure Breakdown'!$U$6:$U$168, 'Expenditure Breakdown'!$T$6:$T$168, "&gt;="&amp;AR1,'Expenditure Breakdown'!$T$6:$T$168, "&lt;"&amp;AS1)</f>
        <v>0</v>
      </c>
      <c r="AS17" s="125">
        <f>SUMIFS('Expenditure Breakdown'!$U$6:$U$168, 'Expenditure Breakdown'!$T$6:$T$168, "&gt;="&amp;AS1,'Expenditure Breakdown'!$T$6:$T$168, "&lt;"&amp;AT1)</f>
        <v>0</v>
      </c>
      <c r="AT17" s="125">
        <f>SUMIFS('Expenditure Breakdown'!$U$6:$U$168, 'Expenditure Breakdown'!$T$6:$T$168, "&gt;="&amp;AT1,'Expenditure Breakdown'!$T$6:$T$168, "&lt;"&amp;AU1)</f>
        <v>0</v>
      </c>
      <c r="AU17" s="125">
        <f>SUMIFS('Expenditure Breakdown'!$U$6:$U$168, 'Expenditure Breakdown'!$T$6:$T$168, "&gt;="&amp;AU1,'Expenditure Breakdown'!$T$6:$T$168, "&lt;"&amp;AV1)</f>
        <v>0</v>
      </c>
      <c r="AV17" s="125">
        <f>SUMIFS('Expenditure Breakdown'!$U$6:$U$168, 'Expenditure Breakdown'!$T$6:$T$168, "&gt;="&amp;AV1,'Expenditure Breakdown'!$T$6:$T$168, "&lt;"&amp;AW1)</f>
        <v>0</v>
      </c>
      <c r="AW17" s="125">
        <f>SUMIFS('Expenditure Breakdown'!$U$6:$U$168, 'Expenditure Breakdown'!$T$6:$T$168, "&gt;="&amp;AW1,'Expenditure Breakdown'!$T$6:$T$168, "&lt;"&amp;AX1)</f>
        <v>0</v>
      </c>
      <c r="AX17" s="125">
        <f>SUMIFS('Expenditure Breakdown'!$U$6:$U$168, 'Expenditure Breakdown'!$T$6:$T$168, "&gt;="&amp;AX1,'Expenditure Breakdown'!$T$6:$T$168, "&lt;"&amp;AY1)</f>
        <v>0</v>
      </c>
      <c r="AY17" s="125">
        <f>SUMIFS('Expenditure Breakdown'!$U$6:$U$168, 'Expenditure Breakdown'!$T$6:$T$168, "&gt;="&amp;AY1,'Expenditure Breakdown'!$T$6:$T$168, "&lt;"&amp;AZ1)</f>
        <v>0</v>
      </c>
      <c r="AZ17" s="125">
        <f>SUMIFS('Expenditure Breakdown'!$U$6:$U$168, 'Expenditure Breakdown'!$T$6:$T$168, "&gt;="&amp;AZ1,'Expenditure Breakdown'!$T$6:$T$168, "&lt;"&amp;BA1)</f>
        <v>0</v>
      </c>
      <c r="BA17" s="125">
        <f>SUMIFS('Expenditure Breakdown'!$U$6:$U$168, 'Expenditure Breakdown'!$T$6:$T$168, "&gt;="&amp;BA1,'Expenditure Breakdown'!$T$6:$T$168, "&lt;"&amp;BB1)</f>
        <v>0</v>
      </c>
      <c r="BB17" s="125">
        <f>SUMIFS('Expenditure Breakdown'!$U$6:$U$168, 'Expenditure Breakdown'!$T$6:$T$168, "&gt;="&amp;BB1,'Expenditure Breakdown'!$T$6:$T$168, "&lt;"&amp;BC1)</f>
        <v>0</v>
      </c>
      <c r="BC17" s="125">
        <f>SUMIFS('Expenditure Breakdown'!$U$6:$U$168, 'Expenditure Breakdown'!$T$6:$T$168, "&gt;="&amp;BC1,'Expenditure Breakdown'!$T$6:$T$168, "&lt;"&amp;BD1)</f>
        <v>0</v>
      </c>
      <c r="BD17" s="125">
        <f>SUMIFS('Expenditure Breakdown'!$U$6:$U$168, 'Expenditure Breakdown'!$T$6:$T$168, "&gt;="&amp;BD1,'Expenditure Breakdown'!$T$6:$T$168, "&lt;"&amp;BE1)</f>
        <v>0</v>
      </c>
      <c r="BE17" s="125">
        <f>SUMIFS('Expenditure Breakdown'!$U$6:$U$168, 'Expenditure Breakdown'!$T$6:$T$168, "&gt;="&amp;BE1,'Expenditure Breakdown'!$T$6:$T$168, "&lt;"&amp;BF1)</f>
        <v>0</v>
      </c>
      <c r="BF17" s="125">
        <f>SUMIFS('Expenditure Breakdown'!$U$6:$U$168, 'Expenditure Breakdown'!$T$6:$T$168, "&gt;="&amp;BF1,'Expenditure Breakdown'!$T$6:$T$168, "&lt;"&amp;BG1)</f>
        <v>0</v>
      </c>
      <c r="BG17" s="125">
        <f>SUMIFS('Expenditure Breakdown'!$U$6:$U$168, 'Expenditure Breakdown'!$T$6:$T$168, "&gt;="&amp;BG1,'Expenditure Breakdown'!$T$6:$T$168, "&lt;"&amp;BH1)</f>
        <v>0</v>
      </c>
      <c r="BH17" s="125">
        <f>SUMIFS('Expenditure Breakdown'!$U$6:$U$168, 'Expenditure Breakdown'!$T$6:$T$168, "&gt;="&amp;BH1,'Expenditure Breakdown'!$T$6:$T$168, "&lt;"&amp;BI1)</f>
        <v>0</v>
      </c>
      <c r="BI17" s="125">
        <f>SUMIFS('Expenditure Breakdown'!$U$6:$U$168, 'Expenditure Breakdown'!$T$6:$T$168, "&gt;="&amp;BI1,'Expenditure Breakdown'!$T$6:$T$168, "&lt;"&amp;BJ1)</f>
        <v>0</v>
      </c>
      <c r="BJ17" s="125">
        <f>SUMIFS('Expenditure Breakdown'!$U$6:$U$168, 'Expenditure Breakdown'!$T$6:$T$168, "&gt;="&amp;BJ1,'Expenditure Breakdown'!$T$6:$T$168, "&lt;"&amp;BK1)</f>
        <v>0</v>
      </c>
      <c r="BK17" s="125">
        <f>SUMIFS('Expenditure Breakdown'!$U$6:$U$168, 'Expenditure Breakdown'!$T$6:$T$168, "&gt;="&amp;BK1,'Expenditure Breakdown'!$T$6:$T$168, "&lt;"&amp;BL1)</f>
        <v>0</v>
      </c>
      <c r="BL17" s="125">
        <f>SUMIFS('Expenditure Breakdown'!$U$6:$U$168, 'Expenditure Breakdown'!$T$6:$T$168, "&gt;="&amp;BL1,'Expenditure Breakdown'!$T$6:$T$168, "&lt;"&amp;BM1)</f>
        <v>0</v>
      </c>
      <c r="BM17" s="125">
        <f>SUMIFS('Expenditure Breakdown'!$U$6:$U$168, 'Expenditure Breakdown'!$T$6:$T$168, "&gt;="&amp;BM1,'Expenditure Breakdown'!$T$6:$T$168, "&lt;"&amp;BN1)</f>
        <v>0</v>
      </c>
      <c r="BN17" s="125">
        <f>SUMIFS('Expenditure Breakdown'!$U$6:$U$168, 'Expenditure Breakdown'!$T$6:$T$168, "&gt;="&amp;BN1,'Expenditure Breakdown'!$T$6:$T$168, "&lt;"&amp;BO1)</f>
        <v>0</v>
      </c>
      <c r="BO17" s="125">
        <f>SUMIFS('Expenditure Breakdown'!$U$6:$U$168, 'Expenditure Breakdown'!$T$6:$T$168, "&gt;="&amp;BO1,'Expenditure Breakdown'!$T$6:$T$168, "&lt;"&amp;BP1)</f>
        <v>0</v>
      </c>
      <c r="BP17" s="125">
        <f>SUMIFS('Expenditure Breakdown'!$U$6:$U$168, 'Expenditure Breakdown'!$T$6:$T$168, "&gt;="&amp;BP1,'Expenditure Breakdown'!$T$6:$T$168, "&lt;"&amp;BQ1)</f>
        <v>0</v>
      </c>
      <c r="BQ17" s="125">
        <f>SUMIFS('Expenditure Breakdown'!$U$6:$U$168, 'Expenditure Breakdown'!$T$6:$T$168, "&gt;="&amp;BQ1,'Expenditure Breakdown'!$T$6:$T$168, "&lt;"&amp;BR1)</f>
        <v>0</v>
      </c>
      <c r="BR17" s="125">
        <f>SUMIFS('Expenditure Breakdown'!$U$6:$U$168, 'Expenditure Breakdown'!$T$6:$T$168, "&gt;="&amp;BR1,'Expenditure Breakdown'!$T$6:$T$168, "&lt;"&amp;BS1)</f>
        <v>0</v>
      </c>
      <c r="BS17" s="125">
        <f>SUMIFS('Expenditure Breakdown'!$U$6:$U$168, 'Expenditure Breakdown'!$T$6:$T$168, "&gt;="&amp;BS1,'Expenditure Breakdown'!$T$6:$T$168, "&lt;"&amp;BT1)</f>
        <v>0</v>
      </c>
      <c r="BT17" s="125">
        <f>SUMIFS('Expenditure Breakdown'!$U$6:$U$168, 'Expenditure Breakdown'!$T$6:$T$168, "&gt;="&amp;BT1,'Expenditure Breakdown'!$T$6:$T$168, "&lt;"&amp;BU1)</f>
        <v>0</v>
      </c>
      <c r="BU17" s="125">
        <f>SUMIFS('Expenditure Breakdown'!$U$6:$U$168, 'Expenditure Breakdown'!$T$6:$T$168, "&gt;="&amp;BU1,'Expenditure Breakdown'!$T$6:$T$168, "&lt;"&amp;BV1)</f>
        <v>0</v>
      </c>
      <c r="BV17" s="125">
        <f>SUMIFS('Expenditure Breakdown'!$U$6:$U$168, 'Expenditure Breakdown'!$T$6:$T$168, "&gt;="&amp;BV1,'Expenditure Breakdown'!$T$6:$T$168, "&lt;"&amp;BW1)</f>
        <v>0</v>
      </c>
      <c r="BW17" s="125">
        <f>SUMIFS('Expenditure Breakdown'!$U$6:$U$168, 'Expenditure Breakdown'!$T$6:$T$168, "&gt;="&amp;BW1,'Expenditure Breakdown'!$T$6:$T$168, "&lt;"&amp;BX1)</f>
        <v>0</v>
      </c>
      <c r="BX17" s="125">
        <f>SUMIFS('Expenditure Breakdown'!$U$6:$U$168, 'Expenditure Breakdown'!$T$6:$T$168, "&gt;="&amp;BX1,'Expenditure Breakdown'!$T$6:$T$168, "&lt;"&amp;BY1)</f>
        <v>0</v>
      </c>
      <c r="BY17" s="125">
        <f>SUMIFS('Expenditure Breakdown'!$U$6:$U$168, 'Expenditure Breakdown'!$T$6:$T$168, "&gt;="&amp;BY1,'Expenditure Breakdown'!$T$6:$T$168, "&lt;"&amp;BZ1)</f>
        <v>0</v>
      </c>
      <c r="BZ17" s="125">
        <f>SUMIFS('Expenditure Breakdown'!$U$6:$U$168, 'Expenditure Breakdown'!$T$6:$T$168, "&gt;="&amp;BZ1,'Expenditure Breakdown'!$T$6:$T$168, "&lt;"&amp;CA1)</f>
        <v>0</v>
      </c>
      <c r="CA17" s="125">
        <f>SUMIFS('Expenditure Breakdown'!$U$6:$U$168, 'Expenditure Breakdown'!$T$6:$T$168, "&gt;="&amp;CA1,'Expenditure Breakdown'!$T$6:$T$168, "&lt;"&amp;CB1)</f>
        <v>0</v>
      </c>
      <c r="CB17" s="125">
        <f>SUMIFS('Expenditure Breakdown'!$U$6:$U$168, 'Expenditure Breakdown'!$T$6:$T$168, "&gt;="&amp;CB1,'Expenditure Breakdown'!$T$6:$T$168, "&lt;"&amp;CC1)</f>
        <v>0</v>
      </c>
      <c r="CC17" s="125">
        <f>SUMIFS('Expenditure Breakdown'!$U$6:$U$168, 'Expenditure Breakdown'!$T$6:$T$168, "&gt;="&amp;CC1,'Expenditure Breakdown'!$T$6:$T$168, "&lt;"&amp;CD1)</f>
        <v>0</v>
      </c>
      <c r="CD17" s="125">
        <f>SUMIFS('Expenditure Breakdown'!$U$6:$U$168, 'Expenditure Breakdown'!$T$6:$T$168, "&gt;="&amp;CD1,'Expenditure Breakdown'!$T$6:$T$168, "&lt;"&amp;CE1)</f>
        <v>0</v>
      </c>
      <c r="CE17" s="125">
        <f>SUMIFS('Expenditure Breakdown'!$U$6:$U$168, 'Expenditure Breakdown'!$T$6:$T$168, "&gt;="&amp;CE1,'Expenditure Breakdown'!$T$6:$T$168, "&lt;"&amp;CF1)</f>
        <v>0</v>
      </c>
      <c r="CF17" s="125">
        <f>SUMIFS('Expenditure Breakdown'!$U$6:$U$168, 'Expenditure Breakdown'!$T$6:$T$168, "&gt;="&amp;CF1,'Expenditure Breakdown'!$T$6:$T$168, "&lt;"&amp;CG1)</f>
        <v>0</v>
      </c>
      <c r="CG17" s="125">
        <f>SUMIFS('Expenditure Breakdown'!$U$6:$U$168, 'Expenditure Breakdown'!$T$6:$T$168, "&gt;="&amp;CG1,'Expenditure Breakdown'!$T$6:$T$168, "&lt;"&amp;CH1)</f>
        <v>0</v>
      </c>
      <c r="CH17" s="125">
        <f>SUMIFS('Expenditure Breakdown'!$U$6:$U$168, 'Expenditure Breakdown'!$T$6:$T$168, "&gt;="&amp;CH1,'Expenditure Breakdown'!$T$6:$T$168, "&lt;"&amp;CI1)</f>
        <v>0</v>
      </c>
      <c r="CI17" s="125">
        <f>SUMIFS('Expenditure Breakdown'!$U$6:$U$168, 'Expenditure Breakdown'!$T$6:$T$168, "&gt;="&amp;CI1,'Expenditure Breakdown'!$T$6:$T$168, "&lt;"&amp;CJ1)</f>
        <v>0</v>
      </c>
      <c r="CJ17" s="125">
        <f>SUMIFS('Expenditure Breakdown'!$U$6:$U$168, 'Expenditure Breakdown'!$T$6:$T$168, "&gt;="&amp;CJ1,'Expenditure Breakdown'!$T$6:$T$168, "&lt;"&amp;CK1)</f>
        <v>0</v>
      </c>
      <c r="CK17" s="125">
        <f>SUMIFS('Expenditure Breakdown'!$U$6:$U$168, 'Expenditure Breakdown'!$T$6:$T$168, "&gt;="&amp;CK1,'Expenditure Breakdown'!$T$6:$T$168, "&lt;"&amp;CL1)</f>
        <v>0</v>
      </c>
      <c r="CL17" s="125">
        <f>SUMIFS('Expenditure Breakdown'!$U$6:$U$168, 'Expenditure Breakdown'!$T$6:$T$168, "&gt;="&amp;CL1,'Expenditure Breakdown'!$T$6:$T$168, "&lt;"&amp;CM1)</f>
        <v>0</v>
      </c>
      <c r="CM17" s="125">
        <f>SUMIFS('Expenditure Breakdown'!$U$6:$U$168, 'Expenditure Breakdown'!$T$6:$T$168, "&gt;="&amp;CM1,'Expenditure Breakdown'!$T$6:$T$168, "&lt;"&amp;CN1)</f>
        <v>0</v>
      </c>
      <c r="CN17" s="125">
        <f>SUMIFS('Expenditure Breakdown'!$U$6:$U$168, 'Expenditure Breakdown'!$T$6:$T$168, "&gt;="&amp;CN1,'Expenditure Breakdown'!$T$6:$T$168, "&lt;"&amp;CO1)</f>
        <v>0</v>
      </c>
      <c r="CO17" s="125">
        <f>SUMIFS('Expenditure Breakdown'!$U$6:$U$168, 'Expenditure Breakdown'!$T$6:$T$168, "&gt;="&amp;CO1,'Expenditure Breakdown'!$T$6:$T$168, "&lt;"&amp;CP1)</f>
        <v>0</v>
      </c>
      <c r="CP17" s="125">
        <f>SUMIFS('Expenditure Breakdown'!$U$6:$U$168, 'Expenditure Breakdown'!$T$6:$T$168, "&gt;="&amp;CP1,'Expenditure Breakdown'!$T$6:$T$168, "&lt;"&amp;CQ1)</f>
        <v>0</v>
      </c>
      <c r="CQ17" s="125">
        <f>SUMIFS('Expenditure Breakdown'!$U$6:$U$168, 'Expenditure Breakdown'!$T$6:$T$168, "&gt;="&amp;CQ1,'Expenditure Breakdown'!$T$6:$T$168, "&lt;"&amp;CR1)</f>
        <v>0</v>
      </c>
      <c r="CR17" s="125">
        <f>SUMIFS('Expenditure Breakdown'!$U$6:$U$168, 'Expenditure Breakdown'!$T$6:$T$168, "&gt;="&amp;CR1,'Expenditure Breakdown'!$T$6:$T$168, "&lt;"&amp;CS1)</f>
        <v>0</v>
      </c>
      <c r="CS17" s="125">
        <f>SUMIFS('Expenditure Breakdown'!$U$6:$U$168, 'Expenditure Breakdown'!$T$6:$T$168, "&gt;="&amp;CS1,'Expenditure Breakdown'!$T$6:$T$168, "&lt;"&amp;CT1)</f>
        <v>0</v>
      </c>
      <c r="CT17" s="125">
        <f>SUMIFS('Expenditure Breakdown'!$U$6:$U$168, 'Expenditure Breakdown'!$T$6:$T$168, "&gt;="&amp;CT1,'Expenditure Breakdown'!$T$6:$T$168, "&lt;"&amp;CU1)</f>
        <v>0</v>
      </c>
      <c r="CU17" s="125">
        <f>SUMIFS('Expenditure Breakdown'!$U$6:$U$168, 'Expenditure Breakdown'!$T$6:$T$168, "&gt;="&amp;CU1,'Expenditure Breakdown'!$T$6:$T$168, "&lt;"&amp;CV1)</f>
        <v>0</v>
      </c>
      <c r="CV17" s="125">
        <f>SUMIFS('Expenditure Breakdown'!$U$6:$U$168, 'Expenditure Breakdown'!$T$6:$T$168, "&gt;="&amp;CV1,'Expenditure Breakdown'!$T$6:$T$168, "&lt;"&amp;CW1)</f>
        <v>0</v>
      </c>
      <c r="CW17" s="125">
        <f>SUMIFS('Expenditure Breakdown'!$U$6:$U$168, 'Expenditure Breakdown'!$T$6:$T$168, "&gt;="&amp;CW1,'Expenditure Breakdown'!$T$6:$T$168, "&lt;"&amp;CX1)</f>
        <v>0</v>
      </c>
      <c r="CX17" s="125">
        <f>SUMIFS('Expenditure Breakdown'!$U$6:$U$168, 'Expenditure Breakdown'!$T$6:$T$168, "&gt;="&amp;CX1,'Expenditure Breakdown'!$T$6:$T$168, "&lt;"&amp;CY1)</f>
        <v>0</v>
      </c>
      <c r="CY17" s="125">
        <f>SUMIFS('Expenditure Breakdown'!$U$6:$U$168, 'Expenditure Breakdown'!$T$6:$T$168, "&gt;="&amp;CY1,'Expenditure Breakdown'!$T$6:$T$168, "&lt;"&amp;CZ1)</f>
        <v>0</v>
      </c>
      <c r="CZ17" s="125">
        <f>SUMIFS('Expenditure Breakdown'!$U$6:$U$168, 'Expenditure Breakdown'!$T$6:$T$168, "&gt;="&amp;CZ1,'Expenditure Breakdown'!$T$6:$T$168, "&lt;"&amp;DA1)</f>
        <v>0</v>
      </c>
      <c r="DA17" s="125">
        <f>SUMIFS('Expenditure Breakdown'!$U$6:$U$168, 'Expenditure Breakdown'!$T$6:$T$168, "&gt;="&amp;DA1,'Expenditure Breakdown'!$T$6:$T$168, "&lt;"&amp;DB1)</f>
        <v>0</v>
      </c>
      <c r="DB17" s="125">
        <f>SUMIFS('Expenditure Breakdown'!$U$6:$U$168, 'Expenditure Breakdown'!$T$6:$T$168, "&gt;="&amp;DB1,'Expenditure Breakdown'!$T$6:$T$168, "&lt;"&amp;DC1)</f>
        <v>0</v>
      </c>
      <c r="DC17" s="125">
        <f>SUMIFS('Expenditure Breakdown'!$U$6:$U$168, 'Expenditure Breakdown'!$T$6:$T$168, "&gt;="&amp;DC1,'Expenditure Breakdown'!$T$6:$T$168, "&lt;"&amp;DD1)</f>
        <v>0</v>
      </c>
      <c r="DD17" s="125">
        <f>SUMIFS('Expenditure Breakdown'!$U$6:$U$168, 'Expenditure Breakdown'!$T$6:$T$168, "&gt;="&amp;DD1,'Expenditure Breakdown'!$T$6:$T$168, "&lt;"&amp;DE1)</f>
        <v>0</v>
      </c>
      <c r="DE17" s="125">
        <f>SUMIFS('Expenditure Breakdown'!$U$6:$U$168, 'Expenditure Breakdown'!$T$6:$T$168, "&gt;="&amp;DE1,'Expenditure Breakdown'!$T$6:$T$168, "&lt;"&amp;DF1)</f>
        <v>0</v>
      </c>
      <c r="DF17" s="125">
        <f>SUMIFS('Expenditure Breakdown'!$U$6:$U$168, 'Expenditure Breakdown'!$T$6:$T$168, "&gt;="&amp;DF1,'Expenditure Breakdown'!$T$6:$T$168, "&lt;"&amp;DG1)</f>
        <v>0</v>
      </c>
      <c r="DG17" s="125">
        <f>SUMIFS('Expenditure Breakdown'!$U$6:$U$168, 'Expenditure Breakdown'!$T$6:$T$168, "&gt;="&amp;DG1,'Expenditure Breakdown'!$T$6:$T$168, "&lt;"&amp;DH1)</f>
        <v>0</v>
      </c>
      <c r="DH17" s="125">
        <f>SUMIFS('Expenditure Breakdown'!$U$6:$U$168, 'Expenditure Breakdown'!$T$6:$T$168, "&gt;="&amp;DH1,'Expenditure Breakdown'!$T$6:$T$168, "&lt;"&amp;DI1)</f>
        <v>0</v>
      </c>
      <c r="DI17" s="125">
        <f>SUMIFS('Expenditure Breakdown'!$U$6:$U$168, 'Expenditure Breakdown'!$T$6:$T$168, "&gt;="&amp;DI1,'Expenditure Breakdown'!$T$6:$T$168, "&lt;"&amp;DJ1)</f>
        <v>0</v>
      </c>
      <c r="DJ17" s="125">
        <f>SUMIFS('Expenditure Breakdown'!$U$6:$U$168, 'Expenditure Breakdown'!$T$6:$T$168, "&gt;="&amp;DJ1,'Expenditure Breakdown'!$T$6:$T$168, "&lt;"&amp;DK1)</f>
        <v>0</v>
      </c>
      <c r="DK17" s="125">
        <f>SUMIFS('Expenditure Breakdown'!$U$6:$U$168, 'Expenditure Breakdown'!$T$6:$T$168, "&gt;="&amp;DK1,'Expenditure Breakdown'!$T$6:$T$168, "&lt;"&amp;DL1)</f>
        <v>0</v>
      </c>
      <c r="DL17" s="125">
        <f>SUMIFS('Expenditure Breakdown'!$U$6:$U$168, 'Expenditure Breakdown'!$T$6:$T$168, "&gt;="&amp;DL1,'Expenditure Breakdown'!$T$6:$T$168, "&lt;"&amp;DM1)</f>
        <v>0</v>
      </c>
      <c r="DM17" s="125">
        <f>SUMIFS('Expenditure Breakdown'!$U$6:$U$168, 'Expenditure Breakdown'!$T$6:$T$168, "&gt;="&amp;DM1,'Expenditure Breakdown'!$T$6:$T$168, "&lt;"&amp;DN1)</f>
        <v>0</v>
      </c>
      <c r="DN17" s="125">
        <f>SUMIFS('Expenditure Breakdown'!$U$6:$U$168, 'Expenditure Breakdown'!$T$6:$T$168, "&gt;="&amp;DN1,'Expenditure Breakdown'!$T$6:$T$168, "&lt;"&amp;DO1)</f>
        <v>0</v>
      </c>
      <c r="DO17" s="125">
        <f>SUMIFS('Expenditure Breakdown'!$U$6:$U$168, 'Expenditure Breakdown'!$T$6:$T$168, "&gt;="&amp;DO1,'Expenditure Breakdown'!$T$6:$T$168, "&lt;"&amp;DP1)</f>
        <v>0</v>
      </c>
      <c r="DP17" s="125">
        <f>SUMIFS('Expenditure Breakdown'!$U$6:$U$168, 'Expenditure Breakdown'!$T$6:$T$168, "&gt;="&amp;DP1,'Expenditure Breakdown'!$T$6:$T$168, "&lt;"&amp;DQ1)</f>
        <v>0</v>
      </c>
      <c r="DQ17" s="125">
        <f>SUMIFS('Expenditure Breakdown'!$U$6:$U$168, 'Expenditure Breakdown'!$T$6:$T$168, "&gt;="&amp;DQ1,'Expenditure Breakdown'!$T$6:$T$168, "&lt;"&amp;DR1)</f>
        <v>0</v>
      </c>
      <c r="DR17" s="125">
        <f>SUMIFS('Expenditure Breakdown'!$U$6:$U$168, 'Expenditure Breakdown'!$T$6:$T$168, "&gt;="&amp;DR1,'Expenditure Breakdown'!$T$6:$T$168, "&lt;"&amp;DS1)</f>
        <v>0</v>
      </c>
      <c r="DS17" s="125">
        <f>SUMIFS('Expenditure Breakdown'!$U$6:$U$168, 'Expenditure Breakdown'!$T$6:$T$168, "&gt;="&amp;DS1,'Expenditure Breakdown'!$T$6:$T$168, "&lt;"&amp;DT1)</f>
        <v>0</v>
      </c>
      <c r="DT17" s="125">
        <f>SUMIFS('Expenditure Breakdown'!$U$6:$U$168, 'Expenditure Breakdown'!$T$6:$T$168, "&gt;="&amp;DT1,'Expenditure Breakdown'!$T$6:$T$168, "&lt;"&amp;DU1)</f>
        <v>0</v>
      </c>
      <c r="DU17" s="125">
        <f>SUMIFS('Expenditure Breakdown'!$U$6:$U$168, 'Expenditure Breakdown'!$T$6:$T$168, "&gt;="&amp;DU1,'Expenditure Breakdown'!$T$6:$T$168, "&lt;"&amp;DV1)</f>
        <v>0</v>
      </c>
      <c r="DV17" s="125">
        <f>SUMIFS('Expenditure Breakdown'!$U$6:$U$168, 'Expenditure Breakdown'!$T$6:$T$168, "&gt;="&amp;DV1,'Expenditure Breakdown'!$T$6:$T$168, "&lt;"&amp;DW1)</f>
        <v>0</v>
      </c>
      <c r="DW17" s="125">
        <f>SUMIFS('Expenditure Breakdown'!$U$6:$U$168, 'Expenditure Breakdown'!$T$6:$T$168, "&gt;="&amp;DW1,'Expenditure Breakdown'!$T$6:$T$168, "&lt;"&amp;DX1)</f>
        <v>0</v>
      </c>
      <c r="DX17" s="125">
        <f>SUMIFS('Expenditure Breakdown'!$U$6:$U$168, 'Expenditure Breakdown'!$T$6:$T$168, "&gt;="&amp;DX1,'Expenditure Breakdown'!$T$6:$T$168, "&lt;"&amp;DY1)</f>
        <v>0</v>
      </c>
      <c r="DY17" s="125">
        <f>SUMIFS('Expenditure Breakdown'!$U$6:$U$168, 'Expenditure Breakdown'!$T$6:$T$168, "&gt;="&amp;DY1,'Expenditure Breakdown'!$T$6:$T$168, "&lt;"&amp;DZ1)</f>
        <v>0</v>
      </c>
      <c r="DZ17" s="125">
        <f>SUMIFS('Expenditure Breakdown'!$U$6:$U$168, 'Expenditure Breakdown'!$T$6:$T$168, "&gt;="&amp;DZ1,'Expenditure Breakdown'!$T$6:$T$168, "&lt;"&amp;EA1)</f>
        <v>0</v>
      </c>
      <c r="EA17" s="125">
        <f>SUMIFS('Expenditure Breakdown'!$U$6:$U$168, 'Expenditure Breakdown'!$T$6:$T$168, "&gt;="&amp;EA1,'Expenditure Breakdown'!$T$6:$T$168, "&lt;"&amp;EB1)</f>
        <v>0</v>
      </c>
      <c r="EB17" s="125">
        <f>SUMIFS('Expenditure Breakdown'!$U$6:$U$168, 'Expenditure Breakdown'!$T$6:$T$168, "&gt;="&amp;EB1,'Expenditure Breakdown'!$T$6:$T$168, "&lt;"&amp;EC1)</f>
        <v>0</v>
      </c>
      <c r="EC17" s="125">
        <f>SUMIFS('Expenditure Breakdown'!$U$6:$U$168, 'Expenditure Breakdown'!$T$6:$T$168, "&gt;="&amp;EC1,'Expenditure Breakdown'!$T$6:$T$168, "&lt;"&amp;ED1)</f>
        <v>0</v>
      </c>
      <c r="ED17" s="125">
        <f>SUMIFS('Expenditure Breakdown'!$U$6:$U$168, 'Expenditure Breakdown'!$T$6:$T$168, "&gt;="&amp;ED1,'Expenditure Breakdown'!$T$6:$T$168, "&lt;"&amp;EE1)</f>
        <v>0</v>
      </c>
      <c r="EE17" s="125">
        <f>SUMIFS('Expenditure Breakdown'!$U$6:$U$168, 'Expenditure Breakdown'!$T$6:$T$168, "&gt;="&amp;EE1,'Expenditure Breakdown'!$T$6:$T$168, "&lt;"&amp;EF1)</f>
        <v>0</v>
      </c>
      <c r="EF17" s="125">
        <f>SUMIFS('Expenditure Breakdown'!$U$6:$U$168, 'Expenditure Breakdown'!$T$6:$T$168, "&gt;="&amp;EF1,'Expenditure Breakdown'!$T$6:$T$168, "&lt;"&amp;EG1)</f>
        <v>0</v>
      </c>
      <c r="EG17" s="125">
        <f>SUMIFS('Expenditure Breakdown'!$U$6:$U$168, 'Expenditure Breakdown'!$T$6:$T$168, "&gt;="&amp;EG1,'Expenditure Breakdown'!$T$6:$T$168, "&lt;"&amp;EH1)</f>
        <v>0</v>
      </c>
      <c r="EH17" s="125">
        <f>SUMIFS('Expenditure Breakdown'!$U$6:$U$168, 'Expenditure Breakdown'!$T$6:$T$168, "&gt;="&amp;EH1,'Expenditure Breakdown'!$T$6:$T$168, "&lt;"&amp;EI1)</f>
        <v>0</v>
      </c>
      <c r="EI17" s="125">
        <f>SUMIFS('Expenditure Breakdown'!$U$6:$U$168, 'Expenditure Breakdown'!$T$6:$T$168, "&gt;="&amp;EI1,'Expenditure Breakdown'!$T$6:$T$168, "&lt;"&amp;EJ1)</f>
        <v>0</v>
      </c>
      <c r="EJ17" s="125">
        <f>SUMIFS('Expenditure Breakdown'!$U$6:$U$168, 'Expenditure Breakdown'!$T$6:$T$168, "&gt;="&amp;EJ1,'Expenditure Breakdown'!$T$6:$T$168, "&lt;"&amp;EK1)</f>
        <v>0</v>
      </c>
      <c r="EK17" s="125">
        <f>SUMIFS('Expenditure Breakdown'!$U$6:$U$168, 'Expenditure Breakdown'!$T$6:$T$168, "&gt;="&amp;EK1,'Expenditure Breakdown'!$T$6:$T$168, "&lt;"&amp;EL1)</f>
        <v>0</v>
      </c>
      <c r="EL17" s="125">
        <f>SUMIFS('Expenditure Breakdown'!$U$6:$U$168, 'Expenditure Breakdown'!$T$6:$T$168, "&gt;="&amp;EL1,'Expenditure Breakdown'!$T$6:$T$168, "&lt;"&amp;EM1)</f>
        <v>0</v>
      </c>
      <c r="EM17" s="125">
        <f>SUMIFS('Expenditure Breakdown'!$U$6:$U$168, 'Expenditure Breakdown'!$T$6:$T$168, "&gt;="&amp;EM1,'Expenditure Breakdown'!$T$6:$T$168, "&lt;"&amp;EN1)</f>
        <v>0</v>
      </c>
      <c r="EN17" s="125">
        <f>SUMIFS('Expenditure Breakdown'!$U$6:$U$168, 'Expenditure Breakdown'!$T$6:$T$168, "&gt;="&amp;EN1,'Expenditure Breakdown'!$T$6:$T$168, "&lt;"&amp;EO1)</f>
        <v>0</v>
      </c>
      <c r="EO17" s="125">
        <f>SUMIFS('Expenditure Breakdown'!$U$6:$U$168, 'Expenditure Breakdown'!$T$6:$T$168, "&gt;="&amp;EO1,'Expenditure Breakdown'!$T$6:$T$168, "&lt;"&amp;EP1)</f>
        <v>0</v>
      </c>
      <c r="EP17" s="125">
        <f>SUMIFS('Expenditure Breakdown'!$U$6:$U$168, 'Expenditure Breakdown'!$T$6:$T$168, "&gt;="&amp;EP1,'Expenditure Breakdown'!$T$6:$T$168, "&lt;"&amp;EQ1)</f>
        <v>0</v>
      </c>
      <c r="EQ17" s="125">
        <f>SUMIFS('Expenditure Breakdown'!$U$6:$U$168, 'Expenditure Breakdown'!$T$6:$T$168, "&gt;="&amp;EQ1,'Expenditure Breakdown'!$T$6:$T$168, "&lt;"&amp;ER1)</f>
        <v>0</v>
      </c>
      <c r="ER17" s="125">
        <f>SUMIFS('Expenditure Breakdown'!$U$6:$U$168, 'Expenditure Breakdown'!$T$6:$T$168, "&gt;="&amp;ER1,'Expenditure Breakdown'!$T$6:$T$168, "&lt;"&amp;ES1)</f>
        <v>0</v>
      </c>
      <c r="ES17" s="125">
        <f>SUMIFS('Expenditure Breakdown'!$U$6:$U$168, 'Expenditure Breakdown'!$T$6:$T$168, "&gt;="&amp;ES1,'Expenditure Breakdown'!$T$6:$T$168, "&lt;"&amp;ET1)</f>
        <v>0</v>
      </c>
      <c r="ET17" s="125">
        <f>SUMIFS('Expenditure Breakdown'!$U$6:$U$168, 'Expenditure Breakdown'!$T$6:$T$168, "&gt;="&amp;ET1,'Expenditure Breakdown'!$T$6:$T$168, "&lt;"&amp;EU1)</f>
        <v>0</v>
      </c>
      <c r="EU17" s="125">
        <f>SUMIFS('Expenditure Breakdown'!$U$6:$U$168, 'Expenditure Breakdown'!$T$6:$T$168, "&gt;="&amp;EU1,'Expenditure Breakdown'!$T$6:$T$168, "&lt;"&amp;EV1)</f>
        <v>0</v>
      </c>
      <c r="EV17" s="125">
        <f>SUMIFS('Expenditure Breakdown'!$U$6:$U$168, 'Expenditure Breakdown'!$T$6:$T$168, "&gt;="&amp;EV1,'Expenditure Breakdown'!$T$6:$T$168, "&lt;"&amp;EW1)</f>
        <v>0</v>
      </c>
      <c r="EW17" s="125">
        <f>SUMIFS('Expenditure Breakdown'!$U$6:$U$168, 'Expenditure Breakdown'!$T$6:$T$168, "&gt;="&amp;EW1,'Expenditure Breakdown'!$T$6:$T$168, "&lt;"&amp;EX1)</f>
        <v>0</v>
      </c>
      <c r="EX17" s="125">
        <f>SUMIFS('Expenditure Breakdown'!$U$6:$U$168, 'Expenditure Breakdown'!$T$6:$T$168, "&gt;="&amp;EX1,'Expenditure Breakdown'!$T$6:$T$168, "&lt;"&amp;EY1)</f>
        <v>0</v>
      </c>
      <c r="EY17" s="125">
        <f>SUMIFS('Expenditure Breakdown'!$U$6:$U$168, 'Expenditure Breakdown'!$T$6:$T$168, "&gt;="&amp;EY1,'Expenditure Breakdown'!$T$6:$T$168, "&lt;"&amp;EZ1)</f>
        <v>0</v>
      </c>
      <c r="EZ17" s="125">
        <f>SUMIFS('Expenditure Breakdown'!$U$6:$U$168, 'Expenditure Breakdown'!$T$6:$T$168, "&gt;="&amp;EZ1,'Expenditure Breakdown'!$T$6:$T$168, "&lt;"&amp;FA1)</f>
        <v>0</v>
      </c>
      <c r="FA17" s="125">
        <f>SUMIFS('Expenditure Breakdown'!$U$6:$U$168, 'Expenditure Breakdown'!$T$6:$T$168, "&gt;="&amp;FA1,'Expenditure Breakdown'!$T$6:$T$168, "&lt;"&amp;FB1)</f>
        <v>0</v>
      </c>
      <c r="FB17" s="125">
        <f>SUMIFS('Expenditure Breakdown'!$U$6:$U$168, 'Expenditure Breakdown'!$T$6:$T$168, "&gt;="&amp;FB1,'Expenditure Breakdown'!$T$6:$T$168, "&lt;"&amp;FC1)</f>
        <v>0</v>
      </c>
      <c r="FC17" s="125">
        <f>SUMIFS('Expenditure Breakdown'!$U$6:$U$168, 'Expenditure Breakdown'!$T$6:$T$168, "&gt;="&amp;FC1,'Expenditure Breakdown'!$T$6:$T$168, "&lt;"&amp;FD1)</f>
        <v>0</v>
      </c>
      <c r="FD17" s="125">
        <f>SUMIFS('Expenditure Breakdown'!$U$6:$U$168, 'Expenditure Breakdown'!$T$6:$T$168, "&gt;="&amp;FD1,'Expenditure Breakdown'!$T$6:$T$168, "&lt;"&amp;FE1)</f>
        <v>0</v>
      </c>
      <c r="FE17" s="125">
        <f>SUMIFS('Expenditure Breakdown'!$U$6:$U$168, 'Expenditure Breakdown'!$T$6:$T$168, "&gt;="&amp;FE1,'Expenditure Breakdown'!$T$6:$T$168, "&lt;"&amp;FF1)</f>
        <v>0</v>
      </c>
      <c r="FF17" s="125">
        <f>SUMIFS('Expenditure Breakdown'!$U$6:$U$168, 'Expenditure Breakdown'!$T$6:$T$168, "&gt;="&amp;FF1,'Expenditure Breakdown'!$T$6:$T$168, "&lt;"&amp;FG1)</f>
        <v>0</v>
      </c>
      <c r="FG17" s="125">
        <f>SUMIFS('Expenditure Breakdown'!$U$6:$U$168, 'Expenditure Breakdown'!$T$6:$T$168, "&gt;="&amp;FG1,'Expenditure Breakdown'!$T$6:$T$168, "&lt;"&amp;FH1)</f>
        <v>0</v>
      </c>
      <c r="FH17" s="125">
        <f>SUMIFS('Expenditure Breakdown'!$U$6:$U$168, 'Expenditure Breakdown'!$T$6:$T$168, "&gt;="&amp;FH1,'Expenditure Breakdown'!$T$6:$T$168, "&lt;"&amp;FI1)</f>
        <v>0</v>
      </c>
      <c r="FI17" s="125">
        <f>SUMIFS('Expenditure Breakdown'!$U$6:$U$168, 'Expenditure Breakdown'!$T$6:$T$168, "&gt;="&amp;FI1,'Expenditure Breakdown'!$T$6:$T$168, "&lt;"&amp;FJ1)</f>
        <v>0</v>
      </c>
      <c r="FJ17" s="125">
        <f>SUMIFS('Expenditure Breakdown'!$U$6:$U$168, 'Expenditure Breakdown'!$T$6:$T$168, "&gt;="&amp;FJ1,'Expenditure Breakdown'!$T$6:$T$168, "&lt;"&amp;FK1)</f>
        <v>0</v>
      </c>
      <c r="FK17" s="125">
        <f>SUMIFS('Expenditure Breakdown'!$U$6:$U$168, 'Expenditure Breakdown'!$T$6:$T$168, "&gt;="&amp;FK1,'Expenditure Breakdown'!$T$6:$T$168, "&lt;"&amp;FL1)</f>
        <v>0</v>
      </c>
      <c r="FL17" s="125">
        <f>SUMIFS('Expenditure Breakdown'!$U$6:$U$168, 'Expenditure Breakdown'!$T$6:$T$168, "&gt;="&amp;FL1,'Expenditure Breakdown'!$T$6:$T$168, "&lt;"&amp;FM1)</f>
        <v>0</v>
      </c>
      <c r="FM17" s="125">
        <f>SUMIFS('Expenditure Breakdown'!$U$6:$U$168, 'Expenditure Breakdown'!$T$6:$T$168, "&gt;="&amp;FM1,'Expenditure Breakdown'!$T$6:$T$168, "&lt;"&amp;FN1)</f>
        <v>0</v>
      </c>
      <c r="FN17" s="125">
        <f>SUMIFS('Expenditure Breakdown'!$U$6:$U$168, 'Expenditure Breakdown'!$T$6:$T$168, "&gt;="&amp;FN1,'Expenditure Breakdown'!$T$6:$T$168, "&lt;"&amp;FO1)</f>
        <v>0</v>
      </c>
      <c r="FO17" s="125">
        <f>SUMIFS('Expenditure Breakdown'!$U$6:$U$168, 'Expenditure Breakdown'!$T$6:$T$168, "&gt;="&amp;FO1,'Expenditure Breakdown'!$T$6:$T$168, "&lt;"&amp;FP1)</f>
        <v>0</v>
      </c>
      <c r="FP17" s="125">
        <f>SUMIFS('Expenditure Breakdown'!$U$6:$U$168, 'Expenditure Breakdown'!$T$6:$T$168, "&gt;="&amp;FP1,'Expenditure Breakdown'!$T$6:$T$168, "&lt;"&amp;FQ1)</f>
        <v>0</v>
      </c>
      <c r="FQ17" s="125">
        <f>SUMIFS('Expenditure Breakdown'!$U$6:$U$168, 'Expenditure Breakdown'!$T$6:$T$168, "&gt;="&amp;FQ1,'Expenditure Breakdown'!$T$6:$T$168, "&lt;"&amp;FR1)</f>
        <v>0</v>
      </c>
      <c r="FR17" s="125">
        <f>SUMIFS('Expenditure Breakdown'!$U$6:$U$168, 'Expenditure Breakdown'!$T$6:$T$168, "&gt;="&amp;FR1,'Expenditure Breakdown'!$T$6:$T$168, "&lt;"&amp;FS1)</f>
        <v>0</v>
      </c>
      <c r="FS17" s="125">
        <f>SUMIFS('Expenditure Breakdown'!$U$6:$U$168, 'Expenditure Breakdown'!$T$6:$T$168, "&gt;="&amp;FS1,'Expenditure Breakdown'!$T$6:$T$168, "&lt;"&amp;FT1)</f>
        <v>0</v>
      </c>
      <c r="FT17" s="125">
        <f>SUMIFS('Expenditure Breakdown'!$U$6:$U$168, 'Expenditure Breakdown'!$T$6:$T$168, "&gt;="&amp;FT1,'Expenditure Breakdown'!$T$6:$T$168, "&lt;"&amp;FU1)</f>
        <v>0</v>
      </c>
      <c r="FU17" s="125">
        <f>SUMIFS('Expenditure Breakdown'!$U$6:$U$168, 'Expenditure Breakdown'!$T$6:$T$168, "&gt;="&amp;FU1,'Expenditure Breakdown'!$T$6:$T$168, "&lt;"&amp;FV1)</f>
        <v>0</v>
      </c>
      <c r="FV17" s="125">
        <f>SUMIFS('Expenditure Breakdown'!$U$6:$U$168, 'Expenditure Breakdown'!$T$6:$T$168, "&gt;="&amp;FV1,'Expenditure Breakdown'!$T$6:$T$168, "&lt;"&amp;FW1)</f>
        <v>0</v>
      </c>
      <c r="FW17" s="125">
        <f>SUMIFS('Expenditure Breakdown'!$U$6:$U$168, 'Expenditure Breakdown'!$T$6:$T$168, "&gt;="&amp;FW1,'Expenditure Breakdown'!$T$6:$T$168, "&lt;"&amp;FX1)</f>
        <v>0</v>
      </c>
      <c r="FX17" s="125">
        <f>SUMIFS('Expenditure Breakdown'!$U$6:$U$168, 'Expenditure Breakdown'!$T$6:$T$168, "&gt;="&amp;FX1,'Expenditure Breakdown'!$T$6:$T$168, "&lt;"&amp;FY1)</f>
        <v>0</v>
      </c>
      <c r="FY17" s="125">
        <f>SUMIFS('Expenditure Breakdown'!$U$6:$U$168, 'Expenditure Breakdown'!$T$6:$T$168, "&gt;="&amp;FY1,'Expenditure Breakdown'!$T$6:$T$168, "&lt;"&amp;FZ1)</f>
        <v>0</v>
      </c>
      <c r="FZ17" s="125">
        <f>SUMIFS('Expenditure Breakdown'!$U$6:$U$168, 'Expenditure Breakdown'!$T$6:$T$168, "&gt;="&amp;FZ1,'Expenditure Breakdown'!$T$6:$T$168, "&lt;"&amp;GA1)</f>
        <v>0</v>
      </c>
      <c r="GA17" s="125">
        <f>SUMIFS('Expenditure Breakdown'!$U$6:$U$168, 'Expenditure Breakdown'!$T$6:$T$168, "&gt;="&amp;GA1,'Expenditure Breakdown'!$T$6:$T$168, "&lt;"&amp;GB1)</f>
        <v>0</v>
      </c>
      <c r="GB17" s="125">
        <f>SUMIFS('Expenditure Breakdown'!$U$6:$U$168, 'Expenditure Breakdown'!$T$6:$T$168, "&gt;="&amp;GB1,'Expenditure Breakdown'!$T$6:$T$168, "&lt;"&amp;GC1)</f>
        <v>0</v>
      </c>
      <c r="GC17" s="125">
        <f>SUMIFS('Expenditure Breakdown'!$U$6:$U$168, 'Expenditure Breakdown'!$T$6:$T$168, "&gt;="&amp;GC1,'Expenditure Breakdown'!$T$6:$T$168, "&lt;"&amp;GD1)</f>
        <v>0</v>
      </c>
      <c r="GD17" s="125">
        <f>SUMIFS('Expenditure Breakdown'!$U$6:$U$168, 'Expenditure Breakdown'!$T$6:$T$168, "&gt;="&amp;GD1,'Expenditure Breakdown'!$T$6:$T$168, "&lt;"&amp;GE1)</f>
        <v>0</v>
      </c>
      <c r="GE17" s="125">
        <f>SUMIFS('Expenditure Breakdown'!$U$6:$U$168, 'Expenditure Breakdown'!$T$6:$T$168, "&gt;="&amp;GE1,'Expenditure Breakdown'!$T$6:$T$168, "&lt;"&amp;GF1)</f>
        <v>0</v>
      </c>
      <c r="GF17" s="125">
        <f>SUMIFS('Expenditure Breakdown'!$U$6:$U$168, 'Expenditure Breakdown'!$T$6:$T$168, "&gt;="&amp;GF1,'Expenditure Breakdown'!$T$6:$T$168, "&lt;"&amp;GG1)</f>
        <v>0</v>
      </c>
      <c r="GG17" s="125">
        <f>SUMIFS('Expenditure Breakdown'!$U$6:$U$168, 'Expenditure Breakdown'!$T$6:$T$168, "&gt;="&amp;GG1,'Expenditure Breakdown'!$T$6:$T$168, "&lt;"&amp;GH1)</f>
        <v>0</v>
      </c>
      <c r="GH17" s="125">
        <f>SUMIFS('Expenditure Breakdown'!$U$6:$U$168, 'Expenditure Breakdown'!$T$6:$T$168, "&gt;="&amp;GH1,'Expenditure Breakdown'!$T$6:$T$168, "&lt;"&amp;GI1)</f>
        <v>0</v>
      </c>
      <c r="GI17" s="125">
        <f>SUMIFS('Expenditure Breakdown'!$U$6:$U$168, 'Expenditure Breakdown'!$T$6:$T$168, "&gt;="&amp;GI1,'Expenditure Breakdown'!$T$6:$T$168, "&lt;"&amp;GJ1)</f>
        <v>0</v>
      </c>
      <c r="GJ17" s="125">
        <f>SUMIFS('Expenditure Breakdown'!$U$6:$U$168, 'Expenditure Breakdown'!$T$6:$T$168, "&gt;="&amp;GJ1,'Expenditure Breakdown'!$T$6:$T$168, "&lt;"&amp;GK1)</f>
        <v>0</v>
      </c>
      <c r="GK17" s="125">
        <f>SUMIFS('Expenditure Breakdown'!$U$6:$U$168, 'Expenditure Breakdown'!$T$6:$T$168, "&gt;="&amp;GK1,'Expenditure Breakdown'!$T$6:$T$168, "&lt;"&amp;GL1)</f>
        <v>0</v>
      </c>
      <c r="GL17" s="125">
        <f>SUMIFS('Expenditure Breakdown'!$U$6:$U$168, 'Expenditure Breakdown'!$T$6:$T$168, "&gt;="&amp;GL1,'Expenditure Breakdown'!$T$6:$T$168, "&lt;"&amp;GM1)</f>
        <v>0</v>
      </c>
      <c r="GM17" s="125">
        <f>SUMIFS('Expenditure Breakdown'!$U$6:$U$168, 'Expenditure Breakdown'!$T$6:$T$168, "&gt;="&amp;GM1,'Expenditure Breakdown'!$T$6:$T$168, "&lt;"&amp;GN1)</f>
        <v>0</v>
      </c>
      <c r="GN17" s="125">
        <f>SUMIFS('Expenditure Breakdown'!$U$6:$U$168, 'Expenditure Breakdown'!$T$6:$T$168, "&gt;="&amp;GN1,'Expenditure Breakdown'!$T$6:$T$168, "&lt;"&amp;GO1)</f>
        <v>0</v>
      </c>
      <c r="GO17" s="125">
        <f>SUMIFS('Expenditure Breakdown'!$U$6:$U$168, 'Expenditure Breakdown'!$T$6:$T$168, "&gt;="&amp;GO1,'Expenditure Breakdown'!$T$6:$T$168, "&lt;"&amp;GP1)</f>
        <v>0</v>
      </c>
      <c r="GP17" s="125">
        <f>SUMIFS('Expenditure Breakdown'!$U$6:$U$168, 'Expenditure Breakdown'!$T$6:$T$168, "&gt;="&amp;GP1,'Expenditure Breakdown'!$T$6:$T$168, "&lt;"&amp;GQ1)</f>
        <v>0</v>
      </c>
      <c r="GQ17" s="125">
        <f>SUMIFS('Expenditure Breakdown'!$U$6:$U$168, 'Expenditure Breakdown'!$T$6:$T$168, "&gt;="&amp;GQ1,'Expenditure Breakdown'!$T$6:$T$168, "&lt;"&amp;GR1)</f>
        <v>0</v>
      </c>
      <c r="GR17" s="125">
        <f>SUMIFS('Expenditure Breakdown'!$U$6:$U$168, 'Expenditure Breakdown'!$T$6:$T$168, "&gt;="&amp;GR1,'Expenditure Breakdown'!$T$6:$T$168, "&lt;"&amp;GS1)</f>
        <v>0</v>
      </c>
      <c r="GS17" s="125">
        <f>SUMIFS('Expenditure Breakdown'!$U$6:$U$168, 'Expenditure Breakdown'!$T$6:$T$168, "&gt;="&amp;GS1,'Expenditure Breakdown'!$T$6:$T$168, "&lt;"&amp;GT1)</f>
        <v>0</v>
      </c>
      <c r="GT17" s="125">
        <f>SUMIFS('Expenditure Breakdown'!$U$6:$U$168, 'Expenditure Breakdown'!$T$6:$T$168, "&gt;="&amp;GT1,'Expenditure Breakdown'!$T$6:$T$168, "&lt;"&amp;GU1)</f>
        <v>0</v>
      </c>
      <c r="GU17" s="125">
        <f>SUMIFS('Expenditure Breakdown'!$U$6:$U$168, 'Expenditure Breakdown'!$T$6:$T$168, "&gt;="&amp;GU1,'Expenditure Breakdown'!$T$6:$T$168, "&lt;"&amp;GV1)</f>
        <v>0</v>
      </c>
      <c r="GV17" s="125">
        <f>SUMIFS('Expenditure Breakdown'!$U$6:$U$168, 'Expenditure Breakdown'!$T$6:$T$168, "&gt;="&amp;GV1,'Expenditure Breakdown'!$T$6:$T$168, "&lt;"&amp;GW1)</f>
        <v>0</v>
      </c>
      <c r="GW17" s="125">
        <f>SUMIFS('Expenditure Breakdown'!$U$6:$U$168, 'Expenditure Breakdown'!$T$6:$T$168, "&gt;="&amp;GW1,'Expenditure Breakdown'!$T$6:$T$168, "&lt;"&amp;GX1)</f>
        <v>0</v>
      </c>
      <c r="GX17" s="125">
        <f>SUMIFS('Expenditure Breakdown'!$U$6:$U$168, 'Expenditure Breakdown'!$T$6:$T$168, "&gt;="&amp;GX1,'Expenditure Breakdown'!$T$6:$T$168, "&lt;"&amp;GY1)</f>
        <v>0</v>
      </c>
      <c r="GY17" s="125">
        <f>SUMIFS('Expenditure Breakdown'!$U$6:$U$168, 'Expenditure Breakdown'!$T$6:$T$168, "&gt;="&amp;GY1,'Expenditure Breakdown'!$T$6:$T$168, "&lt;"&amp;GZ1)</f>
        <v>0</v>
      </c>
      <c r="GZ17" s="125">
        <f>SUMIFS('Expenditure Breakdown'!$U$6:$U$168, 'Expenditure Breakdown'!$T$6:$T$168, "&gt;="&amp;GZ1,'Expenditure Breakdown'!$T$6:$T$168, "&lt;"&amp;HA1)</f>
        <v>0</v>
      </c>
      <c r="HA17" s="125">
        <f>SUMIFS('Expenditure Breakdown'!$U$6:$U$168, 'Expenditure Breakdown'!$T$6:$T$168, "&gt;="&amp;HA1,'Expenditure Breakdown'!$T$6:$T$168, "&lt;"&amp;HB1)</f>
        <v>0</v>
      </c>
      <c r="HB17" s="125">
        <f>SUMIFS('Expenditure Breakdown'!$U$6:$U$168, 'Expenditure Breakdown'!$T$6:$T$168, "&gt;="&amp;HB1,'Expenditure Breakdown'!$T$6:$T$168, "&lt;"&amp;HC1)</f>
        <v>0</v>
      </c>
      <c r="HC17" s="125">
        <f>SUMIFS('Expenditure Breakdown'!$U$6:$U$168, 'Expenditure Breakdown'!$T$6:$T$168, "&gt;="&amp;HC1,'Expenditure Breakdown'!$T$6:$T$168, "&lt;"&amp;HD1)</f>
        <v>0</v>
      </c>
      <c r="HD17" s="125">
        <f>SUMIFS('Expenditure Breakdown'!$U$6:$U$168, 'Expenditure Breakdown'!$T$6:$T$168, "&gt;="&amp;HD1,'Expenditure Breakdown'!$T$6:$T$168, "&lt;"&amp;HE1)</f>
        <v>0</v>
      </c>
      <c r="HE17" s="125">
        <f>SUMIFS('Expenditure Breakdown'!$U$6:$U$168, 'Expenditure Breakdown'!$T$6:$T$168, "&gt;="&amp;HE1,'Expenditure Breakdown'!$T$6:$T$168, "&lt;"&amp;HF1)</f>
        <v>0</v>
      </c>
      <c r="HF17" s="125">
        <f>SUMIFS('Expenditure Breakdown'!$U$6:$U$168, 'Expenditure Breakdown'!$T$6:$T$168, "&gt;="&amp;HF1,'Expenditure Breakdown'!$T$6:$T$168, "&lt;"&amp;HG1)</f>
        <v>0</v>
      </c>
      <c r="HG17" s="125">
        <f>SUMIFS('Expenditure Breakdown'!$U$6:$U$168, 'Expenditure Breakdown'!$T$6:$T$168, "&gt;="&amp;HG1,'Expenditure Breakdown'!$T$6:$T$168, "&lt;"&amp;HH1)</f>
        <v>0</v>
      </c>
      <c r="HH17" s="125">
        <f>SUMIFS('Expenditure Breakdown'!$U$6:$U$168, 'Expenditure Breakdown'!$T$6:$T$168, "&gt;="&amp;HH1,'Expenditure Breakdown'!$T$6:$T$168, "&lt;"&amp;HI1)</f>
        <v>0</v>
      </c>
      <c r="HI17" s="125">
        <f>SUMIFS('Expenditure Breakdown'!$U$6:$U$168, 'Expenditure Breakdown'!$T$6:$T$168, "&gt;="&amp;HI1,'Expenditure Breakdown'!$T$6:$T$168, "&lt;"&amp;HJ1)</f>
        <v>0</v>
      </c>
      <c r="HJ17" s="125">
        <f>SUMIFS('Expenditure Breakdown'!$U$6:$U$168, 'Expenditure Breakdown'!$T$6:$T$168, "&gt;="&amp;HJ1,'Expenditure Breakdown'!$T$6:$T$168, "&lt;"&amp;HK1)</f>
        <v>0</v>
      </c>
      <c r="HK17" s="125">
        <f>SUMIFS('Expenditure Breakdown'!$U$6:$U$168, 'Expenditure Breakdown'!$T$6:$T$168, "&gt;="&amp;HK1,'Expenditure Breakdown'!$T$6:$T$168, "&lt;"&amp;HL1)</f>
        <v>0</v>
      </c>
      <c r="HL17" s="125">
        <f>SUMIFS('Expenditure Breakdown'!$U$6:$U$168, 'Expenditure Breakdown'!$T$6:$T$168, "&gt;="&amp;HL1,'Expenditure Breakdown'!$T$6:$T$168, "&lt;"&amp;HM1)</f>
        <v>0</v>
      </c>
      <c r="HM17" s="125">
        <f>SUMIFS('Expenditure Breakdown'!$U$6:$U$168, 'Expenditure Breakdown'!$T$6:$T$168, "&gt;="&amp;HM1,'Expenditure Breakdown'!$T$6:$T$168, "&lt;"&amp;HN1)</f>
        <v>0</v>
      </c>
      <c r="HN17" s="125">
        <f>SUMIFS('Expenditure Breakdown'!$U$6:$U$168, 'Expenditure Breakdown'!$T$6:$T$168, "&gt;="&amp;HN1,'Expenditure Breakdown'!$T$6:$T$168, "&lt;"&amp;HO1)</f>
        <v>0</v>
      </c>
      <c r="HO17" s="125">
        <f>SUMIFS('Expenditure Breakdown'!$U$6:$U$168, 'Expenditure Breakdown'!$T$6:$T$168, "&gt;="&amp;HO1,'Expenditure Breakdown'!$T$6:$T$168, "&lt;"&amp;HP1)</f>
        <v>0</v>
      </c>
      <c r="HP17" s="125">
        <f>SUMIFS('Expenditure Breakdown'!$U$6:$U$168, 'Expenditure Breakdown'!$T$6:$T$168, "&gt;="&amp;HP1,'Expenditure Breakdown'!$T$6:$T$168, "&lt;"&amp;HQ1)</f>
        <v>0</v>
      </c>
      <c r="HQ17" s="125">
        <f>SUMIFS('Expenditure Breakdown'!$U$6:$U$168, 'Expenditure Breakdown'!$T$6:$T$168, "&gt;="&amp;HQ1,'Expenditure Breakdown'!$T$6:$T$168, "&lt;"&amp;HR1)</f>
        <v>0</v>
      </c>
      <c r="HR17" s="125">
        <f>SUMIFS('Expenditure Breakdown'!$U$6:$U$168, 'Expenditure Breakdown'!$T$6:$T$168, "&gt;="&amp;HR1,'Expenditure Breakdown'!$T$6:$T$168, "&lt;"&amp;HS1)</f>
        <v>0</v>
      </c>
      <c r="HS17" s="125">
        <f>SUMIFS('Expenditure Breakdown'!$U$6:$U$168, 'Expenditure Breakdown'!$T$6:$T$168, "&gt;="&amp;HS1,'Expenditure Breakdown'!$T$6:$T$168, "&lt;"&amp;HT1)</f>
        <v>0</v>
      </c>
      <c r="HT17" s="125">
        <f>SUMIFS('Expenditure Breakdown'!$U$6:$U$168, 'Expenditure Breakdown'!$T$6:$T$168, "&gt;="&amp;HT1,'Expenditure Breakdown'!$T$6:$T$168, "&lt;"&amp;HU1)</f>
        <v>0</v>
      </c>
      <c r="HU17" s="125">
        <f>SUMIFS('Expenditure Breakdown'!$U$6:$U$168, 'Expenditure Breakdown'!$T$6:$T$168, "&gt;="&amp;HU1,'Expenditure Breakdown'!$T$6:$T$168, "&lt;"&amp;HV1)</f>
        <v>0</v>
      </c>
      <c r="HV17" s="125">
        <f>SUMIFS('Expenditure Breakdown'!$U$6:$U$168, 'Expenditure Breakdown'!$T$6:$T$168, "&gt;="&amp;HV1,'Expenditure Breakdown'!$T$6:$T$168, "&lt;"&amp;HW1)</f>
        <v>0</v>
      </c>
      <c r="HW17" s="125">
        <f>SUMIFS('Expenditure Breakdown'!$U$6:$U$168, 'Expenditure Breakdown'!$T$6:$T$168, "&gt;="&amp;HW1,'Expenditure Breakdown'!$T$6:$T$168, "&lt;"&amp;HX1)</f>
        <v>0</v>
      </c>
      <c r="HX17" s="125">
        <f>SUMIFS('Expenditure Breakdown'!$U$6:$U$168, 'Expenditure Breakdown'!$T$6:$T$168, "&gt;="&amp;HX1,'Expenditure Breakdown'!$T$6:$T$168, "&lt;"&amp;HY1)</f>
        <v>0</v>
      </c>
      <c r="HY17" s="125">
        <f>SUMIFS('Expenditure Breakdown'!$U$6:$U$168, 'Expenditure Breakdown'!$T$6:$T$168, "&gt;="&amp;HY1,'Expenditure Breakdown'!$T$6:$T$168, "&lt;"&amp;HZ1)</f>
        <v>0</v>
      </c>
      <c r="HZ17" s="125">
        <f>SUMIFS('Expenditure Breakdown'!$U$6:$U$168, 'Expenditure Breakdown'!$T$6:$T$168, "&gt;="&amp;HZ1,'Expenditure Breakdown'!$T$6:$T$168, "&lt;"&amp;IA1)</f>
        <v>0</v>
      </c>
      <c r="IA17" s="125">
        <f>SUMIFS('Expenditure Breakdown'!$U$6:$U$168, 'Expenditure Breakdown'!$T$6:$T$168, "&gt;="&amp;IA1,'Expenditure Breakdown'!$T$6:$T$168, "&lt;"&amp;IB1)</f>
        <v>0</v>
      </c>
      <c r="IB17" s="125">
        <f>SUMIFS('Expenditure Breakdown'!$U$6:$U$168, 'Expenditure Breakdown'!$T$6:$T$168, "&gt;="&amp;IB1,'Expenditure Breakdown'!$T$6:$T$168, "&lt;"&amp;IC1)</f>
        <v>0</v>
      </c>
      <c r="IC17" s="125">
        <f>SUMIFS('Expenditure Breakdown'!$U$6:$U$168, 'Expenditure Breakdown'!$T$6:$T$168, "&gt;="&amp;IC1,'Expenditure Breakdown'!$T$6:$T$168, "&lt;"&amp;ID1)</f>
        <v>0</v>
      </c>
      <c r="ID17" s="125">
        <f>SUMIFS('Expenditure Breakdown'!$U$6:$U$168, 'Expenditure Breakdown'!$T$6:$T$168, "&gt;="&amp;ID1,'Expenditure Breakdown'!$T$6:$T$168, "&lt;"&amp;IE1)</f>
        <v>0</v>
      </c>
      <c r="IE17" s="125">
        <f>SUMIFS('Expenditure Breakdown'!$U$6:$U$168, 'Expenditure Breakdown'!$T$6:$T$168, "&gt;="&amp;IE1,'Expenditure Breakdown'!$T$6:$T$168, "&lt;"&amp;IF1)</f>
        <v>0</v>
      </c>
      <c r="IF17" s="125">
        <f>SUMIFS('Expenditure Breakdown'!$U$6:$U$168, 'Expenditure Breakdown'!$T$6:$T$168, "&gt;="&amp;IF1,'Expenditure Breakdown'!$T$6:$T$168, "&lt;"&amp;IG1)</f>
        <v>0</v>
      </c>
      <c r="IG17" s="125">
        <f>SUMIFS('Expenditure Breakdown'!$U$6:$U$168, 'Expenditure Breakdown'!$T$6:$T$168, "&gt;="&amp;IG1,'Expenditure Breakdown'!$T$6:$T$168, "&lt;"&amp;IH1)</f>
        <v>0</v>
      </c>
      <c r="IH17" s="125">
        <f>SUMIFS('Expenditure Breakdown'!$U$6:$U$168, 'Expenditure Breakdown'!$T$6:$T$168, "&gt;="&amp;IH1,'Expenditure Breakdown'!$T$6:$T$168, "&lt;"&amp;II1)</f>
        <v>0</v>
      </c>
      <c r="II17" s="125">
        <f>SUMIFS('Expenditure Breakdown'!$U$6:$U$168, 'Expenditure Breakdown'!$T$6:$T$168, "&gt;="&amp;II1,'Expenditure Breakdown'!$T$6:$T$168, "&lt;"&amp;IJ1)</f>
        <v>0</v>
      </c>
      <c r="IJ17" s="125">
        <f>SUMIFS('Expenditure Breakdown'!$U$6:$U$168, 'Expenditure Breakdown'!$T$6:$T$168, "&gt;="&amp;IJ1,'Expenditure Breakdown'!$T$6:$T$168, "&lt;"&amp;IK1)</f>
        <v>0</v>
      </c>
      <c r="IK17" s="125">
        <f>SUMIFS('Expenditure Breakdown'!$U$6:$U$168, 'Expenditure Breakdown'!$T$6:$T$168, "&gt;="&amp;IK1,'Expenditure Breakdown'!$T$6:$T$168, "&lt;"&amp;IL1)</f>
        <v>0</v>
      </c>
      <c r="IL17" s="125">
        <f>SUMIFS('Expenditure Breakdown'!$U$6:$U$168, 'Expenditure Breakdown'!$T$6:$T$168, "&gt;="&amp;IL1,'Expenditure Breakdown'!$T$6:$T$168, "&lt;"&amp;IM1)</f>
        <v>0</v>
      </c>
      <c r="IM17" s="125">
        <f>SUMIFS('Expenditure Breakdown'!$U$6:$U$168, 'Expenditure Breakdown'!$T$6:$T$168, "&gt;="&amp;IM1,'Expenditure Breakdown'!$T$6:$T$168, "&lt;"&amp;IN1)</f>
        <v>0</v>
      </c>
      <c r="IN17" s="125">
        <f>SUMIFS('Expenditure Breakdown'!$U$6:$U$168, 'Expenditure Breakdown'!$T$6:$T$168, "&gt;="&amp;IN1,'Expenditure Breakdown'!$T$6:$T$168, "&lt;"&amp;IO1)</f>
        <v>0</v>
      </c>
      <c r="IO17" s="125">
        <f>SUMIFS('Expenditure Breakdown'!$U$6:$U$168, 'Expenditure Breakdown'!$T$6:$T$168, "&gt;="&amp;IO1,'Expenditure Breakdown'!$T$6:$T$168, "&lt;"&amp;IP1)</f>
        <v>0</v>
      </c>
      <c r="IP17" s="125">
        <f>SUMIFS('Expenditure Breakdown'!$U$6:$U$168, 'Expenditure Breakdown'!$T$6:$T$168, "&gt;="&amp;IP1,'Expenditure Breakdown'!$T$6:$T$168, "&lt;"&amp;IQ1)</f>
        <v>0</v>
      </c>
      <c r="IQ17" s="125">
        <f>SUMIFS('Expenditure Breakdown'!$U$6:$U$168, 'Expenditure Breakdown'!$T$6:$T$168, "&gt;="&amp;IQ1,'Expenditure Breakdown'!$T$6:$T$168, "&lt;"&amp;IR1)</f>
        <v>0</v>
      </c>
      <c r="IR17" s="125">
        <f>SUMIFS('Expenditure Breakdown'!$U$6:$U$168, 'Expenditure Breakdown'!$T$6:$T$168, "&gt;="&amp;IR1,'Expenditure Breakdown'!$T$6:$T$168, "&lt;"&amp;IS1)</f>
        <v>0</v>
      </c>
      <c r="IS17" s="125">
        <f>SUMIFS('Expenditure Breakdown'!$U$6:$U$168, 'Expenditure Breakdown'!$T$6:$T$168, "&gt;="&amp;IS1,'Expenditure Breakdown'!$T$6:$T$168, "&lt;"&amp;IT1)</f>
        <v>0</v>
      </c>
      <c r="IT17" s="125">
        <f>SUMIFS('Expenditure Breakdown'!$U$6:$U$168, 'Expenditure Breakdown'!$T$6:$T$168, "&gt;="&amp;IT1,'Expenditure Breakdown'!$T$6:$T$168, "&lt;"&amp;IU1)</f>
        <v>0</v>
      </c>
      <c r="IU17" s="125">
        <f>SUMIFS('Expenditure Breakdown'!$U$6:$U$168, 'Expenditure Breakdown'!$T$6:$T$168, "&gt;="&amp;IU1,'Expenditure Breakdown'!$T$6:$T$168, "&lt;"&amp;IV1)</f>
        <v>0</v>
      </c>
      <c r="IV17" s="125">
        <f>SUMIFS('Expenditure Breakdown'!$U$6:$U$168, 'Expenditure Breakdown'!$T$6:$T$168, "&gt;="&amp;IV1,'Expenditure Breakdown'!$T$6:$T$168, "&lt;"&amp;IW1)</f>
        <v>0</v>
      </c>
      <c r="IW17" s="125">
        <f>SUMIFS('Expenditure Breakdown'!$U$6:$U$168, 'Expenditure Breakdown'!$T$6:$T$168, "&gt;="&amp;IW1,'Expenditure Breakdown'!$T$6:$T$168, "&lt;"&amp;IX1)</f>
        <v>0</v>
      </c>
      <c r="IX17" s="125">
        <f>SUMIFS('Expenditure Breakdown'!$U$6:$U$168, 'Expenditure Breakdown'!$T$6:$T$168, "&gt;="&amp;IX1,'Expenditure Breakdown'!$T$6:$T$168, "&lt;"&amp;IY1)</f>
        <v>0</v>
      </c>
      <c r="IY17" s="125">
        <f>SUMIFS('Expenditure Breakdown'!$U$6:$U$168, 'Expenditure Breakdown'!$T$6:$T$168, "&gt;="&amp;IY1,'Expenditure Breakdown'!$T$6:$T$168, "&lt;"&amp;IZ1)</f>
        <v>0</v>
      </c>
      <c r="IZ17" s="125">
        <f>SUMIFS('Expenditure Breakdown'!$U$6:$U$168, 'Expenditure Breakdown'!$T$6:$T$168, "&gt;="&amp;IZ1,'Expenditure Breakdown'!$T$6:$T$168, "&lt;"&amp;JA1)</f>
        <v>0</v>
      </c>
      <c r="JA17" s="125">
        <f>SUMIFS('Expenditure Breakdown'!$U$6:$U$168, 'Expenditure Breakdown'!$T$6:$T$168, "&gt;="&amp;JA1,'Expenditure Breakdown'!$T$6:$T$168, "&lt;"&amp;JB1)</f>
        <v>0</v>
      </c>
      <c r="JB17" s="125">
        <f>SUMIFS('Expenditure Breakdown'!$U$6:$U$168, 'Expenditure Breakdown'!$T$6:$T$168, "&gt;="&amp;JB1,'Expenditure Breakdown'!$T$6:$T$168, "&lt;"&amp;JC1)</f>
        <v>0</v>
      </c>
      <c r="JC17" s="125">
        <f>SUMIFS('Expenditure Breakdown'!$U$6:$U$168, 'Expenditure Breakdown'!$T$6:$T$168, "&gt;="&amp;JC1,'Expenditure Breakdown'!$T$6:$T$168, "&lt;"&amp;JD1)</f>
        <v>0</v>
      </c>
      <c r="JD17" s="125">
        <f>SUMIFS('Expenditure Breakdown'!$U$6:$U$168, 'Expenditure Breakdown'!$T$6:$T$168, "&gt;="&amp;JD1,'Expenditure Breakdown'!$T$6:$T$168, "&lt;"&amp;JE1)</f>
        <v>0</v>
      </c>
      <c r="JE17" s="125">
        <f>SUMIFS('Expenditure Breakdown'!$U$6:$U$168, 'Expenditure Breakdown'!$T$6:$T$168, "&gt;="&amp;JE1,'Expenditure Breakdown'!$T$6:$T$168, "&lt;"&amp;JF1)</f>
        <v>0</v>
      </c>
      <c r="JF17" s="125">
        <f>SUMIFS('Expenditure Breakdown'!$U$6:$U$168, 'Expenditure Breakdown'!$T$6:$T$168, "&gt;="&amp;JF1,'Expenditure Breakdown'!$T$6:$T$168, "&lt;"&amp;JG1)</f>
        <v>0</v>
      </c>
      <c r="JG17" s="125">
        <f>SUMIFS('Expenditure Breakdown'!$U$6:$U$168, 'Expenditure Breakdown'!$T$6:$T$168, "&gt;="&amp;JG1,'Expenditure Breakdown'!$T$6:$T$168, "&lt;"&amp;JH1)</f>
        <v>0</v>
      </c>
      <c r="JH17" s="125">
        <f>SUMIFS('Expenditure Breakdown'!$U$6:$U$168, 'Expenditure Breakdown'!$T$6:$T$168, "&gt;="&amp;JH1,'Expenditure Breakdown'!$T$6:$T$168, "&lt;"&amp;JI1)</f>
        <v>0</v>
      </c>
      <c r="JI17" s="125">
        <f>SUMIFS('Expenditure Breakdown'!$U$6:$U$168, 'Expenditure Breakdown'!$T$6:$T$168, "&gt;="&amp;JI1,'Expenditure Breakdown'!$T$6:$T$168, "&lt;"&amp;JJ1)</f>
        <v>0</v>
      </c>
      <c r="JJ17" s="125">
        <f>SUMIFS('Expenditure Breakdown'!$U$6:$U$168, 'Expenditure Breakdown'!$T$6:$T$168, "&gt;="&amp;JJ1,'Expenditure Breakdown'!$T$6:$T$168, "&lt;"&amp;JK1)</f>
        <v>0</v>
      </c>
      <c r="JK17" s="125">
        <f>SUMIFS('Expenditure Breakdown'!$U$6:$U$168, 'Expenditure Breakdown'!$T$6:$T$168, "&gt;="&amp;JK1,'Expenditure Breakdown'!$T$6:$T$168, "&lt;"&amp;JL1)</f>
        <v>0</v>
      </c>
      <c r="JL17" s="125">
        <f>SUMIFS('Expenditure Breakdown'!$U$6:$U$168, 'Expenditure Breakdown'!$T$6:$T$168, "&gt;="&amp;JL1,'Expenditure Breakdown'!$T$6:$T$168, "&lt;"&amp;JM1)</f>
        <v>0</v>
      </c>
      <c r="JM17" s="125">
        <f>SUMIFS('Expenditure Breakdown'!$U$6:$U$168, 'Expenditure Breakdown'!$T$6:$T$168, "&gt;="&amp;JM1,'Expenditure Breakdown'!$T$6:$T$168, "&lt;"&amp;JN1)</f>
        <v>0</v>
      </c>
      <c r="JN17" s="125">
        <f>SUMIFS('Expenditure Breakdown'!$U$6:$U$168, 'Expenditure Breakdown'!$T$6:$T$168, "&gt;="&amp;JN1,'Expenditure Breakdown'!$T$6:$T$168, "&lt;"&amp;JO1)</f>
        <v>0</v>
      </c>
      <c r="JO17" s="125">
        <f>SUMIFS('Expenditure Breakdown'!$U$6:$U$168, 'Expenditure Breakdown'!$T$6:$T$168, "&gt;="&amp;JO1,'Expenditure Breakdown'!$T$6:$T$168, "&lt;"&amp;JP1)</f>
        <v>0</v>
      </c>
      <c r="JP17" s="125">
        <f>SUMIFS('Expenditure Breakdown'!$U$6:$U$168, 'Expenditure Breakdown'!$T$6:$T$168, "&gt;="&amp;JP1,'Expenditure Breakdown'!$T$6:$T$168, "&lt;"&amp;JQ1)</f>
        <v>0</v>
      </c>
      <c r="JQ17" s="125">
        <f>SUMIFS('Expenditure Breakdown'!$U$6:$U$168, 'Expenditure Breakdown'!$T$6:$T$168, "&gt;="&amp;JQ1,'Expenditure Breakdown'!$T$6:$T$168, "&lt;"&amp;JR1)</f>
        <v>0</v>
      </c>
      <c r="JR17" s="125">
        <f>SUMIFS('Expenditure Breakdown'!$U$6:$U$168, 'Expenditure Breakdown'!$T$6:$T$168, "&gt;="&amp;JR1,'Expenditure Breakdown'!$T$6:$T$168, "&lt;"&amp;JS1)</f>
        <v>0</v>
      </c>
      <c r="JS17" s="125">
        <f>SUMIFS('Expenditure Breakdown'!$U$6:$U$168, 'Expenditure Breakdown'!$T$6:$T$168, "&gt;="&amp;JS1,'Expenditure Breakdown'!$T$6:$T$168, "&lt;"&amp;JT1)</f>
        <v>0</v>
      </c>
      <c r="JT17" s="125">
        <f>SUMIFS('Expenditure Breakdown'!$U$6:$U$168, 'Expenditure Breakdown'!$T$6:$T$168, "&gt;="&amp;JT1,'Expenditure Breakdown'!$T$6:$T$168, "&lt;"&amp;JU1)</f>
        <v>0</v>
      </c>
      <c r="JU17" s="125">
        <f>SUMIFS('Expenditure Breakdown'!$U$6:$U$168, 'Expenditure Breakdown'!$T$6:$T$168, "&gt;="&amp;JU1,'Expenditure Breakdown'!$T$6:$T$168, "&lt;"&amp;JV1)</f>
        <v>0</v>
      </c>
      <c r="JV17" s="125">
        <f>SUMIFS('Expenditure Breakdown'!$U$6:$U$168, 'Expenditure Breakdown'!$T$6:$T$168, "&gt;="&amp;JV1,'Expenditure Breakdown'!$T$6:$T$168, "&lt;"&amp;JW1)</f>
        <v>0</v>
      </c>
      <c r="JW17" s="125">
        <f>SUMIFS('Expenditure Breakdown'!$U$6:$U$168, 'Expenditure Breakdown'!$T$6:$T$168, "&gt;="&amp;JW1,'Expenditure Breakdown'!$T$6:$T$168, "&lt;"&amp;JX1)</f>
        <v>0</v>
      </c>
      <c r="JX17" s="125">
        <f>SUMIFS('Expenditure Breakdown'!$U$6:$U$168, 'Expenditure Breakdown'!$T$6:$T$168, "&gt;="&amp;JX1,'Expenditure Breakdown'!$T$6:$T$168, "&lt;"&amp;JY1)</f>
        <v>0</v>
      </c>
      <c r="JY17" s="125">
        <f>SUMIFS('Expenditure Breakdown'!$U$6:$U$168, 'Expenditure Breakdown'!$T$6:$T$168, "&gt;="&amp;JY1,'Expenditure Breakdown'!$T$6:$T$168, "&lt;"&amp;JZ1)</f>
        <v>0</v>
      </c>
      <c r="JZ17" s="125">
        <f>SUMIFS('Expenditure Breakdown'!$U$6:$U$168, 'Expenditure Breakdown'!$T$6:$T$168, "&gt;="&amp;JZ1,'Expenditure Breakdown'!$T$6:$T$168, "&lt;"&amp;KA1)</f>
        <v>0</v>
      </c>
      <c r="KA17" s="125">
        <f>SUMIFS('Expenditure Breakdown'!$U$6:$U$168, 'Expenditure Breakdown'!$T$6:$T$168, "&gt;="&amp;KA1,'Expenditure Breakdown'!$T$6:$T$168, "&lt;"&amp;KB1)</f>
        <v>0</v>
      </c>
      <c r="KB17" s="125">
        <f>SUMIFS('Expenditure Breakdown'!$U$6:$U$168, 'Expenditure Breakdown'!$T$6:$T$168, "&gt;="&amp;KB1,'Expenditure Breakdown'!$T$6:$T$168, "&lt;"&amp;KC1)</f>
        <v>0</v>
      </c>
      <c r="KC17" s="125">
        <f>SUMIFS('Expenditure Breakdown'!$U$6:$U$168, 'Expenditure Breakdown'!$T$6:$T$168, "&gt;="&amp;KC1,'Expenditure Breakdown'!$T$6:$T$168, "&lt;"&amp;KD1)</f>
        <v>0</v>
      </c>
      <c r="KD17" s="125">
        <f>SUMIFS('Expenditure Breakdown'!$U$6:$U$168, 'Expenditure Breakdown'!$T$6:$T$168, "&gt;="&amp;KD1,'Expenditure Breakdown'!$T$6:$T$168, "&lt;"&amp;KE1)</f>
        <v>0</v>
      </c>
      <c r="KE17" s="125">
        <f>SUMIFS('Expenditure Breakdown'!$U$6:$U$168, 'Expenditure Breakdown'!$T$6:$T$168, "&gt;="&amp;KE1,'Expenditure Breakdown'!$T$6:$T$168, "&lt;"&amp;KF1)</f>
        <v>0</v>
      </c>
      <c r="KF17" s="125">
        <f>SUMIFS('Expenditure Breakdown'!$U$6:$U$168, 'Expenditure Breakdown'!$T$6:$T$168, "&gt;="&amp;KF1,'Expenditure Breakdown'!$T$6:$T$168, "&lt;"&amp;#REF!)</f>
        <v>0</v>
      </c>
    </row>
    <row r="18" spans="1:292">
      <c r="A18" s="724"/>
      <c r="B18" s="106" t="s">
        <v>398</v>
      </c>
      <c r="C18" s="275">
        <f>D17-D18</f>
        <v>0</v>
      </c>
      <c r="D18" s="107">
        <f>MAX(F18:KF18)</f>
        <v>1441230.4772331575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30174.27092864634</v>
      </c>
      <c r="R18" s="125">
        <f t="shared" si="37"/>
        <v>30174.27092864634</v>
      </c>
      <c r="S18" s="125">
        <f t="shared" si="37"/>
        <v>30174.27092864634</v>
      </c>
      <c r="T18" s="125">
        <f t="shared" si="37"/>
        <v>30174.27092864634</v>
      </c>
      <c r="U18" s="125">
        <f t="shared" si="37"/>
        <v>926519.39037425863</v>
      </c>
      <c r="V18" s="125">
        <f t="shared" si="37"/>
        <v>926519.39037425863</v>
      </c>
      <c r="W18" s="125">
        <f t="shared" si="37"/>
        <v>926519.39037425863</v>
      </c>
      <c r="X18" s="125">
        <f t="shared" si="37"/>
        <v>926519.39037425863</v>
      </c>
      <c r="Y18" s="125">
        <f t="shared" si="37"/>
        <v>926519.39037425863</v>
      </c>
      <c r="Z18" s="125">
        <f t="shared" si="37"/>
        <v>1399295.0250880378</v>
      </c>
      <c r="AA18" s="125">
        <f t="shared" si="37"/>
        <v>1399295.0250880378</v>
      </c>
      <c r="AB18" s="125">
        <f t="shared" si="37"/>
        <v>1399295.0250880378</v>
      </c>
      <c r="AC18" s="125">
        <f t="shared" si="37"/>
        <v>1399295.0250880378</v>
      </c>
      <c r="AD18" s="125">
        <f>AC18+AD17</f>
        <v>1441230.4772331575</v>
      </c>
      <c r="AE18" s="125">
        <f t="shared" si="37"/>
        <v>1441230.4772331575</v>
      </c>
      <c r="AF18" s="125">
        <f t="shared" si="37"/>
        <v>1441230.4772331575</v>
      </c>
      <c r="AG18" s="125">
        <f t="shared" si="37"/>
        <v>1441230.4772331575</v>
      </c>
      <c r="AH18" s="125">
        <f t="shared" si="37"/>
        <v>1441230.4772331575</v>
      </c>
      <c r="AI18" s="125">
        <f t="shared" si="37"/>
        <v>1441230.4772331575</v>
      </c>
      <c r="AJ18" s="125">
        <f t="shared" si="37"/>
        <v>1441230.4772331575</v>
      </c>
      <c r="AK18" s="125">
        <f t="shared" si="37"/>
        <v>1441230.4772331575</v>
      </c>
      <c r="AL18" s="125">
        <f t="shared" si="37"/>
        <v>1441230.4772331575</v>
      </c>
      <c r="AM18" s="125">
        <f t="shared" si="37"/>
        <v>1441230.4772331575</v>
      </c>
      <c r="AN18" s="125">
        <f t="shared" si="37"/>
        <v>1441230.4772331575</v>
      </c>
      <c r="AO18" s="125">
        <f t="shared" si="37"/>
        <v>1441230.4772331575</v>
      </c>
      <c r="AP18" s="125">
        <f t="shared" si="37"/>
        <v>1441230.4772331575</v>
      </c>
      <c r="AQ18" s="125">
        <f t="shared" si="37"/>
        <v>1441230.4772331575</v>
      </c>
      <c r="AR18" s="125">
        <f t="shared" si="37"/>
        <v>1441230.4772331575</v>
      </c>
      <c r="AS18" s="125">
        <f t="shared" si="37"/>
        <v>1441230.4772331575</v>
      </c>
      <c r="AT18" s="125">
        <f t="shared" si="37"/>
        <v>1441230.4772331575</v>
      </c>
      <c r="AU18" s="125">
        <f t="shared" si="37"/>
        <v>1441230.4772331575</v>
      </c>
      <c r="AV18" s="125">
        <f t="shared" si="37"/>
        <v>1441230.4772331575</v>
      </c>
      <c r="AW18" s="125">
        <f t="shared" si="37"/>
        <v>1441230.4772331575</v>
      </c>
      <c r="AX18" s="125">
        <f t="shared" si="37"/>
        <v>1441230.4772331575</v>
      </c>
      <c r="AY18" s="125">
        <f t="shared" si="37"/>
        <v>1441230.4772331575</v>
      </c>
      <c r="AZ18" s="125">
        <f t="shared" si="37"/>
        <v>1441230.4772331575</v>
      </c>
      <c r="BA18" s="125">
        <f t="shared" si="37"/>
        <v>1441230.4772331575</v>
      </c>
      <c r="BB18" s="125">
        <f t="shared" si="37"/>
        <v>1441230.4772331575</v>
      </c>
      <c r="BC18" s="125">
        <f t="shared" si="37"/>
        <v>1441230.4772331575</v>
      </c>
      <c r="BD18" s="125">
        <f t="shared" si="37"/>
        <v>1441230.4772331575</v>
      </c>
      <c r="BE18" s="125">
        <f t="shared" si="37"/>
        <v>1441230.4772331575</v>
      </c>
      <c r="BF18" s="125">
        <f t="shared" si="37"/>
        <v>1441230.4772331575</v>
      </c>
      <c r="BG18" s="125">
        <f t="shared" si="37"/>
        <v>1441230.4772331575</v>
      </c>
      <c r="BH18" s="125">
        <f t="shared" si="37"/>
        <v>1441230.4772331575</v>
      </c>
      <c r="BI18" s="125">
        <f t="shared" si="37"/>
        <v>1441230.4772331575</v>
      </c>
      <c r="BJ18" s="125">
        <f t="shared" si="37"/>
        <v>1441230.4772331575</v>
      </c>
      <c r="BK18" s="125">
        <f t="shared" si="37"/>
        <v>1441230.4772331575</v>
      </c>
      <c r="BL18" s="125">
        <f t="shared" si="37"/>
        <v>1441230.4772331575</v>
      </c>
      <c r="BM18" s="125">
        <f t="shared" si="37"/>
        <v>1441230.4772331575</v>
      </c>
      <c r="BN18" s="125">
        <f t="shared" si="37"/>
        <v>1441230.4772331575</v>
      </c>
      <c r="BO18" s="125">
        <f t="shared" si="37"/>
        <v>1441230.4772331575</v>
      </c>
      <c r="BP18" s="125">
        <f t="shared" si="37"/>
        <v>1441230.4772331575</v>
      </c>
      <c r="BQ18" s="125">
        <f t="shared" si="37"/>
        <v>1441230.4772331575</v>
      </c>
      <c r="BR18" s="125">
        <f t="shared" si="37"/>
        <v>1441230.4772331575</v>
      </c>
      <c r="BS18" s="125">
        <f t="shared" si="37"/>
        <v>1441230.4772331575</v>
      </c>
      <c r="BT18" s="125">
        <f t="shared" si="37"/>
        <v>1441230.4772331575</v>
      </c>
      <c r="BU18" s="125">
        <f t="shared" ref="BU18:EF18" si="38">BT18+BU17</f>
        <v>1441230.4772331575</v>
      </c>
      <c r="BV18" s="125">
        <f t="shared" si="38"/>
        <v>1441230.4772331575</v>
      </c>
      <c r="BW18" s="125">
        <f t="shared" si="38"/>
        <v>1441230.4772331575</v>
      </c>
      <c r="BX18" s="125">
        <f t="shared" si="38"/>
        <v>1441230.4772331575</v>
      </c>
      <c r="BY18" s="125">
        <f t="shared" si="38"/>
        <v>1441230.4772331575</v>
      </c>
      <c r="BZ18" s="125">
        <f t="shared" si="38"/>
        <v>1441230.4772331575</v>
      </c>
      <c r="CA18" s="125">
        <f t="shared" si="38"/>
        <v>1441230.4772331575</v>
      </c>
      <c r="CB18" s="125">
        <f t="shared" si="38"/>
        <v>1441230.4772331575</v>
      </c>
      <c r="CC18" s="125">
        <f t="shared" si="38"/>
        <v>1441230.4772331575</v>
      </c>
      <c r="CD18" s="125">
        <f t="shared" si="38"/>
        <v>1441230.4772331575</v>
      </c>
      <c r="CE18" s="125">
        <f t="shared" si="38"/>
        <v>1441230.4772331575</v>
      </c>
      <c r="CF18" s="125">
        <f t="shared" si="38"/>
        <v>1441230.4772331575</v>
      </c>
      <c r="CG18" s="125">
        <f t="shared" si="38"/>
        <v>1441230.4772331575</v>
      </c>
      <c r="CH18" s="125">
        <f t="shared" si="38"/>
        <v>1441230.4772331575</v>
      </c>
      <c r="CI18" s="125">
        <f t="shared" si="38"/>
        <v>1441230.4772331575</v>
      </c>
      <c r="CJ18" s="125">
        <f t="shared" si="38"/>
        <v>1441230.4772331575</v>
      </c>
      <c r="CK18" s="125">
        <f t="shared" si="38"/>
        <v>1441230.4772331575</v>
      </c>
      <c r="CL18" s="125">
        <f t="shared" si="38"/>
        <v>1441230.4772331575</v>
      </c>
      <c r="CM18" s="125">
        <f t="shared" si="38"/>
        <v>1441230.4772331575</v>
      </c>
      <c r="CN18" s="125">
        <f t="shared" si="38"/>
        <v>1441230.4772331575</v>
      </c>
      <c r="CO18" s="125">
        <f t="shared" si="38"/>
        <v>1441230.4772331575</v>
      </c>
      <c r="CP18" s="125">
        <f t="shared" si="38"/>
        <v>1441230.4772331575</v>
      </c>
      <c r="CQ18" s="125">
        <f t="shared" si="38"/>
        <v>1441230.4772331575</v>
      </c>
      <c r="CR18" s="125">
        <f t="shared" si="38"/>
        <v>1441230.4772331575</v>
      </c>
      <c r="CS18" s="125">
        <f t="shared" si="38"/>
        <v>1441230.4772331575</v>
      </c>
      <c r="CT18" s="125">
        <f t="shared" si="38"/>
        <v>1441230.4772331575</v>
      </c>
      <c r="CU18" s="125">
        <f t="shared" si="38"/>
        <v>1441230.4772331575</v>
      </c>
      <c r="CV18" s="125">
        <f t="shared" si="38"/>
        <v>1441230.4772331575</v>
      </c>
      <c r="CW18" s="125">
        <f t="shared" si="38"/>
        <v>1441230.4772331575</v>
      </c>
      <c r="CX18" s="125">
        <f t="shared" si="38"/>
        <v>1441230.4772331575</v>
      </c>
      <c r="CY18" s="125">
        <f t="shared" si="38"/>
        <v>1441230.4772331575</v>
      </c>
      <c r="CZ18" s="125">
        <f t="shared" si="38"/>
        <v>1441230.4772331575</v>
      </c>
      <c r="DA18" s="125">
        <f t="shared" si="38"/>
        <v>1441230.4772331575</v>
      </c>
      <c r="DB18" s="125">
        <f t="shared" si="38"/>
        <v>1441230.4772331575</v>
      </c>
      <c r="DC18" s="125">
        <f t="shared" si="38"/>
        <v>1441230.4772331575</v>
      </c>
      <c r="DD18" s="125">
        <f t="shared" si="38"/>
        <v>1441230.4772331575</v>
      </c>
      <c r="DE18" s="125">
        <f t="shared" si="38"/>
        <v>1441230.4772331575</v>
      </c>
      <c r="DF18" s="125">
        <f t="shared" si="38"/>
        <v>1441230.4772331575</v>
      </c>
      <c r="DG18" s="125">
        <f t="shared" si="38"/>
        <v>1441230.4772331575</v>
      </c>
      <c r="DH18" s="125">
        <f t="shared" si="38"/>
        <v>1441230.4772331575</v>
      </c>
      <c r="DI18" s="125">
        <f t="shared" si="38"/>
        <v>1441230.4772331575</v>
      </c>
      <c r="DJ18" s="125">
        <f t="shared" si="38"/>
        <v>1441230.4772331575</v>
      </c>
      <c r="DK18" s="125">
        <f t="shared" si="38"/>
        <v>1441230.4772331575</v>
      </c>
      <c r="DL18" s="125">
        <f t="shared" si="38"/>
        <v>1441230.4772331575</v>
      </c>
      <c r="DM18" s="125">
        <f t="shared" si="38"/>
        <v>1441230.4772331575</v>
      </c>
      <c r="DN18" s="125">
        <f t="shared" si="38"/>
        <v>1441230.4772331575</v>
      </c>
      <c r="DO18" s="125">
        <f t="shared" si="38"/>
        <v>1441230.4772331575</v>
      </c>
      <c r="DP18" s="125">
        <f t="shared" si="38"/>
        <v>1441230.4772331575</v>
      </c>
      <c r="DQ18" s="125">
        <f t="shared" si="38"/>
        <v>1441230.4772331575</v>
      </c>
      <c r="DR18" s="125">
        <f t="shared" si="38"/>
        <v>1441230.4772331575</v>
      </c>
      <c r="DS18" s="125">
        <f t="shared" si="38"/>
        <v>1441230.4772331575</v>
      </c>
      <c r="DT18" s="125">
        <f t="shared" si="38"/>
        <v>1441230.4772331575</v>
      </c>
      <c r="DU18" s="125">
        <f t="shared" si="38"/>
        <v>1441230.4772331575</v>
      </c>
      <c r="DV18" s="125">
        <f t="shared" si="38"/>
        <v>1441230.4772331575</v>
      </c>
      <c r="DW18" s="125">
        <f t="shared" si="38"/>
        <v>1441230.4772331575</v>
      </c>
      <c r="DX18" s="125">
        <f t="shared" si="38"/>
        <v>1441230.4772331575</v>
      </c>
      <c r="DY18" s="125">
        <f t="shared" si="38"/>
        <v>1441230.4772331575</v>
      </c>
      <c r="DZ18" s="125">
        <f t="shared" si="38"/>
        <v>1441230.4772331575</v>
      </c>
      <c r="EA18" s="125">
        <f t="shared" si="38"/>
        <v>1441230.4772331575</v>
      </c>
      <c r="EB18" s="125">
        <f t="shared" si="38"/>
        <v>1441230.4772331575</v>
      </c>
      <c r="EC18" s="125">
        <f t="shared" si="38"/>
        <v>1441230.4772331575</v>
      </c>
      <c r="ED18" s="125">
        <f t="shared" si="38"/>
        <v>1441230.4772331575</v>
      </c>
      <c r="EE18" s="125">
        <f t="shared" si="38"/>
        <v>1441230.4772331575</v>
      </c>
      <c r="EF18" s="125">
        <f t="shared" si="38"/>
        <v>1441230.4772331575</v>
      </c>
      <c r="EG18" s="125">
        <f t="shared" ref="EG18:GR18" si="39">EF18+EG17</f>
        <v>1441230.4772331575</v>
      </c>
      <c r="EH18" s="125">
        <f t="shared" si="39"/>
        <v>1441230.4772331575</v>
      </c>
      <c r="EI18" s="125">
        <f t="shared" si="39"/>
        <v>1441230.4772331575</v>
      </c>
      <c r="EJ18" s="125">
        <f t="shared" si="39"/>
        <v>1441230.4772331575</v>
      </c>
      <c r="EK18" s="125">
        <f t="shared" si="39"/>
        <v>1441230.4772331575</v>
      </c>
      <c r="EL18" s="125">
        <f t="shared" si="39"/>
        <v>1441230.4772331575</v>
      </c>
      <c r="EM18" s="125">
        <f t="shared" si="39"/>
        <v>1441230.4772331575</v>
      </c>
      <c r="EN18" s="125">
        <f t="shared" si="39"/>
        <v>1441230.4772331575</v>
      </c>
      <c r="EO18" s="125">
        <f t="shared" si="39"/>
        <v>1441230.4772331575</v>
      </c>
      <c r="EP18" s="125">
        <f t="shared" si="39"/>
        <v>1441230.4772331575</v>
      </c>
      <c r="EQ18" s="125">
        <f t="shared" si="39"/>
        <v>1441230.4772331575</v>
      </c>
      <c r="ER18" s="125">
        <f t="shared" si="39"/>
        <v>1441230.4772331575</v>
      </c>
      <c r="ES18" s="125">
        <f t="shared" si="39"/>
        <v>1441230.4772331575</v>
      </c>
      <c r="ET18" s="125">
        <f t="shared" si="39"/>
        <v>1441230.4772331575</v>
      </c>
      <c r="EU18" s="125">
        <f t="shared" si="39"/>
        <v>1441230.4772331575</v>
      </c>
      <c r="EV18" s="125">
        <f t="shared" si="39"/>
        <v>1441230.4772331575</v>
      </c>
      <c r="EW18" s="125">
        <f t="shared" si="39"/>
        <v>1441230.4772331575</v>
      </c>
      <c r="EX18" s="125">
        <f t="shared" si="39"/>
        <v>1441230.4772331575</v>
      </c>
      <c r="EY18" s="125">
        <f t="shared" si="39"/>
        <v>1441230.4772331575</v>
      </c>
      <c r="EZ18" s="125">
        <f t="shared" si="39"/>
        <v>1441230.4772331575</v>
      </c>
      <c r="FA18" s="125">
        <f t="shared" si="39"/>
        <v>1441230.4772331575</v>
      </c>
      <c r="FB18" s="125">
        <f t="shared" si="39"/>
        <v>1441230.4772331575</v>
      </c>
      <c r="FC18" s="125">
        <f t="shared" si="39"/>
        <v>1441230.4772331575</v>
      </c>
      <c r="FD18" s="125">
        <f t="shared" si="39"/>
        <v>1441230.4772331575</v>
      </c>
      <c r="FE18" s="125">
        <f t="shared" si="39"/>
        <v>1441230.4772331575</v>
      </c>
      <c r="FF18" s="125">
        <f t="shared" si="39"/>
        <v>1441230.4772331575</v>
      </c>
      <c r="FG18" s="125">
        <f t="shared" si="39"/>
        <v>1441230.4772331575</v>
      </c>
      <c r="FH18" s="125">
        <f t="shared" si="39"/>
        <v>1441230.4772331575</v>
      </c>
      <c r="FI18" s="125">
        <f t="shared" si="39"/>
        <v>1441230.4772331575</v>
      </c>
      <c r="FJ18" s="125">
        <f t="shared" si="39"/>
        <v>1441230.4772331575</v>
      </c>
      <c r="FK18" s="125">
        <f t="shared" si="39"/>
        <v>1441230.4772331575</v>
      </c>
      <c r="FL18" s="125">
        <f t="shared" si="39"/>
        <v>1441230.4772331575</v>
      </c>
      <c r="FM18" s="125">
        <f t="shared" si="39"/>
        <v>1441230.4772331575</v>
      </c>
      <c r="FN18" s="125">
        <f t="shared" si="39"/>
        <v>1441230.4772331575</v>
      </c>
      <c r="FO18" s="125">
        <f t="shared" si="39"/>
        <v>1441230.4772331575</v>
      </c>
      <c r="FP18" s="125">
        <f t="shared" si="39"/>
        <v>1441230.4772331575</v>
      </c>
      <c r="FQ18" s="125">
        <f t="shared" si="39"/>
        <v>1441230.4772331575</v>
      </c>
      <c r="FR18" s="125">
        <f t="shared" si="39"/>
        <v>1441230.4772331575</v>
      </c>
      <c r="FS18" s="125">
        <f t="shared" si="39"/>
        <v>1441230.4772331575</v>
      </c>
      <c r="FT18" s="125">
        <f t="shared" si="39"/>
        <v>1441230.4772331575</v>
      </c>
      <c r="FU18" s="125">
        <f t="shared" si="39"/>
        <v>1441230.4772331575</v>
      </c>
      <c r="FV18" s="125">
        <f t="shared" si="39"/>
        <v>1441230.4772331575</v>
      </c>
      <c r="FW18" s="125">
        <f t="shared" si="39"/>
        <v>1441230.4772331575</v>
      </c>
      <c r="FX18" s="125">
        <f t="shared" si="39"/>
        <v>1441230.4772331575</v>
      </c>
      <c r="FY18" s="125">
        <f t="shared" si="39"/>
        <v>1441230.4772331575</v>
      </c>
      <c r="FZ18" s="125">
        <f t="shared" si="39"/>
        <v>1441230.4772331575</v>
      </c>
      <c r="GA18" s="125">
        <f t="shared" si="39"/>
        <v>1441230.4772331575</v>
      </c>
      <c r="GB18" s="125">
        <f t="shared" si="39"/>
        <v>1441230.4772331575</v>
      </c>
      <c r="GC18" s="125">
        <f t="shared" si="39"/>
        <v>1441230.4772331575</v>
      </c>
      <c r="GD18" s="125">
        <f t="shared" si="39"/>
        <v>1441230.4772331575</v>
      </c>
      <c r="GE18" s="125">
        <f t="shared" si="39"/>
        <v>1441230.4772331575</v>
      </c>
      <c r="GF18" s="125">
        <f t="shared" si="39"/>
        <v>1441230.4772331575</v>
      </c>
      <c r="GG18" s="125">
        <f t="shared" si="39"/>
        <v>1441230.4772331575</v>
      </c>
      <c r="GH18" s="125">
        <f t="shared" si="39"/>
        <v>1441230.4772331575</v>
      </c>
      <c r="GI18" s="125">
        <f t="shared" si="39"/>
        <v>1441230.4772331575</v>
      </c>
      <c r="GJ18" s="125">
        <f t="shared" si="39"/>
        <v>1441230.4772331575</v>
      </c>
      <c r="GK18" s="125">
        <f t="shared" si="39"/>
        <v>1441230.4772331575</v>
      </c>
      <c r="GL18" s="125">
        <f t="shared" si="39"/>
        <v>1441230.4772331575</v>
      </c>
      <c r="GM18" s="125">
        <f t="shared" si="39"/>
        <v>1441230.4772331575</v>
      </c>
      <c r="GN18" s="125">
        <f t="shared" si="39"/>
        <v>1441230.4772331575</v>
      </c>
      <c r="GO18" s="125">
        <f t="shared" si="39"/>
        <v>1441230.4772331575</v>
      </c>
      <c r="GP18" s="125">
        <f t="shared" si="39"/>
        <v>1441230.4772331575</v>
      </c>
      <c r="GQ18" s="125">
        <f t="shared" si="39"/>
        <v>1441230.4772331575</v>
      </c>
      <c r="GR18" s="125">
        <f t="shared" si="39"/>
        <v>1441230.4772331575</v>
      </c>
      <c r="GS18" s="125">
        <f t="shared" ref="GS18:JD18" si="40">GR18+GS17</f>
        <v>1441230.4772331575</v>
      </c>
      <c r="GT18" s="125">
        <f t="shared" si="40"/>
        <v>1441230.4772331575</v>
      </c>
      <c r="GU18" s="125">
        <f t="shared" si="40"/>
        <v>1441230.4772331575</v>
      </c>
      <c r="GV18" s="125">
        <f t="shared" si="40"/>
        <v>1441230.4772331575</v>
      </c>
      <c r="GW18" s="125">
        <f t="shared" si="40"/>
        <v>1441230.4772331575</v>
      </c>
      <c r="GX18" s="125">
        <f t="shared" si="40"/>
        <v>1441230.4772331575</v>
      </c>
      <c r="GY18" s="125">
        <f t="shared" si="40"/>
        <v>1441230.4772331575</v>
      </c>
      <c r="GZ18" s="125">
        <f t="shared" si="40"/>
        <v>1441230.4772331575</v>
      </c>
      <c r="HA18" s="125">
        <f t="shared" si="40"/>
        <v>1441230.4772331575</v>
      </c>
      <c r="HB18" s="125">
        <f t="shared" si="40"/>
        <v>1441230.4772331575</v>
      </c>
      <c r="HC18" s="125">
        <f t="shared" si="40"/>
        <v>1441230.4772331575</v>
      </c>
      <c r="HD18" s="125">
        <f t="shared" si="40"/>
        <v>1441230.4772331575</v>
      </c>
      <c r="HE18" s="125">
        <f t="shared" si="40"/>
        <v>1441230.4772331575</v>
      </c>
      <c r="HF18" s="125">
        <f t="shared" si="40"/>
        <v>1441230.4772331575</v>
      </c>
      <c r="HG18" s="125">
        <f t="shared" si="40"/>
        <v>1441230.4772331575</v>
      </c>
      <c r="HH18" s="125">
        <f t="shared" si="40"/>
        <v>1441230.4772331575</v>
      </c>
      <c r="HI18" s="125">
        <f t="shared" si="40"/>
        <v>1441230.4772331575</v>
      </c>
      <c r="HJ18" s="125">
        <f t="shared" si="40"/>
        <v>1441230.4772331575</v>
      </c>
      <c r="HK18" s="125">
        <f t="shared" si="40"/>
        <v>1441230.4772331575</v>
      </c>
      <c r="HL18" s="125">
        <f t="shared" si="40"/>
        <v>1441230.4772331575</v>
      </c>
      <c r="HM18" s="125">
        <f t="shared" si="40"/>
        <v>1441230.4772331575</v>
      </c>
      <c r="HN18" s="125">
        <f t="shared" si="40"/>
        <v>1441230.4772331575</v>
      </c>
      <c r="HO18" s="125">
        <f t="shared" si="40"/>
        <v>1441230.4772331575</v>
      </c>
      <c r="HP18" s="125">
        <f t="shared" si="40"/>
        <v>1441230.4772331575</v>
      </c>
      <c r="HQ18" s="125">
        <f t="shared" si="40"/>
        <v>1441230.4772331575</v>
      </c>
      <c r="HR18" s="125">
        <f t="shared" si="40"/>
        <v>1441230.4772331575</v>
      </c>
      <c r="HS18" s="125">
        <f t="shared" si="40"/>
        <v>1441230.4772331575</v>
      </c>
      <c r="HT18" s="125">
        <f t="shared" si="40"/>
        <v>1441230.4772331575</v>
      </c>
      <c r="HU18" s="125">
        <f t="shared" si="40"/>
        <v>1441230.4772331575</v>
      </c>
      <c r="HV18" s="125">
        <f t="shared" si="40"/>
        <v>1441230.4772331575</v>
      </c>
      <c r="HW18" s="125">
        <f t="shared" si="40"/>
        <v>1441230.4772331575</v>
      </c>
      <c r="HX18" s="125">
        <f t="shared" si="40"/>
        <v>1441230.4772331575</v>
      </c>
      <c r="HY18" s="125">
        <f t="shared" si="40"/>
        <v>1441230.4772331575</v>
      </c>
      <c r="HZ18" s="125">
        <f t="shared" si="40"/>
        <v>1441230.4772331575</v>
      </c>
      <c r="IA18" s="125">
        <f t="shared" si="40"/>
        <v>1441230.4772331575</v>
      </c>
      <c r="IB18" s="125">
        <f t="shared" si="40"/>
        <v>1441230.4772331575</v>
      </c>
      <c r="IC18" s="125">
        <f t="shared" si="40"/>
        <v>1441230.4772331575</v>
      </c>
      <c r="ID18" s="125">
        <f t="shared" si="40"/>
        <v>1441230.4772331575</v>
      </c>
      <c r="IE18" s="125">
        <f t="shared" si="40"/>
        <v>1441230.4772331575</v>
      </c>
      <c r="IF18" s="125">
        <f t="shared" si="40"/>
        <v>1441230.4772331575</v>
      </c>
      <c r="IG18" s="125">
        <f t="shared" si="40"/>
        <v>1441230.4772331575</v>
      </c>
      <c r="IH18" s="125">
        <f t="shared" si="40"/>
        <v>1441230.4772331575</v>
      </c>
      <c r="II18" s="125">
        <f t="shared" si="40"/>
        <v>1441230.4772331575</v>
      </c>
      <c r="IJ18" s="125">
        <f t="shared" si="40"/>
        <v>1441230.4772331575</v>
      </c>
      <c r="IK18" s="125">
        <f t="shared" si="40"/>
        <v>1441230.4772331575</v>
      </c>
      <c r="IL18" s="125">
        <f t="shared" si="40"/>
        <v>1441230.4772331575</v>
      </c>
      <c r="IM18" s="125">
        <f t="shared" si="40"/>
        <v>1441230.4772331575</v>
      </c>
      <c r="IN18" s="125">
        <f t="shared" si="40"/>
        <v>1441230.4772331575</v>
      </c>
      <c r="IO18" s="125">
        <f t="shared" si="40"/>
        <v>1441230.4772331575</v>
      </c>
      <c r="IP18" s="125">
        <f t="shared" si="40"/>
        <v>1441230.4772331575</v>
      </c>
      <c r="IQ18" s="125">
        <f t="shared" si="40"/>
        <v>1441230.4772331575</v>
      </c>
      <c r="IR18" s="125">
        <f t="shared" si="40"/>
        <v>1441230.4772331575</v>
      </c>
      <c r="IS18" s="125">
        <f t="shared" si="40"/>
        <v>1441230.4772331575</v>
      </c>
      <c r="IT18" s="125">
        <f t="shared" si="40"/>
        <v>1441230.4772331575</v>
      </c>
      <c r="IU18" s="125">
        <f t="shared" si="40"/>
        <v>1441230.4772331575</v>
      </c>
      <c r="IV18" s="125">
        <f t="shared" si="40"/>
        <v>1441230.4772331575</v>
      </c>
      <c r="IW18" s="125">
        <f t="shared" si="40"/>
        <v>1441230.4772331575</v>
      </c>
      <c r="IX18" s="125">
        <f t="shared" si="40"/>
        <v>1441230.4772331575</v>
      </c>
      <c r="IY18" s="125">
        <f t="shared" si="40"/>
        <v>1441230.4772331575</v>
      </c>
      <c r="IZ18" s="125">
        <f t="shared" si="40"/>
        <v>1441230.4772331575</v>
      </c>
      <c r="JA18" s="125">
        <f t="shared" si="40"/>
        <v>1441230.4772331575</v>
      </c>
      <c r="JB18" s="125">
        <f t="shared" si="40"/>
        <v>1441230.4772331575</v>
      </c>
      <c r="JC18" s="125">
        <f t="shared" si="40"/>
        <v>1441230.4772331575</v>
      </c>
      <c r="JD18" s="125">
        <f t="shared" si="40"/>
        <v>1441230.4772331575</v>
      </c>
      <c r="JE18" s="125">
        <f t="shared" ref="JE18:KF18" si="41">JD18+JE17</f>
        <v>1441230.4772331575</v>
      </c>
      <c r="JF18" s="125">
        <f t="shared" si="41"/>
        <v>1441230.4772331575</v>
      </c>
      <c r="JG18" s="125">
        <f t="shared" si="41"/>
        <v>1441230.4772331575</v>
      </c>
      <c r="JH18" s="125">
        <f t="shared" si="41"/>
        <v>1441230.4772331575</v>
      </c>
      <c r="JI18" s="125">
        <f t="shared" si="41"/>
        <v>1441230.4772331575</v>
      </c>
      <c r="JJ18" s="125">
        <f t="shared" si="41"/>
        <v>1441230.4772331575</v>
      </c>
      <c r="JK18" s="125">
        <f t="shared" si="41"/>
        <v>1441230.4772331575</v>
      </c>
      <c r="JL18" s="125">
        <f t="shared" si="41"/>
        <v>1441230.4772331575</v>
      </c>
      <c r="JM18" s="125">
        <f t="shared" si="41"/>
        <v>1441230.4772331575</v>
      </c>
      <c r="JN18" s="125">
        <f t="shared" si="41"/>
        <v>1441230.4772331575</v>
      </c>
      <c r="JO18" s="125">
        <f t="shared" si="41"/>
        <v>1441230.4772331575</v>
      </c>
      <c r="JP18" s="125">
        <f t="shared" si="41"/>
        <v>1441230.4772331575</v>
      </c>
      <c r="JQ18" s="125">
        <f t="shared" si="41"/>
        <v>1441230.4772331575</v>
      </c>
      <c r="JR18" s="125">
        <f t="shared" si="41"/>
        <v>1441230.4772331575</v>
      </c>
      <c r="JS18" s="125">
        <f t="shared" si="41"/>
        <v>1441230.4772331575</v>
      </c>
      <c r="JT18" s="125">
        <f t="shared" si="41"/>
        <v>1441230.4772331575</v>
      </c>
      <c r="JU18" s="125">
        <f t="shared" si="41"/>
        <v>1441230.4772331575</v>
      </c>
      <c r="JV18" s="125">
        <f t="shared" si="41"/>
        <v>1441230.4772331575</v>
      </c>
      <c r="JW18" s="125">
        <f t="shared" si="41"/>
        <v>1441230.4772331575</v>
      </c>
      <c r="JX18" s="125">
        <f t="shared" si="41"/>
        <v>1441230.4772331575</v>
      </c>
      <c r="JY18" s="125">
        <f t="shared" si="41"/>
        <v>1441230.4772331575</v>
      </c>
      <c r="JZ18" s="125">
        <f t="shared" si="41"/>
        <v>1441230.4772331575</v>
      </c>
      <c r="KA18" s="125">
        <f t="shared" si="41"/>
        <v>1441230.4772331575</v>
      </c>
      <c r="KB18" s="125">
        <f t="shared" si="41"/>
        <v>1441230.4772331575</v>
      </c>
      <c r="KC18" s="125">
        <f t="shared" si="41"/>
        <v>1441230.4772331575</v>
      </c>
      <c r="KD18" s="125">
        <f t="shared" si="41"/>
        <v>1441230.4772331575</v>
      </c>
      <c r="KE18" s="125">
        <f t="shared" si="41"/>
        <v>1441230.4772331575</v>
      </c>
      <c r="KF18" s="125">
        <f t="shared" si="41"/>
        <v>1441230.4772331575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25"/>
  <cols>
    <col min="1" max="1" width="39.42578125" style="269" bestFit="1" customWidth="1"/>
    <col min="2" max="2" width="17.28515625" style="270" bestFit="1" customWidth="1"/>
    <col min="3" max="3" width="4.85546875" style="269" bestFit="1" customWidth="1"/>
    <col min="4" max="4" width="12" style="269" bestFit="1" customWidth="1"/>
    <col min="5" max="6" width="13.28515625" style="269" bestFit="1" customWidth="1"/>
    <col min="7" max="7" width="12" style="269" bestFit="1" customWidth="1"/>
    <col min="8" max="9" width="14.85546875" style="269" bestFit="1" customWidth="1"/>
    <col min="10" max="10" width="14.5703125" style="269" bestFit="1" customWidth="1"/>
    <col min="11" max="11" width="11.28515625" style="269" bestFit="1" customWidth="1"/>
    <col min="12" max="12" width="6.28515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399</v>
      </c>
      <c r="B3" s="541" t="s">
        <v>400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401</v>
      </c>
      <c r="B4" t="s">
        <v>402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403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402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268</v>
      </c>
      <c r="B6" s="272"/>
      <c r="C6" s="272">
        <v>0</v>
      </c>
      <c r="D6" s="272"/>
      <c r="E6" s="272">
        <v>452188.45121951227</v>
      </c>
      <c r="F6" s="272"/>
      <c r="G6" s="272"/>
      <c r="H6" s="272">
        <v>452188.45121951227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>
        <v>115853.65853658537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>
        <v>71319.512195121963</v>
      </c>
      <c r="F8" s="272"/>
      <c r="G8" s="272"/>
      <c r="H8" s="272">
        <v>71319.512195121963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54160.692471455055</v>
      </c>
      <c r="F9" s="272">
        <v>28458.735807129775</v>
      </c>
      <c r="G9" s="272">
        <v>2032.7668433664123</v>
      </c>
      <c r="H9" s="272">
        <v>84652.195121951241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>
        <v>8881.8531056332704</v>
      </c>
      <c r="E10" s="272">
        <v>42054.714384978128</v>
      </c>
      <c r="F10" s="272"/>
      <c r="G10" s="272">
        <v>8819.5300703642151</v>
      </c>
      <c r="H10" s="272">
        <v>59756.097560975613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323</v>
      </c>
      <c r="B11" s="272"/>
      <c r="C11" s="272">
        <v>0</v>
      </c>
      <c r="D11" s="272"/>
      <c r="E11" s="272">
        <v>35857.175901378578</v>
      </c>
      <c r="F11" s="272">
        <v>198975.64130434778</v>
      </c>
      <c r="G11" s="272">
        <v>7171.4351802757155</v>
      </c>
      <c r="H11" s="272">
        <v>242004.25238600204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328</v>
      </c>
      <c r="B12" s="272">
        <v>0</v>
      </c>
      <c r="C12" s="272">
        <v>0</v>
      </c>
      <c r="D12" s="272"/>
      <c r="E12" s="272">
        <v>4494.3820224719102</v>
      </c>
      <c r="F12" s="272"/>
      <c r="G12" s="272"/>
      <c r="H12" s="272">
        <v>4494.3820224719102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332</v>
      </c>
      <c r="B13" s="272"/>
      <c r="C13" s="272">
        <v>0</v>
      </c>
      <c r="D13" s="272"/>
      <c r="E13" s="272">
        <v>31852.941176470587</v>
      </c>
      <c r="F13" s="272">
        <v>89188.23529411765</v>
      </c>
      <c r="G13" s="272">
        <v>6370.588235294118</v>
      </c>
      <c r="H13" s="272">
        <v>127411.76470588235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335</v>
      </c>
      <c r="B14" s="272"/>
      <c r="C14" s="272">
        <v>0</v>
      </c>
      <c r="D14" s="272"/>
      <c r="E14" s="272">
        <v>17365.264705882353</v>
      </c>
      <c r="F14" s="272">
        <v>48622.74117647059</v>
      </c>
      <c r="G14" s="272">
        <v>3473.052941176471</v>
      </c>
      <c r="H14" s="272">
        <v>69461.058823529413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339</v>
      </c>
      <c r="B15" s="272"/>
      <c r="C15" s="272"/>
      <c r="D15" s="272">
        <v>22610.881849165013</v>
      </c>
      <c r="E15" s="272">
        <v>68954.472123053376</v>
      </c>
      <c r="F15" s="272"/>
      <c r="G15" s="272">
        <v>13140.528380722784</v>
      </c>
      <c r="H15" s="272">
        <v>104705.88235294117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353</v>
      </c>
      <c r="B16" s="272"/>
      <c r="C16" s="272">
        <v>0</v>
      </c>
      <c r="D16" s="272"/>
      <c r="E16" s="272"/>
      <c r="F16" s="272">
        <v>106912.63407289001</v>
      </c>
      <c r="G16" s="272"/>
      <c r="H16" s="272">
        <v>106912.63407289001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361</v>
      </c>
      <c r="B17" s="272"/>
      <c r="C17" s="272">
        <v>0</v>
      </c>
      <c r="D17" s="272">
        <v>617.64705882352939</v>
      </c>
      <c r="E17" s="272">
        <v>617.64705882352939</v>
      </c>
      <c r="F17" s="272">
        <v>617.64705882352939</v>
      </c>
      <c r="G17" s="272">
        <v>617.64705882352939</v>
      </c>
      <c r="H17" s="272">
        <v>2470.5882352941176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364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350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325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403</v>
      </c>
      <c r="B21" s="272">
        <v>0</v>
      </c>
      <c r="C21" s="272">
        <v>0</v>
      </c>
      <c r="D21" s="272">
        <v>32110.382013621809</v>
      </c>
      <c r="E21" s="272">
        <v>894718.91179573326</v>
      </c>
      <c r="F21" s="272">
        <v>472775.63471377938</v>
      </c>
      <c r="G21" s="272">
        <v>41625.548710023249</v>
      </c>
      <c r="H21" s="272">
        <v>1441230.4772331577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25"/>
  <cols>
    <col min="1" max="1" width="21.7109375" bestFit="1" customWidth="1"/>
    <col min="2" max="2" width="17.28515625" style="308" bestFit="1" customWidth="1"/>
    <col min="3" max="3" width="4.85546875" style="308" bestFit="1" customWidth="1"/>
    <col min="4" max="4" width="12" style="308" bestFit="1" customWidth="1"/>
    <col min="5" max="6" width="13.28515625" style="308" bestFit="1" customWidth="1"/>
    <col min="7" max="7" width="12" style="308" bestFit="1" customWidth="1"/>
    <col min="8" max="9" width="14.85546875" style="308" bestFit="1" customWidth="1"/>
    <col min="10" max="10" width="14.57031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1" t="s">
        <v>404</v>
      </c>
      <c r="B3" s="541" t="s">
        <v>400</v>
      </c>
      <c r="C3"/>
      <c r="D3"/>
      <c r="E3"/>
      <c r="F3"/>
      <c r="G3"/>
      <c r="H3"/>
      <c r="I3"/>
    </row>
    <row r="4" spans="1:9">
      <c r="A4" s="541" t="s">
        <v>401</v>
      </c>
      <c r="B4" t="s">
        <v>402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403</v>
      </c>
      <c r="I4"/>
    </row>
    <row r="5" spans="1:9">
      <c r="A5" s="345" t="s">
        <v>402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268</v>
      </c>
      <c r="B6" s="347"/>
      <c r="C6" s="347"/>
      <c r="D6" s="347"/>
      <c r="E6" s="347">
        <v>260780</v>
      </c>
      <c r="F6" s="347"/>
      <c r="G6" s="347"/>
      <c r="H6" s="347">
        <v>260780</v>
      </c>
      <c r="I6"/>
    </row>
    <row r="7" spans="1:9">
      <c r="A7" s="345" t="s">
        <v>275</v>
      </c>
      <c r="B7" s="347"/>
      <c r="C7" s="347"/>
      <c r="D7" s="347"/>
      <c r="E7" s="347">
        <v>87212.160000000003</v>
      </c>
      <c r="F7" s="347"/>
      <c r="G7" s="347"/>
      <c r="H7" s="347">
        <v>87212.160000000003</v>
      </c>
      <c r="I7"/>
    </row>
    <row r="8" spans="1:9">
      <c r="A8" s="345" t="s">
        <v>286</v>
      </c>
      <c r="B8" s="347"/>
      <c r="C8" s="347"/>
      <c r="D8" s="347"/>
      <c r="E8" s="347">
        <v>58482.000000000007</v>
      </c>
      <c r="F8" s="347"/>
      <c r="G8" s="347"/>
      <c r="H8" s="347">
        <v>58482.000000000007</v>
      </c>
      <c r="I8"/>
    </row>
    <row r="9" spans="1:9">
      <c r="A9" s="345" t="s">
        <v>293</v>
      </c>
      <c r="B9" s="347"/>
      <c r="C9" s="347"/>
      <c r="D9" s="347"/>
      <c r="E9" s="347">
        <v>67705.7</v>
      </c>
      <c r="F9" s="347">
        <v>35575.96</v>
      </c>
      <c r="G9" s="347">
        <v>2541.1400000000003</v>
      </c>
      <c r="H9" s="347">
        <v>105822.8</v>
      </c>
      <c r="I9"/>
    </row>
    <row r="10" spans="1:9">
      <c r="A10" s="345" t="s">
        <v>309</v>
      </c>
      <c r="B10" s="347"/>
      <c r="C10" s="347"/>
      <c r="D10" s="347">
        <v>8659.1</v>
      </c>
      <c r="E10" s="347">
        <v>41000</v>
      </c>
      <c r="F10" s="347"/>
      <c r="G10" s="347">
        <v>8598.34</v>
      </c>
      <c r="H10" s="347">
        <v>58257.440000000002</v>
      </c>
      <c r="I10"/>
    </row>
    <row r="11" spans="1:9">
      <c r="A11" s="345" t="s">
        <v>323</v>
      </c>
      <c r="B11" s="347"/>
      <c r="C11" s="347"/>
      <c r="D11" s="347"/>
      <c r="E11" s="347">
        <v>29402.884239130435</v>
      </c>
      <c r="F11" s="347">
        <v>163160.02586956523</v>
      </c>
      <c r="G11" s="347">
        <v>5880.5768478260879</v>
      </c>
      <c r="H11" s="347">
        <v>198443.48695652178</v>
      </c>
      <c r="I11"/>
    </row>
    <row r="12" spans="1:9">
      <c r="A12" s="345" t="s">
        <v>328</v>
      </c>
      <c r="B12" s="347"/>
      <c r="C12" s="347"/>
      <c r="D12" s="347"/>
      <c r="E12" s="347">
        <v>4000</v>
      </c>
      <c r="F12" s="347"/>
      <c r="G12" s="347"/>
      <c r="H12" s="347">
        <v>4000</v>
      </c>
      <c r="I12"/>
    </row>
    <row r="13" spans="1:9">
      <c r="A13" s="345" t="s">
        <v>332</v>
      </c>
      <c r="B13" s="347"/>
      <c r="C13" s="347"/>
      <c r="D13" s="347"/>
      <c r="E13" s="347">
        <v>27075</v>
      </c>
      <c r="F13" s="347">
        <v>75810</v>
      </c>
      <c r="G13" s="347">
        <v>5415</v>
      </c>
      <c r="H13" s="347">
        <v>108300</v>
      </c>
      <c r="I13"/>
    </row>
    <row r="14" spans="1:9">
      <c r="A14" s="345" t="s">
        <v>335</v>
      </c>
      <c r="B14" s="347"/>
      <c r="C14" s="347"/>
      <c r="D14" s="347"/>
      <c r="E14" s="347">
        <v>8189.4750000000004</v>
      </c>
      <c r="F14" s="347">
        <v>22930.530000000002</v>
      </c>
      <c r="G14" s="347">
        <v>1637.8950000000002</v>
      </c>
      <c r="H14" s="347">
        <v>32757.900000000005</v>
      </c>
      <c r="I14"/>
    </row>
    <row r="15" spans="1:9">
      <c r="A15" s="345" t="s">
        <v>339</v>
      </c>
      <c r="B15" s="347"/>
      <c r="C15" s="347"/>
      <c r="D15" s="347">
        <v>21642.080000000002</v>
      </c>
      <c r="E15" s="347">
        <v>66000</v>
      </c>
      <c r="F15" s="347"/>
      <c r="G15" s="347">
        <v>12577.5</v>
      </c>
      <c r="H15" s="347">
        <v>100219.58</v>
      </c>
      <c r="I15"/>
    </row>
    <row r="16" spans="1:9">
      <c r="A16" s="345" t="s">
        <v>353</v>
      </c>
      <c r="B16" s="347"/>
      <c r="C16" s="347"/>
      <c r="D16" s="347"/>
      <c r="E16" s="347"/>
      <c r="F16" s="347">
        <v>95172.66096541447</v>
      </c>
      <c r="G16" s="347"/>
      <c r="H16" s="347">
        <v>95172.66096541447</v>
      </c>
      <c r="I16"/>
    </row>
    <row r="17" spans="1:9">
      <c r="A17" s="345" t="s">
        <v>361</v>
      </c>
      <c r="B17" s="347"/>
      <c r="C17" s="347"/>
      <c r="D17" s="347">
        <v>525</v>
      </c>
      <c r="E17" s="347">
        <v>525</v>
      </c>
      <c r="F17" s="347">
        <v>525</v>
      </c>
      <c r="G17" s="347">
        <v>525</v>
      </c>
      <c r="H17" s="347">
        <v>2100</v>
      </c>
      <c r="I17"/>
    </row>
    <row r="18" spans="1:9">
      <c r="A18" s="345" t="s">
        <v>364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350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325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403</v>
      </c>
      <c r="B21" s="347"/>
      <c r="C21" s="347">
        <v>0</v>
      </c>
      <c r="D21" s="347">
        <v>30826.18</v>
      </c>
      <c r="E21" s="347">
        <v>650372.2192391305</v>
      </c>
      <c r="F21" s="347">
        <v>393174.17683497973</v>
      </c>
      <c r="G21" s="347">
        <v>37175.451847826087</v>
      </c>
      <c r="H21" s="347">
        <v>1111548.0279219362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405</v>
      </c>
      <c r="F2" s="19" t="s">
        <v>406</v>
      </c>
    </row>
    <row r="3" spans="3:8">
      <c r="C3" s="15">
        <v>45658</v>
      </c>
      <c r="D3" s="9" t="s">
        <v>407</v>
      </c>
      <c r="F3" s="17" t="s">
        <v>408</v>
      </c>
    </row>
    <row r="4" spans="3:8">
      <c r="C4" s="15">
        <v>45737</v>
      </c>
      <c r="D4" s="9" t="s">
        <v>409</v>
      </c>
      <c r="F4" s="17" t="s">
        <v>410</v>
      </c>
    </row>
    <row r="5" spans="3:8">
      <c r="C5" s="15">
        <v>45765</v>
      </c>
      <c r="D5" s="9" t="s">
        <v>411</v>
      </c>
      <c r="F5" s="17" t="s">
        <v>412</v>
      </c>
    </row>
    <row r="6" spans="3:8" ht="13.15" thickBot="1">
      <c r="C6" s="15">
        <v>45768</v>
      </c>
      <c r="D6" s="9" t="s">
        <v>413</v>
      </c>
      <c r="F6" s="18" t="s">
        <v>414</v>
      </c>
    </row>
    <row r="7" spans="3:8">
      <c r="C7" s="15">
        <v>45774</v>
      </c>
      <c r="D7" s="9" t="s">
        <v>415</v>
      </c>
    </row>
    <row r="8" spans="3:8">
      <c r="C8" s="15">
        <v>45765</v>
      </c>
      <c r="D8" s="9" t="s">
        <v>416</v>
      </c>
    </row>
    <row r="9" spans="3:8">
      <c r="C9" s="15">
        <v>45778</v>
      </c>
      <c r="D9" s="9" t="s">
        <v>417</v>
      </c>
    </row>
    <row r="10" spans="3:8">
      <c r="C10" s="15">
        <v>45824</v>
      </c>
      <c r="D10" s="9" t="s">
        <v>418</v>
      </c>
    </row>
    <row r="11" spans="3:8">
      <c r="C11" s="15">
        <v>45878</v>
      </c>
      <c r="D11" s="9" t="s">
        <v>419</v>
      </c>
    </row>
    <row r="12" spans="3:8">
      <c r="C12" s="15">
        <v>45924</v>
      </c>
      <c r="D12" s="9" t="s">
        <v>420</v>
      </c>
    </row>
    <row r="13" spans="3:8">
      <c r="C13" s="15">
        <v>46007</v>
      </c>
      <c r="D13" s="9" t="s">
        <v>421</v>
      </c>
      <c r="F13" s="20"/>
      <c r="H13" s="9" t="s">
        <v>422</v>
      </c>
    </row>
    <row r="14" spans="3:8">
      <c r="C14" s="15">
        <v>46016</v>
      </c>
      <c r="D14" s="9" t="s">
        <v>423</v>
      </c>
    </row>
    <row r="15" spans="3:8">
      <c r="C15" s="15">
        <v>46017</v>
      </c>
      <c r="D15" s="9" t="s">
        <v>424</v>
      </c>
    </row>
    <row r="16" spans="3:8">
      <c r="C16" s="15">
        <v>46006</v>
      </c>
      <c r="D16" s="9" t="s">
        <v>425</v>
      </c>
    </row>
    <row r="17" spans="3:4">
      <c r="C17" s="15">
        <v>46007</v>
      </c>
      <c r="D17" s="9" t="s">
        <v>425</v>
      </c>
    </row>
    <row r="18" spans="3:4">
      <c r="C18" s="15">
        <v>46008</v>
      </c>
      <c r="D18" s="9" t="s">
        <v>425</v>
      </c>
    </row>
    <row r="19" spans="3:4">
      <c r="C19" s="15">
        <v>46009</v>
      </c>
      <c r="D19" s="9" t="s">
        <v>425</v>
      </c>
    </row>
    <row r="20" spans="3:4">
      <c r="C20" s="15">
        <v>46010</v>
      </c>
      <c r="D20" s="9" t="s">
        <v>425</v>
      </c>
    </row>
    <row r="21" spans="3:4">
      <c r="C21" s="15">
        <v>46011</v>
      </c>
      <c r="D21" s="9" t="s">
        <v>425</v>
      </c>
    </row>
    <row r="22" spans="3:4">
      <c r="C22" s="15">
        <v>46012</v>
      </c>
      <c r="D22" s="9" t="s">
        <v>425</v>
      </c>
    </row>
    <row r="23" spans="3:4">
      <c r="C23" s="15">
        <v>46013</v>
      </c>
      <c r="D23" s="9" t="s">
        <v>425</v>
      </c>
    </row>
    <row r="24" spans="3:4">
      <c r="C24" s="15">
        <v>46014</v>
      </c>
      <c r="D24" s="9" t="s">
        <v>425</v>
      </c>
    </row>
    <row r="25" spans="3:4">
      <c r="C25" s="15">
        <v>46015</v>
      </c>
      <c r="D25" s="9" t="s">
        <v>425</v>
      </c>
    </row>
    <row r="26" spans="3:4">
      <c r="C26" s="15">
        <v>46016</v>
      </c>
      <c r="D26" s="9" t="s">
        <v>425</v>
      </c>
    </row>
    <row r="27" spans="3:4">
      <c r="C27" s="15">
        <v>46017</v>
      </c>
      <c r="D27" s="9" t="s">
        <v>425</v>
      </c>
    </row>
    <row r="28" spans="3:4">
      <c r="C28" s="15">
        <v>46018</v>
      </c>
      <c r="D28" s="9" t="s">
        <v>425</v>
      </c>
    </row>
    <row r="29" spans="3:4">
      <c r="C29" s="15">
        <v>46019</v>
      </c>
      <c r="D29" s="9" t="s">
        <v>425</v>
      </c>
    </row>
    <row r="30" spans="3:4">
      <c r="C30" s="15">
        <v>46020</v>
      </c>
      <c r="D30" s="9" t="s">
        <v>425</v>
      </c>
    </row>
    <row r="31" spans="3:4">
      <c r="C31" s="15">
        <v>46021</v>
      </c>
      <c r="D31" s="9" t="s">
        <v>425</v>
      </c>
    </row>
    <row r="32" spans="3:4">
      <c r="C32" s="15">
        <v>46022</v>
      </c>
      <c r="D32" s="9" t="s">
        <v>425</v>
      </c>
    </row>
    <row r="33" spans="3:4">
      <c r="C33" s="15">
        <v>46023</v>
      </c>
      <c r="D33" s="9" t="s">
        <v>425</v>
      </c>
    </row>
    <row r="34" spans="3:4">
      <c r="C34" s="15">
        <v>46024</v>
      </c>
      <c r="D34" s="9" t="s">
        <v>425</v>
      </c>
    </row>
    <row r="35" spans="3:4">
      <c r="C35" s="15">
        <v>46025</v>
      </c>
      <c r="D35" s="9" t="s">
        <v>425</v>
      </c>
    </row>
    <row r="36" spans="3:4">
      <c r="C36" s="15">
        <v>46026</v>
      </c>
      <c r="D36" s="9" t="s">
        <v>425</v>
      </c>
    </row>
    <row r="37" spans="3:4">
      <c r="C37" s="15">
        <v>46027</v>
      </c>
      <c r="D37" s="9" t="s">
        <v>425</v>
      </c>
    </row>
    <row r="38" spans="3:4">
      <c r="C38" s="15">
        <v>46028</v>
      </c>
      <c r="D38" s="9" t="s">
        <v>425</v>
      </c>
    </row>
    <row r="39" spans="3:4">
      <c r="C39" s="15">
        <v>46029</v>
      </c>
      <c r="D39" s="9" t="s">
        <v>425</v>
      </c>
    </row>
    <row r="40" spans="3:4">
      <c r="C40" s="15">
        <v>46030</v>
      </c>
      <c r="D40" s="9" t="s">
        <v>425</v>
      </c>
    </row>
    <row r="41" spans="3:4">
      <c r="C41" s="15">
        <v>46031</v>
      </c>
      <c r="D41" s="9" t="s">
        <v>425</v>
      </c>
    </row>
    <row r="42" spans="3:4">
      <c r="C42" s="15">
        <v>46032</v>
      </c>
      <c r="D42" s="9" t="s">
        <v>425</v>
      </c>
    </row>
    <row r="43" spans="3:4">
      <c r="C43" s="15">
        <v>46033</v>
      </c>
      <c r="D43" s="9" t="s">
        <v>425</v>
      </c>
    </row>
    <row r="44" spans="3:4">
      <c r="C44" s="15">
        <v>46034</v>
      </c>
      <c r="D44" s="9" t="s">
        <v>425</v>
      </c>
    </row>
    <row r="45" spans="3:4">
      <c r="C45" s="15">
        <v>46035</v>
      </c>
      <c r="D45" s="9" t="s">
        <v>425</v>
      </c>
    </row>
    <row r="46" spans="3:4">
      <c r="C46" s="15">
        <v>46036</v>
      </c>
      <c r="D46" s="9" t="s">
        <v>425</v>
      </c>
    </row>
    <row r="47" spans="3:4">
      <c r="C47" s="15">
        <v>46037</v>
      </c>
      <c r="D47" s="9" t="s">
        <v>425</v>
      </c>
    </row>
    <row r="48" spans="3:4">
      <c r="C48" s="15">
        <v>46038</v>
      </c>
      <c r="D48" s="9" t="s">
        <v>425</v>
      </c>
    </row>
    <row r="49" spans="3:4">
      <c r="C49" s="15">
        <v>46102</v>
      </c>
      <c r="D49" s="9" t="s">
        <v>409</v>
      </c>
    </row>
    <row r="50" spans="3:4">
      <c r="C50" s="15">
        <v>46115</v>
      </c>
      <c r="D50" s="9" t="s">
        <v>411</v>
      </c>
    </row>
    <row r="51" spans="3:4">
      <c r="C51" s="15">
        <v>46118</v>
      </c>
      <c r="D51" s="9" t="s">
        <v>413</v>
      </c>
    </row>
    <row r="52" spans="3:4">
      <c r="C52" s="15">
        <v>46139</v>
      </c>
      <c r="D52" s="9" t="s">
        <v>415</v>
      </c>
    </row>
    <row r="53" spans="3:4">
      <c r="C53" s="15">
        <v>46143</v>
      </c>
      <c r="D53" s="9" t="s">
        <v>417</v>
      </c>
    </row>
    <row r="54" spans="3:4">
      <c r="C54" s="15">
        <v>46189</v>
      </c>
      <c r="D54" s="9" t="s">
        <v>418</v>
      </c>
    </row>
    <row r="55" spans="3:4">
      <c r="C55" s="15">
        <v>46243</v>
      </c>
      <c r="D55" s="9" t="s">
        <v>419</v>
      </c>
    </row>
    <row r="56" spans="3:4">
      <c r="C56" s="15">
        <v>46244</v>
      </c>
      <c r="D56" s="9" t="s">
        <v>426</v>
      </c>
    </row>
    <row r="57" spans="3:4">
      <c r="C57" s="15">
        <v>46289</v>
      </c>
      <c r="D57" s="9" t="s">
        <v>420</v>
      </c>
    </row>
    <row r="58" spans="3:4">
      <c r="C58" s="15">
        <v>46372</v>
      </c>
      <c r="D58" s="9" t="s">
        <v>421</v>
      </c>
    </row>
    <row r="59" spans="3:4">
      <c r="C59" s="15">
        <v>46381</v>
      </c>
      <c r="D59" s="9" t="s">
        <v>423</v>
      </c>
    </row>
    <row r="60" spans="3:4" ht="13.15" thickBot="1">
      <c r="C60" s="16">
        <v>46382</v>
      </c>
      <c r="D60" s="9" t="s">
        <v>424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4A983B18-7333-4982-8C27-2C2402010312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2026-01-30T08:01:17Z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