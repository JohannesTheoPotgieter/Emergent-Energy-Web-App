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32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0.xml" ContentType="application/vnd.ms-excel.controlproperties+xml"/>
  <Override PartName="/xl/ctrlProps/ctrlProp26.xml" ContentType="application/vnd.ms-excel.controlproperti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trlProps/ctrlProp2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trlProps/ctrlProp21.xml" ContentType="application/vnd.ms-excel.controlproperties+xml"/>
  <Override PartName="/xl/ctrlProps/ctrlProp19.xml" ContentType="application/vnd.ms-excel.controlproperties+xml"/>
  <Override PartName="/xl/ctrlProps/ctrlProp18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e Sage\Dropbox (Emergent Energy)\Emergent Energy Team Folder\05 - Templates\PM\4. Commissioning\Commissioning Forms\"/>
    </mc:Choice>
  </mc:AlternateContent>
  <xr:revisionPtr revIDLastSave="0" documentId="13_ncr:1_{C3117179-8948-468F-906E-37EA3BE562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oc &amp; Isc Test Result" sheetId="5" r:id="rId1"/>
    <sheet name="Raw Data_Mod Test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" i="6" l="1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D293" i="5" s="1"/>
  <c r="N54" i="6"/>
  <c r="N55" i="6"/>
  <c r="N56" i="6"/>
  <c r="N57" i="6"/>
  <c r="D297" i="5" s="1"/>
  <c r="N58" i="6"/>
  <c r="N59" i="6"/>
  <c r="N60" i="6"/>
  <c r="N61" i="6"/>
  <c r="D301" i="5" s="1"/>
  <c r="N62" i="6"/>
  <c r="N63" i="6"/>
  <c r="N64" i="6"/>
  <c r="N65" i="6"/>
  <c r="D308" i="5" s="1"/>
  <c r="N66" i="6"/>
  <c r="N67" i="6"/>
  <c r="N68" i="6"/>
  <c r="N69" i="6"/>
  <c r="D312" i="5" s="1"/>
  <c r="N70" i="6"/>
  <c r="N71" i="6"/>
  <c r="N72" i="6"/>
  <c r="N73" i="6"/>
  <c r="D316" i="5" s="1"/>
  <c r="N74" i="6"/>
  <c r="N75" i="6"/>
  <c r="N76" i="6"/>
  <c r="N77" i="6"/>
  <c r="D323" i="5" s="1"/>
  <c r="N78" i="6"/>
  <c r="N79" i="6"/>
  <c r="N80" i="6"/>
  <c r="N81" i="6"/>
  <c r="D327" i="5" s="1"/>
  <c r="N82" i="6"/>
  <c r="N83" i="6"/>
  <c r="N84" i="6"/>
  <c r="N85" i="6"/>
  <c r="D331" i="5" s="1"/>
  <c r="N86" i="6"/>
  <c r="N87" i="6"/>
  <c r="N88" i="6"/>
  <c r="N89" i="6"/>
  <c r="D338" i="5" s="1"/>
  <c r="N90" i="6"/>
  <c r="N91" i="6"/>
  <c r="N92" i="6"/>
  <c r="N93" i="6"/>
  <c r="D342" i="5" s="1"/>
  <c r="N94" i="6"/>
  <c r="N95" i="6"/>
  <c r="N96" i="6"/>
  <c r="N97" i="6"/>
  <c r="D346" i="5" s="1"/>
  <c r="N98" i="6"/>
  <c r="N99" i="6"/>
  <c r="N100" i="6"/>
  <c r="N101" i="6"/>
  <c r="D353" i="5" s="1"/>
  <c r="N102" i="6"/>
  <c r="N103" i="6"/>
  <c r="N104" i="6"/>
  <c r="N105" i="6"/>
  <c r="D357" i="5" s="1"/>
  <c r="N106" i="6"/>
  <c r="N107" i="6"/>
  <c r="N108" i="6"/>
  <c r="N109" i="6"/>
  <c r="D361" i="5" s="1"/>
  <c r="N110" i="6"/>
  <c r="N111" i="6"/>
  <c r="N112" i="6"/>
  <c r="N113" i="6"/>
  <c r="D368" i="5" s="1"/>
  <c r="N114" i="6"/>
  <c r="N115" i="6"/>
  <c r="N116" i="6"/>
  <c r="N117" i="6"/>
  <c r="D372" i="5" s="1"/>
  <c r="N118" i="6"/>
  <c r="N119" i="6"/>
  <c r="N120" i="6"/>
  <c r="N121" i="6"/>
  <c r="D376" i="5" s="1"/>
  <c r="N122" i="6"/>
  <c r="N123" i="6"/>
  <c r="N124" i="6"/>
  <c r="N125" i="6"/>
  <c r="D383" i="5" s="1"/>
  <c r="N126" i="6"/>
  <c r="N127" i="6"/>
  <c r="N128" i="6"/>
  <c r="N129" i="6"/>
  <c r="D387" i="5" s="1"/>
  <c r="N130" i="6"/>
  <c r="N131" i="6"/>
  <c r="N132" i="6"/>
  <c r="N133" i="6"/>
  <c r="D391" i="5" s="1"/>
  <c r="N134" i="6"/>
  <c r="N135" i="6"/>
  <c r="N136" i="6"/>
  <c r="N137" i="6"/>
  <c r="D398" i="5" s="1"/>
  <c r="N138" i="6"/>
  <c r="N139" i="6"/>
  <c r="N140" i="6"/>
  <c r="N141" i="6"/>
  <c r="D402" i="5" s="1"/>
  <c r="N142" i="6"/>
  <c r="N143" i="6"/>
  <c r="N144" i="6"/>
  <c r="N145" i="6"/>
  <c r="D406" i="5" s="1"/>
  <c r="N146" i="6"/>
  <c r="N147" i="6"/>
  <c r="D411" i="5" s="1"/>
  <c r="N148" i="6"/>
  <c r="N149" i="6"/>
  <c r="D413" i="5" s="1"/>
  <c r="N150" i="6"/>
  <c r="N151" i="6"/>
  <c r="D415" i="5" s="1"/>
  <c r="N152" i="6"/>
  <c r="N153" i="6"/>
  <c r="D417" i="5" s="1"/>
  <c r="N154" i="6"/>
  <c r="N155" i="6"/>
  <c r="D419" i="5" s="1"/>
  <c r="N156" i="6"/>
  <c r="N157" i="6"/>
  <c r="D421" i="5" s="1"/>
  <c r="J617" i="5"/>
  <c r="J618" i="5"/>
  <c r="J619" i="5"/>
  <c r="J620" i="5"/>
  <c r="J621" i="5"/>
  <c r="J622" i="5"/>
  <c r="J623" i="5"/>
  <c r="J624" i="5"/>
  <c r="J625" i="5"/>
  <c r="J626" i="5"/>
  <c r="J627" i="5"/>
  <c r="J616" i="5"/>
  <c r="J602" i="5"/>
  <c r="J603" i="5"/>
  <c r="J604" i="5"/>
  <c r="J605" i="5"/>
  <c r="J606" i="5"/>
  <c r="J607" i="5"/>
  <c r="J608" i="5"/>
  <c r="J609" i="5"/>
  <c r="J610" i="5"/>
  <c r="J611" i="5"/>
  <c r="J612" i="5"/>
  <c r="J601" i="5"/>
  <c r="J587" i="5"/>
  <c r="J588" i="5"/>
  <c r="J589" i="5"/>
  <c r="J590" i="5"/>
  <c r="J591" i="5"/>
  <c r="J592" i="5"/>
  <c r="J593" i="5"/>
  <c r="J594" i="5"/>
  <c r="J595" i="5"/>
  <c r="J596" i="5"/>
  <c r="J597" i="5"/>
  <c r="J586" i="5"/>
  <c r="J572" i="5"/>
  <c r="J573" i="5"/>
  <c r="J574" i="5"/>
  <c r="J575" i="5"/>
  <c r="J576" i="5"/>
  <c r="J577" i="5"/>
  <c r="J578" i="5"/>
  <c r="J579" i="5"/>
  <c r="J580" i="5"/>
  <c r="J581" i="5"/>
  <c r="J582" i="5"/>
  <c r="J571" i="5"/>
  <c r="J557" i="5"/>
  <c r="J558" i="5"/>
  <c r="J559" i="5"/>
  <c r="J560" i="5"/>
  <c r="J561" i="5"/>
  <c r="J562" i="5"/>
  <c r="J563" i="5"/>
  <c r="J564" i="5"/>
  <c r="J565" i="5"/>
  <c r="J566" i="5"/>
  <c r="J567" i="5"/>
  <c r="J556" i="5"/>
  <c r="J543" i="5"/>
  <c r="J544" i="5"/>
  <c r="J545" i="5"/>
  <c r="J546" i="5"/>
  <c r="J547" i="5"/>
  <c r="J548" i="5"/>
  <c r="J549" i="5"/>
  <c r="J550" i="5"/>
  <c r="J551" i="5"/>
  <c r="J552" i="5"/>
  <c r="J553" i="5"/>
  <c r="J542" i="5"/>
  <c r="J528" i="5"/>
  <c r="J529" i="5"/>
  <c r="J530" i="5"/>
  <c r="J531" i="5"/>
  <c r="J532" i="5"/>
  <c r="J533" i="5"/>
  <c r="J534" i="5"/>
  <c r="J535" i="5"/>
  <c r="J536" i="5"/>
  <c r="J537" i="5"/>
  <c r="J538" i="5"/>
  <c r="J527" i="5"/>
  <c r="J513" i="5"/>
  <c r="J514" i="5"/>
  <c r="J515" i="5"/>
  <c r="J516" i="5"/>
  <c r="J517" i="5"/>
  <c r="J518" i="5"/>
  <c r="J519" i="5"/>
  <c r="J520" i="5"/>
  <c r="J521" i="5"/>
  <c r="J522" i="5"/>
  <c r="J523" i="5"/>
  <c r="J512" i="5"/>
  <c r="J498" i="5"/>
  <c r="J499" i="5"/>
  <c r="J500" i="5"/>
  <c r="J501" i="5"/>
  <c r="J502" i="5"/>
  <c r="J503" i="5"/>
  <c r="J504" i="5"/>
  <c r="J505" i="5"/>
  <c r="J506" i="5"/>
  <c r="J507" i="5"/>
  <c r="J508" i="5"/>
  <c r="J497" i="5"/>
  <c r="G627" i="5"/>
  <c r="D627" i="5"/>
  <c r="G626" i="5"/>
  <c r="D626" i="5"/>
  <c r="G625" i="5"/>
  <c r="D625" i="5"/>
  <c r="G624" i="5"/>
  <c r="D624" i="5"/>
  <c r="G623" i="5"/>
  <c r="D623" i="5"/>
  <c r="G622" i="5"/>
  <c r="D622" i="5"/>
  <c r="G621" i="5"/>
  <c r="D621" i="5"/>
  <c r="G620" i="5"/>
  <c r="D620" i="5"/>
  <c r="G619" i="5"/>
  <c r="D619" i="5"/>
  <c r="G618" i="5"/>
  <c r="D618" i="5"/>
  <c r="G617" i="5"/>
  <c r="D617" i="5"/>
  <c r="G616" i="5"/>
  <c r="D616" i="5"/>
  <c r="G612" i="5"/>
  <c r="D612" i="5"/>
  <c r="G611" i="5"/>
  <c r="D611" i="5"/>
  <c r="G610" i="5"/>
  <c r="D610" i="5"/>
  <c r="G609" i="5"/>
  <c r="D609" i="5"/>
  <c r="G608" i="5"/>
  <c r="D608" i="5"/>
  <c r="G607" i="5"/>
  <c r="D607" i="5"/>
  <c r="G606" i="5"/>
  <c r="D606" i="5"/>
  <c r="G605" i="5"/>
  <c r="D605" i="5"/>
  <c r="G604" i="5"/>
  <c r="D604" i="5"/>
  <c r="G603" i="5"/>
  <c r="D603" i="5"/>
  <c r="G602" i="5"/>
  <c r="D602" i="5"/>
  <c r="G601" i="5"/>
  <c r="D601" i="5"/>
  <c r="G597" i="5"/>
  <c r="D597" i="5"/>
  <c r="G596" i="5"/>
  <c r="D596" i="5"/>
  <c r="G595" i="5"/>
  <c r="D595" i="5"/>
  <c r="G594" i="5"/>
  <c r="D594" i="5"/>
  <c r="G593" i="5"/>
  <c r="D593" i="5"/>
  <c r="G592" i="5"/>
  <c r="D592" i="5"/>
  <c r="G591" i="5"/>
  <c r="D591" i="5"/>
  <c r="G590" i="5"/>
  <c r="D590" i="5"/>
  <c r="G589" i="5"/>
  <c r="D589" i="5"/>
  <c r="G588" i="5"/>
  <c r="D588" i="5"/>
  <c r="G587" i="5"/>
  <c r="D587" i="5"/>
  <c r="G586" i="5"/>
  <c r="D586" i="5"/>
  <c r="G582" i="5"/>
  <c r="D582" i="5"/>
  <c r="G581" i="5"/>
  <c r="D581" i="5"/>
  <c r="G580" i="5"/>
  <c r="D580" i="5"/>
  <c r="G579" i="5"/>
  <c r="D579" i="5"/>
  <c r="G578" i="5"/>
  <c r="D578" i="5"/>
  <c r="G577" i="5"/>
  <c r="D577" i="5"/>
  <c r="G576" i="5"/>
  <c r="D576" i="5"/>
  <c r="G575" i="5"/>
  <c r="D575" i="5"/>
  <c r="G574" i="5"/>
  <c r="D574" i="5"/>
  <c r="G573" i="5"/>
  <c r="D573" i="5"/>
  <c r="G572" i="5"/>
  <c r="D572" i="5"/>
  <c r="G571" i="5"/>
  <c r="D571" i="5"/>
  <c r="G567" i="5"/>
  <c r="D567" i="5"/>
  <c r="G566" i="5"/>
  <c r="D566" i="5"/>
  <c r="G565" i="5"/>
  <c r="D565" i="5"/>
  <c r="G564" i="5"/>
  <c r="D564" i="5"/>
  <c r="G563" i="5"/>
  <c r="D563" i="5"/>
  <c r="G562" i="5"/>
  <c r="D562" i="5"/>
  <c r="G561" i="5"/>
  <c r="D561" i="5"/>
  <c r="G560" i="5"/>
  <c r="D560" i="5"/>
  <c r="G559" i="5"/>
  <c r="D559" i="5"/>
  <c r="G558" i="5"/>
  <c r="D558" i="5"/>
  <c r="G557" i="5"/>
  <c r="D557" i="5"/>
  <c r="G556" i="5"/>
  <c r="D556" i="5"/>
  <c r="G553" i="5"/>
  <c r="D553" i="5"/>
  <c r="G552" i="5"/>
  <c r="D552" i="5"/>
  <c r="G551" i="5"/>
  <c r="D551" i="5"/>
  <c r="G550" i="5"/>
  <c r="D550" i="5"/>
  <c r="G549" i="5"/>
  <c r="D549" i="5"/>
  <c r="G548" i="5"/>
  <c r="D548" i="5"/>
  <c r="G547" i="5"/>
  <c r="D547" i="5"/>
  <c r="G546" i="5"/>
  <c r="D546" i="5"/>
  <c r="G545" i="5"/>
  <c r="D545" i="5"/>
  <c r="G544" i="5"/>
  <c r="D544" i="5"/>
  <c r="G543" i="5"/>
  <c r="D543" i="5"/>
  <c r="G542" i="5"/>
  <c r="D542" i="5"/>
  <c r="G538" i="5"/>
  <c r="D538" i="5"/>
  <c r="G537" i="5"/>
  <c r="D537" i="5"/>
  <c r="G536" i="5"/>
  <c r="D536" i="5"/>
  <c r="G535" i="5"/>
  <c r="D535" i="5"/>
  <c r="G534" i="5"/>
  <c r="D534" i="5"/>
  <c r="G533" i="5"/>
  <c r="D533" i="5"/>
  <c r="G532" i="5"/>
  <c r="D532" i="5"/>
  <c r="G531" i="5"/>
  <c r="D531" i="5"/>
  <c r="G530" i="5"/>
  <c r="D530" i="5"/>
  <c r="G529" i="5"/>
  <c r="D529" i="5"/>
  <c r="G528" i="5"/>
  <c r="D528" i="5"/>
  <c r="G527" i="5"/>
  <c r="D527" i="5"/>
  <c r="G523" i="5"/>
  <c r="D523" i="5"/>
  <c r="G522" i="5"/>
  <c r="D522" i="5"/>
  <c r="G521" i="5"/>
  <c r="D521" i="5"/>
  <c r="G520" i="5"/>
  <c r="D520" i="5"/>
  <c r="G519" i="5"/>
  <c r="D519" i="5"/>
  <c r="G518" i="5"/>
  <c r="D518" i="5"/>
  <c r="G517" i="5"/>
  <c r="D517" i="5"/>
  <c r="G516" i="5"/>
  <c r="D516" i="5"/>
  <c r="G515" i="5"/>
  <c r="D515" i="5"/>
  <c r="G514" i="5"/>
  <c r="D514" i="5"/>
  <c r="G513" i="5"/>
  <c r="D513" i="5"/>
  <c r="G512" i="5"/>
  <c r="D512" i="5"/>
  <c r="G508" i="5"/>
  <c r="D508" i="5"/>
  <c r="G507" i="5"/>
  <c r="D507" i="5"/>
  <c r="G506" i="5"/>
  <c r="D506" i="5"/>
  <c r="G505" i="5"/>
  <c r="D505" i="5"/>
  <c r="G504" i="5"/>
  <c r="D504" i="5"/>
  <c r="G503" i="5"/>
  <c r="D503" i="5"/>
  <c r="G502" i="5"/>
  <c r="D502" i="5"/>
  <c r="G501" i="5"/>
  <c r="D501" i="5"/>
  <c r="G500" i="5"/>
  <c r="D500" i="5"/>
  <c r="G499" i="5"/>
  <c r="D499" i="5"/>
  <c r="G498" i="5"/>
  <c r="D498" i="5"/>
  <c r="G497" i="5"/>
  <c r="D497" i="5"/>
  <c r="D412" i="5"/>
  <c r="D414" i="5"/>
  <c r="D416" i="5"/>
  <c r="D418" i="5"/>
  <c r="D420" i="5"/>
  <c r="D410" i="5"/>
  <c r="D396" i="5"/>
  <c r="D397" i="5"/>
  <c r="D399" i="5"/>
  <c r="D400" i="5"/>
  <c r="D401" i="5"/>
  <c r="D403" i="5"/>
  <c r="D404" i="5"/>
  <c r="D405" i="5"/>
  <c r="D395" i="5"/>
  <c r="D381" i="5"/>
  <c r="D382" i="5"/>
  <c r="D384" i="5"/>
  <c r="D385" i="5"/>
  <c r="D386" i="5"/>
  <c r="D388" i="5"/>
  <c r="D389" i="5"/>
  <c r="D390" i="5"/>
  <c r="D380" i="5"/>
  <c r="D366" i="5"/>
  <c r="D367" i="5"/>
  <c r="D369" i="5"/>
  <c r="D370" i="5"/>
  <c r="D371" i="5"/>
  <c r="D373" i="5"/>
  <c r="D374" i="5"/>
  <c r="D375" i="5"/>
  <c r="D365" i="5"/>
  <c r="D351" i="5"/>
  <c r="D352" i="5"/>
  <c r="D354" i="5"/>
  <c r="D355" i="5"/>
  <c r="D356" i="5"/>
  <c r="D358" i="5"/>
  <c r="D359" i="5"/>
  <c r="D360" i="5"/>
  <c r="D350" i="5"/>
  <c r="D336" i="5"/>
  <c r="D337" i="5"/>
  <c r="D339" i="5"/>
  <c r="D340" i="5"/>
  <c r="D341" i="5"/>
  <c r="D343" i="5"/>
  <c r="D344" i="5"/>
  <c r="D345" i="5"/>
  <c r="D335" i="5"/>
  <c r="D321" i="5"/>
  <c r="D322" i="5"/>
  <c r="D324" i="5"/>
  <c r="D325" i="5"/>
  <c r="D326" i="5"/>
  <c r="D328" i="5"/>
  <c r="D329" i="5"/>
  <c r="D330" i="5"/>
  <c r="D320" i="5"/>
  <c r="D306" i="5"/>
  <c r="D307" i="5"/>
  <c r="D309" i="5"/>
  <c r="D310" i="5"/>
  <c r="D311" i="5"/>
  <c r="D313" i="5"/>
  <c r="D314" i="5"/>
  <c r="D315" i="5"/>
  <c r="D305" i="5"/>
  <c r="D291" i="5"/>
  <c r="D292" i="5"/>
  <c r="D294" i="5"/>
  <c r="D295" i="5"/>
  <c r="D296" i="5"/>
  <c r="D298" i="5"/>
  <c r="D299" i="5"/>
  <c r="D300" i="5"/>
  <c r="D290" i="5"/>
  <c r="J411" i="5"/>
  <c r="J412" i="5"/>
  <c r="J413" i="5"/>
  <c r="J414" i="5"/>
  <c r="J415" i="5"/>
  <c r="J416" i="5"/>
  <c r="J417" i="5"/>
  <c r="J418" i="5"/>
  <c r="J419" i="5"/>
  <c r="J420" i="5"/>
  <c r="J421" i="5"/>
  <c r="J410" i="5"/>
  <c r="J396" i="5"/>
  <c r="J397" i="5"/>
  <c r="J398" i="5"/>
  <c r="J399" i="5"/>
  <c r="J400" i="5"/>
  <c r="J401" i="5"/>
  <c r="J402" i="5"/>
  <c r="J403" i="5"/>
  <c r="J404" i="5"/>
  <c r="J405" i="5"/>
  <c r="J406" i="5"/>
  <c r="J395" i="5"/>
  <c r="J381" i="5"/>
  <c r="J382" i="5"/>
  <c r="J383" i="5"/>
  <c r="J384" i="5"/>
  <c r="J385" i="5"/>
  <c r="J386" i="5"/>
  <c r="J387" i="5"/>
  <c r="J388" i="5"/>
  <c r="J389" i="5"/>
  <c r="J390" i="5"/>
  <c r="J391" i="5"/>
  <c r="J380" i="5"/>
  <c r="J376" i="5"/>
  <c r="J366" i="5"/>
  <c r="J367" i="5"/>
  <c r="J368" i="5"/>
  <c r="J369" i="5"/>
  <c r="J370" i="5"/>
  <c r="J371" i="5"/>
  <c r="J372" i="5"/>
  <c r="J373" i="5"/>
  <c r="J374" i="5"/>
  <c r="J375" i="5"/>
  <c r="J365" i="5"/>
  <c r="J351" i="5"/>
  <c r="J352" i="5"/>
  <c r="J353" i="5"/>
  <c r="J354" i="5"/>
  <c r="J355" i="5"/>
  <c r="J356" i="5"/>
  <c r="J357" i="5"/>
  <c r="J358" i="5"/>
  <c r="J359" i="5"/>
  <c r="J360" i="5"/>
  <c r="J361" i="5"/>
  <c r="J350" i="5"/>
  <c r="J336" i="5"/>
  <c r="J337" i="5"/>
  <c r="J338" i="5"/>
  <c r="J339" i="5"/>
  <c r="J340" i="5"/>
  <c r="J341" i="5"/>
  <c r="J342" i="5"/>
  <c r="J343" i="5"/>
  <c r="J344" i="5"/>
  <c r="J345" i="5"/>
  <c r="J346" i="5"/>
  <c r="J335" i="5"/>
  <c r="J321" i="5"/>
  <c r="J322" i="5"/>
  <c r="J323" i="5"/>
  <c r="J324" i="5"/>
  <c r="J325" i="5"/>
  <c r="J326" i="5"/>
  <c r="J327" i="5"/>
  <c r="J328" i="5"/>
  <c r="J329" i="5"/>
  <c r="J330" i="5"/>
  <c r="J331" i="5"/>
  <c r="J320" i="5"/>
  <c r="J306" i="5"/>
  <c r="J307" i="5"/>
  <c r="J308" i="5"/>
  <c r="J309" i="5"/>
  <c r="J310" i="5"/>
  <c r="J311" i="5"/>
  <c r="J312" i="5"/>
  <c r="J313" i="5"/>
  <c r="J314" i="5"/>
  <c r="J315" i="5"/>
  <c r="J316" i="5"/>
  <c r="J305" i="5"/>
  <c r="J291" i="5"/>
  <c r="J292" i="5"/>
  <c r="J293" i="5"/>
  <c r="J294" i="5"/>
  <c r="J295" i="5"/>
  <c r="J296" i="5"/>
  <c r="J297" i="5"/>
  <c r="J298" i="5"/>
  <c r="J299" i="5"/>
  <c r="J300" i="5"/>
  <c r="J301" i="5"/>
  <c r="J290" i="5"/>
  <c r="K49" i="6"/>
  <c r="L49" i="6" s="1"/>
  <c r="K50" i="6"/>
  <c r="L50" i="6" s="1"/>
  <c r="K51" i="6"/>
  <c r="L51" i="6"/>
  <c r="K52" i="6"/>
  <c r="L52" i="6"/>
  <c r="K53" i="6"/>
  <c r="L53" i="6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/>
  <c r="K60" i="6"/>
  <c r="L60" i="6"/>
  <c r="K61" i="6"/>
  <c r="L61" i="6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/>
  <c r="K68" i="6"/>
  <c r="L68" i="6"/>
  <c r="K69" i="6"/>
  <c r="L69" i="6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/>
  <c r="K76" i="6"/>
  <c r="L76" i="6"/>
  <c r="K77" i="6"/>
  <c r="L77" i="6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/>
  <c r="K84" i="6"/>
  <c r="L84" i="6"/>
  <c r="K85" i="6"/>
  <c r="L85" i="6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/>
  <c r="K92" i="6"/>
  <c r="L92" i="6"/>
  <c r="K93" i="6"/>
  <c r="L93" i="6" s="1"/>
  <c r="K94" i="6"/>
  <c r="L94" i="6" s="1"/>
  <c r="K95" i="6"/>
  <c r="L95" i="6"/>
  <c r="K96" i="6"/>
  <c r="L96" i="6"/>
  <c r="K97" i="6"/>
  <c r="L97" i="6" s="1"/>
  <c r="K98" i="6"/>
  <c r="L98" i="6" s="1"/>
  <c r="K99" i="6"/>
  <c r="L99" i="6"/>
  <c r="K100" i="6"/>
  <c r="L100" i="6"/>
  <c r="K101" i="6"/>
  <c r="L101" i="6" s="1"/>
  <c r="K102" i="6"/>
  <c r="L102" i="6" s="1"/>
  <c r="K103" i="6"/>
  <c r="L103" i="6"/>
  <c r="K104" i="6"/>
  <c r="L104" i="6"/>
  <c r="K105" i="6"/>
  <c r="L105" i="6" s="1"/>
  <c r="K106" i="6"/>
  <c r="L106" i="6" s="1"/>
  <c r="K107" i="6"/>
  <c r="L107" i="6"/>
  <c r="K108" i="6"/>
  <c r="L108" i="6"/>
  <c r="K109" i="6"/>
  <c r="L109" i="6" s="1"/>
  <c r="K110" i="6"/>
  <c r="L110" i="6" s="1"/>
  <c r="K111" i="6"/>
  <c r="L111" i="6"/>
  <c r="K112" i="6"/>
  <c r="L112" i="6"/>
  <c r="K113" i="6"/>
  <c r="L113" i="6" s="1"/>
  <c r="K114" i="6"/>
  <c r="L114" i="6" s="1"/>
  <c r="K115" i="6"/>
  <c r="L115" i="6"/>
  <c r="K116" i="6"/>
  <c r="L116" i="6"/>
  <c r="K117" i="6"/>
  <c r="L117" i="6" s="1"/>
  <c r="K118" i="6"/>
  <c r="L118" i="6" s="1"/>
  <c r="K119" i="6"/>
  <c r="L119" i="6"/>
  <c r="K120" i="6"/>
  <c r="L120" i="6"/>
  <c r="K121" i="6"/>
  <c r="L121" i="6" s="1"/>
  <c r="K122" i="6"/>
  <c r="L122" i="6" s="1"/>
  <c r="K123" i="6"/>
  <c r="L123" i="6"/>
  <c r="K124" i="6"/>
  <c r="L124" i="6"/>
  <c r="K125" i="6"/>
  <c r="L125" i="6" s="1"/>
  <c r="K126" i="6"/>
  <c r="L126" i="6" s="1"/>
  <c r="K127" i="6"/>
  <c r="L127" i="6"/>
  <c r="K128" i="6"/>
  <c r="L128" i="6"/>
  <c r="K129" i="6"/>
  <c r="L129" i="6" s="1"/>
  <c r="K130" i="6"/>
  <c r="L130" i="6" s="1"/>
  <c r="K131" i="6"/>
  <c r="L131" i="6"/>
  <c r="K132" i="6"/>
  <c r="L132" i="6"/>
  <c r="K133" i="6"/>
  <c r="L133" i="6" s="1"/>
  <c r="K134" i="6"/>
  <c r="L134" i="6" s="1"/>
  <c r="K135" i="6"/>
  <c r="L135" i="6"/>
  <c r="K136" i="6"/>
  <c r="L136" i="6"/>
  <c r="K137" i="6"/>
  <c r="L137" i="6" s="1"/>
  <c r="K138" i="6"/>
  <c r="L138" i="6" s="1"/>
  <c r="K139" i="6"/>
  <c r="L139" i="6"/>
  <c r="K140" i="6"/>
  <c r="L140" i="6"/>
  <c r="K141" i="6"/>
  <c r="L141" i="6" s="1"/>
  <c r="K142" i="6"/>
  <c r="L142" i="6" s="1"/>
  <c r="K143" i="6"/>
  <c r="L143" i="6"/>
  <c r="K144" i="6"/>
  <c r="L144" i="6"/>
  <c r="K145" i="6"/>
  <c r="L145" i="6" s="1"/>
  <c r="K146" i="6"/>
  <c r="L146" i="6" s="1"/>
  <c r="K147" i="6"/>
  <c r="L147" i="6"/>
  <c r="K148" i="6"/>
  <c r="L148" i="6"/>
  <c r="K149" i="6"/>
  <c r="L149" i="6"/>
  <c r="K150" i="6"/>
  <c r="L150" i="6" s="1"/>
  <c r="K151" i="6"/>
  <c r="L151" i="6" s="1"/>
  <c r="K152" i="6"/>
  <c r="L152" i="6" s="1"/>
  <c r="K153" i="6"/>
  <c r="L153" i="6" s="1"/>
  <c r="K154" i="6"/>
  <c r="L154" i="6" s="1"/>
  <c r="K155" i="6"/>
  <c r="L155" i="6"/>
  <c r="K156" i="6"/>
  <c r="L156" i="6"/>
  <c r="K157" i="6"/>
  <c r="L157" i="6"/>
  <c r="F421" i="5"/>
  <c r="F420" i="5"/>
  <c r="F419" i="5"/>
  <c r="F418" i="5"/>
  <c r="F417" i="5"/>
  <c r="F416" i="5"/>
  <c r="F415" i="5"/>
  <c r="F414" i="5"/>
  <c r="F413" i="5"/>
  <c r="F412" i="5"/>
  <c r="F411" i="5"/>
  <c r="F410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6" i="5" l="1"/>
  <c r="F121" i="5"/>
  <c r="J260" i="5"/>
  <c r="J275" i="5"/>
  <c r="J437" i="5"/>
  <c r="J452" i="5"/>
  <c r="J467" i="5"/>
  <c r="J482" i="5"/>
  <c r="J230" i="5"/>
  <c r="J245" i="5"/>
  <c r="K48" i="6"/>
  <c r="L48" i="6" s="1"/>
  <c r="K47" i="6"/>
  <c r="L47" i="6" s="1"/>
  <c r="K46" i="6"/>
  <c r="L46" i="6" s="1"/>
  <c r="K45" i="6"/>
  <c r="L45" i="6" s="1"/>
  <c r="K44" i="6"/>
  <c r="L44" i="6" s="1"/>
  <c r="K43" i="6"/>
  <c r="L43" i="6" s="1"/>
  <c r="K42" i="6"/>
  <c r="L42" i="6" s="1"/>
  <c r="K41" i="6"/>
  <c r="L41" i="6" s="1"/>
  <c r="K40" i="6"/>
  <c r="L40" i="6" s="1"/>
  <c r="K39" i="6"/>
  <c r="L39" i="6" s="1"/>
  <c r="K38" i="6"/>
  <c r="L38" i="6" s="1"/>
  <c r="K37" i="6"/>
  <c r="L37" i="6" s="1"/>
  <c r="K36" i="6"/>
  <c r="L36" i="6" s="1"/>
  <c r="K35" i="6"/>
  <c r="L35" i="6" s="1"/>
  <c r="K34" i="6"/>
  <c r="L34" i="6" s="1"/>
  <c r="K33" i="6"/>
  <c r="L33" i="6" s="1"/>
  <c r="K32" i="6"/>
  <c r="L32" i="6" s="1"/>
  <c r="K31" i="6"/>
  <c r="L31" i="6" s="1"/>
  <c r="K30" i="6"/>
  <c r="L30" i="6" s="1"/>
  <c r="K29" i="6"/>
  <c r="L29" i="6" s="1"/>
  <c r="K28" i="6"/>
  <c r="L28" i="6" s="1"/>
  <c r="K27" i="6"/>
  <c r="L27" i="6" s="1"/>
  <c r="K26" i="6"/>
  <c r="L26" i="6" s="1"/>
  <c r="K25" i="6"/>
  <c r="L25" i="6" s="1"/>
  <c r="K24" i="6"/>
  <c r="L24" i="6" s="1"/>
  <c r="K23" i="6"/>
  <c r="L23" i="6" s="1"/>
  <c r="K22" i="6"/>
  <c r="L22" i="6" s="1"/>
  <c r="K21" i="6"/>
  <c r="L21" i="6" s="1"/>
  <c r="K20" i="6"/>
  <c r="L20" i="6" s="1"/>
  <c r="K19" i="6"/>
  <c r="L19" i="6" s="1"/>
  <c r="K18" i="6"/>
  <c r="L18" i="6" s="1"/>
  <c r="K17" i="6"/>
  <c r="L17" i="6" s="1"/>
  <c r="K16" i="6"/>
  <c r="L16" i="6" s="1"/>
  <c r="K15" i="6"/>
  <c r="L15" i="6" s="1"/>
  <c r="K14" i="6"/>
  <c r="L14" i="6" s="1"/>
  <c r="K13" i="6"/>
  <c r="L13" i="6" s="1"/>
  <c r="K12" i="6"/>
  <c r="L12" i="6" s="1"/>
  <c r="K11" i="6"/>
  <c r="L11" i="6" s="1"/>
  <c r="K10" i="6"/>
  <c r="L10" i="6" s="1"/>
  <c r="K9" i="6"/>
  <c r="L9" i="6" s="1"/>
  <c r="K8" i="6"/>
  <c r="L8" i="6" s="1"/>
  <c r="K7" i="6"/>
  <c r="L7" i="6" s="1"/>
  <c r="K6" i="6"/>
  <c r="L6" i="6" s="1"/>
  <c r="K5" i="6"/>
  <c r="L5" i="6" s="1"/>
  <c r="K4" i="6"/>
  <c r="L4" i="6" s="1"/>
  <c r="K3" i="6"/>
  <c r="L3" i="6" s="1"/>
  <c r="K2" i="6"/>
  <c r="L2" i="6" s="1"/>
  <c r="J493" i="5" l="1"/>
  <c r="G493" i="5"/>
  <c r="D493" i="5"/>
  <c r="J478" i="5"/>
  <c r="G478" i="5"/>
  <c r="D478" i="5"/>
  <c r="J463" i="5"/>
  <c r="G463" i="5"/>
  <c r="D463" i="5"/>
  <c r="J448" i="5"/>
  <c r="G448" i="5"/>
  <c r="D448" i="5"/>
  <c r="J286" i="5"/>
  <c r="J271" i="5"/>
  <c r="F271" i="5"/>
  <c r="J256" i="5"/>
  <c r="F256" i="5"/>
  <c r="D256" i="5"/>
  <c r="F69" i="5"/>
  <c r="D69" i="5"/>
  <c r="F54" i="5"/>
  <c r="D54" i="5"/>
  <c r="E463" i="5" s="1"/>
  <c r="F39" i="5"/>
  <c r="D39" i="5"/>
  <c r="E448" i="5" s="1"/>
  <c r="J241" i="5"/>
  <c r="F241" i="5"/>
  <c r="F219" i="5"/>
  <c r="D219" i="5"/>
  <c r="E627" i="5" s="1"/>
  <c r="F204" i="5"/>
  <c r="D204" i="5"/>
  <c r="E612" i="5" s="1"/>
  <c r="F189" i="5"/>
  <c r="D189" i="5"/>
  <c r="E597" i="5" s="1"/>
  <c r="F174" i="5"/>
  <c r="D174" i="5"/>
  <c r="E582" i="5" s="1"/>
  <c r="F159" i="5"/>
  <c r="D159" i="5"/>
  <c r="E567" i="5" s="1"/>
  <c r="F144" i="5"/>
  <c r="D144" i="5"/>
  <c r="E553" i="5" s="1"/>
  <c r="F129" i="5"/>
  <c r="D129" i="5"/>
  <c r="E538" i="5" s="1"/>
  <c r="F114" i="5"/>
  <c r="D114" i="5"/>
  <c r="E523" i="5" s="1"/>
  <c r="F99" i="5"/>
  <c r="D99" i="5"/>
  <c r="E508" i="5" s="1"/>
  <c r="F84" i="5"/>
  <c r="D84" i="5"/>
  <c r="E493" i="5" s="1"/>
  <c r="G492" i="5"/>
  <c r="G491" i="5"/>
  <c r="G490" i="5"/>
  <c r="G489" i="5"/>
  <c r="G488" i="5"/>
  <c r="G487" i="5"/>
  <c r="G486" i="5"/>
  <c r="G485" i="5"/>
  <c r="G484" i="5"/>
  <c r="G483" i="5"/>
  <c r="G482" i="5"/>
  <c r="G477" i="5"/>
  <c r="G476" i="5"/>
  <c r="G475" i="5"/>
  <c r="G474" i="5"/>
  <c r="G473" i="5"/>
  <c r="G472" i="5"/>
  <c r="G471" i="5"/>
  <c r="G470" i="5"/>
  <c r="G469" i="5"/>
  <c r="G468" i="5"/>
  <c r="G467" i="5"/>
  <c r="G462" i="5"/>
  <c r="G461" i="5"/>
  <c r="G460" i="5"/>
  <c r="G459" i="5"/>
  <c r="G458" i="5"/>
  <c r="G457" i="5"/>
  <c r="G456" i="5"/>
  <c r="G455" i="5"/>
  <c r="G454" i="5"/>
  <c r="G453" i="5"/>
  <c r="G452" i="5"/>
  <c r="G447" i="5"/>
  <c r="G446" i="5"/>
  <c r="G445" i="5"/>
  <c r="G444" i="5"/>
  <c r="G443" i="5"/>
  <c r="G442" i="5"/>
  <c r="G441" i="5"/>
  <c r="G440" i="5"/>
  <c r="G439" i="5"/>
  <c r="G438" i="5"/>
  <c r="G437" i="5"/>
  <c r="D492" i="5"/>
  <c r="D491" i="5"/>
  <c r="D490" i="5"/>
  <c r="D489" i="5"/>
  <c r="D488" i="5"/>
  <c r="D487" i="5"/>
  <c r="D486" i="5"/>
  <c r="D485" i="5"/>
  <c r="D484" i="5"/>
  <c r="D483" i="5"/>
  <c r="D482" i="5"/>
  <c r="D477" i="5"/>
  <c r="D476" i="5"/>
  <c r="D475" i="5"/>
  <c r="D474" i="5"/>
  <c r="D473" i="5"/>
  <c r="D472" i="5"/>
  <c r="D471" i="5"/>
  <c r="D470" i="5"/>
  <c r="D469" i="5"/>
  <c r="D468" i="5"/>
  <c r="D467" i="5"/>
  <c r="D462" i="5"/>
  <c r="D461" i="5"/>
  <c r="D460" i="5"/>
  <c r="D459" i="5"/>
  <c r="D458" i="5"/>
  <c r="D457" i="5"/>
  <c r="D456" i="5"/>
  <c r="D455" i="5"/>
  <c r="D454" i="5"/>
  <c r="D453" i="5"/>
  <c r="D452" i="5"/>
  <c r="D447" i="5"/>
  <c r="D446" i="5"/>
  <c r="D445" i="5"/>
  <c r="D444" i="5"/>
  <c r="D443" i="5"/>
  <c r="D442" i="5"/>
  <c r="D441" i="5"/>
  <c r="D440" i="5"/>
  <c r="D439" i="5"/>
  <c r="D438" i="5"/>
  <c r="D437" i="5"/>
  <c r="F28" i="5"/>
  <c r="D230" i="5"/>
  <c r="F285" i="5"/>
  <c r="F284" i="5"/>
  <c r="F283" i="5"/>
  <c r="F282" i="5"/>
  <c r="F281" i="5"/>
  <c r="F280" i="5"/>
  <c r="F279" i="5"/>
  <c r="F278" i="5"/>
  <c r="F277" i="5"/>
  <c r="F276" i="5"/>
  <c r="F275" i="5"/>
  <c r="F270" i="5"/>
  <c r="F269" i="5"/>
  <c r="F268" i="5"/>
  <c r="F267" i="5"/>
  <c r="F266" i="5"/>
  <c r="F265" i="5"/>
  <c r="F264" i="5"/>
  <c r="F263" i="5"/>
  <c r="F262" i="5"/>
  <c r="F261" i="5"/>
  <c r="F260" i="5"/>
  <c r="F255" i="5"/>
  <c r="F254" i="5"/>
  <c r="F253" i="5"/>
  <c r="F252" i="5"/>
  <c r="F251" i="5"/>
  <c r="F250" i="5"/>
  <c r="F249" i="5"/>
  <c r="F248" i="5"/>
  <c r="F247" i="5"/>
  <c r="F246" i="5"/>
  <c r="F245" i="5"/>
  <c r="F240" i="5"/>
  <c r="F239" i="5"/>
  <c r="F238" i="5"/>
  <c r="F237" i="5"/>
  <c r="F236" i="5"/>
  <c r="F235" i="5"/>
  <c r="F234" i="5"/>
  <c r="F233" i="5"/>
  <c r="F232" i="5"/>
  <c r="F231" i="5"/>
  <c r="F230" i="5"/>
  <c r="E230" i="5"/>
  <c r="D231" i="5"/>
  <c r="D232" i="5"/>
  <c r="D233" i="5"/>
  <c r="D234" i="5"/>
  <c r="D235" i="5"/>
  <c r="D236" i="5"/>
  <c r="D237" i="5"/>
  <c r="D238" i="5"/>
  <c r="D239" i="5"/>
  <c r="D240" i="5"/>
  <c r="D241" i="5"/>
  <c r="F209" i="5"/>
  <c r="F210" i="5"/>
  <c r="F211" i="5"/>
  <c r="F212" i="5"/>
  <c r="F213" i="5"/>
  <c r="F214" i="5"/>
  <c r="F215" i="5"/>
  <c r="F216" i="5"/>
  <c r="F217" i="5"/>
  <c r="F218" i="5"/>
  <c r="F208" i="5"/>
  <c r="F194" i="5"/>
  <c r="F195" i="5"/>
  <c r="F196" i="5"/>
  <c r="F197" i="5"/>
  <c r="F198" i="5"/>
  <c r="F199" i="5"/>
  <c r="F200" i="5"/>
  <c r="F201" i="5"/>
  <c r="F202" i="5"/>
  <c r="F203" i="5"/>
  <c r="F193" i="5"/>
  <c r="F179" i="5"/>
  <c r="F180" i="5"/>
  <c r="F181" i="5"/>
  <c r="F182" i="5"/>
  <c r="F183" i="5"/>
  <c r="F184" i="5"/>
  <c r="F185" i="5"/>
  <c r="F186" i="5"/>
  <c r="F187" i="5"/>
  <c r="F188" i="5"/>
  <c r="F178" i="5"/>
  <c r="F164" i="5"/>
  <c r="F165" i="5"/>
  <c r="F166" i="5"/>
  <c r="F167" i="5"/>
  <c r="F168" i="5"/>
  <c r="F169" i="5"/>
  <c r="F170" i="5"/>
  <c r="F171" i="5"/>
  <c r="F172" i="5"/>
  <c r="F173" i="5"/>
  <c r="F163" i="5"/>
  <c r="F149" i="5"/>
  <c r="F150" i="5"/>
  <c r="F151" i="5"/>
  <c r="F152" i="5"/>
  <c r="F153" i="5"/>
  <c r="F154" i="5"/>
  <c r="F155" i="5"/>
  <c r="F156" i="5"/>
  <c r="F157" i="5"/>
  <c r="F158" i="5"/>
  <c r="F148" i="5"/>
  <c r="F134" i="5"/>
  <c r="F135" i="5"/>
  <c r="F136" i="5"/>
  <c r="F137" i="5"/>
  <c r="F138" i="5"/>
  <c r="F139" i="5"/>
  <c r="F140" i="5"/>
  <c r="F141" i="5"/>
  <c r="F142" i="5"/>
  <c r="F143" i="5"/>
  <c r="F133" i="5"/>
  <c r="F119" i="5"/>
  <c r="F120" i="5"/>
  <c r="F122" i="5"/>
  <c r="F123" i="5"/>
  <c r="F124" i="5"/>
  <c r="F125" i="5"/>
  <c r="F126" i="5"/>
  <c r="F127" i="5"/>
  <c r="F128" i="5"/>
  <c r="F118" i="5"/>
  <c r="F104" i="5"/>
  <c r="F105" i="5"/>
  <c r="F106" i="5"/>
  <c r="F107" i="5"/>
  <c r="F108" i="5"/>
  <c r="F109" i="5"/>
  <c r="F110" i="5"/>
  <c r="F111" i="5"/>
  <c r="F112" i="5"/>
  <c r="F113" i="5"/>
  <c r="F103" i="5"/>
  <c r="D209" i="5"/>
  <c r="E617" i="5" s="1"/>
  <c r="D210" i="5"/>
  <c r="E618" i="5" s="1"/>
  <c r="D211" i="5"/>
  <c r="E619" i="5" s="1"/>
  <c r="D212" i="5"/>
  <c r="E620" i="5" s="1"/>
  <c r="D213" i="5"/>
  <c r="E621" i="5" s="1"/>
  <c r="D214" i="5"/>
  <c r="E622" i="5" s="1"/>
  <c r="D215" i="5"/>
  <c r="E623" i="5" s="1"/>
  <c r="D216" i="5"/>
  <c r="E624" i="5" s="1"/>
  <c r="D217" i="5"/>
  <c r="E625" i="5" s="1"/>
  <c r="D218" i="5"/>
  <c r="E626" i="5" s="1"/>
  <c r="D208" i="5"/>
  <c r="E616" i="5" s="1"/>
  <c r="D194" i="5"/>
  <c r="E602" i="5" s="1"/>
  <c r="D195" i="5"/>
  <c r="E603" i="5" s="1"/>
  <c r="D196" i="5"/>
  <c r="E604" i="5" s="1"/>
  <c r="D197" i="5"/>
  <c r="E605" i="5" s="1"/>
  <c r="D198" i="5"/>
  <c r="E606" i="5" s="1"/>
  <c r="D199" i="5"/>
  <c r="E607" i="5" s="1"/>
  <c r="D200" i="5"/>
  <c r="E608" i="5" s="1"/>
  <c r="D201" i="5"/>
  <c r="E609" i="5" s="1"/>
  <c r="D202" i="5"/>
  <c r="E610" i="5" s="1"/>
  <c r="D203" i="5"/>
  <c r="E611" i="5" s="1"/>
  <c r="D193" i="5"/>
  <c r="E601" i="5" s="1"/>
  <c r="D179" i="5"/>
  <c r="E587" i="5" s="1"/>
  <c r="D180" i="5"/>
  <c r="E588" i="5" s="1"/>
  <c r="D181" i="5"/>
  <c r="E589" i="5" s="1"/>
  <c r="D182" i="5"/>
  <c r="E590" i="5" s="1"/>
  <c r="D183" i="5"/>
  <c r="E591" i="5" s="1"/>
  <c r="D184" i="5"/>
  <c r="E592" i="5" s="1"/>
  <c r="D185" i="5"/>
  <c r="E593" i="5" s="1"/>
  <c r="D186" i="5"/>
  <c r="E594" i="5" s="1"/>
  <c r="D187" i="5"/>
  <c r="E595" i="5" s="1"/>
  <c r="D188" i="5"/>
  <c r="E596" i="5" s="1"/>
  <c r="D178" i="5"/>
  <c r="E586" i="5" s="1"/>
  <c r="D164" i="5"/>
  <c r="E572" i="5" s="1"/>
  <c r="D165" i="5"/>
  <c r="E573" i="5" s="1"/>
  <c r="D166" i="5"/>
  <c r="E574" i="5" s="1"/>
  <c r="D167" i="5"/>
  <c r="E575" i="5" s="1"/>
  <c r="D168" i="5"/>
  <c r="E576" i="5" s="1"/>
  <c r="D169" i="5"/>
  <c r="E577" i="5" s="1"/>
  <c r="D170" i="5"/>
  <c r="E578" i="5" s="1"/>
  <c r="D171" i="5"/>
  <c r="E579" i="5" s="1"/>
  <c r="D172" i="5"/>
  <c r="E580" i="5" s="1"/>
  <c r="D173" i="5"/>
  <c r="E581" i="5" s="1"/>
  <c r="D163" i="5"/>
  <c r="E571" i="5" s="1"/>
  <c r="D149" i="5"/>
  <c r="E557" i="5" s="1"/>
  <c r="D150" i="5"/>
  <c r="E558" i="5" s="1"/>
  <c r="D151" i="5"/>
  <c r="E559" i="5" s="1"/>
  <c r="D152" i="5"/>
  <c r="E560" i="5" s="1"/>
  <c r="D153" i="5"/>
  <c r="E561" i="5" s="1"/>
  <c r="D154" i="5"/>
  <c r="E562" i="5" s="1"/>
  <c r="D155" i="5"/>
  <c r="E563" i="5" s="1"/>
  <c r="D156" i="5"/>
  <c r="E564" i="5" s="1"/>
  <c r="D157" i="5"/>
  <c r="E565" i="5" s="1"/>
  <c r="D158" i="5"/>
  <c r="E566" i="5" s="1"/>
  <c r="D148" i="5"/>
  <c r="E556" i="5" s="1"/>
  <c r="D134" i="5"/>
  <c r="E543" i="5" s="1"/>
  <c r="D135" i="5"/>
  <c r="E544" i="5" s="1"/>
  <c r="D136" i="5"/>
  <c r="E545" i="5" s="1"/>
  <c r="D137" i="5"/>
  <c r="E546" i="5" s="1"/>
  <c r="D138" i="5"/>
  <c r="E547" i="5" s="1"/>
  <c r="D139" i="5"/>
  <c r="E548" i="5" s="1"/>
  <c r="D140" i="5"/>
  <c r="E549" i="5" s="1"/>
  <c r="D141" i="5"/>
  <c r="E550" i="5" s="1"/>
  <c r="D142" i="5"/>
  <c r="E551" i="5" s="1"/>
  <c r="D143" i="5"/>
  <c r="E552" i="5" s="1"/>
  <c r="D133" i="5"/>
  <c r="E542" i="5" s="1"/>
  <c r="D119" i="5"/>
  <c r="E528" i="5" s="1"/>
  <c r="D120" i="5"/>
  <c r="E529" i="5" s="1"/>
  <c r="D121" i="5"/>
  <c r="E530" i="5" s="1"/>
  <c r="D122" i="5"/>
  <c r="E531" i="5" s="1"/>
  <c r="D123" i="5"/>
  <c r="E532" i="5" s="1"/>
  <c r="D124" i="5"/>
  <c r="E533" i="5" s="1"/>
  <c r="D125" i="5"/>
  <c r="E534" i="5" s="1"/>
  <c r="D126" i="5"/>
  <c r="E535" i="5" s="1"/>
  <c r="D127" i="5"/>
  <c r="E536" i="5" s="1"/>
  <c r="D128" i="5"/>
  <c r="E537" i="5" s="1"/>
  <c r="D118" i="5"/>
  <c r="E527" i="5" s="1"/>
  <c r="D104" i="5"/>
  <c r="E513" i="5" s="1"/>
  <c r="D105" i="5"/>
  <c r="E514" i="5" s="1"/>
  <c r="D106" i="5"/>
  <c r="E515" i="5" s="1"/>
  <c r="D107" i="5"/>
  <c r="E516" i="5" s="1"/>
  <c r="D108" i="5"/>
  <c r="E517" i="5" s="1"/>
  <c r="D109" i="5"/>
  <c r="E518" i="5" s="1"/>
  <c r="D110" i="5"/>
  <c r="E519" i="5" s="1"/>
  <c r="D111" i="5"/>
  <c r="E520" i="5" s="1"/>
  <c r="D112" i="5"/>
  <c r="E521" i="5" s="1"/>
  <c r="D113" i="5"/>
  <c r="E522" i="5" s="1"/>
  <c r="D103" i="5"/>
  <c r="E512" i="5" s="1"/>
  <c r="D28" i="5"/>
  <c r="I214" i="5" l="1"/>
  <c r="I183" i="5"/>
  <c r="I84" i="5"/>
  <c r="H286" i="5" s="1"/>
  <c r="H493" i="5" s="1"/>
  <c r="I493" i="5" s="1"/>
  <c r="K493" i="5" s="1"/>
  <c r="I129" i="5"/>
  <c r="I174" i="5"/>
  <c r="I204" i="5"/>
  <c r="I69" i="5"/>
  <c r="H271" i="5" s="1"/>
  <c r="H478" i="5" s="1"/>
  <c r="I114" i="5"/>
  <c r="H316" i="5" s="1"/>
  <c r="H523" i="5" s="1"/>
  <c r="I523" i="5" s="1"/>
  <c r="I144" i="5"/>
  <c r="I215" i="5"/>
  <c r="I159" i="5"/>
  <c r="I99" i="5"/>
  <c r="H301" i="5" s="1"/>
  <c r="I189" i="5"/>
  <c r="I219" i="5"/>
  <c r="I39" i="5"/>
  <c r="H241" i="5" s="1"/>
  <c r="H448" i="5" s="1"/>
  <c r="I448" i="5" s="1"/>
  <c r="K448" i="5" s="1"/>
  <c r="I54" i="5"/>
  <c r="H256" i="5" s="1"/>
  <c r="H463" i="5" s="1"/>
  <c r="I463" i="5" s="1"/>
  <c r="K463" i="5" s="1"/>
  <c r="E478" i="5"/>
  <c r="I211" i="5"/>
  <c r="I212" i="5"/>
  <c r="I138" i="5"/>
  <c r="I166" i="5"/>
  <c r="I168" i="5"/>
  <c r="I167" i="5"/>
  <c r="I213" i="5"/>
  <c r="I184" i="5"/>
  <c r="I216" i="5"/>
  <c r="I200" i="5"/>
  <c r="I199" i="5"/>
  <c r="I198" i="5"/>
  <c r="I197" i="5"/>
  <c r="I182" i="5"/>
  <c r="I180" i="5"/>
  <c r="I142" i="5"/>
  <c r="L523" i="5" l="1"/>
  <c r="K523" i="5"/>
  <c r="I301" i="5"/>
  <c r="H508" i="5"/>
  <c r="I508" i="5" s="1"/>
  <c r="H382" i="5"/>
  <c r="H588" i="5" s="1"/>
  <c r="I588" i="5" s="1"/>
  <c r="H340" i="5"/>
  <c r="H547" i="5" s="1"/>
  <c r="I547" i="5" s="1"/>
  <c r="I316" i="5"/>
  <c r="K316" i="5" s="1"/>
  <c r="H331" i="5"/>
  <c r="H538" i="5" s="1"/>
  <c r="I538" i="5" s="1"/>
  <c r="H384" i="5"/>
  <c r="H402" i="5"/>
  <c r="H369" i="5"/>
  <c r="H399" i="5"/>
  <c r="H605" i="5" s="1"/>
  <c r="I605" i="5" s="1"/>
  <c r="H370" i="5"/>
  <c r="H406" i="5"/>
  <c r="H612" i="5" s="1"/>
  <c r="I612" i="5" s="1"/>
  <c r="H385" i="5"/>
  <c r="H401" i="5"/>
  <c r="H607" i="5" s="1"/>
  <c r="I607" i="5" s="1"/>
  <c r="H361" i="5"/>
  <c r="H344" i="5"/>
  <c r="H551" i="5" s="1"/>
  <c r="I551" i="5" s="1"/>
  <c r="H400" i="5"/>
  <c r="H386" i="5"/>
  <c r="H368" i="5"/>
  <c r="H574" i="5" s="1"/>
  <c r="I574" i="5" s="1"/>
  <c r="H391" i="5"/>
  <c r="H346" i="5"/>
  <c r="H376" i="5"/>
  <c r="H414" i="5"/>
  <c r="H415" i="5"/>
  <c r="H418" i="5"/>
  <c r="H624" i="5" s="1"/>
  <c r="I624" i="5" s="1"/>
  <c r="H413" i="5"/>
  <c r="I406" i="5"/>
  <c r="K406" i="5" s="1"/>
  <c r="H421" i="5"/>
  <c r="H627" i="5" s="1"/>
  <c r="I627" i="5" s="1"/>
  <c r="H417" i="5"/>
  <c r="H623" i="5" s="1"/>
  <c r="I623" i="5" s="1"/>
  <c r="H416" i="5"/>
  <c r="L316" i="5"/>
  <c r="L406" i="5"/>
  <c r="I478" i="5"/>
  <c r="K478" i="5" s="1"/>
  <c r="L463" i="5"/>
  <c r="L448" i="5"/>
  <c r="I256" i="5"/>
  <c r="L493" i="5"/>
  <c r="I241" i="5"/>
  <c r="I185" i="5"/>
  <c r="I181" i="5"/>
  <c r="I186" i="5"/>
  <c r="I165" i="5"/>
  <c r="I149" i="5"/>
  <c r="I151" i="5"/>
  <c r="I136" i="5"/>
  <c r="I125" i="5"/>
  <c r="I110" i="5"/>
  <c r="H312" i="5" s="1"/>
  <c r="H519" i="5" s="1"/>
  <c r="I519" i="5" s="1"/>
  <c r="I210" i="5"/>
  <c r="I179" i="5"/>
  <c r="I196" i="5"/>
  <c r="I106" i="5"/>
  <c r="H308" i="5" s="1"/>
  <c r="H515" i="5" s="1"/>
  <c r="I515" i="5" s="1"/>
  <c r="I169" i="5"/>
  <c r="I171" i="5"/>
  <c r="I178" i="5"/>
  <c r="I187" i="5"/>
  <c r="I194" i="5"/>
  <c r="I201" i="5"/>
  <c r="I203" i="5"/>
  <c r="I208" i="5"/>
  <c r="I217" i="5"/>
  <c r="I188" i="5"/>
  <c r="I193" i="5"/>
  <c r="I195" i="5"/>
  <c r="I202" i="5"/>
  <c r="I209" i="5"/>
  <c r="I218" i="5"/>
  <c r="I103" i="5"/>
  <c r="H305" i="5" s="1"/>
  <c r="H512" i="5" s="1"/>
  <c r="I512" i="5" s="1"/>
  <c r="I107" i="5"/>
  <c r="H309" i="5" s="1"/>
  <c r="H516" i="5" s="1"/>
  <c r="I516" i="5" s="1"/>
  <c r="I109" i="5"/>
  <c r="H311" i="5" s="1"/>
  <c r="H518" i="5" s="1"/>
  <c r="I518" i="5" s="1"/>
  <c r="I119" i="5"/>
  <c r="I121" i="5"/>
  <c r="I127" i="5"/>
  <c r="I155" i="5"/>
  <c r="I133" i="5"/>
  <c r="I135" i="5"/>
  <c r="I137" i="5"/>
  <c r="I139" i="5"/>
  <c r="I141" i="5"/>
  <c r="I172" i="5"/>
  <c r="I108" i="5"/>
  <c r="H310" i="5" s="1"/>
  <c r="H517" i="5" s="1"/>
  <c r="I517" i="5" s="1"/>
  <c r="I118" i="5"/>
  <c r="H320" i="5" s="1"/>
  <c r="H527" i="5" s="1"/>
  <c r="I527" i="5" s="1"/>
  <c r="I120" i="5"/>
  <c r="I122" i="5"/>
  <c r="I124" i="5"/>
  <c r="I126" i="5"/>
  <c r="I128" i="5"/>
  <c r="I134" i="5"/>
  <c r="I156" i="5"/>
  <c r="I158" i="5"/>
  <c r="I163" i="5"/>
  <c r="I105" i="5"/>
  <c r="H307" i="5" s="1"/>
  <c r="H514" i="5" s="1"/>
  <c r="I514" i="5" s="1"/>
  <c r="I153" i="5"/>
  <c r="I104" i="5"/>
  <c r="H306" i="5" s="1"/>
  <c r="H513" i="5" s="1"/>
  <c r="I513" i="5" s="1"/>
  <c r="I111" i="5"/>
  <c r="H313" i="5" s="1"/>
  <c r="H520" i="5" s="1"/>
  <c r="I520" i="5" s="1"/>
  <c r="I113" i="5"/>
  <c r="H315" i="5" s="1"/>
  <c r="H522" i="5" s="1"/>
  <c r="I522" i="5" s="1"/>
  <c r="I123" i="5"/>
  <c r="I143" i="5"/>
  <c r="I148" i="5"/>
  <c r="I150" i="5"/>
  <c r="I157" i="5"/>
  <c r="I164" i="5"/>
  <c r="I173" i="5"/>
  <c r="I140" i="5"/>
  <c r="I152" i="5"/>
  <c r="I154" i="5"/>
  <c r="I170" i="5"/>
  <c r="I112" i="5"/>
  <c r="H314" i="5" s="1"/>
  <c r="H521" i="5" s="1"/>
  <c r="I521" i="5" s="1"/>
  <c r="J276" i="5"/>
  <c r="J277" i="5"/>
  <c r="J278" i="5"/>
  <c r="J279" i="5"/>
  <c r="J280" i="5"/>
  <c r="J281" i="5"/>
  <c r="J282" i="5"/>
  <c r="J283" i="5"/>
  <c r="J284" i="5"/>
  <c r="J285" i="5"/>
  <c r="J261" i="5"/>
  <c r="J262" i="5"/>
  <c r="J263" i="5"/>
  <c r="J264" i="5"/>
  <c r="J265" i="5"/>
  <c r="J266" i="5"/>
  <c r="J267" i="5"/>
  <c r="J268" i="5"/>
  <c r="J269" i="5"/>
  <c r="J270" i="5"/>
  <c r="J246" i="5"/>
  <c r="J247" i="5"/>
  <c r="J248" i="5"/>
  <c r="J249" i="5"/>
  <c r="J250" i="5"/>
  <c r="J251" i="5"/>
  <c r="J252" i="5"/>
  <c r="J253" i="5"/>
  <c r="J254" i="5"/>
  <c r="J255" i="5"/>
  <c r="J231" i="5"/>
  <c r="J232" i="5"/>
  <c r="J233" i="5"/>
  <c r="J234" i="5"/>
  <c r="J235" i="5"/>
  <c r="J236" i="5"/>
  <c r="J237" i="5"/>
  <c r="J238" i="5"/>
  <c r="J239" i="5"/>
  <c r="J240" i="5"/>
  <c r="D276" i="5"/>
  <c r="D277" i="5"/>
  <c r="D278" i="5"/>
  <c r="D279" i="5"/>
  <c r="D280" i="5"/>
  <c r="D281" i="5"/>
  <c r="D282" i="5"/>
  <c r="D283" i="5"/>
  <c r="D284" i="5"/>
  <c r="D285" i="5"/>
  <c r="D286" i="5"/>
  <c r="I286" i="5" s="1"/>
  <c r="D261" i="5"/>
  <c r="D262" i="5"/>
  <c r="D263" i="5"/>
  <c r="D264" i="5"/>
  <c r="D265" i="5"/>
  <c r="D266" i="5"/>
  <c r="D267" i="5"/>
  <c r="D268" i="5"/>
  <c r="D269" i="5"/>
  <c r="D270" i="5"/>
  <c r="D271" i="5"/>
  <c r="I271" i="5" s="1"/>
  <c r="D246" i="5"/>
  <c r="D247" i="5"/>
  <c r="D248" i="5"/>
  <c r="D249" i="5"/>
  <c r="D250" i="5"/>
  <c r="D251" i="5"/>
  <c r="D252" i="5"/>
  <c r="D253" i="5"/>
  <c r="D254" i="5"/>
  <c r="D255" i="5"/>
  <c r="L607" i="5" l="1"/>
  <c r="K607" i="5"/>
  <c r="K538" i="5"/>
  <c r="L538" i="5"/>
  <c r="L514" i="5"/>
  <c r="K514" i="5"/>
  <c r="L512" i="5"/>
  <c r="K512" i="5"/>
  <c r="L515" i="5"/>
  <c r="K515" i="5"/>
  <c r="L519" i="5"/>
  <c r="K519" i="5"/>
  <c r="I416" i="5"/>
  <c r="K416" i="5" s="1"/>
  <c r="H622" i="5"/>
  <c r="I622" i="5" s="1"/>
  <c r="I414" i="5"/>
  <c r="H620" i="5"/>
  <c r="I620" i="5" s="1"/>
  <c r="I331" i="5"/>
  <c r="I400" i="5"/>
  <c r="K400" i="5" s="1"/>
  <c r="H606" i="5"/>
  <c r="I606" i="5" s="1"/>
  <c r="I385" i="5"/>
  <c r="K385" i="5" s="1"/>
  <c r="H591" i="5"/>
  <c r="I591" i="5" s="1"/>
  <c r="I369" i="5"/>
  <c r="K369" i="5" s="1"/>
  <c r="H575" i="5"/>
  <c r="I575" i="5" s="1"/>
  <c r="K516" i="5"/>
  <c r="L516" i="5"/>
  <c r="I346" i="5"/>
  <c r="K346" i="5" s="1"/>
  <c r="H553" i="5"/>
  <c r="I553" i="5" s="1"/>
  <c r="L605" i="5"/>
  <c r="K605" i="5"/>
  <c r="L521" i="5"/>
  <c r="K521" i="5"/>
  <c r="L520" i="5"/>
  <c r="K520" i="5"/>
  <c r="I401" i="5"/>
  <c r="L401" i="5" s="1"/>
  <c r="I413" i="5"/>
  <c r="H619" i="5"/>
  <c r="I619" i="5" s="1"/>
  <c r="I399" i="5"/>
  <c r="I391" i="5"/>
  <c r="L391" i="5" s="1"/>
  <c r="H597" i="5"/>
  <c r="I597" i="5" s="1"/>
  <c r="K551" i="5"/>
  <c r="L551" i="5"/>
  <c r="L612" i="5"/>
  <c r="K612" i="5"/>
  <c r="I402" i="5"/>
  <c r="L402" i="5" s="1"/>
  <c r="H608" i="5"/>
  <c r="I608" i="5" s="1"/>
  <c r="K547" i="5"/>
  <c r="L547" i="5"/>
  <c r="L517" i="5"/>
  <c r="K517" i="5"/>
  <c r="L627" i="5"/>
  <c r="K627" i="5"/>
  <c r="I415" i="5"/>
  <c r="K415" i="5" s="1"/>
  <c r="H621" i="5"/>
  <c r="I621" i="5" s="1"/>
  <c r="I386" i="5"/>
  <c r="L386" i="5" s="1"/>
  <c r="H592" i="5"/>
  <c r="I592" i="5" s="1"/>
  <c r="L508" i="5"/>
  <c r="K508" i="5"/>
  <c r="L522" i="5"/>
  <c r="K522" i="5"/>
  <c r="L513" i="5"/>
  <c r="K513" i="5"/>
  <c r="K527" i="5"/>
  <c r="L527" i="5"/>
  <c r="L518" i="5"/>
  <c r="K518" i="5"/>
  <c r="L623" i="5"/>
  <c r="K623" i="5"/>
  <c r="L624" i="5"/>
  <c r="K624" i="5"/>
  <c r="I376" i="5"/>
  <c r="K376" i="5" s="1"/>
  <c r="H582" i="5"/>
  <c r="I582" i="5" s="1"/>
  <c r="K574" i="5"/>
  <c r="L574" i="5"/>
  <c r="I361" i="5"/>
  <c r="K361" i="5" s="1"/>
  <c r="H567" i="5"/>
  <c r="I567" i="5" s="1"/>
  <c r="I370" i="5"/>
  <c r="L370" i="5" s="1"/>
  <c r="H576" i="5"/>
  <c r="I576" i="5" s="1"/>
  <c r="I384" i="5"/>
  <c r="K384" i="5" s="1"/>
  <c r="H590" i="5"/>
  <c r="I590" i="5" s="1"/>
  <c r="L588" i="5"/>
  <c r="K588" i="5"/>
  <c r="K401" i="5"/>
  <c r="K386" i="5"/>
  <c r="L369" i="5"/>
  <c r="L376" i="5"/>
  <c r="L384" i="5"/>
  <c r="H354" i="5"/>
  <c r="I344" i="5"/>
  <c r="K344" i="5" s="1"/>
  <c r="H359" i="5"/>
  <c r="I310" i="5"/>
  <c r="K310" i="5" s="1"/>
  <c r="H325" i="5"/>
  <c r="I340" i="5"/>
  <c r="L340" i="5" s="1"/>
  <c r="H355" i="5"/>
  <c r="H358" i="5"/>
  <c r="I311" i="5"/>
  <c r="L311" i="5" s="1"/>
  <c r="H326" i="5"/>
  <c r="H533" i="5" s="1"/>
  <c r="I533" i="5" s="1"/>
  <c r="H339" i="5"/>
  <c r="I314" i="5"/>
  <c r="K314" i="5" s="1"/>
  <c r="H329" i="5"/>
  <c r="H404" i="5"/>
  <c r="H396" i="5"/>
  <c r="H371" i="5"/>
  <c r="H353" i="5"/>
  <c r="I368" i="5"/>
  <c r="K368" i="5" s="1"/>
  <c r="H383" i="5"/>
  <c r="H342" i="5"/>
  <c r="H352" i="5"/>
  <c r="H336" i="5"/>
  <c r="H543" i="5" s="1"/>
  <c r="I543" i="5" s="1"/>
  <c r="I309" i="5"/>
  <c r="L309" i="5" s="1"/>
  <c r="H324" i="5"/>
  <c r="H374" i="5"/>
  <c r="H337" i="5"/>
  <c r="I308" i="5"/>
  <c r="H323" i="5"/>
  <c r="H530" i="5" s="1"/>
  <c r="I530" i="5" s="1"/>
  <c r="I382" i="5"/>
  <c r="L382" i="5" s="1"/>
  <c r="H397" i="5"/>
  <c r="H389" i="5"/>
  <c r="H595" i="5" s="1"/>
  <c r="I595" i="5" s="1"/>
  <c r="H351" i="5"/>
  <c r="H387" i="5"/>
  <c r="H372" i="5"/>
  <c r="H375" i="5"/>
  <c r="H581" i="5" s="1"/>
  <c r="I581" i="5" s="1"/>
  <c r="H350" i="5"/>
  <c r="H365" i="5"/>
  <c r="I315" i="5"/>
  <c r="L315" i="5" s="1"/>
  <c r="H330" i="5"/>
  <c r="I307" i="5"/>
  <c r="K307" i="5" s="1"/>
  <c r="H322" i="5"/>
  <c r="H529" i="5" s="1"/>
  <c r="I529" i="5" s="1"/>
  <c r="H343" i="5"/>
  <c r="I320" i="5"/>
  <c r="L320" i="5" s="1"/>
  <c r="H335" i="5"/>
  <c r="H542" i="5" s="1"/>
  <c r="I542" i="5" s="1"/>
  <c r="I306" i="5"/>
  <c r="L306" i="5" s="1"/>
  <c r="H321" i="5"/>
  <c r="H395" i="5"/>
  <c r="H601" i="5" s="1"/>
  <c r="I601" i="5" s="1"/>
  <c r="H405" i="5"/>
  <c r="H380" i="5"/>
  <c r="H398" i="5"/>
  <c r="I312" i="5"/>
  <c r="K312" i="5" s="1"/>
  <c r="H327" i="5"/>
  <c r="H367" i="5"/>
  <c r="H356" i="5"/>
  <c r="H562" i="5" s="1"/>
  <c r="I562" i="5" s="1"/>
  <c r="H366" i="5"/>
  <c r="H345" i="5"/>
  <c r="H552" i="5" s="1"/>
  <c r="I552" i="5" s="1"/>
  <c r="H360" i="5"/>
  <c r="I313" i="5"/>
  <c r="L313" i="5" s="1"/>
  <c r="H328" i="5"/>
  <c r="H535" i="5" s="1"/>
  <c r="I535" i="5" s="1"/>
  <c r="I326" i="5"/>
  <c r="L326" i="5" s="1"/>
  <c r="H341" i="5"/>
  <c r="H357" i="5"/>
  <c r="H563" i="5" s="1"/>
  <c r="I563" i="5" s="1"/>
  <c r="H390" i="5"/>
  <c r="H403" i="5"/>
  <c r="H373" i="5"/>
  <c r="H381" i="5"/>
  <c r="H338" i="5"/>
  <c r="H388" i="5"/>
  <c r="H411" i="5"/>
  <c r="H420" i="5"/>
  <c r="H626" i="5" s="1"/>
  <c r="I626" i="5" s="1"/>
  <c r="H419" i="5"/>
  <c r="H625" i="5" s="1"/>
  <c r="I625" i="5" s="1"/>
  <c r="H412" i="5"/>
  <c r="L416" i="5"/>
  <c r="K414" i="5"/>
  <c r="L414" i="5"/>
  <c r="L413" i="5"/>
  <c r="K413" i="5"/>
  <c r="H410" i="5"/>
  <c r="I305" i="5"/>
  <c r="K305" i="5" s="1"/>
  <c r="L478" i="5"/>
  <c r="K308" i="5"/>
  <c r="L308" i="5"/>
  <c r="L368" i="5"/>
  <c r="K256" i="5"/>
  <c r="L256" i="5"/>
  <c r="K271" i="5"/>
  <c r="L271" i="5"/>
  <c r="K286" i="5"/>
  <c r="L286" i="5"/>
  <c r="K241" i="5"/>
  <c r="L241" i="5"/>
  <c r="L361" i="5" l="1"/>
  <c r="K391" i="5"/>
  <c r="L400" i="5"/>
  <c r="L346" i="5"/>
  <c r="L344" i="5"/>
  <c r="L415" i="5"/>
  <c r="K313" i="5"/>
  <c r="I395" i="5"/>
  <c r="K395" i="5" s="1"/>
  <c r="K320" i="5"/>
  <c r="I345" i="5"/>
  <c r="K345" i="5" s="1"/>
  <c r="I328" i="5"/>
  <c r="L328" i="5" s="1"/>
  <c r="K311" i="5"/>
  <c r="L307" i="5"/>
  <c r="I323" i="5"/>
  <c r="L323" i="5" s="1"/>
  <c r="I322" i="5"/>
  <c r="L322" i="5" s="1"/>
  <c r="K402" i="5"/>
  <c r="I380" i="5"/>
  <c r="L380" i="5" s="1"/>
  <c r="H586" i="5"/>
  <c r="I586" i="5" s="1"/>
  <c r="I351" i="5"/>
  <c r="K351" i="5" s="1"/>
  <c r="H557" i="5"/>
  <c r="I557" i="5" s="1"/>
  <c r="I396" i="5"/>
  <c r="K396" i="5" s="1"/>
  <c r="H602" i="5"/>
  <c r="I602" i="5" s="1"/>
  <c r="I358" i="5"/>
  <c r="L358" i="5" s="1"/>
  <c r="H564" i="5"/>
  <c r="I564" i="5" s="1"/>
  <c r="L619" i="5"/>
  <c r="K619" i="5"/>
  <c r="L620" i="5"/>
  <c r="K620" i="5"/>
  <c r="L625" i="5"/>
  <c r="K625" i="5"/>
  <c r="I381" i="5"/>
  <c r="K381" i="5" s="1"/>
  <c r="H587" i="5"/>
  <c r="I587" i="5" s="1"/>
  <c r="K552" i="5"/>
  <c r="L552" i="5"/>
  <c r="I327" i="5"/>
  <c r="L327" i="5" s="1"/>
  <c r="H534" i="5"/>
  <c r="I534" i="5" s="1"/>
  <c r="I405" i="5"/>
  <c r="L405" i="5" s="1"/>
  <c r="H611" i="5"/>
  <c r="I611" i="5" s="1"/>
  <c r="K542" i="5"/>
  <c r="L542" i="5"/>
  <c r="K529" i="5"/>
  <c r="L529" i="5"/>
  <c r="I365" i="5"/>
  <c r="L365" i="5" s="1"/>
  <c r="H571" i="5"/>
  <c r="I571" i="5" s="1"/>
  <c r="I372" i="5"/>
  <c r="L372" i="5" s="1"/>
  <c r="H578" i="5"/>
  <c r="I578" i="5" s="1"/>
  <c r="I336" i="5"/>
  <c r="K336" i="5" s="1"/>
  <c r="K530" i="5"/>
  <c r="L530" i="5"/>
  <c r="I374" i="5"/>
  <c r="K374" i="5" s="1"/>
  <c r="H580" i="5"/>
  <c r="I580" i="5" s="1"/>
  <c r="I352" i="5"/>
  <c r="L352" i="5" s="1"/>
  <c r="H558" i="5"/>
  <c r="I558" i="5" s="1"/>
  <c r="I353" i="5"/>
  <c r="K353" i="5" s="1"/>
  <c r="H559" i="5"/>
  <c r="I559" i="5" s="1"/>
  <c r="I404" i="5"/>
  <c r="L404" i="5" s="1"/>
  <c r="H610" i="5"/>
  <c r="I610" i="5" s="1"/>
  <c r="I339" i="5"/>
  <c r="L339" i="5" s="1"/>
  <c r="H546" i="5"/>
  <c r="I546" i="5" s="1"/>
  <c r="I355" i="5"/>
  <c r="L355" i="5" s="1"/>
  <c r="H561" i="5"/>
  <c r="I561" i="5" s="1"/>
  <c r="I359" i="5"/>
  <c r="H565" i="5"/>
  <c r="I565" i="5" s="1"/>
  <c r="L590" i="5"/>
  <c r="K590" i="5"/>
  <c r="L567" i="5"/>
  <c r="K567" i="5"/>
  <c r="K582" i="5"/>
  <c r="L582" i="5"/>
  <c r="L592" i="5"/>
  <c r="K592" i="5"/>
  <c r="L597" i="5"/>
  <c r="K597" i="5"/>
  <c r="K553" i="5"/>
  <c r="L553" i="5"/>
  <c r="L575" i="5"/>
  <c r="K575" i="5"/>
  <c r="L606" i="5"/>
  <c r="K606" i="5"/>
  <c r="I410" i="5"/>
  <c r="L410" i="5" s="1"/>
  <c r="H616" i="5"/>
  <c r="I616" i="5" s="1"/>
  <c r="I412" i="5"/>
  <c r="L412" i="5" s="1"/>
  <c r="H618" i="5"/>
  <c r="I618" i="5" s="1"/>
  <c r="I390" i="5"/>
  <c r="K390" i="5" s="1"/>
  <c r="H596" i="5"/>
  <c r="I596" i="5" s="1"/>
  <c r="I367" i="5"/>
  <c r="K367" i="5" s="1"/>
  <c r="H573" i="5"/>
  <c r="I573" i="5" s="1"/>
  <c r="I375" i="5"/>
  <c r="K375" i="5" s="1"/>
  <c r="L563" i="5"/>
  <c r="K563" i="5"/>
  <c r="I366" i="5"/>
  <c r="L366" i="5" s="1"/>
  <c r="H572" i="5"/>
  <c r="I572" i="5" s="1"/>
  <c r="K601" i="5"/>
  <c r="L601" i="5"/>
  <c r="I350" i="5"/>
  <c r="K350" i="5" s="1"/>
  <c r="H556" i="5"/>
  <c r="I556" i="5" s="1"/>
  <c r="I357" i="5"/>
  <c r="L357" i="5" s="1"/>
  <c r="L595" i="5"/>
  <c r="K595" i="5"/>
  <c r="I324" i="5"/>
  <c r="K324" i="5" s="1"/>
  <c r="H531" i="5"/>
  <c r="I531" i="5" s="1"/>
  <c r="I342" i="5"/>
  <c r="L342" i="5" s="1"/>
  <c r="H549" i="5"/>
  <c r="I549" i="5" s="1"/>
  <c r="I371" i="5"/>
  <c r="K371" i="5" s="1"/>
  <c r="H577" i="5"/>
  <c r="I577" i="5" s="1"/>
  <c r="I389" i="5"/>
  <c r="K389" i="5" s="1"/>
  <c r="K533" i="5"/>
  <c r="L533" i="5"/>
  <c r="K370" i="5"/>
  <c r="L385" i="5"/>
  <c r="L622" i="5"/>
  <c r="K622" i="5"/>
  <c r="K581" i="5"/>
  <c r="L581" i="5"/>
  <c r="K543" i="5"/>
  <c r="L543" i="5"/>
  <c r="L535" i="5"/>
  <c r="K535" i="5"/>
  <c r="L626" i="5"/>
  <c r="K626" i="5"/>
  <c r="I388" i="5"/>
  <c r="K388" i="5" s="1"/>
  <c r="H594" i="5"/>
  <c r="I594" i="5" s="1"/>
  <c r="I373" i="5"/>
  <c r="K373" i="5" s="1"/>
  <c r="H579" i="5"/>
  <c r="I579" i="5" s="1"/>
  <c r="I411" i="5"/>
  <c r="L411" i="5" s="1"/>
  <c r="H617" i="5"/>
  <c r="I617" i="5" s="1"/>
  <c r="I338" i="5"/>
  <c r="K338" i="5" s="1"/>
  <c r="H545" i="5"/>
  <c r="I545" i="5" s="1"/>
  <c r="I403" i="5"/>
  <c r="L403" i="5" s="1"/>
  <c r="H609" i="5"/>
  <c r="I609" i="5" s="1"/>
  <c r="I341" i="5"/>
  <c r="L341" i="5" s="1"/>
  <c r="H548" i="5"/>
  <c r="I548" i="5" s="1"/>
  <c r="I360" i="5"/>
  <c r="L360" i="5" s="1"/>
  <c r="H566" i="5"/>
  <c r="I566" i="5" s="1"/>
  <c r="K562" i="5"/>
  <c r="L562" i="5"/>
  <c r="I398" i="5"/>
  <c r="H604" i="5"/>
  <c r="I604" i="5" s="1"/>
  <c r="I321" i="5"/>
  <c r="L321" i="5" s="1"/>
  <c r="H528" i="5"/>
  <c r="I528" i="5" s="1"/>
  <c r="I343" i="5"/>
  <c r="L343" i="5" s="1"/>
  <c r="H550" i="5"/>
  <c r="I550" i="5" s="1"/>
  <c r="I330" i="5"/>
  <c r="L330" i="5" s="1"/>
  <c r="H537" i="5"/>
  <c r="I537" i="5" s="1"/>
  <c r="I335" i="5"/>
  <c r="K335" i="5" s="1"/>
  <c r="I387" i="5"/>
  <c r="L387" i="5" s="1"/>
  <c r="H593" i="5"/>
  <c r="I593" i="5" s="1"/>
  <c r="I397" i="5"/>
  <c r="L397" i="5" s="1"/>
  <c r="H603" i="5"/>
  <c r="I603" i="5" s="1"/>
  <c r="I337" i="5"/>
  <c r="K337" i="5" s="1"/>
  <c r="H544" i="5"/>
  <c r="I544" i="5" s="1"/>
  <c r="I383" i="5"/>
  <c r="K383" i="5" s="1"/>
  <c r="H589" i="5"/>
  <c r="I589" i="5" s="1"/>
  <c r="I356" i="5"/>
  <c r="I329" i="5"/>
  <c r="K329" i="5" s="1"/>
  <c r="H536" i="5"/>
  <c r="I536" i="5" s="1"/>
  <c r="I325" i="5"/>
  <c r="L325" i="5" s="1"/>
  <c r="H532" i="5"/>
  <c r="I532" i="5" s="1"/>
  <c r="I354" i="5"/>
  <c r="K354" i="5" s="1"/>
  <c r="H560" i="5"/>
  <c r="I560" i="5" s="1"/>
  <c r="K576" i="5"/>
  <c r="L576" i="5"/>
  <c r="K621" i="5"/>
  <c r="L621" i="5"/>
  <c r="L608" i="5"/>
  <c r="K608" i="5"/>
  <c r="L399" i="5"/>
  <c r="K399" i="5"/>
  <c r="L591" i="5"/>
  <c r="K591" i="5"/>
  <c r="K331" i="5"/>
  <c r="L331" i="5"/>
  <c r="K309" i="5"/>
  <c r="L335" i="5"/>
  <c r="L338" i="5"/>
  <c r="K341" i="5"/>
  <c r="K366" i="5"/>
  <c r="L312" i="5"/>
  <c r="K340" i="5"/>
  <c r="K357" i="5"/>
  <c r="L395" i="5"/>
  <c r="L310" i="5"/>
  <c r="K358" i="5"/>
  <c r="K380" i="5"/>
  <c r="K315" i="5"/>
  <c r="K326" i="5"/>
  <c r="L336" i="5"/>
  <c r="K405" i="5"/>
  <c r="L314" i="5"/>
  <c r="K327" i="5"/>
  <c r="K322" i="5"/>
  <c r="K365" i="5"/>
  <c r="K306" i="5"/>
  <c r="L381" i="5"/>
  <c r="L396" i="5"/>
  <c r="K352" i="5"/>
  <c r="K382" i="5"/>
  <c r="K328" i="5"/>
  <c r="K342" i="5"/>
  <c r="K360" i="5"/>
  <c r="L398" i="5"/>
  <c r="K398" i="5"/>
  <c r="K325" i="5"/>
  <c r="L373" i="5"/>
  <c r="L388" i="5"/>
  <c r="K330" i="5"/>
  <c r="L350" i="5"/>
  <c r="L351" i="5"/>
  <c r="L374" i="5"/>
  <c r="K403" i="5"/>
  <c r="K387" i="5"/>
  <c r="L329" i="5"/>
  <c r="K411" i="5"/>
  <c r="K412" i="5"/>
  <c r="K410" i="5"/>
  <c r="L305" i="5"/>
  <c r="J491" i="5"/>
  <c r="K372" i="5" l="1"/>
  <c r="L375" i="5"/>
  <c r="L353" i="5"/>
  <c r="L345" i="5"/>
  <c r="L367" i="5"/>
  <c r="L337" i="5"/>
  <c r="K339" i="5"/>
  <c r="L389" i="5"/>
  <c r="K343" i="5"/>
  <c r="K323" i="5"/>
  <c r="L560" i="5"/>
  <c r="K560" i="5"/>
  <c r="K528" i="5"/>
  <c r="L528" i="5"/>
  <c r="K545" i="5"/>
  <c r="L545" i="5"/>
  <c r="K572" i="5"/>
  <c r="L572" i="5"/>
  <c r="K534" i="5"/>
  <c r="L534" i="5"/>
  <c r="L587" i="5"/>
  <c r="K587" i="5"/>
  <c r="K544" i="5"/>
  <c r="L544" i="5"/>
  <c r="L593" i="5"/>
  <c r="K593" i="5"/>
  <c r="K549" i="5"/>
  <c r="L549" i="5"/>
  <c r="L573" i="5"/>
  <c r="K573" i="5"/>
  <c r="L618" i="5"/>
  <c r="K618" i="5"/>
  <c r="L565" i="5"/>
  <c r="K565" i="5"/>
  <c r="K546" i="5"/>
  <c r="L546" i="5"/>
  <c r="K559" i="5"/>
  <c r="L559" i="5"/>
  <c r="K580" i="5"/>
  <c r="L580" i="5"/>
  <c r="K537" i="5"/>
  <c r="L537" i="5"/>
  <c r="K548" i="5"/>
  <c r="L548" i="5"/>
  <c r="L557" i="5"/>
  <c r="K557" i="5"/>
  <c r="K397" i="5"/>
  <c r="L324" i="5"/>
  <c r="K355" i="5"/>
  <c r="L354" i="5"/>
  <c r="L371" i="5"/>
  <c r="K532" i="5"/>
  <c r="L532" i="5"/>
  <c r="L356" i="5"/>
  <c r="K356" i="5"/>
  <c r="K550" i="5"/>
  <c r="L550" i="5"/>
  <c r="L604" i="5"/>
  <c r="K604" i="5"/>
  <c r="K566" i="5"/>
  <c r="L566" i="5"/>
  <c r="L609" i="5"/>
  <c r="K609" i="5"/>
  <c r="L617" i="5"/>
  <c r="K617" i="5"/>
  <c r="L594" i="5"/>
  <c r="K594" i="5"/>
  <c r="L359" i="5"/>
  <c r="K359" i="5"/>
  <c r="K578" i="5"/>
  <c r="L578" i="5"/>
  <c r="L611" i="5"/>
  <c r="K611" i="5"/>
  <c r="L602" i="5"/>
  <c r="K602" i="5"/>
  <c r="L586" i="5"/>
  <c r="K586" i="5"/>
  <c r="K536" i="5"/>
  <c r="L536" i="5"/>
  <c r="K579" i="5"/>
  <c r="L579" i="5"/>
  <c r="L556" i="5"/>
  <c r="K556" i="5"/>
  <c r="K571" i="5"/>
  <c r="L571" i="5"/>
  <c r="L564" i="5"/>
  <c r="K564" i="5"/>
  <c r="L383" i="5"/>
  <c r="L390" i="5"/>
  <c r="K404" i="5"/>
  <c r="K321" i="5"/>
  <c r="L589" i="5"/>
  <c r="K589" i="5"/>
  <c r="L603" i="5"/>
  <c r="K603" i="5"/>
  <c r="K577" i="5"/>
  <c r="L577" i="5"/>
  <c r="K531" i="5"/>
  <c r="L531" i="5"/>
  <c r="L596" i="5"/>
  <c r="K596" i="5"/>
  <c r="L616" i="5"/>
  <c r="K616" i="5"/>
  <c r="L561" i="5"/>
  <c r="K561" i="5"/>
  <c r="L610" i="5"/>
  <c r="K610" i="5"/>
  <c r="L558" i="5"/>
  <c r="K558" i="5"/>
  <c r="J483" i="5"/>
  <c r="J484" i="5"/>
  <c r="J485" i="5"/>
  <c r="J486" i="5"/>
  <c r="J487" i="5"/>
  <c r="J488" i="5"/>
  <c r="J489" i="5"/>
  <c r="J490" i="5"/>
  <c r="J492" i="5"/>
  <c r="J468" i="5"/>
  <c r="J469" i="5"/>
  <c r="J470" i="5"/>
  <c r="J471" i="5"/>
  <c r="J472" i="5"/>
  <c r="J473" i="5"/>
  <c r="J474" i="5"/>
  <c r="J475" i="5"/>
  <c r="J476" i="5"/>
  <c r="J477" i="5"/>
  <c r="J453" i="5"/>
  <c r="J454" i="5"/>
  <c r="J455" i="5"/>
  <c r="J456" i="5"/>
  <c r="J457" i="5"/>
  <c r="J458" i="5"/>
  <c r="J459" i="5"/>
  <c r="J460" i="5"/>
  <c r="J461" i="5"/>
  <c r="J462" i="5"/>
  <c r="J438" i="5"/>
  <c r="J439" i="5"/>
  <c r="J440" i="5"/>
  <c r="J441" i="5"/>
  <c r="J442" i="5"/>
  <c r="J443" i="5"/>
  <c r="J444" i="5"/>
  <c r="J445" i="5"/>
  <c r="J446" i="5"/>
  <c r="J447" i="5"/>
  <c r="D275" i="5"/>
  <c r="D260" i="5"/>
  <c r="D245" i="5"/>
  <c r="F89" i="5"/>
  <c r="F90" i="5"/>
  <c r="F91" i="5"/>
  <c r="F92" i="5"/>
  <c r="F93" i="5"/>
  <c r="F94" i="5"/>
  <c r="F95" i="5"/>
  <c r="F96" i="5"/>
  <c r="F97" i="5"/>
  <c r="F98" i="5"/>
  <c r="F88" i="5"/>
  <c r="D89" i="5"/>
  <c r="E498" i="5" s="1"/>
  <c r="D90" i="5"/>
  <c r="E499" i="5" s="1"/>
  <c r="D91" i="5"/>
  <c r="E500" i="5" s="1"/>
  <c r="D92" i="5"/>
  <c r="E501" i="5" s="1"/>
  <c r="D93" i="5"/>
  <c r="E502" i="5" s="1"/>
  <c r="D94" i="5"/>
  <c r="E503" i="5" s="1"/>
  <c r="D95" i="5"/>
  <c r="E504" i="5" s="1"/>
  <c r="D96" i="5"/>
  <c r="E505" i="5" s="1"/>
  <c r="D97" i="5"/>
  <c r="E506" i="5" s="1"/>
  <c r="D98" i="5"/>
  <c r="E507" i="5" s="1"/>
  <c r="D88" i="5"/>
  <c r="E497" i="5" s="1"/>
  <c r="F74" i="5"/>
  <c r="F75" i="5"/>
  <c r="F76" i="5"/>
  <c r="F77" i="5"/>
  <c r="F78" i="5"/>
  <c r="F79" i="5"/>
  <c r="F80" i="5"/>
  <c r="F81" i="5"/>
  <c r="F82" i="5"/>
  <c r="F83" i="5"/>
  <c r="F73" i="5"/>
  <c r="D74" i="5"/>
  <c r="E483" i="5" s="1"/>
  <c r="D75" i="5"/>
  <c r="E484" i="5" s="1"/>
  <c r="D76" i="5"/>
  <c r="E485" i="5" s="1"/>
  <c r="D77" i="5"/>
  <c r="E486" i="5" s="1"/>
  <c r="D78" i="5"/>
  <c r="E487" i="5" s="1"/>
  <c r="D79" i="5"/>
  <c r="E488" i="5" s="1"/>
  <c r="D80" i="5"/>
  <c r="E489" i="5" s="1"/>
  <c r="D81" i="5"/>
  <c r="E490" i="5" s="1"/>
  <c r="D82" i="5"/>
  <c r="E491" i="5" s="1"/>
  <c r="D83" i="5"/>
  <c r="E492" i="5" s="1"/>
  <c r="D73" i="5"/>
  <c r="E482" i="5" s="1"/>
  <c r="F59" i="5"/>
  <c r="F60" i="5"/>
  <c r="F61" i="5"/>
  <c r="F62" i="5"/>
  <c r="F63" i="5"/>
  <c r="F64" i="5"/>
  <c r="F65" i="5"/>
  <c r="F66" i="5"/>
  <c r="F67" i="5"/>
  <c r="F68" i="5"/>
  <c r="F58" i="5"/>
  <c r="D59" i="5"/>
  <c r="E468" i="5" s="1"/>
  <c r="D60" i="5"/>
  <c r="E469" i="5" s="1"/>
  <c r="D61" i="5"/>
  <c r="E470" i="5" s="1"/>
  <c r="D62" i="5"/>
  <c r="E471" i="5" s="1"/>
  <c r="D63" i="5"/>
  <c r="E472" i="5" s="1"/>
  <c r="D64" i="5"/>
  <c r="E473" i="5" s="1"/>
  <c r="D65" i="5"/>
  <c r="E474" i="5" s="1"/>
  <c r="D66" i="5"/>
  <c r="E475" i="5" s="1"/>
  <c r="D67" i="5"/>
  <c r="E476" i="5" s="1"/>
  <c r="D68" i="5"/>
  <c r="E477" i="5" s="1"/>
  <c r="D58" i="5"/>
  <c r="E467" i="5" s="1"/>
  <c r="F44" i="5"/>
  <c r="F45" i="5"/>
  <c r="F46" i="5"/>
  <c r="F47" i="5"/>
  <c r="F48" i="5"/>
  <c r="F49" i="5"/>
  <c r="F50" i="5"/>
  <c r="F51" i="5"/>
  <c r="F52" i="5"/>
  <c r="F53" i="5"/>
  <c r="F43" i="5"/>
  <c r="D44" i="5"/>
  <c r="E453" i="5" s="1"/>
  <c r="D45" i="5"/>
  <c r="E454" i="5" s="1"/>
  <c r="D46" i="5"/>
  <c r="E455" i="5" s="1"/>
  <c r="D47" i="5"/>
  <c r="E456" i="5" s="1"/>
  <c r="D48" i="5"/>
  <c r="E457" i="5" s="1"/>
  <c r="D49" i="5"/>
  <c r="E458" i="5" s="1"/>
  <c r="D50" i="5"/>
  <c r="E459" i="5" s="1"/>
  <c r="D51" i="5"/>
  <c r="E460" i="5" s="1"/>
  <c r="D52" i="5"/>
  <c r="E461" i="5" s="1"/>
  <c r="D53" i="5"/>
  <c r="E462" i="5" s="1"/>
  <c r="D43" i="5"/>
  <c r="E452" i="5" s="1"/>
  <c r="I65" i="5" l="1"/>
  <c r="I61" i="5"/>
  <c r="I93" i="5"/>
  <c r="H295" i="5" s="1"/>
  <c r="I68" i="5"/>
  <c r="I64" i="5"/>
  <c r="I60" i="5"/>
  <c r="I92" i="5"/>
  <c r="H294" i="5" s="1"/>
  <c r="I67" i="5"/>
  <c r="I63" i="5"/>
  <c r="H265" i="5" s="1"/>
  <c r="H472" i="5" s="1"/>
  <c r="I472" i="5" s="1"/>
  <c r="K472" i="5" s="1"/>
  <c r="I59" i="5"/>
  <c r="I95" i="5"/>
  <c r="H297" i="5" s="1"/>
  <c r="I91" i="5"/>
  <c r="H293" i="5" s="1"/>
  <c r="I66" i="5"/>
  <c r="I62" i="5"/>
  <c r="I94" i="5"/>
  <c r="H296" i="5" s="1"/>
  <c r="F29" i="5"/>
  <c r="F30" i="5"/>
  <c r="F31" i="5"/>
  <c r="F32" i="5"/>
  <c r="F33" i="5"/>
  <c r="F34" i="5"/>
  <c r="F35" i="5"/>
  <c r="F36" i="5"/>
  <c r="F37" i="5"/>
  <c r="F38" i="5"/>
  <c r="D29" i="5"/>
  <c r="E438" i="5" s="1"/>
  <c r="D30" i="5"/>
  <c r="E439" i="5" s="1"/>
  <c r="D31" i="5"/>
  <c r="E440" i="5" s="1"/>
  <c r="D32" i="5"/>
  <c r="E441" i="5" s="1"/>
  <c r="D33" i="5"/>
  <c r="E442" i="5" s="1"/>
  <c r="D34" i="5"/>
  <c r="E443" i="5" s="1"/>
  <c r="D35" i="5"/>
  <c r="E444" i="5" s="1"/>
  <c r="D36" i="5"/>
  <c r="E445" i="5" s="1"/>
  <c r="D37" i="5"/>
  <c r="E446" i="5" s="1"/>
  <c r="D38" i="5"/>
  <c r="E447" i="5" s="1"/>
  <c r="E437" i="5"/>
  <c r="I293" i="5" l="1"/>
  <c r="H500" i="5"/>
  <c r="I500" i="5" s="1"/>
  <c r="I296" i="5"/>
  <c r="L296" i="5" s="1"/>
  <c r="H503" i="5"/>
  <c r="I503" i="5" s="1"/>
  <c r="I297" i="5"/>
  <c r="L297" i="5" s="1"/>
  <c r="H504" i="5"/>
  <c r="I504" i="5" s="1"/>
  <c r="I294" i="5"/>
  <c r="H501" i="5"/>
  <c r="I501" i="5" s="1"/>
  <c r="I295" i="5"/>
  <c r="H502" i="5"/>
  <c r="I502" i="5" s="1"/>
  <c r="I265" i="5"/>
  <c r="L265" i="5" s="1"/>
  <c r="K297" i="5"/>
  <c r="K265" i="5"/>
  <c r="L472" i="5"/>
  <c r="I98" i="5"/>
  <c r="H300" i="5" s="1"/>
  <c r="I97" i="5"/>
  <c r="H299" i="5" s="1"/>
  <c r="I96" i="5"/>
  <c r="H298" i="5" s="1"/>
  <c r="I90" i="5"/>
  <c r="H292" i="5" s="1"/>
  <c r="I89" i="5"/>
  <c r="H291" i="5" s="1"/>
  <c r="I88" i="5"/>
  <c r="H290" i="5" s="1"/>
  <c r="I83" i="5"/>
  <c r="H285" i="5" s="1"/>
  <c r="I82" i="5"/>
  <c r="H284" i="5" s="1"/>
  <c r="I81" i="5"/>
  <c r="H283" i="5" s="1"/>
  <c r="I80" i="5"/>
  <c r="H282" i="5" s="1"/>
  <c r="I79" i="5"/>
  <c r="H281" i="5" s="1"/>
  <c r="I78" i="5"/>
  <c r="H280" i="5" s="1"/>
  <c r="I77" i="5"/>
  <c r="H279" i="5" s="1"/>
  <c r="I76" i="5"/>
  <c r="H278" i="5" s="1"/>
  <c r="I75" i="5"/>
  <c r="H277" i="5" s="1"/>
  <c r="I74" i="5"/>
  <c r="H276" i="5" s="1"/>
  <c r="I73" i="5"/>
  <c r="H275" i="5" s="1"/>
  <c r="I275" i="5" s="1"/>
  <c r="H270" i="5"/>
  <c r="H269" i="5"/>
  <c r="H268" i="5"/>
  <c r="I268" i="5" s="1"/>
  <c r="H267" i="5"/>
  <c r="I267" i="5" s="1"/>
  <c r="H266" i="5"/>
  <c r="I266" i="5" s="1"/>
  <c r="H264" i="5"/>
  <c r="I264" i="5" s="1"/>
  <c r="H263" i="5"/>
  <c r="H262" i="5"/>
  <c r="H261" i="5"/>
  <c r="I58" i="5"/>
  <c r="H260" i="5" s="1"/>
  <c r="I260" i="5" s="1"/>
  <c r="K296" i="5" l="1"/>
  <c r="I290" i="5"/>
  <c r="L290" i="5" s="1"/>
  <c r="H497" i="5"/>
  <c r="I497" i="5" s="1"/>
  <c r="I299" i="5"/>
  <c r="K299" i="5" s="1"/>
  <c r="H506" i="5"/>
  <c r="I506" i="5" s="1"/>
  <c r="I291" i="5"/>
  <c r="L291" i="5" s="1"/>
  <c r="H498" i="5"/>
  <c r="I498" i="5" s="1"/>
  <c r="I300" i="5"/>
  <c r="L300" i="5" s="1"/>
  <c r="H507" i="5"/>
  <c r="I507" i="5" s="1"/>
  <c r="L503" i="5"/>
  <c r="K503" i="5"/>
  <c r="I292" i="5"/>
  <c r="L292" i="5" s="1"/>
  <c r="H499" i="5"/>
  <c r="I499" i="5" s="1"/>
  <c r="L502" i="5"/>
  <c r="K502" i="5"/>
  <c r="L504" i="5"/>
  <c r="K504" i="5"/>
  <c r="L500" i="5"/>
  <c r="K500" i="5"/>
  <c r="L501" i="5"/>
  <c r="K501" i="5"/>
  <c r="I298" i="5"/>
  <c r="L298" i="5" s="1"/>
  <c r="H505" i="5"/>
  <c r="I505" i="5" s="1"/>
  <c r="K298" i="5"/>
  <c r="L293" i="5"/>
  <c r="K293" i="5"/>
  <c r="L294" i="5"/>
  <c r="K294" i="5"/>
  <c r="L301" i="5"/>
  <c r="K301" i="5"/>
  <c r="L295" i="5"/>
  <c r="K295" i="5"/>
  <c r="K260" i="5"/>
  <c r="L260" i="5"/>
  <c r="K275" i="5"/>
  <c r="L275" i="5"/>
  <c r="K268" i="5"/>
  <c r="L268" i="5"/>
  <c r="K264" i="5"/>
  <c r="L264" i="5"/>
  <c r="K267" i="5"/>
  <c r="L267" i="5"/>
  <c r="K266" i="5"/>
  <c r="L266" i="5"/>
  <c r="H492" i="5"/>
  <c r="I492" i="5" s="1"/>
  <c r="I285" i="5"/>
  <c r="H491" i="5"/>
  <c r="I491" i="5" s="1"/>
  <c r="I284" i="5"/>
  <c r="H490" i="5"/>
  <c r="I490" i="5" s="1"/>
  <c r="I283" i="5"/>
  <c r="H489" i="5"/>
  <c r="I489" i="5" s="1"/>
  <c r="I282" i="5"/>
  <c r="H488" i="5"/>
  <c r="I488" i="5" s="1"/>
  <c r="I281" i="5"/>
  <c r="H487" i="5"/>
  <c r="I487" i="5" s="1"/>
  <c r="I280" i="5"/>
  <c r="H486" i="5"/>
  <c r="I486" i="5" s="1"/>
  <c r="I279" i="5"/>
  <c r="H485" i="5"/>
  <c r="I485" i="5" s="1"/>
  <c r="I278" i="5"/>
  <c r="H484" i="5"/>
  <c r="I484" i="5" s="1"/>
  <c r="I277" i="5"/>
  <c r="H483" i="5"/>
  <c r="I483" i="5" s="1"/>
  <c r="I276" i="5"/>
  <c r="H482" i="5"/>
  <c r="I482" i="5" s="1"/>
  <c r="I270" i="5"/>
  <c r="H477" i="5"/>
  <c r="I477" i="5" s="1"/>
  <c r="H476" i="5"/>
  <c r="I269" i="5"/>
  <c r="H475" i="5"/>
  <c r="I475" i="5" s="1"/>
  <c r="H474" i="5"/>
  <c r="I474" i="5" s="1"/>
  <c r="H473" i="5"/>
  <c r="I473" i="5" s="1"/>
  <c r="H471" i="5"/>
  <c r="I471" i="5" s="1"/>
  <c r="I263" i="5"/>
  <c r="H470" i="5"/>
  <c r="I470" i="5" s="1"/>
  <c r="H469" i="5"/>
  <c r="I469" i="5" s="1"/>
  <c r="I262" i="5"/>
  <c r="H468" i="5"/>
  <c r="I468" i="5" s="1"/>
  <c r="I261" i="5"/>
  <c r="H467" i="5"/>
  <c r="I467" i="5" s="1"/>
  <c r="K291" i="5" l="1"/>
  <c r="K290" i="5"/>
  <c r="K292" i="5"/>
  <c r="K300" i="5"/>
  <c r="L499" i="5"/>
  <c r="K499" i="5"/>
  <c r="L506" i="5"/>
  <c r="K506" i="5"/>
  <c r="L505" i="5"/>
  <c r="K505" i="5"/>
  <c r="L498" i="5"/>
  <c r="K498" i="5"/>
  <c r="L497" i="5"/>
  <c r="K497" i="5"/>
  <c r="L507" i="5"/>
  <c r="K507" i="5"/>
  <c r="L299" i="5"/>
  <c r="K467" i="5"/>
  <c r="L467" i="5"/>
  <c r="K482" i="5"/>
  <c r="L482" i="5"/>
  <c r="K470" i="5"/>
  <c r="L470" i="5"/>
  <c r="K487" i="5"/>
  <c r="L487" i="5"/>
  <c r="K270" i="5"/>
  <c r="L270" i="5"/>
  <c r="K281" i="5"/>
  <c r="L281" i="5"/>
  <c r="K285" i="5"/>
  <c r="L285" i="5"/>
  <c r="K261" i="5"/>
  <c r="L261" i="5"/>
  <c r="K474" i="5"/>
  <c r="L474" i="5"/>
  <c r="K483" i="5"/>
  <c r="L483" i="5"/>
  <c r="K489" i="5"/>
  <c r="L489" i="5"/>
  <c r="K468" i="5"/>
  <c r="L468" i="5"/>
  <c r="K263" i="5"/>
  <c r="L263" i="5"/>
  <c r="K279" i="5"/>
  <c r="L279" i="5"/>
  <c r="K471" i="5"/>
  <c r="L471" i="5"/>
  <c r="K486" i="5"/>
  <c r="L486" i="5"/>
  <c r="K490" i="5"/>
  <c r="L490" i="5"/>
  <c r="K477" i="5"/>
  <c r="L477" i="5"/>
  <c r="K485" i="5"/>
  <c r="L485" i="5"/>
  <c r="K491" i="5"/>
  <c r="L491" i="5"/>
  <c r="K475" i="5"/>
  <c r="L475" i="5"/>
  <c r="K277" i="5"/>
  <c r="L277" i="5"/>
  <c r="K283" i="5"/>
  <c r="L283" i="5"/>
  <c r="K262" i="5"/>
  <c r="L262" i="5"/>
  <c r="K269" i="5"/>
  <c r="L269" i="5"/>
  <c r="K484" i="5"/>
  <c r="L484" i="5"/>
  <c r="K488" i="5"/>
  <c r="L488" i="5"/>
  <c r="K492" i="5"/>
  <c r="L492" i="5"/>
  <c r="K469" i="5"/>
  <c r="L469" i="5"/>
  <c r="K473" i="5"/>
  <c r="L473" i="5"/>
  <c r="K276" i="5"/>
  <c r="L276" i="5"/>
  <c r="K278" i="5"/>
  <c r="L278" i="5"/>
  <c r="K280" i="5"/>
  <c r="L280" i="5"/>
  <c r="K282" i="5"/>
  <c r="L282" i="5"/>
  <c r="K284" i="5"/>
  <c r="L284" i="5"/>
  <c r="I476" i="5"/>
  <c r="I44" i="5"/>
  <c r="H246" i="5" s="1"/>
  <c r="I45" i="5"/>
  <c r="H247" i="5" s="1"/>
  <c r="I46" i="5"/>
  <c r="H248" i="5" s="1"/>
  <c r="I47" i="5"/>
  <c r="H249" i="5" s="1"/>
  <c r="I48" i="5"/>
  <c r="H250" i="5" s="1"/>
  <c r="I49" i="5"/>
  <c r="H251" i="5" s="1"/>
  <c r="I50" i="5"/>
  <c r="H252" i="5" s="1"/>
  <c r="I51" i="5"/>
  <c r="H253" i="5" s="1"/>
  <c r="I52" i="5"/>
  <c r="H254" i="5" s="1"/>
  <c r="I53" i="5"/>
  <c r="H255" i="5" s="1"/>
  <c r="I43" i="5"/>
  <c r="H245" i="5" s="1"/>
  <c r="I245" i="5" s="1"/>
  <c r="I29" i="5"/>
  <c r="H231" i="5" s="1"/>
  <c r="I30" i="5"/>
  <c r="H232" i="5" s="1"/>
  <c r="I31" i="5"/>
  <c r="H233" i="5" s="1"/>
  <c r="I32" i="5"/>
  <c r="H234" i="5" s="1"/>
  <c r="I33" i="5"/>
  <c r="H235" i="5" s="1"/>
  <c r="I34" i="5"/>
  <c r="H236" i="5" s="1"/>
  <c r="I35" i="5"/>
  <c r="H237" i="5" s="1"/>
  <c r="I36" i="5"/>
  <c r="H238" i="5" s="1"/>
  <c r="I37" i="5"/>
  <c r="H239" i="5" s="1"/>
  <c r="I38" i="5"/>
  <c r="H240" i="5" s="1"/>
  <c r="I28" i="5"/>
  <c r="H230" i="5" s="1"/>
  <c r="I230" i="5" s="1"/>
  <c r="I417" i="5" s="1"/>
  <c r="L417" i="5" l="1"/>
  <c r="K417" i="5"/>
  <c r="K230" i="5"/>
  <c r="L230" i="5"/>
  <c r="K245" i="5"/>
  <c r="L245" i="5"/>
  <c r="K476" i="5"/>
  <c r="L476" i="5"/>
  <c r="H455" i="5"/>
  <c r="I455" i="5" s="1"/>
  <c r="I248" i="5"/>
  <c r="I255" i="5"/>
  <c r="H462" i="5"/>
  <c r="I462" i="5" s="1"/>
  <c r="H461" i="5"/>
  <c r="I461" i="5" s="1"/>
  <c r="I254" i="5"/>
  <c r="I253" i="5"/>
  <c r="H460" i="5"/>
  <c r="I460" i="5" s="1"/>
  <c r="H459" i="5"/>
  <c r="I459" i="5" s="1"/>
  <c r="I252" i="5"/>
  <c r="I251" i="5"/>
  <c r="H458" i="5"/>
  <c r="I458" i="5" s="1"/>
  <c r="H457" i="5"/>
  <c r="I457" i="5" s="1"/>
  <c r="I250" i="5"/>
  <c r="I249" i="5"/>
  <c r="H456" i="5"/>
  <c r="I456" i="5" s="1"/>
  <c r="I247" i="5"/>
  <c r="H454" i="5"/>
  <c r="I454" i="5" s="1"/>
  <c r="H453" i="5"/>
  <c r="I453" i="5" s="1"/>
  <c r="I246" i="5"/>
  <c r="H452" i="5"/>
  <c r="I452" i="5" s="1"/>
  <c r="H447" i="5"/>
  <c r="I447" i="5" s="1"/>
  <c r="I240" i="5"/>
  <c r="H446" i="5"/>
  <c r="I446" i="5" s="1"/>
  <c r="I239" i="5"/>
  <c r="H445" i="5"/>
  <c r="I445" i="5" s="1"/>
  <c r="I238" i="5"/>
  <c r="H444" i="5"/>
  <c r="I444" i="5" s="1"/>
  <c r="I237" i="5"/>
  <c r="H443" i="5"/>
  <c r="I443" i="5" s="1"/>
  <c r="I236" i="5"/>
  <c r="H442" i="5"/>
  <c r="I442" i="5" s="1"/>
  <c r="I235" i="5"/>
  <c r="H441" i="5"/>
  <c r="I441" i="5" s="1"/>
  <c r="I234" i="5"/>
  <c r="I421" i="5" s="1"/>
  <c r="I233" i="5"/>
  <c r="I420" i="5" s="1"/>
  <c r="H440" i="5"/>
  <c r="I440" i="5" s="1"/>
  <c r="H439" i="5"/>
  <c r="I439" i="5" s="1"/>
  <c r="I232" i="5"/>
  <c r="I419" i="5" s="1"/>
  <c r="H438" i="5"/>
  <c r="I438" i="5" s="1"/>
  <c r="I231" i="5"/>
  <c r="I418" i="5" s="1"/>
  <c r="H437" i="5"/>
  <c r="I437" i="5" s="1"/>
  <c r="A7" i="5"/>
  <c r="A8" i="5" s="1"/>
  <c r="A9" i="5" s="1"/>
  <c r="A10" i="5" s="1"/>
  <c r="A11" i="5" s="1"/>
  <c r="A12" i="5" s="1"/>
  <c r="A13" i="5" s="1"/>
  <c r="K420" i="5" l="1"/>
  <c r="L420" i="5"/>
  <c r="L421" i="5"/>
  <c r="K421" i="5"/>
  <c r="K419" i="5"/>
  <c r="L419" i="5"/>
  <c r="K418" i="5"/>
  <c r="L418" i="5"/>
  <c r="K452" i="5"/>
  <c r="L452" i="5"/>
  <c r="L437" i="5"/>
  <c r="K437" i="5"/>
  <c r="K438" i="5"/>
  <c r="L438" i="5"/>
  <c r="K233" i="5"/>
  <c r="L233" i="5"/>
  <c r="K442" i="5"/>
  <c r="L442" i="5"/>
  <c r="K446" i="5"/>
  <c r="L446" i="5"/>
  <c r="K456" i="5"/>
  <c r="L456" i="5"/>
  <c r="K458" i="5"/>
  <c r="L458" i="5"/>
  <c r="K232" i="5"/>
  <c r="L232" i="5"/>
  <c r="K234" i="5"/>
  <c r="L234" i="5"/>
  <c r="K236" i="5"/>
  <c r="L236" i="5"/>
  <c r="K238" i="5"/>
  <c r="L238" i="5"/>
  <c r="K240" i="5"/>
  <c r="L240" i="5"/>
  <c r="K453" i="5"/>
  <c r="L453" i="5"/>
  <c r="K249" i="5"/>
  <c r="L249" i="5"/>
  <c r="K251" i="5"/>
  <c r="L251" i="5"/>
  <c r="K253" i="5"/>
  <c r="L253" i="5"/>
  <c r="K255" i="5"/>
  <c r="L255" i="5"/>
  <c r="K444" i="5"/>
  <c r="L444" i="5"/>
  <c r="K246" i="5"/>
  <c r="L246" i="5"/>
  <c r="K462" i="5"/>
  <c r="L462" i="5"/>
  <c r="K439" i="5"/>
  <c r="L439" i="5"/>
  <c r="K441" i="5"/>
  <c r="L441" i="5"/>
  <c r="K443" i="5"/>
  <c r="L443" i="5"/>
  <c r="K445" i="5"/>
  <c r="L445" i="5"/>
  <c r="K447" i="5"/>
  <c r="L447" i="5"/>
  <c r="K454" i="5"/>
  <c r="L454" i="5"/>
  <c r="K250" i="5"/>
  <c r="L250" i="5"/>
  <c r="K252" i="5"/>
  <c r="L252" i="5"/>
  <c r="K254" i="5"/>
  <c r="L254" i="5"/>
  <c r="K248" i="5"/>
  <c r="L248" i="5"/>
  <c r="K460" i="5"/>
  <c r="L460" i="5"/>
  <c r="K231" i="5"/>
  <c r="L231" i="5"/>
  <c r="K440" i="5"/>
  <c r="L440" i="5"/>
  <c r="K235" i="5"/>
  <c r="L235" i="5"/>
  <c r="K237" i="5"/>
  <c r="L237" i="5"/>
  <c r="K239" i="5"/>
  <c r="L239" i="5"/>
  <c r="K247" i="5"/>
  <c r="L247" i="5"/>
  <c r="K457" i="5"/>
  <c r="L457" i="5"/>
  <c r="K459" i="5"/>
  <c r="L459" i="5"/>
  <c r="K461" i="5"/>
  <c r="L461" i="5"/>
  <c r="K455" i="5"/>
  <c r="L45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Dayne Sage</author>
  </authors>
  <commentList>
    <comment ref="J1" authorId="0" shapeId="0" xr:uid="{6F015FC1-7FB7-49F3-A90D-90B8C3D9157A}">
      <text>
        <r>
          <rPr>
            <b/>
            <sz val="9"/>
            <color indexed="81"/>
            <rFont val="Tahoma"/>
            <family val="2"/>
          </rPr>
          <t>Dayne Sage:</t>
        </r>
        <r>
          <rPr>
            <sz val="9"/>
            <color indexed="81"/>
            <rFont val="Tahoma"/>
            <family val="2"/>
          </rPr>
          <t xml:space="preserve">
Number of modules in Series</t>
        </r>
      </text>
    </comment>
  </commentList>
</comments>
</file>

<file path=xl/sharedStrings.xml><?xml version="1.0" encoding="utf-8"?>
<sst xmlns="http://schemas.openxmlformats.org/spreadsheetml/2006/main" count="1159" uniqueCount="114">
  <si>
    <t xml:space="preserve">Notes: </t>
  </si>
  <si>
    <t>String</t>
  </si>
  <si>
    <t>Inspection 1
Accept / Reject</t>
  </si>
  <si>
    <t>Inspection 2
Accept / Reject</t>
  </si>
  <si>
    <t>INVERTER 1</t>
  </si>
  <si>
    <t>I - V CURVE IN STRINGS</t>
  </si>
  <si>
    <t>MPPT 1</t>
  </si>
  <si>
    <t>INPUT 1</t>
  </si>
  <si>
    <t>INPUT 2</t>
  </si>
  <si>
    <t>CALCULATIONS</t>
  </si>
  <si>
    <t>MPPT 2</t>
  </si>
  <si>
    <t>MPPT 3</t>
  </si>
  <si>
    <t>MPPT 4</t>
  </si>
  <si>
    <t>MPPT 5</t>
  </si>
  <si>
    <t>MPPT 6</t>
  </si>
  <si>
    <t>G</t>
  </si>
  <si>
    <t>∆T</t>
  </si>
  <si>
    <t>Temperature measured on the backsheet of the PV module (°C)</t>
  </si>
  <si>
    <t>Temperature of the cell of the PV module (°C)</t>
  </si>
  <si>
    <r>
      <t>G</t>
    </r>
    <r>
      <rPr>
        <sz val="10"/>
        <color theme="1"/>
        <rFont val="Proxima Nova Lt"/>
      </rPr>
      <t>stc</t>
    </r>
  </si>
  <si>
    <r>
      <t>T</t>
    </r>
    <r>
      <rPr>
        <sz val="10"/>
        <color theme="1"/>
        <rFont val="Proxima Nova Lt"/>
      </rPr>
      <t>c</t>
    </r>
  </si>
  <si>
    <t>Irradiance on the plane of the PV modules (W/m2)</t>
  </si>
  <si>
    <t>Irradiance in STC (1000W/m2)</t>
  </si>
  <si>
    <t>Temperature differences between PV cell and the PV backsheet, considered as 3 °C (as per IEC 61724, table A-1)</t>
  </si>
  <si>
    <r>
      <t>T</t>
    </r>
    <r>
      <rPr>
        <b/>
        <sz val="9"/>
        <color theme="1"/>
        <rFont val="Proxima Nova Lt"/>
      </rPr>
      <t>c</t>
    </r>
  </si>
  <si>
    <r>
      <t>T</t>
    </r>
    <r>
      <rPr>
        <b/>
        <sz val="9"/>
        <color theme="1"/>
        <rFont val="Proxima Nova Lt"/>
      </rPr>
      <t>m</t>
    </r>
  </si>
  <si>
    <r>
      <t>G</t>
    </r>
    <r>
      <rPr>
        <b/>
        <sz val="9"/>
        <color theme="1"/>
        <rFont val="Proxima Nova Lt"/>
      </rPr>
      <t>stc</t>
    </r>
  </si>
  <si>
    <r>
      <t>T</t>
    </r>
    <r>
      <rPr>
        <sz val="9"/>
        <color theme="1"/>
        <rFont val="Proxima Nova Lt"/>
      </rPr>
      <t>c</t>
    </r>
  </si>
  <si>
    <r>
      <t>Temperature of the cell of the PV module (</t>
    </r>
    <r>
      <rPr>
        <sz val="11"/>
        <color theme="1"/>
        <rFont val="Calibri"/>
        <family val="2"/>
      </rPr>
      <t>°</t>
    </r>
    <r>
      <rPr>
        <sz val="11"/>
        <color theme="1"/>
        <rFont val="Proxima Nova Lt"/>
      </rPr>
      <t>C)</t>
    </r>
  </si>
  <si>
    <r>
      <t>I</t>
    </r>
    <r>
      <rPr>
        <sz val="9"/>
        <color theme="1"/>
        <rFont val="Proxima Nova Lt"/>
      </rPr>
      <t>sc theo</t>
    </r>
  </si>
  <si>
    <r>
      <t>T</t>
    </r>
    <r>
      <rPr>
        <sz val="9"/>
        <color theme="1"/>
        <rFont val="Proxima Nova Lt"/>
      </rPr>
      <t>m</t>
    </r>
  </si>
  <si>
    <r>
      <rPr>
        <sz val="11"/>
        <color theme="1"/>
        <rFont val="Calibri"/>
        <family val="2"/>
      </rPr>
      <t>∆</t>
    </r>
    <r>
      <rPr>
        <sz val="8.4499999999999993"/>
        <color theme="1"/>
        <rFont val="Proxima Nova Lt"/>
      </rPr>
      <t>T</t>
    </r>
  </si>
  <si>
    <t>N</t>
  </si>
  <si>
    <r>
      <t>I</t>
    </r>
    <r>
      <rPr>
        <sz val="9"/>
        <color theme="1"/>
        <rFont val="Proxima Nova Lt"/>
      </rPr>
      <t>sc stc</t>
    </r>
  </si>
  <si>
    <r>
      <rPr>
        <sz val="11"/>
        <color theme="1"/>
        <rFont val="Calibri"/>
        <family val="2"/>
      </rPr>
      <t>δI</t>
    </r>
    <r>
      <rPr>
        <sz val="9"/>
        <color theme="1"/>
        <rFont val="Calibri"/>
        <family val="2"/>
      </rPr>
      <t>sc</t>
    </r>
  </si>
  <si>
    <r>
      <t>I</t>
    </r>
    <r>
      <rPr>
        <b/>
        <sz val="9"/>
        <color theme="1"/>
        <rFont val="Proxima Nova Lt"/>
      </rPr>
      <t>sc stc</t>
    </r>
  </si>
  <si>
    <r>
      <t>δI</t>
    </r>
    <r>
      <rPr>
        <b/>
        <sz val="9"/>
        <color theme="1"/>
        <rFont val="Calibri"/>
        <family val="2"/>
      </rPr>
      <t>sc</t>
    </r>
  </si>
  <si>
    <r>
      <t>I</t>
    </r>
    <r>
      <rPr>
        <b/>
        <sz val="9"/>
        <color theme="1"/>
        <rFont val="Proxima Nova Lt"/>
      </rPr>
      <t>sc theo</t>
    </r>
  </si>
  <si>
    <t>Number of strings which compose each test</t>
  </si>
  <si>
    <r>
      <t>Irradiance on the plane of the PV modules (W/m</t>
    </r>
    <r>
      <rPr>
        <sz val="9"/>
        <color theme="1"/>
        <rFont val="Proxima Nova Lt"/>
      </rPr>
      <t>2</t>
    </r>
    <r>
      <rPr>
        <sz val="11"/>
        <color theme="1"/>
        <rFont val="Proxima Nova Lt"/>
      </rPr>
      <t>)</t>
    </r>
  </si>
  <si>
    <r>
      <t>Irradiance in STC conditions (1000 W/m</t>
    </r>
    <r>
      <rPr>
        <sz val="9"/>
        <color theme="1"/>
        <rFont val="Proxima Nova Lt"/>
      </rPr>
      <t>2</t>
    </r>
    <r>
      <rPr>
        <sz val="11"/>
        <color theme="1"/>
        <rFont val="Proxima Nova Lt"/>
      </rPr>
      <t>)</t>
    </r>
  </si>
  <si>
    <r>
      <t>PV module manufacturer's rated temperature coefficient of I</t>
    </r>
    <r>
      <rPr>
        <sz val="9"/>
        <color theme="1"/>
        <rFont val="Proxima Nova Lt"/>
      </rPr>
      <t xml:space="preserve">sc </t>
    </r>
    <r>
      <rPr>
        <sz val="11"/>
        <color theme="1"/>
        <rFont val="Proxima Nova Lt"/>
      </rPr>
      <t xml:space="preserve"> (</t>
    </r>
    <r>
      <rPr>
        <sz val="11"/>
        <color theme="1"/>
        <rFont val="Calibri"/>
        <family val="2"/>
      </rPr>
      <t>% /</t>
    </r>
    <r>
      <rPr>
        <sz val="8.4499999999999993"/>
        <color theme="1"/>
        <rFont val="Proxima Nova Lt"/>
      </rPr>
      <t xml:space="preserve"> </t>
    </r>
    <r>
      <rPr>
        <sz val="8.4499999999999993"/>
        <color theme="1"/>
        <rFont val="Calibri"/>
        <family val="2"/>
      </rPr>
      <t>°</t>
    </r>
    <r>
      <rPr>
        <sz val="11"/>
        <color theme="1"/>
        <rFont val="Proxima Nova Lt"/>
      </rPr>
      <t>C)</t>
    </r>
  </si>
  <si>
    <t>Theoratical short circuit current (A)</t>
  </si>
  <si>
    <t>Rated PV module short circuit curent at standard conditions indicated in the photovoltaic panel data sheet (STC) (A)</t>
  </si>
  <si>
    <t>Polarity of the strings measured and checked</t>
  </si>
  <si>
    <r>
      <t>Measure and record the temperature measured on the backsheet of the PV module (T</t>
    </r>
    <r>
      <rPr>
        <sz val="9"/>
        <color theme="1"/>
        <rFont val="Proxima Nova Lt"/>
      </rPr>
      <t xml:space="preserve">m </t>
    </r>
    <r>
      <rPr>
        <sz val="11"/>
        <color theme="1"/>
        <rFont val="Proxima Nova Lt"/>
      </rPr>
      <t>) for thermographic camera or through the average of the temperature cell sensors</t>
    </r>
  </si>
  <si>
    <t>Measure and record the Irradiance on the plane of the PV modules when performing the I-V curve</t>
  </si>
  <si>
    <r>
      <t>Measure and record the open circuit voltage V</t>
    </r>
    <r>
      <rPr>
        <sz val="9"/>
        <color theme="1"/>
        <rFont val="Proxima Nova Lt"/>
      </rPr>
      <t xml:space="preserve">oc </t>
    </r>
    <r>
      <rPr>
        <sz val="11"/>
        <color theme="1"/>
        <rFont val="Proxima Nova Lt"/>
      </rPr>
      <t>across each string through the I-V tracer</t>
    </r>
  </si>
  <si>
    <t>Test carried out before connecting the inverters to the loads</t>
  </si>
  <si>
    <r>
      <t>Measure and record the short circuit current     (I</t>
    </r>
    <r>
      <rPr>
        <sz val="9"/>
        <color theme="1"/>
        <rFont val="Proxima Nova Lt"/>
      </rPr>
      <t xml:space="preserve">sc </t>
    </r>
    <r>
      <rPr>
        <sz val="11"/>
        <color theme="1"/>
        <rFont val="Proxima Nova Lt"/>
      </rPr>
      <t>) of the string through the I-V tracer</t>
    </r>
  </si>
  <si>
    <t>INVERTER 2</t>
  </si>
  <si>
    <r>
      <t>V</t>
    </r>
    <r>
      <rPr>
        <sz val="9"/>
        <color theme="1"/>
        <rFont val="Proxima Nova Lt"/>
      </rPr>
      <t>oc theo</t>
    </r>
  </si>
  <si>
    <r>
      <t>N</t>
    </r>
    <r>
      <rPr>
        <sz val="9"/>
        <color theme="1"/>
        <rFont val="Proxima Nova Lt"/>
      </rPr>
      <t>mod</t>
    </r>
  </si>
  <si>
    <r>
      <t>V</t>
    </r>
    <r>
      <rPr>
        <sz val="9"/>
        <color theme="1"/>
        <rFont val="Proxima Nova Lt"/>
      </rPr>
      <t>oc stc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</si>
  <si>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Proxima Nova Lt"/>
      </rPr>
      <t>V</t>
    </r>
    <r>
      <rPr>
        <sz val="9"/>
        <color theme="1"/>
        <rFont val="Proxima Nova Lt"/>
      </rPr>
      <t>oc</t>
    </r>
  </si>
  <si>
    <t>Tc</t>
  </si>
  <si>
    <r>
      <t>V</t>
    </r>
    <r>
      <rPr>
        <b/>
        <sz val="9"/>
        <color theme="1"/>
        <rFont val="Proxima Nova Lt"/>
      </rPr>
      <t>oc theo</t>
    </r>
  </si>
  <si>
    <r>
      <t>N</t>
    </r>
    <r>
      <rPr>
        <b/>
        <sz val="9"/>
        <color theme="1"/>
        <rFont val="Proxima Nova Lt"/>
      </rPr>
      <t>mod</t>
    </r>
  </si>
  <si>
    <r>
      <t>V</t>
    </r>
    <r>
      <rPr>
        <b/>
        <sz val="9"/>
        <color theme="1"/>
        <rFont val="Proxima Nova Lt"/>
      </rPr>
      <t>oc stc</t>
    </r>
  </si>
  <si>
    <r>
      <t xml:space="preserve">δ </t>
    </r>
    <r>
      <rPr>
        <b/>
        <sz val="11"/>
        <color theme="1"/>
        <rFont val="Proxima Nova Lt"/>
      </rPr>
      <t>V</t>
    </r>
    <r>
      <rPr>
        <b/>
        <sz val="9"/>
        <color theme="1"/>
        <rFont val="Proxima Nova Lt"/>
      </rPr>
      <t>oc</t>
    </r>
  </si>
  <si>
    <t>Theoratical open circuit voltage (V)</t>
  </si>
  <si>
    <t>Number of the modules which compose each tested string</t>
  </si>
  <si>
    <t>Rated PV module open circuit voltage at standard conditions (STC) (V)</t>
  </si>
  <si>
    <r>
      <t>PV module manufacturer's rated temperature coefficient of V</t>
    </r>
    <r>
      <rPr>
        <sz val="9"/>
        <color theme="1"/>
        <rFont val="Proxima Nova Lt"/>
      </rPr>
      <t xml:space="preserve">oc </t>
    </r>
    <r>
      <rPr>
        <sz val="11"/>
        <color theme="1"/>
        <rFont val="Proxima Nova Lt"/>
      </rPr>
      <t xml:space="preserve"> (</t>
    </r>
    <r>
      <rPr>
        <sz val="11"/>
        <color theme="1"/>
        <rFont val="Calibri"/>
        <family val="2"/>
      </rPr>
      <t>%</t>
    </r>
    <r>
      <rPr>
        <sz val="11"/>
        <color theme="1"/>
        <rFont val="Proxima Nova Lt"/>
      </rPr>
      <t xml:space="preserve"> / </t>
    </r>
    <r>
      <rPr>
        <sz val="11"/>
        <color theme="1"/>
        <rFont val="Calibri"/>
        <family val="2"/>
      </rPr>
      <t>°</t>
    </r>
    <r>
      <rPr>
        <sz val="11"/>
        <color theme="1"/>
        <rFont val="Proxima Nova Lt"/>
      </rPr>
      <t xml:space="preserve"> C)</t>
    </r>
  </si>
  <si>
    <t>Strings polarity must be correct.</t>
  </si>
  <si>
    <t>The accuracy of the I-V tracer and the infrared camera used will be considered.</t>
  </si>
  <si>
    <t>INVERTER 3</t>
  </si>
  <si>
    <t>INVERTER 4</t>
  </si>
  <si>
    <t>INVERTER 5</t>
  </si>
  <si>
    <t>Inverter</t>
  </si>
  <si>
    <t>MPPT</t>
  </si>
  <si>
    <t>Tm</t>
  </si>
  <si>
    <t>Gstc</t>
  </si>
  <si>
    <t>ΔT</t>
  </si>
  <si>
    <t>Voc theo</t>
  </si>
  <si>
    <t>Nmod</t>
  </si>
  <si>
    <t>Voc stc</t>
  </si>
  <si>
    <t>δ Voc</t>
  </si>
  <si>
    <t>Isc stc</t>
  </si>
  <si>
    <t>δIsc</t>
  </si>
  <si>
    <t>Isc theo</t>
  </si>
  <si>
    <t>Voc Measure</t>
  </si>
  <si>
    <t>Isc Measure</t>
  </si>
  <si>
    <t>Voc stc Check</t>
  </si>
  <si>
    <r>
      <t>V</t>
    </r>
    <r>
      <rPr>
        <sz val="9"/>
        <color theme="1"/>
        <rFont val="Proxima Nova Lt"/>
      </rPr>
      <t>oc meas</t>
    </r>
  </si>
  <si>
    <t>Isc meas</t>
  </si>
  <si>
    <t>Tested By:</t>
  </si>
  <si>
    <t>Date:</t>
  </si>
  <si>
    <t>A1 Commissioning - IV Curve Testing</t>
  </si>
  <si>
    <t>INVERTER 6</t>
  </si>
  <si>
    <t>INVERTER 7</t>
  </si>
  <si>
    <t>INVERTER 8</t>
  </si>
  <si>
    <t>INVERTER 9</t>
  </si>
  <si>
    <t>INVERTER 10</t>
  </si>
  <si>
    <t>INVERTER 11</t>
  </si>
  <si>
    <t>INVERTER 12</t>
  </si>
  <si>
    <t>INVERTER 13</t>
  </si>
  <si>
    <t>Site Name</t>
  </si>
  <si>
    <t>Your Name Here</t>
  </si>
  <si>
    <t>The Date</t>
  </si>
  <si>
    <t>0.95*Voc theo</t>
  </si>
  <si>
    <t>X *Voc theo</t>
  </si>
  <si>
    <t>0.95*Isc Theo</t>
  </si>
  <si>
    <t>X*Isc Theo</t>
  </si>
  <si>
    <t>Fuses removed prior to connection of the I-V tracer in the case that the PV Facility is connected to the electrical network</t>
  </si>
  <si>
    <r>
      <t>T</t>
    </r>
    <r>
      <rPr>
        <b/>
        <sz val="9"/>
        <color theme="1"/>
        <rFont val="Proxima Nova Lt"/>
      </rPr>
      <t>c</t>
    </r>
    <r>
      <rPr>
        <b/>
        <sz val="11"/>
        <color theme="1"/>
        <rFont val="Proxima Nova Lt"/>
      </rPr>
      <t>: temperature of the cell of the PV module will be calculated theoretically using the formula:</t>
    </r>
  </si>
  <si>
    <r>
      <t>V</t>
    </r>
    <r>
      <rPr>
        <b/>
        <sz val="9"/>
        <color theme="1"/>
        <rFont val="Proxima Nova Lt"/>
      </rPr>
      <t>oc</t>
    </r>
    <r>
      <rPr>
        <b/>
        <sz val="10"/>
        <color theme="1"/>
        <rFont val="Proxima Nova Lt"/>
      </rPr>
      <t xml:space="preserve"> theo : Theoretical open circuit voltage will be calculated theoretically using the formular:</t>
    </r>
  </si>
  <si>
    <t>Theoretical open circuit voltage (V)</t>
  </si>
  <si>
    <r>
      <t>I</t>
    </r>
    <r>
      <rPr>
        <b/>
        <sz val="9"/>
        <color theme="1"/>
        <rFont val="Proxima Nova Lt"/>
      </rPr>
      <t>sc theo : Theoretical short circuit current will be calculated theoretically using the formula:</t>
    </r>
    <r>
      <rPr>
        <b/>
        <sz val="11"/>
        <color theme="1"/>
        <rFont val="Proxima Nova Lt"/>
      </rPr>
      <t xml:space="preserve">   </t>
    </r>
  </si>
  <si>
    <t>Theoretical short circuit current (A)</t>
  </si>
  <si>
    <t xml:space="preserve">Module at </t>
  </si>
  <si>
    <r>
      <t>Test carried out during a cloudless interval with irradiance above 600W/m</t>
    </r>
    <r>
      <rPr>
        <sz val="9"/>
        <color theme="1"/>
        <rFont val="Proxima Nova Lt"/>
      </rPr>
      <t>2</t>
    </r>
  </si>
  <si>
    <t>No string may have a measured Voc that differs by less than 5% from the theoretical (Voc &gt; 0.9* Voc theo).</t>
  </si>
  <si>
    <t>No string may have a measured Isc that differs by less than 5% from the theoretical (Isc &gt; 0.9 * Isc theo).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</si>
</sst>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1C09]dd\ mmmm\ yyyy;@"/>
    <numFmt numFmtId="166" formatCode="0.00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Proxima Nova Lt"/>
    </font>
    <font>
      <b/>
      <sz val="11"/>
      <color theme="1"/>
      <name val="Proxima Nova Lt"/>
    </font>
    <font>
      <sz val="20"/>
      <color theme="1"/>
      <name val="Proxima Nova Lt"/>
    </font>
    <font>
      <sz val="10"/>
      <color theme="1"/>
      <name val="Proxima Nova Lt"/>
    </font>
    <font>
      <b/>
      <sz val="22"/>
      <color theme="0"/>
      <name val="Proxima Nova Lt"/>
    </font>
    <font>
      <b/>
      <sz val="11"/>
      <color theme="0"/>
      <name val="Proxima Nova Lt"/>
    </font>
    <font>
      <b/>
      <sz val="10"/>
      <color theme="0"/>
      <name val="Proxima Nova Lt"/>
    </font>
    <font>
      <sz val="11"/>
      <color theme="1"/>
      <name val="Calibri"/>
      <family val="2"/>
    </font>
    <font>
      <b/>
      <sz val="9"/>
      <color theme="1"/>
      <name val="Proxima Nova Lt"/>
    </font>
    <font>
      <b/>
      <sz val="10"/>
      <color theme="1"/>
      <name val="Proxima Nova Lt"/>
    </font>
    <font>
      <sz val="9"/>
      <color theme="1"/>
      <name val="Proxima Nova Lt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8.4499999999999993"/>
      <color theme="1"/>
      <name val="Proxima Nova Lt"/>
    </font>
    <font>
      <sz val="11"/>
      <color theme="1"/>
      <name val="Proxima Nova Lt"/>
      <family val="2"/>
    </font>
    <font>
      <sz val="8.4499999999999993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A34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indexed="64"/>
      </top>
      <bottom/>
      <diagonal/>
    </border>
    <border>
      <left style="thin">
        <color theme="9"/>
      </left>
      <right style="thin">
        <color theme="9"/>
      </right>
      <top style="medium">
        <color indexed="64"/>
      </top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0" xfId="0" applyBorder="1"/>
    <xf numFmtId="0" fontId="0" fillId="0" borderId="0" xfId="0" applyFill="1"/>
    <xf numFmtId="0" fontId="1" fillId="0" borderId="0" xfId="0" applyFont="1" applyBorder="1"/>
    <xf numFmtId="0" fontId="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Fill="1"/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13" xfId="0" quotePrefix="1" applyFont="1" applyBorder="1" applyAlignment="1">
      <alignment horizontal="center" vertical="center"/>
    </xf>
    <xf numFmtId="0" fontId="0" fillId="0" borderId="15" xfId="0" applyBorder="1"/>
    <xf numFmtId="0" fontId="0" fillId="0" borderId="20" xfId="0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" fontId="1" fillId="0" borderId="13" xfId="0" quotePrefix="1" applyNumberFormat="1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Alignment="1">
      <alignment wrapText="1"/>
    </xf>
    <xf numFmtId="1" fontId="1" fillId="4" borderId="13" xfId="0" quotePrefix="1" applyNumberFormat="1" applyFont="1" applyFill="1" applyBorder="1" applyAlignment="1">
      <alignment horizontal="center" vertical="center"/>
    </xf>
    <xf numFmtId="0" fontId="1" fillId="4" borderId="13" xfId="0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2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0" fontId="0" fillId="0" borderId="15" xfId="0" applyNumberForma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2" fontId="0" fillId="5" borderId="19" xfId="0" applyNumberFormat="1" applyFill="1" applyBorder="1" applyAlignment="1">
      <alignment horizontal="center" vertical="center"/>
    </xf>
    <xf numFmtId="2" fontId="0" fillId="5" borderId="14" xfId="0" applyNumberFormat="1" applyFill="1" applyBorder="1" applyAlignment="1">
      <alignment horizontal="center" vertical="center"/>
    </xf>
    <xf numFmtId="165" fontId="0" fillId="5" borderId="21" xfId="0" applyNumberFormat="1" applyFill="1" applyBorder="1" applyAlignment="1">
      <alignment horizontal="left" vertical="center"/>
    </xf>
    <xf numFmtId="0" fontId="0" fillId="5" borderId="0" xfId="0" applyFill="1" applyBorder="1"/>
    <xf numFmtId="0" fontId="0" fillId="5" borderId="0" xfId="0" applyFill="1" applyBorder="1" applyAlignment="1">
      <alignment wrapText="1"/>
    </xf>
    <xf numFmtId="9" fontId="1" fillId="0" borderId="8" xfId="0" applyNumberFormat="1" applyFont="1" applyBorder="1" applyAlignment="1">
      <alignment horizontal="center" vertical="center"/>
    </xf>
    <xf numFmtId="166" fontId="0" fillId="0" borderId="15" xfId="0" applyNumberForma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2" fontId="1" fillId="0" borderId="8" xfId="0" quotePrefix="1" applyNumberFormat="1" applyFont="1" applyBorder="1" applyAlignment="1">
      <alignment horizontal="center" vertical="center"/>
    </xf>
    <xf numFmtId="1" fontId="1" fillId="0" borderId="8" xfId="0" quotePrefix="1" applyNumberFormat="1" applyFont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15" xfId="0" applyFill="1" applyBorder="1"/>
    <xf numFmtId="0" fontId="0" fillId="0" borderId="16" xfId="0" applyFill="1" applyBorder="1"/>
    <xf numFmtId="0" fontId="0" fillId="0" borderId="15" xfId="0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25" xfId="0" applyFont="1" applyFill="1" applyBorder="1" applyAlignment="1">
      <alignment horizontal="center"/>
    </xf>
    <xf numFmtId="0" fontId="0" fillId="0" borderId="0" xfId="0" applyFill="1" applyBorder="1"/>
    <xf numFmtId="0" fontId="0" fillId="0" borderId="18" xfId="0" applyFill="1" applyBorder="1"/>
    <xf numFmtId="0" fontId="0" fillId="0" borderId="0" xfId="0" applyFill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0" xfId="0" applyFill="1" applyBorder="1"/>
    <xf numFmtId="0" fontId="0" fillId="0" borderId="21" xfId="0" applyFill="1" applyBorder="1"/>
    <xf numFmtId="0" fontId="0" fillId="0" borderId="20" xfId="0" applyFill="1" applyBorder="1" applyAlignment="1">
      <alignment horizontal="center"/>
    </xf>
    <xf numFmtId="2" fontId="0" fillId="0" borderId="25" xfId="0" applyNumberFormat="1" applyFont="1" applyFill="1" applyBorder="1" applyAlignment="1">
      <alignment horizontal="center"/>
    </xf>
    <xf numFmtId="2" fontId="0" fillId="0" borderId="15" xfId="0" applyNumberFormat="1" applyFill="1" applyBorder="1" applyAlignment="1">
      <alignment horizontal="center"/>
    </xf>
    <xf numFmtId="2" fontId="0" fillId="0" borderId="23" xfId="0" applyNumberFormat="1" applyFont="1" applyFill="1" applyBorder="1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0" borderId="2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1" fillId="0" borderId="13" xfId="0" quotePrefix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10" fontId="1" fillId="0" borderId="3" xfId="0" quotePrefix="1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1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1" fontId="0" fillId="0" borderId="15" xfId="0" applyNumberFormat="1" applyFill="1" applyBorder="1" applyAlignment="1">
      <alignment horizontal="center"/>
    </xf>
    <xf numFmtId="1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 vertical="center"/>
    </xf>
    <xf numFmtId="1" fontId="0" fillId="0" borderId="20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20">
    <dxf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/>
        <right style="medium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medium">
          <color indexed="64"/>
        </left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1EA34A"/>
      <color rgb="FF424745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5</xdr:row>
          <xdr:rowOff>19050</xdr:rowOff>
        </xdr:from>
        <xdr:to>
          <xdr:col>7</xdr:col>
          <xdr:colOff>447675</xdr:colOff>
          <xdr:row>5</xdr:row>
          <xdr:rowOff>238125</xdr:rowOff>
        </xdr:to>
        <xdr:sp macro="" textlink="">
          <xdr:nvSpPr>
            <xdr:cNvPr id="3361" name="Check Box 289" hidden="1">
              <a:extLst>
                <a:ext uri="{63B3BB69-23CF-44E3-9099-C40C66FF867C}">
                  <a14:compatExt spid="_x0000_s3361"/>
                </a:ext>
                <a:ext uri="{FF2B5EF4-FFF2-40B4-BE49-F238E27FC236}">
                  <a16:creationId xmlns:a16="http://schemas.microsoft.com/office/drawing/2014/main" id="{00000000-0008-0000-0000-00002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5</xdr:row>
          <xdr:rowOff>9525</xdr:rowOff>
        </xdr:from>
        <xdr:to>
          <xdr:col>7</xdr:col>
          <xdr:colOff>962025</xdr:colOff>
          <xdr:row>5</xdr:row>
          <xdr:rowOff>228600</xdr:rowOff>
        </xdr:to>
        <xdr:sp macro="" textlink="">
          <xdr:nvSpPr>
            <xdr:cNvPr id="3362" name="Check Box 290" hidden="1">
              <a:extLst>
                <a:ext uri="{63B3BB69-23CF-44E3-9099-C40C66FF867C}">
                  <a14:compatExt spid="_x0000_s3362"/>
                </a:ext>
                <a:ext uri="{FF2B5EF4-FFF2-40B4-BE49-F238E27FC236}">
                  <a16:creationId xmlns:a16="http://schemas.microsoft.com/office/drawing/2014/main" id="{00000000-0008-0000-0000-00002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6</xdr:row>
          <xdr:rowOff>19050</xdr:rowOff>
        </xdr:from>
        <xdr:to>
          <xdr:col>7</xdr:col>
          <xdr:colOff>447675</xdr:colOff>
          <xdr:row>6</xdr:row>
          <xdr:rowOff>238125</xdr:rowOff>
        </xdr:to>
        <xdr:sp macro="" textlink="">
          <xdr:nvSpPr>
            <xdr:cNvPr id="3363" name="Check Box 291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00000000-0008-0000-0000-00002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6</xdr:row>
          <xdr:rowOff>9525</xdr:rowOff>
        </xdr:from>
        <xdr:to>
          <xdr:col>7</xdr:col>
          <xdr:colOff>962025</xdr:colOff>
          <xdr:row>6</xdr:row>
          <xdr:rowOff>228600</xdr:rowOff>
        </xdr:to>
        <xdr:sp macro="" textlink="">
          <xdr:nvSpPr>
            <xdr:cNvPr id="3364" name="Check Box 292" hidden="1">
              <a:extLst>
                <a:ext uri="{63B3BB69-23CF-44E3-9099-C40C66FF867C}">
                  <a14:compatExt spid="_x0000_s3364"/>
                </a:ext>
                <a:ext uri="{FF2B5EF4-FFF2-40B4-BE49-F238E27FC236}">
                  <a16:creationId xmlns:a16="http://schemas.microsoft.com/office/drawing/2014/main" id="{00000000-0008-0000-0000-00002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7</xdr:row>
          <xdr:rowOff>19050</xdr:rowOff>
        </xdr:from>
        <xdr:to>
          <xdr:col>7</xdr:col>
          <xdr:colOff>447675</xdr:colOff>
          <xdr:row>7</xdr:row>
          <xdr:rowOff>238125</xdr:rowOff>
        </xdr:to>
        <xdr:sp macro="" textlink="">
          <xdr:nvSpPr>
            <xdr:cNvPr id="3365" name="Check Box 293" hidden="1">
              <a:extLst>
                <a:ext uri="{63B3BB69-23CF-44E3-9099-C40C66FF867C}">
                  <a14:compatExt spid="_x0000_s3365"/>
                </a:ext>
                <a:ext uri="{FF2B5EF4-FFF2-40B4-BE49-F238E27FC236}">
                  <a16:creationId xmlns:a16="http://schemas.microsoft.com/office/drawing/2014/main" id="{00000000-0008-0000-0000-00002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7</xdr:row>
          <xdr:rowOff>9525</xdr:rowOff>
        </xdr:from>
        <xdr:to>
          <xdr:col>7</xdr:col>
          <xdr:colOff>962025</xdr:colOff>
          <xdr:row>7</xdr:row>
          <xdr:rowOff>228600</xdr:rowOff>
        </xdr:to>
        <xdr:sp macro="" textlink="">
          <xdr:nvSpPr>
            <xdr:cNvPr id="3366" name="Check Box 294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00000000-0008-0000-0000-00002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8</xdr:row>
          <xdr:rowOff>19050</xdr:rowOff>
        </xdr:from>
        <xdr:to>
          <xdr:col>7</xdr:col>
          <xdr:colOff>447675</xdr:colOff>
          <xdr:row>8</xdr:row>
          <xdr:rowOff>238125</xdr:rowOff>
        </xdr:to>
        <xdr:sp macro="" textlink="">
          <xdr:nvSpPr>
            <xdr:cNvPr id="3367" name="Check Box 295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00000000-0008-0000-0000-00002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8</xdr:row>
          <xdr:rowOff>9525</xdr:rowOff>
        </xdr:from>
        <xdr:to>
          <xdr:col>7</xdr:col>
          <xdr:colOff>962025</xdr:colOff>
          <xdr:row>8</xdr:row>
          <xdr:rowOff>228600</xdr:rowOff>
        </xdr:to>
        <xdr:sp macro="" textlink="">
          <xdr:nvSpPr>
            <xdr:cNvPr id="3368" name="Check Box 296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00000000-0008-0000-0000-00002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9</xdr:row>
          <xdr:rowOff>19050</xdr:rowOff>
        </xdr:from>
        <xdr:to>
          <xdr:col>7</xdr:col>
          <xdr:colOff>447675</xdr:colOff>
          <xdr:row>9</xdr:row>
          <xdr:rowOff>238125</xdr:rowOff>
        </xdr:to>
        <xdr:sp macro="" textlink="">
          <xdr:nvSpPr>
            <xdr:cNvPr id="3369" name="Check Box 297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00000000-0008-0000-0000-00002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9</xdr:row>
          <xdr:rowOff>9525</xdr:rowOff>
        </xdr:from>
        <xdr:to>
          <xdr:col>7</xdr:col>
          <xdr:colOff>962025</xdr:colOff>
          <xdr:row>9</xdr:row>
          <xdr:rowOff>228600</xdr:rowOff>
        </xdr:to>
        <xdr:sp macro="" textlink="">
          <xdr:nvSpPr>
            <xdr:cNvPr id="3370" name="Check Box 298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00000000-0008-0000-0000-00002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10</xdr:row>
          <xdr:rowOff>19050</xdr:rowOff>
        </xdr:from>
        <xdr:to>
          <xdr:col>7</xdr:col>
          <xdr:colOff>447675</xdr:colOff>
          <xdr:row>10</xdr:row>
          <xdr:rowOff>238125</xdr:rowOff>
        </xdr:to>
        <xdr:sp macro="" textlink="">
          <xdr:nvSpPr>
            <xdr:cNvPr id="3371" name="Check Box 299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00000000-0008-0000-0000-00002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10</xdr:row>
          <xdr:rowOff>9525</xdr:rowOff>
        </xdr:from>
        <xdr:to>
          <xdr:col>7</xdr:col>
          <xdr:colOff>962025</xdr:colOff>
          <xdr:row>10</xdr:row>
          <xdr:rowOff>228600</xdr:rowOff>
        </xdr:to>
        <xdr:sp macro="" textlink="">
          <xdr:nvSpPr>
            <xdr:cNvPr id="3372" name="Check Box 300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00000000-0008-0000-0000-00002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11</xdr:row>
          <xdr:rowOff>19050</xdr:rowOff>
        </xdr:from>
        <xdr:to>
          <xdr:col>7</xdr:col>
          <xdr:colOff>447675</xdr:colOff>
          <xdr:row>11</xdr:row>
          <xdr:rowOff>238125</xdr:rowOff>
        </xdr:to>
        <xdr:sp macro="" textlink="">
          <xdr:nvSpPr>
            <xdr:cNvPr id="3373" name="Check Box 301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00000000-0008-0000-0000-00002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11</xdr:row>
          <xdr:rowOff>9525</xdr:rowOff>
        </xdr:from>
        <xdr:to>
          <xdr:col>7</xdr:col>
          <xdr:colOff>962025</xdr:colOff>
          <xdr:row>11</xdr:row>
          <xdr:rowOff>228600</xdr:rowOff>
        </xdr:to>
        <xdr:sp macro="" textlink="">
          <xdr:nvSpPr>
            <xdr:cNvPr id="3374" name="Check Box 302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00000000-0008-0000-0000-00002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12</xdr:row>
          <xdr:rowOff>19050</xdr:rowOff>
        </xdr:from>
        <xdr:to>
          <xdr:col>7</xdr:col>
          <xdr:colOff>447675</xdr:colOff>
          <xdr:row>12</xdr:row>
          <xdr:rowOff>238125</xdr:rowOff>
        </xdr:to>
        <xdr:sp macro="" textlink="">
          <xdr:nvSpPr>
            <xdr:cNvPr id="3375" name="Check Box 303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00000000-0008-0000-0000-00002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12</xdr:row>
          <xdr:rowOff>9525</xdr:rowOff>
        </xdr:from>
        <xdr:to>
          <xdr:col>7</xdr:col>
          <xdr:colOff>962025</xdr:colOff>
          <xdr:row>12</xdr:row>
          <xdr:rowOff>228600</xdr:rowOff>
        </xdr:to>
        <xdr:sp macro="" textlink="">
          <xdr:nvSpPr>
            <xdr:cNvPr id="3376" name="Check Box 304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00000000-0008-0000-0000-00003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5</xdr:row>
          <xdr:rowOff>19050</xdr:rowOff>
        </xdr:from>
        <xdr:to>
          <xdr:col>8</xdr:col>
          <xdr:colOff>447675</xdr:colOff>
          <xdr:row>5</xdr:row>
          <xdr:rowOff>238125</xdr:rowOff>
        </xdr:to>
        <xdr:sp macro="" textlink="">
          <xdr:nvSpPr>
            <xdr:cNvPr id="3377" name="Check Box 305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00000000-0008-0000-0000-00003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5</xdr:row>
          <xdr:rowOff>9525</xdr:rowOff>
        </xdr:from>
        <xdr:to>
          <xdr:col>8</xdr:col>
          <xdr:colOff>962025</xdr:colOff>
          <xdr:row>5</xdr:row>
          <xdr:rowOff>228600</xdr:rowOff>
        </xdr:to>
        <xdr:sp macro="" textlink="">
          <xdr:nvSpPr>
            <xdr:cNvPr id="3378" name="Check Box 306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00000000-0008-0000-0000-00003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6</xdr:row>
          <xdr:rowOff>19050</xdr:rowOff>
        </xdr:from>
        <xdr:to>
          <xdr:col>8</xdr:col>
          <xdr:colOff>447675</xdr:colOff>
          <xdr:row>6</xdr:row>
          <xdr:rowOff>238125</xdr:rowOff>
        </xdr:to>
        <xdr:sp macro="" textlink="">
          <xdr:nvSpPr>
            <xdr:cNvPr id="3379" name="Check Box 307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00000000-0008-0000-0000-00003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6</xdr:row>
          <xdr:rowOff>9525</xdr:rowOff>
        </xdr:from>
        <xdr:to>
          <xdr:col>8</xdr:col>
          <xdr:colOff>962025</xdr:colOff>
          <xdr:row>6</xdr:row>
          <xdr:rowOff>228600</xdr:rowOff>
        </xdr:to>
        <xdr:sp macro="" textlink="">
          <xdr:nvSpPr>
            <xdr:cNvPr id="3380" name="Check Box 308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00000000-0008-0000-0000-00003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7</xdr:row>
          <xdr:rowOff>19050</xdr:rowOff>
        </xdr:from>
        <xdr:to>
          <xdr:col>8</xdr:col>
          <xdr:colOff>447675</xdr:colOff>
          <xdr:row>7</xdr:row>
          <xdr:rowOff>238125</xdr:rowOff>
        </xdr:to>
        <xdr:sp macro="" textlink="">
          <xdr:nvSpPr>
            <xdr:cNvPr id="3381" name="Check Box 309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00000000-0008-0000-0000-00003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7</xdr:row>
          <xdr:rowOff>9525</xdr:rowOff>
        </xdr:from>
        <xdr:to>
          <xdr:col>8</xdr:col>
          <xdr:colOff>962025</xdr:colOff>
          <xdr:row>7</xdr:row>
          <xdr:rowOff>228600</xdr:rowOff>
        </xdr:to>
        <xdr:sp macro="" textlink="">
          <xdr:nvSpPr>
            <xdr:cNvPr id="3382" name="Check Box 310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00000000-0008-0000-0000-00003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8</xdr:row>
          <xdr:rowOff>19050</xdr:rowOff>
        </xdr:from>
        <xdr:to>
          <xdr:col>8</xdr:col>
          <xdr:colOff>447675</xdr:colOff>
          <xdr:row>8</xdr:row>
          <xdr:rowOff>238125</xdr:rowOff>
        </xdr:to>
        <xdr:sp macro="" textlink="">
          <xdr:nvSpPr>
            <xdr:cNvPr id="3383" name="Check Box 311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00000000-0008-0000-0000-00003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8</xdr:row>
          <xdr:rowOff>9525</xdr:rowOff>
        </xdr:from>
        <xdr:to>
          <xdr:col>8</xdr:col>
          <xdr:colOff>962025</xdr:colOff>
          <xdr:row>8</xdr:row>
          <xdr:rowOff>228600</xdr:rowOff>
        </xdr:to>
        <xdr:sp macro="" textlink="">
          <xdr:nvSpPr>
            <xdr:cNvPr id="3384" name="Check Box 312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00000000-0008-0000-0000-00003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9</xdr:row>
          <xdr:rowOff>19050</xdr:rowOff>
        </xdr:from>
        <xdr:to>
          <xdr:col>8</xdr:col>
          <xdr:colOff>447675</xdr:colOff>
          <xdr:row>9</xdr:row>
          <xdr:rowOff>238125</xdr:rowOff>
        </xdr:to>
        <xdr:sp macro="" textlink="">
          <xdr:nvSpPr>
            <xdr:cNvPr id="3385" name="Check Box 313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00000000-0008-0000-0000-00003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9</xdr:row>
          <xdr:rowOff>9525</xdr:rowOff>
        </xdr:from>
        <xdr:to>
          <xdr:col>8</xdr:col>
          <xdr:colOff>962025</xdr:colOff>
          <xdr:row>9</xdr:row>
          <xdr:rowOff>228600</xdr:rowOff>
        </xdr:to>
        <xdr:sp macro="" textlink="">
          <xdr:nvSpPr>
            <xdr:cNvPr id="3386" name="Check Box 314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00000000-0008-0000-0000-00003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10</xdr:row>
          <xdr:rowOff>19050</xdr:rowOff>
        </xdr:from>
        <xdr:to>
          <xdr:col>8</xdr:col>
          <xdr:colOff>447675</xdr:colOff>
          <xdr:row>10</xdr:row>
          <xdr:rowOff>238125</xdr:rowOff>
        </xdr:to>
        <xdr:sp macro="" textlink="">
          <xdr:nvSpPr>
            <xdr:cNvPr id="3387" name="Check Box 315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00000000-0008-0000-0000-00003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10</xdr:row>
          <xdr:rowOff>9525</xdr:rowOff>
        </xdr:from>
        <xdr:to>
          <xdr:col>8</xdr:col>
          <xdr:colOff>962025</xdr:colOff>
          <xdr:row>10</xdr:row>
          <xdr:rowOff>228600</xdr:rowOff>
        </xdr:to>
        <xdr:sp macro="" textlink="">
          <xdr:nvSpPr>
            <xdr:cNvPr id="3388" name="Check Box 316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00000000-0008-0000-0000-00003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11</xdr:row>
          <xdr:rowOff>19050</xdr:rowOff>
        </xdr:from>
        <xdr:to>
          <xdr:col>8</xdr:col>
          <xdr:colOff>447675</xdr:colOff>
          <xdr:row>11</xdr:row>
          <xdr:rowOff>238125</xdr:rowOff>
        </xdr:to>
        <xdr:sp macro="" textlink="">
          <xdr:nvSpPr>
            <xdr:cNvPr id="3389" name="Check Box 317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00000000-0008-0000-0000-00003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11</xdr:row>
          <xdr:rowOff>9525</xdr:rowOff>
        </xdr:from>
        <xdr:to>
          <xdr:col>8</xdr:col>
          <xdr:colOff>962025</xdr:colOff>
          <xdr:row>11</xdr:row>
          <xdr:rowOff>228600</xdr:rowOff>
        </xdr:to>
        <xdr:sp macro="" textlink="">
          <xdr:nvSpPr>
            <xdr:cNvPr id="3390" name="Check Box 318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00000000-0008-0000-0000-00003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12</xdr:row>
          <xdr:rowOff>19050</xdr:rowOff>
        </xdr:from>
        <xdr:to>
          <xdr:col>8</xdr:col>
          <xdr:colOff>447675</xdr:colOff>
          <xdr:row>12</xdr:row>
          <xdr:rowOff>238125</xdr:rowOff>
        </xdr:to>
        <xdr:sp macro="" textlink="">
          <xdr:nvSpPr>
            <xdr:cNvPr id="3391" name="Check Box 319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00000000-0008-0000-0000-00003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12</xdr:row>
          <xdr:rowOff>9525</xdr:rowOff>
        </xdr:from>
        <xdr:to>
          <xdr:col>8</xdr:col>
          <xdr:colOff>962025</xdr:colOff>
          <xdr:row>12</xdr:row>
          <xdr:rowOff>228600</xdr:rowOff>
        </xdr:to>
        <xdr:sp macro="" textlink="">
          <xdr:nvSpPr>
            <xdr:cNvPr id="3392" name="Check Box 320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00000000-0008-0000-0000-00004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105375</xdr:colOff>
      <xdr:row>220</xdr:row>
      <xdr:rowOff>485384</xdr:rowOff>
    </xdr:from>
    <xdr:to>
      <xdr:col>7</xdr:col>
      <xdr:colOff>181258</xdr:colOff>
      <xdr:row>221</xdr:row>
      <xdr:rowOff>128732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2933" y="23220826"/>
          <a:ext cx="2808761" cy="24415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115680</xdr:colOff>
      <xdr:row>423</xdr:row>
      <xdr:rowOff>512799</xdr:rowOff>
    </xdr:from>
    <xdr:to>
      <xdr:col>7</xdr:col>
      <xdr:colOff>485478</xdr:colOff>
      <xdr:row>425</xdr:row>
      <xdr:rowOff>131759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3238" y="39572626"/>
          <a:ext cx="3102676" cy="32381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65087</xdr:colOff>
      <xdr:row>18</xdr:row>
      <xdr:rowOff>517642</xdr:rowOff>
    </xdr:from>
    <xdr:to>
      <xdr:col>6</xdr:col>
      <xdr:colOff>316882</xdr:colOff>
      <xdr:row>19</xdr:row>
      <xdr:rowOff>126346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202" y="6730873"/>
          <a:ext cx="1328853" cy="30476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153865</xdr:colOff>
      <xdr:row>0</xdr:row>
      <xdr:rowOff>95250</xdr:rowOff>
    </xdr:from>
    <xdr:to>
      <xdr:col>6</xdr:col>
      <xdr:colOff>275965</xdr:colOff>
      <xdr:row>0</xdr:row>
      <xdr:rowOff>998480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65" y="95250"/>
          <a:ext cx="3353273" cy="9032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280147</xdr:colOff>
      <xdr:row>23</xdr:row>
      <xdr:rowOff>11206</xdr:rowOff>
    </xdr:from>
    <xdr:to>
      <xdr:col>37</xdr:col>
      <xdr:colOff>405300</xdr:colOff>
      <xdr:row>55</xdr:row>
      <xdr:rowOff>100636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5265" y="5233147"/>
          <a:ext cx="11790476" cy="62190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CB29EF-1043-4098-A231-36373984EE31}" name="Table3" displayName="Table3" ref="A1:N157" totalsRowShown="0" headerRowDxfId="16" dataDxfId="15" tableBorderDxfId="14">
  <autoFilter ref="A1:N157" xr:uid="{B88E87FC-FEA7-4467-8B38-0B4CD1F08EE3}"/>
  <tableColumns count="14">
    <tableColumn id="1" xr3:uid="{D21B4A9C-A65B-45DC-9E8E-21CF1847A289}" name="Inverter" dataDxfId="13"/>
    <tableColumn id="2" xr3:uid="{2394A62D-A423-435E-B4B7-A64FBFF6B6C5}" name="MPPT" dataDxfId="12"/>
    <tableColumn id="3" xr3:uid="{2B85FD42-EBBE-4822-9036-5610948FE9D8}" name="String" dataDxfId="11"/>
    <tableColumn id="4" xr3:uid="{9FEC3897-29D9-4730-9FA5-36730372B984}" name="Tc" dataDxfId="10"/>
    <tableColumn id="5" xr3:uid="{6DEE9C09-2D33-4EAB-9FEC-041D6DE08865}" name="G" dataDxfId="9"/>
    <tableColumn id="6" xr3:uid="{089376F1-14C6-4CE6-A94B-7BB45C3BE0EF}" name="Tm" dataDxfId="8"/>
    <tableColumn id="7" xr3:uid="{34497C9A-83B7-4578-8DD6-180427C0ADB9}" name="Voc Measure" dataDxfId="7"/>
    <tableColumn id="8" xr3:uid="{303FD281-6118-4A06-B138-D0B26B6DBBE8}" name="Isc Measure" dataDxfId="6"/>
    <tableColumn id="9" xr3:uid="{01A3CA4E-A253-49BF-9063-510B1C2A1EEF}" name="Voc stc Check" dataDxfId="5"/>
    <tableColumn id="10" xr3:uid="{7188BA65-47F2-4636-8797-71E7A976E237}" name="N" dataDxfId="2"/>
    <tableColumn id="11" xr3:uid="{1BC9EB40-F277-4C0A-8F97-DD7433C2B563}" name="Gstc" dataDxfId="0"/>
    <tableColumn id="12" xr3:uid="{B7EDEBBB-A405-488B-BE9C-AFCDA9768509}" name="ΔT" dataDxfId="1"/>
    <tableColumn id="13" xr3:uid="{D3F99730-61D4-43C6-A0E2-7D8EAB536E28}" name="Voc theo" dataDxfId="4"/>
    <tableColumn id="14" xr3:uid="{82F1BBF7-1DC5-4506-88C4-C956A58C23F7}" name="Nmod" dataDxfId="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E75A-D26A-4367-A7A9-27352C0F154B}">
  <dimension ref="A1:M643"/>
  <sheetViews>
    <sheetView tabSelected="1" topLeftCell="A626" zoomScale="115" zoomScaleNormal="115" zoomScaleSheetLayoutView="100" workbookViewId="0">
      <selection activeCell="K642" sqref="K642"/>
    </sheetView>
  </sheetViews>
  <sheetFormatPr defaultRowHeight="15" x14ac:dyDescent="0.25"/>
  <cols>
    <col min="1" max="1" width="10.42578125" style="10" customWidth="1"/>
    <col min="2" max="2" width="8.5703125" style="10" customWidth="1"/>
    <col min="3" max="3" width="5.5703125" style="10" customWidth="1"/>
    <col min="4" max="4" width="7.7109375" style="10" customWidth="1"/>
    <col min="5" max="5" width="7.85546875" style="10" customWidth="1"/>
    <col min="6" max="6" width="8.28515625" style="10" customWidth="1"/>
    <col min="7" max="7" width="11.5703125" style="10" customWidth="1"/>
    <col min="8" max="8" width="15.7109375" style="10" customWidth="1"/>
    <col min="9" max="9" width="15.5703125" style="10" customWidth="1"/>
    <col min="10" max="10" width="13.140625" style="10" customWidth="1"/>
    <col min="11" max="11" width="20.5703125" style="10" customWidth="1"/>
    <col min="12" max="12" width="28.7109375" style="65" bestFit="1" customWidth="1"/>
    <col min="13" max="13" width="17.5703125" style="10" customWidth="1"/>
  </cols>
  <sheetData>
    <row r="1" spans="1:13" ht="84.75" customHeight="1" thickBot="1" x14ac:dyDescent="0.3"/>
    <row r="2" spans="1:13" ht="24.75" customHeight="1" x14ac:dyDescent="0.25">
      <c r="A2" s="144" t="s">
        <v>88</v>
      </c>
      <c r="B2" s="144"/>
      <c r="C2" s="144"/>
      <c r="D2" s="144"/>
      <c r="E2" s="144"/>
      <c r="F2" s="144"/>
      <c r="G2" s="144"/>
      <c r="H2" s="144"/>
      <c r="I2" s="144"/>
      <c r="L2" s="91" t="s">
        <v>97</v>
      </c>
      <c r="M2" s="81"/>
    </row>
    <row r="3" spans="1:13" ht="6" customHeight="1" x14ac:dyDescent="0.25">
      <c r="A3" s="144"/>
      <c r="B3" s="144"/>
      <c r="C3" s="144"/>
      <c r="D3" s="144"/>
      <c r="E3" s="144"/>
      <c r="F3" s="144"/>
      <c r="G3" s="144"/>
      <c r="H3" s="144"/>
      <c r="I3" s="144"/>
      <c r="L3" s="82"/>
      <c r="M3" s="83"/>
    </row>
    <row r="4" spans="1:13" x14ac:dyDescent="0.25">
      <c r="A4" s="11"/>
      <c r="B4" s="11"/>
      <c r="C4" s="11"/>
      <c r="D4" s="11"/>
      <c r="E4" s="11"/>
      <c r="F4" s="11"/>
      <c r="G4" s="11"/>
      <c r="H4" s="11"/>
      <c r="I4" s="12"/>
      <c r="L4" s="82" t="s">
        <v>86</v>
      </c>
      <c r="M4" s="83" t="s">
        <v>87</v>
      </c>
    </row>
    <row r="5" spans="1:13" ht="25.5" customHeight="1" thickBot="1" x14ac:dyDescent="0.3">
      <c r="A5" s="145" t="s">
        <v>5</v>
      </c>
      <c r="B5" s="145"/>
      <c r="C5" s="145"/>
      <c r="D5" s="145"/>
      <c r="E5" s="145"/>
      <c r="F5" s="145"/>
      <c r="G5" s="145"/>
      <c r="H5" s="13" t="s">
        <v>2</v>
      </c>
      <c r="I5" s="13" t="s">
        <v>3</v>
      </c>
      <c r="L5" s="90" t="s">
        <v>98</v>
      </c>
      <c r="M5" s="92" t="s">
        <v>99</v>
      </c>
    </row>
    <row r="6" spans="1:13" ht="37.5" customHeight="1" x14ac:dyDescent="0.25">
      <c r="A6" s="9">
        <v>1</v>
      </c>
      <c r="B6" s="146" t="s">
        <v>111</v>
      </c>
      <c r="C6" s="146"/>
      <c r="D6" s="146"/>
      <c r="E6" s="146"/>
      <c r="F6" s="146"/>
      <c r="G6" s="146"/>
      <c r="H6" s="5"/>
      <c r="I6" s="5"/>
    </row>
    <row r="7" spans="1:13" ht="33" customHeight="1" x14ac:dyDescent="0.25">
      <c r="A7" s="9">
        <f>A6+1</f>
        <v>2</v>
      </c>
      <c r="B7" s="146" t="s">
        <v>48</v>
      </c>
      <c r="C7" s="146"/>
      <c r="D7" s="146"/>
      <c r="E7" s="146"/>
      <c r="F7" s="146"/>
      <c r="G7" s="146"/>
      <c r="H7" s="5"/>
      <c r="I7" s="5"/>
    </row>
    <row r="8" spans="1:13" ht="45" customHeight="1" x14ac:dyDescent="0.25">
      <c r="A8" s="9">
        <f t="shared" ref="A8:A13" si="0">A7+1</f>
        <v>3</v>
      </c>
      <c r="B8" s="146" t="s">
        <v>104</v>
      </c>
      <c r="C8" s="146"/>
      <c r="D8" s="146"/>
      <c r="E8" s="146"/>
      <c r="F8" s="146"/>
      <c r="G8" s="146"/>
      <c r="H8" s="5"/>
      <c r="I8" s="5"/>
    </row>
    <row r="9" spans="1:13" ht="25.5" customHeight="1" x14ac:dyDescent="0.25">
      <c r="A9" s="9">
        <f t="shared" si="0"/>
        <v>4</v>
      </c>
      <c r="B9" s="146" t="s">
        <v>44</v>
      </c>
      <c r="C9" s="146"/>
      <c r="D9" s="146"/>
      <c r="E9" s="146"/>
      <c r="F9" s="146"/>
      <c r="G9" s="146"/>
      <c r="H9" s="5"/>
      <c r="I9" s="5"/>
    </row>
    <row r="10" spans="1:13" ht="60.75" customHeight="1" x14ac:dyDescent="0.25">
      <c r="A10" s="9">
        <f t="shared" si="0"/>
        <v>5</v>
      </c>
      <c r="B10" s="146" t="s">
        <v>45</v>
      </c>
      <c r="C10" s="146"/>
      <c r="D10" s="146"/>
      <c r="E10" s="146"/>
      <c r="F10" s="146"/>
      <c r="G10" s="146"/>
      <c r="H10" s="5"/>
      <c r="I10" s="5"/>
    </row>
    <row r="11" spans="1:13" ht="42" customHeight="1" x14ac:dyDescent="0.25">
      <c r="A11" s="9">
        <f t="shared" si="0"/>
        <v>6</v>
      </c>
      <c r="B11" s="146" t="s">
        <v>46</v>
      </c>
      <c r="C11" s="146"/>
      <c r="D11" s="146"/>
      <c r="E11" s="146"/>
      <c r="F11" s="146"/>
      <c r="G11" s="146"/>
      <c r="H11" s="5"/>
      <c r="I11" s="5"/>
    </row>
    <row r="12" spans="1:13" ht="40.5" customHeight="1" x14ac:dyDescent="0.25">
      <c r="A12" s="9">
        <f t="shared" si="0"/>
        <v>7</v>
      </c>
      <c r="B12" s="146" t="s">
        <v>47</v>
      </c>
      <c r="C12" s="146"/>
      <c r="D12" s="146"/>
      <c r="E12" s="146"/>
      <c r="F12" s="146"/>
      <c r="G12" s="146"/>
      <c r="H12" s="5"/>
      <c r="I12" s="5"/>
    </row>
    <row r="13" spans="1:13" ht="38.25" customHeight="1" x14ac:dyDescent="0.25">
      <c r="A13" s="9">
        <f t="shared" si="0"/>
        <v>8</v>
      </c>
      <c r="B13" s="146" t="s">
        <v>49</v>
      </c>
      <c r="C13" s="146"/>
      <c r="D13" s="146"/>
      <c r="E13" s="146"/>
      <c r="F13" s="146"/>
      <c r="G13" s="146"/>
      <c r="H13" s="5"/>
      <c r="I13" s="5"/>
    </row>
    <row r="14" spans="1:13" ht="15" customHeight="1" x14ac:dyDescent="0.25">
      <c r="A14" s="151" t="s">
        <v>0</v>
      </c>
      <c r="B14" s="152"/>
      <c r="C14" s="152"/>
      <c r="D14" s="152"/>
      <c r="E14" s="152"/>
      <c r="F14" s="152"/>
      <c r="G14" s="152"/>
      <c r="H14" s="152"/>
      <c r="I14" s="153"/>
    </row>
    <row r="15" spans="1:13" ht="28.5" customHeight="1" x14ac:dyDescent="0.25">
      <c r="A15" s="147"/>
      <c r="B15" s="148"/>
      <c r="C15" s="148"/>
      <c r="D15" s="148"/>
      <c r="E15" s="148"/>
      <c r="F15" s="148"/>
      <c r="G15" s="148"/>
      <c r="H15" s="148"/>
      <c r="I15" s="149"/>
    </row>
    <row r="16" spans="1:13" ht="20.25" customHeight="1" x14ac:dyDescent="0.25"/>
    <row r="17" spans="1:13" ht="24.75" customHeight="1" x14ac:dyDescent="0.25">
      <c r="A17" s="144" t="s">
        <v>9</v>
      </c>
      <c r="B17" s="144"/>
      <c r="C17" s="144"/>
      <c r="D17" s="144"/>
      <c r="E17" s="144"/>
      <c r="F17" s="144"/>
      <c r="G17" s="144"/>
      <c r="H17" s="144"/>
      <c r="I17" s="144"/>
    </row>
    <row r="18" spans="1:13" s="2" customFormat="1" ht="20.2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5"/>
      <c r="K18" s="15"/>
      <c r="L18" s="66"/>
      <c r="M18" s="15"/>
    </row>
    <row r="19" spans="1:13" s="7" customFormat="1" ht="54.75" customHeight="1" x14ac:dyDescent="0.2">
      <c r="A19" s="138" t="s">
        <v>105</v>
      </c>
      <c r="B19" s="138"/>
      <c r="C19" s="138"/>
      <c r="D19" s="138"/>
      <c r="E19" s="138"/>
      <c r="F19" s="138"/>
      <c r="G19" s="138"/>
      <c r="H19" s="138"/>
      <c r="I19" s="138"/>
      <c r="J19" s="19"/>
      <c r="K19" s="19"/>
      <c r="L19" s="67"/>
      <c r="M19" s="19"/>
    </row>
    <row r="20" spans="1:13" s="7" customFormat="1" ht="21.75" customHeight="1" x14ac:dyDescent="0.2">
      <c r="A20" s="150"/>
      <c r="B20" s="150"/>
      <c r="C20" s="150"/>
      <c r="D20" s="150"/>
      <c r="E20" s="150"/>
      <c r="F20" s="150"/>
      <c r="G20" s="150"/>
      <c r="H20" s="150"/>
      <c r="I20" s="150"/>
      <c r="J20" s="19"/>
      <c r="K20" s="19"/>
      <c r="L20" s="67"/>
      <c r="M20" s="19"/>
    </row>
    <row r="21" spans="1:13" s="7" customFormat="1" ht="21.75" customHeight="1" x14ac:dyDescent="0.2">
      <c r="A21" s="16" t="s">
        <v>24</v>
      </c>
      <c r="B21" s="143" t="s">
        <v>18</v>
      </c>
      <c r="C21" s="143"/>
      <c r="D21" s="143"/>
      <c r="E21" s="143"/>
      <c r="F21" s="143"/>
      <c r="G21" s="143"/>
      <c r="H21" s="143"/>
      <c r="I21" s="143"/>
      <c r="J21" s="19"/>
      <c r="K21" s="19"/>
      <c r="L21" s="67"/>
      <c r="M21" s="19"/>
    </row>
    <row r="22" spans="1:13" s="7" customFormat="1" ht="21.75" customHeight="1" x14ac:dyDescent="0.2">
      <c r="A22" s="16" t="s">
        <v>25</v>
      </c>
      <c r="B22" s="143" t="s">
        <v>17</v>
      </c>
      <c r="C22" s="143"/>
      <c r="D22" s="143"/>
      <c r="E22" s="143"/>
      <c r="F22" s="143"/>
      <c r="G22" s="143"/>
      <c r="H22" s="143"/>
      <c r="I22" s="143"/>
      <c r="J22" s="19"/>
      <c r="K22" s="19"/>
      <c r="L22" s="67"/>
      <c r="M22" s="19"/>
    </row>
    <row r="23" spans="1:13" s="7" customFormat="1" ht="21.75" customHeight="1" x14ac:dyDescent="0.2">
      <c r="A23" s="16" t="s">
        <v>15</v>
      </c>
      <c r="B23" s="143" t="s">
        <v>21</v>
      </c>
      <c r="C23" s="143"/>
      <c r="D23" s="143"/>
      <c r="E23" s="143"/>
      <c r="F23" s="143"/>
      <c r="G23" s="143"/>
      <c r="H23" s="143"/>
      <c r="I23" s="143"/>
      <c r="J23" s="19"/>
      <c r="K23" s="19"/>
      <c r="L23" s="67"/>
      <c r="M23" s="19"/>
    </row>
    <row r="24" spans="1:13" s="7" customFormat="1" ht="21.75" customHeight="1" x14ac:dyDescent="0.2">
      <c r="A24" s="16" t="s">
        <v>26</v>
      </c>
      <c r="B24" s="143" t="s">
        <v>22</v>
      </c>
      <c r="C24" s="143"/>
      <c r="D24" s="143"/>
      <c r="E24" s="143"/>
      <c r="F24" s="143"/>
      <c r="G24" s="143"/>
      <c r="H24" s="143"/>
      <c r="I24" s="143"/>
      <c r="J24" s="19"/>
      <c r="K24" s="19"/>
      <c r="L24" s="67"/>
      <c r="M24" s="19"/>
    </row>
    <row r="25" spans="1:13" s="7" customFormat="1" ht="28.5" customHeight="1" x14ac:dyDescent="0.2">
      <c r="A25" s="16" t="s">
        <v>16</v>
      </c>
      <c r="B25" s="143" t="s">
        <v>23</v>
      </c>
      <c r="C25" s="143"/>
      <c r="D25" s="143"/>
      <c r="E25" s="143"/>
      <c r="F25" s="143"/>
      <c r="G25" s="143"/>
      <c r="H25" s="143"/>
      <c r="I25" s="143"/>
      <c r="J25" s="19"/>
      <c r="K25" s="19"/>
      <c r="L25" s="67"/>
      <c r="M25" s="19"/>
    </row>
    <row r="26" spans="1:13" s="6" customFormat="1" ht="28.5" customHeight="1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68"/>
      <c r="M26" s="20"/>
    </row>
    <row r="27" spans="1:13" s="6" customFormat="1" x14ac:dyDescent="0.2">
      <c r="A27" s="133" t="s">
        <v>4</v>
      </c>
      <c r="B27" s="133"/>
      <c r="C27" s="133"/>
      <c r="D27" s="30" t="s">
        <v>15</v>
      </c>
      <c r="E27" s="21" t="s">
        <v>19</v>
      </c>
      <c r="F27" s="134" t="s">
        <v>30</v>
      </c>
      <c r="G27" s="134"/>
      <c r="H27" s="31" t="s">
        <v>31</v>
      </c>
      <c r="I27" s="25" t="s">
        <v>20</v>
      </c>
      <c r="J27" s="20"/>
      <c r="K27" s="20"/>
      <c r="L27" s="68"/>
      <c r="M27" s="20"/>
    </row>
    <row r="28" spans="1:13" s="6" customFormat="1" ht="14.25" x14ac:dyDescent="0.2">
      <c r="A28" s="129" t="s">
        <v>6</v>
      </c>
      <c r="B28" s="131" t="s">
        <v>7</v>
      </c>
      <c r="C28" s="132"/>
      <c r="D28" s="4">
        <f>'Raw Data_Mod Tests'!E2</f>
        <v>0</v>
      </c>
      <c r="E28" s="4">
        <v>1000</v>
      </c>
      <c r="F28" s="131">
        <f>'Raw Data_Mod Tests'!F2</f>
        <v>0</v>
      </c>
      <c r="G28" s="132"/>
      <c r="H28" s="22">
        <v>3</v>
      </c>
      <c r="I28" s="61">
        <f>F28+((D28/E28)*H28)</f>
        <v>0</v>
      </c>
      <c r="J28" s="20"/>
      <c r="K28" s="20"/>
      <c r="L28" s="68"/>
      <c r="M28" s="20"/>
    </row>
    <row r="29" spans="1:13" s="6" customFormat="1" ht="14.25" x14ac:dyDescent="0.2">
      <c r="A29" s="130"/>
      <c r="B29" s="131" t="s">
        <v>8</v>
      </c>
      <c r="C29" s="132"/>
      <c r="D29" s="4">
        <f>'Raw Data_Mod Tests'!E3</f>
        <v>0</v>
      </c>
      <c r="E29" s="4">
        <v>1000</v>
      </c>
      <c r="F29" s="131">
        <f>'Raw Data_Mod Tests'!F3</f>
        <v>0</v>
      </c>
      <c r="G29" s="132"/>
      <c r="H29" s="22">
        <v>3</v>
      </c>
      <c r="I29" s="61">
        <f t="shared" ref="I29:I38" si="1">F29+((D29/E29)*H29)</f>
        <v>0</v>
      </c>
      <c r="J29" s="20"/>
      <c r="K29" s="20"/>
      <c r="L29" s="68"/>
      <c r="M29" s="20"/>
    </row>
    <row r="30" spans="1:13" s="6" customFormat="1" ht="14.25" x14ac:dyDescent="0.2">
      <c r="A30" s="129" t="s">
        <v>10</v>
      </c>
      <c r="B30" s="131" t="s">
        <v>7</v>
      </c>
      <c r="C30" s="132"/>
      <c r="D30" s="4">
        <f>'Raw Data_Mod Tests'!E4</f>
        <v>0</v>
      </c>
      <c r="E30" s="4">
        <v>1000</v>
      </c>
      <c r="F30" s="131">
        <f>'Raw Data_Mod Tests'!F4</f>
        <v>0</v>
      </c>
      <c r="G30" s="132"/>
      <c r="H30" s="29">
        <v>3</v>
      </c>
      <c r="I30" s="61">
        <f t="shared" si="1"/>
        <v>0</v>
      </c>
      <c r="J30" s="20"/>
      <c r="K30" s="20"/>
      <c r="L30" s="68"/>
      <c r="M30" s="20"/>
    </row>
    <row r="31" spans="1:13" s="6" customFormat="1" ht="14.25" x14ac:dyDescent="0.2">
      <c r="A31" s="130"/>
      <c r="B31" s="131" t="s">
        <v>8</v>
      </c>
      <c r="C31" s="132"/>
      <c r="D31" s="4">
        <f>'Raw Data_Mod Tests'!E5</f>
        <v>0</v>
      </c>
      <c r="E31" s="4">
        <v>1000</v>
      </c>
      <c r="F31" s="131">
        <f>'Raw Data_Mod Tests'!F5</f>
        <v>0</v>
      </c>
      <c r="G31" s="132"/>
      <c r="H31" s="22">
        <v>3</v>
      </c>
      <c r="I31" s="61">
        <f t="shared" si="1"/>
        <v>0</v>
      </c>
      <c r="J31" s="20"/>
      <c r="K31" s="20"/>
      <c r="L31" s="68"/>
      <c r="M31" s="20"/>
    </row>
    <row r="32" spans="1:13" s="6" customFormat="1" ht="14.25" x14ac:dyDescent="0.2">
      <c r="A32" s="129" t="s">
        <v>11</v>
      </c>
      <c r="B32" s="131" t="s">
        <v>7</v>
      </c>
      <c r="C32" s="132"/>
      <c r="D32" s="4">
        <f>'Raw Data_Mod Tests'!E6</f>
        <v>0</v>
      </c>
      <c r="E32" s="4">
        <v>1000</v>
      </c>
      <c r="F32" s="131">
        <f>'Raw Data_Mod Tests'!F6</f>
        <v>0</v>
      </c>
      <c r="G32" s="132"/>
      <c r="H32" s="22">
        <v>3</v>
      </c>
      <c r="I32" s="61">
        <f t="shared" si="1"/>
        <v>0</v>
      </c>
      <c r="J32" s="20"/>
      <c r="K32" s="20"/>
      <c r="L32" s="68"/>
      <c r="M32" s="20"/>
    </row>
    <row r="33" spans="1:13" s="6" customFormat="1" ht="14.25" x14ac:dyDescent="0.2">
      <c r="A33" s="130"/>
      <c r="B33" s="131" t="s">
        <v>8</v>
      </c>
      <c r="C33" s="132"/>
      <c r="D33" s="4">
        <f>'Raw Data_Mod Tests'!E7</f>
        <v>0</v>
      </c>
      <c r="E33" s="4">
        <v>1000</v>
      </c>
      <c r="F33" s="131">
        <f>'Raw Data_Mod Tests'!F7</f>
        <v>0</v>
      </c>
      <c r="G33" s="132"/>
      <c r="H33" s="56">
        <v>3</v>
      </c>
      <c r="I33" s="61">
        <f t="shared" si="1"/>
        <v>0</v>
      </c>
      <c r="J33" s="20"/>
      <c r="K33" s="20"/>
      <c r="L33" s="68"/>
      <c r="M33" s="20"/>
    </row>
    <row r="34" spans="1:13" s="6" customFormat="1" ht="14.25" x14ac:dyDescent="0.2">
      <c r="A34" s="129" t="s">
        <v>12</v>
      </c>
      <c r="B34" s="131" t="s">
        <v>7</v>
      </c>
      <c r="C34" s="132"/>
      <c r="D34" s="4">
        <f>'Raw Data_Mod Tests'!E8</f>
        <v>0</v>
      </c>
      <c r="E34" s="4">
        <v>1000</v>
      </c>
      <c r="F34" s="131">
        <f>'Raw Data_Mod Tests'!F8</f>
        <v>0</v>
      </c>
      <c r="G34" s="132"/>
      <c r="H34" s="56">
        <v>3</v>
      </c>
      <c r="I34" s="61">
        <f t="shared" si="1"/>
        <v>0</v>
      </c>
      <c r="J34" s="20"/>
      <c r="K34" s="20"/>
      <c r="L34" s="68"/>
      <c r="M34" s="20"/>
    </row>
    <row r="35" spans="1:13" s="6" customFormat="1" ht="14.25" x14ac:dyDescent="0.2">
      <c r="A35" s="130"/>
      <c r="B35" s="131" t="s">
        <v>8</v>
      </c>
      <c r="C35" s="132"/>
      <c r="D35" s="4">
        <f>'Raw Data_Mod Tests'!E9</f>
        <v>0</v>
      </c>
      <c r="E35" s="4">
        <v>1000</v>
      </c>
      <c r="F35" s="131">
        <f>'Raw Data_Mod Tests'!F9</f>
        <v>0</v>
      </c>
      <c r="G35" s="132"/>
      <c r="H35" s="56">
        <v>3</v>
      </c>
      <c r="I35" s="61">
        <f t="shared" si="1"/>
        <v>0</v>
      </c>
      <c r="J35" s="20"/>
      <c r="K35" s="20"/>
      <c r="L35" s="68"/>
      <c r="M35" s="20"/>
    </row>
    <row r="36" spans="1:13" s="6" customFormat="1" ht="14.25" x14ac:dyDescent="0.2">
      <c r="A36" s="129" t="s">
        <v>13</v>
      </c>
      <c r="B36" s="131" t="s">
        <v>7</v>
      </c>
      <c r="C36" s="132"/>
      <c r="D36" s="4">
        <f>'Raw Data_Mod Tests'!E10</f>
        <v>0</v>
      </c>
      <c r="E36" s="4">
        <v>1000</v>
      </c>
      <c r="F36" s="131">
        <f>'Raw Data_Mod Tests'!F10</f>
        <v>0</v>
      </c>
      <c r="G36" s="132"/>
      <c r="H36" s="56">
        <v>3</v>
      </c>
      <c r="I36" s="61">
        <f t="shared" si="1"/>
        <v>0</v>
      </c>
      <c r="J36" s="20"/>
      <c r="K36" s="20"/>
      <c r="L36" s="68"/>
      <c r="M36" s="20"/>
    </row>
    <row r="37" spans="1:13" s="6" customFormat="1" ht="14.25" x14ac:dyDescent="0.2">
      <c r="A37" s="130"/>
      <c r="B37" s="131" t="s">
        <v>8</v>
      </c>
      <c r="C37" s="132"/>
      <c r="D37" s="4">
        <f>'Raw Data_Mod Tests'!E11</f>
        <v>0</v>
      </c>
      <c r="E37" s="4">
        <v>1000</v>
      </c>
      <c r="F37" s="131">
        <f>'Raw Data_Mod Tests'!F11</f>
        <v>0</v>
      </c>
      <c r="G37" s="132"/>
      <c r="H37" s="56">
        <v>3</v>
      </c>
      <c r="I37" s="61">
        <f t="shared" si="1"/>
        <v>0</v>
      </c>
      <c r="J37" s="20"/>
      <c r="K37" s="20"/>
      <c r="L37" s="68"/>
      <c r="M37" s="20"/>
    </row>
    <row r="38" spans="1:13" s="6" customFormat="1" ht="14.25" x14ac:dyDescent="0.2">
      <c r="A38" s="129" t="s">
        <v>14</v>
      </c>
      <c r="B38" s="131" t="s">
        <v>7</v>
      </c>
      <c r="C38" s="132"/>
      <c r="D38" s="4">
        <f>'Raw Data_Mod Tests'!E12</f>
        <v>0</v>
      </c>
      <c r="E38" s="4">
        <v>1000</v>
      </c>
      <c r="F38" s="131">
        <f>'Raw Data_Mod Tests'!F12</f>
        <v>0</v>
      </c>
      <c r="G38" s="132"/>
      <c r="H38" s="56">
        <v>3</v>
      </c>
      <c r="I38" s="61">
        <f t="shared" si="1"/>
        <v>0</v>
      </c>
      <c r="J38" s="20"/>
      <c r="K38" s="20"/>
      <c r="L38" s="68"/>
      <c r="M38" s="20"/>
    </row>
    <row r="39" spans="1:13" s="6" customFormat="1" ht="14.25" x14ac:dyDescent="0.2">
      <c r="A39" s="130"/>
      <c r="B39" s="131" t="s">
        <v>8</v>
      </c>
      <c r="C39" s="132"/>
      <c r="D39" s="4">
        <f>'Raw Data_Mod Tests'!E13</f>
        <v>0</v>
      </c>
      <c r="E39" s="4">
        <v>1000</v>
      </c>
      <c r="F39" s="131">
        <f>'Raw Data_Mod Tests'!F13</f>
        <v>0</v>
      </c>
      <c r="G39" s="132"/>
      <c r="H39" s="88">
        <v>3</v>
      </c>
      <c r="I39" s="61">
        <f t="shared" ref="I39" si="2">F39+((D39/E39)*H39)</f>
        <v>0</v>
      </c>
      <c r="J39" s="20"/>
      <c r="K39" s="20"/>
      <c r="L39" s="68"/>
      <c r="M39" s="20"/>
    </row>
    <row r="40" spans="1:13" s="6" customFormat="1" ht="14.25" x14ac:dyDescent="0.2">
      <c r="A40" s="32"/>
      <c r="B40" s="32"/>
      <c r="C40" s="32"/>
      <c r="D40" s="32"/>
      <c r="E40" s="32"/>
      <c r="F40" s="32"/>
      <c r="G40" s="32"/>
      <c r="H40" s="11"/>
      <c r="I40" s="11"/>
      <c r="J40" s="20"/>
      <c r="K40" s="20"/>
      <c r="L40" s="68"/>
      <c r="M40" s="20"/>
    </row>
    <row r="41" spans="1:13" s="6" customFormat="1" ht="14.25" x14ac:dyDescent="0.2">
      <c r="A41" s="32"/>
      <c r="B41" s="32"/>
      <c r="C41" s="32"/>
      <c r="D41" s="32"/>
      <c r="E41" s="32"/>
      <c r="F41" s="32"/>
      <c r="G41" s="32"/>
      <c r="H41" s="11"/>
      <c r="I41" s="11"/>
      <c r="J41" s="20"/>
      <c r="K41" s="20"/>
      <c r="L41" s="68"/>
      <c r="M41" s="20"/>
    </row>
    <row r="42" spans="1:13" s="6" customFormat="1" x14ac:dyDescent="0.2">
      <c r="A42" s="133" t="s">
        <v>50</v>
      </c>
      <c r="B42" s="133"/>
      <c r="C42" s="133"/>
      <c r="D42" s="30" t="s">
        <v>15</v>
      </c>
      <c r="E42" s="25" t="s">
        <v>19</v>
      </c>
      <c r="F42" s="134" t="s">
        <v>30</v>
      </c>
      <c r="G42" s="134"/>
      <c r="H42" s="31" t="s">
        <v>31</v>
      </c>
      <c r="I42" s="25" t="s">
        <v>20</v>
      </c>
      <c r="J42" s="20"/>
      <c r="K42" s="20"/>
      <c r="L42" s="68"/>
      <c r="M42" s="20"/>
    </row>
    <row r="43" spans="1:13" s="6" customFormat="1" ht="14.25" x14ac:dyDescent="0.2">
      <c r="A43" s="129" t="s">
        <v>6</v>
      </c>
      <c r="B43" s="131" t="s">
        <v>7</v>
      </c>
      <c r="C43" s="132"/>
      <c r="D43" s="4">
        <f>'Raw Data_Mod Tests'!E14</f>
        <v>0</v>
      </c>
      <c r="E43" s="4">
        <v>1000</v>
      </c>
      <c r="F43" s="131">
        <f>'Raw Data_Mod Tests'!F14</f>
        <v>0</v>
      </c>
      <c r="G43" s="132"/>
      <c r="H43" s="22">
        <v>3</v>
      </c>
      <c r="I43" s="61">
        <f>F43+((D43/E43)*H43)</f>
        <v>0</v>
      </c>
      <c r="J43" s="20"/>
      <c r="K43" s="20"/>
      <c r="L43" s="68"/>
      <c r="M43" s="20"/>
    </row>
    <row r="44" spans="1:13" s="6" customFormat="1" ht="14.25" x14ac:dyDescent="0.2">
      <c r="A44" s="130"/>
      <c r="B44" s="131" t="s">
        <v>8</v>
      </c>
      <c r="C44" s="132"/>
      <c r="D44" s="4">
        <f>'Raw Data_Mod Tests'!E15</f>
        <v>0</v>
      </c>
      <c r="E44" s="4">
        <v>1000</v>
      </c>
      <c r="F44" s="131">
        <f>'Raw Data_Mod Tests'!F15</f>
        <v>0</v>
      </c>
      <c r="G44" s="132"/>
      <c r="H44" s="22">
        <v>3</v>
      </c>
      <c r="I44" s="61">
        <f t="shared" ref="I44:I53" si="3">F44+((D44/E44)*H44)</f>
        <v>0</v>
      </c>
      <c r="J44" s="20"/>
      <c r="K44" s="20"/>
      <c r="L44" s="68"/>
      <c r="M44" s="20"/>
    </row>
    <row r="45" spans="1:13" s="6" customFormat="1" ht="14.25" x14ac:dyDescent="0.2">
      <c r="A45" s="129" t="s">
        <v>10</v>
      </c>
      <c r="B45" s="131" t="s">
        <v>7</v>
      </c>
      <c r="C45" s="132"/>
      <c r="D45" s="4">
        <f>'Raw Data_Mod Tests'!E16</f>
        <v>0</v>
      </c>
      <c r="E45" s="4">
        <v>1000</v>
      </c>
      <c r="F45" s="131">
        <f>'Raw Data_Mod Tests'!F16</f>
        <v>0</v>
      </c>
      <c r="G45" s="132"/>
      <c r="H45" s="56">
        <v>3</v>
      </c>
      <c r="I45" s="61">
        <f t="shared" si="3"/>
        <v>0</v>
      </c>
      <c r="J45" s="20"/>
      <c r="K45" s="20"/>
      <c r="L45" s="68"/>
      <c r="M45" s="20"/>
    </row>
    <row r="46" spans="1:13" s="6" customFormat="1" ht="14.25" x14ac:dyDescent="0.2">
      <c r="A46" s="130"/>
      <c r="B46" s="131" t="s">
        <v>8</v>
      </c>
      <c r="C46" s="132"/>
      <c r="D46" s="4">
        <f>'Raw Data_Mod Tests'!E17</f>
        <v>0</v>
      </c>
      <c r="E46" s="4">
        <v>1000</v>
      </c>
      <c r="F46" s="131">
        <f>'Raw Data_Mod Tests'!F17</f>
        <v>0</v>
      </c>
      <c r="G46" s="132"/>
      <c r="H46" s="56">
        <v>3</v>
      </c>
      <c r="I46" s="61">
        <f t="shared" si="3"/>
        <v>0</v>
      </c>
      <c r="J46" s="20"/>
      <c r="K46" s="20"/>
      <c r="L46" s="68"/>
      <c r="M46" s="20"/>
    </row>
    <row r="47" spans="1:13" s="6" customFormat="1" ht="14.25" x14ac:dyDescent="0.2">
      <c r="A47" s="129" t="s">
        <v>11</v>
      </c>
      <c r="B47" s="131" t="s">
        <v>7</v>
      </c>
      <c r="C47" s="132"/>
      <c r="D47" s="4">
        <f>'Raw Data_Mod Tests'!E18</f>
        <v>0</v>
      </c>
      <c r="E47" s="4">
        <v>1000</v>
      </c>
      <c r="F47" s="131">
        <f>'Raw Data_Mod Tests'!F18</f>
        <v>0</v>
      </c>
      <c r="G47" s="132"/>
      <c r="H47" s="56">
        <v>3</v>
      </c>
      <c r="I47" s="61">
        <f t="shared" si="3"/>
        <v>0</v>
      </c>
      <c r="J47" s="20"/>
      <c r="K47" s="20"/>
      <c r="L47" s="68"/>
      <c r="M47" s="20"/>
    </row>
    <row r="48" spans="1:13" s="6" customFormat="1" ht="14.25" x14ac:dyDescent="0.2">
      <c r="A48" s="130"/>
      <c r="B48" s="131" t="s">
        <v>8</v>
      </c>
      <c r="C48" s="132"/>
      <c r="D48" s="4">
        <f>'Raw Data_Mod Tests'!E19</f>
        <v>0</v>
      </c>
      <c r="E48" s="4">
        <v>1000</v>
      </c>
      <c r="F48" s="131">
        <f>'Raw Data_Mod Tests'!F19</f>
        <v>0</v>
      </c>
      <c r="G48" s="132"/>
      <c r="H48" s="56">
        <v>3</v>
      </c>
      <c r="I48" s="61">
        <f t="shared" si="3"/>
        <v>0</v>
      </c>
      <c r="J48" s="20"/>
      <c r="K48" s="20"/>
      <c r="L48" s="68"/>
      <c r="M48" s="20"/>
    </row>
    <row r="49" spans="1:13" s="6" customFormat="1" ht="14.25" x14ac:dyDescent="0.2">
      <c r="A49" s="129" t="s">
        <v>12</v>
      </c>
      <c r="B49" s="131" t="s">
        <v>7</v>
      </c>
      <c r="C49" s="132"/>
      <c r="D49" s="4">
        <f>'Raw Data_Mod Tests'!E20</f>
        <v>0</v>
      </c>
      <c r="E49" s="4">
        <v>1000</v>
      </c>
      <c r="F49" s="131">
        <f>'Raw Data_Mod Tests'!F20</f>
        <v>0</v>
      </c>
      <c r="G49" s="132"/>
      <c r="H49" s="56">
        <v>3</v>
      </c>
      <c r="I49" s="61">
        <f t="shared" si="3"/>
        <v>0</v>
      </c>
      <c r="J49" s="20"/>
      <c r="K49" s="20"/>
      <c r="L49" s="68"/>
      <c r="M49" s="20"/>
    </row>
    <row r="50" spans="1:13" s="6" customFormat="1" ht="14.25" x14ac:dyDescent="0.2">
      <c r="A50" s="130"/>
      <c r="B50" s="131" t="s">
        <v>8</v>
      </c>
      <c r="C50" s="132"/>
      <c r="D50" s="4">
        <f>'Raw Data_Mod Tests'!E21</f>
        <v>0</v>
      </c>
      <c r="E50" s="4">
        <v>1000</v>
      </c>
      <c r="F50" s="131">
        <f>'Raw Data_Mod Tests'!F21</f>
        <v>0</v>
      </c>
      <c r="G50" s="132"/>
      <c r="H50" s="56">
        <v>3</v>
      </c>
      <c r="I50" s="61">
        <f t="shared" si="3"/>
        <v>0</v>
      </c>
      <c r="J50" s="20"/>
      <c r="K50" s="20"/>
      <c r="L50" s="68"/>
      <c r="M50" s="20"/>
    </row>
    <row r="51" spans="1:13" s="6" customFormat="1" ht="14.25" x14ac:dyDescent="0.2">
      <c r="A51" s="129" t="s">
        <v>13</v>
      </c>
      <c r="B51" s="131" t="s">
        <v>7</v>
      </c>
      <c r="C51" s="132"/>
      <c r="D51" s="4">
        <f>'Raw Data_Mod Tests'!E22</f>
        <v>0</v>
      </c>
      <c r="E51" s="4">
        <v>1000</v>
      </c>
      <c r="F51" s="131">
        <f>'Raw Data_Mod Tests'!F22</f>
        <v>0</v>
      </c>
      <c r="G51" s="132"/>
      <c r="H51" s="56">
        <v>3</v>
      </c>
      <c r="I51" s="61">
        <f t="shared" si="3"/>
        <v>0</v>
      </c>
      <c r="J51" s="20"/>
      <c r="K51" s="20"/>
      <c r="L51" s="68"/>
      <c r="M51" s="20"/>
    </row>
    <row r="52" spans="1:13" s="6" customFormat="1" ht="14.25" x14ac:dyDescent="0.2">
      <c r="A52" s="130"/>
      <c r="B52" s="131" t="s">
        <v>8</v>
      </c>
      <c r="C52" s="132"/>
      <c r="D52" s="4">
        <f>'Raw Data_Mod Tests'!E23</f>
        <v>0</v>
      </c>
      <c r="E52" s="4">
        <v>1000</v>
      </c>
      <c r="F52" s="131">
        <f>'Raw Data_Mod Tests'!F23</f>
        <v>0</v>
      </c>
      <c r="G52" s="132"/>
      <c r="H52" s="56">
        <v>3</v>
      </c>
      <c r="I52" s="61">
        <f t="shared" si="3"/>
        <v>0</v>
      </c>
      <c r="J52" s="20"/>
      <c r="K52" s="20"/>
      <c r="L52" s="68"/>
      <c r="M52" s="20"/>
    </row>
    <row r="53" spans="1:13" s="6" customFormat="1" ht="14.25" x14ac:dyDescent="0.2">
      <c r="A53" s="129" t="s">
        <v>14</v>
      </c>
      <c r="B53" s="131" t="s">
        <v>7</v>
      </c>
      <c r="C53" s="132"/>
      <c r="D53" s="4">
        <f>'Raw Data_Mod Tests'!E24</f>
        <v>0</v>
      </c>
      <c r="E53" s="4">
        <v>1000</v>
      </c>
      <c r="F53" s="131">
        <f>'Raw Data_Mod Tests'!F24</f>
        <v>0</v>
      </c>
      <c r="G53" s="132"/>
      <c r="H53" s="56">
        <v>3</v>
      </c>
      <c r="I53" s="61">
        <f t="shared" si="3"/>
        <v>0</v>
      </c>
      <c r="J53" s="20"/>
      <c r="K53" s="20"/>
      <c r="L53" s="68"/>
      <c r="M53" s="20"/>
    </row>
    <row r="54" spans="1:13" s="6" customFormat="1" ht="14.25" x14ac:dyDescent="0.2">
      <c r="A54" s="130"/>
      <c r="B54" s="131" t="s">
        <v>8</v>
      </c>
      <c r="C54" s="132"/>
      <c r="D54" s="4">
        <f>'Raw Data_Mod Tests'!E25</f>
        <v>0</v>
      </c>
      <c r="E54" s="4">
        <v>1000</v>
      </c>
      <c r="F54" s="131">
        <f>'Raw Data_Mod Tests'!F25</f>
        <v>0</v>
      </c>
      <c r="G54" s="132"/>
      <c r="H54" s="88">
        <v>3</v>
      </c>
      <c r="I54" s="61">
        <f t="shared" ref="I54" si="4">F54+((D54/E54)*H54)</f>
        <v>0</v>
      </c>
      <c r="J54" s="20"/>
      <c r="K54" s="20"/>
      <c r="L54" s="68"/>
      <c r="M54" s="20"/>
    </row>
    <row r="55" spans="1:13" s="6" customFormat="1" ht="14.25" x14ac:dyDescent="0.2">
      <c r="A55" s="34"/>
      <c r="B55" s="34"/>
      <c r="C55" s="34"/>
      <c r="D55" s="34"/>
      <c r="E55" s="34"/>
      <c r="F55" s="34"/>
      <c r="G55" s="34"/>
      <c r="H55" s="11"/>
      <c r="I55" s="11"/>
      <c r="J55" s="20"/>
      <c r="K55" s="20"/>
      <c r="L55" s="68"/>
      <c r="M55" s="20"/>
    </row>
    <row r="56" spans="1:13" s="6" customFormat="1" ht="14.25" x14ac:dyDescent="0.2">
      <c r="A56" s="34"/>
      <c r="B56" s="34"/>
      <c r="C56" s="34"/>
      <c r="D56" s="34"/>
      <c r="E56" s="34"/>
      <c r="F56" s="34"/>
      <c r="G56" s="34"/>
      <c r="H56" s="11"/>
      <c r="I56" s="11"/>
      <c r="J56" s="20"/>
      <c r="K56" s="20"/>
      <c r="L56" s="68"/>
      <c r="M56" s="20"/>
    </row>
    <row r="57" spans="1:13" s="6" customFormat="1" x14ac:dyDescent="0.2">
      <c r="A57" s="133" t="s">
        <v>66</v>
      </c>
      <c r="B57" s="133"/>
      <c r="C57" s="133"/>
      <c r="D57" s="35" t="s">
        <v>15</v>
      </c>
      <c r="E57" s="37" t="s">
        <v>19</v>
      </c>
      <c r="F57" s="134" t="s">
        <v>30</v>
      </c>
      <c r="G57" s="134"/>
      <c r="H57" s="31" t="s">
        <v>31</v>
      </c>
      <c r="I57" s="37" t="s">
        <v>20</v>
      </c>
      <c r="J57" s="20"/>
      <c r="K57" s="20"/>
      <c r="L57" s="68"/>
      <c r="M57" s="20"/>
    </row>
    <row r="58" spans="1:13" s="6" customFormat="1" ht="14.25" x14ac:dyDescent="0.2">
      <c r="A58" s="129" t="s">
        <v>6</v>
      </c>
      <c r="B58" s="131" t="s">
        <v>7</v>
      </c>
      <c r="C58" s="132"/>
      <c r="D58" s="4">
        <f>'Raw Data_Mod Tests'!E26</f>
        <v>0</v>
      </c>
      <c r="E58" s="4">
        <v>1000</v>
      </c>
      <c r="F58" s="131">
        <f>'Raw Data_Mod Tests'!F26</f>
        <v>0</v>
      </c>
      <c r="G58" s="132"/>
      <c r="H58" s="56">
        <v>3</v>
      </c>
      <c r="I58" s="4">
        <f>F58+((D58/E58)*H58)</f>
        <v>0</v>
      </c>
      <c r="J58" s="20"/>
      <c r="K58" s="20"/>
      <c r="L58" s="68"/>
      <c r="M58" s="20"/>
    </row>
    <row r="59" spans="1:13" s="6" customFormat="1" ht="14.25" x14ac:dyDescent="0.2">
      <c r="A59" s="130"/>
      <c r="B59" s="131" t="s">
        <v>8</v>
      </c>
      <c r="C59" s="132"/>
      <c r="D59" s="4">
        <f>'Raw Data_Mod Tests'!E27</f>
        <v>0</v>
      </c>
      <c r="E59" s="4">
        <v>1000</v>
      </c>
      <c r="F59" s="131">
        <f>'Raw Data_Mod Tests'!F27</f>
        <v>0</v>
      </c>
      <c r="G59" s="132"/>
      <c r="H59" s="56">
        <v>3</v>
      </c>
      <c r="I59" s="4">
        <f t="shared" ref="I59:I68" si="5">F59+((D59/E59)*H59)</f>
        <v>0</v>
      </c>
      <c r="J59" s="20"/>
      <c r="K59" s="20"/>
      <c r="L59" s="68"/>
      <c r="M59" s="20"/>
    </row>
    <row r="60" spans="1:13" s="6" customFormat="1" ht="14.25" x14ac:dyDescent="0.2">
      <c r="A60" s="129" t="s">
        <v>10</v>
      </c>
      <c r="B60" s="131" t="s">
        <v>7</v>
      </c>
      <c r="C60" s="132"/>
      <c r="D60" s="4">
        <f>'Raw Data_Mod Tests'!E28</f>
        <v>0</v>
      </c>
      <c r="E60" s="4">
        <v>1000</v>
      </c>
      <c r="F60" s="131">
        <f>'Raw Data_Mod Tests'!F28</f>
        <v>0</v>
      </c>
      <c r="G60" s="132"/>
      <c r="H60" s="56">
        <v>3</v>
      </c>
      <c r="I60" s="4">
        <f t="shared" si="5"/>
        <v>0</v>
      </c>
      <c r="J60" s="20"/>
      <c r="K60" s="20"/>
      <c r="L60" s="68"/>
      <c r="M60" s="20"/>
    </row>
    <row r="61" spans="1:13" s="6" customFormat="1" ht="14.25" x14ac:dyDescent="0.2">
      <c r="A61" s="130"/>
      <c r="B61" s="131" t="s">
        <v>8</v>
      </c>
      <c r="C61" s="132"/>
      <c r="D61" s="4">
        <f>'Raw Data_Mod Tests'!E29</f>
        <v>0</v>
      </c>
      <c r="E61" s="4">
        <v>1000</v>
      </c>
      <c r="F61" s="131">
        <f>'Raw Data_Mod Tests'!F29</f>
        <v>0</v>
      </c>
      <c r="G61" s="132"/>
      <c r="H61" s="56">
        <v>3</v>
      </c>
      <c r="I61" s="4">
        <f t="shared" si="5"/>
        <v>0</v>
      </c>
      <c r="J61" s="20"/>
      <c r="K61" s="20"/>
      <c r="L61" s="68"/>
      <c r="M61" s="20"/>
    </row>
    <row r="62" spans="1:13" s="6" customFormat="1" ht="14.25" x14ac:dyDescent="0.2">
      <c r="A62" s="129" t="s">
        <v>11</v>
      </c>
      <c r="B62" s="131" t="s">
        <v>7</v>
      </c>
      <c r="C62" s="132"/>
      <c r="D62" s="4">
        <f>'Raw Data_Mod Tests'!E30</f>
        <v>0</v>
      </c>
      <c r="E62" s="4">
        <v>1000</v>
      </c>
      <c r="F62" s="131">
        <f>'Raw Data_Mod Tests'!F30</f>
        <v>0</v>
      </c>
      <c r="G62" s="132"/>
      <c r="H62" s="56">
        <v>3</v>
      </c>
      <c r="I62" s="4">
        <f t="shared" si="5"/>
        <v>0</v>
      </c>
      <c r="J62" s="20"/>
      <c r="K62" s="20"/>
      <c r="L62" s="68"/>
      <c r="M62" s="20"/>
    </row>
    <row r="63" spans="1:13" s="6" customFormat="1" ht="14.25" x14ac:dyDescent="0.2">
      <c r="A63" s="130"/>
      <c r="B63" s="131" t="s">
        <v>8</v>
      </c>
      <c r="C63" s="132"/>
      <c r="D63" s="4">
        <f>'Raw Data_Mod Tests'!E31</f>
        <v>0</v>
      </c>
      <c r="E63" s="4">
        <v>1000</v>
      </c>
      <c r="F63" s="131">
        <f>'Raw Data_Mod Tests'!F31</f>
        <v>0</v>
      </c>
      <c r="G63" s="132"/>
      <c r="H63" s="56">
        <v>3</v>
      </c>
      <c r="I63" s="4">
        <f t="shared" si="5"/>
        <v>0</v>
      </c>
      <c r="J63" s="20"/>
      <c r="K63" s="20"/>
      <c r="L63" s="68"/>
      <c r="M63" s="20"/>
    </row>
    <row r="64" spans="1:13" s="6" customFormat="1" ht="14.25" x14ac:dyDescent="0.2">
      <c r="A64" s="129" t="s">
        <v>12</v>
      </c>
      <c r="B64" s="131" t="s">
        <v>7</v>
      </c>
      <c r="C64" s="132"/>
      <c r="D64" s="4">
        <f>'Raw Data_Mod Tests'!E32</f>
        <v>0</v>
      </c>
      <c r="E64" s="4">
        <v>1000</v>
      </c>
      <c r="F64" s="131">
        <f>'Raw Data_Mod Tests'!F32</f>
        <v>0</v>
      </c>
      <c r="G64" s="132"/>
      <c r="H64" s="56">
        <v>3</v>
      </c>
      <c r="I64" s="4">
        <f t="shared" si="5"/>
        <v>0</v>
      </c>
      <c r="J64" s="20"/>
      <c r="K64" s="20"/>
      <c r="L64" s="68"/>
      <c r="M64" s="20"/>
    </row>
    <row r="65" spans="1:13" s="6" customFormat="1" ht="14.25" x14ac:dyDescent="0.2">
      <c r="A65" s="130"/>
      <c r="B65" s="131" t="s">
        <v>8</v>
      </c>
      <c r="C65" s="132"/>
      <c r="D65" s="4">
        <f>'Raw Data_Mod Tests'!E33</f>
        <v>0</v>
      </c>
      <c r="E65" s="4">
        <v>1000</v>
      </c>
      <c r="F65" s="131">
        <f>'Raw Data_Mod Tests'!F33</f>
        <v>0</v>
      </c>
      <c r="G65" s="132"/>
      <c r="H65" s="56">
        <v>3</v>
      </c>
      <c r="I65" s="4">
        <f t="shared" si="5"/>
        <v>0</v>
      </c>
      <c r="J65" s="20"/>
      <c r="K65" s="20"/>
      <c r="L65" s="68"/>
      <c r="M65" s="20"/>
    </row>
    <row r="66" spans="1:13" s="6" customFormat="1" ht="14.25" x14ac:dyDescent="0.2">
      <c r="A66" s="129" t="s">
        <v>13</v>
      </c>
      <c r="B66" s="131" t="s">
        <v>7</v>
      </c>
      <c r="C66" s="132"/>
      <c r="D66" s="4">
        <f>'Raw Data_Mod Tests'!E34</f>
        <v>0</v>
      </c>
      <c r="E66" s="4">
        <v>1000</v>
      </c>
      <c r="F66" s="131">
        <f>'Raw Data_Mod Tests'!F34</f>
        <v>0</v>
      </c>
      <c r="G66" s="132"/>
      <c r="H66" s="56">
        <v>3</v>
      </c>
      <c r="I66" s="4">
        <f t="shared" si="5"/>
        <v>0</v>
      </c>
      <c r="J66" s="20"/>
      <c r="K66" s="20"/>
      <c r="L66" s="68"/>
      <c r="M66" s="20"/>
    </row>
    <row r="67" spans="1:13" s="6" customFormat="1" ht="14.25" x14ac:dyDescent="0.2">
      <c r="A67" s="130"/>
      <c r="B67" s="131" t="s">
        <v>8</v>
      </c>
      <c r="C67" s="132"/>
      <c r="D67" s="4">
        <f>'Raw Data_Mod Tests'!E35</f>
        <v>0</v>
      </c>
      <c r="E67" s="4">
        <v>1000</v>
      </c>
      <c r="F67" s="131">
        <f>'Raw Data_Mod Tests'!F35</f>
        <v>0</v>
      </c>
      <c r="G67" s="132"/>
      <c r="H67" s="56">
        <v>3</v>
      </c>
      <c r="I67" s="4">
        <f t="shared" si="5"/>
        <v>0</v>
      </c>
      <c r="J67" s="20"/>
      <c r="K67" s="20"/>
      <c r="L67" s="68"/>
      <c r="M67" s="20"/>
    </row>
    <row r="68" spans="1:13" s="6" customFormat="1" ht="14.25" x14ac:dyDescent="0.2">
      <c r="A68" s="129" t="s">
        <v>14</v>
      </c>
      <c r="B68" s="131" t="s">
        <v>7</v>
      </c>
      <c r="C68" s="132"/>
      <c r="D68" s="4">
        <f>'Raw Data_Mod Tests'!E36</f>
        <v>0</v>
      </c>
      <c r="E68" s="4">
        <v>1000</v>
      </c>
      <c r="F68" s="131">
        <f>'Raw Data_Mod Tests'!F36</f>
        <v>0</v>
      </c>
      <c r="G68" s="132"/>
      <c r="H68" s="56">
        <v>3</v>
      </c>
      <c r="I68" s="4">
        <f t="shared" si="5"/>
        <v>0</v>
      </c>
      <c r="J68" s="20"/>
      <c r="K68" s="20"/>
      <c r="L68" s="68"/>
      <c r="M68" s="20"/>
    </row>
    <row r="69" spans="1:13" s="6" customFormat="1" ht="14.25" x14ac:dyDescent="0.2">
      <c r="A69" s="130"/>
      <c r="B69" s="131" t="s">
        <v>8</v>
      </c>
      <c r="C69" s="132"/>
      <c r="D69" s="4">
        <f>'Raw Data_Mod Tests'!E37</f>
        <v>0</v>
      </c>
      <c r="E69" s="4">
        <v>1000</v>
      </c>
      <c r="F69" s="131">
        <f>'Raw Data_Mod Tests'!F37</f>
        <v>0</v>
      </c>
      <c r="G69" s="132"/>
      <c r="H69" s="88">
        <v>3</v>
      </c>
      <c r="I69" s="4">
        <f t="shared" ref="I69" si="6">F69+((D69/E69)*H69)</f>
        <v>0</v>
      </c>
      <c r="J69" s="20"/>
      <c r="K69" s="20"/>
      <c r="L69" s="68"/>
      <c r="M69" s="20"/>
    </row>
    <row r="70" spans="1:13" s="6" customFormat="1" ht="14.25" x14ac:dyDescent="0.2">
      <c r="A70" s="34"/>
      <c r="B70" s="34"/>
      <c r="C70" s="34"/>
      <c r="D70" s="34"/>
      <c r="E70" s="34"/>
      <c r="F70" s="34"/>
      <c r="G70" s="34"/>
      <c r="H70" s="11"/>
      <c r="I70" s="11"/>
      <c r="J70" s="20"/>
      <c r="K70" s="20"/>
      <c r="L70" s="68"/>
      <c r="M70" s="20"/>
    </row>
    <row r="71" spans="1:13" s="6" customFormat="1" ht="14.25" x14ac:dyDescent="0.2">
      <c r="A71" s="34"/>
      <c r="B71" s="34"/>
      <c r="C71" s="34"/>
      <c r="D71" s="34"/>
      <c r="E71" s="34"/>
      <c r="F71" s="34"/>
      <c r="G71" s="34"/>
      <c r="H71" s="11"/>
      <c r="I71" s="11"/>
      <c r="J71" s="20"/>
      <c r="K71" s="20"/>
      <c r="L71" s="68"/>
      <c r="M71" s="20"/>
    </row>
    <row r="72" spans="1:13" s="6" customFormat="1" x14ac:dyDescent="0.2">
      <c r="A72" s="133" t="s">
        <v>67</v>
      </c>
      <c r="B72" s="133"/>
      <c r="C72" s="133"/>
      <c r="D72" s="35" t="s">
        <v>15</v>
      </c>
      <c r="E72" s="37" t="s">
        <v>19</v>
      </c>
      <c r="F72" s="134" t="s">
        <v>30</v>
      </c>
      <c r="G72" s="134"/>
      <c r="H72" s="31" t="s">
        <v>31</v>
      </c>
      <c r="I72" s="37" t="s">
        <v>20</v>
      </c>
      <c r="J72" s="20"/>
      <c r="K72" s="20"/>
      <c r="L72" s="68"/>
      <c r="M72" s="20"/>
    </row>
    <row r="73" spans="1:13" s="6" customFormat="1" ht="14.25" x14ac:dyDescent="0.2">
      <c r="A73" s="129" t="s">
        <v>6</v>
      </c>
      <c r="B73" s="131" t="s">
        <v>7</v>
      </c>
      <c r="C73" s="132"/>
      <c r="D73" s="4">
        <f>'Raw Data_Mod Tests'!E38</f>
        <v>0</v>
      </c>
      <c r="E73" s="4">
        <v>1000</v>
      </c>
      <c r="F73" s="131">
        <f>'Raw Data_Mod Tests'!F38</f>
        <v>0</v>
      </c>
      <c r="G73" s="132"/>
      <c r="H73" s="56">
        <v>3</v>
      </c>
      <c r="I73" s="4">
        <f>F73+((D73/E73)*H73)</f>
        <v>0</v>
      </c>
      <c r="J73" s="20"/>
      <c r="K73" s="20"/>
      <c r="L73" s="68"/>
      <c r="M73" s="20"/>
    </row>
    <row r="74" spans="1:13" s="6" customFormat="1" ht="14.25" x14ac:dyDescent="0.2">
      <c r="A74" s="130"/>
      <c r="B74" s="131" t="s">
        <v>8</v>
      </c>
      <c r="C74" s="132"/>
      <c r="D74" s="4">
        <f>'Raw Data_Mod Tests'!E39</f>
        <v>0</v>
      </c>
      <c r="E74" s="4">
        <v>1000</v>
      </c>
      <c r="F74" s="131">
        <f>'Raw Data_Mod Tests'!F39</f>
        <v>0</v>
      </c>
      <c r="G74" s="132"/>
      <c r="H74" s="56">
        <v>3</v>
      </c>
      <c r="I74" s="4">
        <f t="shared" ref="I74:I83" si="7">F74+((D74/E74)*H74)</f>
        <v>0</v>
      </c>
      <c r="J74" s="20"/>
      <c r="K74" s="20"/>
      <c r="L74" s="68"/>
      <c r="M74" s="20"/>
    </row>
    <row r="75" spans="1:13" s="6" customFormat="1" ht="14.25" x14ac:dyDescent="0.2">
      <c r="A75" s="129" t="s">
        <v>10</v>
      </c>
      <c r="B75" s="131" t="s">
        <v>7</v>
      </c>
      <c r="C75" s="132"/>
      <c r="D75" s="4">
        <f>'Raw Data_Mod Tests'!E40</f>
        <v>0</v>
      </c>
      <c r="E75" s="4">
        <v>1000</v>
      </c>
      <c r="F75" s="131">
        <f>'Raw Data_Mod Tests'!F40</f>
        <v>0</v>
      </c>
      <c r="G75" s="132"/>
      <c r="H75" s="56">
        <v>3</v>
      </c>
      <c r="I75" s="4">
        <f t="shared" si="7"/>
        <v>0</v>
      </c>
      <c r="J75" s="20"/>
      <c r="K75" s="20"/>
      <c r="L75" s="68"/>
      <c r="M75" s="20"/>
    </row>
    <row r="76" spans="1:13" s="6" customFormat="1" ht="14.25" x14ac:dyDescent="0.2">
      <c r="A76" s="130"/>
      <c r="B76" s="131" t="s">
        <v>8</v>
      </c>
      <c r="C76" s="132"/>
      <c r="D76" s="4">
        <f>'Raw Data_Mod Tests'!E41</f>
        <v>0</v>
      </c>
      <c r="E76" s="4">
        <v>1000</v>
      </c>
      <c r="F76" s="131">
        <f>'Raw Data_Mod Tests'!F41</f>
        <v>0</v>
      </c>
      <c r="G76" s="132"/>
      <c r="H76" s="56">
        <v>3</v>
      </c>
      <c r="I76" s="4">
        <f t="shared" si="7"/>
        <v>0</v>
      </c>
      <c r="J76" s="20"/>
      <c r="K76" s="20"/>
      <c r="L76" s="68"/>
      <c r="M76" s="20"/>
    </row>
    <row r="77" spans="1:13" s="6" customFormat="1" ht="14.25" x14ac:dyDescent="0.2">
      <c r="A77" s="129" t="s">
        <v>11</v>
      </c>
      <c r="B77" s="131" t="s">
        <v>7</v>
      </c>
      <c r="C77" s="132"/>
      <c r="D77" s="4">
        <f>'Raw Data_Mod Tests'!E42</f>
        <v>0</v>
      </c>
      <c r="E77" s="4">
        <v>1000</v>
      </c>
      <c r="F77" s="131">
        <f>'Raw Data_Mod Tests'!F42</f>
        <v>0</v>
      </c>
      <c r="G77" s="132"/>
      <c r="H77" s="56">
        <v>3</v>
      </c>
      <c r="I77" s="4">
        <f t="shared" si="7"/>
        <v>0</v>
      </c>
      <c r="J77" s="20"/>
      <c r="K77" s="20"/>
      <c r="L77" s="68"/>
      <c r="M77" s="20"/>
    </row>
    <row r="78" spans="1:13" s="6" customFormat="1" ht="14.25" x14ac:dyDescent="0.2">
      <c r="A78" s="130"/>
      <c r="B78" s="131" t="s">
        <v>8</v>
      </c>
      <c r="C78" s="132"/>
      <c r="D78" s="4">
        <f>'Raw Data_Mod Tests'!E43</f>
        <v>0</v>
      </c>
      <c r="E78" s="4">
        <v>1000</v>
      </c>
      <c r="F78" s="131">
        <f>'Raw Data_Mod Tests'!F43</f>
        <v>0</v>
      </c>
      <c r="G78" s="132"/>
      <c r="H78" s="56">
        <v>3</v>
      </c>
      <c r="I78" s="4">
        <f t="shared" si="7"/>
        <v>0</v>
      </c>
      <c r="J78" s="20"/>
      <c r="K78" s="20"/>
      <c r="L78" s="68"/>
      <c r="M78" s="20"/>
    </row>
    <row r="79" spans="1:13" s="6" customFormat="1" ht="14.25" x14ac:dyDescent="0.2">
      <c r="A79" s="129" t="s">
        <v>12</v>
      </c>
      <c r="B79" s="131" t="s">
        <v>7</v>
      </c>
      <c r="C79" s="132"/>
      <c r="D79" s="4">
        <f>'Raw Data_Mod Tests'!E44</f>
        <v>0</v>
      </c>
      <c r="E79" s="4">
        <v>1000</v>
      </c>
      <c r="F79" s="131">
        <f>'Raw Data_Mod Tests'!F44</f>
        <v>0</v>
      </c>
      <c r="G79" s="132"/>
      <c r="H79" s="56">
        <v>3</v>
      </c>
      <c r="I79" s="4">
        <f t="shared" si="7"/>
        <v>0</v>
      </c>
      <c r="J79" s="20"/>
      <c r="K79" s="20"/>
      <c r="L79" s="68"/>
      <c r="M79" s="20"/>
    </row>
    <row r="80" spans="1:13" s="6" customFormat="1" ht="14.25" x14ac:dyDescent="0.2">
      <c r="A80" s="130"/>
      <c r="B80" s="131" t="s">
        <v>8</v>
      </c>
      <c r="C80" s="132"/>
      <c r="D80" s="4">
        <f>'Raw Data_Mod Tests'!E45</f>
        <v>0</v>
      </c>
      <c r="E80" s="4">
        <v>1000</v>
      </c>
      <c r="F80" s="131">
        <f>'Raw Data_Mod Tests'!F45</f>
        <v>0</v>
      </c>
      <c r="G80" s="132"/>
      <c r="H80" s="56">
        <v>3</v>
      </c>
      <c r="I80" s="4">
        <f t="shared" si="7"/>
        <v>0</v>
      </c>
      <c r="J80" s="20"/>
      <c r="K80" s="20"/>
      <c r="L80" s="68"/>
      <c r="M80" s="20"/>
    </row>
    <row r="81" spans="1:13" s="6" customFormat="1" ht="14.25" x14ac:dyDescent="0.2">
      <c r="A81" s="129" t="s">
        <v>13</v>
      </c>
      <c r="B81" s="131" t="s">
        <v>7</v>
      </c>
      <c r="C81" s="132"/>
      <c r="D81" s="4">
        <f>'Raw Data_Mod Tests'!E46</f>
        <v>0</v>
      </c>
      <c r="E81" s="4">
        <v>1000</v>
      </c>
      <c r="F81" s="131">
        <f>'Raw Data_Mod Tests'!F46</f>
        <v>0</v>
      </c>
      <c r="G81" s="132"/>
      <c r="H81" s="56">
        <v>3</v>
      </c>
      <c r="I81" s="4">
        <f t="shared" si="7"/>
        <v>0</v>
      </c>
      <c r="J81" s="20"/>
      <c r="K81" s="20"/>
      <c r="L81" s="68"/>
      <c r="M81" s="20"/>
    </row>
    <row r="82" spans="1:13" s="6" customFormat="1" ht="14.25" x14ac:dyDescent="0.2">
      <c r="A82" s="130"/>
      <c r="B82" s="131" t="s">
        <v>8</v>
      </c>
      <c r="C82" s="132"/>
      <c r="D82" s="4">
        <f>'Raw Data_Mod Tests'!E47</f>
        <v>0</v>
      </c>
      <c r="E82" s="4">
        <v>1000</v>
      </c>
      <c r="F82" s="131">
        <f>'Raw Data_Mod Tests'!F47</f>
        <v>0</v>
      </c>
      <c r="G82" s="132"/>
      <c r="H82" s="56">
        <v>3</v>
      </c>
      <c r="I82" s="4">
        <f t="shared" si="7"/>
        <v>0</v>
      </c>
      <c r="J82" s="20"/>
      <c r="K82" s="20"/>
      <c r="L82" s="68"/>
      <c r="M82" s="20"/>
    </row>
    <row r="83" spans="1:13" s="6" customFormat="1" ht="14.25" x14ac:dyDescent="0.2">
      <c r="A83" s="129" t="s">
        <v>14</v>
      </c>
      <c r="B83" s="131" t="s">
        <v>7</v>
      </c>
      <c r="C83" s="132"/>
      <c r="D83" s="4">
        <f>'Raw Data_Mod Tests'!E48</f>
        <v>0</v>
      </c>
      <c r="E83" s="4">
        <v>1000</v>
      </c>
      <c r="F83" s="131">
        <f>'Raw Data_Mod Tests'!F48</f>
        <v>0</v>
      </c>
      <c r="G83" s="132"/>
      <c r="H83" s="56">
        <v>3</v>
      </c>
      <c r="I83" s="4">
        <f t="shared" si="7"/>
        <v>0</v>
      </c>
      <c r="J83" s="20"/>
      <c r="K83" s="20"/>
      <c r="L83" s="68"/>
      <c r="M83" s="20"/>
    </row>
    <row r="84" spans="1:13" s="6" customFormat="1" ht="14.25" x14ac:dyDescent="0.2">
      <c r="A84" s="130"/>
      <c r="B84" s="131" t="s">
        <v>8</v>
      </c>
      <c r="C84" s="132"/>
      <c r="D84" s="4">
        <f>'Raw Data_Mod Tests'!E49</f>
        <v>0</v>
      </c>
      <c r="E84" s="4">
        <v>1000</v>
      </c>
      <c r="F84" s="131">
        <f>'Raw Data_Mod Tests'!F49</f>
        <v>0</v>
      </c>
      <c r="G84" s="132"/>
      <c r="H84" s="88">
        <v>3</v>
      </c>
      <c r="I84" s="4">
        <f t="shared" ref="I84" si="8">F84+((D84/E84)*H84)</f>
        <v>0</v>
      </c>
      <c r="J84" s="20"/>
      <c r="K84" s="20"/>
      <c r="L84" s="68"/>
      <c r="M84" s="20"/>
    </row>
    <row r="85" spans="1:13" s="6" customFormat="1" ht="14.25" x14ac:dyDescent="0.2">
      <c r="A85" s="34"/>
      <c r="B85" s="34"/>
      <c r="C85" s="34"/>
      <c r="D85" s="34"/>
      <c r="E85" s="34"/>
      <c r="F85" s="34"/>
      <c r="G85" s="34"/>
      <c r="H85" s="11"/>
      <c r="I85" s="11"/>
      <c r="J85" s="20"/>
      <c r="K85" s="20"/>
      <c r="L85" s="68"/>
      <c r="M85" s="20"/>
    </row>
    <row r="86" spans="1:13" s="6" customFormat="1" ht="14.25" x14ac:dyDescent="0.2">
      <c r="A86" s="34"/>
      <c r="B86" s="34"/>
      <c r="C86" s="34"/>
      <c r="D86" s="34"/>
      <c r="E86" s="34"/>
      <c r="F86" s="34"/>
      <c r="G86" s="34"/>
      <c r="H86" s="11"/>
      <c r="I86" s="11"/>
      <c r="J86" s="20"/>
      <c r="K86" s="20"/>
      <c r="L86" s="68"/>
      <c r="M86" s="20"/>
    </row>
    <row r="87" spans="1:13" s="6" customFormat="1" x14ac:dyDescent="0.2">
      <c r="A87" s="133" t="s">
        <v>68</v>
      </c>
      <c r="B87" s="133"/>
      <c r="C87" s="133"/>
      <c r="D87" s="35" t="s">
        <v>15</v>
      </c>
      <c r="E87" s="37" t="s">
        <v>19</v>
      </c>
      <c r="F87" s="134" t="s">
        <v>30</v>
      </c>
      <c r="G87" s="134"/>
      <c r="H87" s="31" t="s">
        <v>31</v>
      </c>
      <c r="I87" s="37" t="s">
        <v>20</v>
      </c>
      <c r="J87" s="20"/>
      <c r="K87" s="20"/>
      <c r="L87" s="68"/>
      <c r="M87" s="20"/>
    </row>
    <row r="88" spans="1:13" s="6" customFormat="1" ht="14.25" x14ac:dyDescent="0.2">
      <c r="A88" s="129" t="s">
        <v>6</v>
      </c>
      <c r="B88" s="131" t="s">
        <v>7</v>
      </c>
      <c r="C88" s="132"/>
      <c r="D88" s="4">
        <f>'Raw Data_Mod Tests'!E50</f>
        <v>0</v>
      </c>
      <c r="E88" s="4">
        <v>1000</v>
      </c>
      <c r="F88" s="131">
        <f>'Raw Data_Mod Tests'!F50</f>
        <v>0</v>
      </c>
      <c r="G88" s="132"/>
      <c r="H88" s="56">
        <v>3</v>
      </c>
      <c r="I88" s="4">
        <f>F88+((D88/E88)*H88)</f>
        <v>0</v>
      </c>
      <c r="J88" s="20"/>
      <c r="K88" s="20"/>
      <c r="L88" s="68"/>
      <c r="M88" s="20"/>
    </row>
    <row r="89" spans="1:13" s="6" customFormat="1" ht="14.25" x14ac:dyDescent="0.2">
      <c r="A89" s="130"/>
      <c r="B89" s="131" t="s">
        <v>8</v>
      </c>
      <c r="C89" s="132"/>
      <c r="D89" s="4">
        <f>'Raw Data_Mod Tests'!E51</f>
        <v>0</v>
      </c>
      <c r="E89" s="4">
        <v>1000</v>
      </c>
      <c r="F89" s="131">
        <f>'Raw Data_Mod Tests'!F51</f>
        <v>0</v>
      </c>
      <c r="G89" s="132"/>
      <c r="H89" s="56">
        <v>3</v>
      </c>
      <c r="I89" s="4">
        <f t="shared" ref="I89:I98" si="9">F89+((D89/E89)*H89)</f>
        <v>0</v>
      </c>
      <c r="J89" s="20"/>
      <c r="K89" s="20"/>
      <c r="L89" s="68"/>
      <c r="M89" s="20"/>
    </row>
    <row r="90" spans="1:13" s="6" customFormat="1" ht="14.25" x14ac:dyDescent="0.2">
      <c r="A90" s="129" t="s">
        <v>10</v>
      </c>
      <c r="B90" s="131" t="s">
        <v>7</v>
      </c>
      <c r="C90" s="132"/>
      <c r="D90" s="4">
        <f>'Raw Data_Mod Tests'!E52</f>
        <v>0</v>
      </c>
      <c r="E90" s="4">
        <v>1000</v>
      </c>
      <c r="F90" s="131">
        <f>'Raw Data_Mod Tests'!F52</f>
        <v>0</v>
      </c>
      <c r="G90" s="132"/>
      <c r="H90" s="56">
        <v>3</v>
      </c>
      <c r="I90" s="4">
        <f t="shared" si="9"/>
        <v>0</v>
      </c>
      <c r="J90" s="20"/>
      <c r="K90" s="20"/>
      <c r="L90" s="68"/>
      <c r="M90" s="20"/>
    </row>
    <row r="91" spans="1:13" s="6" customFormat="1" ht="14.25" x14ac:dyDescent="0.2">
      <c r="A91" s="130"/>
      <c r="B91" s="131" t="s">
        <v>8</v>
      </c>
      <c r="C91" s="132"/>
      <c r="D91" s="4">
        <f>'Raw Data_Mod Tests'!E53</f>
        <v>0</v>
      </c>
      <c r="E91" s="4">
        <v>1000</v>
      </c>
      <c r="F91" s="131">
        <f>'Raw Data_Mod Tests'!F53</f>
        <v>0</v>
      </c>
      <c r="G91" s="132"/>
      <c r="H91" s="85">
        <v>3</v>
      </c>
      <c r="I91" s="4">
        <f t="shared" si="9"/>
        <v>0</v>
      </c>
      <c r="J91" s="20"/>
      <c r="K91" s="20"/>
      <c r="L91" s="68"/>
      <c r="M91" s="20"/>
    </row>
    <row r="92" spans="1:13" s="6" customFormat="1" ht="14.25" x14ac:dyDescent="0.2">
      <c r="A92" s="129" t="s">
        <v>11</v>
      </c>
      <c r="B92" s="131" t="s">
        <v>7</v>
      </c>
      <c r="C92" s="132"/>
      <c r="D92" s="4">
        <f>'Raw Data_Mod Tests'!E54</f>
        <v>0</v>
      </c>
      <c r="E92" s="4">
        <v>1000</v>
      </c>
      <c r="F92" s="131">
        <f>'Raw Data_Mod Tests'!F54</f>
        <v>0</v>
      </c>
      <c r="G92" s="132"/>
      <c r="H92" s="85">
        <v>3</v>
      </c>
      <c r="I92" s="4">
        <f t="shared" si="9"/>
        <v>0</v>
      </c>
      <c r="J92" s="20"/>
      <c r="K92" s="20"/>
      <c r="L92" s="68"/>
      <c r="M92" s="20"/>
    </row>
    <row r="93" spans="1:13" s="6" customFormat="1" ht="14.25" x14ac:dyDescent="0.2">
      <c r="A93" s="130"/>
      <c r="B93" s="131" t="s">
        <v>8</v>
      </c>
      <c r="C93" s="132"/>
      <c r="D93" s="4">
        <f>'Raw Data_Mod Tests'!E55</f>
        <v>0</v>
      </c>
      <c r="E93" s="4">
        <v>1000</v>
      </c>
      <c r="F93" s="131">
        <f>'Raw Data_Mod Tests'!F55</f>
        <v>0</v>
      </c>
      <c r="G93" s="132"/>
      <c r="H93" s="85">
        <v>3</v>
      </c>
      <c r="I93" s="4">
        <f t="shared" si="9"/>
        <v>0</v>
      </c>
      <c r="J93" s="20"/>
      <c r="K93" s="20"/>
      <c r="L93" s="68"/>
      <c r="M93" s="20"/>
    </row>
    <row r="94" spans="1:13" s="6" customFormat="1" ht="14.25" x14ac:dyDescent="0.2">
      <c r="A94" s="129" t="s">
        <v>12</v>
      </c>
      <c r="B94" s="131" t="s">
        <v>7</v>
      </c>
      <c r="C94" s="132"/>
      <c r="D94" s="4">
        <f>'Raw Data_Mod Tests'!E56</f>
        <v>0</v>
      </c>
      <c r="E94" s="4">
        <v>1000</v>
      </c>
      <c r="F94" s="131">
        <f>'Raw Data_Mod Tests'!F56</f>
        <v>0</v>
      </c>
      <c r="G94" s="132"/>
      <c r="H94" s="85">
        <v>3</v>
      </c>
      <c r="I94" s="4">
        <f t="shared" si="9"/>
        <v>0</v>
      </c>
      <c r="J94" s="20"/>
      <c r="K94" s="20"/>
      <c r="L94" s="68"/>
      <c r="M94" s="20"/>
    </row>
    <row r="95" spans="1:13" s="6" customFormat="1" ht="14.25" x14ac:dyDescent="0.2">
      <c r="A95" s="130"/>
      <c r="B95" s="131" t="s">
        <v>8</v>
      </c>
      <c r="C95" s="132"/>
      <c r="D95" s="4">
        <f>'Raw Data_Mod Tests'!E57</f>
        <v>0</v>
      </c>
      <c r="E95" s="4">
        <v>1000</v>
      </c>
      <c r="F95" s="131">
        <f>'Raw Data_Mod Tests'!F57</f>
        <v>0</v>
      </c>
      <c r="G95" s="132"/>
      <c r="H95" s="85">
        <v>3</v>
      </c>
      <c r="I95" s="4">
        <f t="shared" si="9"/>
        <v>0</v>
      </c>
      <c r="J95" s="20"/>
      <c r="K95" s="20"/>
      <c r="L95" s="68"/>
      <c r="M95" s="20"/>
    </row>
    <row r="96" spans="1:13" s="6" customFormat="1" ht="14.25" x14ac:dyDescent="0.2">
      <c r="A96" s="129" t="s">
        <v>13</v>
      </c>
      <c r="B96" s="131" t="s">
        <v>7</v>
      </c>
      <c r="C96" s="132"/>
      <c r="D96" s="4">
        <f>'Raw Data_Mod Tests'!E58</f>
        <v>0</v>
      </c>
      <c r="E96" s="4">
        <v>1000</v>
      </c>
      <c r="F96" s="131">
        <f>'Raw Data_Mod Tests'!F58</f>
        <v>0</v>
      </c>
      <c r="G96" s="132"/>
      <c r="H96" s="85">
        <v>3</v>
      </c>
      <c r="I96" s="4">
        <f t="shared" si="9"/>
        <v>0</v>
      </c>
      <c r="J96" s="20"/>
      <c r="K96" s="20"/>
      <c r="L96" s="68"/>
      <c r="M96" s="20"/>
    </row>
    <row r="97" spans="1:13" s="6" customFormat="1" ht="14.25" x14ac:dyDescent="0.2">
      <c r="A97" s="130"/>
      <c r="B97" s="131" t="s">
        <v>8</v>
      </c>
      <c r="C97" s="132"/>
      <c r="D97" s="4">
        <f>'Raw Data_Mod Tests'!E59</f>
        <v>0</v>
      </c>
      <c r="E97" s="4">
        <v>1000</v>
      </c>
      <c r="F97" s="131">
        <f>'Raw Data_Mod Tests'!F59</f>
        <v>0</v>
      </c>
      <c r="G97" s="132"/>
      <c r="H97" s="56">
        <v>3</v>
      </c>
      <c r="I97" s="4">
        <f t="shared" si="9"/>
        <v>0</v>
      </c>
      <c r="J97" s="20"/>
      <c r="K97" s="20"/>
      <c r="L97" s="68"/>
      <c r="M97" s="20"/>
    </row>
    <row r="98" spans="1:13" s="6" customFormat="1" ht="14.25" x14ac:dyDescent="0.2">
      <c r="A98" s="129" t="s">
        <v>14</v>
      </c>
      <c r="B98" s="131" t="s">
        <v>7</v>
      </c>
      <c r="C98" s="132"/>
      <c r="D98" s="4">
        <f>'Raw Data_Mod Tests'!E60</f>
        <v>0</v>
      </c>
      <c r="E98" s="4">
        <v>1000</v>
      </c>
      <c r="F98" s="131">
        <f>'Raw Data_Mod Tests'!F60</f>
        <v>0</v>
      </c>
      <c r="G98" s="132"/>
      <c r="H98" s="56">
        <v>3</v>
      </c>
      <c r="I98" s="4">
        <f t="shared" si="9"/>
        <v>0</v>
      </c>
      <c r="J98" s="20"/>
      <c r="K98" s="20"/>
      <c r="L98" s="68"/>
      <c r="M98" s="20"/>
    </row>
    <row r="99" spans="1:13" s="6" customFormat="1" ht="14.25" x14ac:dyDescent="0.2">
      <c r="A99" s="130"/>
      <c r="B99" s="131" t="s">
        <v>8</v>
      </c>
      <c r="C99" s="132"/>
      <c r="D99" s="4">
        <f>'Raw Data_Mod Tests'!E61</f>
        <v>0</v>
      </c>
      <c r="E99" s="4">
        <v>1000</v>
      </c>
      <c r="F99" s="131">
        <f>'Raw Data_Mod Tests'!F61</f>
        <v>0</v>
      </c>
      <c r="G99" s="132"/>
      <c r="H99" s="88">
        <v>3</v>
      </c>
      <c r="I99" s="4">
        <f t="shared" ref="I99" si="10">F99+((D99/E99)*H99)</f>
        <v>0</v>
      </c>
      <c r="J99" s="20"/>
      <c r="K99" s="20"/>
      <c r="L99" s="68"/>
      <c r="M99" s="20"/>
    </row>
    <row r="100" spans="1:13" s="6" customFormat="1" ht="14.25" x14ac:dyDescent="0.2">
      <c r="A100" s="74"/>
      <c r="B100" s="74"/>
      <c r="C100" s="74"/>
      <c r="D100" s="74"/>
      <c r="E100" s="74"/>
      <c r="F100" s="74"/>
      <c r="G100" s="74"/>
      <c r="H100" s="74"/>
      <c r="I100" s="74"/>
      <c r="J100" s="20"/>
      <c r="K100" s="20"/>
      <c r="L100" s="68"/>
      <c r="M100" s="20"/>
    </row>
    <row r="101" spans="1:13" s="6" customFormat="1" ht="14.25" customHeight="1" x14ac:dyDescent="0.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68"/>
      <c r="M101" s="20"/>
    </row>
    <row r="102" spans="1:13" s="6" customFormat="1" x14ac:dyDescent="0.2">
      <c r="A102" s="133" t="s">
        <v>89</v>
      </c>
      <c r="B102" s="133"/>
      <c r="C102" s="133"/>
      <c r="D102" s="73" t="s">
        <v>15</v>
      </c>
      <c r="E102" s="72" t="s">
        <v>19</v>
      </c>
      <c r="F102" s="134" t="s">
        <v>30</v>
      </c>
      <c r="G102" s="134"/>
      <c r="H102" s="31" t="s">
        <v>31</v>
      </c>
      <c r="I102" s="72" t="s">
        <v>20</v>
      </c>
      <c r="J102" s="20"/>
      <c r="K102" s="20"/>
      <c r="L102" s="68"/>
      <c r="M102" s="20"/>
    </row>
    <row r="103" spans="1:13" s="6" customFormat="1" ht="14.25" x14ac:dyDescent="0.2">
      <c r="A103" s="129" t="s">
        <v>6</v>
      </c>
      <c r="B103" s="131" t="s">
        <v>7</v>
      </c>
      <c r="C103" s="132"/>
      <c r="D103" s="4">
        <f>'Raw Data_Mod Tests'!E62</f>
        <v>0</v>
      </c>
      <c r="E103" s="4">
        <v>1000</v>
      </c>
      <c r="F103" s="131">
        <f>'Raw Data_Mod Tests'!F62</f>
        <v>0</v>
      </c>
      <c r="G103" s="132"/>
      <c r="H103" s="71">
        <v>3</v>
      </c>
      <c r="I103" s="61">
        <f>F103+((D103/E103)*H103)</f>
        <v>0</v>
      </c>
      <c r="J103" s="20"/>
      <c r="K103" s="20"/>
      <c r="L103" s="68"/>
      <c r="M103" s="20"/>
    </row>
    <row r="104" spans="1:13" s="6" customFormat="1" ht="14.25" x14ac:dyDescent="0.2">
      <c r="A104" s="130"/>
      <c r="B104" s="131" t="s">
        <v>8</v>
      </c>
      <c r="C104" s="132"/>
      <c r="D104" s="4">
        <f>'Raw Data_Mod Tests'!E63</f>
        <v>0</v>
      </c>
      <c r="E104" s="4">
        <v>1000</v>
      </c>
      <c r="F104" s="131">
        <f>'Raw Data_Mod Tests'!F63</f>
        <v>0</v>
      </c>
      <c r="G104" s="132"/>
      <c r="H104" s="71">
        <v>3</v>
      </c>
      <c r="I104" s="61">
        <f t="shared" ref="I104:I114" si="11">F104+((D104/E104)*H104)</f>
        <v>0</v>
      </c>
      <c r="J104" s="20"/>
      <c r="K104" s="20"/>
      <c r="L104" s="68"/>
      <c r="M104" s="20"/>
    </row>
    <row r="105" spans="1:13" s="6" customFormat="1" ht="14.25" x14ac:dyDescent="0.2">
      <c r="A105" s="129" t="s">
        <v>10</v>
      </c>
      <c r="B105" s="131" t="s">
        <v>7</v>
      </c>
      <c r="C105" s="132"/>
      <c r="D105" s="4">
        <f>'Raw Data_Mod Tests'!E64</f>
        <v>0</v>
      </c>
      <c r="E105" s="4">
        <v>1000</v>
      </c>
      <c r="F105" s="131">
        <f>'Raw Data_Mod Tests'!F64</f>
        <v>0</v>
      </c>
      <c r="G105" s="132"/>
      <c r="H105" s="29">
        <v>3</v>
      </c>
      <c r="I105" s="61">
        <f t="shared" si="11"/>
        <v>0</v>
      </c>
      <c r="J105" s="20"/>
      <c r="K105" s="20"/>
      <c r="L105" s="68"/>
      <c r="M105" s="20"/>
    </row>
    <row r="106" spans="1:13" s="6" customFormat="1" ht="14.25" x14ac:dyDescent="0.2">
      <c r="A106" s="130"/>
      <c r="B106" s="131" t="s">
        <v>8</v>
      </c>
      <c r="C106" s="132"/>
      <c r="D106" s="4">
        <f>'Raw Data_Mod Tests'!E65</f>
        <v>0</v>
      </c>
      <c r="E106" s="4">
        <v>1000</v>
      </c>
      <c r="F106" s="131">
        <f>'Raw Data_Mod Tests'!F65</f>
        <v>0</v>
      </c>
      <c r="G106" s="132"/>
      <c r="H106" s="71">
        <v>3</v>
      </c>
      <c r="I106" s="61">
        <f t="shared" si="11"/>
        <v>0</v>
      </c>
      <c r="J106" s="20"/>
      <c r="K106" s="20"/>
      <c r="L106" s="68"/>
      <c r="M106" s="20"/>
    </row>
    <row r="107" spans="1:13" s="6" customFormat="1" ht="14.25" x14ac:dyDescent="0.2">
      <c r="A107" s="129" t="s">
        <v>11</v>
      </c>
      <c r="B107" s="131" t="s">
        <v>7</v>
      </c>
      <c r="C107" s="132"/>
      <c r="D107" s="4">
        <f>'Raw Data_Mod Tests'!E66</f>
        <v>0</v>
      </c>
      <c r="E107" s="4">
        <v>1000</v>
      </c>
      <c r="F107" s="131">
        <f>'Raw Data_Mod Tests'!F66</f>
        <v>0</v>
      </c>
      <c r="G107" s="132"/>
      <c r="H107" s="71">
        <v>3</v>
      </c>
      <c r="I107" s="61">
        <f t="shared" si="11"/>
        <v>0</v>
      </c>
      <c r="J107" s="20"/>
      <c r="K107" s="20"/>
      <c r="L107" s="68"/>
      <c r="M107" s="20"/>
    </row>
    <row r="108" spans="1:13" s="6" customFormat="1" ht="14.25" x14ac:dyDescent="0.2">
      <c r="A108" s="130"/>
      <c r="B108" s="131" t="s">
        <v>8</v>
      </c>
      <c r="C108" s="132"/>
      <c r="D108" s="4">
        <f>'Raw Data_Mod Tests'!E67</f>
        <v>0</v>
      </c>
      <c r="E108" s="4">
        <v>1000</v>
      </c>
      <c r="F108" s="131">
        <f>'Raw Data_Mod Tests'!F67</f>
        <v>0</v>
      </c>
      <c r="G108" s="132"/>
      <c r="H108" s="71">
        <v>3</v>
      </c>
      <c r="I108" s="61">
        <f t="shared" si="11"/>
        <v>0</v>
      </c>
      <c r="J108" s="20"/>
      <c r="K108" s="20"/>
      <c r="L108" s="68"/>
      <c r="M108" s="20"/>
    </row>
    <row r="109" spans="1:13" s="6" customFormat="1" ht="14.25" x14ac:dyDescent="0.2">
      <c r="A109" s="129" t="s">
        <v>12</v>
      </c>
      <c r="B109" s="131" t="s">
        <v>7</v>
      </c>
      <c r="C109" s="132"/>
      <c r="D109" s="4">
        <f>'Raw Data_Mod Tests'!E68</f>
        <v>0</v>
      </c>
      <c r="E109" s="4">
        <v>1000</v>
      </c>
      <c r="F109" s="131">
        <f>'Raw Data_Mod Tests'!F68</f>
        <v>0</v>
      </c>
      <c r="G109" s="132"/>
      <c r="H109" s="71">
        <v>3</v>
      </c>
      <c r="I109" s="61">
        <f t="shared" si="11"/>
        <v>0</v>
      </c>
      <c r="J109" s="20"/>
      <c r="K109" s="20"/>
      <c r="L109" s="68"/>
      <c r="M109" s="20"/>
    </row>
    <row r="110" spans="1:13" s="6" customFormat="1" ht="14.25" x14ac:dyDescent="0.2">
      <c r="A110" s="130"/>
      <c r="B110" s="131" t="s">
        <v>8</v>
      </c>
      <c r="C110" s="132"/>
      <c r="D110" s="4">
        <f>'Raw Data_Mod Tests'!E69</f>
        <v>0</v>
      </c>
      <c r="E110" s="4">
        <v>1000</v>
      </c>
      <c r="F110" s="131">
        <f>'Raw Data_Mod Tests'!F69</f>
        <v>0</v>
      </c>
      <c r="G110" s="132"/>
      <c r="H110" s="71">
        <v>3</v>
      </c>
      <c r="I110" s="61">
        <f t="shared" si="11"/>
        <v>0</v>
      </c>
      <c r="J110" s="20"/>
      <c r="K110" s="20"/>
      <c r="L110" s="68"/>
      <c r="M110" s="20"/>
    </row>
    <row r="111" spans="1:13" s="6" customFormat="1" ht="14.25" x14ac:dyDescent="0.2">
      <c r="A111" s="129" t="s">
        <v>13</v>
      </c>
      <c r="B111" s="131" t="s">
        <v>7</v>
      </c>
      <c r="C111" s="132"/>
      <c r="D111" s="4">
        <f>'Raw Data_Mod Tests'!E70</f>
        <v>0</v>
      </c>
      <c r="E111" s="4">
        <v>1000</v>
      </c>
      <c r="F111" s="131">
        <f>'Raw Data_Mod Tests'!F70</f>
        <v>0</v>
      </c>
      <c r="G111" s="132"/>
      <c r="H111" s="71">
        <v>3</v>
      </c>
      <c r="I111" s="61">
        <f t="shared" si="11"/>
        <v>0</v>
      </c>
      <c r="J111" s="20"/>
      <c r="K111" s="20"/>
      <c r="L111" s="68"/>
      <c r="M111" s="20"/>
    </row>
    <row r="112" spans="1:13" s="6" customFormat="1" ht="14.25" x14ac:dyDescent="0.2">
      <c r="A112" s="130"/>
      <c r="B112" s="131" t="s">
        <v>8</v>
      </c>
      <c r="C112" s="132"/>
      <c r="D112" s="4">
        <f>'Raw Data_Mod Tests'!E71</f>
        <v>0</v>
      </c>
      <c r="E112" s="4">
        <v>1000</v>
      </c>
      <c r="F112" s="131">
        <f>'Raw Data_Mod Tests'!F71</f>
        <v>0</v>
      </c>
      <c r="G112" s="132"/>
      <c r="H112" s="71">
        <v>3</v>
      </c>
      <c r="I112" s="61">
        <f t="shared" si="11"/>
        <v>0</v>
      </c>
      <c r="J112" s="20"/>
      <c r="K112" s="20"/>
      <c r="L112" s="68"/>
      <c r="M112" s="20"/>
    </row>
    <row r="113" spans="1:13" s="6" customFormat="1" ht="14.25" x14ac:dyDescent="0.2">
      <c r="A113" s="129" t="s">
        <v>14</v>
      </c>
      <c r="B113" s="131" t="s">
        <v>7</v>
      </c>
      <c r="C113" s="132"/>
      <c r="D113" s="4">
        <f>'Raw Data_Mod Tests'!E72</f>
        <v>0</v>
      </c>
      <c r="E113" s="4">
        <v>1000</v>
      </c>
      <c r="F113" s="131">
        <f>'Raw Data_Mod Tests'!F72</f>
        <v>0</v>
      </c>
      <c r="G113" s="132"/>
      <c r="H113" s="71">
        <v>3</v>
      </c>
      <c r="I113" s="61">
        <f t="shared" si="11"/>
        <v>0</v>
      </c>
      <c r="J113" s="20"/>
      <c r="K113" s="20"/>
      <c r="L113" s="68"/>
      <c r="M113" s="20"/>
    </row>
    <row r="114" spans="1:13" s="6" customFormat="1" ht="14.25" x14ac:dyDescent="0.2">
      <c r="A114" s="130"/>
      <c r="B114" s="131" t="s">
        <v>8</v>
      </c>
      <c r="C114" s="132"/>
      <c r="D114" s="4">
        <f>'Raw Data_Mod Tests'!E73</f>
        <v>0</v>
      </c>
      <c r="E114" s="4">
        <v>1000</v>
      </c>
      <c r="F114" s="131">
        <f>'Raw Data_Mod Tests'!F73</f>
        <v>0</v>
      </c>
      <c r="G114" s="132"/>
      <c r="H114" s="88">
        <v>3</v>
      </c>
      <c r="I114" s="61">
        <f t="shared" si="11"/>
        <v>0</v>
      </c>
      <c r="J114" s="20"/>
      <c r="K114" s="20"/>
      <c r="L114" s="68"/>
      <c r="M114" s="20"/>
    </row>
    <row r="115" spans="1:13" s="6" customFormat="1" ht="14.25" x14ac:dyDescent="0.2">
      <c r="A115" s="74"/>
      <c r="B115" s="74"/>
      <c r="C115" s="74"/>
      <c r="D115" s="74"/>
      <c r="E115" s="74"/>
      <c r="F115" s="74"/>
      <c r="G115" s="74"/>
      <c r="H115" s="11"/>
      <c r="I115" s="11"/>
      <c r="J115" s="20"/>
      <c r="K115" s="20"/>
      <c r="L115" s="68"/>
      <c r="M115" s="20"/>
    </row>
    <row r="116" spans="1:13" s="6" customFormat="1" ht="14.25" x14ac:dyDescent="0.2">
      <c r="A116" s="74"/>
      <c r="B116" s="74"/>
      <c r="C116" s="74"/>
      <c r="D116" s="74"/>
      <c r="E116" s="74"/>
      <c r="F116" s="74"/>
      <c r="G116" s="74"/>
      <c r="H116" s="11"/>
      <c r="I116" s="11"/>
      <c r="J116" s="20"/>
      <c r="K116" s="20"/>
      <c r="L116" s="68"/>
      <c r="M116" s="20"/>
    </row>
    <row r="117" spans="1:13" s="6" customFormat="1" x14ac:dyDescent="0.2">
      <c r="A117" s="133" t="s">
        <v>90</v>
      </c>
      <c r="B117" s="133"/>
      <c r="C117" s="133"/>
      <c r="D117" s="73" t="s">
        <v>15</v>
      </c>
      <c r="E117" s="72" t="s">
        <v>19</v>
      </c>
      <c r="F117" s="134" t="s">
        <v>30</v>
      </c>
      <c r="G117" s="134"/>
      <c r="H117" s="31" t="s">
        <v>31</v>
      </c>
      <c r="I117" s="72" t="s">
        <v>20</v>
      </c>
      <c r="J117" s="20"/>
      <c r="K117" s="20"/>
      <c r="L117" s="68"/>
      <c r="M117" s="20"/>
    </row>
    <row r="118" spans="1:13" s="6" customFormat="1" ht="14.25" x14ac:dyDescent="0.2">
      <c r="A118" s="129" t="s">
        <v>6</v>
      </c>
      <c r="B118" s="131" t="s">
        <v>7</v>
      </c>
      <c r="C118" s="132"/>
      <c r="D118" s="4">
        <f>'Raw Data_Mod Tests'!E74</f>
        <v>0</v>
      </c>
      <c r="E118" s="4">
        <v>1000</v>
      </c>
      <c r="F118" s="131">
        <f>'Raw Data_Mod Tests'!F74</f>
        <v>0</v>
      </c>
      <c r="G118" s="132"/>
      <c r="H118" s="71">
        <v>3</v>
      </c>
      <c r="I118" s="61">
        <f>F118+((D118/E118)*H118)</f>
        <v>0</v>
      </c>
      <c r="J118" s="20"/>
      <c r="K118" s="20"/>
      <c r="L118" s="68"/>
      <c r="M118" s="20"/>
    </row>
    <row r="119" spans="1:13" s="6" customFormat="1" ht="14.25" x14ac:dyDescent="0.2">
      <c r="A119" s="130"/>
      <c r="B119" s="131" t="s">
        <v>8</v>
      </c>
      <c r="C119" s="132"/>
      <c r="D119" s="4">
        <f>'Raw Data_Mod Tests'!E75</f>
        <v>0</v>
      </c>
      <c r="E119" s="4">
        <v>1000</v>
      </c>
      <c r="F119" s="131">
        <f>'Raw Data_Mod Tests'!F75</f>
        <v>0</v>
      </c>
      <c r="G119" s="132"/>
      <c r="H119" s="71">
        <v>3</v>
      </c>
      <c r="I119" s="61">
        <f t="shared" ref="I119:I128" si="12">F119+((D119/E119)*H119)</f>
        <v>0</v>
      </c>
      <c r="J119" s="20"/>
      <c r="K119" s="20"/>
      <c r="L119" s="68"/>
      <c r="M119" s="20"/>
    </row>
    <row r="120" spans="1:13" s="6" customFormat="1" ht="14.25" x14ac:dyDescent="0.2">
      <c r="A120" s="129" t="s">
        <v>10</v>
      </c>
      <c r="B120" s="131" t="s">
        <v>7</v>
      </c>
      <c r="C120" s="132"/>
      <c r="D120" s="4">
        <f>'Raw Data_Mod Tests'!E76</f>
        <v>0</v>
      </c>
      <c r="E120" s="4">
        <v>1000</v>
      </c>
      <c r="F120" s="131">
        <f>'Raw Data_Mod Tests'!F76</f>
        <v>0</v>
      </c>
      <c r="G120" s="132"/>
      <c r="H120" s="71">
        <v>3</v>
      </c>
      <c r="I120" s="61">
        <f t="shared" si="12"/>
        <v>0</v>
      </c>
      <c r="J120" s="20"/>
      <c r="K120" s="20"/>
      <c r="L120" s="68"/>
      <c r="M120" s="20"/>
    </row>
    <row r="121" spans="1:13" s="6" customFormat="1" ht="14.25" x14ac:dyDescent="0.2">
      <c r="A121" s="130"/>
      <c r="B121" s="131" t="s">
        <v>8</v>
      </c>
      <c r="C121" s="132"/>
      <c r="D121" s="4">
        <f>'Raw Data_Mod Tests'!E77</f>
        <v>0</v>
      </c>
      <c r="E121" s="4">
        <v>1000</v>
      </c>
      <c r="F121" s="131">
        <f>'Raw Data_Mod Tests'!F77</f>
        <v>0</v>
      </c>
      <c r="G121" s="132"/>
      <c r="H121" s="71">
        <v>3</v>
      </c>
      <c r="I121" s="61">
        <f t="shared" si="12"/>
        <v>0</v>
      </c>
      <c r="J121" s="20"/>
      <c r="K121" s="20"/>
      <c r="L121" s="68"/>
      <c r="M121" s="20"/>
    </row>
    <row r="122" spans="1:13" s="6" customFormat="1" ht="14.25" x14ac:dyDescent="0.2">
      <c r="A122" s="129" t="s">
        <v>11</v>
      </c>
      <c r="B122" s="131" t="s">
        <v>7</v>
      </c>
      <c r="C122" s="132"/>
      <c r="D122" s="4">
        <f>'Raw Data_Mod Tests'!E78</f>
        <v>0</v>
      </c>
      <c r="E122" s="4">
        <v>1000</v>
      </c>
      <c r="F122" s="131">
        <f>'Raw Data_Mod Tests'!F78</f>
        <v>0</v>
      </c>
      <c r="G122" s="132"/>
      <c r="H122" s="71">
        <v>3</v>
      </c>
      <c r="I122" s="61">
        <f t="shared" si="12"/>
        <v>0</v>
      </c>
      <c r="J122" s="20"/>
      <c r="K122" s="20"/>
      <c r="L122" s="68"/>
      <c r="M122" s="20"/>
    </row>
    <row r="123" spans="1:13" s="6" customFormat="1" ht="14.25" x14ac:dyDescent="0.2">
      <c r="A123" s="130"/>
      <c r="B123" s="131" t="s">
        <v>8</v>
      </c>
      <c r="C123" s="132"/>
      <c r="D123" s="4">
        <f>'Raw Data_Mod Tests'!E79</f>
        <v>0</v>
      </c>
      <c r="E123" s="4">
        <v>1000</v>
      </c>
      <c r="F123" s="131">
        <f>'Raw Data_Mod Tests'!F79</f>
        <v>0</v>
      </c>
      <c r="G123" s="132"/>
      <c r="H123" s="71">
        <v>3</v>
      </c>
      <c r="I123" s="61">
        <f t="shared" si="12"/>
        <v>0</v>
      </c>
      <c r="J123" s="20"/>
      <c r="K123" s="20"/>
      <c r="L123" s="68"/>
      <c r="M123" s="20"/>
    </row>
    <row r="124" spans="1:13" s="6" customFormat="1" ht="14.25" x14ac:dyDescent="0.2">
      <c r="A124" s="129" t="s">
        <v>12</v>
      </c>
      <c r="B124" s="131" t="s">
        <v>7</v>
      </c>
      <c r="C124" s="132"/>
      <c r="D124" s="4">
        <f>'Raw Data_Mod Tests'!E80</f>
        <v>0</v>
      </c>
      <c r="E124" s="4">
        <v>1000</v>
      </c>
      <c r="F124" s="131">
        <f>'Raw Data_Mod Tests'!F80</f>
        <v>0</v>
      </c>
      <c r="G124" s="132"/>
      <c r="H124" s="71">
        <v>3</v>
      </c>
      <c r="I124" s="61">
        <f t="shared" si="12"/>
        <v>0</v>
      </c>
      <c r="J124" s="20"/>
      <c r="K124" s="20"/>
      <c r="L124" s="68"/>
      <c r="M124" s="20"/>
    </row>
    <row r="125" spans="1:13" s="6" customFormat="1" ht="14.25" x14ac:dyDescent="0.2">
      <c r="A125" s="130"/>
      <c r="B125" s="131" t="s">
        <v>8</v>
      </c>
      <c r="C125" s="132"/>
      <c r="D125" s="4">
        <f>'Raw Data_Mod Tests'!E81</f>
        <v>0</v>
      </c>
      <c r="E125" s="4">
        <v>1000</v>
      </c>
      <c r="F125" s="131">
        <f>'Raw Data_Mod Tests'!F81</f>
        <v>0</v>
      </c>
      <c r="G125" s="132"/>
      <c r="H125" s="71">
        <v>3</v>
      </c>
      <c r="I125" s="61">
        <f t="shared" si="12"/>
        <v>0</v>
      </c>
      <c r="J125" s="20"/>
      <c r="K125" s="20"/>
      <c r="L125" s="68"/>
      <c r="M125" s="20"/>
    </row>
    <row r="126" spans="1:13" s="6" customFormat="1" ht="14.25" x14ac:dyDescent="0.2">
      <c r="A126" s="129" t="s">
        <v>13</v>
      </c>
      <c r="B126" s="131" t="s">
        <v>7</v>
      </c>
      <c r="C126" s="132"/>
      <c r="D126" s="4">
        <f>'Raw Data_Mod Tests'!E82</f>
        <v>0</v>
      </c>
      <c r="E126" s="4">
        <v>1000</v>
      </c>
      <c r="F126" s="131">
        <f>'Raw Data_Mod Tests'!F82</f>
        <v>0</v>
      </c>
      <c r="G126" s="132"/>
      <c r="H126" s="71">
        <v>3</v>
      </c>
      <c r="I126" s="61">
        <f t="shared" si="12"/>
        <v>0</v>
      </c>
      <c r="J126" s="20"/>
      <c r="K126" s="20"/>
      <c r="L126" s="68"/>
      <c r="M126" s="20"/>
    </row>
    <row r="127" spans="1:13" s="6" customFormat="1" ht="14.25" x14ac:dyDescent="0.2">
      <c r="A127" s="130"/>
      <c r="B127" s="131" t="s">
        <v>8</v>
      </c>
      <c r="C127" s="132"/>
      <c r="D127" s="4">
        <f>'Raw Data_Mod Tests'!E83</f>
        <v>0</v>
      </c>
      <c r="E127" s="4">
        <v>1000</v>
      </c>
      <c r="F127" s="131">
        <f>'Raw Data_Mod Tests'!F83</f>
        <v>0</v>
      </c>
      <c r="G127" s="132"/>
      <c r="H127" s="71">
        <v>3</v>
      </c>
      <c r="I127" s="61">
        <f t="shared" si="12"/>
        <v>0</v>
      </c>
      <c r="J127" s="20"/>
      <c r="K127" s="20"/>
      <c r="L127" s="68"/>
      <c r="M127" s="20"/>
    </row>
    <row r="128" spans="1:13" s="6" customFormat="1" ht="14.25" x14ac:dyDescent="0.2">
      <c r="A128" s="129" t="s">
        <v>14</v>
      </c>
      <c r="B128" s="131" t="s">
        <v>7</v>
      </c>
      <c r="C128" s="132"/>
      <c r="D128" s="4">
        <f>'Raw Data_Mod Tests'!E84</f>
        <v>0</v>
      </c>
      <c r="E128" s="4">
        <v>1000</v>
      </c>
      <c r="F128" s="131">
        <f>'Raw Data_Mod Tests'!F84</f>
        <v>0</v>
      </c>
      <c r="G128" s="132"/>
      <c r="H128" s="71">
        <v>3</v>
      </c>
      <c r="I128" s="61">
        <f t="shared" si="12"/>
        <v>0</v>
      </c>
      <c r="J128" s="20"/>
      <c r="K128" s="20"/>
      <c r="L128" s="68"/>
      <c r="M128" s="20"/>
    </row>
    <row r="129" spans="1:13" s="6" customFormat="1" ht="14.25" x14ac:dyDescent="0.2">
      <c r="A129" s="130"/>
      <c r="B129" s="131" t="s">
        <v>8</v>
      </c>
      <c r="C129" s="132"/>
      <c r="D129" s="4">
        <f>'Raw Data_Mod Tests'!E85</f>
        <v>0</v>
      </c>
      <c r="E129" s="4">
        <v>1000</v>
      </c>
      <c r="F129" s="131">
        <f>'Raw Data_Mod Tests'!F85</f>
        <v>0</v>
      </c>
      <c r="G129" s="132"/>
      <c r="H129" s="88">
        <v>3</v>
      </c>
      <c r="I129" s="61">
        <f t="shared" ref="I129" si="13">F129+((D129/E129)*H129)</f>
        <v>0</v>
      </c>
      <c r="J129" s="20"/>
      <c r="K129" s="20"/>
      <c r="L129" s="68"/>
      <c r="M129" s="20"/>
    </row>
    <row r="130" spans="1:13" s="6" customFormat="1" ht="14.25" x14ac:dyDescent="0.2">
      <c r="A130" s="74"/>
      <c r="B130" s="74"/>
      <c r="C130" s="74"/>
      <c r="D130" s="74"/>
      <c r="E130" s="74"/>
      <c r="F130" s="74"/>
      <c r="G130" s="74"/>
      <c r="H130" s="11"/>
      <c r="I130" s="11"/>
      <c r="J130" s="20"/>
      <c r="K130" s="20"/>
      <c r="L130" s="68"/>
      <c r="M130" s="20"/>
    </row>
    <row r="131" spans="1:13" s="6" customFormat="1" ht="14.25" x14ac:dyDescent="0.2">
      <c r="A131" s="74"/>
      <c r="B131" s="74"/>
      <c r="C131" s="74"/>
      <c r="D131" s="74"/>
      <c r="E131" s="74"/>
      <c r="F131" s="74"/>
      <c r="G131" s="74"/>
      <c r="H131" s="11"/>
      <c r="I131" s="11"/>
      <c r="J131" s="20"/>
      <c r="K131" s="20"/>
      <c r="L131" s="68"/>
      <c r="M131" s="20"/>
    </row>
    <row r="132" spans="1:13" s="6" customFormat="1" x14ac:dyDescent="0.2">
      <c r="A132" s="133" t="s">
        <v>91</v>
      </c>
      <c r="B132" s="133"/>
      <c r="C132" s="133"/>
      <c r="D132" s="73" t="s">
        <v>15</v>
      </c>
      <c r="E132" s="72" t="s">
        <v>19</v>
      </c>
      <c r="F132" s="134" t="s">
        <v>30</v>
      </c>
      <c r="G132" s="134"/>
      <c r="H132" s="31" t="s">
        <v>31</v>
      </c>
      <c r="I132" s="72" t="s">
        <v>20</v>
      </c>
      <c r="J132" s="20"/>
      <c r="K132" s="20"/>
      <c r="L132" s="68"/>
      <c r="M132" s="20"/>
    </row>
    <row r="133" spans="1:13" s="6" customFormat="1" ht="14.25" x14ac:dyDescent="0.2">
      <c r="A133" s="129" t="s">
        <v>6</v>
      </c>
      <c r="B133" s="131" t="s">
        <v>7</v>
      </c>
      <c r="C133" s="132"/>
      <c r="D133" s="4">
        <f>'Raw Data_Mod Tests'!E86</f>
        <v>0</v>
      </c>
      <c r="E133" s="4">
        <v>1000</v>
      </c>
      <c r="F133" s="131">
        <f>'Raw Data_Mod Tests'!F86</f>
        <v>0</v>
      </c>
      <c r="G133" s="132"/>
      <c r="H133" s="71">
        <v>3</v>
      </c>
      <c r="I133" s="4">
        <f>F133+((D133/E133)*H133)</f>
        <v>0</v>
      </c>
      <c r="J133" s="20"/>
      <c r="K133" s="20"/>
      <c r="L133" s="68"/>
      <c r="M133" s="20"/>
    </row>
    <row r="134" spans="1:13" s="6" customFormat="1" ht="14.25" x14ac:dyDescent="0.2">
      <c r="A134" s="130"/>
      <c r="B134" s="131" t="s">
        <v>8</v>
      </c>
      <c r="C134" s="132"/>
      <c r="D134" s="4">
        <f>'Raw Data_Mod Tests'!E87</f>
        <v>0</v>
      </c>
      <c r="E134" s="4">
        <v>1000</v>
      </c>
      <c r="F134" s="131">
        <f>'Raw Data_Mod Tests'!F87</f>
        <v>0</v>
      </c>
      <c r="G134" s="132"/>
      <c r="H134" s="71">
        <v>3</v>
      </c>
      <c r="I134" s="4">
        <f t="shared" ref="I134:I137" si="14">F134+((D134/E134)*H134)</f>
        <v>0</v>
      </c>
      <c r="J134" s="20"/>
      <c r="K134" s="20"/>
      <c r="L134" s="68"/>
      <c r="M134" s="20"/>
    </row>
    <row r="135" spans="1:13" s="6" customFormat="1" ht="14.25" x14ac:dyDescent="0.2">
      <c r="A135" s="129" t="s">
        <v>10</v>
      </c>
      <c r="B135" s="131" t="s">
        <v>7</v>
      </c>
      <c r="C135" s="132"/>
      <c r="D135" s="4">
        <f>'Raw Data_Mod Tests'!E88</f>
        <v>0</v>
      </c>
      <c r="E135" s="4">
        <v>1000</v>
      </c>
      <c r="F135" s="131">
        <f>'Raw Data_Mod Tests'!F88</f>
        <v>0</v>
      </c>
      <c r="G135" s="132"/>
      <c r="H135" s="71">
        <v>3</v>
      </c>
      <c r="I135" s="4">
        <f t="shared" si="14"/>
        <v>0</v>
      </c>
      <c r="J135" s="20"/>
      <c r="K135" s="20"/>
      <c r="L135" s="68"/>
      <c r="M135" s="20"/>
    </row>
    <row r="136" spans="1:13" s="6" customFormat="1" ht="14.25" x14ac:dyDescent="0.2">
      <c r="A136" s="130"/>
      <c r="B136" s="131" t="s">
        <v>8</v>
      </c>
      <c r="C136" s="132"/>
      <c r="D136" s="4">
        <f>'Raw Data_Mod Tests'!E89</f>
        <v>0</v>
      </c>
      <c r="E136" s="4">
        <v>1000</v>
      </c>
      <c r="F136" s="131">
        <f>'Raw Data_Mod Tests'!F89</f>
        <v>0</v>
      </c>
      <c r="G136" s="132"/>
      <c r="H136" s="71">
        <v>3</v>
      </c>
      <c r="I136" s="4">
        <f t="shared" si="14"/>
        <v>0</v>
      </c>
      <c r="J136" s="20"/>
      <c r="K136" s="20"/>
      <c r="L136" s="68"/>
      <c r="M136" s="20"/>
    </row>
    <row r="137" spans="1:13" s="6" customFormat="1" ht="14.25" x14ac:dyDescent="0.2">
      <c r="A137" s="129" t="s">
        <v>11</v>
      </c>
      <c r="B137" s="131" t="s">
        <v>7</v>
      </c>
      <c r="C137" s="132"/>
      <c r="D137" s="4">
        <f>'Raw Data_Mod Tests'!E90</f>
        <v>0</v>
      </c>
      <c r="E137" s="4">
        <v>1000</v>
      </c>
      <c r="F137" s="131">
        <f>'Raw Data_Mod Tests'!F90</f>
        <v>0</v>
      </c>
      <c r="G137" s="132"/>
      <c r="H137" s="71">
        <v>3</v>
      </c>
      <c r="I137" s="4">
        <f t="shared" si="14"/>
        <v>0</v>
      </c>
      <c r="J137" s="20"/>
      <c r="K137" s="20"/>
      <c r="L137" s="68"/>
      <c r="M137" s="20"/>
    </row>
    <row r="138" spans="1:13" s="6" customFormat="1" ht="14.25" x14ac:dyDescent="0.2">
      <c r="A138" s="130"/>
      <c r="B138" s="131" t="s">
        <v>8</v>
      </c>
      <c r="C138" s="132"/>
      <c r="D138" s="4">
        <f>'Raw Data_Mod Tests'!E91</f>
        <v>0</v>
      </c>
      <c r="E138" s="4">
        <v>1000</v>
      </c>
      <c r="F138" s="131">
        <f>'Raw Data_Mod Tests'!F91</f>
        <v>0</v>
      </c>
      <c r="G138" s="132"/>
      <c r="H138" s="85">
        <v>3</v>
      </c>
      <c r="I138" s="4">
        <f t="shared" ref="I138" si="15">F138+((D138/E138)*H138)</f>
        <v>0</v>
      </c>
      <c r="J138" s="20"/>
      <c r="K138" s="20"/>
      <c r="L138" s="68"/>
      <c r="M138" s="20"/>
    </row>
    <row r="139" spans="1:13" s="6" customFormat="1" ht="14.25" x14ac:dyDescent="0.2">
      <c r="A139" s="129" t="s">
        <v>12</v>
      </c>
      <c r="B139" s="131" t="s">
        <v>7</v>
      </c>
      <c r="C139" s="132"/>
      <c r="D139" s="4">
        <f>'Raw Data_Mod Tests'!E92</f>
        <v>0</v>
      </c>
      <c r="E139" s="4">
        <v>1000</v>
      </c>
      <c r="F139" s="131">
        <f>'Raw Data_Mod Tests'!F92</f>
        <v>0</v>
      </c>
      <c r="G139" s="132"/>
      <c r="H139" s="71">
        <v>3</v>
      </c>
      <c r="I139" s="4">
        <f t="shared" ref="I139:I143" si="16">F139+((D139/E139)*H139)</f>
        <v>0</v>
      </c>
      <c r="J139" s="20"/>
      <c r="K139" s="20"/>
      <c r="L139" s="68"/>
      <c r="M139" s="20"/>
    </row>
    <row r="140" spans="1:13" s="6" customFormat="1" ht="14.25" x14ac:dyDescent="0.2">
      <c r="A140" s="130"/>
      <c r="B140" s="131" t="s">
        <v>8</v>
      </c>
      <c r="C140" s="132"/>
      <c r="D140" s="4">
        <f>'Raw Data_Mod Tests'!E93</f>
        <v>0</v>
      </c>
      <c r="E140" s="4">
        <v>1000</v>
      </c>
      <c r="F140" s="131">
        <f>'Raw Data_Mod Tests'!F93</f>
        <v>0</v>
      </c>
      <c r="G140" s="132"/>
      <c r="H140" s="71">
        <v>3</v>
      </c>
      <c r="I140" s="4">
        <f t="shared" si="16"/>
        <v>0</v>
      </c>
      <c r="J140" s="20"/>
      <c r="K140" s="20"/>
      <c r="L140" s="68"/>
      <c r="M140" s="20"/>
    </row>
    <row r="141" spans="1:13" s="6" customFormat="1" ht="14.25" x14ac:dyDescent="0.2">
      <c r="A141" s="129" t="s">
        <v>13</v>
      </c>
      <c r="B141" s="131" t="s">
        <v>7</v>
      </c>
      <c r="C141" s="132"/>
      <c r="D141" s="4">
        <f>'Raw Data_Mod Tests'!E94</f>
        <v>0</v>
      </c>
      <c r="E141" s="4">
        <v>1000</v>
      </c>
      <c r="F141" s="131">
        <f>'Raw Data_Mod Tests'!F94</f>
        <v>0</v>
      </c>
      <c r="G141" s="132"/>
      <c r="H141" s="71">
        <v>3</v>
      </c>
      <c r="I141" s="4">
        <f t="shared" si="16"/>
        <v>0</v>
      </c>
      <c r="J141" s="20"/>
      <c r="K141" s="20"/>
      <c r="L141" s="68"/>
      <c r="M141" s="20"/>
    </row>
    <row r="142" spans="1:13" s="6" customFormat="1" ht="14.25" x14ac:dyDescent="0.2">
      <c r="A142" s="130"/>
      <c r="B142" s="131" t="s">
        <v>8</v>
      </c>
      <c r="C142" s="132"/>
      <c r="D142" s="4">
        <f>'Raw Data_Mod Tests'!E95</f>
        <v>0</v>
      </c>
      <c r="E142" s="4">
        <v>1000</v>
      </c>
      <c r="F142" s="131">
        <f>'Raw Data_Mod Tests'!F95</f>
        <v>0</v>
      </c>
      <c r="G142" s="132"/>
      <c r="H142" s="71">
        <v>3</v>
      </c>
      <c r="I142" s="4">
        <f t="shared" si="16"/>
        <v>0</v>
      </c>
      <c r="J142" s="20"/>
      <c r="K142" s="20"/>
      <c r="L142" s="68"/>
      <c r="M142" s="20"/>
    </row>
    <row r="143" spans="1:13" s="6" customFormat="1" ht="14.25" x14ac:dyDescent="0.2">
      <c r="A143" s="129" t="s">
        <v>14</v>
      </c>
      <c r="B143" s="131" t="s">
        <v>7</v>
      </c>
      <c r="C143" s="132"/>
      <c r="D143" s="4">
        <f>'Raw Data_Mod Tests'!E96</f>
        <v>0</v>
      </c>
      <c r="E143" s="4">
        <v>1000</v>
      </c>
      <c r="F143" s="131">
        <f>'Raw Data_Mod Tests'!F96</f>
        <v>0</v>
      </c>
      <c r="G143" s="132"/>
      <c r="H143" s="71">
        <v>3</v>
      </c>
      <c r="I143" s="4">
        <f t="shared" si="16"/>
        <v>0</v>
      </c>
      <c r="J143" s="20"/>
      <c r="K143" s="20"/>
      <c r="L143" s="68"/>
      <c r="M143" s="20"/>
    </row>
    <row r="144" spans="1:13" s="6" customFormat="1" ht="14.25" x14ac:dyDescent="0.2">
      <c r="A144" s="130"/>
      <c r="B144" s="131" t="s">
        <v>8</v>
      </c>
      <c r="C144" s="132"/>
      <c r="D144" s="4">
        <f>'Raw Data_Mod Tests'!E97</f>
        <v>0</v>
      </c>
      <c r="E144" s="4">
        <v>1000</v>
      </c>
      <c r="F144" s="131">
        <f>'Raw Data_Mod Tests'!F97</f>
        <v>0</v>
      </c>
      <c r="G144" s="132"/>
      <c r="H144" s="88">
        <v>3</v>
      </c>
      <c r="I144" s="4">
        <f t="shared" ref="I144" si="17">F144+((D144/E144)*H144)</f>
        <v>0</v>
      </c>
      <c r="J144" s="20"/>
      <c r="K144" s="20"/>
      <c r="L144" s="68"/>
      <c r="M144" s="20"/>
    </row>
    <row r="145" spans="1:13" s="6" customFormat="1" ht="14.25" x14ac:dyDescent="0.2">
      <c r="A145" s="74"/>
      <c r="B145" s="74"/>
      <c r="C145" s="74"/>
      <c r="D145" s="74"/>
      <c r="E145" s="74"/>
      <c r="F145" s="74"/>
      <c r="G145" s="74"/>
      <c r="H145" s="11"/>
      <c r="I145" s="11"/>
      <c r="J145" s="20"/>
      <c r="K145" s="20"/>
      <c r="L145" s="68"/>
      <c r="M145" s="20"/>
    </row>
    <row r="146" spans="1:13" s="6" customFormat="1" ht="14.25" x14ac:dyDescent="0.2">
      <c r="A146" s="74"/>
      <c r="B146" s="74"/>
      <c r="C146" s="74"/>
      <c r="D146" s="74"/>
      <c r="E146" s="74"/>
      <c r="F146" s="74"/>
      <c r="G146" s="74"/>
      <c r="H146" s="11"/>
      <c r="I146" s="11"/>
      <c r="J146" s="20"/>
      <c r="K146" s="20"/>
      <c r="L146" s="68"/>
      <c r="M146" s="20"/>
    </row>
    <row r="147" spans="1:13" s="6" customFormat="1" x14ac:dyDescent="0.2">
      <c r="A147" s="133" t="s">
        <v>92</v>
      </c>
      <c r="B147" s="133"/>
      <c r="C147" s="133"/>
      <c r="D147" s="73" t="s">
        <v>15</v>
      </c>
      <c r="E147" s="72" t="s">
        <v>19</v>
      </c>
      <c r="F147" s="134" t="s">
        <v>30</v>
      </c>
      <c r="G147" s="134"/>
      <c r="H147" s="31" t="s">
        <v>31</v>
      </c>
      <c r="I147" s="72" t="s">
        <v>20</v>
      </c>
      <c r="J147" s="20"/>
      <c r="K147" s="20"/>
      <c r="L147" s="68"/>
      <c r="M147" s="20"/>
    </row>
    <row r="148" spans="1:13" s="6" customFormat="1" ht="14.25" x14ac:dyDescent="0.2">
      <c r="A148" s="129" t="s">
        <v>6</v>
      </c>
      <c r="B148" s="131" t="s">
        <v>7</v>
      </c>
      <c r="C148" s="132"/>
      <c r="D148" s="4">
        <f>'Raw Data_Mod Tests'!E98</f>
        <v>0</v>
      </c>
      <c r="E148" s="4">
        <v>1000</v>
      </c>
      <c r="F148" s="131">
        <f>'Raw Data_Mod Tests'!F98</f>
        <v>0</v>
      </c>
      <c r="G148" s="132"/>
      <c r="H148" s="71">
        <v>3</v>
      </c>
      <c r="I148" s="4">
        <f>F148+((D148/E148)*H148)</f>
        <v>0</v>
      </c>
      <c r="J148" s="20"/>
      <c r="K148" s="20"/>
      <c r="L148" s="68"/>
      <c r="M148" s="20"/>
    </row>
    <row r="149" spans="1:13" s="6" customFormat="1" ht="14.25" x14ac:dyDescent="0.2">
      <c r="A149" s="130"/>
      <c r="B149" s="131" t="s">
        <v>8</v>
      </c>
      <c r="C149" s="132"/>
      <c r="D149" s="4">
        <f>'Raw Data_Mod Tests'!E99</f>
        <v>0</v>
      </c>
      <c r="E149" s="4">
        <v>1000</v>
      </c>
      <c r="F149" s="131">
        <f>'Raw Data_Mod Tests'!F99</f>
        <v>0</v>
      </c>
      <c r="G149" s="132"/>
      <c r="H149" s="71">
        <v>3</v>
      </c>
      <c r="I149" s="4">
        <f t="shared" ref="I149:I158" si="18">F149+((D149/E149)*H149)</f>
        <v>0</v>
      </c>
      <c r="J149" s="20"/>
      <c r="K149" s="20"/>
      <c r="L149" s="68"/>
      <c r="M149" s="20"/>
    </row>
    <row r="150" spans="1:13" s="6" customFormat="1" ht="14.25" x14ac:dyDescent="0.2">
      <c r="A150" s="129" t="s">
        <v>10</v>
      </c>
      <c r="B150" s="131" t="s">
        <v>7</v>
      </c>
      <c r="C150" s="132"/>
      <c r="D150" s="4">
        <f>'Raw Data_Mod Tests'!E100</f>
        <v>0</v>
      </c>
      <c r="E150" s="4">
        <v>1000</v>
      </c>
      <c r="F150" s="131">
        <f>'Raw Data_Mod Tests'!F100</f>
        <v>0</v>
      </c>
      <c r="G150" s="132"/>
      <c r="H150" s="71">
        <v>3</v>
      </c>
      <c r="I150" s="4">
        <f t="shared" si="18"/>
        <v>0</v>
      </c>
      <c r="J150" s="20"/>
      <c r="K150" s="20"/>
      <c r="L150" s="68"/>
      <c r="M150" s="20"/>
    </row>
    <row r="151" spans="1:13" s="6" customFormat="1" ht="14.25" x14ac:dyDescent="0.2">
      <c r="A151" s="130"/>
      <c r="B151" s="131" t="s">
        <v>8</v>
      </c>
      <c r="C151" s="132"/>
      <c r="D151" s="4">
        <f>'Raw Data_Mod Tests'!E101</f>
        <v>0</v>
      </c>
      <c r="E151" s="4">
        <v>1000</v>
      </c>
      <c r="F151" s="131">
        <f>'Raw Data_Mod Tests'!F101</f>
        <v>0</v>
      </c>
      <c r="G151" s="132"/>
      <c r="H151" s="71">
        <v>3</v>
      </c>
      <c r="I151" s="4">
        <f t="shared" si="18"/>
        <v>0</v>
      </c>
      <c r="J151" s="20"/>
      <c r="K151" s="20"/>
      <c r="L151" s="68"/>
      <c r="M151" s="20"/>
    </row>
    <row r="152" spans="1:13" s="6" customFormat="1" ht="14.25" x14ac:dyDescent="0.2">
      <c r="A152" s="129" t="s">
        <v>11</v>
      </c>
      <c r="B152" s="131" t="s">
        <v>7</v>
      </c>
      <c r="C152" s="132"/>
      <c r="D152" s="4">
        <f>'Raw Data_Mod Tests'!E102</f>
        <v>0</v>
      </c>
      <c r="E152" s="4">
        <v>1000</v>
      </c>
      <c r="F152" s="131">
        <f>'Raw Data_Mod Tests'!F102</f>
        <v>0</v>
      </c>
      <c r="G152" s="132"/>
      <c r="H152" s="71">
        <v>3</v>
      </c>
      <c r="I152" s="4">
        <f t="shared" si="18"/>
        <v>0</v>
      </c>
      <c r="J152" s="20"/>
      <c r="K152" s="20"/>
      <c r="L152" s="68"/>
      <c r="M152" s="20"/>
    </row>
    <row r="153" spans="1:13" s="6" customFormat="1" ht="14.25" x14ac:dyDescent="0.2">
      <c r="A153" s="130"/>
      <c r="B153" s="131" t="s">
        <v>8</v>
      </c>
      <c r="C153" s="132"/>
      <c r="D153" s="4">
        <f>'Raw Data_Mod Tests'!E103</f>
        <v>0</v>
      </c>
      <c r="E153" s="4">
        <v>1000</v>
      </c>
      <c r="F153" s="131">
        <f>'Raw Data_Mod Tests'!F103</f>
        <v>0</v>
      </c>
      <c r="G153" s="132"/>
      <c r="H153" s="71">
        <v>3</v>
      </c>
      <c r="I153" s="4">
        <f t="shared" si="18"/>
        <v>0</v>
      </c>
      <c r="J153" s="20"/>
      <c r="K153" s="20"/>
      <c r="L153" s="68"/>
      <c r="M153" s="20"/>
    </row>
    <row r="154" spans="1:13" s="6" customFormat="1" ht="14.25" x14ac:dyDescent="0.2">
      <c r="A154" s="129" t="s">
        <v>12</v>
      </c>
      <c r="B154" s="131" t="s">
        <v>7</v>
      </c>
      <c r="C154" s="132"/>
      <c r="D154" s="4">
        <f>'Raw Data_Mod Tests'!E104</f>
        <v>0</v>
      </c>
      <c r="E154" s="4">
        <v>1000</v>
      </c>
      <c r="F154" s="131">
        <f>'Raw Data_Mod Tests'!F104</f>
        <v>0</v>
      </c>
      <c r="G154" s="132"/>
      <c r="H154" s="71">
        <v>3</v>
      </c>
      <c r="I154" s="4">
        <f t="shared" si="18"/>
        <v>0</v>
      </c>
      <c r="J154" s="20"/>
      <c r="K154" s="20"/>
      <c r="L154" s="68"/>
      <c r="M154" s="20"/>
    </row>
    <row r="155" spans="1:13" s="6" customFormat="1" ht="14.25" x14ac:dyDescent="0.2">
      <c r="A155" s="130"/>
      <c r="B155" s="131" t="s">
        <v>8</v>
      </c>
      <c r="C155" s="132"/>
      <c r="D155" s="4">
        <f>'Raw Data_Mod Tests'!E105</f>
        <v>0</v>
      </c>
      <c r="E155" s="4">
        <v>1000</v>
      </c>
      <c r="F155" s="131">
        <f>'Raw Data_Mod Tests'!F105</f>
        <v>0</v>
      </c>
      <c r="G155" s="132"/>
      <c r="H155" s="71">
        <v>3</v>
      </c>
      <c r="I155" s="4">
        <f t="shared" si="18"/>
        <v>0</v>
      </c>
      <c r="J155" s="20"/>
      <c r="K155" s="20"/>
      <c r="L155" s="68"/>
      <c r="M155" s="20"/>
    </row>
    <row r="156" spans="1:13" s="6" customFormat="1" ht="14.25" x14ac:dyDescent="0.2">
      <c r="A156" s="129" t="s">
        <v>13</v>
      </c>
      <c r="B156" s="131" t="s">
        <v>7</v>
      </c>
      <c r="C156" s="132"/>
      <c r="D156" s="4">
        <f>'Raw Data_Mod Tests'!E106</f>
        <v>0</v>
      </c>
      <c r="E156" s="4">
        <v>1000</v>
      </c>
      <c r="F156" s="131">
        <f>'Raw Data_Mod Tests'!F106</f>
        <v>0</v>
      </c>
      <c r="G156" s="132"/>
      <c r="H156" s="71">
        <v>3</v>
      </c>
      <c r="I156" s="4">
        <f t="shared" si="18"/>
        <v>0</v>
      </c>
      <c r="J156" s="20"/>
      <c r="K156" s="20"/>
      <c r="L156" s="68"/>
      <c r="M156" s="20"/>
    </row>
    <row r="157" spans="1:13" s="6" customFormat="1" ht="14.25" x14ac:dyDescent="0.2">
      <c r="A157" s="130"/>
      <c r="B157" s="131" t="s">
        <v>8</v>
      </c>
      <c r="C157" s="132"/>
      <c r="D157" s="4">
        <f>'Raw Data_Mod Tests'!E107</f>
        <v>0</v>
      </c>
      <c r="E157" s="4">
        <v>1000</v>
      </c>
      <c r="F157" s="131">
        <f>'Raw Data_Mod Tests'!F107</f>
        <v>0</v>
      </c>
      <c r="G157" s="132"/>
      <c r="H157" s="71">
        <v>3</v>
      </c>
      <c r="I157" s="4">
        <f t="shared" si="18"/>
        <v>0</v>
      </c>
      <c r="J157" s="20"/>
      <c r="K157" s="20"/>
      <c r="L157" s="68"/>
      <c r="M157" s="20"/>
    </row>
    <row r="158" spans="1:13" s="6" customFormat="1" ht="14.25" x14ac:dyDescent="0.2">
      <c r="A158" s="129" t="s">
        <v>14</v>
      </c>
      <c r="B158" s="131" t="s">
        <v>7</v>
      </c>
      <c r="C158" s="132"/>
      <c r="D158" s="4">
        <f>'Raw Data_Mod Tests'!E108</f>
        <v>0</v>
      </c>
      <c r="E158" s="4">
        <v>1000</v>
      </c>
      <c r="F158" s="131">
        <f>'Raw Data_Mod Tests'!F108</f>
        <v>0</v>
      </c>
      <c r="G158" s="132"/>
      <c r="H158" s="71">
        <v>3</v>
      </c>
      <c r="I158" s="4">
        <f t="shared" si="18"/>
        <v>0</v>
      </c>
      <c r="J158" s="20"/>
      <c r="K158" s="20"/>
      <c r="L158" s="68"/>
      <c r="M158" s="20"/>
    </row>
    <row r="159" spans="1:13" s="6" customFormat="1" ht="14.25" x14ac:dyDescent="0.2">
      <c r="A159" s="130"/>
      <c r="B159" s="131" t="s">
        <v>8</v>
      </c>
      <c r="C159" s="132"/>
      <c r="D159" s="4">
        <f>'Raw Data_Mod Tests'!E109</f>
        <v>0</v>
      </c>
      <c r="E159" s="4">
        <v>1000</v>
      </c>
      <c r="F159" s="131">
        <f>'Raw Data_Mod Tests'!F109</f>
        <v>0</v>
      </c>
      <c r="G159" s="132"/>
      <c r="H159" s="88">
        <v>3</v>
      </c>
      <c r="I159" s="4">
        <f t="shared" ref="I159" si="19">F159+((D159/E159)*H159)</f>
        <v>0</v>
      </c>
      <c r="J159" s="20"/>
      <c r="K159" s="20"/>
      <c r="L159" s="68"/>
      <c r="M159" s="20"/>
    </row>
    <row r="160" spans="1:13" s="6" customFormat="1" ht="14.25" x14ac:dyDescent="0.2">
      <c r="A160" s="74"/>
      <c r="B160" s="74"/>
      <c r="C160" s="74"/>
      <c r="D160" s="74"/>
      <c r="E160" s="74"/>
      <c r="F160" s="74"/>
      <c r="G160" s="74"/>
      <c r="H160" s="11"/>
      <c r="I160" s="11"/>
      <c r="J160" s="20"/>
      <c r="K160" s="20"/>
      <c r="L160" s="68"/>
      <c r="M160" s="20"/>
    </row>
    <row r="161" spans="1:13" s="6" customFormat="1" ht="14.25" x14ac:dyDescent="0.2">
      <c r="A161" s="74"/>
      <c r="B161" s="74"/>
      <c r="C161" s="74"/>
      <c r="D161" s="74"/>
      <c r="E161" s="74"/>
      <c r="F161" s="74"/>
      <c r="G161" s="74"/>
      <c r="H161" s="11"/>
      <c r="I161" s="11"/>
      <c r="J161" s="20"/>
      <c r="K161" s="20"/>
      <c r="L161" s="68"/>
      <c r="M161" s="20"/>
    </row>
    <row r="162" spans="1:13" s="6" customFormat="1" x14ac:dyDescent="0.2">
      <c r="A162" s="133" t="s">
        <v>93</v>
      </c>
      <c r="B162" s="133"/>
      <c r="C162" s="133"/>
      <c r="D162" s="73" t="s">
        <v>15</v>
      </c>
      <c r="E162" s="72" t="s">
        <v>19</v>
      </c>
      <c r="F162" s="134" t="s">
        <v>30</v>
      </c>
      <c r="G162" s="134"/>
      <c r="H162" s="31" t="s">
        <v>31</v>
      </c>
      <c r="I162" s="72" t="s">
        <v>20</v>
      </c>
      <c r="J162" s="20"/>
      <c r="K162" s="20"/>
      <c r="L162" s="68"/>
      <c r="M162" s="20"/>
    </row>
    <row r="163" spans="1:13" s="6" customFormat="1" ht="14.25" x14ac:dyDescent="0.2">
      <c r="A163" s="129" t="s">
        <v>6</v>
      </c>
      <c r="B163" s="131" t="s">
        <v>7</v>
      </c>
      <c r="C163" s="132"/>
      <c r="D163" s="4">
        <f>'Raw Data_Mod Tests'!E110</f>
        <v>0</v>
      </c>
      <c r="E163" s="4">
        <v>1000</v>
      </c>
      <c r="F163" s="131">
        <f>'Raw Data_Mod Tests'!F110</f>
        <v>0</v>
      </c>
      <c r="G163" s="132"/>
      <c r="H163" s="71">
        <v>3</v>
      </c>
      <c r="I163" s="4">
        <f>F163+((D163/E163)*H163)</f>
        <v>0</v>
      </c>
      <c r="J163" s="20"/>
      <c r="K163" s="20"/>
      <c r="L163" s="68"/>
      <c r="M163" s="20"/>
    </row>
    <row r="164" spans="1:13" s="6" customFormat="1" ht="14.25" x14ac:dyDescent="0.2">
      <c r="A164" s="130"/>
      <c r="B164" s="131" t="s">
        <v>8</v>
      </c>
      <c r="C164" s="132"/>
      <c r="D164" s="4">
        <f>'Raw Data_Mod Tests'!E111</f>
        <v>0</v>
      </c>
      <c r="E164" s="4">
        <v>1000</v>
      </c>
      <c r="F164" s="131">
        <f>'Raw Data_Mod Tests'!F111</f>
        <v>0</v>
      </c>
      <c r="G164" s="132"/>
      <c r="H164" s="71">
        <v>3</v>
      </c>
      <c r="I164" s="4">
        <f t="shared" ref="I164:I168" si="20">F164+((D164/E164)*H164)</f>
        <v>0</v>
      </c>
      <c r="J164" s="20"/>
      <c r="K164" s="20"/>
      <c r="L164" s="68"/>
      <c r="M164" s="20"/>
    </row>
    <row r="165" spans="1:13" s="6" customFormat="1" ht="14.25" x14ac:dyDescent="0.2">
      <c r="A165" s="129" t="s">
        <v>10</v>
      </c>
      <c r="B165" s="131" t="s">
        <v>7</v>
      </c>
      <c r="C165" s="132"/>
      <c r="D165" s="4">
        <f>'Raw Data_Mod Tests'!E112</f>
        <v>0</v>
      </c>
      <c r="E165" s="4">
        <v>1000</v>
      </c>
      <c r="F165" s="131">
        <f>'Raw Data_Mod Tests'!F112</f>
        <v>0</v>
      </c>
      <c r="G165" s="132"/>
      <c r="H165" s="71">
        <v>3</v>
      </c>
      <c r="I165" s="4">
        <f t="shared" si="20"/>
        <v>0</v>
      </c>
      <c r="J165" s="20"/>
      <c r="K165" s="20"/>
      <c r="L165" s="68"/>
      <c r="M165" s="20"/>
    </row>
    <row r="166" spans="1:13" s="6" customFormat="1" ht="14.25" x14ac:dyDescent="0.2">
      <c r="A166" s="130"/>
      <c r="B166" s="131" t="s">
        <v>8</v>
      </c>
      <c r="C166" s="132"/>
      <c r="D166" s="4">
        <f>'Raw Data_Mod Tests'!E113</f>
        <v>0</v>
      </c>
      <c r="E166" s="4">
        <v>1000</v>
      </c>
      <c r="F166" s="131">
        <f>'Raw Data_Mod Tests'!F113</f>
        <v>0</v>
      </c>
      <c r="G166" s="132"/>
      <c r="H166" s="71">
        <v>3</v>
      </c>
      <c r="I166" s="4">
        <f t="shared" si="20"/>
        <v>0</v>
      </c>
      <c r="J166" s="20"/>
      <c r="K166" s="20"/>
      <c r="L166" s="68"/>
      <c r="M166" s="20"/>
    </row>
    <row r="167" spans="1:13" s="6" customFormat="1" ht="14.25" x14ac:dyDescent="0.2">
      <c r="A167" s="129" t="s">
        <v>11</v>
      </c>
      <c r="B167" s="131" t="s">
        <v>7</v>
      </c>
      <c r="C167" s="132"/>
      <c r="D167" s="4">
        <f>'Raw Data_Mod Tests'!E114</f>
        <v>0</v>
      </c>
      <c r="E167" s="4">
        <v>1000</v>
      </c>
      <c r="F167" s="131">
        <f>'Raw Data_Mod Tests'!F114</f>
        <v>0</v>
      </c>
      <c r="G167" s="132"/>
      <c r="H167" s="71">
        <v>3</v>
      </c>
      <c r="I167" s="4">
        <f t="shared" si="20"/>
        <v>0</v>
      </c>
      <c r="J167" s="20"/>
      <c r="K167" s="20"/>
      <c r="L167" s="68"/>
      <c r="M167" s="20"/>
    </row>
    <row r="168" spans="1:13" s="6" customFormat="1" ht="14.25" x14ac:dyDescent="0.2">
      <c r="A168" s="130"/>
      <c r="B168" s="131" t="s">
        <v>8</v>
      </c>
      <c r="C168" s="132"/>
      <c r="D168" s="4">
        <f>'Raw Data_Mod Tests'!E115</f>
        <v>0</v>
      </c>
      <c r="E168" s="4">
        <v>1000</v>
      </c>
      <c r="F168" s="131">
        <f>'Raw Data_Mod Tests'!F115</f>
        <v>0</v>
      </c>
      <c r="G168" s="132"/>
      <c r="H168" s="71">
        <v>3</v>
      </c>
      <c r="I168" s="4">
        <f t="shared" si="20"/>
        <v>0</v>
      </c>
      <c r="J168" s="20"/>
      <c r="K168" s="20"/>
      <c r="L168" s="68"/>
      <c r="M168" s="20"/>
    </row>
    <row r="169" spans="1:13" s="6" customFormat="1" ht="14.25" x14ac:dyDescent="0.2">
      <c r="A169" s="129" t="s">
        <v>12</v>
      </c>
      <c r="B169" s="131" t="s">
        <v>7</v>
      </c>
      <c r="C169" s="132"/>
      <c r="D169" s="4">
        <f>'Raw Data_Mod Tests'!E116</f>
        <v>0</v>
      </c>
      <c r="E169" s="4">
        <v>1000</v>
      </c>
      <c r="F169" s="131">
        <f>'Raw Data_Mod Tests'!F116</f>
        <v>0</v>
      </c>
      <c r="G169" s="132"/>
      <c r="H169" s="71">
        <v>3</v>
      </c>
      <c r="I169" s="4">
        <f t="shared" ref="I169:I173" si="21">F169+((D169/E169)*H169)</f>
        <v>0</v>
      </c>
      <c r="J169" s="20"/>
      <c r="K169" s="20"/>
      <c r="L169" s="68"/>
      <c r="M169" s="20"/>
    </row>
    <row r="170" spans="1:13" s="6" customFormat="1" ht="14.25" x14ac:dyDescent="0.2">
      <c r="A170" s="130"/>
      <c r="B170" s="131" t="s">
        <v>8</v>
      </c>
      <c r="C170" s="132"/>
      <c r="D170" s="4">
        <f>'Raw Data_Mod Tests'!E117</f>
        <v>0</v>
      </c>
      <c r="E170" s="4">
        <v>1000</v>
      </c>
      <c r="F170" s="131">
        <f>'Raw Data_Mod Tests'!F117</f>
        <v>0</v>
      </c>
      <c r="G170" s="132"/>
      <c r="H170" s="71">
        <v>3</v>
      </c>
      <c r="I170" s="4">
        <f t="shared" si="21"/>
        <v>0</v>
      </c>
      <c r="J170" s="20"/>
      <c r="K170" s="20"/>
      <c r="L170" s="68"/>
      <c r="M170" s="20"/>
    </row>
    <row r="171" spans="1:13" s="6" customFormat="1" ht="14.25" x14ac:dyDescent="0.2">
      <c r="A171" s="129" t="s">
        <v>13</v>
      </c>
      <c r="B171" s="131" t="s">
        <v>7</v>
      </c>
      <c r="C171" s="132"/>
      <c r="D171" s="4">
        <f>'Raw Data_Mod Tests'!E118</f>
        <v>0</v>
      </c>
      <c r="E171" s="4">
        <v>1000</v>
      </c>
      <c r="F171" s="131">
        <f>'Raw Data_Mod Tests'!F118</f>
        <v>0</v>
      </c>
      <c r="G171" s="132"/>
      <c r="H171" s="71">
        <v>3</v>
      </c>
      <c r="I171" s="4">
        <f t="shared" si="21"/>
        <v>0</v>
      </c>
      <c r="J171" s="20"/>
      <c r="K171" s="20"/>
      <c r="L171" s="68"/>
      <c r="M171" s="20"/>
    </row>
    <row r="172" spans="1:13" s="6" customFormat="1" ht="14.25" x14ac:dyDescent="0.2">
      <c r="A172" s="130"/>
      <c r="B172" s="131" t="s">
        <v>8</v>
      </c>
      <c r="C172" s="132"/>
      <c r="D172" s="4">
        <f>'Raw Data_Mod Tests'!E119</f>
        <v>0</v>
      </c>
      <c r="E172" s="4">
        <v>1000</v>
      </c>
      <c r="F172" s="131">
        <f>'Raw Data_Mod Tests'!F119</f>
        <v>0</v>
      </c>
      <c r="G172" s="132"/>
      <c r="H172" s="71">
        <v>3</v>
      </c>
      <c r="I172" s="4">
        <f t="shared" si="21"/>
        <v>0</v>
      </c>
      <c r="J172" s="20"/>
      <c r="K172" s="20"/>
      <c r="L172" s="68"/>
      <c r="M172" s="20"/>
    </row>
    <row r="173" spans="1:13" s="6" customFormat="1" ht="14.25" x14ac:dyDescent="0.2">
      <c r="A173" s="129" t="s">
        <v>14</v>
      </c>
      <c r="B173" s="131" t="s">
        <v>7</v>
      </c>
      <c r="C173" s="132"/>
      <c r="D173" s="4">
        <f>'Raw Data_Mod Tests'!E120</f>
        <v>0</v>
      </c>
      <c r="E173" s="4">
        <v>1000</v>
      </c>
      <c r="F173" s="131">
        <f>'Raw Data_Mod Tests'!F120</f>
        <v>0</v>
      </c>
      <c r="G173" s="132"/>
      <c r="H173" s="71">
        <v>3</v>
      </c>
      <c r="I173" s="4">
        <f t="shared" si="21"/>
        <v>0</v>
      </c>
      <c r="J173" s="20"/>
      <c r="K173" s="20"/>
      <c r="L173" s="68"/>
      <c r="M173" s="20"/>
    </row>
    <row r="174" spans="1:13" s="6" customFormat="1" ht="14.25" x14ac:dyDescent="0.2">
      <c r="A174" s="130"/>
      <c r="B174" s="131" t="s">
        <v>8</v>
      </c>
      <c r="C174" s="132"/>
      <c r="D174" s="4">
        <f>'Raw Data_Mod Tests'!E121</f>
        <v>0</v>
      </c>
      <c r="E174" s="4">
        <v>1000</v>
      </c>
      <c r="F174" s="131">
        <f>'Raw Data_Mod Tests'!F121</f>
        <v>0</v>
      </c>
      <c r="G174" s="132"/>
      <c r="H174" s="88">
        <v>3</v>
      </c>
      <c r="I174" s="4">
        <f t="shared" ref="I174" si="22">F174+((D174/E174)*H174)</f>
        <v>0</v>
      </c>
      <c r="J174" s="20"/>
      <c r="K174" s="20"/>
      <c r="L174" s="68"/>
      <c r="M174" s="20"/>
    </row>
    <row r="175" spans="1:13" s="6" customFormat="1" ht="14.25" x14ac:dyDescent="0.2">
      <c r="A175" s="74"/>
      <c r="B175" s="74"/>
      <c r="C175" s="74"/>
      <c r="D175" s="74"/>
      <c r="E175" s="74"/>
      <c r="F175" s="74"/>
      <c r="G175" s="74"/>
      <c r="H175" s="11"/>
      <c r="I175" s="11"/>
      <c r="J175" s="20"/>
      <c r="K175" s="20"/>
      <c r="L175" s="68"/>
      <c r="M175" s="20"/>
    </row>
    <row r="176" spans="1:13" s="6" customFormat="1" ht="14.25" x14ac:dyDescent="0.2">
      <c r="A176" s="74"/>
      <c r="B176" s="74"/>
      <c r="C176" s="74"/>
      <c r="D176" s="74"/>
      <c r="E176" s="74"/>
      <c r="F176" s="74"/>
      <c r="G176" s="74"/>
      <c r="H176" s="11"/>
      <c r="I176" s="11"/>
      <c r="J176" s="20"/>
      <c r="K176" s="20"/>
      <c r="L176" s="68"/>
      <c r="M176" s="20"/>
    </row>
    <row r="177" spans="1:13" s="6" customFormat="1" x14ac:dyDescent="0.2">
      <c r="A177" s="133" t="s">
        <v>94</v>
      </c>
      <c r="B177" s="133"/>
      <c r="C177" s="133"/>
      <c r="D177" s="73" t="s">
        <v>15</v>
      </c>
      <c r="E177" s="72" t="s">
        <v>19</v>
      </c>
      <c r="F177" s="134" t="s">
        <v>30</v>
      </c>
      <c r="G177" s="134"/>
      <c r="H177" s="31" t="s">
        <v>31</v>
      </c>
      <c r="I177" s="72" t="s">
        <v>20</v>
      </c>
      <c r="J177" s="20"/>
      <c r="K177" s="20"/>
      <c r="L177" s="68"/>
      <c r="M177" s="20"/>
    </row>
    <row r="178" spans="1:13" s="6" customFormat="1" ht="14.25" x14ac:dyDescent="0.2">
      <c r="A178" s="129" t="s">
        <v>6</v>
      </c>
      <c r="B178" s="131" t="s">
        <v>7</v>
      </c>
      <c r="C178" s="132"/>
      <c r="D178" s="4">
        <f>'Raw Data_Mod Tests'!E122</f>
        <v>0</v>
      </c>
      <c r="E178" s="4">
        <v>1000</v>
      </c>
      <c r="F178" s="131">
        <f>'Raw Data_Mod Tests'!F122</f>
        <v>0</v>
      </c>
      <c r="G178" s="132"/>
      <c r="H178" s="71">
        <v>3</v>
      </c>
      <c r="I178" s="4">
        <f>F178+((D178/E178)*H178)</f>
        <v>0</v>
      </c>
      <c r="J178" s="20"/>
      <c r="K178" s="20"/>
      <c r="L178" s="68"/>
      <c r="M178" s="20"/>
    </row>
    <row r="179" spans="1:13" s="6" customFormat="1" ht="14.25" x14ac:dyDescent="0.2">
      <c r="A179" s="130"/>
      <c r="B179" s="131" t="s">
        <v>8</v>
      </c>
      <c r="C179" s="132"/>
      <c r="D179" s="4">
        <f>'Raw Data_Mod Tests'!E123</f>
        <v>0</v>
      </c>
      <c r="E179" s="4">
        <v>1000</v>
      </c>
      <c r="F179" s="131">
        <f>'Raw Data_Mod Tests'!F123</f>
        <v>0</v>
      </c>
      <c r="G179" s="132"/>
      <c r="H179" s="71">
        <v>3</v>
      </c>
      <c r="I179" s="4">
        <f t="shared" ref="I179:I184" si="23">F179+((D179/E179)*H179)</f>
        <v>0</v>
      </c>
      <c r="J179" s="20"/>
      <c r="K179" s="20"/>
      <c r="L179" s="68"/>
      <c r="M179" s="20"/>
    </row>
    <row r="180" spans="1:13" s="6" customFormat="1" ht="14.25" x14ac:dyDescent="0.2">
      <c r="A180" s="129" t="s">
        <v>10</v>
      </c>
      <c r="B180" s="131" t="s">
        <v>7</v>
      </c>
      <c r="C180" s="132"/>
      <c r="D180" s="4">
        <f>'Raw Data_Mod Tests'!E124</f>
        <v>0</v>
      </c>
      <c r="E180" s="4">
        <v>1000</v>
      </c>
      <c r="F180" s="131">
        <f>'Raw Data_Mod Tests'!F124</f>
        <v>0</v>
      </c>
      <c r="G180" s="132"/>
      <c r="H180" s="71">
        <v>3</v>
      </c>
      <c r="I180" s="4">
        <f t="shared" si="23"/>
        <v>0</v>
      </c>
      <c r="J180" s="20"/>
      <c r="K180" s="20"/>
      <c r="L180" s="68"/>
      <c r="M180" s="20"/>
    </row>
    <row r="181" spans="1:13" s="6" customFormat="1" ht="14.25" x14ac:dyDescent="0.2">
      <c r="A181" s="130"/>
      <c r="B181" s="131" t="s">
        <v>8</v>
      </c>
      <c r="C181" s="132"/>
      <c r="D181" s="4">
        <f>'Raw Data_Mod Tests'!E125</f>
        <v>0</v>
      </c>
      <c r="E181" s="4">
        <v>1000</v>
      </c>
      <c r="F181" s="131">
        <f>'Raw Data_Mod Tests'!F125</f>
        <v>0</v>
      </c>
      <c r="G181" s="132"/>
      <c r="H181" s="71">
        <v>3</v>
      </c>
      <c r="I181" s="4">
        <f t="shared" si="23"/>
        <v>0</v>
      </c>
      <c r="J181" s="20"/>
      <c r="K181" s="20"/>
      <c r="L181" s="68"/>
      <c r="M181" s="20"/>
    </row>
    <row r="182" spans="1:13" s="6" customFormat="1" ht="14.25" x14ac:dyDescent="0.2">
      <c r="A182" s="129" t="s">
        <v>11</v>
      </c>
      <c r="B182" s="131" t="s">
        <v>7</v>
      </c>
      <c r="C182" s="132"/>
      <c r="D182" s="4">
        <f>'Raw Data_Mod Tests'!E126</f>
        <v>0</v>
      </c>
      <c r="E182" s="4">
        <v>1000</v>
      </c>
      <c r="F182" s="131">
        <f>'Raw Data_Mod Tests'!F126</f>
        <v>0</v>
      </c>
      <c r="G182" s="132"/>
      <c r="H182" s="71">
        <v>3</v>
      </c>
      <c r="I182" s="4">
        <f t="shared" si="23"/>
        <v>0</v>
      </c>
      <c r="J182" s="20"/>
      <c r="K182" s="20"/>
      <c r="L182" s="68"/>
      <c r="M182" s="20"/>
    </row>
    <row r="183" spans="1:13" s="6" customFormat="1" ht="14.25" x14ac:dyDescent="0.2">
      <c r="A183" s="130"/>
      <c r="B183" s="131" t="s">
        <v>8</v>
      </c>
      <c r="C183" s="132"/>
      <c r="D183" s="4">
        <f>'Raw Data_Mod Tests'!E127</f>
        <v>0</v>
      </c>
      <c r="E183" s="4">
        <v>1000</v>
      </c>
      <c r="F183" s="131">
        <f>'Raw Data_Mod Tests'!F127</f>
        <v>0</v>
      </c>
      <c r="G183" s="132"/>
      <c r="H183" s="71">
        <v>3</v>
      </c>
      <c r="I183" s="4">
        <f t="shared" si="23"/>
        <v>0</v>
      </c>
      <c r="J183" s="20"/>
      <c r="K183" s="20"/>
      <c r="L183" s="68"/>
      <c r="M183" s="20"/>
    </row>
    <row r="184" spans="1:13" s="6" customFormat="1" ht="14.25" x14ac:dyDescent="0.2">
      <c r="A184" s="129" t="s">
        <v>12</v>
      </c>
      <c r="B184" s="131" t="s">
        <v>7</v>
      </c>
      <c r="C184" s="132"/>
      <c r="D184" s="4">
        <f>'Raw Data_Mod Tests'!E128</f>
        <v>0</v>
      </c>
      <c r="E184" s="4">
        <v>1000</v>
      </c>
      <c r="F184" s="131">
        <f>'Raw Data_Mod Tests'!F128</f>
        <v>0</v>
      </c>
      <c r="G184" s="132"/>
      <c r="H184" s="71">
        <v>3</v>
      </c>
      <c r="I184" s="4">
        <f t="shared" si="23"/>
        <v>0</v>
      </c>
      <c r="J184" s="20"/>
      <c r="K184" s="20"/>
      <c r="L184" s="68"/>
      <c r="M184" s="20"/>
    </row>
    <row r="185" spans="1:13" s="6" customFormat="1" ht="14.25" x14ac:dyDescent="0.2">
      <c r="A185" s="130"/>
      <c r="B185" s="131" t="s">
        <v>8</v>
      </c>
      <c r="C185" s="132"/>
      <c r="D185" s="4">
        <f>'Raw Data_Mod Tests'!E129</f>
        <v>0</v>
      </c>
      <c r="E185" s="4">
        <v>1000</v>
      </c>
      <c r="F185" s="131">
        <f>'Raw Data_Mod Tests'!F129</f>
        <v>0</v>
      </c>
      <c r="G185" s="132"/>
      <c r="H185" s="71">
        <v>3</v>
      </c>
      <c r="I185" s="4">
        <f t="shared" ref="I185:I188" si="24">F185+((D185/E185)*H185)</f>
        <v>0</v>
      </c>
      <c r="J185" s="20"/>
      <c r="K185" s="20"/>
      <c r="L185" s="68"/>
      <c r="M185" s="20"/>
    </row>
    <row r="186" spans="1:13" s="6" customFormat="1" ht="14.25" x14ac:dyDescent="0.2">
      <c r="A186" s="129" t="s">
        <v>13</v>
      </c>
      <c r="B186" s="131" t="s">
        <v>7</v>
      </c>
      <c r="C186" s="132"/>
      <c r="D186" s="4">
        <f>'Raw Data_Mod Tests'!E130</f>
        <v>0</v>
      </c>
      <c r="E186" s="4">
        <v>1000</v>
      </c>
      <c r="F186" s="131">
        <f>'Raw Data_Mod Tests'!F130</f>
        <v>0</v>
      </c>
      <c r="G186" s="132"/>
      <c r="H186" s="71">
        <v>3</v>
      </c>
      <c r="I186" s="4">
        <f t="shared" si="24"/>
        <v>0</v>
      </c>
      <c r="J186" s="20"/>
      <c r="K186" s="20"/>
      <c r="L186" s="68"/>
      <c r="M186" s="20"/>
    </row>
    <row r="187" spans="1:13" s="6" customFormat="1" ht="14.25" x14ac:dyDescent="0.2">
      <c r="A187" s="130"/>
      <c r="B187" s="131" t="s">
        <v>8</v>
      </c>
      <c r="C187" s="132"/>
      <c r="D187" s="4">
        <f>'Raw Data_Mod Tests'!E131</f>
        <v>0</v>
      </c>
      <c r="E187" s="4">
        <v>1000</v>
      </c>
      <c r="F187" s="131">
        <f>'Raw Data_Mod Tests'!F131</f>
        <v>0</v>
      </c>
      <c r="G187" s="132"/>
      <c r="H187" s="71">
        <v>3</v>
      </c>
      <c r="I187" s="4">
        <f t="shared" si="24"/>
        <v>0</v>
      </c>
      <c r="J187" s="20"/>
      <c r="K187" s="20"/>
      <c r="L187" s="68"/>
      <c r="M187" s="20"/>
    </row>
    <row r="188" spans="1:13" s="6" customFormat="1" ht="14.25" x14ac:dyDescent="0.2">
      <c r="A188" s="129" t="s">
        <v>14</v>
      </c>
      <c r="B188" s="131" t="s">
        <v>7</v>
      </c>
      <c r="C188" s="132"/>
      <c r="D188" s="4">
        <f>'Raw Data_Mod Tests'!E132</f>
        <v>0</v>
      </c>
      <c r="E188" s="4">
        <v>1000</v>
      </c>
      <c r="F188" s="131">
        <f>'Raw Data_Mod Tests'!F132</f>
        <v>0</v>
      </c>
      <c r="G188" s="132"/>
      <c r="H188" s="71">
        <v>3</v>
      </c>
      <c r="I188" s="4">
        <f t="shared" si="24"/>
        <v>0</v>
      </c>
      <c r="J188" s="20"/>
      <c r="K188" s="20"/>
      <c r="L188" s="68"/>
      <c r="M188" s="20"/>
    </row>
    <row r="189" spans="1:13" s="6" customFormat="1" ht="14.25" x14ac:dyDescent="0.2">
      <c r="A189" s="130"/>
      <c r="B189" s="131" t="s">
        <v>8</v>
      </c>
      <c r="C189" s="132"/>
      <c r="D189" s="4">
        <f>'Raw Data_Mod Tests'!E133</f>
        <v>0</v>
      </c>
      <c r="E189" s="4">
        <v>1000</v>
      </c>
      <c r="F189" s="131">
        <f>'Raw Data_Mod Tests'!F133</f>
        <v>0</v>
      </c>
      <c r="G189" s="132"/>
      <c r="H189" s="88">
        <v>3</v>
      </c>
      <c r="I189" s="4">
        <f t="shared" ref="I189" si="25">F189+((D189/E189)*H189)</f>
        <v>0</v>
      </c>
      <c r="J189" s="20"/>
      <c r="K189" s="20"/>
      <c r="L189" s="68"/>
      <c r="M189" s="20"/>
    </row>
    <row r="190" spans="1:13" s="6" customFormat="1" ht="14.25" x14ac:dyDescent="0.2">
      <c r="A190" s="74"/>
      <c r="B190" s="74"/>
      <c r="C190" s="74"/>
      <c r="D190" s="74"/>
      <c r="E190" s="74"/>
      <c r="F190" s="74"/>
      <c r="G190" s="74"/>
      <c r="H190" s="11"/>
      <c r="I190" s="11"/>
      <c r="J190" s="20"/>
      <c r="K190" s="20"/>
      <c r="L190" s="68"/>
      <c r="M190" s="20"/>
    </row>
    <row r="191" spans="1:13" s="6" customFormat="1" ht="14.25" x14ac:dyDescent="0.2">
      <c r="A191" s="74"/>
      <c r="B191" s="74"/>
      <c r="C191" s="74"/>
      <c r="D191" s="74"/>
      <c r="E191" s="74"/>
      <c r="F191" s="74"/>
      <c r="G191" s="74"/>
      <c r="H191" s="11"/>
      <c r="I191" s="11"/>
      <c r="J191" s="20"/>
      <c r="K191" s="20"/>
      <c r="L191" s="68"/>
      <c r="M191" s="20"/>
    </row>
    <row r="192" spans="1:13" s="6" customFormat="1" x14ac:dyDescent="0.2">
      <c r="A192" s="133" t="s">
        <v>95</v>
      </c>
      <c r="B192" s="133"/>
      <c r="C192" s="133"/>
      <c r="D192" s="73" t="s">
        <v>15</v>
      </c>
      <c r="E192" s="72" t="s">
        <v>19</v>
      </c>
      <c r="F192" s="134" t="s">
        <v>30</v>
      </c>
      <c r="G192" s="134"/>
      <c r="H192" s="31" t="s">
        <v>31</v>
      </c>
      <c r="I192" s="72" t="s">
        <v>20</v>
      </c>
      <c r="J192" s="20"/>
      <c r="K192" s="20"/>
      <c r="L192" s="68"/>
      <c r="M192" s="20"/>
    </row>
    <row r="193" spans="1:13" s="6" customFormat="1" ht="14.25" x14ac:dyDescent="0.2">
      <c r="A193" s="129" t="s">
        <v>6</v>
      </c>
      <c r="B193" s="131" t="s">
        <v>7</v>
      </c>
      <c r="C193" s="132"/>
      <c r="D193" s="4">
        <f>'Raw Data_Mod Tests'!E134</f>
        <v>0</v>
      </c>
      <c r="E193" s="4">
        <v>1000</v>
      </c>
      <c r="F193" s="131">
        <f>'Raw Data_Mod Tests'!F134</f>
        <v>0</v>
      </c>
      <c r="G193" s="132"/>
      <c r="H193" s="71">
        <v>3</v>
      </c>
      <c r="I193" s="4">
        <f>F193+((D193/E193)*H193)</f>
        <v>0</v>
      </c>
      <c r="J193" s="20"/>
      <c r="K193" s="20"/>
      <c r="L193" s="68"/>
      <c r="M193" s="20"/>
    </row>
    <row r="194" spans="1:13" s="6" customFormat="1" ht="14.25" x14ac:dyDescent="0.2">
      <c r="A194" s="130"/>
      <c r="B194" s="131" t="s">
        <v>8</v>
      </c>
      <c r="C194" s="132"/>
      <c r="D194" s="4">
        <f>'Raw Data_Mod Tests'!E135</f>
        <v>0</v>
      </c>
      <c r="E194" s="4">
        <v>1000</v>
      </c>
      <c r="F194" s="131">
        <f>'Raw Data_Mod Tests'!F135</f>
        <v>0</v>
      </c>
      <c r="G194" s="132"/>
      <c r="H194" s="71">
        <v>3</v>
      </c>
      <c r="I194" s="4">
        <f t="shared" ref="I194:I203" si="26">F194+((D194/E194)*H194)</f>
        <v>0</v>
      </c>
      <c r="J194" s="20"/>
      <c r="K194" s="20"/>
      <c r="L194" s="68"/>
      <c r="M194" s="20"/>
    </row>
    <row r="195" spans="1:13" s="6" customFormat="1" ht="14.25" x14ac:dyDescent="0.2">
      <c r="A195" s="129" t="s">
        <v>10</v>
      </c>
      <c r="B195" s="131" t="s">
        <v>7</v>
      </c>
      <c r="C195" s="132"/>
      <c r="D195" s="4">
        <f>'Raw Data_Mod Tests'!E136</f>
        <v>0</v>
      </c>
      <c r="E195" s="4">
        <v>1000</v>
      </c>
      <c r="F195" s="131">
        <f>'Raw Data_Mod Tests'!F136</f>
        <v>0</v>
      </c>
      <c r="G195" s="132"/>
      <c r="H195" s="71">
        <v>3</v>
      </c>
      <c r="I195" s="4">
        <f t="shared" si="26"/>
        <v>0</v>
      </c>
      <c r="J195" s="20"/>
      <c r="K195" s="20"/>
      <c r="L195" s="68"/>
      <c r="M195" s="20"/>
    </row>
    <row r="196" spans="1:13" s="6" customFormat="1" ht="14.25" x14ac:dyDescent="0.2">
      <c r="A196" s="130"/>
      <c r="B196" s="131" t="s">
        <v>8</v>
      </c>
      <c r="C196" s="132"/>
      <c r="D196" s="4">
        <f>'Raw Data_Mod Tests'!E137</f>
        <v>0</v>
      </c>
      <c r="E196" s="4">
        <v>1000</v>
      </c>
      <c r="F196" s="131">
        <f>'Raw Data_Mod Tests'!F137</f>
        <v>0</v>
      </c>
      <c r="G196" s="132"/>
      <c r="H196" s="71">
        <v>3</v>
      </c>
      <c r="I196" s="4">
        <f t="shared" si="26"/>
        <v>0</v>
      </c>
      <c r="J196" s="20"/>
      <c r="K196" s="20"/>
      <c r="L196" s="68"/>
      <c r="M196" s="20"/>
    </row>
    <row r="197" spans="1:13" s="6" customFormat="1" ht="14.25" x14ac:dyDescent="0.2">
      <c r="A197" s="129" t="s">
        <v>11</v>
      </c>
      <c r="B197" s="131" t="s">
        <v>7</v>
      </c>
      <c r="C197" s="132"/>
      <c r="D197" s="4">
        <f>'Raw Data_Mod Tests'!E138</f>
        <v>0</v>
      </c>
      <c r="E197" s="4">
        <v>1000</v>
      </c>
      <c r="F197" s="131">
        <f>'Raw Data_Mod Tests'!F138</f>
        <v>0</v>
      </c>
      <c r="G197" s="132"/>
      <c r="H197" s="71">
        <v>3</v>
      </c>
      <c r="I197" s="4">
        <f t="shared" si="26"/>
        <v>0</v>
      </c>
      <c r="J197" s="20"/>
      <c r="K197" s="20"/>
      <c r="L197" s="68"/>
      <c r="M197" s="20"/>
    </row>
    <row r="198" spans="1:13" s="6" customFormat="1" ht="14.25" x14ac:dyDescent="0.2">
      <c r="A198" s="130"/>
      <c r="B198" s="131" t="s">
        <v>8</v>
      </c>
      <c r="C198" s="132"/>
      <c r="D198" s="4">
        <f>'Raw Data_Mod Tests'!E139</f>
        <v>0</v>
      </c>
      <c r="E198" s="4">
        <v>1000</v>
      </c>
      <c r="F198" s="131">
        <f>'Raw Data_Mod Tests'!F139</f>
        <v>0</v>
      </c>
      <c r="G198" s="132"/>
      <c r="H198" s="71">
        <v>3</v>
      </c>
      <c r="I198" s="4">
        <f t="shared" si="26"/>
        <v>0</v>
      </c>
      <c r="J198" s="20"/>
      <c r="K198" s="20"/>
      <c r="L198" s="68"/>
      <c r="M198" s="20"/>
    </row>
    <row r="199" spans="1:13" s="6" customFormat="1" ht="14.25" x14ac:dyDescent="0.2">
      <c r="A199" s="129" t="s">
        <v>12</v>
      </c>
      <c r="B199" s="131" t="s">
        <v>7</v>
      </c>
      <c r="C199" s="132"/>
      <c r="D199" s="4">
        <f>'Raw Data_Mod Tests'!E140</f>
        <v>0</v>
      </c>
      <c r="E199" s="4">
        <v>1000</v>
      </c>
      <c r="F199" s="131">
        <f>'Raw Data_Mod Tests'!F140</f>
        <v>0</v>
      </c>
      <c r="G199" s="132"/>
      <c r="H199" s="71">
        <v>3</v>
      </c>
      <c r="I199" s="4">
        <f t="shared" si="26"/>
        <v>0</v>
      </c>
      <c r="J199" s="20"/>
      <c r="K199" s="20"/>
      <c r="L199" s="68"/>
      <c r="M199" s="20"/>
    </row>
    <row r="200" spans="1:13" s="6" customFormat="1" ht="14.25" x14ac:dyDescent="0.2">
      <c r="A200" s="130"/>
      <c r="B200" s="131" t="s">
        <v>8</v>
      </c>
      <c r="C200" s="132"/>
      <c r="D200" s="4">
        <f>'Raw Data_Mod Tests'!E141</f>
        <v>0</v>
      </c>
      <c r="E200" s="4">
        <v>1000</v>
      </c>
      <c r="F200" s="131">
        <f>'Raw Data_Mod Tests'!F141</f>
        <v>0</v>
      </c>
      <c r="G200" s="132"/>
      <c r="H200" s="71">
        <v>3</v>
      </c>
      <c r="I200" s="4">
        <f t="shared" si="26"/>
        <v>0</v>
      </c>
      <c r="J200" s="20"/>
      <c r="K200" s="20"/>
      <c r="L200" s="68"/>
      <c r="M200" s="20"/>
    </row>
    <row r="201" spans="1:13" s="6" customFormat="1" ht="14.25" x14ac:dyDescent="0.2">
      <c r="A201" s="129" t="s">
        <v>13</v>
      </c>
      <c r="B201" s="131" t="s">
        <v>7</v>
      </c>
      <c r="C201" s="132"/>
      <c r="D201" s="4">
        <f>'Raw Data_Mod Tests'!E142</f>
        <v>0</v>
      </c>
      <c r="E201" s="4">
        <v>1000</v>
      </c>
      <c r="F201" s="131">
        <f>'Raw Data_Mod Tests'!F142</f>
        <v>0</v>
      </c>
      <c r="G201" s="132"/>
      <c r="H201" s="71">
        <v>3</v>
      </c>
      <c r="I201" s="4">
        <f t="shared" si="26"/>
        <v>0</v>
      </c>
      <c r="J201" s="20"/>
      <c r="K201" s="20"/>
      <c r="L201" s="68"/>
      <c r="M201" s="20"/>
    </row>
    <row r="202" spans="1:13" s="6" customFormat="1" ht="14.25" x14ac:dyDescent="0.2">
      <c r="A202" s="130"/>
      <c r="B202" s="131" t="s">
        <v>8</v>
      </c>
      <c r="C202" s="132"/>
      <c r="D202" s="4">
        <f>'Raw Data_Mod Tests'!E143</f>
        <v>0</v>
      </c>
      <c r="E202" s="4">
        <v>1000</v>
      </c>
      <c r="F202" s="131">
        <f>'Raw Data_Mod Tests'!F143</f>
        <v>0</v>
      </c>
      <c r="G202" s="132"/>
      <c r="H202" s="71">
        <v>3</v>
      </c>
      <c r="I202" s="4">
        <f t="shared" si="26"/>
        <v>0</v>
      </c>
      <c r="J202" s="20"/>
      <c r="K202" s="20"/>
      <c r="L202" s="68"/>
      <c r="M202" s="20"/>
    </row>
    <row r="203" spans="1:13" s="6" customFormat="1" ht="14.25" x14ac:dyDescent="0.2">
      <c r="A203" s="129" t="s">
        <v>14</v>
      </c>
      <c r="B203" s="131" t="s">
        <v>7</v>
      </c>
      <c r="C203" s="132"/>
      <c r="D203" s="4">
        <f>'Raw Data_Mod Tests'!E144</f>
        <v>0</v>
      </c>
      <c r="E203" s="4">
        <v>1000</v>
      </c>
      <c r="F203" s="131">
        <f>'Raw Data_Mod Tests'!F144</f>
        <v>0</v>
      </c>
      <c r="G203" s="132"/>
      <c r="H203" s="71">
        <v>3</v>
      </c>
      <c r="I203" s="4">
        <f t="shared" si="26"/>
        <v>0</v>
      </c>
      <c r="J203" s="20"/>
      <c r="K203" s="20"/>
      <c r="L203" s="68"/>
      <c r="M203" s="20"/>
    </row>
    <row r="204" spans="1:13" s="6" customFormat="1" ht="14.25" x14ac:dyDescent="0.2">
      <c r="A204" s="130"/>
      <c r="B204" s="131" t="s">
        <v>8</v>
      </c>
      <c r="C204" s="132"/>
      <c r="D204" s="4">
        <f>'Raw Data_Mod Tests'!E145</f>
        <v>0</v>
      </c>
      <c r="E204" s="4">
        <v>1000</v>
      </c>
      <c r="F204" s="131">
        <f>'Raw Data_Mod Tests'!F145</f>
        <v>0</v>
      </c>
      <c r="G204" s="132"/>
      <c r="H204" s="88">
        <v>3</v>
      </c>
      <c r="I204" s="4">
        <f t="shared" ref="I204" si="27">F204+((D204/E204)*H204)</f>
        <v>0</v>
      </c>
      <c r="J204" s="20"/>
      <c r="K204" s="20"/>
      <c r="L204" s="68"/>
      <c r="M204" s="20"/>
    </row>
    <row r="205" spans="1:13" s="6" customFormat="1" ht="14.25" x14ac:dyDescent="0.2">
      <c r="A205" s="74"/>
      <c r="B205" s="74"/>
      <c r="C205" s="74"/>
      <c r="D205" s="74"/>
      <c r="E205" s="74"/>
      <c r="F205" s="74"/>
      <c r="G205" s="74"/>
      <c r="H205" s="11"/>
      <c r="I205" s="11"/>
      <c r="J205" s="20"/>
      <c r="K205" s="20"/>
      <c r="L205" s="68"/>
      <c r="M205" s="20"/>
    </row>
    <row r="206" spans="1:13" s="6" customFormat="1" ht="14.25" x14ac:dyDescent="0.2">
      <c r="A206" s="74"/>
      <c r="B206" s="74"/>
      <c r="C206" s="74"/>
      <c r="D206" s="74"/>
      <c r="E206" s="74"/>
      <c r="F206" s="74"/>
      <c r="G206" s="74"/>
      <c r="H206" s="11"/>
      <c r="I206" s="11"/>
      <c r="J206" s="20"/>
      <c r="K206" s="20"/>
      <c r="L206" s="68"/>
      <c r="M206" s="20"/>
    </row>
    <row r="207" spans="1:13" s="6" customFormat="1" x14ac:dyDescent="0.2">
      <c r="A207" s="133" t="s">
        <v>96</v>
      </c>
      <c r="B207" s="133"/>
      <c r="C207" s="133"/>
      <c r="D207" s="73" t="s">
        <v>15</v>
      </c>
      <c r="E207" s="72" t="s">
        <v>19</v>
      </c>
      <c r="F207" s="134" t="s">
        <v>30</v>
      </c>
      <c r="G207" s="134"/>
      <c r="H207" s="31" t="s">
        <v>31</v>
      </c>
      <c r="I207" s="72" t="s">
        <v>20</v>
      </c>
      <c r="J207" s="20"/>
      <c r="K207" s="20"/>
      <c r="L207" s="68"/>
      <c r="M207" s="20"/>
    </row>
    <row r="208" spans="1:13" s="6" customFormat="1" ht="14.25" x14ac:dyDescent="0.2">
      <c r="A208" s="129" t="s">
        <v>6</v>
      </c>
      <c r="B208" s="131" t="s">
        <v>7</v>
      </c>
      <c r="C208" s="132"/>
      <c r="D208" s="4">
        <f>'Raw Data_Mod Tests'!E146</f>
        <v>0</v>
      </c>
      <c r="E208" s="4">
        <v>1000</v>
      </c>
      <c r="F208" s="131">
        <f>'Raw Data_Mod Tests'!F146</f>
        <v>0</v>
      </c>
      <c r="G208" s="132"/>
      <c r="H208" s="71">
        <v>3</v>
      </c>
      <c r="I208" s="4">
        <f>F208+((D208/E208)*H208)</f>
        <v>0</v>
      </c>
      <c r="J208" s="20"/>
      <c r="K208" s="20"/>
      <c r="L208" s="68"/>
      <c r="M208" s="20"/>
    </row>
    <row r="209" spans="1:13" s="6" customFormat="1" ht="14.25" x14ac:dyDescent="0.2">
      <c r="A209" s="130"/>
      <c r="B209" s="131" t="s">
        <v>8</v>
      </c>
      <c r="C209" s="132"/>
      <c r="D209" s="4">
        <f>'Raw Data_Mod Tests'!E147</f>
        <v>0</v>
      </c>
      <c r="E209" s="4">
        <v>1000</v>
      </c>
      <c r="F209" s="131">
        <f>'Raw Data_Mod Tests'!F147</f>
        <v>0</v>
      </c>
      <c r="G209" s="132"/>
      <c r="H209" s="71">
        <v>3</v>
      </c>
      <c r="I209" s="4">
        <f t="shared" ref="I209:I215" si="28">F209+((D209/E209)*H209)</f>
        <v>0</v>
      </c>
      <c r="J209" s="20"/>
      <c r="K209" s="20"/>
      <c r="L209" s="68"/>
      <c r="M209" s="20"/>
    </row>
    <row r="210" spans="1:13" s="6" customFormat="1" ht="14.25" x14ac:dyDescent="0.2">
      <c r="A210" s="129" t="s">
        <v>10</v>
      </c>
      <c r="B210" s="131" t="s">
        <v>7</v>
      </c>
      <c r="C210" s="132"/>
      <c r="D210" s="4">
        <f>'Raw Data_Mod Tests'!E148</f>
        <v>0</v>
      </c>
      <c r="E210" s="4">
        <v>1000</v>
      </c>
      <c r="F210" s="131">
        <f>'Raw Data_Mod Tests'!F148</f>
        <v>0</v>
      </c>
      <c r="G210" s="132"/>
      <c r="H210" s="71">
        <v>3</v>
      </c>
      <c r="I210" s="4">
        <f t="shared" si="28"/>
        <v>0</v>
      </c>
      <c r="J210" s="20"/>
      <c r="K210" s="20"/>
      <c r="L210" s="68"/>
      <c r="M210" s="20"/>
    </row>
    <row r="211" spans="1:13" s="6" customFormat="1" ht="14.25" x14ac:dyDescent="0.2">
      <c r="A211" s="130"/>
      <c r="B211" s="131" t="s">
        <v>8</v>
      </c>
      <c r="C211" s="132"/>
      <c r="D211" s="4">
        <f>'Raw Data_Mod Tests'!E149</f>
        <v>0</v>
      </c>
      <c r="E211" s="4">
        <v>1000</v>
      </c>
      <c r="F211" s="131">
        <f>'Raw Data_Mod Tests'!F149</f>
        <v>0</v>
      </c>
      <c r="G211" s="132"/>
      <c r="H211" s="71">
        <v>3</v>
      </c>
      <c r="I211" s="4">
        <f t="shared" si="28"/>
        <v>0</v>
      </c>
      <c r="J211" s="20"/>
      <c r="K211" s="20"/>
      <c r="L211" s="68"/>
      <c r="M211" s="20"/>
    </row>
    <row r="212" spans="1:13" s="6" customFormat="1" ht="14.25" x14ac:dyDescent="0.2">
      <c r="A212" s="129" t="s">
        <v>11</v>
      </c>
      <c r="B212" s="131" t="s">
        <v>7</v>
      </c>
      <c r="C212" s="132"/>
      <c r="D212" s="4">
        <f>'Raw Data_Mod Tests'!E150</f>
        <v>0</v>
      </c>
      <c r="E212" s="4">
        <v>1000</v>
      </c>
      <c r="F212" s="131">
        <f>'Raw Data_Mod Tests'!F150</f>
        <v>0</v>
      </c>
      <c r="G212" s="132"/>
      <c r="H212" s="71">
        <v>3</v>
      </c>
      <c r="I212" s="4">
        <f t="shared" si="28"/>
        <v>0</v>
      </c>
      <c r="J212" s="20"/>
      <c r="K212" s="20"/>
      <c r="L212" s="68"/>
      <c r="M212" s="20"/>
    </row>
    <row r="213" spans="1:13" s="6" customFormat="1" ht="14.25" x14ac:dyDescent="0.2">
      <c r="A213" s="130"/>
      <c r="B213" s="131" t="s">
        <v>8</v>
      </c>
      <c r="C213" s="132"/>
      <c r="D213" s="4">
        <f>'Raw Data_Mod Tests'!E151</f>
        <v>0</v>
      </c>
      <c r="E213" s="4">
        <v>1000</v>
      </c>
      <c r="F213" s="131">
        <f>'Raw Data_Mod Tests'!F151</f>
        <v>0</v>
      </c>
      <c r="G213" s="132"/>
      <c r="H213" s="71">
        <v>3</v>
      </c>
      <c r="I213" s="4">
        <f t="shared" si="28"/>
        <v>0</v>
      </c>
      <c r="J213" s="20"/>
      <c r="K213" s="20"/>
      <c r="L213" s="68"/>
      <c r="M213" s="20"/>
    </row>
    <row r="214" spans="1:13" s="6" customFormat="1" ht="14.25" x14ac:dyDescent="0.2">
      <c r="A214" s="129" t="s">
        <v>12</v>
      </c>
      <c r="B214" s="131" t="s">
        <v>7</v>
      </c>
      <c r="C214" s="132"/>
      <c r="D214" s="4">
        <f>'Raw Data_Mod Tests'!E152</f>
        <v>0</v>
      </c>
      <c r="E214" s="4">
        <v>1000</v>
      </c>
      <c r="F214" s="131">
        <f>'Raw Data_Mod Tests'!F152</f>
        <v>0</v>
      </c>
      <c r="G214" s="132"/>
      <c r="H214" s="71">
        <v>3</v>
      </c>
      <c r="I214" s="4">
        <f t="shared" si="28"/>
        <v>0</v>
      </c>
      <c r="J214" s="20"/>
      <c r="K214" s="20"/>
      <c r="L214" s="68"/>
      <c r="M214" s="20"/>
    </row>
    <row r="215" spans="1:13" s="6" customFormat="1" ht="14.25" x14ac:dyDescent="0.2">
      <c r="A215" s="130"/>
      <c r="B215" s="131" t="s">
        <v>8</v>
      </c>
      <c r="C215" s="132"/>
      <c r="D215" s="4">
        <f>'Raw Data_Mod Tests'!E153</f>
        <v>0</v>
      </c>
      <c r="E215" s="4">
        <v>1000</v>
      </c>
      <c r="F215" s="131">
        <f>'Raw Data_Mod Tests'!F153</f>
        <v>0</v>
      </c>
      <c r="G215" s="132"/>
      <c r="H215" s="71">
        <v>3</v>
      </c>
      <c r="I215" s="4">
        <f t="shared" si="28"/>
        <v>0</v>
      </c>
      <c r="J215" s="20"/>
      <c r="K215" s="20"/>
      <c r="L215" s="68"/>
      <c r="M215" s="20"/>
    </row>
    <row r="216" spans="1:13" s="6" customFormat="1" ht="14.25" x14ac:dyDescent="0.2">
      <c r="A216" s="129" t="s">
        <v>13</v>
      </c>
      <c r="B216" s="131" t="s">
        <v>7</v>
      </c>
      <c r="C216" s="132"/>
      <c r="D216" s="4">
        <f>'Raw Data_Mod Tests'!E154</f>
        <v>0</v>
      </c>
      <c r="E216" s="4">
        <v>1000</v>
      </c>
      <c r="F216" s="131">
        <f>'Raw Data_Mod Tests'!F154</f>
        <v>0</v>
      </c>
      <c r="G216" s="132"/>
      <c r="H216" s="71">
        <v>3</v>
      </c>
      <c r="I216" s="4">
        <f t="shared" ref="I216:I218" si="29">F216+((D216/E216)*H216)</f>
        <v>0</v>
      </c>
      <c r="J216" s="20"/>
      <c r="K216" s="20"/>
      <c r="L216" s="68"/>
      <c r="M216" s="20"/>
    </row>
    <row r="217" spans="1:13" s="6" customFormat="1" ht="14.25" x14ac:dyDescent="0.2">
      <c r="A217" s="130"/>
      <c r="B217" s="131" t="s">
        <v>8</v>
      </c>
      <c r="C217" s="132"/>
      <c r="D217" s="4">
        <f>'Raw Data_Mod Tests'!E155</f>
        <v>0</v>
      </c>
      <c r="E217" s="4">
        <v>1000</v>
      </c>
      <c r="F217" s="131">
        <f>'Raw Data_Mod Tests'!F155</f>
        <v>0</v>
      </c>
      <c r="G217" s="132"/>
      <c r="H217" s="71">
        <v>3</v>
      </c>
      <c r="I217" s="4">
        <f t="shared" si="29"/>
        <v>0</v>
      </c>
      <c r="J217" s="20"/>
      <c r="K217" s="20"/>
      <c r="L217" s="68"/>
      <c r="M217" s="20"/>
    </row>
    <row r="218" spans="1:13" s="6" customFormat="1" ht="14.25" x14ac:dyDescent="0.2">
      <c r="A218" s="129" t="s">
        <v>14</v>
      </c>
      <c r="B218" s="131" t="s">
        <v>7</v>
      </c>
      <c r="C218" s="132"/>
      <c r="D218" s="4">
        <f>'Raw Data_Mod Tests'!E156</f>
        <v>0</v>
      </c>
      <c r="E218" s="4">
        <v>1000</v>
      </c>
      <c r="F218" s="131">
        <f>'Raw Data_Mod Tests'!F156</f>
        <v>0</v>
      </c>
      <c r="G218" s="132"/>
      <c r="H218" s="71">
        <v>3</v>
      </c>
      <c r="I218" s="4">
        <f t="shared" si="29"/>
        <v>0</v>
      </c>
      <c r="J218" s="20"/>
      <c r="K218" s="20"/>
      <c r="L218" s="68"/>
      <c r="M218" s="20"/>
    </row>
    <row r="219" spans="1:13" s="6" customFormat="1" ht="14.25" x14ac:dyDescent="0.2">
      <c r="A219" s="130"/>
      <c r="B219" s="131" t="s">
        <v>8</v>
      </c>
      <c r="C219" s="132"/>
      <c r="D219" s="4">
        <f>'Raw Data_Mod Tests'!E157</f>
        <v>0</v>
      </c>
      <c r="E219" s="4">
        <v>1000</v>
      </c>
      <c r="F219" s="131">
        <f>'Raw Data_Mod Tests'!F157</f>
        <v>0</v>
      </c>
      <c r="G219" s="132"/>
      <c r="H219" s="88">
        <v>3</v>
      </c>
      <c r="I219" s="4">
        <f t="shared" ref="I219" si="30">F219+((D219/E219)*H219)</f>
        <v>0</v>
      </c>
      <c r="J219" s="20"/>
      <c r="K219" s="20"/>
      <c r="L219" s="68"/>
      <c r="M219" s="20"/>
    </row>
    <row r="220" spans="1:13" s="6" customFormat="1" ht="24" customHeight="1" x14ac:dyDescent="0.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68"/>
      <c r="M220" s="20"/>
    </row>
    <row r="221" spans="1:13" s="6" customFormat="1" ht="47.25" customHeight="1" x14ac:dyDescent="0.2">
      <c r="A221" s="138" t="s">
        <v>106</v>
      </c>
      <c r="B221" s="138"/>
      <c r="C221" s="138"/>
      <c r="D221" s="138"/>
      <c r="E221" s="138"/>
      <c r="F221" s="138"/>
      <c r="G221" s="138"/>
      <c r="H221" s="138"/>
      <c r="I221" s="139"/>
      <c r="J221" s="20"/>
      <c r="K221" s="20"/>
      <c r="L221" s="68"/>
      <c r="M221" s="20"/>
    </row>
    <row r="222" spans="1:13" s="3" customFormat="1" ht="21" customHeight="1" x14ac:dyDescent="0.2">
      <c r="A222" s="32"/>
      <c r="B222" s="32"/>
      <c r="C222" s="32"/>
      <c r="D222" s="8"/>
      <c r="E222" s="8"/>
      <c r="F222" s="156"/>
      <c r="G222" s="156"/>
      <c r="H222" s="33"/>
      <c r="I222" s="11"/>
      <c r="J222" s="11"/>
      <c r="K222" s="11"/>
      <c r="L222" s="69"/>
      <c r="M222" s="11"/>
    </row>
    <row r="223" spans="1:13" s="3" customFormat="1" ht="21" customHeight="1" x14ac:dyDescent="0.2">
      <c r="A223" s="16" t="s">
        <v>56</v>
      </c>
      <c r="B223" s="143" t="s">
        <v>107</v>
      </c>
      <c r="C223" s="143"/>
      <c r="D223" s="143"/>
      <c r="E223" s="143"/>
      <c r="F223" s="143"/>
      <c r="G223" s="143"/>
      <c r="H223" s="143"/>
      <c r="I223" s="143"/>
      <c r="J223" s="11"/>
      <c r="K223" s="11"/>
      <c r="L223" s="69"/>
      <c r="M223" s="11"/>
    </row>
    <row r="224" spans="1:13" s="3" customFormat="1" ht="21" customHeight="1" x14ac:dyDescent="0.2">
      <c r="A224" s="16" t="s">
        <v>57</v>
      </c>
      <c r="B224" s="143" t="s">
        <v>61</v>
      </c>
      <c r="C224" s="143"/>
      <c r="D224" s="143"/>
      <c r="E224" s="143"/>
      <c r="F224" s="143"/>
      <c r="G224" s="143"/>
      <c r="H224" s="143"/>
      <c r="I224" s="143"/>
      <c r="J224" s="11"/>
      <c r="K224" s="11"/>
      <c r="L224" s="69"/>
      <c r="M224" s="11"/>
    </row>
    <row r="225" spans="1:13" s="3" customFormat="1" ht="21" customHeight="1" x14ac:dyDescent="0.2">
      <c r="A225" s="16" t="s">
        <v>58</v>
      </c>
      <c r="B225" s="143" t="s">
        <v>62</v>
      </c>
      <c r="C225" s="143"/>
      <c r="D225" s="143"/>
      <c r="E225" s="143"/>
      <c r="F225" s="143"/>
      <c r="G225" s="143"/>
      <c r="H225" s="143"/>
      <c r="I225" s="143"/>
      <c r="J225" s="11"/>
      <c r="K225" s="11"/>
      <c r="L225" s="69"/>
      <c r="M225" s="11"/>
    </row>
    <row r="226" spans="1:13" s="3" customFormat="1" ht="21" customHeight="1" x14ac:dyDescent="0.2">
      <c r="A226" s="39" t="s">
        <v>59</v>
      </c>
      <c r="B226" s="143" t="s">
        <v>63</v>
      </c>
      <c r="C226" s="143"/>
      <c r="D226" s="143"/>
      <c r="E226" s="143"/>
      <c r="F226" s="143"/>
      <c r="G226" s="143"/>
      <c r="H226" s="143"/>
      <c r="I226" s="143"/>
      <c r="J226" s="11"/>
      <c r="K226" s="11"/>
      <c r="L226" s="69"/>
      <c r="M226" s="11"/>
    </row>
    <row r="227" spans="1:13" s="3" customFormat="1" ht="21" customHeight="1" x14ac:dyDescent="0.2">
      <c r="A227" s="16" t="s">
        <v>24</v>
      </c>
      <c r="B227" s="143" t="s">
        <v>28</v>
      </c>
      <c r="C227" s="143"/>
      <c r="D227" s="143"/>
      <c r="E227" s="143"/>
      <c r="F227" s="143"/>
      <c r="G227" s="143"/>
      <c r="H227" s="143"/>
      <c r="I227" s="143"/>
      <c r="J227" s="11"/>
      <c r="K227" s="11"/>
      <c r="L227" s="69"/>
      <c r="M227" s="11"/>
    </row>
    <row r="228" spans="1:13" s="3" customFormat="1" ht="15" customHeight="1" x14ac:dyDescent="0.2">
      <c r="A228" s="32"/>
      <c r="B228" s="32"/>
      <c r="C228" s="32"/>
      <c r="D228" s="32"/>
      <c r="E228" s="32"/>
      <c r="F228" s="32"/>
      <c r="G228" s="32"/>
      <c r="H228" s="33"/>
      <c r="I228" s="11"/>
      <c r="J228" s="11"/>
      <c r="K228" s="11"/>
      <c r="L228" s="69"/>
      <c r="M228" s="11"/>
    </row>
    <row r="229" spans="1:13" s="3" customFormat="1" x14ac:dyDescent="0.2">
      <c r="A229" s="136" t="s">
        <v>4</v>
      </c>
      <c r="B229" s="140"/>
      <c r="C229" s="137"/>
      <c r="D229" s="25" t="s">
        <v>52</v>
      </c>
      <c r="E229" s="25" t="s">
        <v>53</v>
      </c>
      <c r="F229" s="154" t="s">
        <v>54</v>
      </c>
      <c r="G229" s="155"/>
      <c r="H229" s="25" t="s">
        <v>55</v>
      </c>
      <c r="I229" s="25" t="s">
        <v>51</v>
      </c>
      <c r="J229" s="58" t="s">
        <v>84</v>
      </c>
      <c r="K229" s="89" t="s">
        <v>100</v>
      </c>
      <c r="L229" s="89" t="s">
        <v>101</v>
      </c>
      <c r="M229" s="11"/>
    </row>
    <row r="230" spans="1:13" s="3" customFormat="1" ht="14.25" x14ac:dyDescent="0.2">
      <c r="A230" s="129" t="s">
        <v>6</v>
      </c>
      <c r="B230" s="131" t="s">
        <v>7</v>
      </c>
      <c r="C230" s="132"/>
      <c r="D230" s="24">
        <f>'Raw Data_Mod Tests'!N2</f>
        <v>0</v>
      </c>
      <c r="E230" s="24">
        <f>'Raw Data_Mod Tests'!$O$2</f>
        <v>48.9</v>
      </c>
      <c r="F230" s="141">
        <f>'Raw Data_Mod Tests'!$P$2</f>
        <v>-2.7000000000000001E-3</v>
      </c>
      <c r="G230" s="142"/>
      <c r="H230" s="62">
        <f t="shared" ref="H230:H241" si="31">I28</f>
        <v>0</v>
      </c>
      <c r="I230" s="59">
        <f t="shared" ref="I230:I240" si="32">D230*E230*(1+((F230)*(H230-25)))</f>
        <v>0</v>
      </c>
      <c r="J230" s="41">
        <f>'Raw Data_Mod Tests'!G2</f>
        <v>0</v>
      </c>
      <c r="K230" s="100">
        <f>95%*I230</f>
        <v>0</v>
      </c>
      <c r="L230" s="95" t="e">
        <f>J230/I230</f>
        <v>#DIV/0!</v>
      </c>
      <c r="M230" s="11"/>
    </row>
    <row r="231" spans="1:13" s="3" customFormat="1" ht="14.25" x14ac:dyDescent="0.2">
      <c r="A231" s="130"/>
      <c r="B231" s="131" t="s">
        <v>8</v>
      </c>
      <c r="C231" s="132"/>
      <c r="D231" s="84">
        <f>'Raw Data_Mod Tests'!N3</f>
        <v>0</v>
      </c>
      <c r="E231" s="57">
        <v>46.2</v>
      </c>
      <c r="F231" s="141">
        <f>'Raw Data_Mod Tests'!$P$2</f>
        <v>-2.7000000000000001E-3</v>
      </c>
      <c r="G231" s="142"/>
      <c r="H231" s="62">
        <f t="shared" si="31"/>
        <v>0</v>
      </c>
      <c r="I231" s="59">
        <f t="shared" si="32"/>
        <v>0</v>
      </c>
      <c r="J231" s="41">
        <f>'Raw Data_Mod Tests'!G3</f>
        <v>0</v>
      </c>
      <c r="K231" s="100">
        <f t="shared" ref="K231:K241" si="33">95%*I231</f>
        <v>0</v>
      </c>
      <c r="L231" s="95" t="e">
        <f t="shared" ref="L231:L241" si="34">J231/I231</f>
        <v>#DIV/0!</v>
      </c>
      <c r="M231" s="11"/>
    </row>
    <row r="232" spans="1:13" s="3" customFormat="1" ht="14.25" x14ac:dyDescent="0.2">
      <c r="A232" s="129" t="s">
        <v>10</v>
      </c>
      <c r="B232" s="131" t="s">
        <v>7</v>
      </c>
      <c r="C232" s="132"/>
      <c r="D232" s="84">
        <f>'Raw Data_Mod Tests'!N4</f>
        <v>0</v>
      </c>
      <c r="E232" s="57">
        <v>46.2</v>
      </c>
      <c r="F232" s="141">
        <f>'Raw Data_Mod Tests'!$P$2</f>
        <v>-2.7000000000000001E-3</v>
      </c>
      <c r="G232" s="142"/>
      <c r="H232" s="62">
        <f t="shared" si="31"/>
        <v>0</v>
      </c>
      <c r="I232" s="59">
        <f t="shared" si="32"/>
        <v>0</v>
      </c>
      <c r="J232" s="41">
        <f>'Raw Data_Mod Tests'!G4</f>
        <v>0</v>
      </c>
      <c r="K232" s="100">
        <f t="shared" si="33"/>
        <v>0</v>
      </c>
      <c r="L232" s="95" t="e">
        <f t="shared" si="34"/>
        <v>#DIV/0!</v>
      </c>
      <c r="M232" s="11"/>
    </row>
    <row r="233" spans="1:13" s="3" customFormat="1" ht="14.25" x14ac:dyDescent="0.2">
      <c r="A233" s="130"/>
      <c r="B233" s="131" t="s">
        <v>8</v>
      </c>
      <c r="C233" s="132"/>
      <c r="D233" s="84">
        <f>'Raw Data_Mod Tests'!N5</f>
        <v>0</v>
      </c>
      <c r="E233" s="57">
        <v>46.2</v>
      </c>
      <c r="F233" s="141">
        <f>'Raw Data_Mod Tests'!$P$2</f>
        <v>-2.7000000000000001E-3</v>
      </c>
      <c r="G233" s="142"/>
      <c r="H233" s="62">
        <f t="shared" si="31"/>
        <v>0</v>
      </c>
      <c r="I233" s="59">
        <f t="shared" si="32"/>
        <v>0</v>
      </c>
      <c r="J233" s="41">
        <f>'Raw Data_Mod Tests'!G5</f>
        <v>0</v>
      </c>
      <c r="K233" s="100">
        <f t="shared" si="33"/>
        <v>0</v>
      </c>
      <c r="L233" s="95" t="e">
        <f t="shared" si="34"/>
        <v>#DIV/0!</v>
      </c>
      <c r="M233" s="11"/>
    </row>
    <row r="234" spans="1:13" s="3" customFormat="1" ht="14.25" x14ac:dyDescent="0.2">
      <c r="A234" s="129" t="s">
        <v>11</v>
      </c>
      <c r="B234" s="131" t="s">
        <v>7</v>
      </c>
      <c r="C234" s="132"/>
      <c r="D234" s="84">
        <f>'Raw Data_Mod Tests'!N6</f>
        <v>0</v>
      </c>
      <c r="E234" s="57">
        <v>46.2</v>
      </c>
      <c r="F234" s="141">
        <f>'Raw Data_Mod Tests'!$P$2</f>
        <v>-2.7000000000000001E-3</v>
      </c>
      <c r="G234" s="142"/>
      <c r="H234" s="62">
        <f t="shared" si="31"/>
        <v>0</v>
      </c>
      <c r="I234" s="59">
        <f t="shared" si="32"/>
        <v>0</v>
      </c>
      <c r="J234" s="41">
        <f>'Raw Data_Mod Tests'!G6</f>
        <v>0</v>
      </c>
      <c r="K234" s="100">
        <f t="shared" si="33"/>
        <v>0</v>
      </c>
      <c r="L234" s="95" t="e">
        <f t="shared" si="34"/>
        <v>#DIV/0!</v>
      </c>
      <c r="M234" s="11"/>
    </row>
    <row r="235" spans="1:13" s="3" customFormat="1" ht="14.25" x14ac:dyDescent="0.2">
      <c r="A235" s="130"/>
      <c r="B235" s="131" t="s">
        <v>8</v>
      </c>
      <c r="C235" s="132"/>
      <c r="D235" s="84">
        <f>'Raw Data_Mod Tests'!N7</f>
        <v>0</v>
      </c>
      <c r="E235" s="57">
        <v>46.2</v>
      </c>
      <c r="F235" s="141">
        <f>'Raw Data_Mod Tests'!$P$2</f>
        <v>-2.7000000000000001E-3</v>
      </c>
      <c r="G235" s="142"/>
      <c r="H235" s="62">
        <f t="shared" si="31"/>
        <v>0</v>
      </c>
      <c r="I235" s="59">
        <f t="shared" si="32"/>
        <v>0</v>
      </c>
      <c r="J235" s="41">
        <f>'Raw Data_Mod Tests'!G7</f>
        <v>0</v>
      </c>
      <c r="K235" s="100">
        <f t="shared" si="33"/>
        <v>0</v>
      </c>
      <c r="L235" s="95" t="e">
        <f t="shared" si="34"/>
        <v>#DIV/0!</v>
      </c>
      <c r="M235" s="11"/>
    </row>
    <row r="236" spans="1:13" s="3" customFormat="1" ht="14.25" x14ac:dyDescent="0.2">
      <c r="A236" s="129" t="s">
        <v>12</v>
      </c>
      <c r="B236" s="131" t="s">
        <v>7</v>
      </c>
      <c r="C236" s="132"/>
      <c r="D236" s="84">
        <f>'Raw Data_Mod Tests'!N8</f>
        <v>0</v>
      </c>
      <c r="E236" s="57">
        <v>46.2</v>
      </c>
      <c r="F236" s="141">
        <f>'Raw Data_Mod Tests'!$P$2</f>
        <v>-2.7000000000000001E-3</v>
      </c>
      <c r="G236" s="142"/>
      <c r="H236" s="62">
        <f t="shared" si="31"/>
        <v>0</v>
      </c>
      <c r="I236" s="59">
        <f t="shared" si="32"/>
        <v>0</v>
      </c>
      <c r="J236" s="41">
        <f>'Raw Data_Mod Tests'!G8</f>
        <v>0</v>
      </c>
      <c r="K236" s="100">
        <f t="shared" si="33"/>
        <v>0</v>
      </c>
      <c r="L236" s="95" t="e">
        <f t="shared" si="34"/>
        <v>#DIV/0!</v>
      </c>
      <c r="M236" s="11"/>
    </row>
    <row r="237" spans="1:13" s="3" customFormat="1" ht="14.25" x14ac:dyDescent="0.2">
      <c r="A237" s="130"/>
      <c r="B237" s="131" t="s">
        <v>8</v>
      </c>
      <c r="C237" s="132"/>
      <c r="D237" s="84">
        <f>'Raw Data_Mod Tests'!N9</f>
        <v>0</v>
      </c>
      <c r="E237" s="57">
        <v>46.2</v>
      </c>
      <c r="F237" s="141">
        <f>'Raw Data_Mod Tests'!$P$2</f>
        <v>-2.7000000000000001E-3</v>
      </c>
      <c r="G237" s="142"/>
      <c r="H237" s="62">
        <f t="shared" si="31"/>
        <v>0</v>
      </c>
      <c r="I237" s="59">
        <f t="shared" si="32"/>
        <v>0</v>
      </c>
      <c r="J237" s="41">
        <f>'Raw Data_Mod Tests'!G9</f>
        <v>0</v>
      </c>
      <c r="K237" s="100">
        <f t="shared" si="33"/>
        <v>0</v>
      </c>
      <c r="L237" s="95" t="e">
        <f t="shared" si="34"/>
        <v>#DIV/0!</v>
      </c>
      <c r="M237" s="11"/>
    </row>
    <row r="238" spans="1:13" s="3" customFormat="1" ht="14.25" x14ac:dyDescent="0.2">
      <c r="A238" s="129" t="s">
        <v>13</v>
      </c>
      <c r="B238" s="131" t="s">
        <v>7</v>
      </c>
      <c r="C238" s="132"/>
      <c r="D238" s="84">
        <f>'Raw Data_Mod Tests'!N10</f>
        <v>0</v>
      </c>
      <c r="E238" s="57">
        <v>46.2</v>
      </c>
      <c r="F238" s="141">
        <f>'Raw Data_Mod Tests'!$P$2</f>
        <v>-2.7000000000000001E-3</v>
      </c>
      <c r="G238" s="142"/>
      <c r="H238" s="62">
        <f t="shared" si="31"/>
        <v>0</v>
      </c>
      <c r="I238" s="59">
        <f t="shared" si="32"/>
        <v>0</v>
      </c>
      <c r="J238" s="41">
        <f>'Raw Data_Mod Tests'!G10</f>
        <v>0</v>
      </c>
      <c r="K238" s="100">
        <f t="shared" si="33"/>
        <v>0</v>
      </c>
      <c r="L238" s="95" t="e">
        <f t="shared" si="34"/>
        <v>#DIV/0!</v>
      </c>
      <c r="M238" s="11"/>
    </row>
    <row r="239" spans="1:13" s="3" customFormat="1" ht="15" customHeight="1" x14ac:dyDescent="0.2">
      <c r="A239" s="130"/>
      <c r="B239" s="131" t="s">
        <v>8</v>
      </c>
      <c r="C239" s="132"/>
      <c r="D239" s="84">
        <f>'Raw Data_Mod Tests'!N11</f>
        <v>0</v>
      </c>
      <c r="E239" s="57">
        <v>46.2</v>
      </c>
      <c r="F239" s="141">
        <f>'Raw Data_Mod Tests'!$P$2</f>
        <v>-2.7000000000000001E-3</v>
      </c>
      <c r="G239" s="142"/>
      <c r="H239" s="62">
        <f t="shared" si="31"/>
        <v>0</v>
      </c>
      <c r="I239" s="59">
        <f t="shared" si="32"/>
        <v>0</v>
      </c>
      <c r="J239" s="41">
        <f>'Raw Data_Mod Tests'!G11</f>
        <v>0</v>
      </c>
      <c r="K239" s="100">
        <f t="shared" si="33"/>
        <v>0</v>
      </c>
      <c r="L239" s="95" t="e">
        <f t="shared" si="34"/>
        <v>#DIV/0!</v>
      </c>
      <c r="M239" s="11"/>
    </row>
    <row r="240" spans="1:13" s="3" customFormat="1" ht="15" customHeight="1" x14ac:dyDescent="0.2">
      <c r="A240" s="129" t="s">
        <v>14</v>
      </c>
      <c r="B240" s="131" t="s">
        <v>7</v>
      </c>
      <c r="C240" s="132"/>
      <c r="D240" s="84">
        <f>'Raw Data_Mod Tests'!N12</f>
        <v>0</v>
      </c>
      <c r="E240" s="57">
        <v>46.2</v>
      </c>
      <c r="F240" s="141">
        <f>'Raw Data_Mod Tests'!$P$2</f>
        <v>-2.7000000000000001E-3</v>
      </c>
      <c r="G240" s="142"/>
      <c r="H240" s="62">
        <f t="shared" si="31"/>
        <v>0</v>
      </c>
      <c r="I240" s="79">
        <f t="shared" si="32"/>
        <v>0</v>
      </c>
      <c r="J240" s="80">
        <f>'Raw Data_Mod Tests'!G12</f>
        <v>0</v>
      </c>
      <c r="K240" s="100">
        <f t="shared" si="33"/>
        <v>0</v>
      </c>
      <c r="L240" s="95" t="e">
        <f t="shared" si="34"/>
        <v>#DIV/0!</v>
      </c>
      <c r="M240" s="11"/>
    </row>
    <row r="241" spans="1:13" s="3" customFormat="1" ht="15" customHeight="1" x14ac:dyDescent="0.2">
      <c r="A241" s="130"/>
      <c r="B241" s="131" t="s">
        <v>8</v>
      </c>
      <c r="C241" s="132"/>
      <c r="D241" s="84">
        <f>'Raw Data_Mod Tests'!N13</f>
        <v>0</v>
      </c>
      <c r="E241" s="57">
        <v>46.2</v>
      </c>
      <c r="F241" s="141">
        <f>'Raw Data_Mod Tests'!$P$2</f>
        <v>-2.7000000000000001E-3</v>
      </c>
      <c r="G241" s="142"/>
      <c r="H241" s="62">
        <f t="shared" si="31"/>
        <v>0</v>
      </c>
      <c r="I241" s="79">
        <f t="shared" ref="I241" si="35">D241*E241*(1+((F241)*(H241-25)))</f>
        <v>0</v>
      </c>
      <c r="J241" s="80">
        <f>'Raw Data_Mod Tests'!G13</f>
        <v>0</v>
      </c>
      <c r="K241" s="100">
        <f t="shared" si="33"/>
        <v>0</v>
      </c>
      <c r="L241" s="95" t="e">
        <f t="shared" si="34"/>
        <v>#DIV/0!</v>
      </c>
      <c r="M241" s="11"/>
    </row>
    <row r="242" spans="1:13" s="3" customFormat="1" ht="15" customHeight="1" x14ac:dyDescent="0.2">
      <c r="A242" s="32"/>
      <c r="B242" s="32"/>
      <c r="C242" s="32"/>
      <c r="D242" s="32"/>
      <c r="E242" s="32"/>
      <c r="F242" s="32"/>
      <c r="G242" s="32"/>
      <c r="H242" s="11"/>
      <c r="I242" s="11"/>
      <c r="J242" s="11"/>
      <c r="K242" s="11"/>
      <c r="L242" s="69"/>
      <c r="M242" s="11"/>
    </row>
    <row r="243" spans="1:13" s="3" customFormat="1" ht="14.25" x14ac:dyDescent="0.2">
      <c r="A243" s="32"/>
      <c r="B243" s="38"/>
      <c r="C243" s="38"/>
      <c r="D243" s="32"/>
      <c r="E243" s="32"/>
      <c r="F243" s="38"/>
      <c r="G243" s="38"/>
      <c r="H243" s="11"/>
      <c r="I243" s="11"/>
      <c r="J243" s="11"/>
      <c r="K243" s="11"/>
      <c r="L243" s="69"/>
      <c r="M243" s="11"/>
    </row>
    <row r="244" spans="1:13" s="3" customFormat="1" x14ac:dyDescent="0.2">
      <c r="A244" s="136" t="s">
        <v>50</v>
      </c>
      <c r="B244" s="140"/>
      <c r="C244" s="137"/>
      <c r="D244" s="25" t="s">
        <v>52</v>
      </c>
      <c r="E244" s="25" t="s">
        <v>53</v>
      </c>
      <c r="F244" s="154" t="s">
        <v>54</v>
      </c>
      <c r="G244" s="155"/>
      <c r="H244" s="25" t="s">
        <v>55</v>
      </c>
      <c r="I244" s="25" t="s">
        <v>51</v>
      </c>
      <c r="J244" s="58" t="s">
        <v>84</v>
      </c>
      <c r="K244" s="89" t="s">
        <v>100</v>
      </c>
      <c r="L244" s="89" t="s">
        <v>101</v>
      </c>
      <c r="M244" s="11"/>
    </row>
    <row r="245" spans="1:13" s="6" customFormat="1" ht="14.25" x14ac:dyDescent="0.2">
      <c r="A245" s="129" t="s">
        <v>6</v>
      </c>
      <c r="B245" s="131" t="s">
        <v>7</v>
      </c>
      <c r="C245" s="132"/>
      <c r="D245" s="24">
        <f>'Raw Data_Mod Tests'!N14</f>
        <v>0</v>
      </c>
      <c r="E245" s="24">
        <v>46.2</v>
      </c>
      <c r="F245" s="141">
        <f>'Raw Data_Mod Tests'!$P$2</f>
        <v>-2.7000000000000001E-3</v>
      </c>
      <c r="G245" s="142"/>
      <c r="H245" s="62">
        <f t="shared" ref="H245:H255" si="36">I43</f>
        <v>0</v>
      </c>
      <c r="I245" s="59">
        <f t="shared" ref="I245:I255" si="37">D245*E245*(1+((F245)*(H245-25)))</f>
        <v>0</v>
      </c>
      <c r="J245" s="41">
        <f>'Raw Data_Mod Tests'!G14</f>
        <v>0</v>
      </c>
      <c r="K245" s="100">
        <f>95%*I245</f>
        <v>0</v>
      </c>
      <c r="L245" s="95" t="e">
        <f>J245/I245</f>
        <v>#DIV/0!</v>
      </c>
      <c r="M245" s="20"/>
    </row>
    <row r="246" spans="1:13" s="6" customFormat="1" ht="14.25" x14ac:dyDescent="0.2">
      <c r="A246" s="130"/>
      <c r="B246" s="131" t="s">
        <v>8</v>
      </c>
      <c r="C246" s="132"/>
      <c r="D246" s="70">
        <f>'Raw Data_Mod Tests'!N15</f>
        <v>0</v>
      </c>
      <c r="E246" s="4">
        <v>46.2</v>
      </c>
      <c r="F246" s="141">
        <f>'Raw Data_Mod Tests'!$P$2</f>
        <v>-2.7000000000000001E-3</v>
      </c>
      <c r="G246" s="142"/>
      <c r="H246" s="62">
        <f t="shared" si="36"/>
        <v>0</v>
      </c>
      <c r="I246" s="59">
        <f t="shared" si="37"/>
        <v>0</v>
      </c>
      <c r="J246" s="41">
        <f>'Raw Data_Mod Tests'!G15</f>
        <v>0</v>
      </c>
      <c r="K246" s="100">
        <f t="shared" ref="K246:K256" si="38">95%*I246</f>
        <v>0</v>
      </c>
      <c r="L246" s="95" t="e">
        <f t="shared" ref="L246:L256" si="39">J246/I246</f>
        <v>#DIV/0!</v>
      </c>
      <c r="M246" s="20"/>
    </row>
    <row r="247" spans="1:13" s="6" customFormat="1" ht="14.25" x14ac:dyDescent="0.2">
      <c r="A247" s="129" t="s">
        <v>10</v>
      </c>
      <c r="B247" s="131" t="s">
        <v>7</v>
      </c>
      <c r="C247" s="132"/>
      <c r="D247" s="70">
        <f>'Raw Data_Mod Tests'!N16</f>
        <v>0</v>
      </c>
      <c r="E247" s="4">
        <v>46.2</v>
      </c>
      <c r="F247" s="141">
        <f>'Raw Data_Mod Tests'!$P$2</f>
        <v>-2.7000000000000001E-3</v>
      </c>
      <c r="G247" s="142"/>
      <c r="H247" s="62">
        <f t="shared" si="36"/>
        <v>0</v>
      </c>
      <c r="I247" s="59">
        <f t="shared" si="37"/>
        <v>0</v>
      </c>
      <c r="J247" s="41">
        <f>'Raw Data_Mod Tests'!G16</f>
        <v>0</v>
      </c>
      <c r="K247" s="100">
        <f t="shared" si="38"/>
        <v>0</v>
      </c>
      <c r="L247" s="95" t="e">
        <f t="shared" si="39"/>
        <v>#DIV/0!</v>
      </c>
      <c r="M247" s="20"/>
    </row>
    <row r="248" spans="1:13" s="6" customFormat="1" ht="14.25" x14ac:dyDescent="0.2">
      <c r="A248" s="130"/>
      <c r="B248" s="131" t="s">
        <v>8</v>
      </c>
      <c r="C248" s="132"/>
      <c r="D248" s="70">
        <f>'Raw Data_Mod Tests'!N17</f>
        <v>0</v>
      </c>
      <c r="E248" s="4">
        <v>46.2</v>
      </c>
      <c r="F248" s="141">
        <f>'Raw Data_Mod Tests'!$P$2</f>
        <v>-2.7000000000000001E-3</v>
      </c>
      <c r="G248" s="142"/>
      <c r="H248" s="62">
        <f t="shared" si="36"/>
        <v>0</v>
      </c>
      <c r="I248" s="59">
        <f t="shared" si="37"/>
        <v>0</v>
      </c>
      <c r="J248" s="41">
        <f>'Raw Data_Mod Tests'!G17</f>
        <v>0</v>
      </c>
      <c r="K248" s="100">
        <f t="shared" si="38"/>
        <v>0</v>
      </c>
      <c r="L248" s="95" t="e">
        <f t="shared" si="39"/>
        <v>#DIV/0!</v>
      </c>
      <c r="M248" s="20"/>
    </row>
    <row r="249" spans="1:13" s="6" customFormat="1" ht="14.25" x14ac:dyDescent="0.2">
      <c r="A249" s="129" t="s">
        <v>11</v>
      </c>
      <c r="B249" s="131" t="s">
        <v>7</v>
      </c>
      <c r="C249" s="132"/>
      <c r="D249" s="70">
        <f>'Raw Data_Mod Tests'!N18</f>
        <v>0</v>
      </c>
      <c r="E249" s="4">
        <v>46.2</v>
      </c>
      <c r="F249" s="141">
        <f>'Raw Data_Mod Tests'!$P$2</f>
        <v>-2.7000000000000001E-3</v>
      </c>
      <c r="G249" s="142"/>
      <c r="H249" s="62">
        <f t="shared" si="36"/>
        <v>0</v>
      </c>
      <c r="I249" s="59">
        <f t="shared" si="37"/>
        <v>0</v>
      </c>
      <c r="J249" s="41">
        <f>'Raw Data_Mod Tests'!G18</f>
        <v>0</v>
      </c>
      <c r="K249" s="100">
        <f t="shared" si="38"/>
        <v>0</v>
      </c>
      <c r="L249" s="95" t="e">
        <f t="shared" si="39"/>
        <v>#DIV/0!</v>
      </c>
      <c r="M249" s="20"/>
    </row>
    <row r="250" spans="1:13" s="6" customFormat="1" ht="14.25" x14ac:dyDescent="0.2">
      <c r="A250" s="130"/>
      <c r="B250" s="131" t="s">
        <v>8</v>
      </c>
      <c r="C250" s="132"/>
      <c r="D250" s="70">
        <f>'Raw Data_Mod Tests'!N19</f>
        <v>0</v>
      </c>
      <c r="E250" s="4">
        <v>46.2</v>
      </c>
      <c r="F250" s="141">
        <f>'Raw Data_Mod Tests'!$P$2</f>
        <v>-2.7000000000000001E-3</v>
      </c>
      <c r="G250" s="142"/>
      <c r="H250" s="62">
        <f t="shared" si="36"/>
        <v>0</v>
      </c>
      <c r="I250" s="59">
        <f t="shared" si="37"/>
        <v>0</v>
      </c>
      <c r="J250" s="41">
        <f>'Raw Data_Mod Tests'!G19</f>
        <v>0</v>
      </c>
      <c r="K250" s="100">
        <f t="shared" si="38"/>
        <v>0</v>
      </c>
      <c r="L250" s="95" t="e">
        <f t="shared" si="39"/>
        <v>#DIV/0!</v>
      </c>
      <c r="M250" s="20"/>
    </row>
    <row r="251" spans="1:13" s="6" customFormat="1" ht="14.25" x14ac:dyDescent="0.2">
      <c r="A251" s="129" t="s">
        <v>12</v>
      </c>
      <c r="B251" s="131" t="s">
        <v>7</v>
      </c>
      <c r="C251" s="132"/>
      <c r="D251" s="70">
        <f>'Raw Data_Mod Tests'!N20</f>
        <v>0</v>
      </c>
      <c r="E251" s="4">
        <v>46.2</v>
      </c>
      <c r="F251" s="141">
        <f>'Raw Data_Mod Tests'!$P$2</f>
        <v>-2.7000000000000001E-3</v>
      </c>
      <c r="G251" s="142"/>
      <c r="H251" s="62">
        <f t="shared" si="36"/>
        <v>0</v>
      </c>
      <c r="I251" s="59">
        <f t="shared" si="37"/>
        <v>0</v>
      </c>
      <c r="J251" s="41">
        <f>'Raw Data_Mod Tests'!G20</f>
        <v>0</v>
      </c>
      <c r="K251" s="100">
        <f t="shared" si="38"/>
        <v>0</v>
      </c>
      <c r="L251" s="95" t="e">
        <f t="shared" si="39"/>
        <v>#DIV/0!</v>
      </c>
      <c r="M251" s="20"/>
    </row>
    <row r="252" spans="1:13" s="6" customFormat="1" ht="14.25" x14ac:dyDescent="0.2">
      <c r="A252" s="130"/>
      <c r="B252" s="131" t="s">
        <v>8</v>
      </c>
      <c r="C252" s="132"/>
      <c r="D252" s="70">
        <f>'Raw Data_Mod Tests'!N21</f>
        <v>0</v>
      </c>
      <c r="E252" s="4">
        <v>46.2</v>
      </c>
      <c r="F252" s="141">
        <f>'Raw Data_Mod Tests'!$P$2</f>
        <v>-2.7000000000000001E-3</v>
      </c>
      <c r="G252" s="142"/>
      <c r="H252" s="62">
        <f t="shared" si="36"/>
        <v>0</v>
      </c>
      <c r="I252" s="59">
        <f t="shared" si="37"/>
        <v>0</v>
      </c>
      <c r="J252" s="41">
        <f>'Raw Data_Mod Tests'!G21</f>
        <v>0</v>
      </c>
      <c r="K252" s="100">
        <f t="shared" si="38"/>
        <v>0</v>
      </c>
      <c r="L252" s="95" t="e">
        <f t="shared" si="39"/>
        <v>#DIV/0!</v>
      </c>
      <c r="M252" s="20"/>
    </row>
    <row r="253" spans="1:13" s="6" customFormat="1" ht="15" customHeight="1" x14ac:dyDescent="0.2">
      <c r="A253" s="129" t="s">
        <v>13</v>
      </c>
      <c r="B253" s="131" t="s">
        <v>7</v>
      </c>
      <c r="C253" s="132"/>
      <c r="D253" s="70">
        <f>'Raw Data_Mod Tests'!N22</f>
        <v>0</v>
      </c>
      <c r="E253" s="4">
        <v>46.2</v>
      </c>
      <c r="F253" s="141">
        <f>'Raw Data_Mod Tests'!$P$2</f>
        <v>-2.7000000000000001E-3</v>
      </c>
      <c r="G253" s="142"/>
      <c r="H253" s="62">
        <f t="shared" si="36"/>
        <v>0</v>
      </c>
      <c r="I253" s="59">
        <f t="shared" si="37"/>
        <v>0</v>
      </c>
      <c r="J253" s="41">
        <f>'Raw Data_Mod Tests'!G22</f>
        <v>0</v>
      </c>
      <c r="K253" s="100">
        <f t="shared" si="38"/>
        <v>0</v>
      </c>
      <c r="L253" s="95" t="e">
        <f t="shared" si="39"/>
        <v>#DIV/0!</v>
      </c>
      <c r="M253" s="20"/>
    </row>
    <row r="254" spans="1:13" s="6" customFormat="1" ht="15" customHeight="1" x14ac:dyDescent="0.2">
      <c r="A254" s="130"/>
      <c r="B254" s="131" t="s">
        <v>8</v>
      </c>
      <c r="C254" s="132"/>
      <c r="D254" s="70">
        <f>'Raw Data_Mod Tests'!N23</f>
        <v>0</v>
      </c>
      <c r="E254" s="4">
        <v>46.2</v>
      </c>
      <c r="F254" s="141">
        <f>'Raw Data_Mod Tests'!$P$2</f>
        <v>-2.7000000000000001E-3</v>
      </c>
      <c r="G254" s="142"/>
      <c r="H254" s="62">
        <f t="shared" si="36"/>
        <v>0</v>
      </c>
      <c r="I254" s="59">
        <f t="shared" si="37"/>
        <v>0</v>
      </c>
      <c r="J254" s="41">
        <f>'Raw Data_Mod Tests'!G23</f>
        <v>0</v>
      </c>
      <c r="K254" s="100">
        <f t="shared" si="38"/>
        <v>0</v>
      </c>
      <c r="L254" s="95" t="e">
        <f t="shared" si="39"/>
        <v>#DIV/0!</v>
      </c>
      <c r="M254" s="20"/>
    </row>
    <row r="255" spans="1:13" s="6" customFormat="1" ht="15" customHeight="1" x14ac:dyDescent="0.2">
      <c r="A255" s="129" t="s">
        <v>14</v>
      </c>
      <c r="B255" s="131" t="s">
        <v>7</v>
      </c>
      <c r="C255" s="132"/>
      <c r="D255" s="70">
        <f>'Raw Data_Mod Tests'!N24</f>
        <v>0</v>
      </c>
      <c r="E255" s="4">
        <v>46.2</v>
      </c>
      <c r="F255" s="141">
        <f>'Raw Data_Mod Tests'!$P$2</f>
        <v>-2.7000000000000001E-3</v>
      </c>
      <c r="G255" s="142"/>
      <c r="H255" s="62">
        <f t="shared" si="36"/>
        <v>0</v>
      </c>
      <c r="I255" s="59">
        <f t="shared" si="37"/>
        <v>0</v>
      </c>
      <c r="J255" s="41">
        <f>'Raw Data_Mod Tests'!G24</f>
        <v>0</v>
      </c>
      <c r="K255" s="100">
        <f t="shared" si="38"/>
        <v>0</v>
      </c>
      <c r="L255" s="95" t="e">
        <f t="shared" si="39"/>
        <v>#DIV/0!</v>
      </c>
      <c r="M255" s="20"/>
    </row>
    <row r="256" spans="1:13" s="6" customFormat="1" ht="15" customHeight="1" x14ac:dyDescent="0.2">
      <c r="A256" s="130"/>
      <c r="B256" s="131" t="s">
        <v>8</v>
      </c>
      <c r="C256" s="132"/>
      <c r="D256" s="87">
        <f>'Raw Data_Mod Tests'!N25</f>
        <v>0</v>
      </c>
      <c r="E256" s="4">
        <v>46.2</v>
      </c>
      <c r="F256" s="141">
        <f>'Raw Data_Mod Tests'!$P$2</f>
        <v>-2.7000000000000001E-3</v>
      </c>
      <c r="G256" s="142"/>
      <c r="H256" s="62">
        <f t="shared" ref="H256" si="40">I54</f>
        <v>0</v>
      </c>
      <c r="I256" s="59">
        <f t="shared" ref="I256" si="41">D256*E256*(1+((F256)*(H256-25)))</f>
        <v>0</v>
      </c>
      <c r="J256" s="41">
        <f>'Raw Data_Mod Tests'!G25</f>
        <v>0</v>
      </c>
      <c r="K256" s="100">
        <f t="shared" si="38"/>
        <v>0</v>
      </c>
      <c r="L256" s="95" t="e">
        <f t="shared" si="39"/>
        <v>#DIV/0!</v>
      </c>
      <c r="M256" s="20"/>
    </row>
    <row r="257" spans="1:13" s="3" customFormat="1" ht="15" customHeight="1" x14ac:dyDescent="0.2">
      <c r="A257" s="34"/>
      <c r="B257" s="34"/>
      <c r="C257" s="34"/>
      <c r="D257" s="34"/>
      <c r="E257" s="34"/>
      <c r="F257" s="11"/>
      <c r="G257" s="11"/>
      <c r="H257" s="11"/>
      <c r="I257" s="11"/>
      <c r="J257" s="11"/>
      <c r="K257" s="11"/>
      <c r="L257" s="69"/>
      <c r="M257" s="11"/>
    </row>
    <row r="258" spans="1:13" s="3" customFormat="1" ht="14.25" x14ac:dyDescent="0.2">
      <c r="A258" s="34"/>
      <c r="B258" s="38"/>
      <c r="C258" s="38"/>
      <c r="D258" s="34"/>
      <c r="E258" s="34"/>
      <c r="F258" s="38"/>
      <c r="G258" s="38"/>
      <c r="H258" s="11"/>
      <c r="I258" s="11"/>
      <c r="J258" s="11"/>
      <c r="K258" s="11"/>
      <c r="L258" s="69"/>
      <c r="M258" s="11"/>
    </row>
    <row r="259" spans="1:13" s="3" customFormat="1" x14ac:dyDescent="0.2">
      <c r="A259" s="136" t="s">
        <v>66</v>
      </c>
      <c r="B259" s="140"/>
      <c r="C259" s="137"/>
      <c r="D259" s="37" t="s">
        <v>52</v>
      </c>
      <c r="E259" s="37" t="s">
        <v>53</v>
      </c>
      <c r="F259" s="154" t="s">
        <v>54</v>
      </c>
      <c r="G259" s="155"/>
      <c r="H259" s="37" t="s">
        <v>55</v>
      </c>
      <c r="I259" s="37" t="s">
        <v>51</v>
      </c>
      <c r="J259" s="58" t="s">
        <v>84</v>
      </c>
      <c r="K259" s="89" t="s">
        <v>100</v>
      </c>
      <c r="L259" s="89" t="s">
        <v>101</v>
      </c>
      <c r="M259" s="11"/>
    </row>
    <row r="260" spans="1:13" s="6" customFormat="1" ht="14.25" x14ac:dyDescent="0.2">
      <c r="A260" s="129" t="s">
        <v>6</v>
      </c>
      <c r="B260" s="131" t="s">
        <v>7</v>
      </c>
      <c r="C260" s="132"/>
      <c r="D260" s="36">
        <f>'Raw Data_Mod Tests'!N26</f>
        <v>0</v>
      </c>
      <c r="E260" s="36">
        <v>46.2</v>
      </c>
      <c r="F260" s="141">
        <f>'Raw Data_Mod Tests'!$P$2</f>
        <v>-2.7000000000000001E-3</v>
      </c>
      <c r="G260" s="142"/>
      <c r="H260" s="62">
        <f t="shared" ref="H260:H270" si="42">I58</f>
        <v>0</v>
      </c>
      <c r="I260" s="59">
        <f t="shared" ref="I260:I270" si="43">D260*E260*(1+((F260)*(H260-25)))</f>
        <v>0</v>
      </c>
      <c r="J260" s="41">
        <f>'Raw Data_Mod Tests'!G26</f>
        <v>0</v>
      </c>
      <c r="K260" s="100">
        <f>95%*I260</f>
        <v>0</v>
      </c>
      <c r="L260" s="95" t="e">
        <f>J260/I260</f>
        <v>#DIV/0!</v>
      </c>
      <c r="M260" s="20"/>
    </row>
    <row r="261" spans="1:13" s="6" customFormat="1" ht="14.25" x14ac:dyDescent="0.2">
      <c r="A261" s="130"/>
      <c r="B261" s="131" t="s">
        <v>8</v>
      </c>
      <c r="C261" s="132"/>
      <c r="D261" s="70">
        <f>'Raw Data_Mod Tests'!N27</f>
        <v>0</v>
      </c>
      <c r="E261" s="4">
        <v>46.2</v>
      </c>
      <c r="F261" s="141">
        <f>'Raw Data_Mod Tests'!$P$2</f>
        <v>-2.7000000000000001E-3</v>
      </c>
      <c r="G261" s="142"/>
      <c r="H261" s="62">
        <f t="shared" si="42"/>
        <v>0</v>
      </c>
      <c r="I261" s="59">
        <f t="shared" si="43"/>
        <v>0</v>
      </c>
      <c r="J261" s="41">
        <f>'Raw Data_Mod Tests'!G27</f>
        <v>0</v>
      </c>
      <c r="K261" s="100">
        <f t="shared" ref="K261:K271" si="44">95%*I261</f>
        <v>0</v>
      </c>
      <c r="L261" s="95" t="e">
        <f t="shared" ref="L261:L271" si="45">J261/I261</f>
        <v>#DIV/0!</v>
      </c>
      <c r="M261" s="20"/>
    </row>
    <row r="262" spans="1:13" s="6" customFormat="1" ht="14.25" x14ac:dyDescent="0.2">
      <c r="A262" s="129" t="s">
        <v>10</v>
      </c>
      <c r="B262" s="131" t="s">
        <v>7</v>
      </c>
      <c r="C262" s="132"/>
      <c r="D262" s="70">
        <f>'Raw Data_Mod Tests'!N28</f>
        <v>0</v>
      </c>
      <c r="E262" s="4">
        <v>46.2</v>
      </c>
      <c r="F262" s="141">
        <f>'Raw Data_Mod Tests'!$P$2</f>
        <v>-2.7000000000000001E-3</v>
      </c>
      <c r="G262" s="142"/>
      <c r="H262" s="62">
        <f t="shared" si="42"/>
        <v>0</v>
      </c>
      <c r="I262" s="59">
        <f t="shared" si="43"/>
        <v>0</v>
      </c>
      <c r="J262" s="41">
        <f>'Raw Data_Mod Tests'!G28</f>
        <v>0</v>
      </c>
      <c r="K262" s="100">
        <f t="shared" si="44"/>
        <v>0</v>
      </c>
      <c r="L262" s="95" t="e">
        <f t="shared" si="45"/>
        <v>#DIV/0!</v>
      </c>
      <c r="M262" s="20"/>
    </row>
    <row r="263" spans="1:13" s="6" customFormat="1" ht="14.25" x14ac:dyDescent="0.2">
      <c r="A263" s="130"/>
      <c r="B263" s="131" t="s">
        <v>8</v>
      </c>
      <c r="C263" s="132"/>
      <c r="D263" s="70">
        <f>'Raw Data_Mod Tests'!N29</f>
        <v>0</v>
      </c>
      <c r="E263" s="4">
        <v>46.2</v>
      </c>
      <c r="F263" s="141">
        <f>'Raw Data_Mod Tests'!$P$2</f>
        <v>-2.7000000000000001E-3</v>
      </c>
      <c r="G263" s="142"/>
      <c r="H263" s="62">
        <f t="shared" si="42"/>
        <v>0</v>
      </c>
      <c r="I263" s="59">
        <f t="shared" si="43"/>
        <v>0</v>
      </c>
      <c r="J263" s="41">
        <f>'Raw Data_Mod Tests'!G29</f>
        <v>0</v>
      </c>
      <c r="K263" s="100">
        <f t="shared" si="44"/>
        <v>0</v>
      </c>
      <c r="L263" s="95" t="e">
        <f t="shared" si="45"/>
        <v>#DIV/0!</v>
      </c>
      <c r="M263" s="20"/>
    </row>
    <row r="264" spans="1:13" s="6" customFormat="1" ht="14.25" x14ac:dyDescent="0.2">
      <c r="A264" s="129" t="s">
        <v>11</v>
      </c>
      <c r="B264" s="131" t="s">
        <v>7</v>
      </c>
      <c r="C264" s="132"/>
      <c r="D264" s="70">
        <f>'Raw Data_Mod Tests'!N30</f>
        <v>0</v>
      </c>
      <c r="E264" s="4">
        <v>46.2</v>
      </c>
      <c r="F264" s="141">
        <f>'Raw Data_Mod Tests'!$P$2</f>
        <v>-2.7000000000000001E-3</v>
      </c>
      <c r="G264" s="142"/>
      <c r="H264" s="62">
        <f t="shared" si="42"/>
        <v>0</v>
      </c>
      <c r="I264" s="59">
        <f t="shared" si="43"/>
        <v>0</v>
      </c>
      <c r="J264" s="41">
        <f>'Raw Data_Mod Tests'!G30</f>
        <v>0</v>
      </c>
      <c r="K264" s="100">
        <f t="shared" si="44"/>
        <v>0</v>
      </c>
      <c r="L264" s="95" t="e">
        <f t="shared" si="45"/>
        <v>#DIV/0!</v>
      </c>
      <c r="M264" s="20"/>
    </row>
    <row r="265" spans="1:13" s="6" customFormat="1" ht="14.25" x14ac:dyDescent="0.2">
      <c r="A265" s="130"/>
      <c r="B265" s="131" t="s">
        <v>8</v>
      </c>
      <c r="C265" s="132"/>
      <c r="D265" s="70">
        <f>'Raw Data_Mod Tests'!N31</f>
        <v>0</v>
      </c>
      <c r="E265" s="4">
        <v>46.2</v>
      </c>
      <c r="F265" s="141">
        <f>'Raw Data_Mod Tests'!$P$2</f>
        <v>-2.7000000000000001E-3</v>
      </c>
      <c r="G265" s="142"/>
      <c r="H265" s="62">
        <f t="shared" si="42"/>
        <v>0</v>
      </c>
      <c r="I265" s="59">
        <f t="shared" si="43"/>
        <v>0</v>
      </c>
      <c r="J265" s="41">
        <f>'Raw Data_Mod Tests'!G31</f>
        <v>0</v>
      </c>
      <c r="K265" s="100">
        <f t="shared" si="44"/>
        <v>0</v>
      </c>
      <c r="L265" s="95" t="e">
        <f t="shared" si="45"/>
        <v>#DIV/0!</v>
      </c>
      <c r="M265" s="20"/>
    </row>
    <row r="266" spans="1:13" s="6" customFormat="1" ht="14.25" x14ac:dyDescent="0.2">
      <c r="A266" s="129" t="s">
        <v>12</v>
      </c>
      <c r="B266" s="131" t="s">
        <v>7</v>
      </c>
      <c r="C266" s="132"/>
      <c r="D266" s="70">
        <f>'Raw Data_Mod Tests'!N32</f>
        <v>0</v>
      </c>
      <c r="E266" s="4">
        <v>46.2</v>
      </c>
      <c r="F266" s="141">
        <f>'Raw Data_Mod Tests'!$P$2</f>
        <v>-2.7000000000000001E-3</v>
      </c>
      <c r="G266" s="142"/>
      <c r="H266" s="62">
        <f t="shared" si="42"/>
        <v>0</v>
      </c>
      <c r="I266" s="59">
        <f t="shared" si="43"/>
        <v>0</v>
      </c>
      <c r="J266" s="41">
        <f>'Raw Data_Mod Tests'!G32</f>
        <v>0</v>
      </c>
      <c r="K266" s="100">
        <f t="shared" si="44"/>
        <v>0</v>
      </c>
      <c r="L266" s="95" t="e">
        <f t="shared" si="45"/>
        <v>#DIV/0!</v>
      </c>
      <c r="M266" s="20"/>
    </row>
    <row r="267" spans="1:13" s="6" customFormat="1" ht="14.25" x14ac:dyDescent="0.2">
      <c r="A267" s="130"/>
      <c r="B267" s="131" t="s">
        <v>8</v>
      </c>
      <c r="C267" s="132"/>
      <c r="D267" s="70">
        <f>'Raw Data_Mod Tests'!N33</f>
        <v>0</v>
      </c>
      <c r="E267" s="4">
        <v>46.2</v>
      </c>
      <c r="F267" s="141">
        <f>'Raw Data_Mod Tests'!$P$2</f>
        <v>-2.7000000000000001E-3</v>
      </c>
      <c r="G267" s="142"/>
      <c r="H267" s="62">
        <f t="shared" si="42"/>
        <v>0</v>
      </c>
      <c r="I267" s="59">
        <f t="shared" si="43"/>
        <v>0</v>
      </c>
      <c r="J267" s="41">
        <f>'Raw Data_Mod Tests'!G33</f>
        <v>0</v>
      </c>
      <c r="K267" s="100">
        <f t="shared" si="44"/>
        <v>0</v>
      </c>
      <c r="L267" s="95" t="e">
        <f t="shared" si="45"/>
        <v>#DIV/0!</v>
      </c>
      <c r="M267" s="20"/>
    </row>
    <row r="268" spans="1:13" s="6" customFormat="1" ht="15" customHeight="1" x14ac:dyDescent="0.2">
      <c r="A268" s="129" t="s">
        <v>13</v>
      </c>
      <c r="B268" s="131" t="s">
        <v>7</v>
      </c>
      <c r="C268" s="132"/>
      <c r="D268" s="70">
        <f>'Raw Data_Mod Tests'!N34</f>
        <v>0</v>
      </c>
      <c r="E268" s="4">
        <v>46.2</v>
      </c>
      <c r="F268" s="141">
        <f>'Raw Data_Mod Tests'!$P$2</f>
        <v>-2.7000000000000001E-3</v>
      </c>
      <c r="G268" s="142"/>
      <c r="H268" s="62">
        <f t="shared" si="42"/>
        <v>0</v>
      </c>
      <c r="I268" s="59">
        <f t="shared" si="43"/>
        <v>0</v>
      </c>
      <c r="J268" s="41">
        <f>'Raw Data_Mod Tests'!G34</f>
        <v>0</v>
      </c>
      <c r="K268" s="100">
        <f t="shared" si="44"/>
        <v>0</v>
      </c>
      <c r="L268" s="95" t="e">
        <f t="shared" si="45"/>
        <v>#DIV/0!</v>
      </c>
      <c r="M268" s="20"/>
    </row>
    <row r="269" spans="1:13" s="6" customFormat="1" ht="15" customHeight="1" x14ac:dyDescent="0.2">
      <c r="A269" s="130"/>
      <c r="B269" s="131" t="s">
        <v>8</v>
      </c>
      <c r="C269" s="132"/>
      <c r="D269" s="70">
        <f>'Raw Data_Mod Tests'!N35</f>
        <v>0</v>
      </c>
      <c r="E269" s="4">
        <v>46.2</v>
      </c>
      <c r="F269" s="141">
        <f>'Raw Data_Mod Tests'!$P$2</f>
        <v>-2.7000000000000001E-3</v>
      </c>
      <c r="G269" s="142"/>
      <c r="H269" s="62">
        <f t="shared" si="42"/>
        <v>0</v>
      </c>
      <c r="I269" s="59">
        <f t="shared" si="43"/>
        <v>0</v>
      </c>
      <c r="J269" s="41">
        <f>'Raw Data_Mod Tests'!G35</f>
        <v>0</v>
      </c>
      <c r="K269" s="100">
        <f t="shared" si="44"/>
        <v>0</v>
      </c>
      <c r="L269" s="95" t="e">
        <f t="shared" si="45"/>
        <v>#DIV/0!</v>
      </c>
      <c r="M269" s="20"/>
    </row>
    <row r="270" spans="1:13" s="6" customFormat="1" ht="15" customHeight="1" x14ac:dyDescent="0.2">
      <c r="A270" s="129" t="s">
        <v>14</v>
      </c>
      <c r="B270" s="131" t="s">
        <v>7</v>
      </c>
      <c r="C270" s="132"/>
      <c r="D270" s="70">
        <f>'Raw Data_Mod Tests'!N36</f>
        <v>0</v>
      </c>
      <c r="E270" s="4">
        <v>46.2</v>
      </c>
      <c r="F270" s="141">
        <f>'Raw Data_Mod Tests'!$P$2</f>
        <v>-2.7000000000000001E-3</v>
      </c>
      <c r="G270" s="142"/>
      <c r="H270" s="62">
        <f t="shared" si="42"/>
        <v>0</v>
      </c>
      <c r="I270" s="59">
        <f t="shared" si="43"/>
        <v>0</v>
      </c>
      <c r="J270" s="41">
        <f>'Raw Data_Mod Tests'!G36</f>
        <v>0</v>
      </c>
      <c r="K270" s="100">
        <f t="shared" si="44"/>
        <v>0</v>
      </c>
      <c r="L270" s="95" t="e">
        <f t="shared" si="45"/>
        <v>#DIV/0!</v>
      </c>
      <c r="M270" s="20"/>
    </row>
    <row r="271" spans="1:13" s="6" customFormat="1" ht="15" customHeight="1" x14ac:dyDescent="0.2">
      <c r="A271" s="130"/>
      <c r="B271" s="131" t="s">
        <v>8</v>
      </c>
      <c r="C271" s="132"/>
      <c r="D271" s="70">
        <f>'Raw Data_Mod Tests'!N37</f>
        <v>0</v>
      </c>
      <c r="E271" s="4">
        <v>46.2</v>
      </c>
      <c r="F271" s="141">
        <f>'Raw Data_Mod Tests'!$P$2</f>
        <v>-2.7000000000000001E-3</v>
      </c>
      <c r="G271" s="142"/>
      <c r="H271" s="62">
        <f t="shared" ref="H271" si="46">I69</f>
        <v>0</v>
      </c>
      <c r="I271" s="59">
        <f t="shared" ref="I271" si="47">D271*E271*(1+((F271)*(H271-25)))</f>
        <v>0</v>
      </c>
      <c r="J271" s="41">
        <f>'Raw Data_Mod Tests'!G37</f>
        <v>0</v>
      </c>
      <c r="K271" s="100">
        <f t="shared" si="44"/>
        <v>0</v>
      </c>
      <c r="L271" s="95" t="e">
        <f t="shared" si="45"/>
        <v>#DIV/0!</v>
      </c>
      <c r="M271" s="20"/>
    </row>
    <row r="272" spans="1:13" s="3" customFormat="1" ht="15" customHeight="1" x14ac:dyDescent="0.2">
      <c r="A272" s="34"/>
      <c r="B272" s="34"/>
      <c r="C272" s="34"/>
      <c r="D272" s="34"/>
      <c r="E272" s="34"/>
      <c r="F272" s="34"/>
      <c r="G272" s="34"/>
      <c r="H272" s="11"/>
      <c r="I272" s="11"/>
      <c r="J272" s="11"/>
      <c r="K272" s="11"/>
      <c r="L272" s="69"/>
      <c r="M272" s="11"/>
    </row>
    <row r="273" spans="1:13" s="3" customFormat="1" ht="14.25" x14ac:dyDescent="0.2">
      <c r="A273" s="34"/>
      <c r="B273" s="38"/>
      <c r="C273" s="38"/>
      <c r="D273" s="34"/>
      <c r="E273" s="34"/>
      <c r="F273" s="38"/>
      <c r="G273" s="38"/>
      <c r="H273" s="11"/>
      <c r="I273" s="11"/>
      <c r="J273" s="11"/>
      <c r="K273" s="11"/>
      <c r="L273" s="69"/>
      <c r="M273" s="11"/>
    </row>
    <row r="274" spans="1:13" s="3" customFormat="1" x14ac:dyDescent="0.2">
      <c r="A274" s="136" t="s">
        <v>67</v>
      </c>
      <c r="B274" s="140"/>
      <c r="C274" s="137"/>
      <c r="D274" s="37" t="s">
        <v>52</v>
      </c>
      <c r="E274" s="37" t="s">
        <v>53</v>
      </c>
      <c r="F274" s="154" t="s">
        <v>54</v>
      </c>
      <c r="G274" s="155"/>
      <c r="H274" s="37" t="s">
        <v>55</v>
      </c>
      <c r="I274" s="37" t="s">
        <v>51</v>
      </c>
      <c r="J274" s="58" t="s">
        <v>84</v>
      </c>
      <c r="K274" s="89" t="s">
        <v>100</v>
      </c>
      <c r="L274" s="89" t="s">
        <v>101</v>
      </c>
      <c r="M274" s="11"/>
    </row>
    <row r="275" spans="1:13" s="6" customFormat="1" ht="14.25" x14ac:dyDescent="0.2">
      <c r="A275" s="129" t="s">
        <v>6</v>
      </c>
      <c r="B275" s="131" t="s">
        <v>7</v>
      </c>
      <c r="C275" s="132"/>
      <c r="D275" s="36">
        <f>'Raw Data_Mod Tests'!N38</f>
        <v>0</v>
      </c>
      <c r="E275" s="36">
        <v>46.2</v>
      </c>
      <c r="F275" s="141">
        <f>'Raw Data_Mod Tests'!$P$2</f>
        <v>-2.7000000000000001E-3</v>
      </c>
      <c r="G275" s="142"/>
      <c r="H275" s="62">
        <f t="shared" ref="H275:H285" si="48">I73</f>
        <v>0</v>
      </c>
      <c r="I275" s="59">
        <f t="shared" ref="I275:I285" si="49">D275*E275*(1+((F275)*(H275-25)))</f>
        <v>0</v>
      </c>
      <c r="J275" s="41">
        <f>'Raw Data_Mod Tests'!G38</f>
        <v>0</v>
      </c>
      <c r="K275" s="100">
        <f>95%*I275</f>
        <v>0</v>
      </c>
      <c r="L275" s="95" t="e">
        <f>J275/I275</f>
        <v>#DIV/0!</v>
      </c>
      <c r="M275" s="20"/>
    </row>
    <row r="276" spans="1:13" s="6" customFormat="1" ht="14.25" x14ac:dyDescent="0.2">
      <c r="A276" s="130"/>
      <c r="B276" s="131" t="s">
        <v>8</v>
      </c>
      <c r="C276" s="132"/>
      <c r="D276" s="70">
        <f>'Raw Data_Mod Tests'!N39</f>
        <v>0</v>
      </c>
      <c r="E276" s="4">
        <v>46.2</v>
      </c>
      <c r="F276" s="141">
        <f>'Raw Data_Mod Tests'!$P$2</f>
        <v>-2.7000000000000001E-3</v>
      </c>
      <c r="G276" s="142"/>
      <c r="H276" s="62">
        <f t="shared" si="48"/>
        <v>0</v>
      </c>
      <c r="I276" s="59">
        <f t="shared" si="49"/>
        <v>0</v>
      </c>
      <c r="J276" s="41">
        <f>'Raw Data_Mod Tests'!G39</f>
        <v>0</v>
      </c>
      <c r="K276" s="100">
        <f t="shared" ref="K276:K286" si="50">95%*I276</f>
        <v>0</v>
      </c>
      <c r="L276" s="95" t="e">
        <f t="shared" ref="L276:L286" si="51">J276/I276</f>
        <v>#DIV/0!</v>
      </c>
      <c r="M276" s="20"/>
    </row>
    <row r="277" spans="1:13" s="6" customFormat="1" ht="14.25" x14ac:dyDescent="0.2">
      <c r="A277" s="129" t="s">
        <v>10</v>
      </c>
      <c r="B277" s="131" t="s">
        <v>7</v>
      </c>
      <c r="C277" s="132"/>
      <c r="D277" s="70">
        <f>'Raw Data_Mod Tests'!N40</f>
        <v>0</v>
      </c>
      <c r="E277" s="4">
        <v>46.2</v>
      </c>
      <c r="F277" s="141">
        <f>'Raw Data_Mod Tests'!$P$2</f>
        <v>-2.7000000000000001E-3</v>
      </c>
      <c r="G277" s="142"/>
      <c r="H277" s="62">
        <f t="shared" si="48"/>
        <v>0</v>
      </c>
      <c r="I277" s="59">
        <f t="shared" si="49"/>
        <v>0</v>
      </c>
      <c r="J277" s="41">
        <f>'Raw Data_Mod Tests'!G40</f>
        <v>0</v>
      </c>
      <c r="K277" s="100">
        <f t="shared" si="50"/>
        <v>0</v>
      </c>
      <c r="L277" s="95" t="e">
        <f t="shared" si="51"/>
        <v>#DIV/0!</v>
      </c>
      <c r="M277" s="20"/>
    </row>
    <row r="278" spans="1:13" s="6" customFormat="1" ht="14.25" x14ac:dyDescent="0.2">
      <c r="A278" s="130"/>
      <c r="B278" s="131" t="s">
        <v>8</v>
      </c>
      <c r="C278" s="132"/>
      <c r="D278" s="70">
        <f>'Raw Data_Mod Tests'!N41</f>
        <v>0</v>
      </c>
      <c r="E278" s="4">
        <v>46.2</v>
      </c>
      <c r="F278" s="141">
        <f>'Raw Data_Mod Tests'!$P$2</f>
        <v>-2.7000000000000001E-3</v>
      </c>
      <c r="G278" s="142"/>
      <c r="H278" s="62">
        <f t="shared" si="48"/>
        <v>0</v>
      </c>
      <c r="I278" s="59">
        <f t="shared" si="49"/>
        <v>0</v>
      </c>
      <c r="J278" s="41">
        <f>'Raw Data_Mod Tests'!G41</f>
        <v>0</v>
      </c>
      <c r="K278" s="100">
        <f t="shared" si="50"/>
        <v>0</v>
      </c>
      <c r="L278" s="95" t="e">
        <f t="shared" si="51"/>
        <v>#DIV/0!</v>
      </c>
      <c r="M278" s="20"/>
    </row>
    <row r="279" spans="1:13" s="6" customFormat="1" ht="14.25" x14ac:dyDescent="0.2">
      <c r="A279" s="129" t="s">
        <v>11</v>
      </c>
      <c r="B279" s="131" t="s">
        <v>7</v>
      </c>
      <c r="C279" s="132"/>
      <c r="D279" s="70">
        <f>'Raw Data_Mod Tests'!N42</f>
        <v>0</v>
      </c>
      <c r="E279" s="4">
        <v>46.2</v>
      </c>
      <c r="F279" s="141">
        <f>'Raw Data_Mod Tests'!$P$2</f>
        <v>-2.7000000000000001E-3</v>
      </c>
      <c r="G279" s="142"/>
      <c r="H279" s="62">
        <f t="shared" si="48"/>
        <v>0</v>
      </c>
      <c r="I279" s="59">
        <f t="shared" si="49"/>
        <v>0</v>
      </c>
      <c r="J279" s="41">
        <f>'Raw Data_Mod Tests'!G42</f>
        <v>0</v>
      </c>
      <c r="K279" s="100">
        <f t="shared" si="50"/>
        <v>0</v>
      </c>
      <c r="L279" s="95" t="e">
        <f t="shared" si="51"/>
        <v>#DIV/0!</v>
      </c>
      <c r="M279" s="20"/>
    </row>
    <row r="280" spans="1:13" s="6" customFormat="1" ht="14.25" x14ac:dyDescent="0.2">
      <c r="A280" s="130"/>
      <c r="B280" s="131" t="s">
        <v>8</v>
      </c>
      <c r="C280" s="132"/>
      <c r="D280" s="70">
        <f>'Raw Data_Mod Tests'!N43</f>
        <v>0</v>
      </c>
      <c r="E280" s="4">
        <v>46.2</v>
      </c>
      <c r="F280" s="141">
        <f>'Raw Data_Mod Tests'!$P$2</f>
        <v>-2.7000000000000001E-3</v>
      </c>
      <c r="G280" s="142"/>
      <c r="H280" s="62">
        <f t="shared" si="48"/>
        <v>0</v>
      </c>
      <c r="I280" s="59">
        <f t="shared" si="49"/>
        <v>0</v>
      </c>
      <c r="J280" s="41">
        <f>'Raw Data_Mod Tests'!G43</f>
        <v>0</v>
      </c>
      <c r="K280" s="100">
        <f t="shared" si="50"/>
        <v>0</v>
      </c>
      <c r="L280" s="95" t="e">
        <f t="shared" si="51"/>
        <v>#DIV/0!</v>
      </c>
      <c r="M280" s="20"/>
    </row>
    <row r="281" spans="1:13" s="6" customFormat="1" ht="14.25" x14ac:dyDescent="0.2">
      <c r="A281" s="129" t="s">
        <v>12</v>
      </c>
      <c r="B281" s="131" t="s">
        <v>7</v>
      </c>
      <c r="C281" s="132"/>
      <c r="D281" s="70">
        <f>'Raw Data_Mod Tests'!N44</f>
        <v>0</v>
      </c>
      <c r="E281" s="4">
        <v>46.2</v>
      </c>
      <c r="F281" s="141">
        <f>'Raw Data_Mod Tests'!$P$2</f>
        <v>-2.7000000000000001E-3</v>
      </c>
      <c r="G281" s="142"/>
      <c r="H281" s="62">
        <f t="shared" si="48"/>
        <v>0</v>
      </c>
      <c r="I281" s="59">
        <f t="shared" si="49"/>
        <v>0</v>
      </c>
      <c r="J281" s="41">
        <f>'Raw Data_Mod Tests'!G44</f>
        <v>0</v>
      </c>
      <c r="K281" s="100">
        <f t="shared" si="50"/>
        <v>0</v>
      </c>
      <c r="L281" s="95" t="e">
        <f t="shared" si="51"/>
        <v>#DIV/0!</v>
      </c>
      <c r="M281" s="20"/>
    </row>
    <row r="282" spans="1:13" s="6" customFormat="1" ht="14.25" x14ac:dyDescent="0.2">
      <c r="A282" s="130"/>
      <c r="B282" s="131" t="s">
        <v>8</v>
      </c>
      <c r="C282" s="132"/>
      <c r="D282" s="70">
        <f>'Raw Data_Mod Tests'!N45</f>
        <v>0</v>
      </c>
      <c r="E282" s="4">
        <v>46.2</v>
      </c>
      <c r="F282" s="141">
        <f>'Raw Data_Mod Tests'!$P$2</f>
        <v>-2.7000000000000001E-3</v>
      </c>
      <c r="G282" s="142"/>
      <c r="H282" s="62">
        <f t="shared" si="48"/>
        <v>0</v>
      </c>
      <c r="I282" s="59">
        <f t="shared" si="49"/>
        <v>0</v>
      </c>
      <c r="J282" s="41">
        <f>'Raw Data_Mod Tests'!G45</f>
        <v>0</v>
      </c>
      <c r="K282" s="100">
        <f t="shared" si="50"/>
        <v>0</v>
      </c>
      <c r="L282" s="95" t="e">
        <f t="shared" si="51"/>
        <v>#DIV/0!</v>
      </c>
      <c r="M282" s="20"/>
    </row>
    <row r="283" spans="1:13" s="6" customFormat="1" ht="15" customHeight="1" x14ac:dyDescent="0.2">
      <c r="A283" s="129" t="s">
        <v>13</v>
      </c>
      <c r="B283" s="131" t="s">
        <v>7</v>
      </c>
      <c r="C283" s="132"/>
      <c r="D283" s="70">
        <f>'Raw Data_Mod Tests'!N46</f>
        <v>0</v>
      </c>
      <c r="E283" s="4">
        <v>46.2</v>
      </c>
      <c r="F283" s="141">
        <f>'Raw Data_Mod Tests'!$P$2</f>
        <v>-2.7000000000000001E-3</v>
      </c>
      <c r="G283" s="142"/>
      <c r="H283" s="62">
        <f t="shared" si="48"/>
        <v>0</v>
      </c>
      <c r="I283" s="59">
        <f t="shared" si="49"/>
        <v>0</v>
      </c>
      <c r="J283" s="41">
        <f>'Raw Data_Mod Tests'!G46</f>
        <v>0</v>
      </c>
      <c r="K283" s="100">
        <f t="shared" si="50"/>
        <v>0</v>
      </c>
      <c r="L283" s="95" t="e">
        <f t="shared" si="51"/>
        <v>#DIV/0!</v>
      </c>
      <c r="M283" s="20"/>
    </row>
    <row r="284" spans="1:13" s="6" customFormat="1" ht="15" customHeight="1" x14ac:dyDescent="0.2">
      <c r="A284" s="130"/>
      <c r="B284" s="131" t="s">
        <v>8</v>
      </c>
      <c r="C284" s="132"/>
      <c r="D284" s="70">
        <f>'Raw Data_Mod Tests'!N47</f>
        <v>0</v>
      </c>
      <c r="E284" s="4">
        <v>46.2</v>
      </c>
      <c r="F284" s="141">
        <f>'Raw Data_Mod Tests'!$P$2</f>
        <v>-2.7000000000000001E-3</v>
      </c>
      <c r="G284" s="142"/>
      <c r="H284" s="62">
        <f t="shared" si="48"/>
        <v>0</v>
      </c>
      <c r="I284" s="59">
        <f t="shared" si="49"/>
        <v>0</v>
      </c>
      <c r="J284" s="41">
        <f>'Raw Data_Mod Tests'!G47</f>
        <v>0</v>
      </c>
      <c r="K284" s="100">
        <f t="shared" si="50"/>
        <v>0</v>
      </c>
      <c r="L284" s="95" t="e">
        <f t="shared" si="51"/>
        <v>#DIV/0!</v>
      </c>
      <c r="M284" s="20"/>
    </row>
    <row r="285" spans="1:13" s="6" customFormat="1" ht="15" customHeight="1" x14ac:dyDescent="0.2">
      <c r="A285" s="129" t="s">
        <v>14</v>
      </c>
      <c r="B285" s="131" t="s">
        <v>7</v>
      </c>
      <c r="C285" s="132"/>
      <c r="D285" s="70">
        <f>'Raw Data_Mod Tests'!N48</f>
        <v>0</v>
      </c>
      <c r="E285" s="4">
        <v>46.2</v>
      </c>
      <c r="F285" s="141">
        <f>'Raw Data_Mod Tests'!$P$2</f>
        <v>-2.7000000000000001E-3</v>
      </c>
      <c r="G285" s="142"/>
      <c r="H285" s="62">
        <f t="shared" si="48"/>
        <v>0</v>
      </c>
      <c r="I285" s="59">
        <f t="shared" si="49"/>
        <v>0</v>
      </c>
      <c r="J285" s="41">
        <f>'Raw Data_Mod Tests'!G48</f>
        <v>0</v>
      </c>
      <c r="K285" s="100">
        <f t="shared" si="50"/>
        <v>0</v>
      </c>
      <c r="L285" s="95" t="e">
        <f t="shared" si="51"/>
        <v>#DIV/0!</v>
      </c>
      <c r="M285" s="20"/>
    </row>
    <row r="286" spans="1:13" s="6" customFormat="1" ht="15" customHeight="1" x14ac:dyDescent="0.2">
      <c r="A286" s="130"/>
      <c r="B286" s="131" t="s">
        <v>8</v>
      </c>
      <c r="C286" s="132"/>
      <c r="D286" s="70">
        <f>'Raw Data_Mod Tests'!N49</f>
        <v>0</v>
      </c>
      <c r="E286" s="4">
        <v>46.2</v>
      </c>
      <c r="F286" s="141">
        <f>'Raw Data_Mod Tests'!$P$2</f>
        <v>-2.7000000000000001E-3</v>
      </c>
      <c r="G286" s="142"/>
      <c r="H286" s="62">
        <f t="shared" ref="H286" si="52">I84</f>
        <v>0</v>
      </c>
      <c r="I286" s="59">
        <f t="shared" ref="I286" si="53">D286*E286*(1+((F286)*(H286-25)))</f>
        <v>0</v>
      </c>
      <c r="J286" s="41">
        <f>'Raw Data_Mod Tests'!G49</f>
        <v>0</v>
      </c>
      <c r="K286" s="100">
        <f t="shared" si="50"/>
        <v>0</v>
      </c>
      <c r="L286" s="95" t="e">
        <f t="shared" si="51"/>
        <v>#DIV/0!</v>
      </c>
      <c r="M286" s="20"/>
    </row>
    <row r="287" spans="1:13" s="3" customFormat="1" ht="15" customHeight="1" x14ac:dyDescent="0.2">
      <c r="A287" s="34"/>
      <c r="B287" s="34"/>
      <c r="C287" s="34"/>
      <c r="D287" s="34"/>
      <c r="E287" s="34"/>
      <c r="F287" s="34"/>
      <c r="G287" s="34"/>
      <c r="H287" s="11"/>
      <c r="I287" s="11"/>
      <c r="J287" s="11"/>
      <c r="K287" s="11"/>
      <c r="L287" s="69"/>
      <c r="M287" s="11"/>
    </row>
    <row r="289" spans="1:12" x14ac:dyDescent="0.25">
      <c r="A289" s="136" t="s">
        <v>68</v>
      </c>
      <c r="B289" s="140"/>
      <c r="C289" s="137"/>
      <c r="D289" s="98" t="s">
        <v>52</v>
      </c>
      <c r="E289" s="98" t="s">
        <v>53</v>
      </c>
      <c r="F289" s="154" t="s">
        <v>54</v>
      </c>
      <c r="G289" s="155"/>
      <c r="H289" s="98" t="s">
        <v>55</v>
      </c>
      <c r="I289" s="98" t="s">
        <v>51</v>
      </c>
      <c r="J289" s="98" t="s">
        <v>84</v>
      </c>
      <c r="K289" s="98" t="s">
        <v>100</v>
      </c>
      <c r="L289" s="98" t="s">
        <v>101</v>
      </c>
    </row>
    <row r="290" spans="1:12" x14ac:dyDescent="0.25">
      <c r="A290" s="129" t="s">
        <v>6</v>
      </c>
      <c r="B290" s="131" t="s">
        <v>7</v>
      </c>
      <c r="C290" s="132"/>
      <c r="D290" s="97">
        <f>'Raw Data_Mod Tests'!N50</f>
        <v>0</v>
      </c>
      <c r="E290" s="97">
        <v>46.2</v>
      </c>
      <c r="F290" s="141">
        <f>'Raw Data_Mod Tests'!$P$2</f>
        <v>-2.7000000000000001E-3</v>
      </c>
      <c r="G290" s="142"/>
      <c r="H290" s="62">
        <f>I88</f>
        <v>0</v>
      </c>
      <c r="I290" s="59">
        <f t="shared" ref="I290:I301" si="54">D290*E290*(1+((F290)*(H290-25)))</f>
        <v>0</v>
      </c>
      <c r="J290" s="41">
        <f>'Raw Data_Mod Tests'!G50</f>
        <v>0</v>
      </c>
      <c r="K290" s="100">
        <f>95%*I290</f>
        <v>0</v>
      </c>
      <c r="L290" s="95" t="e">
        <f>J290/I290</f>
        <v>#DIV/0!</v>
      </c>
    </row>
    <row r="291" spans="1:12" x14ac:dyDescent="0.25">
      <c r="A291" s="130"/>
      <c r="B291" s="131" t="s">
        <v>8</v>
      </c>
      <c r="C291" s="132"/>
      <c r="D291" s="97">
        <f>'Raw Data_Mod Tests'!N51</f>
        <v>0</v>
      </c>
      <c r="E291" s="4">
        <v>46.2</v>
      </c>
      <c r="F291" s="141">
        <f>'Raw Data_Mod Tests'!$P$2</f>
        <v>-2.7000000000000001E-3</v>
      </c>
      <c r="G291" s="142"/>
      <c r="H291" s="62">
        <f t="shared" ref="H291:H301" si="55">I89</f>
        <v>0</v>
      </c>
      <c r="I291" s="59">
        <f t="shared" si="54"/>
        <v>0</v>
      </c>
      <c r="J291" s="41">
        <f>'Raw Data_Mod Tests'!G51</f>
        <v>0</v>
      </c>
      <c r="K291" s="100">
        <f t="shared" ref="K291:K301" si="56">95%*I291</f>
        <v>0</v>
      </c>
      <c r="L291" s="95" t="e">
        <f t="shared" ref="L291:L301" si="57">J291/I291</f>
        <v>#DIV/0!</v>
      </c>
    </row>
    <row r="292" spans="1:12" x14ac:dyDescent="0.25">
      <c r="A292" s="129" t="s">
        <v>10</v>
      </c>
      <c r="B292" s="131" t="s">
        <v>7</v>
      </c>
      <c r="C292" s="132"/>
      <c r="D292" s="97">
        <f>'Raw Data_Mod Tests'!N52</f>
        <v>0</v>
      </c>
      <c r="E292" s="4">
        <v>46.2</v>
      </c>
      <c r="F292" s="141">
        <f>'Raw Data_Mod Tests'!$P$2</f>
        <v>-2.7000000000000001E-3</v>
      </c>
      <c r="G292" s="142"/>
      <c r="H292" s="62">
        <f t="shared" si="55"/>
        <v>0</v>
      </c>
      <c r="I292" s="59">
        <f t="shared" si="54"/>
        <v>0</v>
      </c>
      <c r="J292" s="41">
        <f>'Raw Data_Mod Tests'!G52</f>
        <v>0</v>
      </c>
      <c r="K292" s="100">
        <f t="shared" si="56"/>
        <v>0</v>
      </c>
      <c r="L292" s="95" t="e">
        <f t="shared" si="57"/>
        <v>#DIV/0!</v>
      </c>
    </row>
    <row r="293" spans="1:12" x14ac:dyDescent="0.25">
      <c r="A293" s="130"/>
      <c r="B293" s="131" t="s">
        <v>8</v>
      </c>
      <c r="C293" s="132"/>
      <c r="D293" s="97">
        <f>'Raw Data_Mod Tests'!N53</f>
        <v>0</v>
      </c>
      <c r="E293" s="4">
        <v>46.2</v>
      </c>
      <c r="F293" s="141">
        <f>'Raw Data_Mod Tests'!$P$2</f>
        <v>-2.7000000000000001E-3</v>
      </c>
      <c r="G293" s="142"/>
      <c r="H293" s="62">
        <f t="shared" si="55"/>
        <v>0</v>
      </c>
      <c r="I293" s="59">
        <f t="shared" si="54"/>
        <v>0</v>
      </c>
      <c r="J293" s="41">
        <f>'Raw Data_Mod Tests'!G53</f>
        <v>0</v>
      </c>
      <c r="K293" s="100">
        <f t="shared" si="56"/>
        <v>0</v>
      </c>
      <c r="L293" s="95" t="e">
        <f t="shared" si="57"/>
        <v>#DIV/0!</v>
      </c>
    </row>
    <row r="294" spans="1:12" x14ac:dyDescent="0.25">
      <c r="A294" s="129" t="s">
        <v>11</v>
      </c>
      <c r="B294" s="131" t="s">
        <v>7</v>
      </c>
      <c r="C294" s="132"/>
      <c r="D294" s="97">
        <f>'Raw Data_Mod Tests'!N54</f>
        <v>0</v>
      </c>
      <c r="E294" s="4">
        <v>46.2</v>
      </c>
      <c r="F294" s="141">
        <f>'Raw Data_Mod Tests'!$P$2</f>
        <v>-2.7000000000000001E-3</v>
      </c>
      <c r="G294" s="142"/>
      <c r="H294" s="62">
        <f t="shared" si="55"/>
        <v>0</v>
      </c>
      <c r="I294" s="59">
        <f t="shared" si="54"/>
        <v>0</v>
      </c>
      <c r="J294" s="41">
        <f>'Raw Data_Mod Tests'!G54</f>
        <v>0</v>
      </c>
      <c r="K294" s="100">
        <f t="shared" si="56"/>
        <v>0</v>
      </c>
      <c r="L294" s="95" t="e">
        <f t="shared" si="57"/>
        <v>#DIV/0!</v>
      </c>
    </row>
    <row r="295" spans="1:12" x14ac:dyDescent="0.25">
      <c r="A295" s="130"/>
      <c r="B295" s="131" t="s">
        <v>8</v>
      </c>
      <c r="C295" s="132"/>
      <c r="D295" s="97">
        <f>'Raw Data_Mod Tests'!N55</f>
        <v>0</v>
      </c>
      <c r="E295" s="4">
        <v>46.2</v>
      </c>
      <c r="F295" s="141">
        <f>'Raw Data_Mod Tests'!$P$2</f>
        <v>-2.7000000000000001E-3</v>
      </c>
      <c r="G295" s="142"/>
      <c r="H295" s="62">
        <f t="shared" si="55"/>
        <v>0</v>
      </c>
      <c r="I295" s="59">
        <f t="shared" si="54"/>
        <v>0</v>
      </c>
      <c r="J295" s="41">
        <f>'Raw Data_Mod Tests'!G55</f>
        <v>0</v>
      </c>
      <c r="K295" s="100">
        <f t="shared" si="56"/>
        <v>0</v>
      </c>
      <c r="L295" s="95" t="e">
        <f t="shared" si="57"/>
        <v>#DIV/0!</v>
      </c>
    </row>
    <row r="296" spans="1:12" x14ac:dyDescent="0.25">
      <c r="A296" s="129" t="s">
        <v>12</v>
      </c>
      <c r="B296" s="131" t="s">
        <v>7</v>
      </c>
      <c r="C296" s="132"/>
      <c r="D296" s="97">
        <f>'Raw Data_Mod Tests'!N56</f>
        <v>0</v>
      </c>
      <c r="E296" s="4">
        <v>46.2</v>
      </c>
      <c r="F296" s="141">
        <f>'Raw Data_Mod Tests'!$P$2</f>
        <v>-2.7000000000000001E-3</v>
      </c>
      <c r="G296" s="142"/>
      <c r="H296" s="62">
        <f t="shared" si="55"/>
        <v>0</v>
      </c>
      <c r="I296" s="59">
        <f t="shared" si="54"/>
        <v>0</v>
      </c>
      <c r="J296" s="41">
        <f>'Raw Data_Mod Tests'!G56</f>
        <v>0</v>
      </c>
      <c r="K296" s="100">
        <f t="shared" si="56"/>
        <v>0</v>
      </c>
      <c r="L296" s="95" t="e">
        <f t="shared" si="57"/>
        <v>#DIV/0!</v>
      </c>
    </row>
    <row r="297" spans="1:12" x14ac:dyDescent="0.25">
      <c r="A297" s="130"/>
      <c r="B297" s="131" t="s">
        <v>8</v>
      </c>
      <c r="C297" s="132"/>
      <c r="D297" s="97">
        <f>'Raw Data_Mod Tests'!N57</f>
        <v>0</v>
      </c>
      <c r="E297" s="4">
        <v>46.2</v>
      </c>
      <c r="F297" s="141">
        <f>'Raw Data_Mod Tests'!$P$2</f>
        <v>-2.7000000000000001E-3</v>
      </c>
      <c r="G297" s="142"/>
      <c r="H297" s="62">
        <f t="shared" si="55"/>
        <v>0</v>
      </c>
      <c r="I297" s="59">
        <f t="shared" si="54"/>
        <v>0</v>
      </c>
      <c r="J297" s="41">
        <f>'Raw Data_Mod Tests'!G57</f>
        <v>0</v>
      </c>
      <c r="K297" s="100">
        <f t="shared" si="56"/>
        <v>0</v>
      </c>
      <c r="L297" s="95" t="e">
        <f t="shared" si="57"/>
        <v>#DIV/0!</v>
      </c>
    </row>
    <row r="298" spans="1:12" x14ac:dyDescent="0.25">
      <c r="A298" s="129" t="s">
        <v>13</v>
      </c>
      <c r="B298" s="131" t="s">
        <v>7</v>
      </c>
      <c r="C298" s="132"/>
      <c r="D298" s="97">
        <f>'Raw Data_Mod Tests'!N58</f>
        <v>0</v>
      </c>
      <c r="E298" s="4">
        <v>46.2</v>
      </c>
      <c r="F298" s="141">
        <f>'Raw Data_Mod Tests'!$P$2</f>
        <v>-2.7000000000000001E-3</v>
      </c>
      <c r="G298" s="142"/>
      <c r="H298" s="62">
        <f t="shared" si="55"/>
        <v>0</v>
      </c>
      <c r="I298" s="59">
        <f t="shared" si="54"/>
        <v>0</v>
      </c>
      <c r="J298" s="41">
        <f>'Raw Data_Mod Tests'!G58</f>
        <v>0</v>
      </c>
      <c r="K298" s="100">
        <f t="shared" si="56"/>
        <v>0</v>
      </c>
      <c r="L298" s="95" t="e">
        <f t="shared" si="57"/>
        <v>#DIV/0!</v>
      </c>
    </row>
    <row r="299" spans="1:12" x14ac:dyDescent="0.25">
      <c r="A299" s="130"/>
      <c r="B299" s="131" t="s">
        <v>8</v>
      </c>
      <c r="C299" s="132"/>
      <c r="D299" s="97">
        <f>'Raw Data_Mod Tests'!N59</f>
        <v>0</v>
      </c>
      <c r="E299" s="4">
        <v>46.2</v>
      </c>
      <c r="F299" s="141">
        <f>'Raw Data_Mod Tests'!$P$2</f>
        <v>-2.7000000000000001E-3</v>
      </c>
      <c r="G299" s="142"/>
      <c r="H299" s="62">
        <f t="shared" si="55"/>
        <v>0</v>
      </c>
      <c r="I299" s="59">
        <f t="shared" si="54"/>
        <v>0</v>
      </c>
      <c r="J299" s="41">
        <f>'Raw Data_Mod Tests'!G59</f>
        <v>0</v>
      </c>
      <c r="K299" s="100">
        <f t="shared" si="56"/>
        <v>0</v>
      </c>
      <c r="L299" s="95" t="e">
        <f t="shared" si="57"/>
        <v>#DIV/0!</v>
      </c>
    </row>
    <row r="300" spans="1:12" x14ac:dyDescent="0.25">
      <c r="A300" s="129" t="s">
        <v>14</v>
      </c>
      <c r="B300" s="131" t="s">
        <v>7</v>
      </c>
      <c r="C300" s="132"/>
      <c r="D300" s="97">
        <f>'Raw Data_Mod Tests'!N60</f>
        <v>0</v>
      </c>
      <c r="E300" s="4">
        <v>46.2</v>
      </c>
      <c r="F300" s="141">
        <f>'Raw Data_Mod Tests'!$P$2</f>
        <v>-2.7000000000000001E-3</v>
      </c>
      <c r="G300" s="142"/>
      <c r="H300" s="62">
        <f t="shared" si="55"/>
        <v>0</v>
      </c>
      <c r="I300" s="59">
        <f t="shared" si="54"/>
        <v>0</v>
      </c>
      <c r="J300" s="41">
        <f>'Raw Data_Mod Tests'!G60</f>
        <v>0</v>
      </c>
      <c r="K300" s="100">
        <f t="shared" si="56"/>
        <v>0</v>
      </c>
      <c r="L300" s="95" t="e">
        <f t="shared" si="57"/>
        <v>#DIV/0!</v>
      </c>
    </row>
    <row r="301" spans="1:12" x14ac:dyDescent="0.25">
      <c r="A301" s="130"/>
      <c r="B301" s="131" t="s">
        <v>8</v>
      </c>
      <c r="C301" s="132"/>
      <c r="D301" s="97">
        <f>'Raw Data_Mod Tests'!N61</f>
        <v>0</v>
      </c>
      <c r="E301" s="4">
        <v>46.2</v>
      </c>
      <c r="F301" s="141">
        <f>'Raw Data_Mod Tests'!$P$2</f>
        <v>-2.7000000000000001E-3</v>
      </c>
      <c r="G301" s="142"/>
      <c r="H301" s="62">
        <f t="shared" si="55"/>
        <v>0</v>
      </c>
      <c r="I301" s="59">
        <f t="shared" si="54"/>
        <v>0</v>
      </c>
      <c r="J301" s="41">
        <f>'Raw Data_Mod Tests'!G61</f>
        <v>0</v>
      </c>
      <c r="K301" s="100">
        <f t="shared" si="56"/>
        <v>0</v>
      </c>
      <c r="L301" s="95" t="e">
        <f t="shared" si="57"/>
        <v>#DIV/0!</v>
      </c>
    </row>
    <row r="304" spans="1:12" x14ac:dyDescent="0.25">
      <c r="A304" s="136" t="s">
        <v>89</v>
      </c>
      <c r="B304" s="140"/>
      <c r="C304" s="137"/>
      <c r="D304" s="98" t="s">
        <v>52</v>
      </c>
      <c r="E304" s="98" t="s">
        <v>53</v>
      </c>
      <c r="F304" s="154" t="s">
        <v>54</v>
      </c>
      <c r="G304" s="155"/>
      <c r="H304" s="98" t="s">
        <v>55</v>
      </c>
      <c r="I304" s="98" t="s">
        <v>51</v>
      </c>
      <c r="J304" s="98" t="s">
        <v>84</v>
      </c>
      <c r="K304" s="98" t="s">
        <v>100</v>
      </c>
      <c r="L304" s="98" t="s">
        <v>101</v>
      </c>
    </row>
    <row r="305" spans="1:12" x14ac:dyDescent="0.25">
      <c r="A305" s="129" t="s">
        <v>6</v>
      </c>
      <c r="B305" s="131" t="s">
        <v>7</v>
      </c>
      <c r="C305" s="132"/>
      <c r="D305" s="97">
        <f>'Raw Data_Mod Tests'!N62</f>
        <v>0</v>
      </c>
      <c r="E305" s="97">
        <v>46.2</v>
      </c>
      <c r="F305" s="141">
        <f>'Raw Data_Mod Tests'!$P$2</f>
        <v>-2.7000000000000001E-3</v>
      </c>
      <c r="G305" s="142"/>
      <c r="H305" s="62">
        <f>I103</f>
        <v>0</v>
      </c>
      <c r="I305" s="59">
        <f t="shared" ref="I305:I316" si="58">D305*E305*(1+((F305)*(H305-25)))</f>
        <v>0</v>
      </c>
      <c r="J305" s="41">
        <f>'Raw Data_Mod Tests'!G62</f>
        <v>0</v>
      </c>
      <c r="K305" s="100">
        <f>95%*I305</f>
        <v>0</v>
      </c>
      <c r="L305" s="95" t="e">
        <f>J305/I305</f>
        <v>#DIV/0!</v>
      </c>
    </row>
    <row r="306" spans="1:12" x14ac:dyDescent="0.25">
      <c r="A306" s="130"/>
      <c r="B306" s="131" t="s">
        <v>8</v>
      </c>
      <c r="C306" s="132"/>
      <c r="D306" s="97">
        <f>'Raw Data_Mod Tests'!N63</f>
        <v>0</v>
      </c>
      <c r="E306" s="4">
        <v>46.2</v>
      </c>
      <c r="F306" s="141">
        <f>'Raw Data_Mod Tests'!$P$2</f>
        <v>-2.7000000000000001E-3</v>
      </c>
      <c r="G306" s="142"/>
      <c r="H306" s="62">
        <f t="shared" ref="H306:H316" si="59">I104</f>
        <v>0</v>
      </c>
      <c r="I306" s="59">
        <f t="shared" si="58"/>
        <v>0</v>
      </c>
      <c r="J306" s="41">
        <f>'Raw Data_Mod Tests'!G63</f>
        <v>0</v>
      </c>
      <c r="K306" s="100">
        <f t="shared" ref="K306:K316" si="60">95%*I306</f>
        <v>0</v>
      </c>
      <c r="L306" s="95" t="e">
        <f t="shared" ref="L306:L316" si="61">J306/I306</f>
        <v>#DIV/0!</v>
      </c>
    </row>
    <row r="307" spans="1:12" x14ac:dyDescent="0.25">
      <c r="A307" s="129" t="s">
        <v>10</v>
      </c>
      <c r="B307" s="131" t="s">
        <v>7</v>
      </c>
      <c r="C307" s="132"/>
      <c r="D307" s="97">
        <f>'Raw Data_Mod Tests'!N64</f>
        <v>0</v>
      </c>
      <c r="E307" s="4">
        <v>46.2</v>
      </c>
      <c r="F307" s="141">
        <f>'Raw Data_Mod Tests'!$P$2</f>
        <v>-2.7000000000000001E-3</v>
      </c>
      <c r="G307" s="142"/>
      <c r="H307" s="62">
        <f t="shared" si="59"/>
        <v>0</v>
      </c>
      <c r="I307" s="59">
        <f t="shared" si="58"/>
        <v>0</v>
      </c>
      <c r="J307" s="41">
        <f>'Raw Data_Mod Tests'!G64</f>
        <v>0</v>
      </c>
      <c r="K307" s="100">
        <f t="shared" si="60"/>
        <v>0</v>
      </c>
      <c r="L307" s="95" t="e">
        <f t="shared" si="61"/>
        <v>#DIV/0!</v>
      </c>
    </row>
    <row r="308" spans="1:12" x14ac:dyDescent="0.25">
      <c r="A308" s="130"/>
      <c r="B308" s="131" t="s">
        <v>8</v>
      </c>
      <c r="C308" s="132"/>
      <c r="D308" s="97">
        <f>'Raw Data_Mod Tests'!N65</f>
        <v>0</v>
      </c>
      <c r="E308" s="4">
        <v>46.2</v>
      </c>
      <c r="F308" s="141">
        <f>'Raw Data_Mod Tests'!$P$2</f>
        <v>-2.7000000000000001E-3</v>
      </c>
      <c r="G308" s="142"/>
      <c r="H308" s="62">
        <f t="shared" si="59"/>
        <v>0</v>
      </c>
      <c r="I308" s="59">
        <f t="shared" si="58"/>
        <v>0</v>
      </c>
      <c r="J308" s="41">
        <f>'Raw Data_Mod Tests'!G65</f>
        <v>0</v>
      </c>
      <c r="K308" s="100">
        <f t="shared" si="60"/>
        <v>0</v>
      </c>
      <c r="L308" s="95" t="e">
        <f t="shared" si="61"/>
        <v>#DIV/0!</v>
      </c>
    </row>
    <row r="309" spans="1:12" x14ac:dyDescent="0.25">
      <c r="A309" s="129" t="s">
        <v>11</v>
      </c>
      <c r="B309" s="131" t="s">
        <v>7</v>
      </c>
      <c r="C309" s="132"/>
      <c r="D309" s="97">
        <f>'Raw Data_Mod Tests'!N66</f>
        <v>0</v>
      </c>
      <c r="E309" s="4">
        <v>46.2</v>
      </c>
      <c r="F309" s="141">
        <f>'Raw Data_Mod Tests'!$P$2</f>
        <v>-2.7000000000000001E-3</v>
      </c>
      <c r="G309" s="142"/>
      <c r="H309" s="62">
        <f t="shared" si="59"/>
        <v>0</v>
      </c>
      <c r="I309" s="59">
        <f t="shared" si="58"/>
        <v>0</v>
      </c>
      <c r="J309" s="41">
        <f>'Raw Data_Mod Tests'!G66</f>
        <v>0</v>
      </c>
      <c r="K309" s="100">
        <f t="shared" si="60"/>
        <v>0</v>
      </c>
      <c r="L309" s="95" t="e">
        <f t="shared" si="61"/>
        <v>#DIV/0!</v>
      </c>
    </row>
    <row r="310" spans="1:12" x14ac:dyDescent="0.25">
      <c r="A310" s="130"/>
      <c r="B310" s="131" t="s">
        <v>8</v>
      </c>
      <c r="C310" s="132"/>
      <c r="D310" s="97">
        <f>'Raw Data_Mod Tests'!N67</f>
        <v>0</v>
      </c>
      <c r="E310" s="4">
        <v>46.2</v>
      </c>
      <c r="F310" s="141">
        <f>'Raw Data_Mod Tests'!$P$2</f>
        <v>-2.7000000000000001E-3</v>
      </c>
      <c r="G310" s="142"/>
      <c r="H310" s="62">
        <f t="shared" si="59"/>
        <v>0</v>
      </c>
      <c r="I310" s="59">
        <f t="shared" si="58"/>
        <v>0</v>
      </c>
      <c r="J310" s="41">
        <f>'Raw Data_Mod Tests'!G67</f>
        <v>0</v>
      </c>
      <c r="K310" s="100">
        <f t="shared" si="60"/>
        <v>0</v>
      </c>
      <c r="L310" s="95" t="e">
        <f t="shared" si="61"/>
        <v>#DIV/0!</v>
      </c>
    </row>
    <row r="311" spans="1:12" x14ac:dyDescent="0.25">
      <c r="A311" s="129" t="s">
        <v>12</v>
      </c>
      <c r="B311" s="131" t="s">
        <v>7</v>
      </c>
      <c r="C311" s="132"/>
      <c r="D311" s="97">
        <f>'Raw Data_Mod Tests'!N68</f>
        <v>0</v>
      </c>
      <c r="E311" s="4">
        <v>46.2</v>
      </c>
      <c r="F311" s="141">
        <f>'Raw Data_Mod Tests'!$P$2</f>
        <v>-2.7000000000000001E-3</v>
      </c>
      <c r="G311" s="142"/>
      <c r="H311" s="62">
        <f t="shared" si="59"/>
        <v>0</v>
      </c>
      <c r="I311" s="59">
        <f t="shared" si="58"/>
        <v>0</v>
      </c>
      <c r="J311" s="41">
        <f>'Raw Data_Mod Tests'!G68</f>
        <v>0</v>
      </c>
      <c r="K311" s="100">
        <f t="shared" si="60"/>
        <v>0</v>
      </c>
      <c r="L311" s="95" t="e">
        <f t="shared" si="61"/>
        <v>#DIV/0!</v>
      </c>
    </row>
    <row r="312" spans="1:12" x14ac:dyDescent="0.25">
      <c r="A312" s="130"/>
      <c r="B312" s="131" t="s">
        <v>8</v>
      </c>
      <c r="C312" s="132"/>
      <c r="D312" s="97">
        <f>'Raw Data_Mod Tests'!N69</f>
        <v>0</v>
      </c>
      <c r="E312" s="4">
        <v>46.2</v>
      </c>
      <c r="F312" s="141">
        <f>'Raw Data_Mod Tests'!$P$2</f>
        <v>-2.7000000000000001E-3</v>
      </c>
      <c r="G312" s="142"/>
      <c r="H312" s="62">
        <f t="shared" si="59"/>
        <v>0</v>
      </c>
      <c r="I312" s="59">
        <f t="shared" si="58"/>
        <v>0</v>
      </c>
      <c r="J312" s="41">
        <f>'Raw Data_Mod Tests'!G69</f>
        <v>0</v>
      </c>
      <c r="K312" s="100">
        <f t="shared" si="60"/>
        <v>0</v>
      </c>
      <c r="L312" s="95" t="e">
        <f t="shared" si="61"/>
        <v>#DIV/0!</v>
      </c>
    </row>
    <row r="313" spans="1:12" x14ac:dyDescent="0.25">
      <c r="A313" s="129" t="s">
        <v>13</v>
      </c>
      <c r="B313" s="131" t="s">
        <v>7</v>
      </c>
      <c r="C313" s="132"/>
      <c r="D313" s="97">
        <f>'Raw Data_Mod Tests'!N70</f>
        <v>0</v>
      </c>
      <c r="E313" s="4">
        <v>46.2</v>
      </c>
      <c r="F313" s="141">
        <f>'Raw Data_Mod Tests'!$P$2</f>
        <v>-2.7000000000000001E-3</v>
      </c>
      <c r="G313" s="142"/>
      <c r="H313" s="62">
        <f t="shared" si="59"/>
        <v>0</v>
      </c>
      <c r="I313" s="59">
        <f t="shared" si="58"/>
        <v>0</v>
      </c>
      <c r="J313" s="41">
        <f>'Raw Data_Mod Tests'!G70</f>
        <v>0</v>
      </c>
      <c r="K313" s="100">
        <f t="shared" si="60"/>
        <v>0</v>
      </c>
      <c r="L313" s="95" t="e">
        <f t="shared" si="61"/>
        <v>#DIV/0!</v>
      </c>
    </row>
    <row r="314" spans="1:12" x14ac:dyDescent="0.25">
      <c r="A314" s="130"/>
      <c r="B314" s="131" t="s">
        <v>8</v>
      </c>
      <c r="C314" s="132"/>
      <c r="D314" s="97">
        <f>'Raw Data_Mod Tests'!N71</f>
        <v>0</v>
      </c>
      <c r="E314" s="4">
        <v>46.2</v>
      </c>
      <c r="F314" s="141">
        <f>'Raw Data_Mod Tests'!$P$2</f>
        <v>-2.7000000000000001E-3</v>
      </c>
      <c r="G314" s="142"/>
      <c r="H314" s="62">
        <f t="shared" si="59"/>
        <v>0</v>
      </c>
      <c r="I314" s="59">
        <f t="shared" si="58"/>
        <v>0</v>
      </c>
      <c r="J314" s="41">
        <f>'Raw Data_Mod Tests'!G71</f>
        <v>0</v>
      </c>
      <c r="K314" s="100">
        <f t="shared" si="60"/>
        <v>0</v>
      </c>
      <c r="L314" s="95" t="e">
        <f t="shared" si="61"/>
        <v>#DIV/0!</v>
      </c>
    </row>
    <row r="315" spans="1:12" x14ac:dyDescent="0.25">
      <c r="A315" s="129" t="s">
        <v>14</v>
      </c>
      <c r="B315" s="131" t="s">
        <v>7</v>
      </c>
      <c r="C315" s="132"/>
      <c r="D315" s="97">
        <f>'Raw Data_Mod Tests'!N72</f>
        <v>0</v>
      </c>
      <c r="E315" s="4">
        <v>46.2</v>
      </c>
      <c r="F315" s="141">
        <f>'Raw Data_Mod Tests'!$P$2</f>
        <v>-2.7000000000000001E-3</v>
      </c>
      <c r="G315" s="142"/>
      <c r="H315" s="62">
        <f t="shared" si="59"/>
        <v>0</v>
      </c>
      <c r="I315" s="59">
        <f t="shared" si="58"/>
        <v>0</v>
      </c>
      <c r="J315" s="41">
        <f>'Raw Data_Mod Tests'!G72</f>
        <v>0</v>
      </c>
      <c r="K315" s="100">
        <f t="shared" si="60"/>
        <v>0</v>
      </c>
      <c r="L315" s="95" t="e">
        <f t="shared" si="61"/>
        <v>#DIV/0!</v>
      </c>
    </row>
    <row r="316" spans="1:12" x14ac:dyDescent="0.25">
      <c r="A316" s="130"/>
      <c r="B316" s="131" t="s">
        <v>8</v>
      </c>
      <c r="C316" s="132"/>
      <c r="D316" s="97">
        <f>'Raw Data_Mod Tests'!N73</f>
        <v>0</v>
      </c>
      <c r="E316" s="4">
        <v>46.2</v>
      </c>
      <c r="F316" s="141">
        <f>'Raw Data_Mod Tests'!$P$2</f>
        <v>-2.7000000000000001E-3</v>
      </c>
      <c r="G316" s="142"/>
      <c r="H316" s="62">
        <f t="shared" si="59"/>
        <v>0</v>
      </c>
      <c r="I316" s="59">
        <f t="shared" si="58"/>
        <v>0</v>
      </c>
      <c r="J316" s="41">
        <f>'Raw Data_Mod Tests'!G73</f>
        <v>0</v>
      </c>
      <c r="K316" s="100">
        <f t="shared" si="60"/>
        <v>0</v>
      </c>
      <c r="L316" s="95" t="e">
        <f t="shared" si="61"/>
        <v>#DIV/0!</v>
      </c>
    </row>
    <row r="319" spans="1:12" x14ac:dyDescent="0.25">
      <c r="A319" s="136" t="s">
        <v>90</v>
      </c>
      <c r="B319" s="140"/>
      <c r="C319" s="137"/>
      <c r="D319" s="98" t="s">
        <v>52</v>
      </c>
      <c r="E319" s="98" t="s">
        <v>53</v>
      </c>
      <c r="F319" s="154" t="s">
        <v>54</v>
      </c>
      <c r="G319" s="155"/>
      <c r="H319" s="98" t="s">
        <v>55</v>
      </c>
      <c r="I319" s="98" t="s">
        <v>51</v>
      </c>
      <c r="J319" s="98" t="s">
        <v>84</v>
      </c>
      <c r="K319" s="98" t="s">
        <v>100</v>
      </c>
      <c r="L319" s="98" t="s">
        <v>101</v>
      </c>
    </row>
    <row r="320" spans="1:12" x14ac:dyDescent="0.25">
      <c r="A320" s="129" t="s">
        <v>6</v>
      </c>
      <c r="B320" s="131" t="s">
        <v>7</v>
      </c>
      <c r="C320" s="132"/>
      <c r="D320" s="97">
        <f>'Raw Data_Mod Tests'!N74</f>
        <v>0</v>
      </c>
      <c r="E320" s="97">
        <v>46.2</v>
      </c>
      <c r="F320" s="141">
        <f>'Raw Data_Mod Tests'!$P$2</f>
        <v>-2.7000000000000001E-3</v>
      </c>
      <c r="G320" s="142"/>
      <c r="H320" s="62">
        <f>I118</f>
        <v>0</v>
      </c>
      <c r="I320" s="59">
        <f t="shared" ref="I320:I331" si="62">D320*E320*(1+((F320)*(H320-25)))</f>
        <v>0</v>
      </c>
      <c r="J320" s="41">
        <f>'Raw Data_Mod Tests'!G74</f>
        <v>0</v>
      </c>
      <c r="K320" s="100">
        <f>95%*I320</f>
        <v>0</v>
      </c>
      <c r="L320" s="95" t="e">
        <f>J320/I320</f>
        <v>#DIV/0!</v>
      </c>
    </row>
    <row r="321" spans="1:12" x14ac:dyDescent="0.25">
      <c r="A321" s="130"/>
      <c r="B321" s="131" t="s">
        <v>8</v>
      </c>
      <c r="C321" s="132"/>
      <c r="D321" s="97">
        <f>'Raw Data_Mod Tests'!N75</f>
        <v>0</v>
      </c>
      <c r="E321" s="4">
        <v>46.2</v>
      </c>
      <c r="F321" s="141">
        <f>'Raw Data_Mod Tests'!$P$2</f>
        <v>-2.7000000000000001E-3</v>
      </c>
      <c r="G321" s="142"/>
      <c r="H321" s="62">
        <f t="shared" ref="H321:H331" si="63">I119</f>
        <v>0</v>
      </c>
      <c r="I321" s="59">
        <f t="shared" si="62"/>
        <v>0</v>
      </c>
      <c r="J321" s="41">
        <f>'Raw Data_Mod Tests'!G75</f>
        <v>0</v>
      </c>
      <c r="K321" s="100">
        <f t="shared" ref="K321:K331" si="64">95%*I321</f>
        <v>0</v>
      </c>
      <c r="L321" s="95" t="e">
        <f t="shared" ref="L321:L331" si="65">J321/I321</f>
        <v>#DIV/0!</v>
      </c>
    </row>
    <row r="322" spans="1:12" x14ac:dyDescent="0.25">
      <c r="A322" s="129" t="s">
        <v>10</v>
      </c>
      <c r="B322" s="131" t="s">
        <v>7</v>
      </c>
      <c r="C322" s="132"/>
      <c r="D322" s="97">
        <f>'Raw Data_Mod Tests'!N76</f>
        <v>0</v>
      </c>
      <c r="E322" s="4">
        <v>46.2</v>
      </c>
      <c r="F322" s="141">
        <f>'Raw Data_Mod Tests'!$P$2</f>
        <v>-2.7000000000000001E-3</v>
      </c>
      <c r="G322" s="142"/>
      <c r="H322" s="62">
        <f t="shared" si="63"/>
        <v>0</v>
      </c>
      <c r="I322" s="59">
        <f t="shared" si="62"/>
        <v>0</v>
      </c>
      <c r="J322" s="41">
        <f>'Raw Data_Mod Tests'!G76</f>
        <v>0</v>
      </c>
      <c r="K322" s="100">
        <f t="shared" si="64"/>
        <v>0</v>
      </c>
      <c r="L322" s="95" t="e">
        <f t="shared" si="65"/>
        <v>#DIV/0!</v>
      </c>
    </row>
    <row r="323" spans="1:12" x14ac:dyDescent="0.25">
      <c r="A323" s="130"/>
      <c r="B323" s="131" t="s">
        <v>8</v>
      </c>
      <c r="C323" s="132"/>
      <c r="D323" s="97">
        <f>'Raw Data_Mod Tests'!N77</f>
        <v>0</v>
      </c>
      <c r="E323" s="4">
        <v>46.2</v>
      </c>
      <c r="F323" s="141">
        <f>'Raw Data_Mod Tests'!$P$2</f>
        <v>-2.7000000000000001E-3</v>
      </c>
      <c r="G323" s="142"/>
      <c r="H323" s="62">
        <f t="shared" si="63"/>
        <v>0</v>
      </c>
      <c r="I323" s="59">
        <f t="shared" si="62"/>
        <v>0</v>
      </c>
      <c r="J323" s="41">
        <f>'Raw Data_Mod Tests'!G77</f>
        <v>0</v>
      </c>
      <c r="K323" s="100">
        <f t="shared" si="64"/>
        <v>0</v>
      </c>
      <c r="L323" s="95" t="e">
        <f t="shared" si="65"/>
        <v>#DIV/0!</v>
      </c>
    </row>
    <row r="324" spans="1:12" x14ac:dyDescent="0.25">
      <c r="A324" s="129" t="s">
        <v>11</v>
      </c>
      <c r="B324" s="131" t="s">
        <v>7</v>
      </c>
      <c r="C324" s="132"/>
      <c r="D324" s="97">
        <f>'Raw Data_Mod Tests'!N78</f>
        <v>0</v>
      </c>
      <c r="E324" s="4">
        <v>46.2</v>
      </c>
      <c r="F324" s="141">
        <f>'Raw Data_Mod Tests'!$P$2</f>
        <v>-2.7000000000000001E-3</v>
      </c>
      <c r="G324" s="142"/>
      <c r="H324" s="62">
        <f t="shared" si="63"/>
        <v>0</v>
      </c>
      <c r="I324" s="59">
        <f t="shared" si="62"/>
        <v>0</v>
      </c>
      <c r="J324" s="41">
        <f>'Raw Data_Mod Tests'!G78</f>
        <v>0</v>
      </c>
      <c r="K324" s="100">
        <f t="shared" si="64"/>
        <v>0</v>
      </c>
      <c r="L324" s="95" t="e">
        <f t="shared" si="65"/>
        <v>#DIV/0!</v>
      </c>
    </row>
    <row r="325" spans="1:12" x14ac:dyDescent="0.25">
      <c r="A325" s="130"/>
      <c r="B325" s="131" t="s">
        <v>8</v>
      </c>
      <c r="C325" s="132"/>
      <c r="D325" s="97">
        <f>'Raw Data_Mod Tests'!N79</f>
        <v>0</v>
      </c>
      <c r="E325" s="4">
        <v>46.2</v>
      </c>
      <c r="F325" s="141">
        <f>'Raw Data_Mod Tests'!$P$2</f>
        <v>-2.7000000000000001E-3</v>
      </c>
      <c r="G325" s="142"/>
      <c r="H325" s="62">
        <f t="shared" si="63"/>
        <v>0</v>
      </c>
      <c r="I325" s="59">
        <f t="shared" si="62"/>
        <v>0</v>
      </c>
      <c r="J325" s="41">
        <f>'Raw Data_Mod Tests'!G79</f>
        <v>0</v>
      </c>
      <c r="K325" s="100">
        <f t="shared" si="64"/>
        <v>0</v>
      </c>
      <c r="L325" s="95" t="e">
        <f t="shared" si="65"/>
        <v>#DIV/0!</v>
      </c>
    </row>
    <row r="326" spans="1:12" x14ac:dyDescent="0.25">
      <c r="A326" s="129" t="s">
        <v>12</v>
      </c>
      <c r="B326" s="131" t="s">
        <v>7</v>
      </c>
      <c r="C326" s="132"/>
      <c r="D326" s="97">
        <f>'Raw Data_Mod Tests'!N80</f>
        <v>0</v>
      </c>
      <c r="E326" s="4">
        <v>46.2</v>
      </c>
      <c r="F326" s="141">
        <f>'Raw Data_Mod Tests'!$P$2</f>
        <v>-2.7000000000000001E-3</v>
      </c>
      <c r="G326" s="142"/>
      <c r="H326" s="62">
        <f t="shared" si="63"/>
        <v>0</v>
      </c>
      <c r="I326" s="59">
        <f t="shared" si="62"/>
        <v>0</v>
      </c>
      <c r="J326" s="41">
        <f>'Raw Data_Mod Tests'!G80</f>
        <v>0</v>
      </c>
      <c r="K326" s="100">
        <f t="shared" si="64"/>
        <v>0</v>
      </c>
      <c r="L326" s="95" t="e">
        <f t="shared" si="65"/>
        <v>#DIV/0!</v>
      </c>
    </row>
    <row r="327" spans="1:12" x14ac:dyDescent="0.25">
      <c r="A327" s="130"/>
      <c r="B327" s="131" t="s">
        <v>8</v>
      </c>
      <c r="C327" s="132"/>
      <c r="D327" s="97">
        <f>'Raw Data_Mod Tests'!N81</f>
        <v>0</v>
      </c>
      <c r="E327" s="4">
        <v>46.2</v>
      </c>
      <c r="F327" s="141">
        <f>'Raw Data_Mod Tests'!$P$2</f>
        <v>-2.7000000000000001E-3</v>
      </c>
      <c r="G327" s="142"/>
      <c r="H327" s="62">
        <f t="shared" si="63"/>
        <v>0</v>
      </c>
      <c r="I327" s="59">
        <f t="shared" si="62"/>
        <v>0</v>
      </c>
      <c r="J327" s="41">
        <f>'Raw Data_Mod Tests'!G81</f>
        <v>0</v>
      </c>
      <c r="K327" s="100">
        <f t="shared" si="64"/>
        <v>0</v>
      </c>
      <c r="L327" s="95" t="e">
        <f t="shared" si="65"/>
        <v>#DIV/0!</v>
      </c>
    </row>
    <row r="328" spans="1:12" x14ac:dyDescent="0.25">
      <c r="A328" s="129" t="s">
        <v>13</v>
      </c>
      <c r="B328" s="131" t="s">
        <v>7</v>
      </c>
      <c r="C328" s="132"/>
      <c r="D328" s="97">
        <f>'Raw Data_Mod Tests'!N82</f>
        <v>0</v>
      </c>
      <c r="E328" s="4">
        <v>46.2</v>
      </c>
      <c r="F328" s="141">
        <f>'Raw Data_Mod Tests'!$P$2</f>
        <v>-2.7000000000000001E-3</v>
      </c>
      <c r="G328" s="142"/>
      <c r="H328" s="62">
        <f t="shared" si="63"/>
        <v>0</v>
      </c>
      <c r="I328" s="59">
        <f t="shared" si="62"/>
        <v>0</v>
      </c>
      <c r="J328" s="41">
        <f>'Raw Data_Mod Tests'!G82</f>
        <v>0</v>
      </c>
      <c r="K328" s="100">
        <f t="shared" si="64"/>
        <v>0</v>
      </c>
      <c r="L328" s="95" t="e">
        <f t="shared" si="65"/>
        <v>#DIV/0!</v>
      </c>
    </row>
    <row r="329" spans="1:12" x14ac:dyDescent="0.25">
      <c r="A329" s="130"/>
      <c r="B329" s="131" t="s">
        <v>8</v>
      </c>
      <c r="C329" s="132"/>
      <c r="D329" s="97">
        <f>'Raw Data_Mod Tests'!N83</f>
        <v>0</v>
      </c>
      <c r="E329" s="4">
        <v>46.2</v>
      </c>
      <c r="F329" s="141">
        <f>'Raw Data_Mod Tests'!$P$2</f>
        <v>-2.7000000000000001E-3</v>
      </c>
      <c r="G329" s="142"/>
      <c r="H329" s="62">
        <f t="shared" si="63"/>
        <v>0</v>
      </c>
      <c r="I329" s="59">
        <f t="shared" si="62"/>
        <v>0</v>
      </c>
      <c r="J329" s="41">
        <f>'Raw Data_Mod Tests'!G83</f>
        <v>0</v>
      </c>
      <c r="K329" s="100">
        <f t="shared" si="64"/>
        <v>0</v>
      </c>
      <c r="L329" s="95" t="e">
        <f t="shared" si="65"/>
        <v>#DIV/0!</v>
      </c>
    </row>
    <row r="330" spans="1:12" x14ac:dyDescent="0.25">
      <c r="A330" s="129" t="s">
        <v>14</v>
      </c>
      <c r="B330" s="131" t="s">
        <v>7</v>
      </c>
      <c r="C330" s="132"/>
      <c r="D330" s="97">
        <f>'Raw Data_Mod Tests'!N84</f>
        <v>0</v>
      </c>
      <c r="E330" s="4">
        <v>46.2</v>
      </c>
      <c r="F330" s="141">
        <f>'Raw Data_Mod Tests'!$P$2</f>
        <v>-2.7000000000000001E-3</v>
      </c>
      <c r="G330" s="142"/>
      <c r="H330" s="62">
        <f t="shared" si="63"/>
        <v>0</v>
      </c>
      <c r="I330" s="59">
        <f t="shared" si="62"/>
        <v>0</v>
      </c>
      <c r="J330" s="41">
        <f>'Raw Data_Mod Tests'!G84</f>
        <v>0</v>
      </c>
      <c r="K330" s="100">
        <f t="shared" si="64"/>
        <v>0</v>
      </c>
      <c r="L330" s="95" t="e">
        <f t="shared" si="65"/>
        <v>#DIV/0!</v>
      </c>
    </row>
    <row r="331" spans="1:12" x14ac:dyDescent="0.25">
      <c r="A331" s="130"/>
      <c r="B331" s="131" t="s">
        <v>8</v>
      </c>
      <c r="C331" s="132"/>
      <c r="D331" s="97">
        <f>'Raw Data_Mod Tests'!N85</f>
        <v>0</v>
      </c>
      <c r="E331" s="4">
        <v>46.2</v>
      </c>
      <c r="F331" s="141">
        <f>'Raw Data_Mod Tests'!$P$2</f>
        <v>-2.7000000000000001E-3</v>
      </c>
      <c r="G331" s="142"/>
      <c r="H331" s="62">
        <f t="shared" si="63"/>
        <v>0</v>
      </c>
      <c r="I331" s="59">
        <f t="shared" si="62"/>
        <v>0</v>
      </c>
      <c r="J331" s="41">
        <f>'Raw Data_Mod Tests'!G85</f>
        <v>0</v>
      </c>
      <c r="K331" s="100">
        <f t="shared" si="64"/>
        <v>0</v>
      </c>
      <c r="L331" s="95" t="e">
        <f t="shared" si="65"/>
        <v>#DIV/0!</v>
      </c>
    </row>
    <row r="334" spans="1:12" x14ac:dyDescent="0.25">
      <c r="A334" s="136" t="s">
        <v>91</v>
      </c>
      <c r="B334" s="140"/>
      <c r="C334" s="137"/>
      <c r="D334" s="98" t="s">
        <v>52</v>
      </c>
      <c r="E334" s="98" t="s">
        <v>53</v>
      </c>
      <c r="F334" s="154" t="s">
        <v>54</v>
      </c>
      <c r="G334" s="155"/>
      <c r="H334" s="98" t="s">
        <v>55</v>
      </c>
      <c r="I334" s="98" t="s">
        <v>51</v>
      </c>
      <c r="J334" s="98" t="s">
        <v>84</v>
      </c>
      <c r="K334" s="98" t="s">
        <v>100</v>
      </c>
      <c r="L334" s="98" t="s">
        <v>101</v>
      </c>
    </row>
    <row r="335" spans="1:12" x14ac:dyDescent="0.25">
      <c r="A335" s="129" t="s">
        <v>6</v>
      </c>
      <c r="B335" s="131" t="s">
        <v>7</v>
      </c>
      <c r="C335" s="132"/>
      <c r="D335" s="97">
        <f>'Raw Data_Mod Tests'!N86</f>
        <v>0</v>
      </c>
      <c r="E335" s="97">
        <v>46.2</v>
      </c>
      <c r="F335" s="141">
        <f>'Raw Data_Mod Tests'!$P$2</f>
        <v>-2.7000000000000001E-3</v>
      </c>
      <c r="G335" s="142"/>
      <c r="H335" s="62">
        <f>I133</f>
        <v>0</v>
      </c>
      <c r="I335" s="59">
        <f t="shared" ref="I335:I346" si="66">D335*E335*(1+((F335)*(H335-25)))</f>
        <v>0</v>
      </c>
      <c r="J335" s="41">
        <f>'Raw Data_Mod Tests'!G86</f>
        <v>0</v>
      </c>
      <c r="K335" s="100">
        <f>95%*I335</f>
        <v>0</v>
      </c>
      <c r="L335" s="95" t="e">
        <f>J335/I335</f>
        <v>#DIV/0!</v>
      </c>
    </row>
    <row r="336" spans="1:12" x14ac:dyDescent="0.25">
      <c r="A336" s="130"/>
      <c r="B336" s="131" t="s">
        <v>8</v>
      </c>
      <c r="C336" s="132"/>
      <c r="D336" s="97">
        <f>'Raw Data_Mod Tests'!N87</f>
        <v>0</v>
      </c>
      <c r="E336" s="4">
        <v>46.2</v>
      </c>
      <c r="F336" s="141">
        <f>'Raw Data_Mod Tests'!$P$2</f>
        <v>-2.7000000000000001E-3</v>
      </c>
      <c r="G336" s="142"/>
      <c r="H336" s="62">
        <f t="shared" ref="H336:H346" si="67">I134</f>
        <v>0</v>
      </c>
      <c r="I336" s="59">
        <f t="shared" si="66"/>
        <v>0</v>
      </c>
      <c r="J336" s="41">
        <f>'Raw Data_Mod Tests'!G87</f>
        <v>0</v>
      </c>
      <c r="K336" s="100">
        <f t="shared" ref="K336:K346" si="68">95%*I336</f>
        <v>0</v>
      </c>
      <c r="L336" s="95" t="e">
        <f t="shared" ref="L336:L346" si="69">J336/I336</f>
        <v>#DIV/0!</v>
      </c>
    </row>
    <row r="337" spans="1:12" x14ac:dyDescent="0.25">
      <c r="A337" s="129" t="s">
        <v>10</v>
      </c>
      <c r="B337" s="131" t="s">
        <v>7</v>
      </c>
      <c r="C337" s="132"/>
      <c r="D337" s="97">
        <f>'Raw Data_Mod Tests'!N88</f>
        <v>0</v>
      </c>
      <c r="E337" s="4">
        <v>46.2</v>
      </c>
      <c r="F337" s="141">
        <f>'Raw Data_Mod Tests'!$P$2</f>
        <v>-2.7000000000000001E-3</v>
      </c>
      <c r="G337" s="142"/>
      <c r="H337" s="62">
        <f t="shared" si="67"/>
        <v>0</v>
      </c>
      <c r="I337" s="59">
        <f t="shared" si="66"/>
        <v>0</v>
      </c>
      <c r="J337" s="41">
        <f>'Raw Data_Mod Tests'!G88</f>
        <v>0</v>
      </c>
      <c r="K337" s="100">
        <f t="shared" si="68"/>
        <v>0</v>
      </c>
      <c r="L337" s="95" t="e">
        <f t="shared" si="69"/>
        <v>#DIV/0!</v>
      </c>
    </row>
    <row r="338" spans="1:12" x14ac:dyDescent="0.25">
      <c r="A338" s="130"/>
      <c r="B338" s="131" t="s">
        <v>8</v>
      </c>
      <c r="C338" s="132"/>
      <c r="D338" s="97">
        <f>'Raw Data_Mod Tests'!N89</f>
        <v>0</v>
      </c>
      <c r="E338" s="4">
        <v>46.2</v>
      </c>
      <c r="F338" s="141">
        <f>'Raw Data_Mod Tests'!$P$2</f>
        <v>-2.7000000000000001E-3</v>
      </c>
      <c r="G338" s="142"/>
      <c r="H338" s="62">
        <f t="shared" si="67"/>
        <v>0</v>
      </c>
      <c r="I338" s="59">
        <f t="shared" si="66"/>
        <v>0</v>
      </c>
      <c r="J338" s="41">
        <f>'Raw Data_Mod Tests'!G89</f>
        <v>0</v>
      </c>
      <c r="K338" s="100">
        <f t="shared" si="68"/>
        <v>0</v>
      </c>
      <c r="L338" s="95" t="e">
        <f t="shared" si="69"/>
        <v>#DIV/0!</v>
      </c>
    </row>
    <row r="339" spans="1:12" x14ac:dyDescent="0.25">
      <c r="A339" s="129" t="s">
        <v>11</v>
      </c>
      <c r="B339" s="131" t="s">
        <v>7</v>
      </c>
      <c r="C339" s="132"/>
      <c r="D339" s="97">
        <f>'Raw Data_Mod Tests'!N90</f>
        <v>0</v>
      </c>
      <c r="E339" s="4">
        <v>46.2</v>
      </c>
      <c r="F339" s="141">
        <f>'Raw Data_Mod Tests'!$P$2</f>
        <v>-2.7000000000000001E-3</v>
      </c>
      <c r="G339" s="142"/>
      <c r="H339" s="62">
        <f t="shared" si="67"/>
        <v>0</v>
      </c>
      <c r="I339" s="59">
        <f t="shared" si="66"/>
        <v>0</v>
      </c>
      <c r="J339" s="41">
        <f>'Raw Data_Mod Tests'!G90</f>
        <v>0</v>
      </c>
      <c r="K339" s="100">
        <f t="shared" si="68"/>
        <v>0</v>
      </c>
      <c r="L339" s="95" t="e">
        <f t="shared" si="69"/>
        <v>#DIV/0!</v>
      </c>
    </row>
    <row r="340" spans="1:12" x14ac:dyDescent="0.25">
      <c r="A340" s="130"/>
      <c r="B340" s="131" t="s">
        <v>8</v>
      </c>
      <c r="C340" s="132"/>
      <c r="D340" s="97">
        <f>'Raw Data_Mod Tests'!N91</f>
        <v>0</v>
      </c>
      <c r="E340" s="4">
        <v>46.2</v>
      </c>
      <c r="F340" s="141">
        <f>'Raw Data_Mod Tests'!$P$2</f>
        <v>-2.7000000000000001E-3</v>
      </c>
      <c r="G340" s="142"/>
      <c r="H340" s="62">
        <f t="shared" si="67"/>
        <v>0</v>
      </c>
      <c r="I340" s="59">
        <f t="shared" si="66"/>
        <v>0</v>
      </c>
      <c r="J340" s="41">
        <f>'Raw Data_Mod Tests'!G91</f>
        <v>0</v>
      </c>
      <c r="K340" s="100">
        <f t="shared" si="68"/>
        <v>0</v>
      </c>
      <c r="L340" s="95" t="e">
        <f t="shared" si="69"/>
        <v>#DIV/0!</v>
      </c>
    </row>
    <row r="341" spans="1:12" x14ac:dyDescent="0.25">
      <c r="A341" s="129" t="s">
        <v>12</v>
      </c>
      <c r="B341" s="131" t="s">
        <v>7</v>
      </c>
      <c r="C341" s="132"/>
      <c r="D341" s="97">
        <f>'Raw Data_Mod Tests'!N92</f>
        <v>0</v>
      </c>
      <c r="E341" s="4">
        <v>46.2</v>
      </c>
      <c r="F341" s="141">
        <f>'Raw Data_Mod Tests'!$P$2</f>
        <v>-2.7000000000000001E-3</v>
      </c>
      <c r="G341" s="142"/>
      <c r="H341" s="62">
        <f t="shared" si="67"/>
        <v>0</v>
      </c>
      <c r="I341" s="59">
        <f t="shared" si="66"/>
        <v>0</v>
      </c>
      <c r="J341" s="41">
        <f>'Raw Data_Mod Tests'!G92</f>
        <v>0</v>
      </c>
      <c r="K341" s="100">
        <f t="shared" si="68"/>
        <v>0</v>
      </c>
      <c r="L341" s="95" t="e">
        <f t="shared" si="69"/>
        <v>#DIV/0!</v>
      </c>
    </row>
    <row r="342" spans="1:12" x14ac:dyDescent="0.25">
      <c r="A342" s="130"/>
      <c r="B342" s="131" t="s">
        <v>8</v>
      </c>
      <c r="C342" s="132"/>
      <c r="D342" s="97">
        <f>'Raw Data_Mod Tests'!N93</f>
        <v>0</v>
      </c>
      <c r="E342" s="4">
        <v>46.2</v>
      </c>
      <c r="F342" s="141">
        <f>'Raw Data_Mod Tests'!$P$2</f>
        <v>-2.7000000000000001E-3</v>
      </c>
      <c r="G342" s="142"/>
      <c r="H342" s="62">
        <f t="shared" si="67"/>
        <v>0</v>
      </c>
      <c r="I342" s="59">
        <f t="shared" si="66"/>
        <v>0</v>
      </c>
      <c r="J342" s="41">
        <f>'Raw Data_Mod Tests'!G93</f>
        <v>0</v>
      </c>
      <c r="K342" s="100">
        <f t="shared" si="68"/>
        <v>0</v>
      </c>
      <c r="L342" s="95" t="e">
        <f t="shared" si="69"/>
        <v>#DIV/0!</v>
      </c>
    </row>
    <row r="343" spans="1:12" x14ac:dyDescent="0.25">
      <c r="A343" s="129" t="s">
        <v>13</v>
      </c>
      <c r="B343" s="131" t="s">
        <v>7</v>
      </c>
      <c r="C343" s="132"/>
      <c r="D343" s="97">
        <f>'Raw Data_Mod Tests'!N94</f>
        <v>0</v>
      </c>
      <c r="E343" s="4">
        <v>46.2</v>
      </c>
      <c r="F343" s="141">
        <f>'Raw Data_Mod Tests'!$P$2</f>
        <v>-2.7000000000000001E-3</v>
      </c>
      <c r="G343" s="142"/>
      <c r="H343" s="62">
        <f t="shared" si="67"/>
        <v>0</v>
      </c>
      <c r="I343" s="59">
        <f t="shared" si="66"/>
        <v>0</v>
      </c>
      <c r="J343" s="41">
        <f>'Raw Data_Mod Tests'!G94</f>
        <v>0</v>
      </c>
      <c r="K343" s="100">
        <f t="shared" si="68"/>
        <v>0</v>
      </c>
      <c r="L343" s="95" t="e">
        <f t="shared" si="69"/>
        <v>#DIV/0!</v>
      </c>
    </row>
    <row r="344" spans="1:12" x14ac:dyDescent="0.25">
      <c r="A344" s="130"/>
      <c r="B344" s="131" t="s">
        <v>8</v>
      </c>
      <c r="C344" s="132"/>
      <c r="D344" s="97">
        <f>'Raw Data_Mod Tests'!N95</f>
        <v>0</v>
      </c>
      <c r="E344" s="4">
        <v>46.2</v>
      </c>
      <c r="F344" s="141">
        <f>'Raw Data_Mod Tests'!$P$2</f>
        <v>-2.7000000000000001E-3</v>
      </c>
      <c r="G344" s="142"/>
      <c r="H344" s="62">
        <f t="shared" si="67"/>
        <v>0</v>
      </c>
      <c r="I344" s="59">
        <f t="shared" si="66"/>
        <v>0</v>
      </c>
      <c r="J344" s="41">
        <f>'Raw Data_Mod Tests'!G95</f>
        <v>0</v>
      </c>
      <c r="K344" s="100">
        <f t="shared" si="68"/>
        <v>0</v>
      </c>
      <c r="L344" s="95" t="e">
        <f t="shared" si="69"/>
        <v>#DIV/0!</v>
      </c>
    </row>
    <row r="345" spans="1:12" x14ac:dyDescent="0.25">
      <c r="A345" s="129" t="s">
        <v>14</v>
      </c>
      <c r="B345" s="131" t="s">
        <v>7</v>
      </c>
      <c r="C345" s="132"/>
      <c r="D345" s="97">
        <f>'Raw Data_Mod Tests'!N96</f>
        <v>0</v>
      </c>
      <c r="E345" s="4">
        <v>46.2</v>
      </c>
      <c r="F345" s="141">
        <f>'Raw Data_Mod Tests'!$P$2</f>
        <v>-2.7000000000000001E-3</v>
      </c>
      <c r="G345" s="142"/>
      <c r="H345" s="62">
        <f t="shared" si="67"/>
        <v>0</v>
      </c>
      <c r="I345" s="59">
        <f t="shared" si="66"/>
        <v>0</v>
      </c>
      <c r="J345" s="41">
        <f>'Raw Data_Mod Tests'!G96</f>
        <v>0</v>
      </c>
      <c r="K345" s="100">
        <f t="shared" si="68"/>
        <v>0</v>
      </c>
      <c r="L345" s="95" t="e">
        <f t="shared" si="69"/>
        <v>#DIV/0!</v>
      </c>
    </row>
    <row r="346" spans="1:12" x14ac:dyDescent="0.25">
      <c r="A346" s="130"/>
      <c r="B346" s="131" t="s">
        <v>8</v>
      </c>
      <c r="C346" s="132"/>
      <c r="D346" s="97">
        <f>'Raw Data_Mod Tests'!N97</f>
        <v>0</v>
      </c>
      <c r="E346" s="4">
        <v>46.2</v>
      </c>
      <c r="F346" s="141">
        <f>'Raw Data_Mod Tests'!$P$2</f>
        <v>-2.7000000000000001E-3</v>
      </c>
      <c r="G346" s="142"/>
      <c r="H346" s="62">
        <f t="shared" si="67"/>
        <v>0</v>
      </c>
      <c r="I346" s="59">
        <f t="shared" si="66"/>
        <v>0</v>
      </c>
      <c r="J346" s="41">
        <f>'Raw Data_Mod Tests'!G97</f>
        <v>0</v>
      </c>
      <c r="K346" s="100">
        <f t="shared" si="68"/>
        <v>0</v>
      </c>
      <c r="L346" s="95" t="e">
        <f t="shared" si="69"/>
        <v>#DIV/0!</v>
      </c>
    </row>
    <row r="349" spans="1:12" x14ac:dyDescent="0.25">
      <c r="A349" s="136" t="s">
        <v>92</v>
      </c>
      <c r="B349" s="140"/>
      <c r="C349" s="137"/>
      <c r="D349" s="98" t="s">
        <v>52</v>
      </c>
      <c r="E349" s="98" t="s">
        <v>53</v>
      </c>
      <c r="F349" s="154" t="s">
        <v>54</v>
      </c>
      <c r="G349" s="155"/>
      <c r="H349" s="98" t="s">
        <v>55</v>
      </c>
      <c r="I349" s="98" t="s">
        <v>51</v>
      </c>
      <c r="J349" s="98" t="s">
        <v>84</v>
      </c>
      <c r="K349" s="98" t="s">
        <v>100</v>
      </c>
      <c r="L349" s="98" t="s">
        <v>101</v>
      </c>
    </row>
    <row r="350" spans="1:12" x14ac:dyDescent="0.25">
      <c r="A350" s="129" t="s">
        <v>6</v>
      </c>
      <c r="B350" s="131" t="s">
        <v>7</v>
      </c>
      <c r="C350" s="132"/>
      <c r="D350" s="97">
        <f>'Raw Data_Mod Tests'!N98</f>
        <v>0</v>
      </c>
      <c r="E350" s="97">
        <v>46.2</v>
      </c>
      <c r="F350" s="141">
        <f>'Raw Data_Mod Tests'!$P$2</f>
        <v>-2.7000000000000001E-3</v>
      </c>
      <c r="G350" s="142"/>
      <c r="H350" s="62">
        <f>I148</f>
        <v>0</v>
      </c>
      <c r="I350" s="59">
        <f t="shared" ref="I350:I361" si="70">D350*E350*(1+((F350)*(H350-25)))</f>
        <v>0</v>
      </c>
      <c r="J350" s="41">
        <f>'Raw Data_Mod Tests'!G98</f>
        <v>0</v>
      </c>
      <c r="K350" s="100">
        <f>95%*I350</f>
        <v>0</v>
      </c>
      <c r="L350" s="95" t="e">
        <f>J350/I350</f>
        <v>#DIV/0!</v>
      </c>
    </row>
    <row r="351" spans="1:12" x14ac:dyDescent="0.25">
      <c r="A351" s="130"/>
      <c r="B351" s="131" t="s">
        <v>8</v>
      </c>
      <c r="C351" s="132"/>
      <c r="D351" s="97">
        <f>'Raw Data_Mod Tests'!N99</f>
        <v>0</v>
      </c>
      <c r="E351" s="4">
        <v>46.2</v>
      </c>
      <c r="F351" s="141">
        <f>'Raw Data_Mod Tests'!$P$2</f>
        <v>-2.7000000000000001E-3</v>
      </c>
      <c r="G351" s="142"/>
      <c r="H351" s="62">
        <f t="shared" ref="H351:H361" si="71">I149</f>
        <v>0</v>
      </c>
      <c r="I351" s="59">
        <f t="shared" si="70"/>
        <v>0</v>
      </c>
      <c r="J351" s="41">
        <f>'Raw Data_Mod Tests'!G99</f>
        <v>0</v>
      </c>
      <c r="K351" s="100">
        <f t="shared" ref="K351:K361" si="72">95%*I351</f>
        <v>0</v>
      </c>
      <c r="L351" s="95" t="e">
        <f t="shared" ref="L351:L361" si="73">J351/I351</f>
        <v>#DIV/0!</v>
      </c>
    </row>
    <row r="352" spans="1:12" x14ac:dyDescent="0.25">
      <c r="A352" s="129" t="s">
        <v>10</v>
      </c>
      <c r="B352" s="131" t="s">
        <v>7</v>
      </c>
      <c r="C352" s="132"/>
      <c r="D352" s="97">
        <f>'Raw Data_Mod Tests'!N100</f>
        <v>0</v>
      </c>
      <c r="E352" s="4">
        <v>46.2</v>
      </c>
      <c r="F352" s="141">
        <f>'Raw Data_Mod Tests'!$P$2</f>
        <v>-2.7000000000000001E-3</v>
      </c>
      <c r="G352" s="142"/>
      <c r="H352" s="62">
        <f t="shared" si="71"/>
        <v>0</v>
      </c>
      <c r="I352" s="59">
        <f t="shared" si="70"/>
        <v>0</v>
      </c>
      <c r="J352" s="41">
        <f>'Raw Data_Mod Tests'!G100</f>
        <v>0</v>
      </c>
      <c r="K352" s="100">
        <f t="shared" si="72"/>
        <v>0</v>
      </c>
      <c r="L352" s="95" t="e">
        <f t="shared" si="73"/>
        <v>#DIV/0!</v>
      </c>
    </row>
    <row r="353" spans="1:12" x14ac:dyDescent="0.25">
      <c r="A353" s="130"/>
      <c r="B353" s="131" t="s">
        <v>8</v>
      </c>
      <c r="C353" s="132"/>
      <c r="D353" s="97">
        <f>'Raw Data_Mod Tests'!N101</f>
        <v>0</v>
      </c>
      <c r="E353" s="4">
        <v>46.2</v>
      </c>
      <c r="F353" s="141">
        <f>'Raw Data_Mod Tests'!$P$2</f>
        <v>-2.7000000000000001E-3</v>
      </c>
      <c r="G353" s="142"/>
      <c r="H353" s="62">
        <f t="shared" si="71"/>
        <v>0</v>
      </c>
      <c r="I353" s="59">
        <f t="shared" si="70"/>
        <v>0</v>
      </c>
      <c r="J353" s="41">
        <f>'Raw Data_Mod Tests'!G101</f>
        <v>0</v>
      </c>
      <c r="K353" s="100">
        <f t="shared" si="72"/>
        <v>0</v>
      </c>
      <c r="L353" s="95" t="e">
        <f t="shared" si="73"/>
        <v>#DIV/0!</v>
      </c>
    </row>
    <row r="354" spans="1:12" x14ac:dyDescent="0.25">
      <c r="A354" s="129" t="s">
        <v>11</v>
      </c>
      <c r="B354" s="131" t="s">
        <v>7</v>
      </c>
      <c r="C354" s="132"/>
      <c r="D354" s="97">
        <f>'Raw Data_Mod Tests'!N102</f>
        <v>0</v>
      </c>
      <c r="E354" s="4">
        <v>46.2</v>
      </c>
      <c r="F354" s="141">
        <f>'Raw Data_Mod Tests'!$P$2</f>
        <v>-2.7000000000000001E-3</v>
      </c>
      <c r="G354" s="142"/>
      <c r="H354" s="62">
        <f t="shared" si="71"/>
        <v>0</v>
      </c>
      <c r="I354" s="59">
        <f t="shared" si="70"/>
        <v>0</v>
      </c>
      <c r="J354" s="41">
        <f>'Raw Data_Mod Tests'!G102</f>
        <v>0</v>
      </c>
      <c r="K354" s="100">
        <f t="shared" si="72"/>
        <v>0</v>
      </c>
      <c r="L354" s="95" t="e">
        <f t="shared" si="73"/>
        <v>#DIV/0!</v>
      </c>
    </row>
    <row r="355" spans="1:12" x14ac:dyDescent="0.25">
      <c r="A355" s="130"/>
      <c r="B355" s="131" t="s">
        <v>8</v>
      </c>
      <c r="C355" s="132"/>
      <c r="D355" s="97">
        <f>'Raw Data_Mod Tests'!N103</f>
        <v>0</v>
      </c>
      <c r="E355" s="4">
        <v>46.2</v>
      </c>
      <c r="F355" s="141">
        <f>'Raw Data_Mod Tests'!$P$2</f>
        <v>-2.7000000000000001E-3</v>
      </c>
      <c r="G355" s="142"/>
      <c r="H355" s="62">
        <f t="shared" si="71"/>
        <v>0</v>
      </c>
      <c r="I355" s="59">
        <f t="shared" si="70"/>
        <v>0</v>
      </c>
      <c r="J355" s="41">
        <f>'Raw Data_Mod Tests'!G103</f>
        <v>0</v>
      </c>
      <c r="K355" s="100">
        <f t="shared" si="72"/>
        <v>0</v>
      </c>
      <c r="L355" s="95" t="e">
        <f t="shared" si="73"/>
        <v>#DIV/0!</v>
      </c>
    </row>
    <row r="356" spans="1:12" x14ac:dyDescent="0.25">
      <c r="A356" s="129" t="s">
        <v>12</v>
      </c>
      <c r="B356" s="131" t="s">
        <v>7</v>
      </c>
      <c r="C356" s="132"/>
      <c r="D356" s="97">
        <f>'Raw Data_Mod Tests'!N104</f>
        <v>0</v>
      </c>
      <c r="E356" s="4">
        <v>46.2</v>
      </c>
      <c r="F356" s="141">
        <f>'Raw Data_Mod Tests'!$P$2</f>
        <v>-2.7000000000000001E-3</v>
      </c>
      <c r="G356" s="142"/>
      <c r="H356" s="62">
        <f t="shared" si="71"/>
        <v>0</v>
      </c>
      <c r="I356" s="59">
        <f t="shared" si="70"/>
        <v>0</v>
      </c>
      <c r="J356" s="41">
        <f>'Raw Data_Mod Tests'!G104</f>
        <v>0</v>
      </c>
      <c r="K356" s="100">
        <f t="shared" si="72"/>
        <v>0</v>
      </c>
      <c r="L356" s="95" t="e">
        <f t="shared" si="73"/>
        <v>#DIV/0!</v>
      </c>
    </row>
    <row r="357" spans="1:12" x14ac:dyDescent="0.25">
      <c r="A357" s="130"/>
      <c r="B357" s="131" t="s">
        <v>8</v>
      </c>
      <c r="C357" s="132"/>
      <c r="D357" s="97">
        <f>'Raw Data_Mod Tests'!N105</f>
        <v>0</v>
      </c>
      <c r="E357" s="4">
        <v>46.2</v>
      </c>
      <c r="F357" s="141">
        <f>'Raw Data_Mod Tests'!$P$2</f>
        <v>-2.7000000000000001E-3</v>
      </c>
      <c r="G357" s="142"/>
      <c r="H357" s="62">
        <f t="shared" si="71"/>
        <v>0</v>
      </c>
      <c r="I357" s="59">
        <f t="shared" si="70"/>
        <v>0</v>
      </c>
      <c r="J357" s="41">
        <f>'Raw Data_Mod Tests'!G105</f>
        <v>0</v>
      </c>
      <c r="K357" s="100">
        <f t="shared" si="72"/>
        <v>0</v>
      </c>
      <c r="L357" s="95" t="e">
        <f t="shared" si="73"/>
        <v>#DIV/0!</v>
      </c>
    </row>
    <row r="358" spans="1:12" s="6" customFormat="1" ht="15" customHeight="1" x14ac:dyDescent="0.2">
      <c r="A358" s="129" t="s">
        <v>13</v>
      </c>
      <c r="B358" s="131" t="s">
        <v>7</v>
      </c>
      <c r="C358" s="132"/>
      <c r="D358" s="97">
        <f>'Raw Data_Mod Tests'!N106</f>
        <v>0</v>
      </c>
      <c r="E358" s="4">
        <v>46.2</v>
      </c>
      <c r="F358" s="141">
        <f>'Raw Data_Mod Tests'!$P$2</f>
        <v>-2.7000000000000001E-3</v>
      </c>
      <c r="G358" s="142"/>
      <c r="H358" s="62">
        <f t="shared" si="71"/>
        <v>0</v>
      </c>
      <c r="I358" s="59">
        <f t="shared" si="70"/>
        <v>0</v>
      </c>
      <c r="J358" s="41">
        <f>'Raw Data_Mod Tests'!G106</f>
        <v>0</v>
      </c>
      <c r="K358" s="100">
        <f t="shared" si="72"/>
        <v>0</v>
      </c>
      <c r="L358" s="95" t="e">
        <f t="shared" si="73"/>
        <v>#DIV/0!</v>
      </c>
    </row>
    <row r="359" spans="1:12" s="6" customFormat="1" ht="15" customHeight="1" x14ac:dyDescent="0.2">
      <c r="A359" s="130"/>
      <c r="B359" s="131" t="s">
        <v>8</v>
      </c>
      <c r="C359" s="132"/>
      <c r="D359" s="97">
        <f>'Raw Data_Mod Tests'!N107</f>
        <v>0</v>
      </c>
      <c r="E359" s="4">
        <v>46.2</v>
      </c>
      <c r="F359" s="141">
        <f>'Raw Data_Mod Tests'!$P$2</f>
        <v>-2.7000000000000001E-3</v>
      </c>
      <c r="G359" s="142"/>
      <c r="H359" s="62">
        <f t="shared" si="71"/>
        <v>0</v>
      </c>
      <c r="I359" s="59">
        <f t="shared" si="70"/>
        <v>0</v>
      </c>
      <c r="J359" s="41">
        <f>'Raw Data_Mod Tests'!G107</f>
        <v>0</v>
      </c>
      <c r="K359" s="100">
        <f t="shared" si="72"/>
        <v>0</v>
      </c>
      <c r="L359" s="95" t="e">
        <f t="shared" si="73"/>
        <v>#DIV/0!</v>
      </c>
    </row>
    <row r="360" spans="1:12" s="6" customFormat="1" ht="15" customHeight="1" x14ac:dyDescent="0.2">
      <c r="A360" s="129" t="s">
        <v>14</v>
      </c>
      <c r="B360" s="131" t="s">
        <v>7</v>
      </c>
      <c r="C360" s="132"/>
      <c r="D360" s="97">
        <f>'Raw Data_Mod Tests'!N108</f>
        <v>0</v>
      </c>
      <c r="E360" s="4">
        <v>46.2</v>
      </c>
      <c r="F360" s="141">
        <f>'Raw Data_Mod Tests'!$P$2</f>
        <v>-2.7000000000000001E-3</v>
      </c>
      <c r="G360" s="142"/>
      <c r="H360" s="62">
        <f t="shared" si="71"/>
        <v>0</v>
      </c>
      <c r="I360" s="59">
        <f t="shared" si="70"/>
        <v>0</v>
      </c>
      <c r="J360" s="41">
        <f>'Raw Data_Mod Tests'!G108</f>
        <v>0</v>
      </c>
      <c r="K360" s="100">
        <f t="shared" si="72"/>
        <v>0</v>
      </c>
      <c r="L360" s="95" t="e">
        <f t="shared" si="73"/>
        <v>#DIV/0!</v>
      </c>
    </row>
    <row r="361" spans="1:12" s="6" customFormat="1" ht="15" customHeight="1" x14ac:dyDescent="0.2">
      <c r="A361" s="130"/>
      <c r="B361" s="131" t="s">
        <v>8</v>
      </c>
      <c r="C361" s="132"/>
      <c r="D361" s="97">
        <f>'Raw Data_Mod Tests'!N109</f>
        <v>0</v>
      </c>
      <c r="E361" s="4">
        <v>46.2</v>
      </c>
      <c r="F361" s="141">
        <f>'Raw Data_Mod Tests'!$P$2</f>
        <v>-2.7000000000000001E-3</v>
      </c>
      <c r="G361" s="142"/>
      <c r="H361" s="62">
        <f t="shared" si="71"/>
        <v>0</v>
      </c>
      <c r="I361" s="59">
        <f t="shared" si="70"/>
        <v>0</v>
      </c>
      <c r="J361" s="41">
        <f>'Raw Data_Mod Tests'!G109</f>
        <v>0</v>
      </c>
      <c r="K361" s="100">
        <f t="shared" si="72"/>
        <v>0</v>
      </c>
      <c r="L361" s="95" t="e">
        <f t="shared" si="73"/>
        <v>#DIV/0!</v>
      </c>
    </row>
    <row r="362" spans="1:12" s="6" customFormat="1" ht="14.25" x14ac:dyDescent="0.2"/>
    <row r="363" spans="1:12" s="6" customFormat="1" ht="14.25" x14ac:dyDescent="0.2"/>
    <row r="364" spans="1:12" s="6" customFormat="1" x14ac:dyDescent="0.2">
      <c r="A364" s="136" t="s">
        <v>93</v>
      </c>
      <c r="B364" s="140"/>
      <c r="C364" s="137"/>
      <c r="D364" s="98" t="s">
        <v>52</v>
      </c>
      <c r="E364" s="98" t="s">
        <v>53</v>
      </c>
      <c r="F364" s="154" t="s">
        <v>54</v>
      </c>
      <c r="G364" s="155"/>
      <c r="H364" s="98" t="s">
        <v>55</v>
      </c>
      <c r="I364" s="98" t="s">
        <v>51</v>
      </c>
      <c r="J364" s="98" t="s">
        <v>84</v>
      </c>
      <c r="K364" s="98" t="s">
        <v>100</v>
      </c>
      <c r="L364" s="98" t="s">
        <v>101</v>
      </c>
    </row>
    <row r="365" spans="1:12" s="6" customFormat="1" ht="14.25" x14ac:dyDescent="0.2">
      <c r="A365" s="129" t="s">
        <v>6</v>
      </c>
      <c r="B365" s="131" t="s">
        <v>7</v>
      </c>
      <c r="C365" s="132"/>
      <c r="D365" s="97">
        <f>'Raw Data_Mod Tests'!N110</f>
        <v>0</v>
      </c>
      <c r="E365" s="97">
        <v>46.2</v>
      </c>
      <c r="F365" s="141">
        <f>'Raw Data_Mod Tests'!$P$2</f>
        <v>-2.7000000000000001E-3</v>
      </c>
      <c r="G365" s="142"/>
      <c r="H365" s="62">
        <f>I163</f>
        <v>0</v>
      </c>
      <c r="I365" s="59">
        <f t="shared" ref="I365:I376" si="74">D365*E365*(1+((F365)*(H365-25)))</f>
        <v>0</v>
      </c>
      <c r="J365" s="41">
        <f>'Raw Data_Mod Tests'!G110</f>
        <v>0</v>
      </c>
      <c r="K365" s="100">
        <f>95%*I365</f>
        <v>0</v>
      </c>
      <c r="L365" s="95" t="e">
        <f>J365/I365</f>
        <v>#DIV/0!</v>
      </c>
    </row>
    <row r="366" spans="1:12" s="6" customFormat="1" ht="14.25" x14ac:dyDescent="0.2">
      <c r="A366" s="130"/>
      <c r="B366" s="131" t="s">
        <v>8</v>
      </c>
      <c r="C366" s="132"/>
      <c r="D366" s="97">
        <f>'Raw Data_Mod Tests'!N111</f>
        <v>0</v>
      </c>
      <c r="E366" s="4">
        <v>46.2</v>
      </c>
      <c r="F366" s="141">
        <f>'Raw Data_Mod Tests'!$P$2</f>
        <v>-2.7000000000000001E-3</v>
      </c>
      <c r="G366" s="142"/>
      <c r="H366" s="62">
        <f t="shared" ref="H366:H376" si="75">I164</f>
        <v>0</v>
      </c>
      <c r="I366" s="59">
        <f t="shared" si="74"/>
        <v>0</v>
      </c>
      <c r="J366" s="41">
        <f>'Raw Data_Mod Tests'!G111</f>
        <v>0</v>
      </c>
      <c r="K366" s="100">
        <f t="shared" ref="K366:K376" si="76">95%*I366</f>
        <v>0</v>
      </c>
      <c r="L366" s="95" t="e">
        <f t="shared" ref="L366:L376" si="77">J366/I366</f>
        <v>#DIV/0!</v>
      </c>
    </row>
    <row r="367" spans="1:12" s="6" customFormat="1" ht="14.25" x14ac:dyDescent="0.2">
      <c r="A367" s="129" t="s">
        <v>10</v>
      </c>
      <c r="B367" s="131" t="s">
        <v>7</v>
      </c>
      <c r="C367" s="132"/>
      <c r="D367" s="97">
        <f>'Raw Data_Mod Tests'!N112</f>
        <v>0</v>
      </c>
      <c r="E367" s="4">
        <v>46.2</v>
      </c>
      <c r="F367" s="141">
        <f>'Raw Data_Mod Tests'!$P$2</f>
        <v>-2.7000000000000001E-3</v>
      </c>
      <c r="G367" s="142"/>
      <c r="H367" s="62">
        <f t="shared" si="75"/>
        <v>0</v>
      </c>
      <c r="I367" s="59">
        <f t="shared" si="74"/>
        <v>0</v>
      </c>
      <c r="J367" s="41">
        <f>'Raw Data_Mod Tests'!G112</f>
        <v>0</v>
      </c>
      <c r="K367" s="100">
        <f t="shared" si="76"/>
        <v>0</v>
      </c>
      <c r="L367" s="95" t="e">
        <f t="shared" si="77"/>
        <v>#DIV/0!</v>
      </c>
    </row>
    <row r="368" spans="1:12" s="6" customFormat="1" ht="14.25" x14ac:dyDescent="0.2">
      <c r="A368" s="130"/>
      <c r="B368" s="131" t="s">
        <v>8</v>
      </c>
      <c r="C368" s="132"/>
      <c r="D368" s="97">
        <f>'Raw Data_Mod Tests'!N113</f>
        <v>0</v>
      </c>
      <c r="E368" s="4">
        <v>46.2</v>
      </c>
      <c r="F368" s="141">
        <f>'Raw Data_Mod Tests'!$P$2</f>
        <v>-2.7000000000000001E-3</v>
      </c>
      <c r="G368" s="142"/>
      <c r="H368" s="62">
        <f t="shared" si="75"/>
        <v>0</v>
      </c>
      <c r="I368" s="59">
        <f t="shared" si="74"/>
        <v>0</v>
      </c>
      <c r="J368" s="41">
        <f>'Raw Data_Mod Tests'!G113</f>
        <v>0</v>
      </c>
      <c r="K368" s="100">
        <f t="shared" si="76"/>
        <v>0</v>
      </c>
      <c r="L368" s="95" t="e">
        <f t="shared" si="77"/>
        <v>#DIV/0!</v>
      </c>
    </row>
    <row r="369" spans="1:12" x14ac:dyDescent="0.25">
      <c r="A369" s="129" t="s">
        <v>11</v>
      </c>
      <c r="B369" s="131" t="s">
        <v>7</v>
      </c>
      <c r="C369" s="132"/>
      <c r="D369" s="97">
        <f>'Raw Data_Mod Tests'!N114</f>
        <v>0</v>
      </c>
      <c r="E369" s="4">
        <v>46.2</v>
      </c>
      <c r="F369" s="141">
        <f>'Raw Data_Mod Tests'!$P$2</f>
        <v>-2.7000000000000001E-3</v>
      </c>
      <c r="G369" s="142"/>
      <c r="H369" s="62">
        <f t="shared" si="75"/>
        <v>0</v>
      </c>
      <c r="I369" s="59">
        <f t="shared" si="74"/>
        <v>0</v>
      </c>
      <c r="J369" s="41">
        <f>'Raw Data_Mod Tests'!G114</f>
        <v>0</v>
      </c>
      <c r="K369" s="100">
        <f t="shared" si="76"/>
        <v>0</v>
      </c>
      <c r="L369" s="95" t="e">
        <f t="shared" si="77"/>
        <v>#DIV/0!</v>
      </c>
    </row>
    <row r="370" spans="1:12" x14ac:dyDescent="0.25">
      <c r="A370" s="130"/>
      <c r="B370" s="131" t="s">
        <v>8</v>
      </c>
      <c r="C370" s="132"/>
      <c r="D370" s="97">
        <f>'Raw Data_Mod Tests'!N115</f>
        <v>0</v>
      </c>
      <c r="E370" s="4">
        <v>46.2</v>
      </c>
      <c r="F370" s="141">
        <f>'Raw Data_Mod Tests'!$P$2</f>
        <v>-2.7000000000000001E-3</v>
      </c>
      <c r="G370" s="142"/>
      <c r="H370" s="62">
        <f t="shared" si="75"/>
        <v>0</v>
      </c>
      <c r="I370" s="59">
        <f t="shared" si="74"/>
        <v>0</v>
      </c>
      <c r="J370" s="41">
        <f>'Raw Data_Mod Tests'!G115</f>
        <v>0</v>
      </c>
      <c r="K370" s="100">
        <f t="shared" si="76"/>
        <v>0</v>
      </c>
      <c r="L370" s="95" t="e">
        <f t="shared" si="77"/>
        <v>#DIV/0!</v>
      </c>
    </row>
    <row r="371" spans="1:12" x14ac:dyDescent="0.25">
      <c r="A371" s="129" t="s">
        <v>12</v>
      </c>
      <c r="B371" s="131" t="s">
        <v>7</v>
      </c>
      <c r="C371" s="132"/>
      <c r="D371" s="97">
        <f>'Raw Data_Mod Tests'!N116</f>
        <v>0</v>
      </c>
      <c r="E371" s="4">
        <v>46.2</v>
      </c>
      <c r="F371" s="141">
        <f>'Raw Data_Mod Tests'!$P$2</f>
        <v>-2.7000000000000001E-3</v>
      </c>
      <c r="G371" s="142"/>
      <c r="H371" s="62">
        <f t="shared" si="75"/>
        <v>0</v>
      </c>
      <c r="I371" s="59">
        <f t="shared" si="74"/>
        <v>0</v>
      </c>
      <c r="J371" s="41">
        <f>'Raw Data_Mod Tests'!G116</f>
        <v>0</v>
      </c>
      <c r="K371" s="100">
        <f t="shared" si="76"/>
        <v>0</v>
      </c>
      <c r="L371" s="95" t="e">
        <f t="shared" si="77"/>
        <v>#DIV/0!</v>
      </c>
    </row>
    <row r="372" spans="1:12" x14ac:dyDescent="0.25">
      <c r="A372" s="130"/>
      <c r="B372" s="131" t="s">
        <v>8</v>
      </c>
      <c r="C372" s="132"/>
      <c r="D372" s="97">
        <f>'Raw Data_Mod Tests'!N117</f>
        <v>0</v>
      </c>
      <c r="E372" s="4">
        <v>46.2</v>
      </c>
      <c r="F372" s="141">
        <f>'Raw Data_Mod Tests'!$P$2</f>
        <v>-2.7000000000000001E-3</v>
      </c>
      <c r="G372" s="142"/>
      <c r="H372" s="62">
        <f t="shared" si="75"/>
        <v>0</v>
      </c>
      <c r="I372" s="59">
        <f t="shared" si="74"/>
        <v>0</v>
      </c>
      <c r="J372" s="41">
        <f>'Raw Data_Mod Tests'!G117</f>
        <v>0</v>
      </c>
      <c r="K372" s="100">
        <f t="shared" si="76"/>
        <v>0</v>
      </c>
      <c r="L372" s="95" t="e">
        <f t="shared" si="77"/>
        <v>#DIV/0!</v>
      </c>
    </row>
    <row r="373" spans="1:12" x14ac:dyDescent="0.25">
      <c r="A373" s="129" t="s">
        <v>13</v>
      </c>
      <c r="B373" s="131" t="s">
        <v>7</v>
      </c>
      <c r="C373" s="132"/>
      <c r="D373" s="97">
        <f>'Raw Data_Mod Tests'!N118</f>
        <v>0</v>
      </c>
      <c r="E373" s="4">
        <v>46.2</v>
      </c>
      <c r="F373" s="141">
        <f>'Raw Data_Mod Tests'!$P$2</f>
        <v>-2.7000000000000001E-3</v>
      </c>
      <c r="G373" s="142"/>
      <c r="H373" s="62">
        <f t="shared" si="75"/>
        <v>0</v>
      </c>
      <c r="I373" s="59">
        <f t="shared" si="74"/>
        <v>0</v>
      </c>
      <c r="J373" s="41">
        <f>'Raw Data_Mod Tests'!G118</f>
        <v>0</v>
      </c>
      <c r="K373" s="100">
        <f t="shared" si="76"/>
        <v>0</v>
      </c>
      <c r="L373" s="95" t="e">
        <f t="shared" si="77"/>
        <v>#DIV/0!</v>
      </c>
    </row>
    <row r="374" spans="1:12" x14ac:dyDescent="0.25">
      <c r="A374" s="130"/>
      <c r="B374" s="131" t="s">
        <v>8</v>
      </c>
      <c r="C374" s="132"/>
      <c r="D374" s="97">
        <f>'Raw Data_Mod Tests'!N119</f>
        <v>0</v>
      </c>
      <c r="E374" s="4">
        <v>46.2</v>
      </c>
      <c r="F374" s="141">
        <f>'Raw Data_Mod Tests'!$P$2</f>
        <v>-2.7000000000000001E-3</v>
      </c>
      <c r="G374" s="142"/>
      <c r="H374" s="62">
        <f t="shared" si="75"/>
        <v>0</v>
      </c>
      <c r="I374" s="59">
        <f t="shared" si="74"/>
        <v>0</v>
      </c>
      <c r="J374" s="41">
        <f>'Raw Data_Mod Tests'!G119</f>
        <v>0</v>
      </c>
      <c r="K374" s="100">
        <f t="shared" si="76"/>
        <v>0</v>
      </c>
      <c r="L374" s="95" t="e">
        <f t="shared" si="77"/>
        <v>#DIV/0!</v>
      </c>
    </row>
    <row r="375" spans="1:12" x14ac:dyDescent="0.25">
      <c r="A375" s="129" t="s">
        <v>14</v>
      </c>
      <c r="B375" s="131" t="s">
        <v>7</v>
      </c>
      <c r="C375" s="132"/>
      <c r="D375" s="97">
        <f>'Raw Data_Mod Tests'!N120</f>
        <v>0</v>
      </c>
      <c r="E375" s="4">
        <v>46.2</v>
      </c>
      <c r="F375" s="141">
        <f>'Raw Data_Mod Tests'!$P$2</f>
        <v>-2.7000000000000001E-3</v>
      </c>
      <c r="G375" s="142"/>
      <c r="H375" s="62">
        <f t="shared" si="75"/>
        <v>0</v>
      </c>
      <c r="I375" s="59">
        <f t="shared" si="74"/>
        <v>0</v>
      </c>
      <c r="J375" s="41">
        <f>'Raw Data_Mod Tests'!G120</f>
        <v>0</v>
      </c>
      <c r="K375" s="100">
        <f t="shared" si="76"/>
        <v>0</v>
      </c>
      <c r="L375" s="95" t="e">
        <f t="shared" si="77"/>
        <v>#DIV/0!</v>
      </c>
    </row>
    <row r="376" spans="1:12" x14ac:dyDescent="0.25">
      <c r="A376" s="130"/>
      <c r="B376" s="131" t="s">
        <v>8</v>
      </c>
      <c r="C376" s="132"/>
      <c r="D376" s="97">
        <f>'Raw Data_Mod Tests'!N121</f>
        <v>0</v>
      </c>
      <c r="E376" s="4">
        <v>46.2</v>
      </c>
      <c r="F376" s="141">
        <f>'Raw Data_Mod Tests'!$P$2</f>
        <v>-2.7000000000000001E-3</v>
      </c>
      <c r="G376" s="142"/>
      <c r="H376" s="62">
        <f t="shared" si="75"/>
        <v>0</v>
      </c>
      <c r="I376" s="59">
        <f t="shared" si="74"/>
        <v>0</v>
      </c>
      <c r="J376" s="41">
        <f>'Raw Data_Mod Tests'!G121</f>
        <v>0</v>
      </c>
      <c r="K376" s="100">
        <f t="shared" si="76"/>
        <v>0</v>
      </c>
      <c r="L376" s="95" t="e">
        <f t="shared" si="77"/>
        <v>#DIV/0!</v>
      </c>
    </row>
    <row r="379" spans="1:12" x14ac:dyDescent="0.25">
      <c r="A379" s="136" t="s">
        <v>94</v>
      </c>
      <c r="B379" s="140"/>
      <c r="C379" s="137"/>
      <c r="D379" s="98" t="s">
        <v>52</v>
      </c>
      <c r="E379" s="98" t="s">
        <v>53</v>
      </c>
      <c r="F379" s="154" t="s">
        <v>54</v>
      </c>
      <c r="G379" s="155"/>
      <c r="H379" s="98" t="s">
        <v>55</v>
      </c>
      <c r="I379" s="98" t="s">
        <v>51</v>
      </c>
      <c r="J379" s="98" t="s">
        <v>84</v>
      </c>
      <c r="K379" s="98" t="s">
        <v>100</v>
      </c>
      <c r="L379" s="98" t="s">
        <v>101</v>
      </c>
    </row>
    <row r="380" spans="1:12" x14ac:dyDescent="0.25">
      <c r="A380" s="129" t="s">
        <v>6</v>
      </c>
      <c r="B380" s="131" t="s">
        <v>7</v>
      </c>
      <c r="C380" s="132"/>
      <c r="D380" s="97">
        <f>'Raw Data_Mod Tests'!N122</f>
        <v>0</v>
      </c>
      <c r="E380" s="97">
        <v>46.2</v>
      </c>
      <c r="F380" s="141">
        <f>'Raw Data_Mod Tests'!$P$2</f>
        <v>-2.7000000000000001E-3</v>
      </c>
      <c r="G380" s="142"/>
      <c r="H380" s="62">
        <f>I178</f>
        <v>0</v>
      </c>
      <c r="I380" s="59">
        <f t="shared" ref="I380:I391" si="78">D380*E380*(1+((F380)*(H380-25)))</f>
        <v>0</v>
      </c>
      <c r="J380" s="41">
        <f>'Raw Data_Mod Tests'!G122</f>
        <v>0</v>
      </c>
      <c r="K380" s="100">
        <f>95%*I380</f>
        <v>0</v>
      </c>
      <c r="L380" s="95" t="e">
        <f>J380/I380</f>
        <v>#DIV/0!</v>
      </c>
    </row>
    <row r="381" spans="1:12" x14ac:dyDescent="0.25">
      <c r="A381" s="130"/>
      <c r="B381" s="131" t="s">
        <v>8</v>
      </c>
      <c r="C381" s="132"/>
      <c r="D381" s="97">
        <f>'Raw Data_Mod Tests'!N123</f>
        <v>0</v>
      </c>
      <c r="E381" s="4">
        <v>46.2</v>
      </c>
      <c r="F381" s="141">
        <f>'Raw Data_Mod Tests'!$P$2</f>
        <v>-2.7000000000000001E-3</v>
      </c>
      <c r="G381" s="142"/>
      <c r="H381" s="62">
        <f t="shared" ref="H381:H391" si="79">I179</f>
        <v>0</v>
      </c>
      <c r="I381" s="59">
        <f t="shared" si="78"/>
        <v>0</v>
      </c>
      <c r="J381" s="41">
        <f>'Raw Data_Mod Tests'!G123</f>
        <v>0</v>
      </c>
      <c r="K381" s="100">
        <f t="shared" ref="K381:K391" si="80">95%*I381</f>
        <v>0</v>
      </c>
      <c r="L381" s="95" t="e">
        <f t="shared" ref="L381:L391" si="81">J381/I381</f>
        <v>#DIV/0!</v>
      </c>
    </row>
    <row r="382" spans="1:12" x14ac:dyDescent="0.25">
      <c r="A382" s="129" t="s">
        <v>10</v>
      </c>
      <c r="B382" s="131" t="s">
        <v>7</v>
      </c>
      <c r="C382" s="132"/>
      <c r="D382" s="97">
        <f>'Raw Data_Mod Tests'!N124</f>
        <v>0</v>
      </c>
      <c r="E382" s="4">
        <v>46.2</v>
      </c>
      <c r="F382" s="141">
        <f>'Raw Data_Mod Tests'!$P$2</f>
        <v>-2.7000000000000001E-3</v>
      </c>
      <c r="G382" s="142"/>
      <c r="H382" s="62">
        <f t="shared" si="79"/>
        <v>0</v>
      </c>
      <c r="I382" s="59">
        <f t="shared" si="78"/>
        <v>0</v>
      </c>
      <c r="J382" s="41">
        <f>'Raw Data_Mod Tests'!G124</f>
        <v>0</v>
      </c>
      <c r="K382" s="100">
        <f t="shared" si="80"/>
        <v>0</v>
      </c>
      <c r="L382" s="95" t="e">
        <f t="shared" si="81"/>
        <v>#DIV/0!</v>
      </c>
    </row>
    <row r="383" spans="1:12" x14ac:dyDescent="0.25">
      <c r="A383" s="130"/>
      <c r="B383" s="131" t="s">
        <v>8</v>
      </c>
      <c r="C383" s="132"/>
      <c r="D383" s="97">
        <f>'Raw Data_Mod Tests'!N125</f>
        <v>0</v>
      </c>
      <c r="E383" s="4">
        <v>46.2</v>
      </c>
      <c r="F383" s="141">
        <f>'Raw Data_Mod Tests'!$P$2</f>
        <v>-2.7000000000000001E-3</v>
      </c>
      <c r="G383" s="142"/>
      <c r="H383" s="62">
        <f t="shared" si="79"/>
        <v>0</v>
      </c>
      <c r="I383" s="59">
        <f t="shared" si="78"/>
        <v>0</v>
      </c>
      <c r="J383" s="41">
        <f>'Raw Data_Mod Tests'!G125</f>
        <v>0</v>
      </c>
      <c r="K383" s="100">
        <f t="shared" si="80"/>
        <v>0</v>
      </c>
      <c r="L383" s="95" t="e">
        <f t="shared" si="81"/>
        <v>#DIV/0!</v>
      </c>
    </row>
    <row r="384" spans="1:12" x14ac:dyDescent="0.25">
      <c r="A384" s="129" t="s">
        <v>11</v>
      </c>
      <c r="B384" s="131" t="s">
        <v>7</v>
      </c>
      <c r="C384" s="132"/>
      <c r="D384" s="97">
        <f>'Raw Data_Mod Tests'!N126</f>
        <v>0</v>
      </c>
      <c r="E384" s="4">
        <v>46.2</v>
      </c>
      <c r="F384" s="141">
        <f>'Raw Data_Mod Tests'!$P$2</f>
        <v>-2.7000000000000001E-3</v>
      </c>
      <c r="G384" s="142"/>
      <c r="H384" s="62">
        <f t="shared" si="79"/>
        <v>0</v>
      </c>
      <c r="I384" s="59">
        <f t="shared" si="78"/>
        <v>0</v>
      </c>
      <c r="J384" s="41">
        <f>'Raw Data_Mod Tests'!G126</f>
        <v>0</v>
      </c>
      <c r="K384" s="100">
        <f t="shared" si="80"/>
        <v>0</v>
      </c>
      <c r="L384" s="95" t="e">
        <f t="shared" si="81"/>
        <v>#DIV/0!</v>
      </c>
    </row>
    <row r="385" spans="1:12" x14ac:dyDescent="0.25">
      <c r="A385" s="130"/>
      <c r="B385" s="131" t="s">
        <v>8</v>
      </c>
      <c r="C385" s="132"/>
      <c r="D385" s="97">
        <f>'Raw Data_Mod Tests'!N127</f>
        <v>0</v>
      </c>
      <c r="E385" s="4">
        <v>46.2</v>
      </c>
      <c r="F385" s="141">
        <f>'Raw Data_Mod Tests'!$P$2</f>
        <v>-2.7000000000000001E-3</v>
      </c>
      <c r="G385" s="142"/>
      <c r="H385" s="62">
        <f t="shared" si="79"/>
        <v>0</v>
      </c>
      <c r="I385" s="59">
        <f t="shared" si="78"/>
        <v>0</v>
      </c>
      <c r="J385" s="41">
        <f>'Raw Data_Mod Tests'!G127</f>
        <v>0</v>
      </c>
      <c r="K385" s="100">
        <f t="shared" si="80"/>
        <v>0</v>
      </c>
      <c r="L385" s="95" t="e">
        <f t="shared" si="81"/>
        <v>#DIV/0!</v>
      </c>
    </row>
    <row r="386" spans="1:12" x14ac:dyDescent="0.25">
      <c r="A386" s="129" t="s">
        <v>12</v>
      </c>
      <c r="B386" s="131" t="s">
        <v>7</v>
      </c>
      <c r="C386" s="132"/>
      <c r="D386" s="97">
        <f>'Raw Data_Mod Tests'!N128</f>
        <v>0</v>
      </c>
      <c r="E386" s="4">
        <v>46.2</v>
      </c>
      <c r="F386" s="141">
        <f>'Raw Data_Mod Tests'!$P$2</f>
        <v>-2.7000000000000001E-3</v>
      </c>
      <c r="G386" s="142"/>
      <c r="H386" s="62">
        <f t="shared" si="79"/>
        <v>0</v>
      </c>
      <c r="I386" s="59">
        <f t="shared" si="78"/>
        <v>0</v>
      </c>
      <c r="J386" s="41">
        <f>'Raw Data_Mod Tests'!G128</f>
        <v>0</v>
      </c>
      <c r="K386" s="100">
        <f t="shared" si="80"/>
        <v>0</v>
      </c>
      <c r="L386" s="95" t="e">
        <f t="shared" si="81"/>
        <v>#DIV/0!</v>
      </c>
    </row>
    <row r="387" spans="1:12" x14ac:dyDescent="0.25">
      <c r="A387" s="130"/>
      <c r="B387" s="131" t="s">
        <v>8</v>
      </c>
      <c r="C387" s="132"/>
      <c r="D387" s="97">
        <f>'Raw Data_Mod Tests'!N129</f>
        <v>0</v>
      </c>
      <c r="E387" s="4">
        <v>46.2</v>
      </c>
      <c r="F387" s="141">
        <f>'Raw Data_Mod Tests'!$P$2</f>
        <v>-2.7000000000000001E-3</v>
      </c>
      <c r="G387" s="142"/>
      <c r="H387" s="62">
        <f t="shared" si="79"/>
        <v>0</v>
      </c>
      <c r="I387" s="59">
        <f t="shared" si="78"/>
        <v>0</v>
      </c>
      <c r="J387" s="41">
        <f>'Raw Data_Mod Tests'!G129</f>
        <v>0</v>
      </c>
      <c r="K387" s="100">
        <f t="shared" si="80"/>
        <v>0</v>
      </c>
      <c r="L387" s="95" t="e">
        <f t="shared" si="81"/>
        <v>#DIV/0!</v>
      </c>
    </row>
    <row r="388" spans="1:12" x14ac:dyDescent="0.25">
      <c r="A388" s="129" t="s">
        <v>13</v>
      </c>
      <c r="B388" s="131" t="s">
        <v>7</v>
      </c>
      <c r="C388" s="132"/>
      <c r="D388" s="97">
        <f>'Raw Data_Mod Tests'!N130</f>
        <v>0</v>
      </c>
      <c r="E388" s="4">
        <v>46.2</v>
      </c>
      <c r="F388" s="141">
        <f>'Raw Data_Mod Tests'!$P$2</f>
        <v>-2.7000000000000001E-3</v>
      </c>
      <c r="G388" s="142"/>
      <c r="H388" s="62">
        <f t="shared" si="79"/>
        <v>0</v>
      </c>
      <c r="I388" s="59">
        <f t="shared" si="78"/>
        <v>0</v>
      </c>
      <c r="J388" s="41">
        <f>'Raw Data_Mod Tests'!G130</f>
        <v>0</v>
      </c>
      <c r="K388" s="100">
        <f t="shared" si="80"/>
        <v>0</v>
      </c>
      <c r="L388" s="95" t="e">
        <f t="shared" si="81"/>
        <v>#DIV/0!</v>
      </c>
    </row>
    <row r="389" spans="1:12" x14ac:dyDescent="0.25">
      <c r="A389" s="130"/>
      <c r="B389" s="131" t="s">
        <v>8</v>
      </c>
      <c r="C389" s="132"/>
      <c r="D389" s="97">
        <f>'Raw Data_Mod Tests'!N131</f>
        <v>0</v>
      </c>
      <c r="E389" s="4">
        <v>46.2</v>
      </c>
      <c r="F389" s="141">
        <f>'Raw Data_Mod Tests'!$P$2</f>
        <v>-2.7000000000000001E-3</v>
      </c>
      <c r="G389" s="142"/>
      <c r="H389" s="62">
        <f t="shared" si="79"/>
        <v>0</v>
      </c>
      <c r="I389" s="59">
        <f t="shared" si="78"/>
        <v>0</v>
      </c>
      <c r="J389" s="41">
        <f>'Raw Data_Mod Tests'!G131</f>
        <v>0</v>
      </c>
      <c r="K389" s="100">
        <f t="shared" si="80"/>
        <v>0</v>
      </c>
      <c r="L389" s="95" t="e">
        <f t="shared" si="81"/>
        <v>#DIV/0!</v>
      </c>
    </row>
    <row r="390" spans="1:12" x14ac:dyDescent="0.25">
      <c r="A390" s="129" t="s">
        <v>14</v>
      </c>
      <c r="B390" s="131" t="s">
        <v>7</v>
      </c>
      <c r="C390" s="132"/>
      <c r="D390" s="97">
        <f>'Raw Data_Mod Tests'!N132</f>
        <v>0</v>
      </c>
      <c r="E390" s="4">
        <v>46.2</v>
      </c>
      <c r="F390" s="141">
        <f>'Raw Data_Mod Tests'!$P$2</f>
        <v>-2.7000000000000001E-3</v>
      </c>
      <c r="G390" s="142"/>
      <c r="H390" s="62">
        <f t="shared" si="79"/>
        <v>0</v>
      </c>
      <c r="I390" s="59">
        <f t="shared" si="78"/>
        <v>0</v>
      </c>
      <c r="J390" s="41">
        <f>'Raw Data_Mod Tests'!G132</f>
        <v>0</v>
      </c>
      <c r="K390" s="100">
        <f t="shared" si="80"/>
        <v>0</v>
      </c>
      <c r="L390" s="95" t="e">
        <f t="shared" si="81"/>
        <v>#DIV/0!</v>
      </c>
    </row>
    <row r="391" spans="1:12" x14ac:dyDescent="0.25">
      <c r="A391" s="130"/>
      <c r="B391" s="131" t="s">
        <v>8</v>
      </c>
      <c r="C391" s="132"/>
      <c r="D391" s="97">
        <f>'Raw Data_Mod Tests'!N133</f>
        <v>0</v>
      </c>
      <c r="E391" s="4">
        <v>46.2</v>
      </c>
      <c r="F391" s="141">
        <f>'Raw Data_Mod Tests'!$P$2</f>
        <v>-2.7000000000000001E-3</v>
      </c>
      <c r="G391" s="142"/>
      <c r="H391" s="62">
        <f t="shared" si="79"/>
        <v>0</v>
      </c>
      <c r="I391" s="59">
        <f t="shared" si="78"/>
        <v>0</v>
      </c>
      <c r="J391" s="41">
        <f>'Raw Data_Mod Tests'!G133</f>
        <v>0</v>
      </c>
      <c r="K391" s="100">
        <f t="shared" si="80"/>
        <v>0</v>
      </c>
      <c r="L391" s="95" t="e">
        <f t="shared" si="81"/>
        <v>#DIV/0!</v>
      </c>
    </row>
    <row r="394" spans="1:12" x14ac:dyDescent="0.25">
      <c r="A394" s="136" t="s">
        <v>95</v>
      </c>
      <c r="B394" s="140"/>
      <c r="C394" s="137"/>
      <c r="D394" s="98" t="s">
        <v>52</v>
      </c>
      <c r="E394" s="98" t="s">
        <v>53</v>
      </c>
      <c r="F394" s="154" t="s">
        <v>54</v>
      </c>
      <c r="G394" s="155"/>
      <c r="H394" s="98" t="s">
        <v>55</v>
      </c>
      <c r="I394" s="98" t="s">
        <v>51</v>
      </c>
      <c r="J394" s="98" t="s">
        <v>84</v>
      </c>
      <c r="K394" s="98" t="s">
        <v>100</v>
      </c>
      <c r="L394" s="98" t="s">
        <v>101</v>
      </c>
    </row>
    <row r="395" spans="1:12" x14ac:dyDescent="0.25">
      <c r="A395" s="129" t="s">
        <v>6</v>
      </c>
      <c r="B395" s="131" t="s">
        <v>7</v>
      </c>
      <c r="C395" s="132"/>
      <c r="D395" s="97">
        <f>'Raw Data_Mod Tests'!N134</f>
        <v>0</v>
      </c>
      <c r="E395" s="97">
        <v>46.2</v>
      </c>
      <c r="F395" s="141">
        <f>'Raw Data_Mod Tests'!$P$2</f>
        <v>-2.7000000000000001E-3</v>
      </c>
      <c r="G395" s="142"/>
      <c r="H395" s="62">
        <f>I193</f>
        <v>0</v>
      </c>
      <c r="I395" s="59">
        <f t="shared" ref="I395:I406" si="82">D395*E395*(1+((F395)*(H395-25)))</f>
        <v>0</v>
      </c>
      <c r="J395" s="41">
        <f>'Raw Data_Mod Tests'!G134</f>
        <v>0</v>
      </c>
      <c r="K395" s="100">
        <f>95%*I395</f>
        <v>0</v>
      </c>
      <c r="L395" s="95" t="e">
        <f>J395/I395</f>
        <v>#DIV/0!</v>
      </c>
    </row>
    <row r="396" spans="1:12" x14ac:dyDescent="0.25">
      <c r="A396" s="130"/>
      <c r="B396" s="131" t="s">
        <v>8</v>
      </c>
      <c r="C396" s="132"/>
      <c r="D396" s="97">
        <f>'Raw Data_Mod Tests'!N135</f>
        <v>0</v>
      </c>
      <c r="E396" s="4">
        <v>46.2</v>
      </c>
      <c r="F396" s="141">
        <f>'Raw Data_Mod Tests'!$P$2</f>
        <v>-2.7000000000000001E-3</v>
      </c>
      <c r="G396" s="142"/>
      <c r="H396" s="62">
        <f t="shared" ref="H396:H406" si="83">I194</f>
        <v>0</v>
      </c>
      <c r="I396" s="59">
        <f t="shared" si="82"/>
        <v>0</v>
      </c>
      <c r="J396" s="41">
        <f>'Raw Data_Mod Tests'!G135</f>
        <v>0</v>
      </c>
      <c r="K396" s="100">
        <f t="shared" ref="K396:K406" si="84">95%*I396</f>
        <v>0</v>
      </c>
      <c r="L396" s="95" t="e">
        <f t="shared" ref="L396:L406" si="85">J396/I396</f>
        <v>#DIV/0!</v>
      </c>
    </row>
    <row r="397" spans="1:12" x14ac:dyDescent="0.25">
      <c r="A397" s="129" t="s">
        <v>10</v>
      </c>
      <c r="B397" s="131" t="s">
        <v>7</v>
      </c>
      <c r="C397" s="132"/>
      <c r="D397" s="97">
        <f>'Raw Data_Mod Tests'!N136</f>
        <v>0</v>
      </c>
      <c r="E397" s="4">
        <v>46.2</v>
      </c>
      <c r="F397" s="141">
        <f>'Raw Data_Mod Tests'!$P$2</f>
        <v>-2.7000000000000001E-3</v>
      </c>
      <c r="G397" s="142"/>
      <c r="H397" s="62">
        <f t="shared" si="83"/>
        <v>0</v>
      </c>
      <c r="I397" s="59">
        <f t="shared" si="82"/>
        <v>0</v>
      </c>
      <c r="J397" s="41">
        <f>'Raw Data_Mod Tests'!G136</f>
        <v>0</v>
      </c>
      <c r="K397" s="100">
        <f t="shared" si="84"/>
        <v>0</v>
      </c>
      <c r="L397" s="95" t="e">
        <f t="shared" si="85"/>
        <v>#DIV/0!</v>
      </c>
    </row>
    <row r="398" spans="1:12" x14ac:dyDescent="0.25">
      <c r="A398" s="130"/>
      <c r="B398" s="131" t="s">
        <v>8</v>
      </c>
      <c r="C398" s="132"/>
      <c r="D398" s="97">
        <f>'Raw Data_Mod Tests'!N137</f>
        <v>0</v>
      </c>
      <c r="E398" s="4">
        <v>46.2</v>
      </c>
      <c r="F398" s="141">
        <f>'Raw Data_Mod Tests'!$P$2</f>
        <v>-2.7000000000000001E-3</v>
      </c>
      <c r="G398" s="142"/>
      <c r="H398" s="62">
        <f t="shared" si="83"/>
        <v>0</v>
      </c>
      <c r="I398" s="59">
        <f t="shared" si="82"/>
        <v>0</v>
      </c>
      <c r="J398" s="41">
        <f>'Raw Data_Mod Tests'!G137</f>
        <v>0</v>
      </c>
      <c r="K398" s="100">
        <f t="shared" si="84"/>
        <v>0</v>
      </c>
      <c r="L398" s="95" t="e">
        <f t="shared" si="85"/>
        <v>#DIV/0!</v>
      </c>
    </row>
    <row r="399" spans="1:12" x14ac:dyDescent="0.25">
      <c r="A399" s="129" t="s">
        <v>11</v>
      </c>
      <c r="B399" s="131" t="s">
        <v>7</v>
      </c>
      <c r="C399" s="132"/>
      <c r="D399" s="97">
        <f>'Raw Data_Mod Tests'!N138</f>
        <v>0</v>
      </c>
      <c r="E399" s="4">
        <v>46.2</v>
      </c>
      <c r="F399" s="141">
        <f>'Raw Data_Mod Tests'!$P$2</f>
        <v>-2.7000000000000001E-3</v>
      </c>
      <c r="G399" s="142"/>
      <c r="H399" s="62">
        <f t="shared" si="83"/>
        <v>0</v>
      </c>
      <c r="I399" s="59">
        <f t="shared" si="82"/>
        <v>0</v>
      </c>
      <c r="J399" s="41">
        <f>'Raw Data_Mod Tests'!G138</f>
        <v>0</v>
      </c>
      <c r="K399" s="100">
        <f t="shared" si="84"/>
        <v>0</v>
      </c>
      <c r="L399" s="95" t="e">
        <f t="shared" si="85"/>
        <v>#DIV/0!</v>
      </c>
    </row>
    <row r="400" spans="1:12" x14ac:dyDescent="0.25">
      <c r="A400" s="130"/>
      <c r="B400" s="131" t="s">
        <v>8</v>
      </c>
      <c r="C400" s="132"/>
      <c r="D400" s="97">
        <f>'Raw Data_Mod Tests'!N139</f>
        <v>0</v>
      </c>
      <c r="E400" s="4">
        <v>46.2</v>
      </c>
      <c r="F400" s="141">
        <f>'Raw Data_Mod Tests'!$P$2</f>
        <v>-2.7000000000000001E-3</v>
      </c>
      <c r="G400" s="142"/>
      <c r="H400" s="62">
        <f t="shared" si="83"/>
        <v>0</v>
      </c>
      <c r="I400" s="59">
        <f t="shared" si="82"/>
        <v>0</v>
      </c>
      <c r="J400" s="41">
        <f>'Raw Data_Mod Tests'!G139</f>
        <v>0</v>
      </c>
      <c r="K400" s="100">
        <f t="shared" si="84"/>
        <v>0</v>
      </c>
      <c r="L400" s="95" t="e">
        <f t="shared" si="85"/>
        <v>#DIV/0!</v>
      </c>
    </row>
    <row r="401" spans="1:12" x14ac:dyDescent="0.25">
      <c r="A401" s="129" t="s">
        <v>12</v>
      </c>
      <c r="B401" s="131" t="s">
        <v>7</v>
      </c>
      <c r="C401" s="132"/>
      <c r="D401" s="97">
        <f>'Raw Data_Mod Tests'!N140</f>
        <v>0</v>
      </c>
      <c r="E401" s="4">
        <v>46.2</v>
      </c>
      <c r="F401" s="141">
        <f>'Raw Data_Mod Tests'!$P$2</f>
        <v>-2.7000000000000001E-3</v>
      </c>
      <c r="G401" s="142"/>
      <c r="H401" s="62">
        <f t="shared" si="83"/>
        <v>0</v>
      </c>
      <c r="I401" s="59">
        <f t="shared" si="82"/>
        <v>0</v>
      </c>
      <c r="J401" s="41">
        <f>'Raw Data_Mod Tests'!G140</f>
        <v>0</v>
      </c>
      <c r="K401" s="100">
        <f t="shared" si="84"/>
        <v>0</v>
      </c>
      <c r="L401" s="95" t="e">
        <f t="shared" si="85"/>
        <v>#DIV/0!</v>
      </c>
    </row>
    <row r="402" spans="1:12" x14ac:dyDescent="0.25">
      <c r="A402" s="130"/>
      <c r="B402" s="131" t="s">
        <v>8</v>
      </c>
      <c r="C402" s="132"/>
      <c r="D402" s="97">
        <f>'Raw Data_Mod Tests'!N141</f>
        <v>0</v>
      </c>
      <c r="E402" s="4">
        <v>46.2</v>
      </c>
      <c r="F402" s="141">
        <f>'Raw Data_Mod Tests'!$P$2</f>
        <v>-2.7000000000000001E-3</v>
      </c>
      <c r="G402" s="142"/>
      <c r="H402" s="62">
        <f t="shared" si="83"/>
        <v>0</v>
      </c>
      <c r="I402" s="59">
        <f t="shared" si="82"/>
        <v>0</v>
      </c>
      <c r="J402" s="41">
        <f>'Raw Data_Mod Tests'!G141</f>
        <v>0</v>
      </c>
      <c r="K402" s="100">
        <f t="shared" si="84"/>
        <v>0</v>
      </c>
      <c r="L402" s="95" t="e">
        <f t="shared" si="85"/>
        <v>#DIV/0!</v>
      </c>
    </row>
    <row r="403" spans="1:12" x14ac:dyDescent="0.25">
      <c r="A403" s="129" t="s">
        <v>13</v>
      </c>
      <c r="B403" s="131" t="s">
        <v>7</v>
      </c>
      <c r="C403" s="132"/>
      <c r="D403" s="97">
        <f>'Raw Data_Mod Tests'!N142</f>
        <v>0</v>
      </c>
      <c r="E403" s="4">
        <v>46.2</v>
      </c>
      <c r="F403" s="141">
        <f>'Raw Data_Mod Tests'!$P$2</f>
        <v>-2.7000000000000001E-3</v>
      </c>
      <c r="G403" s="142"/>
      <c r="H403" s="62">
        <f t="shared" si="83"/>
        <v>0</v>
      </c>
      <c r="I403" s="59">
        <f t="shared" si="82"/>
        <v>0</v>
      </c>
      <c r="J403" s="41">
        <f>'Raw Data_Mod Tests'!G142</f>
        <v>0</v>
      </c>
      <c r="K403" s="100">
        <f t="shared" si="84"/>
        <v>0</v>
      </c>
      <c r="L403" s="95" t="e">
        <f t="shared" si="85"/>
        <v>#DIV/0!</v>
      </c>
    </row>
    <row r="404" spans="1:12" x14ac:dyDescent="0.25">
      <c r="A404" s="130"/>
      <c r="B404" s="131" t="s">
        <v>8</v>
      </c>
      <c r="C404" s="132"/>
      <c r="D404" s="97">
        <f>'Raw Data_Mod Tests'!N143</f>
        <v>0</v>
      </c>
      <c r="E404" s="4">
        <v>46.2</v>
      </c>
      <c r="F404" s="141">
        <f>'Raw Data_Mod Tests'!$P$2</f>
        <v>-2.7000000000000001E-3</v>
      </c>
      <c r="G404" s="142"/>
      <c r="H404" s="62">
        <f t="shared" si="83"/>
        <v>0</v>
      </c>
      <c r="I404" s="59">
        <f t="shared" si="82"/>
        <v>0</v>
      </c>
      <c r="J404" s="41">
        <f>'Raw Data_Mod Tests'!G143</f>
        <v>0</v>
      </c>
      <c r="K404" s="100">
        <f t="shared" si="84"/>
        <v>0</v>
      </c>
      <c r="L404" s="95" t="e">
        <f t="shared" si="85"/>
        <v>#DIV/0!</v>
      </c>
    </row>
    <row r="405" spans="1:12" x14ac:dyDescent="0.25">
      <c r="A405" s="129" t="s">
        <v>14</v>
      </c>
      <c r="B405" s="131" t="s">
        <v>7</v>
      </c>
      <c r="C405" s="132"/>
      <c r="D405" s="97">
        <f>'Raw Data_Mod Tests'!N144</f>
        <v>0</v>
      </c>
      <c r="E405" s="4">
        <v>46.2</v>
      </c>
      <c r="F405" s="141">
        <f>'Raw Data_Mod Tests'!$P$2</f>
        <v>-2.7000000000000001E-3</v>
      </c>
      <c r="G405" s="142"/>
      <c r="H405" s="62">
        <f t="shared" si="83"/>
        <v>0</v>
      </c>
      <c r="I405" s="59">
        <f t="shared" si="82"/>
        <v>0</v>
      </c>
      <c r="J405" s="41">
        <f>'Raw Data_Mod Tests'!G144</f>
        <v>0</v>
      </c>
      <c r="K405" s="100">
        <f t="shared" si="84"/>
        <v>0</v>
      </c>
      <c r="L405" s="95" t="e">
        <f t="shared" si="85"/>
        <v>#DIV/0!</v>
      </c>
    </row>
    <row r="406" spans="1:12" x14ac:dyDescent="0.25">
      <c r="A406" s="130"/>
      <c r="B406" s="131" t="s">
        <v>8</v>
      </c>
      <c r="C406" s="132"/>
      <c r="D406" s="97">
        <f>'Raw Data_Mod Tests'!N145</f>
        <v>0</v>
      </c>
      <c r="E406" s="4">
        <v>46.2</v>
      </c>
      <c r="F406" s="141">
        <f>'Raw Data_Mod Tests'!$P$2</f>
        <v>-2.7000000000000001E-3</v>
      </c>
      <c r="G406" s="142"/>
      <c r="H406" s="62">
        <f t="shared" si="83"/>
        <v>0</v>
      </c>
      <c r="I406" s="59">
        <f t="shared" si="82"/>
        <v>0</v>
      </c>
      <c r="J406" s="41">
        <f>'Raw Data_Mod Tests'!G145</f>
        <v>0</v>
      </c>
      <c r="K406" s="100">
        <f t="shared" si="84"/>
        <v>0</v>
      </c>
      <c r="L406" s="95" t="e">
        <f t="shared" si="85"/>
        <v>#DIV/0!</v>
      </c>
    </row>
    <row r="409" spans="1:12" x14ac:dyDescent="0.25">
      <c r="A409" s="136" t="s">
        <v>96</v>
      </c>
      <c r="B409" s="140"/>
      <c r="C409" s="137"/>
      <c r="D409" s="98" t="s">
        <v>52</v>
      </c>
      <c r="E409" s="98" t="s">
        <v>53</v>
      </c>
      <c r="F409" s="154" t="s">
        <v>54</v>
      </c>
      <c r="G409" s="155"/>
      <c r="H409" s="98" t="s">
        <v>55</v>
      </c>
      <c r="I409" s="98" t="s">
        <v>51</v>
      </c>
      <c r="J409" s="98" t="s">
        <v>84</v>
      </c>
      <c r="K409" s="98" t="s">
        <v>100</v>
      </c>
      <c r="L409" s="98" t="s">
        <v>101</v>
      </c>
    </row>
    <row r="410" spans="1:12" x14ac:dyDescent="0.25">
      <c r="A410" s="129" t="s">
        <v>6</v>
      </c>
      <c r="B410" s="131" t="s">
        <v>7</v>
      </c>
      <c r="C410" s="132"/>
      <c r="D410" s="97">
        <f>'Raw Data_Mod Tests'!N146</f>
        <v>0</v>
      </c>
      <c r="E410" s="97">
        <v>46.2</v>
      </c>
      <c r="F410" s="141">
        <f>'Raw Data_Mod Tests'!$P$2</f>
        <v>-2.7000000000000001E-3</v>
      </c>
      <c r="G410" s="142"/>
      <c r="H410" s="62">
        <f>I208</f>
        <v>0</v>
      </c>
      <c r="I410" s="59">
        <f t="shared" ref="I410:I421" si="86">D410*E410*(1+((F410)*(H410-25)))</f>
        <v>0</v>
      </c>
      <c r="J410" s="41">
        <f>'Raw Data_Mod Tests'!G146</f>
        <v>0</v>
      </c>
      <c r="K410" s="100">
        <f>95%*I410</f>
        <v>0</v>
      </c>
      <c r="L410" s="95" t="e">
        <f>J410/I410</f>
        <v>#DIV/0!</v>
      </c>
    </row>
    <row r="411" spans="1:12" x14ac:dyDescent="0.25">
      <c r="A411" s="130"/>
      <c r="B411" s="131" t="s">
        <v>8</v>
      </c>
      <c r="C411" s="132"/>
      <c r="D411" s="97">
        <f>'Raw Data_Mod Tests'!N147</f>
        <v>0</v>
      </c>
      <c r="E411" s="4">
        <v>46.2</v>
      </c>
      <c r="F411" s="141">
        <f>'Raw Data_Mod Tests'!$P$2</f>
        <v>-2.7000000000000001E-3</v>
      </c>
      <c r="G411" s="142"/>
      <c r="H411" s="62">
        <f t="shared" ref="H411:H421" si="87">I209</f>
        <v>0</v>
      </c>
      <c r="I411" s="59">
        <f t="shared" si="86"/>
        <v>0</v>
      </c>
      <c r="J411" s="41">
        <f>'Raw Data_Mod Tests'!G147</f>
        <v>0</v>
      </c>
      <c r="K411" s="100">
        <f t="shared" ref="K411:K421" si="88">95%*I411</f>
        <v>0</v>
      </c>
      <c r="L411" s="95" t="e">
        <f t="shared" ref="L411:L421" si="89">J411/I411</f>
        <v>#DIV/0!</v>
      </c>
    </row>
    <row r="412" spans="1:12" x14ac:dyDescent="0.25">
      <c r="A412" s="129" t="s">
        <v>10</v>
      </c>
      <c r="B412" s="131" t="s">
        <v>7</v>
      </c>
      <c r="C412" s="132"/>
      <c r="D412" s="97">
        <f>'Raw Data_Mod Tests'!N148</f>
        <v>0</v>
      </c>
      <c r="E412" s="4">
        <v>46.2</v>
      </c>
      <c r="F412" s="141">
        <f>'Raw Data_Mod Tests'!$P$2</f>
        <v>-2.7000000000000001E-3</v>
      </c>
      <c r="G412" s="142"/>
      <c r="H412" s="62">
        <f t="shared" si="87"/>
        <v>0</v>
      </c>
      <c r="I412" s="59">
        <f t="shared" si="86"/>
        <v>0</v>
      </c>
      <c r="J412" s="41">
        <f>'Raw Data_Mod Tests'!G148</f>
        <v>0</v>
      </c>
      <c r="K412" s="100">
        <f t="shared" si="88"/>
        <v>0</v>
      </c>
      <c r="L412" s="95" t="e">
        <f t="shared" si="89"/>
        <v>#DIV/0!</v>
      </c>
    </row>
    <row r="413" spans="1:12" x14ac:dyDescent="0.25">
      <c r="A413" s="130"/>
      <c r="B413" s="131" t="s">
        <v>8</v>
      </c>
      <c r="C413" s="132"/>
      <c r="D413" s="97">
        <f>'Raw Data_Mod Tests'!N149</f>
        <v>0</v>
      </c>
      <c r="E413" s="4">
        <v>46.2</v>
      </c>
      <c r="F413" s="141">
        <f>'Raw Data_Mod Tests'!$P$2</f>
        <v>-2.7000000000000001E-3</v>
      </c>
      <c r="G413" s="142"/>
      <c r="H413" s="62">
        <f t="shared" si="87"/>
        <v>0</v>
      </c>
      <c r="I413" s="59">
        <f t="shared" si="86"/>
        <v>0</v>
      </c>
      <c r="J413" s="41">
        <f>'Raw Data_Mod Tests'!G149</f>
        <v>0</v>
      </c>
      <c r="K413" s="100">
        <f t="shared" si="88"/>
        <v>0</v>
      </c>
      <c r="L413" s="95" t="e">
        <f t="shared" si="89"/>
        <v>#DIV/0!</v>
      </c>
    </row>
    <row r="414" spans="1:12" x14ac:dyDescent="0.25">
      <c r="A414" s="129" t="s">
        <v>11</v>
      </c>
      <c r="B414" s="131" t="s">
        <v>7</v>
      </c>
      <c r="C414" s="132"/>
      <c r="D414" s="97">
        <f>'Raw Data_Mod Tests'!N150</f>
        <v>0</v>
      </c>
      <c r="E414" s="4">
        <v>46.2</v>
      </c>
      <c r="F414" s="141">
        <f>'Raw Data_Mod Tests'!$P$2</f>
        <v>-2.7000000000000001E-3</v>
      </c>
      <c r="G414" s="142"/>
      <c r="H414" s="62">
        <f t="shared" si="87"/>
        <v>0</v>
      </c>
      <c r="I414" s="59">
        <f t="shared" si="86"/>
        <v>0</v>
      </c>
      <c r="J414" s="41">
        <f>'Raw Data_Mod Tests'!G150</f>
        <v>0</v>
      </c>
      <c r="K414" s="100">
        <f t="shared" si="88"/>
        <v>0</v>
      </c>
      <c r="L414" s="95" t="e">
        <f t="shared" si="89"/>
        <v>#DIV/0!</v>
      </c>
    </row>
    <row r="415" spans="1:12" x14ac:dyDescent="0.25">
      <c r="A415" s="130"/>
      <c r="B415" s="131" t="s">
        <v>8</v>
      </c>
      <c r="C415" s="132"/>
      <c r="D415" s="97">
        <f>'Raw Data_Mod Tests'!N151</f>
        <v>0</v>
      </c>
      <c r="E415" s="4">
        <v>46.2</v>
      </c>
      <c r="F415" s="141">
        <f>'Raw Data_Mod Tests'!$P$2</f>
        <v>-2.7000000000000001E-3</v>
      </c>
      <c r="G415" s="142"/>
      <c r="H415" s="62">
        <f t="shared" si="87"/>
        <v>0</v>
      </c>
      <c r="I415" s="59">
        <f t="shared" si="86"/>
        <v>0</v>
      </c>
      <c r="J415" s="41">
        <f>'Raw Data_Mod Tests'!G151</f>
        <v>0</v>
      </c>
      <c r="K415" s="100">
        <f t="shared" si="88"/>
        <v>0</v>
      </c>
      <c r="L415" s="95" t="e">
        <f t="shared" si="89"/>
        <v>#DIV/0!</v>
      </c>
    </row>
    <row r="416" spans="1:12" x14ac:dyDescent="0.25">
      <c r="A416" s="129" t="s">
        <v>12</v>
      </c>
      <c r="B416" s="131" t="s">
        <v>7</v>
      </c>
      <c r="C416" s="132"/>
      <c r="D416" s="97">
        <f>'Raw Data_Mod Tests'!N152</f>
        <v>0</v>
      </c>
      <c r="E416" s="4">
        <v>46.2</v>
      </c>
      <c r="F416" s="141">
        <f>'Raw Data_Mod Tests'!$P$2</f>
        <v>-2.7000000000000001E-3</v>
      </c>
      <c r="G416" s="142"/>
      <c r="H416" s="62">
        <f t="shared" si="87"/>
        <v>0</v>
      </c>
      <c r="I416" s="59">
        <f t="shared" si="86"/>
        <v>0</v>
      </c>
      <c r="J416" s="41">
        <f>'Raw Data_Mod Tests'!G152</f>
        <v>0</v>
      </c>
      <c r="K416" s="100">
        <f t="shared" si="88"/>
        <v>0</v>
      </c>
      <c r="L416" s="95" t="e">
        <f t="shared" si="89"/>
        <v>#DIV/0!</v>
      </c>
    </row>
    <row r="417" spans="1:13" x14ac:dyDescent="0.25">
      <c r="A417" s="130"/>
      <c r="B417" s="131" t="s">
        <v>8</v>
      </c>
      <c r="C417" s="132"/>
      <c r="D417" s="97">
        <f>'Raw Data_Mod Tests'!N153</f>
        <v>0</v>
      </c>
      <c r="E417" s="4">
        <v>46.2</v>
      </c>
      <c r="F417" s="141">
        <f>'Raw Data_Mod Tests'!$P$2</f>
        <v>-2.7000000000000001E-3</v>
      </c>
      <c r="G417" s="142"/>
      <c r="H417" s="62">
        <f t="shared" si="87"/>
        <v>0</v>
      </c>
      <c r="I417" s="59">
        <f t="shared" si="86"/>
        <v>0</v>
      </c>
      <c r="J417" s="41">
        <f>'Raw Data_Mod Tests'!G153</f>
        <v>0</v>
      </c>
      <c r="K417" s="100">
        <f t="shared" si="88"/>
        <v>0</v>
      </c>
      <c r="L417" s="95" t="e">
        <f t="shared" si="89"/>
        <v>#DIV/0!</v>
      </c>
    </row>
    <row r="418" spans="1:13" x14ac:dyDescent="0.25">
      <c r="A418" s="129" t="s">
        <v>13</v>
      </c>
      <c r="B418" s="131" t="s">
        <v>7</v>
      </c>
      <c r="C418" s="132"/>
      <c r="D418" s="97">
        <f>'Raw Data_Mod Tests'!N154</f>
        <v>0</v>
      </c>
      <c r="E418" s="4">
        <v>46.2</v>
      </c>
      <c r="F418" s="141">
        <f>'Raw Data_Mod Tests'!$P$2</f>
        <v>-2.7000000000000001E-3</v>
      </c>
      <c r="G418" s="142"/>
      <c r="H418" s="62">
        <f t="shared" si="87"/>
        <v>0</v>
      </c>
      <c r="I418" s="59">
        <f t="shared" si="86"/>
        <v>0</v>
      </c>
      <c r="J418" s="41">
        <f>'Raw Data_Mod Tests'!G154</f>
        <v>0</v>
      </c>
      <c r="K418" s="100">
        <f t="shared" si="88"/>
        <v>0</v>
      </c>
      <c r="L418" s="95" t="e">
        <f t="shared" si="89"/>
        <v>#DIV/0!</v>
      </c>
    </row>
    <row r="419" spans="1:13" x14ac:dyDescent="0.25">
      <c r="A419" s="130"/>
      <c r="B419" s="131" t="s">
        <v>8</v>
      </c>
      <c r="C419" s="132"/>
      <c r="D419" s="97">
        <f>'Raw Data_Mod Tests'!N155</f>
        <v>0</v>
      </c>
      <c r="E419" s="4">
        <v>46.2</v>
      </c>
      <c r="F419" s="141">
        <f>'Raw Data_Mod Tests'!$P$2</f>
        <v>-2.7000000000000001E-3</v>
      </c>
      <c r="G419" s="142"/>
      <c r="H419" s="62">
        <f t="shared" si="87"/>
        <v>0</v>
      </c>
      <c r="I419" s="59">
        <f t="shared" si="86"/>
        <v>0</v>
      </c>
      <c r="J419" s="41">
        <f>'Raw Data_Mod Tests'!G155</f>
        <v>0</v>
      </c>
      <c r="K419" s="100">
        <f t="shared" si="88"/>
        <v>0</v>
      </c>
      <c r="L419" s="95" t="e">
        <f t="shared" si="89"/>
        <v>#DIV/0!</v>
      </c>
    </row>
    <row r="420" spans="1:13" x14ac:dyDescent="0.25">
      <c r="A420" s="129" t="s">
        <v>14</v>
      </c>
      <c r="B420" s="131" t="s">
        <v>7</v>
      </c>
      <c r="C420" s="132"/>
      <c r="D420" s="97">
        <f>'Raw Data_Mod Tests'!N156</f>
        <v>0</v>
      </c>
      <c r="E420" s="4">
        <v>46.2</v>
      </c>
      <c r="F420" s="141">
        <f>'Raw Data_Mod Tests'!$P$2</f>
        <v>-2.7000000000000001E-3</v>
      </c>
      <c r="G420" s="142"/>
      <c r="H420" s="62">
        <f t="shared" si="87"/>
        <v>0</v>
      </c>
      <c r="I420" s="59">
        <f t="shared" si="86"/>
        <v>0</v>
      </c>
      <c r="J420" s="41">
        <f>'Raw Data_Mod Tests'!G156</f>
        <v>0</v>
      </c>
      <c r="K420" s="100">
        <f t="shared" si="88"/>
        <v>0</v>
      </c>
      <c r="L420" s="95" t="e">
        <f t="shared" si="89"/>
        <v>#DIV/0!</v>
      </c>
    </row>
    <row r="421" spans="1:13" x14ac:dyDescent="0.25">
      <c r="A421" s="130"/>
      <c r="B421" s="131" t="s">
        <v>8</v>
      </c>
      <c r="C421" s="132"/>
      <c r="D421" s="97">
        <f>'Raw Data_Mod Tests'!N157</f>
        <v>0</v>
      </c>
      <c r="E421" s="4">
        <v>46.2</v>
      </c>
      <c r="F421" s="141">
        <f>'Raw Data_Mod Tests'!$P$2</f>
        <v>-2.7000000000000001E-3</v>
      </c>
      <c r="G421" s="142"/>
      <c r="H421" s="62">
        <f t="shared" si="87"/>
        <v>0</v>
      </c>
      <c r="I421" s="59">
        <f t="shared" si="86"/>
        <v>0</v>
      </c>
      <c r="J421" s="41">
        <f>'Raw Data_Mod Tests'!G157</f>
        <v>0</v>
      </c>
      <c r="K421" s="100">
        <f t="shared" si="88"/>
        <v>0</v>
      </c>
      <c r="L421" s="95" t="e">
        <f t="shared" si="89"/>
        <v>#DIV/0!</v>
      </c>
    </row>
    <row r="424" spans="1:13" ht="15.75" x14ac:dyDescent="0.25">
      <c r="A424" s="138" t="s">
        <v>108</v>
      </c>
      <c r="B424" s="138"/>
      <c r="C424" s="138"/>
      <c r="D424" s="138"/>
      <c r="E424" s="138"/>
      <c r="F424" s="138"/>
      <c r="G424" s="138"/>
      <c r="H424" s="138"/>
      <c r="I424" s="138"/>
      <c r="J424" s="20"/>
      <c r="K424" s="20"/>
      <c r="L424" s="69"/>
      <c r="M424" s="20"/>
    </row>
    <row r="425" spans="1:13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69"/>
      <c r="M425" s="20"/>
    </row>
    <row r="426" spans="1:13" ht="15.75" x14ac:dyDescent="0.25">
      <c r="A426" s="27" t="s">
        <v>32</v>
      </c>
      <c r="B426" s="143" t="s">
        <v>38</v>
      </c>
      <c r="C426" s="143"/>
      <c r="D426" s="143"/>
      <c r="E426" s="143"/>
      <c r="F426" s="143"/>
      <c r="G426" s="143"/>
      <c r="H426" s="143"/>
      <c r="I426" s="143"/>
      <c r="J426" s="20"/>
      <c r="K426" s="20"/>
      <c r="L426" s="69"/>
      <c r="M426" s="20"/>
    </row>
    <row r="427" spans="1:13" ht="15.75" x14ac:dyDescent="0.25">
      <c r="A427" s="27" t="s">
        <v>35</v>
      </c>
      <c r="B427" s="143" t="s">
        <v>43</v>
      </c>
      <c r="C427" s="143"/>
      <c r="D427" s="143"/>
      <c r="E427" s="143"/>
      <c r="F427" s="143"/>
      <c r="G427" s="143"/>
      <c r="H427" s="143"/>
      <c r="I427" s="143"/>
      <c r="J427" s="20"/>
      <c r="K427" s="20"/>
      <c r="L427" s="69"/>
      <c r="M427" s="20"/>
    </row>
    <row r="428" spans="1:13" ht="15.75" x14ac:dyDescent="0.25">
      <c r="A428" s="16" t="s">
        <v>15</v>
      </c>
      <c r="B428" s="143" t="s">
        <v>39</v>
      </c>
      <c r="C428" s="143"/>
      <c r="D428" s="143"/>
      <c r="E428" s="143"/>
      <c r="F428" s="143"/>
      <c r="G428" s="143"/>
      <c r="H428" s="143"/>
      <c r="I428" s="143"/>
      <c r="J428" s="20"/>
      <c r="K428" s="20"/>
      <c r="L428" s="69"/>
      <c r="M428" s="20"/>
    </row>
    <row r="429" spans="1:13" ht="15.75" x14ac:dyDescent="0.25">
      <c r="A429" s="16" t="s">
        <v>26</v>
      </c>
      <c r="B429" s="143" t="s">
        <v>40</v>
      </c>
      <c r="C429" s="143"/>
      <c r="D429" s="143"/>
      <c r="E429" s="143"/>
      <c r="F429" s="143"/>
      <c r="G429" s="143"/>
      <c r="H429" s="143"/>
      <c r="I429" s="143"/>
      <c r="J429" s="20"/>
      <c r="K429" s="20"/>
      <c r="L429" s="69"/>
      <c r="M429" s="20"/>
    </row>
    <row r="430" spans="1:13" x14ac:dyDescent="0.25">
      <c r="A430" s="28" t="s">
        <v>36</v>
      </c>
      <c r="B430" s="143" t="s">
        <v>41</v>
      </c>
      <c r="C430" s="143"/>
      <c r="D430" s="143"/>
      <c r="E430" s="143"/>
      <c r="F430" s="143"/>
      <c r="G430" s="143"/>
      <c r="H430" s="143"/>
      <c r="I430" s="143"/>
      <c r="J430" s="20"/>
      <c r="K430" s="20"/>
      <c r="L430" s="69"/>
      <c r="M430" s="20"/>
    </row>
    <row r="431" spans="1:13" ht="15.75" x14ac:dyDescent="0.25">
      <c r="A431" s="27" t="s">
        <v>24</v>
      </c>
      <c r="B431" s="143" t="s">
        <v>28</v>
      </c>
      <c r="C431" s="143"/>
      <c r="D431" s="143"/>
      <c r="E431" s="143"/>
      <c r="F431" s="143"/>
      <c r="G431" s="143"/>
      <c r="H431" s="143"/>
      <c r="I431" s="143"/>
      <c r="J431" s="20"/>
      <c r="K431" s="20"/>
      <c r="L431" s="69"/>
      <c r="M431" s="20"/>
    </row>
    <row r="432" spans="1:13" ht="15.75" x14ac:dyDescent="0.25">
      <c r="A432" s="27" t="s">
        <v>37</v>
      </c>
      <c r="B432" s="143" t="s">
        <v>109</v>
      </c>
      <c r="C432" s="143"/>
      <c r="D432" s="143"/>
      <c r="E432" s="143"/>
      <c r="F432" s="143"/>
      <c r="G432" s="143"/>
      <c r="H432" s="143"/>
      <c r="I432" s="143"/>
      <c r="J432" s="20"/>
      <c r="K432" s="20"/>
      <c r="L432" s="69"/>
      <c r="M432" s="20"/>
    </row>
    <row r="433" spans="1:13" ht="15.75" x14ac:dyDescent="0.25">
      <c r="A433" s="26"/>
      <c r="B433" s="23"/>
      <c r="C433" s="23"/>
      <c r="D433" s="23"/>
      <c r="E433" s="23"/>
      <c r="F433" s="23"/>
      <c r="G433" s="23"/>
      <c r="H433" s="23"/>
      <c r="I433" s="23"/>
      <c r="J433" s="20"/>
      <c r="K433" s="20"/>
      <c r="L433" s="69"/>
      <c r="M433" s="20"/>
    </row>
    <row r="434" spans="1:13" ht="15.75" x14ac:dyDescent="0.25">
      <c r="A434" s="26"/>
      <c r="B434" s="23"/>
      <c r="C434" s="23"/>
      <c r="D434" s="23"/>
      <c r="E434" s="23"/>
      <c r="F434" s="23"/>
      <c r="G434" s="23"/>
      <c r="H434" s="23"/>
      <c r="I434" s="23"/>
      <c r="J434" s="20"/>
      <c r="K434" s="20"/>
      <c r="L434" s="69"/>
      <c r="M434" s="20"/>
    </row>
    <row r="435" spans="1:13" ht="15.75" x14ac:dyDescent="0.25">
      <c r="A435" s="16"/>
      <c r="B435" s="18"/>
      <c r="C435" s="18"/>
      <c r="D435" s="18"/>
      <c r="E435" s="18"/>
      <c r="F435" s="18"/>
      <c r="G435" s="18"/>
      <c r="H435" s="18"/>
      <c r="I435" s="18"/>
      <c r="L435" s="69"/>
    </row>
    <row r="436" spans="1:13" x14ac:dyDescent="0.25">
      <c r="A436" s="136" t="s">
        <v>4</v>
      </c>
      <c r="B436" s="137"/>
      <c r="C436" s="25" t="s">
        <v>32</v>
      </c>
      <c r="D436" s="21" t="s">
        <v>33</v>
      </c>
      <c r="E436" s="21" t="s">
        <v>15</v>
      </c>
      <c r="F436" s="21" t="s">
        <v>19</v>
      </c>
      <c r="G436" s="17" t="s">
        <v>34</v>
      </c>
      <c r="H436" s="21" t="s">
        <v>27</v>
      </c>
      <c r="I436" s="58" t="s">
        <v>29</v>
      </c>
      <c r="J436" s="60" t="s">
        <v>85</v>
      </c>
      <c r="K436" s="60" t="s">
        <v>102</v>
      </c>
      <c r="L436" s="60" t="s">
        <v>103</v>
      </c>
    </row>
    <row r="437" spans="1:13" x14ac:dyDescent="0.25">
      <c r="A437" s="129" t="s">
        <v>6</v>
      </c>
      <c r="B437" s="4" t="s">
        <v>7</v>
      </c>
      <c r="C437" s="4">
        <v>1</v>
      </c>
      <c r="D437" s="4">
        <f>'Raw Data_Mod Tests'!$R$2</f>
        <v>11.46</v>
      </c>
      <c r="E437" s="4">
        <f t="shared" ref="E437:E448" si="90">D28</f>
        <v>0</v>
      </c>
      <c r="F437" s="4">
        <v>1000</v>
      </c>
      <c r="G437" s="63">
        <f>'Raw Data_Mod Tests'!$S$2</f>
        <v>4.8000000000000001E-4</v>
      </c>
      <c r="H437" s="61">
        <f t="shared" ref="H437:H448" si="91">H230</f>
        <v>0</v>
      </c>
      <c r="I437" s="64">
        <f t="shared" ref="I437:I447" si="92">C437*D437*(E437/F437)*(1+G437*(H437-25))</f>
        <v>0</v>
      </c>
      <c r="J437" s="41">
        <f>'Raw Data_Mod Tests'!H2</f>
        <v>0</v>
      </c>
      <c r="K437" s="99">
        <f>95%*I437</f>
        <v>0</v>
      </c>
      <c r="L437" s="95" t="e">
        <f>J437/I437</f>
        <v>#DIV/0!</v>
      </c>
    </row>
    <row r="438" spans="1:13" x14ac:dyDescent="0.25">
      <c r="A438" s="130"/>
      <c r="B438" s="4" t="s">
        <v>8</v>
      </c>
      <c r="C438" s="4">
        <v>1</v>
      </c>
      <c r="D438" s="4">
        <f>'Raw Data_Mod Tests'!$R$2</f>
        <v>11.46</v>
      </c>
      <c r="E438" s="4">
        <f t="shared" si="90"/>
        <v>0</v>
      </c>
      <c r="F438" s="4">
        <v>1000</v>
      </c>
      <c r="G438" s="63">
        <f>'Raw Data_Mod Tests'!$S$2</f>
        <v>4.8000000000000001E-4</v>
      </c>
      <c r="H438" s="61">
        <f t="shared" si="91"/>
        <v>0</v>
      </c>
      <c r="I438" s="64">
        <f t="shared" si="92"/>
        <v>0</v>
      </c>
      <c r="J438" s="41">
        <f>'Raw Data_Mod Tests'!H3</f>
        <v>0</v>
      </c>
      <c r="K438" s="99">
        <f t="shared" ref="K438:K448" si="93">95%*I438</f>
        <v>0</v>
      </c>
      <c r="L438" s="95" t="e">
        <f t="shared" ref="L438:L448" si="94">J438/I438</f>
        <v>#DIV/0!</v>
      </c>
    </row>
    <row r="439" spans="1:13" x14ac:dyDescent="0.25">
      <c r="A439" s="129" t="s">
        <v>10</v>
      </c>
      <c r="B439" s="4" t="s">
        <v>7</v>
      </c>
      <c r="C439" s="4">
        <v>1</v>
      </c>
      <c r="D439" s="4">
        <f>'Raw Data_Mod Tests'!$R$2</f>
        <v>11.46</v>
      </c>
      <c r="E439" s="4">
        <f t="shared" si="90"/>
        <v>0</v>
      </c>
      <c r="F439" s="4">
        <v>1000</v>
      </c>
      <c r="G439" s="63">
        <f>'Raw Data_Mod Tests'!$S$2</f>
        <v>4.8000000000000001E-4</v>
      </c>
      <c r="H439" s="61">
        <f t="shared" si="91"/>
        <v>0</v>
      </c>
      <c r="I439" s="64">
        <f t="shared" si="92"/>
        <v>0</v>
      </c>
      <c r="J439" s="41">
        <f>'Raw Data_Mod Tests'!H4</f>
        <v>0</v>
      </c>
      <c r="K439" s="99">
        <f t="shared" si="93"/>
        <v>0</v>
      </c>
      <c r="L439" s="95" t="e">
        <f t="shared" si="94"/>
        <v>#DIV/0!</v>
      </c>
    </row>
    <row r="440" spans="1:13" x14ac:dyDescent="0.25">
      <c r="A440" s="130"/>
      <c r="B440" s="4" t="s">
        <v>8</v>
      </c>
      <c r="C440" s="4">
        <v>1</v>
      </c>
      <c r="D440" s="4">
        <f>'Raw Data_Mod Tests'!$R$2</f>
        <v>11.46</v>
      </c>
      <c r="E440" s="4">
        <f t="shared" si="90"/>
        <v>0</v>
      </c>
      <c r="F440" s="4">
        <v>1000</v>
      </c>
      <c r="G440" s="63">
        <f>'Raw Data_Mod Tests'!$S$2</f>
        <v>4.8000000000000001E-4</v>
      </c>
      <c r="H440" s="61">
        <f t="shared" si="91"/>
        <v>0</v>
      </c>
      <c r="I440" s="64">
        <f t="shared" si="92"/>
        <v>0</v>
      </c>
      <c r="J440" s="41">
        <f>'Raw Data_Mod Tests'!H5</f>
        <v>0</v>
      </c>
      <c r="K440" s="99">
        <f t="shared" si="93"/>
        <v>0</v>
      </c>
      <c r="L440" s="95" t="e">
        <f t="shared" si="94"/>
        <v>#DIV/0!</v>
      </c>
    </row>
    <row r="441" spans="1:13" x14ac:dyDescent="0.25">
      <c r="A441" s="129" t="s">
        <v>11</v>
      </c>
      <c r="B441" s="4" t="s">
        <v>7</v>
      </c>
      <c r="C441" s="4">
        <v>1</v>
      </c>
      <c r="D441" s="4">
        <f>'Raw Data_Mod Tests'!$R$2</f>
        <v>11.46</v>
      </c>
      <c r="E441" s="4">
        <f t="shared" si="90"/>
        <v>0</v>
      </c>
      <c r="F441" s="4">
        <v>1000</v>
      </c>
      <c r="G441" s="63">
        <f>'Raw Data_Mod Tests'!$S$2</f>
        <v>4.8000000000000001E-4</v>
      </c>
      <c r="H441" s="61">
        <f t="shared" si="91"/>
        <v>0</v>
      </c>
      <c r="I441" s="64">
        <f t="shared" si="92"/>
        <v>0</v>
      </c>
      <c r="J441" s="41">
        <f>'Raw Data_Mod Tests'!H6</f>
        <v>0</v>
      </c>
      <c r="K441" s="99">
        <f t="shared" si="93"/>
        <v>0</v>
      </c>
      <c r="L441" s="95" t="e">
        <f t="shared" si="94"/>
        <v>#DIV/0!</v>
      </c>
    </row>
    <row r="442" spans="1:13" x14ac:dyDescent="0.25">
      <c r="A442" s="130"/>
      <c r="B442" s="4" t="s">
        <v>8</v>
      </c>
      <c r="C442" s="4">
        <v>1</v>
      </c>
      <c r="D442" s="4">
        <f>'Raw Data_Mod Tests'!$R$2</f>
        <v>11.46</v>
      </c>
      <c r="E442" s="4">
        <f t="shared" si="90"/>
        <v>0</v>
      </c>
      <c r="F442" s="4">
        <v>1000</v>
      </c>
      <c r="G442" s="63">
        <f>'Raw Data_Mod Tests'!$S$2</f>
        <v>4.8000000000000001E-4</v>
      </c>
      <c r="H442" s="61">
        <f t="shared" si="91"/>
        <v>0</v>
      </c>
      <c r="I442" s="64">
        <f t="shared" si="92"/>
        <v>0</v>
      </c>
      <c r="J442" s="41">
        <f>'Raw Data_Mod Tests'!H7</f>
        <v>0</v>
      </c>
      <c r="K442" s="99">
        <f t="shared" si="93"/>
        <v>0</v>
      </c>
      <c r="L442" s="95" t="e">
        <f t="shared" si="94"/>
        <v>#DIV/0!</v>
      </c>
    </row>
    <row r="443" spans="1:13" x14ac:dyDescent="0.25">
      <c r="A443" s="129" t="s">
        <v>12</v>
      </c>
      <c r="B443" s="4" t="s">
        <v>7</v>
      </c>
      <c r="C443" s="4">
        <v>1</v>
      </c>
      <c r="D443" s="4">
        <f>'Raw Data_Mod Tests'!$R$2</f>
        <v>11.46</v>
      </c>
      <c r="E443" s="4">
        <f t="shared" si="90"/>
        <v>0</v>
      </c>
      <c r="F443" s="4">
        <v>1000</v>
      </c>
      <c r="G443" s="63">
        <f>'Raw Data_Mod Tests'!$S$2</f>
        <v>4.8000000000000001E-4</v>
      </c>
      <c r="H443" s="61">
        <f t="shared" si="91"/>
        <v>0</v>
      </c>
      <c r="I443" s="64">
        <f t="shared" si="92"/>
        <v>0</v>
      </c>
      <c r="J443" s="41">
        <f>'Raw Data_Mod Tests'!H8</f>
        <v>0</v>
      </c>
      <c r="K443" s="99">
        <f t="shared" si="93"/>
        <v>0</v>
      </c>
      <c r="L443" s="95" t="e">
        <f t="shared" si="94"/>
        <v>#DIV/0!</v>
      </c>
    </row>
    <row r="444" spans="1:13" x14ac:dyDescent="0.25">
      <c r="A444" s="130"/>
      <c r="B444" s="4" t="s">
        <v>8</v>
      </c>
      <c r="C444" s="4">
        <v>1</v>
      </c>
      <c r="D444" s="4">
        <f>'Raw Data_Mod Tests'!$R$2</f>
        <v>11.46</v>
      </c>
      <c r="E444" s="4">
        <f t="shared" si="90"/>
        <v>0</v>
      </c>
      <c r="F444" s="4">
        <v>1000</v>
      </c>
      <c r="G444" s="63">
        <f>'Raw Data_Mod Tests'!$S$2</f>
        <v>4.8000000000000001E-4</v>
      </c>
      <c r="H444" s="61">
        <f t="shared" si="91"/>
        <v>0</v>
      </c>
      <c r="I444" s="64">
        <f t="shared" si="92"/>
        <v>0</v>
      </c>
      <c r="J444" s="41">
        <f>'Raw Data_Mod Tests'!H9</f>
        <v>0</v>
      </c>
      <c r="K444" s="99">
        <f t="shared" si="93"/>
        <v>0</v>
      </c>
      <c r="L444" s="95" t="e">
        <f t="shared" si="94"/>
        <v>#DIV/0!</v>
      </c>
    </row>
    <row r="445" spans="1:13" x14ac:dyDescent="0.25">
      <c r="A445" s="129" t="s">
        <v>13</v>
      </c>
      <c r="B445" s="4" t="s">
        <v>7</v>
      </c>
      <c r="C445" s="4">
        <v>1</v>
      </c>
      <c r="D445" s="4">
        <f>'Raw Data_Mod Tests'!$R$2</f>
        <v>11.46</v>
      </c>
      <c r="E445" s="4">
        <f t="shared" si="90"/>
        <v>0</v>
      </c>
      <c r="F445" s="4">
        <v>1000</v>
      </c>
      <c r="G445" s="63">
        <f>'Raw Data_Mod Tests'!$S$2</f>
        <v>4.8000000000000001E-4</v>
      </c>
      <c r="H445" s="61">
        <f t="shared" si="91"/>
        <v>0</v>
      </c>
      <c r="I445" s="64">
        <f t="shared" si="92"/>
        <v>0</v>
      </c>
      <c r="J445" s="41">
        <f>'Raw Data_Mod Tests'!H10</f>
        <v>0</v>
      </c>
      <c r="K445" s="99">
        <f t="shared" si="93"/>
        <v>0</v>
      </c>
      <c r="L445" s="95" t="e">
        <f t="shared" si="94"/>
        <v>#DIV/0!</v>
      </c>
    </row>
    <row r="446" spans="1:13" x14ac:dyDescent="0.25">
      <c r="A446" s="130"/>
      <c r="B446" s="4" t="s">
        <v>8</v>
      </c>
      <c r="C446" s="4">
        <v>1</v>
      </c>
      <c r="D446" s="4">
        <f>'Raw Data_Mod Tests'!$R$2</f>
        <v>11.46</v>
      </c>
      <c r="E446" s="4">
        <f t="shared" si="90"/>
        <v>0</v>
      </c>
      <c r="F446" s="4">
        <v>1000</v>
      </c>
      <c r="G446" s="63">
        <f>'Raw Data_Mod Tests'!$S$2</f>
        <v>4.8000000000000001E-4</v>
      </c>
      <c r="H446" s="61">
        <f t="shared" si="91"/>
        <v>0</v>
      </c>
      <c r="I446" s="64">
        <f t="shared" si="92"/>
        <v>0</v>
      </c>
      <c r="J446" s="41">
        <f>'Raw Data_Mod Tests'!H11</f>
        <v>0</v>
      </c>
      <c r="K446" s="99">
        <f t="shared" si="93"/>
        <v>0</v>
      </c>
      <c r="L446" s="95" t="e">
        <f t="shared" si="94"/>
        <v>#DIV/0!</v>
      </c>
    </row>
    <row r="447" spans="1:13" x14ac:dyDescent="0.25">
      <c r="A447" s="129" t="s">
        <v>14</v>
      </c>
      <c r="B447" s="4" t="s">
        <v>7</v>
      </c>
      <c r="C447" s="4">
        <v>1</v>
      </c>
      <c r="D447" s="4">
        <f>'Raw Data_Mod Tests'!$R$2</f>
        <v>11.46</v>
      </c>
      <c r="E447" s="4">
        <f t="shared" si="90"/>
        <v>0</v>
      </c>
      <c r="F447" s="4">
        <v>1000</v>
      </c>
      <c r="G447" s="63">
        <f>'Raw Data_Mod Tests'!$S$2</f>
        <v>4.8000000000000001E-4</v>
      </c>
      <c r="H447" s="61">
        <f t="shared" si="91"/>
        <v>0</v>
      </c>
      <c r="I447" s="64">
        <f t="shared" si="92"/>
        <v>0</v>
      </c>
      <c r="J447" s="41">
        <f>'Raw Data_Mod Tests'!H12</f>
        <v>0</v>
      </c>
      <c r="K447" s="99">
        <f t="shared" si="93"/>
        <v>0</v>
      </c>
      <c r="L447" s="95" t="e">
        <f t="shared" si="94"/>
        <v>#DIV/0!</v>
      </c>
    </row>
    <row r="448" spans="1:13" x14ac:dyDescent="0.25">
      <c r="A448" s="130"/>
      <c r="B448" s="4" t="s">
        <v>8</v>
      </c>
      <c r="C448" s="4">
        <v>1</v>
      </c>
      <c r="D448" s="4">
        <f>'Raw Data_Mod Tests'!$R$2</f>
        <v>11.46</v>
      </c>
      <c r="E448" s="4">
        <f t="shared" si="90"/>
        <v>0</v>
      </c>
      <c r="F448" s="4">
        <v>1000</v>
      </c>
      <c r="G448" s="63">
        <f>'Raw Data_Mod Tests'!$S$2</f>
        <v>4.8000000000000001E-4</v>
      </c>
      <c r="H448" s="61">
        <f t="shared" si="91"/>
        <v>0</v>
      </c>
      <c r="I448" s="64">
        <f t="shared" ref="I448" si="95">C448*D448*(E448/F448)*(1+G448*(H448-25))</f>
        <v>0</v>
      </c>
      <c r="J448" s="41">
        <f>'Raw Data_Mod Tests'!H13</f>
        <v>0</v>
      </c>
      <c r="K448" s="99">
        <f t="shared" si="93"/>
        <v>0</v>
      </c>
      <c r="L448" s="95" t="e">
        <f t="shared" si="94"/>
        <v>#DIV/0!</v>
      </c>
    </row>
    <row r="449" spans="1:12" x14ac:dyDescent="0.25">
      <c r="L449" s="69"/>
    </row>
    <row r="450" spans="1:12" x14ac:dyDescent="0.25">
      <c r="L450" s="69"/>
    </row>
    <row r="451" spans="1:12" x14ac:dyDescent="0.25">
      <c r="A451" s="136" t="s">
        <v>50</v>
      </c>
      <c r="B451" s="137"/>
      <c r="C451" s="25" t="s">
        <v>32</v>
      </c>
      <c r="D451" s="25" t="s">
        <v>33</v>
      </c>
      <c r="E451" s="25" t="s">
        <v>15</v>
      </c>
      <c r="F451" s="25" t="s">
        <v>19</v>
      </c>
      <c r="G451" s="17" t="s">
        <v>34</v>
      </c>
      <c r="H451" s="25" t="s">
        <v>27</v>
      </c>
      <c r="I451" s="25" t="s">
        <v>29</v>
      </c>
      <c r="J451" s="60" t="s">
        <v>85</v>
      </c>
      <c r="K451" s="60" t="s">
        <v>102</v>
      </c>
      <c r="L451" s="60" t="s">
        <v>103</v>
      </c>
    </row>
    <row r="452" spans="1:12" x14ac:dyDescent="0.25">
      <c r="A452" s="129" t="s">
        <v>6</v>
      </c>
      <c r="B452" s="4" t="s">
        <v>7</v>
      </c>
      <c r="C452" s="4">
        <v>1</v>
      </c>
      <c r="D452" s="4">
        <f>'Raw Data_Mod Tests'!$R$2</f>
        <v>11.46</v>
      </c>
      <c r="E452" s="4">
        <f t="shared" ref="E452:E463" si="96">D43</f>
        <v>0</v>
      </c>
      <c r="F452" s="4">
        <v>1000</v>
      </c>
      <c r="G452" s="63">
        <f>'Raw Data_Mod Tests'!$S$2</f>
        <v>4.8000000000000001E-4</v>
      </c>
      <c r="H452" s="61">
        <f t="shared" ref="H452:H463" si="97">H245</f>
        <v>0</v>
      </c>
      <c r="I452" s="64">
        <f t="shared" ref="I452:I462" si="98">C452*D452*(E452/F452)*(1+G452*(H452-25))</f>
        <v>0</v>
      </c>
      <c r="J452" s="41">
        <f>'Raw Data_Mod Tests'!H14</f>
        <v>0</v>
      </c>
      <c r="K452" s="99">
        <f>95%*I452</f>
        <v>0</v>
      </c>
      <c r="L452" s="95" t="e">
        <f>J452/I452</f>
        <v>#DIV/0!</v>
      </c>
    </row>
    <row r="453" spans="1:12" x14ac:dyDescent="0.25">
      <c r="A453" s="130"/>
      <c r="B453" s="4" t="s">
        <v>8</v>
      </c>
      <c r="C453" s="4">
        <v>1</v>
      </c>
      <c r="D453" s="4">
        <f>'Raw Data_Mod Tests'!$R$2</f>
        <v>11.46</v>
      </c>
      <c r="E453" s="4">
        <f t="shared" si="96"/>
        <v>0</v>
      </c>
      <c r="F453" s="4">
        <v>1000</v>
      </c>
      <c r="G453" s="63">
        <f>'Raw Data_Mod Tests'!$S$2</f>
        <v>4.8000000000000001E-4</v>
      </c>
      <c r="H453" s="61">
        <f t="shared" si="97"/>
        <v>0</v>
      </c>
      <c r="I453" s="64">
        <f t="shared" si="98"/>
        <v>0</v>
      </c>
      <c r="J453" s="41">
        <f>'Raw Data_Mod Tests'!H15</f>
        <v>0</v>
      </c>
      <c r="K453" s="99">
        <f t="shared" ref="K453:K463" si="99">95%*I453</f>
        <v>0</v>
      </c>
      <c r="L453" s="95" t="e">
        <f t="shared" ref="L453:L463" si="100">J453/I453</f>
        <v>#DIV/0!</v>
      </c>
    </row>
    <row r="454" spans="1:12" x14ac:dyDescent="0.25">
      <c r="A454" s="129" t="s">
        <v>10</v>
      </c>
      <c r="B454" s="4" t="s">
        <v>7</v>
      </c>
      <c r="C454" s="4">
        <v>1</v>
      </c>
      <c r="D454" s="4">
        <f>'Raw Data_Mod Tests'!$R$2</f>
        <v>11.46</v>
      </c>
      <c r="E454" s="4">
        <f t="shared" si="96"/>
        <v>0</v>
      </c>
      <c r="F454" s="4">
        <v>1000</v>
      </c>
      <c r="G454" s="63">
        <f>'Raw Data_Mod Tests'!$S$2</f>
        <v>4.8000000000000001E-4</v>
      </c>
      <c r="H454" s="61">
        <f t="shared" si="97"/>
        <v>0</v>
      </c>
      <c r="I454" s="64">
        <f t="shared" si="98"/>
        <v>0</v>
      </c>
      <c r="J454" s="41">
        <f>'Raw Data_Mod Tests'!H16</f>
        <v>0</v>
      </c>
      <c r="K454" s="99">
        <f t="shared" si="99"/>
        <v>0</v>
      </c>
      <c r="L454" s="95" t="e">
        <f t="shared" si="100"/>
        <v>#DIV/0!</v>
      </c>
    </row>
    <row r="455" spans="1:12" x14ac:dyDescent="0.25">
      <c r="A455" s="130"/>
      <c r="B455" s="4" t="s">
        <v>8</v>
      </c>
      <c r="C455" s="4">
        <v>1</v>
      </c>
      <c r="D455" s="4">
        <f>'Raw Data_Mod Tests'!$R$2</f>
        <v>11.46</v>
      </c>
      <c r="E455" s="4">
        <f t="shared" si="96"/>
        <v>0</v>
      </c>
      <c r="F455" s="4">
        <v>1000</v>
      </c>
      <c r="G455" s="63">
        <f>'Raw Data_Mod Tests'!$S$2</f>
        <v>4.8000000000000001E-4</v>
      </c>
      <c r="H455" s="61">
        <f t="shared" si="97"/>
        <v>0</v>
      </c>
      <c r="I455" s="64">
        <f t="shared" si="98"/>
        <v>0</v>
      </c>
      <c r="J455" s="41">
        <f>'Raw Data_Mod Tests'!H17</f>
        <v>0</v>
      </c>
      <c r="K455" s="99">
        <f t="shared" si="99"/>
        <v>0</v>
      </c>
      <c r="L455" s="95" t="e">
        <f t="shared" si="100"/>
        <v>#DIV/0!</v>
      </c>
    </row>
    <row r="456" spans="1:12" x14ac:dyDescent="0.25">
      <c r="A456" s="129" t="s">
        <v>11</v>
      </c>
      <c r="B456" s="4" t="s">
        <v>7</v>
      </c>
      <c r="C456" s="4">
        <v>1</v>
      </c>
      <c r="D456" s="4">
        <f>'Raw Data_Mod Tests'!$R$2</f>
        <v>11.46</v>
      </c>
      <c r="E456" s="4">
        <f t="shared" si="96"/>
        <v>0</v>
      </c>
      <c r="F456" s="4">
        <v>1000</v>
      </c>
      <c r="G456" s="63">
        <f>'Raw Data_Mod Tests'!$S$2</f>
        <v>4.8000000000000001E-4</v>
      </c>
      <c r="H456" s="61">
        <f t="shared" si="97"/>
        <v>0</v>
      </c>
      <c r="I456" s="64">
        <f t="shared" si="98"/>
        <v>0</v>
      </c>
      <c r="J456" s="41">
        <f>'Raw Data_Mod Tests'!H18</f>
        <v>0</v>
      </c>
      <c r="K456" s="99">
        <f t="shared" si="99"/>
        <v>0</v>
      </c>
      <c r="L456" s="95" t="e">
        <f t="shared" si="100"/>
        <v>#DIV/0!</v>
      </c>
    </row>
    <row r="457" spans="1:12" x14ac:dyDescent="0.25">
      <c r="A457" s="130"/>
      <c r="B457" s="4" t="s">
        <v>8</v>
      </c>
      <c r="C457" s="4">
        <v>1</v>
      </c>
      <c r="D457" s="4">
        <f>'Raw Data_Mod Tests'!$R$2</f>
        <v>11.46</v>
      </c>
      <c r="E457" s="4">
        <f t="shared" si="96"/>
        <v>0</v>
      </c>
      <c r="F457" s="4">
        <v>1000</v>
      </c>
      <c r="G457" s="63">
        <f>'Raw Data_Mod Tests'!$S$2</f>
        <v>4.8000000000000001E-4</v>
      </c>
      <c r="H457" s="61">
        <f t="shared" si="97"/>
        <v>0</v>
      </c>
      <c r="I457" s="64">
        <f t="shared" si="98"/>
        <v>0</v>
      </c>
      <c r="J457" s="41">
        <f>'Raw Data_Mod Tests'!H19</f>
        <v>0</v>
      </c>
      <c r="K457" s="99">
        <f t="shared" si="99"/>
        <v>0</v>
      </c>
      <c r="L457" s="95" t="e">
        <f t="shared" si="100"/>
        <v>#DIV/0!</v>
      </c>
    </row>
    <row r="458" spans="1:12" x14ac:dyDescent="0.25">
      <c r="A458" s="129" t="s">
        <v>12</v>
      </c>
      <c r="B458" s="4" t="s">
        <v>7</v>
      </c>
      <c r="C458" s="4">
        <v>1</v>
      </c>
      <c r="D458" s="4">
        <f>'Raw Data_Mod Tests'!$R$2</f>
        <v>11.46</v>
      </c>
      <c r="E458" s="4">
        <f t="shared" si="96"/>
        <v>0</v>
      </c>
      <c r="F458" s="4">
        <v>1000</v>
      </c>
      <c r="G458" s="63">
        <f>'Raw Data_Mod Tests'!$S$2</f>
        <v>4.8000000000000001E-4</v>
      </c>
      <c r="H458" s="61">
        <f t="shared" si="97"/>
        <v>0</v>
      </c>
      <c r="I458" s="64">
        <f t="shared" si="98"/>
        <v>0</v>
      </c>
      <c r="J458" s="41">
        <f>'Raw Data_Mod Tests'!H20</f>
        <v>0</v>
      </c>
      <c r="K458" s="99">
        <f t="shared" si="99"/>
        <v>0</v>
      </c>
      <c r="L458" s="95" t="e">
        <f t="shared" si="100"/>
        <v>#DIV/0!</v>
      </c>
    </row>
    <row r="459" spans="1:12" x14ac:dyDescent="0.25">
      <c r="A459" s="130"/>
      <c r="B459" s="4" t="s">
        <v>8</v>
      </c>
      <c r="C459" s="4">
        <v>1</v>
      </c>
      <c r="D459" s="4">
        <f>'Raw Data_Mod Tests'!$R$2</f>
        <v>11.46</v>
      </c>
      <c r="E459" s="4">
        <f t="shared" si="96"/>
        <v>0</v>
      </c>
      <c r="F459" s="4">
        <v>1000</v>
      </c>
      <c r="G459" s="63">
        <f>'Raw Data_Mod Tests'!$S$2</f>
        <v>4.8000000000000001E-4</v>
      </c>
      <c r="H459" s="61">
        <f t="shared" si="97"/>
        <v>0</v>
      </c>
      <c r="I459" s="64">
        <f t="shared" si="98"/>
        <v>0</v>
      </c>
      <c r="J459" s="41">
        <f>'Raw Data_Mod Tests'!H21</f>
        <v>0</v>
      </c>
      <c r="K459" s="99">
        <f t="shared" si="99"/>
        <v>0</v>
      </c>
      <c r="L459" s="95" t="e">
        <f t="shared" si="100"/>
        <v>#DIV/0!</v>
      </c>
    </row>
    <row r="460" spans="1:12" x14ac:dyDescent="0.25">
      <c r="A460" s="129" t="s">
        <v>13</v>
      </c>
      <c r="B460" s="4" t="s">
        <v>7</v>
      </c>
      <c r="C460" s="4">
        <v>1</v>
      </c>
      <c r="D460" s="4">
        <f>'Raw Data_Mod Tests'!$R$2</f>
        <v>11.46</v>
      </c>
      <c r="E460" s="4">
        <f t="shared" si="96"/>
        <v>0</v>
      </c>
      <c r="F460" s="4">
        <v>1000</v>
      </c>
      <c r="G460" s="63">
        <f>'Raw Data_Mod Tests'!$S$2</f>
        <v>4.8000000000000001E-4</v>
      </c>
      <c r="H460" s="61">
        <f t="shared" si="97"/>
        <v>0</v>
      </c>
      <c r="I460" s="64">
        <f t="shared" si="98"/>
        <v>0</v>
      </c>
      <c r="J460" s="41">
        <f>'Raw Data_Mod Tests'!H22</f>
        <v>0</v>
      </c>
      <c r="K460" s="99">
        <f t="shared" si="99"/>
        <v>0</v>
      </c>
      <c r="L460" s="95" t="e">
        <f t="shared" si="100"/>
        <v>#DIV/0!</v>
      </c>
    </row>
    <row r="461" spans="1:12" x14ac:dyDescent="0.25">
      <c r="A461" s="130"/>
      <c r="B461" s="4" t="s">
        <v>8</v>
      </c>
      <c r="C461" s="4">
        <v>1</v>
      </c>
      <c r="D461" s="4">
        <f>'Raw Data_Mod Tests'!$R$2</f>
        <v>11.46</v>
      </c>
      <c r="E461" s="4">
        <f t="shared" si="96"/>
        <v>0</v>
      </c>
      <c r="F461" s="4">
        <v>1000</v>
      </c>
      <c r="G461" s="63">
        <f>'Raw Data_Mod Tests'!$S$2</f>
        <v>4.8000000000000001E-4</v>
      </c>
      <c r="H461" s="61">
        <f t="shared" si="97"/>
        <v>0</v>
      </c>
      <c r="I461" s="64">
        <f t="shared" si="98"/>
        <v>0</v>
      </c>
      <c r="J461" s="41">
        <f>'Raw Data_Mod Tests'!H23</f>
        <v>0</v>
      </c>
      <c r="K461" s="99">
        <f t="shared" si="99"/>
        <v>0</v>
      </c>
      <c r="L461" s="95" t="e">
        <f t="shared" si="100"/>
        <v>#DIV/0!</v>
      </c>
    </row>
    <row r="462" spans="1:12" x14ac:dyDescent="0.25">
      <c r="A462" s="129" t="s">
        <v>14</v>
      </c>
      <c r="B462" s="4" t="s">
        <v>7</v>
      </c>
      <c r="C462" s="4">
        <v>1</v>
      </c>
      <c r="D462" s="4">
        <f>'Raw Data_Mod Tests'!$R$2</f>
        <v>11.46</v>
      </c>
      <c r="E462" s="4">
        <f t="shared" si="96"/>
        <v>0</v>
      </c>
      <c r="F462" s="4">
        <v>1000</v>
      </c>
      <c r="G462" s="63">
        <f>'Raw Data_Mod Tests'!$S$2</f>
        <v>4.8000000000000001E-4</v>
      </c>
      <c r="H462" s="61">
        <f t="shared" si="97"/>
        <v>0</v>
      </c>
      <c r="I462" s="64">
        <f t="shared" si="98"/>
        <v>0</v>
      </c>
      <c r="J462" s="41">
        <f>'Raw Data_Mod Tests'!H24</f>
        <v>0</v>
      </c>
      <c r="K462" s="99">
        <f t="shared" si="99"/>
        <v>0</v>
      </c>
      <c r="L462" s="95" t="e">
        <f t="shared" si="100"/>
        <v>#DIV/0!</v>
      </c>
    </row>
    <row r="463" spans="1:12" x14ac:dyDescent="0.25">
      <c r="A463" s="130"/>
      <c r="B463" s="4" t="s">
        <v>8</v>
      </c>
      <c r="C463" s="4">
        <v>1</v>
      </c>
      <c r="D463" s="4">
        <f>'Raw Data_Mod Tests'!$R$2</f>
        <v>11.46</v>
      </c>
      <c r="E463" s="4">
        <f t="shared" si="96"/>
        <v>0</v>
      </c>
      <c r="F463" s="4">
        <v>1000</v>
      </c>
      <c r="G463" s="63">
        <f>'Raw Data_Mod Tests'!$S$2</f>
        <v>4.8000000000000001E-4</v>
      </c>
      <c r="H463" s="61">
        <f t="shared" si="97"/>
        <v>0</v>
      </c>
      <c r="I463" s="64">
        <f t="shared" ref="I463" si="101">C463*D463*(E463/F463)*(1+G463*(H463-25))</f>
        <v>0</v>
      </c>
      <c r="J463" s="41">
        <f>'Raw Data_Mod Tests'!H25</f>
        <v>0</v>
      </c>
      <c r="K463" s="99">
        <f t="shared" si="99"/>
        <v>0</v>
      </c>
      <c r="L463" s="95" t="e">
        <f t="shared" si="100"/>
        <v>#DIV/0!</v>
      </c>
    </row>
    <row r="464" spans="1:12" x14ac:dyDescent="0.25">
      <c r="L464" s="69"/>
    </row>
    <row r="465" spans="1:12" x14ac:dyDescent="0.25">
      <c r="L465" s="69"/>
    </row>
    <row r="466" spans="1:12" x14ac:dyDescent="0.25">
      <c r="A466" s="136" t="s">
        <v>66</v>
      </c>
      <c r="B466" s="137"/>
      <c r="C466" s="37" t="s">
        <v>32</v>
      </c>
      <c r="D466" s="37" t="s">
        <v>33</v>
      </c>
      <c r="E466" s="37" t="s">
        <v>15</v>
      </c>
      <c r="F466" s="37" t="s">
        <v>19</v>
      </c>
      <c r="G466" s="17" t="s">
        <v>34</v>
      </c>
      <c r="H466" s="37" t="s">
        <v>27</v>
      </c>
      <c r="I466" s="37" t="s">
        <v>29</v>
      </c>
      <c r="J466" s="60" t="s">
        <v>85</v>
      </c>
      <c r="K466" s="60" t="s">
        <v>102</v>
      </c>
      <c r="L466" s="60" t="s">
        <v>103</v>
      </c>
    </row>
    <row r="467" spans="1:12" x14ac:dyDescent="0.25">
      <c r="A467" s="129" t="s">
        <v>6</v>
      </c>
      <c r="B467" s="4" t="s">
        <v>7</v>
      </c>
      <c r="C467" s="4">
        <v>1</v>
      </c>
      <c r="D467" s="4">
        <f>'Raw Data_Mod Tests'!$R$2</f>
        <v>11.46</v>
      </c>
      <c r="E467" s="4">
        <f t="shared" ref="E467:E478" si="102">D58</f>
        <v>0</v>
      </c>
      <c r="F467" s="4">
        <v>1000</v>
      </c>
      <c r="G467" s="63">
        <f>'Raw Data_Mod Tests'!$S$2</f>
        <v>4.8000000000000001E-4</v>
      </c>
      <c r="H467" s="61">
        <f t="shared" ref="H467:H478" si="103">H260</f>
        <v>0</v>
      </c>
      <c r="I467" s="64">
        <f t="shared" ref="I467:I477" si="104">C467*D467*(E467/F467)*(1+G467*(H467-25))</f>
        <v>0</v>
      </c>
      <c r="J467" s="41">
        <f>'Raw Data_Mod Tests'!H26</f>
        <v>0</v>
      </c>
      <c r="K467" s="99">
        <f>95%*I467</f>
        <v>0</v>
      </c>
      <c r="L467" s="95" t="e">
        <f>J467/I467</f>
        <v>#DIV/0!</v>
      </c>
    </row>
    <row r="468" spans="1:12" x14ac:dyDescent="0.25">
      <c r="A468" s="130"/>
      <c r="B468" s="4" t="s">
        <v>8</v>
      </c>
      <c r="C468" s="4">
        <v>1</v>
      </c>
      <c r="D468" s="4">
        <f>'Raw Data_Mod Tests'!$R$2</f>
        <v>11.46</v>
      </c>
      <c r="E468" s="4">
        <f t="shared" si="102"/>
        <v>0</v>
      </c>
      <c r="F468" s="4">
        <v>1000</v>
      </c>
      <c r="G468" s="63">
        <f>'Raw Data_Mod Tests'!$S$2</f>
        <v>4.8000000000000001E-4</v>
      </c>
      <c r="H468" s="61">
        <f t="shared" si="103"/>
        <v>0</v>
      </c>
      <c r="I468" s="64">
        <f t="shared" si="104"/>
        <v>0</v>
      </c>
      <c r="J468" s="41">
        <f>'Raw Data_Mod Tests'!H27</f>
        <v>0</v>
      </c>
      <c r="K468" s="99">
        <f t="shared" ref="K468:K478" si="105">95%*I468</f>
        <v>0</v>
      </c>
      <c r="L468" s="95" t="e">
        <f t="shared" ref="L468:L478" si="106">J468/I468</f>
        <v>#DIV/0!</v>
      </c>
    </row>
    <row r="469" spans="1:12" x14ac:dyDescent="0.25">
      <c r="A469" s="129" t="s">
        <v>10</v>
      </c>
      <c r="B469" s="4" t="s">
        <v>7</v>
      </c>
      <c r="C469" s="4">
        <v>1</v>
      </c>
      <c r="D469" s="4">
        <f>'Raw Data_Mod Tests'!$R$2</f>
        <v>11.46</v>
      </c>
      <c r="E469" s="4">
        <f t="shared" si="102"/>
        <v>0</v>
      </c>
      <c r="F469" s="4">
        <v>1000</v>
      </c>
      <c r="G469" s="63">
        <f>'Raw Data_Mod Tests'!$S$2</f>
        <v>4.8000000000000001E-4</v>
      </c>
      <c r="H469" s="61">
        <f t="shared" si="103"/>
        <v>0</v>
      </c>
      <c r="I469" s="64">
        <f t="shared" si="104"/>
        <v>0</v>
      </c>
      <c r="J469" s="41">
        <f>'Raw Data_Mod Tests'!H28</f>
        <v>0</v>
      </c>
      <c r="K469" s="99">
        <f t="shared" si="105"/>
        <v>0</v>
      </c>
      <c r="L469" s="95" t="e">
        <f t="shared" si="106"/>
        <v>#DIV/0!</v>
      </c>
    </row>
    <row r="470" spans="1:12" x14ac:dyDescent="0.25">
      <c r="A470" s="130"/>
      <c r="B470" s="4" t="s">
        <v>8</v>
      </c>
      <c r="C470" s="4">
        <v>1</v>
      </c>
      <c r="D470" s="4">
        <f>'Raw Data_Mod Tests'!$R$2</f>
        <v>11.46</v>
      </c>
      <c r="E470" s="4">
        <f t="shared" si="102"/>
        <v>0</v>
      </c>
      <c r="F470" s="4">
        <v>1000</v>
      </c>
      <c r="G470" s="63">
        <f>'Raw Data_Mod Tests'!$S$2</f>
        <v>4.8000000000000001E-4</v>
      </c>
      <c r="H470" s="61">
        <f t="shared" si="103"/>
        <v>0</v>
      </c>
      <c r="I470" s="64">
        <f t="shared" si="104"/>
        <v>0</v>
      </c>
      <c r="J470" s="41">
        <f>'Raw Data_Mod Tests'!H29</f>
        <v>0</v>
      </c>
      <c r="K470" s="99">
        <f t="shared" si="105"/>
        <v>0</v>
      </c>
      <c r="L470" s="95" t="e">
        <f t="shared" si="106"/>
        <v>#DIV/0!</v>
      </c>
    </row>
    <row r="471" spans="1:12" x14ac:dyDescent="0.25">
      <c r="A471" s="129" t="s">
        <v>11</v>
      </c>
      <c r="B471" s="4" t="s">
        <v>7</v>
      </c>
      <c r="C471" s="4">
        <v>1</v>
      </c>
      <c r="D471" s="4">
        <f>'Raw Data_Mod Tests'!$R$2</f>
        <v>11.46</v>
      </c>
      <c r="E471" s="4">
        <f t="shared" si="102"/>
        <v>0</v>
      </c>
      <c r="F471" s="4">
        <v>1000</v>
      </c>
      <c r="G471" s="63">
        <f>'Raw Data_Mod Tests'!$S$2</f>
        <v>4.8000000000000001E-4</v>
      </c>
      <c r="H471" s="61">
        <f t="shared" si="103"/>
        <v>0</v>
      </c>
      <c r="I471" s="64">
        <f t="shared" si="104"/>
        <v>0</v>
      </c>
      <c r="J471" s="41">
        <f>'Raw Data_Mod Tests'!H30</f>
        <v>0</v>
      </c>
      <c r="K471" s="99">
        <f t="shared" si="105"/>
        <v>0</v>
      </c>
      <c r="L471" s="95" t="e">
        <f t="shared" si="106"/>
        <v>#DIV/0!</v>
      </c>
    </row>
    <row r="472" spans="1:12" x14ac:dyDescent="0.25">
      <c r="A472" s="130"/>
      <c r="B472" s="4" t="s">
        <v>8</v>
      </c>
      <c r="C472" s="4">
        <v>1</v>
      </c>
      <c r="D472" s="4">
        <f>'Raw Data_Mod Tests'!$R$2</f>
        <v>11.46</v>
      </c>
      <c r="E472" s="4">
        <f t="shared" si="102"/>
        <v>0</v>
      </c>
      <c r="F472" s="4">
        <v>1000</v>
      </c>
      <c r="G472" s="63">
        <f>'Raw Data_Mod Tests'!$S$2</f>
        <v>4.8000000000000001E-4</v>
      </c>
      <c r="H472" s="61">
        <f t="shared" si="103"/>
        <v>0</v>
      </c>
      <c r="I472" s="64">
        <f t="shared" si="104"/>
        <v>0</v>
      </c>
      <c r="J472" s="41">
        <f>'Raw Data_Mod Tests'!H31</f>
        <v>0</v>
      </c>
      <c r="K472" s="99">
        <f t="shared" si="105"/>
        <v>0</v>
      </c>
      <c r="L472" s="95" t="e">
        <f t="shared" si="106"/>
        <v>#DIV/0!</v>
      </c>
    </row>
    <row r="473" spans="1:12" x14ac:dyDescent="0.25">
      <c r="A473" s="129" t="s">
        <v>12</v>
      </c>
      <c r="B473" s="4" t="s">
        <v>7</v>
      </c>
      <c r="C473" s="4">
        <v>1</v>
      </c>
      <c r="D473" s="4">
        <f>'Raw Data_Mod Tests'!$R$2</f>
        <v>11.46</v>
      </c>
      <c r="E473" s="4">
        <f t="shared" si="102"/>
        <v>0</v>
      </c>
      <c r="F473" s="4">
        <v>1000</v>
      </c>
      <c r="G473" s="63">
        <f>'Raw Data_Mod Tests'!$S$2</f>
        <v>4.8000000000000001E-4</v>
      </c>
      <c r="H473" s="61">
        <f t="shared" si="103"/>
        <v>0</v>
      </c>
      <c r="I473" s="64">
        <f t="shared" si="104"/>
        <v>0</v>
      </c>
      <c r="J473" s="41">
        <f>'Raw Data_Mod Tests'!H32</f>
        <v>0</v>
      </c>
      <c r="K473" s="99">
        <f t="shared" si="105"/>
        <v>0</v>
      </c>
      <c r="L473" s="95" t="e">
        <f t="shared" si="106"/>
        <v>#DIV/0!</v>
      </c>
    </row>
    <row r="474" spans="1:12" x14ac:dyDescent="0.25">
      <c r="A474" s="130"/>
      <c r="B474" s="4" t="s">
        <v>8</v>
      </c>
      <c r="C474" s="4">
        <v>1</v>
      </c>
      <c r="D474" s="4">
        <f>'Raw Data_Mod Tests'!$R$2</f>
        <v>11.46</v>
      </c>
      <c r="E474" s="4">
        <f t="shared" si="102"/>
        <v>0</v>
      </c>
      <c r="F474" s="4">
        <v>1000</v>
      </c>
      <c r="G474" s="63">
        <f>'Raw Data_Mod Tests'!$S$2</f>
        <v>4.8000000000000001E-4</v>
      </c>
      <c r="H474" s="61">
        <f t="shared" si="103"/>
        <v>0</v>
      </c>
      <c r="I474" s="64">
        <f t="shared" si="104"/>
        <v>0</v>
      </c>
      <c r="J474" s="41">
        <f>'Raw Data_Mod Tests'!H33</f>
        <v>0</v>
      </c>
      <c r="K474" s="99">
        <f t="shared" si="105"/>
        <v>0</v>
      </c>
      <c r="L474" s="95" t="e">
        <f t="shared" si="106"/>
        <v>#DIV/0!</v>
      </c>
    </row>
    <row r="475" spans="1:12" x14ac:dyDescent="0.25">
      <c r="A475" s="129" t="s">
        <v>13</v>
      </c>
      <c r="B475" s="4" t="s">
        <v>7</v>
      </c>
      <c r="C475" s="4">
        <v>1</v>
      </c>
      <c r="D475" s="4">
        <f>'Raw Data_Mod Tests'!$R$2</f>
        <v>11.46</v>
      </c>
      <c r="E475" s="4">
        <f t="shared" si="102"/>
        <v>0</v>
      </c>
      <c r="F475" s="4">
        <v>1000</v>
      </c>
      <c r="G475" s="63">
        <f>'Raw Data_Mod Tests'!$S$2</f>
        <v>4.8000000000000001E-4</v>
      </c>
      <c r="H475" s="61">
        <f t="shared" si="103"/>
        <v>0</v>
      </c>
      <c r="I475" s="64">
        <f t="shared" si="104"/>
        <v>0</v>
      </c>
      <c r="J475" s="41">
        <f>'Raw Data_Mod Tests'!H34</f>
        <v>0</v>
      </c>
      <c r="K475" s="99">
        <f t="shared" si="105"/>
        <v>0</v>
      </c>
      <c r="L475" s="95" t="e">
        <f t="shared" si="106"/>
        <v>#DIV/0!</v>
      </c>
    </row>
    <row r="476" spans="1:12" x14ac:dyDescent="0.25">
      <c r="A476" s="130"/>
      <c r="B476" s="4" t="s">
        <v>8</v>
      </c>
      <c r="C476" s="4">
        <v>1</v>
      </c>
      <c r="D476" s="4">
        <f>'Raw Data_Mod Tests'!$R$2</f>
        <v>11.46</v>
      </c>
      <c r="E476" s="4">
        <f t="shared" si="102"/>
        <v>0</v>
      </c>
      <c r="F476" s="4">
        <v>1000</v>
      </c>
      <c r="G476" s="63">
        <f>'Raw Data_Mod Tests'!$S$2</f>
        <v>4.8000000000000001E-4</v>
      </c>
      <c r="H476" s="61">
        <f t="shared" si="103"/>
        <v>0</v>
      </c>
      <c r="I476" s="64">
        <f t="shared" si="104"/>
        <v>0</v>
      </c>
      <c r="J476" s="41">
        <f>'Raw Data_Mod Tests'!H35</f>
        <v>0</v>
      </c>
      <c r="K476" s="99">
        <f t="shared" si="105"/>
        <v>0</v>
      </c>
      <c r="L476" s="95" t="e">
        <f t="shared" si="106"/>
        <v>#DIV/0!</v>
      </c>
    </row>
    <row r="477" spans="1:12" x14ac:dyDescent="0.25">
      <c r="A477" s="129" t="s">
        <v>14</v>
      </c>
      <c r="B477" s="4" t="s">
        <v>7</v>
      </c>
      <c r="C477" s="4">
        <v>1</v>
      </c>
      <c r="D477" s="4">
        <f>'Raw Data_Mod Tests'!$R$2</f>
        <v>11.46</v>
      </c>
      <c r="E477" s="4">
        <f t="shared" si="102"/>
        <v>0</v>
      </c>
      <c r="F477" s="4">
        <v>1000</v>
      </c>
      <c r="G477" s="63">
        <f>'Raw Data_Mod Tests'!$S$2</f>
        <v>4.8000000000000001E-4</v>
      </c>
      <c r="H477" s="61">
        <f t="shared" si="103"/>
        <v>0</v>
      </c>
      <c r="I477" s="64">
        <f t="shared" si="104"/>
        <v>0</v>
      </c>
      <c r="J477" s="41">
        <f>'Raw Data_Mod Tests'!H36</f>
        <v>0</v>
      </c>
      <c r="K477" s="99">
        <f t="shared" si="105"/>
        <v>0</v>
      </c>
      <c r="L477" s="95" t="e">
        <f t="shared" si="106"/>
        <v>#DIV/0!</v>
      </c>
    </row>
    <row r="478" spans="1:12" x14ac:dyDescent="0.25">
      <c r="A478" s="130"/>
      <c r="B478" s="4" t="s">
        <v>8</v>
      </c>
      <c r="C478" s="4">
        <v>1</v>
      </c>
      <c r="D478" s="4">
        <f>'Raw Data_Mod Tests'!$R$2</f>
        <v>11.46</v>
      </c>
      <c r="E478" s="4">
        <f t="shared" si="102"/>
        <v>0</v>
      </c>
      <c r="F478" s="4">
        <v>1000</v>
      </c>
      <c r="G478" s="63">
        <f>'Raw Data_Mod Tests'!$S$2</f>
        <v>4.8000000000000001E-4</v>
      </c>
      <c r="H478" s="61">
        <f t="shared" si="103"/>
        <v>0</v>
      </c>
      <c r="I478" s="64">
        <f t="shared" ref="I478" si="107">C478*D478*(E478/F478)*(1+G478*(H478-25))</f>
        <v>0</v>
      </c>
      <c r="J478" s="41">
        <f>'Raw Data_Mod Tests'!H37</f>
        <v>0</v>
      </c>
      <c r="K478" s="99">
        <f t="shared" si="105"/>
        <v>0</v>
      </c>
      <c r="L478" s="95" t="e">
        <f t="shared" si="106"/>
        <v>#DIV/0!</v>
      </c>
    </row>
    <row r="479" spans="1:12" x14ac:dyDescent="0.25">
      <c r="L479" s="69"/>
    </row>
    <row r="480" spans="1:12" x14ac:dyDescent="0.25">
      <c r="L480" s="69"/>
    </row>
    <row r="481" spans="1:12" x14ac:dyDescent="0.25">
      <c r="A481" s="136" t="s">
        <v>67</v>
      </c>
      <c r="B481" s="137"/>
      <c r="C481" s="37" t="s">
        <v>32</v>
      </c>
      <c r="D481" s="37" t="s">
        <v>33</v>
      </c>
      <c r="E481" s="37" t="s">
        <v>15</v>
      </c>
      <c r="F481" s="37" t="s">
        <v>19</v>
      </c>
      <c r="G481" s="17" t="s">
        <v>34</v>
      </c>
      <c r="H481" s="37" t="s">
        <v>27</v>
      </c>
      <c r="I481" s="37" t="s">
        <v>29</v>
      </c>
      <c r="J481" s="60" t="s">
        <v>85</v>
      </c>
      <c r="K481" s="60" t="s">
        <v>102</v>
      </c>
      <c r="L481" s="60" t="s">
        <v>103</v>
      </c>
    </row>
    <row r="482" spans="1:12" x14ac:dyDescent="0.25">
      <c r="A482" s="129" t="s">
        <v>6</v>
      </c>
      <c r="B482" s="4" t="s">
        <v>7</v>
      </c>
      <c r="C482" s="4">
        <v>1</v>
      </c>
      <c r="D482" s="4">
        <f>'Raw Data_Mod Tests'!$R$2</f>
        <v>11.46</v>
      </c>
      <c r="E482" s="4">
        <f t="shared" ref="E482:E493" si="108">D73</f>
        <v>0</v>
      </c>
      <c r="F482" s="4">
        <v>1000</v>
      </c>
      <c r="G482" s="63">
        <f>'Raw Data_Mod Tests'!$S$2</f>
        <v>4.8000000000000001E-4</v>
      </c>
      <c r="H482" s="61">
        <f t="shared" ref="H482:H493" si="109">H275</f>
        <v>0</v>
      </c>
      <c r="I482" s="64">
        <f t="shared" ref="I482:I492" si="110">C482*D482*(E482/F482)*(1+G482*(H482-25))</f>
        <v>0</v>
      </c>
      <c r="J482" s="41">
        <f>'Raw Data_Mod Tests'!H38</f>
        <v>0</v>
      </c>
      <c r="K482" s="99">
        <f>95%*I482</f>
        <v>0</v>
      </c>
      <c r="L482" s="95" t="e">
        <f>J482/I482</f>
        <v>#DIV/0!</v>
      </c>
    </row>
    <row r="483" spans="1:12" x14ac:dyDescent="0.25">
      <c r="A483" s="130"/>
      <c r="B483" s="4" t="s">
        <v>8</v>
      </c>
      <c r="C483" s="4">
        <v>1</v>
      </c>
      <c r="D483" s="4">
        <f>'Raw Data_Mod Tests'!$R$2</f>
        <v>11.46</v>
      </c>
      <c r="E483" s="4">
        <f t="shared" si="108"/>
        <v>0</v>
      </c>
      <c r="F483" s="4">
        <v>1000</v>
      </c>
      <c r="G483" s="63">
        <f>'Raw Data_Mod Tests'!$S$2</f>
        <v>4.8000000000000001E-4</v>
      </c>
      <c r="H483" s="61">
        <f t="shared" si="109"/>
        <v>0</v>
      </c>
      <c r="I483" s="64">
        <f t="shared" si="110"/>
        <v>0</v>
      </c>
      <c r="J483" s="41">
        <f>'Raw Data_Mod Tests'!H39</f>
        <v>0</v>
      </c>
      <c r="K483" s="99">
        <f t="shared" ref="K483:K493" si="111">95%*I483</f>
        <v>0</v>
      </c>
      <c r="L483" s="95" t="e">
        <f t="shared" ref="L483:L493" si="112">J483/I483</f>
        <v>#DIV/0!</v>
      </c>
    </row>
    <row r="484" spans="1:12" x14ac:dyDescent="0.25">
      <c r="A484" s="129" t="s">
        <v>10</v>
      </c>
      <c r="B484" s="4" t="s">
        <v>7</v>
      </c>
      <c r="C484" s="4">
        <v>1</v>
      </c>
      <c r="D484" s="4">
        <f>'Raw Data_Mod Tests'!$R$2</f>
        <v>11.46</v>
      </c>
      <c r="E484" s="4">
        <f t="shared" si="108"/>
        <v>0</v>
      </c>
      <c r="F484" s="4">
        <v>1000</v>
      </c>
      <c r="G484" s="63">
        <f>'Raw Data_Mod Tests'!$S$2</f>
        <v>4.8000000000000001E-4</v>
      </c>
      <c r="H484" s="61">
        <f t="shared" si="109"/>
        <v>0</v>
      </c>
      <c r="I484" s="64">
        <f t="shared" si="110"/>
        <v>0</v>
      </c>
      <c r="J484" s="41">
        <f>'Raw Data_Mod Tests'!H40</f>
        <v>0</v>
      </c>
      <c r="K484" s="99">
        <f t="shared" si="111"/>
        <v>0</v>
      </c>
      <c r="L484" s="95" t="e">
        <f t="shared" si="112"/>
        <v>#DIV/0!</v>
      </c>
    </row>
    <row r="485" spans="1:12" x14ac:dyDescent="0.25">
      <c r="A485" s="130"/>
      <c r="B485" s="4" t="s">
        <v>8</v>
      </c>
      <c r="C485" s="4">
        <v>1</v>
      </c>
      <c r="D485" s="4">
        <f>'Raw Data_Mod Tests'!$R$2</f>
        <v>11.46</v>
      </c>
      <c r="E485" s="4">
        <f t="shared" si="108"/>
        <v>0</v>
      </c>
      <c r="F485" s="4">
        <v>1000</v>
      </c>
      <c r="G485" s="63">
        <f>'Raw Data_Mod Tests'!$S$2</f>
        <v>4.8000000000000001E-4</v>
      </c>
      <c r="H485" s="61">
        <f t="shared" si="109"/>
        <v>0</v>
      </c>
      <c r="I485" s="64">
        <f t="shared" si="110"/>
        <v>0</v>
      </c>
      <c r="J485" s="41">
        <f>'Raw Data_Mod Tests'!H41</f>
        <v>0</v>
      </c>
      <c r="K485" s="99">
        <f t="shared" si="111"/>
        <v>0</v>
      </c>
      <c r="L485" s="95" t="e">
        <f t="shared" si="112"/>
        <v>#DIV/0!</v>
      </c>
    </row>
    <row r="486" spans="1:12" x14ac:dyDescent="0.25">
      <c r="A486" s="129" t="s">
        <v>11</v>
      </c>
      <c r="B486" s="4" t="s">
        <v>7</v>
      </c>
      <c r="C486" s="4">
        <v>1</v>
      </c>
      <c r="D486" s="4">
        <f>'Raw Data_Mod Tests'!$R$2</f>
        <v>11.46</v>
      </c>
      <c r="E486" s="4">
        <f t="shared" si="108"/>
        <v>0</v>
      </c>
      <c r="F486" s="4">
        <v>1000</v>
      </c>
      <c r="G486" s="63">
        <f>'Raw Data_Mod Tests'!$S$2</f>
        <v>4.8000000000000001E-4</v>
      </c>
      <c r="H486" s="61">
        <f t="shared" si="109"/>
        <v>0</v>
      </c>
      <c r="I486" s="64">
        <f t="shared" si="110"/>
        <v>0</v>
      </c>
      <c r="J486" s="41">
        <f>'Raw Data_Mod Tests'!H42</f>
        <v>0</v>
      </c>
      <c r="K486" s="99">
        <f t="shared" si="111"/>
        <v>0</v>
      </c>
      <c r="L486" s="95" t="e">
        <f t="shared" si="112"/>
        <v>#DIV/0!</v>
      </c>
    </row>
    <row r="487" spans="1:12" x14ac:dyDescent="0.25">
      <c r="A487" s="130"/>
      <c r="B487" s="4" t="s">
        <v>8</v>
      </c>
      <c r="C487" s="4">
        <v>1</v>
      </c>
      <c r="D487" s="4">
        <f>'Raw Data_Mod Tests'!$R$2</f>
        <v>11.46</v>
      </c>
      <c r="E487" s="4">
        <f t="shared" si="108"/>
        <v>0</v>
      </c>
      <c r="F487" s="4">
        <v>1000</v>
      </c>
      <c r="G487" s="63">
        <f>'Raw Data_Mod Tests'!$S$2</f>
        <v>4.8000000000000001E-4</v>
      </c>
      <c r="H487" s="61">
        <f t="shared" si="109"/>
        <v>0</v>
      </c>
      <c r="I487" s="64">
        <f t="shared" si="110"/>
        <v>0</v>
      </c>
      <c r="J487" s="41">
        <f>'Raw Data_Mod Tests'!H43</f>
        <v>0</v>
      </c>
      <c r="K487" s="99">
        <f t="shared" si="111"/>
        <v>0</v>
      </c>
      <c r="L487" s="95" t="e">
        <f t="shared" si="112"/>
        <v>#DIV/0!</v>
      </c>
    </row>
    <row r="488" spans="1:12" x14ac:dyDescent="0.25">
      <c r="A488" s="129" t="s">
        <v>12</v>
      </c>
      <c r="B488" s="4" t="s">
        <v>7</v>
      </c>
      <c r="C488" s="4">
        <v>1</v>
      </c>
      <c r="D488" s="4">
        <f>'Raw Data_Mod Tests'!$R$2</f>
        <v>11.46</v>
      </c>
      <c r="E488" s="4">
        <f t="shared" si="108"/>
        <v>0</v>
      </c>
      <c r="F488" s="4">
        <v>1000</v>
      </c>
      <c r="G488" s="63">
        <f>'Raw Data_Mod Tests'!$S$2</f>
        <v>4.8000000000000001E-4</v>
      </c>
      <c r="H488" s="61">
        <f t="shared" si="109"/>
        <v>0</v>
      </c>
      <c r="I488" s="64">
        <f t="shared" si="110"/>
        <v>0</v>
      </c>
      <c r="J488" s="41">
        <f>'Raw Data_Mod Tests'!H44</f>
        <v>0</v>
      </c>
      <c r="K488" s="99">
        <f t="shared" si="111"/>
        <v>0</v>
      </c>
      <c r="L488" s="95" t="e">
        <f t="shared" si="112"/>
        <v>#DIV/0!</v>
      </c>
    </row>
    <row r="489" spans="1:12" x14ac:dyDescent="0.25">
      <c r="A489" s="130"/>
      <c r="B489" s="4" t="s">
        <v>8</v>
      </c>
      <c r="C489" s="4">
        <v>1</v>
      </c>
      <c r="D489" s="4">
        <f>'Raw Data_Mod Tests'!$R$2</f>
        <v>11.46</v>
      </c>
      <c r="E489" s="4">
        <f t="shared" si="108"/>
        <v>0</v>
      </c>
      <c r="F489" s="4">
        <v>1000</v>
      </c>
      <c r="G489" s="63">
        <f>'Raw Data_Mod Tests'!$S$2</f>
        <v>4.8000000000000001E-4</v>
      </c>
      <c r="H489" s="61">
        <f t="shared" si="109"/>
        <v>0</v>
      </c>
      <c r="I489" s="64">
        <f t="shared" si="110"/>
        <v>0</v>
      </c>
      <c r="J489" s="41">
        <f>'Raw Data_Mod Tests'!H45</f>
        <v>0</v>
      </c>
      <c r="K489" s="99">
        <f t="shared" si="111"/>
        <v>0</v>
      </c>
      <c r="L489" s="95" t="e">
        <f t="shared" si="112"/>
        <v>#DIV/0!</v>
      </c>
    </row>
    <row r="490" spans="1:12" x14ac:dyDescent="0.25">
      <c r="A490" s="129" t="s">
        <v>13</v>
      </c>
      <c r="B490" s="4" t="s">
        <v>7</v>
      </c>
      <c r="C490" s="4">
        <v>1</v>
      </c>
      <c r="D490" s="4">
        <f>'Raw Data_Mod Tests'!$R$2</f>
        <v>11.46</v>
      </c>
      <c r="E490" s="4">
        <f t="shared" si="108"/>
        <v>0</v>
      </c>
      <c r="F490" s="4">
        <v>1000</v>
      </c>
      <c r="G490" s="63">
        <f>'Raw Data_Mod Tests'!$S$2</f>
        <v>4.8000000000000001E-4</v>
      </c>
      <c r="H490" s="61">
        <f t="shared" si="109"/>
        <v>0</v>
      </c>
      <c r="I490" s="64">
        <f t="shared" si="110"/>
        <v>0</v>
      </c>
      <c r="J490" s="41">
        <f>'Raw Data_Mod Tests'!H46</f>
        <v>0</v>
      </c>
      <c r="K490" s="99">
        <f t="shared" si="111"/>
        <v>0</v>
      </c>
      <c r="L490" s="95" t="e">
        <f t="shared" si="112"/>
        <v>#DIV/0!</v>
      </c>
    </row>
    <row r="491" spans="1:12" x14ac:dyDescent="0.25">
      <c r="A491" s="130"/>
      <c r="B491" s="4" t="s">
        <v>8</v>
      </c>
      <c r="C491" s="4">
        <v>1</v>
      </c>
      <c r="D491" s="4">
        <f>'Raw Data_Mod Tests'!$R$2</f>
        <v>11.46</v>
      </c>
      <c r="E491" s="4">
        <f t="shared" si="108"/>
        <v>0</v>
      </c>
      <c r="F491" s="4">
        <v>1000</v>
      </c>
      <c r="G491" s="63">
        <f>'Raw Data_Mod Tests'!$S$2</f>
        <v>4.8000000000000001E-4</v>
      </c>
      <c r="H491" s="61">
        <f t="shared" si="109"/>
        <v>0</v>
      </c>
      <c r="I491" s="64">
        <f t="shared" si="110"/>
        <v>0</v>
      </c>
      <c r="J491" s="41">
        <f>'Raw Data_Mod Tests'!H47</f>
        <v>0</v>
      </c>
      <c r="K491" s="99">
        <f t="shared" si="111"/>
        <v>0</v>
      </c>
      <c r="L491" s="95" t="e">
        <f t="shared" si="112"/>
        <v>#DIV/0!</v>
      </c>
    </row>
    <row r="492" spans="1:12" x14ac:dyDescent="0.25">
      <c r="A492" s="129" t="s">
        <v>14</v>
      </c>
      <c r="B492" s="4" t="s">
        <v>7</v>
      </c>
      <c r="C492" s="4">
        <v>1</v>
      </c>
      <c r="D492" s="4">
        <f>'Raw Data_Mod Tests'!$R$2</f>
        <v>11.46</v>
      </c>
      <c r="E492" s="4">
        <f t="shared" si="108"/>
        <v>0</v>
      </c>
      <c r="F492" s="4">
        <v>1000</v>
      </c>
      <c r="G492" s="63">
        <f>'Raw Data_Mod Tests'!$S$2</f>
        <v>4.8000000000000001E-4</v>
      </c>
      <c r="H492" s="61">
        <f t="shared" si="109"/>
        <v>0</v>
      </c>
      <c r="I492" s="64">
        <f t="shared" si="110"/>
        <v>0</v>
      </c>
      <c r="J492" s="41">
        <f>'Raw Data_Mod Tests'!H48</f>
        <v>0</v>
      </c>
      <c r="K492" s="99">
        <f t="shared" si="111"/>
        <v>0</v>
      </c>
      <c r="L492" s="95" t="e">
        <f t="shared" si="112"/>
        <v>#DIV/0!</v>
      </c>
    </row>
    <row r="493" spans="1:12" x14ac:dyDescent="0.25">
      <c r="A493" s="130"/>
      <c r="B493" s="4" t="s">
        <v>8</v>
      </c>
      <c r="C493" s="4">
        <v>1</v>
      </c>
      <c r="D493" s="4">
        <f>'Raw Data_Mod Tests'!$R$2</f>
        <v>11.46</v>
      </c>
      <c r="E493" s="4">
        <f t="shared" si="108"/>
        <v>0</v>
      </c>
      <c r="F493" s="4">
        <v>1000</v>
      </c>
      <c r="G493" s="63">
        <f>'Raw Data_Mod Tests'!$S$2</f>
        <v>4.8000000000000001E-4</v>
      </c>
      <c r="H493" s="61">
        <f t="shared" si="109"/>
        <v>0</v>
      </c>
      <c r="I493" s="64">
        <f t="shared" ref="I493" si="113">C493*D493*(E493/F493)*(1+G493*(H493-25))</f>
        <v>0</v>
      </c>
      <c r="J493" s="41">
        <f>'Raw Data_Mod Tests'!H49</f>
        <v>0</v>
      </c>
      <c r="K493" s="99">
        <f t="shared" si="111"/>
        <v>0</v>
      </c>
      <c r="L493" s="95" t="e">
        <f t="shared" si="112"/>
        <v>#DIV/0!</v>
      </c>
    </row>
    <row r="494" spans="1:12" x14ac:dyDescent="0.25">
      <c r="L494" s="69"/>
    </row>
    <row r="496" spans="1:12" x14ac:dyDescent="0.25">
      <c r="A496" s="136" t="s">
        <v>68</v>
      </c>
      <c r="B496" s="137"/>
      <c r="C496" s="98" t="s">
        <v>32</v>
      </c>
      <c r="D496" s="98" t="s">
        <v>33</v>
      </c>
      <c r="E496" s="98" t="s">
        <v>15</v>
      </c>
      <c r="F496" s="98" t="s">
        <v>19</v>
      </c>
      <c r="G496" s="17" t="s">
        <v>34</v>
      </c>
      <c r="H496" s="98" t="s">
        <v>27</v>
      </c>
      <c r="I496" s="98" t="s">
        <v>29</v>
      </c>
      <c r="J496" s="60" t="s">
        <v>85</v>
      </c>
      <c r="K496" s="60" t="s">
        <v>102</v>
      </c>
      <c r="L496" s="60" t="s">
        <v>103</v>
      </c>
    </row>
    <row r="497" spans="1:12" x14ac:dyDescent="0.25">
      <c r="A497" s="129" t="s">
        <v>6</v>
      </c>
      <c r="B497" s="4" t="s">
        <v>7</v>
      </c>
      <c r="C497" s="4">
        <v>1</v>
      </c>
      <c r="D497" s="4">
        <f>'Raw Data_Mod Tests'!$R$2</f>
        <v>11.46</v>
      </c>
      <c r="E497" s="4">
        <f t="shared" ref="E497:E508" si="114">D88</f>
        <v>0</v>
      </c>
      <c r="F497" s="4">
        <v>1000</v>
      </c>
      <c r="G497" s="63">
        <f>'Raw Data_Mod Tests'!$S$2</f>
        <v>4.8000000000000001E-4</v>
      </c>
      <c r="H497" s="61">
        <f t="shared" ref="H497:H508" si="115">H290</f>
        <v>0</v>
      </c>
      <c r="I497" s="64">
        <f t="shared" ref="I497:I508" si="116">C497*D497*(E497/F497)*(1+G497*(H497-25))</f>
        <v>0</v>
      </c>
      <c r="J497" s="128">
        <f>'Raw Data_Mod Tests'!H50</f>
        <v>0</v>
      </c>
      <c r="K497" s="99">
        <f>95%*I497</f>
        <v>0</v>
      </c>
      <c r="L497" s="95" t="e">
        <f>J497/I497</f>
        <v>#DIV/0!</v>
      </c>
    </row>
    <row r="498" spans="1:12" x14ac:dyDescent="0.25">
      <c r="A498" s="130"/>
      <c r="B498" s="4" t="s">
        <v>8</v>
      </c>
      <c r="C498" s="4">
        <v>1</v>
      </c>
      <c r="D498" s="4">
        <f>'Raw Data_Mod Tests'!$R$2</f>
        <v>11.46</v>
      </c>
      <c r="E498" s="4">
        <f t="shared" si="114"/>
        <v>0</v>
      </c>
      <c r="F498" s="4">
        <v>1000</v>
      </c>
      <c r="G498" s="63">
        <f>'Raw Data_Mod Tests'!$S$2</f>
        <v>4.8000000000000001E-4</v>
      </c>
      <c r="H498" s="61">
        <f t="shared" si="115"/>
        <v>0</v>
      </c>
      <c r="I498" s="64">
        <f t="shared" si="116"/>
        <v>0</v>
      </c>
      <c r="J498" s="128">
        <f>'Raw Data_Mod Tests'!H51</f>
        <v>0</v>
      </c>
      <c r="K498" s="99">
        <f t="shared" ref="K498:K508" si="117">95%*I498</f>
        <v>0</v>
      </c>
      <c r="L498" s="95" t="e">
        <f t="shared" ref="L498:L508" si="118">J498/I498</f>
        <v>#DIV/0!</v>
      </c>
    </row>
    <row r="499" spans="1:12" x14ac:dyDescent="0.25">
      <c r="A499" s="129" t="s">
        <v>10</v>
      </c>
      <c r="B499" s="4" t="s">
        <v>7</v>
      </c>
      <c r="C499" s="4">
        <v>1</v>
      </c>
      <c r="D499" s="4">
        <f>'Raw Data_Mod Tests'!$R$2</f>
        <v>11.46</v>
      </c>
      <c r="E499" s="4">
        <f t="shared" si="114"/>
        <v>0</v>
      </c>
      <c r="F499" s="4">
        <v>1000</v>
      </c>
      <c r="G499" s="63">
        <f>'Raw Data_Mod Tests'!$S$2</f>
        <v>4.8000000000000001E-4</v>
      </c>
      <c r="H499" s="61">
        <f t="shared" si="115"/>
        <v>0</v>
      </c>
      <c r="I499" s="64">
        <f t="shared" si="116"/>
        <v>0</v>
      </c>
      <c r="J499" s="128">
        <f>'Raw Data_Mod Tests'!H52</f>
        <v>0</v>
      </c>
      <c r="K499" s="99">
        <f t="shared" si="117"/>
        <v>0</v>
      </c>
      <c r="L499" s="95" t="e">
        <f t="shared" si="118"/>
        <v>#DIV/0!</v>
      </c>
    </row>
    <row r="500" spans="1:12" x14ac:dyDescent="0.25">
      <c r="A500" s="130"/>
      <c r="B500" s="4" t="s">
        <v>8</v>
      </c>
      <c r="C500" s="4">
        <v>1</v>
      </c>
      <c r="D500" s="4">
        <f>'Raw Data_Mod Tests'!$R$2</f>
        <v>11.46</v>
      </c>
      <c r="E500" s="4">
        <f t="shared" si="114"/>
        <v>0</v>
      </c>
      <c r="F500" s="4">
        <v>1000</v>
      </c>
      <c r="G500" s="63">
        <f>'Raw Data_Mod Tests'!$S$2</f>
        <v>4.8000000000000001E-4</v>
      </c>
      <c r="H500" s="61">
        <f t="shared" si="115"/>
        <v>0</v>
      </c>
      <c r="I500" s="64">
        <f t="shared" si="116"/>
        <v>0</v>
      </c>
      <c r="J500" s="128">
        <f>'Raw Data_Mod Tests'!H53</f>
        <v>0</v>
      </c>
      <c r="K500" s="99">
        <f t="shared" si="117"/>
        <v>0</v>
      </c>
      <c r="L500" s="95" t="e">
        <f t="shared" si="118"/>
        <v>#DIV/0!</v>
      </c>
    </row>
    <row r="501" spans="1:12" x14ac:dyDescent="0.25">
      <c r="A501" s="129" t="s">
        <v>11</v>
      </c>
      <c r="B501" s="4" t="s">
        <v>7</v>
      </c>
      <c r="C501" s="4">
        <v>1</v>
      </c>
      <c r="D501" s="4">
        <f>'Raw Data_Mod Tests'!$R$2</f>
        <v>11.46</v>
      </c>
      <c r="E501" s="4">
        <f t="shared" si="114"/>
        <v>0</v>
      </c>
      <c r="F501" s="4">
        <v>1000</v>
      </c>
      <c r="G501" s="63">
        <f>'Raw Data_Mod Tests'!$S$2</f>
        <v>4.8000000000000001E-4</v>
      </c>
      <c r="H501" s="61">
        <f t="shared" si="115"/>
        <v>0</v>
      </c>
      <c r="I501" s="64">
        <f t="shared" si="116"/>
        <v>0</v>
      </c>
      <c r="J501" s="128">
        <f>'Raw Data_Mod Tests'!H54</f>
        <v>0</v>
      </c>
      <c r="K501" s="99">
        <f t="shared" si="117"/>
        <v>0</v>
      </c>
      <c r="L501" s="95" t="e">
        <f t="shared" si="118"/>
        <v>#DIV/0!</v>
      </c>
    </row>
    <row r="502" spans="1:12" x14ac:dyDescent="0.25">
      <c r="A502" s="130"/>
      <c r="B502" s="4" t="s">
        <v>8</v>
      </c>
      <c r="C502" s="4">
        <v>1</v>
      </c>
      <c r="D502" s="4">
        <f>'Raw Data_Mod Tests'!$R$2</f>
        <v>11.46</v>
      </c>
      <c r="E502" s="4">
        <f t="shared" si="114"/>
        <v>0</v>
      </c>
      <c r="F502" s="4">
        <v>1000</v>
      </c>
      <c r="G502" s="63">
        <f>'Raw Data_Mod Tests'!$S$2</f>
        <v>4.8000000000000001E-4</v>
      </c>
      <c r="H502" s="61">
        <f t="shared" si="115"/>
        <v>0</v>
      </c>
      <c r="I502" s="64">
        <f t="shared" si="116"/>
        <v>0</v>
      </c>
      <c r="J502" s="128">
        <f>'Raw Data_Mod Tests'!H55</f>
        <v>0</v>
      </c>
      <c r="K502" s="99">
        <f t="shared" si="117"/>
        <v>0</v>
      </c>
      <c r="L502" s="95" t="e">
        <f t="shared" si="118"/>
        <v>#DIV/0!</v>
      </c>
    </row>
    <row r="503" spans="1:12" x14ac:dyDescent="0.25">
      <c r="A503" s="129" t="s">
        <v>12</v>
      </c>
      <c r="B503" s="4" t="s">
        <v>7</v>
      </c>
      <c r="C503" s="4">
        <v>1</v>
      </c>
      <c r="D503" s="4">
        <f>'Raw Data_Mod Tests'!$R$2</f>
        <v>11.46</v>
      </c>
      <c r="E503" s="4">
        <f t="shared" si="114"/>
        <v>0</v>
      </c>
      <c r="F503" s="4">
        <v>1000</v>
      </c>
      <c r="G503" s="63">
        <f>'Raw Data_Mod Tests'!$S$2</f>
        <v>4.8000000000000001E-4</v>
      </c>
      <c r="H503" s="61">
        <f t="shared" si="115"/>
        <v>0</v>
      </c>
      <c r="I503" s="64">
        <f t="shared" si="116"/>
        <v>0</v>
      </c>
      <c r="J503" s="128">
        <f>'Raw Data_Mod Tests'!H56</f>
        <v>0</v>
      </c>
      <c r="K503" s="99">
        <f t="shared" si="117"/>
        <v>0</v>
      </c>
      <c r="L503" s="95" t="e">
        <f t="shared" si="118"/>
        <v>#DIV/0!</v>
      </c>
    </row>
    <row r="504" spans="1:12" x14ac:dyDescent="0.25">
      <c r="A504" s="130"/>
      <c r="B504" s="4" t="s">
        <v>8</v>
      </c>
      <c r="C504" s="4">
        <v>1</v>
      </c>
      <c r="D504" s="4">
        <f>'Raw Data_Mod Tests'!$R$2</f>
        <v>11.46</v>
      </c>
      <c r="E504" s="4">
        <f t="shared" si="114"/>
        <v>0</v>
      </c>
      <c r="F504" s="4">
        <v>1000</v>
      </c>
      <c r="G504" s="63">
        <f>'Raw Data_Mod Tests'!$S$2</f>
        <v>4.8000000000000001E-4</v>
      </c>
      <c r="H504" s="61">
        <f t="shared" si="115"/>
        <v>0</v>
      </c>
      <c r="I504" s="64">
        <f t="shared" si="116"/>
        <v>0</v>
      </c>
      <c r="J504" s="128">
        <f>'Raw Data_Mod Tests'!H57</f>
        <v>0</v>
      </c>
      <c r="K504" s="99">
        <f t="shared" si="117"/>
        <v>0</v>
      </c>
      <c r="L504" s="95" t="e">
        <f t="shared" si="118"/>
        <v>#DIV/0!</v>
      </c>
    </row>
    <row r="505" spans="1:12" x14ac:dyDescent="0.25">
      <c r="A505" s="129" t="s">
        <v>13</v>
      </c>
      <c r="B505" s="4" t="s">
        <v>7</v>
      </c>
      <c r="C505" s="4">
        <v>1</v>
      </c>
      <c r="D505" s="4">
        <f>'Raw Data_Mod Tests'!$R$2</f>
        <v>11.46</v>
      </c>
      <c r="E505" s="4">
        <f t="shared" si="114"/>
        <v>0</v>
      </c>
      <c r="F505" s="4">
        <v>1000</v>
      </c>
      <c r="G505" s="63">
        <f>'Raw Data_Mod Tests'!$S$2</f>
        <v>4.8000000000000001E-4</v>
      </c>
      <c r="H505" s="61">
        <f t="shared" si="115"/>
        <v>0</v>
      </c>
      <c r="I505" s="64">
        <f t="shared" si="116"/>
        <v>0</v>
      </c>
      <c r="J505" s="128">
        <f>'Raw Data_Mod Tests'!H58</f>
        <v>0</v>
      </c>
      <c r="K505" s="99">
        <f t="shared" si="117"/>
        <v>0</v>
      </c>
      <c r="L505" s="95" t="e">
        <f t="shared" si="118"/>
        <v>#DIV/0!</v>
      </c>
    </row>
    <row r="506" spans="1:12" x14ac:dyDescent="0.25">
      <c r="A506" s="130"/>
      <c r="B506" s="4" t="s">
        <v>8</v>
      </c>
      <c r="C506" s="4">
        <v>1</v>
      </c>
      <c r="D506" s="4">
        <f>'Raw Data_Mod Tests'!$R$2</f>
        <v>11.46</v>
      </c>
      <c r="E506" s="4">
        <f t="shared" si="114"/>
        <v>0</v>
      </c>
      <c r="F506" s="4">
        <v>1000</v>
      </c>
      <c r="G506" s="63">
        <f>'Raw Data_Mod Tests'!$S$2</f>
        <v>4.8000000000000001E-4</v>
      </c>
      <c r="H506" s="61">
        <f t="shared" si="115"/>
        <v>0</v>
      </c>
      <c r="I506" s="64">
        <f t="shared" si="116"/>
        <v>0</v>
      </c>
      <c r="J506" s="128">
        <f>'Raw Data_Mod Tests'!H59</f>
        <v>0</v>
      </c>
      <c r="K506" s="99">
        <f t="shared" si="117"/>
        <v>0</v>
      </c>
      <c r="L506" s="95" t="e">
        <f t="shared" si="118"/>
        <v>#DIV/0!</v>
      </c>
    </row>
    <row r="507" spans="1:12" x14ac:dyDescent="0.25">
      <c r="A507" s="129" t="s">
        <v>14</v>
      </c>
      <c r="B507" s="4" t="s">
        <v>7</v>
      </c>
      <c r="C507" s="4">
        <v>1</v>
      </c>
      <c r="D507" s="4">
        <f>'Raw Data_Mod Tests'!$R$2</f>
        <v>11.46</v>
      </c>
      <c r="E507" s="4">
        <f t="shared" si="114"/>
        <v>0</v>
      </c>
      <c r="F507" s="4">
        <v>1000</v>
      </c>
      <c r="G507" s="63">
        <f>'Raw Data_Mod Tests'!$S$2</f>
        <v>4.8000000000000001E-4</v>
      </c>
      <c r="H507" s="61">
        <f t="shared" si="115"/>
        <v>0</v>
      </c>
      <c r="I507" s="64">
        <f t="shared" si="116"/>
        <v>0</v>
      </c>
      <c r="J507" s="128">
        <f>'Raw Data_Mod Tests'!H60</f>
        <v>0</v>
      </c>
      <c r="K507" s="99">
        <f t="shared" si="117"/>
        <v>0</v>
      </c>
      <c r="L507" s="95" t="e">
        <f t="shared" si="118"/>
        <v>#DIV/0!</v>
      </c>
    </row>
    <row r="508" spans="1:12" x14ac:dyDescent="0.25">
      <c r="A508" s="130"/>
      <c r="B508" s="4" t="s">
        <v>8</v>
      </c>
      <c r="C508" s="4">
        <v>1</v>
      </c>
      <c r="D508" s="4">
        <f>'Raw Data_Mod Tests'!$R$2</f>
        <v>11.46</v>
      </c>
      <c r="E508" s="4">
        <f t="shared" si="114"/>
        <v>0</v>
      </c>
      <c r="F508" s="4">
        <v>1000</v>
      </c>
      <c r="G508" s="63">
        <f>'Raw Data_Mod Tests'!$S$2</f>
        <v>4.8000000000000001E-4</v>
      </c>
      <c r="H508" s="61">
        <f t="shared" si="115"/>
        <v>0</v>
      </c>
      <c r="I508" s="64">
        <f t="shared" si="116"/>
        <v>0</v>
      </c>
      <c r="J508" s="128">
        <f>'Raw Data_Mod Tests'!H61</f>
        <v>0</v>
      </c>
      <c r="K508" s="99">
        <f t="shared" si="117"/>
        <v>0</v>
      </c>
      <c r="L508" s="95" t="e">
        <f t="shared" si="118"/>
        <v>#DIV/0!</v>
      </c>
    </row>
    <row r="511" spans="1:12" x14ac:dyDescent="0.25">
      <c r="A511" s="136" t="s">
        <v>89</v>
      </c>
      <c r="B511" s="137"/>
      <c r="C511" s="98" t="s">
        <v>32</v>
      </c>
      <c r="D511" s="98" t="s">
        <v>33</v>
      </c>
      <c r="E511" s="98" t="s">
        <v>15</v>
      </c>
      <c r="F511" s="98" t="s">
        <v>19</v>
      </c>
      <c r="G511" s="17" t="s">
        <v>34</v>
      </c>
      <c r="H511" s="98" t="s">
        <v>27</v>
      </c>
      <c r="I511" s="98" t="s">
        <v>29</v>
      </c>
      <c r="J511" s="60" t="s">
        <v>85</v>
      </c>
      <c r="K511" s="60" t="s">
        <v>102</v>
      </c>
      <c r="L511" s="60" t="s">
        <v>103</v>
      </c>
    </row>
    <row r="512" spans="1:12" x14ac:dyDescent="0.25">
      <c r="A512" s="129" t="s">
        <v>6</v>
      </c>
      <c r="B512" s="4" t="s">
        <v>7</v>
      </c>
      <c r="C512" s="4">
        <v>1</v>
      </c>
      <c r="D512" s="4">
        <f>'Raw Data_Mod Tests'!$R$2</f>
        <v>11.46</v>
      </c>
      <c r="E512" s="4">
        <f t="shared" ref="E512:E523" si="119">D103</f>
        <v>0</v>
      </c>
      <c r="F512" s="4">
        <v>1000</v>
      </c>
      <c r="G512" s="63">
        <f>'Raw Data_Mod Tests'!$S$2</f>
        <v>4.8000000000000001E-4</v>
      </c>
      <c r="H512" s="61">
        <f t="shared" ref="H512:H523" si="120">H305</f>
        <v>0</v>
      </c>
      <c r="I512" s="64">
        <f>C512*D512*(E512/F512)*(1+G512*(H512-25))</f>
        <v>0</v>
      </c>
      <c r="J512" s="128">
        <f>'Raw Data_Mod Tests'!H62</f>
        <v>0</v>
      </c>
      <c r="K512" s="99">
        <f>95%*I512</f>
        <v>0</v>
      </c>
      <c r="L512" s="95" t="e">
        <f>J512/I512</f>
        <v>#DIV/0!</v>
      </c>
    </row>
    <row r="513" spans="1:12" x14ac:dyDescent="0.25">
      <c r="A513" s="130"/>
      <c r="B513" s="4" t="s">
        <v>8</v>
      </c>
      <c r="C513" s="4">
        <v>1</v>
      </c>
      <c r="D513" s="4">
        <f>'Raw Data_Mod Tests'!$R$2</f>
        <v>11.46</v>
      </c>
      <c r="E513" s="4">
        <f t="shared" si="119"/>
        <v>0</v>
      </c>
      <c r="F513" s="4">
        <v>1000</v>
      </c>
      <c r="G513" s="63">
        <f>'Raw Data_Mod Tests'!$S$2</f>
        <v>4.8000000000000001E-4</v>
      </c>
      <c r="H513" s="61">
        <f t="shared" si="120"/>
        <v>0</v>
      </c>
      <c r="I513" s="64">
        <f t="shared" ref="I513:I523" si="121">C513*D513*(E513/F513)*(1+G513*(H513-25))</f>
        <v>0</v>
      </c>
      <c r="J513" s="128">
        <f>'Raw Data_Mod Tests'!H63</f>
        <v>0</v>
      </c>
      <c r="K513" s="99">
        <f t="shared" ref="K513:K523" si="122">95%*I513</f>
        <v>0</v>
      </c>
      <c r="L513" s="95" t="e">
        <f t="shared" ref="L513:L523" si="123">J513/I513</f>
        <v>#DIV/0!</v>
      </c>
    </row>
    <row r="514" spans="1:12" x14ac:dyDescent="0.25">
      <c r="A514" s="129" t="s">
        <v>10</v>
      </c>
      <c r="B514" s="4" t="s">
        <v>7</v>
      </c>
      <c r="C514" s="4">
        <v>1</v>
      </c>
      <c r="D514" s="4">
        <f>'Raw Data_Mod Tests'!$R$2</f>
        <v>11.46</v>
      </c>
      <c r="E514" s="4">
        <f t="shared" si="119"/>
        <v>0</v>
      </c>
      <c r="F514" s="4">
        <v>1000</v>
      </c>
      <c r="G514" s="63">
        <f>'Raw Data_Mod Tests'!$S$2</f>
        <v>4.8000000000000001E-4</v>
      </c>
      <c r="H514" s="61">
        <f t="shared" si="120"/>
        <v>0</v>
      </c>
      <c r="I514" s="64">
        <f t="shared" si="121"/>
        <v>0</v>
      </c>
      <c r="J514" s="128">
        <f>'Raw Data_Mod Tests'!H64</f>
        <v>0</v>
      </c>
      <c r="K514" s="99">
        <f t="shared" si="122"/>
        <v>0</v>
      </c>
      <c r="L514" s="95" t="e">
        <f t="shared" si="123"/>
        <v>#DIV/0!</v>
      </c>
    </row>
    <row r="515" spans="1:12" x14ac:dyDescent="0.25">
      <c r="A515" s="130"/>
      <c r="B515" s="4" t="s">
        <v>8</v>
      </c>
      <c r="C515" s="4">
        <v>1</v>
      </c>
      <c r="D515" s="4">
        <f>'Raw Data_Mod Tests'!$R$2</f>
        <v>11.46</v>
      </c>
      <c r="E515" s="4">
        <f t="shared" si="119"/>
        <v>0</v>
      </c>
      <c r="F515" s="4">
        <v>1000</v>
      </c>
      <c r="G515" s="63">
        <f>'Raw Data_Mod Tests'!$S$2</f>
        <v>4.8000000000000001E-4</v>
      </c>
      <c r="H515" s="61">
        <f t="shared" si="120"/>
        <v>0</v>
      </c>
      <c r="I515" s="64">
        <f t="shared" si="121"/>
        <v>0</v>
      </c>
      <c r="J515" s="128">
        <f>'Raw Data_Mod Tests'!H65</f>
        <v>0</v>
      </c>
      <c r="K515" s="99">
        <f t="shared" si="122"/>
        <v>0</v>
      </c>
      <c r="L515" s="95" t="e">
        <f t="shared" si="123"/>
        <v>#DIV/0!</v>
      </c>
    </row>
    <row r="516" spans="1:12" x14ac:dyDescent="0.25">
      <c r="A516" s="129" t="s">
        <v>11</v>
      </c>
      <c r="B516" s="4" t="s">
        <v>7</v>
      </c>
      <c r="C516" s="4">
        <v>1</v>
      </c>
      <c r="D516" s="4">
        <f>'Raw Data_Mod Tests'!$R$2</f>
        <v>11.46</v>
      </c>
      <c r="E516" s="4">
        <f t="shared" si="119"/>
        <v>0</v>
      </c>
      <c r="F516" s="4">
        <v>1000</v>
      </c>
      <c r="G516" s="63">
        <f>'Raw Data_Mod Tests'!$S$2</f>
        <v>4.8000000000000001E-4</v>
      </c>
      <c r="H516" s="61">
        <f t="shared" si="120"/>
        <v>0</v>
      </c>
      <c r="I516" s="64">
        <f t="shared" si="121"/>
        <v>0</v>
      </c>
      <c r="J516" s="128">
        <f>'Raw Data_Mod Tests'!H66</f>
        <v>0</v>
      </c>
      <c r="K516" s="99">
        <f t="shared" si="122"/>
        <v>0</v>
      </c>
      <c r="L516" s="95" t="e">
        <f t="shared" si="123"/>
        <v>#DIV/0!</v>
      </c>
    </row>
    <row r="517" spans="1:12" x14ac:dyDescent="0.25">
      <c r="A517" s="130"/>
      <c r="B517" s="4" t="s">
        <v>8</v>
      </c>
      <c r="C517" s="4">
        <v>1</v>
      </c>
      <c r="D517" s="4">
        <f>'Raw Data_Mod Tests'!$R$2</f>
        <v>11.46</v>
      </c>
      <c r="E517" s="4">
        <f t="shared" si="119"/>
        <v>0</v>
      </c>
      <c r="F517" s="4">
        <v>1000</v>
      </c>
      <c r="G517" s="63">
        <f>'Raw Data_Mod Tests'!$S$2</f>
        <v>4.8000000000000001E-4</v>
      </c>
      <c r="H517" s="61">
        <f t="shared" si="120"/>
        <v>0</v>
      </c>
      <c r="I517" s="64">
        <f t="shared" si="121"/>
        <v>0</v>
      </c>
      <c r="J517" s="128">
        <f>'Raw Data_Mod Tests'!H67</f>
        <v>0</v>
      </c>
      <c r="K517" s="99">
        <f t="shared" si="122"/>
        <v>0</v>
      </c>
      <c r="L517" s="95" t="e">
        <f t="shared" si="123"/>
        <v>#DIV/0!</v>
      </c>
    </row>
    <row r="518" spans="1:12" x14ac:dyDescent="0.25">
      <c r="A518" s="129" t="s">
        <v>12</v>
      </c>
      <c r="B518" s="4" t="s">
        <v>7</v>
      </c>
      <c r="C518" s="4">
        <v>1</v>
      </c>
      <c r="D518" s="4">
        <f>'Raw Data_Mod Tests'!$R$2</f>
        <v>11.46</v>
      </c>
      <c r="E518" s="4">
        <f t="shared" si="119"/>
        <v>0</v>
      </c>
      <c r="F518" s="4">
        <v>1000</v>
      </c>
      <c r="G518" s="63">
        <f>'Raw Data_Mod Tests'!$S$2</f>
        <v>4.8000000000000001E-4</v>
      </c>
      <c r="H518" s="61">
        <f t="shared" si="120"/>
        <v>0</v>
      </c>
      <c r="I518" s="64">
        <f t="shared" si="121"/>
        <v>0</v>
      </c>
      <c r="J518" s="128">
        <f>'Raw Data_Mod Tests'!H68</f>
        <v>0</v>
      </c>
      <c r="K518" s="99">
        <f t="shared" si="122"/>
        <v>0</v>
      </c>
      <c r="L518" s="95" t="e">
        <f t="shared" si="123"/>
        <v>#DIV/0!</v>
      </c>
    </row>
    <row r="519" spans="1:12" x14ac:dyDescent="0.25">
      <c r="A519" s="130"/>
      <c r="B519" s="4" t="s">
        <v>8</v>
      </c>
      <c r="C519" s="4">
        <v>1</v>
      </c>
      <c r="D519" s="4">
        <f>'Raw Data_Mod Tests'!$R$2</f>
        <v>11.46</v>
      </c>
      <c r="E519" s="4">
        <f t="shared" si="119"/>
        <v>0</v>
      </c>
      <c r="F519" s="4">
        <v>1000</v>
      </c>
      <c r="G519" s="63">
        <f>'Raw Data_Mod Tests'!$S$2</f>
        <v>4.8000000000000001E-4</v>
      </c>
      <c r="H519" s="61">
        <f t="shared" si="120"/>
        <v>0</v>
      </c>
      <c r="I519" s="64">
        <f t="shared" si="121"/>
        <v>0</v>
      </c>
      <c r="J519" s="128">
        <f>'Raw Data_Mod Tests'!H69</f>
        <v>0</v>
      </c>
      <c r="K519" s="99">
        <f t="shared" si="122"/>
        <v>0</v>
      </c>
      <c r="L519" s="95" t="e">
        <f t="shared" si="123"/>
        <v>#DIV/0!</v>
      </c>
    </row>
    <row r="520" spans="1:12" x14ac:dyDescent="0.25">
      <c r="A520" s="129" t="s">
        <v>13</v>
      </c>
      <c r="B520" s="4" t="s">
        <v>7</v>
      </c>
      <c r="C520" s="4">
        <v>1</v>
      </c>
      <c r="D520" s="4">
        <f>'Raw Data_Mod Tests'!$R$2</f>
        <v>11.46</v>
      </c>
      <c r="E520" s="4">
        <f t="shared" si="119"/>
        <v>0</v>
      </c>
      <c r="F520" s="4">
        <v>1000</v>
      </c>
      <c r="G520" s="63">
        <f>'Raw Data_Mod Tests'!$S$2</f>
        <v>4.8000000000000001E-4</v>
      </c>
      <c r="H520" s="61">
        <f t="shared" si="120"/>
        <v>0</v>
      </c>
      <c r="I520" s="64">
        <f t="shared" si="121"/>
        <v>0</v>
      </c>
      <c r="J520" s="128">
        <f>'Raw Data_Mod Tests'!H70</f>
        <v>0</v>
      </c>
      <c r="K520" s="99">
        <f t="shared" si="122"/>
        <v>0</v>
      </c>
      <c r="L520" s="95" t="e">
        <f t="shared" si="123"/>
        <v>#DIV/0!</v>
      </c>
    </row>
    <row r="521" spans="1:12" x14ac:dyDescent="0.25">
      <c r="A521" s="130"/>
      <c r="B521" s="4" t="s">
        <v>8</v>
      </c>
      <c r="C521" s="4">
        <v>1</v>
      </c>
      <c r="D521" s="4">
        <f>'Raw Data_Mod Tests'!$R$2</f>
        <v>11.46</v>
      </c>
      <c r="E521" s="4">
        <f t="shared" si="119"/>
        <v>0</v>
      </c>
      <c r="F521" s="4">
        <v>1000</v>
      </c>
      <c r="G521" s="63">
        <f>'Raw Data_Mod Tests'!$S$2</f>
        <v>4.8000000000000001E-4</v>
      </c>
      <c r="H521" s="61">
        <f t="shared" si="120"/>
        <v>0</v>
      </c>
      <c r="I521" s="64">
        <f t="shared" si="121"/>
        <v>0</v>
      </c>
      <c r="J521" s="128">
        <f>'Raw Data_Mod Tests'!H71</f>
        <v>0</v>
      </c>
      <c r="K521" s="99">
        <f t="shared" si="122"/>
        <v>0</v>
      </c>
      <c r="L521" s="95" t="e">
        <f t="shared" si="123"/>
        <v>#DIV/0!</v>
      </c>
    </row>
    <row r="522" spans="1:12" x14ac:dyDescent="0.25">
      <c r="A522" s="129" t="s">
        <v>14</v>
      </c>
      <c r="B522" s="4" t="s">
        <v>7</v>
      </c>
      <c r="C522" s="4">
        <v>1</v>
      </c>
      <c r="D522" s="4">
        <f>'Raw Data_Mod Tests'!$R$2</f>
        <v>11.46</v>
      </c>
      <c r="E522" s="4">
        <f t="shared" si="119"/>
        <v>0</v>
      </c>
      <c r="F522" s="4">
        <v>1000</v>
      </c>
      <c r="G522" s="63">
        <f>'Raw Data_Mod Tests'!$S$2</f>
        <v>4.8000000000000001E-4</v>
      </c>
      <c r="H522" s="61">
        <f t="shared" si="120"/>
        <v>0</v>
      </c>
      <c r="I522" s="64">
        <f t="shared" si="121"/>
        <v>0</v>
      </c>
      <c r="J522" s="128">
        <f>'Raw Data_Mod Tests'!H72</f>
        <v>0</v>
      </c>
      <c r="K522" s="99">
        <f t="shared" si="122"/>
        <v>0</v>
      </c>
      <c r="L522" s="95" t="e">
        <f t="shared" si="123"/>
        <v>#DIV/0!</v>
      </c>
    </row>
    <row r="523" spans="1:12" x14ac:dyDescent="0.25">
      <c r="A523" s="130"/>
      <c r="B523" s="4" t="s">
        <v>8</v>
      </c>
      <c r="C523" s="4">
        <v>1</v>
      </c>
      <c r="D523" s="4">
        <f>'Raw Data_Mod Tests'!$R$2</f>
        <v>11.46</v>
      </c>
      <c r="E523" s="4">
        <f t="shared" si="119"/>
        <v>0</v>
      </c>
      <c r="F523" s="4">
        <v>1000</v>
      </c>
      <c r="G523" s="63">
        <f>'Raw Data_Mod Tests'!$S$2</f>
        <v>4.8000000000000001E-4</v>
      </c>
      <c r="H523" s="61">
        <f t="shared" si="120"/>
        <v>0</v>
      </c>
      <c r="I523" s="64">
        <f t="shared" si="121"/>
        <v>0</v>
      </c>
      <c r="J523" s="128">
        <f>'Raw Data_Mod Tests'!H73</f>
        <v>0</v>
      </c>
      <c r="K523" s="99">
        <f t="shared" si="122"/>
        <v>0</v>
      </c>
      <c r="L523" s="95" t="e">
        <f t="shared" si="123"/>
        <v>#DIV/0!</v>
      </c>
    </row>
    <row r="526" spans="1:12" x14ac:dyDescent="0.25">
      <c r="A526" s="136" t="s">
        <v>90</v>
      </c>
      <c r="B526" s="137"/>
      <c r="C526" s="98" t="s">
        <v>32</v>
      </c>
      <c r="D526" s="98" t="s">
        <v>33</v>
      </c>
      <c r="E526" s="98" t="s">
        <v>15</v>
      </c>
      <c r="F526" s="98" t="s">
        <v>19</v>
      </c>
      <c r="G526" s="17" t="s">
        <v>34</v>
      </c>
      <c r="H526" s="98" t="s">
        <v>27</v>
      </c>
      <c r="I526" s="98" t="s">
        <v>29</v>
      </c>
      <c r="J526" s="60" t="s">
        <v>85</v>
      </c>
      <c r="K526" s="60" t="s">
        <v>102</v>
      </c>
      <c r="L526" s="60" t="s">
        <v>103</v>
      </c>
    </row>
    <row r="527" spans="1:12" x14ac:dyDescent="0.25">
      <c r="A527" s="129" t="s">
        <v>6</v>
      </c>
      <c r="B527" s="4" t="s">
        <v>7</v>
      </c>
      <c r="C527" s="4">
        <v>1</v>
      </c>
      <c r="D527" s="4">
        <f>'Raw Data_Mod Tests'!$R$2</f>
        <v>11.46</v>
      </c>
      <c r="E527" s="4">
        <f t="shared" ref="E527:E538" si="124">D118</f>
        <v>0</v>
      </c>
      <c r="F527" s="4">
        <v>1000</v>
      </c>
      <c r="G527" s="63">
        <f>'Raw Data_Mod Tests'!$S$2</f>
        <v>4.8000000000000001E-4</v>
      </c>
      <c r="H527" s="61">
        <f t="shared" ref="H527:H538" si="125">H320</f>
        <v>0</v>
      </c>
      <c r="I527" s="64">
        <f>C527*D527*(E527/F527)*(1+G527*(H527-25))</f>
        <v>0</v>
      </c>
      <c r="J527" s="128">
        <f>'Raw Data_Mod Tests'!H74</f>
        <v>0</v>
      </c>
      <c r="K527" s="99">
        <f>95%*I527</f>
        <v>0</v>
      </c>
      <c r="L527" s="95" t="e">
        <f>J527/I527</f>
        <v>#DIV/0!</v>
      </c>
    </row>
    <row r="528" spans="1:12" x14ac:dyDescent="0.25">
      <c r="A528" s="130"/>
      <c r="B528" s="4" t="s">
        <v>8</v>
      </c>
      <c r="C528" s="4">
        <v>1</v>
      </c>
      <c r="D528" s="4">
        <f>'Raw Data_Mod Tests'!$R$2</f>
        <v>11.46</v>
      </c>
      <c r="E528" s="4">
        <f t="shared" si="124"/>
        <v>0</v>
      </c>
      <c r="F528" s="4">
        <v>1000</v>
      </c>
      <c r="G528" s="63">
        <f>'Raw Data_Mod Tests'!$S$2</f>
        <v>4.8000000000000001E-4</v>
      </c>
      <c r="H528" s="61">
        <f t="shared" si="125"/>
        <v>0</v>
      </c>
      <c r="I528" s="64">
        <f>C528*D528*(E528/F528)*(1+G528*(H528-25))</f>
        <v>0</v>
      </c>
      <c r="J528" s="128">
        <f>'Raw Data_Mod Tests'!H75</f>
        <v>0</v>
      </c>
      <c r="K528" s="99">
        <f t="shared" ref="K528:K538" si="126">95%*I528</f>
        <v>0</v>
      </c>
      <c r="L528" s="95" t="e">
        <f t="shared" ref="L528:L538" si="127">J528/I528</f>
        <v>#DIV/0!</v>
      </c>
    </row>
    <row r="529" spans="1:12" x14ac:dyDescent="0.25">
      <c r="A529" s="129" t="s">
        <v>10</v>
      </c>
      <c r="B529" s="4" t="s">
        <v>7</v>
      </c>
      <c r="C529" s="4">
        <v>1</v>
      </c>
      <c r="D529" s="4">
        <f>'Raw Data_Mod Tests'!$R$2</f>
        <v>11.46</v>
      </c>
      <c r="E529" s="4">
        <f t="shared" si="124"/>
        <v>0</v>
      </c>
      <c r="F529" s="4">
        <v>1000</v>
      </c>
      <c r="G529" s="63">
        <f>'Raw Data_Mod Tests'!$S$2</f>
        <v>4.8000000000000001E-4</v>
      </c>
      <c r="H529" s="61">
        <f t="shared" si="125"/>
        <v>0</v>
      </c>
      <c r="I529" s="64">
        <f t="shared" ref="I529:I538" si="128">C529*D529*(E529/F529)*(1+G529*(H529-25))</f>
        <v>0</v>
      </c>
      <c r="J529" s="128">
        <f>'Raw Data_Mod Tests'!H76</f>
        <v>0</v>
      </c>
      <c r="K529" s="99">
        <f t="shared" si="126"/>
        <v>0</v>
      </c>
      <c r="L529" s="95" t="e">
        <f t="shared" si="127"/>
        <v>#DIV/0!</v>
      </c>
    </row>
    <row r="530" spans="1:12" x14ac:dyDescent="0.25">
      <c r="A530" s="130"/>
      <c r="B530" s="4" t="s">
        <v>8</v>
      </c>
      <c r="C530" s="4">
        <v>1</v>
      </c>
      <c r="D530" s="4">
        <f>'Raw Data_Mod Tests'!$R$2</f>
        <v>11.46</v>
      </c>
      <c r="E530" s="4">
        <f t="shared" si="124"/>
        <v>0</v>
      </c>
      <c r="F530" s="4">
        <v>1000</v>
      </c>
      <c r="G530" s="63">
        <f>'Raw Data_Mod Tests'!$S$2</f>
        <v>4.8000000000000001E-4</v>
      </c>
      <c r="H530" s="61">
        <f t="shared" si="125"/>
        <v>0</v>
      </c>
      <c r="I530" s="64">
        <f t="shared" si="128"/>
        <v>0</v>
      </c>
      <c r="J530" s="128">
        <f>'Raw Data_Mod Tests'!H77</f>
        <v>0</v>
      </c>
      <c r="K530" s="99">
        <f t="shared" si="126"/>
        <v>0</v>
      </c>
      <c r="L530" s="95" t="e">
        <f t="shared" si="127"/>
        <v>#DIV/0!</v>
      </c>
    </row>
    <row r="531" spans="1:12" x14ac:dyDescent="0.25">
      <c r="A531" s="129" t="s">
        <v>11</v>
      </c>
      <c r="B531" s="4" t="s">
        <v>7</v>
      </c>
      <c r="C531" s="4">
        <v>1</v>
      </c>
      <c r="D531" s="4">
        <f>'Raw Data_Mod Tests'!$R$2</f>
        <v>11.46</v>
      </c>
      <c r="E531" s="4">
        <f t="shared" si="124"/>
        <v>0</v>
      </c>
      <c r="F531" s="4">
        <v>1000</v>
      </c>
      <c r="G531" s="63">
        <f>'Raw Data_Mod Tests'!$S$2</f>
        <v>4.8000000000000001E-4</v>
      </c>
      <c r="H531" s="61">
        <f t="shared" si="125"/>
        <v>0</v>
      </c>
      <c r="I531" s="64">
        <f t="shared" si="128"/>
        <v>0</v>
      </c>
      <c r="J531" s="128">
        <f>'Raw Data_Mod Tests'!H78</f>
        <v>0</v>
      </c>
      <c r="K531" s="99">
        <f t="shared" si="126"/>
        <v>0</v>
      </c>
      <c r="L531" s="95" t="e">
        <f t="shared" si="127"/>
        <v>#DIV/0!</v>
      </c>
    </row>
    <row r="532" spans="1:12" x14ac:dyDescent="0.25">
      <c r="A532" s="130"/>
      <c r="B532" s="4" t="s">
        <v>8</v>
      </c>
      <c r="C532" s="4">
        <v>1</v>
      </c>
      <c r="D532" s="4">
        <f>'Raw Data_Mod Tests'!$R$2</f>
        <v>11.46</v>
      </c>
      <c r="E532" s="4">
        <f t="shared" si="124"/>
        <v>0</v>
      </c>
      <c r="F532" s="4">
        <v>1000</v>
      </c>
      <c r="G532" s="63">
        <f>'Raw Data_Mod Tests'!$S$2</f>
        <v>4.8000000000000001E-4</v>
      </c>
      <c r="H532" s="61">
        <f t="shared" si="125"/>
        <v>0</v>
      </c>
      <c r="I532" s="64">
        <f t="shared" si="128"/>
        <v>0</v>
      </c>
      <c r="J532" s="128">
        <f>'Raw Data_Mod Tests'!H79</f>
        <v>0</v>
      </c>
      <c r="K532" s="99">
        <f t="shared" si="126"/>
        <v>0</v>
      </c>
      <c r="L532" s="95" t="e">
        <f t="shared" si="127"/>
        <v>#DIV/0!</v>
      </c>
    </row>
    <row r="533" spans="1:12" x14ac:dyDescent="0.25">
      <c r="A533" s="129" t="s">
        <v>12</v>
      </c>
      <c r="B533" s="4" t="s">
        <v>7</v>
      </c>
      <c r="C533" s="4">
        <v>1</v>
      </c>
      <c r="D533" s="4">
        <f>'Raw Data_Mod Tests'!$R$2</f>
        <v>11.46</v>
      </c>
      <c r="E533" s="4">
        <f t="shared" si="124"/>
        <v>0</v>
      </c>
      <c r="F533" s="4">
        <v>1000</v>
      </c>
      <c r="G533" s="63">
        <f>'Raw Data_Mod Tests'!$S$2</f>
        <v>4.8000000000000001E-4</v>
      </c>
      <c r="H533" s="61">
        <f t="shared" si="125"/>
        <v>0</v>
      </c>
      <c r="I533" s="64">
        <f t="shared" si="128"/>
        <v>0</v>
      </c>
      <c r="J533" s="128">
        <f>'Raw Data_Mod Tests'!H80</f>
        <v>0</v>
      </c>
      <c r="K533" s="99">
        <f t="shared" si="126"/>
        <v>0</v>
      </c>
      <c r="L533" s="95" t="e">
        <f t="shared" si="127"/>
        <v>#DIV/0!</v>
      </c>
    </row>
    <row r="534" spans="1:12" x14ac:dyDescent="0.25">
      <c r="A534" s="130"/>
      <c r="B534" s="4" t="s">
        <v>8</v>
      </c>
      <c r="C534" s="4">
        <v>1</v>
      </c>
      <c r="D534" s="4">
        <f>'Raw Data_Mod Tests'!$R$2</f>
        <v>11.46</v>
      </c>
      <c r="E534" s="4">
        <f t="shared" si="124"/>
        <v>0</v>
      </c>
      <c r="F534" s="4">
        <v>1000</v>
      </c>
      <c r="G534" s="63">
        <f>'Raw Data_Mod Tests'!$S$2</f>
        <v>4.8000000000000001E-4</v>
      </c>
      <c r="H534" s="61">
        <f t="shared" si="125"/>
        <v>0</v>
      </c>
      <c r="I534" s="64">
        <f t="shared" si="128"/>
        <v>0</v>
      </c>
      <c r="J534" s="128">
        <f>'Raw Data_Mod Tests'!H81</f>
        <v>0</v>
      </c>
      <c r="K534" s="99">
        <f t="shared" si="126"/>
        <v>0</v>
      </c>
      <c r="L534" s="95" t="e">
        <f t="shared" si="127"/>
        <v>#DIV/0!</v>
      </c>
    </row>
    <row r="535" spans="1:12" x14ac:dyDescent="0.25">
      <c r="A535" s="129" t="s">
        <v>13</v>
      </c>
      <c r="B535" s="4" t="s">
        <v>7</v>
      </c>
      <c r="C535" s="4">
        <v>1</v>
      </c>
      <c r="D535" s="4">
        <f>'Raw Data_Mod Tests'!$R$2</f>
        <v>11.46</v>
      </c>
      <c r="E535" s="4">
        <f t="shared" si="124"/>
        <v>0</v>
      </c>
      <c r="F535" s="4">
        <v>1000</v>
      </c>
      <c r="G535" s="63">
        <f>'Raw Data_Mod Tests'!$S$2</f>
        <v>4.8000000000000001E-4</v>
      </c>
      <c r="H535" s="61">
        <f t="shared" si="125"/>
        <v>0</v>
      </c>
      <c r="I535" s="64">
        <f t="shared" si="128"/>
        <v>0</v>
      </c>
      <c r="J535" s="128">
        <f>'Raw Data_Mod Tests'!H82</f>
        <v>0</v>
      </c>
      <c r="K535" s="99">
        <f t="shared" si="126"/>
        <v>0</v>
      </c>
      <c r="L535" s="95" t="e">
        <f t="shared" si="127"/>
        <v>#DIV/0!</v>
      </c>
    </row>
    <row r="536" spans="1:12" x14ac:dyDescent="0.25">
      <c r="A536" s="130"/>
      <c r="B536" s="4" t="s">
        <v>8</v>
      </c>
      <c r="C536" s="4">
        <v>1</v>
      </c>
      <c r="D536" s="4">
        <f>'Raw Data_Mod Tests'!$R$2</f>
        <v>11.46</v>
      </c>
      <c r="E536" s="4">
        <f t="shared" si="124"/>
        <v>0</v>
      </c>
      <c r="F536" s="4">
        <v>1000</v>
      </c>
      <c r="G536" s="63">
        <f>'Raw Data_Mod Tests'!$S$2</f>
        <v>4.8000000000000001E-4</v>
      </c>
      <c r="H536" s="61">
        <f t="shared" si="125"/>
        <v>0</v>
      </c>
      <c r="I536" s="64">
        <f t="shared" si="128"/>
        <v>0</v>
      </c>
      <c r="J536" s="128">
        <f>'Raw Data_Mod Tests'!H83</f>
        <v>0</v>
      </c>
      <c r="K536" s="99">
        <f t="shared" si="126"/>
        <v>0</v>
      </c>
      <c r="L536" s="95" t="e">
        <f t="shared" si="127"/>
        <v>#DIV/0!</v>
      </c>
    </row>
    <row r="537" spans="1:12" x14ac:dyDescent="0.25">
      <c r="A537" s="129" t="s">
        <v>14</v>
      </c>
      <c r="B537" s="4" t="s">
        <v>7</v>
      </c>
      <c r="C537" s="4">
        <v>1</v>
      </c>
      <c r="D537" s="4">
        <f>'Raw Data_Mod Tests'!$R$2</f>
        <v>11.46</v>
      </c>
      <c r="E537" s="4">
        <f t="shared" si="124"/>
        <v>0</v>
      </c>
      <c r="F537" s="4">
        <v>1000</v>
      </c>
      <c r="G537" s="63">
        <f>'Raw Data_Mod Tests'!$S$2</f>
        <v>4.8000000000000001E-4</v>
      </c>
      <c r="H537" s="61">
        <f t="shared" si="125"/>
        <v>0</v>
      </c>
      <c r="I537" s="64">
        <f t="shared" si="128"/>
        <v>0</v>
      </c>
      <c r="J537" s="128">
        <f>'Raw Data_Mod Tests'!H84</f>
        <v>0</v>
      </c>
      <c r="K537" s="99">
        <f t="shared" si="126"/>
        <v>0</v>
      </c>
      <c r="L537" s="95" t="e">
        <f t="shared" si="127"/>
        <v>#DIV/0!</v>
      </c>
    </row>
    <row r="538" spans="1:12" x14ac:dyDescent="0.25">
      <c r="A538" s="130"/>
      <c r="B538" s="4" t="s">
        <v>8</v>
      </c>
      <c r="C538" s="4">
        <v>1</v>
      </c>
      <c r="D538" s="4">
        <f>'Raw Data_Mod Tests'!$R$2</f>
        <v>11.46</v>
      </c>
      <c r="E538" s="4">
        <f t="shared" si="124"/>
        <v>0</v>
      </c>
      <c r="F538" s="4">
        <v>1000</v>
      </c>
      <c r="G538" s="63">
        <f>'Raw Data_Mod Tests'!$S$2</f>
        <v>4.8000000000000001E-4</v>
      </c>
      <c r="H538" s="61">
        <f t="shared" si="125"/>
        <v>0</v>
      </c>
      <c r="I538" s="64">
        <f t="shared" si="128"/>
        <v>0</v>
      </c>
      <c r="J538" s="128">
        <f>'Raw Data_Mod Tests'!H85</f>
        <v>0</v>
      </c>
      <c r="K538" s="99">
        <f t="shared" si="126"/>
        <v>0</v>
      </c>
      <c r="L538" s="95" t="e">
        <f t="shared" si="127"/>
        <v>#DIV/0!</v>
      </c>
    </row>
    <row r="541" spans="1:12" x14ac:dyDescent="0.25">
      <c r="A541" s="136" t="s">
        <v>91</v>
      </c>
      <c r="B541" s="137"/>
      <c r="C541" s="98" t="s">
        <v>32</v>
      </c>
      <c r="D541" s="98" t="s">
        <v>33</v>
      </c>
      <c r="E541" s="98" t="s">
        <v>15</v>
      </c>
      <c r="F541" s="98" t="s">
        <v>19</v>
      </c>
      <c r="G541" s="17" t="s">
        <v>34</v>
      </c>
      <c r="H541" s="98" t="s">
        <v>27</v>
      </c>
      <c r="I541" s="98" t="s">
        <v>29</v>
      </c>
      <c r="J541" s="60" t="s">
        <v>85</v>
      </c>
      <c r="K541" s="60" t="s">
        <v>102</v>
      </c>
      <c r="L541" s="60" t="s">
        <v>103</v>
      </c>
    </row>
    <row r="542" spans="1:12" x14ac:dyDescent="0.25">
      <c r="A542" s="129" t="s">
        <v>6</v>
      </c>
      <c r="B542" s="4" t="s">
        <v>7</v>
      </c>
      <c r="C542" s="4">
        <v>1</v>
      </c>
      <c r="D542" s="4">
        <f>'Raw Data_Mod Tests'!$R$2</f>
        <v>11.46</v>
      </c>
      <c r="E542" s="4">
        <f t="shared" ref="E542:E553" si="129">D133</f>
        <v>0</v>
      </c>
      <c r="F542" s="4">
        <v>1000</v>
      </c>
      <c r="G542" s="63">
        <f>'Raw Data_Mod Tests'!$S$2</f>
        <v>4.8000000000000001E-4</v>
      </c>
      <c r="H542" s="61">
        <f t="shared" ref="H542:H553" si="130">H335</f>
        <v>0</v>
      </c>
      <c r="I542" s="64">
        <f t="shared" ref="I542:I553" si="131">C542*D542*(E542/F542)*(1+G542*(H542-25))</f>
        <v>0</v>
      </c>
      <c r="J542" s="128">
        <f>'Raw Data_Mod Tests'!H86</f>
        <v>0</v>
      </c>
      <c r="K542" s="99">
        <f>95%*I542</f>
        <v>0</v>
      </c>
      <c r="L542" s="95" t="e">
        <f>J542/I542</f>
        <v>#DIV/0!</v>
      </c>
    </row>
    <row r="543" spans="1:12" x14ac:dyDescent="0.25">
      <c r="A543" s="130"/>
      <c r="B543" s="4" t="s">
        <v>8</v>
      </c>
      <c r="C543" s="4">
        <v>1</v>
      </c>
      <c r="D543" s="4">
        <f>'Raw Data_Mod Tests'!$R$2</f>
        <v>11.46</v>
      </c>
      <c r="E543" s="4">
        <f t="shared" si="129"/>
        <v>0</v>
      </c>
      <c r="F543" s="4">
        <v>1000</v>
      </c>
      <c r="G543" s="63">
        <f>'Raw Data_Mod Tests'!$S$2</f>
        <v>4.8000000000000001E-4</v>
      </c>
      <c r="H543" s="61">
        <f t="shared" si="130"/>
        <v>0</v>
      </c>
      <c r="I543" s="64">
        <f t="shared" si="131"/>
        <v>0</v>
      </c>
      <c r="J543" s="128">
        <f>'Raw Data_Mod Tests'!H87</f>
        <v>0</v>
      </c>
      <c r="K543" s="99">
        <f t="shared" ref="K543:K553" si="132">95%*I543</f>
        <v>0</v>
      </c>
      <c r="L543" s="95" t="e">
        <f t="shared" ref="L543:L553" si="133">J543/I543</f>
        <v>#DIV/0!</v>
      </c>
    </row>
    <row r="544" spans="1:12" x14ac:dyDescent="0.25">
      <c r="A544" s="129" t="s">
        <v>10</v>
      </c>
      <c r="B544" s="4" t="s">
        <v>7</v>
      </c>
      <c r="C544" s="4">
        <v>1</v>
      </c>
      <c r="D544" s="4">
        <f>'Raw Data_Mod Tests'!$R$2</f>
        <v>11.46</v>
      </c>
      <c r="E544" s="4">
        <f t="shared" si="129"/>
        <v>0</v>
      </c>
      <c r="F544" s="4">
        <v>1000</v>
      </c>
      <c r="G544" s="63">
        <f>'Raw Data_Mod Tests'!$S$2</f>
        <v>4.8000000000000001E-4</v>
      </c>
      <c r="H544" s="61">
        <f t="shared" si="130"/>
        <v>0</v>
      </c>
      <c r="I544" s="64">
        <f t="shared" si="131"/>
        <v>0</v>
      </c>
      <c r="J544" s="128">
        <f>'Raw Data_Mod Tests'!H88</f>
        <v>0</v>
      </c>
      <c r="K544" s="99">
        <f t="shared" si="132"/>
        <v>0</v>
      </c>
      <c r="L544" s="95" t="e">
        <f t="shared" si="133"/>
        <v>#DIV/0!</v>
      </c>
    </row>
    <row r="545" spans="1:12" x14ac:dyDescent="0.25">
      <c r="A545" s="130"/>
      <c r="B545" s="4" t="s">
        <v>8</v>
      </c>
      <c r="C545" s="4">
        <v>1</v>
      </c>
      <c r="D545" s="4">
        <f>'Raw Data_Mod Tests'!$R$2</f>
        <v>11.46</v>
      </c>
      <c r="E545" s="4">
        <f t="shared" si="129"/>
        <v>0</v>
      </c>
      <c r="F545" s="4">
        <v>1000</v>
      </c>
      <c r="G545" s="63">
        <f>'Raw Data_Mod Tests'!$S$2</f>
        <v>4.8000000000000001E-4</v>
      </c>
      <c r="H545" s="61">
        <f t="shared" si="130"/>
        <v>0</v>
      </c>
      <c r="I545" s="64">
        <f t="shared" si="131"/>
        <v>0</v>
      </c>
      <c r="J545" s="128">
        <f>'Raw Data_Mod Tests'!H89</f>
        <v>0</v>
      </c>
      <c r="K545" s="99">
        <f t="shared" si="132"/>
        <v>0</v>
      </c>
      <c r="L545" s="95" t="e">
        <f t="shared" si="133"/>
        <v>#DIV/0!</v>
      </c>
    </row>
    <row r="546" spans="1:12" x14ac:dyDescent="0.25">
      <c r="A546" s="129" t="s">
        <v>11</v>
      </c>
      <c r="B546" s="4" t="s">
        <v>7</v>
      </c>
      <c r="C546" s="4">
        <v>1</v>
      </c>
      <c r="D546" s="4">
        <f>'Raw Data_Mod Tests'!$R$2</f>
        <v>11.46</v>
      </c>
      <c r="E546" s="4">
        <f t="shared" si="129"/>
        <v>0</v>
      </c>
      <c r="F546" s="4">
        <v>1000</v>
      </c>
      <c r="G546" s="63">
        <f>'Raw Data_Mod Tests'!$S$2</f>
        <v>4.8000000000000001E-4</v>
      </c>
      <c r="H546" s="61">
        <f t="shared" si="130"/>
        <v>0</v>
      </c>
      <c r="I546" s="64">
        <f t="shared" si="131"/>
        <v>0</v>
      </c>
      <c r="J546" s="128">
        <f>'Raw Data_Mod Tests'!H90</f>
        <v>0</v>
      </c>
      <c r="K546" s="99">
        <f t="shared" si="132"/>
        <v>0</v>
      </c>
      <c r="L546" s="95" t="e">
        <f t="shared" si="133"/>
        <v>#DIV/0!</v>
      </c>
    </row>
    <row r="547" spans="1:12" x14ac:dyDescent="0.25">
      <c r="A547" s="130"/>
      <c r="B547" s="4" t="s">
        <v>8</v>
      </c>
      <c r="C547" s="4">
        <v>1</v>
      </c>
      <c r="D547" s="4">
        <f>'Raw Data_Mod Tests'!$R$2</f>
        <v>11.46</v>
      </c>
      <c r="E547" s="4">
        <f t="shared" si="129"/>
        <v>0</v>
      </c>
      <c r="F547" s="4">
        <v>1000</v>
      </c>
      <c r="G547" s="63">
        <f>'Raw Data_Mod Tests'!$S$2</f>
        <v>4.8000000000000001E-4</v>
      </c>
      <c r="H547" s="61">
        <f t="shared" si="130"/>
        <v>0</v>
      </c>
      <c r="I547" s="64">
        <f t="shared" si="131"/>
        <v>0</v>
      </c>
      <c r="J547" s="128">
        <f>'Raw Data_Mod Tests'!H91</f>
        <v>0</v>
      </c>
      <c r="K547" s="99">
        <f t="shared" si="132"/>
        <v>0</v>
      </c>
      <c r="L547" s="95" t="e">
        <f t="shared" si="133"/>
        <v>#DIV/0!</v>
      </c>
    </row>
    <row r="548" spans="1:12" x14ac:dyDescent="0.25">
      <c r="A548" s="129" t="s">
        <v>12</v>
      </c>
      <c r="B548" s="4" t="s">
        <v>7</v>
      </c>
      <c r="C548" s="4">
        <v>1</v>
      </c>
      <c r="D548" s="4">
        <f>'Raw Data_Mod Tests'!$R$2</f>
        <v>11.46</v>
      </c>
      <c r="E548" s="4">
        <f t="shared" si="129"/>
        <v>0</v>
      </c>
      <c r="F548" s="4">
        <v>1000</v>
      </c>
      <c r="G548" s="63">
        <f>'Raw Data_Mod Tests'!$S$2</f>
        <v>4.8000000000000001E-4</v>
      </c>
      <c r="H548" s="61">
        <f t="shared" si="130"/>
        <v>0</v>
      </c>
      <c r="I548" s="64">
        <f t="shared" si="131"/>
        <v>0</v>
      </c>
      <c r="J548" s="128">
        <f>'Raw Data_Mod Tests'!H92</f>
        <v>0</v>
      </c>
      <c r="K548" s="99">
        <f t="shared" si="132"/>
        <v>0</v>
      </c>
      <c r="L548" s="95" t="e">
        <f t="shared" si="133"/>
        <v>#DIV/0!</v>
      </c>
    </row>
    <row r="549" spans="1:12" x14ac:dyDescent="0.25">
      <c r="A549" s="130"/>
      <c r="B549" s="4" t="s">
        <v>8</v>
      </c>
      <c r="C549" s="4">
        <v>1</v>
      </c>
      <c r="D549" s="4">
        <f>'Raw Data_Mod Tests'!$R$2</f>
        <v>11.46</v>
      </c>
      <c r="E549" s="4">
        <f t="shared" si="129"/>
        <v>0</v>
      </c>
      <c r="F549" s="4">
        <v>1000</v>
      </c>
      <c r="G549" s="63">
        <f>'Raw Data_Mod Tests'!$S$2</f>
        <v>4.8000000000000001E-4</v>
      </c>
      <c r="H549" s="61">
        <f t="shared" si="130"/>
        <v>0</v>
      </c>
      <c r="I549" s="64">
        <f t="shared" si="131"/>
        <v>0</v>
      </c>
      <c r="J549" s="128">
        <f>'Raw Data_Mod Tests'!H93</f>
        <v>0</v>
      </c>
      <c r="K549" s="99">
        <f t="shared" si="132"/>
        <v>0</v>
      </c>
      <c r="L549" s="95" t="e">
        <f t="shared" si="133"/>
        <v>#DIV/0!</v>
      </c>
    </row>
    <row r="550" spans="1:12" x14ac:dyDescent="0.25">
      <c r="A550" s="129" t="s">
        <v>13</v>
      </c>
      <c r="B550" s="4" t="s">
        <v>7</v>
      </c>
      <c r="C550" s="4">
        <v>1</v>
      </c>
      <c r="D550" s="4">
        <f>'Raw Data_Mod Tests'!$R$2</f>
        <v>11.46</v>
      </c>
      <c r="E550" s="4">
        <f t="shared" si="129"/>
        <v>0</v>
      </c>
      <c r="F550" s="4">
        <v>1000</v>
      </c>
      <c r="G550" s="63">
        <f>'Raw Data_Mod Tests'!$S$2</f>
        <v>4.8000000000000001E-4</v>
      </c>
      <c r="H550" s="61">
        <f t="shared" si="130"/>
        <v>0</v>
      </c>
      <c r="I550" s="64">
        <f t="shared" si="131"/>
        <v>0</v>
      </c>
      <c r="J550" s="128">
        <f>'Raw Data_Mod Tests'!H94</f>
        <v>0</v>
      </c>
      <c r="K550" s="99">
        <f t="shared" si="132"/>
        <v>0</v>
      </c>
      <c r="L550" s="95" t="e">
        <f t="shared" si="133"/>
        <v>#DIV/0!</v>
      </c>
    </row>
    <row r="551" spans="1:12" x14ac:dyDescent="0.25">
      <c r="A551" s="130"/>
      <c r="B551" s="4" t="s">
        <v>8</v>
      </c>
      <c r="C551" s="4">
        <v>1</v>
      </c>
      <c r="D551" s="4">
        <f>'Raw Data_Mod Tests'!$R$2</f>
        <v>11.46</v>
      </c>
      <c r="E551" s="4">
        <f t="shared" si="129"/>
        <v>0</v>
      </c>
      <c r="F551" s="4">
        <v>1000</v>
      </c>
      <c r="G551" s="63">
        <f>'Raw Data_Mod Tests'!$S$2</f>
        <v>4.8000000000000001E-4</v>
      </c>
      <c r="H551" s="61">
        <f t="shared" si="130"/>
        <v>0</v>
      </c>
      <c r="I551" s="64">
        <f t="shared" si="131"/>
        <v>0</v>
      </c>
      <c r="J551" s="128">
        <f>'Raw Data_Mod Tests'!H95</f>
        <v>0</v>
      </c>
      <c r="K551" s="99">
        <f t="shared" si="132"/>
        <v>0</v>
      </c>
      <c r="L551" s="95" t="e">
        <f t="shared" si="133"/>
        <v>#DIV/0!</v>
      </c>
    </row>
    <row r="552" spans="1:12" x14ac:dyDescent="0.25">
      <c r="A552" s="129" t="s">
        <v>14</v>
      </c>
      <c r="B552" s="4" t="s">
        <v>7</v>
      </c>
      <c r="C552" s="4">
        <v>1</v>
      </c>
      <c r="D552" s="4">
        <f>'Raw Data_Mod Tests'!$R$2</f>
        <v>11.46</v>
      </c>
      <c r="E552" s="4">
        <f t="shared" si="129"/>
        <v>0</v>
      </c>
      <c r="F552" s="4">
        <v>1000</v>
      </c>
      <c r="G552" s="63">
        <f>'Raw Data_Mod Tests'!$S$2</f>
        <v>4.8000000000000001E-4</v>
      </c>
      <c r="H552" s="61">
        <f t="shared" si="130"/>
        <v>0</v>
      </c>
      <c r="I552" s="64">
        <f t="shared" si="131"/>
        <v>0</v>
      </c>
      <c r="J552" s="128">
        <f>'Raw Data_Mod Tests'!H96</f>
        <v>0</v>
      </c>
      <c r="K552" s="99">
        <f t="shared" si="132"/>
        <v>0</v>
      </c>
      <c r="L552" s="95" t="e">
        <f t="shared" si="133"/>
        <v>#DIV/0!</v>
      </c>
    </row>
    <row r="553" spans="1:12" x14ac:dyDescent="0.25">
      <c r="A553" s="130"/>
      <c r="B553" s="4" t="s">
        <v>8</v>
      </c>
      <c r="C553" s="4">
        <v>1</v>
      </c>
      <c r="D553" s="4">
        <f>'Raw Data_Mod Tests'!$R$2</f>
        <v>11.46</v>
      </c>
      <c r="E553" s="4">
        <f t="shared" si="129"/>
        <v>0</v>
      </c>
      <c r="F553" s="4">
        <v>1000</v>
      </c>
      <c r="G553" s="63">
        <f>'Raw Data_Mod Tests'!$S$2</f>
        <v>4.8000000000000001E-4</v>
      </c>
      <c r="H553" s="61">
        <f t="shared" si="130"/>
        <v>0</v>
      </c>
      <c r="I553" s="64">
        <f t="shared" si="131"/>
        <v>0</v>
      </c>
      <c r="J553" s="128">
        <f>'Raw Data_Mod Tests'!H97</f>
        <v>0</v>
      </c>
      <c r="K553" s="99">
        <f t="shared" si="132"/>
        <v>0</v>
      </c>
      <c r="L553" s="95" t="e">
        <f t="shared" si="133"/>
        <v>#DIV/0!</v>
      </c>
    </row>
    <row r="555" spans="1:12" x14ac:dyDescent="0.25">
      <c r="A555" s="136" t="s">
        <v>92</v>
      </c>
      <c r="B555" s="137"/>
      <c r="C555" s="98" t="s">
        <v>32</v>
      </c>
      <c r="D555" s="98" t="s">
        <v>33</v>
      </c>
      <c r="E555" s="98" t="s">
        <v>15</v>
      </c>
      <c r="F555" s="98" t="s">
        <v>19</v>
      </c>
      <c r="G555" s="17" t="s">
        <v>34</v>
      </c>
      <c r="H555" s="98" t="s">
        <v>27</v>
      </c>
      <c r="I555" s="98" t="s">
        <v>29</v>
      </c>
      <c r="J555" s="60" t="s">
        <v>85</v>
      </c>
      <c r="K555" s="60" t="s">
        <v>102</v>
      </c>
      <c r="L555" s="60" t="s">
        <v>103</v>
      </c>
    </row>
    <row r="556" spans="1:12" x14ac:dyDescent="0.25">
      <c r="A556" s="129" t="s">
        <v>6</v>
      </c>
      <c r="B556" s="4" t="s">
        <v>7</v>
      </c>
      <c r="C556" s="4">
        <v>1</v>
      </c>
      <c r="D556" s="4">
        <f>'Raw Data_Mod Tests'!$R$2</f>
        <v>11.46</v>
      </c>
      <c r="E556" s="4">
        <f>D148</f>
        <v>0</v>
      </c>
      <c r="F556" s="4">
        <v>1000</v>
      </c>
      <c r="G556" s="63">
        <f>'Raw Data_Mod Tests'!$S$2</f>
        <v>4.8000000000000001E-4</v>
      </c>
      <c r="H556" s="61">
        <f>H350</f>
        <v>0</v>
      </c>
      <c r="I556" s="64">
        <f t="shared" ref="I556:I567" si="134">C556*D556*(E556/F556)*(1+G556*(H556-25))</f>
        <v>0</v>
      </c>
      <c r="J556" s="128">
        <f>'Raw Data_Mod Tests'!H98</f>
        <v>0</v>
      </c>
      <c r="K556" s="99">
        <f>95%*I556</f>
        <v>0</v>
      </c>
      <c r="L556" s="95" t="e">
        <f>J556/I556</f>
        <v>#DIV/0!</v>
      </c>
    </row>
    <row r="557" spans="1:12" x14ac:dyDescent="0.25">
      <c r="A557" s="130"/>
      <c r="B557" s="4" t="s">
        <v>8</v>
      </c>
      <c r="C557" s="4">
        <v>1</v>
      </c>
      <c r="D557" s="4">
        <f>'Raw Data_Mod Tests'!$R$2</f>
        <v>11.46</v>
      </c>
      <c r="E557" s="4">
        <f t="shared" ref="E557:E567" si="135">D149</f>
        <v>0</v>
      </c>
      <c r="F557" s="4">
        <v>1000</v>
      </c>
      <c r="G557" s="63">
        <f>'Raw Data_Mod Tests'!$S$2</f>
        <v>4.8000000000000001E-4</v>
      </c>
      <c r="H557" s="61">
        <f t="shared" ref="H557:H567" si="136">H351</f>
        <v>0</v>
      </c>
      <c r="I557" s="64">
        <f t="shared" si="134"/>
        <v>0</v>
      </c>
      <c r="J557" s="128">
        <f>'Raw Data_Mod Tests'!H99</f>
        <v>0</v>
      </c>
      <c r="K557" s="99">
        <f t="shared" ref="K557:K567" si="137">95%*I557</f>
        <v>0</v>
      </c>
      <c r="L557" s="95" t="e">
        <f t="shared" ref="L557:L567" si="138">J557/I557</f>
        <v>#DIV/0!</v>
      </c>
    </row>
    <row r="558" spans="1:12" x14ac:dyDescent="0.25">
      <c r="A558" s="129" t="s">
        <v>10</v>
      </c>
      <c r="B558" s="4" t="s">
        <v>7</v>
      </c>
      <c r="C558" s="4">
        <v>1</v>
      </c>
      <c r="D558" s="4">
        <f>'Raw Data_Mod Tests'!$R$2</f>
        <v>11.46</v>
      </c>
      <c r="E558" s="4">
        <f t="shared" si="135"/>
        <v>0</v>
      </c>
      <c r="F558" s="4">
        <v>1000</v>
      </c>
      <c r="G558" s="63">
        <f>'Raw Data_Mod Tests'!$S$2</f>
        <v>4.8000000000000001E-4</v>
      </c>
      <c r="H558" s="61">
        <f t="shared" si="136"/>
        <v>0</v>
      </c>
      <c r="I558" s="64">
        <f t="shared" si="134"/>
        <v>0</v>
      </c>
      <c r="J558" s="128">
        <f>'Raw Data_Mod Tests'!H100</f>
        <v>0</v>
      </c>
      <c r="K558" s="99">
        <f t="shared" si="137"/>
        <v>0</v>
      </c>
      <c r="L558" s="95" t="e">
        <f t="shared" si="138"/>
        <v>#DIV/0!</v>
      </c>
    </row>
    <row r="559" spans="1:12" x14ac:dyDescent="0.25">
      <c r="A559" s="130"/>
      <c r="B559" s="4" t="s">
        <v>8</v>
      </c>
      <c r="C559" s="4">
        <v>1</v>
      </c>
      <c r="D559" s="4">
        <f>'Raw Data_Mod Tests'!$R$2</f>
        <v>11.46</v>
      </c>
      <c r="E559" s="4">
        <f t="shared" si="135"/>
        <v>0</v>
      </c>
      <c r="F559" s="4">
        <v>1000</v>
      </c>
      <c r="G559" s="63">
        <f>'Raw Data_Mod Tests'!$S$2</f>
        <v>4.8000000000000001E-4</v>
      </c>
      <c r="H559" s="61">
        <f t="shared" si="136"/>
        <v>0</v>
      </c>
      <c r="I559" s="64">
        <f t="shared" si="134"/>
        <v>0</v>
      </c>
      <c r="J559" s="128">
        <f>'Raw Data_Mod Tests'!H101</f>
        <v>0</v>
      </c>
      <c r="K559" s="99">
        <f t="shared" si="137"/>
        <v>0</v>
      </c>
      <c r="L559" s="95" t="e">
        <f t="shared" si="138"/>
        <v>#DIV/0!</v>
      </c>
    </row>
    <row r="560" spans="1:12" x14ac:dyDescent="0.25">
      <c r="A560" s="129" t="s">
        <v>11</v>
      </c>
      <c r="B560" s="4" t="s">
        <v>7</v>
      </c>
      <c r="C560" s="4">
        <v>1</v>
      </c>
      <c r="D560" s="4">
        <f>'Raw Data_Mod Tests'!$R$2</f>
        <v>11.46</v>
      </c>
      <c r="E560" s="4">
        <f t="shared" si="135"/>
        <v>0</v>
      </c>
      <c r="F560" s="4">
        <v>1000</v>
      </c>
      <c r="G560" s="63">
        <f>'Raw Data_Mod Tests'!$S$2</f>
        <v>4.8000000000000001E-4</v>
      </c>
      <c r="H560" s="61">
        <f t="shared" si="136"/>
        <v>0</v>
      </c>
      <c r="I560" s="64">
        <f t="shared" si="134"/>
        <v>0</v>
      </c>
      <c r="J560" s="128">
        <f>'Raw Data_Mod Tests'!H102</f>
        <v>0</v>
      </c>
      <c r="K560" s="99">
        <f t="shared" si="137"/>
        <v>0</v>
      </c>
      <c r="L560" s="95" t="e">
        <f t="shared" si="138"/>
        <v>#DIV/0!</v>
      </c>
    </row>
    <row r="561" spans="1:12" x14ac:dyDescent="0.25">
      <c r="A561" s="130"/>
      <c r="B561" s="4" t="s">
        <v>8</v>
      </c>
      <c r="C561" s="4">
        <v>1</v>
      </c>
      <c r="D561" s="4">
        <f>'Raw Data_Mod Tests'!$R$2</f>
        <v>11.46</v>
      </c>
      <c r="E561" s="4">
        <f t="shared" si="135"/>
        <v>0</v>
      </c>
      <c r="F561" s="4">
        <v>1000</v>
      </c>
      <c r="G561" s="63">
        <f>'Raw Data_Mod Tests'!$S$2</f>
        <v>4.8000000000000001E-4</v>
      </c>
      <c r="H561" s="61">
        <f t="shared" si="136"/>
        <v>0</v>
      </c>
      <c r="I561" s="64">
        <f t="shared" si="134"/>
        <v>0</v>
      </c>
      <c r="J561" s="128">
        <f>'Raw Data_Mod Tests'!H103</f>
        <v>0</v>
      </c>
      <c r="K561" s="99">
        <f t="shared" si="137"/>
        <v>0</v>
      </c>
      <c r="L561" s="95" t="e">
        <f t="shared" si="138"/>
        <v>#DIV/0!</v>
      </c>
    </row>
    <row r="562" spans="1:12" x14ac:dyDescent="0.25">
      <c r="A562" s="129" t="s">
        <v>12</v>
      </c>
      <c r="B562" s="4" t="s">
        <v>7</v>
      </c>
      <c r="C562" s="4">
        <v>1</v>
      </c>
      <c r="D562" s="4">
        <f>'Raw Data_Mod Tests'!$R$2</f>
        <v>11.46</v>
      </c>
      <c r="E562" s="4">
        <f t="shared" si="135"/>
        <v>0</v>
      </c>
      <c r="F562" s="4">
        <v>1000</v>
      </c>
      <c r="G562" s="63">
        <f>'Raw Data_Mod Tests'!$S$2</f>
        <v>4.8000000000000001E-4</v>
      </c>
      <c r="H562" s="61">
        <f t="shared" si="136"/>
        <v>0</v>
      </c>
      <c r="I562" s="64">
        <f t="shared" si="134"/>
        <v>0</v>
      </c>
      <c r="J562" s="128">
        <f>'Raw Data_Mod Tests'!H104</f>
        <v>0</v>
      </c>
      <c r="K562" s="99">
        <f t="shared" si="137"/>
        <v>0</v>
      </c>
      <c r="L562" s="95" t="e">
        <f t="shared" si="138"/>
        <v>#DIV/0!</v>
      </c>
    </row>
    <row r="563" spans="1:12" x14ac:dyDescent="0.25">
      <c r="A563" s="130"/>
      <c r="B563" s="4" t="s">
        <v>8</v>
      </c>
      <c r="C563" s="4">
        <v>1</v>
      </c>
      <c r="D563" s="4">
        <f>'Raw Data_Mod Tests'!$R$2</f>
        <v>11.46</v>
      </c>
      <c r="E563" s="4">
        <f t="shared" si="135"/>
        <v>0</v>
      </c>
      <c r="F563" s="4">
        <v>1000</v>
      </c>
      <c r="G563" s="63">
        <f>'Raw Data_Mod Tests'!$S$2</f>
        <v>4.8000000000000001E-4</v>
      </c>
      <c r="H563" s="61">
        <f t="shared" si="136"/>
        <v>0</v>
      </c>
      <c r="I563" s="64">
        <f t="shared" si="134"/>
        <v>0</v>
      </c>
      <c r="J563" s="128">
        <f>'Raw Data_Mod Tests'!H105</f>
        <v>0</v>
      </c>
      <c r="K563" s="99">
        <f t="shared" si="137"/>
        <v>0</v>
      </c>
      <c r="L563" s="95" t="e">
        <f t="shared" si="138"/>
        <v>#DIV/0!</v>
      </c>
    </row>
    <row r="564" spans="1:12" x14ac:dyDescent="0.25">
      <c r="A564" s="129" t="s">
        <v>13</v>
      </c>
      <c r="B564" s="4" t="s">
        <v>7</v>
      </c>
      <c r="C564" s="4">
        <v>1</v>
      </c>
      <c r="D564" s="4">
        <f>'Raw Data_Mod Tests'!$R$2</f>
        <v>11.46</v>
      </c>
      <c r="E564" s="4">
        <f t="shared" si="135"/>
        <v>0</v>
      </c>
      <c r="F564" s="4">
        <v>1000</v>
      </c>
      <c r="G564" s="63">
        <f>'Raw Data_Mod Tests'!$S$2</f>
        <v>4.8000000000000001E-4</v>
      </c>
      <c r="H564" s="61">
        <f t="shared" si="136"/>
        <v>0</v>
      </c>
      <c r="I564" s="64">
        <f t="shared" si="134"/>
        <v>0</v>
      </c>
      <c r="J564" s="128">
        <f>'Raw Data_Mod Tests'!H106</f>
        <v>0</v>
      </c>
      <c r="K564" s="99">
        <f t="shared" si="137"/>
        <v>0</v>
      </c>
      <c r="L564" s="95" t="e">
        <f t="shared" si="138"/>
        <v>#DIV/0!</v>
      </c>
    </row>
    <row r="565" spans="1:12" x14ac:dyDescent="0.25">
      <c r="A565" s="130"/>
      <c r="B565" s="4" t="s">
        <v>8</v>
      </c>
      <c r="C565" s="4">
        <v>1</v>
      </c>
      <c r="D565" s="4">
        <f>'Raw Data_Mod Tests'!$R$2</f>
        <v>11.46</v>
      </c>
      <c r="E565" s="4">
        <f t="shared" si="135"/>
        <v>0</v>
      </c>
      <c r="F565" s="4">
        <v>1000</v>
      </c>
      <c r="G565" s="63">
        <f>'Raw Data_Mod Tests'!$S$2</f>
        <v>4.8000000000000001E-4</v>
      </c>
      <c r="H565" s="61">
        <f t="shared" si="136"/>
        <v>0</v>
      </c>
      <c r="I565" s="64">
        <f t="shared" si="134"/>
        <v>0</v>
      </c>
      <c r="J565" s="128">
        <f>'Raw Data_Mod Tests'!H107</f>
        <v>0</v>
      </c>
      <c r="K565" s="99">
        <f t="shared" si="137"/>
        <v>0</v>
      </c>
      <c r="L565" s="95" t="e">
        <f t="shared" si="138"/>
        <v>#DIV/0!</v>
      </c>
    </row>
    <row r="566" spans="1:12" x14ac:dyDescent="0.25">
      <c r="A566" s="129" t="s">
        <v>14</v>
      </c>
      <c r="B566" s="4" t="s">
        <v>7</v>
      </c>
      <c r="C566" s="4">
        <v>1</v>
      </c>
      <c r="D566" s="4">
        <f>'Raw Data_Mod Tests'!$R$2</f>
        <v>11.46</v>
      </c>
      <c r="E566" s="4">
        <f t="shared" si="135"/>
        <v>0</v>
      </c>
      <c r="F566" s="4">
        <v>1000</v>
      </c>
      <c r="G566" s="63">
        <f>'Raw Data_Mod Tests'!$S$2</f>
        <v>4.8000000000000001E-4</v>
      </c>
      <c r="H566" s="61">
        <f t="shared" si="136"/>
        <v>0</v>
      </c>
      <c r="I566" s="64">
        <f t="shared" si="134"/>
        <v>0</v>
      </c>
      <c r="J566" s="128">
        <f>'Raw Data_Mod Tests'!H108</f>
        <v>0</v>
      </c>
      <c r="K566" s="99">
        <f t="shared" si="137"/>
        <v>0</v>
      </c>
      <c r="L566" s="95" t="e">
        <f t="shared" si="138"/>
        <v>#DIV/0!</v>
      </c>
    </row>
    <row r="567" spans="1:12" x14ac:dyDescent="0.25">
      <c r="A567" s="130"/>
      <c r="B567" s="4" t="s">
        <v>8</v>
      </c>
      <c r="C567" s="4">
        <v>1</v>
      </c>
      <c r="D567" s="4">
        <f>'Raw Data_Mod Tests'!$R$2</f>
        <v>11.46</v>
      </c>
      <c r="E567" s="4">
        <f t="shared" si="135"/>
        <v>0</v>
      </c>
      <c r="F567" s="4">
        <v>1000</v>
      </c>
      <c r="G567" s="63">
        <f>'Raw Data_Mod Tests'!$S$2</f>
        <v>4.8000000000000001E-4</v>
      </c>
      <c r="H567" s="61">
        <f t="shared" si="136"/>
        <v>0</v>
      </c>
      <c r="I567" s="64">
        <f t="shared" si="134"/>
        <v>0</v>
      </c>
      <c r="J567" s="128">
        <f>'Raw Data_Mod Tests'!H109</f>
        <v>0</v>
      </c>
      <c r="K567" s="99">
        <f t="shared" si="137"/>
        <v>0</v>
      </c>
      <c r="L567" s="95" t="e">
        <f t="shared" si="138"/>
        <v>#DIV/0!</v>
      </c>
    </row>
    <row r="570" spans="1:12" x14ac:dyDescent="0.25">
      <c r="A570" s="136" t="s">
        <v>93</v>
      </c>
      <c r="B570" s="137"/>
      <c r="C570" s="98" t="s">
        <v>32</v>
      </c>
      <c r="D570" s="98" t="s">
        <v>33</v>
      </c>
      <c r="E570" s="98" t="s">
        <v>15</v>
      </c>
      <c r="F570" s="98" t="s">
        <v>19</v>
      </c>
      <c r="G570" s="17" t="s">
        <v>34</v>
      </c>
      <c r="H570" s="98" t="s">
        <v>27</v>
      </c>
      <c r="I570" s="98" t="s">
        <v>29</v>
      </c>
      <c r="J570" s="60" t="s">
        <v>85</v>
      </c>
      <c r="K570" s="60" t="s">
        <v>102</v>
      </c>
      <c r="L570" s="60" t="s">
        <v>103</v>
      </c>
    </row>
    <row r="571" spans="1:12" x14ac:dyDescent="0.25">
      <c r="A571" s="129" t="s">
        <v>6</v>
      </c>
      <c r="B571" s="4" t="s">
        <v>7</v>
      </c>
      <c r="C571" s="4">
        <v>1</v>
      </c>
      <c r="D571" s="4">
        <f>'Raw Data_Mod Tests'!$R$2</f>
        <v>11.46</v>
      </c>
      <c r="E571" s="4">
        <f>D163</f>
        <v>0</v>
      </c>
      <c r="F571" s="4">
        <v>1000</v>
      </c>
      <c r="G571" s="63">
        <f>'Raw Data_Mod Tests'!$S$2</f>
        <v>4.8000000000000001E-4</v>
      </c>
      <c r="H571" s="61">
        <f>H365</f>
        <v>0</v>
      </c>
      <c r="I571" s="64">
        <f t="shared" ref="I571:I582" si="139">C571*D571*(E571/F571)*(1+G571*(H571-25))</f>
        <v>0</v>
      </c>
      <c r="J571" s="128">
        <f>'Raw Data_Mod Tests'!H110</f>
        <v>0</v>
      </c>
      <c r="K571" s="99">
        <f>95%*I571</f>
        <v>0</v>
      </c>
      <c r="L571" s="95" t="e">
        <f>J571/I571</f>
        <v>#DIV/0!</v>
      </c>
    </row>
    <row r="572" spans="1:12" x14ac:dyDescent="0.25">
      <c r="A572" s="130"/>
      <c r="B572" s="4" t="s">
        <v>8</v>
      </c>
      <c r="C572" s="4">
        <v>1</v>
      </c>
      <c r="D572" s="4">
        <f>'Raw Data_Mod Tests'!$R$2</f>
        <v>11.46</v>
      </c>
      <c r="E572" s="4">
        <f t="shared" ref="E572:E582" si="140">D164</f>
        <v>0</v>
      </c>
      <c r="F572" s="4">
        <v>1000</v>
      </c>
      <c r="G572" s="63">
        <f>'Raw Data_Mod Tests'!$S$2</f>
        <v>4.8000000000000001E-4</v>
      </c>
      <c r="H572" s="61">
        <f t="shared" ref="H572:H582" si="141">H366</f>
        <v>0</v>
      </c>
      <c r="I572" s="64">
        <f t="shared" si="139"/>
        <v>0</v>
      </c>
      <c r="J572" s="128">
        <f>'Raw Data_Mod Tests'!H111</f>
        <v>0</v>
      </c>
      <c r="K572" s="99">
        <f t="shared" ref="K572:K582" si="142">95%*I572</f>
        <v>0</v>
      </c>
      <c r="L572" s="95" t="e">
        <f t="shared" ref="L572:L582" si="143">J572/I572</f>
        <v>#DIV/0!</v>
      </c>
    </row>
    <row r="573" spans="1:12" x14ac:dyDescent="0.25">
      <c r="A573" s="129" t="s">
        <v>10</v>
      </c>
      <c r="B573" s="4" t="s">
        <v>7</v>
      </c>
      <c r="C573" s="4">
        <v>1</v>
      </c>
      <c r="D573" s="4">
        <f>'Raw Data_Mod Tests'!$R$2</f>
        <v>11.46</v>
      </c>
      <c r="E573" s="4">
        <f t="shared" si="140"/>
        <v>0</v>
      </c>
      <c r="F573" s="4">
        <v>1000</v>
      </c>
      <c r="G573" s="63">
        <f>'Raw Data_Mod Tests'!$S$2</f>
        <v>4.8000000000000001E-4</v>
      </c>
      <c r="H573" s="61">
        <f t="shared" si="141"/>
        <v>0</v>
      </c>
      <c r="I573" s="64">
        <f t="shared" si="139"/>
        <v>0</v>
      </c>
      <c r="J573" s="128">
        <f>'Raw Data_Mod Tests'!H112</f>
        <v>0</v>
      </c>
      <c r="K573" s="99">
        <f t="shared" si="142"/>
        <v>0</v>
      </c>
      <c r="L573" s="95" t="e">
        <f t="shared" si="143"/>
        <v>#DIV/0!</v>
      </c>
    </row>
    <row r="574" spans="1:12" x14ac:dyDescent="0.25">
      <c r="A574" s="130"/>
      <c r="B574" s="4" t="s">
        <v>8</v>
      </c>
      <c r="C574" s="4">
        <v>1</v>
      </c>
      <c r="D574" s="4">
        <f>'Raw Data_Mod Tests'!$R$2</f>
        <v>11.46</v>
      </c>
      <c r="E574" s="4">
        <f t="shared" si="140"/>
        <v>0</v>
      </c>
      <c r="F574" s="4">
        <v>1000</v>
      </c>
      <c r="G574" s="63">
        <f>'Raw Data_Mod Tests'!$S$2</f>
        <v>4.8000000000000001E-4</v>
      </c>
      <c r="H574" s="61">
        <f t="shared" si="141"/>
        <v>0</v>
      </c>
      <c r="I574" s="64">
        <f t="shared" si="139"/>
        <v>0</v>
      </c>
      <c r="J574" s="128">
        <f>'Raw Data_Mod Tests'!H113</f>
        <v>0</v>
      </c>
      <c r="K574" s="99">
        <f t="shared" si="142"/>
        <v>0</v>
      </c>
      <c r="L574" s="95" t="e">
        <f t="shared" si="143"/>
        <v>#DIV/0!</v>
      </c>
    </row>
    <row r="575" spans="1:12" x14ac:dyDescent="0.25">
      <c r="A575" s="129" t="s">
        <v>11</v>
      </c>
      <c r="B575" s="4" t="s">
        <v>7</v>
      </c>
      <c r="C575" s="4">
        <v>1</v>
      </c>
      <c r="D575" s="4">
        <f>'Raw Data_Mod Tests'!$R$2</f>
        <v>11.46</v>
      </c>
      <c r="E575" s="4">
        <f t="shared" si="140"/>
        <v>0</v>
      </c>
      <c r="F575" s="4">
        <v>1000</v>
      </c>
      <c r="G575" s="63">
        <f>'Raw Data_Mod Tests'!$S$2</f>
        <v>4.8000000000000001E-4</v>
      </c>
      <c r="H575" s="61">
        <f t="shared" si="141"/>
        <v>0</v>
      </c>
      <c r="I575" s="64">
        <f t="shared" si="139"/>
        <v>0</v>
      </c>
      <c r="J575" s="128">
        <f>'Raw Data_Mod Tests'!H114</f>
        <v>0</v>
      </c>
      <c r="K575" s="99">
        <f t="shared" si="142"/>
        <v>0</v>
      </c>
      <c r="L575" s="95" t="e">
        <f t="shared" si="143"/>
        <v>#DIV/0!</v>
      </c>
    </row>
    <row r="576" spans="1:12" x14ac:dyDescent="0.25">
      <c r="A576" s="130"/>
      <c r="B576" s="4" t="s">
        <v>8</v>
      </c>
      <c r="C576" s="4">
        <v>1</v>
      </c>
      <c r="D576" s="4">
        <f>'Raw Data_Mod Tests'!$R$2</f>
        <v>11.46</v>
      </c>
      <c r="E576" s="4">
        <f t="shared" si="140"/>
        <v>0</v>
      </c>
      <c r="F576" s="4">
        <v>1000</v>
      </c>
      <c r="G576" s="63">
        <f>'Raw Data_Mod Tests'!$S$2</f>
        <v>4.8000000000000001E-4</v>
      </c>
      <c r="H576" s="61">
        <f t="shared" si="141"/>
        <v>0</v>
      </c>
      <c r="I576" s="64">
        <f t="shared" si="139"/>
        <v>0</v>
      </c>
      <c r="J576" s="128">
        <f>'Raw Data_Mod Tests'!H115</f>
        <v>0</v>
      </c>
      <c r="K576" s="99">
        <f t="shared" si="142"/>
        <v>0</v>
      </c>
      <c r="L576" s="95" t="e">
        <f t="shared" si="143"/>
        <v>#DIV/0!</v>
      </c>
    </row>
    <row r="577" spans="1:12" x14ac:dyDescent="0.25">
      <c r="A577" s="129" t="s">
        <v>12</v>
      </c>
      <c r="B577" s="4" t="s">
        <v>7</v>
      </c>
      <c r="C577" s="4">
        <v>1</v>
      </c>
      <c r="D577" s="4">
        <f>'Raw Data_Mod Tests'!$R$2</f>
        <v>11.46</v>
      </c>
      <c r="E577" s="4">
        <f t="shared" si="140"/>
        <v>0</v>
      </c>
      <c r="F577" s="4">
        <v>1000</v>
      </c>
      <c r="G577" s="63">
        <f>'Raw Data_Mod Tests'!$S$2</f>
        <v>4.8000000000000001E-4</v>
      </c>
      <c r="H577" s="61">
        <f t="shared" si="141"/>
        <v>0</v>
      </c>
      <c r="I577" s="64">
        <f t="shared" si="139"/>
        <v>0</v>
      </c>
      <c r="J577" s="128">
        <f>'Raw Data_Mod Tests'!H116</f>
        <v>0</v>
      </c>
      <c r="K577" s="99">
        <f t="shared" si="142"/>
        <v>0</v>
      </c>
      <c r="L577" s="95" t="e">
        <f t="shared" si="143"/>
        <v>#DIV/0!</v>
      </c>
    </row>
    <row r="578" spans="1:12" x14ac:dyDescent="0.25">
      <c r="A578" s="130"/>
      <c r="B578" s="4" t="s">
        <v>8</v>
      </c>
      <c r="C578" s="4">
        <v>1</v>
      </c>
      <c r="D578" s="4">
        <f>'Raw Data_Mod Tests'!$R$2</f>
        <v>11.46</v>
      </c>
      <c r="E578" s="4">
        <f t="shared" si="140"/>
        <v>0</v>
      </c>
      <c r="F578" s="4">
        <v>1000</v>
      </c>
      <c r="G578" s="63">
        <f>'Raw Data_Mod Tests'!$S$2</f>
        <v>4.8000000000000001E-4</v>
      </c>
      <c r="H578" s="61">
        <f t="shared" si="141"/>
        <v>0</v>
      </c>
      <c r="I578" s="64">
        <f t="shared" si="139"/>
        <v>0</v>
      </c>
      <c r="J578" s="128">
        <f>'Raw Data_Mod Tests'!H117</f>
        <v>0</v>
      </c>
      <c r="K578" s="99">
        <f t="shared" si="142"/>
        <v>0</v>
      </c>
      <c r="L578" s="95" t="e">
        <f t="shared" si="143"/>
        <v>#DIV/0!</v>
      </c>
    </row>
    <row r="579" spans="1:12" x14ac:dyDescent="0.25">
      <c r="A579" s="129" t="s">
        <v>13</v>
      </c>
      <c r="B579" s="4" t="s">
        <v>7</v>
      </c>
      <c r="C579" s="4">
        <v>1</v>
      </c>
      <c r="D579" s="4">
        <f>'Raw Data_Mod Tests'!$R$2</f>
        <v>11.46</v>
      </c>
      <c r="E579" s="4">
        <f t="shared" si="140"/>
        <v>0</v>
      </c>
      <c r="F579" s="4">
        <v>1000</v>
      </c>
      <c r="G579" s="63">
        <f>'Raw Data_Mod Tests'!$S$2</f>
        <v>4.8000000000000001E-4</v>
      </c>
      <c r="H579" s="61">
        <f t="shared" si="141"/>
        <v>0</v>
      </c>
      <c r="I579" s="64">
        <f t="shared" si="139"/>
        <v>0</v>
      </c>
      <c r="J579" s="128">
        <f>'Raw Data_Mod Tests'!H118</f>
        <v>0</v>
      </c>
      <c r="K579" s="99">
        <f t="shared" si="142"/>
        <v>0</v>
      </c>
      <c r="L579" s="95" t="e">
        <f t="shared" si="143"/>
        <v>#DIV/0!</v>
      </c>
    </row>
    <row r="580" spans="1:12" x14ac:dyDescent="0.25">
      <c r="A580" s="130"/>
      <c r="B580" s="4" t="s">
        <v>8</v>
      </c>
      <c r="C580" s="4">
        <v>1</v>
      </c>
      <c r="D580" s="4">
        <f>'Raw Data_Mod Tests'!$R$2</f>
        <v>11.46</v>
      </c>
      <c r="E580" s="4">
        <f t="shared" si="140"/>
        <v>0</v>
      </c>
      <c r="F580" s="4">
        <v>1000</v>
      </c>
      <c r="G580" s="63">
        <f>'Raw Data_Mod Tests'!$S$2</f>
        <v>4.8000000000000001E-4</v>
      </c>
      <c r="H580" s="61">
        <f t="shared" si="141"/>
        <v>0</v>
      </c>
      <c r="I580" s="64">
        <f t="shared" si="139"/>
        <v>0</v>
      </c>
      <c r="J580" s="128">
        <f>'Raw Data_Mod Tests'!H119</f>
        <v>0</v>
      </c>
      <c r="K580" s="99">
        <f t="shared" si="142"/>
        <v>0</v>
      </c>
      <c r="L580" s="95" t="e">
        <f t="shared" si="143"/>
        <v>#DIV/0!</v>
      </c>
    </row>
    <row r="581" spans="1:12" x14ac:dyDescent="0.25">
      <c r="A581" s="129" t="s">
        <v>14</v>
      </c>
      <c r="B581" s="4" t="s">
        <v>7</v>
      </c>
      <c r="C581" s="4">
        <v>1</v>
      </c>
      <c r="D581" s="4">
        <f>'Raw Data_Mod Tests'!$R$2</f>
        <v>11.46</v>
      </c>
      <c r="E581" s="4">
        <f t="shared" si="140"/>
        <v>0</v>
      </c>
      <c r="F581" s="4">
        <v>1000</v>
      </c>
      <c r="G581" s="63">
        <f>'Raw Data_Mod Tests'!$S$2</f>
        <v>4.8000000000000001E-4</v>
      </c>
      <c r="H581" s="61">
        <f t="shared" si="141"/>
        <v>0</v>
      </c>
      <c r="I581" s="64">
        <f t="shared" si="139"/>
        <v>0</v>
      </c>
      <c r="J581" s="128">
        <f>'Raw Data_Mod Tests'!H120</f>
        <v>0</v>
      </c>
      <c r="K581" s="99">
        <f t="shared" si="142"/>
        <v>0</v>
      </c>
      <c r="L581" s="95" t="e">
        <f t="shared" si="143"/>
        <v>#DIV/0!</v>
      </c>
    </row>
    <row r="582" spans="1:12" x14ac:dyDescent="0.25">
      <c r="A582" s="130"/>
      <c r="B582" s="4" t="s">
        <v>8</v>
      </c>
      <c r="C582" s="4">
        <v>1</v>
      </c>
      <c r="D582" s="4">
        <f>'Raw Data_Mod Tests'!$R$2</f>
        <v>11.46</v>
      </c>
      <c r="E582" s="4">
        <f t="shared" si="140"/>
        <v>0</v>
      </c>
      <c r="F582" s="4">
        <v>1000</v>
      </c>
      <c r="G582" s="63">
        <f>'Raw Data_Mod Tests'!$S$2</f>
        <v>4.8000000000000001E-4</v>
      </c>
      <c r="H582" s="61">
        <f t="shared" si="141"/>
        <v>0</v>
      </c>
      <c r="I582" s="64">
        <f t="shared" si="139"/>
        <v>0</v>
      </c>
      <c r="J582" s="128">
        <f>'Raw Data_Mod Tests'!H121</f>
        <v>0</v>
      </c>
      <c r="K582" s="99">
        <f t="shared" si="142"/>
        <v>0</v>
      </c>
      <c r="L582" s="95" t="e">
        <f t="shared" si="143"/>
        <v>#DIV/0!</v>
      </c>
    </row>
    <row r="585" spans="1:12" x14ac:dyDescent="0.25">
      <c r="A585" s="136" t="s">
        <v>94</v>
      </c>
      <c r="B585" s="137"/>
      <c r="C585" s="98" t="s">
        <v>32</v>
      </c>
      <c r="D585" s="98" t="s">
        <v>33</v>
      </c>
      <c r="E585" s="98" t="s">
        <v>15</v>
      </c>
      <c r="F585" s="98" t="s">
        <v>19</v>
      </c>
      <c r="G585" s="17" t="s">
        <v>34</v>
      </c>
      <c r="H585" s="98" t="s">
        <v>27</v>
      </c>
      <c r="I585" s="98" t="s">
        <v>29</v>
      </c>
      <c r="J585" s="60" t="s">
        <v>85</v>
      </c>
      <c r="K585" s="60" t="s">
        <v>102</v>
      </c>
      <c r="L585" s="60" t="s">
        <v>103</v>
      </c>
    </row>
    <row r="586" spans="1:12" x14ac:dyDescent="0.25">
      <c r="A586" s="129" t="s">
        <v>6</v>
      </c>
      <c r="B586" s="4" t="s">
        <v>7</v>
      </c>
      <c r="C586" s="4">
        <v>1</v>
      </c>
      <c r="D586" s="4">
        <f>'Raw Data_Mod Tests'!$R$2</f>
        <v>11.46</v>
      </c>
      <c r="E586" s="4">
        <f>D178</f>
        <v>0</v>
      </c>
      <c r="F586" s="4">
        <v>1000</v>
      </c>
      <c r="G586" s="63">
        <f>'Raw Data_Mod Tests'!$S$2</f>
        <v>4.8000000000000001E-4</v>
      </c>
      <c r="H586" s="61">
        <f>H380</f>
        <v>0</v>
      </c>
      <c r="I586" s="64">
        <f t="shared" ref="I586:I597" si="144">C586*D586*(E586/F586)*(1+G586*(H586-25))</f>
        <v>0</v>
      </c>
      <c r="J586" s="128">
        <f>'Raw Data_Mod Tests'!H122</f>
        <v>0</v>
      </c>
      <c r="K586" s="99">
        <f>95%*I586</f>
        <v>0</v>
      </c>
      <c r="L586" s="95" t="e">
        <f>J586/I586</f>
        <v>#DIV/0!</v>
      </c>
    </row>
    <row r="587" spans="1:12" x14ac:dyDescent="0.25">
      <c r="A587" s="130"/>
      <c r="B587" s="4" t="s">
        <v>8</v>
      </c>
      <c r="C587" s="4">
        <v>1</v>
      </c>
      <c r="D587" s="4">
        <f>'Raw Data_Mod Tests'!$R$2</f>
        <v>11.46</v>
      </c>
      <c r="E587" s="4">
        <f t="shared" ref="E587:E597" si="145">D179</f>
        <v>0</v>
      </c>
      <c r="F587" s="4">
        <v>1000</v>
      </c>
      <c r="G587" s="63">
        <f>'Raw Data_Mod Tests'!$S$2</f>
        <v>4.8000000000000001E-4</v>
      </c>
      <c r="H587" s="61">
        <f t="shared" ref="H587:H597" si="146">H381</f>
        <v>0</v>
      </c>
      <c r="I587" s="64">
        <f t="shared" si="144"/>
        <v>0</v>
      </c>
      <c r="J587" s="128">
        <f>'Raw Data_Mod Tests'!H123</f>
        <v>0</v>
      </c>
      <c r="K587" s="99">
        <f t="shared" ref="K587:K597" si="147">95%*I587</f>
        <v>0</v>
      </c>
      <c r="L587" s="95" t="e">
        <f t="shared" ref="L587:L597" si="148">J587/I587</f>
        <v>#DIV/0!</v>
      </c>
    </row>
    <row r="588" spans="1:12" x14ac:dyDescent="0.25">
      <c r="A588" s="129" t="s">
        <v>10</v>
      </c>
      <c r="B588" s="4" t="s">
        <v>7</v>
      </c>
      <c r="C588" s="4">
        <v>1</v>
      </c>
      <c r="D588" s="4">
        <f>'Raw Data_Mod Tests'!$R$2</f>
        <v>11.46</v>
      </c>
      <c r="E588" s="4">
        <f t="shared" si="145"/>
        <v>0</v>
      </c>
      <c r="F588" s="4">
        <v>1000</v>
      </c>
      <c r="G588" s="63">
        <f>'Raw Data_Mod Tests'!$S$2</f>
        <v>4.8000000000000001E-4</v>
      </c>
      <c r="H588" s="61">
        <f t="shared" si="146"/>
        <v>0</v>
      </c>
      <c r="I588" s="64">
        <f t="shared" si="144"/>
        <v>0</v>
      </c>
      <c r="J588" s="128">
        <f>'Raw Data_Mod Tests'!H124</f>
        <v>0</v>
      </c>
      <c r="K588" s="99">
        <f t="shared" si="147"/>
        <v>0</v>
      </c>
      <c r="L588" s="95" t="e">
        <f t="shared" si="148"/>
        <v>#DIV/0!</v>
      </c>
    </row>
    <row r="589" spans="1:12" x14ac:dyDescent="0.25">
      <c r="A589" s="130"/>
      <c r="B589" s="4" t="s">
        <v>8</v>
      </c>
      <c r="C589" s="4">
        <v>1</v>
      </c>
      <c r="D589" s="4">
        <f>'Raw Data_Mod Tests'!$R$2</f>
        <v>11.46</v>
      </c>
      <c r="E589" s="4">
        <f t="shared" si="145"/>
        <v>0</v>
      </c>
      <c r="F589" s="4">
        <v>1000</v>
      </c>
      <c r="G589" s="63">
        <f>'Raw Data_Mod Tests'!$S$2</f>
        <v>4.8000000000000001E-4</v>
      </c>
      <c r="H589" s="61">
        <f t="shared" si="146"/>
        <v>0</v>
      </c>
      <c r="I589" s="64">
        <f t="shared" si="144"/>
        <v>0</v>
      </c>
      <c r="J589" s="128">
        <f>'Raw Data_Mod Tests'!H125</f>
        <v>0</v>
      </c>
      <c r="K589" s="99">
        <f t="shared" si="147"/>
        <v>0</v>
      </c>
      <c r="L589" s="95" t="e">
        <f t="shared" si="148"/>
        <v>#DIV/0!</v>
      </c>
    </row>
    <row r="590" spans="1:12" x14ac:dyDescent="0.25">
      <c r="A590" s="129" t="s">
        <v>11</v>
      </c>
      <c r="B590" s="4" t="s">
        <v>7</v>
      </c>
      <c r="C590" s="4">
        <v>1</v>
      </c>
      <c r="D590" s="4">
        <f>'Raw Data_Mod Tests'!$R$2</f>
        <v>11.46</v>
      </c>
      <c r="E590" s="4">
        <f t="shared" si="145"/>
        <v>0</v>
      </c>
      <c r="F590" s="4">
        <v>1000</v>
      </c>
      <c r="G590" s="63">
        <f>'Raw Data_Mod Tests'!$S$2</f>
        <v>4.8000000000000001E-4</v>
      </c>
      <c r="H590" s="61">
        <f t="shared" si="146"/>
        <v>0</v>
      </c>
      <c r="I590" s="64">
        <f t="shared" si="144"/>
        <v>0</v>
      </c>
      <c r="J590" s="128">
        <f>'Raw Data_Mod Tests'!H126</f>
        <v>0</v>
      </c>
      <c r="K590" s="99">
        <f t="shared" si="147"/>
        <v>0</v>
      </c>
      <c r="L590" s="95" t="e">
        <f t="shared" si="148"/>
        <v>#DIV/0!</v>
      </c>
    </row>
    <row r="591" spans="1:12" x14ac:dyDescent="0.25">
      <c r="A591" s="130"/>
      <c r="B591" s="4" t="s">
        <v>8</v>
      </c>
      <c r="C591" s="4">
        <v>1</v>
      </c>
      <c r="D591" s="4">
        <f>'Raw Data_Mod Tests'!$R$2</f>
        <v>11.46</v>
      </c>
      <c r="E591" s="4">
        <f t="shared" si="145"/>
        <v>0</v>
      </c>
      <c r="F591" s="4">
        <v>1000</v>
      </c>
      <c r="G591" s="63">
        <f>'Raw Data_Mod Tests'!$S$2</f>
        <v>4.8000000000000001E-4</v>
      </c>
      <c r="H591" s="61">
        <f t="shared" si="146"/>
        <v>0</v>
      </c>
      <c r="I591" s="64">
        <f t="shared" si="144"/>
        <v>0</v>
      </c>
      <c r="J591" s="128">
        <f>'Raw Data_Mod Tests'!H127</f>
        <v>0</v>
      </c>
      <c r="K591" s="99">
        <f t="shared" si="147"/>
        <v>0</v>
      </c>
      <c r="L591" s="95" t="e">
        <f t="shared" si="148"/>
        <v>#DIV/0!</v>
      </c>
    </row>
    <row r="592" spans="1:12" x14ac:dyDescent="0.25">
      <c r="A592" s="129" t="s">
        <v>12</v>
      </c>
      <c r="B592" s="4" t="s">
        <v>7</v>
      </c>
      <c r="C592" s="4">
        <v>1</v>
      </c>
      <c r="D592" s="4">
        <f>'Raw Data_Mod Tests'!$R$2</f>
        <v>11.46</v>
      </c>
      <c r="E592" s="4">
        <f t="shared" si="145"/>
        <v>0</v>
      </c>
      <c r="F592" s="4">
        <v>1000</v>
      </c>
      <c r="G592" s="63">
        <f>'Raw Data_Mod Tests'!$S$2</f>
        <v>4.8000000000000001E-4</v>
      </c>
      <c r="H592" s="61">
        <f t="shared" si="146"/>
        <v>0</v>
      </c>
      <c r="I592" s="64">
        <f t="shared" si="144"/>
        <v>0</v>
      </c>
      <c r="J592" s="128">
        <f>'Raw Data_Mod Tests'!H128</f>
        <v>0</v>
      </c>
      <c r="K592" s="99">
        <f t="shared" si="147"/>
        <v>0</v>
      </c>
      <c r="L592" s="95" t="e">
        <f t="shared" si="148"/>
        <v>#DIV/0!</v>
      </c>
    </row>
    <row r="593" spans="1:12" x14ac:dyDescent="0.25">
      <c r="A593" s="130"/>
      <c r="B593" s="4" t="s">
        <v>8</v>
      </c>
      <c r="C593" s="4">
        <v>1</v>
      </c>
      <c r="D593" s="4">
        <f>'Raw Data_Mod Tests'!$R$2</f>
        <v>11.46</v>
      </c>
      <c r="E593" s="4">
        <f t="shared" si="145"/>
        <v>0</v>
      </c>
      <c r="F593" s="4">
        <v>1000</v>
      </c>
      <c r="G593" s="63">
        <f>'Raw Data_Mod Tests'!$S$2</f>
        <v>4.8000000000000001E-4</v>
      </c>
      <c r="H593" s="61">
        <f t="shared" si="146"/>
        <v>0</v>
      </c>
      <c r="I593" s="64">
        <f t="shared" si="144"/>
        <v>0</v>
      </c>
      <c r="J593" s="128">
        <f>'Raw Data_Mod Tests'!H129</f>
        <v>0</v>
      </c>
      <c r="K593" s="99">
        <f t="shared" si="147"/>
        <v>0</v>
      </c>
      <c r="L593" s="95" t="e">
        <f t="shared" si="148"/>
        <v>#DIV/0!</v>
      </c>
    </row>
    <row r="594" spans="1:12" x14ac:dyDescent="0.25">
      <c r="A594" s="129" t="s">
        <v>13</v>
      </c>
      <c r="B594" s="4" t="s">
        <v>7</v>
      </c>
      <c r="C594" s="4">
        <v>1</v>
      </c>
      <c r="D594" s="4">
        <f>'Raw Data_Mod Tests'!$R$2</f>
        <v>11.46</v>
      </c>
      <c r="E594" s="4">
        <f t="shared" si="145"/>
        <v>0</v>
      </c>
      <c r="F594" s="4">
        <v>1000</v>
      </c>
      <c r="G594" s="63">
        <f>'Raw Data_Mod Tests'!$S$2</f>
        <v>4.8000000000000001E-4</v>
      </c>
      <c r="H594" s="61">
        <f t="shared" si="146"/>
        <v>0</v>
      </c>
      <c r="I594" s="64">
        <f t="shared" si="144"/>
        <v>0</v>
      </c>
      <c r="J594" s="128">
        <f>'Raw Data_Mod Tests'!H130</f>
        <v>0</v>
      </c>
      <c r="K594" s="99">
        <f t="shared" si="147"/>
        <v>0</v>
      </c>
      <c r="L594" s="95" t="e">
        <f t="shared" si="148"/>
        <v>#DIV/0!</v>
      </c>
    </row>
    <row r="595" spans="1:12" x14ac:dyDescent="0.25">
      <c r="A595" s="130"/>
      <c r="B595" s="4" t="s">
        <v>8</v>
      </c>
      <c r="C595" s="4">
        <v>1</v>
      </c>
      <c r="D595" s="4">
        <f>'Raw Data_Mod Tests'!$R$2</f>
        <v>11.46</v>
      </c>
      <c r="E595" s="4">
        <f t="shared" si="145"/>
        <v>0</v>
      </c>
      <c r="F595" s="4">
        <v>1000</v>
      </c>
      <c r="G595" s="63">
        <f>'Raw Data_Mod Tests'!$S$2</f>
        <v>4.8000000000000001E-4</v>
      </c>
      <c r="H595" s="61">
        <f t="shared" si="146"/>
        <v>0</v>
      </c>
      <c r="I595" s="64">
        <f t="shared" si="144"/>
        <v>0</v>
      </c>
      <c r="J595" s="128">
        <f>'Raw Data_Mod Tests'!H131</f>
        <v>0</v>
      </c>
      <c r="K595" s="99">
        <f t="shared" si="147"/>
        <v>0</v>
      </c>
      <c r="L595" s="95" t="e">
        <f t="shared" si="148"/>
        <v>#DIV/0!</v>
      </c>
    </row>
    <row r="596" spans="1:12" x14ac:dyDescent="0.25">
      <c r="A596" s="129" t="s">
        <v>14</v>
      </c>
      <c r="B596" s="4" t="s">
        <v>7</v>
      </c>
      <c r="C596" s="4">
        <v>1</v>
      </c>
      <c r="D596" s="4">
        <f>'Raw Data_Mod Tests'!$R$2</f>
        <v>11.46</v>
      </c>
      <c r="E596" s="4">
        <f t="shared" si="145"/>
        <v>0</v>
      </c>
      <c r="F596" s="4">
        <v>1000</v>
      </c>
      <c r="G596" s="63">
        <f>'Raw Data_Mod Tests'!$S$2</f>
        <v>4.8000000000000001E-4</v>
      </c>
      <c r="H596" s="61">
        <f t="shared" si="146"/>
        <v>0</v>
      </c>
      <c r="I596" s="64">
        <f t="shared" si="144"/>
        <v>0</v>
      </c>
      <c r="J596" s="128">
        <f>'Raw Data_Mod Tests'!H132</f>
        <v>0</v>
      </c>
      <c r="K596" s="99">
        <f t="shared" si="147"/>
        <v>0</v>
      </c>
      <c r="L596" s="95" t="e">
        <f t="shared" si="148"/>
        <v>#DIV/0!</v>
      </c>
    </row>
    <row r="597" spans="1:12" x14ac:dyDescent="0.25">
      <c r="A597" s="130"/>
      <c r="B597" s="4" t="s">
        <v>8</v>
      </c>
      <c r="C597" s="4">
        <v>1</v>
      </c>
      <c r="D597" s="4">
        <f>'Raw Data_Mod Tests'!$R$2</f>
        <v>11.46</v>
      </c>
      <c r="E597" s="4">
        <f t="shared" si="145"/>
        <v>0</v>
      </c>
      <c r="F597" s="4">
        <v>1000</v>
      </c>
      <c r="G597" s="63">
        <f>'Raw Data_Mod Tests'!$S$2</f>
        <v>4.8000000000000001E-4</v>
      </c>
      <c r="H597" s="61">
        <f t="shared" si="146"/>
        <v>0</v>
      </c>
      <c r="I597" s="64">
        <f t="shared" si="144"/>
        <v>0</v>
      </c>
      <c r="J597" s="128">
        <f>'Raw Data_Mod Tests'!H133</f>
        <v>0</v>
      </c>
      <c r="K597" s="99">
        <f t="shared" si="147"/>
        <v>0</v>
      </c>
      <c r="L597" s="95" t="e">
        <f t="shared" si="148"/>
        <v>#DIV/0!</v>
      </c>
    </row>
    <row r="600" spans="1:12" x14ac:dyDescent="0.25">
      <c r="A600" s="136" t="s">
        <v>95</v>
      </c>
      <c r="B600" s="137"/>
      <c r="C600" s="98" t="s">
        <v>32</v>
      </c>
      <c r="D600" s="98" t="s">
        <v>33</v>
      </c>
      <c r="E600" s="98" t="s">
        <v>15</v>
      </c>
      <c r="F600" s="98" t="s">
        <v>19</v>
      </c>
      <c r="G600" s="17" t="s">
        <v>34</v>
      </c>
      <c r="H600" s="98" t="s">
        <v>27</v>
      </c>
      <c r="I600" s="98" t="s">
        <v>29</v>
      </c>
      <c r="J600" s="60" t="s">
        <v>85</v>
      </c>
      <c r="K600" s="60" t="s">
        <v>102</v>
      </c>
      <c r="L600" s="60" t="s">
        <v>103</v>
      </c>
    </row>
    <row r="601" spans="1:12" x14ac:dyDescent="0.25">
      <c r="A601" s="129" t="s">
        <v>6</v>
      </c>
      <c r="B601" s="4" t="s">
        <v>7</v>
      </c>
      <c r="C601" s="4">
        <v>1</v>
      </c>
      <c r="D601" s="4">
        <f>'Raw Data_Mod Tests'!$R$2</f>
        <v>11.46</v>
      </c>
      <c r="E601" s="4">
        <f>D193</f>
        <v>0</v>
      </c>
      <c r="F601" s="4">
        <v>1000</v>
      </c>
      <c r="G601" s="63">
        <f>'Raw Data_Mod Tests'!$S$2</f>
        <v>4.8000000000000001E-4</v>
      </c>
      <c r="H601" s="61">
        <f>H395</f>
        <v>0</v>
      </c>
      <c r="I601" s="64">
        <f t="shared" ref="I601:I612" si="149">C601*D601*(E601/F601)*(1+G601*(H601-25))</f>
        <v>0</v>
      </c>
      <c r="J601" s="128">
        <f>'Raw Data_Mod Tests'!H134</f>
        <v>0</v>
      </c>
      <c r="K601" s="99">
        <f>95%*I601</f>
        <v>0</v>
      </c>
      <c r="L601" s="95" t="e">
        <f>J601/I601</f>
        <v>#DIV/0!</v>
      </c>
    </row>
    <row r="602" spans="1:12" x14ac:dyDescent="0.25">
      <c r="A602" s="130"/>
      <c r="B602" s="4" t="s">
        <v>8</v>
      </c>
      <c r="C602" s="4">
        <v>1</v>
      </c>
      <c r="D602" s="4">
        <f>'Raw Data_Mod Tests'!$R$2</f>
        <v>11.46</v>
      </c>
      <c r="E602" s="4">
        <f t="shared" ref="E602:E612" si="150">D194</f>
        <v>0</v>
      </c>
      <c r="F602" s="4">
        <v>1000</v>
      </c>
      <c r="G602" s="63">
        <f>'Raw Data_Mod Tests'!$S$2</f>
        <v>4.8000000000000001E-4</v>
      </c>
      <c r="H602" s="61">
        <f t="shared" ref="H602:H612" si="151">H396</f>
        <v>0</v>
      </c>
      <c r="I602" s="64">
        <f t="shared" si="149"/>
        <v>0</v>
      </c>
      <c r="J602" s="128">
        <f>'Raw Data_Mod Tests'!H135</f>
        <v>0</v>
      </c>
      <c r="K602" s="99">
        <f t="shared" ref="K602:K612" si="152">95%*I602</f>
        <v>0</v>
      </c>
      <c r="L602" s="95" t="e">
        <f t="shared" ref="L602:L612" si="153">J602/I602</f>
        <v>#DIV/0!</v>
      </c>
    </row>
    <row r="603" spans="1:12" x14ac:dyDescent="0.25">
      <c r="A603" s="129" t="s">
        <v>10</v>
      </c>
      <c r="B603" s="4" t="s">
        <v>7</v>
      </c>
      <c r="C603" s="4">
        <v>1</v>
      </c>
      <c r="D603" s="4">
        <f>'Raw Data_Mod Tests'!$R$2</f>
        <v>11.46</v>
      </c>
      <c r="E603" s="4">
        <f t="shared" si="150"/>
        <v>0</v>
      </c>
      <c r="F603" s="4">
        <v>1000</v>
      </c>
      <c r="G603" s="63">
        <f>'Raw Data_Mod Tests'!$S$2</f>
        <v>4.8000000000000001E-4</v>
      </c>
      <c r="H603" s="61">
        <f t="shared" si="151"/>
        <v>0</v>
      </c>
      <c r="I603" s="64">
        <f t="shared" si="149"/>
        <v>0</v>
      </c>
      <c r="J603" s="128">
        <f>'Raw Data_Mod Tests'!H136</f>
        <v>0</v>
      </c>
      <c r="K603" s="99">
        <f t="shared" si="152"/>
        <v>0</v>
      </c>
      <c r="L603" s="95" t="e">
        <f t="shared" si="153"/>
        <v>#DIV/0!</v>
      </c>
    </row>
    <row r="604" spans="1:12" x14ac:dyDescent="0.25">
      <c r="A604" s="130"/>
      <c r="B604" s="4" t="s">
        <v>8</v>
      </c>
      <c r="C604" s="4">
        <v>1</v>
      </c>
      <c r="D604" s="4">
        <f>'Raw Data_Mod Tests'!$R$2</f>
        <v>11.46</v>
      </c>
      <c r="E604" s="4">
        <f t="shared" si="150"/>
        <v>0</v>
      </c>
      <c r="F604" s="4">
        <v>1000</v>
      </c>
      <c r="G604" s="63">
        <f>'Raw Data_Mod Tests'!$S$2</f>
        <v>4.8000000000000001E-4</v>
      </c>
      <c r="H604" s="61">
        <f t="shared" si="151"/>
        <v>0</v>
      </c>
      <c r="I604" s="64">
        <f t="shared" si="149"/>
        <v>0</v>
      </c>
      <c r="J604" s="128">
        <f>'Raw Data_Mod Tests'!H137</f>
        <v>0</v>
      </c>
      <c r="K604" s="99">
        <f t="shared" si="152"/>
        <v>0</v>
      </c>
      <c r="L604" s="95" t="e">
        <f t="shared" si="153"/>
        <v>#DIV/0!</v>
      </c>
    </row>
    <row r="605" spans="1:12" x14ac:dyDescent="0.25">
      <c r="A605" s="129" t="s">
        <v>11</v>
      </c>
      <c r="B605" s="4" t="s">
        <v>7</v>
      </c>
      <c r="C605" s="4">
        <v>1</v>
      </c>
      <c r="D605" s="4">
        <f>'Raw Data_Mod Tests'!$R$2</f>
        <v>11.46</v>
      </c>
      <c r="E605" s="4">
        <f t="shared" si="150"/>
        <v>0</v>
      </c>
      <c r="F605" s="4">
        <v>1000</v>
      </c>
      <c r="G605" s="63">
        <f>'Raw Data_Mod Tests'!$S$2</f>
        <v>4.8000000000000001E-4</v>
      </c>
      <c r="H605" s="61">
        <f t="shared" si="151"/>
        <v>0</v>
      </c>
      <c r="I605" s="64">
        <f t="shared" si="149"/>
        <v>0</v>
      </c>
      <c r="J605" s="128">
        <f>'Raw Data_Mod Tests'!H138</f>
        <v>0</v>
      </c>
      <c r="K605" s="99">
        <f t="shared" si="152"/>
        <v>0</v>
      </c>
      <c r="L605" s="95" t="e">
        <f t="shared" si="153"/>
        <v>#DIV/0!</v>
      </c>
    </row>
    <row r="606" spans="1:12" x14ac:dyDescent="0.25">
      <c r="A606" s="130"/>
      <c r="B606" s="4" t="s">
        <v>8</v>
      </c>
      <c r="C606" s="4">
        <v>1</v>
      </c>
      <c r="D606" s="4">
        <f>'Raw Data_Mod Tests'!$R$2</f>
        <v>11.46</v>
      </c>
      <c r="E606" s="4">
        <f t="shared" si="150"/>
        <v>0</v>
      </c>
      <c r="F606" s="4">
        <v>1000</v>
      </c>
      <c r="G606" s="63">
        <f>'Raw Data_Mod Tests'!$S$2</f>
        <v>4.8000000000000001E-4</v>
      </c>
      <c r="H606" s="61">
        <f t="shared" si="151"/>
        <v>0</v>
      </c>
      <c r="I606" s="64">
        <f t="shared" si="149"/>
        <v>0</v>
      </c>
      <c r="J606" s="128">
        <f>'Raw Data_Mod Tests'!H139</f>
        <v>0</v>
      </c>
      <c r="K606" s="99">
        <f t="shared" si="152"/>
        <v>0</v>
      </c>
      <c r="L606" s="95" t="e">
        <f t="shared" si="153"/>
        <v>#DIV/0!</v>
      </c>
    </row>
    <row r="607" spans="1:12" x14ac:dyDescent="0.25">
      <c r="A607" s="129" t="s">
        <v>12</v>
      </c>
      <c r="B607" s="4" t="s">
        <v>7</v>
      </c>
      <c r="C607" s="4">
        <v>1</v>
      </c>
      <c r="D607" s="4">
        <f>'Raw Data_Mod Tests'!$R$2</f>
        <v>11.46</v>
      </c>
      <c r="E607" s="4">
        <f t="shared" si="150"/>
        <v>0</v>
      </c>
      <c r="F607" s="4">
        <v>1000</v>
      </c>
      <c r="G607" s="63">
        <f>'Raw Data_Mod Tests'!$S$2</f>
        <v>4.8000000000000001E-4</v>
      </c>
      <c r="H607" s="61">
        <f t="shared" si="151"/>
        <v>0</v>
      </c>
      <c r="I607" s="64">
        <f t="shared" si="149"/>
        <v>0</v>
      </c>
      <c r="J607" s="128">
        <f>'Raw Data_Mod Tests'!H140</f>
        <v>0</v>
      </c>
      <c r="K607" s="99">
        <f t="shared" si="152"/>
        <v>0</v>
      </c>
      <c r="L607" s="95" t="e">
        <f t="shared" si="153"/>
        <v>#DIV/0!</v>
      </c>
    </row>
    <row r="608" spans="1:12" x14ac:dyDescent="0.25">
      <c r="A608" s="130"/>
      <c r="B608" s="4" t="s">
        <v>8</v>
      </c>
      <c r="C608" s="4">
        <v>1</v>
      </c>
      <c r="D608" s="4">
        <f>'Raw Data_Mod Tests'!$R$2</f>
        <v>11.46</v>
      </c>
      <c r="E608" s="4">
        <f t="shared" si="150"/>
        <v>0</v>
      </c>
      <c r="F608" s="4">
        <v>1000</v>
      </c>
      <c r="G608" s="63">
        <f>'Raw Data_Mod Tests'!$S$2</f>
        <v>4.8000000000000001E-4</v>
      </c>
      <c r="H608" s="61">
        <f t="shared" si="151"/>
        <v>0</v>
      </c>
      <c r="I608" s="64">
        <f t="shared" si="149"/>
        <v>0</v>
      </c>
      <c r="J608" s="128">
        <f>'Raw Data_Mod Tests'!H141</f>
        <v>0</v>
      </c>
      <c r="K608" s="99">
        <f t="shared" si="152"/>
        <v>0</v>
      </c>
      <c r="L608" s="95" t="e">
        <f t="shared" si="153"/>
        <v>#DIV/0!</v>
      </c>
    </row>
    <row r="609" spans="1:12" x14ac:dyDescent="0.25">
      <c r="A609" s="129" t="s">
        <v>13</v>
      </c>
      <c r="B609" s="4" t="s">
        <v>7</v>
      </c>
      <c r="C609" s="4">
        <v>1</v>
      </c>
      <c r="D609" s="4">
        <f>'Raw Data_Mod Tests'!$R$2</f>
        <v>11.46</v>
      </c>
      <c r="E609" s="4">
        <f t="shared" si="150"/>
        <v>0</v>
      </c>
      <c r="F609" s="4">
        <v>1000</v>
      </c>
      <c r="G609" s="63">
        <f>'Raw Data_Mod Tests'!$S$2</f>
        <v>4.8000000000000001E-4</v>
      </c>
      <c r="H609" s="61">
        <f t="shared" si="151"/>
        <v>0</v>
      </c>
      <c r="I609" s="64">
        <f t="shared" si="149"/>
        <v>0</v>
      </c>
      <c r="J609" s="128">
        <f>'Raw Data_Mod Tests'!H142</f>
        <v>0</v>
      </c>
      <c r="K609" s="99">
        <f t="shared" si="152"/>
        <v>0</v>
      </c>
      <c r="L609" s="95" t="e">
        <f t="shared" si="153"/>
        <v>#DIV/0!</v>
      </c>
    </row>
    <row r="610" spans="1:12" x14ac:dyDescent="0.25">
      <c r="A610" s="130"/>
      <c r="B610" s="4" t="s">
        <v>8</v>
      </c>
      <c r="C610" s="4">
        <v>1</v>
      </c>
      <c r="D610" s="4">
        <f>'Raw Data_Mod Tests'!$R$2</f>
        <v>11.46</v>
      </c>
      <c r="E610" s="4">
        <f t="shared" si="150"/>
        <v>0</v>
      </c>
      <c r="F610" s="4">
        <v>1000</v>
      </c>
      <c r="G610" s="63">
        <f>'Raw Data_Mod Tests'!$S$2</f>
        <v>4.8000000000000001E-4</v>
      </c>
      <c r="H610" s="61">
        <f t="shared" si="151"/>
        <v>0</v>
      </c>
      <c r="I610" s="64">
        <f t="shared" si="149"/>
        <v>0</v>
      </c>
      <c r="J610" s="128">
        <f>'Raw Data_Mod Tests'!H143</f>
        <v>0</v>
      </c>
      <c r="K610" s="99">
        <f t="shared" si="152"/>
        <v>0</v>
      </c>
      <c r="L610" s="95" t="e">
        <f t="shared" si="153"/>
        <v>#DIV/0!</v>
      </c>
    </row>
    <row r="611" spans="1:12" x14ac:dyDescent="0.25">
      <c r="A611" s="129" t="s">
        <v>14</v>
      </c>
      <c r="B611" s="4" t="s">
        <v>7</v>
      </c>
      <c r="C611" s="4">
        <v>1</v>
      </c>
      <c r="D611" s="4">
        <f>'Raw Data_Mod Tests'!$R$2</f>
        <v>11.46</v>
      </c>
      <c r="E611" s="4">
        <f t="shared" si="150"/>
        <v>0</v>
      </c>
      <c r="F611" s="4">
        <v>1000</v>
      </c>
      <c r="G611" s="63">
        <f>'Raw Data_Mod Tests'!$S$2</f>
        <v>4.8000000000000001E-4</v>
      </c>
      <c r="H611" s="61">
        <f t="shared" si="151"/>
        <v>0</v>
      </c>
      <c r="I611" s="64">
        <f t="shared" si="149"/>
        <v>0</v>
      </c>
      <c r="J611" s="128">
        <f>'Raw Data_Mod Tests'!H144</f>
        <v>0</v>
      </c>
      <c r="K611" s="99">
        <f t="shared" si="152"/>
        <v>0</v>
      </c>
      <c r="L611" s="95" t="e">
        <f t="shared" si="153"/>
        <v>#DIV/0!</v>
      </c>
    </row>
    <row r="612" spans="1:12" x14ac:dyDescent="0.25">
      <c r="A612" s="130"/>
      <c r="B612" s="4" t="s">
        <v>8</v>
      </c>
      <c r="C612" s="4">
        <v>1</v>
      </c>
      <c r="D612" s="4">
        <f>'Raw Data_Mod Tests'!$R$2</f>
        <v>11.46</v>
      </c>
      <c r="E612" s="4">
        <f t="shared" si="150"/>
        <v>0</v>
      </c>
      <c r="F612" s="4">
        <v>1000</v>
      </c>
      <c r="G612" s="63">
        <f>'Raw Data_Mod Tests'!$S$2</f>
        <v>4.8000000000000001E-4</v>
      </c>
      <c r="H612" s="61">
        <f t="shared" si="151"/>
        <v>0</v>
      </c>
      <c r="I612" s="64">
        <f t="shared" si="149"/>
        <v>0</v>
      </c>
      <c r="J612" s="128">
        <f>'Raw Data_Mod Tests'!H145</f>
        <v>0</v>
      </c>
      <c r="K612" s="99">
        <f t="shared" si="152"/>
        <v>0</v>
      </c>
      <c r="L612" s="95" t="e">
        <f t="shared" si="153"/>
        <v>#DIV/0!</v>
      </c>
    </row>
    <row r="615" spans="1:12" x14ac:dyDescent="0.25">
      <c r="A615" s="136" t="s">
        <v>96</v>
      </c>
      <c r="B615" s="137"/>
      <c r="C615" s="98" t="s">
        <v>32</v>
      </c>
      <c r="D615" s="98" t="s">
        <v>33</v>
      </c>
      <c r="E615" s="98" t="s">
        <v>15</v>
      </c>
      <c r="F615" s="98" t="s">
        <v>19</v>
      </c>
      <c r="G615" s="17" t="s">
        <v>34</v>
      </c>
      <c r="H615" s="98" t="s">
        <v>27</v>
      </c>
      <c r="I615" s="98" t="s">
        <v>29</v>
      </c>
      <c r="J615" s="60" t="s">
        <v>85</v>
      </c>
      <c r="K615" s="60" t="s">
        <v>102</v>
      </c>
      <c r="L615" s="60" t="s">
        <v>103</v>
      </c>
    </row>
    <row r="616" spans="1:12" x14ac:dyDescent="0.25">
      <c r="A616" s="129" t="s">
        <v>6</v>
      </c>
      <c r="B616" s="4" t="s">
        <v>7</v>
      </c>
      <c r="C616" s="4">
        <v>1</v>
      </c>
      <c r="D616" s="4">
        <f>'Raw Data_Mod Tests'!$R$2</f>
        <v>11.46</v>
      </c>
      <c r="E616" s="4">
        <f>D208</f>
        <v>0</v>
      </c>
      <c r="F616" s="4">
        <v>1000</v>
      </c>
      <c r="G616" s="63">
        <f>'Raw Data_Mod Tests'!$S$2</f>
        <v>4.8000000000000001E-4</v>
      </c>
      <c r="H616" s="61">
        <f>H410</f>
        <v>0</v>
      </c>
      <c r="I616" s="64">
        <f t="shared" ref="I616:I627" si="154">C616*D616*(E616/F616)*(1+G616*(H616-25))</f>
        <v>0</v>
      </c>
      <c r="J616" s="128">
        <f>'Raw Data_Mod Tests'!H146</f>
        <v>0</v>
      </c>
      <c r="K616" s="99">
        <f>95%*I616</f>
        <v>0</v>
      </c>
      <c r="L616" s="95" t="e">
        <f>J616/I616</f>
        <v>#DIV/0!</v>
      </c>
    </row>
    <row r="617" spans="1:12" x14ac:dyDescent="0.25">
      <c r="A617" s="130"/>
      <c r="B617" s="4" t="s">
        <v>8</v>
      </c>
      <c r="C617" s="4">
        <v>1</v>
      </c>
      <c r="D617" s="4">
        <f>'Raw Data_Mod Tests'!$R$2</f>
        <v>11.46</v>
      </c>
      <c r="E617" s="4">
        <f t="shared" ref="E617:E627" si="155">D209</f>
        <v>0</v>
      </c>
      <c r="F617" s="4">
        <v>1000</v>
      </c>
      <c r="G617" s="63">
        <f>'Raw Data_Mod Tests'!$S$2</f>
        <v>4.8000000000000001E-4</v>
      </c>
      <c r="H617" s="61">
        <f t="shared" ref="H617:H627" si="156">H411</f>
        <v>0</v>
      </c>
      <c r="I617" s="64">
        <f t="shared" si="154"/>
        <v>0</v>
      </c>
      <c r="J617" s="128">
        <f>'Raw Data_Mod Tests'!H147</f>
        <v>0</v>
      </c>
      <c r="K617" s="99">
        <f t="shared" ref="K617:K627" si="157">95%*I617</f>
        <v>0</v>
      </c>
      <c r="L617" s="95" t="e">
        <f t="shared" ref="L617:L627" si="158">J617/I617</f>
        <v>#DIV/0!</v>
      </c>
    </row>
    <row r="618" spans="1:12" x14ac:dyDescent="0.25">
      <c r="A618" s="129" t="s">
        <v>10</v>
      </c>
      <c r="B618" s="4" t="s">
        <v>7</v>
      </c>
      <c r="C618" s="4">
        <v>1</v>
      </c>
      <c r="D618" s="4">
        <f>'Raw Data_Mod Tests'!$R$2</f>
        <v>11.46</v>
      </c>
      <c r="E618" s="4">
        <f t="shared" si="155"/>
        <v>0</v>
      </c>
      <c r="F618" s="4">
        <v>1000</v>
      </c>
      <c r="G618" s="63">
        <f>'Raw Data_Mod Tests'!$S$2</f>
        <v>4.8000000000000001E-4</v>
      </c>
      <c r="H618" s="61">
        <f t="shared" si="156"/>
        <v>0</v>
      </c>
      <c r="I618" s="64">
        <f t="shared" si="154"/>
        <v>0</v>
      </c>
      <c r="J618" s="128">
        <f>'Raw Data_Mod Tests'!H148</f>
        <v>0</v>
      </c>
      <c r="K618" s="99">
        <f t="shared" si="157"/>
        <v>0</v>
      </c>
      <c r="L618" s="95" t="e">
        <f t="shared" si="158"/>
        <v>#DIV/0!</v>
      </c>
    </row>
    <row r="619" spans="1:12" x14ac:dyDescent="0.25">
      <c r="A619" s="130"/>
      <c r="B619" s="4" t="s">
        <v>8</v>
      </c>
      <c r="C619" s="4">
        <v>1</v>
      </c>
      <c r="D619" s="4">
        <f>'Raw Data_Mod Tests'!$R$2</f>
        <v>11.46</v>
      </c>
      <c r="E619" s="4">
        <f t="shared" si="155"/>
        <v>0</v>
      </c>
      <c r="F619" s="4">
        <v>1000</v>
      </c>
      <c r="G619" s="63">
        <f>'Raw Data_Mod Tests'!$S$2</f>
        <v>4.8000000000000001E-4</v>
      </c>
      <c r="H619" s="61">
        <f t="shared" si="156"/>
        <v>0</v>
      </c>
      <c r="I619" s="64">
        <f t="shared" si="154"/>
        <v>0</v>
      </c>
      <c r="J619" s="128">
        <f>'Raw Data_Mod Tests'!H149</f>
        <v>0</v>
      </c>
      <c r="K619" s="99">
        <f t="shared" si="157"/>
        <v>0</v>
      </c>
      <c r="L619" s="95" t="e">
        <f t="shared" si="158"/>
        <v>#DIV/0!</v>
      </c>
    </row>
    <row r="620" spans="1:12" x14ac:dyDescent="0.25">
      <c r="A620" s="129" t="s">
        <v>11</v>
      </c>
      <c r="B620" s="4" t="s">
        <v>7</v>
      </c>
      <c r="C620" s="4">
        <v>1</v>
      </c>
      <c r="D620" s="4">
        <f>'Raw Data_Mod Tests'!$R$2</f>
        <v>11.46</v>
      </c>
      <c r="E620" s="4">
        <f t="shared" si="155"/>
        <v>0</v>
      </c>
      <c r="F620" s="4">
        <v>1000</v>
      </c>
      <c r="G620" s="63">
        <f>'Raw Data_Mod Tests'!$S$2</f>
        <v>4.8000000000000001E-4</v>
      </c>
      <c r="H620" s="61">
        <f t="shared" si="156"/>
        <v>0</v>
      </c>
      <c r="I620" s="64">
        <f t="shared" si="154"/>
        <v>0</v>
      </c>
      <c r="J620" s="128">
        <f>'Raw Data_Mod Tests'!H150</f>
        <v>0</v>
      </c>
      <c r="K620" s="99">
        <f t="shared" si="157"/>
        <v>0</v>
      </c>
      <c r="L620" s="95" t="e">
        <f t="shared" si="158"/>
        <v>#DIV/0!</v>
      </c>
    </row>
    <row r="621" spans="1:12" x14ac:dyDescent="0.25">
      <c r="A621" s="130"/>
      <c r="B621" s="4" t="s">
        <v>8</v>
      </c>
      <c r="C621" s="4">
        <v>1</v>
      </c>
      <c r="D621" s="4">
        <f>'Raw Data_Mod Tests'!$R$2</f>
        <v>11.46</v>
      </c>
      <c r="E621" s="4">
        <f t="shared" si="155"/>
        <v>0</v>
      </c>
      <c r="F621" s="4">
        <v>1000</v>
      </c>
      <c r="G621" s="63">
        <f>'Raw Data_Mod Tests'!$S$2</f>
        <v>4.8000000000000001E-4</v>
      </c>
      <c r="H621" s="61">
        <f t="shared" si="156"/>
        <v>0</v>
      </c>
      <c r="I621" s="64">
        <f t="shared" si="154"/>
        <v>0</v>
      </c>
      <c r="J621" s="128">
        <f>'Raw Data_Mod Tests'!H151</f>
        <v>0</v>
      </c>
      <c r="K621" s="99">
        <f t="shared" si="157"/>
        <v>0</v>
      </c>
      <c r="L621" s="95" t="e">
        <f t="shared" si="158"/>
        <v>#DIV/0!</v>
      </c>
    </row>
    <row r="622" spans="1:12" x14ac:dyDescent="0.25">
      <c r="A622" s="129" t="s">
        <v>12</v>
      </c>
      <c r="B622" s="4" t="s">
        <v>7</v>
      </c>
      <c r="C622" s="4">
        <v>1</v>
      </c>
      <c r="D622" s="4">
        <f>'Raw Data_Mod Tests'!$R$2</f>
        <v>11.46</v>
      </c>
      <c r="E622" s="4">
        <f t="shared" si="155"/>
        <v>0</v>
      </c>
      <c r="F622" s="4">
        <v>1000</v>
      </c>
      <c r="G622" s="63">
        <f>'Raw Data_Mod Tests'!$S$2</f>
        <v>4.8000000000000001E-4</v>
      </c>
      <c r="H622" s="61">
        <f t="shared" si="156"/>
        <v>0</v>
      </c>
      <c r="I622" s="64">
        <f t="shared" si="154"/>
        <v>0</v>
      </c>
      <c r="J622" s="128">
        <f>'Raw Data_Mod Tests'!H152</f>
        <v>0</v>
      </c>
      <c r="K622" s="99">
        <f t="shared" si="157"/>
        <v>0</v>
      </c>
      <c r="L622" s="95" t="e">
        <f t="shared" si="158"/>
        <v>#DIV/0!</v>
      </c>
    </row>
    <row r="623" spans="1:12" x14ac:dyDescent="0.25">
      <c r="A623" s="130"/>
      <c r="B623" s="4" t="s">
        <v>8</v>
      </c>
      <c r="C623" s="4">
        <v>1</v>
      </c>
      <c r="D623" s="4">
        <f>'Raw Data_Mod Tests'!$R$2</f>
        <v>11.46</v>
      </c>
      <c r="E623" s="4">
        <f t="shared" si="155"/>
        <v>0</v>
      </c>
      <c r="F623" s="4">
        <v>1000</v>
      </c>
      <c r="G623" s="63">
        <f>'Raw Data_Mod Tests'!$S$2</f>
        <v>4.8000000000000001E-4</v>
      </c>
      <c r="H623" s="61">
        <f t="shared" si="156"/>
        <v>0</v>
      </c>
      <c r="I623" s="64">
        <f t="shared" si="154"/>
        <v>0</v>
      </c>
      <c r="J623" s="128">
        <f>'Raw Data_Mod Tests'!H153</f>
        <v>0</v>
      </c>
      <c r="K623" s="99">
        <f t="shared" si="157"/>
        <v>0</v>
      </c>
      <c r="L623" s="95" t="e">
        <f t="shared" si="158"/>
        <v>#DIV/0!</v>
      </c>
    </row>
    <row r="624" spans="1:12" x14ac:dyDescent="0.25">
      <c r="A624" s="129" t="s">
        <v>13</v>
      </c>
      <c r="B624" s="4" t="s">
        <v>7</v>
      </c>
      <c r="C624" s="4">
        <v>1</v>
      </c>
      <c r="D624" s="4">
        <f>'Raw Data_Mod Tests'!$R$2</f>
        <v>11.46</v>
      </c>
      <c r="E624" s="4">
        <f t="shared" si="155"/>
        <v>0</v>
      </c>
      <c r="F624" s="4">
        <v>1000</v>
      </c>
      <c r="G624" s="63">
        <f>'Raw Data_Mod Tests'!$S$2</f>
        <v>4.8000000000000001E-4</v>
      </c>
      <c r="H624" s="61">
        <f t="shared" si="156"/>
        <v>0</v>
      </c>
      <c r="I624" s="64">
        <f t="shared" si="154"/>
        <v>0</v>
      </c>
      <c r="J624" s="128">
        <f>'Raw Data_Mod Tests'!H154</f>
        <v>0</v>
      </c>
      <c r="K624" s="99">
        <f t="shared" si="157"/>
        <v>0</v>
      </c>
      <c r="L624" s="95" t="e">
        <f t="shared" si="158"/>
        <v>#DIV/0!</v>
      </c>
    </row>
    <row r="625" spans="1:12" x14ac:dyDescent="0.25">
      <c r="A625" s="130"/>
      <c r="B625" s="4" t="s">
        <v>8</v>
      </c>
      <c r="C625" s="4">
        <v>1</v>
      </c>
      <c r="D625" s="4">
        <f>'Raw Data_Mod Tests'!$R$2</f>
        <v>11.46</v>
      </c>
      <c r="E625" s="4">
        <f t="shared" si="155"/>
        <v>0</v>
      </c>
      <c r="F625" s="4">
        <v>1000</v>
      </c>
      <c r="G625" s="63">
        <f>'Raw Data_Mod Tests'!$S$2</f>
        <v>4.8000000000000001E-4</v>
      </c>
      <c r="H625" s="61">
        <f t="shared" si="156"/>
        <v>0</v>
      </c>
      <c r="I625" s="64">
        <f t="shared" si="154"/>
        <v>0</v>
      </c>
      <c r="J625" s="128">
        <f>'Raw Data_Mod Tests'!H155</f>
        <v>0</v>
      </c>
      <c r="K625" s="99">
        <f t="shared" si="157"/>
        <v>0</v>
      </c>
      <c r="L625" s="95" t="e">
        <f t="shared" si="158"/>
        <v>#DIV/0!</v>
      </c>
    </row>
    <row r="626" spans="1:12" x14ac:dyDescent="0.25">
      <c r="A626" s="129" t="s">
        <v>14</v>
      </c>
      <c r="B626" s="4" t="s">
        <v>7</v>
      </c>
      <c r="C626" s="4">
        <v>1</v>
      </c>
      <c r="D626" s="4">
        <f>'Raw Data_Mod Tests'!$R$2</f>
        <v>11.46</v>
      </c>
      <c r="E626" s="4">
        <f t="shared" si="155"/>
        <v>0</v>
      </c>
      <c r="F626" s="4">
        <v>1000</v>
      </c>
      <c r="G626" s="63">
        <f>'Raw Data_Mod Tests'!$S$2</f>
        <v>4.8000000000000001E-4</v>
      </c>
      <c r="H626" s="61">
        <f t="shared" si="156"/>
        <v>0</v>
      </c>
      <c r="I626" s="64">
        <f t="shared" si="154"/>
        <v>0</v>
      </c>
      <c r="J626" s="128">
        <f>'Raw Data_Mod Tests'!H156</f>
        <v>0</v>
      </c>
      <c r="K626" s="99">
        <f t="shared" si="157"/>
        <v>0</v>
      </c>
      <c r="L626" s="95" t="e">
        <f t="shared" si="158"/>
        <v>#DIV/0!</v>
      </c>
    </row>
    <row r="627" spans="1:12" x14ac:dyDescent="0.25">
      <c r="A627" s="130"/>
      <c r="B627" s="4" t="s">
        <v>8</v>
      </c>
      <c r="C627" s="4">
        <v>1</v>
      </c>
      <c r="D627" s="4">
        <f>'Raw Data_Mod Tests'!$R$2</f>
        <v>11.46</v>
      </c>
      <c r="E627" s="4">
        <f t="shared" si="155"/>
        <v>0</v>
      </c>
      <c r="F627" s="4">
        <v>1000</v>
      </c>
      <c r="G627" s="63">
        <f>'Raw Data_Mod Tests'!$S$2</f>
        <v>4.8000000000000001E-4</v>
      </c>
      <c r="H627" s="61">
        <f t="shared" si="156"/>
        <v>0</v>
      </c>
      <c r="I627" s="64">
        <f t="shared" si="154"/>
        <v>0</v>
      </c>
      <c r="J627" s="128">
        <f>'Raw Data_Mod Tests'!H157</f>
        <v>0</v>
      </c>
      <c r="K627" s="99">
        <f t="shared" si="157"/>
        <v>0</v>
      </c>
      <c r="L627" s="95" t="e">
        <f t="shared" si="158"/>
        <v>#DIV/0!</v>
      </c>
    </row>
    <row r="637" spans="1:12" x14ac:dyDescent="0.25">
      <c r="A637" s="135" t="s">
        <v>112</v>
      </c>
      <c r="B637" s="135"/>
      <c r="C637" s="135"/>
      <c r="D637" s="135"/>
      <c r="E637" s="135"/>
      <c r="F637" s="135"/>
      <c r="G637" s="135"/>
      <c r="H637" s="135"/>
      <c r="I637" s="135"/>
    </row>
    <row r="638" spans="1:12" ht="15.75" x14ac:dyDescent="0.25">
      <c r="A638" s="40"/>
      <c r="B638" s="40"/>
      <c r="C638" s="40"/>
      <c r="D638" s="40"/>
      <c r="E638" s="40"/>
      <c r="F638" s="40"/>
      <c r="G638" s="40"/>
      <c r="H638" s="40"/>
      <c r="I638" s="40"/>
    </row>
    <row r="639" spans="1:12" x14ac:dyDescent="0.25">
      <c r="A639" s="135" t="s">
        <v>113</v>
      </c>
      <c r="B639" s="135"/>
      <c r="C639" s="135"/>
      <c r="D639" s="135"/>
      <c r="E639" s="135"/>
      <c r="F639" s="135"/>
      <c r="G639" s="135"/>
      <c r="H639" s="135"/>
      <c r="I639" s="135"/>
    </row>
    <row r="640" spans="1:12" x14ac:dyDescent="0.25">
      <c r="A640" s="20"/>
      <c r="B640" s="20"/>
      <c r="C640" s="20"/>
      <c r="D640" s="20"/>
      <c r="E640" s="20"/>
      <c r="F640" s="20"/>
      <c r="G640" s="20"/>
      <c r="H640" s="20"/>
      <c r="I640" s="20"/>
    </row>
    <row r="641" spans="1:9" x14ac:dyDescent="0.25">
      <c r="A641" s="135" t="s">
        <v>64</v>
      </c>
      <c r="B641" s="135"/>
      <c r="C641" s="135"/>
      <c r="D641" s="135"/>
      <c r="E641" s="135"/>
      <c r="F641" s="135"/>
      <c r="G641" s="135"/>
      <c r="H641" s="135"/>
      <c r="I641" s="135"/>
    </row>
    <row r="642" spans="1:9" x14ac:dyDescent="0.25">
      <c r="A642" s="20"/>
      <c r="B642" s="20"/>
      <c r="C642" s="20"/>
      <c r="D642" s="20"/>
      <c r="E642" s="20"/>
      <c r="F642" s="20"/>
      <c r="G642" s="20"/>
      <c r="H642" s="20"/>
      <c r="I642" s="20"/>
    </row>
    <row r="643" spans="1:9" x14ac:dyDescent="0.25">
      <c r="A643" s="135" t="s">
        <v>65</v>
      </c>
      <c r="B643" s="135"/>
      <c r="C643" s="135"/>
      <c r="D643" s="135"/>
      <c r="E643" s="135"/>
      <c r="F643" s="135"/>
      <c r="G643" s="135"/>
      <c r="H643" s="135"/>
      <c r="I643" s="135"/>
    </row>
  </sheetData>
  <mergeCells count="962">
    <mergeCell ref="A618:A619"/>
    <mergeCell ref="A620:A621"/>
    <mergeCell ref="A622:A623"/>
    <mergeCell ref="A624:A625"/>
    <mergeCell ref="A626:A627"/>
    <mergeCell ref="A600:B600"/>
    <mergeCell ref="A601:A602"/>
    <mergeCell ref="A603:A604"/>
    <mergeCell ref="A605:A606"/>
    <mergeCell ref="A607:A608"/>
    <mergeCell ref="A609:A610"/>
    <mergeCell ref="A611:A612"/>
    <mergeCell ref="A615:B615"/>
    <mergeCell ref="A616:A617"/>
    <mergeCell ref="A579:A580"/>
    <mergeCell ref="A581:A582"/>
    <mergeCell ref="A585:B585"/>
    <mergeCell ref="A586:A587"/>
    <mergeCell ref="A588:A589"/>
    <mergeCell ref="A590:A591"/>
    <mergeCell ref="A592:A593"/>
    <mergeCell ref="A594:A595"/>
    <mergeCell ref="A596:A597"/>
    <mergeCell ref="A560:A561"/>
    <mergeCell ref="A562:A563"/>
    <mergeCell ref="A564:A565"/>
    <mergeCell ref="A566:A567"/>
    <mergeCell ref="A570:B570"/>
    <mergeCell ref="A571:A572"/>
    <mergeCell ref="A573:A574"/>
    <mergeCell ref="A575:A576"/>
    <mergeCell ref="A577:A578"/>
    <mergeCell ref="A542:A543"/>
    <mergeCell ref="A544:A545"/>
    <mergeCell ref="A546:A547"/>
    <mergeCell ref="A548:A549"/>
    <mergeCell ref="A550:A551"/>
    <mergeCell ref="A552:A553"/>
    <mergeCell ref="A555:B555"/>
    <mergeCell ref="A556:A557"/>
    <mergeCell ref="A558:A559"/>
    <mergeCell ref="A522:A523"/>
    <mergeCell ref="A526:B526"/>
    <mergeCell ref="A527:A528"/>
    <mergeCell ref="A529:A530"/>
    <mergeCell ref="A531:A532"/>
    <mergeCell ref="A533:A534"/>
    <mergeCell ref="A535:A536"/>
    <mergeCell ref="A537:A538"/>
    <mergeCell ref="A541:B541"/>
    <mergeCell ref="A503:A504"/>
    <mergeCell ref="A505:A506"/>
    <mergeCell ref="A507:A508"/>
    <mergeCell ref="A511:B511"/>
    <mergeCell ref="A512:A513"/>
    <mergeCell ref="A514:A515"/>
    <mergeCell ref="A516:A517"/>
    <mergeCell ref="A518:A519"/>
    <mergeCell ref="A520:A521"/>
    <mergeCell ref="A420:A421"/>
    <mergeCell ref="B420:C420"/>
    <mergeCell ref="F420:G420"/>
    <mergeCell ref="B421:C421"/>
    <mergeCell ref="F421:G421"/>
    <mergeCell ref="A496:B496"/>
    <mergeCell ref="A497:A498"/>
    <mergeCell ref="A499:A500"/>
    <mergeCell ref="A501:A502"/>
    <mergeCell ref="A416:A417"/>
    <mergeCell ref="B416:C416"/>
    <mergeCell ref="F416:G416"/>
    <mergeCell ref="B417:C417"/>
    <mergeCell ref="F417:G417"/>
    <mergeCell ref="A418:A419"/>
    <mergeCell ref="B418:C418"/>
    <mergeCell ref="F418:G418"/>
    <mergeCell ref="B419:C419"/>
    <mergeCell ref="F419:G419"/>
    <mergeCell ref="A412:A413"/>
    <mergeCell ref="B412:C412"/>
    <mergeCell ref="F412:G412"/>
    <mergeCell ref="B413:C413"/>
    <mergeCell ref="F413:G413"/>
    <mergeCell ref="A414:A415"/>
    <mergeCell ref="B414:C414"/>
    <mergeCell ref="F414:G414"/>
    <mergeCell ref="B415:C415"/>
    <mergeCell ref="F415:G415"/>
    <mergeCell ref="A405:A406"/>
    <mergeCell ref="B405:C405"/>
    <mergeCell ref="F405:G405"/>
    <mergeCell ref="B406:C406"/>
    <mergeCell ref="F406:G406"/>
    <mergeCell ref="A409:C409"/>
    <mergeCell ref="F409:G409"/>
    <mergeCell ref="A410:A411"/>
    <mergeCell ref="B410:C410"/>
    <mergeCell ref="F410:G410"/>
    <mergeCell ref="B411:C411"/>
    <mergeCell ref="F411:G411"/>
    <mergeCell ref="A401:A402"/>
    <mergeCell ref="B401:C401"/>
    <mergeCell ref="F401:G401"/>
    <mergeCell ref="B402:C402"/>
    <mergeCell ref="F402:G402"/>
    <mergeCell ref="A403:A404"/>
    <mergeCell ref="B403:C403"/>
    <mergeCell ref="F403:G403"/>
    <mergeCell ref="B404:C404"/>
    <mergeCell ref="F404:G404"/>
    <mergeCell ref="A397:A398"/>
    <mergeCell ref="B397:C397"/>
    <mergeCell ref="F397:G397"/>
    <mergeCell ref="B398:C398"/>
    <mergeCell ref="F398:G398"/>
    <mergeCell ref="A399:A400"/>
    <mergeCell ref="B399:C399"/>
    <mergeCell ref="F399:G399"/>
    <mergeCell ref="B400:C400"/>
    <mergeCell ref="F400:G400"/>
    <mergeCell ref="A390:A391"/>
    <mergeCell ref="B390:C390"/>
    <mergeCell ref="F390:G390"/>
    <mergeCell ref="B391:C391"/>
    <mergeCell ref="F391:G391"/>
    <mergeCell ref="A394:C394"/>
    <mergeCell ref="F394:G394"/>
    <mergeCell ref="A395:A396"/>
    <mergeCell ref="B395:C395"/>
    <mergeCell ref="F395:G395"/>
    <mergeCell ref="B396:C396"/>
    <mergeCell ref="F396:G396"/>
    <mergeCell ref="A386:A387"/>
    <mergeCell ref="B386:C386"/>
    <mergeCell ref="F386:G386"/>
    <mergeCell ref="B387:C387"/>
    <mergeCell ref="F387:G387"/>
    <mergeCell ref="A388:A389"/>
    <mergeCell ref="B388:C388"/>
    <mergeCell ref="F388:G388"/>
    <mergeCell ref="B389:C389"/>
    <mergeCell ref="F389:G389"/>
    <mergeCell ref="A382:A383"/>
    <mergeCell ref="B382:C382"/>
    <mergeCell ref="F382:G382"/>
    <mergeCell ref="B383:C383"/>
    <mergeCell ref="F383:G383"/>
    <mergeCell ref="A384:A385"/>
    <mergeCell ref="B384:C384"/>
    <mergeCell ref="F384:G384"/>
    <mergeCell ref="B385:C385"/>
    <mergeCell ref="F385:G385"/>
    <mergeCell ref="A375:A376"/>
    <mergeCell ref="B375:C375"/>
    <mergeCell ref="F375:G375"/>
    <mergeCell ref="B376:C376"/>
    <mergeCell ref="F376:G376"/>
    <mergeCell ref="A379:C379"/>
    <mergeCell ref="F379:G379"/>
    <mergeCell ref="A380:A381"/>
    <mergeCell ref="B380:C380"/>
    <mergeCell ref="F380:G380"/>
    <mergeCell ref="B381:C381"/>
    <mergeCell ref="F381:G381"/>
    <mergeCell ref="A371:A372"/>
    <mergeCell ref="B371:C371"/>
    <mergeCell ref="F371:G371"/>
    <mergeCell ref="B372:C372"/>
    <mergeCell ref="F372:G372"/>
    <mergeCell ref="A373:A374"/>
    <mergeCell ref="B373:C373"/>
    <mergeCell ref="F373:G373"/>
    <mergeCell ref="B374:C374"/>
    <mergeCell ref="F374:G374"/>
    <mergeCell ref="A367:A368"/>
    <mergeCell ref="B367:C367"/>
    <mergeCell ref="F367:G367"/>
    <mergeCell ref="B368:C368"/>
    <mergeCell ref="F368:G368"/>
    <mergeCell ref="A369:A370"/>
    <mergeCell ref="B369:C369"/>
    <mergeCell ref="F369:G369"/>
    <mergeCell ref="B370:C370"/>
    <mergeCell ref="F370:G370"/>
    <mergeCell ref="A360:A361"/>
    <mergeCell ref="B360:C360"/>
    <mergeCell ref="F360:G360"/>
    <mergeCell ref="B361:C361"/>
    <mergeCell ref="F361:G361"/>
    <mergeCell ref="A364:C364"/>
    <mergeCell ref="F364:G364"/>
    <mergeCell ref="A365:A366"/>
    <mergeCell ref="B365:C365"/>
    <mergeCell ref="F365:G365"/>
    <mergeCell ref="B366:C366"/>
    <mergeCell ref="F366:G366"/>
    <mergeCell ref="A356:A357"/>
    <mergeCell ref="B356:C356"/>
    <mergeCell ref="F356:G356"/>
    <mergeCell ref="B357:C357"/>
    <mergeCell ref="F357:G357"/>
    <mergeCell ref="A358:A359"/>
    <mergeCell ref="B358:C358"/>
    <mergeCell ref="F358:G358"/>
    <mergeCell ref="B359:C359"/>
    <mergeCell ref="F359:G359"/>
    <mergeCell ref="B346:C346"/>
    <mergeCell ref="F346:G346"/>
    <mergeCell ref="F349:G349"/>
    <mergeCell ref="A345:A346"/>
    <mergeCell ref="A349:C349"/>
    <mergeCell ref="A289:C289"/>
    <mergeCell ref="A300:A301"/>
    <mergeCell ref="B300:C300"/>
    <mergeCell ref="A354:A355"/>
    <mergeCell ref="B354:C354"/>
    <mergeCell ref="F354:G354"/>
    <mergeCell ref="B355:C355"/>
    <mergeCell ref="F355:G355"/>
    <mergeCell ref="A313:A314"/>
    <mergeCell ref="B313:C313"/>
    <mergeCell ref="F313:G313"/>
    <mergeCell ref="B314:C314"/>
    <mergeCell ref="F314:G314"/>
    <mergeCell ref="A328:A329"/>
    <mergeCell ref="B328:C328"/>
    <mergeCell ref="A304:C304"/>
    <mergeCell ref="A315:A316"/>
    <mergeCell ref="B315:C315"/>
    <mergeCell ref="A319:C319"/>
    <mergeCell ref="A350:A351"/>
    <mergeCell ref="B350:C350"/>
    <mergeCell ref="F350:G350"/>
    <mergeCell ref="B351:C351"/>
    <mergeCell ref="F351:G351"/>
    <mergeCell ref="A352:A353"/>
    <mergeCell ref="B352:C352"/>
    <mergeCell ref="F352:G352"/>
    <mergeCell ref="B353:C353"/>
    <mergeCell ref="F353:G353"/>
    <mergeCell ref="A339:A340"/>
    <mergeCell ref="B339:C339"/>
    <mergeCell ref="F339:G339"/>
    <mergeCell ref="B340:C340"/>
    <mergeCell ref="F340:G340"/>
    <mergeCell ref="F343:G343"/>
    <mergeCell ref="B344:C344"/>
    <mergeCell ref="F344:G344"/>
    <mergeCell ref="B345:C345"/>
    <mergeCell ref="F345:G345"/>
    <mergeCell ref="F342:G342"/>
    <mergeCell ref="A343:A344"/>
    <mergeCell ref="B343:C343"/>
    <mergeCell ref="B342:C342"/>
    <mergeCell ref="A341:A342"/>
    <mergeCell ref="B341:C341"/>
    <mergeCell ref="F341:G341"/>
    <mergeCell ref="A335:A336"/>
    <mergeCell ref="B335:C335"/>
    <mergeCell ref="F335:G335"/>
    <mergeCell ref="B336:C336"/>
    <mergeCell ref="F336:G336"/>
    <mergeCell ref="A337:A338"/>
    <mergeCell ref="B337:C337"/>
    <mergeCell ref="F337:G337"/>
    <mergeCell ref="B338:C338"/>
    <mergeCell ref="F338:G338"/>
    <mergeCell ref="B331:C331"/>
    <mergeCell ref="F331:G331"/>
    <mergeCell ref="F334:G334"/>
    <mergeCell ref="A326:A327"/>
    <mergeCell ref="B326:C326"/>
    <mergeCell ref="F326:G326"/>
    <mergeCell ref="B327:C327"/>
    <mergeCell ref="F327:G327"/>
    <mergeCell ref="F328:G328"/>
    <mergeCell ref="B329:C329"/>
    <mergeCell ref="F329:G329"/>
    <mergeCell ref="B330:C330"/>
    <mergeCell ref="F330:G330"/>
    <mergeCell ref="A330:A331"/>
    <mergeCell ref="A334:C334"/>
    <mergeCell ref="A322:A323"/>
    <mergeCell ref="B322:C322"/>
    <mergeCell ref="F322:G322"/>
    <mergeCell ref="B323:C323"/>
    <mergeCell ref="F323:G323"/>
    <mergeCell ref="A324:A325"/>
    <mergeCell ref="B324:C324"/>
    <mergeCell ref="F324:G324"/>
    <mergeCell ref="B325:C325"/>
    <mergeCell ref="F325:G325"/>
    <mergeCell ref="F319:G319"/>
    <mergeCell ref="A320:A321"/>
    <mergeCell ref="B320:C320"/>
    <mergeCell ref="F320:G320"/>
    <mergeCell ref="B321:C321"/>
    <mergeCell ref="F321:G321"/>
    <mergeCell ref="A311:A312"/>
    <mergeCell ref="B311:C311"/>
    <mergeCell ref="F311:G311"/>
    <mergeCell ref="B312:C312"/>
    <mergeCell ref="F312:G312"/>
    <mergeCell ref="F315:G315"/>
    <mergeCell ref="B316:C316"/>
    <mergeCell ref="F316:G316"/>
    <mergeCell ref="A307:A308"/>
    <mergeCell ref="B307:C307"/>
    <mergeCell ref="F307:G307"/>
    <mergeCell ref="B308:C308"/>
    <mergeCell ref="F308:G308"/>
    <mergeCell ref="A309:A310"/>
    <mergeCell ref="B309:C309"/>
    <mergeCell ref="F309:G309"/>
    <mergeCell ref="B310:C310"/>
    <mergeCell ref="F310:G310"/>
    <mergeCell ref="A296:A297"/>
    <mergeCell ref="B296:C296"/>
    <mergeCell ref="F296:G296"/>
    <mergeCell ref="B297:C297"/>
    <mergeCell ref="F297:G297"/>
    <mergeCell ref="F304:G304"/>
    <mergeCell ref="A305:A306"/>
    <mergeCell ref="B305:C305"/>
    <mergeCell ref="F305:G305"/>
    <mergeCell ref="B306:C306"/>
    <mergeCell ref="F306:G306"/>
    <mergeCell ref="A298:A299"/>
    <mergeCell ref="B298:C298"/>
    <mergeCell ref="F298:G298"/>
    <mergeCell ref="B299:C299"/>
    <mergeCell ref="F299:G299"/>
    <mergeCell ref="F300:G300"/>
    <mergeCell ref="B301:C301"/>
    <mergeCell ref="F301:G301"/>
    <mergeCell ref="B292:C292"/>
    <mergeCell ref="F292:G292"/>
    <mergeCell ref="B293:C293"/>
    <mergeCell ref="F293:G293"/>
    <mergeCell ref="A294:A295"/>
    <mergeCell ref="B294:C294"/>
    <mergeCell ref="F294:G294"/>
    <mergeCell ref="B295:C295"/>
    <mergeCell ref="F295:G295"/>
    <mergeCell ref="F289:G289"/>
    <mergeCell ref="A471:A472"/>
    <mergeCell ref="A443:A444"/>
    <mergeCell ref="A285:A286"/>
    <mergeCell ref="B285:C285"/>
    <mergeCell ref="F285:G285"/>
    <mergeCell ref="B286:C286"/>
    <mergeCell ref="F286:G286"/>
    <mergeCell ref="A281:A282"/>
    <mergeCell ref="B281:C281"/>
    <mergeCell ref="F281:G281"/>
    <mergeCell ref="B282:C282"/>
    <mergeCell ref="F282:G282"/>
    <mergeCell ref="A283:A284"/>
    <mergeCell ref="B283:C283"/>
    <mergeCell ref="F283:G283"/>
    <mergeCell ref="B284:C284"/>
    <mergeCell ref="F284:G284"/>
    <mergeCell ref="A290:A291"/>
    <mergeCell ref="B290:C290"/>
    <mergeCell ref="F290:G290"/>
    <mergeCell ref="B291:C291"/>
    <mergeCell ref="F291:G291"/>
    <mergeCell ref="A292:A293"/>
    <mergeCell ref="A277:A278"/>
    <mergeCell ref="B277:C277"/>
    <mergeCell ref="F277:G277"/>
    <mergeCell ref="B278:C278"/>
    <mergeCell ref="F278:G278"/>
    <mergeCell ref="A279:A280"/>
    <mergeCell ref="B279:C279"/>
    <mergeCell ref="F279:G279"/>
    <mergeCell ref="B280:C280"/>
    <mergeCell ref="F280:G280"/>
    <mergeCell ref="A270:A271"/>
    <mergeCell ref="B270:C270"/>
    <mergeCell ref="F270:G270"/>
    <mergeCell ref="B271:C271"/>
    <mergeCell ref="F271:G271"/>
    <mergeCell ref="A274:C274"/>
    <mergeCell ref="F274:G274"/>
    <mergeCell ref="A275:A276"/>
    <mergeCell ref="B275:C275"/>
    <mergeCell ref="F275:G275"/>
    <mergeCell ref="B276:C276"/>
    <mergeCell ref="F276:G276"/>
    <mergeCell ref="F264:G264"/>
    <mergeCell ref="B265:C265"/>
    <mergeCell ref="F265:G265"/>
    <mergeCell ref="A266:A267"/>
    <mergeCell ref="B266:C266"/>
    <mergeCell ref="F266:G266"/>
    <mergeCell ref="B267:C267"/>
    <mergeCell ref="F267:G267"/>
    <mergeCell ref="A268:A269"/>
    <mergeCell ref="B268:C268"/>
    <mergeCell ref="F268:G268"/>
    <mergeCell ref="B269:C269"/>
    <mergeCell ref="F269:G269"/>
    <mergeCell ref="A264:A265"/>
    <mergeCell ref="B264:C264"/>
    <mergeCell ref="A96:A97"/>
    <mergeCell ref="B96:C96"/>
    <mergeCell ref="F96:G96"/>
    <mergeCell ref="B97:C97"/>
    <mergeCell ref="F97:G97"/>
    <mergeCell ref="A98:A99"/>
    <mergeCell ref="B98:C98"/>
    <mergeCell ref="F98:G98"/>
    <mergeCell ref="B99:C99"/>
    <mergeCell ref="F99:G99"/>
    <mergeCell ref="A92:A93"/>
    <mergeCell ref="B92:C92"/>
    <mergeCell ref="F92:G92"/>
    <mergeCell ref="B93:C93"/>
    <mergeCell ref="F93:G93"/>
    <mergeCell ref="A94:A95"/>
    <mergeCell ref="B94:C94"/>
    <mergeCell ref="F94:G94"/>
    <mergeCell ref="B95:C95"/>
    <mergeCell ref="F95:G95"/>
    <mergeCell ref="A87:C87"/>
    <mergeCell ref="F87:G87"/>
    <mergeCell ref="A88:A89"/>
    <mergeCell ref="B88:C88"/>
    <mergeCell ref="F88:G88"/>
    <mergeCell ref="B89:C89"/>
    <mergeCell ref="F89:G89"/>
    <mergeCell ref="A90:A91"/>
    <mergeCell ref="B90:C90"/>
    <mergeCell ref="F90:G90"/>
    <mergeCell ref="B91:C91"/>
    <mergeCell ref="F91:G91"/>
    <mergeCell ref="A81:A82"/>
    <mergeCell ref="B81:C81"/>
    <mergeCell ref="F81:G81"/>
    <mergeCell ref="B82:C82"/>
    <mergeCell ref="F82:G82"/>
    <mergeCell ref="A83:A84"/>
    <mergeCell ref="B83:C83"/>
    <mergeCell ref="F83:G83"/>
    <mergeCell ref="B84:C84"/>
    <mergeCell ref="F84:G84"/>
    <mergeCell ref="A77:A78"/>
    <mergeCell ref="B77:C77"/>
    <mergeCell ref="F77:G77"/>
    <mergeCell ref="B78:C78"/>
    <mergeCell ref="F78:G78"/>
    <mergeCell ref="A79:A80"/>
    <mergeCell ref="B79:C79"/>
    <mergeCell ref="F79:G79"/>
    <mergeCell ref="B80:C80"/>
    <mergeCell ref="F80:G80"/>
    <mergeCell ref="A72:C72"/>
    <mergeCell ref="F72:G72"/>
    <mergeCell ref="A73:A74"/>
    <mergeCell ref="B73:C73"/>
    <mergeCell ref="F73:G73"/>
    <mergeCell ref="B74:C74"/>
    <mergeCell ref="F74:G74"/>
    <mergeCell ref="A75:A76"/>
    <mergeCell ref="B75:C75"/>
    <mergeCell ref="F75:G75"/>
    <mergeCell ref="B76:C76"/>
    <mergeCell ref="F76:G76"/>
    <mergeCell ref="A62:A63"/>
    <mergeCell ref="B62:C62"/>
    <mergeCell ref="F62:G62"/>
    <mergeCell ref="B63:C63"/>
    <mergeCell ref="F63:G63"/>
    <mergeCell ref="A68:A69"/>
    <mergeCell ref="B68:C68"/>
    <mergeCell ref="F68:G68"/>
    <mergeCell ref="B69:C69"/>
    <mergeCell ref="F69:G69"/>
    <mergeCell ref="A64:A65"/>
    <mergeCell ref="B64:C64"/>
    <mergeCell ref="F64:G64"/>
    <mergeCell ref="B65:C65"/>
    <mergeCell ref="F65:G65"/>
    <mergeCell ref="A66:A67"/>
    <mergeCell ref="B66:C66"/>
    <mergeCell ref="F66:G66"/>
    <mergeCell ref="B67:C67"/>
    <mergeCell ref="F67:G67"/>
    <mergeCell ref="F57:G57"/>
    <mergeCell ref="A58:A59"/>
    <mergeCell ref="B58:C58"/>
    <mergeCell ref="F58:G58"/>
    <mergeCell ref="B59:C59"/>
    <mergeCell ref="F59:G59"/>
    <mergeCell ref="A60:A61"/>
    <mergeCell ref="B60:C60"/>
    <mergeCell ref="F60:G60"/>
    <mergeCell ref="B61:C61"/>
    <mergeCell ref="F61:G61"/>
    <mergeCell ref="F241:G241"/>
    <mergeCell ref="F248:G248"/>
    <mergeCell ref="A424:I424"/>
    <mergeCell ref="A249:A250"/>
    <mergeCell ref="A251:A252"/>
    <mergeCell ref="A253:A254"/>
    <mergeCell ref="A255:A256"/>
    <mergeCell ref="A42:C42"/>
    <mergeCell ref="A43:A44"/>
    <mergeCell ref="B43:C43"/>
    <mergeCell ref="B44:C44"/>
    <mergeCell ref="A45:A46"/>
    <mergeCell ref="B45:C45"/>
    <mergeCell ref="A230:A231"/>
    <mergeCell ref="B239:C239"/>
    <mergeCell ref="F239:G239"/>
    <mergeCell ref="B240:C240"/>
    <mergeCell ref="F240:G240"/>
    <mergeCell ref="F222:G222"/>
    <mergeCell ref="F229:G229"/>
    <mergeCell ref="B226:I226"/>
    <mergeCell ref="B227:I227"/>
    <mergeCell ref="A234:A235"/>
    <mergeCell ref="A57:C57"/>
    <mergeCell ref="A232:A233"/>
    <mergeCell ref="F254:G254"/>
    <mergeCell ref="F255:G255"/>
    <mergeCell ref="F256:G256"/>
    <mergeCell ref="B431:I431"/>
    <mergeCell ref="B432:I432"/>
    <mergeCell ref="F249:G249"/>
    <mergeCell ref="F250:G250"/>
    <mergeCell ref="F252:G252"/>
    <mergeCell ref="F251:G251"/>
    <mergeCell ref="F253:G253"/>
    <mergeCell ref="A259:C259"/>
    <mergeCell ref="F259:G259"/>
    <mergeCell ref="A260:A261"/>
    <mergeCell ref="B260:C260"/>
    <mergeCell ref="F260:G260"/>
    <mergeCell ref="B261:C261"/>
    <mergeCell ref="F261:G261"/>
    <mergeCell ref="A262:A263"/>
    <mergeCell ref="B262:C262"/>
    <mergeCell ref="F262:G262"/>
    <mergeCell ref="B263:C263"/>
    <mergeCell ref="F263:G263"/>
    <mergeCell ref="B241:C241"/>
    <mergeCell ref="F39:G39"/>
    <mergeCell ref="F244:G244"/>
    <mergeCell ref="F245:G245"/>
    <mergeCell ref="F246:G246"/>
    <mergeCell ref="F247:G247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42:G42"/>
    <mergeCell ref="F43:G43"/>
    <mergeCell ref="F44:G44"/>
    <mergeCell ref="F45:G45"/>
    <mergeCell ref="B223:I223"/>
    <mergeCell ref="B224:I224"/>
    <mergeCell ref="B225:I225"/>
    <mergeCell ref="A14:I14"/>
    <mergeCell ref="A30:A31"/>
    <mergeCell ref="A32:A33"/>
    <mergeCell ref="A34:A35"/>
    <mergeCell ref="A36:A37"/>
    <mergeCell ref="B9:G9"/>
    <mergeCell ref="B10:G10"/>
    <mergeCell ref="B11:G11"/>
    <mergeCell ref="B12:G12"/>
    <mergeCell ref="B13:G13"/>
    <mergeCell ref="B32:C32"/>
    <mergeCell ref="B33:C33"/>
    <mergeCell ref="B34:C34"/>
    <mergeCell ref="B35:C35"/>
    <mergeCell ref="B36:C36"/>
    <mergeCell ref="B37:C37"/>
    <mergeCell ref="A2:I3"/>
    <mergeCell ref="A5:G5"/>
    <mergeCell ref="B6:G6"/>
    <mergeCell ref="B7:G7"/>
    <mergeCell ref="B8:G8"/>
    <mergeCell ref="A15:I15"/>
    <mergeCell ref="A245:A246"/>
    <mergeCell ref="A247:A248"/>
    <mergeCell ref="B39:C39"/>
    <mergeCell ref="B21:I21"/>
    <mergeCell ref="B22:I22"/>
    <mergeCell ref="B23:I23"/>
    <mergeCell ref="B24:I24"/>
    <mergeCell ref="B25:I25"/>
    <mergeCell ref="A20:I20"/>
    <mergeCell ref="A19:I19"/>
    <mergeCell ref="A17:I17"/>
    <mergeCell ref="A28:A29"/>
    <mergeCell ref="A38:A39"/>
    <mergeCell ref="A27:C27"/>
    <mergeCell ref="B28:C28"/>
    <mergeCell ref="B29:C29"/>
    <mergeCell ref="B30:C30"/>
    <mergeCell ref="B31:C31"/>
    <mergeCell ref="B38:C38"/>
    <mergeCell ref="A447:A448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426:I426"/>
    <mergeCell ref="A436:B436"/>
    <mergeCell ref="B427:I427"/>
    <mergeCell ref="B428:I428"/>
    <mergeCell ref="B429:I429"/>
    <mergeCell ref="B430:I430"/>
    <mergeCell ref="A445:A446"/>
    <mergeCell ref="A437:A438"/>
    <mergeCell ref="A439:A440"/>
    <mergeCell ref="A441:A442"/>
    <mergeCell ref="A221:I221"/>
    <mergeCell ref="A244:C244"/>
    <mergeCell ref="A229:C229"/>
    <mergeCell ref="B230:C230"/>
    <mergeCell ref="F230:G230"/>
    <mergeCell ref="B231:C231"/>
    <mergeCell ref="F231:G231"/>
    <mergeCell ref="B232:C232"/>
    <mergeCell ref="F232:G232"/>
    <mergeCell ref="B233:C233"/>
    <mergeCell ref="F233:G233"/>
    <mergeCell ref="B234:C234"/>
    <mergeCell ref="F234:G234"/>
    <mergeCell ref="F235:G235"/>
    <mergeCell ref="A236:A237"/>
    <mergeCell ref="B236:C236"/>
    <mergeCell ref="F236:G236"/>
    <mergeCell ref="B237:C237"/>
    <mergeCell ref="F237:G237"/>
    <mergeCell ref="A238:A239"/>
    <mergeCell ref="B238:C238"/>
    <mergeCell ref="F238:G238"/>
    <mergeCell ref="A240:A241"/>
    <mergeCell ref="B235:C235"/>
    <mergeCell ref="B46:C46"/>
    <mergeCell ref="F46:G46"/>
    <mergeCell ref="A47:A48"/>
    <mergeCell ref="B47:C47"/>
    <mergeCell ref="F47:G47"/>
    <mergeCell ref="B48:C48"/>
    <mergeCell ref="F48:G48"/>
    <mergeCell ref="A49:A50"/>
    <mergeCell ref="B49:C49"/>
    <mergeCell ref="F49:G49"/>
    <mergeCell ref="B50:C50"/>
    <mergeCell ref="F50:G50"/>
    <mergeCell ref="A51:A52"/>
    <mergeCell ref="B51:C51"/>
    <mergeCell ref="F51:G51"/>
    <mergeCell ref="B52:C52"/>
    <mergeCell ref="F52:G52"/>
    <mergeCell ref="A53:A54"/>
    <mergeCell ref="B53:C53"/>
    <mergeCell ref="F53:G53"/>
    <mergeCell ref="B54:C54"/>
    <mergeCell ref="F54:G54"/>
    <mergeCell ref="A637:I637"/>
    <mergeCell ref="A639:I639"/>
    <mergeCell ref="A641:I641"/>
    <mergeCell ref="A643:I643"/>
    <mergeCell ref="A451:B451"/>
    <mergeCell ref="A452:A453"/>
    <mergeCell ref="A454:A455"/>
    <mergeCell ref="A456:A457"/>
    <mergeCell ref="A458:A459"/>
    <mergeCell ref="A460:A461"/>
    <mergeCell ref="A462:A463"/>
    <mergeCell ref="A473:A474"/>
    <mergeCell ref="A475:A476"/>
    <mergeCell ref="A477:A478"/>
    <mergeCell ref="A481:B481"/>
    <mergeCell ref="A482:A483"/>
    <mergeCell ref="A484:A485"/>
    <mergeCell ref="A486:A487"/>
    <mergeCell ref="A488:A489"/>
    <mergeCell ref="A490:A491"/>
    <mergeCell ref="A492:A493"/>
    <mergeCell ref="A466:B466"/>
    <mergeCell ref="A467:A468"/>
    <mergeCell ref="A469:A470"/>
    <mergeCell ref="A102:C102"/>
    <mergeCell ref="F102:G102"/>
    <mergeCell ref="A103:A104"/>
    <mergeCell ref="B103:C103"/>
    <mergeCell ref="F103:G103"/>
    <mergeCell ref="B104:C104"/>
    <mergeCell ref="F104:G104"/>
    <mergeCell ref="A105:A106"/>
    <mergeCell ref="B105:C105"/>
    <mergeCell ref="F105:G105"/>
    <mergeCell ref="B106:C106"/>
    <mergeCell ref="F106:G106"/>
    <mergeCell ref="A107:A108"/>
    <mergeCell ref="B107:C107"/>
    <mergeCell ref="F107:G107"/>
    <mergeCell ref="B108:C108"/>
    <mergeCell ref="F108:G108"/>
    <mergeCell ref="A109:A110"/>
    <mergeCell ref="B109:C109"/>
    <mergeCell ref="F109:G109"/>
    <mergeCell ref="B110:C110"/>
    <mergeCell ref="F110:G110"/>
    <mergeCell ref="A111:A112"/>
    <mergeCell ref="B111:C111"/>
    <mergeCell ref="F111:G111"/>
    <mergeCell ref="B112:C112"/>
    <mergeCell ref="F112:G112"/>
    <mergeCell ref="A113:A114"/>
    <mergeCell ref="B113:C113"/>
    <mergeCell ref="F113:G113"/>
    <mergeCell ref="B114:C114"/>
    <mergeCell ref="F114:G114"/>
    <mergeCell ref="A117:C117"/>
    <mergeCell ref="F117:G117"/>
    <mergeCell ref="A118:A119"/>
    <mergeCell ref="B118:C118"/>
    <mergeCell ref="F118:G118"/>
    <mergeCell ref="B119:C119"/>
    <mergeCell ref="F119:G119"/>
    <mergeCell ref="A120:A121"/>
    <mergeCell ref="B120:C120"/>
    <mergeCell ref="F120:G120"/>
    <mergeCell ref="B121:C121"/>
    <mergeCell ref="F121:G121"/>
    <mergeCell ref="A122:A123"/>
    <mergeCell ref="B122:C122"/>
    <mergeCell ref="F122:G122"/>
    <mergeCell ref="B123:C123"/>
    <mergeCell ref="F123:G123"/>
    <mergeCell ref="A124:A125"/>
    <mergeCell ref="B124:C124"/>
    <mergeCell ref="F124:G124"/>
    <mergeCell ref="B125:C125"/>
    <mergeCell ref="F125:G125"/>
    <mergeCell ref="A126:A127"/>
    <mergeCell ref="B126:C126"/>
    <mergeCell ref="F126:G126"/>
    <mergeCell ref="B127:C127"/>
    <mergeCell ref="F127:G127"/>
    <mergeCell ref="A128:A129"/>
    <mergeCell ref="B128:C128"/>
    <mergeCell ref="F128:G128"/>
    <mergeCell ref="B129:C129"/>
    <mergeCell ref="F129:G129"/>
    <mergeCell ref="A132:C132"/>
    <mergeCell ref="F132:G132"/>
    <mergeCell ref="A133:A134"/>
    <mergeCell ref="B133:C133"/>
    <mergeCell ref="F133:G133"/>
    <mergeCell ref="B134:C134"/>
    <mergeCell ref="F134:G134"/>
    <mergeCell ref="A135:A136"/>
    <mergeCell ref="B135:C135"/>
    <mergeCell ref="F135:G135"/>
    <mergeCell ref="B136:C136"/>
    <mergeCell ref="F136:G136"/>
    <mergeCell ref="A137:A138"/>
    <mergeCell ref="B137:C137"/>
    <mergeCell ref="F137:G137"/>
    <mergeCell ref="B138:C138"/>
    <mergeCell ref="F138:G138"/>
    <mergeCell ref="A139:A140"/>
    <mergeCell ref="B139:C139"/>
    <mergeCell ref="F139:G139"/>
    <mergeCell ref="B140:C140"/>
    <mergeCell ref="F140:G140"/>
    <mergeCell ref="A141:A142"/>
    <mergeCell ref="B141:C141"/>
    <mergeCell ref="F141:G141"/>
    <mergeCell ref="B142:C142"/>
    <mergeCell ref="F142:G142"/>
    <mergeCell ref="A143:A144"/>
    <mergeCell ref="B143:C143"/>
    <mergeCell ref="F143:G143"/>
    <mergeCell ref="B144:C144"/>
    <mergeCell ref="F144:G144"/>
    <mergeCell ref="A147:C147"/>
    <mergeCell ref="F147:G147"/>
    <mergeCell ref="A148:A149"/>
    <mergeCell ref="B148:C148"/>
    <mergeCell ref="F148:G148"/>
    <mergeCell ref="B149:C149"/>
    <mergeCell ref="F149:G149"/>
    <mergeCell ref="A150:A151"/>
    <mergeCell ref="B150:C150"/>
    <mergeCell ref="F150:G150"/>
    <mergeCell ref="B151:C151"/>
    <mergeCell ref="F151:G151"/>
    <mergeCell ref="A152:A153"/>
    <mergeCell ref="B152:C152"/>
    <mergeCell ref="F152:G152"/>
    <mergeCell ref="B153:C153"/>
    <mergeCell ref="F153:G153"/>
    <mergeCell ref="A154:A155"/>
    <mergeCell ref="B154:C154"/>
    <mergeCell ref="F154:G154"/>
    <mergeCell ref="B155:C155"/>
    <mergeCell ref="F155:G155"/>
    <mergeCell ref="A156:A157"/>
    <mergeCell ref="B156:C156"/>
    <mergeCell ref="F156:G156"/>
    <mergeCell ref="B157:C157"/>
    <mergeCell ref="F157:G157"/>
    <mergeCell ref="A158:A159"/>
    <mergeCell ref="B158:C158"/>
    <mergeCell ref="F158:G158"/>
    <mergeCell ref="B159:C159"/>
    <mergeCell ref="F159:G159"/>
    <mergeCell ref="A162:C162"/>
    <mergeCell ref="F162:G162"/>
    <mergeCell ref="A163:A164"/>
    <mergeCell ref="B163:C163"/>
    <mergeCell ref="F163:G163"/>
    <mergeCell ref="B164:C164"/>
    <mergeCell ref="F164:G164"/>
    <mergeCell ref="A165:A166"/>
    <mergeCell ref="B165:C165"/>
    <mergeCell ref="F165:G165"/>
    <mergeCell ref="B166:C166"/>
    <mergeCell ref="F166:G166"/>
    <mergeCell ref="A167:A168"/>
    <mergeCell ref="B167:C167"/>
    <mergeCell ref="F167:G167"/>
    <mergeCell ref="B168:C168"/>
    <mergeCell ref="F168:G168"/>
    <mergeCell ref="A169:A170"/>
    <mergeCell ref="B169:C169"/>
    <mergeCell ref="F169:G169"/>
    <mergeCell ref="B170:C170"/>
    <mergeCell ref="F170:G170"/>
    <mergeCell ref="A171:A172"/>
    <mergeCell ref="B171:C171"/>
    <mergeCell ref="F171:G171"/>
    <mergeCell ref="B172:C172"/>
    <mergeCell ref="F172:G172"/>
    <mergeCell ref="A173:A174"/>
    <mergeCell ref="B173:C173"/>
    <mergeCell ref="F173:G173"/>
    <mergeCell ref="B174:C174"/>
    <mergeCell ref="F174:G174"/>
    <mergeCell ref="A177:C177"/>
    <mergeCell ref="F177:G177"/>
    <mergeCell ref="A178:A179"/>
    <mergeCell ref="B178:C178"/>
    <mergeCell ref="F178:G178"/>
    <mergeCell ref="B179:C179"/>
    <mergeCell ref="F179:G179"/>
    <mergeCell ref="A180:A181"/>
    <mergeCell ref="B180:C180"/>
    <mergeCell ref="F180:G180"/>
    <mergeCell ref="B181:C181"/>
    <mergeCell ref="F181:G181"/>
    <mergeCell ref="A182:A183"/>
    <mergeCell ref="B182:C182"/>
    <mergeCell ref="F182:G182"/>
    <mergeCell ref="B183:C183"/>
    <mergeCell ref="F183:G183"/>
    <mergeCell ref="A184:A185"/>
    <mergeCell ref="B184:C184"/>
    <mergeCell ref="F184:G184"/>
    <mergeCell ref="B185:C185"/>
    <mergeCell ref="F185:G185"/>
    <mergeCell ref="A186:A187"/>
    <mergeCell ref="B186:C186"/>
    <mergeCell ref="F186:G186"/>
    <mergeCell ref="B187:C187"/>
    <mergeCell ref="F187:G187"/>
    <mergeCell ref="A188:A189"/>
    <mergeCell ref="B188:C188"/>
    <mergeCell ref="F188:G188"/>
    <mergeCell ref="B189:C189"/>
    <mergeCell ref="F189:G189"/>
    <mergeCell ref="A192:C192"/>
    <mergeCell ref="F192:G192"/>
    <mergeCell ref="A193:A194"/>
    <mergeCell ref="B193:C193"/>
    <mergeCell ref="F193:G193"/>
    <mergeCell ref="B194:C194"/>
    <mergeCell ref="F194:G194"/>
    <mergeCell ref="A195:A196"/>
    <mergeCell ref="B195:C195"/>
    <mergeCell ref="F195:G195"/>
    <mergeCell ref="B196:C196"/>
    <mergeCell ref="F196:G196"/>
    <mergeCell ref="A197:A198"/>
    <mergeCell ref="B197:C197"/>
    <mergeCell ref="F197:G197"/>
    <mergeCell ref="B198:C198"/>
    <mergeCell ref="F198:G198"/>
    <mergeCell ref="A199:A200"/>
    <mergeCell ref="B199:C199"/>
    <mergeCell ref="F199:G199"/>
    <mergeCell ref="B200:C200"/>
    <mergeCell ref="F200:G200"/>
    <mergeCell ref="A201:A202"/>
    <mergeCell ref="B201:C201"/>
    <mergeCell ref="F201:G201"/>
    <mergeCell ref="B202:C202"/>
    <mergeCell ref="F202:G202"/>
    <mergeCell ref="A203:A204"/>
    <mergeCell ref="B203:C203"/>
    <mergeCell ref="F203:G203"/>
    <mergeCell ref="B204:C204"/>
    <mergeCell ref="F204:G204"/>
    <mergeCell ref="A207:C207"/>
    <mergeCell ref="F207:G207"/>
    <mergeCell ref="A208:A209"/>
    <mergeCell ref="B208:C208"/>
    <mergeCell ref="F208:G208"/>
    <mergeCell ref="B209:C209"/>
    <mergeCell ref="F209:G209"/>
    <mergeCell ref="A210:A211"/>
    <mergeCell ref="B210:C210"/>
    <mergeCell ref="F210:G210"/>
    <mergeCell ref="B211:C211"/>
    <mergeCell ref="F211:G211"/>
    <mergeCell ref="A212:A213"/>
    <mergeCell ref="B212:C212"/>
    <mergeCell ref="F212:G212"/>
    <mergeCell ref="B213:C213"/>
    <mergeCell ref="F213:G213"/>
    <mergeCell ref="A214:A215"/>
    <mergeCell ref="B214:C214"/>
    <mergeCell ref="F214:G214"/>
    <mergeCell ref="B215:C215"/>
    <mergeCell ref="F215:G215"/>
    <mergeCell ref="A216:A217"/>
    <mergeCell ref="B216:C216"/>
    <mergeCell ref="F216:G216"/>
    <mergeCell ref="B217:C217"/>
    <mergeCell ref="F217:G217"/>
    <mergeCell ref="A218:A219"/>
    <mergeCell ref="B218:C218"/>
    <mergeCell ref="F218:G218"/>
    <mergeCell ref="B219:C219"/>
    <mergeCell ref="F219:G219"/>
  </mergeCells>
  <phoneticPr fontId="21" type="noConversion"/>
  <conditionalFormatting sqref="L230:L241 L245:L256 L260:L271 L275:L286">
    <cfRule type="cellIs" dxfId="119" priority="156" operator="lessThan">
      <formula>0</formula>
    </cfRule>
  </conditionalFormatting>
  <conditionalFormatting sqref="L437:L450 L452:L465 L467:L480 L482:L494">
    <cfRule type="cellIs" dxfId="118" priority="155" operator="lessThan">
      <formula>0</formula>
    </cfRule>
  </conditionalFormatting>
  <conditionalFormatting sqref="L1:L228 L230:L243 L245:L258 L260:L273 L437:L450 L452:L465 L467:L480 L275:L287 L423:L435 L482:L495 L509:L510 L524:L525 L539:L540 L554 L568:L569 L583:L584 L598:L599 L613:L614 L628:L1048576">
    <cfRule type="cellIs" dxfId="117" priority="150" operator="equal">
      <formula>0</formula>
    </cfRule>
  </conditionalFormatting>
  <conditionalFormatting sqref="L229">
    <cfRule type="cellIs" dxfId="116" priority="149" operator="equal">
      <formula>0</formula>
    </cfRule>
  </conditionalFormatting>
  <conditionalFormatting sqref="L244">
    <cfRule type="cellIs" dxfId="115" priority="148" operator="equal">
      <formula>0</formula>
    </cfRule>
  </conditionalFormatting>
  <conditionalFormatting sqref="L259">
    <cfRule type="cellIs" dxfId="114" priority="147" operator="equal">
      <formula>0</formula>
    </cfRule>
  </conditionalFormatting>
  <conditionalFormatting sqref="L274">
    <cfRule type="cellIs" dxfId="113" priority="146" operator="equal">
      <formula>0</formula>
    </cfRule>
  </conditionalFormatting>
  <conditionalFormatting sqref="L436">
    <cfRule type="cellIs" dxfId="112" priority="136" operator="equal">
      <formula>0</formula>
    </cfRule>
  </conditionalFormatting>
  <conditionalFormatting sqref="L451">
    <cfRule type="cellIs" dxfId="111" priority="135" operator="lessThan">
      <formula>0</formula>
    </cfRule>
  </conditionalFormatting>
  <conditionalFormatting sqref="L451">
    <cfRule type="cellIs" dxfId="110" priority="134" operator="equal">
      <formula>0</formula>
    </cfRule>
  </conditionalFormatting>
  <conditionalFormatting sqref="L466">
    <cfRule type="cellIs" dxfId="109" priority="133" operator="lessThan">
      <formula>0</formula>
    </cfRule>
  </conditionalFormatting>
  <conditionalFormatting sqref="L466">
    <cfRule type="cellIs" dxfId="108" priority="132" operator="equal">
      <formula>0</formula>
    </cfRule>
  </conditionalFormatting>
  <conditionalFormatting sqref="L481">
    <cfRule type="cellIs" dxfId="107" priority="131" operator="lessThan">
      <formula>0</formula>
    </cfRule>
  </conditionalFormatting>
  <conditionalFormatting sqref="L481">
    <cfRule type="cellIs" dxfId="106" priority="130" operator="equal">
      <formula>0</formula>
    </cfRule>
  </conditionalFormatting>
  <conditionalFormatting sqref="L230:L241">
    <cfRule type="cellIs" dxfId="105" priority="111" operator="lessThan">
      <formula>0.95</formula>
    </cfRule>
  </conditionalFormatting>
  <conditionalFormatting sqref="L245:L256">
    <cfRule type="cellIs" dxfId="104" priority="110" operator="lessThan">
      <formula>0.95</formula>
    </cfRule>
  </conditionalFormatting>
  <conditionalFormatting sqref="L260:L271">
    <cfRule type="cellIs" dxfId="103" priority="109" operator="lessThan">
      <formula>0.95</formula>
    </cfRule>
  </conditionalFormatting>
  <conditionalFormatting sqref="L275:L286">
    <cfRule type="cellIs" dxfId="102" priority="108" operator="lessThan">
      <formula>0.95</formula>
    </cfRule>
  </conditionalFormatting>
  <conditionalFormatting sqref="L437:L448">
    <cfRule type="cellIs" dxfId="101" priority="98" operator="lessThan">
      <formula>0.95</formula>
    </cfRule>
  </conditionalFormatting>
  <conditionalFormatting sqref="L452:L463">
    <cfRule type="cellIs" dxfId="100" priority="97" operator="lessThan">
      <formula>0.95</formula>
    </cfRule>
  </conditionalFormatting>
  <conditionalFormatting sqref="L467:L478">
    <cfRule type="cellIs" dxfId="99" priority="96" operator="lessThan">
      <formula>0.95</formula>
    </cfRule>
  </conditionalFormatting>
  <conditionalFormatting sqref="L482:L493">
    <cfRule type="cellIs" dxfId="98" priority="95" operator="lessThan">
      <formula>0.95</formula>
    </cfRule>
  </conditionalFormatting>
  <conditionalFormatting sqref="L290:L301">
    <cfRule type="cellIs" dxfId="97" priority="81" operator="lessThan">
      <formula>0</formula>
    </cfRule>
  </conditionalFormatting>
  <conditionalFormatting sqref="L290:L301">
    <cfRule type="cellIs" dxfId="96" priority="80" operator="equal">
      <formula>0</formula>
    </cfRule>
  </conditionalFormatting>
  <conditionalFormatting sqref="L289">
    <cfRule type="cellIs" dxfId="95" priority="79" operator="equal">
      <formula>0</formula>
    </cfRule>
  </conditionalFormatting>
  <conditionalFormatting sqref="L290:L301">
    <cfRule type="cellIs" dxfId="94" priority="78" operator="lessThan">
      <formula>0.95</formula>
    </cfRule>
  </conditionalFormatting>
  <conditionalFormatting sqref="L305:L316">
    <cfRule type="cellIs" dxfId="93" priority="77" operator="lessThan">
      <formula>0</formula>
    </cfRule>
  </conditionalFormatting>
  <conditionalFormatting sqref="L305:L316">
    <cfRule type="cellIs" dxfId="92" priority="76" operator="equal">
      <formula>0</formula>
    </cfRule>
  </conditionalFormatting>
  <conditionalFormatting sqref="L304">
    <cfRule type="cellIs" dxfId="91" priority="75" operator="equal">
      <formula>0</formula>
    </cfRule>
  </conditionalFormatting>
  <conditionalFormatting sqref="L305:L316">
    <cfRule type="cellIs" dxfId="90" priority="74" operator="lessThan">
      <formula>0.95</formula>
    </cfRule>
  </conditionalFormatting>
  <conditionalFormatting sqref="L320:L331">
    <cfRule type="cellIs" dxfId="89" priority="73" operator="lessThan">
      <formula>0</formula>
    </cfRule>
  </conditionalFormatting>
  <conditionalFormatting sqref="L320:L331">
    <cfRule type="cellIs" dxfId="88" priority="72" operator="equal">
      <formula>0</formula>
    </cfRule>
  </conditionalFormatting>
  <conditionalFormatting sqref="L319">
    <cfRule type="cellIs" dxfId="87" priority="71" operator="equal">
      <formula>0</formula>
    </cfRule>
  </conditionalFormatting>
  <conditionalFormatting sqref="L320:L331">
    <cfRule type="cellIs" dxfId="86" priority="70" operator="lessThan">
      <formula>0.95</formula>
    </cfRule>
  </conditionalFormatting>
  <conditionalFormatting sqref="L335:L346">
    <cfRule type="cellIs" dxfId="85" priority="69" operator="lessThan">
      <formula>0</formula>
    </cfRule>
  </conditionalFormatting>
  <conditionalFormatting sqref="L335:L346">
    <cfRule type="cellIs" dxfId="84" priority="68" operator="equal">
      <formula>0</formula>
    </cfRule>
  </conditionalFormatting>
  <conditionalFormatting sqref="L334">
    <cfRule type="cellIs" dxfId="83" priority="67" operator="equal">
      <formula>0</formula>
    </cfRule>
  </conditionalFormatting>
  <conditionalFormatting sqref="L335:L346">
    <cfRule type="cellIs" dxfId="82" priority="66" operator="lessThan">
      <formula>0.95</formula>
    </cfRule>
  </conditionalFormatting>
  <conditionalFormatting sqref="L350:L361">
    <cfRule type="cellIs" dxfId="81" priority="65" operator="lessThan">
      <formula>0</formula>
    </cfRule>
  </conditionalFormatting>
  <conditionalFormatting sqref="L350:L361">
    <cfRule type="cellIs" dxfId="80" priority="64" operator="equal">
      <formula>0</formula>
    </cfRule>
  </conditionalFormatting>
  <conditionalFormatting sqref="L349">
    <cfRule type="cellIs" dxfId="79" priority="63" operator="equal">
      <formula>0</formula>
    </cfRule>
  </conditionalFormatting>
  <conditionalFormatting sqref="L350:L361">
    <cfRule type="cellIs" dxfId="78" priority="62" operator="lessThan">
      <formula>0.95</formula>
    </cfRule>
  </conditionalFormatting>
  <conditionalFormatting sqref="L365:L376">
    <cfRule type="cellIs" dxfId="77" priority="61" operator="lessThan">
      <formula>0</formula>
    </cfRule>
  </conditionalFormatting>
  <conditionalFormatting sqref="L365:L376">
    <cfRule type="cellIs" dxfId="76" priority="60" operator="equal">
      <formula>0</formula>
    </cfRule>
  </conditionalFormatting>
  <conditionalFormatting sqref="L364">
    <cfRule type="cellIs" dxfId="75" priority="59" operator="equal">
      <formula>0</formula>
    </cfRule>
  </conditionalFormatting>
  <conditionalFormatting sqref="L365:L376">
    <cfRule type="cellIs" dxfId="74" priority="58" operator="lessThan">
      <formula>0.95</formula>
    </cfRule>
  </conditionalFormatting>
  <conditionalFormatting sqref="L380:L391">
    <cfRule type="cellIs" dxfId="73" priority="57" operator="lessThan">
      <formula>0</formula>
    </cfRule>
  </conditionalFormatting>
  <conditionalFormatting sqref="L380:L391">
    <cfRule type="cellIs" dxfId="72" priority="56" operator="equal">
      <formula>0</formula>
    </cfRule>
  </conditionalFormatting>
  <conditionalFormatting sqref="L379">
    <cfRule type="cellIs" dxfId="71" priority="55" operator="equal">
      <formula>0</formula>
    </cfRule>
  </conditionalFormatting>
  <conditionalFormatting sqref="L380:L391">
    <cfRule type="cellIs" dxfId="70" priority="54" operator="lessThan">
      <formula>0.95</formula>
    </cfRule>
  </conditionalFormatting>
  <conditionalFormatting sqref="L395:L406">
    <cfRule type="cellIs" dxfId="69" priority="53" operator="lessThan">
      <formula>0</formula>
    </cfRule>
  </conditionalFormatting>
  <conditionalFormatting sqref="L395:L406">
    <cfRule type="cellIs" dxfId="68" priority="52" operator="equal">
      <formula>0</formula>
    </cfRule>
  </conditionalFormatting>
  <conditionalFormatting sqref="L394">
    <cfRule type="cellIs" dxfId="67" priority="51" operator="equal">
      <formula>0</formula>
    </cfRule>
  </conditionalFormatting>
  <conditionalFormatting sqref="L395:L406">
    <cfRule type="cellIs" dxfId="66" priority="50" operator="lessThan">
      <formula>0.95</formula>
    </cfRule>
  </conditionalFormatting>
  <conditionalFormatting sqref="L410:L421">
    <cfRule type="cellIs" dxfId="65" priority="49" operator="lessThan">
      <formula>0</formula>
    </cfRule>
  </conditionalFormatting>
  <conditionalFormatting sqref="L410:L421">
    <cfRule type="cellIs" dxfId="64" priority="48" operator="equal">
      <formula>0</formula>
    </cfRule>
  </conditionalFormatting>
  <conditionalFormatting sqref="L409">
    <cfRule type="cellIs" dxfId="63" priority="47" operator="equal">
      <formula>0</formula>
    </cfRule>
  </conditionalFormatting>
  <conditionalFormatting sqref="L410:L421">
    <cfRule type="cellIs" dxfId="62" priority="46" operator="lessThan">
      <formula>0.95</formula>
    </cfRule>
  </conditionalFormatting>
  <conditionalFormatting sqref="L497:L508">
    <cfRule type="cellIs" dxfId="61" priority="45" operator="lessThan">
      <formula>0</formula>
    </cfRule>
  </conditionalFormatting>
  <conditionalFormatting sqref="L497:L508">
    <cfRule type="cellIs" dxfId="60" priority="44" operator="equal">
      <formula>0</formula>
    </cfRule>
  </conditionalFormatting>
  <conditionalFormatting sqref="L496">
    <cfRule type="cellIs" dxfId="59" priority="43" operator="lessThan">
      <formula>0</formula>
    </cfRule>
  </conditionalFormatting>
  <conditionalFormatting sqref="L496">
    <cfRule type="cellIs" dxfId="58" priority="42" operator="equal">
      <formula>0</formula>
    </cfRule>
  </conditionalFormatting>
  <conditionalFormatting sqref="L497:L508">
    <cfRule type="cellIs" dxfId="57" priority="41" operator="lessThan">
      <formula>0.95</formula>
    </cfRule>
  </conditionalFormatting>
  <conditionalFormatting sqref="L512:L523">
    <cfRule type="cellIs" dxfId="56" priority="40" operator="lessThan">
      <formula>0</formula>
    </cfRule>
  </conditionalFormatting>
  <conditionalFormatting sqref="L512:L523">
    <cfRule type="cellIs" dxfId="55" priority="39" operator="equal">
      <formula>0</formula>
    </cfRule>
  </conditionalFormatting>
  <conditionalFormatting sqref="L511">
    <cfRule type="cellIs" dxfId="54" priority="38" operator="lessThan">
      <formula>0</formula>
    </cfRule>
  </conditionalFormatting>
  <conditionalFormatting sqref="L511">
    <cfRule type="cellIs" dxfId="53" priority="37" operator="equal">
      <formula>0</formula>
    </cfRule>
  </conditionalFormatting>
  <conditionalFormatting sqref="L512:L523">
    <cfRule type="cellIs" dxfId="52" priority="36" operator="lessThan">
      <formula>0.95</formula>
    </cfRule>
  </conditionalFormatting>
  <conditionalFormatting sqref="L527:L538">
    <cfRule type="cellIs" dxfId="51" priority="35" operator="lessThan">
      <formula>0</formula>
    </cfRule>
  </conditionalFormatting>
  <conditionalFormatting sqref="L527:L538">
    <cfRule type="cellIs" dxfId="50" priority="34" operator="equal">
      <formula>0</formula>
    </cfRule>
  </conditionalFormatting>
  <conditionalFormatting sqref="L526">
    <cfRule type="cellIs" dxfId="49" priority="33" operator="lessThan">
      <formula>0</formula>
    </cfRule>
  </conditionalFormatting>
  <conditionalFormatting sqref="L526">
    <cfRule type="cellIs" dxfId="48" priority="32" operator="equal">
      <formula>0</formula>
    </cfRule>
  </conditionalFormatting>
  <conditionalFormatting sqref="L527:L538">
    <cfRule type="cellIs" dxfId="47" priority="31" operator="lessThan">
      <formula>0.95</formula>
    </cfRule>
  </conditionalFormatting>
  <conditionalFormatting sqref="L542:L553">
    <cfRule type="cellIs" dxfId="46" priority="30" operator="lessThan">
      <formula>0</formula>
    </cfRule>
  </conditionalFormatting>
  <conditionalFormatting sqref="L542:L553">
    <cfRule type="cellIs" dxfId="45" priority="29" operator="equal">
      <formula>0</formula>
    </cfRule>
  </conditionalFormatting>
  <conditionalFormatting sqref="L541">
    <cfRule type="cellIs" dxfId="44" priority="28" operator="lessThan">
      <formula>0</formula>
    </cfRule>
  </conditionalFormatting>
  <conditionalFormatting sqref="L541">
    <cfRule type="cellIs" dxfId="43" priority="27" operator="equal">
      <formula>0</formula>
    </cfRule>
  </conditionalFormatting>
  <conditionalFormatting sqref="L542:L553">
    <cfRule type="cellIs" dxfId="42" priority="26" operator="lessThan">
      <formula>0.95</formula>
    </cfRule>
  </conditionalFormatting>
  <conditionalFormatting sqref="L556:L567">
    <cfRule type="cellIs" dxfId="41" priority="25" operator="lessThan">
      <formula>0</formula>
    </cfRule>
  </conditionalFormatting>
  <conditionalFormatting sqref="L556:L567">
    <cfRule type="cellIs" dxfId="40" priority="24" operator="equal">
      <formula>0</formula>
    </cfRule>
  </conditionalFormatting>
  <conditionalFormatting sqref="L555">
    <cfRule type="cellIs" dxfId="39" priority="23" operator="lessThan">
      <formula>0</formula>
    </cfRule>
  </conditionalFormatting>
  <conditionalFormatting sqref="L555">
    <cfRule type="cellIs" dxfId="38" priority="22" operator="equal">
      <formula>0</formula>
    </cfRule>
  </conditionalFormatting>
  <conditionalFormatting sqref="L556:L567">
    <cfRule type="cellIs" dxfId="37" priority="21" operator="lessThan">
      <formula>0.95</formula>
    </cfRule>
  </conditionalFormatting>
  <conditionalFormatting sqref="L571:L582">
    <cfRule type="cellIs" dxfId="36" priority="20" operator="lessThan">
      <formula>0</formula>
    </cfRule>
  </conditionalFormatting>
  <conditionalFormatting sqref="L571:L582">
    <cfRule type="cellIs" dxfId="35" priority="19" operator="equal">
      <formula>0</formula>
    </cfRule>
  </conditionalFormatting>
  <conditionalFormatting sqref="L570">
    <cfRule type="cellIs" dxfId="34" priority="18" operator="lessThan">
      <formula>0</formula>
    </cfRule>
  </conditionalFormatting>
  <conditionalFormatting sqref="L570">
    <cfRule type="cellIs" dxfId="33" priority="17" operator="equal">
      <formula>0</formula>
    </cfRule>
  </conditionalFormatting>
  <conditionalFormatting sqref="L571:L582">
    <cfRule type="cellIs" dxfId="32" priority="16" operator="lessThan">
      <formula>0.95</formula>
    </cfRule>
  </conditionalFormatting>
  <conditionalFormatting sqref="L586:L597">
    <cfRule type="cellIs" dxfId="31" priority="15" operator="lessThan">
      <formula>0</formula>
    </cfRule>
  </conditionalFormatting>
  <conditionalFormatting sqref="L586:L597">
    <cfRule type="cellIs" dxfId="30" priority="14" operator="equal">
      <formula>0</formula>
    </cfRule>
  </conditionalFormatting>
  <conditionalFormatting sqref="L585">
    <cfRule type="cellIs" dxfId="29" priority="13" operator="lessThan">
      <formula>0</formula>
    </cfRule>
  </conditionalFormatting>
  <conditionalFormatting sqref="L585">
    <cfRule type="cellIs" dxfId="28" priority="12" operator="equal">
      <formula>0</formula>
    </cfRule>
  </conditionalFormatting>
  <conditionalFormatting sqref="L586:L597">
    <cfRule type="cellIs" dxfId="27" priority="11" operator="lessThan">
      <formula>0.95</formula>
    </cfRule>
  </conditionalFormatting>
  <conditionalFormatting sqref="L601:L612">
    <cfRule type="cellIs" dxfId="26" priority="10" operator="lessThan">
      <formula>0</formula>
    </cfRule>
  </conditionalFormatting>
  <conditionalFormatting sqref="L601:L612">
    <cfRule type="cellIs" dxfId="25" priority="9" operator="equal">
      <formula>0</formula>
    </cfRule>
  </conditionalFormatting>
  <conditionalFormatting sqref="L600">
    <cfRule type="cellIs" dxfId="24" priority="8" operator="lessThan">
      <formula>0</formula>
    </cfRule>
  </conditionalFormatting>
  <conditionalFormatting sqref="L600">
    <cfRule type="cellIs" dxfId="23" priority="7" operator="equal">
      <formula>0</formula>
    </cfRule>
  </conditionalFormatting>
  <conditionalFormatting sqref="L601:L612">
    <cfRule type="cellIs" dxfId="22" priority="6" operator="lessThan">
      <formula>0.95</formula>
    </cfRule>
  </conditionalFormatting>
  <conditionalFormatting sqref="L616:L627">
    <cfRule type="cellIs" dxfId="21" priority="5" operator="lessThan">
      <formula>0</formula>
    </cfRule>
  </conditionalFormatting>
  <conditionalFormatting sqref="L616:L627">
    <cfRule type="cellIs" dxfId="20" priority="4" operator="equal">
      <formula>0</formula>
    </cfRule>
  </conditionalFormatting>
  <conditionalFormatting sqref="L615">
    <cfRule type="cellIs" dxfId="19" priority="3" operator="lessThan">
      <formula>0</formula>
    </cfRule>
  </conditionalFormatting>
  <conditionalFormatting sqref="L615">
    <cfRule type="cellIs" dxfId="18" priority="2" operator="equal">
      <formula>0</formula>
    </cfRule>
  </conditionalFormatting>
  <conditionalFormatting sqref="L616:L627">
    <cfRule type="cellIs" dxfId="17" priority="1" operator="lessThan">
      <formula>0.95</formula>
    </cfRule>
  </conditionalFormatting>
  <pageMargins left="0.7" right="0.7" top="0.75" bottom="0.75" header="0.3" footer="0.3"/>
  <pageSetup scale="60" orientation="portrait" r:id="rId1"/>
  <rowBreaks count="5" manualBreakCount="5">
    <brk id="26" max="16383" man="1"/>
    <brk id="71" max="16383" man="1"/>
    <brk id="146" max="16383" man="1"/>
    <brk id="220" max="16383" man="1"/>
    <brk id="35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61" r:id="rId4" name="Check Box 289">
              <controlPr defaultSize="0" autoFill="0" autoLine="0" autoPict="0">
                <anchor moveWithCells="1">
                  <from>
                    <xdr:col>7</xdr:col>
                    <xdr:colOff>219075</xdr:colOff>
                    <xdr:row>5</xdr:row>
                    <xdr:rowOff>19050</xdr:rowOff>
                  </from>
                  <to>
                    <xdr:col>7</xdr:col>
                    <xdr:colOff>447675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5" name="Check Box 290">
              <controlPr defaultSize="0" autoFill="0" autoLine="0" autoPict="0">
                <anchor moveWithCells="1">
                  <from>
                    <xdr:col>7</xdr:col>
                    <xdr:colOff>723900</xdr:colOff>
                    <xdr:row>5</xdr:row>
                    <xdr:rowOff>9525</xdr:rowOff>
                  </from>
                  <to>
                    <xdr:col>7</xdr:col>
                    <xdr:colOff>962025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6" name="Check Box 291">
              <controlPr defaultSize="0" autoFill="0" autoLine="0" autoPict="0">
                <anchor moveWithCells="1">
                  <from>
                    <xdr:col>7</xdr:col>
                    <xdr:colOff>219075</xdr:colOff>
                    <xdr:row>6</xdr:row>
                    <xdr:rowOff>19050</xdr:rowOff>
                  </from>
                  <to>
                    <xdr:col>7</xdr:col>
                    <xdr:colOff>447675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7" name="Check Box 292">
              <controlPr defaultSize="0" autoFill="0" autoLine="0" autoPict="0">
                <anchor moveWithCells="1">
                  <from>
                    <xdr:col>7</xdr:col>
                    <xdr:colOff>723900</xdr:colOff>
                    <xdr:row>6</xdr:row>
                    <xdr:rowOff>9525</xdr:rowOff>
                  </from>
                  <to>
                    <xdr:col>7</xdr:col>
                    <xdr:colOff>962025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8" name="Check Box 293">
              <controlPr defaultSize="0" autoFill="0" autoLine="0" autoPict="0">
                <anchor moveWithCells="1">
                  <from>
                    <xdr:col>7</xdr:col>
                    <xdr:colOff>219075</xdr:colOff>
                    <xdr:row>7</xdr:row>
                    <xdr:rowOff>19050</xdr:rowOff>
                  </from>
                  <to>
                    <xdr:col>7</xdr:col>
                    <xdr:colOff>447675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9" name="Check Box 294">
              <controlPr defaultSize="0" autoFill="0" autoLine="0" autoPict="0">
                <anchor moveWithCells="1">
                  <from>
                    <xdr:col>7</xdr:col>
                    <xdr:colOff>723900</xdr:colOff>
                    <xdr:row>7</xdr:row>
                    <xdr:rowOff>9525</xdr:rowOff>
                  </from>
                  <to>
                    <xdr:col>7</xdr:col>
                    <xdr:colOff>962025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10" name="Check Box 295">
              <controlPr defaultSize="0" autoFill="0" autoLine="0" autoPict="0">
                <anchor moveWithCells="1">
                  <from>
                    <xdr:col>7</xdr:col>
                    <xdr:colOff>219075</xdr:colOff>
                    <xdr:row>8</xdr:row>
                    <xdr:rowOff>19050</xdr:rowOff>
                  </from>
                  <to>
                    <xdr:col>7</xdr:col>
                    <xdr:colOff>447675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11" name="Check Box 296">
              <controlPr defaultSize="0" autoFill="0" autoLine="0" autoPict="0">
                <anchor moveWithCells="1">
                  <from>
                    <xdr:col>7</xdr:col>
                    <xdr:colOff>723900</xdr:colOff>
                    <xdr:row>8</xdr:row>
                    <xdr:rowOff>9525</xdr:rowOff>
                  </from>
                  <to>
                    <xdr:col>7</xdr:col>
                    <xdr:colOff>962025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12" name="Check Box 297">
              <controlPr defaultSize="0" autoFill="0" autoLine="0" autoPict="0">
                <anchor moveWithCells="1">
                  <from>
                    <xdr:col>7</xdr:col>
                    <xdr:colOff>219075</xdr:colOff>
                    <xdr:row>9</xdr:row>
                    <xdr:rowOff>19050</xdr:rowOff>
                  </from>
                  <to>
                    <xdr:col>7</xdr:col>
                    <xdr:colOff>447675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13" name="Check Box 298">
              <controlPr defaultSize="0" autoFill="0" autoLine="0" autoPict="0">
                <anchor moveWithCells="1">
                  <from>
                    <xdr:col>7</xdr:col>
                    <xdr:colOff>723900</xdr:colOff>
                    <xdr:row>9</xdr:row>
                    <xdr:rowOff>9525</xdr:rowOff>
                  </from>
                  <to>
                    <xdr:col>7</xdr:col>
                    <xdr:colOff>962025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14" name="Check Box 299">
              <controlPr defaultSize="0" autoFill="0" autoLine="0" autoPict="0">
                <anchor moveWithCells="1">
                  <from>
                    <xdr:col>7</xdr:col>
                    <xdr:colOff>219075</xdr:colOff>
                    <xdr:row>10</xdr:row>
                    <xdr:rowOff>19050</xdr:rowOff>
                  </from>
                  <to>
                    <xdr:col>7</xdr:col>
                    <xdr:colOff>447675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15" name="Check Box 300">
              <controlPr defaultSize="0" autoFill="0" autoLine="0" autoPict="0">
                <anchor moveWithCells="1">
                  <from>
                    <xdr:col>7</xdr:col>
                    <xdr:colOff>723900</xdr:colOff>
                    <xdr:row>10</xdr:row>
                    <xdr:rowOff>9525</xdr:rowOff>
                  </from>
                  <to>
                    <xdr:col>7</xdr:col>
                    <xdr:colOff>962025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16" name="Check Box 301">
              <controlPr defaultSize="0" autoFill="0" autoLine="0" autoPict="0">
                <anchor moveWithCells="1">
                  <from>
                    <xdr:col>7</xdr:col>
                    <xdr:colOff>219075</xdr:colOff>
                    <xdr:row>11</xdr:row>
                    <xdr:rowOff>19050</xdr:rowOff>
                  </from>
                  <to>
                    <xdr:col>7</xdr:col>
                    <xdr:colOff>447675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17" name="Check Box 302">
              <controlPr defaultSize="0" autoFill="0" autoLine="0" autoPict="0">
                <anchor moveWithCells="1">
                  <from>
                    <xdr:col>7</xdr:col>
                    <xdr:colOff>723900</xdr:colOff>
                    <xdr:row>11</xdr:row>
                    <xdr:rowOff>9525</xdr:rowOff>
                  </from>
                  <to>
                    <xdr:col>7</xdr:col>
                    <xdr:colOff>962025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18" name="Check Box 303">
              <controlPr defaultSize="0" autoFill="0" autoLine="0" autoPict="0">
                <anchor moveWithCells="1">
                  <from>
                    <xdr:col>7</xdr:col>
                    <xdr:colOff>219075</xdr:colOff>
                    <xdr:row>12</xdr:row>
                    <xdr:rowOff>19050</xdr:rowOff>
                  </from>
                  <to>
                    <xdr:col>7</xdr:col>
                    <xdr:colOff>447675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19" name="Check Box 304">
              <controlPr defaultSize="0" autoFill="0" autoLine="0" autoPict="0">
                <anchor moveWithCells="1">
                  <from>
                    <xdr:col>7</xdr:col>
                    <xdr:colOff>723900</xdr:colOff>
                    <xdr:row>12</xdr:row>
                    <xdr:rowOff>9525</xdr:rowOff>
                  </from>
                  <to>
                    <xdr:col>7</xdr:col>
                    <xdr:colOff>962025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20" name="Check Box 305">
              <controlPr defaultSize="0" autoFill="0" autoLine="0" autoPict="0">
                <anchor moveWithCells="1">
                  <from>
                    <xdr:col>8</xdr:col>
                    <xdr:colOff>219075</xdr:colOff>
                    <xdr:row>5</xdr:row>
                    <xdr:rowOff>19050</xdr:rowOff>
                  </from>
                  <to>
                    <xdr:col>8</xdr:col>
                    <xdr:colOff>447675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21" name="Check Box 306">
              <controlPr defaultSize="0" autoFill="0" autoLine="0" autoPict="0">
                <anchor moveWithCells="1">
                  <from>
                    <xdr:col>8</xdr:col>
                    <xdr:colOff>723900</xdr:colOff>
                    <xdr:row>5</xdr:row>
                    <xdr:rowOff>9525</xdr:rowOff>
                  </from>
                  <to>
                    <xdr:col>8</xdr:col>
                    <xdr:colOff>962025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22" name="Check Box 307">
              <controlPr defaultSize="0" autoFill="0" autoLine="0" autoPict="0">
                <anchor moveWithCells="1">
                  <from>
                    <xdr:col>8</xdr:col>
                    <xdr:colOff>219075</xdr:colOff>
                    <xdr:row>6</xdr:row>
                    <xdr:rowOff>19050</xdr:rowOff>
                  </from>
                  <to>
                    <xdr:col>8</xdr:col>
                    <xdr:colOff>447675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23" name="Check Box 308">
              <controlPr defaultSize="0" autoFill="0" autoLine="0" autoPict="0">
                <anchor moveWithCells="1">
                  <from>
                    <xdr:col>8</xdr:col>
                    <xdr:colOff>723900</xdr:colOff>
                    <xdr:row>6</xdr:row>
                    <xdr:rowOff>9525</xdr:rowOff>
                  </from>
                  <to>
                    <xdr:col>8</xdr:col>
                    <xdr:colOff>962025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24" name="Check Box 309">
              <controlPr defaultSize="0" autoFill="0" autoLine="0" autoPict="0">
                <anchor moveWithCells="1">
                  <from>
                    <xdr:col>8</xdr:col>
                    <xdr:colOff>219075</xdr:colOff>
                    <xdr:row>7</xdr:row>
                    <xdr:rowOff>19050</xdr:rowOff>
                  </from>
                  <to>
                    <xdr:col>8</xdr:col>
                    <xdr:colOff>447675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25" name="Check Box 310">
              <controlPr defaultSize="0" autoFill="0" autoLine="0" autoPict="0">
                <anchor moveWithCells="1">
                  <from>
                    <xdr:col>8</xdr:col>
                    <xdr:colOff>723900</xdr:colOff>
                    <xdr:row>7</xdr:row>
                    <xdr:rowOff>9525</xdr:rowOff>
                  </from>
                  <to>
                    <xdr:col>8</xdr:col>
                    <xdr:colOff>962025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26" name="Check Box 311">
              <controlPr defaultSize="0" autoFill="0" autoLine="0" autoPict="0">
                <anchor moveWithCells="1">
                  <from>
                    <xdr:col>8</xdr:col>
                    <xdr:colOff>219075</xdr:colOff>
                    <xdr:row>8</xdr:row>
                    <xdr:rowOff>19050</xdr:rowOff>
                  </from>
                  <to>
                    <xdr:col>8</xdr:col>
                    <xdr:colOff>447675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27" name="Check Box 312">
              <controlPr defaultSize="0" autoFill="0" autoLine="0" autoPict="0">
                <anchor moveWithCells="1">
                  <from>
                    <xdr:col>8</xdr:col>
                    <xdr:colOff>723900</xdr:colOff>
                    <xdr:row>8</xdr:row>
                    <xdr:rowOff>9525</xdr:rowOff>
                  </from>
                  <to>
                    <xdr:col>8</xdr:col>
                    <xdr:colOff>962025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28" name="Check Box 313">
              <controlPr defaultSize="0" autoFill="0" autoLine="0" autoPict="0">
                <anchor moveWithCells="1">
                  <from>
                    <xdr:col>8</xdr:col>
                    <xdr:colOff>219075</xdr:colOff>
                    <xdr:row>9</xdr:row>
                    <xdr:rowOff>19050</xdr:rowOff>
                  </from>
                  <to>
                    <xdr:col>8</xdr:col>
                    <xdr:colOff>447675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29" name="Check Box 314">
              <controlPr defaultSize="0" autoFill="0" autoLine="0" autoPict="0">
                <anchor moveWithCells="1">
                  <from>
                    <xdr:col>8</xdr:col>
                    <xdr:colOff>723900</xdr:colOff>
                    <xdr:row>9</xdr:row>
                    <xdr:rowOff>9525</xdr:rowOff>
                  </from>
                  <to>
                    <xdr:col>8</xdr:col>
                    <xdr:colOff>962025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30" name="Check Box 315">
              <controlPr defaultSize="0" autoFill="0" autoLine="0" autoPict="0">
                <anchor moveWithCells="1">
                  <from>
                    <xdr:col>8</xdr:col>
                    <xdr:colOff>219075</xdr:colOff>
                    <xdr:row>10</xdr:row>
                    <xdr:rowOff>19050</xdr:rowOff>
                  </from>
                  <to>
                    <xdr:col>8</xdr:col>
                    <xdr:colOff>447675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31" name="Check Box 316">
              <controlPr defaultSize="0" autoFill="0" autoLine="0" autoPict="0">
                <anchor moveWithCells="1">
                  <from>
                    <xdr:col>8</xdr:col>
                    <xdr:colOff>723900</xdr:colOff>
                    <xdr:row>10</xdr:row>
                    <xdr:rowOff>9525</xdr:rowOff>
                  </from>
                  <to>
                    <xdr:col>8</xdr:col>
                    <xdr:colOff>962025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32" name="Check Box 317">
              <controlPr defaultSize="0" autoFill="0" autoLine="0" autoPict="0">
                <anchor moveWithCells="1">
                  <from>
                    <xdr:col>8</xdr:col>
                    <xdr:colOff>219075</xdr:colOff>
                    <xdr:row>11</xdr:row>
                    <xdr:rowOff>19050</xdr:rowOff>
                  </from>
                  <to>
                    <xdr:col>8</xdr:col>
                    <xdr:colOff>447675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33" name="Check Box 318">
              <controlPr defaultSize="0" autoFill="0" autoLine="0" autoPict="0">
                <anchor moveWithCells="1">
                  <from>
                    <xdr:col>8</xdr:col>
                    <xdr:colOff>723900</xdr:colOff>
                    <xdr:row>11</xdr:row>
                    <xdr:rowOff>9525</xdr:rowOff>
                  </from>
                  <to>
                    <xdr:col>8</xdr:col>
                    <xdr:colOff>962025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34" name="Check Box 319">
              <controlPr defaultSize="0" autoFill="0" autoLine="0" autoPict="0">
                <anchor moveWithCells="1">
                  <from>
                    <xdr:col>8</xdr:col>
                    <xdr:colOff>219075</xdr:colOff>
                    <xdr:row>12</xdr:row>
                    <xdr:rowOff>19050</xdr:rowOff>
                  </from>
                  <to>
                    <xdr:col>8</xdr:col>
                    <xdr:colOff>447675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35" name="Check Box 320">
              <controlPr defaultSize="0" autoFill="0" autoLine="0" autoPict="0">
                <anchor moveWithCells="1">
                  <from>
                    <xdr:col>8</xdr:col>
                    <xdr:colOff>723900</xdr:colOff>
                    <xdr:row>12</xdr:row>
                    <xdr:rowOff>9525</xdr:rowOff>
                  </from>
                  <to>
                    <xdr:col>8</xdr:col>
                    <xdr:colOff>962025</xdr:colOff>
                    <xdr:row>12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D47E-5FAA-4AD1-A4C2-79241B8A660C}">
  <dimension ref="A1:AF222"/>
  <sheetViews>
    <sheetView zoomScale="85" zoomScaleNormal="85" workbookViewId="0">
      <pane xSplit="3" ySplit="1" topLeftCell="O14" activePane="bottomRight" state="frozen"/>
      <selection pane="topRight" activeCell="D1" sqref="D1"/>
      <selection pane="bottomLeft" activeCell="A2" sqref="A2"/>
      <selection pane="bottomRight" activeCell="P21" sqref="P21"/>
    </sheetView>
  </sheetViews>
  <sheetFormatPr defaultRowHeight="15" x14ac:dyDescent="0.25"/>
  <cols>
    <col min="1" max="1" width="17" customWidth="1"/>
    <col min="2" max="2" width="11.42578125" customWidth="1"/>
    <col min="3" max="3" width="24" customWidth="1"/>
    <col min="4" max="7" width="16" style="44" customWidth="1"/>
    <col min="8" max="8" width="13.28515625" style="44" customWidth="1"/>
    <col min="9" max="9" width="14.42578125" style="44" customWidth="1"/>
    <col min="10" max="10" width="13.28515625" style="44" customWidth="1"/>
    <col min="11" max="11" width="13.28515625" style="164" customWidth="1"/>
    <col min="12" max="12" width="15" style="44" customWidth="1"/>
    <col min="13" max="13" width="16.140625" style="44" customWidth="1"/>
    <col min="14" max="14" width="13.28515625" style="44" customWidth="1"/>
    <col min="15" max="19" width="16" style="44" customWidth="1"/>
    <col min="20" max="20" width="16" style="44" hidden="1" customWidth="1"/>
    <col min="21" max="23" width="16" style="44" customWidth="1"/>
    <col min="25" max="32" width="9.140625" style="78"/>
  </cols>
  <sheetData>
    <row r="1" spans="1:32" s="46" customFormat="1" ht="16.5" thickBot="1" x14ac:dyDescent="0.3">
      <c r="A1" s="101" t="s">
        <v>69</v>
      </c>
      <c r="B1" s="101" t="s">
        <v>70</v>
      </c>
      <c r="C1" s="102" t="s">
        <v>1</v>
      </c>
      <c r="D1" s="45" t="s">
        <v>55</v>
      </c>
      <c r="E1" s="103" t="s">
        <v>15</v>
      </c>
      <c r="F1" s="103" t="s">
        <v>71</v>
      </c>
      <c r="G1" s="103" t="s">
        <v>81</v>
      </c>
      <c r="H1" s="104" t="s">
        <v>82</v>
      </c>
      <c r="I1" s="105" t="s">
        <v>83</v>
      </c>
      <c r="J1" s="105" t="s">
        <v>32</v>
      </c>
      <c r="K1" s="105" t="s">
        <v>72</v>
      </c>
      <c r="L1" s="106" t="s">
        <v>73</v>
      </c>
      <c r="M1" s="105" t="s">
        <v>74</v>
      </c>
      <c r="N1" s="105" t="s">
        <v>75</v>
      </c>
      <c r="O1" s="46" t="s">
        <v>76</v>
      </c>
      <c r="P1" s="46" t="s">
        <v>77</v>
      </c>
      <c r="Q1" s="46" t="s">
        <v>55</v>
      </c>
      <c r="R1" s="44" t="s">
        <v>78</v>
      </c>
      <c r="S1" s="44" t="s">
        <v>79</v>
      </c>
      <c r="T1" s="44" t="s">
        <v>80</v>
      </c>
      <c r="X1" s="47" t="s">
        <v>24</v>
      </c>
      <c r="Y1" s="135" t="s">
        <v>18</v>
      </c>
      <c r="Z1" s="135"/>
      <c r="AA1" s="135"/>
      <c r="AB1" s="135"/>
      <c r="AC1" s="135"/>
      <c r="AD1" s="135"/>
      <c r="AE1" s="135"/>
      <c r="AF1" s="135"/>
    </row>
    <row r="2" spans="1:32" s="42" customFormat="1" ht="15.75" x14ac:dyDescent="0.25">
      <c r="A2" s="107">
        <v>1</v>
      </c>
      <c r="B2" s="107">
        <v>1</v>
      </c>
      <c r="C2" s="108">
        <v>1</v>
      </c>
      <c r="D2" s="109"/>
      <c r="E2" s="110"/>
      <c r="F2" s="110"/>
      <c r="G2" s="110"/>
      <c r="H2" s="111"/>
      <c r="I2" s="109"/>
      <c r="J2" s="109"/>
      <c r="K2" s="160">
        <f>IF(J2&gt;0,1000,0)</f>
        <v>0</v>
      </c>
      <c r="L2" s="109">
        <f>IF(K2&gt;0,3,0)</f>
        <v>0</v>
      </c>
      <c r="M2" s="109"/>
      <c r="N2" s="109">
        <f>J2</f>
        <v>0</v>
      </c>
      <c r="O2" s="48">
        <v>48.9</v>
      </c>
      <c r="P2" s="86">
        <v>-2.7000000000000001E-3</v>
      </c>
      <c r="Q2" s="48"/>
      <c r="R2" s="48">
        <v>11.46</v>
      </c>
      <c r="S2" s="96">
        <v>4.8000000000000001E-4</v>
      </c>
      <c r="T2" s="48"/>
      <c r="U2" s="48"/>
      <c r="V2" s="48"/>
      <c r="W2" s="48"/>
      <c r="X2" s="49" t="s">
        <v>25</v>
      </c>
      <c r="Y2" s="158" t="s">
        <v>17</v>
      </c>
      <c r="Z2" s="158"/>
      <c r="AA2" s="158"/>
      <c r="AB2" s="158"/>
      <c r="AC2" s="158"/>
      <c r="AD2" s="158"/>
      <c r="AE2" s="158"/>
      <c r="AF2" s="158"/>
    </row>
    <row r="3" spans="1:32" s="1" customFormat="1" ht="15.75" x14ac:dyDescent="0.25">
      <c r="A3" s="112"/>
      <c r="B3" s="2"/>
      <c r="C3" s="113">
        <v>2</v>
      </c>
      <c r="D3" s="114"/>
      <c r="E3" s="115"/>
      <c r="F3" s="115"/>
      <c r="G3" s="115"/>
      <c r="H3" s="116"/>
      <c r="I3" s="114"/>
      <c r="J3" s="114"/>
      <c r="K3" s="161">
        <f t="shared" ref="K3:K48" si="0">IF(J3&gt;0,1000,0)</f>
        <v>0</v>
      </c>
      <c r="L3" s="114">
        <f t="shared" ref="L3:L48" si="1">IF(K3&gt;0,3,0)</f>
        <v>0</v>
      </c>
      <c r="M3" s="114"/>
      <c r="N3" s="114">
        <f t="shared" ref="N3:N48" si="2">J3</f>
        <v>0</v>
      </c>
      <c r="O3" s="44"/>
      <c r="P3" s="44"/>
      <c r="Q3" s="44"/>
      <c r="R3" s="44"/>
      <c r="S3" s="44"/>
      <c r="T3" s="50"/>
      <c r="U3" s="50"/>
      <c r="V3" s="50"/>
      <c r="W3" s="50"/>
      <c r="X3" s="51" t="s">
        <v>15</v>
      </c>
      <c r="Y3" s="159" t="s">
        <v>21</v>
      </c>
      <c r="Z3" s="159"/>
      <c r="AA3" s="159"/>
      <c r="AB3" s="159"/>
      <c r="AC3" s="159"/>
      <c r="AD3" s="159"/>
      <c r="AE3" s="159"/>
      <c r="AF3" s="159"/>
    </row>
    <row r="4" spans="1:32" s="1" customFormat="1" ht="34.5" customHeight="1" x14ac:dyDescent="0.25">
      <c r="A4" s="112"/>
      <c r="B4" s="2">
        <v>2</v>
      </c>
      <c r="C4" s="113">
        <v>1</v>
      </c>
      <c r="D4" s="114"/>
      <c r="E4" s="115"/>
      <c r="F4" s="115"/>
      <c r="G4" s="115"/>
      <c r="H4" s="116"/>
      <c r="I4" s="114"/>
      <c r="J4" s="114"/>
      <c r="K4" s="161">
        <f t="shared" si="0"/>
        <v>0</v>
      </c>
      <c r="L4" s="114">
        <f t="shared" si="1"/>
        <v>0</v>
      </c>
      <c r="M4" s="114"/>
      <c r="N4" s="114">
        <f t="shared" si="2"/>
        <v>0</v>
      </c>
      <c r="O4" s="44"/>
      <c r="P4" s="44"/>
      <c r="Q4" s="44"/>
      <c r="R4" s="44"/>
      <c r="S4" s="44"/>
      <c r="T4" s="50"/>
      <c r="U4" s="50"/>
      <c r="V4" s="50"/>
      <c r="W4" s="50"/>
      <c r="X4" s="51" t="s">
        <v>26</v>
      </c>
      <c r="Y4" s="159" t="s">
        <v>22</v>
      </c>
      <c r="Z4" s="159"/>
      <c r="AA4" s="159"/>
      <c r="AB4" s="159"/>
      <c r="AC4" s="159"/>
      <c r="AD4" s="159"/>
      <c r="AE4" s="159"/>
      <c r="AF4" s="159"/>
    </row>
    <row r="5" spans="1:32" s="1" customFormat="1" ht="31.5" customHeight="1" x14ac:dyDescent="0.25">
      <c r="A5" s="112"/>
      <c r="B5" s="2"/>
      <c r="C5" s="113">
        <v>2</v>
      </c>
      <c r="D5" s="114"/>
      <c r="E5" s="115"/>
      <c r="F5" s="115"/>
      <c r="G5" s="115"/>
      <c r="H5" s="116"/>
      <c r="I5" s="114"/>
      <c r="J5" s="114"/>
      <c r="K5" s="161">
        <f t="shared" si="0"/>
        <v>0</v>
      </c>
      <c r="L5" s="114">
        <f t="shared" si="1"/>
        <v>0</v>
      </c>
      <c r="M5" s="114"/>
      <c r="N5" s="114">
        <f t="shared" si="2"/>
        <v>0</v>
      </c>
      <c r="O5" s="44"/>
      <c r="P5" s="44"/>
      <c r="Q5" s="44"/>
      <c r="R5" s="44"/>
      <c r="S5" s="44"/>
      <c r="T5" s="50"/>
      <c r="U5" s="50"/>
      <c r="V5" s="50"/>
      <c r="W5" s="50"/>
      <c r="X5" s="51" t="s">
        <v>16</v>
      </c>
      <c r="Y5" s="159" t="s">
        <v>23</v>
      </c>
      <c r="Z5" s="159"/>
      <c r="AA5" s="159"/>
      <c r="AB5" s="159"/>
      <c r="AC5" s="159"/>
      <c r="AD5" s="159"/>
      <c r="AE5" s="159"/>
      <c r="AF5" s="159"/>
    </row>
    <row r="6" spans="1:32" s="1" customFormat="1" ht="15.75" customHeight="1" x14ac:dyDescent="0.25">
      <c r="A6" s="112"/>
      <c r="B6" s="2">
        <v>3</v>
      </c>
      <c r="C6" s="113">
        <v>1</v>
      </c>
      <c r="D6" s="114"/>
      <c r="E6" s="115"/>
      <c r="F6" s="115"/>
      <c r="G6" s="115"/>
      <c r="H6" s="116"/>
      <c r="I6" s="114"/>
      <c r="J6" s="114"/>
      <c r="K6" s="161">
        <f t="shared" si="0"/>
        <v>0</v>
      </c>
      <c r="L6" s="114">
        <f t="shared" si="1"/>
        <v>0</v>
      </c>
      <c r="M6" s="114"/>
      <c r="N6" s="114">
        <f t="shared" si="2"/>
        <v>0</v>
      </c>
      <c r="O6" s="44"/>
      <c r="P6" s="44"/>
      <c r="Q6" s="44"/>
      <c r="R6" s="44"/>
      <c r="S6" s="44"/>
      <c r="T6" s="50"/>
      <c r="U6" s="50"/>
      <c r="V6" s="50"/>
      <c r="W6" s="50"/>
      <c r="X6" s="51" t="s">
        <v>56</v>
      </c>
      <c r="Y6" s="159" t="s">
        <v>60</v>
      </c>
      <c r="Z6" s="159"/>
      <c r="AA6" s="159"/>
      <c r="AB6" s="159"/>
      <c r="AC6" s="159"/>
      <c r="AD6" s="159"/>
      <c r="AE6" s="159"/>
      <c r="AF6" s="159"/>
    </row>
    <row r="7" spans="1:32" s="1" customFormat="1" ht="15.75" customHeight="1" x14ac:dyDescent="0.25">
      <c r="A7" s="112"/>
      <c r="B7" s="2"/>
      <c r="C7" s="113">
        <v>2</v>
      </c>
      <c r="D7" s="114"/>
      <c r="E7" s="115"/>
      <c r="F7" s="115"/>
      <c r="G7" s="115"/>
      <c r="H7" s="116"/>
      <c r="I7" s="114"/>
      <c r="J7" s="114"/>
      <c r="K7" s="161">
        <f t="shared" si="0"/>
        <v>0</v>
      </c>
      <c r="L7" s="114">
        <f t="shared" si="1"/>
        <v>0</v>
      </c>
      <c r="M7" s="114"/>
      <c r="N7" s="114">
        <f t="shared" si="2"/>
        <v>0</v>
      </c>
      <c r="O7" s="44"/>
      <c r="P7" s="44"/>
      <c r="Q7" s="44"/>
      <c r="R7" s="44"/>
      <c r="S7" s="44"/>
      <c r="T7" s="50"/>
      <c r="U7" s="50"/>
      <c r="V7" s="50"/>
      <c r="W7" s="50"/>
      <c r="X7" s="51" t="s">
        <v>57</v>
      </c>
      <c r="Y7" s="159" t="s">
        <v>61</v>
      </c>
      <c r="Z7" s="159"/>
      <c r="AA7" s="159"/>
      <c r="AB7" s="159"/>
      <c r="AC7" s="159"/>
      <c r="AD7" s="159"/>
      <c r="AE7" s="159"/>
      <c r="AF7" s="159"/>
    </row>
    <row r="8" spans="1:32" s="1" customFormat="1" ht="15.75" customHeight="1" x14ac:dyDescent="0.25">
      <c r="A8" s="112"/>
      <c r="B8" s="2">
        <v>4</v>
      </c>
      <c r="C8" s="113">
        <v>1</v>
      </c>
      <c r="D8" s="114"/>
      <c r="E8" s="115"/>
      <c r="F8" s="115"/>
      <c r="G8" s="115"/>
      <c r="H8" s="116"/>
      <c r="I8" s="114"/>
      <c r="J8" s="114"/>
      <c r="K8" s="161">
        <f t="shared" si="0"/>
        <v>0</v>
      </c>
      <c r="L8" s="114">
        <f t="shared" si="1"/>
        <v>0</v>
      </c>
      <c r="M8" s="114"/>
      <c r="N8" s="114">
        <f t="shared" si="2"/>
        <v>0</v>
      </c>
      <c r="O8" s="44"/>
      <c r="P8" s="44"/>
      <c r="Q8" s="44"/>
      <c r="R8" s="44"/>
      <c r="S8" s="44"/>
      <c r="T8" s="50"/>
      <c r="U8" s="50"/>
      <c r="V8" s="50"/>
      <c r="W8" s="50"/>
      <c r="X8" s="51" t="s">
        <v>58</v>
      </c>
      <c r="Y8" s="159" t="s">
        <v>62</v>
      </c>
      <c r="Z8" s="159"/>
      <c r="AA8" s="159"/>
      <c r="AB8" s="159"/>
      <c r="AC8" s="159"/>
      <c r="AD8" s="159"/>
      <c r="AE8" s="159"/>
      <c r="AF8" s="159"/>
    </row>
    <row r="9" spans="1:32" s="1" customFormat="1" ht="15.75" customHeight="1" x14ac:dyDescent="0.25">
      <c r="A9" s="112"/>
      <c r="B9" s="2"/>
      <c r="C9" s="113">
        <v>2</v>
      </c>
      <c r="D9" s="114"/>
      <c r="E9" s="115"/>
      <c r="F9" s="115"/>
      <c r="G9" s="115"/>
      <c r="H9" s="116"/>
      <c r="I9" s="114"/>
      <c r="J9" s="114"/>
      <c r="K9" s="161">
        <f t="shared" si="0"/>
        <v>0</v>
      </c>
      <c r="L9" s="114">
        <f t="shared" si="1"/>
        <v>0</v>
      </c>
      <c r="M9" s="114"/>
      <c r="N9" s="114">
        <f t="shared" si="2"/>
        <v>0</v>
      </c>
      <c r="O9" s="44"/>
      <c r="P9" s="44"/>
      <c r="Q9" s="44"/>
      <c r="R9" s="44"/>
      <c r="S9" s="44"/>
      <c r="T9" s="50"/>
      <c r="U9" s="50"/>
      <c r="V9" s="50"/>
      <c r="W9" s="50"/>
      <c r="X9" s="52" t="s">
        <v>59</v>
      </c>
      <c r="Y9" s="159" t="s">
        <v>63</v>
      </c>
      <c r="Z9" s="159"/>
      <c r="AA9" s="159"/>
      <c r="AB9" s="159"/>
      <c r="AC9" s="159"/>
      <c r="AD9" s="159"/>
      <c r="AE9" s="159"/>
      <c r="AF9" s="159"/>
    </row>
    <row r="10" spans="1:32" s="1" customFormat="1" ht="15.75" customHeight="1" x14ac:dyDescent="0.25">
      <c r="A10" s="112"/>
      <c r="B10" s="2">
        <v>5</v>
      </c>
      <c r="C10" s="113">
        <v>1</v>
      </c>
      <c r="D10" s="114"/>
      <c r="E10" s="115"/>
      <c r="F10" s="115"/>
      <c r="G10" s="115"/>
      <c r="H10" s="116"/>
      <c r="I10" s="114"/>
      <c r="J10" s="114"/>
      <c r="K10" s="161">
        <f t="shared" si="0"/>
        <v>0</v>
      </c>
      <c r="L10" s="114">
        <f t="shared" si="1"/>
        <v>0</v>
      </c>
      <c r="M10" s="114"/>
      <c r="N10" s="114">
        <f t="shared" si="2"/>
        <v>0</v>
      </c>
      <c r="O10" s="44"/>
      <c r="P10" s="44"/>
      <c r="Q10" s="44"/>
      <c r="R10" s="44"/>
      <c r="S10" s="44"/>
      <c r="T10" s="50"/>
      <c r="U10" s="50"/>
      <c r="V10" s="50"/>
      <c r="W10" s="50"/>
      <c r="X10" s="51" t="s">
        <v>24</v>
      </c>
      <c r="Y10" s="159" t="s">
        <v>28</v>
      </c>
      <c r="Z10" s="159"/>
      <c r="AA10" s="159"/>
      <c r="AB10" s="159"/>
      <c r="AC10" s="159"/>
      <c r="AD10" s="159"/>
      <c r="AE10" s="159"/>
      <c r="AF10" s="159"/>
    </row>
    <row r="11" spans="1:32" s="1" customFormat="1" ht="15.75" x14ac:dyDescent="0.25">
      <c r="A11" s="112"/>
      <c r="B11" s="2"/>
      <c r="C11" s="113">
        <v>2</v>
      </c>
      <c r="D11" s="114"/>
      <c r="E11" s="115"/>
      <c r="F11" s="115"/>
      <c r="G11" s="115"/>
      <c r="H11" s="116"/>
      <c r="I11" s="114"/>
      <c r="J11" s="114"/>
      <c r="K11" s="161">
        <f t="shared" si="0"/>
        <v>0</v>
      </c>
      <c r="L11" s="114">
        <f t="shared" si="1"/>
        <v>0</v>
      </c>
      <c r="M11" s="114"/>
      <c r="N11" s="114">
        <f t="shared" si="2"/>
        <v>0</v>
      </c>
      <c r="O11" s="44"/>
      <c r="P11" s="44"/>
      <c r="Q11" s="44"/>
      <c r="R11" s="44"/>
      <c r="S11" s="44"/>
      <c r="T11" s="50"/>
      <c r="U11" s="50"/>
      <c r="V11" s="50"/>
      <c r="W11" s="50"/>
      <c r="X11" s="53" t="s">
        <v>32</v>
      </c>
      <c r="Y11" s="159" t="s">
        <v>38</v>
      </c>
      <c r="Z11" s="159"/>
      <c r="AA11" s="159"/>
      <c r="AB11" s="159"/>
      <c r="AC11" s="159"/>
      <c r="AD11" s="159"/>
      <c r="AE11" s="159"/>
      <c r="AF11" s="159"/>
    </row>
    <row r="12" spans="1:32" ht="32.25" customHeight="1" x14ac:dyDescent="0.25">
      <c r="A12" s="112"/>
      <c r="B12" s="2">
        <v>6</v>
      </c>
      <c r="C12" s="113">
        <v>1</v>
      </c>
      <c r="D12" s="105"/>
      <c r="E12" s="117"/>
      <c r="F12" s="117"/>
      <c r="G12" s="117"/>
      <c r="H12" s="118"/>
      <c r="I12" s="105"/>
      <c r="J12" s="105"/>
      <c r="K12" s="162">
        <f t="shared" si="0"/>
        <v>0</v>
      </c>
      <c r="L12" s="105">
        <f t="shared" si="1"/>
        <v>0</v>
      </c>
      <c r="M12" s="105"/>
      <c r="N12" s="105">
        <f t="shared" si="2"/>
        <v>0</v>
      </c>
      <c r="O12" s="46"/>
      <c r="P12" s="46"/>
      <c r="Q12" s="46"/>
      <c r="R12" s="46"/>
      <c r="S12" s="46"/>
      <c r="T12" s="46"/>
      <c r="U12" s="46"/>
      <c r="V12" s="46"/>
      <c r="W12" s="46"/>
      <c r="X12" s="46" t="s">
        <v>78</v>
      </c>
      <c r="Y12" s="157" t="s">
        <v>43</v>
      </c>
      <c r="Z12" s="157"/>
      <c r="AA12" s="157"/>
      <c r="AB12" s="157"/>
      <c r="AC12" s="157"/>
      <c r="AD12" s="157"/>
      <c r="AE12" s="157"/>
      <c r="AF12" s="157"/>
    </row>
    <row r="13" spans="1:32" ht="15.75" thickBot="1" x14ac:dyDescent="0.3">
      <c r="A13" s="119"/>
      <c r="B13" s="119"/>
      <c r="C13" s="120">
        <v>2</v>
      </c>
      <c r="D13" s="105"/>
      <c r="E13" s="117"/>
      <c r="F13" s="117"/>
      <c r="G13" s="117"/>
      <c r="H13" s="118"/>
      <c r="I13" s="105"/>
      <c r="J13" s="105"/>
      <c r="K13" s="162">
        <f t="shared" si="0"/>
        <v>0</v>
      </c>
      <c r="L13" s="105">
        <f t="shared" si="1"/>
        <v>0</v>
      </c>
      <c r="M13" s="105"/>
      <c r="N13" s="105">
        <f t="shared" si="2"/>
        <v>0</v>
      </c>
      <c r="O13" s="46"/>
      <c r="P13" s="46"/>
      <c r="Q13" s="46"/>
      <c r="R13" s="46"/>
      <c r="S13" s="46"/>
      <c r="T13" s="46"/>
      <c r="U13" s="46"/>
      <c r="V13" s="46"/>
      <c r="W13" s="46"/>
      <c r="X13" s="46" t="s">
        <v>15</v>
      </c>
      <c r="Y13" s="157" t="s">
        <v>21</v>
      </c>
      <c r="Z13" s="157"/>
      <c r="AA13" s="157"/>
      <c r="AB13" s="157"/>
      <c r="AC13" s="157"/>
      <c r="AD13" s="157"/>
      <c r="AE13" s="157"/>
      <c r="AF13" s="157"/>
    </row>
    <row r="14" spans="1:32" s="42" customFormat="1" ht="15.75" x14ac:dyDescent="0.25">
      <c r="A14" s="107">
        <v>2</v>
      </c>
      <c r="B14" s="107">
        <v>1</v>
      </c>
      <c r="C14" s="108">
        <v>1</v>
      </c>
      <c r="D14" s="109"/>
      <c r="E14" s="110"/>
      <c r="F14" s="110"/>
      <c r="G14" s="110"/>
      <c r="H14" s="111"/>
      <c r="I14" s="109"/>
      <c r="J14" s="109"/>
      <c r="K14" s="160">
        <f t="shared" si="0"/>
        <v>0</v>
      </c>
      <c r="L14" s="109">
        <f t="shared" si="1"/>
        <v>0</v>
      </c>
      <c r="M14" s="109"/>
      <c r="N14" s="109">
        <f>J14</f>
        <v>0</v>
      </c>
      <c r="O14" s="48"/>
      <c r="P14" s="48"/>
      <c r="Q14" s="48"/>
      <c r="R14" s="48"/>
      <c r="S14" s="48"/>
      <c r="T14" s="48"/>
      <c r="U14" s="48"/>
      <c r="V14" s="48"/>
      <c r="W14" s="48"/>
      <c r="X14" s="49" t="s">
        <v>26</v>
      </c>
      <c r="Y14" s="158" t="s">
        <v>40</v>
      </c>
      <c r="Z14" s="158"/>
      <c r="AA14" s="158"/>
      <c r="AB14" s="158"/>
      <c r="AC14" s="158"/>
      <c r="AD14" s="158"/>
      <c r="AE14" s="158"/>
      <c r="AF14" s="158"/>
    </row>
    <row r="15" spans="1:32" s="1" customFormat="1" x14ac:dyDescent="0.25">
      <c r="A15" s="112"/>
      <c r="B15" s="2"/>
      <c r="C15" s="113">
        <v>2</v>
      </c>
      <c r="D15" s="114"/>
      <c r="E15" s="115"/>
      <c r="F15" s="115"/>
      <c r="G15" s="115"/>
      <c r="H15" s="116"/>
      <c r="I15" s="114"/>
      <c r="J15" s="114"/>
      <c r="K15" s="161">
        <f t="shared" si="0"/>
        <v>0</v>
      </c>
      <c r="L15" s="114">
        <f t="shared" si="1"/>
        <v>0</v>
      </c>
      <c r="M15" s="114"/>
      <c r="N15" s="114">
        <f t="shared" si="2"/>
        <v>0</v>
      </c>
      <c r="O15" s="44"/>
      <c r="P15" s="44"/>
      <c r="Q15" s="44"/>
      <c r="R15" s="44"/>
      <c r="S15" s="44"/>
      <c r="T15" s="50"/>
      <c r="U15" s="50"/>
      <c r="V15" s="50"/>
      <c r="W15" s="50"/>
      <c r="X15" s="55" t="s">
        <v>36</v>
      </c>
      <c r="Y15" s="159" t="s">
        <v>41</v>
      </c>
      <c r="Z15" s="159"/>
      <c r="AA15" s="159"/>
      <c r="AB15" s="159"/>
      <c r="AC15" s="159"/>
      <c r="AD15" s="159"/>
      <c r="AE15" s="159"/>
      <c r="AF15" s="159"/>
    </row>
    <row r="16" spans="1:32" s="1" customFormat="1" ht="15.75" x14ac:dyDescent="0.25">
      <c r="A16" s="112"/>
      <c r="B16" s="2">
        <v>2</v>
      </c>
      <c r="C16" s="113">
        <v>1</v>
      </c>
      <c r="D16" s="114"/>
      <c r="E16" s="115"/>
      <c r="F16" s="115"/>
      <c r="G16" s="115"/>
      <c r="H16" s="116"/>
      <c r="I16" s="114"/>
      <c r="J16" s="114"/>
      <c r="K16" s="161">
        <f t="shared" si="0"/>
        <v>0</v>
      </c>
      <c r="L16" s="114">
        <f t="shared" si="1"/>
        <v>0</v>
      </c>
      <c r="M16" s="114"/>
      <c r="N16" s="114">
        <f t="shared" si="2"/>
        <v>0</v>
      </c>
      <c r="O16" s="44"/>
      <c r="P16" s="44"/>
      <c r="Q16" s="44"/>
      <c r="R16" s="44"/>
      <c r="S16" s="44"/>
      <c r="T16" s="50"/>
      <c r="U16" s="50"/>
      <c r="V16" s="50"/>
      <c r="W16" s="50"/>
      <c r="X16" s="53" t="s">
        <v>24</v>
      </c>
      <c r="Y16" s="159" t="s">
        <v>28</v>
      </c>
      <c r="Z16" s="159"/>
      <c r="AA16" s="159"/>
      <c r="AB16" s="159"/>
      <c r="AC16" s="159"/>
      <c r="AD16" s="159"/>
      <c r="AE16" s="159"/>
      <c r="AF16" s="159"/>
    </row>
    <row r="17" spans="1:32" s="1" customFormat="1" ht="15.75" x14ac:dyDescent="0.25">
      <c r="A17" s="112"/>
      <c r="B17" s="2"/>
      <c r="C17" s="113">
        <v>2</v>
      </c>
      <c r="D17" s="114"/>
      <c r="E17" s="115"/>
      <c r="F17" s="115"/>
      <c r="G17" s="115"/>
      <c r="H17" s="116"/>
      <c r="I17" s="114"/>
      <c r="J17" s="114"/>
      <c r="K17" s="161">
        <f t="shared" si="0"/>
        <v>0</v>
      </c>
      <c r="L17" s="114">
        <f t="shared" si="1"/>
        <v>0</v>
      </c>
      <c r="M17" s="114"/>
      <c r="N17" s="114">
        <f t="shared" si="2"/>
        <v>0</v>
      </c>
      <c r="O17" s="44"/>
      <c r="P17" s="44"/>
      <c r="Q17" s="44"/>
      <c r="R17" s="44"/>
      <c r="S17" s="44"/>
      <c r="T17" s="50"/>
      <c r="U17" s="50"/>
      <c r="V17" s="50"/>
      <c r="W17" s="50"/>
      <c r="X17" s="53" t="s">
        <v>37</v>
      </c>
      <c r="Y17" s="159" t="s">
        <v>42</v>
      </c>
      <c r="Z17" s="159"/>
      <c r="AA17" s="159"/>
      <c r="AB17" s="159"/>
      <c r="AC17" s="159"/>
      <c r="AD17" s="159"/>
      <c r="AE17" s="159"/>
      <c r="AF17" s="159"/>
    </row>
    <row r="18" spans="1:32" s="1" customFormat="1" x14ac:dyDescent="0.25">
      <c r="A18" s="112"/>
      <c r="B18" s="2">
        <v>3</v>
      </c>
      <c r="C18" s="113">
        <v>1</v>
      </c>
      <c r="D18" s="114"/>
      <c r="E18" s="115"/>
      <c r="F18" s="115"/>
      <c r="G18" s="115"/>
      <c r="H18" s="116"/>
      <c r="I18" s="114"/>
      <c r="J18" s="114"/>
      <c r="K18" s="161">
        <f t="shared" si="0"/>
        <v>0</v>
      </c>
      <c r="L18" s="114">
        <f t="shared" si="1"/>
        <v>0</v>
      </c>
      <c r="M18" s="114"/>
      <c r="N18" s="114">
        <f t="shared" si="2"/>
        <v>0</v>
      </c>
      <c r="O18" s="44"/>
      <c r="P18" s="44"/>
      <c r="Q18" s="44"/>
      <c r="R18" s="44"/>
      <c r="S18" s="44"/>
      <c r="T18" s="50"/>
      <c r="U18" s="50"/>
      <c r="V18" s="50"/>
      <c r="W18" s="50"/>
      <c r="Y18" s="75"/>
      <c r="Z18" s="75"/>
      <c r="AA18" s="75"/>
      <c r="AB18" s="75"/>
      <c r="AC18" s="75"/>
      <c r="AD18" s="75"/>
      <c r="AE18" s="75"/>
      <c r="AF18" s="75"/>
    </row>
    <row r="19" spans="1:32" s="1" customFormat="1" x14ac:dyDescent="0.25">
      <c r="A19" s="112"/>
      <c r="B19" s="2"/>
      <c r="C19" s="113">
        <v>2</v>
      </c>
      <c r="D19" s="114"/>
      <c r="E19" s="115"/>
      <c r="F19" s="115"/>
      <c r="G19" s="115"/>
      <c r="H19" s="116"/>
      <c r="I19" s="114"/>
      <c r="J19" s="114"/>
      <c r="K19" s="161">
        <f t="shared" si="0"/>
        <v>0</v>
      </c>
      <c r="L19" s="114">
        <f t="shared" si="1"/>
        <v>0</v>
      </c>
      <c r="M19" s="114"/>
      <c r="N19" s="114">
        <f t="shared" si="2"/>
        <v>0</v>
      </c>
      <c r="O19" s="44"/>
      <c r="P19" s="44"/>
      <c r="Q19" s="44"/>
      <c r="R19" s="44"/>
      <c r="S19" s="44"/>
      <c r="T19" s="50"/>
      <c r="U19" s="50"/>
      <c r="V19" s="50"/>
      <c r="W19" s="50"/>
      <c r="X19" s="93" t="s">
        <v>110</v>
      </c>
      <c r="Y19" s="94"/>
      <c r="Z19" s="94"/>
      <c r="AA19" s="94"/>
      <c r="AB19" s="94"/>
      <c r="AC19" s="94"/>
      <c r="AD19" s="94"/>
      <c r="AE19" s="94"/>
      <c r="AF19" s="94"/>
    </row>
    <row r="20" spans="1:32" s="1" customFormat="1" x14ac:dyDescent="0.25">
      <c r="A20" s="112"/>
      <c r="B20" s="2">
        <v>4</v>
      </c>
      <c r="C20" s="113">
        <v>1</v>
      </c>
      <c r="D20" s="114"/>
      <c r="E20" s="115"/>
      <c r="F20" s="115"/>
      <c r="G20" s="115"/>
      <c r="H20" s="116"/>
      <c r="I20" s="114"/>
      <c r="J20" s="114"/>
      <c r="K20" s="161">
        <f t="shared" si="0"/>
        <v>0</v>
      </c>
      <c r="L20" s="114">
        <f t="shared" si="1"/>
        <v>0</v>
      </c>
      <c r="M20" s="114"/>
      <c r="N20" s="114">
        <f t="shared" si="2"/>
        <v>0</v>
      </c>
      <c r="O20" s="44"/>
      <c r="P20" s="44"/>
      <c r="Q20" s="44"/>
      <c r="R20" s="44"/>
      <c r="S20" s="44"/>
      <c r="T20" s="50"/>
      <c r="U20" s="50"/>
      <c r="V20" s="50"/>
      <c r="W20" s="50"/>
      <c r="Y20" s="75"/>
      <c r="Z20" s="75"/>
      <c r="AA20" s="75"/>
      <c r="AB20" s="75"/>
      <c r="AC20" s="75"/>
      <c r="AD20" s="75"/>
      <c r="AE20" s="75"/>
      <c r="AF20" s="75"/>
    </row>
    <row r="21" spans="1:32" s="1" customFormat="1" x14ac:dyDescent="0.25">
      <c r="A21" s="112"/>
      <c r="B21" s="2"/>
      <c r="C21" s="113">
        <v>2</v>
      </c>
      <c r="D21" s="114"/>
      <c r="E21" s="115"/>
      <c r="F21" s="115"/>
      <c r="G21" s="115"/>
      <c r="H21" s="116"/>
      <c r="I21" s="114"/>
      <c r="J21" s="114"/>
      <c r="K21" s="161">
        <f t="shared" si="0"/>
        <v>0</v>
      </c>
      <c r="L21" s="114">
        <f t="shared" si="1"/>
        <v>0</v>
      </c>
      <c r="M21" s="114"/>
      <c r="N21" s="114">
        <f t="shared" si="2"/>
        <v>0</v>
      </c>
      <c r="O21" s="44"/>
      <c r="P21" s="44"/>
      <c r="Q21" s="44"/>
      <c r="R21" s="44"/>
      <c r="S21" s="44"/>
      <c r="T21" s="50"/>
      <c r="U21" s="50"/>
      <c r="V21" s="50"/>
      <c r="W21" s="50"/>
      <c r="Y21" s="75"/>
      <c r="Z21" s="75"/>
      <c r="AA21" s="75"/>
      <c r="AB21" s="75"/>
      <c r="AC21" s="75"/>
      <c r="AD21" s="75"/>
      <c r="AE21" s="75"/>
      <c r="AF21" s="75"/>
    </row>
    <row r="22" spans="1:32" s="1" customFormat="1" x14ac:dyDescent="0.25">
      <c r="A22" s="112"/>
      <c r="B22" s="2">
        <v>5</v>
      </c>
      <c r="C22" s="113">
        <v>1</v>
      </c>
      <c r="D22" s="114"/>
      <c r="E22" s="115"/>
      <c r="F22" s="115"/>
      <c r="G22" s="115"/>
      <c r="H22" s="116"/>
      <c r="I22" s="114"/>
      <c r="J22" s="114"/>
      <c r="K22" s="161">
        <f t="shared" si="0"/>
        <v>0</v>
      </c>
      <c r="L22" s="114">
        <f t="shared" si="1"/>
        <v>0</v>
      </c>
      <c r="M22" s="114"/>
      <c r="N22" s="114">
        <f t="shared" si="2"/>
        <v>0</v>
      </c>
      <c r="O22" s="44"/>
      <c r="P22" s="44"/>
      <c r="Q22" s="44"/>
      <c r="R22" s="44"/>
      <c r="S22" s="44"/>
      <c r="T22" s="50"/>
      <c r="U22" s="50"/>
      <c r="V22" s="50"/>
      <c r="W22" s="50"/>
      <c r="Y22" s="75"/>
      <c r="Z22" s="75"/>
      <c r="AA22" s="75"/>
      <c r="AB22" s="75"/>
      <c r="AC22" s="75"/>
      <c r="AD22" s="75"/>
      <c r="AE22" s="75"/>
      <c r="AF22" s="75"/>
    </row>
    <row r="23" spans="1:32" s="1" customFormat="1" x14ac:dyDescent="0.25">
      <c r="A23" s="112"/>
      <c r="B23" s="2"/>
      <c r="C23" s="113">
        <v>2</v>
      </c>
      <c r="D23" s="114"/>
      <c r="E23" s="115"/>
      <c r="F23" s="115"/>
      <c r="G23" s="115"/>
      <c r="H23" s="116"/>
      <c r="I23" s="114"/>
      <c r="J23" s="114"/>
      <c r="K23" s="161">
        <f t="shared" si="0"/>
        <v>0</v>
      </c>
      <c r="L23" s="114">
        <f t="shared" si="1"/>
        <v>0</v>
      </c>
      <c r="M23" s="114"/>
      <c r="N23" s="114">
        <f t="shared" si="2"/>
        <v>0</v>
      </c>
      <c r="O23" s="44"/>
      <c r="P23" s="44"/>
      <c r="Q23" s="44"/>
      <c r="R23" s="44"/>
      <c r="S23" s="44"/>
      <c r="T23" s="50"/>
      <c r="U23" s="50"/>
      <c r="V23" s="50"/>
      <c r="W23" s="50"/>
      <c r="Y23" s="75"/>
      <c r="Z23" s="75"/>
      <c r="AA23" s="75"/>
      <c r="AB23" s="75"/>
      <c r="AC23" s="75"/>
      <c r="AD23" s="75"/>
      <c r="AE23" s="75"/>
      <c r="AF23" s="75"/>
    </row>
    <row r="24" spans="1:32" s="1" customFormat="1" x14ac:dyDescent="0.25">
      <c r="A24" s="112"/>
      <c r="B24" s="2">
        <v>6</v>
      </c>
      <c r="C24" s="113">
        <v>1</v>
      </c>
      <c r="D24" s="114"/>
      <c r="E24" s="115"/>
      <c r="F24" s="115"/>
      <c r="G24" s="115"/>
      <c r="H24" s="116"/>
      <c r="I24" s="114"/>
      <c r="J24" s="114"/>
      <c r="K24" s="161">
        <f t="shared" si="0"/>
        <v>0</v>
      </c>
      <c r="L24" s="114">
        <f t="shared" si="1"/>
        <v>0</v>
      </c>
      <c r="M24" s="114"/>
      <c r="N24" s="114">
        <f t="shared" si="2"/>
        <v>0</v>
      </c>
      <c r="O24" s="44"/>
      <c r="P24" s="44"/>
      <c r="Q24" s="44"/>
      <c r="R24" s="44"/>
      <c r="S24" s="44"/>
      <c r="T24" s="50"/>
      <c r="U24" s="50"/>
      <c r="V24" s="50"/>
      <c r="W24" s="50"/>
      <c r="Y24" s="75"/>
      <c r="Z24" s="75"/>
      <c r="AA24" s="75"/>
      <c r="AB24" s="75"/>
      <c r="AC24" s="75"/>
      <c r="AD24" s="75"/>
      <c r="AE24" s="75"/>
      <c r="AF24" s="75"/>
    </row>
    <row r="25" spans="1:32" s="43" customFormat="1" ht="15.75" thickBot="1" x14ac:dyDescent="0.3">
      <c r="A25" s="119"/>
      <c r="B25" s="119"/>
      <c r="C25" s="120">
        <v>2</v>
      </c>
      <c r="D25" s="121"/>
      <c r="E25" s="115"/>
      <c r="F25" s="115"/>
      <c r="G25" s="115"/>
      <c r="H25" s="116"/>
      <c r="I25" s="121"/>
      <c r="J25" s="121"/>
      <c r="K25" s="163">
        <f t="shared" si="0"/>
        <v>0</v>
      </c>
      <c r="L25" s="121">
        <f t="shared" si="1"/>
        <v>0</v>
      </c>
      <c r="M25" s="121"/>
      <c r="N25" s="121">
        <f t="shared" si="2"/>
        <v>0</v>
      </c>
      <c r="O25" s="54"/>
      <c r="P25" s="54"/>
      <c r="Q25" s="54"/>
      <c r="R25" s="54"/>
      <c r="S25" s="54"/>
      <c r="T25" s="54"/>
      <c r="U25" s="54"/>
      <c r="V25" s="54"/>
      <c r="W25" s="54"/>
      <c r="Y25" s="76"/>
      <c r="Z25" s="76"/>
      <c r="AA25" s="76"/>
      <c r="AB25" s="76"/>
      <c r="AC25" s="76"/>
      <c r="AD25" s="76"/>
      <c r="AE25" s="76"/>
      <c r="AF25" s="76"/>
    </row>
    <row r="26" spans="1:32" s="42" customFormat="1" x14ac:dyDescent="0.25">
      <c r="A26" s="107">
        <v>3</v>
      </c>
      <c r="B26" s="107">
        <v>1</v>
      </c>
      <c r="C26" s="108">
        <v>1</v>
      </c>
      <c r="D26" s="109"/>
      <c r="E26" s="110"/>
      <c r="F26" s="110"/>
      <c r="G26" s="110"/>
      <c r="H26" s="122"/>
      <c r="I26" s="123"/>
      <c r="J26" s="123"/>
      <c r="K26" s="160">
        <f t="shared" si="0"/>
        <v>0</v>
      </c>
      <c r="L26" s="109">
        <f t="shared" si="1"/>
        <v>0</v>
      </c>
      <c r="M26" s="109"/>
      <c r="N26" s="109">
        <f t="shared" si="2"/>
        <v>0</v>
      </c>
      <c r="O26" s="48"/>
      <c r="P26" s="48"/>
      <c r="Q26" s="48"/>
      <c r="R26" s="48"/>
      <c r="S26" s="48"/>
      <c r="T26" s="48"/>
      <c r="U26" s="48"/>
      <c r="V26" s="48"/>
      <c r="W26" s="48"/>
      <c r="Y26" s="77"/>
      <c r="Z26" s="77"/>
      <c r="AA26" s="77"/>
      <c r="AB26" s="77"/>
      <c r="AC26" s="77"/>
      <c r="AD26" s="77"/>
      <c r="AE26" s="77"/>
      <c r="AF26" s="77"/>
    </row>
    <row r="27" spans="1:32" s="1" customFormat="1" x14ac:dyDescent="0.25">
      <c r="A27" s="112"/>
      <c r="B27" s="2"/>
      <c r="C27" s="113">
        <v>2</v>
      </c>
      <c r="D27" s="114"/>
      <c r="E27" s="115"/>
      <c r="F27" s="115"/>
      <c r="G27" s="115"/>
      <c r="H27" s="124"/>
      <c r="I27" s="125"/>
      <c r="J27" s="125"/>
      <c r="K27" s="161">
        <f t="shared" si="0"/>
        <v>0</v>
      </c>
      <c r="L27" s="114">
        <f t="shared" si="1"/>
        <v>0</v>
      </c>
      <c r="M27" s="114"/>
      <c r="N27" s="114">
        <f t="shared" si="2"/>
        <v>0</v>
      </c>
      <c r="O27" s="44"/>
      <c r="P27" s="44"/>
      <c r="Q27" s="44"/>
      <c r="R27" s="44"/>
      <c r="S27" s="44"/>
      <c r="T27" s="50"/>
      <c r="U27" s="50"/>
      <c r="V27" s="50"/>
      <c r="W27" s="50"/>
      <c r="Y27" s="75"/>
      <c r="Z27" s="75"/>
      <c r="AA27" s="75"/>
      <c r="AB27" s="75"/>
      <c r="AC27" s="75"/>
      <c r="AD27" s="75"/>
      <c r="AE27" s="75"/>
      <c r="AF27" s="75"/>
    </row>
    <row r="28" spans="1:32" s="1" customFormat="1" x14ac:dyDescent="0.25">
      <c r="A28" s="112"/>
      <c r="B28" s="2">
        <v>2</v>
      </c>
      <c r="C28" s="113">
        <v>1</v>
      </c>
      <c r="D28" s="114"/>
      <c r="E28" s="115"/>
      <c r="F28" s="115"/>
      <c r="G28" s="115"/>
      <c r="H28" s="124"/>
      <c r="I28" s="125"/>
      <c r="J28" s="125"/>
      <c r="K28" s="161">
        <f t="shared" si="0"/>
        <v>0</v>
      </c>
      <c r="L28" s="114">
        <f t="shared" si="1"/>
        <v>0</v>
      </c>
      <c r="M28" s="114"/>
      <c r="N28" s="114">
        <f t="shared" si="2"/>
        <v>0</v>
      </c>
      <c r="O28" s="44"/>
      <c r="P28" s="44"/>
      <c r="Q28" s="44"/>
      <c r="R28" s="44"/>
      <c r="S28" s="44"/>
      <c r="T28" s="50"/>
      <c r="U28" s="50"/>
      <c r="V28" s="50"/>
      <c r="W28" s="50"/>
      <c r="Y28" s="75"/>
      <c r="Z28" s="75"/>
      <c r="AA28" s="75"/>
      <c r="AB28" s="75"/>
      <c r="AC28" s="75"/>
      <c r="AD28" s="75"/>
      <c r="AE28" s="75"/>
      <c r="AF28" s="75"/>
    </row>
    <row r="29" spans="1:32" s="1" customFormat="1" x14ac:dyDescent="0.25">
      <c r="A29" s="112"/>
      <c r="B29" s="2"/>
      <c r="C29" s="113">
        <v>2</v>
      </c>
      <c r="D29" s="114"/>
      <c r="E29" s="115"/>
      <c r="F29" s="115"/>
      <c r="G29" s="115"/>
      <c r="H29" s="124"/>
      <c r="I29" s="125"/>
      <c r="J29" s="125"/>
      <c r="K29" s="161">
        <f t="shared" si="0"/>
        <v>0</v>
      </c>
      <c r="L29" s="114">
        <f t="shared" si="1"/>
        <v>0</v>
      </c>
      <c r="M29" s="114"/>
      <c r="N29" s="114">
        <f t="shared" si="2"/>
        <v>0</v>
      </c>
      <c r="O29" s="44"/>
      <c r="P29" s="44"/>
      <c r="Q29" s="44"/>
      <c r="R29" s="44"/>
      <c r="S29" s="44"/>
      <c r="T29" s="50"/>
      <c r="U29" s="50"/>
      <c r="V29" s="50"/>
      <c r="W29" s="50"/>
      <c r="Y29" s="75"/>
      <c r="Z29" s="75"/>
      <c r="AA29" s="75"/>
      <c r="AB29" s="75"/>
      <c r="AC29" s="75"/>
      <c r="AD29" s="75"/>
      <c r="AE29" s="75"/>
      <c r="AF29" s="75"/>
    </row>
    <row r="30" spans="1:32" s="1" customFormat="1" x14ac:dyDescent="0.25">
      <c r="A30" s="112"/>
      <c r="B30" s="2">
        <v>3</v>
      </c>
      <c r="C30" s="113">
        <v>1</v>
      </c>
      <c r="D30" s="114"/>
      <c r="E30" s="115"/>
      <c r="F30" s="115"/>
      <c r="G30" s="115"/>
      <c r="H30" s="124"/>
      <c r="I30" s="125"/>
      <c r="J30" s="125"/>
      <c r="K30" s="161">
        <f t="shared" si="0"/>
        <v>0</v>
      </c>
      <c r="L30" s="114">
        <f t="shared" si="1"/>
        <v>0</v>
      </c>
      <c r="M30" s="114"/>
      <c r="N30" s="114">
        <f t="shared" si="2"/>
        <v>0</v>
      </c>
      <c r="O30" s="44"/>
      <c r="P30" s="44"/>
      <c r="Q30" s="44"/>
      <c r="R30" s="44"/>
      <c r="S30" s="44"/>
      <c r="T30" s="50"/>
      <c r="U30" s="50"/>
      <c r="V30" s="50"/>
      <c r="W30" s="50"/>
      <c r="Y30" s="75"/>
      <c r="Z30" s="75"/>
      <c r="AA30" s="75"/>
      <c r="AB30" s="75"/>
      <c r="AC30" s="75"/>
      <c r="AD30" s="75"/>
      <c r="AE30" s="75"/>
      <c r="AF30" s="75"/>
    </row>
    <row r="31" spans="1:32" s="1" customFormat="1" x14ac:dyDescent="0.25">
      <c r="A31" s="112"/>
      <c r="B31" s="2"/>
      <c r="C31" s="113">
        <v>2</v>
      </c>
      <c r="D31" s="114"/>
      <c r="E31" s="115"/>
      <c r="F31" s="115"/>
      <c r="G31" s="115"/>
      <c r="H31" s="116"/>
      <c r="I31" s="114"/>
      <c r="J31" s="114"/>
      <c r="K31" s="161">
        <f t="shared" si="0"/>
        <v>0</v>
      </c>
      <c r="L31" s="114">
        <f t="shared" si="1"/>
        <v>0</v>
      </c>
      <c r="M31" s="114"/>
      <c r="N31" s="114">
        <f t="shared" si="2"/>
        <v>0</v>
      </c>
      <c r="O31" s="44"/>
      <c r="P31" s="44"/>
      <c r="Q31" s="44"/>
      <c r="R31" s="44"/>
      <c r="S31" s="44"/>
      <c r="T31" s="50"/>
      <c r="U31" s="50"/>
      <c r="V31" s="50"/>
      <c r="W31" s="50"/>
      <c r="Y31" s="75"/>
      <c r="Z31" s="75"/>
      <c r="AA31" s="75"/>
      <c r="AB31" s="75"/>
      <c r="AC31" s="75"/>
      <c r="AD31" s="75"/>
      <c r="AE31" s="75"/>
      <c r="AF31" s="75"/>
    </row>
    <row r="32" spans="1:32" s="1" customFormat="1" x14ac:dyDescent="0.25">
      <c r="A32" s="112"/>
      <c r="B32" s="2">
        <v>4</v>
      </c>
      <c r="C32" s="113">
        <v>1</v>
      </c>
      <c r="D32" s="114"/>
      <c r="E32" s="115"/>
      <c r="F32" s="115"/>
      <c r="G32" s="115"/>
      <c r="H32" s="116"/>
      <c r="I32" s="114"/>
      <c r="J32" s="114"/>
      <c r="K32" s="161">
        <f t="shared" si="0"/>
        <v>0</v>
      </c>
      <c r="L32" s="114">
        <f t="shared" si="1"/>
        <v>0</v>
      </c>
      <c r="M32" s="114"/>
      <c r="N32" s="114">
        <f t="shared" si="2"/>
        <v>0</v>
      </c>
      <c r="O32" s="44"/>
      <c r="P32" s="44"/>
      <c r="Q32" s="44"/>
      <c r="R32" s="44"/>
      <c r="S32" s="44"/>
      <c r="T32" s="50"/>
      <c r="U32" s="50"/>
      <c r="V32" s="50"/>
      <c r="W32" s="50"/>
      <c r="Y32" s="75"/>
      <c r="Z32" s="75"/>
      <c r="AA32" s="75"/>
      <c r="AB32" s="75"/>
      <c r="AC32" s="75"/>
      <c r="AD32" s="75"/>
      <c r="AE32" s="75"/>
      <c r="AF32" s="75"/>
    </row>
    <row r="33" spans="1:32" s="1" customFormat="1" x14ac:dyDescent="0.25">
      <c r="A33" s="112"/>
      <c r="B33" s="2"/>
      <c r="C33" s="113">
        <v>2</v>
      </c>
      <c r="D33" s="114"/>
      <c r="E33" s="115"/>
      <c r="F33" s="115"/>
      <c r="G33" s="115"/>
      <c r="H33" s="116"/>
      <c r="I33" s="114"/>
      <c r="J33" s="114"/>
      <c r="K33" s="161">
        <f t="shared" si="0"/>
        <v>0</v>
      </c>
      <c r="L33" s="114">
        <f t="shared" si="1"/>
        <v>0</v>
      </c>
      <c r="M33" s="114"/>
      <c r="N33" s="114">
        <f t="shared" si="2"/>
        <v>0</v>
      </c>
      <c r="O33" s="44"/>
      <c r="P33" s="44"/>
      <c r="Q33" s="44"/>
      <c r="R33" s="44"/>
      <c r="S33" s="44"/>
      <c r="T33" s="50"/>
      <c r="U33" s="50"/>
      <c r="V33" s="50"/>
      <c r="W33" s="50"/>
      <c r="Y33" s="75"/>
      <c r="Z33" s="75"/>
      <c r="AA33" s="75"/>
      <c r="AB33" s="75"/>
      <c r="AC33" s="75"/>
      <c r="AD33" s="75"/>
      <c r="AE33" s="75"/>
      <c r="AF33" s="75"/>
    </row>
    <row r="34" spans="1:32" s="1" customFormat="1" x14ac:dyDescent="0.25">
      <c r="A34" s="112"/>
      <c r="B34" s="2">
        <v>5</v>
      </c>
      <c r="C34" s="113">
        <v>1</v>
      </c>
      <c r="D34" s="114"/>
      <c r="E34" s="115"/>
      <c r="F34" s="115"/>
      <c r="G34" s="115"/>
      <c r="H34" s="116"/>
      <c r="I34" s="114"/>
      <c r="J34" s="114"/>
      <c r="K34" s="161">
        <f t="shared" si="0"/>
        <v>0</v>
      </c>
      <c r="L34" s="114">
        <f t="shared" si="1"/>
        <v>0</v>
      </c>
      <c r="M34" s="114"/>
      <c r="N34" s="114">
        <f t="shared" si="2"/>
        <v>0</v>
      </c>
      <c r="O34" s="44"/>
      <c r="P34" s="44"/>
      <c r="Q34" s="44"/>
      <c r="R34" s="44"/>
      <c r="S34" s="44"/>
      <c r="T34" s="50"/>
      <c r="U34" s="50"/>
      <c r="V34" s="50"/>
      <c r="W34" s="50"/>
      <c r="Y34" s="75"/>
      <c r="Z34" s="75"/>
      <c r="AA34" s="75"/>
      <c r="AB34" s="75"/>
      <c r="AC34" s="75"/>
      <c r="AD34" s="75"/>
      <c r="AE34" s="75"/>
      <c r="AF34" s="75"/>
    </row>
    <row r="35" spans="1:32" s="1" customFormat="1" x14ac:dyDescent="0.25">
      <c r="A35" s="112"/>
      <c r="B35" s="2"/>
      <c r="C35" s="113">
        <v>2</v>
      </c>
      <c r="D35" s="114"/>
      <c r="E35" s="115"/>
      <c r="F35" s="115"/>
      <c r="G35" s="115"/>
      <c r="H35" s="116"/>
      <c r="I35" s="114"/>
      <c r="J35" s="114"/>
      <c r="K35" s="161">
        <f t="shared" si="0"/>
        <v>0</v>
      </c>
      <c r="L35" s="114">
        <f t="shared" si="1"/>
        <v>0</v>
      </c>
      <c r="M35" s="114"/>
      <c r="N35" s="114">
        <f t="shared" si="2"/>
        <v>0</v>
      </c>
      <c r="O35" s="44"/>
      <c r="P35" s="44"/>
      <c r="Q35" s="44"/>
      <c r="R35" s="44"/>
      <c r="S35" s="44"/>
      <c r="T35" s="50"/>
      <c r="U35" s="50"/>
      <c r="V35" s="50"/>
      <c r="W35" s="50"/>
      <c r="Y35" s="75"/>
      <c r="Z35" s="75"/>
      <c r="AA35" s="75"/>
      <c r="AB35" s="75"/>
      <c r="AC35" s="75"/>
      <c r="AD35" s="75"/>
      <c r="AE35" s="75"/>
      <c r="AF35" s="75"/>
    </row>
    <row r="36" spans="1:32" s="1" customFormat="1" x14ac:dyDescent="0.25">
      <c r="A36" s="112"/>
      <c r="B36" s="2">
        <v>6</v>
      </c>
      <c r="C36" s="113">
        <v>1</v>
      </c>
      <c r="D36" s="114"/>
      <c r="E36" s="115"/>
      <c r="F36" s="115"/>
      <c r="G36" s="115"/>
      <c r="H36" s="116"/>
      <c r="I36" s="114"/>
      <c r="J36" s="114"/>
      <c r="K36" s="161">
        <f t="shared" si="0"/>
        <v>0</v>
      </c>
      <c r="L36" s="114">
        <f t="shared" si="1"/>
        <v>0</v>
      </c>
      <c r="M36" s="114"/>
      <c r="N36" s="114">
        <f t="shared" si="2"/>
        <v>0</v>
      </c>
      <c r="O36" s="44"/>
      <c r="P36" s="44"/>
      <c r="Q36" s="44"/>
      <c r="R36" s="44"/>
      <c r="S36" s="44"/>
      <c r="T36" s="50"/>
      <c r="U36" s="50"/>
      <c r="V36" s="50"/>
      <c r="W36" s="50"/>
      <c r="Y36" s="75"/>
      <c r="Z36" s="75"/>
      <c r="AA36" s="75"/>
      <c r="AB36" s="75"/>
      <c r="AC36" s="75"/>
      <c r="AD36" s="75"/>
      <c r="AE36" s="75"/>
      <c r="AF36" s="75"/>
    </row>
    <row r="37" spans="1:32" s="43" customFormat="1" ht="15.75" thickBot="1" x14ac:dyDescent="0.3">
      <c r="A37" s="119"/>
      <c r="B37" s="119"/>
      <c r="C37" s="120">
        <v>2</v>
      </c>
      <c r="D37" s="121"/>
      <c r="E37" s="115"/>
      <c r="F37" s="115"/>
      <c r="G37" s="115"/>
      <c r="H37" s="124"/>
      <c r="I37" s="126"/>
      <c r="J37" s="126"/>
      <c r="K37" s="163">
        <f t="shared" si="0"/>
        <v>0</v>
      </c>
      <c r="L37" s="121">
        <f t="shared" si="1"/>
        <v>0</v>
      </c>
      <c r="M37" s="121"/>
      <c r="N37" s="121">
        <f t="shared" si="2"/>
        <v>0</v>
      </c>
      <c r="O37" s="54"/>
      <c r="P37" s="54"/>
      <c r="Q37" s="54"/>
      <c r="R37" s="54"/>
      <c r="S37" s="54"/>
      <c r="T37" s="54"/>
      <c r="U37" s="54"/>
      <c r="V37" s="54"/>
      <c r="W37" s="54"/>
      <c r="Y37" s="76"/>
      <c r="Z37" s="76"/>
      <c r="AA37" s="76"/>
      <c r="AB37" s="76"/>
      <c r="AC37" s="76"/>
      <c r="AD37" s="76"/>
      <c r="AE37" s="76"/>
      <c r="AF37" s="76"/>
    </row>
    <row r="38" spans="1:32" s="42" customFormat="1" x14ac:dyDescent="0.25">
      <c r="A38" s="107">
        <v>4</v>
      </c>
      <c r="B38" s="107">
        <v>1</v>
      </c>
      <c r="C38" s="108">
        <v>1</v>
      </c>
      <c r="D38" s="109"/>
      <c r="E38" s="110"/>
      <c r="F38" s="110"/>
      <c r="G38" s="110"/>
      <c r="H38" s="122"/>
      <c r="I38" s="123"/>
      <c r="J38" s="123"/>
      <c r="K38" s="160">
        <f t="shared" si="0"/>
        <v>0</v>
      </c>
      <c r="L38" s="109">
        <f t="shared" si="1"/>
        <v>0</v>
      </c>
      <c r="M38" s="109"/>
      <c r="N38" s="109">
        <f t="shared" si="2"/>
        <v>0</v>
      </c>
      <c r="O38" s="48"/>
      <c r="P38" s="48"/>
      <c r="Q38" s="48"/>
      <c r="R38" s="48"/>
      <c r="S38" s="48"/>
      <c r="T38" s="48"/>
      <c r="U38" s="48"/>
      <c r="V38" s="48"/>
      <c r="W38" s="48"/>
      <c r="Y38" s="77"/>
      <c r="Z38" s="77"/>
      <c r="AA38" s="77"/>
      <c r="AB38" s="77"/>
      <c r="AC38" s="77"/>
      <c r="AD38" s="77"/>
      <c r="AE38" s="77"/>
      <c r="AF38" s="77"/>
    </row>
    <row r="39" spans="1:32" s="1" customFormat="1" x14ac:dyDescent="0.25">
      <c r="A39" s="112"/>
      <c r="B39" s="2"/>
      <c r="C39" s="113">
        <v>2</v>
      </c>
      <c r="D39" s="114"/>
      <c r="E39" s="115"/>
      <c r="F39" s="115"/>
      <c r="G39" s="115"/>
      <c r="H39" s="124"/>
      <c r="I39" s="125"/>
      <c r="J39" s="125"/>
      <c r="K39" s="161">
        <f t="shared" si="0"/>
        <v>0</v>
      </c>
      <c r="L39" s="114">
        <f t="shared" si="1"/>
        <v>0</v>
      </c>
      <c r="M39" s="114"/>
      <c r="N39" s="114">
        <f t="shared" si="2"/>
        <v>0</v>
      </c>
      <c r="O39" s="44"/>
      <c r="P39" s="44"/>
      <c r="Q39" s="44"/>
      <c r="R39" s="44"/>
      <c r="S39" s="44"/>
      <c r="T39" s="50"/>
      <c r="U39" s="50"/>
      <c r="V39" s="50"/>
      <c r="W39" s="50"/>
      <c r="Y39" s="75"/>
      <c r="Z39" s="75"/>
      <c r="AA39" s="75"/>
      <c r="AB39" s="75"/>
      <c r="AC39" s="75"/>
      <c r="AD39" s="75"/>
      <c r="AE39" s="75"/>
      <c r="AF39" s="75"/>
    </row>
    <row r="40" spans="1:32" s="1" customFormat="1" x14ac:dyDescent="0.25">
      <c r="A40" s="112"/>
      <c r="B40" s="2">
        <v>2</v>
      </c>
      <c r="C40" s="113">
        <v>1</v>
      </c>
      <c r="D40" s="114"/>
      <c r="E40" s="115"/>
      <c r="F40" s="115"/>
      <c r="G40" s="115"/>
      <c r="H40" s="124"/>
      <c r="I40" s="125"/>
      <c r="J40" s="125"/>
      <c r="K40" s="161">
        <f t="shared" si="0"/>
        <v>0</v>
      </c>
      <c r="L40" s="114">
        <f t="shared" si="1"/>
        <v>0</v>
      </c>
      <c r="M40" s="114"/>
      <c r="N40" s="114">
        <f t="shared" si="2"/>
        <v>0</v>
      </c>
      <c r="O40" s="44"/>
      <c r="P40" s="44"/>
      <c r="Q40" s="44"/>
      <c r="R40" s="44"/>
      <c r="S40" s="44"/>
      <c r="T40" s="50"/>
      <c r="U40" s="50"/>
      <c r="V40" s="50"/>
      <c r="W40" s="50"/>
      <c r="Y40" s="75"/>
      <c r="Z40" s="75"/>
      <c r="AA40" s="75"/>
      <c r="AB40" s="75"/>
      <c r="AC40" s="75"/>
      <c r="AD40" s="75"/>
      <c r="AE40" s="75"/>
      <c r="AF40" s="75"/>
    </row>
    <row r="41" spans="1:32" s="1" customFormat="1" x14ac:dyDescent="0.25">
      <c r="A41" s="112"/>
      <c r="B41" s="2"/>
      <c r="C41" s="113">
        <v>2</v>
      </c>
      <c r="D41" s="114"/>
      <c r="E41" s="115"/>
      <c r="F41" s="115"/>
      <c r="G41" s="115"/>
      <c r="H41" s="124"/>
      <c r="I41" s="125"/>
      <c r="J41" s="125"/>
      <c r="K41" s="161">
        <f t="shared" si="0"/>
        <v>0</v>
      </c>
      <c r="L41" s="114">
        <f t="shared" si="1"/>
        <v>0</v>
      </c>
      <c r="M41" s="114"/>
      <c r="N41" s="114">
        <f t="shared" si="2"/>
        <v>0</v>
      </c>
      <c r="O41" s="44"/>
      <c r="P41" s="44"/>
      <c r="Q41" s="44"/>
      <c r="R41" s="44"/>
      <c r="S41" s="44"/>
      <c r="T41" s="50"/>
      <c r="U41" s="50"/>
      <c r="V41" s="50"/>
      <c r="W41" s="50"/>
      <c r="Y41" s="75"/>
      <c r="Z41" s="75"/>
      <c r="AA41" s="75"/>
      <c r="AB41" s="75"/>
      <c r="AC41" s="75"/>
      <c r="AD41" s="75"/>
      <c r="AE41" s="75"/>
      <c r="AF41" s="75"/>
    </row>
    <row r="42" spans="1:32" s="1" customFormat="1" x14ac:dyDescent="0.25">
      <c r="A42" s="112"/>
      <c r="B42" s="2">
        <v>3</v>
      </c>
      <c r="C42" s="113">
        <v>1</v>
      </c>
      <c r="D42" s="114"/>
      <c r="E42" s="115"/>
      <c r="F42" s="115"/>
      <c r="G42" s="115"/>
      <c r="H42" s="124"/>
      <c r="I42" s="125"/>
      <c r="J42" s="125"/>
      <c r="K42" s="161">
        <f t="shared" si="0"/>
        <v>0</v>
      </c>
      <c r="L42" s="114">
        <f t="shared" si="1"/>
        <v>0</v>
      </c>
      <c r="M42" s="114"/>
      <c r="N42" s="114">
        <f t="shared" si="2"/>
        <v>0</v>
      </c>
      <c r="O42" s="44"/>
      <c r="P42" s="44"/>
      <c r="Q42" s="44"/>
      <c r="R42" s="44"/>
      <c r="S42" s="44"/>
      <c r="T42" s="50"/>
      <c r="U42" s="50"/>
      <c r="V42" s="50"/>
      <c r="W42" s="50"/>
      <c r="Y42" s="75"/>
      <c r="Z42" s="75"/>
      <c r="AA42" s="75"/>
      <c r="AB42" s="75"/>
      <c r="AC42" s="75"/>
      <c r="AD42" s="75"/>
      <c r="AE42" s="75"/>
      <c r="AF42" s="75"/>
    </row>
    <row r="43" spans="1:32" s="1" customFormat="1" x14ac:dyDescent="0.25">
      <c r="A43" s="112"/>
      <c r="B43" s="2"/>
      <c r="C43" s="113">
        <v>2</v>
      </c>
      <c r="D43" s="114"/>
      <c r="E43" s="115"/>
      <c r="F43" s="115"/>
      <c r="G43" s="115"/>
      <c r="H43" s="124"/>
      <c r="I43" s="125"/>
      <c r="J43" s="125"/>
      <c r="K43" s="161">
        <f t="shared" si="0"/>
        <v>0</v>
      </c>
      <c r="L43" s="114">
        <f t="shared" si="1"/>
        <v>0</v>
      </c>
      <c r="M43" s="114"/>
      <c r="N43" s="114">
        <f t="shared" si="2"/>
        <v>0</v>
      </c>
      <c r="O43" s="44"/>
      <c r="P43" s="44"/>
      <c r="Q43" s="44"/>
      <c r="R43" s="44"/>
      <c r="S43" s="44"/>
      <c r="T43" s="50"/>
      <c r="U43" s="50"/>
      <c r="V43" s="50"/>
      <c r="W43" s="50"/>
      <c r="Y43" s="75"/>
      <c r="Z43" s="75"/>
      <c r="AA43" s="75"/>
      <c r="AB43" s="75"/>
      <c r="AC43" s="75"/>
      <c r="AD43" s="75"/>
      <c r="AE43" s="75"/>
      <c r="AF43" s="75"/>
    </row>
    <row r="44" spans="1:32" s="1" customFormat="1" x14ac:dyDescent="0.25">
      <c r="A44" s="112"/>
      <c r="B44" s="2">
        <v>4</v>
      </c>
      <c r="C44" s="113">
        <v>1</v>
      </c>
      <c r="D44" s="114"/>
      <c r="E44" s="115"/>
      <c r="F44" s="115"/>
      <c r="G44" s="115"/>
      <c r="H44" s="124"/>
      <c r="I44" s="125"/>
      <c r="J44" s="125"/>
      <c r="K44" s="161">
        <f t="shared" si="0"/>
        <v>0</v>
      </c>
      <c r="L44" s="114">
        <f t="shared" si="1"/>
        <v>0</v>
      </c>
      <c r="M44" s="114"/>
      <c r="N44" s="114">
        <f t="shared" si="2"/>
        <v>0</v>
      </c>
      <c r="O44" s="44"/>
      <c r="P44" s="44"/>
      <c r="Q44" s="44"/>
      <c r="R44" s="44"/>
      <c r="S44" s="44"/>
      <c r="T44" s="50"/>
      <c r="U44" s="50"/>
      <c r="V44" s="50"/>
      <c r="W44" s="50"/>
      <c r="Y44" s="75"/>
      <c r="Z44" s="75"/>
      <c r="AA44" s="75"/>
      <c r="AB44" s="75"/>
      <c r="AC44" s="75"/>
      <c r="AD44" s="75"/>
      <c r="AE44" s="75"/>
      <c r="AF44" s="75"/>
    </row>
    <row r="45" spans="1:32" s="1" customFormat="1" x14ac:dyDescent="0.25">
      <c r="A45" s="112"/>
      <c r="B45" s="2"/>
      <c r="C45" s="113">
        <v>2</v>
      </c>
      <c r="D45" s="114"/>
      <c r="E45" s="115"/>
      <c r="F45" s="115"/>
      <c r="G45" s="115"/>
      <c r="H45" s="124"/>
      <c r="I45" s="125"/>
      <c r="J45" s="125"/>
      <c r="K45" s="161">
        <f t="shared" si="0"/>
        <v>0</v>
      </c>
      <c r="L45" s="114">
        <f t="shared" si="1"/>
        <v>0</v>
      </c>
      <c r="M45" s="114"/>
      <c r="N45" s="114">
        <f t="shared" si="2"/>
        <v>0</v>
      </c>
      <c r="O45" s="44"/>
      <c r="P45" s="44"/>
      <c r="Q45" s="44"/>
      <c r="R45" s="44"/>
      <c r="S45" s="44"/>
      <c r="T45" s="50"/>
      <c r="U45" s="50"/>
      <c r="V45" s="50"/>
      <c r="W45" s="50"/>
      <c r="Y45" s="75"/>
      <c r="Z45" s="75"/>
      <c r="AA45" s="75"/>
      <c r="AB45" s="75"/>
      <c r="AC45" s="75"/>
      <c r="AD45" s="75"/>
      <c r="AE45" s="75"/>
      <c r="AF45" s="75"/>
    </row>
    <row r="46" spans="1:32" s="1" customFormat="1" x14ac:dyDescent="0.25">
      <c r="A46" s="112"/>
      <c r="B46" s="2">
        <v>5</v>
      </c>
      <c r="C46" s="113">
        <v>1</v>
      </c>
      <c r="D46" s="114"/>
      <c r="E46" s="115"/>
      <c r="F46" s="115"/>
      <c r="G46" s="115"/>
      <c r="H46" s="124"/>
      <c r="I46" s="125"/>
      <c r="J46" s="125"/>
      <c r="K46" s="161">
        <f t="shared" si="0"/>
        <v>0</v>
      </c>
      <c r="L46" s="114">
        <f t="shared" si="1"/>
        <v>0</v>
      </c>
      <c r="M46" s="114"/>
      <c r="N46" s="114">
        <f t="shared" si="2"/>
        <v>0</v>
      </c>
      <c r="O46" s="44"/>
      <c r="P46" s="44"/>
      <c r="Q46" s="44"/>
      <c r="R46" s="44"/>
      <c r="S46" s="44"/>
      <c r="T46" s="50"/>
      <c r="U46" s="50"/>
      <c r="V46" s="50"/>
      <c r="W46" s="50"/>
      <c r="Y46" s="75"/>
      <c r="Z46" s="75"/>
      <c r="AA46" s="75"/>
      <c r="AB46" s="75"/>
      <c r="AC46" s="75"/>
      <c r="AD46" s="75"/>
      <c r="AE46" s="75"/>
      <c r="AF46" s="75"/>
    </row>
    <row r="47" spans="1:32" s="1" customFormat="1" x14ac:dyDescent="0.25">
      <c r="A47" s="112"/>
      <c r="B47" s="2"/>
      <c r="C47" s="113">
        <v>2</v>
      </c>
      <c r="D47" s="114"/>
      <c r="E47" s="115"/>
      <c r="F47" s="115"/>
      <c r="G47" s="115"/>
      <c r="H47" s="124"/>
      <c r="I47" s="125"/>
      <c r="J47" s="125"/>
      <c r="K47" s="161">
        <f t="shared" si="0"/>
        <v>0</v>
      </c>
      <c r="L47" s="114">
        <f t="shared" si="1"/>
        <v>0</v>
      </c>
      <c r="M47" s="114"/>
      <c r="N47" s="114">
        <f t="shared" si="2"/>
        <v>0</v>
      </c>
      <c r="O47" s="44"/>
      <c r="P47" s="44"/>
      <c r="Q47" s="44"/>
      <c r="R47" s="44"/>
      <c r="S47" s="44"/>
      <c r="T47" s="50"/>
      <c r="U47" s="50"/>
      <c r="V47" s="50"/>
      <c r="W47" s="50"/>
      <c r="Y47" s="75"/>
      <c r="Z47" s="75"/>
      <c r="AA47" s="75"/>
      <c r="AB47" s="75"/>
      <c r="AC47" s="75"/>
      <c r="AD47" s="75"/>
      <c r="AE47" s="75"/>
      <c r="AF47" s="75"/>
    </row>
    <row r="48" spans="1:32" s="1" customFormat="1" x14ac:dyDescent="0.25">
      <c r="A48" s="112"/>
      <c r="B48" s="2">
        <v>6</v>
      </c>
      <c r="C48" s="113">
        <v>1</v>
      </c>
      <c r="D48" s="114"/>
      <c r="E48" s="115"/>
      <c r="F48" s="115"/>
      <c r="G48" s="115"/>
      <c r="H48" s="124"/>
      <c r="I48" s="125"/>
      <c r="J48" s="125"/>
      <c r="K48" s="161">
        <f t="shared" si="0"/>
        <v>0</v>
      </c>
      <c r="L48" s="114">
        <f t="shared" si="1"/>
        <v>0</v>
      </c>
      <c r="M48" s="114"/>
      <c r="N48" s="114">
        <f t="shared" si="2"/>
        <v>0</v>
      </c>
      <c r="O48" s="44"/>
      <c r="P48" s="44"/>
      <c r="Q48" s="44"/>
      <c r="R48" s="44"/>
      <c r="S48" s="44"/>
      <c r="T48" s="50"/>
      <c r="U48" s="50"/>
      <c r="V48" s="50"/>
      <c r="W48" s="50"/>
      <c r="Y48" s="75"/>
      <c r="Z48" s="75"/>
      <c r="AA48" s="75"/>
      <c r="AB48" s="75"/>
      <c r="AC48" s="75"/>
      <c r="AD48" s="75"/>
      <c r="AE48" s="75"/>
      <c r="AF48" s="75"/>
    </row>
    <row r="49" spans="1:32" s="43" customFormat="1" ht="15.75" thickBot="1" x14ac:dyDescent="0.3">
      <c r="A49" s="119"/>
      <c r="B49" s="119"/>
      <c r="C49" s="120">
        <v>2</v>
      </c>
      <c r="D49" s="121"/>
      <c r="E49" s="115"/>
      <c r="F49" s="115"/>
      <c r="G49" s="115"/>
      <c r="H49" s="124"/>
      <c r="I49" s="125"/>
      <c r="J49" s="125"/>
      <c r="K49" s="161">
        <f t="shared" ref="K49:K112" si="3">IF(J49&gt;0,1000,0)</f>
        <v>0</v>
      </c>
      <c r="L49" s="114">
        <f t="shared" ref="L49:L112" si="4">IF(K49&gt;0,3,0)</f>
        <v>0</v>
      </c>
      <c r="M49" s="114"/>
      <c r="N49" s="114">
        <f t="shared" ref="N49:N112" si="5">J49</f>
        <v>0</v>
      </c>
      <c r="O49" s="54"/>
      <c r="P49" s="54"/>
      <c r="Q49" s="54"/>
      <c r="R49" s="54"/>
      <c r="S49" s="54"/>
      <c r="T49" s="54"/>
      <c r="U49" s="54"/>
      <c r="V49" s="54"/>
      <c r="W49" s="54"/>
      <c r="Y49" s="76"/>
      <c r="Z49" s="76"/>
      <c r="AA49" s="76"/>
      <c r="AB49" s="76"/>
      <c r="AC49" s="76"/>
      <c r="AD49" s="76"/>
      <c r="AE49" s="76"/>
      <c r="AF49" s="76"/>
    </row>
    <row r="50" spans="1:32" s="42" customFormat="1" x14ac:dyDescent="0.25">
      <c r="A50" s="107">
        <v>5</v>
      </c>
      <c r="B50" s="107">
        <v>1</v>
      </c>
      <c r="C50" s="108">
        <v>1</v>
      </c>
      <c r="D50" s="109"/>
      <c r="E50" s="115"/>
      <c r="F50" s="115"/>
      <c r="G50" s="115"/>
      <c r="H50" s="124"/>
      <c r="I50" s="125"/>
      <c r="J50" s="125"/>
      <c r="K50" s="161">
        <f t="shared" si="3"/>
        <v>0</v>
      </c>
      <c r="L50" s="114">
        <f t="shared" si="4"/>
        <v>0</v>
      </c>
      <c r="M50" s="114"/>
      <c r="N50" s="114">
        <f t="shared" si="5"/>
        <v>0</v>
      </c>
      <c r="O50" s="48"/>
      <c r="P50" s="48"/>
      <c r="Q50" s="48"/>
      <c r="R50" s="48"/>
      <c r="S50" s="48"/>
      <c r="T50" s="48"/>
      <c r="U50" s="48"/>
      <c r="V50" s="48"/>
      <c r="W50" s="48"/>
      <c r="Y50" s="77"/>
      <c r="Z50" s="77"/>
      <c r="AA50" s="77"/>
      <c r="AB50" s="77"/>
      <c r="AC50" s="77"/>
      <c r="AD50" s="77"/>
      <c r="AE50" s="77"/>
      <c r="AF50" s="77"/>
    </row>
    <row r="51" spans="1:32" s="1" customFormat="1" x14ac:dyDescent="0.25">
      <c r="A51" s="112"/>
      <c r="B51" s="112"/>
      <c r="C51" s="113">
        <v>2</v>
      </c>
      <c r="D51" s="127"/>
      <c r="E51" s="115"/>
      <c r="F51" s="115"/>
      <c r="G51" s="115"/>
      <c r="H51" s="124"/>
      <c r="I51" s="125"/>
      <c r="J51" s="125"/>
      <c r="K51" s="161">
        <f t="shared" si="3"/>
        <v>0</v>
      </c>
      <c r="L51" s="114">
        <f t="shared" si="4"/>
        <v>0</v>
      </c>
      <c r="M51" s="114"/>
      <c r="N51" s="114">
        <f t="shared" si="5"/>
        <v>0</v>
      </c>
      <c r="O51" s="50"/>
      <c r="P51" s="50"/>
      <c r="Q51" s="50"/>
      <c r="R51" s="50"/>
      <c r="S51" s="50"/>
      <c r="T51" s="50"/>
      <c r="U51" s="50"/>
      <c r="V51" s="50"/>
      <c r="W51" s="50"/>
      <c r="Y51" s="75"/>
      <c r="Z51" s="75"/>
      <c r="AA51" s="75"/>
      <c r="AB51" s="75"/>
      <c r="AC51" s="75"/>
      <c r="AD51" s="75"/>
      <c r="AE51" s="75"/>
      <c r="AF51" s="75"/>
    </row>
    <row r="52" spans="1:32" s="1" customFormat="1" x14ac:dyDescent="0.25">
      <c r="A52" s="112"/>
      <c r="B52" s="112">
        <v>2</v>
      </c>
      <c r="C52" s="113">
        <v>1</v>
      </c>
      <c r="D52" s="127"/>
      <c r="E52" s="115"/>
      <c r="F52" s="115"/>
      <c r="G52" s="115"/>
      <c r="H52" s="124"/>
      <c r="I52" s="125"/>
      <c r="J52" s="125"/>
      <c r="K52" s="161">
        <f t="shared" si="3"/>
        <v>0</v>
      </c>
      <c r="L52" s="114">
        <f t="shared" si="4"/>
        <v>0</v>
      </c>
      <c r="M52" s="114"/>
      <c r="N52" s="114">
        <f t="shared" si="5"/>
        <v>0</v>
      </c>
      <c r="O52" s="50"/>
      <c r="P52" s="50"/>
      <c r="Q52" s="50"/>
      <c r="R52" s="50"/>
      <c r="S52" s="50"/>
      <c r="T52" s="50"/>
      <c r="U52" s="50"/>
      <c r="V52" s="50"/>
      <c r="W52" s="50"/>
      <c r="Y52" s="75"/>
      <c r="Z52" s="75"/>
      <c r="AA52" s="75"/>
      <c r="AB52" s="75"/>
      <c r="AC52" s="75"/>
      <c r="AD52" s="75"/>
      <c r="AE52" s="75"/>
      <c r="AF52" s="75"/>
    </row>
    <row r="53" spans="1:32" s="1" customFormat="1" x14ac:dyDescent="0.25">
      <c r="A53" s="112"/>
      <c r="B53" s="112"/>
      <c r="C53" s="113">
        <v>2</v>
      </c>
      <c r="D53" s="127"/>
      <c r="E53" s="115"/>
      <c r="F53" s="115"/>
      <c r="G53" s="115"/>
      <c r="H53" s="124"/>
      <c r="I53" s="125"/>
      <c r="J53" s="125"/>
      <c r="K53" s="161">
        <f t="shared" si="3"/>
        <v>0</v>
      </c>
      <c r="L53" s="114">
        <f t="shared" si="4"/>
        <v>0</v>
      </c>
      <c r="M53" s="114"/>
      <c r="N53" s="114">
        <f t="shared" si="5"/>
        <v>0</v>
      </c>
      <c r="O53" s="50"/>
      <c r="P53" s="50"/>
      <c r="Q53" s="50"/>
      <c r="R53" s="50"/>
      <c r="S53" s="50"/>
      <c r="T53" s="50"/>
      <c r="U53" s="50"/>
      <c r="V53" s="50"/>
      <c r="W53" s="50"/>
      <c r="Y53" s="75"/>
      <c r="Z53" s="75"/>
      <c r="AA53" s="75"/>
      <c r="AB53" s="75"/>
      <c r="AC53" s="75"/>
      <c r="AD53" s="75"/>
      <c r="AE53" s="75"/>
      <c r="AF53" s="75"/>
    </row>
    <row r="54" spans="1:32" s="1" customFormat="1" x14ac:dyDescent="0.25">
      <c r="A54" s="112"/>
      <c r="B54" s="112">
        <v>3</v>
      </c>
      <c r="C54" s="113">
        <v>1</v>
      </c>
      <c r="D54" s="127"/>
      <c r="E54" s="115"/>
      <c r="F54" s="115"/>
      <c r="G54" s="115"/>
      <c r="H54" s="124"/>
      <c r="I54" s="125"/>
      <c r="J54" s="125"/>
      <c r="K54" s="161">
        <f t="shared" si="3"/>
        <v>0</v>
      </c>
      <c r="L54" s="114">
        <f t="shared" si="4"/>
        <v>0</v>
      </c>
      <c r="M54" s="114"/>
      <c r="N54" s="114">
        <f t="shared" si="5"/>
        <v>0</v>
      </c>
      <c r="O54" s="50"/>
      <c r="P54" s="50"/>
      <c r="Q54" s="50"/>
      <c r="R54" s="50"/>
      <c r="S54" s="50"/>
      <c r="T54" s="50"/>
      <c r="U54" s="50"/>
      <c r="V54" s="50"/>
      <c r="W54" s="50"/>
      <c r="Y54" s="75"/>
      <c r="Z54" s="75"/>
      <c r="AA54" s="75"/>
      <c r="AB54" s="75"/>
      <c r="AC54" s="75"/>
      <c r="AD54" s="75"/>
      <c r="AE54" s="75"/>
      <c r="AF54" s="75"/>
    </row>
    <row r="55" spans="1:32" s="1" customFormat="1" x14ac:dyDescent="0.25">
      <c r="A55" s="112"/>
      <c r="B55" s="112"/>
      <c r="C55" s="113">
        <v>2</v>
      </c>
      <c r="D55" s="127"/>
      <c r="E55" s="115"/>
      <c r="F55" s="115"/>
      <c r="G55" s="115"/>
      <c r="H55" s="124"/>
      <c r="I55" s="125"/>
      <c r="J55" s="125"/>
      <c r="K55" s="161">
        <f t="shared" si="3"/>
        <v>0</v>
      </c>
      <c r="L55" s="114">
        <f t="shared" si="4"/>
        <v>0</v>
      </c>
      <c r="M55" s="114"/>
      <c r="N55" s="114">
        <f t="shared" si="5"/>
        <v>0</v>
      </c>
      <c r="O55" s="50"/>
      <c r="P55" s="50"/>
      <c r="Q55" s="50"/>
      <c r="R55" s="50"/>
      <c r="S55" s="50"/>
      <c r="T55" s="50"/>
      <c r="U55" s="50"/>
      <c r="V55" s="50"/>
      <c r="W55" s="50"/>
      <c r="Y55" s="75"/>
      <c r="Z55" s="75"/>
      <c r="AA55" s="75"/>
      <c r="AB55" s="75"/>
      <c r="AC55" s="75"/>
      <c r="AD55" s="75"/>
      <c r="AE55" s="75"/>
      <c r="AF55" s="75"/>
    </row>
    <row r="56" spans="1:32" s="1" customFormat="1" x14ac:dyDescent="0.25">
      <c r="A56" s="112"/>
      <c r="B56" s="112">
        <v>4</v>
      </c>
      <c r="C56" s="113">
        <v>1</v>
      </c>
      <c r="D56" s="127"/>
      <c r="E56" s="115"/>
      <c r="F56" s="115"/>
      <c r="G56" s="115"/>
      <c r="H56" s="124"/>
      <c r="I56" s="125"/>
      <c r="J56" s="125"/>
      <c r="K56" s="161">
        <f t="shared" si="3"/>
        <v>0</v>
      </c>
      <c r="L56" s="114">
        <f t="shared" si="4"/>
        <v>0</v>
      </c>
      <c r="M56" s="114"/>
      <c r="N56" s="114">
        <f t="shared" si="5"/>
        <v>0</v>
      </c>
      <c r="O56" s="50"/>
      <c r="P56" s="50"/>
      <c r="Q56" s="50"/>
      <c r="R56" s="50"/>
      <c r="S56" s="50"/>
      <c r="T56" s="50"/>
      <c r="U56" s="50"/>
      <c r="V56" s="50"/>
      <c r="W56" s="50"/>
      <c r="Y56" s="75"/>
      <c r="Z56" s="75"/>
      <c r="AA56" s="75"/>
      <c r="AB56" s="75"/>
      <c r="AC56" s="75"/>
      <c r="AD56" s="75"/>
      <c r="AE56" s="75"/>
      <c r="AF56" s="75"/>
    </row>
    <row r="57" spans="1:32" s="1" customFormat="1" x14ac:dyDescent="0.25">
      <c r="A57" s="112"/>
      <c r="B57" s="112"/>
      <c r="C57" s="113">
        <v>2</v>
      </c>
      <c r="D57" s="127"/>
      <c r="E57" s="115"/>
      <c r="F57" s="115"/>
      <c r="G57" s="115"/>
      <c r="H57" s="124"/>
      <c r="I57" s="125"/>
      <c r="J57" s="125"/>
      <c r="K57" s="161">
        <f t="shared" si="3"/>
        <v>0</v>
      </c>
      <c r="L57" s="114">
        <f t="shared" si="4"/>
        <v>0</v>
      </c>
      <c r="M57" s="114"/>
      <c r="N57" s="114">
        <f t="shared" si="5"/>
        <v>0</v>
      </c>
      <c r="O57" s="50"/>
      <c r="P57" s="50"/>
      <c r="Q57" s="50"/>
      <c r="R57" s="50"/>
      <c r="S57" s="50"/>
      <c r="T57" s="50"/>
      <c r="U57" s="50"/>
      <c r="V57" s="50"/>
      <c r="W57" s="50"/>
      <c r="Y57" s="75"/>
      <c r="Z57" s="75"/>
      <c r="AA57" s="75"/>
      <c r="AB57" s="75"/>
      <c r="AC57" s="75"/>
      <c r="AD57" s="75"/>
      <c r="AE57" s="75"/>
      <c r="AF57" s="75"/>
    </row>
    <row r="58" spans="1:32" s="1" customFormat="1" x14ac:dyDescent="0.25">
      <c r="A58" s="112"/>
      <c r="B58" s="112">
        <v>5</v>
      </c>
      <c r="C58" s="113">
        <v>1</v>
      </c>
      <c r="D58" s="127"/>
      <c r="E58" s="115"/>
      <c r="F58" s="115"/>
      <c r="G58" s="115"/>
      <c r="H58" s="124"/>
      <c r="I58" s="125"/>
      <c r="J58" s="125"/>
      <c r="K58" s="161">
        <f t="shared" si="3"/>
        <v>0</v>
      </c>
      <c r="L58" s="114">
        <f t="shared" si="4"/>
        <v>0</v>
      </c>
      <c r="M58" s="114"/>
      <c r="N58" s="114">
        <f t="shared" si="5"/>
        <v>0</v>
      </c>
      <c r="O58" s="50"/>
      <c r="P58" s="50"/>
      <c r="Q58" s="50"/>
      <c r="R58" s="50"/>
      <c r="S58" s="50"/>
      <c r="T58" s="50"/>
      <c r="U58" s="50"/>
      <c r="V58" s="50"/>
      <c r="W58" s="50"/>
      <c r="Y58" s="75"/>
      <c r="Z58" s="75"/>
      <c r="AA58" s="75"/>
      <c r="AB58" s="75"/>
      <c r="AC58" s="75"/>
      <c r="AD58" s="75"/>
      <c r="AE58" s="75"/>
      <c r="AF58" s="75"/>
    </row>
    <row r="59" spans="1:32" s="1" customFormat="1" x14ac:dyDescent="0.25">
      <c r="A59" s="112"/>
      <c r="B59" s="112"/>
      <c r="C59" s="113">
        <v>2</v>
      </c>
      <c r="D59" s="127"/>
      <c r="E59" s="115"/>
      <c r="F59" s="115"/>
      <c r="G59" s="115"/>
      <c r="H59" s="124"/>
      <c r="I59" s="125"/>
      <c r="J59" s="125"/>
      <c r="K59" s="161">
        <f t="shared" si="3"/>
        <v>0</v>
      </c>
      <c r="L59" s="114">
        <f t="shared" si="4"/>
        <v>0</v>
      </c>
      <c r="M59" s="114"/>
      <c r="N59" s="114">
        <f t="shared" si="5"/>
        <v>0</v>
      </c>
      <c r="O59" s="50"/>
      <c r="P59" s="50"/>
      <c r="Q59" s="50"/>
      <c r="R59" s="50"/>
      <c r="S59" s="50"/>
      <c r="T59" s="50"/>
      <c r="U59" s="50"/>
      <c r="V59" s="50"/>
      <c r="W59" s="50"/>
      <c r="Y59" s="75"/>
      <c r="Z59" s="75"/>
      <c r="AA59" s="75"/>
      <c r="AB59" s="75"/>
      <c r="AC59" s="75"/>
      <c r="AD59" s="75"/>
      <c r="AE59" s="75"/>
      <c r="AF59" s="75"/>
    </row>
    <row r="60" spans="1:32" s="1" customFormat="1" x14ac:dyDescent="0.25">
      <c r="A60" s="112"/>
      <c r="B60" s="112">
        <v>6</v>
      </c>
      <c r="C60" s="113">
        <v>1</v>
      </c>
      <c r="D60" s="127"/>
      <c r="E60" s="115"/>
      <c r="F60" s="115"/>
      <c r="G60" s="115"/>
      <c r="H60" s="124"/>
      <c r="I60" s="125"/>
      <c r="J60" s="125"/>
      <c r="K60" s="161">
        <f t="shared" si="3"/>
        <v>0</v>
      </c>
      <c r="L60" s="114">
        <f t="shared" si="4"/>
        <v>0</v>
      </c>
      <c r="M60" s="114"/>
      <c r="N60" s="114">
        <f t="shared" si="5"/>
        <v>0</v>
      </c>
      <c r="O60" s="50"/>
      <c r="P60" s="50"/>
      <c r="Q60" s="50"/>
      <c r="R60" s="50"/>
      <c r="S60" s="50"/>
      <c r="T60" s="50"/>
      <c r="U60" s="50"/>
      <c r="V60" s="50"/>
      <c r="W60" s="50"/>
      <c r="Y60" s="75"/>
      <c r="Z60" s="75"/>
      <c r="AA60" s="75"/>
      <c r="AB60" s="75"/>
      <c r="AC60" s="75"/>
      <c r="AD60" s="75"/>
      <c r="AE60" s="75"/>
      <c r="AF60" s="75"/>
    </row>
    <row r="61" spans="1:32" s="43" customFormat="1" ht="15.75" thickBot="1" x14ac:dyDescent="0.3">
      <c r="A61" s="119"/>
      <c r="B61" s="119"/>
      <c r="C61" s="120">
        <v>2</v>
      </c>
      <c r="D61" s="121"/>
      <c r="E61" s="115"/>
      <c r="F61" s="115"/>
      <c r="G61" s="115"/>
      <c r="H61" s="124"/>
      <c r="I61" s="125"/>
      <c r="J61" s="125"/>
      <c r="K61" s="161">
        <f t="shared" si="3"/>
        <v>0</v>
      </c>
      <c r="L61" s="114">
        <f t="shared" si="4"/>
        <v>0</v>
      </c>
      <c r="M61" s="114"/>
      <c r="N61" s="114">
        <f t="shared" si="5"/>
        <v>0</v>
      </c>
      <c r="O61" s="54"/>
      <c r="P61" s="54"/>
      <c r="Q61" s="54"/>
      <c r="R61" s="54"/>
      <c r="S61" s="54"/>
      <c r="T61" s="54"/>
      <c r="U61" s="54"/>
      <c r="V61" s="54"/>
      <c r="W61" s="54"/>
      <c r="Y61" s="76"/>
      <c r="Z61" s="76"/>
      <c r="AA61" s="76"/>
      <c r="AB61" s="76"/>
      <c r="AC61" s="76"/>
      <c r="AD61" s="76"/>
      <c r="AE61" s="76"/>
      <c r="AF61" s="76"/>
    </row>
    <row r="62" spans="1:32" s="42" customFormat="1" x14ac:dyDescent="0.25">
      <c r="A62" s="107">
        <v>6</v>
      </c>
      <c r="B62" s="107">
        <v>1</v>
      </c>
      <c r="C62" s="108">
        <v>1</v>
      </c>
      <c r="D62" s="109"/>
      <c r="E62" s="115"/>
      <c r="F62" s="115"/>
      <c r="G62" s="115"/>
      <c r="H62" s="124"/>
      <c r="I62" s="125"/>
      <c r="J62" s="125"/>
      <c r="K62" s="161">
        <f t="shared" si="3"/>
        <v>0</v>
      </c>
      <c r="L62" s="114">
        <f t="shared" si="4"/>
        <v>0</v>
      </c>
      <c r="M62" s="114"/>
      <c r="N62" s="114">
        <f t="shared" si="5"/>
        <v>0</v>
      </c>
      <c r="O62" s="48"/>
      <c r="P62" s="48"/>
      <c r="Q62" s="48"/>
      <c r="R62" s="48"/>
      <c r="S62" s="48"/>
      <c r="T62" s="48"/>
      <c r="U62" s="48"/>
      <c r="V62" s="48"/>
      <c r="W62" s="48"/>
      <c r="Y62" s="77"/>
      <c r="Z62" s="77"/>
      <c r="AA62" s="77"/>
      <c r="AB62" s="77"/>
      <c r="AC62" s="77"/>
      <c r="AD62" s="77"/>
      <c r="AE62" s="77"/>
      <c r="AF62" s="77"/>
    </row>
    <row r="63" spans="1:32" s="1" customFormat="1" x14ac:dyDescent="0.25">
      <c r="A63" s="112"/>
      <c r="B63" s="112"/>
      <c r="C63" s="113">
        <v>2</v>
      </c>
      <c r="D63" s="127"/>
      <c r="E63" s="115"/>
      <c r="F63" s="115"/>
      <c r="G63" s="115"/>
      <c r="H63" s="124"/>
      <c r="I63" s="125"/>
      <c r="J63" s="125"/>
      <c r="K63" s="161">
        <f t="shared" si="3"/>
        <v>0</v>
      </c>
      <c r="L63" s="114">
        <f t="shared" si="4"/>
        <v>0</v>
      </c>
      <c r="M63" s="114"/>
      <c r="N63" s="114">
        <f t="shared" si="5"/>
        <v>0</v>
      </c>
      <c r="O63" s="50"/>
      <c r="P63" s="50"/>
      <c r="Q63" s="50"/>
      <c r="R63" s="50"/>
      <c r="S63" s="50"/>
      <c r="T63" s="50"/>
      <c r="U63" s="50"/>
      <c r="V63" s="50"/>
      <c r="W63" s="50"/>
      <c r="Y63" s="75"/>
      <c r="Z63" s="75"/>
      <c r="AA63" s="75"/>
      <c r="AB63" s="75"/>
      <c r="AC63" s="75"/>
      <c r="AD63" s="75"/>
      <c r="AE63" s="75"/>
      <c r="AF63" s="75"/>
    </row>
    <row r="64" spans="1:32" s="1" customFormat="1" x14ac:dyDescent="0.25">
      <c r="A64" s="112"/>
      <c r="B64" s="112">
        <v>2</v>
      </c>
      <c r="C64" s="113">
        <v>1</v>
      </c>
      <c r="D64" s="127"/>
      <c r="E64" s="115"/>
      <c r="F64" s="115"/>
      <c r="G64" s="115"/>
      <c r="H64" s="124"/>
      <c r="I64" s="125"/>
      <c r="J64" s="125"/>
      <c r="K64" s="161">
        <f t="shared" si="3"/>
        <v>0</v>
      </c>
      <c r="L64" s="114">
        <f t="shared" si="4"/>
        <v>0</v>
      </c>
      <c r="M64" s="114"/>
      <c r="N64" s="114">
        <f t="shared" si="5"/>
        <v>0</v>
      </c>
      <c r="O64" s="50"/>
      <c r="P64" s="50"/>
      <c r="Q64" s="50"/>
      <c r="R64" s="50"/>
      <c r="S64" s="50"/>
      <c r="T64" s="50"/>
      <c r="U64" s="50"/>
      <c r="V64" s="50"/>
      <c r="W64" s="50"/>
      <c r="Y64" s="75"/>
      <c r="Z64" s="75"/>
      <c r="AA64" s="75"/>
      <c r="AB64" s="75"/>
      <c r="AC64" s="75"/>
      <c r="AD64" s="75"/>
      <c r="AE64" s="75"/>
      <c r="AF64" s="75"/>
    </row>
    <row r="65" spans="1:32" s="1" customFormat="1" x14ac:dyDescent="0.25">
      <c r="A65" s="112"/>
      <c r="B65" s="112"/>
      <c r="C65" s="113">
        <v>2</v>
      </c>
      <c r="D65" s="127"/>
      <c r="E65" s="115"/>
      <c r="F65" s="115"/>
      <c r="G65" s="115"/>
      <c r="H65" s="124"/>
      <c r="I65" s="125"/>
      <c r="J65" s="125"/>
      <c r="K65" s="161">
        <f t="shared" si="3"/>
        <v>0</v>
      </c>
      <c r="L65" s="114">
        <f t="shared" si="4"/>
        <v>0</v>
      </c>
      <c r="M65" s="114"/>
      <c r="N65" s="114">
        <f t="shared" si="5"/>
        <v>0</v>
      </c>
      <c r="O65" s="50"/>
      <c r="P65" s="50"/>
      <c r="Q65" s="50"/>
      <c r="R65" s="50"/>
      <c r="S65" s="50"/>
      <c r="T65" s="50"/>
      <c r="U65" s="50"/>
      <c r="V65" s="50"/>
      <c r="W65" s="50"/>
      <c r="Y65" s="75"/>
      <c r="Z65" s="75"/>
      <c r="AA65" s="75"/>
      <c r="AB65" s="75"/>
      <c r="AC65" s="75"/>
      <c r="AD65" s="75"/>
      <c r="AE65" s="75"/>
      <c r="AF65" s="75"/>
    </row>
    <row r="66" spans="1:32" s="1" customFormat="1" x14ac:dyDescent="0.25">
      <c r="A66" s="112"/>
      <c r="B66" s="112">
        <v>3</v>
      </c>
      <c r="C66" s="113">
        <v>1</v>
      </c>
      <c r="D66" s="127"/>
      <c r="E66" s="115"/>
      <c r="F66" s="115"/>
      <c r="G66" s="115"/>
      <c r="H66" s="124"/>
      <c r="I66" s="125"/>
      <c r="J66" s="125"/>
      <c r="K66" s="161">
        <f t="shared" si="3"/>
        <v>0</v>
      </c>
      <c r="L66" s="114">
        <f t="shared" si="4"/>
        <v>0</v>
      </c>
      <c r="M66" s="114"/>
      <c r="N66" s="114">
        <f t="shared" si="5"/>
        <v>0</v>
      </c>
      <c r="O66" s="50"/>
      <c r="P66" s="50"/>
      <c r="Q66" s="50"/>
      <c r="R66" s="50"/>
      <c r="S66" s="50"/>
      <c r="T66" s="50"/>
      <c r="U66" s="50"/>
      <c r="V66" s="50"/>
      <c r="W66" s="50"/>
      <c r="Y66" s="75"/>
      <c r="Z66" s="75"/>
      <c r="AA66" s="75"/>
      <c r="AB66" s="75"/>
      <c r="AC66" s="75"/>
      <c r="AD66" s="75"/>
      <c r="AE66" s="75"/>
      <c r="AF66" s="75"/>
    </row>
    <row r="67" spans="1:32" s="1" customFormat="1" x14ac:dyDescent="0.25">
      <c r="A67" s="112"/>
      <c r="B67" s="112"/>
      <c r="C67" s="113">
        <v>2</v>
      </c>
      <c r="D67" s="127"/>
      <c r="E67" s="115"/>
      <c r="F67" s="115"/>
      <c r="G67" s="115"/>
      <c r="H67" s="124"/>
      <c r="I67" s="125"/>
      <c r="J67" s="125"/>
      <c r="K67" s="161">
        <f t="shared" si="3"/>
        <v>0</v>
      </c>
      <c r="L67" s="114">
        <f t="shared" si="4"/>
        <v>0</v>
      </c>
      <c r="M67" s="114"/>
      <c r="N67" s="114">
        <f t="shared" si="5"/>
        <v>0</v>
      </c>
      <c r="O67" s="50"/>
      <c r="P67" s="50"/>
      <c r="Q67" s="50"/>
      <c r="R67" s="50"/>
      <c r="S67" s="50"/>
      <c r="T67" s="50"/>
      <c r="U67" s="50"/>
      <c r="V67" s="50"/>
      <c r="W67" s="50"/>
      <c r="Y67" s="75"/>
      <c r="Z67" s="75"/>
      <c r="AA67" s="75"/>
      <c r="AB67" s="75"/>
      <c r="AC67" s="75"/>
      <c r="AD67" s="75"/>
      <c r="AE67" s="75"/>
      <c r="AF67" s="75"/>
    </row>
    <row r="68" spans="1:32" s="1" customFormat="1" x14ac:dyDescent="0.25">
      <c r="A68" s="112"/>
      <c r="B68" s="112">
        <v>4</v>
      </c>
      <c r="C68" s="113">
        <v>1</v>
      </c>
      <c r="D68" s="127"/>
      <c r="E68" s="115"/>
      <c r="F68" s="115"/>
      <c r="G68" s="115"/>
      <c r="H68" s="124"/>
      <c r="I68" s="125"/>
      <c r="J68" s="125"/>
      <c r="K68" s="161">
        <f t="shared" si="3"/>
        <v>0</v>
      </c>
      <c r="L68" s="114">
        <f t="shared" si="4"/>
        <v>0</v>
      </c>
      <c r="M68" s="114"/>
      <c r="N68" s="114">
        <f t="shared" si="5"/>
        <v>0</v>
      </c>
      <c r="O68" s="50"/>
      <c r="P68" s="50"/>
      <c r="Q68" s="50"/>
      <c r="R68" s="50"/>
      <c r="S68" s="50"/>
      <c r="T68" s="50"/>
      <c r="U68" s="50"/>
      <c r="V68" s="50"/>
      <c r="W68" s="50"/>
      <c r="Y68" s="75"/>
      <c r="Z68" s="75"/>
      <c r="AA68" s="75"/>
      <c r="AB68" s="75"/>
      <c r="AC68" s="75"/>
      <c r="AD68" s="75"/>
      <c r="AE68" s="75"/>
      <c r="AF68" s="75"/>
    </row>
    <row r="69" spans="1:32" s="1" customFormat="1" x14ac:dyDescent="0.25">
      <c r="A69" s="112"/>
      <c r="B69" s="112"/>
      <c r="C69" s="113">
        <v>2</v>
      </c>
      <c r="D69" s="127"/>
      <c r="E69" s="115"/>
      <c r="F69" s="115"/>
      <c r="G69" s="115"/>
      <c r="H69" s="124"/>
      <c r="I69" s="125"/>
      <c r="J69" s="125"/>
      <c r="K69" s="161">
        <f t="shared" si="3"/>
        <v>0</v>
      </c>
      <c r="L69" s="114">
        <f t="shared" si="4"/>
        <v>0</v>
      </c>
      <c r="M69" s="114"/>
      <c r="N69" s="114">
        <f t="shared" si="5"/>
        <v>0</v>
      </c>
      <c r="O69" s="50"/>
      <c r="P69" s="50"/>
      <c r="Q69" s="50"/>
      <c r="R69" s="50"/>
      <c r="S69" s="50"/>
      <c r="T69" s="50"/>
      <c r="U69" s="50"/>
      <c r="V69" s="50"/>
      <c r="W69" s="50"/>
      <c r="Y69" s="75"/>
      <c r="Z69" s="75"/>
      <c r="AA69" s="75"/>
      <c r="AB69" s="75"/>
      <c r="AC69" s="75"/>
      <c r="AD69" s="75"/>
      <c r="AE69" s="75"/>
      <c r="AF69" s="75"/>
    </row>
    <row r="70" spans="1:32" s="1" customFormat="1" x14ac:dyDescent="0.25">
      <c r="A70" s="112"/>
      <c r="B70" s="112">
        <v>5</v>
      </c>
      <c r="C70" s="113">
        <v>1</v>
      </c>
      <c r="D70" s="127"/>
      <c r="E70" s="115"/>
      <c r="F70" s="115"/>
      <c r="G70" s="115"/>
      <c r="H70" s="124"/>
      <c r="I70" s="125"/>
      <c r="J70" s="125"/>
      <c r="K70" s="161">
        <f t="shared" si="3"/>
        <v>0</v>
      </c>
      <c r="L70" s="114">
        <f t="shared" si="4"/>
        <v>0</v>
      </c>
      <c r="M70" s="114"/>
      <c r="N70" s="114">
        <f t="shared" si="5"/>
        <v>0</v>
      </c>
      <c r="O70" s="50"/>
      <c r="P70" s="50"/>
      <c r="Q70" s="50"/>
      <c r="R70" s="50"/>
      <c r="S70" s="50"/>
      <c r="T70" s="50"/>
      <c r="U70" s="50"/>
      <c r="V70" s="50"/>
      <c r="W70" s="50"/>
      <c r="Y70" s="75"/>
      <c r="Z70" s="75"/>
      <c r="AA70" s="75"/>
      <c r="AB70" s="75"/>
      <c r="AC70" s="75"/>
      <c r="AD70" s="75"/>
      <c r="AE70" s="75"/>
      <c r="AF70" s="75"/>
    </row>
    <row r="71" spans="1:32" s="1" customFormat="1" x14ac:dyDescent="0.25">
      <c r="A71" s="112"/>
      <c r="B71" s="112"/>
      <c r="C71" s="113">
        <v>2</v>
      </c>
      <c r="D71" s="127"/>
      <c r="E71" s="115"/>
      <c r="F71" s="115"/>
      <c r="G71" s="115"/>
      <c r="H71" s="124"/>
      <c r="I71" s="125"/>
      <c r="J71" s="125"/>
      <c r="K71" s="161">
        <f t="shared" si="3"/>
        <v>0</v>
      </c>
      <c r="L71" s="114">
        <f t="shared" si="4"/>
        <v>0</v>
      </c>
      <c r="M71" s="114"/>
      <c r="N71" s="114">
        <f t="shared" si="5"/>
        <v>0</v>
      </c>
      <c r="O71" s="50"/>
      <c r="P71" s="50"/>
      <c r="Q71" s="50"/>
      <c r="R71" s="50"/>
      <c r="S71" s="50"/>
      <c r="T71" s="50"/>
      <c r="U71" s="50"/>
      <c r="V71" s="50"/>
      <c r="W71" s="50"/>
      <c r="Y71" s="75"/>
      <c r="Z71" s="75"/>
      <c r="AA71" s="75"/>
      <c r="AB71" s="75"/>
      <c r="AC71" s="75"/>
      <c r="AD71" s="75"/>
      <c r="AE71" s="75"/>
      <c r="AF71" s="75"/>
    </row>
    <row r="72" spans="1:32" s="1" customFormat="1" x14ac:dyDescent="0.25">
      <c r="A72" s="112"/>
      <c r="B72" s="112">
        <v>6</v>
      </c>
      <c r="C72" s="113">
        <v>1</v>
      </c>
      <c r="D72" s="127"/>
      <c r="E72" s="115"/>
      <c r="F72" s="115"/>
      <c r="G72" s="115"/>
      <c r="H72" s="124"/>
      <c r="I72" s="125"/>
      <c r="J72" s="125"/>
      <c r="K72" s="161">
        <f t="shared" si="3"/>
        <v>0</v>
      </c>
      <c r="L72" s="114">
        <f t="shared" si="4"/>
        <v>0</v>
      </c>
      <c r="M72" s="114"/>
      <c r="N72" s="114">
        <f t="shared" si="5"/>
        <v>0</v>
      </c>
      <c r="O72" s="50"/>
      <c r="P72" s="50"/>
      <c r="Q72" s="50"/>
      <c r="R72" s="50"/>
      <c r="S72" s="50"/>
      <c r="T72" s="50"/>
      <c r="U72" s="50"/>
      <c r="V72" s="50"/>
      <c r="W72" s="50"/>
      <c r="Y72" s="75"/>
      <c r="Z72" s="75"/>
      <c r="AA72" s="75"/>
      <c r="AB72" s="75"/>
      <c r="AC72" s="75"/>
      <c r="AD72" s="75"/>
      <c r="AE72" s="75"/>
      <c r="AF72" s="75"/>
    </row>
    <row r="73" spans="1:32" s="43" customFormat="1" ht="15.75" thickBot="1" x14ac:dyDescent="0.3">
      <c r="A73" s="119"/>
      <c r="B73" s="119"/>
      <c r="C73" s="120">
        <v>2</v>
      </c>
      <c r="D73" s="121"/>
      <c r="E73" s="115"/>
      <c r="F73" s="115"/>
      <c r="G73" s="115"/>
      <c r="H73" s="124"/>
      <c r="I73" s="125"/>
      <c r="J73" s="125"/>
      <c r="K73" s="161">
        <f t="shared" si="3"/>
        <v>0</v>
      </c>
      <c r="L73" s="114">
        <f t="shared" si="4"/>
        <v>0</v>
      </c>
      <c r="M73" s="114"/>
      <c r="N73" s="114">
        <f t="shared" si="5"/>
        <v>0</v>
      </c>
      <c r="O73" s="54"/>
      <c r="P73" s="54"/>
      <c r="Q73" s="54"/>
      <c r="R73" s="54"/>
      <c r="S73" s="54"/>
      <c r="T73" s="54"/>
      <c r="U73" s="54"/>
      <c r="V73" s="54"/>
      <c r="W73" s="54"/>
      <c r="Y73" s="76"/>
      <c r="Z73" s="76"/>
      <c r="AA73" s="76"/>
      <c r="AB73" s="76"/>
      <c r="AC73" s="76"/>
      <c r="AD73" s="76"/>
      <c r="AE73" s="76"/>
      <c r="AF73" s="76"/>
    </row>
    <row r="74" spans="1:32" s="42" customFormat="1" x14ac:dyDescent="0.25">
      <c r="A74" s="107">
        <v>7</v>
      </c>
      <c r="B74" s="107">
        <v>1</v>
      </c>
      <c r="C74" s="108">
        <v>1</v>
      </c>
      <c r="D74" s="109"/>
      <c r="E74" s="115"/>
      <c r="F74" s="115"/>
      <c r="G74" s="115"/>
      <c r="H74" s="124"/>
      <c r="I74" s="125"/>
      <c r="J74" s="125"/>
      <c r="K74" s="161">
        <f t="shared" si="3"/>
        <v>0</v>
      </c>
      <c r="L74" s="114">
        <f t="shared" si="4"/>
        <v>0</v>
      </c>
      <c r="M74" s="114"/>
      <c r="N74" s="114">
        <f t="shared" si="5"/>
        <v>0</v>
      </c>
      <c r="O74" s="48"/>
      <c r="P74" s="48"/>
      <c r="Q74" s="48"/>
      <c r="R74" s="48"/>
      <c r="S74" s="48"/>
      <c r="T74" s="48"/>
      <c r="U74" s="48"/>
      <c r="V74" s="48"/>
      <c r="W74" s="48"/>
      <c r="Y74" s="77"/>
      <c r="Z74" s="77"/>
      <c r="AA74" s="77"/>
      <c r="AB74" s="77"/>
      <c r="AC74" s="77"/>
      <c r="AD74" s="77"/>
      <c r="AE74" s="77"/>
      <c r="AF74" s="77"/>
    </row>
    <row r="75" spans="1:32" s="1" customFormat="1" x14ac:dyDescent="0.25">
      <c r="A75" s="112"/>
      <c r="B75" s="112"/>
      <c r="C75" s="113">
        <v>2</v>
      </c>
      <c r="D75" s="127"/>
      <c r="E75" s="115"/>
      <c r="F75" s="115"/>
      <c r="G75" s="115"/>
      <c r="H75" s="124"/>
      <c r="I75" s="125"/>
      <c r="J75" s="125"/>
      <c r="K75" s="161">
        <f t="shared" si="3"/>
        <v>0</v>
      </c>
      <c r="L75" s="114">
        <f t="shared" si="4"/>
        <v>0</v>
      </c>
      <c r="M75" s="114"/>
      <c r="N75" s="114">
        <f t="shared" si="5"/>
        <v>0</v>
      </c>
      <c r="O75" s="50"/>
      <c r="P75" s="50"/>
      <c r="Q75" s="50"/>
      <c r="R75" s="50"/>
      <c r="S75" s="50"/>
      <c r="T75" s="50"/>
      <c r="U75" s="50"/>
      <c r="V75" s="50"/>
      <c r="W75" s="50"/>
      <c r="Y75" s="75"/>
      <c r="Z75" s="75"/>
      <c r="AA75" s="75"/>
      <c r="AB75" s="75"/>
      <c r="AC75" s="75"/>
      <c r="AD75" s="75"/>
      <c r="AE75" s="75"/>
      <c r="AF75" s="75"/>
    </row>
    <row r="76" spans="1:32" s="1" customFormat="1" x14ac:dyDescent="0.25">
      <c r="A76" s="112"/>
      <c r="B76" s="112">
        <v>2</v>
      </c>
      <c r="C76" s="113">
        <v>1</v>
      </c>
      <c r="D76" s="127"/>
      <c r="E76" s="115"/>
      <c r="F76" s="115"/>
      <c r="G76" s="115"/>
      <c r="H76" s="124"/>
      <c r="I76" s="125"/>
      <c r="J76" s="125"/>
      <c r="K76" s="161">
        <f t="shared" si="3"/>
        <v>0</v>
      </c>
      <c r="L76" s="114">
        <f t="shared" si="4"/>
        <v>0</v>
      </c>
      <c r="M76" s="114"/>
      <c r="N76" s="114">
        <f t="shared" si="5"/>
        <v>0</v>
      </c>
      <c r="O76" s="50"/>
      <c r="P76" s="50"/>
      <c r="Q76" s="50"/>
      <c r="R76" s="50"/>
      <c r="S76" s="50"/>
      <c r="T76" s="50"/>
      <c r="U76" s="50"/>
      <c r="V76" s="50"/>
      <c r="W76" s="50"/>
      <c r="Y76" s="75"/>
      <c r="Z76" s="75"/>
      <c r="AA76" s="75"/>
      <c r="AB76" s="75"/>
      <c r="AC76" s="75"/>
      <c r="AD76" s="75"/>
      <c r="AE76" s="75"/>
      <c r="AF76" s="75"/>
    </row>
    <row r="77" spans="1:32" s="1" customFormat="1" x14ac:dyDescent="0.25">
      <c r="A77" s="112"/>
      <c r="B77" s="112"/>
      <c r="C77" s="113">
        <v>2</v>
      </c>
      <c r="D77" s="127"/>
      <c r="E77" s="115"/>
      <c r="F77" s="115"/>
      <c r="G77" s="115"/>
      <c r="H77" s="124"/>
      <c r="I77" s="125"/>
      <c r="J77" s="125"/>
      <c r="K77" s="161">
        <f t="shared" si="3"/>
        <v>0</v>
      </c>
      <c r="L77" s="114">
        <f t="shared" si="4"/>
        <v>0</v>
      </c>
      <c r="M77" s="114"/>
      <c r="N77" s="114">
        <f t="shared" si="5"/>
        <v>0</v>
      </c>
      <c r="O77" s="50"/>
      <c r="P77" s="50"/>
      <c r="Q77" s="50"/>
      <c r="R77" s="50"/>
      <c r="S77" s="50"/>
      <c r="T77" s="50"/>
      <c r="U77" s="50"/>
      <c r="V77" s="50"/>
      <c r="W77" s="50"/>
      <c r="Y77" s="75"/>
      <c r="Z77" s="75"/>
      <c r="AA77" s="75"/>
      <c r="AB77" s="75"/>
      <c r="AC77" s="75"/>
      <c r="AD77" s="75"/>
      <c r="AE77" s="75"/>
      <c r="AF77" s="75"/>
    </row>
    <row r="78" spans="1:32" s="1" customFormat="1" x14ac:dyDescent="0.25">
      <c r="A78" s="112"/>
      <c r="B78" s="112">
        <v>3</v>
      </c>
      <c r="C78" s="113">
        <v>1</v>
      </c>
      <c r="D78" s="127"/>
      <c r="E78" s="115"/>
      <c r="F78" s="115"/>
      <c r="G78" s="115"/>
      <c r="H78" s="124"/>
      <c r="I78" s="125"/>
      <c r="J78" s="125"/>
      <c r="K78" s="161">
        <f t="shared" si="3"/>
        <v>0</v>
      </c>
      <c r="L78" s="114">
        <f t="shared" si="4"/>
        <v>0</v>
      </c>
      <c r="M78" s="114"/>
      <c r="N78" s="114">
        <f t="shared" si="5"/>
        <v>0</v>
      </c>
      <c r="O78" s="50"/>
      <c r="P78" s="50"/>
      <c r="Q78" s="50"/>
      <c r="R78" s="50"/>
      <c r="S78" s="50"/>
      <c r="T78" s="50"/>
      <c r="U78" s="50"/>
      <c r="V78" s="50"/>
      <c r="W78" s="50"/>
      <c r="Y78" s="75"/>
      <c r="Z78" s="75"/>
      <c r="AA78" s="75"/>
      <c r="AB78" s="75"/>
      <c r="AC78" s="75"/>
      <c r="AD78" s="75"/>
      <c r="AE78" s="75"/>
      <c r="AF78" s="75"/>
    </row>
    <row r="79" spans="1:32" s="1" customFormat="1" x14ac:dyDescent="0.25">
      <c r="A79" s="112"/>
      <c r="B79" s="112"/>
      <c r="C79" s="113">
        <v>2</v>
      </c>
      <c r="D79" s="127"/>
      <c r="E79" s="115"/>
      <c r="F79" s="115"/>
      <c r="G79" s="115"/>
      <c r="H79" s="124"/>
      <c r="I79" s="125"/>
      <c r="J79" s="125"/>
      <c r="K79" s="161">
        <f t="shared" si="3"/>
        <v>0</v>
      </c>
      <c r="L79" s="114">
        <f t="shared" si="4"/>
        <v>0</v>
      </c>
      <c r="M79" s="114"/>
      <c r="N79" s="114">
        <f t="shared" si="5"/>
        <v>0</v>
      </c>
      <c r="O79" s="50"/>
      <c r="P79" s="50"/>
      <c r="Q79" s="50"/>
      <c r="R79" s="50"/>
      <c r="S79" s="50"/>
      <c r="T79" s="50"/>
      <c r="U79" s="50"/>
      <c r="V79" s="50"/>
      <c r="W79" s="50"/>
      <c r="Y79" s="75"/>
      <c r="Z79" s="75"/>
      <c r="AA79" s="75"/>
      <c r="AB79" s="75"/>
      <c r="AC79" s="75"/>
      <c r="AD79" s="75"/>
      <c r="AE79" s="75"/>
      <c r="AF79" s="75"/>
    </row>
    <row r="80" spans="1:32" s="1" customFormat="1" x14ac:dyDescent="0.25">
      <c r="A80" s="112"/>
      <c r="B80" s="112">
        <v>4</v>
      </c>
      <c r="C80" s="113">
        <v>1</v>
      </c>
      <c r="D80" s="127"/>
      <c r="E80" s="115"/>
      <c r="F80" s="115"/>
      <c r="G80" s="115"/>
      <c r="H80" s="124"/>
      <c r="I80" s="125"/>
      <c r="J80" s="125"/>
      <c r="K80" s="161">
        <f t="shared" si="3"/>
        <v>0</v>
      </c>
      <c r="L80" s="114">
        <f t="shared" si="4"/>
        <v>0</v>
      </c>
      <c r="M80" s="114"/>
      <c r="N80" s="114">
        <f t="shared" si="5"/>
        <v>0</v>
      </c>
      <c r="O80" s="50"/>
      <c r="P80" s="50"/>
      <c r="Q80" s="50"/>
      <c r="R80" s="50"/>
      <c r="S80" s="50"/>
      <c r="T80" s="50"/>
      <c r="U80" s="50"/>
      <c r="V80" s="50"/>
      <c r="W80" s="50"/>
      <c r="Y80" s="75"/>
      <c r="Z80" s="75"/>
      <c r="AA80" s="75"/>
      <c r="AB80" s="75"/>
      <c r="AC80" s="75"/>
      <c r="AD80" s="75"/>
      <c r="AE80" s="75"/>
      <c r="AF80" s="75"/>
    </row>
    <row r="81" spans="1:32" s="1" customFormat="1" x14ac:dyDescent="0.25">
      <c r="A81" s="112"/>
      <c r="B81" s="112"/>
      <c r="C81" s="113">
        <v>2</v>
      </c>
      <c r="D81" s="127"/>
      <c r="E81" s="115"/>
      <c r="F81" s="115"/>
      <c r="G81" s="115"/>
      <c r="H81" s="124"/>
      <c r="I81" s="125"/>
      <c r="J81" s="125"/>
      <c r="K81" s="161">
        <f t="shared" si="3"/>
        <v>0</v>
      </c>
      <c r="L81" s="114">
        <f t="shared" si="4"/>
        <v>0</v>
      </c>
      <c r="M81" s="114"/>
      <c r="N81" s="114">
        <f t="shared" si="5"/>
        <v>0</v>
      </c>
      <c r="O81" s="50"/>
      <c r="P81" s="50"/>
      <c r="Q81" s="50"/>
      <c r="R81" s="50"/>
      <c r="S81" s="50"/>
      <c r="T81" s="50"/>
      <c r="U81" s="50"/>
      <c r="V81" s="50"/>
      <c r="W81" s="50"/>
      <c r="Y81" s="75"/>
      <c r="Z81" s="75"/>
      <c r="AA81" s="75"/>
      <c r="AB81" s="75"/>
      <c r="AC81" s="75"/>
      <c r="AD81" s="75"/>
      <c r="AE81" s="75"/>
      <c r="AF81" s="75"/>
    </row>
    <row r="82" spans="1:32" s="1" customFormat="1" x14ac:dyDescent="0.25">
      <c r="A82" s="112"/>
      <c r="B82" s="112">
        <v>5</v>
      </c>
      <c r="C82" s="113">
        <v>1</v>
      </c>
      <c r="D82" s="127"/>
      <c r="E82" s="115"/>
      <c r="F82" s="115"/>
      <c r="G82" s="115"/>
      <c r="H82" s="124"/>
      <c r="I82" s="125"/>
      <c r="J82" s="125"/>
      <c r="K82" s="161">
        <f t="shared" si="3"/>
        <v>0</v>
      </c>
      <c r="L82" s="114">
        <f t="shared" si="4"/>
        <v>0</v>
      </c>
      <c r="M82" s="114"/>
      <c r="N82" s="114">
        <f t="shared" si="5"/>
        <v>0</v>
      </c>
      <c r="O82" s="50"/>
      <c r="P82" s="50"/>
      <c r="Q82" s="50"/>
      <c r="R82" s="50"/>
      <c r="S82" s="50"/>
      <c r="T82" s="50"/>
      <c r="U82" s="50"/>
      <c r="V82" s="50"/>
      <c r="W82" s="50"/>
      <c r="Y82" s="75"/>
      <c r="Z82" s="75"/>
      <c r="AA82" s="75"/>
      <c r="AB82" s="75"/>
      <c r="AC82" s="75"/>
      <c r="AD82" s="75"/>
      <c r="AE82" s="75"/>
      <c r="AF82" s="75"/>
    </row>
    <row r="83" spans="1:32" s="1" customFormat="1" x14ac:dyDescent="0.25">
      <c r="A83" s="112"/>
      <c r="B83" s="112"/>
      <c r="C83" s="113">
        <v>2</v>
      </c>
      <c r="D83" s="127"/>
      <c r="E83" s="115"/>
      <c r="F83" s="115"/>
      <c r="G83" s="115"/>
      <c r="H83" s="124"/>
      <c r="I83" s="125"/>
      <c r="J83" s="125"/>
      <c r="K83" s="161">
        <f t="shared" si="3"/>
        <v>0</v>
      </c>
      <c r="L83" s="114">
        <f t="shared" si="4"/>
        <v>0</v>
      </c>
      <c r="M83" s="114"/>
      <c r="N83" s="114">
        <f t="shared" si="5"/>
        <v>0</v>
      </c>
      <c r="O83" s="50"/>
      <c r="P83" s="50"/>
      <c r="Q83" s="50"/>
      <c r="R83" s="50"/>
      <c r="S83" s="50"/>
      <c r="T83" s="50"/>
      <c r="U83" s="50"/>
      <c r="V83" s="50"/>
      <c r="W83" s="50"/>
      <c r="Y83" s="75"/>
      <c r="Z83" s="75"/>
      <c r="AA83" s="75"/>
      <c r="AB83" s="75"/>
      <c r="AC83" s="75"/>
      <c r="AD83" s="75"/>
      <c r="AE83" s="75"/>
      <c r="AF83" s="75"/>
    </row>
    <row r="84" spans="1:32" s="1" customFormat="1" x14ac:dyDescent="0.25">
      <c r="A84" s="112"/>
      <c r="B84" s="112">
        <v>6</v>
      </c>
      <c r="C84" s="113">
        <v>1</v>
      </c>
      <c r="D84" s="127"/>
      <c r="E84" s="115"/>
      <c r="F84" s="115"/>
      <c r="G84" s="115"/>
      <c r="H84" s="124"/>
      <c r="I84" s="125"/>
      <c r="J84" s="125"/>
      <c r="K84" s="161">
        <f t="shared" si="3"/>
        <v>0</v>
      </c>
      <c r="L84" s="114">
        <f t="shared" si="4"/>
        <v>0</v>
      </c>
      <c r="M84" s="114"/>
      <c r="N84" s="114">
        <f t="shared" si="5"/>
        <v>0</v>
      </c>
      <c r="O84" s="50"/>
      <c r="P84" s="50"/>
      <c r="Q84" s="50"/>
      <c r="R84" s="50"/>
      <c r="S84" s="50"/>
      <c r="T84" s="50"/>
      <c r="U84" s="50"/>
      <c r="V84" s="50"/>
      <c r="W84" s="50"/>
      <c r="Y84" s="75"/>
      <c r="Z84" s="75"/>
      <c r="AA84" s="75"/>
      <c r="AB84" s="75"/>
      <c r="AC84" s="75"/>
      <c r="AD84" s="75"/>
      <c r="AE84" s="75"/>
      <c r="AF84" s="75"/>
    </row>
    <row r="85" spans="1:32" s="43" customFormat="1" ht="15.75" thickBot="1" x14ac:dyDescent="0.3">
      <c r="A85" s="119"/>
      <c r="B85" s="119"/>
      <c r="C85" s="120">
        <v>2</v>
      </c>
      <c r="D85" s="121"/>
      <c r="E85" s="115"/>
      <c r="F85" s="115"/>
      <c r="G85" s="115"/>
      <c r="H85" s="124"/>
      <c r="I85" s="125"/>
      <c r="J85" s="125"/>
      <c r="K85" s="161">
        <f t="shared" si="3"/>
        <v>0</v>
      </c>
      <c r="L85" s="114">
        <f t="shared" si="4"/>
        <v>0</v>
      </c>
      <c r="M85" s="114"/>
      <c r="N85" s="114">
        <f t="shared" si="5"/>
        <v>0</v>
      </c>
      <c r="O85" s="54"/>
      <c r="P85" s="54"/>
      <c r="Q85" s="54"/>
      <c r="R85" s="54"/>
      <c r="S85" s="54"/>
      <c r="T85" s="54"/>
      <c r="U85" s="54"/>
      <c r="V85" s="54"/>
      <c r="W85" s="54"/>
      <c r="Y85" s="76"/>
      <c r="Z85" s="76"/>
      <c r="AA85" s="76"/>
      <c r="AB85" s="76"/>
      <c r="AC85" s="76"/>
      <c r="AD85" s="76"/>
      <c r="AE85" s="76"/>
      <c r="AF85" s="76"/>
    </row>
    <row r="86" spans="1:32" s="42" customFormat="1" x14ac:dyDescent="0.25">
      <c r="A86" s="107">
        <v>8</v>
      </c>
      <c r="B86" s="107">
        <v>1</v>
      </c>
      <c r="C86" s="108">
        <v>1</v>
      </c>
      <c r="D86" s="109"/>
      <c r="E86" s="115"/>
      <c r="F86" s="115"/>
      <c r="G86" s="115"/>
      <c r="H86" s="124"/>
      <c r="I86" s="125"/>
      <c r="J86" s="125"/>
      <c r="K86" s="161">
        <f t="shared" si="3"/>
        <v>0</v>
      </c>
      <c r="L86" s="114">
        <f t="shared" si="4"/>
        <v>0</v>
      </c>
      <c r="M86" s="114"/>
      <c r="N86" s="114">
        <f t="shared" si="5"/>
        <v>0</v>
      </c>
      <c r="O86" s="48"/>
      <c r="P86" s="48"/>
      <c r="Q86" s="48"/>
      <c r="R86" s="48"/>
      <c r="S86" s="48"/>
      <c r="T86" s="48"/>
      <c r="U86" s="48"/>
      <c r="V86" s="48"/>
      <c r="W86" s="48"/>
      <c r="Y86" s="77"/>
      <c r="Z86" s="77"/>
      <c r="AA86" s="77"/>
      <c r="AB86" s="77"/>
      <c r="AC86" s="77"/>
      <c r="AD86" s="77"/>
      <c r="AE86" s="77"/>
      <c r="AF86" s="77"/>
    </row>
    <row r="87" spans="1:32" s="1" customFormat="1" x14ac:dyDescent="0.25">
      <c r="A87" s="112"/>
      <c r="B87" s="112"/>
      <c r="C87" s="113">
        <v>2</v>
      </c>
      <c r="D87" s="127"/>
      <c r="E87" s="115"/>
      <c r="F87" s="115"/>
      <c r="G87" s="115"/>
      <c r="H87" s="124"/>
      <c r="I87" s="125"/>
      <c r="J87" s="125"/>
      <c r="K87" s="161">
        <f t="shared" si="3"/>
        <v>0</v>
      </c>
      <c r="L87" s="114">
        <f t="shared" si="4"/>
        <v>0</v>
      </c>
      <c r="M87" s="114"/>
      <c r="N87" s="114">
        <f t="shared" si="5"/>
        <v>0</v>
      </c>
      <c r="O87" s="50"/>
      <c r="P87" s="50"/>
      <c r="Q87" s="50"/>
      <c r="R87" s="50"/>
      <c r="S87" s="50"/>
      <c r="T87" s="50"/>
      <c r="U87" s="50"/>
      <c r="V87" s="50"/>
      <c r="W87" s="50"/>
      <c r="Y87" s="75"/>
      <c r="Z87" s="75"/>
      <c r="AA87" s="75"/>
      <c r="AB87" s="75"/>
      <c r="AC87" s="75"/>
      <c r="AD87" s="75"/>
      <c r="AE87" s="75"/>
      <c r="AF87" s="75"/>
    </row>
    <row r="88" spans="1:32" s="1" customFormat="1" x14ac:dyDescent="0.25">
      <c r="A88" s="112"/>
      <c r="B88" s="112">
        <v>2</v>
      </c>
      <c r="C88" s="113">
        <v>1</v>
      </c>
      <c r="D88" s="127"/>
      <c r="E88" s="115"/>
      <c r="F88" s="115"/>
      <c r="G88" s="115"/>
      <c r="H88" s="124"/>
      <c r="I88" s="125"/>
      <c r="J88" s="125"/>
      <c r="K88" s="161">
        <f t="shared" si="3"/>
        <v>0</v>
      </c>
      <c r="L88" s="114">
        <f t="shared" si="4"/>
        <v>0</v>
      </c>
      <c r="M88" s="114"/>
      <c r="N88" s="114">
        <f t="shared" si="5"/>
        <v>0</v>
      </c>
      <c r="O88" s="50"/>
      <c r="P88" s="50"/>
      <c r="Q88" s="50"/>
      <c r="R88" s="50"/>
      <c r="S88" s="50"/>
      <c r="T88" s="50"/>
      <c r="U88" s="50"/>
      <c r="V88" s="50"/>
      <c r="W88" s="50"/>
      <c r="Y88" s="75"/>
      <c r="Z88" s="75"/>
      <c r="AA88" s="75"/>
      <c r="AB88" s="75"/>
      <c r="AC88" s="75"/>
      <c r="AD88" s="75"/>
      <c r="AE88" s="75"/>
      <c r="AF88" s="75"/>
    </row>
    <row r="89" spans="1:32" s="1" customFormat="1" x14ac:dyDescent="0.25">
      <c r="A89" s="112"/>
      <c r="B89" s="112"/>
      <c r="C89" s="113">
        <v>2</v>
      </c>
      <c r="D89" s="127"/>
      <c r="E89" s="115"/>
      <c r="F89" s="115"/>
      <c r="G89" s="115"/>
      <c r="H89" s="124"/>
      <c r="I89" s="125"/>
      <c r="J89" s="125"/>
      <c r="K89" s="161">
        <f t="shared" si="3"/>
        <v>0</v>
      </c>
      <c r="L89" s="114">
        <f t="shared" si="4"/>
        <v>0</v>
      </c>
      <c r="M89" s="114"/>
      <c r="N89" s="114">
        <f t="shared" si="5"/>
        <v>0</v>
      </c>
      <c r="O89" s="50"/>
      <c r="P89" s="50"/>
      <c r="Q89" s="50"/>
      <c r="R89" s="50"/>
      <c r="S89" s="50"/>
      <c r="T89" s="50"/>
      <c r="U89" s="50"/>
      <c r="V89" s="50"/>
      <c r="W89" s="50"/>
      <c r="Y89" s="75"/>
      <c r="Z89" s="75"/>
      <c r="AA89" s="75"/>
      <c r="AB89" s="75"/>
      <c r="AC89" s="75"/>
      <c r="AD89" s="75"/>
      <c r="AE89" s="75"/>
      <c r="AF89" s="75"/>
    </row>
    <row r="90" spans="1:32" s="1" customFormat="1" x14ac:dyDescent="0.25">
      <c r="A90" s="112"/>
      <c r="B90" s="112">
        <v>3</v>
      </c>
      <c r="C90" s="113">
        <v>1</v>
      </c>
      <c r="D90" s="127"/>
      <c r="E90" s="115"/>
      <c r="F90" s="115"/>
      <c r="G90" s="115"/>
      <c r="H90" s="124"/>
      <c r="I90" s="125"/>
      <c r="J90" s="125"/>
      <c r="K90" s="161">
        <f t="shared" si="3"/>
        <v>0</v>
      </c>
      <c r="L90" s="114">
        <f t="shared" si="4"/>
        <v>0</v>
      </c>
      <c r="M90" s="114"/>
      <c r="N90" s="114">
        <f t="shared" si="5"/>
        <v>0</v>
      </c>
      <c r="O90" s="50"/>
      <c r="P90" s="50"/>
      <c r="Q90" s="50"/>
      <c r="R90" s="50"/>
      <c r="S90" s="50"/>
      <c r="T90" s="50"/>
      <c r="U90" s="50"/>
      <c r="V90" s="50"/>
      <c r="W90" s="50"/>
      <c r="Y90" s="75"/>
      <c r="Z90" s="75"/>
      <c r="AA90" s="75"/>
      <c r="AB90" s="75"/>
      <c r="AC90" s="75"/>
      <c r="AD90" s="75"/>
      <c r="AE90" s="75"/>
      <c r="AF90" s="75"/>
    </row>
    <row r="91" spans="1:32" s="1" customFormat="1" x14ac:dyDescent="0.25">
      <c r="A91" s="112"/>
      <c r="B91" s="112"/>
      <c r="C91" s="113">
        <v>2</v>
      </c>
      <c r="D91" s="127"/>
      <c r="E91" s="115"/>
      <c r="F91" s="115"/>
      <c r="G91" s="115"/>
      <c r="H91" s="124"/>
      <c r="I91" s="125"/>
      <c r="J91" s="125"/>
      <c r="K91" s="161">
        <f t="shared" si="3"/>
        <v>0</v>
      </c>
      <c r="L91" s="114">
        <f t="shared" si="4"/>
        <v>0</v>
      </c>
      <c r="M91" s="114"/>
      <c r="N91" s="114">
        <f t="shared" si="5"/>
        <v>0</v>
      </c>
      <c r="O91" s="50"/>
      <c r="P91" s="50"/>
      <c r="Q91" s="50"/>
      <c r="R91" s="50"/>
      <c r="S91" s="50"/>
      <c r="T91" s="50"/>
      <c r="U91" s="50"/>
      <c r="V91" s="50"/>
      <c r="W91" s="50"/>
      <c r="Y91" s="75"/>
      <c r="Z91" s="75"/>
      <c r="AA91" s="75"/>
      <c r="AB91" s="75"/>
      <c r="AC91" s="75"/>
      <c r="AD91" s="75"/>
      <c r="AE91" s="75"/>
      <c r="AF91" s="75"/>
    </row>
    <row r="92" spans="1:32" s="1" customFormat="1" x14ac:dyDescent="0.25">
      <c r="A92" s="112"/>
      <c r="B92" s="112">
        <v>4</v>
      </c>
      <c r="C92" s="113">
        <v>1</v>
      </c>
      <c r="D92" s="127"/>
      <c r="E92" s="115"/>
      <c r="F92" s="115"/>
      <c r="G92" s="115"/>
      <c r="H92" s="124"/>
      <c r="I92" s="125"/>
      <c r="J92" s="125"/>
      <c r="K92" s="161">
        <f t="shared" si="3"/>
        <v>0</v>
      </c>
      <c r="L92" s="114">
        <f t="shared" si="4"/>
        <v>0</v>
      </c>
      <c r="M92" s="114"/>
      <c r="N92" s="114">
        <f t="shared" si="5"/>
        <v>0</v>
      </c>
      <c r="O92" s="50"/>
      <c r="P92" s="50"/>
      <c r="Q92" s="50"/>
      <c r="R92" s="50"/>
      <c r="S92" s="50"/>
      <c r="T92" s="50"/>
      <c r="U92" s="50"/>
      <c r="V92" s="50"/>
      <c r="W92" s="50"/>
      <c r="Y92" s="75"/>
      <c r="Z92" s="75"/>
      <c r="AA92" s="75"/>
      <c r="AB92" s="75"/>
      <c r="AC92" s="75"/>
      <c r="AD92" s="75"/>
      <c r="AE92" s="75"/>
      <c r="AF92" s="75"/>
    </row>
    <row r="93" spans="1:32" s="1" customFormat="1" x14ac:dyDescent="0.25">
      <c r="A93" s="112"/>
      <c r="B93" s="112"/>
      <c r="C93" s="113">
        <v>2</v>
      </c>
      <c r="D93" s="127"/>
      <c r="E93" s="115"/>
      <c r="F93" s="115"/>
      <c r="G93" s="115"/>
      <c r="H93" s="124"/>
      <c r="I93" s="125"/>
      <c r="J93" s="125"/>
      <c r="K93" s="161">
        <f t="shared" si="3"/>
        <v>0</v>
      </c>
      <c r="L93" s="114">
        <f t="shared" si="4"/>
        <v>0</v>
      </c>
      <c r="M93" s="114"/>
      <c r="N93" s="114">
        <f t="shared" si="5"/>
        <v>0</v>
      </c>
      <c r="O93" s="50"/>
      <c r="P93" s="50"/>
      <c r="Q93" s="50"/>
      <c r="R93" s="50"/>
      <c r="S93" s="50"/>
      <c r="T93" s="50"/>
      <c r="U93" s="50"/>
      <c r="V93" s="50"/>
      <c r="W93" s="50"/>
      <c r="Y93" s="75"/>
      <c r="Z93" s="75"/>
      <c r="AA93" s="75"/>
      <c r="AB93" s="75"/>
      <c r="AC93" s="75"/>
      <c r="AD93" s="75"/>
      <c r="AE93" s="75"/>
      <c r="AF93" s="75"/>
    </row>
    <row r="94" spans="1:32" s="1" customFormat="1" x14ac:dyDescent="0.25">
      <c r="A94" s="112"/>
      <c r="B94" s="112">
        <v>5</v>
      </c>
      <c r="C94" s="113">
        <v>1</v>
      </c>
      <c r="D94" s="127"/>
      <c r="E94" s="115"/>
      <c r="F94" s="115"/>
      <c r="G94" s="115"/>
      <c r="H94" s="124"/>
      <c r="I94" s="125"/>
      <c r="J94" s="125"/>
      <c r="K94" s="161">
        <f t="shared" si="3"/>
        <v>0</v>
      </c>
      <c r="L94" s="114">
        <f t="shared" si="4"/>
        <v>0</v>
      </c>
      <c r="M94" s="114"/>
      <c r="N94" s="114">
        <f t="shared" si="5"/>
        <v>0</v>
      </c>
      <c r="O94" s="50"/>
      <c r="P94" s="50"/>
      <c r="Q94" s="50"/>
      <c r="R94" s="50"/>
      <c r="S94" s="50"/>
      <c r="T94" s="50"/>
      <c r="U94" s="50"/>
      <c r="V94" s="50"/>
      <c r="W94" s="50"/>
      <c r="Y94" s="75"/>
      <c r="Z94" s="75"/>
      <c r="AA94" s="75"/>
      <c r="AB94" s="75"/>
      <c r="AC94" s="75"/>
      <c r="AD94" s="75"/>
      <c r="AE94" s="75"/>
      <c r="AF94" s="75"/>
    </row>
    <row r="95" spans="1:32" s="1" customFormat="1" x14ac:dyDescent="0.25">
      <c r="A95" s="112"/>
      <c r="B95" s="112"/>
      <c r="C95" s="113">
        <v>2</v>
      </c>
      <c r="D95" s="127"/>
      <c r="E95" s="115"/>
      <c r="F95" s="115"/>
      <c r="G95" s="115"/>
      <c r="H95" s="124"/>
      <c r="I95" s="125"/>
      <c r="J95" s="125"/>
      <c r="K95" s="161">
        <f t="shared" si="3"/>
        <v>0</v>
      </c>
      <c r="L95" s="114">
        <f t="shared" si="4"/>
        <v>0</v>
      </c>
      <c r="M95" s="114"/>
      <c r="N95" s="114">
        <f t="shared" si="5"/>
        <v>0</v>
      </c>
      <c r="O95" s="50"/>
      <c r="P95" s="50"/>
      <c r="Q95" s="50"/>
      <c r="R95" s="50"/>
      <c r="S95" s="50"/>
      <c r="T95" s="50"/>
      <c r="U95" s="50"/>
      <c r="V95" s="50"/>
      <c r="W95" s="50"/>
      <c r="Y95" s="75"/>
      <c r="Z95" s="75"/>
      <c r="AA95" s="75"/>
      <c r="AB95" s="75"/>
      <c r="AC95" s="75"/>
      <c r="AD95" s="75"/>
      <c r="AE95" s="75"/>
      <c r="AF95" s="75"/>
    </row>
    <row r="96" spans="1:32" s="1" customFormat="1" x14ac:dyDescent="0.25">
      <c r="A96" s="112"/>
      <c r="B96" s="112">
        <v>6</v>
      </c>
      <c r="C96" s="113">
        <v>1</v>
      </c>
      <c r="D96" s="127"/>
      <c r="E96" s="115"/>
      <c r="F96" s="115"/>
      <c r="G96" s="115"/>
      <c r="H96" s="124"/>
      <c r="I96" s="125"/>
      <c r="J96" s="125"/>
      <c r="K96" s="161">
        <f t="shared" si="3"/>
        <v>0</v>
      </c>
      <c r="L96" s="114">
        <f t="shared" si="4"/>
        <v>0</v>
      </c>
      <c r="M96" s="114"/>
      <c r="N96" s="114">
        <f t="shared" si="5"/>
        <v>0</v>
      </c>
      <c r="O96" s="50"/>
      <c r="P96" s="50"/>
      <c r="Q96" s="50"/>
      <c r="R96" s="50"/>
      <c r="S96" s="50"/>
      <c r="T96" s="50"/>
      <c r="U96" s="50"/>
      <c r="V96" s="50"/>
      <c r="W96" s="50"/>
      <c r="Y96" s="75"/>
      <c r="Z96" s="75"/>
      <c r="AA96" s="75"/>
      <c r="AB96" s="75"/>
      <c r="AC96" s="75"/>
      <c r="AD96" s="75"/>
      <c r="AE96" s="75"/>
      <c r="AF96" s="75"/>
    </row>
    <row r="97" spans="1:32" s="43" customFormat="1" ht="15.75" thickBot="1" x14ac:dyDescent="0.3">
      <c r="A97" s="119"/>
      <c r="B97" s="119"/>
      <c r="C97" s="120">
        <v>2</v>
      </c>
      <c r="D97" s="121"/>
      <c r="E97" s="115"/>
      <c r="F97" s="115"/>
      <c r="G97" s="115"/>
      <c r="H97" s="124"/>
      <c r="I97" s="125"/>
      <c r="J97" s="125"/>
      <c r="K97" s="161">
        <f t="shared" si="3"/>
        <v>0</v>
      </c>
      <c r="L97" s="114">
        <f t="shared" si="4"/>
        <v>0</v>
      </c>
      <c r="M97" s="114"/>
      <c r="N97" s="114">
        <f t="shared" si="5"/>
        <v>0</v>
      </c>
      <c r="O97" s="54"/>
      <c r="P97" s="54"/>
      <c r="Q97" s="54"/>
      <c r="R97" s="54"/>
      <c r="S97" s="54"/>
      <c r="T97" s="54"/>
      <c r="U97" s="54"/>
      <c r="V97" s="54"/>
      <c r="W97" s="54"/>
      <c r="Y97" s="76"/>
      <c r="Z97" s="76"/>
      <c r="AA97" s="76"/>
      <c r="AB97" s="76"/>
      <c r="AC97" s="76"/>
      <c r="AD97" s="76"/>
      <c r="AE97" s="76"/>
      <c r="AF97" s="76"/>
    </row>
    <row r="98" spans="1:32" s="42" customFormat="1" x14ac:dyDescent="0.25">
      <c r="A98" s="107">
        <v>9</v>
      </c>
      <c r="B98" s="107">
        <v>1</v>
      </c>
      <c r="C98" s="108">
        <v>1</v>
      </c>
      <c r="D98" s="109"/>
      <c r="E98" s="115"/>
      <c r="F98" s="115"/>
      <c r="G98" s="115"/>
      <c r="H98" s="124"/>
      <c r="I98" s="125"/>
      <c r="J98" s="125"/>
      <c r="K98" s="161">
        <f t="shared" si="3"/>
        <v>0</v>
      </c>
      <c r="L98" s="114">
        <f t="shared" si="4"/>
        <v>0</v>
      </c>
      <c r="M98" s="114"/>
      <c r="N98" s="114">
        <f t="shared" si="5"/>
        <v>0</v>
      </c>
      <c r="O98" s="48"/>
      <c r="P98" s="48"/>
      <c r="Q98" s="48"/>
      <c r="R98" s="48"/>
      <c r="S98" s="48"/>
      <c r="T98" s="48"/>
      <c r="U98" s="48"/>
      <c r="V98" s="48"/>
      <c r="W98" s="48"/>
      <c r="Y98" s="77"/>
      <c r="Z98" s="77"/>
      <c r="AA98" s="77"/>
      <c r="AB98" s="77"/>
      <c r="AC98" s="77"/>
      <c r="AD98" s="77"/>
      <c r="AE98" s="77"/>
      <c r="AF98" s="77"/>
    </row>
    <row r="99" spans="1:32" s="1" customFormat="1" x14ac:dyDescent="0.25">
      <c r="A99" s="112"/>
      <c r="B99" s="112"/>
      <c r="C99" s="113">
        <v>2</v>
      </c>
      <c r="D99" s="127"/>
      <c r="E99" s="115"/>
      <c r="F99" s="115"/>
      <c r="G99" s="115"/>
      <c r="H99" s="124"/>
      <c r="I99" s="125"/>
      <c r="J99" s="125"/>
      <c r="K99" s="161">
        <f t="shared" si="3"/>
        <v>0</v>
      </c>
      <c r="L99" s="114">
        <f t="shared" si="4"/>
        <v>0</v>
      </c>
      <c r="M99" s="114"/>
      <c r="N99" s="114">
        <f t="shared" si="5"/>
        <v>0</v>
      </c>
      <c r="O99" s="50"/>
      <c r="P99" s="50"/>
      <c r="Q99" s="50"/>
      <c r="R99" s="50"/>
      <c r="S99" s="50"/>
      <c r="T99" s="50"/>
      <c r="U99" s="50"/>
      <c r="V99" s="50"/>
      <c r="W99" s="50"/>
      <c r="Y99" s="75"/>
      <c r="Z99" s="75"/>
      <c r="AA99" s="75"/>
      <c r="AB99" s="75"/>
      <c r="AC99" s="75"/>
      <c r="AD99" s="75"/>
      <c r="AE99" s="75"/>
      <c r="AF99" s="75"/>
    </row>
    <row r="100" spans="1:32" s="1" customFormat="1" x14ac:dyDescent="0.25">
      <c r="A100" s="112"/>
      <c r="B100" s="112">
        <v>2</v>
      </c>
      <c r="C100" s="113">
        <v>1</v>
      </c>
      <c r="D100" s="127"/>
      <c r="E100" s="115"/>
      <c r="F100" s="115"/>
      <c r="G100" s="115"/>
      <c r="H100" s="124"/>
      <c r="I100" s="125"/>
      <c r="J100" s="125"/>
      <c r="K100" s="161">
        <f t="shared" si="3"/>
        <v>0</v>
      </c>
      <c r="L100" s="114">
        <f t="shared" si="4"/>
        <v>0</v>
      </c>
      <c r="M100" s="114"/>
      <c r="N100" s="114">
        <f t="shared" si="5"/>
        <v>0</v>
      </c>
      <c r="O100" s="50"/>
      <c r="P100" s="50"/>
      <c r="Q100" s="50"/>
      <c r="R100" s="50"/>
      <c r="S100" s="50"/>
      <c r="T100" s="50"/>
      <c r="U100" s="50"/>
      <c r="V100" s="50"/>
      <c r="W100" s="50"/>
      <c r="Y100" s="75"/>
      <c r="Z100" s="75"/>
      <c r="AA100" s="75"/>
      <c r="AB100" s="75"/>
      <c r="AC100" s="75"/>
      <c r="AD100" s="75"/>
      <c r="AE100" s="75"/>
      <c r="AF100" s="75"/>
    </row>
    <row r="101" spans="1:32" s="1" customFormat="1" x14ac:dyDescent="0.25">
      <c r="A101" s="112"/>
      <c r="B101" s="112"/>
      <c r="C101" s="113">
        <v>2</v>
      </c>
      <c r="D101" s="127"/>
      <c r="E101" s="115"/>
      <c r="F101" s="115"/>
      <c r="G101" s="115"/>
      <c r="H101" s="124"/>
      <c r="I101" s="125"/>
      <c r="J101" s="125"/>
      <c r="K101" s="161">
        <f t="shared" si="3"/>
        <v>0</v>
      </c>
      <c r="L101" s="114">
        <f t="shared" si="4"/>
        <v>0</v>
      </c>
      <c r="M101" s="114"/>
      <c r="N101" s="114">
        <f t="shared" si="5"/>
        <v>0</v>
      </c>
      <c r="O101" s="50"/>
      <c r="P101" s="50"/>
      <c r="Q101" s="50"/>
      <c r="R101" s="50"/>
      <c r="S101" s="50"/>
      <c r="T101" s="50"/>
      <c r="U101" s="50"/>
      <c r="V101" s="50"/>
      <c r="W101" s="50"/>
      <c r="Y101" s="75"/>
      <c r="Z101" s="75"/>
      <c r="AA101" s="75"/>
      <c r="AB101" s="75"/>
      <c r="AC101" s="75"/>
      <c r="AD101" s="75"/>
      <c r="AE101" s="75"/>
      <c r="AF101" s="75"/>
    </row>
    <row r="102" spans="1:32" s="1" customFormat="1" x14ac:dyDescent="0.25">
      <c r="A102" s="112"/>
      <c r="B102" s="112">
        <v>3</v>
      </c>
      <c r="C102" s="113">
        <v>1</v>
      </c>
      <c r="D102" s="127"/>
      <c r="E102" s="115"/>
      <c r="F102" s="115"/>
      <c r="G102" s="115"/>
      <c r="H102" s="124"/>
      <c r="I102" s="125"/>
      <c r="J102" s="125"/>
      <c r="K102" s="161">
        <f t="shared" si="3"/>
        <v>0</v>
      </c>
      <c r="L102" s="114">
        <f t="shared" si="4"/>
        <v>0</v>
      </c>
      <c r="M102" s="114"/>
      <c r="N102" s="114">
        <f t="shared" si="5"/>
        <v>0</v>
      </c>
      <c r="O102" s="50"/>
      <c r="P102" s="50"/>
      <c r="Q102" s="50"/>
      <c r="R102" s="50"/>
      <c r="S102" s="50"/>
      <c r="T102" s="50"/>
      <c r="U102" s="50"/>
      <c r="V102" s="50"/>
      <c r="W102" s="50"/>
      <c r="Y102" s="75"/>
      <c r="Z102" s="75"/>
      <c r="AA102" s="75"/>
      <c r="AB102" s="75"/>
      <c r="AC102" s="75"/>
      <c r="AD102" s="75"/>
      <c r="AE102" s="75"/>
      <c r="AF102" s="75"/>
    </row>
    <row r="103" spans="1:32" s="1" customFormat="1" x14ac:dyDescent="0.25">
      <c r="A103" s="112"/>
      <c r="B103" s="112"/>
      <c r="C103" s="113">
        <v>2</v>
      </c>
      <c r="D103" s="127"/>
      <c r="E103" s="115"/>
      <c r="F103" s="115"/>
      <c r="G103" s="115"/>
      <c r="H103" s="124"/>
      <c r="I103" s="125"/>
      <c r="J103" s="125"/>
      <c r="K103" s="161">
        <f t="shared" si="3"/>
        <v>0</v>
      </c>
      <c r="L103" s="114">
        <f t="shared" si="4"/>
        <v>0</v>
      </c>
      <c r="M103" s="114"/>
      <c r="N103" s="114">
        <f t="shared" si="5"/>
        <v>0</v>
      </c>
      <c r="O103" s="50"/>
      <c r="P103" s="50"/>
      <c r="Q103" s="50"/>
      <c r="R103" s="50"/>
      <c r="S103" s="50"/>
      <c r="T103" s="50"/>
      <c r="U103" s="50"/>
      <c r="V103" s="50"/>
      <c r="W103" s="50"/>
      <c r="Y103" s="75"/>
      <c r="Z103" s="75"/>
      <c r="AA103" s="75"/>
      <c r="AB103" s="75"/>
      <c r="AC103" s="75"/>
      <c r="AD103" s="75"/>
      <c r="AE103" s="75"/>
      <c r="AF103" s="75"/>
    </row>
    <row r="104" spans="1:32" s="1" customFormat="1" x14ac:dyDescent="0.25">
      <c r="A104" s="112"/>
      <c r="B104" s="112">
        <v>4</v>
      </c>
      <c r="C104" s="113">
        <v>1</v>
      </c>
      <c r="D104" s="127"/>
      <c r="E104" s="115"/>
      <c r="F104" s="115"/>
      <c r="G104" s="115"/>
      <c r="H104" s="124"/>
      <c r="I104" s="125"/>
      <c r="J104" s="125"/>
      <c r="K104" s="161">
        <f t="shared" si="3"/>
        <v>0</v>
      </c>
      <c r="L104" s="114">
        <f t="shared" si="4"/>
        <v>0</v>
      </c>
      <c r="M104" s="114"/>
      <c r="N104" s="114">
        <f t="shared" si="5"/>
        <v>0</v>
      </c>
      <c r="O104" s="50"/>
      <c r="P104" s="50"/>
      <c r="Q104" s="50"/>
      <c r="R104" s="50"/>
      <c r="S104" s="50"/>
      <c r="T104" s="50"/>
      <c r="U104" s="50"/>
      <c r="V104" s="50"/>
      <c r="W104" s="50"/>
      <c r="Y104" s="75"/>
      <c r="Z104" s="75"/>
      <c r="AA104" s="75"/>
      <c r="AB104" s="75"/>
      <c r="AC104" s="75"/>
      <c r="AD104" s="75"/>
      <c r="AE104" s="75"/>
      <c r="AF104" s="75"/>
    </row>
    <row r="105" spans="1:32" s="1" customFormat="1" x14ac:dyDescent="0.25">
      <c r="A105" s="112"/>
      <c r="B105" s="112"/>
      <c r="C105" s="113">
        <v>2</v>
      </c>
      <c r="D105" s="127"/>
      <c r="E105" s="115"/>
      <c r="F105" s="115"/>
      <c r="G105" s="115"/>
      <c r="H105" s="124"/>
      <c r="I105" s="125"/>
      <c r="J105" s="125"/>
      <c r="K105" s="161">
        <f t="shared" si="3"/>
        <v>0</v>
      </c>
      <c r="L105" s="114">
        <f t="shared" si="4"/>
        <v>0</v>
      </c>
      <c r="M105" s="114"/>
      <c r="N105" s="114">
        <f t="shared" si="5"/>
        <v>0</v>
      </c>
      <c r="O105" s="50"/>
      <c r="P105" s="50"/>
      <c r="Q105" s="50"/>
      <c r="R105" s="50"/>
      <c r="S105" s="50"/>
      <c r="T105" s="50"/>
      <c r="U105" s="50"/>
      <c r="V105" s="50"/>
      <c r="W105" s="50"/>
      <c r="Y105" s="75"/>
      <c r="Z105" s="75"/>
      <c r="AA105" s="75"/>
      <c r="AB105" s="75"/>
      <c r="AC105" s="75"/>
      <c r="AD105" s="75"/>
      <c r="AE105" s="75"/>
      <c r="AF105" s="75"/>
    </row>
    <row r="106" spans="1:32" s="1" customFormat="1" x14ac:dyDescent="0.25">
      <c r="A106" s="112"/>
      <c r="B106" s="112">
        <v>5</v>
      </c>
      <c r="C106" s="113">
        <v>1</v>
      </c>
      <c r="D106" s="127"/>
      <c r="E106" s="115"/>
      <c r="F106" s="115"/>
      <c r="G106" s="115"/>
      <c r="H106" s="124"/>
      <c r="I106" s="125"/>
      <c r="J106" s="125"/>
      <c r="K106" s="161">
        <f t="shared" si="3"/>
        <v>0</v>
      </c>
      <c r="L106" s="114">
        <f t="shared" si="4"/>
        <v>0</v>
      </c>
      <c r="M106" s="114"/>
      <c r="N106" s="114">
        <f t="shared" si="5"/>
        <v>0</v>
      </c>
      <c r="O106" s="50"/>
      <c r="P106" s="50"/>
      <c r="Q106" s="50"/>
      <c r="R106" s="50"/>
      <c r="S106" s="50"/>
      <c r="T106" s="50"/>
      <c r="U106" s="50"/>
      <c r="V106" s="50"/>
      <c r="W106" s="50"/>
      <c r="Y106" s="75"/>
      <c r="Z106" s="75"/>
      <c r="AA106" s="75"/>
      <c r="AB106" s="75"/>
      <c r="AC106" s="75"/>
      <c r="AD106" s="75"/>
      <c r="AE106" s="75"/>
      <c r="AF106" s="75"/>
    </row>
    <row r="107" spans="1:32" s="1" customFormat="1" x14ac:dyDescent="0.25">
      <c r="A107" s="112"/>
      <c r="B107" s="112"/>
      <c r="C107" s="113">
        <v>2</v>
      </c>
      <c r="D107" s="127"/>
      <c r="E107" s="115"/>
      <c r="F107" s="115"/>
      <c r="G107" s="115"/>
      <c r="H107" s="124"/>
      <c r="I107" s="125"/>
      <c r="J107" s="125"/>
      <c r="K107" s="161">
        <f t="shared" si="3"/>
        <v>0</v>
      </c>
      <c r="L107" s="114">
        <f t="shared" si="4"/>
        <v>0</v>
      </c>
      <c r="M107" s="114"/>
      <c r="N107" s="114">
        <f t="shared" si="5"/>
        <v>0</v>
      </c>
      <c r="O107" s="50"/>
      <c r="P107" s="50"/>
      <c r="Q107" s="50"/>
      <c r="R107" s="50"/>
      <c r="S107" s="50"/>
      <c r="T107" s="50"/>
      <c r="U107" s="50"/>
      <c r="V107" s="50"/>
      <c r="W107" s="50"/>
      <c r="Y107" s="75"/>
      <c r="Z107" s="75"/>
      <c r="AA107" s="75"/>
      <c r="AB107" s="75"/>
      <c r="AC107" s="75"/>
      <c r="AD107" s="75"/>
      <c r="AE107" s="75"/>
      <c r="AF107" s="75"/>
    </row>
    <row r="108" spans="1:32" s="1" customFormat="1" x14ac:dyDescent="0.25">
      <c r="A108" s="112"/>
      <c r="B108" s="112">
        <v>6</v>
      </c>
      <c r="C108" s="113">
        <v>1</v>
      </c>
      <c r="D108" s="127"/>
      <c r="E108" s="115"/>
      <c r="F108" s="115"/>
      <c r="G108" s="115"/>
      <c r="H108" s="124"/>
      <c r="I108" s="125"/>
      <c r="J108" s="125"/>
      <c r="K108" s="161">
        <f t="shared" si="3"/>
        <v>0</v>
      </c>
      <c r="L108" s="114">
        <f t="shared" si="4"/>
        <v>0</v>
      </c>
      <c r="M108" s="114"/>
      <c r="N108" s="114">
        <f t="shared" si="5"/>
        <v>0</v>
      </c>
      <c r="O108" s="50"/>
      <c r="P108" s="50"/>
      <c r="Q108" s="50"/>
      <c r="R108" s="50"/>
      <c r="S108" s="50"/>
      <c r="T108" s="50"/>
      <c r="U108" s="50"/>
      <c r="V108" s="50"/>
      <c r="W108" s="50"/>
      <c r="Y108" s="75"/>
      <c r="Z108" s="75"/>
      <c r="AA108" s="75"/>
      <c r="AB108" s="75"/>
      <c r="AC108" s="75"/>
      <c r="AD108" s="75"/>
      <c r="AE108" s="75"/>
      <c r="AF108" s="75"/>
    </row>
    <row r="109" spans="1:32" s="43" customFormat="1" ht="15.75" thickBot="1" x14ac:dyDescent="0.3">
      <c r="A109" s="119"/>
      <c r="B109" s="119"/>
      <c r="C109" s="120">
        <v>2</v>
      </c>
      <c r="D109" s="121"/>
      <c r="E109" s="115"/>
      <c r="F109" s="115"/>
      <c r="G109" s="115"/>
      <c r="H109" s="124"/>
      <c r="I109" s="125"/>
      <c r="J109" s="125"/>
      <c r="K109" s="161">
        <f t="shared" si="3"/>
        <v>0</v>
      </c>
      <c r="L109" s="114">
        <f t="shared" si="4"/>
        <v>0</v>
      </c>
      <c r="M109" s="114"/>
      <c r="N109" s="114">
        <f t="shared" si="5"/>
        <v>0</v>
      </c>
      <c r="O109" s="54"/>
      <c r="P109" s="54"/>
      <c r="Q109" s="54"/>
      <c r="R109" s="54"/>
      <c r="S109" s="54"/>
      <c r="T109" s="54"/>
      <c r="U109" s="54"/>
      <c r="V109" s="54"/>
      <c r="W109" s="54"/>
      <c r="Y109" s="76"/>
      <c r="Z109" s="76"/>
      <c r="AA109" s="76"/>
      <c r="AB109" s="76"/>
      <c r="AC109" s="76"/>
      <c r="AD109" s="76"/>
      <c r="AE109" s="76"/>
      <c r="AF109" s="76"/>
    </row>
    <row r="110" spans="1:32" s="42" customFormat="1" x14ac:dyDescent="0.25">
      <c r="A110" s="107">
        <v>10</v>
      </c>
      <c r="B110" s="107">
        <v>1</v>
      </c>
      <c r="C110" s="108">
        <v>1</v>
      </c>
      <c r="D110" s="109"/>
      <c r="E110" s="115"/>
      <c r="F110" s="115"/>
      <c r="G110" s="115"/>
      <c r="H110" s="124"/>
      <c r="I110" s="125"/>
      <c r="J110" s="125"/>
      <c r="K110" s="161">
        <f t="shared" si="3"/>
        <v>0</v>
      </c>
      <c r="L110" s="114">
        <f t="shared" si="4"/>
        <v>0</v>
      </c>
      <c r="M110" s="114"/>
      <c r="N110" s="114">
        <f t="shared" si="5"/>
        <v>0</v>
      </c>
      <c r="O110" s="48"/>
      <c r="P110" s="48"/>
      <c r="Q110" s="48"/>
      <c r="R110" s="48"/>
      <c r="S110" s="48"/>
      <c r="T110" s="48"/>
      <c r="U110" s="48"/>
      <c r="V110" s="48"/>
      <c r="W110" s="48"/>
      <c r="Y110" s="77"/>
      <c r="Z110" s="77"/>
      <c r="AA110" s="77"/>
      <c r="AB110" s="77"/>
      <c r="AC110" s="77"/>
      <c r="AD110" s="77"/>
      <c r="AE110" s="77"/>
      <c r="AF110" s="77"/>
    </row>
    <row r="111" spans="1:32" s="1" customFormat="1" x14ac:dyDescent="0.25">
      <c r="A111" s="112"/>
      <c r="B111" s="112"/>
      <c r="C111" s="113">
        <v>2</v>
      </c>
      <c r="D111" s="127"/>
      <c r="E111" s="115"/>
      <c r="F111" s="115"/>
      <c r="G111" s="115"/>
      <c r="H111" s="124"/>
      <c r="I111" s="125"/>
      <c r="J111" s="125"/>
      <c r="K111" s="161">
        <f t="shared" si="3"/>
        <v>0</v>
      </c>
      <c r="L111" s="114">
        <f t="shared" si="4"/>
        <v>0</v>
      </c>
      <c r="M111" s="114"/>
      <c r="N111" s="114">
        <f t="shared" si="5"/>
        <v>0</v>
      </c>
      <c r="O111" s="50"/>
      <c r="P111" s="50"/>
      <c r="Q111" s="50"/>
      <c r="R111" s="50"/>
      <c r="S111" s="50"/>
      <c r="T111" s="50"/>
      <c r="U111" s="50"/>
      <c r="V111" s="50"/>
      <c r="W111" s="50"/>
      <c r="Y111" s="75"/>
      <c r="Z111" s="75"/>
      <c r="AA111" s="75"/>
      <c r="AB111" s="75"/>
      <c r="AC111" s="75"/>
      <c r="AD111" s="75"/>
      <c r="AE111" s="75"/>
      <c r="AF111" s="75"/>
    </row>
    <row r="112" spans="1:32" s="1" customFormat="1" x14ac:dyDescent="0.25">
      <c r="A112" s="112"/>
      <c r="B112" s="112">
        <v>2</v>
      </c>
      <c r="C112" s="113">
        <v>1</v>
      </c>
      <c r="D112" s="127"/>
      <c r="E112" s="115"/>
      <c r="F112" s="115"/>
      <c r="G112" s="115"/>
      <c r="H112" s="124"/>
      <c r="I112" s="125"/>
      <c r="J112" s="125"/>
      <c r="K112" s="161">
        <f t="shared" si="3"/>
        <v>0</v>
      </c>
      <c r="L112" s="114">
        <f t="shared" si="4"/>
        <v>0</v>
      </c>
      <c r="M112" s="114"/>
      <c r="N112" s="114">
        <f t="shared" si="5"/>
        <v>0</v>
      </c>
      <c r="O112" s="50"/>
      <c r="P112" s="50"/>
      <c r="Q112" s="50"/>
      <c r="R112" s="50"/>
      <c r="S112" s="50"/>
      <c r="T112" s="50"/>
      <c r="U112" s="50"/>
      <c r="V112" s="50"/>
      <c r="W112" s="50"/>
      <c r="Y112" s="75"/>
      <c r="Z112" s="75"/>
      <c r="AA112" s="75"/>
      <c r="AB112" s="75"/>
      <c r="AC112" s="75"/>
      <c r="AD112" s="75"/>
      <c r="AE112" s="75"/>
      <c r="AF112" s="75"/>
    </row>
    <row r="113" spans="1:32" s="1" customFormat="1" x14ac:dyDescent="0.25">
      <c r="A113" s="112"/>
      <c r="B113" s="112"/>
      <c r="C113" s="113">
        <v>2</v>
      </c>
      <c r="D113" s="127"/>
      <c r="E113" s="115"/>
      <c r="F113" s="115"/>
      <c r="G113" s="115"/>
      <c r="H113" s="124"/>
      <c r="I113" s="125"/>
      <c r="J113" s="125"/>
      <c r="K113" s="161">
        <f t="shared" ref="K113:K157" si="6">IF(J113&gt;0,1000,0)</f>
        <v>0</v>
      </c>
      <c r="L113" s="114">
        <f t="shared" ref="L113:L157" si="7">IF(K113&gt;0,3,0)</f>
        <v>0</v>
      </c>
      <c r="M113" s="114"/>
      <c r="N113" s="114">
        <f t="shared" ref="N113:N157" si="8">J113</f>
        <v>0</v>
      </c>
      <c r="O113" s="50"/>
      <c r="P113" s="50"/>
      <c r="Q113" s="50"/>
      <c r="R113" s="50"/>
      <c r="S113" s="50"/>
      <c r="T113" s="50"/>
      <c r="U113" s="50"/>
      <c r="V113" s="50"/>
      <c r="W113" s="50"/>
      <c r="Y113" s="75"/>
      <c r="Z113" s="75"/>
      <c r="AA113" s="75"/>
      <c r="AB113" s="75"/>
      <c r="AC113" s="75"/>
      <c r="AD113" s="75"/>
      <c r="AE113" s="75"/>
      <c r="AF113" s="75"/>
    </row>
    <row r="114" spans="1:32" s="1" customFormat="1" x14ac:dyDescent="0.25">
      <c r="A114" s="112"/>
      <c r="B114" s="112">
        <v>3</v>
      </c>
      <c r="C114" s="113">
        <v>1</v>
      </c>
      <c r="D114" s="127"/>
      <c r="E114" s="115"/>
      <c r="F114" s="115"/>
      <c r="G114" s="115"/>
      <c r="H114" s="124"/>
      <c r="I114" s="125"/>
      <c r="J114" s="125"/>
      <c r="K114" s="161">
        <f t="shared" si="6"/>
        <v>0</v>
      </c>
      <c r="L114" s="114">
        <f t="shared" si="7"/>
        <v>0</v>
      </c>
      <c r="M114" s="114"/>
      <c r="N114" s="114">
        <f t="shared" si="8"/>
        <v>0</v>
      </c>
      <c r="O114" s="50"/>
      <c r="P114" s="50"/>
      <c r="Q114" s="50"/>
      <c r="R114" s="50"/>
      <c r="S114" s="50"/>
      <c r="T114" s="50"/>
      <c r="U114" s="50"/>
      <c r="V114" s="50"/>
      <c r="W114" s="50"/>
      <c r="Y114" s="75"/>
      <c r="Z114" s="75"/>
      <c r="AA114" s="75"/>
      <c r="AB114" s="75"/>
      <c r="AC114" s="75"/>
      <c r="AD114" s="75"/>
      <c r="AE114" s="75"/>
      <c r="AF114" s="75"/>
    </row>
    <row r="115" spans="1:32" s="1" customFormat="1" x14ac:dyDescent="0.25">
      <c r="A115" s="112"/>
      <c r="B115" s="112"/>
      <c r="C115" s="113">
        <v>2</v>
      </c>
      <c r="D115" s="127"/>
      <c r="E115" s="115"/>
      <c r="F115" s="115"/>
      <c r="G115" s="115"/>
      <c r="H115" s="124"/>
      <c r="I115" s="125"/>
      <c r="J115" s="125"/>
      <c r="K115" s="161">
        <f t="shared" si="6"/>
        <v>0</v>
      </c>
      <c r="L115" s="114">
        <f t="shared" si="7"/>
        <v>0</v>
      </c>
      <c r="M115" s="114"/>
      <c r="N115" s="114">
        <f t="shared" si="8"/>
        <v>0</v>
      </c>
      <c r="O115" s="50"/>
      <c r="P115" s="50"/>
      <c r="Q115" s="50"/>
      <c r="R115" s="50"/>
      <c r="S115" s="50"/>
      <c r="T115" s="50"/>
      <c r="U115" s="50"/>
      <c r="V115" s="50"/>
      <c r="W115" s="50"/>
      <c r="Y115" s="75"/>
      <c r="Z115" s="75"/>
      <c r="AA115" s="75"/>
      <c r="AB115" s="75"/>
      <c r="AC115" s="75"/>
      <c r="AD115" s="75"/>
      <c r="AE115" s="75"/>
      <c r="AF115" s="75"/>
    </row>
    <row r="116" spans="1:32" s="1" customFormat="1" x14ac:dyDescent="0.25">
      <c r="A116" s="112"/>
      <c r="B116" s="112">
        <v>4</v>
      </c>
      <c r="C116" s="113">
        <v>1</v>
      </c>
      <c r="D116" s="127"/>
      <c r="E116" s="115"/>
      <c r="F116" s="115"/>
      <c r="G116" s="115"/>
      <c r="H116" s="124"/>
      <c r="I116" s="125"/>
      <c r="J116" s="125"/>
      <c r="K116" s="161">
        <f t="shared" si="6"/>
        <v>0</v>
      </c>
      <c r="L116" s="114">
        <f t="shared" si="7"/>
        <v>0</v>
      </c>
      <c r="M116" s="114"/>
      <c r="N116" s="114">
        <f t="shared" si="8"/>
        <v>0</v>
      </c>
      <c r="O116" s="50"/>
      <c r="P116" s="50"/>
      <c r="Q116" s="50"/>
      <c r="R116" s="50"/>
      <c r="S116" s="50"/>
      <c r="T116" s="50"/>
      <c r="U116" s="50"/>
      <c r="V116" s="50"/>
      <c r="W116" s="50"/>
      <c r="Y116" s="75"/>
      <c r="Z116" s="75"/>
      <c r="AA116" s="75"/>
      <c r="AB116" s="75"/>
      <c r="AC116" s="75"/>
      <c r="AD116" s="75"/>
      <c r="AE116" s="75"/>
      <c r="AF116" s="75"/>
    </row>
    <row r="117" spans="1:32" s="1" customFormat="1" x14ac:dyDescent="0.25">
      <c r="A117" s="112"/>
      <c r="B117" s="112"/>
      <c r="C117" s="113">
        <v>2</v>
      </c>
      <c r="D117" s="127"/>
      <c r="E117" s="115"/>
      <c r="F117" s="115"/>
      <c r="G117" s="115"/>
      <c r="H117" s="124"/>
      <c r="I117" s="125"/>
      <c r="J117" s="125"/>
      <c r="K117" s="161">
        <f t="shared" si="6"/>
        <v>0</v>
      </c>
      <c r="L117" s="114">
        <f t="shared" si="7"/>
        <v>0</v>
      </c>
      <c r="M117" s="114"/>
      <c r="N117" s="114">
        <f t="shared" si="8"/>
        <v>0</v>
      </c>
      <c r="O117" s="50"/>
      <c r="P117" s="50"/>
      <c r="Q117" s="50"/>
      <c r="R117" s="50"/>
      <c r="S117" s="50"/>
      <c r="T117" s="50"/>
      <c r="U117" s="50"/>
      <c r="V117" s="50"/>
      <c r="W117" s="50"/>
      <c r="Y117" s="75"/>
      <c r="Z117" s="75"/>
      <c r="AA117" s="75"/>
      <c r="AB117" s="75"/>
      <c r="AC117" s="75"/>
      <c r="AD117" s="75"/>
      <c r="AE117" s="75"/>
      <c r="AF117" s="75"/>
    </row>
    <row r="118" spans="1:32" s="1" customFormat="1" x14ac:dyDescent="0.25">
      <c r="A118" s="112"/>
      <c r="B118" s="112">
        <v>5</v>
      </c>
      <c r="C118" s="113">
        <v>1</v>
      </c>
      <c r="D118" s="127"/>
      <c r="E118" s="115"/>
      <c r="F118" s="115"/>
      <c r="G118" s="115"/>
      <c r="H118" s="124"/>
      <c r="I118" s="125"/>
      <c r="J118" s="125"/>
      <c r="K118" s="161">
        <f t="shared" si="6"/>
        <v>0</v>
      </c>
      <c r="L118" s="114">
        <f t="shared" si="7"/>
        <v>0</v>
      </c>
      <c r="M118" s="114"/>
      <c r="N118" s="114">
        <f t="shared" si="8"/>
        <v>0</v>
      </c>
      <c r="O118" s="50"/>
      <c r="P118" s="50"/>
      <c r="Q118" s="50"/>
      <c r="R118" s="50"/>
      <c r="S118" s="50"/>
      <c r="T118" s="50"/>
      <c r="U118" s="50"/>
      <c r="V118" s="50"/>
      <c r="W118" s="50"/>
      <c r="Y118" s="75"/>
      <c r="Z118" s="75"/>
      <c r="AA118" s="75"/>
      <c r="AB118" s="75"/>
      <c r="AC118" s="75"/>
      <c r="AD118" s="75"/>
      <c r="AE118" s="75"/>
      <c r="AF118" s="75"/>
    </row>
    <row r="119" spans="1:32" s="1" customFormat="1" x14ac:dyDescent="0.25">
      <c r="A119" s="112"/>
      <c r="B119" s="112"/>
      <c r="C119" s="113">
        <v>2</v>
      </c>
      <c r="D119" s="127"/>
      <c r="E119" s="115"/>
      <c r="F119" s="115"/>
      <c r="G119" s="115"/>
      <c r="H119" s="124"/>
      <c r="I119" s="125"/>
      <c r="J119" s="125"/>
      <c r="K119" s="161">
        <f t="shared" si="6"/>
        <v>0</v>
      </c>
      <c r="L119" s="114">
        <f t="shared" si="7"/>
        <v>0</v>
      </c>
      <c r="M119" s="114"/>
      <c r="N119" s="114">
        <f t="shared" si="8"/>
        <v>0</v>
      </c>
      <c r="O119" s="50"/>
      <c r="P119" s="50"/>
      <c r="Q119" s="50"/>
      <c r="R119" s="50"/>
      <c r="S119" s="50"/>
      <c r="T119" s="50"/>
      <c r="U119" s="50"/>
      <c r="V119" s="50"/>
      <c r="W119" s="50"/>
      <c r="Y119" s="75"/>
      <c r="Z119" s="75"/>
      <c r="AA119" s="75"/>
      <c r="AB119" s="75"/>
      <c r="AC119" s="75"/>
      <c r="AD119" s="75"/>
      <c r="AE119" s="75"/>
      <c r="AF119" s="75"/>
    </row>
    <row r="120" spans="1:32" s="1" customFormat="1" x14ac:dyDescent="0.25">
      <c r="A120" s="112"/>
      <c r="B120" s="112">
        <v>6</v>
      </c>
      <c r="C120" s="113">
        <v>1</v>
      </c>
      <c r="D120" s="127"/>
      <c r="E120" s="115"/>
      <c r="F120" s="115"/>
      <c r="G120" s="115"/>
      <c r="H120" s="124"/>
      <c r="I120" s="125"/>
      <c r="J120" s="125"/>
      <c r="K120" s="161">
        <f t="shared" si="6"/>
        <v>0</v>
      </c>
      <c r="L120" s="114">
        <f t="shared" si="7"/>
        <v>0</v>
      </c>
      <c r="M120" s="114"/>
      <c r="N120" s="114">
        <f t="shared" si="8"/>
        <v>0</v>
      </c>
      <c r="O120" s="50"/>
      <c r="P120" s="50"/>
      <c r="Q120" s="50"/>
      <c r="R120" s="50"/>
      <c r="S120" s="50"/>
      <c r="T120" s="50"/>
      <c r="U120" s="50"/>
      <c r="V120" s="50"/>
      <c r="W120" s="50"/>
      <c r="Y120" s="75"/>
      <c r="Z120" s="75"/>
      <c r="AA120" s="75"/>
      <c r="AB120" s="75"/>
      <c r="AC120" s="75"/>
      <c r="AD120" s="75"/>
      <c r="AE120" s="75"/>
      <c r="AF120" s="75"/>
    </row>
    <row r="121" spans="1:32" s="43" customFormat="1" ht="15.75" thickBot="1" x14ac:dyDescent="0.3">
      <c r="A121" s="119"/>
      <c r="B121" s="119"/>
      <c r="C121" s="120">
        <v>2</v>
      </c>
      <c r="D121" s="121"/>
      <c r="E121" s="115"/>
      <c r="F121" s="115"/>
      <c r="G121" s="115"/>
      <c r="H121" s="124"/>
      <c r="I121" s="125"/>
      <c r="J121" s="125"/>
      <c r="K121" s="161">
        <f t="shared" si="6"/>
        <v>0</v>
      </c>
      <c r="L121" s="114">
        <f t="shared" si="7"/>
        <v>0</v>
      </c>
      <c r="M121" s="114"/>
      <c r="N121" s="114">
        <f t="shared" si="8"/>
        <v>0</v>
      </c>
      <c r="O121" s="54"/>
      <c r="P121" s="54"/>
      <c r="Q121" s="54"/>
      <c r="R121" s="54"/>
      <c r="S121" s="54"/>
      <c r="T121" s="54"/>
      <c r="U121" s="54"/>
      <c r="V121" s="54"/>
      <c r="W121" s="54"/>
      <c r="Y121" s="76"/>
      <c r="Z121" s="76"/>
      <c r="AA121" s="76"/>
      <c r="AB121" s="76"/>
      <c r="AC121" s="76"/>
      <c r="AD121" s="76"/>
      <c r="AE121" s="76"/>
      <c r="AF121" s="76"/>
    </row>
    <row r="122" spans="1:32" s="42" customFormat="1" x14ac:dyDescent="0.25">
      <c r="A122" s="107">
        <v>11</v>
      </c>
      <c r="B122" s="107">
        <v>1</v>
      </c>
      <c r="C122" s="108">
        <v>1</v>
      </c>
      <c r="D122" s="109"/>
      <c r="E122" s="115"/>
      <c r="F122" s="115"/>
      <c r="G122" s="115"/>
      <c r="H122" s="124"/>
      <c r="I122" s="125"/>
      <c r="J122" s="125"/>
      <c r="K122" s="161">
        <f t="shared" si="6"/>
        <v>0</v>
      </c>
      <c r="L122" s="114">
        <f t="shared" si="7"/>
        <v>0</v>
      </c>
      <c r="M122" s="114"/>
      <c r="N122" s="114">
        <f t="shared" si="8"/>
        <v>0</v>
      </c>
      <c r="O122" s="48"/>
      <c r="P122" s="48"/>
      <c r="Q122" s="48"/>
      <c r="R122" s="48"/>
      <c r="S122" s="48"/>
      <c r="T122" s="48"/>
      <c r="U122" s="48"/>
      <c r="V122" s="48"/>
      <c r="W122" s="48"/>
      <c r="Y122" s="77"/>
      <c r="Z122" s="77"/>
      <c r="AA122" s="77"/>
      <c r="AB122" s="77"/>
      <c r="AC122" s="77"/>
      <c r="AD122" s="77"/>
      <c r="AE122" s="77"/>
      <c r="AF122" s="77"/>
    </row>
    <row r="123" spans="1:32" s="1" customFormat="1" x14ac:dyDescent="0.25">
      <c r="A123" s="112"/>
      <c r="B123" s="112"/>
      <c r="C123" s="113">
        <v>2</v>
      </c>
      <c r="D123" s="127"/>
      <c r="E123" s="115"/>
      <c r="F123" s="115"/>
      <c r="G123" s="115"/>
      <c r="H123" s="124"/>
      <c r="I123" s="125"/>
      <c r="J123" s="125"/>
      <c r="K123" s="161">
        <f t="shared" si="6"/>
        <v>0</v>
      </c>
      <c r="L123" s="114">
        <f t="shared" si="7"/>
        <v>0</v>
      </c>
      <c r="M123" s="114"/>
      <c r="N123" s="114">
        <f t="shared" si="8"/>
        <v>0</v>
      </c>
      <c r="O123" s="50"/>
      <c r="P123" s="50"/>
      <c r="Q123" s="50"/>
      <c r="R123" s="50"/>
      <c r="S123" s="50"/>
      <c r="T123" s="50"/>
      <c r="U123" s="50"/>
      <c r="V123" s="50"/>
      <c r="W123" s="50"/>
      <c r="Y123" s="75"/>
      <c r="Z123" s="75"/>
      <c r="AA123" s="75"/>
      <c r="AB123" s="75"/>
      <c r="AC123" s="75"/>
      <c r="AD123" s="75"/>
      <c r="AE123" s="75"/>
      <c r="AF123" s="75"/>
    </row>
    <row r="124" spans="1:32" s="1" customFormat="1" x14ac:dyDescent="0.25">
      <c r="A124" s="112"/>
      <c r="B124" s="112">
        <v>2</v>
      </c>
      <c r="C124" s="113">
        <v>1</v>
      </c>
      <c r="D124" s="127"/>
      <c r="E124" s="115"/>
      <c r="F124" s="115"/>
      <c r="G124" s="115"/>
      <c r="H124" s="124"/>
      <c r="I124" s="125"/>
      <c r="J124" s="125"/>
      <c r="K124" s="161">
        <f t="shared" si="6"/>
        <v>0</v>
      </c>
      <c r="L124" s="114">
        <f t="shared" si="7"/>
        <v>0</v>
      </c>
      <c r="M124" s="114"/>
      <c r="N124" s="114">
        <f t="shared" si="8"/>
        <v>0</v>
      </c>
      <c r="O124" s="50"/>
      <c r="P124" s="50"/>
      <c r="Q124" s="50"/>
      <c r="R124" s="50"/>
      <c r="S124" s="50"/>
      <c r="T124" s="50"/>
      <c r="U124" s="50"/>
      <c r="V124" s="50"/>
      <c r="W124" s="50"/>
      <c r="Y124" s="75"/>
      <c r="Z124" s="75"/>
      <c r="AA124" s="75"/>
      <c r="AB124" s="75"/>
      <c r="AC124" s="75"/>
      <c r="AD124" s="75"/>
      <c r="AE124" s="75"/>
      <c r="AF124" s="75"/>
    </row>
    <row r="125" spans="1:32" s="1" customFormat="1" x14ac:dyDescent="0.25">
      <c r="A125" s="112"/>
      <c r="B125" s="112"/>
      <c r="C125" s="113">
        <v>2</v>
      </c>
      <c r="D125" s="127"/>
      <c r="E125" s="115"/>
      <c r="F125" s="115"/>
      <c r="G125" s="115"/>
      <c r="H125" s="124"/>
      <c r="I125" s="125"/>
      <c r="J125" s="125"/>
      <c r="K125" s="161">
        <f t="shared" si="6"/>
        <v>0</v>
      </c>
      <c r="L125" s="114">
        <f t="shared" si="7"/>
        <v>0</v>
      </c>
      <c r="M125" s="114"/>
      <c r="N125" s="114">
        <f t="shared" si="8"/>
        <v>0</v>
      </c>
      <c r="O125" s="50"/>
      <c r="P125" s="50"/>
      <c r="Q125" s="50"/>
      <c r="R125" s="50"/>
      <c r="S125" s="50"/>
      <c r="T125" s="50"/>
      <c r="U125" s="50"/>
      <c r="V125" s="50"/>
      <c r="W125" s="50"/>
      <c r="Y125" s="75"/>
      <c r="Z125" s="75"/>
      <c r="AA125" s="75"/>
      <c r="AB125" s="75"/>
      <c r="AC125" s="75"/>
      <c r="AD125" s="75"/>
      <c r="AE125" s="75"/>
      <c r="AF125" s="75"/>
    </row>
    <row r="126" spans="1:32" s="1" customFormat="1" x14ac:dyDescent="0.25">
      <c r="A126" s="112"/>
      <c r="B126" s="112">
        <v>3</v>
      </c>
      <c r="C126" s="113">
        <v>1</v>
      </c>
      <c r="D126" s="127"/>
      <c r="E126" s="115"/>
      <c r="F126" s="115"/>
      <c r="G126" s="115"/>
      <c r="H126" s="124"/>
      <c r="I126" s="125"/>
      <c r="J126" s="125"/>
      <c r="K126" s="161">
        <f t="shared" si="6"/>
        <v>0</v>
      </c>
      <c r="L126" s="114">
        <f t="shared" si="7"/>
        <v>0</v>
      </c>
      <c r="M126" s="114"/>
      <c r="N126" s="114">
        <f t="shared" si="8"/>
        <v>0</v>
      </c>
      <c r="O126" s="50"/>
      <c r="P126" s="50"/>
      <c r="Q126" s="50"/>
      <c r="R126" s="50"/>
      <c r="S126" s="50"/>
      <c r="T126" s="50"/>
      <c r="U126" s="50"/>
      <c r="V126" s="50"/>
      <c r="W126" s="50"/>
      <c r="Y126" s="75"/>
      <c r="Z126" s="75"/>
      <c r="AA126" s="75"/>
      <c r="AB126" s="75"/>
      <c r="AC126" s="75"/>
      <c r="AD126" s="75"/>
      <c r="AE126" s="75"/>
      <c r="AF126" s="75"/>
    </row>
    <row r="127" spans="1:32" s="1" customFormat="1" x14ac:dyDescent="0.25">
      <c r="A127" s="112"/>
      <c r="B127" s="112"/>
      <c r="C127" s="113">
        <v>2</v>
      </c>
      <c r="D127" s="127"/>
      <c r="E127" s="115"/>
      <c r="F127" s="115"/>
      <c r="G127" s="115"/>
      <c r="H127" s="124"/>
      <c r="I127" s="125"/>
      <c r="J127" s="125"/>
      <c r="K127" s="161">
        <f t="shared" si="6"/>
        <v>0</v>
      </c>
      <c r="L127" s="114">
        <f t="shared" si="7"/>
        <v>0</v>
      </c>
      <c r="M127" s="114"/>
      <c r="N127" s="114">
        <f t="shared" si="8"/>
        <v>0</v>
      </c>
      <c r="O127" s="50"/>
      <c r="P127" s="50"/>
      <c r="Q127" s="50"/>
      <c r="R127" s="50"/>
      <c r="S127" s="50"/>
      <c r="T127" s="50"/>
      <c r="U127" s="50"/>
      <c r="V127" s="50"/>
      <c r="W127" s="50"/>
      <c r="Y127" s="75"/>
      <c r="Z127" s="75"/>
      <c r="AA127" s="75"/>
      <c r="AB127" s="75"/>
      <c r="AC127" s="75"/>
      <c r="AD127" s="75"/>
      <c r="AE127" s="75"/>
      <c r="AF127" s="75"/>
    </row>
    <row r="128" spans="1:32" s="1" customFormat="1" x14ac:dyDescent="0.25">
      <c r="A128" s="112"/>
      <c r="B128" s="112">
        <v>4</v>
      </c>
      <c r="C128" s="113">
        <v>1</v>
      </c>
      <c r="D128" s="127"/>
      <c r="E128" s="115"/>
      <c r="F128" s="115"/>
      <c r="G128" s="115"/>
      <c r="H128" s="124"/>
      <c r="I128" s="125"/>
      <c r="J128" s="125"/>
      <c r="K128" s="161">
        <f t="shared" si="6"/>
        <v>0</v>
      </c>
      <c r="L128" s="114">
        <f t="shared" si="7"/>
        <v>0</v>
      </c>
      <c r="M128" s="114"/>
      <c r="N128" s="114">
        <f t="shared" si="8"/>
        <v>0</v>
      </c>
      <c r="O128" s="50"/>
      <c r="P128" s="50"/>
      <c r="Q128" s="50"/>
      <c r="R128" s="50"/>
      <c r="S128" s="50"/>
      <c r="T128" s="50"/>
      <c r="U128" s="50"/>
      <c r="V128" s="50"/>
      <c r="W128" s="50"/>
      <c r="Y128" s="75"/>
      <c r="Z128" s="75"/>
      <c r="AA128" s="75"/>
      <c r="AB128" s="75"/>
      <c r="AC128" s="75"/>
      <c r="AD128" s="75"/>
      <c r="AE128" s="75"/>
      <c r="AF128" s="75"/>
    </row>
    <row r="129" spans="1:32" s="1" customFormat="1" x14ac:dyDescent="0.25">
      <c r="A129" s="112"/>
      <c r="B129" s="112"/>
      <c r="C129" s="113">
        <v>2</v>
      </c>
      <c r="D129" s="127"/>
      <c r="E129" s="115"/>
      <c r="F129" s="115"/>
      <c r="G129" s="115"/>
      <c r="H129" s="124"/>
      <c r="I129" s="125"/>
      <c r="J129" s="125"/>
      <c r="K129" s="161">
        <f t="shared" si="6"/>
        <v>0</v>
      </c>
      <c r="L129" s="114">
        <f t="shared" si="7"/>
        <v>0</v>
      </c>
      <c r="M129" s="114"/>
      <c r="N129" s="114">
        <f t="shared" si="8"/>
        <v>0</v>
      </c>
      <c r="O129" s="50"/>
      <c r="P129" s="50"/>
      <c r="Q129" s="50"/>
      <c r="R129" s="50"/>
      <c r="S129" s="50"/>
      <c r="T129" s="50"/>
      <c r="U129" s="50"/>
      <c r="V129" s="50"/>
      <c r="W129" s="50"/>
      <c r="Y129" s="75"/>
      <c r="Z129" s="75"/>
      <c r="AA129" s="75"/>
      <c r="AB129" s="75"/>
      <c r="AC129" s="75"/>
      <c r="AD129" s="75"/>
      <c r="AE129" s="75"/>
      <c r="AF129" s="75"/>
    </row>
    <row r="130" spans="1:32" s="1" customFormat="1" x14ac:dyDescent="0.25">
      <c r="A130" s="112"/>
      <c r="B130" s="112">
        <v>5</v>
      </c>
      <c r="C130" s="113">
        <v>1</v>
      </c>
      <c r="D130" s="127"/>
      <c r="E130" s="115"/>
      <c r="F130" s="115"/>
      <c r="G130" s="115"/>
      <c r="H130" s="124"/>
      <c r="I130" s="125"/>
      <c r="J130" s="125"/>
      <c r="K130" s="161">
        <f t="shared" si="6"/>
        <v>0</v>
      </c>
      <c r="L130" s="114">
        <f t="shared" si="7"/>
        <v>0</v>
      </c>
      <c r="M130" s="114"/>
      <c r="N130" s="114">
        <f t="shared" si="8"/>
        <v>0</v>
      </c>
      <c r="O130" s="50"/>
      <c r="P130" s="50"/>
      <c r="Q130" s="50"/>
      <c r="R130" s="50"/>
      <c r="S130" s="50"/>
      <c r="T130" s="50"/>
      <c r="U130" s="50"/>
      <c r="V130" s="50"/>
      <c r="W130" s="50"/>
      <c r="Y130" s="75"/>
      <c r="Z130" s="75"/>
      <c r="AA130" s="75"/>
      <c r="AB130" s="75"/>
      <c r="AC130" s="75"/>
      <c r="AD130" s="75"/>
      <c r="AE130" s="75"/>
      <c r="AF130" s="75"/>
    </row>
    <row r="131" spans="1:32" s="1" customFormat="1" x14ac:dyDescent="0.25">
      <c r="A131" s="112"/>
      <c r="B131" s="112"/>
      <c r="C131" s="113">
        <v>2</v>
      </c>
      <c r="D131" s="127"/>
      <c r="E131" s="115"/>
      <c r="F131" s="115"/>
      <c r="G131" s="115"/>
      <c r="H131" s="124"/>
      <c r="I131" s="125"/>
      <c r="J131" s="125"/>
      <c r="K131" s="161">
        <f t="shared" si="6"/>
        <v>0</v>
      </c>
      <c r="L131" s="114">
        <f t="shared" si="7"/>
        <v>0</v>
      </c>
      <c r="M131" s="114"/>
      <c r="N131" s="114">
        <f t="shared" si="8"/>
        <v>0</v>
      </c>
      <c r="O131" s="50"/>
      <c r="P131" s="50"/>
      <c r="Q131" s="50"/>
      <c r="R131" s="50"/>
      <c r="S131" s="50"/>
      <c r="T131" s="50"/>
      <c r="U131" s="50"/>
      <c r="V131" s="50"/>
      <c r="W131" s="50"/>
      <c r="Y131" s="75"/>
      <c r="Z131" s="75"/>
      <c r="AA131" s="75"/>
      <c r="AB131" s="75"/>
      <c r="AC131" s="75"/>
      <c r="AD131" s="75"/>
      <c r="AE131" s="75"/>
      <c r="AF131" s="75"/>
    </row>
    <row r="132" spans="1:32" s="1" customFormat="1" x14ac:dyDescent="0.25">
      <c r="A132" s="112"/>
      <c r="B132" s="112">
        <v>6</v>
      </c>
      <c r="C132" s="113">
        <v>1</v>
      </c>
      <c r="D132" s="127"/>
      <c r="E132" s="115"/>
      <c r="F132" s="115"/>
      <c r="G132" s="115"/>
      <c r="H132" s="124"/>
      <c r="I132" s="125"/>
      <c r="J132" s="125"/>
      <c r="K132" s="161">
        <f t="shared" si="6"/>
        <v>0</v>
      </c>
      <c r="L132" s="114">
        <f t="shared" si="7"/>
        <v>0</v>
      </c>
      <c r="M132" s="114"/>
      <c r="N132" s="114">
        <f t="shared" si="8"/>
        <v>0</v>
      </c>
      <c r="O132" s="50"/>
      <c r="P132" s="50"/>
      <c r="Q132" s="50"/>
      <c r="R132" s="50"/>
      <c r="S132" s="50"/>
      <c r="T132" s="50"/>
      <c r="U132" s="50"/>
      <c r="V132" s="50"/>
      <c r="W132" s="50"/>
      <c r="Y132" s="75"/>
      <c r="Z132" s="75"/>
      <c r="AA132" s="75"/>
      <c r="AB132" s="75"/>
      <c r="AC132" s="75"/>
      <c r="AD132" s="75"/>
      <c r="AE132" s="75"/>
      <c r="AF132" s="75"/>
    </row>
    <row r="133" spans="1:32" s="43" customFormat="1" ht="15.75" thickBot="1" x14ac:dyDescent="0.3">
      <c r="A133" s="119"/>
      <c r="B133" s="119"/>
      <c r="C133" s="120">
        <v>2</v>
      </c>
      <c r="D133" s="121"/>
      <c r="E133" s="115"/>
      <c r="F133" s="115"/>
      <c r="G133" s="115"/>
      <c r="H133" s="124"/>
      <c r="I133" s="125"/>
      <c r="J133" s="125"/>
      <c r="K133" s="161">
        <f t="shared" si="6"/>
        <v>0</v>
      </c>
      <c r="L133" s="114">
        <f t="shared" si="7"/>
        <v>0</v>
      </c>
      <c r="M133" s="114"/>
      <c r="N133" s="114">
        <f t="shared" si="8"/>
        <v>0</v>
      </c>
      <c r="O133" s="54"/>
      <c r="P133" s="54"/>
      <c r="Q133" s="54"/>
      <c r="R133" s="54"/>
      <c r="S133" s="54"/>
      <c r="T133" s="54"/>
      <c r="U133" s="54"/>
      <c r="V133" s="54"/>
      <c r="W133" s="54"/>
      <c r="Y133" s="76"/>
      <c r="Z133" s="76"/>
      <c r="AA133" s="76"/>
      <c r="AB133" s="76"/>
      <c r="AC133" s="76"/>
      <c r="AD133" s="76"/>
      <c r="AE133" s="76"/>
      <c r="AF133" s="76"/>
    </row>
    <row r="134" spans="1:32" s="42" customFormat="1" x14ac:dyDescent="0.25">
      <c r="A134" s="107">
        <v>12</v>
      </c>
      <c r="B134" s="107">
        <v>1</v>
      </c>
      <c r="C134" s="108">
        <v>1</v>
      </c>
      <c r="D134" s="109"/>
      <c r="E134" s="115"/>
      <c r="F134" s="115"/>
      <c r="G134" s="115"/>
      <c r="H134" s="124"/>
      <c r="I134" s="125"/>
      <c r="J134" s="125"/>
      <c r="K134" s="161">
        <f t="shared" si="6"/>
        <v>0</v>
      </c>
      <c r="L134" s="114">
        <f t="shared" si="7"/>
        <v>0</v>
      </c>
      <c r="M134" s="114"/>
      <c r="N134" s="114">
        <f t="shared" si="8"/>
        <v>0</v>
      </c>
      <c r="O134" s="48"/>
      <c r="P134" s="48"/>
      <c r="Q134" s="48"/>
      <c r="R134" s="48"/>
      <c r="S134" s="48"/>
      <c r="T134" s="48"/>
      <c r="U134" s="48"/>
      <c r="V134" s="48"/>
      <c r="W134" s="48"/>
      <c r="Y134" s="77"/>
      <c r="Z134" s="77"/>
      <c r="AA134" s="77"/>
      <c r="AB134" s="77"/>
      <c r="AC134" s="77"/>
      <c r="AD134" s="77"/>
      <c r="AE134" s="77"/>
      <c r="AF134" s="77"/>
    </row>
    <row r="135" spans="1:32" s="1" customFormat="1" x14ac:dyDescent="0.25">
      <c r="A135" s="112"/>
      <c r="B135" s="112"/>
      <c r="C135" s="113">
        <v>2</v>
      </c>
      <c r="D135" s="127"/>
      <c r="E135" s="115"/>
      <c r="F135" s="115"/>
      <c r="G135" s="115"/>
      <c r="H135" s="124"/>
      <c r="I135" s="125"/>
      <c r="J135" s="125"/>
      <c r="K135" s="161">
        <f t="shared" si="6"/>
        <v>0</v>
      </c>
      <c r="L135" s="114">
        <f t="shared" si="7"/>
        <v>0</v>
      </c>
      <c r="M135" s="114"/>
      <c r="N135" s="114">
        <f t="shared" si="8"/>
        <v>0</v>
      </c>
      <c r="O135" s="50"/>
      <c r="P135" s="50"/>
      <c r="Q135" s="50"/>
      <c r="R135" s="50"/>
      <c r="S135" s="50"/>
      <c r="T135" s="50"/>
      <c r="U135" s="50"/>
      <c r="V135" s="50"/>
      <c r="W135" s="50"/>
      <c r="Y135" s="75"/>
      <c r="Z135" s="75"/>
      <c r="AA135" s="75"/>
      <c r="AB135" s="75"/>
      <c r="AC135" s="75"/>
      <c r="AD135" s="75"/>
      <c r="AE135" s="75"/>
      <c r="AF135" s="75"/>
    </row>
    <row r="136" spans="1:32" s="1" customFormat="1" x14ac:dyDescent="0.25">
      <c r="A136" s="112"/>
      <c r="B136" s="112">
        <v>2</v>
      </c>
      <c r="C136" s="113">
        <v>1</v>
      </c>
      <c r="D136" s="127"/>
      <c r="E136" s="115"/>
      <c r="F136" s="115"/>
      <c r="G136" s="115"/>
      <c r="H136" s="124"/>
      <c r="I136" s="125"/>
      <c r="J136" s="125"/>
      <c r="K136" s="161">
        <f t="shared" si="6"/>
        <v>0</v>
      </c>
      <c r="L136" s="114">
        <f t="shared" si="7"/>
        <v>0</v>
      </c>
      <c r="M136" s="114"/>
      <c r="N136" s="114">
        <f t="shared" si="8"/>
        <v>0</v>
      </c>
      <c r="O136" s="50"/>
      <c r="P136" s="50"/>
      <c r="Q136" s="50"/>
      <c r="R136" s="50"/>
      <c r="S136" s="50"/>
      <c r="T136" s="50"/>
      <c r="U136" s="50"/>
      <c r="V136" s="50"/>
      <c r="W136" s="50"/>
      <c r="Y136" s="75"/>
      <c r="Z136" s="75"/>
      <c r="AA136" s="75"/>
      <c r="AB136" s="75"/>
      <c r="AC136" s="75"/>
      <c r="AD136" s="75"/>
      <c r="AE136" s="75"/>
      <c r="AF136" s="75"/>
    </row>
    <row r="137" spans="1:32" s="1" customFormat="1" x14ac:dyDescent="0.25">
      <c r="A137" s="112"/>
      <c r="B137" s="112"/>
      <c r="C137" s="113">
        <v>2</v>
      </c>
      <c r="D137" s="127"/>
      <c r="E137" s="115"/>
      <c r="F137" s="115"/>
      <c r="G137" s="115"/>
      <c r="H137" s="124"/>
      <c r="I137" s="125"/>
      <c r="J137" s="125"/>
      <c r="K137" s="161">
        <f t="shared" si="6"/>
        <v>0</v>
      </c>
      <c r="L137" s="114">
        <f t="shared" si="7"/>
        <v>0</v>
      </c>
      <c r="M137" s="114"/>
      <c r="N137" s="114">
        <f t="shared" si="8"/>
        <v>0</v>
      </c>
      <c r="O137" s="50"/>
      <c r="P137" s="50"/>
      <c r="Q137" s="50"/>
      <c r="R137" s="50"/>
      <c r="S137" s="50"/>
      <c r="T137" s="50"/>
      <c r="U137" s="50"/>
      <c r="V137" s="50"/>
      <c r="W137" s="50"/>
      <c r="Y137" s="75"/>
      <c r="Z137" s="75"/>
      <c r="AA137" s="75"/>
      <c r="AB137" s="75"/>
      <c r="AC137" s="75"/>
      <c r="AD137" s="75"/>
      <c r="AE137" s="75"/>
      <c r="AF137" s="75"/>
    </row>
    <row r="138" spans="1:32" s="1" customFormat="1" x14ac:dyDescent="0.25">
      <c r="A138" s="112"/>
      <c r="B138" s="112">
        <v>3</v>
      </c>
      <c r="C138" s="113">
        <v>1</v>
      </c>
      <c r="D138" s="127"/>
      <c r="E138" s="115"/>
      <c r="F138" s="115"/>
      <c r="G138" s="115"/>
      <c r="H138" s="124"/>
      <c r="I138" s="125"/>
      <c r="J138" s="125"/>
      <c r="K138" s="161">
        <f t="shared" si="6"/>
        <v>0</v>
      </c>
      <c r="L138" s="114">
        <f t="shared" si="7"/>
        <v>0</v>
      </c>
      <c r="M138" s="114"/>
      <c r="N138" s="114">
        <f t="shared" si="8"/>
        <v>0</v>
      </c>
      <c r="O138" s="50"/>
      <c r="P138" s="50"/>
      <c r="Q138" s="50"/>
      <c r="R138" s="50"/>
      <c r="S138" s="50"/>
      <c r="T138" s="50"/>
      <c r="U138" s="50"/>
      <c r="V138" s="50"/>
      <c r="W138" s="50"/>
      <c r="Y138" s="75"/>
      <c r="Z138" s="75"/>
      <c r="AA138" s="75"/>
      <c r="AB138" s="75"/>
      <c r="AC138" s="75"/>
      <c r="AD138" s="75"/>
      <c r="AE138" s="75"/>
      <c r="AF138" s="75"/>
    </row>
    <row r="139" spans="1:32" s="1" customFormat="1" x14ac:dyDescent="0.25">
      <c r="A139" s="112"/>
      <c r="B139" s="112"/>
      <c r="C139" s="113">
        <v>2</v>
      </c>
      <c r="D139" s="127"/>
      <c r="E139" s="115"/>
      <c r="F139" s="115"/>
      <c r="G139" s="115"/>
      <c r="H139" s="124"/>
      <c r="I139" s="125"/>
      <c r="J139" s="125"/>
      <c r="K139" s="161">
        <f t="shared" si="6"/>
        <v>0</v>
      </c>
      <c r="L139" s="114">
        <f t="shared" si="7"/>
        <v>0</v>
      </c>
      <c r="M139" s="114"/>
      <c r="N139" s="114">
        <f t="shared" si="8"/>
        <v>0</v>
      </c>
      <c r="O139" s="50"/>
      <c r="P139" s="50"/>
      <c r="Q139" s="50"/>
      <c r="R139" s="50"/>
      <c r="S139" s="50"/>
      <c r="T139" s="50"/>
      <c r="U139" s="50"/>
      <c r="V139" s="50"/>
      <c r="W139" s="50"/>
      <c r="Y139" s="75"/>
      <c r="Z139" s="75"/>
      <c r="AA139" s="75"/>
      <c r="AB139" s="75"/>
      <c r="AC139" s="75"/>
      <c r="AD139" s="75"/>
      <c r="AE139" s="75"/>
      <c r="AF139" s="75"/>
    </row>
    <row r="140" spans="1:32" s="1" customFormat="1" x14ac:dyDescent="0.25">
      <c r="A140" s="112"/>
      <c r="B140" s="112">
        <v>4</v>
      </c>
      <c r="C140" s="113">
        <v>1</v>
      </c>
      <c r="D140" s="127"/>
      <c r="E140" s="115"/>
      <c r="F140" s="115"/>
      <c r="G140" s="115"/>
      <c r="H140" s="124"/>
      <c r="I140" s="125"/>
      <c r="J140" s="125"/>
      <c r="K140" s="161">
        <f t="shared" si="6"/>
        <v>0</v>
      </c>
      <c r="L140" s="114">
        <f t="shared" si="7"/>
        <v>0</v>
      </c>
      <c r="M140" s="114"/>
      <c r="N140" s="114">
        <f t="shared" si="8"/>
        <v>0</v>
      </c>
      <c r="O140" s="50"/>
      <c r="P140" s="50"/>
      <c r="Q140" s="50"/>
      <c r="R140" s="50"/>
      <c r="S140" s="50"/>
      <c r="T140" s="50"/>
      <c r="U140" s="50"/>
      <c r="V140" s="50"/>
      <c r="W140" s="50"/>
      <c r="Y140" s="75"/>
      <c r="Z140" s="75"/>
      <c r="AA140" s="75"/>
      <c r="AB140" s="75"/>
      <c r="AC140" s="75"/>
      <c r="AD140" s="75"/>
      <c r="AE140" s="75"/>
      <c r="AF140" s="75"/>
    </row>
    <row r="141" spans="1:32" s="1" customFormat="1" x14ac:dyDescent="0.25">
      <c r="A141" s="112"/>
      <c r="B141" s="112"/>
      <c r="C141" s="113">
        <v>2</v>
      </c>
      <c r="D141" s="127"/>
      <c r="E141" s="115"/>
      <c r="F141" s="115"/>
      <c r="G141" s="115"/>
      <c r="H141" s="124"/>
      <c r="I141" s="125"/>
      <c r="J141" s="125"/>
      <c r="K141" s="161">
        <f t="shared" si="6"/>
        <v>0</v>
      </c>
      <c r="L141" s="114">
        <f t="shared" si="7"/>
        <v>0</v>
      </c>
      <c r="M141" s="114"/>
      <c r="N141" s="114">
        <f t="shared" si="8"/>
        <v>0</v>
      </c>
      <c r="O141" s="50"/>
      <c r="P141" s="50"/>
      <c r="Q141" s="50"/>
      <c r="R141" s="50"/>
      <c r="S141" s="50"/>
      <c r="T141" s="50"/>
      <c r="U141" s="50"/>
      <c r="V141" s="50"/>
      <c r="W141" s="50"/>
      <c r="Y141" s="75"/>
      <c r="Z141" s="75"/>
      <c r="AA141" s="75"/>
      <c r="AB141" s="75"/>
      <c r="AC141" s="75"/>
      <c r="AD141" s="75"/>
      <c r="AE141" s="75"/>
      <c r="AF141" s="75"/>
    </row>
    <row r="142" spans="1:32" s="1" customFormat="1" x14ac:dyDescent="0.25">
      <c r="A142" s="112"/>
      <c r="B142" s="112">
        <v>5</v>
      </c>
      <c r="C142" s="113">
        <v>1</v>
      </c>
      <c r="D142" s="127"/>
      <c r="E142" s="115"/>
      <c r="F142" s="115"/>
      <c r="G142" s="115"/>
      <c r="H142" s="124"/>
      <c r="I142" s="125"/>
      <c r="J142" s="125"/>
      <c r="K142" s="161">
        <f t="shared" si="6"/>
        <v>0</v>
      </c>
      <c r="L142" s="114">
        <f t="shared" si="7"/>
        <v>0</v>
      </c>
      <c r="M142" s="114"/>
      <c r="N142" s="114">
        <f t="shared" si="8"/>
        <v>0</v>
      </c>
      <c r="O142" s="50"/>
      <c r="P142" s="50"/>
      <c r="Q142" s="50"/>
      <c r="R142" s="50"/>
      <c r="S142" s="50"/>
      <c r="T142" s="50"/>
      <c r="U142" s="50"/>
      <c r="V142" s="50"/>
      <c r="W142" s="50"/>
      <c r="Y142" s="75"/>
      <c r="Z142" s="75"/>
      <c r="AA142" s="75"/>
      <c r="AB142" s="75"/>
      <c r="AC142" s="75"/>
      <c r="AD142" s="75"/>
      <c r="AE142" s="75"/>
      <c r="AF142" s="75"/>
    </row>
    <row r="143" spans="1:32" s="1" customFormat="1" x14ac:dyDescent="0.25">
      <c r="A143" s="112"/>
      <c r="B143" s="112"/>
      <c r="C143" s="113">
        <v>2</v>
      </c>
      <c r="D143" s="127"/>
      <c r="E143" s="115"/>
      <c r="F143" s="115"/>
      <c r="G143" s="115"/>
      <c r="H143" s="124"/>
      <c r="I143" s="125"/>
      <c r="J143" s="125"/>
      <c r="K143" s="161">
        <f t="shared" si="6"/>
        <v>0</v>
      </c>
      <c r="L143" s="114">
        <f t="shared" si="7"/>
        <v>0</v>
      </c>
      <c r="M143" s="114"/>
      <c r="N143" s="114">
        <f t="shared" si="8"/>
        <v>0</v>
      </c>
      <c r="O143" s="50"/>
      <c r="P143" s="50"/>
      <c r="Q143" s="50"/>
      <c r="R143" s="50"/>
      <c r="S143" s="50"/>
      <c r="T143" s="50"/>
      <c r="U143" s="50"/>
      <c r="V143" s="50"/>
      <c r="W143" s="50"/>
      <c r="Y143" s="75"/>
      <c r="Z143" s="75"/>
      <c r="AA143" s="75"/>
      <c r="AB143" s="75"/>
      <c r="AC143" s="75"/>
      <c r="AD143" s="75"/>
      <c r="AE143" s="75"/>
      <c r="AF143" s="75"/>
    </row>
    <row r="144" spans="1:32" s="1" customFormat="1" x14ac:dyDescent="0.25">
      <c r="A144" s="112"/>
      <c r="B144" s="112">
        <v>6</v>
      </c>
      <c r="C144" s="113">
        <v>1</v>
      </c>
      <c r="D144" s="127"/>
      <c r="E144" s="115"/>
      <c r="F144" s="115"/>
      <c r="G144" s="115"/>
      <c r="H144" s="124"/>
      <c r="I144" s="125"/>
      <c r="J144" s="125"/>
      <c r="K144" s="161">
        <f t="shared" si="6"/>
        <v>0</v>
      </c>
      <c r="L144" s="114">
        <f t="shared" si="7"/>
        <v>0</v>
      </c>
      <c r="M144" s="114"/>
      <c r="N144" s="114">
        <f t="shared" si="8"/>
        <v>0</v>
      </c>
      <c r="O144" s="50"/>
      <c r="P144" s="50"/>
      <c r="Q144" s="50"/>
      <c r="R144" s="50"/>
      <c r="S144" s="50"/>
      <c r="T144" s="50"/>
      <c r="U144" s="50"/>
      <c r="V144" s="50"/>
      <c r="W144" s="50"/>
      <c r="Y144" s="75"/>
      <c r="Z144" s="75"/>
      <c r="AA144" s="75"/>
      <c r="AB144" s="75"/>
      <c r="AC144" s="75"/>
      <c r="AD144" s="75"/>
      <c r="AE144" s="75"/>
      <c r="AF144" s="75"/>
    </row>
    <row r="145" spans="1:32" s="43" customFormat="1" ht="15.75" thickBot="1" x14ac:dyDescent="0.3">
      <c r="A145" s="119"/>
      <c r="B145" s="119"/>
      <c r="C145" s="120">
        <v>2</v>
      </c>
      <c r="D145" s="121"/>
      <c r="E145" s="115"/>
      <c r="F145" s="115"/>
      <c r="G145" s="115"/>
      <c r="H145" s="124"/>
      <c r="I145" s="125"/>
      <c r="J145" s="125"/>
      <c r="K145" s="161">
        <f t="shared" si="6"/>
        <v>0</v>
      </c>
      <c r="L145" s="114">
        <f t="shared" si="7"/>
        <v>0</v>
      </c>
      <c r="M145" s="114"/>
      <c r="N145" s="114">
        <f t="shared" si="8"/>
        <v>0</v>
      </c>
      <c r="O145" s="54"/>
      <c r="P145" s="54"/>
      <c r="Q145" s="54"/>
      <c r="R145" s="54"/>
      <c r="S145" s="54"/>
      <c r="T145" s="54"/>
      <c r="U145" s="54"/>
      <c r="V145" s="54"/>
      <c r="W145" s="54"/>
      <c r="Y145" s="76"/>
      <c r="Z145" s="76"/>
      <c r="AA145" s="76"/>
      <c r="AB145" s="76"/>
      <c r="AC145" s="76"/>
      <c r="AD145" s="76"/>
      <c r="AE145" s="76"/>
      <c r="AF145" s="76"/>
    </row>
    <row r="146" spans="1:32" s="42" customFormat="1" x14ac:dyDescent="0.25">
      <c r="A146" s="107">
        <v>13</v>
      </c>
      <c r="B146" s="107">
        <v>1</v>
      </c>
      <c r="C146" s="108">
        <v>1</v>
      </c>
      <c r="D146" s="109"/>
      <c r="E146" s="115"/>
      <c r="F146" s="115"/>
      <c r="G146" s="115"/>
      <c r="H146" s="124"/>
      <c r="I146" s="125"/>
      <c r="J146" s="125"/>
      <c r="K146" s="161">
        <f t="shared" si="6"/>
        <v>0</v>
      </c>
      <c r="L146" s="114">
        <f t="shared" si="7"/>
        <v>0</v>
      </c>
      <c r="M146" s="114"/>
      <c r="N146" s="114">
        <f t="shared" si="8"/>
        <v>0</v>
      </c>
      <c r="O146" s="48"/>
      <c r="P146" s="48"/>
      <c r="Q146" s="48"/>
      <c r="R146" s="48"/>
      <c r="S146" s="48"/>
      <c r="T146" s="48"/>
      <c r="U146" s="48"/>
      <c r="V146" s="48"/>
      <c r="W146" s="48"/>
      <c r="Y146" s="77"/>
      <c r="Z146" s="77"/>
      <c r="AA146" s="77"/>
      <c r="AB146" s="77"/>
      <c r="AC146" s="77"/>
      <c r="AD146" s="77"/>
      <c r="AE146" s="77"/>
      <c r="AF146" s="77"/>
    </row>
    <row r="147" spans="1:32" s="1" customFormat="1" x14ac:dyDescent="0.25">
      <c r="A147" s="112"/>
      <c r="B147" s="112"/>
      <c r="C147" s="113">
        <v>2</v>
      </c>
      <c r="D147" s="127"/>
      <c r="E147" s="115"/>
      <c r="F147" s="115"/>
      <c r="G147" s="115"/>
      <c r="H147" s="124"/>
      <c r="I147" s="125"/>
      <c r="J147" s="125"/>
      <c r="K147" s="161">
        <f t="shared" si="6"/>
        <v>0</v>
      </c>
      <c r="L147" s="114">
        <f t="shared" si="7"/>
        <v>0</v>
      </c>
      <c r="M147" s="114"/>
      <c r="N147" s="114">
        <f t="shared" si="8"/>
        <v>0</v>
      </c>
      <c r="O147" s="50"/>
      <c r="P147" s="50"/>
      <c r="Q147" s="50"/>
      <c r="R147" s="50"/>
      <c r="S147" s="50"/>
      <c r="T147" s="50"/>
      <c r="U147" s="50"/>
      <c r="V147" s="50"/>
      <c r="W147" s="50"/>
      <c r="Y147" s="75"/>
      <c r="Z147" s="75"/>
      <c r="AA147" s="75"/>
      <c r="AB147" s="75"/>
      <c r="AC147" s="75"/>
      <c r="AD147" s="75"/>
      <c r="AE147" s="75"/>
      <c r="AF147" s="75"/>
    </row>
    <row r="148" spans="1:32" s="1" customFormat="1" x14ac:dyDescent="0.25">
      <c r="A148" s="112"/>
      <c r="B148" s="112">
        <v>2</v>
      </c>
      <c r="C148" s="113">
        <v>1</v>
      </c>
      <c r="D148" s="127"/>
      <c r="E148" s="115"/>
      <c r="F148" s="115"/>
      <c r="G148" s="115"/>
      <c r="H148" s="124"/>
      <c r="I148" s="125"/>
      <c r="J148" s="125"/>
      <c r="K148" s="161">
        <f t="shared" si="6"/>
        <v>0</v>
      </c>
      <c r="L148" s="114">
        <f t="shared" si="7"/>
        <v>0</v>
      </c>
      <c r="M148" s="114"/>
      <c r="N148" s="114">
        <f t="shared" si="8"/>
        <v>0</v>
      </c>
      <c r="O148" s="50"/>
      <c r="P148" s="50"/>
      <c r="Q148" s="50"/>
      <c r="R148" s="50"/>
      <c r="S148" s="50"/>
      <c r="T148" s="50"/>
      <c r="U148" s="50"/>
      <c r="V148" s="50"/>
      <c r="W148" s="50"/>
      <c r="Y148" s="75"/>
      <c r="Z148" s="75"/>
      <c r="AA148" s="75"/>
      <c r="AB148" s="75"/>
      <c r="AC148" s="75"/>
      <c r="AD148" s="75"/>
      <c r="AE148" s="75"/>
      <c r="AF148" s="75"/>
    </row>
    <row r="149" spans="1:32" s="1" customFormat="1" x14ac:dyDescent="0.25">
      <c r="A149" s="112"/>
      <c r="B149" s="112"/>
      <c r="C149" s="113">
        <v>2</v>
      </c>
      <c r="D149" s="127"/>
      <c r="E149" s="115"/>
      <c r="F149" s="115"/>
      <c r="G149" s="115"/>
      <c r="H149" s="124"/>
      <c r="I149" s="125"/>
      <c r="J149" s="125"/>
      <c r="K149" s="161">
        <f t="shared" si="6"/>
        <v>0</v>
      </c>
      <c r="L149" s="114">
        <f t="shared" si="7"/>
        <v>0</v>
      </c>
      <c r="M149" s="114"/>
      <c r="N149" s="114">
        <f t="shared" si="8"/>
        <v>0</v>
      </c>
      <c r="O149" s="50"/>
      <c r="P149" s="50"/>
      <c r="Q149" s="50"/>
      <c r="R149" s="50"/>
      <c r="S149" s="50"/>
      <c r="T149" s="50"/>
      <c r="U149" s="50"/>
      <c r="V149" s="50"/>
      <c r="W149" s="50"/>
      <c r="Y149" s="75"/>
      <c r="Z149" s="75"/>
      <c r="AA149" s="75"/>
      <c r="AB149" s="75"/>
      <c r="AC149" s="75"/>
      <c r="AD149" s="75"/>
      <c r="AE149" s="75"/>
      <c r="AF149" s="75"/>
    </row>
    <row r="150" spans="1:32" s="1" customFormat="1" x14ac:dyDescent="0.25">
      <c r="A150" s="112"/>
      <c r="B150" s="112">
        <v>3</v>
      </c>
      <c r="C150" s="113">
        <v>1</v>
      </c>
      <c r="D150" s="127"/>
      <c r="E150" s="115"/>
      <c r="F150" s="115"/>
      <c r="G150" s="115"/>
      <c r="H150" s="124"/>
      <c r="I150" s="125"/>
      <c r="J150" s="125"/>
      <c r="K150" s="161">
        <f t="shared" si="6"/>
        <v>0</v>
      </c>
      <c r="L150" s="114">
        <f t="shared" si="7"/>
        <v>0</v>
      </c>
      <c r="M150" s="114"/>
      <c r="N150" s="114">
        <f t="shared" si="8"/>
        <v>0</v>
      </c>
      <c r="O150" s="50"/>
      <c r="P150" s="50"/>
      <c r="Q150" s="50"/>
      <c r="R150" s="50"/>
      <c r="S150" s="50"/>
      <c r="T150" s="50"/>
      <c r="U150" s="50"/>
      <c r="V150" s="50"/>
      <c r="W150" s="50"/>
      <c r="Y150" s="75"/>
      <c r="Z150" s="75"/>
      <c r="AA150" s="75"/>
      <c r="AB150" s="75"/>
      <c r="AC150" s="75"/>
      <c r="AD150" s="75"/>
      <c r="AE150" s="75"/>
      <c r="AF150" s="75"/>
    </row>
    <row r="151" spans="1:32" s="1" customFormat="1" x14ac:dyDescent="0.25">
      <c r="A151" s="112"/>
      <c r="B151" s="112"/>
      <c r="C151" s="113">
        <v>2</v>
      </c>
      <c r="D151" s="127"/>
      <c r="E151" s="115"/>
      <c r="F151" s="115"/>
      <c r="G151" s="115"/>
      <c r="H151" s="124"/>
      <c r="I151" s="125"/>
      <c r="J151" s="125"/>
      <c r="K151" s="161">
        <f t="shared" si="6"/>
        <v>0</v>
      </c>
      <c r="L151" s="114">
        <f t="shared" si="7"/>
        <v>0</v>
      </c>
      <c r="M151" s="114"/>
      <c r="N151" s="114">
        <f t="shared" si="8"/>
        <v>0</v>
      </c>
      <c r="O151" s="50"/>
      <c r="P151" s="50"/>
      <c r="Q151" s="50"/>
      <c r="R151" s="50"/>
      <c r="S151" s="50"/>
      <c r="T151" s="50"/>
      <c r="U151" s="50"/>
      <c r="V151" s="50"/>
      <c r="W151" s="50"/>
      <c r="Y151" s="75"/>
      <c r="Z151" s="75"/>
      <c r="AA151" s="75"/>
      <c r="AB151" s="75"/>
      <c r="AC151" s="75"/>
      <c r="AD151" s="75"/>
      <c r="AE151" s="75"/>
      <c r="AF151" s="75"/>
    </row>
    <row r="152" spans="1:32" s="1" customFormat="1" x14ac:dyDescent="0.25">
      <c r="A152" s="112"/>
      <c r="B152" s="112">
        <v>4</v>
      </c>
      <c r="C152" s="113">
        <v>1</v>
      </c>
      <c r="D152" s="127"/>
      <c r="E152" s="115"/>
      <c r="F152" s="115"/>
      <c r="G152" s="115"/>
      <c r="H152" s="124"/>
      <c r="I152" s="125"/>
      <c r="J152" s="125"/>
      <c r="K152" s="161">
        <f t="shared" si="6"/>
        <v>0</v>
      </c>
      <c r="L152" s="114">
        <f t="shared" si="7"/>
        <v>0</v>
      </c>
      <c r="M152" s="114"/>
      <c r="N152" s="114">
        <f t="shared" si="8"/>
        <v>0</v>
      </c>
      <c r="O152" s="50"/>
      <c r="P152" s="50"/>
      <c r="Q152" s="50"/>
      <c r="R152" s="50"/>
      <c r="S152" s="50"/>
      <c r="T152" s="50"/>
      <c r="U152" s="50"/>
      <c r="V152" s="50"/>
      <c r="W152" s="50"/>
      <c r="Y152" s="75"/>
      <c r="Z152" s="75"/>
      <c r="AA152" s="75"/>
      <c r="AB152" s="75"/>
      <c r="AC152" s="75"/>
      <c r="AD152" s="75"/>
      <c r="AE152" s="75"/>
      <c r="AF152" s="75"/>
    </row>
    <row r="153" spans="1:32" s="1" customFormat="1" x14ac:dyDescent="0.25">
      <c r="A153" s="112"/>
      <c r="B153" s="112"/>
      <c r="C153" s="113">
        <v>2</v>
      </c>
      <c r="D153" s="127"/>
      <c r="E153" s="115"/>
      <c r="F153" s="115"/>
      <c r="G153" s="115"/>
      <c r="H153" s="124"/>
      <c r="I153" s="125"/>
      <c r="J153" s="125"/>
      <c r="K153" s="161">
        <f t="shared" si="6"/>
        <v>0</v>
      </c>
      <c r="L153" s="114">
        <f t="shared" si="7"/>
        <v>0</v>
      </c>
      <c r="M153" s="114"/>
      <c r="N153" s="114">
        <f t="shared" si="8"/>
        <v>0</v>
      </c>
      <c r="O153" s="50"/>
      <c r="P153" s="50"/>
      <c r="Q153" s="50"/>
      <c r="R153" s="50"/>
      <c r="S153" s="50"/>
      <c r="T153" s="50"/>
      <c r="U153" s="50"/>
      <c r="V153" s="50"/>
      <c r="W153" s="50"/>
      <c r="Y153" s="75"/>
      <c r="Z153" s="75"/>
      <c r="AA153" s="75"/>
      <c r="AB153" s="75"/>
      <c r="AC153" s="75"/>
      <c r="AD153" s="75"/>
      <c r="AE153" s="75"/>
      <c r="AF153" s="75"/>
    </row>
    <row r="154" spans="1:32" s="1" customFormat="1" x14ac:dyDescent="0.25">
      <c r="A154" s="112"/>
      <c r="B154" s="112">
        <v>5</v>
      </c>
      <c r="C154" s="113">
        <v>1</v>
      </c>
      <c r="D154" s="127"/>
      <c r="E154" s="115"/>
      <c r="F154" s="115"/>
      <c r="G154" s="115"/>
      <c r="H154" s="124"/>
      <c r="I154" s="125"/>
      <c r="J154" s="125"/>
      <c r="K154" s="161">
        <f t="shared" si="6"/>
        <v>0</v>
      </c>
      <c r="L154" s="114">
        <f t="shared" si="7"/>
        <v>0</v>
      </c>
      <c r="M154" s="114"/>
      <c r="N154" s="114">
        <f t="shared" si="8"/>
        <v>0</v>
      </c>
      <c r="O154" s="50"/>
      <c r="P154" s="50"/>
      <c r="Q154" s="50"/>
      <c r="R154" s="50"/>
      <c r="S154" s="50"/>
      <c r="T154" s="50"/>
      <c r="U154" s="50"/>
      <c r="V154" s="50"/>
      <c r="W154" s="50"/>
      <c r="Y154" s="75"/>
      <c r="Z154" s="75"/>
      <c r="AA154" s="75"/>
      <c r="AB154" s="75"/>
      <c r="AC154" s="75"/>
      <c r="AD154" s="75"/>
      <c r="AE154" s="75"/>
      <c r="AF154" s="75"/>
    </row>
    <row r="155" spans="1:32" s="1" customFormat="1" x14ac:dyDescent="0.25">
      <c r="A155" s="112"/>
      <c r="B155" s="112"/>
      <c r="C155" s="113">
        <v>2</v>
      </c>
      <c r="D155" s="127"/>
      <c r="E155" s="115"/>
      <c r="F155" s="115"/>
      <c r="G155" s="115"/>
      <c r="H155" s="124"/>
      <c r="I155" s="125"/>
      <c r="J155" s="125"/>
      <c r="K155" s="161">
        <f t="shared" si="6"/>
        <v>0</v>
      </c>
      <c r="L155" s="114">
        <f t="shared" si="7"/>
        <v>0</v>
      </c>
      <c r="M155" s="114"/>
      <c r="N155" s="114">
        <f t="shared" si="8"/>
        <v>0</v>
      </c>
      <c r="O155" s="50"/>
      <c r="P155" s="50"/>
      <c r="Q155" s="50"/>
      <c r="R155" s="50"/>
      <c r="S155" s="50"/>
      <c r="T155" s="50"/>
      <c r="U155" s="50"/>
      <c r="V155" s="50"/>
      <c r="W155" s="50"/>
      <c r="Y155" s="75"/>
      <c r="Z155" s="75"/>
      <c r="AA155" s="75"/>
      <c r="AB155" s="75"/>
      <c r="AC155" s="75"/>
      <c r="AD155" s="75"/>
      <c r="AE155" s="75"/>
      <c r="AF155" s="75"/>
    </row>
    <row r="156" spans="1:32" s="1" customFormat="1" x14ac:dyDescent="0.25">
      <c r="A156" s="112"/>
      <c r="B156" s="112">
        <v>6</v>
      </c>
      <c r="C156" s="113">
        <v>1</v>
      </c>
      <c r="D156" s="127"/>
      <c r="E156" s="115"/>
      <c r="F156" s="115"/>
      <c r="G156" s="115"/>
      <c r="H156" s="124"/>
      <c r="I156" s="125"/>
      <c r="J156" s="125"/>
      <c r="K156" s="161">
        <f t="shared" si="6"/>
        <v>0</v>
      </c>
      <c r="L156" s="114">
        <f t="shared" si="7"/>
        <v>0</v>
      </c>
      <c r="M156" s="114"/>
      <c r="N156" s="114">
        <f t="shared" si="8"/>
        <v>0</v>
      </c>
      <c r="O156" s="50"/>
      <c r="P156" s="50"/>
      <c r="Q156" s="50"/>
      <c r="R156" s="50"/>
      <c r="S156" s="50"/>
      <c r="T156" s="50"/>
      <c r="U156" s="50"/>
      <c r="V156" s="50"/>
      <c r="W156" s="50"/>
      <c r="Y156" s="75"/>
      <c r="Z156" s="75"/>
      <c r="AA156" s="75"/>
      <c r="AB156" s="75"/>
      <c r="AC156" s="75"/>
      <c r="AD156" s="75"/>
      <c r="AE156" s="75"/>
      <c r="AF156" s="75"/>
    </row>
    <row r="157" spans="1:32" s="43" customFormat="1" ht="15.75" thickBot="1" x14ac:dyDescent="0.3">
      <c r="A157" s="119"/>
      <c r="B157" s="119"/>
      <c r="C157" s="120">
        <v>2</v>
      </c>
      <c r="D157" s="121"/>
      <c r="E157" s="115"/>
      <c r="F157" s="115"/>
      <c r="G157" s="115"/>
      <c r="H157" s="124"/>
      <c r="I157" s="125"/>
      <c r="J157" s="125"/>
      <c r="K157" s="161">
        <f t="shared" si="6"/>
        <v>0</v>
      </c>
      <c r="L157" s="114">
        <f t="shared" si="7"/>
        <v>0</v>
      </c>
      <c r="M157" s="114"/>
      <c r="N157" s="114">
        <f t="shared" si="8"/>
        <v>0</v>
      </c>
      <c r="O157" s="54"/>
      <c r="P157" s="54"/>
      <c r="Q157" s="54"/>
      <c r="R157" s="54"/>
      <c r="S157" s="54"/>
      <c r="T157" s="54"/>
      <c r="U157" s="54"/>
      <c r="V157" s="54"/>
      <c r="W157" s="54"/>
      <c r="Y157" s="76"/>
      <c r="Z157" s="76"/>
      <c r="AA157" s="76"/>
      <c r="AB157" s="76"/>
      <c r="AC157" s="76"/>
      <c r="AD157" s="76"/>
      <c r="AE157" s="76"/>
      <c r="AF157" s="76"/>
    </row>
    <row r="177" spans="9:9" x14ac:dyDescent="0.25">
      <c r="I177" s="44" t="s">
        <v>80</v>
      </c>
    </row>
    <row r="192" spans="9:9" x14ac:dyDescent="0.25">
      <c r="I192" s="44" t="s">
        <v>80</v>
      </c>
    </row>
    <row r="207" spans="9:9" x14ac:dyDescent="0.25">
      <c r="I207" s="44" t="s">
        <v>80</v>
      </c>
    </row>
    <row r="222" spans="9:9" x14ac:dyDescent="0.25">
      <c r="I222" s="44" t="s">
        <v>80</v>
      </c>
    </row>
  </sheetData>
  <mergeCells count="17">
    <mergeCell ref="Y13:AF13"/>
    <mergeCell ref="Y14:AF14"/>
    <mergeCell ref="Y15:AF15"/>
    <mergeCell ref="Y16:AF16"/>
    <mergeCell ref="Y17:AF17"/>
    <mergeCell ref="Y12:AF12"/>
    <mergeCell ref="Y1:AF1"/>
    <mergeCell ref="Y2:AF2"/>
    <mergeCell ref="Y3:AF3"/>
    <mergeCell ref="Y4:AF4"/>
    <mergeCell ref="Y5:AF5"/>
    <mergeCell ref="Y6:AF6"/>
    <mergeCell ref="Y7:AF7"/>
    <mergeCell ref="Y8:AF8"/>
    <mergeCell ref="Y9:AF9"/>
    <mergeCell ref="Y10:AF10"/>
    <mergeCell ref="Y11:AF11"/>
  </mergeCells>
  <pageMargins left="0.7" right="0.7" top="0.75" bottom="0.75" header="0.3" footer="0.3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472B051D-20D5-4051-B02D-4DDC2470C6C0}"/>
</file>

<file path=customXml/itemProps2.xml><?xml version="1.0" encoding="utf-8"?>
<ds:datastoreItem xmlns:ds="http://schemas.openxmlformats.org/officeDocument/2006/customXml" ds:itemID="{4EE8522B-4050-4879-B546-A88DECB80E89}"/>
</file>

<file path=customXml/itemProps3.xml><?xml version="1.0" encoding="utf-8"?>
<ds:datastoreItem xmlns:ds="http://schemas.openxmlformats.org/officeDocument/2006/customXml" ds:itemID="{3B7A5E85-B1CE-41B9-B46D-C68E5832D4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 &amp; Isc Test Result</vt:lpstr>
      <vt:lpstr>Raw Data_Mod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IV Testing calculator</dc:title>
  <dc:creator>Natheera;Cornelius</dc:creator>
  <cp:lastModifiedBy>Cornelius Rheeders</cp:lastModifiedBy>
  <cp:lastPrinted>2020-08-13T11:31:09Z</cp:lastPrinted>
  <dcterms:created xsi:type="dcterms:W3CDTF">2018-02-07T08:25:45Z</dcterms:created>
  <dcterms:modified xsi:type="dcterms:W3CDTF">2021-07-21T08:46:29Z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Order">
    <vt:r8>3200</vt:r8>
  </property>
</Properties>
</file>