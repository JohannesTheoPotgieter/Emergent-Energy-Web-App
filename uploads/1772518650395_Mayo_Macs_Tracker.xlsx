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5" documentId="13_ncr:1_{1105B07F-F171-4862-8655-443C5BBE49A9}" xr6:coauthVersionLast="47" xr6:coauthVersionMax="47" xr10:uidLastSave="{BF8F7819-7E2E-4EFD-8513-4CD26DB4A4A0}"/>
  <bookViews>
    <workbookView xWindow="28680" yWindow="-120" windowWidth="29040" windowHeight="15720" tabRatio="708" firstSheet="6" activeTab="6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Cashflow" sheetId="6" r:id="rId6"/>
    <sheet name="Expenditure Breakdown" sheetId="4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60" r:id="rId15"/>
    <pivotCache cacheId="6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1" i="4" l="1"/>
  <c r="E22" i="5"/>
  <c r="R15" i="4"/>
  <c r="R140" i="4"/>
  <c r="V118" i="4"/>
  <c r="K57" i="2" l="1"/>
  <c r="W74" i="4"/>
  <c r="R68" i="4"/>
  <c r="R69" i="4"/>
  <c r="M23" i="13"/>
  <c r="V129" i="4"/>
  <c r="W101" i="4"/>
  <c r="R101" i="4"/>
  <c r="X100" i="4" s="1"/>
  <c r="J19" i="3" s="1"/>
  <c r="N19" i="3" s="1"/>
  <c r="T31" i="4"/>
  <c r="W48" i="4"/>
  <c r="W49" i="4"/>
  <c r="R136" i="4"/>
  <c r="X129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B8" i="4"/>
  <c r="D6" i="7" s="1"/>
  <c r="AB47" i="4"/>
  <c r="AA47" i="4"/>
  <c r="R25" i="4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G26" i="4"/>
  <c r="T128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AB13" i="4"/>
  <c r="D11" i="7" s="1"/>
  <c r="R23" i="4"/>
  <c r="Q33" i="4"/>
  <c r="Q27" i="4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9" i="4"/>
  <c r="F23" i="3" s="1"/>
  <c r="J118" i="4"/>
  <c r="F22" i="3" s="1"/>
  <c r="J100" i="4"/>
  <c r="F19" i="3" s="1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V23" i="4"/>
  <c r="W96" i="4"/>
  <c r="W51" i="4"/>
  <c r="W33" i="4"/>
  <c r="G24" i="13"/>
  <c r="F24" i="13"/>
  <c r="E24" i="13"/>
  <c r="I24" i="13"/>
  <c r="J24" i="13"/>
  <c r="H24" i="13"/>
  <c r="D24" i="13"/>
  <c r="O23" i="13"/>
  <c r="K24" i="13"/>
  <c r="D23" i="7" l="1"/>
  <c r="J23" i="7" s="1"/>
  <c r="H6" i="5"/>
  <c r="R27" i="4"/>
  <c r="R92" i="4"/>
  <c r="R90" i="4"/>
  <c r="R94" i="4"/>
  <c r="R81" i="4"/>
  <c r="R79" i="4"/>
  <c r="R84" i="4"/>
  <c r="AD11" i="4"/>
  <c r="D9" i="7"/>
  <c r="J12" i="7"/>
  <c r="O12" i="7"/>
  <c r="AF50" i="4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U8" i="4"/>
  <c r="R30" i="4"/>
  <c r="R96" i="4"/>
  <c r="N23" i="3"/>
  <c r="L23" i="3"/>
  <c r="W114" i="4"/>
  <c r="T114" i="4" s="1"/>
  <c r="W113" i="4"/>
  <c r="T113" i="4" s="1"/>
  <c r="AB9" i="4"/>
  <c r="J23" i="4"/>
  <c r="F12" i="3" s="1"/>
  <c r="L21" i="3"/>
  <c r="U16" i="4"/>
  <c r="J10" i="3"/>
  <c r="N10" i="3" s="1"/>
  <c r="E22" i="7"/>
  <c r="J22" i="7"/>
  <c r="O11" i="7"/>
  <c r="J11" i="7"/>
  <c r="O25" i="7"/>
  <c r="O20" i="7"/>
  <c r="J6" i="7"/>
  <c r="V35" i="4"/>
  <c r="F10" i="3"/>
  <c r="E9" i="7" l="1"/>
  <c r="J9" i="7"/>
  <c r="O23" i="7"/>
  <c r="O9" i="7"/>
  <c r="AF51" i="4"/>
  <c r="AF52" i="4"/>
  <c r="O8" i="7"/>
  <c r="E8" i="7"/>
  <c r="G17" i="6"/>
  <c r="R46" i="4"/>
  <c r="R49" i="4"/>
  <c r="R51" i="4"/>
  <c r="O22" i="7"/>
  <c r="J8" i="7"/>
  <c r="R50" i="4"/>
  <c r="R48" i="4"/>
  <c r="F5" i="3"/>
  <c r="D5" i="5" s="1"/>
  <c r="D6" i="5" s="1"/>
  <c r="L11" i="3"/>
  <c r="K17" i="6"/>
  <c r="H36" i="9"/>
  <c r="J15" i="3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X43" i="4" l="1"/>
  <c r="J14" i="3" s="1"/>
  <c r="N15" i="3"/>
  <c r="L15" i="3"/>
  <c r="D7" i="5"/>
  <c r="G6" i="5"/>
  <c r="C5" i="6"/>
  <c r="F25" i="3"/>
  <c r="U43" i="4"/>
  <c r="V43" i="4" s="1"/>
  <c r="H43" i="9"/>
  <c r="U97" i="4"/>
  <c r="V87" i="4" s="1"/>
  <c r="J18" i="3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N16" i="3"/>
  <c r="L16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J5" i="3" l="1"/>
  <c r="J25" i="3" s="1"/>
  <c r="N14" i="3"/>
  <c r="L14" i="3"/>
  <c r="U152" i="4"/>
  <c r="L18" i="3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L5" i="3" l="1"/>
  <c r="F5" i="5"/>
  <c r="H25" i="3"/>
  <c r="M18" i="6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 l="1"/>
  <c r="F7" i="5" s="1"/>
  <c r="C11" i="6"/>
  <c r="Q1" i="6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U18" i="6"/>
  <c r="H90" i="4"/>
  <c r="H89" i="4"/>
  <c r="W1" i="6"/>
  <c r="V3" i="6"/>
  <c r="N48" i="2"/>
  <c r="I53" i="2"/>
  <c r="K53" i="2" s="1"/>
  <c r="K48" i="2"/>
  <c r="J48" i="2" s="1"/>
  <c r="G4" i="6"/>
  <c r="U5" i="6" l="1"/>
  <c r="K5" i="6"/>
  <c r="G5" i="6"/>
  <c r="O5" i="6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1" i="6"/>
  <c r="AK5" i="6"/>
  <c r="S6" i="6"/>
  <c r="R7" i="6"/>
  <c r="Q14" i="6"/>
  <c r="R12" i="6"/>
  <c r="AK18" i="6" l="1"/>
  <c r="T6" i="6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1" i="6"/>
  <c r="AQ20" i="6"/>
  <c r="AQ21" i="6" s="1"/>
  <c r="AQ5" i="6"/>
  <c r="AB4" i="6"/>
  <c r="AQ10" i="6"/>
  <c r="Y6" i="6"/>
  <c r="X7" i="6"/>
  <c r="AP3" i="6"/>
  <c r="W14" i="6"/>
  <c r="X12" i="6"/>
  <c r="AQ18" i="6" l="1"/>
  <c r="AC4" i="6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1" i="6"/>
  <c r="BR20" i="6"/>
  <c r="BR21" i="6" s="1"/>
  <c r="BQ9" i="6"/>
  <c r="BQ10" i="6" s="1"/>
  <c r="AX14" i="6"/>
  <c r="AY12" i="6"/>
  <c r="BR18" i="6" l="1"/>
  <c r="BR10" i="6"/>
  <c r="BT1" i="6"/>
  <c r="BS17" i="6"/>
  <c r="BS20" i="6"/>
  <c r="BS21" i="6" s="1"/>
  <c r="BS11" i="6"/>
  <c r="BS5" i="6"/>
  <c r="AY14" i="6"/>
  <c r="AZ12" i="6"/>
  <c r="BD4" i="6"/>
  <c r="BR5" i="6"/>
  <c r="BA6" i="6"/>
  <c r="AZ7" i="6"/>
  <c r="BS18" i="6" l="1"/>
  <c r="AZ14" i="6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1" i="6"/>
  <c r="CF20" i="6"/>
  <c r="CF5" i="6"/>
  <c r="BN6" i="6"/>
  <c r="BM7" i="6"/>
  <c r="CE3" i="6"/>
  <c r="BM12" i="6"/>
  <c r="BL14" i="6"/>
  <c r="CE9" i="6"/>
  <c r="CE10" i="6" s="1"/>
  <c r="CF10" i="6" s="1"/>
  <c r="CF21" i="6" l="1"/>
  <c r="CF18" i="6"/>
  <c r="BM14" i="6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4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5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<sst xmlns="http://schemas.openxmlformats.org/spreadsheetml/2006/main" count="922" uniqueCount="527">
  <si>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</si>
  <si>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</si>
  <si>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</si>
  <si>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</si>
  <si>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</si>
  <si>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</si>
  <si>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</si>
  <si>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</si>
  <si>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</si>
  <si>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</si>
  <si>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</si>
  <si>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</si>
  <si>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</si>
  <si>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</si>
  <si>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</si>
  <si>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</si>
  <si>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</si>
  <si>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</si>
  <si>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</si>
  <si>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</si>
  <si>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</si>
  <si>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</si>
  <si>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</si>
  <si>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</si>
  <si>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</si>
  <si>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</si>
  <si>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</si>
  <si>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</si>
  <si>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</si>
  <si>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</si>
  <si>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</si>
  <si>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</si>
  <si>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</si>
  <si>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</si>
  <si>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</si>
  <si>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</si>
  <si>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</si>
  <si>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</si>
  <si>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</si>
  <si>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</si>
  <si>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</si>
  <si>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</si>
  <si>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</si>
  <si>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</si>
  <si>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</si>
  <si>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</si>
  <si>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</si>
  <si>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</si>
  <si>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</si>
  <si>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</si>
  <si>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</si>
  <si>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</si>
  <si>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</si>
  <si>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</si>
  <si>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</si>
  <si>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</si>
  <si>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</si>
  <si>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</si>
  <si>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</si>
  <si>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</si>
  <si>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</si>
  <si>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</si>
  <si>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</si>
  <si>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</si>
  <si>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</si>
  <si>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</si>
  <si>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</si>
  <si>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</si>
  <si>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</si>
  <si>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</si>
  <si>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</si>
  <si>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</si>
  <si>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</si>
  <si>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</si>
  <si>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</si>
  <si>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</si>
  <si>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</si>
  <si>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</si>
  <si>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</si>
  <si>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</si>
  <si>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</si>
  <si>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</si>
  <si>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</si>
  <si>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</si>
  <si>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</si>
  <si>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</si>
  <si>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</si>
  <si>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</si>
  <si>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</si>
  <si>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</si>
  <si>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</si>
  <si>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</si>
  <si>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</si>
  <si>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</si>
  <si>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</si>
  <si>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</si>
  <si>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</si>
  <si>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</si>
  <si>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</si>
  <si>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</si>
  <si>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</si>
  <si>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</si>
  <si>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</si>
  <si>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</si>
  <si>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</si>
  <si>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</si>
  <si>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</si>
  <si>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</si>
  <si>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</si>
  <si>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</si>
  <si>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</si>
  <si>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</si>
  <si>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</si>
  <si>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</si>
  <si>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DLP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</si>
  <si>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</si>
  <si>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</si>
  <si>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</si>
  <si>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</si>
  <si>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</si>
  <si>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</si>
  <si>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</si>
  <si>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</si>
  <si>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</si>
  <si>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</si>
  <si>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</si>
  <si>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</si>
  <si>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</si>
  <si>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</si>
  <si>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</si>
  <si>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</si>
  <si>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</si>
  <si>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</si>
  <si>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</si>
  <si>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</si>
  <si>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</si>
  <si>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</si>
  <si>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</si>
  <si>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</si>
  <si>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</si>
  <si>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</si>
  <si>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</si>
  <si>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</si>
  <si>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</si>
  <si>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</si>
  <si>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</si>
  <si>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</si>
  <si>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</si>
  <si>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</si>
  <si>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</si>
  <si>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</si>
  <si>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</si>
  <si>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</si>
  <si>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</si>
  <si>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</si>
  <si>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</si>
  <si>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</si>
  <si>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</si>
  <si>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</si>
  <si>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</si>
  <si>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</si>
  <si>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</si>
  <si>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</si>
  <si>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</si>
  <si>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</si>
  <si>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</si>
  <si>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</si>
  <si>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</si>
  <si>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</si>
  <si>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</si>
  <si>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</si>
  <si>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</si>
  <si>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</si>
  <si>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</si>
  <si>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</si>
  <si>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</si>
  <si>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</si>
  <si>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</si>
  <si>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</si>
  <si>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</si>
  <si>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</si>
  <si>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</si>
  <si>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</si>
  <si>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</si>
  <si>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</si>
  <si>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</si>
  <si>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</si>
  <si>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</si>
  <si>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</si>
  <si>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</si>
  <si>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</si>
  <si>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</si>
  <si>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</si>
  <si>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</si>
  <si>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</si>
  <si>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</si>
  <si>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</si>
  <si>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</si>
  <si>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</si>
  <si>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</si>
  <si>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</si>
  <si>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</si>
  <si>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</si>
  <si>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</si>
  <si>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</si>
  <si>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</si>
  <si>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</si>
  <si>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</si>
  <si>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</si>
  <si>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</si>
  <si>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</si>
  <si>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</si>
  <si>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</si>
  <si>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</si>
  <si>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</si>
  <si>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[RT: Double Check the first date is always a MONDAY]</t>
  </si>
  <si>
    <t>CHECK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</si>
  <si>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</si>
  <si>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</si>
  <si>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</si>
  <si>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</si>
  <si>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</si>
  <si>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</si>
  <si>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</si>
  <si>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</si>
  <si>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</si>
  <si>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</si>
  <si>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</si>
  <si>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</si>
  <si>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</si>
  <si>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</si>
  <si>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</si>
  <si>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</si>
  <si>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</si>
  <si>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</si>
  <si>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</si>
  <si>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</si>
  <si>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</si>
  <si>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</si>
  <si>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</si>
  <si>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</si>
  <si>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</si>
  <si>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</si>
  <si>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</si>
  <si>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</si>
  <si>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</si>
  <si>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</si>
  <si>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</si>
  <si>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</si>
  <si>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</si>
  <si>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</si>
  <si>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</si>
  <si>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</si>
  <si>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</si>
  <si>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</si>
  <si>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</si>
  <si>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</si>
  <si>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</si>
  <si>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</si>
  <si>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</si>
  <si>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</si>
  <si>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</si>
  <si>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</si>
  <si>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</si>
  <si>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</si>
  <si>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</si>
  <si>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</si>
  <si>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</si>
  <si>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</si>
  <si>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</si>
  <si>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</si>
  <si>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</si>
  <si>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</si>
  <si>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</si>
  <si>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</si>
  <si>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</si>
  <si>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</si>
  <si>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</si>
  <si>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</si>
  <si>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</si>
  <si>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</si>
  <si>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</si>
  <si>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</si>
  <si>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</si>
  <si>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</si>
  <si>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</si>
  <si>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</si>
  <si>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</si>
  <si>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</si>
  <si>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</si>
  <si>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</si>
  <si>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</si>
  <si>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</si>
  <si>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</si>
  <si>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</si>
  <si>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</si>
  <si>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</si>
  <si>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</si>
  <si>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</si>
  <si>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</si>
  <si>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</si>
  <si>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</si>
  <si>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</si>
  <si>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</si>
  <si>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</si>
  <si>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</si>
  <si>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</si>
  <si>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</si>
  <si>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</si>
  <si>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</si>
  <si>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</si>
  <si>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</si>
  <si>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</si>
  <si>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</si>
  <si>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</si>
  <si>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</si>
  <si>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</si>
  <si>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</si>
  <si>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</si>
  <si>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</si>
  <si>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</si>
  <si>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</si>
  <si>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</si>
  <si>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</si>
  <si>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</si>
  <si>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</si>
  <si>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</si>
  <si>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</si>
  <si>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</si>
  <si>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</si>
  <si>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</si>
  <si>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</si>
  <si>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</si>
  <si>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</si>
  <si>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</si>
  <si>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</si>
  <si>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</si>
  <si>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</si>
  <si>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</si>
  <si>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</si>
  <si>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</si>
  <si>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</si>
  <si>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</si>
  <si>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</si>
  <si>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</si>
  <si>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</si>
  <si>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</si>
  <si>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</si>
  <si>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</si>
  <si>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</si>
  <si>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</si>
  <si>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</si>
  <si>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</si>
  <si>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</si>
  <si>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</si>
  <si>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</si>
  <si>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</si>
  <si>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</si>
  <si>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</si>
  <si>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</si>
  <si>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</si>
  <si>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</si>
  <si>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</si>
  <si>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</si>
  <si>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</si>
  <si>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</si>
  <si>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</si>
  <si>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</si>
  <si>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</si>
  <si>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</si>
  <si>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</si>
  <si>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</si>
  <si>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</si>
  <si>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Energitrack controller &amp; Commission Support - Herholdts</t>
  </si>
  <si>
    <t>Herholdts Inv: INV1126662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</si>
  <si>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</si>
  <si>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</si>
  <si>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</si>
  <si>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</si>
  <si>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</si>
  <si>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</si>
  <si>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</si>
  <si>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</si>
  <si>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</si>
  <si>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</si>
  <si>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</si>
  <si>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</si>
  <si>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</si>
  <si>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</si>
  <si>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</si>
  <si>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</si>
  <si>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</si>
  <si>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</si>
  <si>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</si>
  <si>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</si>
  <si>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</si>
  <si>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</si>
  <si>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</si>
  <si>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</si>
  <si>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</si>
  <si>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</si>
  <si>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</si>
  <si>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</si>
  <si>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</si>
  <si>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</si>
  <si>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</si>
  <si>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</si>
  <si>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</si>
  <si>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</si>
  <si>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</si>
  <si>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</si>
  <si>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</si>
  <si>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>Matriarch Credit  - INV-5196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</si>
  <si>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</si>
  <si>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</si>
  <si>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</si>
  <si>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</si>
  <si>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</si>
  <si>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</si>
  <si>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</si>
  <si>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</si>
  <si>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</si>
  <si>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</si>
  <si>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</si>
  <si>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</si>
  <si>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</si>
  <si>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</si>
  <si>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</si>
  <si>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</si>
  <si>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</si>
  <si>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</si>
  <si>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</si>
  <si>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</si>
  <si>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</si>
  <si>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</si>
  <si>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</si>
  <si>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</si>
  <si>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</si>
  <si>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</si>
  <si>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</si>
  <si>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</si>
  <si>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</si>
  <si>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</si>
  <si>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</si>
  <si>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</si>
  <si>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</si>
  <si>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</si>
  <si>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</si>
  <si>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</si>
  <si>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</si>
  <si>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</si>
  <si>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>MG INV-1589</t>
  </si>
  <si>
    <t>PO4561-MMS-20250121 - RV Approved</t>
  </si>
  <si>
    <t>MG INV-1600</t>
  </si>
  <si>
    <t>Credit Note fore Actual Cost</t>
  </si>
  <si>
    <t>CN-1601</t>
  </si>
  <si>
    <t>DC Modification Scope - Deposit</t>
  </si>
  <si>
    <t>MG INV-1590</t>
  </si>
  <si>
    <t>PO4560-MMS-20250121 - RV Approved</t>
  </si>
  <si>
    <t>DC Modification Scope - Balance</t>
  </si>
  <si>
    <t xml:space="preserve">Matthews Group - INV-1595 </t>
  </si>
  <si>
    <t>Atess On-Site Support</t>
  </si>
  <si>
    <t>Herholdts - INV1236863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</si>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</sst>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  <font>
      <u/>
      <sz val="11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1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1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7" fontId="25" fillId="0" borderId="45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8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8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8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8" fontId="7" fillId="0" borderId="70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164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6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6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79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6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68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6" fontId="6" fillId="13" borderId="29" xfId="3" applyNumberFormat="1" applyFont="1" applyFill="1" applyBorder="1" applyAlignment="1" applyProtection="1">
      <alignment horizontal="center"/>
      <protection locked="0"/>
    </xf>
    <xf numFmtId="166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7" fontId="6" fillId="10" borderId="2" xfId="0" applyNumberFormat="1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7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7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7" fontId="52" fillId="11" borderId="77" xfId="3" applyFont="1" applyFill="1" applyBorder="1" applyAlignment="1" applyProtection="1">
      <alignment horizontal="center"/>
      <protection locked="0"/>
    </xf>
    <xf numFmtId="167" fontId="52" fillId="13" borderId="77" xfId="3" applyFont="1" applyFill="1" applyBorder="1" applyAlignment="1" applyProtection="1">
      <alignment horizontal="center"/>
      <protection locked="0"/>
    </xf>
    <xf numFmtId="167" fontId="52" fillId="10" borderId="77" xfId="3" applyFont="1" applyFill="1" applyBorder="1" applyAlignment="1" applyProtection="1">
      <alignment horizontal="center"/>
      <protection locked="0"/>
    </xf>
    <xf numFmtId="167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7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7" fontId="52" fillId="13" borderId="79" xfId="3" applyFont="1" applyFill="1" applyBorder="1" applyAlignment="1" applyProtection="1">
      <alignment horizontal="center"/>
      <protection locked="0"/>
    </xf>
    <xf numFmtId="167" fontId="52" fillId="11" borderId="87" xfId="3" applyFont="1" applyFill="1" applyBorder="1" applyAlignment="1" applyProtection="1">
      <alignment horizontal="center"/>
      <protection locked="0"/>
    </xf>
    <xf numFmtId="167" fontId="52" fillId="11" borderId="82" xfId="3" applyFont="1" applyFill="1" applyBorder="1" applyAlignment="1" applyProtection="1">
      <alignment horizontal="center"/>
      <protection locked="0"/>
    </xf>
    <xf numFmtId="167" fontId="52" fillId="10" borderId="79" xfId="3" applyFont="1" applyFill="1" applyBorder="1" applyAlignment="1" applyProtection="1">
      <alignment horizontal="center"/>
      <protection locked="0"/>
    </xf>
    <xf numFmtId="167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7" fontId="52" fillId="11" borderId="78" xfId="3" applyFont="1" applyFill="1" applyBorder="1" applyAlignment="1" applyProtection="1">
      <alignment horizontal="center"/>
      <protection locked="0"/>
    </xf>
    <xf numFmtId="167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3" borderId="79" xfId="3" applyFont="1" applyFill="1" applyBorder="1" applyAlignment="1" applyProtection="1">
      <alignment horizontal="center"/>
      <protection locked="0"/>
    </xf>
    <xf numFmtId="167" fontId="5" fillId="13" borderId="76" xfId="3" applyFont="1" applyFill="1" applyBorder="1" applyAlignment="1" applyProtection="1">
      <alignment horizontal="center"/>
      <protection locked="0"/>
    </xf>
    <xf numFmtId="167" fontId="5" fillId="11" borderId="88" xfId="3" applyFont="1" applyFill="1" applyBorder="1" applyAlignment="1" applyProtection="1">
      <alignment horizontal="center"/>
      <protection locked="0"/>
    </xf>
    <xf numFmtId="167" fontId="5" fillId="10" borderId="79" xfId="3" applyFont="1" applyFill="1" applyBorder="1" applyAlignment="1" applyProtection="1">
      <alignment horizontal="center"/>
      <protection locked="0"/>
    </xf>
    <xf numFmtId="167" fontId="5" fillId="11" borderId="76" xfId="3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8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7" fontId="5" fillId="10" borderId="14" xfId="3" applyFont="1" applyFill="1" applyBorder="1" applyAlignment="1" applyProtection="1">
      <alignment horizontal="center"/>
      <protection locked="0"/>
    </xf>
    <xf numFmtId="167" fontId="5" fillId="10" borderId="76" xfId="3" applyFont="1" applyFill="1" applyBorder="1" applyAlignment="1" applyProtection="1">
      <alignment horizontal="center"/>
      <protection locked="0"/>
    </xf>
    <xf numFmtId="167" fontId="5" fillId="13" borderId="78" xfId="3" applyFont="1" applyFill="1" applyBorder="1" applyAlignment="1" applyProtection="1">
      <alignment horizontal="center"/>
      <protection locked="0"/>
    </xf>
    <xf numFmtId="167" fontId="5" fillId="11" borderId="89" xfId="3" applyFont="1" applyFill="1" applyBorder="1" applyAlignment="1" applyProtection="1">
      <alignment horizontal="center"/>
      <protection locked="0"/>
    </xf>
    <xf numFmtId="167" fontId="5" fillId="11" borderId="90" xfId="3" applyFont="1" applyFill="1" applyBorder="1" applyAlignment="1" applyProtection="1">
      <alignment horizontal="center"/>
      <protection locked="0"/>
    </xf>
    <xf numFmtId="164" fontId="0" fillId="0" borderId="0" xfId="0" applyNumberFormat="1"/>
    <xf numFmtId="167" fontId="13" fillId="11" borderId="79" xfId="3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66" fontId="7" fillId="16" borderId="23" xfId="0" applyNumberFormat="1" applyFont="1" applyFill="1" applyBorder="1" applyProtection="1">
      <protection locked="0"/>
    </xf>
    <xf numFmtId="167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6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6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7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8" fontId="5" fillId="10" borderId="15" xfId="0" applyNumberFormat="1" applyFont="1" applyFill="1" applyBorder="1" applyAlignment="1" applyProtection="1">
      <alignment horizontal="center"/>
      <protection locked="0"/>
    </xf>
    <xf numFmtId="167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167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21" fillId="10" borderId="98" xfId="0" applyFont="1" applyFill="1" applyBorder="1" applyAlignment="1" applyProtection="1">
      <alignment horizontal="center"/>
      <protection locked="0"/>
    </xf>
    <xf numFmtId="0" fontId="5" fillId="10" borderId="97" xfId="0" applyFont="1" applyFill="1" applyBorder="1" applyProtection="1">
      <protection locked="0"/>
    </xf>
    <xf numFmtId="0" fontId="6" fillId="10" borderId="97" xfId="0" applyFont="1" applyFill="1" applyBorder="1" applyProtection="1">
      <protection locked="0"/>
    </xf>
    <xf numFmtId="0" fontId="6" fillId="10" borderId="97" xfId="0" applyFont="1" applyFill="1" applyBorder="1" applyAlignment="1" applyProtection="1">
      <alignment horizontal="center" vertical="center"/>
      <protection locked="0"/>
    </xf>
    <xf numFmtId="0" fontId="6" fillId="10" borderId="97" xfId="0" applyFont="1" applyFill="1" applyBorder="1" applyAlignment="1" applyProtection="1">
      <alignment horizontal="center"/>
      <protection locked="0"/>
    </xf>
    <xf numFmtId="168" fontId="5" fillId="10" borderId="97" xfId="0" applyNumberFormat="1" applyFont="1" applyFill="1" applyBorder="1" applyAlignment="1" applyProtection="1">
      <alignment horizontal="center"/>
      <protection locked="0"/>
    </xf>
    <xf numFmtId="167" fontId="5" fillId="10" borderId="99" xfId="3" applyFont="1" applyFill="1" applyBorder="1" applyAlignment="1" applyProtection="1">
      <alignment horizontal="center"/>
      <protection locked="0"/>
    </xf>
    <xf numFmtId="14" fontId="5" fillId="10" borderId="100" xfId="0" applyNumberFormat="1" applyFont="1" applyFill="1" applyBorder="1" applyAlignment="1" applyProtection="1">
      <alignment horizontal="center"/>
      <protection locked="0"/>
    </xf>
    <xf numFmtId="9" fontId="6" fillId="11" borderId="3" xfId="2" applyFont="1" applyFill="1" applyBorder="1" applyAlignment="1" applyProtection="1">
      <alignment horizontal="center"/>
      <protection locked="0"/>
    </xf>
    <xf numFmtId="168" fontId="5" fillId="11" borderId="64" xfId="0" applyNumberFormat="1" applyFont="1" applyFill="1" applyBorder="1" applyAlignment="1" applyProtection="1">
      <alignment horizontal="center"/>
      <protection locked="0"/>
    </xf>
    <xf numFmtId="0" fontId="54" fillId="11" borderId="2" xfId="0" applyFont="1" applyFill="1" applyBorder="1" applyAlignment="1" applyProtection="1">
      <alignment horizontal="center" vertical="center"/>
      <protection locked="0"/>
    </xf>
    <xf numFmtId="14" fontId="5" fillId="11" borderId="101" xfId="0" applyNumberFormat="1" applyFont="1" applyFill="1" applyBorder="1" applyAlignment="1" applyProtection="1">
      <alignment horizontal="center"/>
      <protection locked="0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14" fontId="13" fillId="11" borderId="9" xfId="0" applyNumberFormat="1" applyFont="1" applyFill="1" applyBorder="1" applyAlignment="1" applyProtection="1">
      <alignment horizontal="center"/>
      <protection locked="0"/>
    </xf>
    <xf numFmtId="0" fontId="6" fillId="11" borderId="103" xfId="0" applyFont="1" applyFill="1" applyBorder="1" applyProtection="1">
      <protection locked="0"/>
    </xf>
    <xf numFmtId="0" fontId="21" fillId="11" borderId="104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5" fillId="11" borderId="50" xfId="0" applyFont="1" applyFill="1" applyBorder="1" applyProtection="1">
      <protection locked="0"/>
    </xf>
    <xf numFmtId="0" fontId="21" fillId="11" borderId="49" xfId="0" applyFont="1" applyFill="1" applyBorder="1" applyAlignment="1" applyProtection="1">
      <alignment horizontal="center"/>
      <protection locked="0"/>
    </xf>
    <xf numFmtId="168" fontId="13" fillId="11" borderId="105" xfId="0" applyNumberFormat="1" applyFont="1" applyFill="1" applyBorder="1" applyAlignment="1" applyProtection="1">
      <alignment horizontal="center"/>
      <protection locked="0"/>
    </xf>
    <xf numFmtId="168" fontId="13" fillId="11" borderId="99" xfId="0" applyNumberFormat="1" applyFont="1" applyFill="1" applyBorder="1" applyAlignment="1" applyProtection="1">
      <alignment horizontal="center"/>
      <protection locked="0"/>
    </xf>
    <xf numFmtId="168" fontId="13" fillId="11" borderId="14" xfId="0" applyNumberFormat="1" applyFont="1" applyFill="1" applyBorder="1" applyAlignment="1" applyProtection="1">
      <alignment horizontal="center"/>
      <protection locked="0"/>
    </xf>
    <xf numFmtId="14" fontId="5" fillId="11" borderId="106" xfId="0" applyNumberFormat="1" applyFont="1" applyFill="1" applyBorder="1" applyAlignment="1" applyProtection="1">
      <alignment horizontal="center"/>
      <protection locked="0"/>
    </xf>
    <xf numFmtId="14" fontId="13" fillId="11" borderId="100" xfId="0" applyNumberFormat="1" applyFont="1" applyFill="1" applyBorder="1" applyAlignment="1" applyProtection="1">
      <alignment horizontal="center"/>
      <protection locked="0"/>
    </xf>
    <xf numFmtId="14" fontId="5" fillId="11" borderId="100" xfId="0" applyNumberFormat="1" applyFont="1" applyFill="1" applyBorder="1" applyAlignment="1" applyProtection="1">
      <alignment horizontal="center"/>
      <protection locked="0"/>
    </xf>
    <xf numFmtId="14" fontId="13" fillId="11" borderId="93" xfId="0" applyNumberFormat="1" applyFont="1" applyFill="1" applyBorder="1" applyAlignment="1" applyProtection="1">
      <alignment horizontal="center"/>
      <protection locked="0"/>
    </xf>
    <xf numFmtId="14" fontId="13" fillId="11" borderId="102" xfId="0" applyNumberFormat="1" applyFont="1" applyFill="1" applyBorder="1" applyAlignment="1" applyProtection="1">
      <alignment horizontal="center"/>
      <protection locked="0"/>
    </xf>
    <xf numFmtId="168" fontId="52" fillId="13" borderId="2" xfId="0" applyNumberFormat="1" applyFont="1" applyFill="1" applyBorder="1" applyAlignment="1" applyProtection="1">
      <alignment horizontal="center"/>
      <protection locked="0"/>
    </xf>
    <xf numFmtId="168" fontId="5" fillId="11" borderId="10" xfId="0" applyNumberFormat="1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vertical="center"/>
      <protection locked="0"/>
    </xf>
    <xf numFmtId="14" fontId="23" fillId="11" borderId="73" xfId="0" applyNumberFormat="1" applyFont="1" applyFill="1" applyBorder="1" applyProtection="1">
      <protection locked="0"/>
    </xf>
    <xf numFmtId="0" fontId="5" fillId="11" borderId="2" xfId="0" applyFont="1" applyFill="1" applyBorder="1" applyAlignment="1" applyProtection="1">
      <alignment vertical="center"/>
      <protection locked="0"/>
    </xf>
    <xf numFmtId="167" fontId="13" fillId="7" borderId="0" xfId="3" applyFont="1" applyFill="1" applyAlignment="1" applyProtection="1">
      <alignment horizontal="center" vertical="center"/>
      <protection locked="0"/>
    </xf>
    <xf numFmtId="2" fontId="5" fillId="6" borderId="58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vertical="center"/>
      <protection locked="0"/>
    </xf>
    <xf numFmtId="0" fontId="5" fillId="10" borderId="107" xfId="0" applyFont="1" applyFill="1" applyBorder="1" applyProtection="1">
      <protection locked="0"/>
    </xf>
    <xf numFmtId="0" fontId="5" fillId="10" borderId="108" xfId="0" applyFont="1" applyFill="1" applyBorder="1" applyProtection="1">
      <protection locked="0"/>
    </xf>
    <xf numFmtId="0" fontId="5" fillId="10" borderId="109" xfId="0" applyFont="1" applyFill="1" applyBorder="1" applyProtection="1">
      <protection locked="0"/>
    </xf>
    <xf numFmtId="14" fontId="52" fillId="11" borderId="102" xfId="0" applyNumberFormat="1" applyFont="1" applyFill="1" applyBorder="1" applyAlignment="1" applyProtection="1">
      <alignment horizontal="center"/>
      <protection locked="0"/>
    </xf>
    <xf numFmtId="2" fontId="52" fillId="11" borderId="58" xfId="0" applyNumberFormat="1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8" fontId="7" fillId="10" borderId="56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68" fontId="13" fillId="10" borderId="4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7" fillId="11" borderId="56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8" fontId="5" fillId="18" borderId="94" xfId="0" applyNumberFormat="1" applyFont="1" applyFill="1" applyBorder="1" applyAlignment="1" applyProtection="1">
      <alignment horizontal="center" vertical="center"/>
      <protection locked="0"/>
    </xf>
    <xf numFmtId="168" fontId="5" fillId="18" borderId="2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1" fontId="42" fillId="9" borderId="24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11335636.497499995</c:v>
                </c:pt>
                <c:pt idx="43">
                  <c:v>11376787.947499994</c:v>
                </c:pt>
                <c:pt idx="44">
                  <c:v>11533286.597499995</c:v>
                </c:pt>
                <c:pt idx="45">
                  <c:v>11534936.597499995</c:v>
                </c:pt>
                <c:pt idx="46">
                  <c:v>11534936.597499995</c:v>
                </c:pt>
                <c:pt idx="47">
                  <c:v>11542136.597499995</c:v>
                </c:pt>
                <c:pt idx="48">
                  <c:v>11641644.597499995</c:v>
                </c:pt>
                <c:pt idx="49">
                  <c:v>11641644.597499995</c:v>
                </c:pt>
                <c:pt idx="50">
                  <c:v>11641644.597499995</c:v>
                </c:pt>
                <c:pt idx="51">
                  <c:v>11641644.597499995</c:v>
                </c:pt>
                <c:pt idx="52">
                  <c:v>11641644.597499995</c:v>
                </c:pt>
                <c:pt idx="53">
                  <c:v>11641644.597499995</c:v>
                </c:pt>
                <c:pt idx="54">
                  <c:v>11641644.597499995</c:v>
                </c:pt>
                <c:pt idx="55">
                  <c:v>11641644.597499995</c:v>
                </c:pt>
                <c:pt idx="56">
                  <c:v>11641644.597499995</c:v>
                </c:pt>
                <c:pt idx="57">
                  <c:v>11641644.597499995</c:v>
                </c:pt>
                <c:pt idx="58">
                  <c:v>11641644.597499995</c:v>
                </c:pt>
                <c:pt idx="59">
                  <c:v>11641644.597499995</c:v>
                </c:pt>
                <c:pt idx="60">
                  <c:v>11641644.597499995</c:v>
                </c:pt>
                <c:pt idx="61">
                  <c:v>11657457.597499995</c:v>
                </c:pt>
                <c:pt idx="62">
                  <c:v>11657457.597499995</c:v>
                </c:pt>
                <c:pt idx="63">
                  <c:v>11763293.247499995</c:v>
                </c:pt>
                <c:pt idx="64">
                  <c:v>11694423.247499995</c:v>
                </c:pt>
                <c:pt idx="65">
                  <c:v>11698036.887499996</c:v>
                </c:pt>
                <c:pt idx="66">
                  <c:v>11698036.887499996</c:v>
                </c:pt>
                <c:pt idx="67">
                  <c:v>11698036.887499996</c:v>
                </c:pt>
                <c:pt idx="68">
                  <c:v>11944723.527499996</c:v>
                </c:pt>
                <c:pt idx="69">
                  <c:v>11944723.527499996</c:v>
                </c:pt>
                <c:pt idx="70">
                  <c:v>11944723.527499996</c:v>
                </c:pt>
                <c:pt idx="71">
                  <c:v>11944723.527499996</c:v>
                </c:pt>
                <c:pt idx="72">
                  <c:v>11944723.527499996</c:v>
                </c:pt>
                <c:pt idx="73">
                  <c:v>11987342.527499996</c:v>
                </c:pt>
                <c:pt idx="74">
                  <c:v>11987342.527499996</c:v>
                </c:pt>
                <c:pt idx="75">
                  <c:v>11987342.527499996</c:v>
                </c:pt>
                <c:pt idx="76">
                  <c:v>11987342.527499996</c:v>
                </c:pt>
                <c:pt idx="77">
                  <c:v>11987342.527499996</c:v>
                </c:pt>
                <c:pt idx="78">
                  <c:v>11987342.527499996</c:v>
                </c:pt>
                <c:pt idx="79">
                  <c:v>11987342.527499996</c:v>
                </c:pt>
                <c:pt idx="80">
                  <c:v>11987342.527499996</c:v>
                </c:pt>
                <c:pt idx="81">
                  <c:v>11987342.527499996</c:v>
                </c:pt>
                <c:pt idx="82">
                  <c:v>11987342.527499996</c:v>
                </c:pt>
                <c:pt idx="83">
                  <c:v>11987342.527499996</c:v>
                </c:pt>
                <c:pt idx="84">
                  <c:v>11987342.527499996</c:v>
                </c:pt>
                <c:pt idx="85">
                  <c:v>11987342.527499996</c:v>
                </c:pt>
                <c:pt idx="86">
                  <c:v>11987342.527499996</c:v>
                </c:pt>
                <c:pt idx="87">
                  <c:v>11987342.527499996</c:v>
                </c:pt>
                <c:pt idx="88">
                  <c:v>11987342.527499996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393911.03353650309</c:v>
                </c:pt>
                <c:pt idx="43">
                  <c:v>352759.58353650384</c:v>
                </c:pt>
                <c:pt idx="44">
                  <c:v>196260.93353650346</c:v>
                </c:pt>
                <c:pt idx="45">
                  <c:v>194610.93353650346</c:v>
                </c:pt>
                <c:pt idx="46">
                  <c:v>194610.93353650346</c:v>
                </c:pt>
                <c:pt idx="47">
                  <c:v>187410.93353650346</c:v>
                </c:pt>
                <c:pt idx="48">
                  <c:v>87902.933536503464</c:v>
                </c:pt>
                <c:pt idx="49">
                  <c:v>87902.933536503464</c:v>
                </c:pt>
                <c:pt idx="50">
                  <c:v>87902.933536503464</c:v>
                </c:pt>
                <c:pt idx="51">
                  <c:v>87902.933536503464</c:v>
                </c:pt>
                <c:pt idx="52">
                  <c:v>87902.933536503464</c:v>
                </c:pt>
                <c:pt idx="53">
                  <c:v>87902.933536503464</c:v>
                </c:pt>
                <c:pt idx="54">
                  <c:v>87902.933536503464</c:v>
                </c:pt>
                <c:pt idx="55">
                  <c:v>87902.933536503464</c:v>
                </c:pt>
                <c:pt idx="56">
                  <c:v>87902.933536503464</c:v>
                </c:pt>
                <c:pt idx="57">
                  <c:v>87902.933536503464</c:v>
                </c:pt>
                <c:pt idx="58">
                  <c:v>87902.933536503464</c:v>
                </c:pt>
                <c:pt idx="59">
                  <c:v>87902.933536503464</c:v>
                </c:pt>
                <c:pt idx="60">
                  <c:v>87902.933536503464</c:v>
                </c:pt>
                <c:pt idx="61">
                  <c:v>72089.933536503464</c:v>
                </c:pt>
                <c:pt idx="62">
                  <c:v>72089.933536503464</c:v>
                </c:pt>
                <c:pt idx="63">
                  <c:v>-33745.716463496909</c:v>
                </c:pt>
                <c:pt idx="64">
                  <c:v>35124.283536503091</c:v>
                </c:pt>
                <c:pt idx="65">
                  <c:v>31510.643536502495</c:v>
                </c:pt>
                <c:pt idx="66">
                  <c:v>31510.643536502495</c:v>
                </c:pt>
                <c:pt idx="67">
                  <c:v>31510.643536502495</c:v>
                </c:pt>
                <c:pt idx="68">
                  <c:v>-215175.9964634981</c:v>
                </c:pt>
                <c:pt idx="69">
                  <c:v>-215175.9964634981</c:v>
                </c:pt>
                <c:pt idx="70">
                  <c:v>-215175.9964634981</c:v>
                </c:pt>
                <c:pt idx="71">
                  <c:v>-215175.9964634981</c:v>
                </c:pt>
                <c:pt idx="72">
                  <c:v>-215175.9964634981</c:v>
                </c:pt>
                <c:pt idx="73">
                  <c:v>-257794.9964634981</c:v>
                </c:pt>
                <c:pt idx="74">
                  <c:v>-257794.9964634981</c:v>
                </c:pt>
                <c:pt idx="75">
                  <c:v>-257794.9964634981</c:v>
                </c:pt>
                <c:pt idx="76">
                  <c:v>-257794.9964634981</c:v>
                </c:pt>
                <c:pt idx="77">
                  <c:v>-257794.9964634981</c:v>
                </c:pt>
                <c:pt idx="78">
                  <c:v>-257794.9964634981</c:v>
                </c:pt>
                <c:pt idx="79">
                  <c:v>-257794.9964634981</c:v>
                </c:pt>
                <c:pt idx="80">
                  <c:v>-257794.9964634981</c:v>
                </c:pt>
                <c:pt idx="81">
                  <c:v>-257794.9964634981</c:v>
                </c:pt>
                <c:pt idx="82">
                  <c:v>-257794.9964634981</c:v>
                </c:pt>
                <c:pt idx="83">
                  <c:v>-257794.9964634981</c:v>
                </c:pt>
                <c:pt idx="84">
                  <c:v>-257794.9964634981</c:v>
                </c:pt>
                <c:pt idx="85">
                  <c:v>-257794.9964634981</c:v>
                </c:pt>
                <c:pt idx="86">
                  <c:v>-257794.9964634981</c:v>
                </c:pt>
                <c:pt idx="87">
                  <c:v>-257794.9964634981</c:v>
                </c:pt>
                <c:pt idx="88">
                  <c:v>-257794.9964634981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1618995.2458815388</c:v>
                </c:pt>
                <c:pt idx="9">
                  <c:v>1618995.2458815388</c:v>
                </c:pt>
                <c:pt idx="10">
                  <c:v>1618995.2458815388</c:v>
                </c:pt>
                <c:pt idx="11">
                  <c:v>1618995.2458815388</c:v>
                </c:pt>
                <c:pt idx="12">
                  <c:v>9901770.8860633597</c:v>
                </c:pt>
                <c:pt idx="13">
                  <c:v>9901770.8860633597</c:v>
                </c:pt>
                <c:pt idx="14">
                  <c:v>9901770.8860633597</c:v>
                </c:pt>
                <c:pt idx="15">
                  <c:v>9901770.8860633597</c:v>
                </c:pt>
                <c:pt idx="16">
                  <c:v>10260031.672552535</c:v>
                </c:pt>
                <c:pt idx="17">
                  <c:v>10260031.672552535</c:v>
                </c:pt>
                <c:pt idx="18">
                  <c:v>10260031.672552535</c:v>
                </c:pt>
                <c:pt idx="19">
                  <c:v>10260031.672552535</c:v>
                </c:pt>
                <c:pt idx="20">
                  <c:v>10260031.672552535</c:v>
                </c:pt>
                <c:pt idx="21">
                  <c:v>10342972.018009406</c:v>
                </c:pt>
                <c:pt idx="22">
                  <c:v>10342972.018009406</c:v>
                </c:pt>
                <c:pt idx="23">
                  <c:v>10342972.018009406</c:v>
                </c:pt>
                <c:pt idx="24">
                  <c:v>10342972.018009406</c:v>
                </c:pt>
                <c:pt idx="25">
                  <c:v>11024463.65859215</c:v>
                </c:pt>
                <c:pt idx="26">
                  <c:v>11024463.65859215</c:v>
                </c:pt>
                <c:pt idx="27">
                  <c:v>11024463.65859215</c:v>
                </c:pt>
                <c:pt idx="28">
                  <c:v>11024463.65859215</c:v>
                </c:pt>
                <c:pt idx="29">
                  <c:v>11531401.774053004</c:v>
                </c:pt>
                <c:pt idx="30">
                  <c:v>11531401.774053004</c:v>
                </c:pt>
                <c:pt idx="31">
                  <c:v>11531401.774053004</c:v>
                </c:pt>
                <c:pt idx="32">
                  <c:v>11531401.774053004</c:v>
                </c:pt>
                <c:pt idx="33">
                  <c:v>11531401.774053004</c:v>
                </c:pt>
                <c:pt idx="34">
                  <c:v>11654280.22078163</c:v>
                </c:pt>
                <c:pt idx="35">
                  <c:v>11654280.22078163</c:v>
                </c:pt>
                <c:pt idx="36">
                  <c:v>11654280.22078163</c:v>
                </c:pt>
                <c:pt idx="37">
                  <c:v>11654280.22078163</c:v>
                </c:pt>
                <c:pt idx="38">
                  <c:v>11654280.22078163</c:v>
                </c:pt>
                <c:pt idx="39">
                  <c:v>11654280.22078163</c:v>
                </c:pt>
                <c:pt idx="40">
                  <c:v>11654280.22078163</c:v>
                </c:pt>
                <c:pt idx="41">
                  <c:v>11654280.22078163</c:v>
                </c:pt>
                <c:pt idx="42">
                  <c:v>11750786.53078163</c:v>
                </c:pt>
                <c:pt idx="43">
                  <c:v>11750786.53078163</c:v>
                </c:pt>
                <c:pt idx="44">
                  <c:v>11750786.53078163</c:v>
                </c:pt>
                <c:pt idx="45">
                  <c:v>11750786.53078163</c:v>
                </c:pt>
                <c:pt idx="46">
                  <c:v>11750786.53078163</c:v>
                </c:pt>
                <c:pt idx="47">
                  <c:v>11750786.53078163</c:v>
                </c:pt>
                <c:pt idx="48">
                  <c:v>11750786.53078163</c:v>
                </c:pt>
                <c:pt idx="49">
                  <c:v>11750786.53078163</c:v>
                </c:pt>
                <c:pt idx="50">
                  <c:v>11750786.53078163</c:v>
                </c:pt>
                <c:pt idx="51">
                  <c:v>11750786.53078163</c:v>
                </c:pt>
                <c:pt idx="52">
                  <c:v>11750786.53078163</c:v>
                </c:pt>
                <c:pt idx="53">
                  <c:v>11750786.53078163</c:v>
                </c:pt>
                <c:pt idx="54">
                  <c:v>11750786.53078163</c:v>
                </c:pt>
                <c:pt idx="55">
                  <c:v>11750786.53078163</c:v>
                </c:pt>
                <c:pt idx="56">
                  <c:v>11750786.53078163</c:v>
                </c:pt>
                <c:pt idx="57">
                  <c:v>11750786.53078163</c:v>
                </c:pt>
                <c:pt idx="58">
                  <c:v>11750786.53078163</c:v>
                </c:pt>
                <c:pt idx="59">
                  <c:v>11750786.53078163</c:v>
                </c:pt>
                <c:pt idx="60">
                  <c:v>11750786.53078163</c:v>
                </c:pt>
                <c:pt idx="61">
                  <c:v>11750786.53078163</c:v>
                </c:pt>
                <c:pt idx="62">
                  <c:v>11750786.53078163</c:v>
                </c:pt>
                <c:pt idx="63">
                  <c:v>11750786.53078163</c:v>
                </c:pt>
                <c:pt idx="64">
                  <c:v>11750786.53078163</c:v>
                </c:pt>
                <c:pt idx="65">
                  <c:v>11750786.53078163</c:v>
                </c:pt>
                <c:pt idx="66">
                  <c:v>11750786.53078163</c:v>
                </c:pt>
                <c:pt idx="67">
                  <c:v>11750786.53078163</c:v>
                </c:pt>
                <c:pt idx="68">
                  <c:v>11750786.53078163</c:v>
                </c:pt>
                <c:pt idx="69">
                  <c:v>11750786.53078163</c:v>
                </c:pt>
                <c:pt idx="70">
                  <c:v>11750786.53078163</c:v>
                </c:pt>
                <c:pt idx="71">
                  <c:v>11750786.53078163</c:v>
                </c:pt>
                <c:pt idx="72">
                  <c:v>11750786.53078163</c:v>
                </c:pt>
                <c:pt idx="73">
                  <c:v>11750786.53078163</c:v>
                </c:pt>
                <c:pt idx="74">
                  <c:v>11750786.53078163</c:v>
                </c:pt>
                <c:pt idx="75">
                  <c:v>11750786.53078163</c:v>
                </c:pt>
                <c:pt idx="76">
                  <c:v>11750786.53078163</c:v>
                </c:pt>
                <c:pt idx="77">
                  <c:v>11750786.53078163</c:v>
                </c:pt>
                <c:pt idx="78">
                  <c:v>11750786.53078163</c:v>
                </c:pt>
                <c:pt idx="79">
                  <c:v>11750786.53078163</c:v>
                </c:pt>
                <c:pt idx="80">
                  <c:v>11750786.53078163</c:v>
                </c:pt>
                <c:pt idx="81">
                  <c:v>11750786.53078163</c:v>
                </c:pt>
                <c:pt idx="82">
                  <c:v>11750786.53078163</c:v>
                </c:pt>
                <c:pt idx="83">
                  <c:v>11750786.53078163</c:v>
                </c:pt>
                <c:pt idx="84">
                  <c:v>11750786.53078163</c:v>
                </c:pt>
                <c:pt idx="85">
                  <c:v>11750786.53078163</c:v>
                </c:pt>
                <c:pt idx="86">
                  <c:v>11750786.53078163</c:v>
                </c:pt>
                <c:pt idx="87">
                  <c:v>11750786.53078163</c:v>
                </c:pt>
                <c:pt idx="88">
                  <c:v>11750786.53078163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441839699073" createdVersion="8" refreshedVersion="8" minRefreshableVersion="3" recordCount="146" xr:uid="{5501410B-D70C-4B2D-91F7-76BD0FC02E9D}">
  <cacheSource type="worksheet">
    <worksheetSource ref="N4:T15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3-01T00:00:00" count="50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2-28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9.441839699073" createdVersion="8" refreshedVersion="8" minRefreshableVersion="3" recordCount="146" xr:uid="{CFE685BB-DDF2-42BA-9528-D7F36DD72BD0}">
  <cacheSource type="worksheet">
    <worksheetSource ref="M4:X15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-68870" maxValue="2461447"/>
    </cacheField>
    <cacheField name="Actual Total " numFmtId="0">
      <sharedItems containsString="0" containsBlank="1" containsNumber="1" minValue="-6887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3-01T00:00:00" count="41">
        <m/>
        <d v="2024-12-31T00:00:00"/>
        <d v="2025-01-31T00:00:00"/>
        <s v=""/>
        <d v="2025-03-31T00:00:00"/>
        <d v="2026-01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2-28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40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58843.236586052408"/>
        <n v="25218.529965451031"/>
        <n v="61634.14"/>
        <n v="13633.19"/>
        <n v="9149.5499999999993"/>
        <n v="25509.433026121202"/>
        <n v="21238.98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43975.951045543385" u="1"/>
        <n v="18846.836162375734" u="1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21238.979577624676" maxValue="1.0185568826273084E-3"/>
    </cacheField>
    <cacheField name="FINANCE PAYMENT DATE" numFmtId="0">
      <sharedItems containsNonDate="0" containsDate="1" containsString="0" containsBlank="1" minDate="2024-11-28T00:00:00" maxDate="2026-04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s v="Huawei 100KTL - Moved to stock (JHB)"/>
    <n v="1"/>
    <n v="-68870"/>
    <n v="-68870"/>
    <s v="Allocated to Joburg Storeroom"/>
    <x v="5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6"/>
  </r>
  <r>
    <x v="3"/>
    <s v="Delivery"/>
    <m/>
    <m/>
    <n v="3980"/>
    <s v="Schletter - INV1406"/>
    <x v="6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 - VO"/>
    <n v="4000"/>
    <n v="13.3"/>
    <n v="53200"/>
    <s v="MENLO - INV0002594"/>
    <x v="6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7"/>
  </r>
  <r>
    <x v="4"/>
    <s v="DC Installation Complete"/>
    <m/>
    <n v="0.25"/>
    <n v="23562.5"/>
    <s v="Matthews Group INV 1445"/>
    <x v="7"/>
  </r>
  <r>
    <x v="4"/>
    <s v="Commissioning Complete"/>
    <m/>
    <n v="0.1"/>
    <n v="9425"/>
    <s v="Matthews Group INV 1452"/>
    <x v="7"/>
  </r>
  <r>
    <x v="4"/>
    <s v="Site De-establisment"/>
    <m/>
    <n v="0.1"/>
    <n v="9425"/>
    <s v="Matthews Group INV-1461"/>
    <x v="8"/>
  </r>
  <r>
    <x v="4"/>
    <s v="Handover Document Complete"/>
    <m/>
    <n v="0.05"/>
    <n v="4712.5"/>
    <s v="Matthews Group INV-1462"/>
    <x v="9"/>
  </r>
  <r>
    <x v="4"/>
    <s v="End of Defects Period"/>
    <m/>
    <n v="0.05"/>
    <n v="4712.5"/>
    <s v="Matthews Group INV-1463"/>
    <x v="9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6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10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7"/>
  </r>
  <r>
    <x v="6"/>
    <s v="DC Installation Complete"/>
    <m/>
    <n v="0.25"/>
    <n v="291881.91249999998"/>
    <s v="Matthews Group INV 1445"/>
    <x v="7"/>
  </r>
  <r>
    <x v="6"/>
    <s v="Commissioning Complete"/>
    <m/>
    <n v="0.1"/>
    <n v="116752.765"/>
    <s v="Matthews Group INV 1452"/>
    <x v="7"/>
  </r>
  <r>
    <x v="6"/>
    <s v="Site De-establisment"/>
    <m/>
    <n v="0.1"/>
    <n v="116752.765"/>
    <s v="Matthews Group INV-1461"/>
    <x v="8"/>
  </r>
  <r>
    <x v="6"/>
    <s v="Handover Document Complete"/>
    <m/>
    <n v="0.05"/>
    <n v="58376.3825"/>
    <s v="Matthews Group INV-1462"/>
    <x v="9"/>
  </r>
  <r>
    <x v="6"/>
    <s v="End of Defects Period"/>
    <m/>
    <n v="0.05"/>
    <n v="58376.3825"/>
    <s v="Matthews Group INV-1463"/>
    <x v="9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 - VO"/>
    <m/>
    <m/>
    <n v="20645"/>
    <s v="RCF Tech INV002"/>
    <x v="11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7"/>
  </r>
  <r>
    <x v="7"/>
    <s v="Aircons - RCF Tech - last 20%"/>
    <m/>
    <m/>
    <n v="8258"/>
    <s v="RCF Tech QU001"/>
    <x v="7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 - VO"/>
    <n v="0.8"/>
    <n v="103835"/>
    <n v="83068"/>
    <s v="RCF Tech Inv004"/>
    <x v="12"/>
  </r>
  <r>
    <x v="8"/>
    <m/>
    <n v="0.2"/>
    <m/>
    <n v="20767"/>
    <s v="RCF Tech Inv004"/>
    <x v="12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9"/>
  </r>
  <r>
    <x v="8"/>
    <m/>
    <m/>
    <m/>
    <m/>
    <m/>
    <x v="0"/>
  </r>
  <r>
    <x v="8"/>
    <m/>
    <m/>
    <m/>
    <m/>
    <m/>
    <x v="0"/>
  </r>
  <r>
    <x v="8"/>
    <s v="Energitrack controller &amp; Commission Support - Herholdts"/>
    <m/>
    <m/>
    <n v="7200"/>
    <s v="Herholdts Inv: INV1126662"/>
    <x v="12"/>
  </r>
  <r>
    <x v="8"/>
    <s v="Motorized Breaker Upgrade and Grid Relay - All Electrical - VO"/>
    <m/>
    <m/>
    <n v="36485.85"/>
    <s v="All Electrical - IN144166"/>
    <x v="12"/>
  </r>
  <r>
    <x v="8"/>
    <s v="Delivery of Fire Extinguishers"/>
    <m/>
    <m/>
    <n v="365.11"/>
    <s v="DSV Inv: 180138260"/>
    <x v="11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7"/>
  </r>
  <r>
    <x v="9"/>
    <s v="DC Installation Complete"/>
    <m/>
    <n v="0.25"/>
    <n v="169238"/>
    <s v="Matthews Group INV 1445"/>
    <x v="7"/>
  </r>
  <r>
    <x v="9"/>
    <s v="Commissioning Complete"/>
    <m/>
    <n v="0.1"/>
    <n v="67695.199999999997"/>
    <s v="Matthews Group INV 1452"/>
    <x v="7"/>
  </r>
  <r>
    <x v="9"/>
    <s v="Site De-establisment"/>
    <m/>
    <n v="0.1"/>
    <n v="67695.199999999997"/>
    <s v="Matthews Group INV-1461"/>
    <x v="8"/>
  </r>
  <r>
    <x v="9"/>
    <s v="Handover Document Complete"/>
    <m/>
    <n v="0.05"/>
    <n v="33847.599999999999"/>
    <s v="Matthews Group INV-1462"/>
    <x v="9"/>
  </r>
  <r>
    <x v="9"/>
    <s v="End of Defects Period"/>
    <m/>
    <n v="0.05"/>
    <n v="33847.599999999999"/>
    <s v="Matthews Group INV-1463"/>
    <x v="9"/>
  </r>
  <r>
    <x v="0"/>
    <m/>
    <m/>
    <m/>
    <m/>
    <m/>
    <x v="3"/>
  </r>
  <r>
    <x v="10"/>
    <s v="Additional Security - VO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7"/>
  </r>
  <r>
    <x v="10"/>
    <s v="DC Installation Complete"/>
    <m/>
    <n v="0.25"/>
    <n v="22809.25"/>
    <s v="Matthews Group INV 1445"/>
    <x v="7"/>
  </r>
  <r>
    <x v="10"/>
    <s v="Commissioning Complete"/>
    <m/>
    <n v="0.1"/>
    <n v="9123.7000000000007"/>
    <s v="Matthews Group INV 1452"/>
    <x v="7"/>
  </r>
  <r>
    <x v="10"/>
    <s v="Site De-establisment"/>
    <m/>
    <n v="0.1"/>
    <n v="9123.7000000000007"/>
    <s v="Matthews Group INV-1461"/>
    <x v="8"/>
  </r>
  <r>
    <x v="10"/>
    <s v="Handover Document Complete"/>
    <m/>
    <n v="0.05"/>
    <n v="4561.8500000000004"/>
    <s v="Matthews Group INV-1462"/>
    <x v="9"/>
  </r>
  <r>
    <x v="10"/>
    <s v="End of Defects Period"/>
    <m/>
    <n v="0.05"/>
    <n v="4561.8500000000004"/>
    <s v="Matthews Group INV-1463"/>
    <x v="9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8"/>
  </r>
  <r>
    <x v="11"/>
    <s v="Travel"/>
    <m/>
    <m/>
    <n v="3982.67"/>
    <s v="Sunspot: E024"/>
    <x v="8"/>
  </r>
  <r>
    <x v="11"/>
    <s v="Structural sign off"/>
    <m/>
    <m/>
    <n v="11026.4"/>
    <s v="LB Consulting Inv-1838"/>
    <x v="13"/>
  </r>
  <r>
    <x v="11"/>
    <s v="Red Team"/>
    <m/>
    <m/>
    <n v="8000"/>
    <s v="Matriarch - INV-4423"/>
    <x v="8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8"/>
  </r>
  <r>
    <x v="13"/>
    <s v="Management"/>
    <m/>
    <m/>
    <n v="0"/>
    <m/>
    <x v="8"/>
  </r>
  <r>
    <x v="13"/>
    <s v="Project manager "/>
    <m/>
    <m/>
    <n v="0"/>
    <m/>
    <x v="8"/>
  </r>
  <r>
    <x v="13"/>
    <s v="Planner time"/>
    <m/>
    <m/>
    <n v="0"/>
    <m/>
    <x v="8"/>
  </r>
  <r>
    <x v="13"/>
    <s v="De Snagging"/>
    <m/>
    <m/>
    <n v="0"/>
    <m/>
    <x v="8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6"/>
  </r>
  <r>
    <x v="14"/>
    <m/>
    <m/>
    <m/>
    <n v="4534.32"/>
    <s v="Expense Claim"/>
    <x v="4"/>
  </r>
  <r>
    <x v="14"/>
    <m/>
    <m/>
    <m/>
    <n v="4040.3"/>
    <s v="Expense Claim"/>
    <x v="7"/>
  </r>
  <r>
    <x v="14"/>
    <m/>
    <m/>
    <m/>
    <n v="10015.219999999999"/>
    <s v="Expense Claim"/>
    <x v="8"/>
  </r>
  <r>
    <x v="14"/>
    <m/>
    <m/>
    <m/>
    <n v="5888.6900000000005"/>
    <s v="Expense Claim"/>
    <x v="9"/>
  </r>
  <r>
    <x v="14"/>
    <m/>
    <m/>
    <m/>
    <n v="6060.2199999999993"/>
    <s v="Expense Claim"/>
    <x v="11"/>
  </r>
  <r>
    <x v="14"/>
    <m/>
    <m/>
    <m/>
    <n v="20384.45"/>
    <s v="Expense Claim"/>
    <x v="12"/>
  </r>
  <r>
    <x v="14"/>
    <m/>
    <m/>
    <m/>
    <n v="3613.64"/>
    <s v="Expense Claim"/>
    <x v="5"/>
  </r>
  <r>
    <x v="0"/>
    <m/>
    <m/>
    <m/>
    <m/>
    <m/>
    <x v="3"/>
  </r>
  <r>
    <x v="15"/>
    <s v="Delivery of Fluke Meter"/>
    <m/>
    <m/>
    <n v="267.01"/>
    <s v="DSV Inv: 180137116"/>
    <x v="9"/>
  </r>
  <r>
    <x v="15"/>
    <s v="Borrower Interest"/>
    <m/>
    <m/>
    <n v="140381.96"/>
    <s v="Fedgroup Ventures - LT000578_250630"/>
    <x v="11"/>
  </r>
  <r>
    <x v="15"/>
    <s v="Borrower Interest -  July"/>
    <m/>
    <m/>
    <n v="145862.29999999999"/>
    <s v="Fedgroup Ventures - LT000578_250631"/>
    <x v="11"/>
  </r>
  <r>
    <x v="15"/>
    <s v="Borrower Interest -  August"/>
    <m/>
    <m/>
    <n v="142388.65"/>
    <s v="Fedgroup Ventures - LT000578_250831"/>
    <x v="12"/>
  </r>
  <r>
    <x v="15"/>
    <s v="RTF Turn Around - Matthews Group - VO"/>
    <m/>
    <m/>
    <n v="26436"/>
    <s v="Matthews Group MG INV1514"/>
    <x v="12"/>
  </r>
  <r>
    <x v="15"/>
    <s v="Panels &amp; BESS Room Cleaning - Sunray - VO"/>
    <m/>
    <m/>
    <n v="14110"/>
    <s v="Sunray Energy Solutions #89"/>
    <x v="14"/>
  </r>
  <r>
    <x v="15"/>
    <s v="Fire Extinguishers Mount and Service Aircons - RCT Tech - VO"/>
    <m/>
    <m/>
    <n v="1650"/>
    <s v="RCF Tech INV003"/>
    <x v="12"/>
  </r>
  <r>
    <x v="15"/>
    <s v="AC Cable &amp; DC Trunking VO - VO"/>
    <m/>
    <n v="0.5"/>
    <n v="95381.07"/>
    <s v="Matthews Group INV 1456"/>
    <x v="7"/>
  </r>
  <r>
    <x v="15"/>
    <s v="DB upgrade - VO"/>
    <m/>
    <m/>
    <n v="99508"/>
    <s v="Matthews Group INV 1525"/>
    <x v="12"/>
  </r>
  <r>
    <x v="15"/>
    <s v="Atess 250kw 450-900V 5x100A MPPT - VO"/>
    <m/>
    <m/>
    <n v="161300"/>
    <s v="Herholdts - INV1208290"/>
    <x v="5"/>
  </r>
  <r>
    <x v="15"/>
    <s v="Grid Relay - VO"/>
    <m/>
    <m/>
    <n v="12408.35"/>
    <s v="All Electrical - SO140653"/>
    <x v="12"/>
  </r>
  <r>
    <x v="15"/>
    <s v="AC Cable &amp; DC Trunking VO"/>
    <m/>
    <n v="0.5"/>
    <n v="95381.07"/>
    <s v="Matthews Group INV 1456"/>
    <x v="7"/>
  </r>
  <r>
    <x v="15"/>
    <m/>
    <m/>
    <m/>
    <m/>
    <m/>
    <x v="0"/>
  </r>
  <r>
    <x v="15"/>
    <s v="MPPT Installation Labour and Sundries - Matthews Group - VO"/>
    <m/>
    <m/>
    <n v="88678.15"/>
    <s v="MG INV-1589"/>
    <x v="5"/>
  </r>
  <r>
    <x v="15"/>
    <s v="MPPT Installation Labour and Sundries - Matthews Group - VO"/>
    <m/>
    <m/>
    <n v="88678.15"/>
    <s v="MG INV-1600"/>
    <x v="15"/>
  </r>
  <r>
    <x v="15"/>
    <s v="Credit Note fore Actual Cost"/>
    <m/>
    <m/>
    <n v="-20449.009999999998"/>
    <s v="CN-1601"/>
    <x v="15"/>
  </r>
  <r>
    <x v="15"/>
    <m/>
    <m/>
    <m/>
    <m/>
    <m/>
    <x v="0"/>
  </r>
  <r>
    <x v="15"/>
    <s v="DC Modification Scope - Deposit"/>
    <m/>
    <m/>
    <n v="17157.5"/>
    <s v="MG INV-1590"/>
    <x v="5"/>
  </r>
  <r>
    <x v="15"/>
    <s v="DC Modification Scope - Balance"/>
    <m/>
    <n v="0.5"/>
    <n v="17157.5"/>
    <s v="Matthews Group - INV-1595 "/>
    <x v="15"/>
  </r>
  <r>
    <x v="15"/>
    <m/>
    <m/>
    <m/>
    <m/>
    <m/>
    <x v="0"/>
  </r>
  <r>
    <x v="15"/>
    <s v="Atess On-Site Support"/>
    <m/>
    <m/>
    <n v="42619"/>
    <s v="Herholdts - INV1236863"/>
    <x v="15"/>
  </r>
  <r>
    <x v="15"/>
    <m/>
    <m/>
    <m/>
    <m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18093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s v="Huawei 100KTL - Moved to stock (JHB)"/>
    <n v="1"/>
    <n v="-68870"/>
    <n v="-68870"/>
    <s v="Allocated to Joburg Storeroom"/>
    <x v="5"/>
    <x v="3"/>
    <m/>
    <d v="2026-01-31T00:00:00"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6"/>
    <x v="6"/>
    <n v="0"/>
    <d v="2025-03-28T00:00:00"/>
    <n v="86550.7"/>
  </r>
  <r>
    <n v="3"/>
    <x v="3"/>
    <s v="Delivery"/>
    <m/>
    <m/>
    <n v="3980"/>
    <s v="Schletter - INV1406"/>
    <x v="6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 - VO"/>
    <n v="4000"/>
    <n v="13.3"/>
    <n v="53200"/>
    <s v="MENLO - INV0002594"/>
    <x v="6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7"/>
    <x v="13"/>
    <m/>
    <d v="2025-04-24T00:00:00"/>
    <m/>
  </r>
  <r>
    <n v="4"/>
    <x v="4"/>
    <s v="DC Installation Complete"/>
    <m/>
    <n v="0.25"/>
    <n v="23562.5"/>
    <s v="Matthews Group INV 1445"/>
    <x v="7"/>
    <x v="14"/>
    <m/>
    <d v="2025-04-24T00:00:00"/>
    <m/>
  </r>
  <r>
    <n v="4"/>
    <x v="4"/>
    <s v="Commissioning Complete"/>
    <m/>
    <n v="0.1"/>
    <n v="9425"/>
    <s v="Matthews Group INV 1452"/>
    <x v="7"/>
    <x v="15"/>
    <m/>
    <d v="2025-05-08T00:00:00"/>
    <m/>
  </r>
  <r>
    <n v="4"/>
    <x v="4"/>
    <s v="Site De-establisment"/>
    <m/>
    <n v="0.1"/>
    <n v="9425"/>
    <s v="Matthews Group INV-1461"/>
    <x v="8"/>
    <x v="15"/>
    <m/>
    <d v="2025-06-12T00:00:00"/>
    <m/>
  </r>
  <r>
    <n v="4"/>
    <x v="4"/>
    <s v="Handover Document Complete"/>
    <m/>
    <n v="0.05"/>
    <n v="4712.5"/>
    <s v="Matthews Group INV-1462"/>
    <x v="9"/>
    <x v="16"/>
    <m/>
    <d v="2025-05-16T00:00:00"/>
    <m/>
  </r>
  <r>
    <n v="4"/>
    <x v="4"/>
    <s v="End of Defects Period"/>
    <m/>
    <n v="0.05"/>
    <n v="4712.5"/>
    <s v="Matthews Group INV-1463"/>
    <x v="9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6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10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7"/>
    <x v="23"/>
    <m/>
    <d v="2025-04-24T00:00:00"/>
    <m/>
  </r>
  <r>
    <n v="6"/>
    <x v="6"/>
    <s v="DC Installation Complete"/>
    <m/>
    <n v="0.25"/>
    <n v="291881.91249999998"/>
    <s v="Matthews Group INV 1445"/>
    <x v="7"/>
    <x v="24"/>
    <m/>
    <d v="2025-04-24T00:00:00"/>
    <m/>
  </r>
  <r>
    <n v="6"/>
    <x v="6"/>
    <s v="Commissioning Complete"/>
    <m/>
    <n v="0.1"/>
    <n v="116752.765"/>
    <s v="Matthews Group INV 1452"/>
    <x v="7"/>
    <x v="25"/>
    <m/>
    <d v="2025-05-08T00:00:00"/>
    <m/>
  </r>
  <r>
    <n v="6"/>
    <x v="6"/>
    <s v="Site De-establisment"/>
    <m/>
    <n v="0.1"/>
    <n v="116752.765"/>
    <s v="Matthews Group INV-1461"/>
    <x v="8"/>
    <x v="25"/>
    <m/>
    <d v="2025-06-12T00:00:00"/>
    <m/>
  </r>
  <r>
    <n v="6"/>
    <x v="6"/>
    <s v="Handover Document Complete"/>
    <m/>
    <n v="0.05"/>
    <n v="58376.3825"/>
    <s v="Matthews Group INV-1462"/>
    <x v="9"/>
    <x v="26"/>
    <m/>
    <d v="2025-05-16T00:00:00"/>
    <m/>
  </r>
  <r>
    <n v="6"/>
    <x v="6"/>
    <s v="End of Defects Period"/>
    <m/>
    <n v="0.05"/>
    <n v="58376.3825"/>
    <s v="Matthews Group INV-1463"/>
    <x v="9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 - VO"/>
    <m/>
    <m/>
    <n v="20645"/>
    <s v="RCF Tech INV002"/>
    <x v="11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7"/>
    <x v="31"/>
    <m/>
    <d v="2025-04-10T00:00:00"/>
    <m/>
  </r>
  <r>
    <n v="7"/>
    <x v="7"/>
    <s v="Aircons - RCF Tech - last 20%"/>
    <m/>
    <m/>
    <n v="8258"/>
    <s v="RCF Tech QU001"/>
    <x v="7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-21238.979577624676"/>
    <d v="2024-12-12T00:00:00"/>
    <n v="313051.31999999995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 - VO"/>
    <n v="0.8"/>
    <n v="103835"/>
    <n v="83068"/>
    <s v="RCF Tech Inv004"/>
    <x v="12"/>
    <x v="35"/>
    <m/>
    <d v="2025-08-14T00:00:00"/>
    <m/>
  </r>
  <r>
    <n v="8"/>
    <x v="8"/>
    <m/>
    <n v="0.2"/>
    <m/>
    <n v="20767"/>
    <s v="RCF Tech Inv004"/>
    <x v="12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9"/>
    <x v="38"/>
    <m/>
    <d v="2025-06-26T00:00:00"/>
    <m/>
  </r>
  <r>
    <n v="8"/>
    <x v="8"/>
    <m/>
    <m/>
    <m/>
    <m/>
    <m/>
    <x v="0"/>
    <x v="3"/>
    <m/>
    <m/>
    <m/>
  </r>
  <r>
    <n v="8"/>
    <x v="8"/>
    <m/>
    <m/>
    <m/>
    <m/>
    <m/>
    <x v="0"/>
    <x v="3"/>
    <m/>
    <m/>
    <m/>
  </r>
  <r>
    <n v="8"/>
    <x v="8"/>
    <s v="Energitrack controller &amp; Commission Support - Herholdts"/>
    <m/>
    <m/>
    <n v="7200"/>
    <s v="Herholdts Inv: INV1126662"/>
    <x v="12"/>
    <x v="3"/>
    <m/>
    <d v="2025-09-30T00:00:00"/>
    <m/>
  </r>
  <r>
    <n v="8"/>
    <x v="8"/>
    <s v="Motorized Breaker Upgrade and Grid Relay - All Electrical - VO"/>
    <m/>
    <m/>
    <n v="36485.85"/>
    <s v="All Electrical - IN144166"/>
    <x v="12"/>
    <x v="39"/>
    <m/>
    <d v="2025-08-19T00:00:00"/>
    <m/>
  </r>
  <r>
    <n v="8"/>
    <x v="8"/>
    <s v="Delivery of Fire Extinguishers"/>
    <m/>
    <m/>
    <n v="365.11"/>
    <s v="DSV Inv: 180138260"/>
    <x v="11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40"/>
    <n v="0"/>
    <d v="2025-02-07T00:00:00"/>
    <n v="676951.99999999988"/>
  </r>
  <r>
    <n v="9"/>
    <x v="9"/>
    <s v="Site Establishment"/>
    <m/>
    <n v="0.15"/>
    <n v="101542.8"/>
    <s v="Matthews Group INV-1424"/>
    <x v="2"/>
    <x v="41"/>
    <m/>
    <d v="2025-02-13T00:00:00"/>
    <m/>
  </r>
  <r>
    <n v="9"/>
    <x v="9"/>
    <s v="AC Installation Complete"/>
    <m/>
    <n v="0.2"/>
    <n v="135390.39999999999"/>
    <s v="Matthews Group INV-1451"/>
    <x v="7"/>
    <x v="42"/>
    <m/>
    <d v="2025-04-24T00:00:00"/>
    <m/>
  </r>
  <r>
    <n v="9"/>
    <x v="9"/>
    <s v="DC Installation Complete"/>
    <m/>
    <n v="0.25"/>
    <n v="169238"/>
    <s v="Matthews Group INV 1445"/>
    <x v="7"/>
    <x v="43"/>
    <m/>
    <d v="2025-04-24T00:00:00"/>
    <m/>
  </r>
  <r>
    <n v="9"/>
    <x v="9"/>
    <s v="Commissioning Complete"/>
    <m/>
    <n v="0.1"/>
    <n v="67695.199999999997"/>
    <s v="Matthews Group INV 1452"/>
    <x v="7"/>
    <x v="40"/>
    <m/>
    <d v="2025-05-08T00:00:00"/>
    <m/>
  </r>
  <r>
    <n v="9"/>
    <x v="9"/>
    <s v="Site De-establisment"/>
    <m/>
    <n v="0.1"/>
    <n v="67695.199999999997"/>
    <s v="Matthews Group INV-1461"/>
    <x v="8"/>
    <x v="40"/>
    <m/>
    <d v="2025-06-12T00:00:00"/>
    <m/>
  </r>
  <r>
    <n v="9"/>
    <x v="9"/>
    <s v="Handover Document Complete"/>
    <m/>
    <n v="0.05"/>
    <n v="33847.599999999999"/>
    <s v="Matthews Group INV-1462"/>
    <x v="9"/>
    <x v="44"/>
    <m/>
    <d v="2025-05-16T00:00:00"/>
    <m/>
  </r>
  <r>
    <n v="9"/>
    <x v="9"/>
    <s v="End of Defects Period"/>
    <m/>
    <n v="0.05"/>
    <n v="33847.599999999999"/>
    <s v="Matthews Group INV-1463"/>
    <x v="9"/>
    <x v="44"/>
    <m/>
    <d v="2025-07-31T00:00:00"/>
    <m/>
  </r>
  <r>
    <m/>
    <x v="0"/>
    <m/>
    <m/>
    <m/>
    <m/>
    <m/>
    <x v="3"/>
    <x v="0"/>
    <m/>
    <m/>
    <m/>
  </r>
  <r>
    <n v="10"/>
    <x v="10"/>
    <s v="Additional Security - VO"/>
    <m/>
    <m/>
    <n v="16380"/>
    <s v="DIVERGENT - Inv 1117175"/>
    <x v="4"/>
    <x v="45"/>
    <n v="-3.5580334952101111E-4"/>
    <d v="2025-03-20T00:00:00"/>
    <n v="114637"/>
  </r>
  <r>
    <n v="10"/>
    <x v="10"/>
    <s v="Night Guard"/>
    <m/>
    <m/>
    <n v="7020"/>
    <s v="Divergent - Inv 1117291"/>
    <x v="4"/>
    <x v="46"/>
    <m/>
    <d v="2025-04-03T00:00:00"/>
    <m/>
  </r>
  <r>
    <n v="10"/>
    <x v="10"/>
    <s v="Project Kick Off"/>
    <n v="91237"/>
    <n v="0.1"/>
    <n v="9123.7000000000007"/>
    <s v="Matthews Group INV 1423"/>
    <x v="2"/>
    <x v="47"/>
    <m/>
    <d v="2025-02-07T00:00:00"/>
    <m/>
  </r>
  <r>
    <n v="10"/>
    <x v="10"/>
    <s v="Site Establishment"/>
    <m/>
    <n v="0.15"/>
    <n v="13685.55"/>
    <s v="Matthews Group INV-1424"/>
    <x v="2"/>
    <x v="48"/>
    <m/>
    <d v="2025-02-13T00:00:00"/>
    <m/>
  </r>
  <r>
    <n v="10"/>
    <x v="10"/>
    <s v="AC Installation Complete"/>
    <m/>
    <n v="0.2"/>
    <n v="18247.400000000001"/>
    <s v="Matthews Group INV-1451"/>
    <x v="7"/>
    <x v="49"/>
    <m/>
    <d v="2025-04-24T00:00:00"/>
    <m/>
  </r>
  <r>
    <n v="10"/>
    <x v="10"/>
    <s v="DC Installation Complete"/>
    <m/>
    <n v="0.25"/>
    <n v="22809.25"/>
    <s v="Matthews Group INV 1445"/>
    <x v="7"/>
    <x v="50"/>
    <m/>
    <d v="2025-04-24T00:00:00"/>
    <m/>
  </r>
  <r>
    <n v="10"/>
    <x v="10"/>
    <s v="Commissioning Complete"/>
    <m/>
    <n v="0.1"/>
    <n v="9123.7000000000007"/>
    <s v="Matthews Group INV 1452"/>
    <x v="7"/>
    <x v="51"/>
    <m/>
    <d v="2025-05-08T00:00:00"/>
    <m/>
  </r>
  <r>
    <n v="10"/>
    <x v="10"/>
    <s v="Site De-establisment"/>
    <m/>
    <n v="0.1"/>
    <n v="9123.7000000000007"/>
    <s v="Matthews Group INV-1461"/>
    <x v="8"/>
    <x v="51"/>
    <m/>
    <d v="2025-06-12T00:00:00"/>
    <m/>
  </r>
  <r>
    <n v="10"/>
    <x v="10"/>
    <s v="Handover Document Complete"/>
    <m/>
    <n v="0.05"/>
    <n v="4561.8500000000004"/>
    <s v="Matthews Group INV-1462"/>
    <x v="9"/>
    <x v="52"/>
    <m/>
    <d v="2025-05-16T00:00:00"/>
    <m/>
  </r>
  <r>
    <n v="10"/>
    <x v="10"/>
    <s v="End of Defects Period"/>
    <m/>
    <n v="0.05"/>
    <n v="4561.8500000000004"/>
    <s v="Matthews Group INV-1463"/>
    <x v="9"/>
    <x v="52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8"/>
    <x v="53"/>
    <n v="1.0185568826273084E-3"/>
    <d v="2025-07-24T00:00:00"/>
    <n v="38759.07"/>
  </r>
  <r>
    <n v="11"/>
    <x v="11"/>
    <s v="Travel"/>
    <m/>
    <m/>
    <n v="3982.67"/>
    <s v="Sunspot: E024"/>
    <x v="8"/>
    <x v="54"/>
    <m/>
    <d v="2025-07-24T00:00:00"/>
    <m/>
  </r>
  <r>
    <n v="11"/>
    <x v="11"/>
    <s v="Structural sign off"/>
    <m/>
    <m/>
    <n v="11026.4"/>
    <s v="LB Consulting Inv-1838"/>
    <x v="13"/>
    <x v="55"/>
    <m/>
    <d v="2024-11-28T00:00:00"/>
    <m/>
  </r>
  <r>
    <n v="11"/>
    <x v="11"/>
    <s v="Red Team"/>
    <m/>
    <m/>
    <n v="8000"/>
    <s v="Matriarch - INV-4423"/>
    <x v="8"/>
    <x v="56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8"/>
    <x v="57"/>
    <n v="0"/>
    <d v="2025-05-31T00:00:00"/>
    <n v="144194.49313795625"/>
  </r>
  <r>
    <n v="13"/>
    <x v="13"/>
    <s v="Management"/>
    <m/>
    <m/>
    <n v="0"/>
    <m/>
    <x v="8"/>
    <x v="3"/>
    <m/>
    <d v="2025-05-31T00:00:00"/>
    <m/>
  </r>
  <r>
    <n v="13"/>
    <x v="13"/>
    <s v="Project manager "/>
    <m/>
    <m/>
    <n v="0"/>
    <m/>
    <x v="8"/>
    <x v="3"/>
    <m/>
    <d v="2025-05-31T00:00:00"/>
    <m/>
  </r>
  <r>
    <n v="13"/>
    <x v="13"/>
    <s v="Planner time"/>
    <m/>
    <m/>
    <n v="0"/>
    <m/>
    <x v="8"/>
    <x v="3"/>
    <m/>
    <d v="2025-05-31T00:00:00"/>
    <m/>
  </r>
  <r>
    <n v="13"/>
    <x v="13"/>
    <s v="De Snagging"/>
    <m/>
    <m/>
    <n v="0"/>
    <m/>
    <x v="8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8"/>
    <n v="-4.0461192911607213E-3"/>
    <d v="2025-01-09T00:00:00"/>
    <n v="67232.7"/>
  </r>
  <r>
    <n v="14"/>
    <x v="14"/>
    <m/>
    <m/>
    <m/>
    <n v="5594.87"/>
    <s v="Expense Claim"/>
    <x v="2"/>
    <x v="59"/>
    <m/>
    <d v="2025-02-07T00:00:00"/>
    <m/>
  </r>
  <r>
    <n v="14"/>
    <x v="14"/>
    <m/>
    <m/>
    <m/>
    <n v="725.13"/>
    <s v="Expense Claim"/>
    <x v="6"/>
    <x v="60"/>
    <m/>
    <d v="2025-03-07T00:00:00"/>
    <m/>
  </r>
  <r>
    <n v="14"/>
    <x v="14"/>
    <m/>
    <m/>
    <m/>
    <n v="4534.32"/>
    <s v="Expense Claim"/>
    <x v="4"/>
    <x v="61"/>
    <m/>
    <d v="2025-04-04T00:00:00"/>
    <m/>
  </r>
  <r>
    <n v="14"/>
    <x v="14"/>
    <m/>
    <m/>
    <m/>
    <n v="4040.3"/>
    <s v="Expense Claim"/>
    <x v="7"/>
    <x v="62"/>
    <m/>
    <d v="2025-05-08T00:00:00"/>
    <m/>
  </r>
  <r>
    <n v="14"/>
    <x v="14"/>
    <m/>
    <m/>
    <m/>
    <n v="10015.219999999999"/>
    <s v="Expense Claim"/>
    <x v="8"/>
    <x v="63"/>
    <m/>
    <d v="2025-06-09T00:00:00"/>
    <m/>
  </r>
  <r>
    <n v="14"/>
    <x v="14"/>
    <m/>
    <m/>
    <m/>
    <n v="5888.6900000000005"/>
    <s v="Expense Claim"/>
    <x v="9"/>
    <x v="3"/>
    <m/>
    <d v="2025-07-04T00:00:00"/>
    <m/>
  </r>
  <r>
    <n v="14"/>
    <x v="14"/>
    <m/>
    <m/>
    <m/>
    <n v="6060.2199999999993"/>
    <s v="Expense Claim"/>
    <x v="11"/>
    <x v="3"/>
    <m/>
    <d v="2025-08-07T00:00:00"/>
    <m/>
  </r>
  <r>
    <n v="14"/>
    <x v="14"/>
    <m/>
    <m/>
    <m/>
    <n v="20384.45"/>
    <s v="Expense Claim"/>
    <x v="12"/>
    <x v="3"/>
    <m/>
    <d v="2025-09-05T00:00:00"/>
    <m/>
  </r>
  <r>
    <n v="14"/>
    <x v="14"/>
    <m/>
    <m/>
    <m/>
    <n v="3613.64"/>
    <s v="Expense Claim"/>
    <x v="5"/>
    <x v="3"/>
    <m/>
    <d v="2026-02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9"/>
    <x v="0"/>
    <n v="0"/>
    <d v="2025-07-29T00:00:00"/>
    <n v="1168915.7"/>
  </r>
  <r>
    <n v="15"/>
    <x v="15"/>
    <s v="Borrower Interest"/>
    <m/>
    <m/>
    <n v="140381.96"/>
    <s v="Fedgroup Ventures - LT000578_250630"/>
    <x v="11"/>
    <x v="0"/>
    <m/>
    <d v="2025-07-18T00:00:00"/>
    <m/>
  </r>
  <r>
    <n v="15"/>
    <x v="15"/>
    <s v="Borrower Interest -  July"/>
    <m/>
    <m/>
    <n v="145862.29999999999"/>
    <s v="Fedgroup Ventures - LT000578_250631"/>
    <x v="11"/>
    <x v="0"/>
    <m/>
    <d v="2025-08-07T00:00:00"/>
    <m/>
  </r>
  <r>
    <n v="15"/>
    <x v="15"/>
    <s v="Borrower Interest -  August"/>
    <m/>
    <m/>
    <n v="142388.65"/>
    <s v="Fedgroup Ventures - LT000578_250831"/>
    <x v="12"/>
    <x v="0"/>
    <m/>
    <d v="2025-09-11T00:00:00"/>
    <m/>
  </r>
  <r>
    <n v="15"/>
    <x v="15"/>
    <s v="RTF Turn Around - Matthews Group - VO"/>
    <m/>
    <m/>
    <n v="26436"/>
    <s v="Matthews Group MG INV1514"/>
    <x v="12"/>
    <x v="0"/>
    <m/>
    <d v="2025-08-29T00:00:00"/>
    <m/>
  </r>
  <r>
    <n v="15"/>
    <x v="15"/>
    <s v="Panels &amp; BESS Room Cleaning - Sunray - VO"/>
    <m/>
    <m/>
    <n v="14110"/>
    <s v="Sunray Energy Solutions #89"/>
    <x v="14"/>
    <x v="0"/>
    <m/>
    <d v="2025-09-11T00:00:00"/>
    <m/>
  </r>
  <r>
    <n v="15"/>
    <x v="15"/>
    <s v="Fire Extinguishers Mount and Service Aircons - RCT Tech - VO"/>
    <m/>
    <m/>
    <n v="1650"/>
    <s v="RCF Tech INV003"/>
    <x v="12"/>
    <x v="0"/>
    <m/>
    <d v="2025-09-18T00:00:00"/>
    <m/>
  </r>
  <r>
    <n v="15"/>
    <x v="15"/>
    <s v="AC Cable &amp; DC Trunking VO - VO"/>
    <m/>
    <n v="0.5"/>
    <n v="95381.07"/>
    <s v="Matthews Group INV 1456"/>
    <x v="7"/>
    <x v="0"/>
    <m/>
    <d v="2025-04-24T00:00:00"/>
    <m/>
  </r>
  <r>
    <n v="15"/>
    <x v="15"/>
    <s v="DB upgrade - VO"/>
    <m/>
    <m/>
    <n v="99508"/>
    <s v="Matthews Group INV 1525"/>
    <x v="12"/>
    <x v="0"/>
    <m/>
    <d v="2025-10-07T00:00:00"/>
    <m/>
  </r>
  <r>
    <n v="15"/>
    <x v="15"/>
    <s v="Atess 250kw 450-900V 5x100A MPPT - VO"/>
    <m/>
    <m/>
    <n v="161300"/>
    <s v="Herholdts - INV1208290"/>
    <x v="5"/>
    <x v="0"/>
    <m/>
    <d v="2026-02-28T00:00:00"/>
    <m/>
  </r>
  <r>
    <n v="15"/>
    <x v="15"/>
    <s v="Grid Relay - VO"/>
    <m/>
    <m/>
    <n v="12408.35"/>
    <s v="All Electrical - SO140653"/>
    <x v="12"/>
    <x v="0"/>
    <m/>
    <d v="2025-08-27T00:00:00"/>
    <m/>
  </r>
  <r>
    <n v="15"/>
    <x v="15"/>
    <s v="AC Cable &amp; DC Trunking VO"/>
    <m/>
    <n v="0.5"/>
    <n v="95381.07"/>
    <s v="Matthews Group INV 1456"/>
    <x v="7"/>
    <x v="0"/>
    <m/>
    <d v="2025-07-17T00:00:00"/>
    <m/>
  </r>
  <r>
    <n v="15"/>
    <x v="15"/>
    <m/>
    <m/>
    <m/>
    <m/>
    <m/>
    <x v="0"/>
    <x v="0"/>
    <m/>
    <m/>
    <m/>
  </r>
  <r>
    <n v="15"/>
    <x v="15"/>
    <s v="MPPT Installation Labour and Sundries - Matthews Group - VO"/>
    <m/>
    <m/>
    <n v="88678.15"/>
    <s v="MG INV-1589"/>
    <x v="5"/>
    <x v="0"/>
    <m/>
    <d v="2026-01-23T00:00:00"/>
    <m/>
  </r>
  <r>
    <n v="15"/>
    <x v="15"/>
    <s v="MPPT Installation Labour and Sundries - Matthews Group - VO"/>
    <m/>
    <m/>
    <n v="88678.15"/>
    <s v="MG INV-1600"/>
    <x v="15"/>
    <x v="0"/>
    <m/>
    <d v="2026-02-26T00:00:00"/>
    <m/>
  </r>
  <r>
    <n v="15"/>
    <x v="15"/>
    <s v="Credit Note fore Actual Cost"/>
    <m/>
    <m/>
    <n v="-20449.009999999998"/>
    <s v="CN-1601"/>
    <x v="15"/>
    <x v="0"/>
    <m/>
    <d v="2026-02-28T00:00:00"/>
    <m/>
  </r>
  <r>
    <n v="15"/>
    <x v="15"/>
    <m/>
    <m/>
    <m/>
    <m/>
    <m/>
    <x v="0"/>
    <x v="0"/>
    <m/>
    <m/>
    <m/>
  </r>
  <r>
    <n v="15"/>
    <x v="15"/>
    <s v="DC Modification Scope - Deposit"/>
    <m/>
    <m/>
    <n v="17157.5"/>
    <s v="MG INV-1590"/>
    <x v="5"/>
    <x v="0"/>
    <m/>
    <d v="2026-01-23T00:00:00"/>
    <m/>
  </r>
  <r>
    <n v="15"/>
    <x v="15"/>
    <s v="DC Modification Scope - Balance"/>
    <m/>
    <n v="0.5"/>
    <n v="17157.5"/>
    <s v="Matthews Group - INV-1595 "/>
    <x v="15"/>
    <x v="0"/>
    <m/>
    <d v="2026-02-26T00:00:00"/>
    <m/>
  </r>
  <r>
    <n v="15"/>
    <x v="15"/>
    <m/>
    <m/>
    <m/>
    <m/>
    <m/>
    <x v="0"/>
    <x v="0"/>
    <m/>
    <m/>
    <m/>
  </r>
  <r>
    <n v="15"/>
    <x v="15"/>
    <s v="Atess On-Site Support"/>
    <m/>
    <m/>
    <n v="42619"/>
    <s v="Herholdts - INV1236863"/>
    <x v="15"/>
    <x v="0"/>
    <m/>
    <d v="2026-03-31T00:00:00"/>
    <m/>
  </r>
  <r>
    <n v="15"/>
    <x v="15"/>
    <m/>
    <m/>
    <m/>
    <m/>
    <m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2">
        <item x="3"/>
        <item m="1" x="40"/>
        <item m="1" x="39"/>
        <item m="1" x="38"/>
        <item m="1" x="37"/>
        <item m="1" x="21"/>
        <item x="0"/>
        <item m="1" x="19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20"/>
        <item m="1" x="18"/>
        <item x="13"/>
        <item x="1"/>
        <item x="2"/>
        <item x="6"/>
        <item x="4"/>
        <item x="7"/>
        <item x="8"/>
        <item x="9"/>
        <item x="11"/>
        <item m="1" x="17"/>
        <item x="10"/>
        <item x="12"/>
        <item m="1" x="16"/>
        <item x="14"/>
        <item x="5"/>
        <item x="15"/>
        <item t="default"/>
      </items>
    </pivotField>
    <pivotField axis="axisPage" dataField="1" multipleItemSelectionAllowed="1" showAll="0">
      <items count="841">
        <item x="3"/>
        <item m="1" x="814"/>
        <item m="1" x="819"/>
        <item m="1" x="839"/>
        <item m="1" x="824"/>
        <item m="1" x="828"/>
        <item m="1" x="826"/>
        <item m="1" x="821"/>
        <item m="1" x="816"/>
        <item m="1" x="825"/>
        <item m="1" x="834"/>
        <item m="1" x="823"/>
        <item m="1" x="836"/>
        <item m="1" x="833"/>
        <item m="1" x="827"/>
        <item m="1" x="837"/>
        <item m="1" x="812"/>
        <item m="1" x="831"/>
        <item m="1" x="822"/>
        <item m="1" x="838"/>
        <item m="1" x="832"/>
        <item m="1" x="818"/>
        <item m="1" x="817"/>
        <item m="1" x="830"/>
        <item m="1" x="815"/>
        <item m="1" x="835"/>
        <item m="1" x="813"/>
        <item m="1" x="829"/>
        <item m="1" x="820"/>
        <item m="1" x="811"/>
        <item x="0"/>
        <item m="1" x="740"/>
        <item m="1" x="741"/>
        <item m="1" x="774"/>
        <item m="1" x="781"/>
        <item m="1" x="782"/>
        <item m="1" x="783"/>
        <item m="1" x="784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759"/>
        <item m="1" x="760"/>
        <item m="1" x="761"/>
        <item m="1" x="804"/>
        <item m="1" x="805"/>
        <item m="1" x="806"/>
        <item m="1" x="807"/>
        <item m="1" x="765"/>
        <item m="1" x="766"/>
        <item m="1" x="808"/>
        <item m="1" x="809"/>
        <item m="1" x="810"/>
        <item m="1" x="769"/>
        <item m="1" x="790"/>
        <item m="1" x="791"/>
        <item m="1" x="792"/>
        <item m="1" x="785"/>
        <item m="1" x="786"/>
        <item m="1" x="787"/>
        <item m="1" x="788"/>
        <item m="1" x="789"/>
        <item m="1" x="752"/>
        <item m="1" x="753"/>
        <item m="1" x="754"/>
        <item m="1" x="755"/>
        <item m="1" x="777"/>
        <item m="1" x="778"/>
        <item m="1" x="779"/>
        <item m="1" x="762"/>
        <item m="1" x="763"/>
        <item m="1" x="764"/>
        <item m="1" x="775"/>
        <item m="1" x="770"/>
        <item m="1" x="780"/>
        <item m="1" x="744"/>
        <item m="1" x="745"/>
        <item m="1" x="746"/>
        <item m="1" x="747"/>
        <item m="1" x="748"/>
        <item m="1" x="749"/>
        <item m="1" x="750"/>
        <item m="1" x="751"/>
        <item m="1" x="771"/>
        <item m="1" x="776"/>
        <item m="1" x="756"/>
        <item m="1" x="757"/>
        <item m="1" x="758"/>
        <item m="1" x="742"/>
        <item m="1" x="743"/>
        <item m="1" x="767"/>
        <item m="1" x="768"/>
        <item m="1" x="772"/>
        <item m="1" x="77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00"/>
        <item m="1" x="728"/>
        <item m="1" x="729"/>
        <item m="1" x="730"/>
        <item m="1" x="703"/>
        <item m="1" x="704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16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1"/>
        <item m="1" x="702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580"/>
        <item m="1" x="581"/>
        <item m="1" x="582"/>
        <item m="1" x="607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596"/>
        <item m="1" x="597"/>
        <item m="1" x="620"/>
        <item m="1" x="621"/>
        <item m="1" x="622"/>
        <item m="1" x="623"/>
        <item m="1" x="624"/>
        <item m="1" x="625"/>
        <item m="1" x="626"/>
        <item m="1" x="605"/>
        <item m="1" x="608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8"/>
        <item m="1" x="599"/>
        <item m="1" x="600"/>
        <item m="1" x="601"/>
        <item m="1" x="602"/>
        <item m="1" x="603"/>
        <item m="1" x="604"/>
        <item m="1" x="606"/>
        <item m="1" x="583"/>
        <item m="1" x="584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25"/>
        <item m="1" x="526"/>
        <item m="1" x="556"/>
        <item m="1" x="557"/>
        <item m="1" x="558"/>
        <item m="1" x="559"/>
        <item m="1" x="560"/>
        <item m="1" x="544"/>
        <item m="1" x="545"/>
        <item m="1" x="546"/>
        <item m="1" x="547"/>
        <item m="1" x="548"/>
        <item m="1" x="561"/>
        <item m="1" x="562"/>
        <item m="1" x="563"/>
        <item m="1" x="555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9"/>
        <item m="1" x="550"/>
        <item m="1" x="551"/>
        <item m="1" x="552"/>
        <item m="1" x="553"/>
        <item m="1" x="554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477"/>
        <item m="1" x="478"/>
        <item m="1" x="479"/>
        <item m="1" x="421"/>
        <item m="1" x="480"/>
        <item m="1" x="481"/>
        <item m="1" x="482"/>
        <item m="1" x="483"/>
        <item m="1" x="484"/>
        <item m="1" x="485"/>
        <item m="1" x="486"/>
        <item m="1" x="487"/>
        <item m="1" x="433"/>
        <item m="1" x="434"/>
        <item m="1" x="435"/>
        <item m="1" x="436"/>
        <item m="1" x="437"/>
        <item m="1" x="472"/>
        <item m="1" x="473"/>
        <item m="1" x="474"/>
        <item m="1" x="475"/>
        <item m="1" x="445"/>
        <item m="1" x="446"/>
        <item m="1" x="447"/>
        <item m="1" x="448"/>
        <item m="1" x="449"/>
        <item m="1" x="476"/>
        <item m="1" x="488"/>
        <item m="1" x="489"/>
        <item m="1" x="490"/>
        <item m="1" x="491"/>
        <item m="1" x="457"/>
        <item m="1" x="458"/>
        <item m="1" x="459"/>
        <item m="1" x="460"/>
        <item m="1" x="461"/>
        <item m="1" x="462"/>
        <item m="1" x="463"/>
        <item m="1" x="419"/>
        <item m="1" x="464"/>
        <item m="1" x="465"/>
        <item m="1" x="466"/>
        <item m="1" x="467"/>
        <item m="1" x="468"/>
        <item m="1" x="469"/>
        <item m="1" x="470"/>
        <item m="1" x="471"/>
        <item m="1" x="453"/>
        <item m="1" x="454"/>
        <item m="1" x="455"/>
        <item m="1" x="456"/>
        <item m="1" x="420"/>
        <item m="1" x="417"/>
        <item m="1" x="418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8"/>
        <item m="1" x="439"/>
        <item m="1" x="440"/>
        <item m="1" x="441"/>
        <item m="1" x="442"/>
        <item m="1" x="443"/>
        <item m="1" x="444"/>
        <item m="1" x="450"/>
        <item m="1" x="451"/>
        <item m="1" x="452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34"/>
        <item m="1" x="235"/>
        <item m="1" x="270"/>
        <item m="1" x="271"/>
        <item m="1" x="272"/>
        <item m="1" x="273"/>
        <item m="1" x="274"/>
        <item m="1" x="27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6"/>
        <item m="1" x="237"/>
        <item m="1" x="238"/>
        <item m="1" x="239"/>
        <item m="1" x="240"/>
        <item m="1" x="241"/>
        <item m="1" x="190"/>
        <item m="1" x="191"/>
        <item m="1" x="180"/>
        <item m="1" x="181"/>
        <item m="1" x="142"/>
        <item m="1" x="143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32"/>
        <item m="1" x="133"/>
        <item m="1" x="134"/>
        <item m="1" x="135"/>
        <item m="1" x="136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203"/>
        <item m="1" x="204"/>
        <item m="1" x="205"/>
        <item m="1" x="81"/>
        <item m="1" x="82"/>
        <item m="1" x="83"/>
        <item m="1" x="84"/>
        <item m="1" x="85"/>
        <item m="1" x="189"/>
        <item m="1" x="178"/>
        <item m="1" x="179"/>
        <item m="1" x="182"/>
        <item m="1" x="183"/>
        <item m="1" x="184"/>
        <item m="1" x="185"/>
        <item m="1" x="186"/>
        <item m="1" x="187"/>
        <item m="1" x="188"/>
        <item m="1" x="150"/>
        <item m="1" x="151"/>
        <item m="1" x="152"/>
        <item m="1" x="153"/>
        <item m="1" x="168"/>
        <item x="55"/>
        <item m="1" x="169"/>
        <item m="1" x="173"/>
        <item m="1" x="174"/>
        <item m="1" x="175"/>
        <item m="1" x="176"/>
        <item m="1" x="177"/>
        <item x="8"/>
        <item m="1" x="144"/>
        <item m="1" x="145"/>
        <item m="1" x="146"/>
        <item m="1" x="147"/>
        <item m="1" x="148"/>
        <item m="1" x="149"/>
        <item x="58"/>
        <item m="1" x="170"/>
        <item x="1"/>
        <item m="1" x="139"/>
        <item x="4"/>
        <item m="1" x="140"/>
        <item m="1" x="141"/>
        <item m="1" x="171"/>
        <item m="1" x="172"/>
        <item m="1" x="125"/>
        <item m="1" x="126"/>
        <item m="1" x="137"/>
        <item x="6"/>
        <item x="7"/>
        <item m="1" x="119"/>
        <item m="1" x="120"/>
        <item x="11"/>
        <item x="12"/>
        <item m="1" x="121"/>
        <item m="1" x="122"/>
        <item m="1" x="123"/>
        <item x="17"/>
        <item x="18"/>
        <item m="1" x="124"/>
        <item x="20"/>
        <item x="27"/>
        <item x="28"/>
        <item x="29"/>
        <item x="30"/>
        <item m="1" x="108"/>
        <item x="40"/>
        <item x="41"/>
        <item x="43"/>
        <item x="42"/>
        <item x="44"/>
        <item m="1" x="127"/>
        <item x="47"/>
        <item x="48"/>
        <item m="1" x="128"/>
        <item m="1" x="129"/>
        <item m="1" x="130"/>
        <item m="1" x="138"/>
        <item x="59"/>
        <item m="1" x="131"/>
        <item m="1" x="99"/>
        <item m="1" x="113"/>
        <item x="2"/>
        <item x="21"/>
        <item x="22"/>
        <item m="1" x="104"/>
        <item m="1" x="105"/>
        <item m="1" x="106"/>
        <item m="1" x="107"/>
        <item m="1" x="115"/>
        <item m="1" x="116"/>
        <item m="1" x="100"/>
        <item m="1" x="101"/>
        <item m="1" x="102"/>
        <item m="1" x="103"/>
        <item x="19"/>
        <item m="1" x="75"/>
        <item m="1" x="76"/>
        <item m="1" x="117"/>
        <item m="1" x="110"/>
        <item m="1" x="111"/>
        <item m="1" x="112"/>
        <item m="1" x="118"/>
        <item m="1" x="114"/>
        <item x="10"/>
        <item x="37"/>
        <item m="1" x="109"/>
        <item x="60"/>
        <item m="1" x="91"/>
        <item m="1" x="92"/>
        <item x="13"/>
        <item x="14"/>
        <item x="15"/>
        <item x="16"/>
        <item x="23"/>
        <item x="24"/>
        <item x="25"/>
        <item x="26"/>
        <item m="1" x="93"/>
        <item x="32"/>
        <item x="45"/>
        <item x="46"/>
        <item m="1" x="94"/>
        <item x="50"/>
        <item x="51"/>
        <item x="52"/>
        <item m="1" x="87"/>
        <item m="1" x="88"/>
        <item m="1" x="96"/>
        <item m="1" x="97"/>
        <item m="1" x="98"/>
        <item m="1" x="95"/>
        <item m="1" x="89"/>
        <item m="1" x="90"/>
        <item x="5"/>
        <item x="9"/>
        <item x="31"/>
        <item x="49"/>
        <item x="61"/>
        <item m="1" x="79"/>
        <item m="1" x="80"/>
        <item x="62"/>
        <item m="1" x="86"/>
        <item m="1" x="77"/>
        <item m="1" x="78"/>
        <item x="56"/>
        <item x="57"/>
        <item x="63"/>
        <item x="53"/>
        <item x="54"/>
        <item m="1" x="73"/>
        <item m="1" x="71"/>
        <item m="1" x="72"/>
        <item m="1" x="74"/>
        <item m="1" x="68"/>
        <item m="1" x="69"/>
        <item m="1" x="70"/>
        <item m="1" x="66"/>
        <item m="1" x="67"/>
        <item x="35"/>
        <item x="33"/>
        <item x="34"/>
        <item x="36"/>
        <item x="38"/>
        <item m="1" x="64"/>
        <item m="1" x="65"/>
        <item x="3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>
      <x v="40"/>
    </i>
    <i t="grand">
      <x/>
    </i>
  </colItems>
  <pageFields count="1">
    <pageField fld="8" hier="-1"/>
  </pageFields>
  <dataFields count="1">
    <dataField name="Sum of REVENUE RECOGNITION AMOUNT" fld="8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1">
        <item m="1" x="42"/>
        <item m="1" x="48"/>
        <item m="1" x="43"/>
        <item m="1" x="46"/>
        <item m="1" x="44"/>
        <item x="0"/>
        <item m="1" x="49"/>
        <item m="1" x="45"/>
        <item m="1" x="47"/>
        <item m="1" x="17"/>
        <item m="1" x="41"/>
        <item m="1" x="40"/>
        <item m="1" x="39"/>
        <item m="1" x="38"/>
        <item m="1" x="37"/>
        <item m="1" x="22"/>
        <item m="1" x="21"/>
        <item x="3"/>
        <item m="1" x="19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23"/>
        <item m="1" x="33"/>
        <item m="1" x="34"/>
        <item m="1" x="35"/>
        <item m="1" x="36"/>
        <item m="1" x="20"/>
        <item m="1" x="18"/>
        <item x="13"/>
        <item x="1"/>
        <item x="2"/>
        <item x="6"/>
        <item x="4"/>
        <item x="7"/>
        <item x="8"/>
        <item x="9"/>
        <item x="11"/>
        <item x="12"/>
        <item m="1" x="16"/>
        <item x="14"/>
        <item x="10"/>
        <item x="5"/>
        <item x="15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 t="grand">
      <x/>
    </i>
  </colItems>
  <dataFields count="1">
    <dataField name="Sum of Actual Total " fld="4" baseField="0" baseItem="0" numFmtId="168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4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5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8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664062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48" t="s">
        <v>57</v>
      </c>
      <c r="E47" s="948"/>
      <c r="F47" s="949"/>
      <c r="G47" s="67"/>
      <c r="I47" s="68"/>
      <c r="J47" s="68"/>
    </row>
    <row r="48" spans="1:49" ht="14.4" thickBot="1">
      <c r="C48" s="69">
        <v>44014</v>
      </c>
      <c r="D48" s="950"/>
      <c r="E48" s="950"/>
      <c r="F48" s="95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99" zoomScaleNormal="115" workbookViewId="0">
      <selection activeCell="F34" sqref="F34"/>
    </sheetView>
  </sheetViews>
  <sheetFormatPr defaultColWidth="8.33203125" defaultRowHeight="14.4"/>
  <cols>
    <col min="1" max="1" width="5.6640625" style="93" customWidth="1"/>
    <col min="2" max="2" width="5.6640625" style="133" customWidth="1"/>
    <col min="3" max="3" width="38.6640625" style="131" customWidth="1"/>
    <col min="4" max="4" width="29.6640625" style="131" customWidth="1"/>
    <col min="5" max="5" width="6.6640625" style="131" customWidth="1"/>
    <col min="6" max="6" width="16.33203125" style="131" customWidth="1"/>
    <col min="7" max="7" width="11.6640625" style="131" bestFit="1" customWidth="1"/>
    <col min="8" max="8" width="15.33203125" style="131" customWidth="1"/>
    <col min="9" max="9" width="1.33203125" style="131" customWidth="1"/>
    <col min="10" max="10" width="3.33203125" style="93" customWidth="1"/>
    <col min="11" max="11" width="1.33203125" style="221" customWidth="1"/>
    <col min="12" max="12" width="29.33203125" style="93" customWidth="1"/>
    <col min="13" max="13" width="1.33203125" style="131" customWidth="1"/>
    <col min="14" max="14" width="29.33203125" style="131" customWidth="1"/>
    <col min="15" max="15" width="1.33203125" style="93" customWidth="1"/>
    <col min="16" max="16" width="17" style="131" customWidth="1"/>
    <col min="17" max="17" width="5.6640625" style="131" customWidth="1"/>
    <col min="18" max="18" width="112.33203125" style="131" bestFit="1" customWidth="1"/>
    <col min="19" max="19" width="4.33203125" style="131" customWidth="1"/>
    <col min="20" max="20" width="14.33203125" style="131" customWidth="1"/>
    <col min="21" max="21" width="10.33203125" style="93" bestFit="1" customWidth="1"/>
    <col min="22" max="23" width="8.33203125" style="93"/>
    <col min="24" max="24" width="5.6640625" style="93" bestFit="1" customWidth="1"/>
    <col min="25" max="25" width="14.33203125" style="93" bestFit="1" customWidth="1"/>
    <col min="26" max="26" width="8.33203125" style="93"/>
    <col min="27" max="27" width="14.33203125" style="93" bestFit="1" customWidth="1"/>
    <col min="28" max="28" width="8.33203125" style="131"/>
    <col min="29" max="29" width="12.6640625" style="131" bestFit="1" customWidth="1"/>
    <col min="30" max="16384" width="8.3320312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3.2">
      <c r="B3" s="119"/>
      <c r="D3" s="127" t="s">
        <v>59</v>
      </c>
      <c r="F3" s="127" t="s">
        <v>60</v>
      </c>
      <c r="J3" s="143"/>
      <c r="L3" s="623" t="s">
        <v>61</v>
      </c>
      <c r="N3" s="623" t="s">
        <v>62</v>
      </c>
      <c r="S3" s="143"/>
    </row>
    <row r="4" spans="1:21" s="93" customFormat="1" ht="13.2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11987342.5275</v>
      </c>
      <c r="G5" s="857" t="s">
        <v>66</v>
      </c>
      <c r="H5" s="857" t="s">
        <v>67</v>
      </c>
      <c r="J5" s="143"/>
      <c r="L5" s="532">
        <v>10805125.074304625</v>
      </c>
      <c r="N5" s="624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-257794.99646349996</v>
      </c>
      <c r="G6" s="856">
        <f>D6*0.05</f>
        <v>48972.461332259794</v>
      </c>
      <c r="H6" s="118">
        <f>SUMIF('Expenditure Breakdown'!O:O,"*VO*",'Expenditure Breakdown'!R:R)</f>
        <v>893309.64000000013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-2.1978255834794295E-2</v>
      </c>
      <c r="J7" s="143"/>
      <c r="L7" s="533">
        <v>7.8811433628266009E-2</v>
      </c>
      <c r="N7" s="705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3.2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.4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7" t="s">
        <v>80</v>
      </c>
      <c r="S12" s="143"/>
    </row>
    <row r="13" spans="1:21" s="93" customFormat="1" ht="13.2">
      <c r="B13" s="480">
        <v>1</v>
      </c>
      <c r="C13" s="952" t="s">
        <v>81</v>
      </c>
      <c r="D13" s="953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8"/>
      <c r="S13" s="143"/>
    </row>
    <row r="14" spans="1:21" s="93" customFormat="1" ht="13.2">
      <c r="B14" s="156">
        <v>2</v>
      </c>
      <c r="C14" s="954" t="s">
        <v>83</v>
      </c>
      <c r="D14" s="955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4">
        <v>45695</v>
      </c>
      <c r="R14" s="548"/>
      <c r="S14" s="143"/>
    </row>
    <row r="15" spans="1:21" s="93" customFormat="1" ht="13.2">
      <c r="B15" s="480">
        <v>3</v>
      </c>
      <c r="C15" s="952" t="s">
        <v>84</v>
      </c>
      <c r="D15" s="953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8"/>
      <c r="S15" s="143"/>
    </row>
    <row r="16" spans="1:21" s="93" customFormat="1" ht="13.2">
      <c r="B16" s="480">
        <v>4</v>
      </c>
      <c r="C16" s="952" t="s">
        <v>85</v>
      </c>
      <c r="D16" s="953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8"/>
      <c r="S16" s="143"/>
    </row>
    <row r="17" spans="2:19" s="93" customFormat="1" ht="13.2">
      <c r="B17" s="480">
        <v>5</v>
      </c>
      <c r="C17" s="954" t="s">
        <v>54</v>
      </c>
      <c r="D17" s="955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8"/>
      <c r="S17" s="143"/>
    </row>
    <row r="18" spans="2:19" s="93" customFormat="1" ht="13.2">
      <c r="B18" s="480">
        <v>6</v>
      </c>
      <c r="C18" s="952" t="s">
        <v>86</v>
      </c>
      <c r="D18" s="953"/>
      <c r="E18" s="138">
        <v>0.7</v>
      </c>
      <c r="F18" s="139">
        <v>73118.58</v>
      </c>
      <c r="G18" s="483"/>
      <c r="H18" s="141">
        <f>H16</f>
        <v>45793</v>
      </c>
      <c r="J18" s="143"/>
      <c r="L18" s="724" t="s">
        <v>87</v>
      </c>
      <c r="M18" s="725"/>
      <c r="N18" s="726">
        <v>45639</v>
      </c>
      <c r="O18" s="131"/>
      <c r="P18" s="141">
        <v>45639</v>
      </c>
      <c r="R18" s="548"/>
      <c r="S18" s="143"/>
    </row>
    <row r="19" spans="2:19" s="93" customFormat="1" ht="13.2">
      <c r="B19" s="480">
        <v>6</v>
      </c>
      <c r="C19" s="721" t="s">
        <v>86</v>
      </c>
      <c r="D19" s="722"/>
      <c r="E19" s="138"/>
      <c r="F19" s="139">
        <f>149221.6-F18</f>
        <v>76103.02</v>
      </c>
      <c r="G19" s="483"/>
      <c r="H19" s="141">
        <f>H17</f>
        <v>45810</v>
      </c>
      <c r="J19" s="143"/>
      <c r="L19" s="724" t="s">
        <v>87</v>
      </c>
      <c r="M19" s="725"/>
      <c r="N19" s="726">
        <v>45639</v>
      </c>
      <c r="O19" s="131"/>
      <c r="P19" s="141">
        <v>45701</v>
      </c>
      <c r="R19" s="548"/>
      <c r="S19" s="143"/>
    </row>
    <row r="20" spans="2:19" s="93" customFormat="1" ht="13.2">
      <c r="B20" s="480">
        <v>6</v>
      </c>
      <c r="C20" s="721" t="s">
        <v>86</v>
      </c>
      <c r="D20" s="722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8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3.2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3.2">
      <c r="C25" s="149" t="s">
        <v>91</v>
      </c>
      <c r="D25" s="150"/>
      <c r="F25" s="151"/>
      <c r="H25" s="118">
        <f>F17*1.15</f>
        <v>663294.66843459872</v>
      </c>
      <c r="J25" s="723"/>
      <c r="L25" s="118"/>
      <c r="N25" s="118"/>
    </row>
    <row r="26" spans="2:19" s="93" customFormat="1" ht="13.2">
      <c r="C26" s="149" t="s">
        <v>92</v>
      </c>
      <c r="D26" s="150"/>
    </row>
    <row r="27" spans="2:19" s="93" customFormat="1" ht="13.2">
      <c r="C27" s="152" t="s">
        <v>93</v>
      </c>
      <c r="D27" s="153"/>
    </row>
    <row r="28" spans="2:19" s="93" customFormat="1" ht="13.2">
      <c r="C28" s="154" t="s">
        <v>94</v>
      </c>
      <c r="D28" s="150"/>
    </row>
    <row r="29" spans="2:19" s="93" customFormat="1" ht="13.2">
      <c r="B29" s="119"/>
      <c r="C29" s="154" t="s">
        <v>95</v>
      </c>
      <c r="D29" s="150"/>
    </row>
    <row r="30" spans="2:19" s="93" customFormat="1" ht="13.2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3.2">
      <c r="B32" s="119"/>
      <c r="F32" s="148"/>
    </row>
    <row r="33" spans="2:14" s="93" customFormat="1" ht="13.2">
      <c r="B33" s="119"/>
      <c r="F33" s="148"/>
    </row>
    <row r="34" spans="2:14" s="93" customFormat="1" ht="13.2">
      <c r="B34" s="119"/>
      <c r="F34" s="148"/>
    </row>
    <row r="35" spans="2:14" s="93" customFormat="1" ht="13.2">
      <c r="B35" s="119"/>
      <c r="F35" s="148"/>
    </row>
    <row r="36" spans="2:14" s="93" customFormat="1" ht="13.2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3.2">
      <c r="B37" s="119"/>
    </row>
    <row r="38" spans="2:14" s="93" customFormat="1" ht="13.2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3.2">
      <c r="B50" s="119"/>
    </row>
    <row r="51" spans="2:2" s="93" customFormat="1" ht="13.2">
      <c r="B51" s="119"/>
    </row>
    <row r="52" spans="2:2" s="93" customFormat="1" ht="13.2">
      <c r="B52" s="119"/>
    </row>
    <row r="53" spans="2:2" s="93" customFormat="1" ht="13.2">
      <c r="B53" s="119"/>
    </row>
    <row r="54" spans="2:2" s="93" customFormat="1" ht="13.2">
      <c r="B54" s="119"/>
    </row>
    <row r="55" spans="2:2" s="93" customFormat="1" ht="13.2">
      <c r="B55" s="119"/>
    </row>
    <row r="56" spans="2:2" s="93" customFormat="1" ht="13.2">
      <c r="B56" s="119"/>
    </row>
    <row r="57" spans="2:2" s="93" customFormat="1" ht="13.2">
      <c r="B57" s="119"/>
    </row>
    <row r="58" spans="2:2" s="93" customFormat="1" ht="13.2">
      <c r="B58" s="119"/>
    </row>
    <row r="59" spans="2:2" s="93" customFormat="1" ht="13.2">
      <c r="B59" s="119"/>
    </row>
    <row r="60" spans="2:2" s="93" customFormat="1" ht="13.2">
      <c r="B60" s="119"/>
    </row>
    <row r="61" spans="2:2" s="93" customFormat="1" ht="13.2">
      <c r="B61" s="119"/>
    </row>
    <row r="62" spans="2:2" s="93" customFormat="1" ht="13.2">
      <c r="B62" s="119"/>
    </row>
    <row r="63" spans="2:2" s="93" customFormat="1" ht="13.2">
      <c r="B63" s="119"/>
    </row>
    <row r="64" spans="2:2" s="93" customFormat="1" ht="13.2">
      <c r="B64" s="119"/>
    </row>
    <row r="65" spans="2:2" s="93" customFormat="1" ht="13.2">
      <c r="B65" s="119"/>
    </row>
    <row r="66" spans="2:2" s="93" customFormat="1" ht="13.2">
      <c r="B66" s="119"/>
    </row>
    <row r="67" spans="2:2" s="93" customFormat="1" ht="13.2">
      <c r="B67" s="119"/>
    </row>
    <row r="68" spans="2:2" s="93" customFormat="1" ht="13.2">
      <c r="B68" s="119"/>
    </row>
    <row r="69" spans="2:2" s="93" customFormat="1" ht="13.2">
      <c r="B69" s="119"/>
    </row>
    <row r="70" spans="2:2" s="93" customFormat="1" ht="13.2">
      <c r="B70" s="119"/>
    </row>
    <row r="71" spans="2:2" s="93" customFormat="1" ht="13.2">
      <c r="B71" s="119"/>
    </row>
    <row r="72" spans="2:2" s="93" customFormat="1" ht="13.2">
      <c r="B72" s="119"/>
    </row>
    <row r="73" spans="2:2" s="93" customFormat="1" ht="13.2">
      <c r="B73" s="119"/>
    </row>
    <row r="74" spans="2:2" s="93" customFormat="1" ht="13.2">
      <c r="B74" s="119"/>
    </row>
    <row r="75" spans="2:2" s="93" customFormat="1" ht="13.2">
      <c r="B75" s="119"/>
    </row>
    <row r="76" spans="2:2" s="93" customFormat="1" ht="13.2">
      <c r="B76" s="119"/>
    </row>
    <row r="77" spans="2:2" s="93" customFormat="1" ht="13.2">
      <c r="B77" s="119"/>
    </row>
    <row r="78" spans="2:2" s="93" customFormat="1" ht="13.2">
      <c r="B78" s="119"/>
    </row>
    <row r="79" spans="2:2" s="93" customFormat="1" ht="13.2">
      <c r="B79" s="119"/>
    </row>
    <row r="80" spans="2:2" s="93" customFormat="1" ht="13.2">
      <c r="B80" s="119"/>
    </row>
    <row r="81" spans="2:2" s="93" customFormat="1" ht="13.2">
      <c r="B81" s="119"/>
    </row>
    <row r="82" spans="2:2" s="93" customFormat="1" ht="13.2">
      <c r="B82" s="119"/>
    </row>
    <row r="83" spans="2:2" s="93" customFormat="1" ht="13.2">
      <c r="B83" s="119"/>
    </row>
    <row r="84" spans="2:2" s="93" customFormat="1" ht="13.2">
      <c r="B84" s="119"/>
    </row>
    <row r="85" spans="2:2" s="93" customFormat="1" ht="13.2">
      <c r="B85" s="119"/>
    </row>
    <row r="86" spans="2:2" s="93" customFormat="1" ht="13.2">
      <c r="B86" s="119"/>
    </row>
    <row r="87" spans="2:2" s="93" customFormat="1" ht="13.2">
      <c r="B87" s="119"/>
    </row>
    <row r="88" spans="2:2" s="93" customFormat="1" ht="13.2">
      <c r="B88" s="119"/>
    </row>
    <row r="89" spans="2:2" s="93" customFormat="1" ht="13.2">
      <c r="B89" s="119"/>
    </row>
    <row r="90" spans="2:2" s="93" customFormat="1" ht="13.2">
      <c r="B90" s="119"/>
    </row>
    <row r="91" spans="2:2" s="93" customFormat="1" ht="13.2">
      <c r="B91" s="119"/>
    </row>
    <row r="92" spans="2:2" s="93" customFormat="1" ht="13.2">
      <c r="B92" s="119"/>
    </row>
    <row r="93" spans="2:2" s="93" customFormat="1" ht="13.2">
      <c r="B93" s="119"/>
    </row>
    <row r="94" spans="2:2" s="93" customFormat="1" ht="13.2">
      <c r="B94" s="119"/>
    </row>
    <row r="95" spans="2:2" s="93" customFormat="1" ht="13.2">
      <c r="B95" s="119"/>
    </row>
    <row r="96" spans="2:2" s="93" customFormat="1" ht="13.2">
      <c r="B96" s="119"/>
    </row>
    <row r="97" spans="2:2" s="93" customFormat="1" ht="13.2">
      <c r="B97" s="119"/>
    </row>
    <row r="98" spans="2:2" s="93" customFormat="1" ht="13.2">
      <c r="B98" s="119"/>
    </row>
    <row r="99" spans="2:2" s="93" customFormat="1" ht="13.2">
      <c r="B99" s="119"/>
    </row>
    <row r="100" spans="2:2" s="93" customFormat="1" ht="13.2">
      <c r="B100" s="119"/>
    </row>
    <row r="101" spans="2:2" s="93" customFormat="1" ht="13.2">
      <c r="B101" s="119"/>
    </row>
    <row r="102" spans="2:2" s="93" customFormat="1" ht="13.2">
      <c r="B102" s="119"/>
    </row>
    <row r="103" spans="2:2" s="93" customFormat="1" ht="13.2">
      <c r="B103" s="119"/>
    </row>
    <row r="104" spans="2:2" s="93" customFormat="1" ht="13.2">
      <c r="B104" s="119"/>
    </row>
    <row r="105" spans="2:2" s="93" customFormat="1" ht="13.2">
      <c r="B105" s="119"/>
    </row>
    <row r="106" spans="2:2" s="93" customFormat="1" ht="13.2">
      <c r="B106" s="119"/>
    </row>
    <row r="107" spans="2:2" s="93" customFormat="1" ht="13.2">
      <c r="B107" s="119"/>
    </row>
    <row r="108" spans="2:2" s="93" customFormat="1" ht="13.2">
      <c r="B108" s="119"/>
    </row>
    <row r="109" spans="2:2" s="93" customFormat="1" ht="13.2">
      <c r="B109" s="119"/>
    </row>
    <row r="110" spans="2:2" s="93" customFormat="1" ht="13.2">
      <c r="B110" s="119"/>
    </row>
    <row r="111" spans="2:2" s="93" customFormat="1" ht="13.2">
      <c r="B111" s="119"/>
    </row>
    <row r="112" spans="2:2" s="93" customFormat="1" ht="13.2">
      <c r="B112" s="119"/>
    </row>
    <row r="113" spans="2:2" s="93" customFormat="1" ht="13.2">
      <c r="B113" s="119"/>
    </row>
    <row r="114" spans="2:2" s="93" customFormat="1" ht="13.2">
      <c r="B114" s="119"/>
    </row>
    <row r="115" spans="2:2" s="93" customFormat="1" ht="13.2">
      <c r="B115" s="119"/>
    </row>
    <row r="116" spans="2:2" s="93" customFormat="1" ht="13.2">
      <c r="B116" s="119"/>
    </row>
    <row r="117" spans="2:2" s="93" customFormat="1" ht="13.2">
      <c r="B117" s="119"/>
    </row>
    <row r="118" spans="2:2" s="93" customFormat="1" ht="13.2">
      <c r="B118" s="119"/>
    </row>
    <row r="119" spans="2:2" s="93" customFormat="1" ht="13.2">
      <c r="B119" s="119"/>
    </row>
    <row r="120" spans="2:2" s="93" customFormat="1" ht="13.2">
      <c r="B120" s="119"/>
    </row>
    <row r="121" spans="2:2" s="93" customFormat="1" ht="13.2">
      <c r="B121" s="119"/>
    </row>
    <row r="122" spans="2:2" s="93" customFormat="1" ht="13.2">
      <c r="B122" s="119"/>
    </row>
    <row r="123" spans="2:2" s="93" customFormat="1" ht="13.2">
      <c r="B123" s="119"/>
    </row>
    <row r="124" spans="2:2" s="93" customFormat="1" ht="13.2">
      <c r="B124" s="119"/>
    </row>
    <row r="125" spans="2:2" s="93" customFormat="1" ht="13.2">
      <c r="B125" s="119"/>
    </row>
    <row r="126" spans="2:2" s="93" customFormat="1" ht="13.2">
      <c r="B126" s="119"/>
    </row>
    <row r="127" spans="2:2" s="93" customFormat="1" ht="13.2">
      <c r="B127" s="119"/>
    </row>
    <row r="128" spans="2:2" s="93" customFormat="1" ht="13.2">
      <c r="B128" s="119"/>
    </row>
    <row r="129" spans="2:2" s="93" customFormat="1" ht="13.2">
      <c r="B129" s="119"/>
    </row>
    <row r="130" spans="2:2" s="93" customFormat="1" ht="13.2">
      <c r="B130" s="119"/>
    </row>
    <row r="131" spans="2:2" s="93" customFormat="1" ht="13.2">
      <c r="B131" s="119"/>
    </row>
    <row r="132" spans="2:2" s="93" customFormat="1" ht="13.2">
      <c r="B132" s="119"/>
    </row>
    <row r="133" spans="2:2" s="93" customFormat="1" ht="13.2">
      <c r="B133" s="119"/>
    </row>
    <row r="134" spans="2:2" s="93" customFormat="1" ht="13.2">
      <c r="B134" s="119"/>
    </row>
    <row r="135" spans="2:2" s="93" customFormat="1" ht="13.2">
      <c r="B135" s="119"/>
    </row>
    <row r="136" spans="2:2" s="93" customFormat="1" ht="13.2">
      <c r="B136" s="119"/>
    </row>
    <row r="137" spans="2:2" s="93" customFormat="1" ht="13.2">
      <c r="B137" s="119"/>
    </row>
    <row r="138" spans="2:2" s="93" customFormat="1" ht="13.2">
      <c r="B138" s="119"/>
    </row>
    <row r="139" spans="2:2" s="93" customFormat="1" ht="13.2">
      <c r="B139" s="119"/>
    </row>
    <row r="140" spans="2:2" s="93" customFormat="1" ht="13.2">
      <c r="B140" s="119"/>
    </row>
    <row r="141" spans="2:2" s="93" customFormat="1" ht="13.2">
      <c r="B141" s="119"/>
    </row>
    <row r="142" spans="2:2" s="93" customFormat="1" ht="13.2">
      <c r="B142" s="119"/>
    </row>
    <row r="143" spans="2:2" s="93" customFormat="1" ht="13.2">
      <c r="B143" s="119"/>
    </row>
    <row r="144" spans="2:2" s="93" customFormat="1" ht="13.2">
      <c r="B144" s="119"/>
    </row>
    <row r="145" spans="2:2" s="93" customFormat="1" ht="13.2">
      <c r="B145" s="119"/>
    </row>
    <row r="146" spans="2:2" s="93" customFormat="1" ht="13.2">
      <c r="B146" s="119"/>
    </row>
    <row r="147" spans="2:2" s="93" customFormat="1" ht="13.2">
      <c r="B147" s="119"/>
    </row>
    <row r="148" spans="2:2" s="93" customFormat="1" ht="13.2">
      <c r="B148" s="119"/>
    </row>
    <row r="149" spans="2:2" s="93" customFormat="1" ht="13.2">
      <c r="B149" s="119"/>
    </row>
    <row r="150" spans="2:2" s="93" customFormat="1" ht="13.2">
      <c r="B150" s="119"/>
    </row>
    <row r="151" spans="2:2" s="93" customFormat="1" ht="13.2">
      <c r="B151" s="119"/>
    </row>
    <row r="152" spans="2:2" s="93" customFormat="1" ht="13.2">
      <c r="B152" s="119"/>
    </row>
    <row r="153" spans="2:2" s="93" customFormat="1" ht="13.2">
      <c r="B153" s="119"/>
    </row>
    <row r="154" spans="2:2" s="93" customFormat="1" ht="13.2">
      <c r="B154" s="119"/>
    </row>
    <row r="155" spans="2:2" s="93" customFormat="1" ht="13.2">
      <c r="B155" s="119"/>
    </row>
    <row r="156" spans="2:2" s="93" customFormat="1" ht="13.2">
      <c r="B156" s="119"/>
    </row>
    <row r="157" spans="2:2" s="93" customFormat="1" ht="13.2">
      <c r="B157" s="119"/>
    </row>
    <row r="158" spans="2:2" s="93" customFormat="1" ht="13.2">
      <c r="B158" s="119"/>
    </row>
    <row r="159" spans="2:2" s="93" customFormat="1" ht="13.2">
      <c r="B159" s="119"/>
    </row>
    <row r="160" spans="2:2" s="93" customFormat="1" ht="13.2">
      <c r="B160" s="119"/>
    </row>
    <row r="161" spans="2:2" s="93" customFormat="1" ht="13.2">
      <c r="B161" s="119"/>
    </row>
    <row r="162" spans="2:2" s="93" customFormat="1" ht="13.2">
      <c r="B162" s="119"/>
    </row>
    <row r="163" spans="2:2" s="93" customFormat="1" ht="13.2">
      <c r="B163" s="119"/>
    </row>
    <row r="164" spans="2:2" s="93" customFormat="1" ht="13.2">
      <c r="B164" s="119"/>
    </row>
    <row r="165" spans="2:2" s="93" customFormat="1" ht="13.2">
      <c r="B165" s="119"/>
    </row>
    <row r="166" spans="2:2" s="93" customFormat="1" ht="13.2">
      <c r="B166" s="119"/>
    </row>
    <row r="167" spans="2:2" s="93" customFormat="1" ht="13.2">
      <c r="B167" s="119"/>
    </row>
    <row r="168" spans="2:2" s="93" customFormat="1" ht="13.2">
      <c r="B168" s="119"/>
    </row>
    <row r="169" spans="2:2" s="93" customFormat="1" ht="13.2">
      <c r="B169" s="119"/>
    </row>
    <row r="170" spans="2:2" s="93" customFormat="1" ht="13.2">
      <c r="B170" s="119"/>
    </row>
    <row r="171" spans="2:2" s="93" customFormat="1" ht="13.2">
      <c r="B171" s="119"/>
    </row>
    <row r="172" spans="2:2" s="93" customFormat="1" ht="13.2">
      <c r="B172" s="119"/>
    </row>
    <row r="173" spans="2:2" s="93" customFormat="1" ht="13.2">
      <c r="B173" s="119"/>
    </row>
    <row r="174" spans="2:2" s="93" customFormat="1" ht="13.2">
      <c r="B174" s="119"/>
    </row>
    <row r="175" spans="2:2" s="93" customFormat="1" ht="13.2">
      <c r="B175" s="119"/>
    </row>
    <row r="176" spans="2:2" s="93" customFormat="1" ht="13.2">
      <c r="B176" s="119"/>
    </row>
    <row r="177" spans="2:2" s="93" customFormat="1" ht="13.2">
      <c r="B177" s="119"/>
    </row>
    <row r="178" spans="2:2" s="93" customFormat="1" ht="13.2">
      <c r="B178" s="119"/>
    </row>
    <row r="179" spans="2:2" s="93" customFormat="1" ht="13.2">
      <c r="B179" s="119"/>
    </row>
    <row r="180" spans="2:2" s="93" customFormat="1" ht="13.2">
      <c r="B180" s="119"/>
    </row>
    <row r="181" spans="2:2" s="93" customFormat="1" ht="13.2">
      <c r="B181" s="119"/>
    </row>
    <row r="182" spans="2:2" s="93" customFormat="1" ht="13.2">
      <c r="B182" s="119"/>
    </row>
    <row r="183" spans="2:2" s="93" customFormat="1" ht="13.2">
      <c r="B183" s="119"/>
    </row>
    <row r="184" spans="2:2" s="93" customFormat="1" ht="13.2">
      <c r="B184" s="119"/>
    </row>
    <row r="185" spans="2:2" s="93" customFormat="1" ht="13.2">
      <c r="B185" s="119"/>
    </row>
    <row r="186" spans="2:2" s="93" customFormat="1" ht="13.2">
      <c r="B186" s="119"/>
    </row>
    <row r="187" spans="2:2" s="93" customFormat="1" ht="13.2">
      <c r="B187" s="119"/>
    </row>
    <row r="188" spans="2:2" s="93" customFormat="1" ht="13.2">
      <c r="B188" s="119"/>
    </row>
    <row r="189" spans="2:2" s="93" customFormat="1" ht="13.2">
      <c r="B189" s="119"/>
    </row>
    <row r="190" spans="2:2" s="93" customFormat="1" ht="13.2">
      <c r="B190" s="119"/>
    </row>
    <row r="191" spans="2:2" s="93" customFormat="1" ht="13.2">
      <c r="B191" s="119"/>
    </row>
    <row r="192" spans="2:2" s="93" customFormat="1" ht="13.2">
      <c r="B192" s="119"/>
    </row>
    <row r="193" spans="2:2" s="93" customFormat="1" ht="13.2">
      <c r="B193" s="119"/>
    </row>
    <row r="194" spans="2:2" s="93" customFormat="1" ht="13.2">
      <c r="B194" s="119"/>
    </row>
    <row r="195" spans="2:2" s="93" customFormat="1" ht="13.2">
      <c r="B195" s="119"/>
    </row>
    <row r="196" spans="2:2" s="93" customFormat="1" ht="13.2">
      <c r="B196" s="119"/>
    </row>
    <row r="197" spans="2:2" s="93" customFormat="1" ht="13.2">
      <c r="B197" s="119"/>
    </row>
    <row r="198" spans="2:2" s="93" customFormat="1" ht="13.2">
      <c r="B198" s="119"/>
    </row>
    <row r="199" spans="2:2" s="93" customFormat="1" ht="13.2">
      <c r="B199" s="119"/>
    </row>
    <row r="200" spans="2:2" s="93" customFormat="1" ht="13.2">
      <c r="B200" s="119"/>
    </row>
    <row r="201" spans="2:2" s="93" customFormat="1" ht="13.2">
      <c r="B201" s="119"/>
    </row>
    <row r="202" spans="2:2" s="93" customFormat="1" ht="13.2">
      <c r="B202" s="119"/>
    </row>
    <row r="203" spans="2:2" s="93" customFormat="1" ht="13.2">
      <c r="B203" s="119"/>
    </row>
    <row r="204" spans="2:2" s="93" customFormat="1" ht="13.2">
      <c r="B204" s="119"/>
    </row>
    <row r="205" spans="2:2" s="93" customFormat="1" ht="13.2">
      <c r="B205" s="119"/>
    </row>
    <row r="206" spans="2:2" s="93" customFormat="1" ht="13.2">
      <c r="B206" s="119"/>
    </row>
    <row r="207" spans="2:2" s="93" customFormat="1" ht="13.2">
      <c r="B207" s="119"/>
    </row>
    <row r="208" spans="2:2" s="93" customFormat="1" ht="13.2">
      <c r="B208" s="119"/>
    </row>
    <row r="209" spans="2:2" s="93" customFormat="1" ht="13.2">
      <c r="B209" s="119"/>
    </row>
    <row r="210" spans="2:2" s="93" customFormat="1" ht="13.2">
      <c r="B210" s="119"/>
    </row>
    <row r="211" spans="2:2" s="93" customFormat="1" ht="13.2">
      <c r="B211" s="119"/>
    </row>
    <row r="212" spans="2:2" s="93" customFormat="1" ht="13.2">
      <c r="B212" s="119"/>
    </row>
    <row r="213" spans="2:2" s="93" customFormat="1" ht="13.2">
      <c r="B213" s="119"/>
    </row>
    <row r="214" spans="2:2" s="93" customFormat="1" ht="13.2">
      <c r="B214" s="119"/>
    </row>
    <row r="215" spans="2:2" s="93" customFormat="1" ht="13.2">
      <c r="B215" s="119"/>
    </row>
    <row r="216" spans="2:2" s="93" customFormat="1" ht="13.2">
      <c r="B216" s="119"/>
    </row>
    <row r="217" spans="2:2" s="93" customFormat="1" ht="13.2">
      <c r="B217" s="119"/>
    </row>
    <row r="218" spans="2:2" s="93" customFormat="1" ht="13.2">
      <c r="B218" s="119"/>
    </row>
    <row r="219" spans="2:2" s="93" customFormat="1" ht="13.2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opLeftCell="A26" zoomScale="85" zoomScaleNormal="85" workbookViewId="0">
      <selection activeCell="E10" sqref="E10:E11"/>
    </sheetView>
  </sheetViews>
  <sheetFormatPr defaultColWidth="8.33203125" defaultRowHeight="13.8"/>
  <cols>
    <col min="1" max="1" width="1.33203125" style="114" customWidth="1"/>
    <col min="2" max="2" width="6.33203125" style="189" bestFit="1" customWidth="1"/>
    <col min="3" max="3" width="50.6640625" style="24" bestFit="1" customWidth="1"/>
    <col min="4" max="4" width="3.33203125" style="114" customWidth="1"/>
    <col min="5" max="5" width="14.6640625" style="24" customWidth="1"/>
    <col min="6" max="6" width="10.33203125" style="186" customWidth="1"/>
    <col min="7" max="7" width="13.6640625" style="64" customWidth="1"/>
    <col min="8" max="8" width="5" style="114" customWidth="1"/>
    <col min="9" max="9" width="13.33203125" style="114" customWidth="1"/>
    <col min="10" max="10" width="11.33203125" style="115" customWidth="1"/>
    <col min="11" max="11" width="14.6640625" style="114" customWidth="1"/>
    <col min="12" max="12" width="2.33203125" style="114" customWidth="1"/>
    <col min="13" max="13" width="12.6640625" style="114" customWidth="1"/>
    <col min="14" max="14" width="11" style="114" bestFit="1" customWidth="1"/>
    <col min="15" max="15" width="39.33203125" style="114" bestFit="1" customWidth="1"/>
    <col min="16" max="16" width="1.33203125" style="114" customWidth="1"/>
    <col min="17" max="17" width="5.6640625" style="3" customWidth="1"/>
    <col min="18" max="25" width="8.33203125" style="114"/>
    <col min="26" max="16384" width="8.33203125" style="24"/>
  </cols>
  <sheetData>
    <row r="1" spans="2:28" s="114" customFormat="1" ht="4.5" customHeight="1">
      <c r="B1" s="185"/>
      <c r="F1" s="186"/>
      <c r="G1" s="115"/>
      <c r="J1" s="115"/>
      <c r="N1" s="601">
        <f ca="1">TODAY()</f>
        <v>46083</v>
      </c>
      <c r="O1" s="601">
        <f ca="1">TODAY()</f>
        <v>46083</v>
      </c>
      <c r="Q1" s="3"/>
    </row>
    <row r="2" spans="2:28">
      <c r="B2" s="222"/>
      <c r="C2" s="223" t="s">
        <v>0</v>
      </c>
      <c r="D2" s="224"/>
      <c r="E2" s="956" t="s">
        <v>103</v>
      </c>
      <c r="F2" s="956"/>
      <c r="G2" s="956"/>
      <c r="H2" s="956"/>
      <c r="N2" s="602">
        <v>0</v>
      </c>
      <c r="O2" s="602">
        <v>1</v>
      </c>
    </row>
    <row r="3" spans="2:28" s="114" customFormat="1">
      <c r="B3" s="225"/>
      <c r="C3" s="226" t="s">
        <v>104</v>
      </c>
      <c r="D3" s="224"/>
      <c r="E3" s="641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957"/>
      <c r="F4" s="957"/>
      <c r="G4" s="957"/>
      <c r="H4" s="957"/>
      <c r="J4" s="115"/>
      <c r="Q4" s="3"/>
    </row>
    <row r="5" spans="2:28" s="114" customFormat="1">
      <c r="B5" s="225"/>
      <c r="C5" s="226" t="s">
        <v>106</v>
      </c>
      <c r="D5" s="224"/>
      <c r="E5" s="957" t="s">
        <v>107</v>
      </c>
      <c r="F5" s="957"/>
      <c r="G5" s="957"/>
      <c r="H5" s="957"/>
      <c r="J5" s="115"/>
      <c r="Q5" s="3"/>
    </row>
    <row r="6" spans="2:28" s="114" customFormat="1">
      <c r="B6" s="225"/>
      <c r="C6" s="226" t="s">
        <v>108</v>
      </c>
      <c r="D6" s="224"/>
      <c r="E6" s="957" t="s">
        <v>109</v>
      </c>
      <c r="F6" s="957"/>
      <c r="G6" s="957"/>
      <c r="H6" s="957"/>
      <c r="J6" s="115"/>
      <c r="Q6" s="3"/>
    </row>
    <row r="7" spans="2:28" s="114" customFormat="1">
      <c r="B7" s="225"/>
      <c r="C7" s="226" t="s">
        <v>110</v>
      </c>
      <c r="D7" s="224"/>
      <c r="E7" s="641" t="s">
        <v>111</v>
      </c>
      <c r="F7" s="227"/>
      <c r="G7" s="642"/>
      <c r="H7" s="643"/>
      <c r="J7" s="115"/>
      <c r="Q7" s="3"/>
    </row>
    <row r="8" spans="2:28">
      <c r="B8" s="230"/>
      <c r="C8" s="231" t="s">
        <v>112</v>
      </c>
      <c r="D8" s="224"/>
      <c r="E8" s="958">
        <v>11535559.4510365</v>
      </c>
      <c r="F8" s="958"/>
      <c r="G8" s="958"/>
      <c r="H8" s="958"/>
    </row>
    <row r="9" spans="2:28" s="114" customFormat="1">
      <c r="B9" s="185"/>
      <c r="C9" s="852" t="s">
        <v>113</v>
      </c>
      <c r="D9" s="177"/>
      <c r="E9" s="611" t="s">
        <v>114</v>
      </c>
      <c r="F9" s="186"/>
      <c r="G9" s="232"/>
      <c r="J9" s="115"/>
      <c r="Q9" s="3"/>
    </row>
    <row r="10" spans="2:28" ht="30" customHeight="1">
      <c r="B10" s="960" t="s">
        <v>72</v>
      </c>
      <c r="C10" s="961" t="s">
        <v>115</v>
      </c>
      <c r="D10" s="261"/>
      <c r="E10" s="962" t="s">
        <v>116</v>
      </c>
      <c r="F10" s="283" t="s">
        <v>117</v>
      </c>
      <c r="G10" s="962" t="s">
        <v>118</v>
      </c>
      <c r="H10" s="284"/>
      <c r="I10" s="962" t="s">
        <v>119</v>
      </c>
      <c r="J10" s="283" t="s">
        <v>117</v>
      </c>
      <c r="K10" s="962" t="s">
        <v>120</v>
      </c>
      <c r="M10" s="640" t="s">
        <v>121</v>
      </c>
      <c r="O10" s="959" t="s">
        <v>122</v>
      </c>
      <c r="Z10" s="114"/>
      <c r="AA10" s="114"/>
      <c r="AB10" s="114"/>
    </row>
    <row r="11" spans="2:28">
      <c r="B11" s="960"/>
      <c r="C11" s="961"/>
      <c r="D11" s="261"/>
      <c r="E11" s="962"/>
      <c r="F11" s="128">
        <f>G45-E21</f>
        <v>81</v>
      </c>
      <c r="G11" s="962"/>
      <c r="H11" s="284"/>
      <c r="I11" s="962"/>
      <c r="J11" s="129">
        <f>K45-I21</f>
        <v>93</v>
      </c>
      <c r="K11" s="962"/>
      <c r="M11" s="490">
        <f>AVERAGE(M13,M20,M24,M33,M39,M43,M51,M48)</f>
        <v>1</v>
      </c>
      <c r="N11" s="490">
        <f>AVERAGE(N13,N20,N24,N33,N39,N43,N51,N48)</f>
        <v>1</v>
      </c>
      <c r="O11" s="959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123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124</v>
      </c>
      <c r="C14" s="295" t="s">
        <v>125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126</v>
      </c>
      <c r="C15" s="295" t="s">
        <v>127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128</v>
      </c>
      <c r="C16" s="295" t="s">
        <v>129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130</v>
      </c>
      <c r="C17" s="295" t="s">
        <v>131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132</v>
      </c>
      <c r="C18" s="295" t="s">
        <v>133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134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135</v>
      </c>
      <c r="C21" s="295" t="s">
        <v>136</v>
      </c>
      <c r="D21" s="261"/>
      <c r="E21" s="647">
        <v>45691</v>
      </c>
      <c r="F21" s="297">
        <v>1</v>
      </c>
      <c r="G21" s="296">
        <f>WORKDAY.INTL(E21,F21,1,Data!$C$3:$C$26)</f>
        <v>45692</v>
      </c>
      <c r="H21" s="284"/>
      <c r="I21" s="647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137</v>
      </c>
      <c r="C22" s="295" t="s">
        <v>138</v>
      </c>
      <c r="D22" s="261"/>
      <c r="E22" s="647">
        <v>45684</v>
      </c>
      <c r="F22" s="297">
        <v>30</v>
      </c>
      <c r="G22" s="296">
        <f>WORKDAY.INTL(E22,F22,1,Data!$C$3:$C$26)</f>
        <v>45726</v>
      </c>
      <c r="H22" s="284"/>
      <c r="I22" s="647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139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140</v>
      </c>
      <c r="C25" s="295" t="s">
        <v>141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142</v>
      </c>
      <c r="C26" s="295" t="s">
        <v>143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144</v>
      </c>
      <c r="C27" s="295" t="s">
        <v>145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146</v>
      </c>
      <c r="C28" s="295" t="s">
        <v>147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148</v>
      </c>
      <c r="C29" s="295" t="s">
        <v>149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150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151</v>
      </c>
      <c r="C31" s="295" t="s">
        <v>152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153</v>
      </c>
      <c r="C34" s="295" t="s">
        <v>154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155</v>
      </c>
      <c r="C35" s="295" t="s">
        <v>156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157</v>
      </c>
      <c r="C36" s="295" t="s">
        <v>158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159</v>
      </c>
      <c r="C37" s="295" t="s">
        <v>160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161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162</v>
      </c>
      <c r="C40" s="295" t="s">
        <v>163</v>
      </c>
      <c r="D40" s="261"/>
      <c r="E40" s="647">
        <f>E21</f>
        <v>45691</v>
      </c>
      <c r="F40" s="297">
        <v>1</v>
      </c>
      <c r="G40" s="296">
        <f>WORKDAY.INTL(E40,F40,1,Data!$C$3:$C$26)</f>
        <v>45692</v>
      </c>
      <c r="H40" s="284"/>
      <c r="I40" s="647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164</v>
      </c>
      <c r="C41" s="295" t="s">
        <v>165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166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167</v>
      </c>
      <c r="C44" s="289" t="s">
        <v>166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168</v>
      </c>
      <c r="C45" s="289" t="s">
        <v>169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170</v>
      </c>
      <c r="C46" s="289" t="s">
        <v>171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172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173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174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175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176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177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178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179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180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O10:O11"/>
    <mergeCell ref="B10:B11"/>
    <mergeCell ref="C10:C11"/>
    <mergeCell ref="E10:E11"/>
    <mergeCell ref="G10:G11"/>
    <mergeCell ref="I10:I11"/>
    <mergeCell ref="K10:K11"/>
    <mergeCell ref="E2:H2"/>
    <mergeCell ref="E4:H4"/>
    <mergeCell ref="E5:H5"/>
    <mergeCell ref="E6:H6"/>
    <mergeCell ref="E8:H8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8" activePane="bottomLeft" state="frozen"/>
      <selection activeCell="G7" sqref="G7"/>
      <selection pane="bottomLeft" activeCell="L4" sqref="L4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6640625" style="24" customWidth="1"/>
    <col min="7" max="7" width="1.33203125" style="24" customWidth="1"/>
    <col min="8" max="8" width="18.33203125" style="24" customWidth="1"/>
    <col min="9" max="9" width="1.33203125" style="24" customWidth="1"/>
    <col min="10" max="10" width="18.33203125" style="24" customWidth="1"/>
    <col min="11" max="11" width="3.33203125" style="24" customWidth="1"/>
    <col min="12" max="12" width="21.6640625" style="24" customWidth="1"/>
    <col min="13" max="13" width="2" style="24" customWidth="1"/>
    <col min="14" max="14" width="24.33203125" style="24" customWidth="1"/>
    <col min="15" max="15" width="2" style="24" customWidth="1"/>
    <col min="16" max="16" width="53.33203125" style="24" customWidth="1"/>
    <col min="17" max="16384" width="8.332031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" thickBot="1">
      <c r="A4" s="261"/>
      <c r="B4" s="963"/>
      <c r="C4" s="963"/>
      <c r="D4" s="963"/>
      <c r="E4" s="644"/>
      <c r="F4" s="266" t="s">
        <v>182</v>
      </c>
      <c r="G4" s="261"/>
      <c r="H4" s="266" t="s">
        <v>59</v>
      </c>
      <c r="I4" s="261"/>
      <c r="J4" s="266" t="s">
        <v>60</v>
      </c>
      <c r="K4" s="261"/>
      <c r="L4" s="267" t="s">
        <v>183</v>
      </c>
      <c r="M4" s="114"/>
      <c r="N4" s="267" t="s">
        <v>184</v>
      </c>
      <c r="O4" s="114"/>
      <c r="P4" s="114"/>
    </row>
    <row r="5" spans="1:16" ht="14.4" thickBot="1">
      <c r="A5" s="261"/>
      <c r="B5" s="964" t="s">
        <v>185</v>
      </c>
      <c r="C5" s="964"/>
      <c r="D5" s="964"/>
      <c r="E5" s="644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11987342.5275</v>
      </c>
      <c r="K5" s="261"/>
      <c r="L5" s="269">
        <f>SUM(L9:L23)</f>
        <v>-1431232.3031086952</v>
      </c>
      <c r="M5" s="114"/>
      <c r="N5" s="269">
        <f>SUM(N9:N23)</f>
        <v>-1182417.453195377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7" thickBot="1">
      <c r="A7" s="261"/>
      <c r="B7" s="271" t="s">
        <v>72</v>
      </c>
      <c r="C7" s="272"/>
      <c r="D7" s="271" t="s">
        <v>186</v>
      </c>
      <c r="E7" s="272"/>
      <c r="F7" s="273" t="s">
        <v>187</v>
      </c>
      <c r="G7" s="274"/>
      <c r="H7" s="273" t="s">
        <v>188</v>
      </c>
      <c r="I7" s="274"/>
      <c r="J7" s="273" t="s">
        <v>189</v>
      </c>
      <c r="K7" s="274"/>
      <c r="L7" s="273" t="s">
        <v>190</v>
      </c>
      <c r="M7" s="190"/>
      <c r="N7" s="273" t="s">
        <v>190</v>
      </c>
      <c r="O7" s="190"/>
      <c r="P7" s="117" t="s">
        <v>191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313051.31999999995</v>
      </c>
      <c r="K16" s="89"/>
      <c r="L16" s="278">
        <f t="shared" si="0"/>
        <v>-313051.31999999995</v>
      </c>
      <c r="M16" s="191"/>
      <c r="N16" s="278">
        <f t="shared" si="1"/>
        <v>-177395.31999999995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447579.71</v>
      </c>
      <c r="K21" s="89"/>
      <c r="L21" s="278">
        <f t="shared" si="0"/>
        <v>-207609.36155072463</v>
      </c>
      <c r="M21" s="191"/>
      <c r="N21" s="278">
        <f t="shared" si="1"/>
        <v>-191771.61686204377</v>
      </c>
      <c r="O21" s="191"/>
      <c r="P21" s="301" t="s">
        <v>192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67232.7</v>
      </c>
      <c r="K22" s="89"/>
      <c r="L22" s="278">
        <f t="shared" si="0"/>
        <v>-19632.699999999997</v>
      </c>
      <c r="M22" s="191"/>
      <c r="N22" s="278">
        <f t="shared" si="1"/>
        <v>-21190.173333333332</v>
      </c>
      <c r="O22" s="191"/>
      <c r="P22" s="301"/>
    </row>
    <row r="23" spans="1:16">
      <c r="A23" s="261"/>
      <c r="B23" s="275">
        <f>'Expenditure Breakdown'!B129</f>
        <v>15</v>
      </c>
      <c r="C23" s="264"/>
      <c r="D23" s="276" t="str">
        <f>'Expenditure Breakdown'!C129</f>
        <v>Service Add On</v>
      </c>
      <c r="E23" s="86"/>
      <c r="F23" s="277">
        <f>+'Expenditure Breakdown'!J129</f>
        <v>0</v>
      </c>
      <c r="G23" s="86"/>
      <c r="H23" s="277">
        <v>0</v>
      </c>
      <c r="I23" s="86"/>
      <c r="J23" s="277">
        <f>+'Expenditure Breakdown'!X129</f>
        <v>1168915.7</v>
      </c>
      <c r="K23" s="89"/>
      <c r="L23" s="278">
        <f t="shared" si="0"/>
        <v>-1168915.7</v>
      </c>
      <c r="M23" s="191"/>
      <c r="N23" s="278">
        <f t="shared" si="1"/>
        <v>-1168915.7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193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1" t="s">
        <v>194</v>
      </c>
      <c r="B27" s="612"/>
      <c r="C27" s="612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33203125" defaultRowHeight="13.2"/>
  <cols>
    <col min="1" max="2" width="9.33203125" style="73"/>
    <col min="3" max="3" width="13.33203125" style="73" bestFit="1" customWidth="1"/>
    <col min="4" max="5" width="9.33203125" style="73"/>
    <col min="6" max="6" width="12.66406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8" thickBot="1"/>
    <row r="2" spans="3:8" ht="13.8" thickBot="1">
      <c r="C2" s="83" t="s">
        <v>195</v>
      </c>
      <c r="F2" s="83" t="s">
        <v>196</v>
      </c>
    </row>
    <row r="3" spans="3:8">
      <c r="C3" s="79">
        <v>45292</v>
      </c>
      <c r="D3" s="73" t="s">
        <v>197</v>
      </c>
      <c r="F3" s="81" t="s">
        <v>198</v>
      </c>
    </row>
    <row r="4" spans="3:8">
      <c r="C4" s="79">
        <v>45372</v>
      </c>
      <c r="D4" s="73" t="s">
        <v>199</v>
      </c>
      <c r="F4" s="81" t="s">
        <v>200</v>
      </c>
    </row>
    <row r="5" spans="3:8">
      <c r="C5" s="79">
        <v>45380</v>
      </c>
      <c r="D5" s="73" t="s">
        <v>201</v>
      </c>
      <c r="F5" s="81" t="s">
        <v>202</v>
      </c>
    </row>
    <row r="6" spans="3:8" ht="13.8" thickBot="1">
      <c r="C6" s="79">
        <v>45383</v>
      </c>
      <c r="D6" s="73" t="s">
        <v>203</v>
      </c>
      <c r="F6" s="82" t="s">
        <v>204</v>
      </c>
    </row>
    <row r="7" spans="3:8">
      <c r="C7" s="79">
        <v>45413</v>
      </c>
      <c r="D7" s="73" t="s">
        <v>205</v>
      </c>
    </row>
    <row r="8" spans="3:8">
      <c r="C8" s="79">
        <v>45460</v>
      </c>
      <c r="D8" s="73" t="s">
        <v>206</v>
      </c>
    </row>
    <row r="9" spans="3:8">
      <c r="C9" s="79">
        <v>45513</v>
      </c>
      <c r="D9" s="73" t="s">
        <v>207</v>
      </c>
    </row>
    <row r="10" spans="3:8">
      <c r="C10" s="79">
        <v>45559</v>
      </c>
      <c r="D10" s="73" t="s">
        <v>208</v>
      </c>
    </row>
    <row r="11" spans="3:8">
      <c r="C11" s="79">
        <v>45642</v>
      </c>
      <c r="D11" s="73" t="s">
        <v>209</v>
      </c>
    </row>
    <row r="12" spans="3:8">
      <c r="C12" s="79">
        <v>45651</v>
      </c>
      <c r="D12" s="73" t="s">
        <v>210</v>
      </c>
    </row>
    <row r="13" spans="3:8">
      <c r="C13" s="79">
        <v>45652</v>
      </c>
      <c r="D13" s="73" t="s">
        <v>211</v>
      </c>
      <c r="F13" s="85"/>
      <c r="H13" s="73" t="s">
        <v>212</v>
      </c>
    </row>
    <row r="14" spans="3:8" ht="13.8" thickBot="1">
      <c r="C14" s="80">
        <v>45658</v>
      </c>
      <c r="D14" s="73" t="s">
        <v>197</v>
      </c>
    </row>
    <row r="15" spans="3:8">
      <c r="C15" s="79">
        <v>45737</v>
      </c>
      <c r="D15" s="73" t="s">
        <v>199</v>
      </c>
    </row>
    <row r="16" spans="3:8">
      <c r="C16" s="79">
        <v>45765</v>
      </c>
      <c r="D16" s="73" t="s">
        <v>201</v>
      </c>
    </row>
    <row r="17" spans="3:4">
      <c r="C17" s="79">
        <v>45768</v>
      </c>
      <c r="D17" s="73" t="s">
        <v>203</v>
      </c>
    </row>
    <row r="18" spans="3:4">
      <c r="C18" s="79">
        <v>45774</v>
      </c>
      <c r="D18" s="73" t="s">
        <v>213</v>
      </c>
    </row>
    <row r="19" spans="3:4">
      <c r="C19" s="79">
        <v>45775</v>
      </c>
      <c r="D19" s="73" t="s">
        <v>214</v>
      </c>
    </row>
    <row r="20" spans="3:4">
      <c r="C20" s="79">
        <v>45778</v>
      </c>
      <c r="D20" s="73" t="s">
        <v>205</v>
      </c>
    </row>
    <row r="21" spans="3:4">
      <c r="C21" s="79">
        <v>45824</v>
      </c>
      <c r="D21" s="73" t="s">
        <v>206</v>
      </c>
    </row>
    <row r="22" spans="3:4">
      <c r="C22" s="79">
        <v>45878</v>
      </c>
      <c r="D22" s="73" t="s">
        <v>207</v>
      </c>
    </row>
    <row r="23" spans="3:4">
      <c r="C23" s="79">
        <v>45924</v>
      </c>
      <c r="D23" s="73" t="s">
        <v>208</v>
      </c>
    </row>
    <row r="24" spans="3:4">
      <c r="C24" s="79">
        <v>46007</v>
      </c>
      <c r="D24" s="73" t="s">
        <v>209</v>
      </c>
    </row>
    <row r="25" spans="3:4">
      <c r="C25" s="79">
        <v>46016</v>
      </c>
      <c r="D25" s="73" t="s">
        <v>210</v>
      </c>
    </row>
    <row r="26" spans="3:4">
      <c r="C26" s="79">
        <v>46017</v>
      </c>
      <c r="D26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topRight" activeCell="F1" sqref="F1"/>
      <selection pane="bottomLeft" activeCell="A22" sqref="A22"/>
      <selection pane="bottomRight" activeCell="G1" sqref="G1"/>
    </sheetView>
  </sheetViews>
  <sheetFormatPr defaultColWidth="9.33203125" defaultRowHeight="14.4"/>
  <cols>
    <col min="1" max="1" width="9.33203125" customWidth="1"/>
    <col min="2" max="2" width="34.6640625" customWidth="1"/>
    <col min="3" max="3" width="18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94" width="15.33203125" bestFit="1" customWidth="1"/>
    <col min="95" max="95" width="9.33203125" style="237"/>
  </cols>
  <sheetData>
    <row r="1" spans="1:572">
      <c r="D1" s="233" t="s">
        <v>215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65" t="s">
        <v>59</v>
      </c>
      <c r="B2" s="238"/>
      <c r="C2" s="239" t="s">
        <v>216</v>
      </c>
      <c r="D2" s="239" t="s">
        <v>216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66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66"/>
      <c r="B4" s="241" t="s">
        <v>217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66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Breakdown'!$G$6:$G$150, 'Expenditure Breakdown'!$H$6:$H$150, "&gt;="&amp;F1,'Expenditure Breakdown'!$H$6:$H$150, "&lt;"&amp;G1)</f>
        <v>0</v>
      </c>
      <c r="G5" s="247">
        <f>SUMIFS('Expenditure Breakdown'!$G$6:$G$150, 'Expenditure Breakdown'!$H$6:$H$150, "&gt;="&amp;G1,'Expenditure Breakdown'!$H$6:$H$150, "&lt;"&amp;H1)</f>
        <v>0</v>
      </c>
      <c r="H5" s="247">
        <f>SUMIFS('Expenditure Breakdown'!$G$6:$G$150, 'Expenditure Breakdown'!$H$6:$H$150, "&gt;="&amp;H1,'Expenditure Breakdown'!$H$6:$H$150, "&lt;"&amp;I1)</f>
        <v>0</v>
      </c>
      <c r="I5" s="247">
        <f>SUMIFS('Expenditure Breakdown'!$G$6:$G$150, 'Expenditure Breakdown'!$H$6:$H$150, "&gt;="&amp;I1,'Expenditure Breakdown'!$H$6:$H$150, "&lt;"&amp;J1)</f>
        <v>0</v>
      </c>
      <c r="J5" s="247">
        <f>SUMIFS('Expenditure Breakdown'!$G$6:$G$150, 'Expenditure Breakdown'!$H$6:$H$150, "&gt;="&amp;J1,'Expenditure Breakdown'!$H$6:$H$150, "&lt;"&amp;K1)</f>
        <v>0</v>
      </c>
      <c r="K5" s="247">
        <f>SUMIFS('Expenditure Breakdown'!$G$6:$G$150, 'Expenditure Breakdown'!$H$6:$H$150, "&gt;="&amp;K1,'Expenditure Breakdown'!$H$6:$H$150, "&lt;"&amp;L1)</f>
        <v>0</v>
      </c>
      <c r="L5" s="247">
        <f>SUMIFS('Expenditure Breakdown'!$G$6:$G$150, 'Expenditure Breakdown'!$H$6:$H$150, "&gt;="&amp;L1,'Expenditure Breakdown'!$H$6:$H$150, "&lt;"&amp;M1)</f>
        <v>0</v>
      </c>
      <c r="M5" s="247">
        <f>SUMIFS('Expenditure Breakdown'!$G$6:$G$150, 'Expenditure Breakdown'!$H$6:$H$150, "&gt;="&amp;M1,'Expenditure Breakdown'!$H$6:$H$150, "&lt;"&amp;N1)</f>
        <v>0</v>
      </c>
      <c r="N5" s="247">
        <f>SUMIFS('Expenditure Breakdown'!$G$6:$G$150, 'Expenditure Breakdown'!$H$6:$H$150, "&gt;="&amp;N1,'Expenditure Breakdown'!$H$6:$H$150, "&lt;"&amp;O1)</f>
        <v>0</v>
      </c>
      <c r="O5" s="247">
        <f>SUMIFS('Expenditure Breakdown'!$G$6:$G$150, 'Expenditure Breakdown'!$H$6:$H$150, "&gt;="&amp;O1,'Expenditure Breakdown'!$H$6:$H$150, "&lt;"&amp;P1)</f>
        <v>0</v>
      </c>
      <c r="P5" s="247">
        <f>SUMIFS('Expenditure Breakdown'!$G$6:$G$150, 'Expenditure Breakdown'!$H$6:$H$150, "&gt;="&amp;P1,'Expenditure Breakdown'!$H$6:$H$150, "&lt;"&amp;Q1)</f>
        <v>0</v>
      </c>
      <c r="Q5" s="247">
        <f>SUMIFS('Expenditure Breakdown'!$G$6:$G$150, 'Expenditure Breakdown'!$H$6:$H$150, "&gt;="&amp;Q1,'Expenditure Breakdown'!$H$6:$H$150, "&lt;"&amp;R1)</f>
        <v>0</v>
      </c>
      <c r="R5" s="247">
        <f>SUMIFS('Expenditure Breakdown'!$G$6:$G$150, 'Expenditure Breakdown'!$H$6:$H$150, "&gt;="&amp;R1,'Expenditure Breakdown'!$H$6:$H$150, "&lt;"&amp;S1)</f>
        <v>936612.75260869565</v>
      </c>
      <c r="S5" s="247">
        <f>SUMIFS('Expenditure Breakdown'!$G$6:$G$150, 'Expenditure Breakdown'!$H$6:$H$150, "&gt;="&amp;S1,'Expenditure Breakdown'!$H$6:$H$150, "&lt;"&amp;T1)</f>
        <v>158939.12891304347</v>
      </c>
      <c r="T5" s="247">
        <f>SUMIFS('Expenditure Breakdown'!$G$6:$G$150, 'Expenditure Breakdown'!$H$6:$H$150, "&gt;="&amp;T1,'Expenditure Breakdown'!$H$6:$H$150, "&lt;"&amp;U1)</f>
        <v>0</v>
      </c>
      <c r="U5" s="247">
        <f>SUMIFS('Expenditure Breakdown'!$G$6:$G$150, 'Expenditure Breakdown'!$H$6:$H$150, "&gt;="&amp;U1,'Expenditure Breakdown'!$H$6:$H$150, "&lt;"&amp;V1)</f>
        <v>0</v>
      </c>
      <c r="V5" s="247">
        <f>SUMIFS('Expenditure Breakdown'!$G$6:$G$150, 'Expenditure Breakdown'!$H$6:$H$150, "&gt;="&amp;V1,'Expenditure Breakdown'!$H$6:$H$150, "&lt;"&amp;W1)</f>
        <v>388526.95652173914</v>
      </c>
      <c r="W5" s="247">
        <f>SUMIFS('Expenditure Breakdown'!$G$6:$G$150, 'Expenditure Breakdown'!$H$6:$H$150, "&gt;="&amp;W1,'Expenditure Breakdown'!$H$6:$H$150, "&lt;"&amp;X1)</f>
        <v>6714691.8815217391</v>
      </c>
      <c r="X5" s="247">
        <f>SUMIFS('Expenditure Breakdown'!$G$6:$G$150, 'Expenditure Breakdown'!$H$6:$H$150, "&gt;="&amp;X1,'Expenditure Breakdown'!$H$6:$H$150, "&lt;"&amp;Y1)</f>
        <v>0</v>
      </c>
      <c r="Y5" s="247">
        <f>SUMIFS('Expenditure Breakdown'!$G$6:$G$150, 'Expenditure Breakdown'!$H$6:$H$150, "&gt;="&amp;Y1,'Expenditure Breakdown'!$H$6:$H$150, "&lt;"&amp;Z1)</f>
        <v>0</v>
      </c>
      <c r="Z5" s="247">
        <f>SUMIFS('Expenditure Breakdown'!$G$6:$G$150, 'Expenditure Breakdown'!$H$6:$H$150, "&gt;="&amp;Z1,'Expenditure Breakdown'!$H$6:$H$150, "&lt;"&amp;AA1)</f>
        <v>259000</v>
      </c>
      <c r="AA5" s="247">
        <f>SUMIFS('Expenditure Breakdown'!$G$6:$G$150, 'Expenditure Breakdown'!$H$6:$H$150, "&gt;="&amp;AA1,'Expenditure Breakdown'!$H$6:$H$150, "&lt;"&amp;AB1)</f>
        <v>0</v>
      </c>
      <c r="AB5" s="247">
        <f>SUMIFS('Expenditure Breakdown'!$G$6:$G$150, 'Expenditure Breakdown'!$H$6:$H$150, "&gt;="&amp;AB1,'Expenditure Breakdown'!$H$6:$H$150, "&lt;"&amp;AC1)</f>
        <v>277838.25782608695</v>
      </c>
      <c r="AC5" s="247">
        <f>SUMIFS('Expenditure Breakdown'!$G$6:$G$150, 'Expenditure Breakdown'!$H$6:$H$150, "&gt;="&amp;AC1,'Expenditure Breakdown'!$H$6:$H$150, "&lt;"&amp;AD1)</f>
        <v>91000</v>
      </c>
      <c r="AD5" s="247">
        <f>SUMIFS('Expenditure Breakdown'!$G$6:$G$150, 'Expenditure Breakdown'!$H$6:$H$150, "&gt;="&amp;AD1,'Expenditure Breakdown'!$H$6:$H$150, "&lt;"&amp;AE1)</f>
        <v>1349318.1459420288</v>
      </c>
      <c r="AE5" s="247">
        <f>SUMIFS('Expenditure Breakdown'!$G$6:$G$150, 'Expenditure Breakdown'!$H$6:$H$150, "&gt;="&amp;AE1,'Expenditure Breakdown'!$H$6:$H$150, "&lt;"&amp;AF1)</f>
        <v>0</v>
      </c>
      <c r="AF5" s="247">
        <f>SUMIFS('Expenditure Breakdown'!$G$6:$G$150, 'Expenditure Breakdown'!$H$6:$H$150, "&gt;="&amp;AF1,'Expenditure Breakdown'!$H$6:$H$150, "&lt;"&amp;AG1)</f>
        <v>46306.376304347825</v>
      </c>
      <c r="AG5" s="247">
        <f>SUMIFS('Expenditure Breakdown'!$G$6:$G$150, 'Expenditure Breakdown'!$H$6:$H$150, "&gt;="&amp;AG1,'Expenditure Breakdown'!$H$6:$H$150, "&lt;"&amp;AH1)</f>
        <v>0</v>
      </c>
      <c r="AH5" s="247">
        <f>SUMIFS('Expenditure Breakdown'!$G$6:$G$150, 'Expenditure Breakdown'!$H$6:$H$150, "&gt;="&amp;AH1,'Expenditure Breakdown'!$H$6:$H$150, "&lt;"&amp;AI1)</f>
        <v>0</v>
      </c>
      <c r="AI5" s="247">
        <f>SUMIFS('Expenditure Breakdown'!$G$6:$G$150, 'Expenditure Breakdown'!$H$6:$H$150, "&gt;="&amp;AI1,'Expenditure Breakdown'!$H$6:$H$150, "&lt;"&amp;AJ1)</f>
        <v>287570.34844927536</v>
      </c>
      <c r="AJ5" s="247">
        <f>SUMIFS('Expenditure Breakdown'!$G$6:$G$150, 'Expenditure Breakdown'!$H$6:$H$150, "&gt;="&amp;AJ1,'Expenditure Breakdown'!$H$6:$H$150, "&lt;"&amp;AK1)</f>
        <v>0</v>
      </c>
      <c r="AK5" s="247">
        <f>SUMIFS('Expenditure Breakdown'!$G$6:$G$150, 'Expenditure Breakdown'!$H$6:$H$150, "&gt;="&amp;AK1,'Expenditure Breakdown'!$H$6:$H$150, "&lt;"&amp;AL1)</f>
        <v>0</v>
      </c>
      <c r="AL5" s="247">
        <f>SUMIFS('Expenditure Breakdown'!$G$6:$G$150, 'Expenditure Breakdown'!$H$6:$H$150, "&gt;="&amp;AL1,'Expenditure Breakdown'!$H$6:$H$150, "&lt;"&amp;AM1)</f>
        <v>0</v>
      </c>
      <c r="AM5" s="247">
        <f>SUMIFS('Expenditure Breakdown'!$G$6:$G$150, 'Expenditure Breakdown'!$H$6:$H$150, "&gt;="&amp;AM1,'Expenditure Breakdown'!$H$6:$H$150, "&lt;"&amp;AN1)</f>
        <v>0</v>
      </c>
      <c r="AN5" s="247">
        <f>SUMIFS('Expenditure Breakdown'!$G$6:$G$150, 'Expenditure Breakdown'!$H$6:$H$150, "&gt;="&amp;AN1,'Expenditure Breakdown'!$H$6:$H$150, "&lt;"&amp;AO1)</f>
        <v>0</v>
      </c>
      <c r="AO5" s="247">
        <f>SUMIFS('Expenditure Breakdown'!$G$6:$G$150, 'Expenditure Breakdown'!$H$6:$H$150, "&gt;="&amp;AO1,'Expenditure Breakdown'!$H$6:$H$150, "&lt;"&amp;AP1)</f>
        <v>0</v>
      </c>
      <c r="AP5" s="247">
        <f>SUMIFS('Expenditure Breakdown'!$G$6:$G$150, 'Expenditure Breakdown'!$H$6:$H$150, "&gt;="&amp;AP1,'Expenditure Breakdown'!$H$6:$H$150, "&lt;"&amp;AQ1)</f>
        <v>0</v>
      </c>
      <c r="AQ5" s="247">
        <f>SUMIFS('Expenditure Breakdown'!$G$6:$G$150, 'Expenditure Breakdown'!$H$6:$H$150, "&gt;="&amp;AQ1,'Expenditure Breakdown'!$H$6:$H$150, "&lt;"&amp;AR1)</f>
        <v>0</v>
      </c>
      <c r="AR5" s="247">
        <f>SUMIFS('Expenditure Breakdown'!$G$6:$G$150, 'Expenditure Breakdown'!$H$6:$H$150, "&gt;="&amp;AR1,'Expenditure Breakdown'!$H$6:$H$150, "&lt;"&amp;AS1)</f>
        <v>0</v>
      </c>
      <c r="AS5" s="247">
        <f>SUMIFS('Expenditure Breakdown'!$G$6:$G$150, 'Expenditure Breakdown'!$H$6:$H$150, "&gt;="&amp;AS1,'Expenditure Breakdown'!$H$6:$H$150, "&lt;"&amp;AT1)</f>
        <v>46306.376304347825</v>
      </c>
      <c r="AT5" s="247">
        <f>SUMIFS('Expenditure Breakdown'!$G$6:$G$150, 'Expenditure Breakdown'!$H$6:$H$150, "&gt;="&amp;AT1,'Expenditure Breakdown'!$H$6:$H$150, "&lt;"&amp;AU1)</f>
        <v>0</v>
      </c>
      <c r="AU5" s="247">
        <f>SUMIFS('Expenditure Breakdown'!$G$6:$G$150, 'Expenditure Breakdown'!$H$6:$H$150, "&gt;="&amp;AU1,'Expenditure Breakdown'!$H$6:$H$150, "&lt;"&amp;AV1)</f>
        <v>0</v>
      </c>
      <c r="AV5" s="247">
        <f>SUMIFS('Expenditure Breakdown'!$G$6:$G$150, 'Expenditure Breakdown'!$H$6:$H$150, "&gt;="&amp;AV1,'Expenditure Breakdown'!$H$6:$H$150, "&lt;"&amp;AW1)</f>
        <v>0</v>
      </c>
      <c r="AW5" s="247">
        <f>SUMIFS('Expenditure Breakdown'!$G$6:$G$150, 'Expenditure Breakdown'!$H$6:$H$150, "&gt;="&amp;AW1,'Expenditure Breakdown'!$H$6:$H$150, "&lt;"&amp;AX1)</f>
        <v>0</v>
      </c>
      <c r="AX5" s="247">
        <f>SUMIFS('Expenditure Breakdown'!$G$6:$G$150, 'Expenditure Breakdown'!$H$6:$H$150, "&gt;="&amp;AX1,'Expenditure Breakdown'!$H$6:$H$150, "&lt;"&amp;AY1)</f>
        <v>0</v>
      </c>
      <c r="AY5" s="247">
        <f>SUMIFS('Expenditure Breakdown'!$G$6:$G$150, 'Expenditure Breakdown'!$H$6:$H$150, "&gt;="&amp;AY1,'Expenditure Breakdown'!$H$6:$H$150, "&lt;"&amp;AZ1)</f>
        <v>0</v>
      </c>
      <c r="AZ5" s="247">
        <f>SUMIFS('Expenditure Breakdown'!$G$6:$G$150, 'Expenditure Breakdown'!$H$6:$H$150, "&gt;="&amp;AZ1,'Expenditure Breakdown'!$H$6:$H$150, "&lt;"&amp;BA1)</f>
        <v>0</v>
      </c>
      <c r="BA5" s="247">
        <f>SUMIFS('Expenditure Breakdown'!$G$6:$G$150, 'Expenditure Breakdown'!$H$6:$H$150, "&gt;="&amp;BA1,'Expenditure Breakdown'!$H$6:$H$150, "&lt;"&amp;BB1)</f>
        <v>0</v>
      </c>
      <c r="BB5" s="247">
        <f>SUMIFS('Expenditure Breakdown'!$G$6:$G$150, 'Expenditure Breakdown'!$H$6:$H$150, "&gt;="&amp;BB1,'Expenditure Breakdown'!$H$6:$H$150, "&lt;"&amp;BC1)</f>
        <v>0</v>
      </c>
      <c r="BC5" s="247">
        <f>SUMIFS('Expenditure Breakdown'!$G$6:$G$150, 'Expenditure Breakdown'!$H$6:$H$150, "&gt;="&amp;BC1,'Expenditure Breakdown'!$H$6:$H$150, "&lt;"&amp;BD1)</f>
        <v>0</v>
      </c>
      <c r="BD5" s="247">
        <f>SUMIFS('Expenditure Breakdown'!$G$6:$G$150, 'Expenditure Breakdown'!$H$6:$H$150, "&gt;="&amp;BD1,'Expenditure Breakdown'!$H$6:$H$150, "&lt;"&amp;BE1)</f>
        <v>0</v>
      </c>
      <c r="BE5" s="247">
        <f>SUMIFS('Expenditure Breakdown'!$G$6:$G$150, 'Expenditure Breakdown'!$H$6:$H$150, "&gt;="&amp;BE1,'Expenditure Breakdown'!$H$6:$H$150, "&lt;"&amp;BF1)</f>
        <v>0</v>
      </c>
      <c r="BF5" s="247">
        <f>SUMIFS('Expenditure Breakdown'!$G$6:$G$150, 'Expenditure Breakdown'!$H$6:$H$150, "&gt;="&amp;BF1,'Expenditure Breakdown'!$H$6:$H$150, "&lt;"&amp;BG1)</f>
        <v>0</v>
      </c>
      <c r="BG5" s="247">
        <f>SUMIFS('Expenditure Breakdown'!$G$6:$G$150, 'Expenditure Breakdown'!$H$6:$H$150, "&gt;="&amp;BG1,'Expenditure Breakdown'!$H$6:$H$150, "&lt;"&amp;BH1)</f>
        <v>0</v>
      </c>
      <c r="BH5" s="247">
        <f>SUMIFS('Expenditure Breakdown'!$G$6:$G$150, 'Expenditure Breakdown'!$H$6:$H$150, "&gt;="&amp;BH1,'Expenditure Breakdown'!$H$6:$H$150, "&lt;"&amp;BI1)</f>
        <v>0</v>
      </c>
      <c r="BI5" s="247">
        <f>SUMIFS('Expenditure Breakdown'!$G$6:$G$150, 'Expenditure Breakdown'!$H$6:$H$150, "&gt;="&amp;BI1,'Expenditure Breakdown'!$H$6:$H$150, "&lt;"&amp;BJ1)</f>
        <v>0</v>
      </c>
      <c r="BJ5" s="247">
        <f>SUMIFS('Expenditure Breakdown'!$G$6:$G$150, 'Expenditure Breakdown'!$H$6:$H$150, "&gt;="&amp;BJ1,'Expenditure Breakdown'!$H$6:$H$150, "&lt;"&amp;BK1)</f>
        <v>0</v>
      </c>
      <c r="BK5" s="247">
        <f>SUMIFS('Expenditure Breakdown'!$G$6:$G$150, 'Expenditure Breakdown'!$H$6:$H$150, "&gt;="&amp;BK1,'Expenditure Breakdown'!$H$6:$H$150, "&lt;"&amp;BL1)</f>
        <v>0</v>
      </c>
      <c r="BL5" s="247">
        <f>SUMIFS('Expenditure Breakdown'!$G$6:$G$150, 'Expenditure Breakdown'!$H$6:$H$150, "&gt;="&amp;BL1,'Expenditure Breakdown'!$H$6:$H$150, "&lt;"&amp;BM1)</f>
        <v>0</v>
      </c>
      <c r="BM5" s="247">
        <f>SUMIFS('Expenditure Breakdown'!$G$6:$G$150, 'Expenditure Breakdown'!$H$6:$H$150, "&gt;="&amp;BM1,'Expenditure Breakdown'!$H$6:$H$150, "&lt;"&amp;BN1)</f>
        <v>0</v>
      </c>
      <c r="BN5" s="247">
        <f>SUMIFS('Expenditure Breakdown'!$G$6:$G$150, 'Expenditure Breakdown'!$H$6:$H$150, "&gt;="&amp;BN1,'Expenditure Breakdown'!$H$6:$H$150, "&lt;"&amp;BO1)</f>
        <v>0</v>
      </c>
      <c r="BO5" s="247">
        <f>SUMIFS('Expenditure Breakdown'!$G$6:$G$150, 'Expenditure Breakdown'!$H$6:$H$150, "&gt;="&amp;BO1,'Expenditure Breakdown'!$H$6:$H$150, "&lt;"&amp;BP1)</f>
        <v>0</v>
      </c>
      <c r="BP5" s="247">
        <f>SUMIFS('Expenditure Breakdown'!$G$6:$G$150, 'Expenditure Breakdown'!$H$6:$H$150, "&gt;="&amp;BP1,'Expenditure Breakdown'!$H$6:$H$150, "&lt;"&amp;BQ1)</f>
        <v>0</v>
      </c>
      <c r="BQ5" s="247">
        <f>SUMIFS('Expenditure Breakdown'!$G$6:$G$150, 'Expenditure Breakdown'!$H$6:$H$150, "&gt;="&amp;BQ1,'Expenditure Breakdown'!$H$6:$H$150, "&lt;"&amp;BR1)</f>
        <v>0</v>
      </c>
      <c r="BR5" s="247">
        <f>SUMIFS('Expenditure Breakdown'!$G$6:$G$150, 'Expenditure Breakdown'!$H$6:$H$150, "&gt;="&amp;BR1,'Expenditure Breakdown'!$H$6:$H$150, "&lt;"&amp;BS1)</f>
        <v>0</v>
      </c>
      <c r="BS5" s="247">
        <f>SUMIFS('Expenditure Breakdown'!$G$6:$G$150, 'Expenditure Breakdown'!$H$6:$H$150, "&gt;="&amp;BS1,'Expenditure Breakdown'!$H$6:$H$150, "&lt;"&amp;BT1)</f>
        <v>0</v>
      </c>
      <c r="BT5" s="247">
        <f>SUMIFS('Expenditure Breakdown'!$G$6:$G$150, 'Expenditure Breakdown'!$H$6:$H$150, "&gt;="&amp;BT1,'Expenditure Breakdown'!$H$6:$H$150, "&lt;"&amp;BU1)</f>
        <v>0</v>
      </c>
      <c r="BU5" s="247">
        <f>SUMIFS('Expenditure Breakdown'!$G$6:$G$150, 'Expenditure Breakdown'!$H$6:$H$150, "&gt;="&amp;BU1,'Expenditure Breakdown'!$H$6:$H$150, "&lt;"&amp;BV1)</f>
        <v>0</v>
      </c>
      <c r="BV5" s="247">
        <f>SUMIFS('Expenditure Breakdown'!$G$6:$G$150, 'Expenditure Breakdown'!$H$6:$H$150, "&gt;="&amp;BV1,'Expenditure Breakdown'!$H$6:$H$150, "&lt;"&amp;BW1)</f>
        <v>0</v>
      </c>
      <c r="BW5" s="247">
        <f>SUMIFS('Expenditure Breakdown'!$G$6:$G$150, 'Expenditure Breakdown'!$H$6:$H$150, "&gt;="&amp;BW1,'Expenditure Breakdown'!$H$6:$H$150, "&lt;"&amp;BX1)</f>
        <v>0</v>
      </c>
      <c r="BX5" s="247">
        <f>SUMIFS('Expenditure Breakdown'!$G$6:$G$150, 'Expenditure Breakdown'!$H$6:$H$150, "&gt;="&amp;BX1,'Expenditure Breakdown'!$H$6:$H$150, "&lt;"&amp;BY1)</f>
        <v>0</v>
      </c>
      <c r="BY5" s="247">
        <f>SUMIFS('Expenditure Breakdown'!$G$6:$G$150, 'Expenditure Breakdown'!$H$6:$H$150, "&gt;="&amp;BY1,'Expenditure Breakdown'!$H$6:$H$150, "&lt;"&amp;BZ1)</f>
        <v>0</v>
      </c>
      <c r="BZ5" s="247">
        <f>SUMIFS('Expenditure Breakdown'!$G$6:$G$150, 'Expenditure Breakdown'!$H$6:$H$150, "&gt;="&amp;BZ1,'Expenditure Breakdown'!$H$6:$H$150, "&lt;"&amp;CA1)</f>
        <v>0</v>
      </c>
      <c r="CA5" s="247">
        <f>SUMIFS('Expenditure Breakdown'!$G$6:$G$150, 'Expenditure Breakdown'!$H$6:$H$150, "&gt;="&amp;CA1,'Expenditure Breakdown'!$H$6:$H$150, "&lt;"&amp;CB1)</f>
        <v>0</v>
      </c>
      <c r="CB5" s="247">
        <f>SUMIFS('Expenditure Breakdown'!$G$6:$G$150, 'Expenditure Breakdown'!$H$6:$H$150, "&gt;="&amp;CB1,'Expenditure Breakdown'!$H$6:$H$150, "&lt;"&amp;CC1)</f>
        <v>0</v>
      </c>
      <c r="CC5" s="247">
        <f>SUMIFS('Expenditure Breakdown'!$G$6:$G$150, 'Expenditure Breakdown'!$H$6:$H$150, "&gt;="&amp;CC1,'Expenditure Breakdown'!$H$6:$H$150, "&lt;"&amp;CD1)</f>
        <v>0</v>
      </c>
      <c r="CD5" s="247">
        <f>SUMIFS('Expenditure Breakdown'!$G$6:$G$150, 'Expenditure Breakdown'!$H$6:$H$150, "&gt;="&amp;CD1,'Expenditure Breakdown'!$H$6:$H$150, "&lt;"&amp;CE1)</f>
        <v>0</v>
      </c>
      <c r="CE5" s="247">
        <f>SUMIFS('Expenditure Breakdown'!$G$6:$G$150, 'Expenditure Breakdown'!$H$6:$H$150, "&gt;="&amp;CE1,'Expenditure Breakdown'!$H$6:$H$150, "&lt;"&amp;CF1)</f>
        <v>0</v>
      </c>
      <c r="CF5" s="247">
        <f>SUMIFS('Expenditure Breakdown'!$G$6:$G$150, 'Expenditure Breakdown'!$H$6:$H$150, "&gt;="&amp;CF1,'Expenditure Breakdown'!$H$6:$H$150, "&lt;"&amp;CG1)</f>
        <v>0</v>
      </c>
      <c r="CG5" s="247">
        <f>SUMIFS('Expenditure Breakdown'!$G$6:$G$150, 'Expenditure Breakdown'!$H$6:$H$150, "&gt;="&amp;CG1,'Expenditure Breakdown'!$H$6:$H$150, "&lt;"&amp;CH1)</f>
        <v>0</v>
      </c>
      <c r="CH5" s="247">
        <f>SUMIFS('Expenditure Breakdown'!$G$6:$G$150, 'Expenditure Breakdown'!$H$6:$H$150, "&gt;="&amp;CH1,'Expenditure Breakdown'!$H$6:$H$150, "&lt;"&amp;CI1)</f>
        <v>0</v>
      </c>
      <c r="CI5" s="247">
        <f>SUMIFS('Expenditure Breakdown'!$G$6:$G$150, 'Expenditure Breakdown'!$H$6:$H$150, "&gt;="&amp;CI1,'Expenditure Breakdown'!$H$6:$H$150, "&lt;"&amp;CJ1)</f>
        <v>0</v>
      </c>
      <c r="CJ5" s="247">
        <f>SUMIFS('Expenditure Breakdown'!$G$6:$G$150, 'Expenditure Breakdown'!$H$6:$H$150, "&gt;="&amp;CJ1,'Expenditure Breakdown'!$H$6:$H$150, "&lt;"&amp;CK1)</f>
        <v>0</v>
      </c>
      <c r="CK5" s="247">
        <f>SUMIFS('Expenditure Breakdown'!$G$6:$G$150, 'Expenditure Breakdown'!$H$6:$H$150, "&gt;="&amp;CK1,'Expenditure Breakdown'!$H$6:$H$150, "&lt;"&amp;CL1)</f>
        <v>0</v>
      </c>
      <c r="CL5" s="247">
        <f>SUMIFS('Expenditure Breakdown'!$G$6:$G$150, 'Expenditure Breakdown'!$H$6:$H$150, "&gt;="&amp;CL1,'Expenditure Breakdown'!$H$6:$H$150, "&lt;"&amp;CM1)</f>
        <v>0</v>
      </c>
      <c r="CM5" s="247">
        <f>SUMIFS('Expenditure Breakdown'!$G$6:$G$150, 'Expenditure Breakdown'!$H$6:$H$150, "&gt;="&amp;CM1,'Expenditure Breakdown'!$H$6:$H$150, "&lt;"&amp;CN1)</f>
        <v>0</v>
      </c>
      <c r="CN5" s="247">
        <f>SUMIFS('Expenditure Breakdown'!$G$6:$G$150, 'Expenditure Breakdown'!$H$6:$H$150, "&gt;="&amp;CN1,'Expenditure Breakdown'!$H$6:$H$150, "&lt;"&amp;CO1)</f>
        <v>0</v>
      </c>
      <c r="CO5" s="247">
        <f>SUMIFS('Expenditure Breakdown'!$G$6:$G$150, 'Expenditure Breakdown'!$H$6:$H$150, "&gt;="&amp;CO1,'Expenditure Breakdown'!$H$6:$H$150, "&lt;"&amp;CP1)</f>
        <v>0</v>
      </c>
      <c r="CP5" s="247">
        <f>SUMIFS('Expenditure Breakdown'!$G$6:$G$150, 'Expenditure Breakdown'!$H$6:$H$150, "&gt;="&amp;CP1,'Expenditure Breakdown'!$H$6:$H$150, "&lt;"&amp;CQ1)</f>
        <v>0</v>
      </c>
      <c r="CQ5" s="237"/>
      <c r="CR5" s="248"/>
      <c r="CS5" s="248"/>
    </row>
    <row r="6" spans="1:572" s="249" customFormat="1">
      <c r="A6" s="966"/>
      <c r="B6" s="245" t="s">
        <v>218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66"/>
      <c r="B7" s="250" t="s">
        <v>219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65" t="s">
        <v>60</v>
      </c>
      <c r="B8" s="238"/>
      <c r="C8" s="239" t="s">
        <v>216</v>
      </c>
      <c r="D8" s="239" t="s">
        <v>216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66"/>
      <c r="B9" s="255" t="s">
        <v>220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66"/>
      <c r="B10" s="255" t="s">
        <v>221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66"/>
      <c r="B11" s="258" t="s">
        <v>222</v>
      </c>
      <c r="C11" s="259">
        <f>'Revenue Tracking'!F5</f>
        <v>11987342.5275</v>
      </c>
      <c r="D11" s="259">
        <f>SUM(F11:CP11)</f>
        <v>11987342.527499996</v>
      </c>
      <c r="E11" s="243"/>
      <c r="F11" s="260">
        <f>SUMIFS('Expenditure Breakdown'!$R$6:$R$150, 'Expenditure Breakdown'!$W$6:$W$150, "&gt;="&amp;F1,'Expenditure Breakdown'!$W$6:$W$150, "&lt;"&amp;G1)</f>
        <v>0</v>
      </c>
      <c r="G11" s="260">
        <f>SUMIFS('Expenditure Breakdown'!$R$6:$R$150, 'Expenditure Breakdown'!$W$6:$W$150, "&gt;="&amp;G1,'Expenditure Breakdown'!$W$6:$W$150, "&lt;"&amp;H1)</f>
        <v>0</v>
      </c>
      <c r="H11" s="260">
        <f>SUMIFS('Expenditure Breakdown'!$R$6:$R$150, 'Expenditure Breakdown'!$W$6:$W$150, "&gt;="&amp;H1,'Expenditure Breakdown'!$W$6:$W$150, "&lt;"&amp;I1)</f>
        <v>0</v>
      </c>
      <c r="I11" s="260">
        <f>SUMIFS('Expenditure Breakdown'!$R$6:$R$150, 'Expenditure Breakdown'!$W$6:$W$150, "&gt;="&amp;I1,'Expenditure Breakdown'!$W$6:$W$150, "&lt;"&amp;J1)</f>
        <v>11026.4</v>
      </c>
      <c r="J11" s="260">
        <f>SUMIFS('Expenditure Breakdown'!$R$6:$R$150, 'Expenditure Breakdown'!$W$6:$W$150, "&gt;="&amp;J1,'Expenditure Breakdown'!$W$6:$W$150, "&lt;"&amp;K1)</f>
        <v>0</v>
      </c>
      <c r="K11" s="260">
        <f>SUMIFS('Expenditure Breakdown'!$R$6:$R$150, 'Expenditure Breakdown'!$W$6:$W$150, "&gt;="&amp;K1,'Expenditure Breakdown'!$W$6:$W$150, "&lt;"&amp;L1)</f>
        <v>94959.2</v>
      </c>
      <c r="L11" s="260">
        <f>SUMIFS('Expenditure Breakdown'!$R$6:$R$150, 'Expenditure Breakdown'!$W$6:$W$150, "&gt;="&amp;L1,'Expenditure Breakdown'!$W$6:$W$150, "&lt;"&amp;M1)</f>
        <v>0</v>
      </c>
      <c r="M11" s="260">
        <f>SUMIFS('Expenditure Breakdown'!$R$6:$R$150, 'Expenditure Breakdown'!$W$6:$W$150, "&gt;="&amp;M1,'Expenditure Breakdown'!$W$6:$W$150, "&lt;"&amp;N1)</f>
        <v>0</v>
      </c>
      <c r="N11" s="260">
        <f>SUMIFS('Expenditure Breakdown'!$R$6:$R$150, 'Expenditure Breakdown'!$W$6:$W$150, "&gt;="&amp;N1,'Expenditure Breakdown'!$W$6:$W$150, "&lt;"&amp;O1)</f>
        <v>0</v>
      </c>
      <c r="O11" s="260">
        <f>SUMIFS('Expenditure Breakdown'!$R$6:$R$150, 'Expenditure Breakdown'!$W$6:$W$150, "&gt;="&amp;O1,'Expenditure Breakdown'!$W$6:$W$150, "&lt;"&amp;P1)</f>
        <v>6375.86</v>
      </c>
      <c r="P11" s="260">
        <f>SUMIFS('Expenditure Breakdown'!$R$6:$R$150, 'Expenditure Breakdown'!$W$6:$W$150, "&gt;="&amp;P1,'Expenditure Breakdown'!$W$6:$W$150, "&lt;"&amp;Q1)</f>
        <v>0</v>
      </c>
      <c r="Q11" s="260">
        <f>SUMIFS('Expenditure Breakdown'!$R$6:$R$150, 'Expenditure Breakdown'!$W$6:$W$150, "&gt;="&amp;Q1,'Expenditure Breakdown'!$W$6:$W$150, "&lt;"&amp;R1)</f>
        <v>40696.799999999996</v>
      </c>
      <c r="R11" s="260">
        <f>SUMIFS('Expenditure Breakdown'!$R$6:$R$150, 'Expenditure Breakdown'!$W$6:$W$150, "&gt;="&amp;R1,'Expenditure Breakdown'!$W$6:$W$150, "&lt;"&amp;S1)</f>
        <v>11169</v>
      </c>
      <c r="S11" s="260">
        <f>SUMIFS('Expenditure Breakdown'!$R$6:$R$150, 'Expenditure Breakdown'!$W$6:$W$150, "&gt;="&amp;S1,'Expenditure Breakdown'!$W$6:$W$150, "&lt;"&amp;T1)</f>
        <v>208591.54</v>
      </c>
      <c r="T11" s="260">
        <f>SUMIFS('Expenditure Breakdown'!$R$6:$R$150, 'Expenditure Breakdown'!$W$6:$W$150, "&gt;="&amp;T1,'Expenditure Breakdown'!$W$6:$W$150, "&lt;"&amp;U1)</f>
        <v>6629089</v>
      </c>
      <c r="U11" s="260">
        <f>SUMIFS('Expenditure Breakdown'!$R$6:$R$150, 'Expenditure Breakdown'!$W$6:$W$150, "&gt;="&amp;U1,'Expenditure Breakdown'!$W$6:$W$150, "&lt;"&amp;V1)</f>
        <v>1282168.3900000001</v>
      </c>
      <c r="V11" s="260">
        <f>SUMIFS('Expenditure Breakdown'!$R$6:$R$150, 'Expenditure Breakdown'!$W$6:$W$150, "&gt;="&amp;V1,'Expenditure Breakdown'!$W$6:$W$150, "&lt;"&amp;W1)</f>
        <v>6486.5</v>
      </c>
      <c r="W11" s="260">
        <f>SUMIFS('Expenditure Breakdown'!$R$6:$R$150, 'Expenditure Breakdown'!$W$6:$W$150, "&gt;="&amp;W1,'Expenditure Breakdown'!$W$6:$W$150, "&lt;"&amp;X1)</f>
        <v>725.13</v>
      </c>
      <c r="X11" s="260">
        <f>SUMIFS('Expenditure Breakdown'!$R$6:$R$150, 'Expenditure Breakdown'!$W$6:$W$150, "&gt;="&amp;X1,'Expenditure Breakdown'!$W$6:$W$150, "&lt;"&amp;Y1)</f>
        <v>0</v>
      </c>
      <c r="Y11" s="260">
        <f>SUMIFS('Expenditure Breakdown'!$R$6:$R$150, 'Expenditure Breakdown'!$W$6:$W$150, "&gt;="&amp;Y1,'Expenditure Breakdown'!$W$6:$W$150, "&lt;"&amp;Z1)</f>
        <v>16380</v>
      </c>
      <c r="Z11" s="260">
        <f>SUMIFS('Expenditure Breakdown'!$R$6:$R$150, 'Expenditure Breakdown'!$W$6:$W$150, "&gt;="&amp;Z1,'Expenditure Breakdown'!$W$6:$W$150, "&lt;"&amp;AA1)</f>
        <v>111354.7</v>
      </c>
      <c r="AA11" s="260">
        <f>SUMIFS('Expenditure Breakdown'!$R$6:$R$150, 'Expenditure Breakdown'!$W$6:$W$150, "&gt;="&amp;AA1,'Expenditure Breakdown'!$W$6:$W$150, "&lt;"&amp;AB1)</f>
        <v>12702.32</v>
      </c>
      <c r="AB11" s="260">
        <f>SUMIFS('Expenditure Breakdown'!$R$6:$R$150, 'Expenditure Breakdown'!$W$6:$W$150, "&gt;="&amp;AB1,'Expenditure Breakdown'!$W$6:$W$150, "&lt;"&amp;AC1)</f>
        <v>33032</v>
      </c>
      <c r="AC11" s="260">
        <f>SUMIFS('Expenditure Breakdown'!$R$6:$R$150, 'Expenditure Breakdown'!$W$6:$W$150, "&gt;="&amp;AC1,'Expenditure Breakdown'!$W$6:$W$150, "&lt;"&amp;AD1)</f>
        <v>0</v>
      </c>
      <c r="AD11" s="260">
        <f>SUMIFS('Expenditure Breakdown'!$R$6:$R$150, 'Expenditure Breakdown'!$W$6:$W$150, "&gt;="&amp;AD1,'Expenditure Breakdown'!$W$6:$W$150, "&lt;"&amp;AE1)</f>
        <v>1062066.0625</v>
      </c>
      <c r="AE11" s="260">
        <f>SUMIFS('Expenditure Breakdown'!$R$6:$R$150, 'Expenditure Breakdown'!$W$6:$W$150, "&gt;="&amp;AE1,'Expenditure Breakdown'!$W$6:$W$150, "&lt;"&amp;AF1)</f>
        <v>7863</v>
      </c>
      <c r="AF11" s="260">
        <f>SUMIFS('Expenditure Breakdown'!$R$6:$R$150, 'Expenditure Breakdown'!$W$6:$W$150, "&gt;="&amp;AF1,'Expenditure Breakdown'!$W$6:$W$150, "&lt;"&amp;AG1)</f>
        <v>258485.745</v>
      </c>
      <c r="AG11" s="260">
        <f>SUMIFS('Expenditure Breakdown'!$R$6:$R$150, 'Expenditure Breakdown'!$W$6:$W$150, "&gt;="&amp;AG1,'Expenditure Breakdown'!$W$6:$W$150, "&lt;"&amp;AH1)</f>
        <v>101498.3325</v>
      </c>
      <c r="AH11" s="260">
        <f>SUMIFS('Expenditure Breakdown'!$R$6:$R$150, 'Expenditure Breakdown'!$W$6:$W$150, "&gt;="&amp;AH1,'Expenditure Breakdown'!$W$6:$W$150, "&lt;"&amp;AI1)</f>
        <v>55100</v>
      </c>
      <c r="AI11" s="260">
        <f>SUMIFS('Expenditure Breakdown'!$R$6:$R$150, 'Expenditure Breakdown'!$W$6:$W$150, "&gt;="&amp;AI1,'Expenditure Breakdown'!$W$6:$W$150, "&lt;"&amp;AJ1)</f>
        <v>152194.49313795625</v>
      </c>
      <c r="AJ11" s="260">
        <f>SUMIFS('Expenditure Breakdown'!$R$6:$R$150, 'Expenditure Breakdown'!$W$6:$W$150, "&gt;="&amp;AJ1,'Expenditure Breakdown'!$W$6:$W$150, "&lt;"&amp;AK1)</f>
        <v>0</v>
      </c>
      <c r="AK11" s="260">
        <f>SUMIFS('Expenditure Breakdown'!$R$6:$R$150, 'Expenditure Breakdown'!$W$6:$W$150, "&gt;="&amp;AK1,'Expenditure Breakdown'!$W$6:$W$150, "&lt;"&amp;AL1)</f>
        <v>213011.88500000001</v>
      </c>
      <c r="AL11" s="260">
        <f>SUMIFS('Expenditure Breakdown'!$R$6:$R$150, 'Expenditure Breakdown'!$W$6:$W$150, "&gt;="&amp;AL1,'Expenditure Breakdown'!$W$6:$W$150, "&lt;"&amp;AM1)</f>
        <v>0</v>
      </c>
      <c r="AM11" s="260">
        <f>SUMIFS('Expenditure Breakdown'!$R$6:$R$150, 'Expenditure Breakdown'!$W$6:$W$150, "&gt;="&amp;AM1,'Expenditure Breakdown'!$W$6:$W$150, "&lt;"&amp;AN1)</f>
        <v>22794.36</v>
      </c>
      <c r="AN11" s="260">
        <f>SUMIFS('Expenditure Breakdown'!$R$6:$R$150, 'Expenditure Breakdown'!$W$6:$W$150, "&gt;="&amp;AN1,'Expenditure Breakdown'!$W$6:$W$150, "&lt;"&amp;AO1)</f>
        <v>26533.690000000002</v>
      </c>
      <c r="AO11" s="260">
        <f>SUMIFS('Expenditure Breakdown'!$R$6:$R$150, 'Expenditure Breakdown'!$W$6:$W$150, "&gt;="&amp;AO1,'Expenditure Breakdown'!$W$6:$W$150, "&lt;"&amp;AP1)</f>
        <v>0</v>
      </c>
      <c r="AP11" s="260">
        <f>SUMIFS('Expenditure Breakdown'!$R$6:$R$150, 'Expenditure Breakdown'!$W$6:$W$150, "&gt;="&amp;AP1,'Expenditure Breakdown'!$W$6:$W$150, "&lt;"&amp;AQ1)</f>
        <v>235763.03</v>
      </c>
      <c r="AQ11" s="260">
        <f>SUMIFS('Expenditure Breakdown'!$R$6:$R$150, 'Expenditure Breakdown'!$W$6:$W$150, "&gt;="&amp;AQ1,'Expenditure Breakdown'!$W$6:$W$150, "&lt;"&amp;AR1)</f>
        <v>19732.669999999998</v>
      </c>
      <c r="AR11" s="260">
        <f>SUMIFS('Expenditure Breakdown'!$R$6:$R$150, 'Expenditure Breakdown'!$W$6:$W$150, "&gt;="&amp;AR1,'Expenditure Breakdown'!$W$6:$W$150, "&lt;"&amp;AS1)</f>
        <v>101765.3425</v>
      </c>
      <c r="AS11" s="260">
        <f>SUMIFS('Expenditure Breakdown'!$R$6:$R$150, 'Expenditure Breakdown'!$W$6:$W$150, "&gt;="&amp;AS1,'Expenditure Breakdown'!$W$6:$W$150, "&lt;"&amp;AT1)</f>
        <v>151922.51999999999</v>
      </c>
      <c r="AT11" s="260">
        <f>SUMIFS('Expenditure Breakdown'!$R$6:$R$150, 'Expenditure Breakdown'!$W$6:$W$150, "&gt;="&amp;AT1,'Expenditure Breakdown'!$W$6:$W$150, "&lt;"&amp;AU1)</f>
        <v>83068</v>
      </c>
      <c r="AU11" s="260">
        <f>SUMIFS('Expenditure Breakdown'!$R$6:$R$150, 'Expenditure Breakdown'!$W$6:$W$150, "&gt;="&amp;AU1,'Expenditure Breakdown'!$W$6:$W$150, "&lt;"&amp;AV1)</f>
        <v>36485.85</v>
      </c>
      <c r="AV11" s="260">
        <f>SUMIFS('Expenditure Breakdown'!$R$6:$R$150, 'Expenditure Breakdown'!$W$6:$W$150, "&gt;="&amp;AV1,'Expenditure Breakdown'!$W$6:$W$150, "&lt;"&amp;AW1)</f>
        <v>342594.67686204374</v>
      </c>
      <c r="AW11" s="260">
        <f>SUMIFS('Expenditure Breakdown'!$R$6:$R$150, 'Expenditure Breakdown'!$W$6:$W$150, "&gt;="&amp;AW1,'Expenditure Breakdown'!$W$6:$W$150, "&lt;"&amp;AX1)</f>
        <v>41151.449999999997</v>
      </c>
      <c r="AX11" s="260">
        <f>SUMIFS('Expenditure Breakdown'!$R$6:$R$150, 'Expenditure Breakdown'!$W$6:$W$150, "&gt;="&amp;AX1,'Expenditure Breakdown'!$W$6:$W$150, "&lt;"&amp;AY1)</f>
        <v>156498.65</v>
      </c>
      <c r="AY11" s="260">
        <f>SUMIFS('Expenditure Breakdown'!$R$6:$R$150, 'Expenditure Breakdown'!$W$6:$W$150, "&gt;="&amp;AY1,'Expenditure Breakdown'!$W$6:$W$150, "&lt;"&amp;AZ1)</f>
        <v>1650</v>
      </c>
      <c r="AZ11" s="260">
        <f>SUMIFS('Expenditure Breakdown'!$R$6:$R$150, 'Expenditure Breakdown'!$W$6:$W$150, "&gt;="&amp;AZ1,'Expenditure Breakdown'!$W$6:$W$150, "&lt;"&amp;BA1)</f>
        <v>0</v>
      </c>
      <c r="BA11" s="260">
        <f>SUMIFS('Expenditure Breakdown'!$R$6:$R$150, 'Expenditure Breakdown'!$W$6:$W$150, "&gt;="&amp;BA1,'Expenditure Breakdown'!$W$6:$W$150, "&lt;"&amp;BB1)</f>
        <v>7200</v>
      </c>
      <c r="BB11" s="260">
        <f>SUMIFS('Expenditure Breakdown'!$R$6:$R$150, 'Expenditure Breakdown'!$W$6:$W$150, "&gt;="&amp;BB1,'Expenditure Breakdown'!$W$6:$W$150, "&lt;"&amp;BC1)</f>
        <v>99508</v>
      </c>
      <c r="BC11" s="260">
        <f>SUMIFS('Expenditure Breakdown'!$R$6:$R$150, 'Expenditure Breakdown'!$W$6:$W$150, "&gt;="&amp;BC1,'Expenditure Breakdown'!$W$6:$W$150, "&lt;"&amp;BD1)</f>
        <v>0</v>
      </c>
      <c r="BD11" s="260">
        <f>SUMIFS('Expenditure Breakdown'!$R$6:$R$150, 'Expenditure Breakdown'!$W$6:$W$150, "&gt;="&amp;BD1,'Expenditure Breakdown'!$W$6:$W$150, "&lt;"&amp;BE1)</f>
        <v>0</v>
      </c>
      <c r="BE11" s="260">
        <f>SUMIFS('Expenditure Breakdown'!$R$6:$R$150, 'Expenditure Breakdown'!$W$6:$W$150, "&gt;="&amp;BE1,'Expenditure Breakdown'!$W$6:$W$150, "&lt;"&amp;BF1)</f>
        <v>0</v>
      </c>
      <c r="BF11" s="260">
        <f>SUMIFS('Expenditure Breakdown'!$R$6:$R$150, 'Expenditure Breakdown'!$W$6:$W$150, "&gt;="&amp;BF1,'Expenditure Breakdown'!$W$6:$W$150, "&lt;"&amp;BG1)</f>
        <v>0</v>
      </c>
      <c r="BG11" s="260">
        <f>SUMIFS('Expenditure Breakdown'!$R$6:$R$150, 'Expenditure Breakdown'!$W$6:$W$150, "&gt;="&amp;BG1,'Expenditure Breakdown'!$W$6:$W$150, "&lt;"&amp;BH1)</f>
        <v>0</v>
      </c>
      <c r="BH11" s="260">
        <f>SUMIFS('Expenditure Breakdown'!$R$6:$R$150, 'Expenditure Breakdown'!$W$6:$W$150, "&gt;="&amp;BH1,'Expenditure Breakdown'!$W$6:$W$150, "&lt;"&amp;BI1)</f>
        <v>0</v>
      </c>
      <c r="BI11" s="260">
        <f>SUMIFS('Expenditure Breakdown'!$R$6:$R$150, 'Expenditure Breakdown'!$W$6:$W$150, "&gt;="&amp;BI1,'Expenditure Breakdown'!$W$6:$W$150, "&lt;"&amp;BJ1)</f>
        <v>0</v>
      </c>
      <c r="BJ11" s="260">
        <f>SUMIFS('Expenditure Breakdown'!$R$6:$R$150, 'Expenditure Breakdown'!$W$6:$W$150, "&gt;="&amp;BJ1,'Expenditure Breakdown'!$W$6:$W$150, "&lt;"&amp;BK1)</f>
        <v>0</v>
      </c>
      <c r="BK11" s="260">
        <f>SUMIFS('Expenditure Breakdown'!$R$6:$R$150, 'Expenditure Breakdown'!$W$6:$W$150, "&gt;="&amp;BK1,'Expenditure Breakdown'!$W$6:$W$150, "&lt;"&amp;BL1)</f>
        <v>0</v>
      </c>
      <c r="BL11" s="260">
        <f>SUMIFS('Expenditure Breakdown'!$R$6:$R$150, 'Expenditure Breakdown'!$W$6:$W$150, "&gt;="&amp;BL1,'Expenditure Breakdown'!$W$6:$W$150, "&lt;"&amp;BM1)</f>
        <v>0</v>
      </c>
      <c r="BM11" s="260">
        <f>SUMIFS('Expenditure Breakdown'!$R$6:$R$150, 'Expenditure Breakdown'!$W$6:$W$150, "&gt;="&amp;BM1,'Expenditure Breakdown'!$W$6:$W$150, "&lt;"&amp;BN1)</f>
        <v>0</v>
      </c>
      <c r="BN11" s="260">
        <f>SUMIFS('Expenditure Breakdown'!$R$6:$R$150, 'Expenditure Breakdown'!$W$6:$W$150, "&gt;="&amp;BN1,'Expenditure Breakdown'!$W$6:$W$150, "&lt;"&amp;BO1)</f>
        <v>0</v>
      </c>
      <c r="BO11" s="260">
        <f>SUMIFS('Expenditure Breakdown'!$R$6:$R$150, 'Expenditure Breakdown'!$W$6:$W$150, "&gt;="&amp;BO1,'Expenditure Breakdown'!$W$6:$W$150, "&lt;"&amp;BP1)</f>
        <v>15813</v>
      </c>
      <c r="BP11" s="260">
        <f>SUMIFS('Expenditure Breakdown'!$R$6:$R$150, 'Expenditure Breakdown'!$W$6:$W$150, "&gt;="&amp;BP1,'Expenditure Breakdown'!$W$6:$W$150, "&lt;"&amp;BQ1)</f>
        <v>0</v>
      </c>
      <c r="BQ11" s="260">
        <f>SUMIFS('Expenditure Breakdown'!$R$6:$R$150, 'Expenditure Breakdown'!$W$6:$W$150, "&gt;="&amp;BQ1,'Expenditure Breakdown'!$W$6:$W$150, "&lt;"&amp;BR1)</f>
        <v>105835.65</v>
      </c>
      <c r="BR11" s="260">
        <f>SUMIFS('Expenditure Breakdown'!$R$6:$R$150, 'Expenditure Breakdown'!$W$6:$W$150, "&gt;="&amp;BR1,'Expenditure Breakdown'!$W$6:$W$150, "&lt;"&amp;BS1)</f>
        <v>-68870</v>
      </c>
      <c r="BS11" s="260">
        <f>SUMIFS('Expenditure Breakdown'!$R$6:$R$150, 'Expenditure Breakdown'!$W$6:$W$150, "&gt;="&amp;BS1,'Expenditure Breakdown'!$W$6:$W$150, "&lt;"&amp;BT1)</f>
        <v>3613.64</v>
      </c>
      <c r="BT11" s="260">
        <f>SUMIFS('Expenditure Breakdown'!$R$6:$R$150, 'Expenditure Breakdown'!$W$6:$W$150, "&gt;="&amp;BT1,'Expenditure Breakdown'!$W$6:$W$150, "&lt;"&amp;BU1)</f>
        <v>0</v>
      </c>
      <c r="BU11" s="260">
        <f>SUMIFS('Expenditure Breakdown'!$R$6:$R$150, 'Expenditure Breakdown'!$W$6:$W$150, "&gt;="&amp;BU1,'Expenditure Breakdown'!$W$6:$W$150, "&lt;"&amp;BV1)</f>
        <v>0</v>
      </c>
      <c r="BV11" s="260">
        <f>SUMIFS('Expenditure Breakdown'!$R$6:$R$150, 'Expenditure Breakdown'!$W$6:$W$150, "&gt;="&amp;BV1,'Expenditure Breakdown'!$W$6:$W$150, "&lt;"&amp;BW1)</f>
        <v>246686.63999999998</v>
      </c>
      <c r="BW11" s="260">
        <f>SUMIFS('Expenditure Breakdown'!$R$6:$R$150, 'Expenditure Breakdown'!$W$6:$W$150, "&gt;="&amp;BW1,'Expenditure Breakdown'!$W$6:$W$150, "&lt;"&amp;BX1)</f>
        <v>0</v>
      </c>
      <c r="BX11" s="260">
        <f>SUMIFS('Expenditure Breakdown'!$R$6:$R$150, 'Expenditure Breakdown'!$W$6:$W$150, "&gt;="&amp;BX1,'Expenditure Breakdown'!$W$6:$W$150, "&lt;"&amp;BY1)</f>
        <v>0</v>
      </c>
      <c r="BY11" s="260">
        <f>SUMIFS('Expenditure Breakdown'!$R$6:$R$150, 'Expenditure Breakdown'!$W$6:$W$150, "&gt;="&amp;BY1,'Expenditure Breakdown'!$W$6:$W$150, "&lt;"&amp;BZ1)</f>
        <v>0</v>
      </c>
      <c r="BZ11" s="260">
        <f>SUMIFS('Expenditure Breakdown'!$R$6:$R$150, 'Expenditure Breakdown'!$W$6:$W$150, "&gt;="&amp;BZ1,'Expenditure Breakdown'!$W$6:$W$150, "&lt;"&amp;CA1)</f>
        <v>0</v>
      </c>
      <c r="CA11" s="260">
        <f>SUMIFS('Expenditure Breakdown'!$R$6:$R$150, 'Expenditure Breakdown'!$W$6:$W$150, "&gt;="&amp;CA1,'Expenditure Breakdown'!$W$6:$W$150, "&lt;"&amp;CB1)</f>
        <v>42619</v>
      </c>
      <c r="CB11" s="260">
        <f>SUMIFS('Expenditure Breakdown'!$R$6:$R$150, 'Expenditure Breakdown'!$W$6:$W$150, "&gt;="&amp;CB1,'Expenditure Breakdown'!$W$6:$W$150, "&lt;"&amp;CC1)</f>
        <v>0</v>
      </c>
      <c r="CC11" s="260">
        <f>SUMIFS('Expenditure Breakdown'!$R$6:$R$150, 'Expenditure Breakdown'!$W$6:$W$150, "&gt;="&amp;CC1,'Expenditure Breakdown'!$W$6:$W$150, "&lt;"&amp;CD1)</f>
        <v>0</v>
      </c>
      <c r="CD11" s="260">
        <f>SUMIFS('Expenditure Breakdown'!$R$6:$R$150, 'Expenditure Breakdown'!$W$6:$W$150, "&gt;="&amp;CD1,'Expenditure Breakdown'!$W$6:$W$150, "&lt;"&amp;CE1)</f>
        <v>0</v>
      </c>
      <c r="CE11" s="260">
        <f>SUMIFS('Expenditure Breakdown'!$R$6:$R$150, 'Expenditure Breakdown'!$W$6:$W$150, "&gt;="&amp;CE1,'Expenditure Breakdown'!$W$6:$W$150, "&lt;"&amp;CF1)</f>
        <v>0</v>
      </c>
      <c r="CF11" s="260">
        <f>SUMIFS('Expenditure Breakdown'!$R$6:$R$150, 'Expenditure Breakdown'!$W$6:$W$150, "&gt;="&amp;CF1,'Expenditure Breakdown'!$W$6:$W$150, "&lt;"&amp;CG1)</f>
        <v>0</v>
      </c>
      <c r="CG11" s="260">
        <f>SUMIFS('Expenditure Breakdown'!$R$6:$R$150, 'Expenditure Breakdown'!$W$6:$W$150, "&gt;="&amp;CG1,'Expenditure Breakdown'!$W$6:$W$150, "&lt;"&amp;CH1)</f>
        <v>0</v>
      </c>
      <c r="CH11" s="260">
        <f>SUMIFS('Expenditure Breakdown'!$R$6:$R$150, 'Expenditure Breakdown'!$W$6:$W$150, "&gt;="&amp;CH1,'Expenditure Breakdown'!$W$6:$W$150, "&lt;"&amp;CI1)</f>
        <v>0</v>
      </c>
      <c r="CI11" s="260">
        <f>SUMIFS('Expenditure Breakdown'!$R$6:$R$150, 'Expenditure Breakdown'!$W$6:$W$150, "&gt;="&amp;CI1,'Expenditure Breakdown'!$W$6:$W$150, "&lt;"&amp;CJ1)</f>
        <v>0</v>
      </c>
      <c r="CJ11" s="260">
        <f>SUMIFS('Expenditure Breakdown'!$R$6:$R$150, 'Expenditure Breakdown'!$W$6:$W$150, "&gt;="&amp;CJ1,'Expenditure Breakdown'!$W$6:$W$150, "&lt;"&amp;CK1)</f>
        <v>0</v>
      </c>
      <c r="CK11" s="260">
        <f>SUMIFS('Expenditure Breakdown'!$R$6:$R$150, 'Expenditure Breakdown'!$W$6:$W$150, "&gt;="&amp;CK1,'Expenditure Breakdown'!$W$6:$W$150, "&lt;"&amp;CL1)</f>
        <v>0</v>
      </c>
      <c r="CL11" s="260">
        <f>SUMIFS('Expenditure Breakdown'!$R$6:$R$150, 'Expenditure Breakdown'!$W$6:$W$150, "&gt;="&amp;CL1,'Expenditure Breakdown'!$W$6:$W$150, "&lt;"&amp;CM1)</f>
        <v>0</v>
      </c>
      <c r="CM11" s="260">
        <f>SUMIFS('Expenditure Breakdown'!$R$6:$R$150, 'Expenditure Breakdown'!$W$6:$W$150, "&gt;="&amp;CM1,'Expenditure Breakdown'!$W$6:$W$150, "&lt;"&amp;CN1)</f>
        <v>0</v>
      </c>
      <c r="CN11" s="260">
        <f>SUMIFS('Expenditure Breakdown'!$R$6:$R$150, 'Expenditure Breakdown'!$W$6:$W$150, "&gt;="&amp;CN1,'Expenditure Breakdown'!$W$6:$W$150, "&lt;"&amp;CO1)</f>
        <v>0</v>
      </c>
      <c r="CO11" s="260">
        <f>SUMIFS('Expenditure Breakdown'!$R$6:$R$150, 'Expenditure Breakdown'!$W$6:$W$150, "&gt;="&amp;CO1,'Expenditure Breakdown'!$W$6:$W$150, "&lt;"&amp;CP1)</f>
        <v>0</v>
      </c>
      <c r="CP11" s="260">
        <f>SUMIFS('Expenditure Breakdown'!$R$6:$R$150, 'Expenditure Breakdown'!$W$6:$W$150, "&gt;="&amp;CP1,'Expenditure Breakdown'!$W$6:$W$150, "&lt;"&amp;CQ1)</f>
        <v>0</v>
      </c>
      <c r="CQ11" s="237"/>
      <c r="CR11" s="248"/>
      <c r="CS11" s="248"/>
    </row>
    <row r="12" spans="1:572" s="249" customFormat="1">
      <c r="A12" s="966"/>
      <c r="B12" s="258" t="s">
        <v>223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11335636.497499995</v>
      </c>
      <c r="AW12" s="260">
        <f t="shared" si="31"/>
        <v>11376787.947499994</v>
      </c>
      <c r="AX12" s="260">
        <f t="shared" si="31"/>
        <v>11533286.597499995</v>
      </c>
      <c r="AY12" s="260">
        <f t="shared" si="31"/>
        <v>11534936.597499995</v>
      </c>
      <c r="AZ12" s="260">
        <f t="shared" si="31"/>
        <v>11534936.597499995</v>
      </c>
      <c r="BA12" s="260">
        <f t="shared" si="31"/>
        <v>11542136.597499995</v>
      </c>
      <c r="BB12" s="260">
        <f t="shared" si="31"/>
        <v>11641644.597499995</v>
      </c>
      <c r="BC12" s="260">
        <f t="shared" si="31"/>
        <v>11641644.597499995</v>
      </c>
      <c r="BD12" s="260">
        <f t="shared" si="31"/>
        <v>11641644.597499995</v>
      </c>
      <c r="BE12" s="260">
        <f t="shared" si="31"/>
        <v>11641644.597499995</v>
      </c>
      <c r="BF12" s="260">
        <f t="shared" si="31"/>
        <v>11641644.597499995</v>
      </c>
      <c r="BG12" s="260">
        <f t="shared" si="31"/>
        <v>11641644.597499995</v>
      </c>
      <c r="BH12" s="260">
        <f t="shared" si="31"/>
        <v>11641644.597499995</v>
      </c>
      <c r="BI12" s="260">
        <f t="shared" si="31"/>
        <v>11641644.597499995</v>
      </c>
      <c r="BJ12" s="260">
        <f t="shared" si="31"/>
        <v>11641644.597499995</v>
      </c>
      <c r="BK12" s="260">
        <f t="shared" si="31"/>
        <v>11641644.597499995</v>
      </c>
      <c r="BL12" s="260">
        <f t="shared" si="31"/>
        <v>11641644.597499995</v>
      </c>
      <c r="BM12" s="260">
        <f t="shared" si="31"/>
        <v>11641644.597499995</v>
      </c>
      <c r="BN12" s="260">
        <f t="shared" si="31"/>
        <v>11641644.597499995</v>
      </c>
      <c r="BO12" s="260">
        <f t="shared" si="31"/>
        <v>11657457.597499995</v>
      </c>
      <c r="BP12" s="260">
        <f t="shared" si="31"/>
        <v>11657457.597499995</v>
      </c>
      <c r="BQ12" s="260">
        <f t="shared" si="31"/>
        <v>11763293.247499995</v>
      </c>
      <c r="BR12" s="260">
        <f t="shared" si="31"/>
        <v>11694423.247499995</v>
      </c>
      <c r="BS12" s="260">
        <f t="shared" si="31"/>
        <v>11698036.887499996</v>
      </c>
      <c r="BT12" s="260">
        <f t="shared" si="31"/>
        <v>11698036.887499996</v>
      </c>
      <c r="BU12" s="260">
        <f t="shared" ref="BU12:CJ12" si="32">BT12+BU11</f>
        <v>11698036.887499996</v>
      </c>
      <c r="BV12" s="260">
        <f t="shared" si="32"/>
        <v>11944723.527499996</v>
      </c>
      <c r="BW12" s="260">
        <f t="shared" si="32"/>
        <v>11944723.527499996</v>
      </c>
      <c r="BX12" s="260">
        <f t="shared" si="32"/>
        <v>11944723.527499996</v>
      </c>
      <c r="BY12" s="260">
        <f t="shared" si="32"/>
        <v>11944723.527499996</v>
      </c>
      <c r="BZ12" s="260">
        <f t="shared" si="32"/>
        <v>11944723.527499996</v>
      </c>
      <c r="CA12" s="260">
        <f t="shared" si="32"/>
        <v>11987342.527499996</v>
      </c>
      <c r="CB12" s="260">
        <f t="shared" si="32"/>
        <v>11987342.527499996</v>
      </c>
      <c r="CC12" s="260">
        <f t="shared" si="32"/>
        <v>11987342.527499996</v>
      </c>
      <c r="CD12" s="260">
        <f t="shared" si="32"/>
        <v>11987342.527499996</v>
      </c>
      <c r="CE12" s="260">
        <f t="shared" si="32"/>
        <v>11987342.527499996</v>
      </c>
      <c r="CF12" s="260">
        <f t="shared" si="32"/>
        <v>11987342.527499996</v>
      </c>
      <c r="CG12" s="260">
        <f t="shared" si="32"/>
        <v>11987342.527499996</v>
      </c>
      <c r="CH12" s="260">
        <f t="shared" si="32"/>
        <v>11987342.527499996</v>
      </c>
      <c r="CI12" s="260">
        <f t="shared" si="32"/>
        <v>11987342.527499996</v>
      </c>
      <c r="CJ12" s="260">
        <f t="shared" si="32"/>
        <v>11987342.527499996</v>
      </c>
      <c r="CK12" s="260">
        <f t="shared" ref="CK12" si="33">CJ12+CK11</f>
        <v>11987342.527499996</v>
      </c>
      <c r="CL12" s="260">
        <f t="shared" ref="CL12" si="34">CK12+CL11</f>
        <v>11987342.527499996</v>
      </c>
      <c r="CM12" s="260">
        <f t="shared" ref="CM12" si="35">CL12+CM11</f>
        <v>11987342.527499996</v>
      </c>
      <c r="CN12" s="260">
        <f t="shared" ref="CN12" si="36">CM12+CN11</f>
        <v>11987342.527499996</v>
      </c>
      <c r="CO12" s="260">
        <f t="shared" ref="CO12" si="37">CN12+CO11</f>
        <v>11987342.527499996</v>
      </c>
      <c r="CP12" s="260">
        <f t="shared" ref="CP12" si="38">CO12+CP11</f>
        <v>11987342.527499996</v>
      </c>
      <c r="CQ12" s="237"/>
      <c r="CR12" s="248"/>
    </row>
    <row r="13" spans="1:572" s="237" customFormat="1">
      <c r="A13" s="966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66"/>
      <c r="B14" s="250" t="s">
        <v>224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393911.03353650309</v>
      </c>
      <c r="AW14" s="253">
        <f t="shared" si="40"/>
        <v>352759.58353650384</v>
      </c>
      <c r="AX14" s="253">
        <f t="shared" si="40"/>
        <v>196260.93353650346</v>
      </c>
      <c r="AY14" s="253">
        <f t="shared" si="40"/>
        <v>194610.93353650346</v>
      </c>
      <c r="AZ14" s="253">
        <f t="shared" si="40"/>
        <v>194610.93353650346</v>
      </c>
      <c r="BA14" s="253">
        <f t="shared" si="40"/>
        <v>187410.93353650346</v>
      </c>
      <c r="BB14" s="253">
        <f t="shared" si="40"/>
        <v>87902.933536503464</v>
      </c>
      <c r="BC14" s="253">
        <f t="shared" si="40"/>
        <v>87902.933536503464</v>
      </c>
      <c r="BD14" s="253">
        <f t="shared" si="40"/>
        <v>87902.933536503464</v>
      </c>
      <c r="BE14" s="253">
        <f t="shared" si="40"/>
        <v>87902.933536503464</v>
      </c>
      <c r="BF14" s="253">
        <f t="shared" si="40"/>
        <v>87902.933536503464</v>
      </c>
      <c r="BG14" s="253">
        <f t="shared" si="40"/>
        <v>87902.933536503464</v>
      </c>
      <c r="BH14" s="253">
        <f t="shared" si="40"/>
        <v>87902.933536503464</v>
      </c>
      <c r="BI14" s="253">
        <f t="shared" si="40"/>
        <v>87902.933536503464</v>
      </c>
      <c r="BJ14" s="253">
        <f t="shared" si="40"/>
        <v>87902.933536503464</v>
      </c>
      <c r="BK14" s="253">
        <f t="shared" si="40"/>
        <v>87902.933536503464</v>
      </c>
      <c r="BL14" s="253">
        <f t="shared" si="40"/>
        <v>87902.933536503464</v>
      </c>
      <c r="BM14" s="253">
        <f t="shared" si="40"/>
        <v>87902.933536503464</v>
      </c>
      <c r="BN14" s="253">
        <f t="shared" si="40"/>
        <v>87902.933536503464</v>
      </c>
      <c r="BO14" s="253">
        <f t="shared" si="40"/>
        <v>72089.933536503464</v>
      </c>
      <c r="BP14" s="253">
        <f t="shared" si="40"/>
        <v>72089.933536503464</v>
      </c>
      <c r="BQ14" s="253">
        <f t="shared" si="40"/>
        <v>-33745.716463496909</v>
      </c>
      <c r="BR14" s="253">
        <f t="shared" si="40"/>
        <v>35124.283536503091</v>
      </c>
      <c r="BS14" s="253">
        <f t="shared" si="40"/>
        <v>31510.643536502495</v>
      </c>
      <c r="BT14" s="253">
        <f t="shared" si="40"/>
        <v>31510.643536502495</v>
      </c>
      <c r="BU14" s="253">
        <f t="shared" ref="BU14:CJ14" si="41">BU10-BU12</f>
        <v>31510.643536502495</v>
      </c>
      <c r="BV14" s="253">
        <f t="shared" si="41"/>
        <v>-215175.9964634981</v>
      </c>
      <c r="BW14" s="253">
        <f t="shared" si="41"/>
        <v>-215175.9964634981</v>
      </c>
      <c r="BX14" s="253">
        <f t="shared" si="41"/>
        <v>-215175.9964634981</v>
      </c>
      <c r="BY14" s="253">
        <f t="shared" si="41"/>
        <v>-215175.9964634981</v>
      </c>
      <c r="BZ14" s="253">
        <f t="shared" si="41"/>
        <v>-215175.9964634981</v>
      </c>
      <c r="CA14" s="253">
        <f t="shared" si="41"/>
        <v>-257794.9964634981</v>
      </c>
      <c r="CB14" s="253">
        <f t="shared" si="41"/>
        <v>-257794.9964634981</v>
      </c>
      <c r="CC14" s="253">
        <f t="shared" si="41"/>
        <v>-257794.9964634981</v>
      </c>
      <c r="CD14" s="253">
        <f t="shared" si="41"/>
        <v>-257794.9964634981</v>
      </c>
      <c r="CE14" s="253">
        <f t="shared" si="41"/>
        <v>-257794.9964634981</v>
      </c>
      <c r="CF14" s="253">
        <f t="shared" si="41"/>
        <v>-257794.9964634981</v>
      </c>
      <c r="CG14" s="253">
        <f t="shared" si="41"/>
        <v>-257794.9964634981</v>
      </c>
      <c r="CH14" s="253">
        <f t="shared" si="41"/>
        <v>-257794.9964634981</v>
      </c>
      <c r="CI14" s="253">
        <f t="shared" si="41"/>
        <v>-257794.9964634981</v>
      </c>
      <c r="CJ14" s="253">
        <f t="shared" si="41"/>
        <v>-257794.9964634981</v>
      </c>
      <c r="CK14" s="253">
        <f t="shared" ref="CK14:CP14" si="42">CK10-CK12</f>
        <v>-257794.9964634981</v>
      </c>
      <c r="CL14" s="253">
        <f t="shared" si="42"/>
        <v>-257794.9964634981</v>
      </c>
      <c r="CM14" s="253">
        <f t="shared" si="42"/>
        <v>-257794.9964634981</v>
      </c>
      <c r="CN14" s="253">
        <f t="shared" si="42"/>
        <v>-257794.9964634981</v>
      </c>
      <c r="CO14" s="253">
        <f t="shared" si="42"/>
        <v>-257794.9964634981</v>
      </c>
      <c r="CP14" s="253">
        <f t="shared" si="42"/>
        <v>-257794.9964634981</v>
      </c>
    </row>
    <row r="15" spans="1:572" s="237" customFormat="1"/>
    <row r="16" spans="1:572" s="237" customFormat="1">
      <c r="C16" s="239" t="s">
        <v>216</v>
      </c>
      <c r="D16" s="239" t="s">
        <v>216</v>
      </c>
    </row>
    <row r="17" spans="1:94">
      <c r="A17" s="967"/>
      <c r="B17" s="241" t="s">
        <v>225</v>
      </c>
      <c r="C17" s="531">
        <f>C3-D17</f>
        <v>-215227.07974513061</v>
      </c>
      <c r="D17" s="242">
        <f>SUM(F17:CP17)</f>
        <v>11750786.53078163</v>
      </c>
      <c r="E17" s="252"/>
      <c r="F17" s="260">
        <f>SUMIFS('Expenditure Breakdown'!$U$6:$U$150, 'Expenditure Breakdown'!$T$6:$T$150, "&gt;="&amp;F1,'Expenditure Breakdown'!$T$6:$T$150, "&lt;"&amp;G1)</f>
        <v>0</v>
      </c>
      <c r="G17" s="260">
        <f>SUMIFS('Expenditure Breakdown'!$U$6:$U$150, 'Expenditure Breakdown'!$T$6:$T$150, "&gt;="&amp;G1,'Expenditure Breakdown'!$T$6:$T$150, "&lt;"&amp;H1)</f>
        <v>0</v>
      </c>
      <c r="H17" s="260">
        <f>SUMIFS('Expenditure Breakdown'!$U$6:$U$150, 'Expenditure Breakdown'!$T$6:$T$150, "&gt;="&amp;H1,'Expenditure Breakdown'!$T$6:$T$150, "&lt;"&amp;I1)</f>
        <v>0</v>
      </c>
      <c r="I17" s="260">
        <f>SUMIFS('Expenditure Breakdown'!$U$6:$U$150, 'Expenditure Breakdown'!$T$6:$T$150, "&gt;="&amp;I1,'Expenditure Breakdown'!$T$6:$T$150, "&lt;"&amp;J1)</f>
        <v>14115.734382012277</v>
      </c>
      <c r="J17" s="260">
        <f>SUMIFS('Expenditure Breakdown'!$U$6:$U$150, 'Expenditure Breakdown'!$T$6:$T$150, "&gt;="&amp;J1,'Expenditure Breakdown'!$T$6:$T$150, "&lt;"&amp;K1)</f>
        <v>0</v>
      </c>
      <c r="K17" s="260">
        <f>SUMIFS('Expenditure Breakdown'!$U$6:$U$150, 'Expenditure Breakdown'!$T$6:$T$150, "&gt;="&amp;K1,'Expenditure Breakdown'!$T$6:$T$150, "&lt;"&amp;L1)</f>
        <v>0</v>
      </c>
      <c r="L17" s="260">
        <f>SUMIFS('Expenditure Breakdown'!$U$6:$U$150, 'Expenditure Breakdown'!$T$6:$T$150, "&gt;="&amp;L1,'Expenditure Breakdown'!$T$6:$T$150, "&lt;"&amp;M1)</f>
        <v>0</v>
      </c>
      <c r="M17" s="260">
        <f>SUMIFS('Expenditure Breakdown'!$U$6:$U$150, 'Expenditure Breakdown'!$T$6:$T$150, "&gt;="&amp;M1,'Expenditure Breakdown'!$T$6:$T$150, "&lt;"&amp;N1)</f>
        <v>0</v>
      </c>
      <c r="N17" s="260">
        <f>SUMIFS('Expenditure Breakdown'!$U$6:$U$150, 'Expenditure Breakdown'!$T$6:$T$150, "&gt;="&amp;N1,'Expenditure Breakdown'!$T$6:$T$150, "&lt;"&amp;O1)</f>
        <v>1604879.5114995264</v>
      </c>
      <c r="O17" s="260">
        <f>SUMIFS('Expenditure Breakdown'!$U$6:$U$150, 'Expenditure Breakdown'!$T$6:$T$150, "&gt;="&amp;O1,'Expenditure Breakdown'!$T$6:$T$150, "&lt;"&amp;P1)</f>
        <v>0</v>
      </c>
      <c r="P17" s="260">
        <f>SUMIFS('Expenditure Breakdown'!$U$6:$U$150, 'Expenditure Breakdown'!$T$6:$T$150, "&gt;="&amp;P1,'Expenditure Breakdown'!$T$6:$T$150, "&lt;"&amp;Q1)</f>
        <v>0</v>
      </c>
      <c r="Q17" s="260">
        <f>SUMIFS('Expenditure Breakdown'!$U$6:$U$150, 'Expenditure Breakdown'!$T$6:$T$150, "&gt;="&amp;Q1,'Expenditure Breakdown'!$T$6:$T$150, "&lt;"&amp;R1)</f>
        <v>0</v>
      </c>
      <c r="R17" s="260">
        <f>SUMIFS('Expenditure Breakdown'!$U$6:$U$150, 'Expenditure Breakdown'!$T$6:$T$150, "&gt;="&amp;R1,'Expenditure Breakdown'!$T$6:$T$150, "&lt;"&amp;S1)</f>
        <v>8282775.6401818199</v>
      </c>
      <c r="S17" s="260">
        <f>SUMIFS('Expenditure Breakdown'!$U$6:$U$150, 'Expenditure Breakdown'!$T$6:$T$150, "&gt;="&amp;S1,'Expenditure Breakdown'!$T$6:$T$150, "&lt;"&amp;T1)</f>
        <v>0</v>
      </c>
      <c r="T17" s="260">
        <f>SUMIFS('Expenditure Breakdown'!$U$6:$U$150, 'Expenditure Breakdown'!$T$6:$T$150, "&gt;="&amp;T1,'Expenditure Breakdown'!$T$6:$T$150, "&lt;"&amp;U1)</f>
        <v>0</v>
      </c>
      <c r="U17" s="260">
        <f>SUMIFS('Expenditure Breakdown'!$U$6:$U$150, 'Expenditure Breakdown'!$T$6:$T$150, "&gt;="&amp;U1,'Expenditure Breakdown'!$T$6:$T$150, "&lt;"&amp;V1)</f>
        <v>0</v>
      </c>
      <c r="V17" s="260">
        <f>SUMIFS('Expenditure Breakdown'!$U$6:$U$150, 'Expenditure Breakdown'!$T$6:$T$150, "&gt;="&amp;V1,'Expenditure Breakdown'!$T$6:$T$150, "&lt;"&amp;W1)</f>
        <v>358260.78648917581</v>
      </c>
      <c r="W17" s="260">
        <f>SUMIFS('Expenditure Breakdown'!$U$6:$U$150, 'Expenditure Breakdown'!$T$6:$T$150, "&gt;="&amp;W1,'Expenditure Breakdown'!$T$6:$T$150, "&lt;"&amp;X1)</f>
        <v>0</v>
      </c>
      <c r="X17" s="260">
        <f>SUMIFS('Expenditure Breakdown'!$U$6:$U$150, 'Expenditure Breakdown'!$T$6:$T$150, "&gt;="&amp;X1,'Expenditure Breakdown'!$T$6:$T$150, "&lt;"&amp;Y1)</f>
        <v>0</v>
      </c>
      <c r="Y17" s="260">
        <f>SUMIFS('Expenditure Breakdown'!$U$6:$U$150, 'Expenditure Breakdown'!$T$6:$T$150, "&gt;="&amp;Y1,'Expenditure Breakdown'!$T$6:$T$150, "&lt;"&amp;Z1)</f>
        <v>0</v>
      </c>
      <c r="Z17" s="260">
        <f>SUMIFS('Expenditure Breakdown'!$U$6:$U$150, 'Expenditure Breakdown'!$T$6:$T$150, "&gt;="&amp;Z1,'Expenditure Breakdown'!$T$6:$T$150, "&lt;"&amp;AA1)</f>
        <v>0</v>
      </c>
      <c r="AA17" s="260">
        <f>SUMIFS('Expenditure Breakdown'!$U$6:$U$150, 'Expenditure Breakdown'!$T$6:$T$150, "&gt;="&amp;AA1,'Expenditure Breakdown'!$T$6:$T$150, "&lt;"&amp;AB1)</f>
        <v>82940.345456871044</v>
      </c>
      <c r="AB17" s="260">
        <f>SUMIFS('Expenditure Breakdown'!$U$6:$U$150, 'Expenditure Breakdown'!$T$6:$T$150, "&gt;="&amp;AB1,'Expenditure Breakdown'!$T$6:$T$150, "&lt;"&amp;AC1)</f>
        <v>0</v>
      </c>
      <c r="AC17" s="260">
        <f>SUMIFS('Expenditure Breakdown'!$U$6:$U$150, 'Expenditure Breakdown'!$T$6:$T$150, "&gt;="&amp;AC1,'Expenditure Breakdown'!$T$6:$T$150, "&lt;"&amp;AD1)</f>
        <v>0</v>
      </c>
      <c r="AD17" s="260">
        <f>SUMIFS('Expenditure Breakdown'!$U$6:$U$150, 'Expenditure Breakdown'!$T$6:$T$150, "&gt;="&amp;AD1,'Expenditure Breakdown'!$T$6:$T$150, "&lt;"&amp;AE1)</f>
        <v>0</v>
      </c>
      <c r="AE17" s="260">
        <f>SUMIFS('Expenditure Breakdown'!$U$6:$U$150, 'Expenditure Breakdown'!$T$6:$T$150, "&gt;="&amp;AE1,'Expenditure Breakdown'!$T$6:$T$150, "&lt;"&amp;AF1)</f>
        <v>681491.64058274415</v>
      </c>
      <c r="AF17" s="260">
        <f>SUMIFS('Expenditure Breakdown'!$U$6:$U$150, 'Expenditure Breakdown'!$T$6:$T$150, "&gt;="&amp;AF1,'Expenditure Breakdown'!$T$6:$T$150, "&lt;"&amp;AG1)</f>
        <v>0</v>
      </c>
      <c r="AG17" s="260">
        <f>SUMIFS('Expenditure Breakdown'!$U$6:$U$150, 'Expenditure Breakdown'!$T$6:$T$150, "&gt;="&amp;AG1,'Expenditure Breakdown'!$T$6:$T$150, "&lt;"&amp;AH1)</f>
        <v>0</v>
      </c>
      <c r="AH17" s="260">
        <f>SUMIFS('Expenditure Breakdown'!$U$6:$U$150, 'Expenditure Breakdown'!$T$6:$T$150, "&gt;="&amp;AH1,'Expenditure Breakdown'!$T$6:$T$150, "&lt;"&amp;AI1)</f>
        <v>0</v>
      </c>
      <c r="AI17" s="260">
        <f>SUMIFS('Expenditure Breakdown'!$U$6:$U$150, 'Expenditure Breakdown'!$T$6:$T$150, "&gt;="&amp;AI1,'Expenditure Breakdown'!$T$6:$T$150, "&lt;"&amp;AJ1)</f>
        <v>506938.11546085496</v>
      </c>
      <c r="AJ17" s="260">
        <f>SUMIFS('Expenditure Breakdown'!$U$6:$U$150, 'Expenditure Breakdown'!$T$6:$T$150, "&gt;="&amp;AJ1,'Expenditure Breakdown'!$T$6:$T$150, "&lt;"&amp;AK1)</f>
        <v>0</v>
      </c>
      <c r="AK17" s="260">
        <f>SUMIFS('Expenditure Breakdown'!$U$6:$U$150, 'Expenditure Breakdown'!$T$6:$T$150, "&gt;="&amp;AK1,'Expenditure Breakdown'!$T$6:$T$150, "&lt;"&amp;AL1)</f>
        <v>0</v>
      </c>
      <c r="AL17" s="260">
        <f>SUMIFS('Expenditure Breakdown'!$U$6:$U$150, 'Expenditure Breakdown'!$T$6:$T$150, "&gt;="&amp;AL1,'Expenditure Breakdown'!$T$6:$T$150, "&lt;"&amp;AM1)</f>
        <v>0</v>
      </c>
      <c r="AM17" s="260">
        <f>SUMIFS('Expenditure Breakdown'!$U$6:$U$150, 'Expenditure Breakdown'!$T$6:$T$150, "&gt;="&amp;AM1,'Expenditure Breakdown'!$T$6:$T$150, "&lt;"&amp;AN1)</f>
        <v>0</v>
      </c>
      <c r="AN17" s="260">
        <f>SUMIFS('Expenditure Breakdown'!$U$6:$U$150, 'Expenditure Breakdown'!$T$6:$T$150, "&gt;="&amp;AN1,'Expenditure Breakdown'!$T$6:$T$150, "&lt;"&amp;AO1)</f>
        <v>122878.44672862702</v>
      </c>
      <c r="AO17" s="260">
        <f>SUMIFS('Expenditure Breakdown'!$U$6:$U$150, 'Expenditure Breakdown'!$T$6:$T$150, "&gt;="&amp;AO1,'Expenditure Breakdown'!$T$6:$T$150, "&lt;"&amp;AP1)</f>
        <v>0</v>
      </c>
      <c r="AP17" s="260">
        <f>SUMIFS('Expenditure Breakdown'!$U$6:$U$150, 'Expenditure Breakdown'!$T$6:$T$150, "&gt;="&amp;AP1,'Expenditure Breakdown'!$T$6:$T$150, "&lt;"&amp;AQ1)</f>
        <v>0</v>
      </c>
      <c r="AQ17" s="260">
        <f>SUMIFS('Expenditure Breakdown'!$U$6:$U$150, 'Expenditure Breakdown'!$T$6:$T$150, "&gt;="&amp;AQ1,'Expenditure Breakdown'!$T$6:$T$150, "&lt;"&amp;AR1)</f>
        <v>0</v>
      </c>
      <c r="AR17" s="260">
        <f>SUMIFS('Expenditure Breakdown'!$U$6:$U$150, 'Expenditure Breakdown'!$T$6:$T$150, "&gt;="&amp;AR1,'Expenditure Breakdown'!$T$6:$T$150, "&lt;"&amp;AS1)</f>
        <v>0</v>
      </c>
      <c r="AS17" s="260">
        <f>SUMIFS('Expenditure Breakdown'!$U$6:$U$150, 'Expenditure Breakdown'!$T$6:$T$150, "&gt;="&amp;AS1,'Expenditure Breakdown'!$T$6:$T$150, "&lt;"&amp;AT1)</f>
        <v>0</v>
      </c>
      <c r="AT17" s="260">
        <f>SUMIFS('Expenditure Breakdown'!$U$6:$U$150, 'Expenditure Breakdown'!$T$6:$T$150, "&gt;="&amp;AT1,'Expenditure Breakdown'!$T$6:$T$150, "&lt;"&amp;AU1)</f>
        <v>0</v>
      </c>
      <c r="AU17" s="260">
        <f>SUMIFS('Expenditure Breakdown'!$U$6:$U$150, 'Expenditure Breakdown'!$T$6:$T$150, "&gt;="&amp;AU1,'Expenditure Breakdown'!$T$6:$T$150, "&lt;"&amp;AV1)</f>
        <v>0</v>
      </c>
      <c r="AV17" s="260">
        <f>SUMIFS('Expenditure Breakdown'!$U$6:$U$150, 'Expenditure Breakdown'!$T$6:$T$150, "&gt;="&amp;AV1,'Expenditure Breakdown'!$T$6:$T$150, "&lt;"&amp;AW1)</f>
        <v>96506.31</v>
      </c>
      <c r="AW17" s="260">
        <f>SUMIFS('Expenditure Breakdown'!$U$6:$U$150, 'Expenditure Breakdown'!$T$6:$T$150, "&gt;="&amp;AW1,'Expenditure Breakdown'!$T$6:$T$150, "&lt;"&amp;AX1)</f>
        <v>0</v>
      </c>
      <c r="AX17" s="260">
        <f>SUMIFS('Expenditure Breakdown'!$U$6:$U$150, 'Expenditure Breakdown'!$T$6:$T$150, "&gt;="&amp;AX1,'Expenditure Breakdown'!$T$6:$T$150, "&lt;"&amp;AY1)</f>
        <v>0</v>
      </c>
      <c r="AY17" s="260">
        <f>SUMIFS('Expenditure Breakdown'!$U$6:$U$150, 'Expenditure Breakdown'!$T$6:$T$150, "&gt;="&amp;AY1,'Expenditure Breakdown'!$T$6:$T$150, "&lt;"&amp;AZ1)</f>
        <v>0</v>
      </c>
      <c r="AZ17" s="260">
        <f>SUMIFS('Expenditure Breakdown'!$U$6:$U$150, 'Expenditure Breakdown'!$T$6:$T$150, "&gt;="&amp;AZ1,'Expenditure Breakdown'!$T$6:$T$150, "&lt;"&amp;BA1)</f>
        <v>0</v>
      </c>
      <c r="BA17" s="260">
        <f>SUMIFS('Expenditure Breakdown'!$U$6:$U$150, 'Expenditure Breakdown'!$T$6:$T$150, "&gt;="&amp;BA1,'Expenditure Breakdown'!$T$6:$T$150, "&lt;"&amp;BB1)</f>
        <v>0</v>
      </c>
      <c r="BB17" s="260">
        <f>SUMIFS('Expenditure Breakdown'!$U$6:$U$150, 'Expenditure Breakdown'!$T$6:$T$150, "&gt;="&amp;BB1,'Expenditure Breakdown'!$T$6:$T$150, "&lt;"&amp;BC1)</f>
        <v>0</v>
      </c>
      <c r="BC17" s="260">
        <f>SUMIFS('Expenditure Breakdown'!$U$6:$U$150, 'Expenditure Breakdown'!$T$6:$T$150, "&gt;="&amp;BC1,'Expenditure Breakdown'!$T$6:$T$150, "&lt;"&amp;BD1)</f>
        <v>0</v>
      </c>
      <c r="BD17" s="260">
        <f>SUMIFS('Expenditure Breakdown'!$U$6:$U$150, 'Expenditure Breakdown'!$T$6:$T$150, "&gt;="&amp;BD1,'Expenditure Breakdown'!$T$6:$T$150, "&lt;"&amp;BE1)</f>
        <v>0</v>
      </c>
      <c r="BE17" s="260">
        <f>SUMIFS('Expenditure Breakdown'!$U$6:$U$150, 'Expenditure Breakdown'!$T$6:$T$150, "&gt;="&amp;BE1,'Expenditure Breakdown'!$T$6:$T$150, "&lt;"&amp;BF1)</f>
        <v>0</v>
      </c>
      <c r="BF17" s="260">
        <f>SUMIFS('Expenditure Breakdown'!$U$6:$U$150, 'Expenditure Breakdown'!$T$6:$T$150, "&gt;="&amp;BF1,'Expenditure Breakdown'!$T$6:$T$150, "&lt;"&amp;BG1)</f>
        <v>0</v>
      </c>
      <c r="BG17" s="260">
        <f>SUMIFS('Expenditure Breakdown'!$U$6:$U$150, 'Expenditure Breakdown'!$T$6:$T$150, "&gt;="&amp;BG1,'Expenditure Breakdown'!$T$6:$T$150, "&lt;"&amp;BH1)</f>
        <v>0</v>
      </c>
      <c r="BH17" s="260">
        <f>SUMIFS('Expenditure Breakdown'!$U$6:$U$150, 'Expenditure Breakdown'!$T$6:$T$150, "&gt;="&amp;BH1,'Expenditure Breakdown'!$T$6:$T$150, "&lt;"&amp;BI1)</f>
        <v>0</v>
      </c>
      <c r="BI17" s="260">
        <f>SUMIFS('Expenditure Breakdown'!$U$6:$U$150, 'Expenditure Breakdown'!$T$6:$T$150, "&gt;="&amp;BI1,'Expenditure Breakdown'!$T$6:$T$150, "&lt;"&amp;BJ1)</f>
        <v>0</v>
      </c>
      <c r="BJ17" s="260">
        <f>SUMIFS('Expenditure Breakdown'!$U$6:$U$150, 'Expenditure Breakdown'!$T$6:$T$150, "&gt;="&amp;BJ1,'Expenditure Breakdown'!$T$6:$T$150, "&lt;"&amp;BK1)</f>
        <v>0</v>
      </c>
      <c r="BK17" s="260">
        <f>SUMIFS('Expenditure Breakdown'!$U$6:$U$150, 'Expenditure Breakdown'!$T$6:$T$150, "&gt;="&amp;BK1,'Expenditure Breakdown'!$T$6:$T$150, "&lt;"&amp;BL1)</f>
        <v>0</v>
      </c>
      <c r="BL17" s="260">
        <f>SUMIFS('Expenditure Breakdown'!$U$6:$U$150, 'Expenditure Breakdown'!$T$6:$T$150, "&gt;="&amp;BL1,'Expenditure Breakdown'!$T$6:$T$150, "&lt;"&amp;BM1)</f>
        <v>0</v>
      </c>
      <c r="BM17" s="260">
        <f>SUMIFS('Expenditure Breakdown'!$U$6:$U$150, 'Expenditure Breakdown'!$T$6:$T$150, "&gt;="&amp;BM1,'Expenditure Breakdown'!$T$6:$T$150, "&lt;"&amp;BN1)</f>
        <v>0</v>
      </c>
      <c r="BN17" s="260">
        <f>SUMIFS('Expenditure Breakdown'!$U$6:$U$150, 'Expenditure Breakdown'!$T$6:$T$150, "&gt;="&amp;BN1,'Expenditure Breakdown'!$T$6:$T$150, "&lt;"&amp;BO1)</f>
        <v>0</v>
      </c>
      <c r="BO17" s="260">
        <f>SUMIFS('Expenditure Breakdown'!$U$6:$U$150, 'Expenditure Breakdown'!$T$6:$T$150, "&gt;="&amp;BO1,'Expenditure Breakdown'!$T$6:$T$150, "&lt;"&amp;BP1)</f>
        <v>0</v>
      </c>
      <c r="BP17" s="260">
        <f>SUMIFS('Expenditure Breakdown'!$U$6:$U$150, 'Expenditure Breakdown'!$T$6:$T$150, "&gt;="&amp;BP1,'Expenditure Breakdown'!$T$6:$T$150, "&lt;"&amp;BQ1)</f>
        <v>0</v>
      </c>
      <c r="BQ17" s="260">
        <f>SUMIFS('Expenditure Breakdown'!$U$6:$U$150, 'Expenditure Breakdown'!$T$6:$T$150, "&gt;="&amp;BQ1,'Expenditure Breakdown'!$T$6:$T$150, "&lt;"&amp;BR1)</f>
        <v>0</v>
      </c>
      <c r="BR17" s="260">
        <f>SUMIFS('Expenditure Breakdown'!$U$6:$U$150, 'Expenditure Breakdown'!$T$6:$T$150, "&gt;="&amp;BR1,'Expenditure Breakdown'!$T$6:$T$150, "&lt;"&amp;BS1)</f>
        <v>0</v>
      </c>
      <c r="BS17" s="260">
        <f>SUMIFS('Expenditure Breakdown'!$U$6:$U$150, 'Expenditure Breakdown'!$T$6:$T$150, "&gt;="&amp;BS1,'Expenditure Breakdown'!$T$6:$T$150, "&lt;"&amp;BT1)</f>
        <v>0</v>
      </c>
      <c r="BT17" s="260">
        <f>SUMIFS('Expenditure Breakdown'!$U$6:$U$150, 'Expenditure Breakdown'!$T$6:$T$150, "&gt;="&amp;BT1,'Expenditure Breakdown'!$T$6:$T$150, "&lt;"&amp;BU1)</f>
        <v>0</v>
      </c>
      <c r="BU17" s="260">
        <f>SUMIFS('Expenditure Breakdown'!$U$6:$U$150, 'Expenditure Breakdown'!$T$6:$T$150, "&gt;="&amp;BU1,'Expenditure Breakdown'!$T$6:$T$150, "&lt;"&amp;BV1)</f>
        <v>0</v>
      </c>
      <c r="BV17" s="260">
        <f>SUMIFS('Expenditure Breakdown'!$U$6:$U$150, 'Expenditure Breakdown'!$T$6:$T$150, "&gt;="&amp;BV1,'Expenditure Breakdown'!$T$6:$T$150, "&lt;"&amp;BW1)</f>
        <v>0</v>
      </c>
      <c r="BW17" s="260">
        <f>SUMIFS('Expenditure Breakdown'!$U$6:$U$150, 'Expenditure Breakdown'!$T$6:$T$150, "&gt;="&amp;BW1,'Expenditure Breakdown'!$T$6:$T$150, "&lt;"&amp;BX1)</f>
        <v>0</v>
      </c>
      <c r="BX17" s="260">
        <f>SUMIFS('Expenditure Breakdown'!$U$6:$U$150, 'Expenditure Breakdown'!$T$6:$T$150, "&gt;="&amp;BX1,'Expenditure Breakdown'!$T$6:$T$150, "&lt;"&amp;BY1)</f>
        <v>0</v>
      </c>
      <c r="BY17" s="260">
        <f>SUMIFS('Expenditure Breakdown'!$U$6:$U$150, 'Expenditure Breakdown'!$T$6:$T$150, "&gt;="&amp;BY1,'Expenditure Breakdown'!$T$6:$T$150, "&lt;"&amp;BZ1)</f>
        <v>0</v>
      </c>
      <c r="BZ17" s="260">
        <f>SUMIFS('Expenditure Breakdown'!$U$6:$U$150, 'Expenditure Breakdown'!$T$6:$T$150, "&gt;="&amp;BZ1,'Expenditure Breakdown'!$T$6:$T$150, "&lt;"&amp;CA1)</f>
        <v>0</v>
      </c>
      <c r="CA17" s="260">
        <f>SUMIFS('Expenditure Breakdown'!$U$6:$U$150, 'Expenditure Breakdown'!$T$6:$T$150, "&gt;="&amp;CA1,'Expenditure Breakdown'!$T$6:$T$150, "&lt;"&amp;CB1)</f>
        <v>0</v>
      </c>
      <c r="CB17" s="260">
        <f>SUMIFS('Expenditure Breakdown'!$U$6:$U$150, 'Expenditure Breakdown'!$T$6:$T$150, "&gt;="&amp;CB1,'Expenditure Breakdown'!$T$6:$T$150, "&lt;"&amp;CC1)</f>
        <v>0</v>
      </c>
      <c r="CC17" s="260">
        <f>SUMIFS('Expenditure Breakdown'!$U$6:$U$150, 'Expenditure Breakdown'!$T$6:$T$150, "&gt;="&amp;CC1,'Expenditure Breakdown'!$T$6:$T$150, "&lt;"&amp;CD1)</f>
        <v>0</v>
      </c>
      <c r="CD17" s="260">
        <f>SUMIFS('Expenditure Breakdown'!$U$6:$U$150, 'Expenditure Breakdown'!$T$6:$T$150, "&gt;="&amp;CD1,'Expenditure Breakdown'!$T$6:$T$150, "&lt;"&amp;CE1)</f>
        <v>0</v>
      </c>
      <c r="CE17" s="260">
        <f>SUMIFS('Expenditure Breakdown'!$U$6:$U$150, 'Expenditure Breakdown'!$T$6:$T$150, "&gt;="&amp;CE1,'Expenditure Breakdown'!$T$6:$T$150, "&lt;"&amp;CF1)</f>
        <v>0</v>
      </c>
      <c r="CF17" s="260">
        <f>SUMIFS('Expenditure Breakdown'!$U$6:$U$150, 'Expenditure Breakdown'!$T$6:$T$150, "&gt;="&amp;CF1,'Expenditure Breakdown'!$T$6:$T$150, "&lt;"&amp;CG1)</f>
        <v>0</v>
      </c>
      <c r="CG17" s="260">
        <f>SUMIFS('Expenditure Breakdown'!$U$6:$U$150, 'Expenditure Breakdown'!$T$6:$T$150, "&gt;="&amp;CG1,'Expenditure Breakdown'!$T$6:$T$150, "&lt;"&amp;CH1)</f>
        <v>0</v>
      </c>
      <c r="CH17" s="260">
        <f>SUMIFS('Expenditure Breakdown'!$U$6:$U$150, 'Expenditure Breakdown'!$T$6:$T$150, "&gt;="&amp;CH1,'Expenditure Breakdown'!$T$6:$T$150, "&lt;"&amp;CI1)</f>
        <v>0</v>
      </c>
      <c r="CI17" s="260">
        <f>SUMIFS('Expenditure Breakdown'!$U$6:$U$150, 'Expenditure Breakdown'!$T$6:$T$150, "&gt;="&amp;CI1,'Expenditure Breakdown'!$T$6:$T$150, "&lt;"&amp;CJ1)</f>
        <v>0</v>
      </c>
      <c r="CJ17" s="260">
        <f>SUMIFS('Expenditure Breakdown'!$U$6:$U$150, 'Expenditure Breakdown'!$T$6:$T$150, "&gt;="&amp;CJ1,'Expenditure Breakdown'!$T$6:$T$150, "&lt;"&amp;CK1)</f>
        <v>0</v>
      </c>
      <c r="CK17" s="260">
        <f>SUMIFS('Expenditure Breakdown'!$U$6:$U$150, 'Expenditure Breakdown'!$T$6:$T$150, "&gt;="&amp;CK1,'Expenditure Breakdown'!$T$6:$T$150, "&lt;"&amp;CL1)</f>
        <v>0</v>
      </c>
      <c r="CL17" s="260">
        <f>SUMIFS('Expenditure Breakdown'!$U$6:$U$150, 'Expenditure Breakdown'!$T$6:$T$150, "&gt;="&amp;CL1,'Expenditure Breakdown'!$T$6:$T$150, "&lt;"&amp;CM1)</f>
        <v>0</v>
      </c>
      <c r="CM17" s="260">
        <f>SUMIFS('Expenditure Breakdown'!$U$6:$U$150, 'Expenditure Breakdown'!$T$6:$T$150, "&gt;="&amp;CM1,'Expenditure Breakdown'!$T$6:$T$150, "&lt;"&amp;CN1)</f>
        <v>0</v>
      </c>
      <c r="CN17" s="260">
        <f>SUMIFS('Expenditure Breakdown'!$U$6:$U$150, 'Expenditure Breakdown'!$T$6:$T$150, "&gt;="&amp;CN1,'Expenditure Breakdown'!$T$6:$T$150, "&lt;"&amp;CO1)</f>
        <v>0</v>
      </c>
      <c r="CO17" s="260">
        <f>SUMIFS('Expenditure Breakdown'!$U$6:$U$150, 'Expenditure Breakdown'!$T$6:$T$150, "&gt;="&amp;CO1,'Expenditure Breakdown'!$T$6:$T$150, "&lt;"&amp;CP1)</f>
        <v>0</v>
      </c>
      <c r="CP17" s="260">
        <f>SUMIFS('Expenditure Breakdown'!$U$6:$U$150, 'Expenditure Breakdown'!$T$6:$T$150, "&gt;="&amp;CP1,'Expenditure Breakdown'!$T$6:$T$150, "&lt;"&amp;CQ1)</f>
        <v>0</v>
      </c>
    </row>
    <row r="18" spans="1:94">
      <c r="A18" s="967"/>
      <c r="B18" s="241" t="s">
        <v>226</v>
      </c>
      <c r="C18" s="531">
        <f>D17-D18</f>
        <v>0</v>
      </c>
      <c r="D18" s="242">
        <f>MAX(F18:CP18)</f>
        <v>11750786.53078163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1618995.2458815388</v>
      </c>
      <c r="O18" s="260">
        <f t="shared" si="43"/>
        <v>1618995.2458815388</v>
      </c>
      <c r="P18" s="260">
        <f t="shared" si="43"/>
        <v>1618995.2458815388</v>
      </c>
      <c r="Q18" s="260">
        <f t="shared" si="43"/>
        <v>1618995.2458815388</v>
      </c>
      <c r="R18" s="260">
        <f t="shared" si="43"/>
        <v>9901770.8860633597</v>
      </c>
      <c r="S18" s="260">
        <f t="shared" si="43"/>
        <v>9901770.8860633597</v>
      </c>
      <c r="T18" s="260">
        <f t="shared" si="43"/>
        <v>9901770.8860633597</v>
      </c>
      <c r="U18" s="260">
        <f t="shared" si="43"/>
        <v>9901770.8860633597</v>
      </c>
      <c r="V18" s="260">
        <f t="shared" si="43"/>
        <v>10260031.672552535</v>
      </c>
      <c r="W18" s="260">
        <f t="shared" si="43"/>
        <v>10260031.672552535</v>
      </c>
      <c r="X18" s="260">
        <f t="shared" si="43"/>
        <v>10260031.672552535</v>
      </c>
      <c r="Y18" s="260">
        <f t="shared" si="43"/>
        <v>10260031.672552535</v>
      </c>
      <c r="Z18" s="260">
        <f t="shared" si="43"/>
        <v>10260031.672552535</v>
      </c>
      <c r="AA18" s="260">
        <f t="shared" si="43"/>
        <v>10342972.018009406</v>
      </c>
      <c r="AB18" s="260">
        <f t="shared" si="43"/>
        <v>10342972.018009406</v>
      </c>
      <c r="AC18" s="260">
        <f t="shared" si="43"/>
        <v>10342972.018009406</v>
      </c>
      <c r="AD18" s="260">
        <f t="shared" si="43"/>
        <v>10342972.018009406</v>
      </c>
      <c r="AE18" s="260">
        <f t="shared" si="43"/>
        <v>11024463.65859215</v>
      </c>
      <c r="AF18" s="260">
        <f t="shared" si="43"/>
        <v>11024463.65859215</v>
      </c>
      <c r="AG18" s="260">
        <f t="shared" si="43"/>
        <v>11024463.65859215</v>
      </c>
      <c r="AH18" s="260">
        <f t="shared" si="43"/>
        <v>11024463.65859215</v>
      </c>
      <c r="AI18" s="260">
        <f t="shared" si="43"/>
        <v>11531401.774053004</v>
      </c>
      <c r="AJ18" s="260">
        <f t="shared" si="43"/>
        <v>11531401.774053004</v>
      </c>
      <c r="AK18" s="260">
        <f t="shared" si="43"/>
        <v>11531401.774053004</v>
      </c>
      <c r="AL18" s="260">
        <f t="shared" si="43"/>
        <v>11531401.774053004</v>
      </c>
      <c r="AM18" s="260">
        <f t="shared" si="43"/>
        <v>11531401.774053004</v>
      </c>
      <c r="AN18" s="260">
        <f t="shared" si="43"/>
        <v>11654280.22078163</v>
      </c>
      <c r="AO18" s="260">
        <f t="shared" si="43"/>
        <v>11654280.22078163</v>
      </c>
      <c r="AP18" s="260">
        <f t="shared" si="43"/>
        <v>11654280.22078163</v>
      </c>
      <c r="AQ18" s="260">
        <f t="shared" si="43"/>
        <v>11654280.22078163</v>
      </c>
      <c r="AR18" s="260">
        <f t="shared" si="43"/>
        <v>11654280.22078163</v>
      </c>
      <c r="AS18" s="260">
        <f t="shared" si="43"/>
        <v>11654280.22078163</v>
      </c>
      <c r="AT18" s="260">
        <f t="shared" si="43"/>
        <v>11654280.22078163</v>
      </c>
      <c r="AU18" s="260">
        <f t="shared" si="43"/>
        <v>11654280.22078163</v>
      </c>
      <c r="AV18" s="260">
        <f t="shared" si="43"/>
        <v>11750786.53078163</v>
      </c>
      <c r="AW18" s="260">
        <f t="shared" si="43"/>
        <v>11750786.53078163</v>
      </c>
      <c r="AX18" s="260">
        <f t="shared" si="43"/>
        <v>11750786.53078163</v>
      </c>
      <c r="AY18" s="260">
        <f t="shared" si="43"/>
        <v>11750786.53078163</v>
      </c>
      <c r="AZ18" s="260">
        <f t="shared" si="43"/>
        <v>11750786.53078163</v>
      </c>
      <c r="BA18" s="260">
        <f t="shared" si="43"/>
        <v>11750786.53078163</v>
      </c>
      <c r="BB18" s="260">
        <f t="shared" si="43"/>
        <v>11750786.53078163</v>
      </c>
      <c r="BC18" s="260">
        <f t="shared" si="43"/>
        <v>11750786.53078163</v>
      </c>
      <c r="BD18" s="260">
        <f t="shared" si="43"/>
        <v>11750786.53078163</v>
      </c>
      <c r="BE18" s="260">
        <f t="shared" si="43"/>
        <v>11750786.53078163</v>
      </c>
      <c r="BF18" s="260">
        <f t="shared" si="43"/>
        <v>11750786.53078163</v>
      </c>
      <c r="BG18" s="260">
        <f t="shared" si="43"/>
        <v>11750786.53078163</v>
      </c>
      <c r="BH18" s="260">
        <f t="shared" si="43"/>
        <v>11750786.53078163</v>
      </c>
      <c r="BI18" s="260">
        <f t="shared" si="43"/>
        <v>11750786.53078163</v>
      </c>
      <c r="BJ18" s="260">
        <f t="shared" si="43"/>
        <v>11750786.53078163</v>
      </c>
      <c r="BK18" s="260">
        <f t="shared" si="43"/>
        <v>11750786.53078163</v>
      </c>
      <c r="BL18" s="260">
        <f t="shared" si="43"/>
        <v>11750786.53078163</v>
      </c>
      <c r="BM18" s="260">
        <f t="shared" si="43"/>
        <v>11750786.53078163</v>
      </c>
      <c r="BN18" s="260">
        <f t="shared" si="43"/>
        <v>11750786.53078163</v>
      </c>
      <c r="BO18" s="260">
        <f t="shared" si="43"/>
        <v>11750786.53078163</v>
      </c>
      <c r="BP18" s="260">
        <f t="shared" si="43"/>
        <v>11750786.53078163</v>
      </c>
      <c r="BQ18" s="260">
        <f t="shared" si="43"/>
        <v>11750786.53078163</v>
      </c>
      <c r="BR18" s="260">
        <f t="shared" si="43"/>
        <v>11750786.53078163</v>
      </c>
      <c r="BS18" s="260">
        <f t="shared" si="43"/>
        <v>11750786.53078163</v>
      </c>
      <c r="BT18" s="260">
        <f t="shared" si="43"/>
        <v>11750786.53078163</v>
      </c>
      <c r="BU18" s="260">
        <f t="shared" ref="BU18:CJ18" si="44">BT18+BU17</f>
        <v>11750786.53078163</v>
      </c>
      <c r="BV18" s="260">
        <f t="shared" si="44"/>
        <v>11750786.53078163</v>
      </c>
      <c r="BW18" s="260">
        <f t="shared" si="44"/>
        <v>11750786.53078163</v>
      </c>
      <c r="BX18" s="260">
        <f t="shared" si="44"/>
        <v>11750786.53078163</v>
      </c>
      <c r="BY18" s="260">
        <f t="shared" si="44"/>
        <v>11750786.53078163</v>
      </c>
      <c r="BZ18" s="260">
        <f t="shared" si="44"/>
        <v>11750786.53078163</v>
      </c>
      <c r="CA18" s="260">
        <f t="shared" si="44"/>
        <v>11750786.53078163</v>
      </c>
      <c r="CB18" s="260">
        <f t="shared" si="44"/>
        <v>11750786.53078163</v>
      </c>
      <c r="CC18" s="260">
        <f t="shared" si="44"/>
        <v>11750786.53078163</v>
      </c>
      <c r="CD18" s="260">
        <f t="shared" si="44"/>
        <v>11750786.53078163</v>
      </c>
      <c r="CE18" s="260">
        <f t="shared" si="44"/>
        <v>11750786.53078163</v>
      </c>
      <c r="CF18" s="260">
        <f t="shared" si="44"/>
        <v>11750786.53078163</v>
      </c>
      <c r="CG18" s="260">
        <f t="shared" si="44"/>
        <v>11750786.53078163</v>
      </c>
      <c r="CH18" s="260">
        <f t="shared" si="44"/>
        <v>11750786.53078163</v>
      </c>
      <c r="CI18" s="260">
        <f t="shared" si="44"/>
        <v>11750786.53078163</v>
      </c>
      <c r="CJ18" s="260">
        <f t="shared" si="44"/>
        <v>11750786.53078163</v>
      </c>
      <c r="CK18" s="260">
        <f t="shared" ref="CK18" si="45">CJ18+CK17</f>
        <v>11750786.53078163</v>
      </c>
      <c r="CL18" s="260">
        <f t="shared" ref="CL18" si="46">CK18+CL17</f>
        <v>11750786.53078163</v>
      </c>
      <c r="CM18" s="260">
        <f t="shared" ref="CM18" si="47">CL18+CM17</f>
        <v>11750786.53078163</v>
      </c>
      <c r="CN18" s="260">
        <f t="shared" ref="CN18" si="48">CM18+CN17</f>
        <v>11750786.53078163</v>
      </c>
      <c r="CO18" s="260">
        <f t="shared" ref="CO18" si="49">CN18+CO17</f>
        <v>11750786.53078163</v>
      </c>
      <c r="CP18" s="260">
        <f t="shared" ref="CP18" si="50">CO18+CP17</f>
        <v>11750786.53078163</v>
      </c>
    </row>
    <row r="19" spans="1:94" s="237" customFormat="1"/>
    <row r="20" spans="1:94">
      <c r="B20" t="s">
        <v>227</v>
      </c>
      <c r="D20" s="615">
        <f>SUM(F20:CP20)</f>
        <v>1938729.6575000002</v>
      </c>
      <c r="E20" s="237"/>
      <c r="F20" s="638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8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8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8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8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8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8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8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8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8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8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8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8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8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8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8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8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8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8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8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8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8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8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8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8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8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8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8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8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8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8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8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8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8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8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8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8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8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8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8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8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8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8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8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8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8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8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8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8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8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8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8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8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8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8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8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8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8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8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8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8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8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8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8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8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8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8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8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8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8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8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8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8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8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8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8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8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8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8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8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8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8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8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8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8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8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8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8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8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228</v>
      </c>
      <c r="E21" s="237"/>
      <c r="F21" s="638">
        <f>F20</f>
        <v>0</v>
      </c>
      <c r="G21" s="638">
        <f>G20+F21</f>
        <v>0</v>
      </c>
      <c r="H21" s="638">
        <f>H20+G21</f>
        <v>0</v>
      </c>
      <c r="I21" s="638">
        <f t="shared" ref="I21:BT21" si="51">I20+H21</f>
        <v>0</v>
      </c>
      <c r="J21" s="638">
        <f t="shared" si="51"/>
        <v>0</v>
      </c>
      <c r="K21" s="638">
        <f t="shared" si="51"/>
        <v>0</v>
      </c>
      <c r="L21" s="638">
        <f t="shared" si="51"/>
        <v>0</v>
      </c>
      <c r="M21" s="638">
        <f t="shared" si="51"/>
        <v>0</v>
      </c>
      <c r="N21" s="638">
        <f t="shared" si="51"/>
        <v>0</v>
      </c>
      <c r="O21" s="638">
        <f t="shared" si="51"/>
        <v>0</v>
      </c>
      <c r="P21" s="638">
        <f t="shared" si="51"/>
        <v>0</v>
      </c>
      <c r="Q21" s="638">
        <f t="shared" si="51"/>
        <v>0</v>
      </c>
      <c r="R21" s="638">
        <f t="shared" si="51"/>
        <v>0</v>
      </c>
      <c r="S21" s="638">
        <f t="shared" si="51"/>
        <v>193872.97</v>
      </c>
      <c r="T21" s="638">
        <f t="shared" si="51"/>
        <v>484682.42000000004</v>
      </c>
      <c r="U21" s="638">
        <f t="shared" si="51"/>
        <v>484682.42000000004</v>
      </c>
      <c r="V21" s="638">
        <f t="shared" si="51"/>
        <v>484682.42000000004</v>
      </c>
      <c r="W21" s="638">
        <f t="shared" si="51"/>
        <v>484682.42000000004</v>
      </c>
      <c r="X21" s="638">
        <f t="shared" si="51"/>
        <v>484682.42000000004</v>
      </c>
      <c r="Y21" s="638">
        <f t="shared" si="51"/>
        <v>484682.42000000004</v>
      </c>
      <c r="Z21" s="638">
        <f t="shared" si="51"/>
        <v>484682.42000000004</v>
      </c>
      <c r="AA21" s="638">
        <f t="shared" si="51"/>
        <v>484682.42000000004</v>
      </c>
      <c r="AB21" s="638">
        <f t="shared" si="51"/>
        <v>484682.42000000004</v>
      </c>
      <c r="AC21" s="638">
        <f t="shared" si="51"/>
        <v>484682.42000000004</v>
      </c>
      <c r="AD21" s="638">
        <f t="shared" si="51"/>
        <v>1357110.7625000002</v>
      </c>
      <c r="AE21" s="638">
        <f t="shared" si="51"/>
        <v>1357110.7625000002</v>
      </c>
      <c r="AF21" s="638">
        <f t="shared" si="51"/>
        <v>1550983.7275000003</v>
      </c>
      <c r="AG21" s="638">
        <f t="shared" si="51"/>
        <v>1647920.2100000002</v>
      </c>
      <c r="AH21" s="638">
        <f t="shared" si="51"/>
        <v>1647920.2100000002</v>
      </c>
      <c r="AI21" s="638">
        <f t="shared" si="51"/>
        <v>1647920.2100000002</v>
      </c>
      <c r="AJ21" s="638">
        <f t="shared" si="51"/>
        <v>1647920.2100000002</v>
      </c>
      <c r="AK21" s="638">
        <f t="shared" si="51"/>
        <v>1841793.1750000003</v>
      </c>
      <c r="AL21" s="638">
        <f t="shared" si="51"/>
        <v>1841793.1750000003</v>
      </c>
      <c r="AM21" s="638">
        <f t="shared" si="51"/>
        <v>1841793.1750000003</v>
      </c>
      <c r="AN21" s="638">
        <f t="shared" si="51"/>
        <v>1841793.1750000003</v>
      </c>
      <c r="AO21" s="638">
        <f t="shared" si="51"/>
        <v>1841793.1750000003</v>
      </c>
      <c r="AP21" s="638">
        <f t="shared" si="51"/>
        <v>1841793.1750000003</v>
      </c>
      <c r="AQ21" s="638">
        <f t="shared" si="51"/>
        <v>1841793.1750000003</v>
      </c>
      <c r="AR21" s="638">
        <f t="shared" si="51"/>
        <v>1938729.6575000002</v>
      </c>
      <c r="AS21" s="638">
        <f t="shared" si="51"/>
        <v>1938729.6575000002</v>
      </c>
      <c r="AT21" s="638">
        <f t="shared" si="51"/>
        <v>1938729.6575000002</v>
      </c>
      <c r="AU21" s="638">
        <f t="shared" si="51"/>
        <v>1938729.6575000002</v>
      </c>
      <c r="AV21" s="638">
        <f t="shared" si="51"/>
        <v>1938729.6575000002</v>
      </c>
      <c r="AW21" s="638">
        <f t="shared" si="51"/>
        <v>1938729.6575000002</v>
      </c>
      <c r="AX21" s="638">
        <f t="shared" si="51"/>
        <v>1938729.6575000002</v>
      </c>
      <c r="AY21" s="638">
        <f t="shared" si="51"/>
        <v>1938729.6575000002</v>
      </c>
      <c r="AZ21" s="638">
        <f t="shared" si="51"/>
        <v>1938729.6575000002</v>
      </c>
      <c r="BA21" s="638">
        <f t="shared" si="51"/>
        <v>1938729.6575000002</v>
      </c>
      <c r="BB21" s="638">
        <f t="shared" si="51"/>
        <v>1938729.6575000002</v>
      </c>
      <c r="BC21" s="638">
        <f t="shared" si="51"/>
        <v>1938729.6575000002</v>
      </c>
      <c r="BD21" s="638">
        <f t="shared" si="51"/>
        <v>1938729.6575000002</v>
      </c>
      <c r="BE21" s="638">
        <f t="shared" si="51"/>
        <v>1938729.6575000002</v>
      </c>
      <c r="BF21" s="638">
        <f t="shared" si="51"/>
        <v>1938729.6575000002</v>
      </c>
      <c r="BG21" s="638">
        <f t="shared" si="51"/>
        <v>1938729.6575000002</v>
      </c>
      <c r="BH21" s="638">
        <f t="shared" si="51"/>
        <v>1938729.6575000002</v>
      </c>
      <c r="BI21" s="638">
        <f t="shared" si="51"/>
        <v>1938729.6575000002</v>
      </c>
      <c r="BJ21" s="638">
        <f t="shared" si="51"/>
        <v>1938729.6575000002</v>
      </c>
      <c r="BK21" s="638">
        <f t="shared" si="51"/>
        <v>1938729.6575000002</v>
      </c>
      <c r="BL21" s="638">
        <f t="shared" si="51"/>
        <v>1938729.6575000002</v>
      </c>
      <c r="BM21" s="638">
        <f t="shared" si="51"/>
        <v>1938729.6575000002</v>
      </c>
      <c r="BN21" s="638">
        <f t="shared" si="51"/>
        <v>1938729.6575000002</v>
      </c>
      <c r="BO21" s="638">
        <f t="shared" si="51"/>
        <v>1938729.6575000002</v>
      </c>
      <c r="BP21" s="638">
        <f t="shared" si="51"/>
        <v>1938729.6575000002</v>
      </c>
      <c r="BQ21" s="638">
        <f t="shared" si="51"/>
        <v>1938729.6575000002</v>
      </c>
      <c r="BR21" s="638">
        <f t="shared" si="51"/>
        <v>1938729.6575000002</v>
      </c>
      <c r="BS21" s="638">
        <f t="shared" si="51"/>
        <v>1938729.6575000002</v>
      </c>
      <c r="BT21" s="638">
        <f t="shared" si="51"/>
        <v>1938729.6575000002</v>
      </c>
      <c r="BU21" s="638">
        <f t="shared" ref="BU21:CJ21" si="52">BU20+BT21</f>
        <v>1938729.6575000002</v>
      </c>
      <c r="BV21" s="638">
        <f t="shared" si="52"/>
        <v>1938729.6575000002</v>
      </c>
      <c r="BW21" s="638">
        <f t="shared" si="52"/>
        <v>1938729.6575000002</v>
      </c>
      <c r="BX21" s="638">
        <f t="shared" si="52"/>
        <v>1938729.6575000002</v>
      </c>
      <c r="BY21" s="638">
        <f t="shared" si="52"/>
        <v>1938729.6575000002</v>
      </c>
      <c r="BZ21" s="638">
        <f t="shared" si="52"/>
        <v>1938729.6575000002</v>
      </c>
      <c r="CA21" s="638">
        <f t="shared" si="52"/>
        <v>1938729.6575000002</v>
      </c>
      <c r="CB21" s="638">
        <f t="shared" si="52"/>
        <v>1938729.6575000002</v>
      </c>
      <c r="CC21" s="638">
        <f t="shared" si="52"/>
        <v>1938729.6575000002</v>
      </c>
      <c r="CD21" s="638">
        <f t="shared" si="52"/>
        <v>1938729.6575000002</v>
      </c>
      <c r="CE21" s="638">
        <f t="shared" si="52"/>
        <v>1938729.6575000002</v>
      </c>
      <c r="CF21" s="638">
        <f t="shared" si="52"/>
        <v>1938729.6575000002</v>
      </c>
      <c r="CG21" s="638">
        <f t="shared" si="52"/>
        <v>1938729.6575000002</v>
      </c>
      <c r="CH21" s="638">
        <f t="shared" si="52"/>
        <v>1938729.6575000002</v>
      </c>
      <c r="CI21" s="638">
        <f t="shared" si="52"/>
        <v>1938729.6575000002</v>
      </c>
      <c r="CJ21" s="638">
        <f t="shared" si="52"/>
        <v>1938729.6575000002</v>
      </c>
      <c r="CK21" s="638">
        <f t="shared" ref="CK21" si="53">CK20+CJ21</f>
        <v>1938729.6575000002</v>
      </c>
      <c r="CL21" s="638">
        <f t="shared" ref="CL21" si="54">CL20+CK21</f>
        <v>1938729.6575000002</v>
      </c>
      <c r="CM21" s="638">
        <f t="shared" ref="CM21" si="55">CM20+CL21</f>
        <v>1938729.6575000002</v>
      </c>
      <c r="CN21" s="638">
        <f t="shared" ref="CN21" si="56">CN20+CM21</f>
        <v>1938729.6575000002</v>
      </c>
      <c r="CO21" s="638">
        <f t="shared" ref="CO21" si="57">CO20+CN21</f>
        <v>1938729.6575000002</v>
      </c>
      <c r="CP21" s="638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22" priority="1" operator="greaterThan">
      <formula>0.1</formula>
    </cfRule>
  </conditionalFormatting>
  <conditionalFormatting sqref="D3">
    <cfRule type="cellIs" dxfId="21" priority="10" operator="notEqual">
      <formula>$C$3</formula>
    </cfRule>
  </conditionalFormatting>
  <conditionalFormatting sqref="D5">
    <cfRule type="cellIs" dxfId="20" priority="8" operator="notEqual">
      <formula>$C$5</formula>
    </cfRule>
  </conditionalFormatting>
  <conditionalFormatting sqref="D9">
    <cfRule type="cellIs" dxfId="19" priority="9" operator="notEqual">
      <formula>$C$9</formula>
    </cfRule>
  </conditionalFormatting>
  <conditionalFormatting sqref="D11">
    <cfRule type="cellIs" dxfId="18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13"/>
  <sheetViews>
    <sheetView tabSelected="1" topLeftCell="O1" zoomScale="70" zoomScaleNormal="70" workbookViewId="0">
      <pane ySplit="4" topLeftCell="A114" activePane="bottomLeft" state="frozen"/>
      <selection activeCell="Q24" sqref="Q24"/>
      <selection pane="bottomLeft" activeCell="W144" sqref="W144"/>
    </sheetView>
  </sheetViews>
  <sheetFormatPr defaultColWidth="9.33203125" defaultRowHeight="13.8"/>
  <cols>
    <col min="1" max="1" width="2.33203125" style="114" hidden="1" customWidth="1"/>
    <col min="2" max="2" width="6.33203125" style="24" hidden="1" customWidth="1"/>
    <col min="3" max="3" width="20.33203125" style="24" hidden="1" customWidth="1"/>
    <col min="4" max="4" width="29.33203125" style="24" hidden="1" customWidth="1"/>
    <col min="5" max="5" width="8.33203125" style="70" hidden="1" customWidth="1"/>
    <col min="6" max="6" width="14.33203125" style="64" hidden="1" customWidth="1"/>
    <col min="7" max="7" width="16.33203125" style="24" hidden="1" customWidth="1"/>
    <col min="8" max="8" width="14" style="24" hidden="1" customWidth="1"/>
    <col min="9" max="9" width="2.33203125" style="114" hidden="1" customWidth="1"/>
    <col min="10" max="10" width="17.33203125" style="455" hidden="1" customWidth="1"/>
    <col min="11" max="11" width="17.33203125" style="455" customWidth="1"/>
    <col min="12" max="12" width="5.6640625" style="114" customWidth="1"/>
    <col min="13" max="13" width="5.6640625" style="24" customWidth="1"/>
    <col min="14" max="14" width="21.6640625" style="24" bestFit="1" customWidth="1"/>
    <col min="15" max="15" width="81.6640625" style="24" bestFit="1" customWidth="1"/>
    <col min="16" max="16" width="16.33203125" style="70" bestFit="1" customWidth="1"/>
    <col min="17" max="17" width="19.6640625" style="64" customWidth="1"/>
    <col min="18" max="18" width="16.6640625" style="456" bestFit="1" customWidth="1"/>
    <col min="19" max="19" width="38.6640625" style="462" bestFit="1" customWidth="1"/>
    <col min="20" max="20" width="16.6640625" style="65" customWidth="1"/>
    <col min="21" max="21" width="17.33203125" style="65" customWidth="1"/>
    <col min="22" max="22" width="18.6640625" style="65" customWidth="1"/>
    <col min="23" max="23" width="21.6640625" style="471" customWidth="1"/>
    <col min="24" max="24" width="21.6640625" style="24" bestFit="1" customWidth="1"/>
    <col min="25" max="25" width="39.6640625" style="65" bestFit="1" customWidth="1"/>
    <col min="26" max="26" width="34.33203125" style="114" customWidth="1"/>
    <col min="27" max="27" width="29.33203125" style="114" bestFit="1" customWidth="1"/>
    <col min="28" max="28" width="19.6640625" style="114" customWidth="1"/>
    <col min="29" max="29" width="2.33203125" style="114" customWidth="1"/>
    <col min="30" max="30" width="10.33203125" style="114" customWidth="1"/>
    <col min="31" max="31" width="39.33203125" style="114" bestFit="1" customWidth="1"/>
    <col min="32" max="32" width="24" style="114" customWidth="1"/>
    <col min="33" max="33" width="13.6640625" style="114" bestFit="1" customWidth="1"/>
    <col min="34" max="34" width="9.33203125" style="114"/>
    <col min="35" max="35" width="15.6640625" style="114" bestFit="1" customWidth="1"/>
    <col min="36" max="43" width="9.33203125" style="114"/>
    <col min="44" max="16384" width="9.3320312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934" t="s">
        <v>229</v>
      </c>
      <c r="C2" s="934"/>
      <c r="D2" s="934"/>
      <c r="E2" s="934"/>
      <c r="F2" s="934"/>
      <c r="G2" s="934"/>
      <c r="H2" s="934"/>
      <c r="J2" s="304">
        <f>SUM(J6:J151)</f>
        <v>10556110.224391304</v>
      </c>
      <c r="K2" s="304">
        <f>SUM(K6:K151)</f>
        <v>11729547.531036533</v>
      </c>
      <c r="M2" s="935" t="s">
        <v>230</v>
      </c>
      <c r="N2" s="935"/>
      <c r="O2" s="935"/>
      <c r="P2" s="935"/>
      <c r="Q2" s="935"/>
      <c r="R2" s="935"/>
      <c r="S2" s="931" t="s">
        <v>231</v>
      </c>
      <c r="T2" s="931"/>
      <c r="U2" s="931"/>
      <c r="V2" s="931"/>
      <c r="W2" s="931"/>
      <c r="X2" s="472">
        <f>SUM(X6:X151)</f>
        <v>11987342.5275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" thickBot="1">
      <c r="A4" s="167"/>
      <c r="B4" s="305" t="s">
        <v>232</v>
      </c>
      <c r="C4" s="306" t="s">
        <v>233</v>
      </c>
      <c r="D4" s="306" t="s">
        <v>234</v>
      </c>
      <c r="E4" s="306" t="s">
        <v>235</v>
      </c>
      <c r="F4" s="306" t="s">
        <v>236</v>
      </c>
      <c r="G4" s="307" t="s">
        <v>237</v>
      </c>
      <c r="H4" s="308" t="s">
        <v>238</v>
      </c>
      <c r="I4" s="309"/>
      <c r="J4" s="310" t="s">
        <v>239</v>
      </c>
      <c r="K4" s="310" t="str">
        <f>IF(K2-'Revenue Tracking'!D4&gt;=0, "Total Revenue", "ERROR on REV" )</f>
        <v>Total Revenue</v>
      </c>
      <c r="L4" s="167"/>
      <c r="M4" s="305" t="s">
        <v>232</v>
      </c>
      <c r="N4" s="306" t="s">
        <v>240</v>
      </c>
      <c r="O4" s="306" t="s">
        <v>234</v>
      </c>
      <c r="P4" s="306" t="s">
        <v>235</v>
      </c>
      <c r="Q4" s="306" t="s">
        <v>236</v>
      </c>
      <c r="R4" s="549" t="s">
        <v>241</v>
      </c>
      <c r="S4" s="113" t="s">
        <v>77</v>
      </c>
      <c r="T4" s="522" t="s">
        <v>78</v>
      </c>
      <c r="U4" s="523" t="s">
        <v>242</v>
      </c>
      <c r="V4" s="524" t="s">
        <v>216</v>
      </c>
      <c r="W4" s="522" t="s">
        <v>243</v>
      </c>
      <c r="X4" s="473" t="s">
        <v>239</v>
      </c>
      <c r="Y4" s="113" t="s">
        <v>244</v>
      </c>
      <c r="Z4" s="113" t="s">
        <v>245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246</v>
      </c>
      <c r="D6" s="345" t="s">
        <v>247</v>
      </c>
      <c r="E6" s="346">
        <v>728</v>
      </c>
      <c r="F6" s="572">
        <v>1425.27</v>
      </c>
      <c r="G6" s="401">
        <f>E6*F6</f>
        <v>1037596.5599999999</v>
      </c>
      <c r="H6" s="348">
        <f>'Project Plan'!I40+60</f>
        <v>45768</v>
      </c>
      <c r="I6" s="349"/>
      <c r="J6" s="921">
        <f>SUM(G6:G11)</f>
        <v>1077596.56</v>
      </c>
      <c r="K6" s="921">
        <v>1171300.60869565</v>
      </c>
      <c r="L6" s="573"/>
      <c r="M6" s="344">
        <v>1</v>
      </c>
      <c r="N6" s="654" t="s">
        <v>248</v>
      </c>
      <c r="O6" s="345" t="s">
        <v>249</v>
      </c>
      <c r="P6" s="720">
        <f>400000/585</f>
        <v>683.76068376068372</v>
      </c>
      <c r="Q6" s="572">
        <v>1327.95</v>
      </c>
      <c r="R6" s="401">
        <v>908317.8</v>
      </c>
      <c r="S6" s="541" t="s">
        <v>250</v>
      </c>
      <c r="T6" s="733">
        <v>45657</v>
      </c>
      <c r="U6" s="739">
        <v>1146065.7029619529</v>
      </c>
      <c r="V6" s="923">
        <f>K6-SUM(U6:U11)</f>
        <v>-4.2663027998059988E-3</v>
      </c>
      <c r="W6" s="733">
        <v>45708</v>
      </c>
      <c r="X6" s="922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5"/>
      <c r="D7" s="575"/>
      <c r="E7" s="576"/>
      <c r="F7" s="706"/>
      <c r="G7" s="401"/>
      <c r="H7" s="353"/>
      <c r="I7" s="354"/>
      <c r="J7" s="921"/>
      <c r="K7" s="921"/>
      <c r="L7" s="355"/>
      <c r="M7" s="397">
        <v>1</v>
      </c>
      <c r="N7" s="399" t="s">
        <v>248</v>
      </c>
      <c r="O7" s="575"/>
      <c r="P7" s="576"/>
      <c r="Q7" s="719"/>
      <c r="R7" s="401"/>
      <c r="S7" s="537"/>
      <c r="T7" s="762">
        <v>45688</v>
      </c>
      <c r="U7" s="732">
        <v>25234.91</v>
      </c>
      <c r="V7" s="923"/>
      <c r="W7" s="467"/>
      <c r="X7" s="922"/>
      <c r="Y7" s="208"/>
      <c r="Z7" s="199"/>
      <c r="AA7" s="170" t="s">
        <v>251</v>
      </c>
      <c r="AB7" s="171" t="s">
        <v>252</v>
      </c>
      <c r="AC7" s="24"/>
      <c r="AD7" s="24"/>
    </row>
    <row r="8" spans="1:43" ht="15" customHeight="1" thickBot="1">
      <c r="B8" s="397">
        <v>1</v>
      </c>
      <c r="C8" s="575"/>
      <c r="D8" s="399" t="s">
        <v>253</v>
      </c>
      <c r="E8" s="645"/>
      <c r="F8" s="535"/>
      <c r="G8" s="578">
        <v>40000</v>
      </c>
      <c r="H8" s="353">
        <f>H6</f>
        <v>45768</v>
      </c>
      <c r="I8" s="354"/>
      <c r="J8" s="921"/>
      <c r="K8" s="921"/>
      <c r="L8" s="355"/>
      <c r="M8" s="397">
        <v>1</v>
      </c>
      <c r="N8" s="399" t="s">
        <v>248</v>
      </c>
      <c r="O8" s="399" t="s">
        <v>253</v>
      </c>
      <c r="P8" s="645"/>
      <c r="Q8" s="535"/>
      <c r="R8" s="578"/>
      <c r="S8" s="460"/>
      <c r="T8" s="508"/>
      <c r="U8" s="514">
        <f t="shared" ref="U8:U11" si="0">(R8/$X$6*$K$6)</f>
        <v>0</v>
      </c>
      <c r="V8" s="923"/>
      <c r="W8" s="467"/>
      <c r="X8" s="922"/>
      <c r="Y8" s="208"/>
      <c r="Z8" s="199"/>
      <c r="AA8" s="172" t="s">
        <v>254</v>
      </c>
      <c r="AB8" s="173">
        <f>C45+G60+G61</f>
        <v>1142809.6826086957</v>
      </c>
      <c r="AD8" s="639"/>
      <c r="AG8" s="639"/>
    </row>
    <row r="9" spans="1:43" ht="15" customHeight="1" thickBot="1">
      <c r="B9" s="397">
        <v>1</v>
      </c>
      <c r="C9" s="575"/>
      <c r="D9" s="577"/>
      <c r="E9" s="576"/>
      <c r="F9" s="535"/>
      <c r="G9" s="401"/>
      <c r="H9" s="353"/>
      <c r="I9" s="354"/>
      <c r="J9" s="921"/>
      <c r="K9" s="921"/>
      <c r="L9" s="355"/>
      <c r="M9" s="397">
        <v>1</v>
      </c>
      <c r="N9" s="399" t="s">
        <v>248</v>
      </c>
      <c r="O9" s="577"/>
      <c r="P9" s="576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923"/>
      <c r="W9" s="467"/>
      <c r="X9" s="922"/>
      <c r="Y9" s="208"/>
      <c r="Z9" s="199"/>
      <c r="AA9" s="172" t="s">
        <v>255</v>
      </c>
      <c r="AB9" s="632">
        <f>SUM(G24:G33)</f>
        <v>202684.79999999999</v>
      </c>
      <c r="AG9" s="639"/>
    </row>
    <row r="10" spans="1:43" ht="15" customHeight="1" thickBot="1">
      <c r="B10" s="397">
        <v>1</v>
      </c>
      <c r="C10" s="575"/>
      <c r="D10" s="577"/>
      <c r="E10" s="576"/>
      <c r="F10" s="535"/>
      <c r="G10" s="401"/>
      <c r="H10" s="353"/>
      <c r="I10" s="354"/>
      <c r="J10" s="921"/>
      <c r="K10" s="921"/>
      <c r="L10" s="355"/>
      <c r="M10" s="397">
        <v>1</v>
      </c>
      <c r="N10" s="399" t="s">
        <v>248</v>
      </c>
      <c r="O10" s="577"/>
      <c r="P10" s="576"/>
      <c r="Q10" s="535"/>
      <c r="R10" s="401"/>
      <c r="S10" s="460"/>
      <c r="T10" s="508" t="str">
        <f t="shared" si="1"/>
        <v/>
      </c>
      <c r="U10" s="514">
        <f t="shared" si="0"/>
        <v>0</v>
      </c>
      <c r="V10" s="923"/>
      <c r="W10" s="467"/>
      <c r="X10" s="922"/>
      <c r="Y10" s="208"/>
      <c r="Z10" s="199"/>
      <c r="AA10" s="172" t="s">
        <v>256</v>
      </c>
      <c r="AB10" s="173">
        <f>C79+G59</f>
        <v>446100</v>
      </c>
      <c r="AD10" s="639">
        <f>AB10/140000</f>
        <v>3.1864285714285714</v>
      </c>
      <c r="AG10" s="639"/>
    </row>
    <row r="11" spans="1:43" ht="15" customHeight="1" thickBot="1">
      <c r="B11" s="403">
        <v>1</v>
      </c>
      <c r="C11" s="656"/>
      <c r="D11" s="579"/>
      <c r="E11" s="580"/>
      <c r="F11" s="495"/>
      <c r="G11" s="424"/>
      <c r="H11" s="356"/>
      <c r="I11" s="357"/>
      <c r="J11" s="921"/>
      <c r="K11" s="921"/>
      <c r="L11" s="358"/>
      <c r="M11" s="403">
        <v>1</v>
      </c>
      <c r="N11" s="656" t="s">
        <v>248</v>
      </c>
      <c r="O11" s="579"/>
      <c r="P11" s="580"/>
      <c r="Q11" s="495"/>
      <c r="R11" s="424"/>
      <c r="S11" s="529"/>
      <c r="T11" s="511" t="str">
        <f t="shared" si="1"/>
        <v/>
      </c>
      <c r="U11" s="515">
        <f t="shared" si="0"/>
        <v>0</v>
      </c>
      <c r="V11" s="923"/>
      <c r="W11" s="468"/>
      <c r="X11" s="922"/>
      <c r="Y11" s="214"/>
      <c r="Z11" s="200"/>
      <c r="AA11" s="172" t="s">
        <v>257</v>
      </c>
      <c r="AB11" s="173">
        <f>C80</f>
        <v>242059.99999999997</v>
      </c>
      <c r="AD11" s="639">
        <f>AB11/140000</f>
        <v>1.7289999999999999</v>
      </c>
      <c r="AG11" s="639"/>
    </row>
    <row r="12" spans="1:43" ht="14.4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7"/>
      <c r="O12" s="598"/>
      <c r="P12" s="599"/>
      <c r="Q12" s="600"/>
      <c r="R12" s="600"/>
      <c r="S12" s="536"/>
      <c r="T12" s="526" t="str">
        <f t="shared" si="1"/>
        <v/>
      </c>
      <c r="U12" s="505"/>
      <c r="V12" s="634"/>
      <c r="W12" s="466"/>
      <c r="X12" s="475"/>
      <c r="Y12" s="212"/>
      <c r="Z12" s="197"/>
      <c r="AA12" s="172" t="s">
        <v>258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259</v>
      </c>
      <c r="D13" s="407" t="s">
        <v>260</v>
      </c>
      <c r="E13" s="496">
        <v>3</v>
      </c>
      <c r="F13" s="581">
        <v>70000</v>
      </c>
      <c r="G13" s="368">
        <f>E13*F13</f>
        <v>210000</v>
      </c>
      <c r="H13" s="369">
        <f>'Project Plan'!E25+30</f>
        <v>45742</v>
      </c>
      <c r="I13" s="370"/>
      <c r="J13" s="920">
        <f>SUM(G13:G16)</f>
        <v>210000</v>
      </c>
      <c r="K13" s="920">
        <v>228260.869565217</v>
      </c>
      <c r="L13" s="371"/>
      <c r="M13" s="364">
        <v>2</v>
      </c>
      <c r="N13" s="657" t="s">
        <v>261</v>
      </c>
      <c r="O13" s="407" t="s">
        <v>260</v>
      </c>
      <c r="P13" s="496">
        <v>3</v>
      </c>
      <c r="Q13" s="581">
        <v>68870</v>
      </c>
      <c r="R13" s="368">
        <v>206611.05</v>
      </c>
      <c r="S13" s="582" t="s">
        <v>250</v>
      </c>
      <c r="T13" s="734">
        <v>45657</v>
      </c>
      <c r="U13" s="740">
        <v>179134.84977088645</v>
      </c>
      <c r="V13" s="932">
        <f>K13-SUM(U13:U16)</f>
        <v>-4.3873753165826201E-3</v>
      </c>
      <c r="W13" s="770">
        <f>W23</f>
        <v>45708</v>
      </c>
      <c r="X13" s="927">
        <f>SUM(R13:R16)</f>
        <v>180931.83</v>
      </c>
      <c r="Y13" s="771"/>
      <c r="Z13" s="201"/>
      <c r="AA13" s="172" t="s">
        <v>262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3"/>
      <c r="F14" s="584"/>
      <c r="G14" s="410"/>
      <c r="H14" s="378"/>
      <c r="I14" s="379"/>
      <c r="J14" s="920"/>
      <c r="K14" s="920"/>
      <c r="L14" s="380"/>
      <c r="M14" s="408">
        <v>2</v>
      </c>
      <c r="N14" s="658" t="s">
        <v>261</v>
      </c>
      <c r="O14" s="409" t="s">
        <v>263</v>
      </c>
      <c r="P14" s="583">
        <v>1</v>
      </c>
      <c r="Q14" s="584">
        <v>43190.78</v>
      </c>
      <c r="R14" s="410">
        <f>Q14*P14</f>
        <v>43190.78</v>
      </c>
      <c r="S14" s="582" t="s">
        <v>264</v>
      </c>
      <c r="T14" s="734">
        <v>45747</v>
      </c>
      <c r="U14" s="742">
        <v>49126.024181705885</v>
      </c>
      <c r="V14" s="932"/>
      <c r="W14" s="753">
        <v>45785</v>
      </c>
      <c r="X14" s="927"/>
      <c r="Y14" s="209" t="s">
        <v>265</v>
      </c>
      <c r="Z14" s="194"/>
      <c r="AA14" s="172" t="s">
        <v>266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3"/>
      <c r="F15" s="584"/>
      <c r="G15" s="410"/>
      <c r="H15" s="378"/>
      <c r="I15" s="379"/>
      <c r="J15" s="920"/>
      <c r="K15" s="920"/>
      <c r="L15" s="380"/>
      <c r="M15" s="408">
        <v>2</v>
      </c>
      <c r="N15" s="658" t="s">
        <v>261</v>
      </c>
      <c r="O15" s="409" t="s">
        <v>267</v>
      </c>
      <c r="P15" s="583">
        <v>1</v>
      </c>
      <c r="Q15" s="584">
        <v>-68870</v>
      </c>
      <c r="R15" s="410">
        <f>P15*Q15</f>
        <v>-68870</v>
      </c>
      <c r="S15" s="539" t="s">
        <v>268</v>
      </c>
      <c r="T15" s="833">
        <v>46053</v>
      </c>
      <c r="U15" s="517">
        <v>0</v>
      </c>
      <c r="V15" s="932"/>
      <c r="W15" s="858">
        <v>46053</v>
      </c>
      <c r="X15" s="927"/>
      <c r="Y15" s="209"/>
      <c r="Z15" s="194"/>
      <c r="AA15" s="172" t="s">
        <v>269</v>
      </c>
      <c r="AB15" s="173">
        <f>G87</f>
        <v>0</v>
      </c>
    </row>
    <row r="16" spans="1:43" ht="15" customHeight="1" thickBot="1">
      <c r="B16" s="585">
        <v>2</v>
      </c>
      <c r="C16" s="586"/>
      <c r="D16" s="586"/>
      <c r="E16" s="587"/>
      <c r="F16" s="588"/>
      <c r="G16" s="589"/>
      <c r="H16" s="387"/>
      <c r="I16" s="388"/>
      <c r="J16" s="920"/>
      <c r="K16" s="920"/>
      <c r="L16" s="389"/>
      <c r="M16" s="585">
        <v>2</v>
      </c>
      <c r="N16" s="659" t="s">
        <v>261</v>
      </c>
      <c r="O16" s="586"/>
      <c r="P16" s="587"/>
      <c r="Q16" s="588"/>
      <c r="R16" s="589"/>
      <c r="S16" s="538"/>
      <c r="T16" s="510"/>
      <c r="U16" s="518">
        <f t="shared" ref="U16" si="2">(R16/$X$13*$K$13)</f>
        <v>0</v>
      </c>
      <c r="V16" s="932"/>
      <c r="W16" s="469"/>
      <c r="X16" s="927"/>
      <c r="Y16" s="216"/>
      <c r="Z16" s="202"/>
      <c r="AA16" s="172" t="s">
        <v>270</v>
      </c>
      <c r="AB16" s="174">
        <v>0</v>
      </c>
    </row>
    <row r="17" spans="1:43" ht="14.4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4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271</v>
      </c>
      <c r="D18" s="418" t="s">
        <v>272</v>
      </c>
      <c r="E18" s="346"/>
      <c r="F18" s="677"/>
      <c r="G18" s="347">
        <v>180180</v>
      </c>
      <c r="H18" s="348">
        <f>'Project Plan'!E21+30</f>
        <v>45721</v>
      </c>
      <c r="I18" s="349"/>
      <c r="J18" s="921">
        <f>SUM(G18:G21)</f>
        <v>180180</v>
      </c>
      <c r="K18" s="921">
        <v>195847.82608695701</v>
      </c>
      <c r="L18" s="350"/>
      <c r="M18" s="344">
        <v>3</v>
      </c>
      <c r="N18" s="660" t="s">
        <v>273</v>
      </c>
      <c r="O18" s="418" t="s">
        <v>274</v>
      </c>
      <c r="P18" s="346"/>
      <c r="Q18" s="677"/>
      <c r="R18" s="347">
        <f>80274.7</f>
        <v>80274.7</v>
      </c>
      <c r="S18" s="528" t="s">
        <v>275</v>
      </c>
      <c r="T18" s="717">
        <v>45716</v>
      </c>
      <c r="U18" s="739">
        <v>186596.42114662621</v>
      </c>
      <c r="V18" s="923">
        <f>K18-SUM(U18:U21)</f>
        <v>0</v>
      </c>
      <c r="W18" s="774">
        <v>45744</v>
      </c>
      <c r="X18" s="922">
        <f>SUM(R18:R21)</f>
        <v>86550.7</v>
      </c>
      <c r="Y18" s="213" t="s">
        <v>276</v>
      </c>
      <c r="Z18" s="198"/>
      <c r="AA18" s="172" t="s">
        <v>277</v>
      </c>
      <c r="AB18" s="175">
        <f>+AB17*0.85</f>
        <v>1774598.8185507245</v>
      </c>
      <c r="AD18" s="176" t="s">
        <v>278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921"/>
      <c r="K19" s="921"/>
      <c r="L19" s="355"/>
      <c r="M19" s="397">
        <v>3</v>
      </c>
      <c r="N19" s="661" t="s">
        <v>273</v>
      </c>
      <c r="O19" s="420" t="s">
        <v>279</v>
      </c>
      <c r="P19" s="402"/>
      <c r="Q19" s="421"/>
      <c r="R19" s="401">
        <v>3980</v>
      </c>
      <c r="S19" s="537" t="s">
        <v>275</v>
      </c>
      <c r="T19" s="759">
        <f>T18</f>
        <v>45716</v>
      </c>
      <c r="U19" s="732">
        <v>9251.4049403307945</v>
      </c>
      <c r="V19" s="923"/>
      <c r="W19" s="718">
        <f>W18</f>
        <v>45744</v>
      </c>
      <c r="X19" s="922"/>
      <c r="Y19" s="208" t="s">
        <v>276</v>
      </c>
      <c r="Z19" s="199"/>
      <c r="AA19" s="178" t="s">
        <v>280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921"/>
      <c r="K20" s="921"/>
      <c r="L20" s="355"/>
      <c r="M20" s="397">
        <v>3</v>
      </c>
      <c r="N20" s="661" t="s">
        <v>273</v>
      </c>
      <c r="O20" s="420" t="s">
        <v>281</v>
      </c>
      <c r="P20" s="400">
        <v>100</v>
      </c>
      <c r="Q20" s="706">
        <v>11.48</v>
      </c>
      <c r="R20" s="401">
        <f>Q20*P20</f>
        <v>1148</v>
      </c>
      <c r="S20" s="537" t="s">
        <v>282</v>
      </c>
      <c r="T20" s="759">
        <v>45747</v>
      </c>
      <c r="U20" s="732">
        <v>0</v>
      </c>
      <c r="V20" s="923"/>
      <c r="W20" s="718">
        <v>45747</v>
      </c>
      <c r="X20" s="922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921"/>
      <c r="K21" s="921"/>
      <c r="L21" s="358"/>
      <c r="M21" s="403">
        <v>3</v>
      </c>
      <c r="N21" s="662" t="s">
        <v>273</v>
      </c>
      <c r="O21" s="422" t="s">
        <v>283</v>
      </c>
      <c r="P21" s="400">
        <v>100</v>
      </c>
      <c r="Q21" s="706">
        <v>11.48</v>
      </c>
      <c r="R21" s="401">
        <f>Q21*P21</f>
        <v>1148</v>
      </c>
      <c r="S21" s="748" t="s">
        <v>284</v>
      </c>
      <c r="T21" s="747">
        <v>45747</v>
      </c>
      <c r="U21" s="515"/>
      <c r="V21" s="923"/>
      <c r="W21" s="781">
        <f>T21+30</f>
        <v>45777</v>
      </c>
      <c r="X21" s="922"/>
      <c r="Y21" s="214" t="s">
        <v>285</v>
      </c>
      <c r="Z21" s="200"/>
      <c r="AA21" s="179" t="s">
        <v>60</v>
      </c>
      <c r="AB21" s="180" t="s">
        <v>286</v>
      </c>
      <c r="AP21" s="24"/>
      <c r="AQ21" s="24"/>
    </row>
    <row r="22" spans="1:43" ht="14.4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4"/>
      <c r="W22" s="466"/>
      <c r="X22" s="475"/>
      <c r="Y22" s="212"/>
      <c r="Z22" s="197"/>
      <c r="AA22" s="181" t="s">
        <v>254</v>
      </c>
      <c r="AB22" s="182">
        <v>1142809.6826086957</v>
      </c>
      <c r="AD22" s="639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255</v>
      </c>
      <c r="D23" s="365" t="s">
        <v>287</v>
      </c>
      <c r="E23" s="496">
        <v>10120</v>
      </c>
      <c r="F23" s="581">
        <v>14</v>
      </c>
      <c r="G23" s="368">
        <f>E23*F23</f>
        <v>141680</v>
      </c>
      <c r="H23" s="369">
        <f>'Project Plan'!E36+30</f>
        <v>45721</v>
      </c>
      <c r="I23" s="370"/>
      <c r="J23" s="920">
        <f>SUM(G23:G33)</f>
        <v>344364.79999999993</v>
      </c>
      <c r="K23" s="920">
        <v>374309.56521739101</v>
      </c>
      <c r="L23" s="371"/>
      <c r="M23" s="364">
        <v>4</v>
      </c>
      <c r="N23" s="663" t="s">
        <v>288</v>
      </c>
      <c r="O23" s="365" t="s">
        <v>287</v>
      </c>
      <c r="P23" s="496">
        <v>12000</v>
      </c>
      <c r="Q23" s="581">
        <v>13.3</v>
      </c>
      <c r="R23" s="368">
        <f>P23*Q23</f>
        <v>159600</v>
      </c>
      <c r="S23" s="539" t="s">
        <v>250</v>
      </c>
      <c r="T23" s="734">
        <v>45657</v>
      </c>
      <c r="U23" s="740">
        <v>187862.44490114271</v>
      </c>
      <c r="V23" s="933">
        <f>K23-SUM(U23:U33)</f>
        <v>-1.9967228872701526E-3</v>
      </c>
      <c r="W23" s="768">
        <f>W6</f>
        <v>45708</v>
      </c>
      <c r="X23" s="927">
        <f>SUM(R23:R33)</f>
        <v>362150</v>
      </c>
      <c r="Y23" s="215"/>
      <c r="Z23" s="201"/>
      <c r="AA23" s="181" t="s">
        <v>255</v>
      </c>
      <c r="AB23" s="182">
        <v>202684.79999999999</v>
      </c>
      <c r="AD23" s="639"/>
      <c r="AP23" s="24"/>
      <c r="AQ23" s="24"/>
    </row>
    <row r="24" spans="1:43" ht="14.25" customHeight="1" thickBot="1">
      <c r="B24" s="408">
        <v>4</v>
      </c>
      <c r="C24" s="619"/>
      <c r="D24" s="619" t="s">
        <v>289</v>
      </c>
      <c r="E24" s="583"/>
      <c r="F24" s="678">
        <v>0.1</v>
      </c>
      <c r="G24" s="377">
        <f>C26*F24</f>
        <v>20268.48</v>
      </c>
      <c r="H24" s="378">
        <f>H43</f>
        <v>45684</v>
      </c>
      <c r="I24" s="379"/>
      <c r="J24" s="920"/>
      <c r="K24" s="920"/>
      <c r="L24" s="380"/>
      <c r="M24" s="372">
        <v>4</v>
      </c>
      <c r="N24" s="664" t="s">
        <v>288</v>
      </c>
      <c r="O24" s="619" t="s">
        <v>290</v>
      </c>
      <c r="P24" s="583"/>
      <c r="Q24" s="584"/>
      <c r="R24" s="377">
        <v>55100</v>
      </c>
      <c r="S24" s="539" t="s">
        <v>291</v>
      </c>
      <c r="T24" s="734">
        <v>45747</v>
      </c>
      <c r="U24" s="763">
        <v>13110.75015871392</v>
      </c>
      <c r="V24" s="933"/>
      <c r="W24" s="753">
        <v>45799</v>
      </c>
      <c r="X24" s="927"/>
      <c r="Y24" s="620" t="s">
        <v>292</v>
      </c>
      <c r="Z24" s="621"/>
      <c r="AA24" s="181" t="s">
        <v>256</v>
      </c>
      <c r="AB24" s="182">
        <v>100100</v>
      </c>
      <c r="AD24" s="639">
        <f>AB24/140000</f>
        <v>0.71499999999999997</v>
      </c>
      <c r="AP24" s="24"/>
      <c r="AQ24" s="24"/>
    </row>
    <row r="25" spans="1:43" ht="14.25" customHeight="1" thickBot="1">
      <c r="B25" s="408"/>
      <c r="C25" s="619"/>
      <c r="D25" s="619"/>
      <c r="E25" s="583"/>
      <c r="F25" s="678"/>
      <c r="G25" s="377"/>
      <c r="H25" s="378"/>
      <c r="I25" s="379"/>
      <c r="J25" s="920"/>
      <c r="K25" s="920"/>
      <c r="L25" s="380"/>
      <c r="M25" s="372">
        <v>4</v>
      </c>
      <c r="N25" s="664" t="s">
        <v>288</v>
      </c>
      <c r="O25" s="619" t="s">
        <v>293</v>
      </c>
      <c r="P25" s="583">
        <v>4000</v>
      </c>
      <c r="Q25" s="584">
        <v>13.3</v>
      </c>
      <c r="R25" s="377">
        <f>P25*Q25</f>
        <v>53200</v>
      </c>
      <c r="S25" s="539" t="s">
        <v>294</v>
      </c>
      <c r="T25" s="734">
        <v>45716</v>
      </c>
      <c r="U25" s="763">
        <v>72136.625518857516</v>
      </c>
      <c r="V25" s="933"/>
      <c r="W25" s="753">
        <v>45771</v>
      </c>
      <c r="X25" s="927"/>
      <c r="Y25" s="743"/>
      <c r="Z25" s="621"/>
      <c r="AA25" s="181" t="s">
        <v>257</v>
      </c>
      <c r="AB25" s="182">
        <v>242059.99999999997</v>
      </c>
      <c r="AD25" s="639"/>
      <c r="AP25" s="24"/>
      <c r="AQ25" s="24"/>
    </row>
    <row r="26" spans="1:43" ht="14.25" customHeight="1" thickBot="1">
      <c r="B26" s="408">
        <v>4</v>
      </c>
      <c r="C26" s="716">
        <v>202684.79999999999</v>
      </c>
      <c r="D26" s="619" t="s">
        <v>134</v>
      </c>
      <c r="E26" s="583"/>
      <c r="F26" s="678">
        <v>0.15</v>
      </c>
      <c r="G26" s="377">
        <f>$C$26*F26</f>
        <v>30402.719999999998</v>
      </c>
      <c r="H26" s="378">
        <f>H45</f>
        <v>45691</v>
      </c>
      <c r="I26" s="379"/>
      <c r="J26" s="920"/>
      <c r="K26" s="920"/>
      <c r="L26" s="380"/>
      <c r="M26" s="372">
        <v>4</v>
      </c>
      <c r="N26" s="664" t="s">
        <v>288</v>
      </c>
      <c r="O26" s="619" t="s">
        <v>289</v>
      </c>
      <c r="P26" s="694">
        <f>AF40</f>
        <v>94250</v>
      </c>
      <c r="Q26" s="678">
        <f>Q78</f>
        <v>0.1</v>
      </c>
      <c r="R26" s="377">
        <f>$P$26*Q26</f>
        <v>9425</v>
      </c>
      <c r="S26" s="539" t="str">
        <f>S78</f>
        <v>Matthews Group INV 1423</v>
      </c>
      <c r="T26" s="734">
        <f>T78</f>
        <v>45688</v>
      </c>
      <c r="U26" s="763">
        <v>11255.535941135646</v>
      </c>
      <c r="V26" s="933"/>
      <c r="W26" s="753">
        <f t="shared" ref="W26:W33" si="3">W78</f>
        <v>45695</v>
      </c>
      <c r="X26" s="927"/>
      <c r="Y26" s="912" t="s">
        <v>295</v>
      </c>
      <c r="Z26" s="621"/>
      <c r="AA26" s="181" t="str">
        <f>AA12</f>
        <v>Offloading</v>
      </c>
      <c r="AB26" s="182">
        <v>8500</v>
      </c>
      <c r="AD26" s="639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19"/>
      <c r="D27" s="619" t="s">
        <v>296</v>
      </c>
      <c r="E27" s="649"/>
      <c r="F27" s="678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920"/>
      <c r="K27" s="920"/>
      <c r="L27" s="380"/>
      <c r="M27" s="372">
        <v>4</v>
      </c>
      <c r="N27" s="664" t="s">
        <v>288</v>
      </c>
      <c r="O27" s="619" t="s">
        <v>134</v>
      </c>
      <c r="P27" s="649"/>
      <c r="Q27" s="678">
        <f t="shared" ref="Q27:Q32" si="6">Q79</f>
        <v>0.15</v>
      </c>
      <c r="R27" s="377">
        <f t="shared" ref="R27:R33" si="7">$P$26*Q27</f>
        <v>14137.5</v>
      </c>
      <c r="S27" s="539" t="s">
        <v>297</v>
      </c>
      <c r="T27" s="734">
        <f t="shared" ref="T27:T30" si="8">T79</f>
        <v>45688</v>
      </c>
      <c r="U27" s="763">
        <v>16883.303911703468</v>
      </c>
      <c r="V27" s="933"/>
      <c r="W27" s="753">
        <f t="shared" si="3"/>
        <v>45701</v>
      </c>
      <c r="X27" s="927"/>
      <c r="Y27" s="913"/>
      <c r="Z27" s="621"/>
      <c r="AA27" s="181" t="str">
        <f>AA13</f>
        <v>Roof Access/Scaffolding</v>
      </c>
      <c r="AB27" s="182">
        <v>40675.5</v>
      </c>
      <c r="AD27" s="639"/>
      <c r="AP27" s="24"/>
      <c r="AQ27" s="24"/>
    </row>
    <row r="28" spans="1:43" ht="14.25" customHeight="1" thickBot="1">
      <c r="B28" s="408">
        <v>4</v>
      </c>
      <c r="C28" s="619"/>
      <c r="D28" s="619" t="s">
        <v>298</v>
      </c>
      <c r="E28" s="649"/>
      <c r="F28" s="678">
        <v>0.25</v>
      </c>
      <c r="G28" s="377">
        <f t="shared" si="4"/>
        <v>50671.199999999997</v>
      </c>
      <c r="H28" s="378">
        <f t="shared" si="5"/>
        <v>45719</v>
      </c>
      <c r="I28" s="379"/>
      <c r="J28" s="920"/>
      <c r="K28" s="920"/>
      <c r="L28" s="380"/>
      <c r="M28" s="372">
        <v>4</v>
      </c>
      <c r="N28" s="664" t="s">
        <v>288</v>
      </c>
      <c r="O28" s="619" t="s">
        <v>296</v>
      </c>
      <c r="P28" s="649"/>
      <c r="Q28" s="678">
        <f t="shared" si="6"/>
        <v>0.2</v>
      </c>
      <c r="R28" s="377">
        <f t="shared" si="7"/>
        <v>18850</v>
      </c>
      <c r="S28" s="780" t="s">
        <v>299</v>
      </c>
      <c r="T28" s="734">
        <f t="shared" si="8"/>
        <v>45777</v>
      </c>
      <c r="U28" s="763">
        <v>19482.908475349497</v>
      </c>
      <c r="V28" s="933"/>
      <c r="W28" s="753">
        <f t="shared" si="3"/>
        <v>45771</v>
      </c>
      <c r="X28" s="927"/>
      <c r="Y28" s="913"/>
      <c r="Z28" s="621"/>
      <c r="AA28" s="181" t="str">
        <f>AA14</f>
        <v>Storage</v>
      </c>
      <c r="AB28" s="182">
        <v>4933.333333333333</v>
      </c>
      <c r="AD28" s="639"/>
      <c r="AP28" s="24"/>
      <c r="AQ28" s="24"/>
    </row>
    <row r="29" spans="1:43" ht="14.25" customHeight="1" thickBot="1">
      <c r="B29" s="408">
        <v>4</v>
      </c>
      <c r="C29" s="619"/>
      <c r="D29" s="619" t="s">
        <v>300</v>
      </c>
      <c r="E29" s="649"/>
      <c r="F29" s="678">
        <v>0.1</v>
      </c>
      <c r="G29" s="377">
        <f t="shared" si="4"/>
        <v>20268.48</v>
      </c>
      <c r="H29" s="378">
        <f t="shared" si="5"/>
        <v>45772</v>
      </c>
      <c r="I29" s="379"/>
      <c r="J29" s="920"/>
      <c r="K29" s="920"/>
      <c r="L29" s="380"/>
      <c r="M29" s="372">
        <v>4</v>
      </c>
      <c r="N29" s="664" t="s">
        <v>288</v>
      </c>
      <c r="O29" s="619" t="s">
        <v>298</v>
      </c>
      <c r="P29" s="649"/>
      <c r="Q29" s="678">
        <f t="shared" si="6"/>
        <v>0.25</v>
      </c>
      <c r="R29" s="377">
        <f t="shared" si="7"/>
        <v>23562.5</v>
      </c>
      <c r="S29" s="780" t="s">
        <v>301</v>
      </c>
      <c r="T29" s="734">
        <f t="shared" si="8"/>
        <v>45777</v>
      </c>
      <c r="U29" s="763">
        <v>24353.635594186875</v>
      </c>
      <c r="V29" s="933"/>
      <c r="W29" s="753">
        <f t="shared" si="3"/>
        <v>45771</v>
      </c>
      <c r="X29" s="927"/>
      <c r="Y29" s="913"/>
      <c r="Z29" s="621"/>
      <c r="AA29" s="181" t="str">
        <f>AA15</f>
        <v>Telehandler</v>
      </c>
      <c r="AB29" s="182">
        <f>AB15*0.75</f>
        <v>0</v>
      </c>
      <c r="AD29" s="639"/>
      <c r="AP29" s="24"/>
      <c r="AQ29" s="24"/>
    </row>
    <row r="30" spans="1:43" ht="14.25" customHeight="1" thickBot="1">
      <c r="B30" s="408">
        <v>4</v>
      </c>
      <c r="C30" s="619"/>
      <c r="D30" s="619" t="s">
        <v>302</v>
      </c>
      <c r="E30" s="649"/>
      <c r="F30" s="678">
        <v>0.1</v>
      </c>
      <c r="G30" s="377">
        <f t="shared" si="4"/>
        <v>20268.48</v>
      </c>
      <c r="H30" s="378">
        <f t="shared" si="5"/>
        <v>45758</v>
      </c>
      <c r="I30" s="379"/>
      <c r="J30" s="920"/>
      <c r="K30" s="920"/>
      <c r="L30" s="380"/>
      <c r="M30" s="372">
        <v>4</v>
      </c>
      <c r="N30" s="664" t="s">
        <v>288</v>
      </c>
      <c r="O30" s="619" t="s">
        <v>300</v>
      </c>
      <c r="P30" s="649"/>
      <c r="Q30" s="678">
        <f t="shared" si="6"/>
        <v>0.1</v>
      </c>
      <c r="R30" s="377">
        <f t="shared" si="7"/>
        <v>9425</v>
      </c>
      <c r="S30" s="780" t="s">
        <v>303</v>
      </c>
      <c r="T30" s="734">
        <f t="shared" si="8"/>
        <v>45777</v>
      </c>
      <c r="U30" s="763">
        <v>9741.4542376747486</v>
      </c>
      <c r="V30" s="933"/>
      <c r="W30" s="753">
        <f t="shared" si="3"/>
        <v>45785</v>
      </c>
      <c r="X30" s="927"/>
      <c r="Y30" s="913"/>
      <c r="Z30" s="621"/>
      <c r="AA30" s="181" t="str">
        <f>AA16</f>
        <v>Other</v>
      </c>
      <c r="AB30" s="182">
        <f>AB16*0.75</f>
        <v>0</v>
      </c>
      <c r="AD30" s="639"/>
      <c r="AP30" s="24"/>
      <c r="AQ30" s="24"/>
    </row>
    <row r="31" spans="1:43" ht="15" customHeight="1" thickBot="1">
      <c r="B31" s="372">
        <v>4</v>
      </c>
      <c r="C31" s="373"/>
      <c r="D31" s="411" t="s">
        <v>304</v>
      </c>
      <c r="E31" s="649"/>
      <c r="F31" s="678">
        <v>0.05</v>
      </c>
      <c r="G31" s="377">
        <f t="shared" si="4"/>
        <v>10134.24</v>
      </c>
      <c r="H31" s="378">
        <f t="shared" si="5"/>
        <v>45786</v>
      </c>
      <c r="I31" s="379"/>
      <c r="J31" s="920"/>
      <c r="K31" s="920"/>
      <c r="L31" s="380"/>
      <c r="M31" s="372">
        <v>4</v>
      </c>
      <c r="N31" s="664" t="s">
        <v>288</v>
      </c>
      <c r="O31" s="411" t="s">
        <v>302</v>
      </c>
      <c r="P31" s="649"/>
      <c r="Q31" s="678">
        <f t="shared" si="6"/>
        <v>0.1</v>
      </c>
      <c r="R31" s="377">
        <f t="shared" si="7"/>
        <v>9425</v>
      </c>
      <c r="S31" s="539" t="s">
        <v>305</v>
      </c>
      <c r="T31" s="734">
        <f>T83</f>
        <v>45808</v>
      </c>
      <c r="U31" s="790">
        <v>9741.4542376747486</v>
      </c>
      <c r="V31" s="933"/>
      <c r="W31" s="753">
        <f t="shared" si="3"/>
        <v>45820</v>
      </c>
      <c r="X31" s="927"/>
      <c r="Y31" s="913"/>
      <c r="Z31" s="194"/>
      <c r="AA31" s="181" t="s">
        <v>270</v>
      </c>
      <c r="AB31" s="182">
        <v>0</v>
      </c>
      <c r="AD31" s="639"/>
      <c r="AP31" s="24"/>
      <c r="AQ31" s="24"/>
    </row>
    <row r="32" spans="1:43" ht="15" customHeight="1" thickBot="1">
      <c r="B32" s="372">
        <v>4</v>
      </c>
      <c r="C32" s="411"/>
      <c r="D32" s="648" t="s">
        <v>306</v>
      </c>
      <c r="E32" s="590"/>
      <c r="F32" s="715">
        <v>0.05</v>
      </c>
      <c r="G32" s="377">
        <f t="shared" si="4"/>
        <v>10134.24</v>
      </c>
      <c r="H32" s="378">
        <f t="shared" si="5"/>
        <v>45876</v>
      </c>
      <c r="I32" s="380"/>
      <c r="J32" s="920"/>
      <c r="K32" s="920"/>
      <c r="L32" s="380"/>
      <c r="M32" s="372">
        <v>4</v>
      </c>
      <c r="N32" s="664" t="s">
        <v>288</v>
      </c>
      <c r="O32" s="648" t="s">
        <v>304</v>
      </c>
      <c r="P32" s="590"/>
      <c r="Q32" s="678">
        <f t="shared" si="6"/>
        <v>0.05</v>
      </c>
      <c r="R32" s="377">
        <f t="shared" si="7"/>
        <v>4712.5</v>
      </c>
      <c r="S32" s="539" t="s">
        <v>307</v>
      </c>
      <c r="T32" s="734">
        <v>45838</v>
      </c>
      <c r="U32" s="791">
        <v>4870.7271188373743</v>
      </c>
      <c r="V32" s="933"/>
      <c r="W32" s="753">
        <f t="shared" si="3"/>
        <v>45793</v>
      </c>
      <c r="X32" s="927"/>
      <c r="Y32" s="913"/>
      <c r="Z32" s="194"/>
      <c r="AA32" s="181" t="s">
        <v>270</v>
      </c>
      <c r="AB32" s="182">
        <v>0</v>
      </c>
      <c r="AD32" s="639"/>
      <c r="AP32" s="24"/>
      <c r="AQ32" s="24"/>
    </row>
    <row r="33" spans="1:43" ht="15" customHeight="1" thickBot="1">
      <c r="B33" s="381">
        <v>4</v>
      </c>
      <c r="C33" s="416"/>
      <c r="D33" s="416"/>
      <c r="E33" s="587"/>
      <c r="F33" s="591"/>
      <c r="G33" s="386"/>
      <c r="H33" s="387"/>
      <c r="I33" s="389"/>
      <c r="J33" s="920"/>
      <c r="K33" s="920"/>
      <c r="L33" s="389"/>
      <c r="M33" s="381">
        <v>4</v>
      </c>
      <c r="N33" s="665" t="s">
        <v>288</v>
      </c>
      <c r="O33" s="416" t="s">
        <v>306</v>
      </c>
      <c r="P33" s="587"/>
      <c r="Q33" s="679">
        <f>Q85</f>
        <v>0.05</v>
      </c>
      <c r="R33" s="591">
        <f t="shared" si="7"/>
        <v>4712.5</v>
      </c>
      <c r="S33" s="627" t="s">
        <v>308</v>
      </c>
      <c r="T33" s="730">
        <v>45838</v>
      </c>
      <c r="U33" s="812">
        <v>4870.7271188373743</v>
      </c>
      <c r="V33" s="933"/>
      <c r="W33" s="797">
        <f t="shared" si="3"/>
        <v>45869</v>
      </c>
      <c r="X33" s="927"/>
      <c r="Y33" s="914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4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4"/>
      <c r="W34" s="466"/>
      <c r="X34" s="475"/>
      <c r="Y34" s="212"/>
      <c r="Z34" s="197"/>
      <c r="AA34" s="618" t="s">
        <v>280</v>
      </c>
      <c r="AB34" s="183">
        <f>+AB33/'Project Plan'!$E$3/1000</f>
        <v>4.3544082898550727</v>
      </c>
      <c r="AD34" s="693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309</v>
      </c>
      <c r="D35" s="418" t="s">
        <v>310</v>
      </c>
      <c r="E35" s="346"/>
      <c r="F35" s="447"/>
      <c r="G35" s="347">
        <v>26000</v>
      </c>
      <c r="H35" s="348">
        <f>H13</f>
        <v>45742</v>
      </c>
      <c r="I35" s="349"/>
      <c r="J35" s="921">
        <f>SUM(G35:G41)</f>
        <v>174000</v>
      </c>
      <c r="K35" s="921">
        <v>189130.43478260899</v>
      </c>
      <c r="L35" s="350"/>
      <c r="M35" s="344">
        <v>5</v>
      </c>
      <c r="N35" s="660" t="s">
        <v>311</v>
      </c>
      <c r="O35" s="418" t="s">
        <v>310</v>
      </c>
      <c r="P35" s="346"/>
      <c r="Q35" s="447"/>
      <c r="R35" s="347">
        <v>7639.54</v>
      </c>
      <c r="S35" s="528" t="s">
        <v>312</v>
      </c>
      <c r="T35" s="717">
        <v>45688</v>
      </c>
      <c r="U35" s="739">
        <v>31106.653393420871</v>
      </c>
      <c r="V35" s="923">
        <f>K35-SUM(U35:U41)</f>
        <v>-4.858700733166188E-3</v>
      </c>
      <c r="W35" s="778">
        <v>45708</v>
      </c>
      <c r="X35" s="922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313</v>
      </c>
      <c r="E36" s="402"/>
      <c r="F36" s="653"/>
      <c r="G36" s="401">
        <v>8000</v>
      </c>
      <c r="H36" s="353">
        <f>H35</f>
        <v>45742</v>
      </c>
      <c r="I36" s="354"/>
      <c r="J36" s="921"/>
      <c r="K36" s="921"/>
      <c r="L36" s="355"/>
      <c r="M36" s="351">
        <v>5</v>
      </c>
      <c r="N36" s="666" t="s">
        <v>311</v>
      </c>
      <c r="O36" s="352" t="s">
        <v>314</v>
      </c>
      <c r="P36" s="650"/>
      <c r="Q36" s="651"/>
      <c r="R36" s="401">
        <v>6486.5</v>
      </c>
      <c r="S36" s="528" t="s">
        <v>315</v>
      </c>
      <c r="T36" s="717">
        <v>45688</v>
      </c>
      <c r="U36" s="732">
        <v>26411.708982009975</v>
      </c>
      <c r="V36" s="923"/>
      <c r="W36" s="769">
        <v>45715</v>
      </c>
      <c r="X36" s="922"/>
      <c r="Y36" s="746" t="s">
        <v>316</v>
      </c>
      <c r="Z36" s="203"/>
      <c r="AC36" s="24"/>
      <c r="AE36" s="639"/>
      <c r="AP36" s="24"/>
      <c r="AQ36" s="24"/>
    </row>
    <row r="37" spans="1:43" ht="14.25" customHeight="1">
      <c r="B37" s="351"/>
      <c r="C37" s="395"/>
      <c r="D37" s="848"/>
      <c r="E37" s="849"/>
      <c r="F37" s="850"/>
      <c r="G37" s="401"/>
      <c r="H37" s="396"/>
      <c r="I37" s="354"/>
      <c r="J37" s="921"/>
      <c r="K37" s="921"/>
      <c r="L37" s="355"/>
      <c r="M37" s="351">
        <v>5</v>
      </c>
      <c r="N37" s="666" t="s">
        <v>311</v>
      </c>
      <c r="O37" s="352"/>
      <c r="P37" s="650"/>
      <c r="Q37" s="651"/>
      <c r="R37" s="401"/>
      <c r="S37" s="528"/>
      <c r="T37" s="717"/>
      <c r="U37" s="732"/>
      <c r="V37" s="923"/>
      <c r="W37" s="769"/>
      <c r="X37" s="922"/>
      <c r="Y37" s="746"/>
      <c r="Z37" s="203"/>
      <c r="AC37" s="24"/>
      <c r="AE37" s="639"/>
      <c r="AP37" s="24"/>
      <c r="AQ37" s="24"/>
    </row>
    <row r="38" spans="1:43" ht="14.25" customHeight="1" thickBot="1">
      <c r="B38" s="351">
        <v>5</v>
      </c>
      <c r="C38" s="395"/>
      <c r="D38" s="352"/>
      <c r="E38" s="650"/>
      <c r="F38" s="651"/>
      <c r="G38" s="401"/>
      <c r="H38" s="396"/>
      <c r="I38" s="354"/>
      <c r="J38" s="921"/>
      <c r="K38" s="921"/>
      <c r="L38" s="355"/>
      <c r="M38" s="351">
        <v>5</v>
      </c>
      <c r="N38" s="666" t="s">
        <v>311</v>
      </c>
      <c r="O38" s="352" t="s">
        <v>317</v>
      </c>
      <c r="P38" s="650"/>
      <c r="Q38" s="651"/>
      <c r="R38" s="401">
        <v>27100</v>
      </c>
      <c r="S38" s="528" t="s">
        <v>318</v>
      </c>
      <c r="T38" s="717">
        <v>45716</v>
      </c>
      <c r="U38" s="732">
        <v>86134.180461736512</v>
      </c>
      <c r="V38" s="923"/>
      <c r="W38" s="718">
        <v>45744</v>
      </c>
      <c r="X38" s="922"/>
      <c r="Y38" s="217" t="s">
        <v>319</v>
      </c>
      <c r="Z38" s="203"/>
      <c r="AA38" s="179" t="s">
        <v>320</v>
      </c>
      <c r="AB38" s="180" t="s">
        <v>286</v>
      </c>
      <c r="AE38" s="179" t="s">
        <v>321</v>
      </c>
      <c r="AF38" s="180" t="s">
        <v>286</v>
      </c>
      <c r="AP38" s="24"/>
      <c r="AQ38" s="24"/>
    </row>
    <row r="39" spans="1:43" ht="14.25" customHeight="1" thickBot="1">
      <c r="B39" s="397">
        <v>5</v>
      </c>
      <c r="C39" s="398"/>
      <c r="D39" s="399" t="s">
        <v>322</v>
      </c>
      <c r="E39" s="568"/>
      <c r="F39" s="448"/>
      <c r="G39" s="401">
        <v>125000</v>
      </c>
      <c r="H39" s="353">
        <f>H35+30</f>
        <v>45772</v>
      </c>
      <c r="I39" s="354"/>
      <c r="J39" s="921"/>
      <c r="K39" s="921"/>
      <c r="L39" s="355"/>
      <c r="M39" s="397">
        <v>5</v>
      </c>
      <c r="N39" s="666" t="s">
        <v>311</v>
      </c>
      <c r="O39" s="352" t="s">
        <v>323</v>
      </c>
      <c r="P39" s="650"/>
      <c r="Q39" s="651"/>
      <c r="R39" s="401">
        <v>11169</v>
      </c>
      <c r="S39" s="537" t="s">
        <v>324</v>
      </c>
      <c r="T39" s="717">
        <v>45688</v>
      </c>
      <c r="U39" s="732">
        <v>45477.896804142358</v>
      </c>
      <c r="V39" s="923"/>
      <c r="W39" s="779">
        <v>45688</v>
      </c>
      <c r="X39" s="922"/>
      <c r="Y39" s="208"/>
      <c r="Z39" s="199"/>
      <c r="AA39" s="181" t="s">
        <v>254</v>
      </c>
      <c r="AB39" s="182">
        <v>2107709.65</v>
      </c>
      <c r="AE39" s="181" t="s">
        <v>254</v>
      </c>
      <c r="AF39" s="182">
        <f>448746+718781.65</f>
        <v>1167527.6499999999</v>
      </c>
      <c r="AI39" s="639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323</v>
      </c>
      <c r="E40" s="568"/>
      <c r="F40" s="448"/>
      <c r="G40" s="401">
        <v>15000</v>
      </c>
      <c r="H40" s="353">
        <f>H36</f>
        <v>45742</v>
      </c>
      <c r="I40" s="354"/>
      <c r="J40" s="921"/>
      <c r="K40" s="921"/>
      <c r="L40" s="355"/>
      <c r="M40" s="397">
        <v>5</v>
      </c>
      <c r="N40" s="666" t="s">
        <v>311</v>
      </c>
      <c r="O40" s="399" t="s">
        <v>325</v>
      </c>
      <c r="P40" s="568"/>
      <c r="Q40" s="448"/>
      <c r="R40" s="401">
        <v>15813</v>
      </c>
      <c r="S40" s="537" t="s">
        <v>326</v>
      </c>
      <c r="T40" s="851">
        <v>46022</v>
      </c>
      <c r="U40" s="514">
        <v>0</v>
      </c>
      <c r="V40" s="923"/>
      <c r="W40" s="779">
        <v>46029</v>
      </c>
      <c r="X40" s="922"/>
      <c r="Y40" s="901"/>
      <c r="Z40" s="199"/>
      <c r="AA40" s="181" t="s">
        <v>255</v>
      </c>
      <c r="AB40" s="182">
        <v>90086.98</v>
      </c>
      <c r="AE40" s="181" t="s">
        <v>255</v>
      </c>
      <c r="AF40" s="182">
        <v>94250</v>
      </c>
      <c r="AI40" s="639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1"/>
      <c r="F41" s="449"/>
      <c r="G41" s="424"/>
      <c r="H41" s="356"/>
      <c r="I41" s="357"/>
      <c r="J41" s="921"/>
      <c r="K41" s="921"/>
      <c r="L41" s="358"/>
      <c r="M41" s="403">
        <v>5</v>
      </c>
      <c r="N41" s="662" t="s">
        <v>311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923"/>
      <c r="W41" s="468"/>
      <c r="X41" s="922"/>
      <c r="Y41" s="903"/>
      <c r="Z41" s="200"/>
      <c r="AA41" s="181" t="s">
        <v>256</v>
      </c>
      <c r="AB41" s="182">
        <v>707500</v>
      </c>
      <c r="AD41" s="639">
        <f>AB41/400/1000</f>
        <v>1.76875</v>
      </c>
      <c r="AE41" s="181" t="s">
        <v>256</v>
      </c>
      <c r="AF41" s="182">
        <v>328952</v>
      </c>
      <c r="AG41" s="639">
        <f>AF41/400/1000</f>
        <v>0.82238</v>
      </c>
      <c r="AI41" s="639">
        <f t="shared" si="10"/>
        <v>378548</v>
      </c>
    </row>
    <row r="42" spans="1:43" ht="14.4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4"/>
      <c r="W42" s="466"/>
      <c r="X42" s="476"/>
      <c r="Y42" s="212"/>
      <c r="Z42" s="197"/>
      <c r="AA42" s="181" t="s">
        <v>257</v>
      </c>
      <c r="AB42" s="182">
        <v>487883</v>
      </c>
      <c r="AD42" s="639">
        <f>AB42/400/1000</f>
        <v>1.2197074999999999</v>
      </c>
      <c r="AE42" s="181" t="s">
        <v>257</v>
      </c>
      <c r="AF42" s="182">
        <v>348000</v>
      </c>
      <c r="AG42" s="639">
        <f>AF42/400/1000</f>
        <v>0.87</v>
      </c>
      <c r="AH42" s="24"/>
      <c r="AI42" s="639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254</v>
      </c>
      <c r="D43" s="366" t="s">
        <v>289</v>
      </c>
      <c r="E43" s="367"/>
      <c r="F43" s="592">
        <v>0.1</v>
      </c>
      <c r="G43" s="368">
        <f>$C$45*F43</f>
        <v>38128.272608695654</v>
      </c>
      <c r="H43" s="369">
        <f>H78</f>
        <v>45684</v>
      </c>
      <c r="I43" s="370"/>
      <c r="J43" s="920">
        <f>SUM(G43:G51)</f>
        <v>381282.72608695657</v>
      </c>
      <c r="K43" s="920">
        <v>414437.745746692</v>
      </c>
      <c r="L43" s="371"/>
      <c r="M43" s="364">
        <v>6</v>
      </c>
      <c r="N43" s="669" t="s">
        <v>327</v>
      </c>
      <c r="O43" s="671"/>
      <c r="P43" s="695"/>
      <c r="Q43" s="680"/>
      <c r="R43" s="672"/>
      <c r="S43" s="539"/>
      <c r="T43" s="506" t="str">
        <f t="shared" si="9"/>
        <v/>
      </c>
      <c r="U43" s="516">
        <f t="shared" ref="U43" si="12">(R43/$X$43*$K$43)</f>
        <v>0</v>
      </c>
      <c r="V43" s="928">
        <f>K43-SUM(U43:U51)</f>
        <v>0</v>
      </c>
      <c r="W43" s="646"/>
      <c r="X43" s="927">
        <f>SUM(R43:R51)</f>
        <v>1167527.6575</v>
      </c>
      <c r="Y43" s="215"/>
      <c r="Z43" s="201"/>
      <c r="AA43" s="181" t="s">
        <v>328</v>
      </c>
      <c r="AB43" s="182">
        <v>45135.199999999997</v>
      </c>
      <c r="AE43" s="181" t="s">
        <v>329</v>
      </c>
      <c r="AF43" s="182">
        <v>76862</v>
      </c>
      <c r="AI43" s="639">
        <f t="shared" si="10"/>
        <v>-31726.800000000003</v>
      </c>
    </row>
    <row r="44" spans="1:43" ht="14.25" customHeight="1" thickBot="1">
      <c r="B44" s="372">
        <v>6</v>
      </c>
      <c r="C44" s="619"/>
      <c r="D44" s="697"/>
      <c r="E44" s="698"/>
      <c r="F44" s="699"/>
      <c r="G44" s="410"/>
      <c r="H44" s="700"/>
      <c r="I44" s="379"/>
      <c r="J44" s="920"/>
      <c r="K44" s="920"/>
      <c r="L44" s="380"/>
      <c r="M44" s="372">
        <v>6</v>
      </c>
      <c r="N44" s="667" t="s">
        <v>327</v>
      </c>
      <c r="O44" s="701" t="s">
        <v>289</v>
      </c>
      <c r="P44" s="702">
        <f>AF39</f>
        <v>1167527.6499999999</v>
      </c>
      <c r="Q44" s="703">
        <f>Q78</f>
        <v>0.1</v>
      </c>
      <c r="R44" s="377">
        <v>116752.77</v>
      </c>
      <c r="S44" s="539" t="str">
        <f>S78</f>
        <v>Matthews Group INV 1423</v>
      </c>
      <c r="T44" s="749">
        <f>T78</f>
        <v>45688</v>
      </c>
      <c r="U44" s="742">
        <v>41443.776083293342</v>
      </c>
      <c r="V44" s="928"/>
      <c r="W44" s="754">
        <f>W78</f>
        <v>45695</v>
      </c>
      <c r="X44" s="927"/>
      <c r="Y44" s="906" t="s">
        <v>295</v>
      </c>
      <c r="Z44" s="621"/>
      <c r="AA44" s="181" t="s">
        <v>330</v>
      </c>
      <c r="AB44" s="182">
        <v>46000</v>
      </c>
      <c r="AE44" s="181" t="s">
        <v>331</v>
      </c>
      <c r="AF44" s="182"/>
      <c r="AI44" s="639">
        <f t="shared" si="10"/>
        <v>46000</v>
      </c>
    </row>
    <row r="45" spans="1:43" ht="14.25" customHeight="1" thickBot="1">
      <c r="B45" s="372">
        <v>6</v>
      </c>
      <c r="C45" s="593">
        <v>381282.72608695651</v>
      </c>
      <c r="D45" s="374" t="s">
        <v>134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920"/>
      <c r="K45" s="920"/>
      <c r="L45" s="380"/>
      <c r="M45" s="372">
        <v>6</v>
      </c>
      <c r="N45" s="667" t="s">
        <v>327</v>
      </c>
      <c r="O45" s="374" t="s">
        <v>134</v>
      </c>
      <c r="P45" s="375"/>
      <c r="Q45" s="703">
        <f t="shared" ref="Q45:Q50" si="14">Q79</f>
        <v>0.15</v>
      </c>
      <c r="R45" s="377">
        <v>175129.15</v>
      </c>
      <c r="S45" s="539" t="s">
        <v>297</v>
      </c>
      <c r="T45" s="749">
        <f t="shared" ref="T45:T50" si="15">T79</f>
        <v>45688</v>
      </c>
      <c r="U45" s="742">
        <v>62165.662350088074</v>
      </c>
      <c r="V45" s="928"/>
      <c r="W45" s="753">
        <f>W79</f>
        <v>45701</v>
      </c>
      <c r="X45" s="927"/>
      <c r="Y45" s="907"/>
      <c r="Z45" s="194"/>
      <c r="AA45" s="181" t="s">
        <v>332</v>
      </c>
      <c r="AB45" s="744">
        <f>87630-42000</f>
        <v>45630</v>
      </c>
      <c r="AE45" s="181" t="s">
        <v>129</v>
      </c>
      <c r="AF45" s="182">
        <v>14375</v>
      </c>
      <c r="AI45" s="639">
        <f t="shared" si="10"/>
        <v>31255</v>
      </c>
    </row>
    <row r="46" spans="1:43" ht="14.25" customHeight="1" thickBot="1">
      <c r="B46" s="372">
        <v>6</v>
      </c>
      <c r="C46" s="593"/>
      <c r="D46" s="374" t="s">
        <v>296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920"/>
      <c r="K46" s="920"/>
      <c r="L46" s="380"/>
      <c r="M46" s="372">
        <v>6</v>
      </c>
      <c r="N46" s="668" t="s">
        <v>327</v>
      </c>
      <c r="O46" s="374" t="s">
        <v>296</v>
      </c>
      <c r="P46" s="375"/>
      <c r="Q46" s="703">
        <f t="shared" si="14"/>
        <v>0.2</v>
      </c>
      <c r="R46" s="377">
        <f t="shared" ref="R46:R51" si="17">$P$44*Q46</f>
        <v>233505.53</v>
      </c>
      <c r="S46" s="539" t="s">
        <v>299</v>
      </c>
      <c r="T46" s="749">
        <f t="shared" si="15"/>
        <v>45777</v>
      </c>
      <c r="U46" s="742">
        <v>82887.548616882821</v>
      </c>
      <c r="V46" s="928"/>
      <c r="W46" s="753">
        <f>W80</f>
        <v>45771</v>
      </c>
      <c r="X46" s="927"/>
      <c r="Y46" s="907"/>
      <c r="Z46" s="194"/>
      <c r="AA46" s="181" t="s">
        <v>129</v>
      </c>
      <c r="AB46" s="182">
        <v>15525</v>
      </c>
      <c r="AE46" s="181" t="s">
        <v>270</v>
      </c>
      <c r="AF46" s="182">
        <v>0</v>
      </c>
      <c r="AI46" s="639">
        <f t="shared" si="10"/>
        <v>15525</v>
      </c>
    </row>
    <row r="47" spans="1:43" ht="14.25" customHeight="1" thickBot="1">
      <c r="B47" s="372">
        <v>6</v>
      </c>
      <c r="C47" s="593"/>
      <c r="D47" s="374" t="s">
        <v>298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920"/>
      <c r="K47" s="920"/>
      <c r="L47" s="380"/>
      <c r="M47" s="372">
        <v>6</v>
      </c>
      <c r="N47" s="667" t="s">
        <v>327</v>
      </c>
      <c r="O47" s="374" t="s">
        <v>298</v>
      </c>
      <c r="P47" s="375"/>
      <c r="Q47" s="703">
        <f t="shared" si="14"/>
        <v>0.25</v>
      </c>
      <c r="R47" s="377">
        <f t="shared" si="17"/>
        <v>291881.91249999998</v>
      </c>
      <c r="S47" s="539" t="s">
        <v>301</v>
      </c>
      <c r="T47" s="749">
        <f t="shared" si="15"/>
        <v>45777</v>
      </c>
      <c r="U47" s="742">
        <v>103609.43577110351</v>
      </c>
      <c r="V47" s="928"/>
      <c r="W47" s="753">
        <f>W81</f>
        <v>45771</v>
      </c>
      <c r="X47" s="927"/>
      <c r="Y47" s="907"/>
      <c r="Z47" s="194"/>
      <c r="AA47" s="181" t="str">
        <f>AA32</f>
        <v>Other</v>
      </c>
      <c r="AB47" s="182">
        <f>AB32*0.75</f>
        <v>0</v>
      </c>
      <c r="AE47" s="181" t="s">
        <v>270</v>
      </c>
      <c r="AF47" s="182">
        <f>AF32*0.75</f>
        <v>0</v>
      </c>
      <c r="AI47" s="639">
        <f t="shared" si="10"/>
        <v>0</v>
      </c>
    </row>
    <row r="48" spans="1:43" ht="14.25" customHeight="1" thickBot="1">
      <c r="B48" s="372">
        <v>6</v>
      </c>
      <c r="C48" s="593"/>
      <c r="D48" s="374" t="s">
        <v>300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920"/>
      <c r="K48" s="920"/>
      <c r="L48" s="380"/>
      <c r="M48" s="372">
        <v>6</v>
      </c>
      <c r="N48" s="668" t="s">
        <v>327</v>
      </c>
      <c r="O48" s="374" t="s">
        <v>300</v>
      </c>
      <c r="P48" s="375"/>
      <c r="Q48" s="703">
        <f t="shared" si="14"/>
        <v>0.1</v>
      </c>
      <c r="R48" s="377">
        <f t="shared" si="17"/>
        <v>116752.765</v>
      </c>
      <c r="S48" s="539" t="s">
        <v>303</v>
      </c>
      <c r="T48" s="749">
        <f t="shared" si="15"/>
        <v>45777</v>
      </c>
      <c r="U48" s="742">
        <v>41443.774308441411</v>
      </c>
      <c r="V48" s="928"/>
      <c r="W48" s="753">
        <f>W82</f>
        <v>45785</v>
      </c>
      <c r="X48" s="927"/>
      <c r="Y48" s="907"/>
      <c r="Z48" s="194"/>
      <c r="AA48" s="181" t="s">
        <v>270</v>
      </c>
      <c r="AB48" s="182">
        <v>0</v>
      </c>
      <c r="AE48" s="181" t="s">
        <v>333</v>
      </c>
      <c r="AF48" s="818">
        <v>190762.14</v>
      </c>
      <c r="AI48" s="639">
        <f t="shared" si="10"/>
        <v>-190762.14</v>
      </c>
    </row>
    <row r="49" spans="1:43" ht="14.25" customHeight="1" thickBot="1">
      <c r="B49" s="372">
        <v>6</v>
      </c>
      <c r="C49" s="593"/>
      <c r="D49" s="374" t="s">
        <v>302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920"/>
      <c r="K49" s="920"/>
      <c r="L49" s="380"/>
      <c r="M49" s="372">
        <v>6</v>
      </c>
      <c r="N49" s="667" t="s">
        <v>327</v>
      </c>
      <c r="O49" s="374" t="s">
        <v>302</v>
      </c>
      <c r="P49" s="375"/>
      <c r="Q49" s="703">
        <f t="shared" si="14"/>
        <v>0.1</v>
      </c>
      <c r="R49" s="377">
        <f t="shared" si="17"/>
        <v>116752.765</v>
      </c>
      <c r="S49" s="539" t="s">
        <v>305</v>
      </c>
      <c r="T49" s="749">
        <f t="shared" si="15"/>
        <v>45808</v>
      </c>
      <c r="U49" s="791">
        <v>41443.774308441411</v>
      </c>
      <c r="V49" s="928"/>
      <c r="W49" s="753">
        <f t="shared" ref="W49:W50" si="18">W83</f>
        <v>45820</v>
      </c>
      <c r="X49" s="927"/>
      <c r="Y49" s="907"/>
      <c r="Z49" s="194"/>
      <c r="AA49" s="181" t="s">
        <v>270</v>
      </c>
      <c r="AB49" s="182">
        <v>0</v>
      </c>
      <c r="AE49" s="181" t="s">
        <v>270</v>
      </c>
      <c r="AF49" s="182">
        <v>0</v>
      </c>
      <c r="AI49" s="639">
        <f t="shared" si="10"/>
        <v>0</v>
      </c>
    </row>
    <row r="50" spans="1:43" ht="14.25" customHeight="1" thickBot="1">
      <c r="B50" s="372">
        <v>6</v>
      </c>
      <c r="C50" s="373"/>
      <c r="D50" s="374" t="s">
        <v>304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920"/>
      <c r="K50" s="920"/>
      <c r="L50" s="380"/>
      <c r="M50" s="372">
        <v>6</v>
      </c>
      <c r="N50" s="668" t="s">
        <v>327</v>
      </c>
      <c r="O50" s="374" t="s">
        <v>304</v>
      </c>
      <c r="P50" s="375"/>
      <c r="Q50" s="703">
        <f t="shared" si="14"/>
        <v>0.05</v>
      </c>
      <c r="R50" s="377">
        <f t="shared" si="17"/>
        <v>58376.3825</v>
      </c>
      <c r="S50" s="539" t="s">
        <v>307</v>
      </c>
      <c r="T50" s="749">
        <f t="shared" si="15"/>
        <v>45838</v>
      </c>
      <c r="U50" s="791">
        <v>20721.887154220705</v>
      </c>
      <c r="V50" s="928"/>
      <c r="W50" s="753">
        <f t="shared" si="18"/>
        <v>45793</v>
      </c>
      <c r="X50" s="927"/>
      <c r="Y50" s="907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39">
        <f t="shared" si="10"/>
        <v>1324741.04</v>
      </c>
    </row>
    <row r="51" spans="1:43" ht="15" customHeight="1" thickBot="1">
      <c r="B51" s="381">
        <v>6</v>
      </c>
      <c r="C51" s="594"/>
      <c r="D51" s="383" t="s">
        <v>306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920"/>
      <c r="K51" s="920"/>
      <c r="L51" s="389"/>
      <c r="M51" s="381">
        <v>6</v>
      </c>
      <c r="N51" s="670" t="s">
        <v>327</v>
      </c>
      <c r="O51" s="383" t="s">
        <v>306</v>
      </c>
      <c r="P51" s="384"/>
      <c r="Q51" s="385">
        <f>Q85</f>
        <v>0.05</v>
      </c>
      <c r="R51" s="386">
        <f t="shared" si="17"/>
        <v>58376.3825</v>
      </c>
      <c r="S51" s="800" t="s">
        <v>308</v>
      </c>
      <c r="T51" s="801">
        <v>45838</v>
      </c>
      <c r="U51" s="812">
        <v>20721.887154220705</v>
      </c>
      <c r="V51" s="928"/>
      <c r="W51" s="797">
        <f>W85</f>
        <v>45869</v>
      </c>
      <c r="X51" s="927"/>
      <c r="Y51" s="908"/>
      <c r="Z51" s="202"/>
      <c r="AA51" s="618" t="s">
        <v>280</v>
      </c>
      <c r="AB51" s="183">
        <f>+AB50/'Project Plan'!$E$3/1000</f>
        <v>8.863674575000001</v>
      </c>
      <c r="AE51" s="618" t="s">
        <v>280</v>
      </c>
      <c r="AF51" s="183">
        <f>+AF50/'Project Plan'!$E$3/1000</f>
        <v>5.5518219750000002</v>
      </c>
    </row>
    <row r="52" spans="1:43" ht="14.4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0" t="str">
        <f t="shared" ref="T52:T80" si="19">IF(W52&gt;1,EOMONTH(W52,0),"")</f>
        <v/>
      </c>
      <c r="U52" s="505"/>
      <c r="V52" s="635"/>
      <c r="W52" s="466"/>
      <c r="X52" s="475"/>
      <c r="Y52" s="212"/>
      <c r="Z52" s="197"/>
      <c r="AE52" s="618" t="s">
        <v>334</v>
      </c>
      <c r="AF52" s="819">
        <f>AF50/1400000</f>
        <v>1.5862348500000001</v>
      </c>
      <c r="AG52" s="24" t="s">
        <v>335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1">
        <v>7</v>
      </c>
      <c r="C53" s="394" t="s">
        <v>336</v>
      </c>
      <c r="D53" s="552" t="s">
        <v>337</v>
      </c>
      <c r="E53" s="553"/>
      <c r="F53" s="554"/>
      <c r="G53" s="555">
        <v>6161300</v>
      </c>
      <c r="H53" s="556">
        <f>'Project Plan'!E33+30</f>
        <v>45721</v>
      </c>
      <c r="I53" s="349"/>
      <c r="J53" s="921">
        <f>SUM(G53:G64)</f>
        <v>7393826.9565217393</v>
      </c>
      <c r="K53" s="921">
        <v>8036768.4310018905</v>
      </c>
      <c r="L53" s="350"/>
      <c r="M53" s="551">
        <v>7</v>
      </c>
      <c r="N53" s="394" t="s">
        <v>338</v>
      </c>
      <c r="O53" s="552" t="s">
        <v>337</v>
      </c>
      <c r="P53" s="553"/>
      <c r="Q53" s="554"/>
      <c r="R53" s="555"/>
      <c r="S53" s="574"/>
      <c r="T53" s="542"/>
      <c r="U53" s="513">
        <f t="shared" ref="U53:U62" si="20">(R53/$X$53*$K$53)</f>
        <v>0</v>
      </c>
      <c r="V53" s="923">
        <f>K53-SUM(U53:U64)</f>
        <v>-1.2750029563903809E-3</v>
      </c>
      <c r="W53" s="557"/>
      <c r="X53" s="922">
        <f>SUM(R53:R64)</f>
        <v>6386529</v>
      </c>
      <c r="Y53" s="558"/>
      <c r="Z53" s="559"/>
    </row>
    <row r="54" spans="1:43" ht="14.25" customHeight="1" thickBot="1">
      <c r="B54" s="560">
        <v>7</v>
      </c>
      <c r="C54" s="561"/>
      <c r="D54" s="562"/>
      <c r="E54" s="563"/>
      <c r="F54" s="564"/>
      <c r="G54" s="565"/>
      <c r="H54" s="566"/>
      <c r="I54" s="354"/>
      <c r="J54" s="921"/>
      <c r="K54" s="921"/>
      <c r="L54" s="355"/>
      <c r="M54" s="560">
        <v>7</v>
      </c>
      <c r="N54" s="561" t="s">
        <v>338</v>
      </c>
      <c r="O54" s="562" t="s">
        <v>339</v>
      </c>
      <c r="P54" s="563"/>
      <c r="Q54" s="564"/>
      <c r="R54" s="565">
        <v>521100</v>
      </c>
      <c r="S54" s="748" t="s">
        <v>340</v>
      </c>
      <c r="T54" s="747">
        <v>45688</v>
      </c>
      <c r="U54" s="732">
        <v>650850.70315160288</v>
      </c>
      <c r="V54" s="923"/>
      <c r="W54" s="758">
        <v>45701</v>
      </c>
      <c r="X54" s="922"/>
      <c r="Y54" s="924" t="s">
        <v>341</v>
      </c>
      <c r="Z54" s="596"/>
    </row>
    <row r="55" spans="1:43" ht="14.25" customHeight="1" thickBot="1">
      <c r="B55" s="560"/>
      <c r="C55" s="561"/>
      <c r="D55" s="562"/>
      <c r="E55" s="563"/>
      <c r="F55" s="564"/>
      <c r="G55" s="565"/>
      <c r="H55" s="566"/>
      <c r="I55" s="354"/>
      <c r="J55" s="921"/>
      <c r="K55" s="921"/>
      <c r="L55" s="355"/>
      <c r="M55" s="560">
        <v>7</v>
      </c>
      <c r="N55" s="561" t="s">
        <v>338</v>
      </c>
      <c r="O55" s="562" t="s">
        <v>342</v>
      </c>
      <c r="P55" s="563"/>
      <c r="Q55" s="564"/>
      <c r="R55" s="565">
        <v>584600</v>
      </c>
      <c r="S55" s="748" t="s">
        <v>340</v>
      </c>
      <c r="T55" s="747">
        <v>45688</v>
      </c>
      <c r="U55" s="732">
        <v>730161.81359130121</v>
      </c>
      <c r="V55" s="923"/>
      <c r="W55" s="758">
        <f>W54</f>
        <v>45701</v>
      </c>
      <c r="X55" s="922"/>
      <c r="Y55" s="925"/>
      <c r="Z55" s="596"/>
    </row>
    <row r="56" spans="1:43" ht="14.25" customHeight="1" thickBot="1">
      <c r="B56" s="560"/>
      <c r="C56" s="561"/>
      <c r="D56" s="562"/>
      <c r="E56" s="563"/>
      <c r="F56" s="564"/>
      <c r="G56" s="565"/>
      <c r="H56" s="566"/>
      <c r="I56" s="354"/>
      <c r="J56" s="921"/>
      <c r="K56" s="921"/>
      <c r="L56" s="355"/>
      <c r="M56" s="560">
        <v>7</v>
      </c>
      <c r="N56" s="561" t="s">
        <v>338</v>
      </c>
      <c r="O56" s="562" t="s">
        <v>343</v>
      </c>
      <c r="P56" s="563"/>
      <c r="Q56" s="564"/>
      <c r="R56" s="565">
        <v>296000</v>
      </c>
      <c r="S56" s="748" t="s">
        <v>340</v>
      </c>
      <c r="T56" s="747">
        <v>45688</v>
      </c>
      <c r="U56" s="732">
        <v>369702.18409686134</v>
      </c>
      <c r="V56" s="923"/>
      <c r="W56" s="758">
        <f>W54</f>
        <v>45701</v>
      </c>
      <c r="X56" s="922"/>
      <c r="Y56" s="925"/>
      <c r="Z56" s="596"/>
    </row>
    <row r="57" spans="1:43" ht="14.25" customHeight="1" thickBot="1">
      <c r="B57" s="560"/>
      <c r="C57" s="561"/>
      <c r="D57" s="562"/>
      <c r="E57" s="563"/>
      <c r="F57" s="564"/>
      <c r="G57" s="565"/>
      <c r="H57" s="566"/>
      <c r="I57" s="354"/>
      <c r="J57" s="921"/>
      <c r="K57" s="921"/>
      <c r="L57" s="355"/>
      <c r="M57" s="560">
        <v>7</v>
      </c>
      <c r="N57" s="561" t="s">
        <v>338</v>
      </c>
      <c r="O57" s="562" t="s">
        <v>344</v>
      </c>
      <c r="P57" s="603">
        <v>2</v>
      </c>
      <c r="Q57" s="704">
        <v>2461447</v>
      </c>
      <c r="R57" s="565">
        <f>P57*Q57</f>
        <v>4922894</v>
      </c>
      <c r="S57" s="748" t="s">
        <v>345</v>
      </c>
      <c r="T57" s="747">
        <v>45688</v>
      </c>
      <c r="U57" s="732">
        <v>6148664.4049909934</v>
      </c>
      <c r="V57" s="923"/>
      <c r="W57" s="758">
        <f>W54</f>
        <v>45701</v>
      </c>
      <c r="X57" s="922"/>
      <c r="Y57" s="926"/>
      <c r="Z57" s="596"/>
    </row>
    <row r="58" spans="1:43" ht="14.25" customHeight="1" thickBot="1">
      <c r="B58" s="560"/>
      <c r="C58" s="561"/>
      <c r="D58" s="562"/>
      <c r="E58" s="563"/>
      <c r="F58" s="564"/>
      <c r="G58" s="565"/>
      <c r="H58" s="566"/>
      <c r="I58" s="354"/>
      <c r="J58" s="921"/>
      <c r="K58" s="921"/>
      <c r="L58" s="355"/>
      <c r="M58" s="560">
        <v>7</v>
      </c>
      <c r="N58" s="561" t="s">
        <v>338</v>
      </c>
      <c r="O58" s="562" t="s">
        <v>346</v>
      </c>
      <c r="P58" s="563"/>
      <c r="Q58" s="564"/>
      <c r="R58" s="565">
        <v>0</v>
      </c>
      <c r="S58" s="529"/>
      <c r="T58" s="511"/>
      <c r="U58" s="514">
        <f t="shared" si="20"/>
        <v>0</v>
      </c>
      <c r="V58" s="923"/>
      <c r="W58" s="567"/>
      <c r="X58" s="922"/>
      <c r="Y58" s="492"/>
      <c r="Z58" s="596"/>
    </row>
    <row r="59" spans="1:43" ht="14.25" customHeight="1" thickBot="1">
      <c r="B59" s="560">
        <v>7</v>
      </c>
      <c r="C59" s="561"/>
      <c r="D59" s="562" t="s">
        <v>347</v>
      </c>
      <c r="E59" s="563"/>
      <c r="F59" s="564"/>
      <c r="G59" s="565">
        <v>346000</v>
      </c>
      <c r="H59" s="566">
        <f>'Project Plan'!E20</f>
        <v>45684</v>
      </c>
      <c r="I59" s="354"/>
      <c r="J59" s="921"/>
      <c r="K59" s="921"/>
      <c r="L59" s="355"/>
      <c r="M59" s="560">
        <v>7</v>
      </c>
      <c r="N59" s="561" t="s">
        <v>338</v>
      </c>
      <c r="O59" s="562"/>
      <c r="P59" s="563"/>
      <c r="Q59" s="704"/>
      <c r="R59" s="565"/>
      <c r="S59" s="529"/>
      <c r="T59" s="511"/>
      <c r="U59" s="514">
        <f t="shared" si="20"/>
        <v>0</v>
      </c>
      <c r="V59" s="923"/>
      <c r="W59" s="567"/>
      <c r="X59" s="922"/>
      <c r="Y59" s="492"/>
      <c r="Z59" s="596"/>
    </row>
    <row r="60" spans="1:43" ht="14.25" customHeight="1" thickBot="1">
      <c r="B60" s="560">
        <v>7</v>
      </c>
      <c r="C60" s="561"/>
      <c r="D60" s="562" t="s">
        <v>348</v>
      </c>
      <c r="E60" s="563"/>
      <c r="F60" s="564"/>
      <c r="G60" s="565">
        <v>498000</v>
      </c>
      <c r="H60" s="566">
        <f>H59</f>
        <v>45684</v>
      </c>
      <c r="I60" s="354"/>
      <c r="J60" s="921"/>
      <c r="K60" s="921"/>
      <c r="L60" s="355"/>
      <c r="M60" s="560">
        <v>7</v>
      </c>
      <c r="N60" s="561" t="s">
        <v>338</v>
      </c>
      <c r="O60" s="569" t="s">
        <v>349</v>
      </c>
      <c r="P60" s="563"/>
      <c r="Q60" s="704"/>
      <c r="R60" s="565">
        <v>20645</v>
      </c>
      <c r="S60" s="748" t="s">
        <v>350</v>
      </c>
      <c r="T60" s="802">
        <v>45869</v>
      </c>
      <c r="U60" s="514">
        <v>0</v>
      </c>
      <c r="V60" s="923"/>
      <c r="W60" s="758">
        <v>45842</v>
      </c>
      <c r="X60" s="922"/>
      <c r="Y60" s="492" t="s">
        <v>351</v>
      </c>
      <c r="Z60" s="493"/>
    </row>
    <row r="61" spans="1:43" ht="14.25" customHeight="1" thickBot="1">
      <c r="B61" s="560">
        <v>7</v>
      </c>
      <c r="C61" s="561"/>
      <c r="D61" s="562" t="s">
        <v>352</v>
      </c>
      <c r="E61" s="563"/>
      <c r="F61" s="564"/>
      <c r="G61" s="565">
        <v>263526.95652173914</v>
      </c>
      <c r="H61" s="566">
        <f>H60+30</f>
        <v>45714</v>
      </c>
      <c r="I61" s="354"/>
      <c r="J61" s="921"/>
      <c r="K61" s="921"/>
      <c r="L61" s="355"/>
      <c r="M61" s="560">
        <v>7</v>
      </c>
      <c r="N61" s="561" t="s">
        <v>338</v>
      </c>
      <c r="O61" s="562"/>
      <c r="P61" s="563"/>
      <c r="Q61" s="704"/>
      <c r="R61" s="565"/>
      <c r="S61" s="529"/>
      <c r="T61" s="511"/>
      <c r="U61" s="514">
        <f t="shared" si="20"/>
        <v>0</v>
      </c>
      <c r="V61" s="923"/>
      <c r="W61" s="567"/>
      <c r="X61" s="922"/>
      <c r="Y61" s="492"/>
      <c r="Z61" s="493"/>
    </row>
    <row r="62" spans="1:43" ht="14.25" customHeight="1" thickBot="1">
      <c r="B62" s="560">
        <v>7</v>
      </c>
      <c r="C62" s="561"/>
      <c r="D62" s="562" t="s">
        <v>353</v>
      </c>
      <c r="E62" s="563"/>
      <c r="F62" s="564"/>
      <c r="G62" s="565">
        <v>125000</v>
      </c>
      <c r="H62" s="566">
        <f>H61</f>
        <v>45714</v>
      </c>
      <c r="I62" s="354"/>
      <c r="J62" s="921"/>
      <c r="K62" s="921"/>
      <c r="L62" s="355"/>
      <c r="M62" s="560">
        <v>7</v>
      </c>
      <c r="N62" s="561" t="s">
        <v>338</v>
      </c>
      <c r="O62" s="562" t="s">
        <v>354</v>
      </c>
      <c r="P62" s="563"/>
      <c r="Q62" s="564"/>
      <c r="R62" s="565"/>
      <c r="S62" s="529"/>
      <c r="T62" s="511"/>
      <c r="U62" s="514">
        <f t="shared" si="20"/>
        <v>0</v>
      </c>
      <c r="V62" s="923"/>
      <c r="W62" s="567"/>
      <c r="X62" s="922"/>
      <c r="Y62" s="492"/>
      <c r="Z62" s="493"/>
    </row>
    <row r="63" spans="1:43" ht="14.25" customHeight="1" thickBot="1">
      <c r="B63" s="560">
        <v>7</v>
      </c>
      <c r="C63" s="561"/>
      <c r="D63" s="562"/>
      <c r="E63" s="563"/>
      <c r="F63" s="564"/>
      <c r="G63" s="565"/>
      <c r="H63" s="566"/>
      <c r="I63" s="354"/>
      <c r="J63" s="921"/>
      <c r="K63" s="921"/>
      <c r="L63" s="355"/>
      <c r="M63" s="560">
        <v>7</v>
      </c>
      <c r="N63" s="561" t="s">
        <v>338</v>
      </c>
      <c r="O63" s="562" t="s">
        <v>355</v>
      </c>
      <c r="P63" s="563"/>
      <c r="Q63" s="564"/>
      <c r="R63" s="565">
        <f>41290 * 0.8</f>
        <v>33032</v>
      </c>
      <c r="S63" s="748" t="s">
        <v>356</v>
      </c>
      <c r="T63" s="747">
        <v>45777</v>
      </c>
      <c r="U63" s="732">
        <v>126963.80915690806</v>
      </c>
      <c r="V63" s="923"/>
      <c r="W63" s="758">
        <v>45757</v>
      </c>
      <c r="X63" s="922"/>
      <c r="Y63" s="918" t="s">
        <v>357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921"/>
      <c r="K64" s="921"/>
      <c r="L64" s="358"/>
      <c r="M64" s="403">
        <v>7</v>
      </c>
      <c r="N64" s="433" t="s">
        <v>338</v>
      </c>
      <c r="O64" s="422" t="s">
        <v>358</v>
      </c>
      <c r="P64" s="406"/>
      <c r="Q64" s="423"/>
      <c r="R64" s="424">
        <f>41290* 0.2</f>
        <v>8258</v>
      </c>
      <c r="S64" s="776" t="s">
        <v>356</v>
      </c>
      <c r="T64" s="777">
        <v>45777</v>
      </c>
      <c r="U64" s="783">
        <v>10425.517289227013</v>
      </c>
      <c r="V64" s="923"/>
      <c r="W64" s="758">
        <v>45785</v>
      </c>
      <c r="X64" s="922"/>
      <c r="Y64" s="919"/>
      <c r="Z64" s="200"/>
    </row>
    <row r="65" spans="1:43" ht="14.4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0" t="str">
        <f t="shared" si="19"/>
        <v/>
      </c>
      <c r="U65" s="505"/>
      <c r="V65" s="635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359</v>
      </c>
      <c r="D66" s="427"/>
      <c r="E66" s="709"/>
      <c r="F66" s="707"/>
      <c r="G66" s="428"/>
      <c r="H66" s="429"/>
      <c r="I66" s="370"/>
      <c r="J66" s="920">
        <f>SUM(G66:G76)</f>
        <v>0</v>
      </c>
      <c r="K66" s="921">
        <v>193988.08</v>
      </c>
      <c r="L66" s="371"/>
      <c r="M66" s="426">
        <v>8</v>
      </c>
      <c r="N66" s="663" t="s">
        <v>360</v>
      </c>
      <c r="O66" s="427" t="s">
        <v>361</v>
      </c>
      <c r="P66" s="727">
        <v>0.7</v>
      </c>
      <c r="Q66" s="707">
        <v>135656</v>
      </c>
      <c r="R66" s="428">
        <f>P66*Q66</f>
        <v>94959.2</v>
      </c>
      <c r="S66" s="539" t="s">
        <v>362</v>
      </c>
      <c r="T66" s="729">
        <v>45657</v>
      </c>
      <c r="U66" s="740">
        <f>(R66/$X$66*$K$66)</f>
        <v>58843.236586052408</v>
      </c>
      <c r="V66" s="928">
        <f>K66-SUM(U66:U76)</f>
        <v>-21238.979577624676</v>
      </c>
      <c r="W66" s="731">
        <v>45638</v>
      </c>
      <c r="X66" s="927">
        <f>SUM(R66:R76)</f>
        <v>313051.31999999995</v>
      </c>
      <c r="Y66" s="904" t="s">
        <v>363</v>
      </c>
      <c r="Z66" s="205"/>
    </row>
    <row r="67" spans="1:43" ht="14.25" customHeight="1" thickBot="1">
      <c r="B67" s="412">
        <v>8</v>
      </c>
      <c r="C67" s="413"/>
      <c r="D67" s="430"/>
      <c r="E67" s="649"/>
      <c r="F67" s="708"/>
      <c r="G67" s="414"/>
      <c r="H67" s="415"/>
      <c r="I67" s="379"/>
      <c r="J67" s="920"/>
      <c r="K67" s="921"/>
      <c r="L67" s="380"/>
      <c r="M67" s="412">
        <v>8</v>
      </c>
      <c r="N67" s="673" t="s">
        <v>360</v>
      </c>
      <c r="O67" s="430" t="s">
        <v>361</v>
      </c>
      <c r="P67" s="829">
        <v>0.3</v>
      </c>
      <c r="Q67" s="828"/>
      <c r="R67" s="377">
        <f>Q66*P67</f>
        <v>40696.799999999996</v>
      </c>
      <c r="S67" s="539" t="s">
        <v>362</v>
      </c>
      <c r="T67" s="730">
        <v>45657</v>
      </c>
      <c r="U67" s="742">
        <f>(R67/$X$66*$K$66)</f>
        <v>25218.529965451031</v>
      </c>
      <c r="V67" s="928"/>
      <c r="W67" s="745">
        <v>45680</v>
      </c>
      <c r="X67" s="927"/>
      <c r="Y67" s="905"/>
      <c r="Z67" s="204"/>
    </row>
    <row r="68" spans="1:43" ht="14.25" customHeight="1" thickBot="1">
      <c r="B68" s="412"/>
      <c r="C68" s="413"/>
      <c r="D68" s="430"/>
      <c r="E68" s="649"/>
      <c r="F68" s="708"/>
      <c r="G68" s="414"/>
      <c r="H68" s="415"/>
      <c r="I68" s="379"/>
      <c r="J68" s="920"/>
      <c r="K68" s="921"/>
      <c r="L68" s="380"/>
      <c r="M68" s="412">
        <v>8</v>
      </c>
      <c r="N68" s="673" t="s">
        <v>360</v>
      </c>
      <c r="O68" s="430" t="s">
        <v>364</v>
      </c>
      <c r="P68" s="825">
        <v>0.8</v>
      </c>
      <c r="Q68" s="824">
        <v>103835</v>
      </c>
      <c r="R68" s="826">
        <f>P68*Q68</f>
        <v>83068</v>
      </c>
      <c r="S68" s="627" t="s">
        <v>365</v>
      </c>
      <c r="T68" s="730">
        <v>45900</v>
      </c>
      <c r="U68" s="791">
        <v>61634.14</v>
      </c>
      <c r="V68" s="928"/>
      <c r="W68" s="745">
        <v>45883</v>
      </c>
      <c r="X68" s="927"/>
      <c r="Y68" s="912" t="s">
        <v>366</v>
      </c>
      <c r="Z68" s="204"/>
    </row>
    <row r="69" spans="1:43" ht="14.25" customHeight="1" thickBot="1">
      <c r="B69" s="412">
        <v>8</v>
      </c>
      <c r="C69" s="413"/>
      <c r="D69" s="430"/>
      <c r="E69" s="649"/>
      <c r="F69" s="711"/>
      <c r="G69" s="414"/>
      <c r="H69" s="415"/>
      <c r="I69" s="379"/>
      <c r="J69" s="920"/>
      <c r="K69" s="921"/>
      <c r="L69" s="380"/>
      <c r="M69" s="412">
        <v>8</v>
      </c>
      <c r="N69" s="673" t="s">
        <v>360</v>
      </c>
      <c r="O69" s="430"/>
      <c r="P69" s="728">
        <v>0.2</v>
      </c>
      <c r="Q69" s="708"/>
      <c r="R69" s="414">
        <f>Q68*P69</f>
        <v>20767</v>
      </c>
      <c r="S69" s="627" t="s">
        <v>365</v>
      </c>
      <c r="T69" s="730">
        <v>45900</v>
      </c>
      <c r="U69" s="791">
        <v>13633.19</v>
      </c>
      <c r="V69" s="928"/>
      <c r="W69" s="745">
        <v>45901</v>
      </c>
      <c r="X69" s="927"/>
      <c r="Y69" s="905"/>
      <c r="Z69" s="204"/>
    </row>
    <row r="70" spans="1:43" ht="14.25" customHeight="1" thickBot="1">
      <c r="B70" s="412">
        <v>8</v>
      </c>
      <c r="C70" s="413"/>
      <c r="D70" s="430"/>
      <c r="E70" s="649"/>
      <c r="F70" s="708"/>
      <c r="G70" s="414"/>
      <c r="H70" s="415"/>
      <c r="I70" s="379"/>
      <c r="J70" s="920"/>
      <c r="K70" s="921"/>
      <c r="L70" s="380"/>
      <c r="M70" s="412">
        <v>8</v>
      </c>
      <c r="N70" s="673" t="s">
        <v>360</v>
      </c>
      <c r="O70" s="430" t="s">
        <v>367</v>
      </c>
      <c r="P70" s="649"/>
      <c r="Q70" s="708"/>
      <c r="R70" s="414">
        <v>6715</v>
      </c>
      <c r="S70" s="627" t="s">
        <v>368</v>
      </c>
      <c r="T70" s="730">
        <v>45747</v>
      </c>
      <c r="U70" s="742">
        <v>9149.5499999999993</v>
      </c>
      <c r="V70" s="928"/>
      <c r="W70" s="745">
        <f>T70+30</f>
        <v>45777</v>
      </c>
      <c r="X70" s="927"/>
      <c r="Y70" s="218" t="s">
        <v>369</v>
      </c>
      <c r="Z70" s="204"/>
    </row>
    <row r="71" spans="1:43" ht="15" customHeight="1" thickBot="1">
      <c r="B71" s="381">
        <v>8</v>
      </c>
      <c r="C71" s="382"/>
      <c r="D71" s="383"/>
      <c r="E71" s="710"/>
      <c r="F71" s="385"/>
      <c r="G71" s="386"/>
      <c r="H71" s="387"/>
      <c r="I71" s="388"/>
      <c r="J71" s="920"/>
      <c r="K71" s="921"/>
      <c r="L71" s="827"/>
      <c r="M71" s="372">
        <v>8</v>
      </c>
      <c r="N71" s="668" t="s">
        <v>360</v>
      </c>
      <c r="O71" s="374" t="s">
        <v>370</v>
      </c>
      <c r="P71" s="590"/>
      <c r="Q71" s="376"/>
      <c r="R71" s="377">
        <v>22794.36</v>
      </c>
      <c r="S71" s="780" t="s">
        <v>371</v>
      </c>
      <c r="T71" s="833">
        <v>45838</v>
      </c>
      <c r="U71" s="791">
        <v>25509.433026121202</v>
      </c>
      <c r="V71" s="928"/>
      <c r="W71" s="753">
        <v>45834</v>
      </c>
      <c r="X71" s="927"/>
      <c r="Y71" s="218" t="s">
        <v>372</v>
      </c>
      <c r="Z71" s="218"/>
    </row>
    <row r="72" spans="1:43" ht="15" customHeight="1" thickBot="1">
      <c r="B72" s="381"/>
      <c r="C72" s="382"/>
      <c r="D72" s="383"/>
      <c r="E72" s="710"/>
      <c r="F72" s="385"/>
      <c r="G72" s="386"/>
      <c r="H72" s="387"/>
      <c r="I72" s="388"/>
      <c r="J72" s="920"/>
      <c r="K72" s="921"/>
      <c r="L72" s="827"/>
      <c r="M72" s="372">
        <v>8</v>
      </c>
      <c r="N72" s="668" t="s">
        <v>360</v>
      </c>
      <c r="O72" s="374"/>
      <c r="P72" s="590"/>
      <c r="Q72" s="376"/>
      <c r="R72" s="377"/>
      <c r="S72" s="780"/>
      <c r="T72" s="833"/>
      <c r="U72" s="791">
        <v>0</v>
      </c>
      <c r="V72" s="928"/>
      <c r="W72" s="753"/>
      <c r="X72" s="927"/>
      <c r="Y72" s="218"/>
      <c r="Z72" s="218"/>
    </row>
    <row r="73" spans="1:43" ht="15" customHeight="1" thickBot="1">
      <c r="B73" s="381"/>
      <c r="C73" s="382"/>
      <c r="D73" s="383"/>
      <c r="E73" s="710"/>
      <c r="F73" s="385"/>
      <c r="G73" s="386"/>
      <c r="H73" s="387"/>
      <c r="I73" s="388"/>
      <c r="J73" s="920"/>
      <c r="K73" s="921"/>
      <c r="L73" s="827"/>
      <c r="M73" s="372">
        <v>8</v>
      </c>
      <c r="N73" s="668" t="s">
        <v>360</v>
      </c>
      <c r="O73" s="374"/>
      <c r="P73" s="590"/>
      <c r="Q73" s="376"/>
      <c r="R73" s="377"/>
      <c r="S73" s="780"/>
      <c r="T73" s="833"/>
      <c r="U73" s="791">
        <v>0</v>
      </c>
      <c r="V73" s="928"/>
      <c r="W73" s="753"/>
      <c r="X73" s="927"/>
      <c r="Y73" s="218"/>
      <c r="Z73" s="218"/>
    </row>
    <row r="74" spans="1:43" ht="15" customHeight="1">
      <c r="B74" s="381">
        <v>8</v>
      </c>
      <c r="C74" s="382"/>
      <c r="D74" s="383"/>
      <c r="E74" s="710"/>
      <c r="F74" s="385"/>
      <c r="G74" s="386"/>
      <c r="H74" s="387"/>
      <c r="I74" s="388"/>
      <c r="J74" s="920"/>
      <c r="K74" s="921"/>
      <c r="L74" s="827"/>
      <c r="M74" s="372">
        <v>8</v>
      </c>
      <c r="N74" s="668" t="s">
        <v>360</v>
      </c>
      <c r="O74" s="374" t="s">
        <v>373</v>
      </c>
      <c r="P74" s="590"/>
      <c r="Q74" s="376"/>
      <c r="R74" s="886">
        <v>7200</v>
      </c>
      <c r="S74" s="780" t="s">
        <v>374</v>
      </c>
      <c r="T74" s="833">
        <v>45900</v>
      </c>
      <c r="U74" s="791">
        <v>0</v>
      </c>
      <c r="V74" s="928"/>
      <c r="W74" s="753">
        <f>T74+30</f>
        <v>45930</v>
      </c>
      <c r="X74" s="927"/>
      <c r="Y74" s="218" t="s">
        <v>375</v>
      </c>
      <c r="Z74" s="218"/>
    </row>
    <row r="75" spans="1:43" ht="15" customHeight="1" thickBot="1">
      <c r="B75" s="381">
        <v>8</v>
      </c>
      <c r="C75" s="382"/>
      <c r="D75" s="383"/>
      <c r="E75" s="710"/>
      <c r="F75" s="385"/>
      <c r="G75" s="386"/>
      <c r="H75" s="387"/>
      <c r="I75" s="388"/>
      <c r="J75" s="920"/>
      <c r="K75" s="921"/>
      <c r="L75" s="827"/>
      <c r="M75" s="372">
        <v>8</v>
      </c>
      <c r="N75" s="668" t="s">
        <v>360</v>
      </c>
      <c r="O75" s="374" t="s">
        <v>376</v>
      </c>
      <c r="P75" s="590"/>
      <c r="Q75" s="376"/>
      <c r="R75" s="377">
        <v>36485.85</v>
      </c>
      <c r="S75" s="780" t="s">
        <v>377</v>
      </c>
      <c r="T75" s="833">
        <v>45900</v>
      </c>
      <c r="U75" s="791">
        <v>21238.98</v>
      </c>
      <c r="V75" s="928"/>
      <c r="W75" s="753">
        <v>45888</v>
      </c>
      <c r="X75" s="927"/>
      <c r="Y75" s="218" t="s">
        <v>378</v>
      </c>
      <c r="Z75" s="218"/>
    </row>
    <row r="76" spans="1:43" ht="15" customHeight="1" thickBot="1">
      <c r="B76" s="381">
        <v>8</v>
      </c>
      <c r="C76" s="382"/>
      <c r="D76" s="383"/>
      <c r="E76" s="710"/>
      <c r="F76" s="385"/>
      <c r="G76" s="386"/>
      <c r="H76" s="387"/>
      <c r="I76" s="388"/>
      <c r="J76" s="920"/>
      <c r="K76" s="921"/>
      <c r="L76" s="389"/>
      <c r="M76" s="585">
        <v>8</v>
      </c>
      <c r="N76" s="820" t="s">
        <v>360</v>
      </c>
      <c r="O76" s="821" t="s">
        <v>379</v>
      </c>
      <c r="P76" s="587"/>
      <c r="Q76" s="822"/>
      <c r="R76" s="589">
        <v>365.11</v>
      </c>
      <c r="S76" s="823" t="s">
        <v>380</v>
      </c>
      <c r="T76" s="830">
        <v>45869</v>
      </c>
      <c r="U76" s="831"/>
      <c r="V76" s="928"/>
      <c r="W76" s="832">
        <v>45900</v>
      </c>
      <c r="X76" s="927"/>
      <c r="Y76" s="216" t="s">
        <v>372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4"/>
      <c r="K77" s="685"/>
      <c r="L77" s="166" t="s">
        <v>381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89"/>
      <c r="W77" s="478"/>
      <c r="X77" s="690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2" t="s">
        <v>382</v>
      </c>
      <c r="D78" s="418" t="s">
        <v>289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929">
        <f>SUM(G78:G85)</f>
        <v>342160</v>
      </c>
      <c r="K78" s="921">
        <f>117764.705882353+284776.470588235</f>
        <v>402541.17647058802</v>
      </c>
      <c r="L78" s="355"/>
      <c r="M78" s="397">
        <v>9</v>
      </c>
      <c r="N78" s="661" t="s">
        <v>383</v>
      </c>
      <c r="O78" s="418" t="s">
        <v>289</v>
      </c>
      <c r="P78" s="696">
        <f>AF41+AF42</f>
        <v>676952</v>
      </c>
      <c r="Q78" s="419">
        <v>0.1</v>
      </c>
      <c r="R78" s="347">
        <f>$P$78*Q78</f>
        <v>67695.199999999997</v>
      </c>
      <c r="S78" s="541" t="s">
        <v>384</v>
      </c>
      <c r="T78" s="750">
        <v>45688</v>
      </c>
      <c r="U78" s="764">
        <v>40254.117647058811</v>
      </c>
      <c r="V78" s="945">
        <v>0</v>
      </c>
      <c r="W78" s="755">
        <v>45695</v>
      </c>
      <c r="X78" s="942">
        <f>SUM(R78:R85)</f>
        <v>676951.99999999988</v>
      </c>
      <c r="Y78" s="915" t="s">
        <v>295</v>
      </c>
      <c r="Z78" s="199"/>
    </row>
    <row r="79" spans="1:43" ht="15" customHeight="1" thickBot="1">
      <c r="B79" s="397">
        <v>9</v>
      </c>
      <c r="C79" s="692">
        <v>100100</v>
      </c>
      <c r="D79" s="420" t="s">
        <v>134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929"/>
      <c r="K79" s="921"/>
      <c r="L79" s="355"/>
      <c r="M79" s="397">
        <v>9</v>
      </c>
      <c r="N79" s="661" t="s">
        <v>383</v>
      </c>
      <c r="O79" s="420" t="s">
        <v>134</v>
      </c>
      <c r="P79" s="402"/>
      <c r="Q79" s="421">
        <v>0.15</v>
      </c>
      <c r="R79" s="401">
        <f t="shared" ref="R79:R85" si="22">$P$78*Q79</f>
        <v>101542.8</v>
      </c>
      <c r="S79" s="528" t="s">
        <v>297</v>
      </c>
      <c r="T79" s="717">
        <v>45688</v>
      </c>
      <c r="U79" s="765">
        <v>60381.176470588209</v>
      </c>
      <c r="V79" s="945"/>
      <c r="W79" s="757">
        <v>45701</v>
      </c>
      <c r="X79" s="942"/>
      <c r="Y79" s="916"/>
      <c r="Z79" s="199"/>
    </row>
    <row r="80" spans="1:43" ht="15" customHeight="1" thickBot="1">
      <c r="B80" s="397">
        <v>9</v>
      </c>
      <c r="C80" s="692">
        <v>242059.99999999997</v>
      </c>
      <c r="D80" s="420" t="s">
        <v>296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929"/>
      <c r="K80" s="921"/>
      <c r="L80" s="355"/>
      <c r="M80" s="397">
        <v>9</v>
      </c>
      <c r="N80" s="661" t="s">
        <v>383</v>
      </c>
      <c r="O80" s="420" t="s">
        <v>296</v>
      </c>
      <c r="P80" s="402"/>
      <c r="Q80" s="421">
        <v>0.2</v>
      </c>
      <c r="R80" s="401">
        <f t="shared" si="22"/>
        <v>135390.39999999999</v>
      </c>
      <c r="S80" s="528" t="s">
        <v>299</v>
      </c>
      <c r="T80" s="717">
        <f t="shared" si="19"/>
        <v>45777</v>
      </c>
      <c r="U80" s="765">
        <v>80508.235294117621</v>
      </c>
      <c r="V80" s="945"/>
      <c r="W80" s="757">
        <v>45771</v>
      </c>
      <c r="X80" s="942"/>
      <c r="Y80" s="916"/>
      <c r="Z80" s="199"/>
    </row>
    <row r="81" spans="1:43" ht="15" customHeight="1" thickBot="1">
      <c r="B81" s="397">
        <v>9</v>
      </c>
      <c r="C81" s="432"/>
      <c r="D81" s="420" t="s">
        <v>298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929"/>
      <c r="K81" s="921"/>
      <c r="L81" s="355"/>
      <c r="M81" s="397">
        <v>9</v>
      </c>
      <c r="N81" s="661" t="s">
        <v>383</v>
      </c>
      <c r="O81" s="420" t="s">
        <v>298</v>
      </c>
      <c r="P81" s="402"/>
      <c r="Q81" s="421">
        <v>0.25</v>
      </c>
      <c r="R81" s="401">
        <f t="shared" si="22"/>
        <v>169238</v>
      </c>
      <c r="S81" s="528" t="s">
        <v>301</v>
      </c>
      <c r="T81" s="717">
        <v>45777</v>
      </c>
      <c r="U81" s="765">
        <v>100635.29411764703</v>
      </c>
      <c r="V81" s="945"/>
      <c r="W81" s="757">
        <v>45771</v>
      </c>
      <c r="X81" s="942"/>
      <c r="Y81" s="916"/>
      <c r="Z81" s="199"/>
    </row>
    <row r="82" spans="1:43" ht="15" customHeight="1" thickBot="1">
      <c r="B82" s="397">
        <v>9</v>
      </c>
      <c r="C82" s="432"/>
      <c r="D82" s="420" t="s">
        <v>300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929"/>
      <c r="K82" s="921"/>
      <c r="L82" s="355"/>
      <c r="M82" s="397">
        <v>9</v>
      </c>
      <c r="N82" s="661" t="s">
        <v>383</v>
      </c>
      <c r="O82" s="420" t="s">
        <v>300</v>
      </c>
      <c r="P82" s="402"/>
      <c r="Q82" s="421">
        <v>0.1</v>
      </c>
      <c r="R82" s="401">
        <f t="shared" si="22"/>
        <v>67695.199999999997</v>
      </c>
      <c r="S82" s="537" t="s">
        <v>303</v>
      </c>
      <c r="T82" s="759">
        <v>45777</v>
      </c>
      <c r="U82" s="784">
        <v>40254.117647058811</v>
      </c>
      <c r="V82" s="945"/>
      <c r="W82" s="796">
        <v>45785</v>
      </c>
      <c r="X82" s="942"/>
      <c r="Y82" s="916"/>
      <c r="Z82" s="199"/>
    </row>
    <row r="83" spans="1:43" ht="15" customHeight="1" thickBot="1">
      <c r="B83" s="397">
        <v>9</v>
      </c>
      <c r="C83" s="432"/>
      <c r="D83" s="420" t="s">
        <v>302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929"/>
      <c r="K83" s="921"/>
      <c r="L83" s="355"/>
      <c r="M83" s="397">
        <v>9</v>
      </c>
      <c r="N83" s="661" t="s">
        <v>383</v>
      </c>
      <c r="O83" s="420" t="s">
        <v>302</v>
      </c>
      <c r="P83" s="402"/>
      <c r="Q83" s="421">
        <v>0.1</v>
      </c>
      <c r="R83" s="401">
        <f t="shared" si="22"/>
        <v>67695.199999999997</v>
      </c>
      <c r="S83" s="537" t="s">
        <v>305</v>
      </c>
      <c r="T83" s="759">
        <v>45808</v>
      </c>
      <c r="U83" s="792">
        <v>40254.117647058811</v>
      </c>
      <c r="V83" s="945"/>
      <c r="W83" s="796">
        <v>45820</v>
      </c>
      <c r="X83" s="942"/>
      <c r="Y83" s="916"/>
      <c r="Z83" s="199"/>
    </row>
    <row r="84" spans="1:43" ht="15" customHeight="1" thickBot="1">
      <c r="B84" s="560">
        <v>9</v>
      </c>
      <c r="C84" s="652"/>
      <c r="D84" s="562" t="s">
        <v>304</v>
      </c>
      <c r="E84" s="563"/>
      <c r="F84" s="564">
        <v>0.05</v>
      </c>
      <c r="G84" s="565">
        <f t="shared" si="21"/>
        <v>17108</v>
      </c>
      <c r="H84" s="566">
        <f>'Project Plan'!G55</f>
        <v>45786</v>
      </c>
      <c r="I84" s="354"/>
      <c r="J84" s="929"/>
      <c r="K84" s="921"/>
      <c r="L84" s="355"/>
      <c r="M84" s="397">
        <v>9</v>
      </c>
      <c r="N84" s="661" t="s">
        <v>383</v>
      </c>
      <c r="O84" s="562" t="s">
        <v>304</v>
      </c>
      <c r="P84" s="563"/>
      <c r="Q84" s="564">
        <v>0.05</v>
      </c>
      <c r="R84" s="565">
        <f t="shared" si="22"/>
        <v>33847.599999999999</v>
      </c>
      <c r="S84" s="537" t="s">
        <v>307</v>
      </c>
      <c r="T84" s="747">
        <v>45838</v>
      </c>
      <c r="U84" s="813">
        <v>20127.058823529405</v>
      </c>
      <c r="V84" s="945"/>
      <c r="W84" s="798">
        <f>'Project Plan'!K55+7</f>
        <v>45793</v>
      </c>
      <c r="X84" s="942"/>
      <c r="Y84" s="917"/>
      <c r="Z84" s="493"/>
    </row>
    <row r="85" spans="1:43" ht="15" customHeight="1" thickBot="1">
      <c r="B85" s="403">
        <v>9</v>
      </c>
      <c r="C85" s="681"/>
      <c r="D85" s="422" t="s">
        <v>306</v>
      </c>
      <c r="E85" s="406"/>
      <c r="F85" s="423">
        <v>0.05</v>
      </c>
      <c r="G85" s="424">
        <f t="shared" si="21"/>
        <v>17108</v>
      </c>
      <c r="H85" s="682">
        <f>H84+90</f>
        <v>45876</v>
      </c>
      <c r="I85" s="683"/>
      <c r="J85" s="929"/>
      <c r="K85" s="921"/>
      <c r="L85" s="494"/>
      <c r="M85" s="686">
        <v>9</v>
      </c>
      <c r="N85" s="687" t="s">
        <v>383</v>
      </c>
      <c r="O85" s="422" t="s">
        <v>306</v>
      </c>
      <c r="P85" s="406"/>
      <c r="Q85" s="423">
        <v>0.05</v>
      </c>
      <c r="R85" s="688">
        <f t="shared" si="22"/>
        <v>33847.599999999999</v>
      </c>
      <c r="S85" s="537" t="s">
        <v>308</v>
      </c>
      <c r="T85" s="799">
        <v>45838</v>
      </c>
      <c r="U85" s="814">
        <v>20127.058823529405</v>
      </c>
      <c r="V85" s="945"/>
      <c r="W85" s="682">
        <v>45869</v>
      </c>
      <c r="X85" s="942"/>
      <c r="Y85" s="691"/>
      <c r="Z85" s="200"/>
    </row>
    <row r="86" spans="1:43" ht="14.4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5"/>
      <c r="L86" s="24"/>
      <c r="M86" s="359"/>
      <c r="N86" s="390"/>
      <c r="O86" s="391"/>
      <c r="P86" s="392"/>
      <c r="Q86" s="393"/>
      <c r="R86" s="362"/>
      <c r="S86" s="633"/>
      <c r="T86" s="543" t="str">
        <f t="shared" ref="T86:T128" si="23">IF(W86&gt;1,EOMONTH(W86,0),"")</f>
        <v/>
      </c>
      <c r="U86" s="505"/>
      <c r="V86" s="634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385</v>
      </c>
      <c r="D87" s="322"/>
      <c r="E87" s="323"/>
      <c r="F87" s="434"/>
      <c r="G87" s="435"/>
      <c r="H87" s="325"/>
      <c r="I87" s="326"/>
      <c r="J87" s="930">
        <f>SUM(G87:G98)</f>
        <v>54108.833333333328</v>
      </c>
      <c r="K87" s="930">
        <f>10000+5803.92156862745+47853.5294117647</f>
        <v>63657.450980392154</v>
      </c>
      <c r="L87" s="436"/>
      <c r="M87" s="321">
        <v>10</v>
      </c>
      <c r="N87" s="674" t="s">
        <v>386</v>
      </c>
      <c r="O87" s="322" t="s">
        <v>387</v>
      </c>
      <c r="P87" s="323"/>
      <c r="Q87" s="434"/>
      <c r="R87" s="435">
        <v>16380</v>
      </c>
      <c r="S87" s="614" t="s">
        <v>388</v>
      </c>
      <c r="T87" s="772">
        <v>45747</v>
      </c>
      <c r="U87" s="741">
        <v>3052.5431209584194</v>
      </c>
      <c r="V87" s="937">
        <f>K87-SUM(U87:U98)</f>
        <v>-3.5580334952101111E-4</v>
      </c>
      <c r="W87" s="773">
        <v>45736</v>
      </c>
      <c r="X87" s="939">
        <f>SUM(R87:R98)</f>
        <v>114637</v>
      </c>
      <c r="Y87" s="207" t="s">
        <v>389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258</v>
      </c>
      <c r="E88" s="442"/>
      <c r="F88" s="443"/>
      <c r="G88" s="324">
        <v>8500</v>
      </c>
      <c r="H88" s="328">
        <f>H82</f>
        <v>45772</v>
      </c>
      <c r="I88" s="329"/>
      <c r="J88" s="930"/>
      <c r="K88" s="930"/>
      <c r="L88" s="330"/>
      <c r="M88" s="437">
        <v>10</v>
      </c>
      <c r="N88" s="675" t="s">
        <v>386</v>
      </c>
      <c r="O88" s="331" t="s">
        <v>390</v>
      </c>
      <c r="P88" s="442"/>
      <c r="Q88" s="443"/>
      <c r="R88" s="324">
        <v>7020</v>
      </c>
      <c r="S88" s="752" t="s">
        <v>391</v>
      </c>
      <c r="T88" s="751">
        <v>45747</v>
      </c>
      <c r="U88" s="766">
        <v>109.27</v>
      </c>
      <c r="V88" s="937"/>
      <c r="W88" s="775">
        <v>45750</v>
      </c>
      <c r="X88" s="939"/>
      <c r="Y88" s="210" t="s">
        <v>392</v>
      </c>
      <c r="Z88" s="195"/>
    </row>
    <row r="89" spans="1:43" ht="14.25" customHeight="1" thickBot="1">
      <c r="B89" s="437">
        <v>10</v>
      </c>
      <c r="C89" s="331"/>
      <c r="D89" s="331" t="s">
        <v>266</v>
      </c>
      <c r="E89" s="442"/>
      <c r="F89" s="443"/>
      <c r="G89" s="324">
        <v>4933.333333333333</v>
      </c>
      <c r="H89" s="328">
        <f>H88</f>
        <v>45772</v>
      </c>
      <c r="I89" s="329"/>
      <c r="J89" s="930"/>
      <c r="K89" s="930"/>
      <c r="L89" s="330"/>
      <c r="M89" s="437">
        <v>10</v>
      </c>
      <c r="N89" s="675" t="s">
        <v>386</v>
      </c>
      <c r="O89" s="331" t="s">
        <v>289</v>
      </c>
      <c r="P89" s="713">
        <f>SUM(AF43:AF45)</f>
        <v>91237</v>
      </c>
      <c r="Q89" s="712">
        <f>Q78</f>
        <v>0.1</v>
      </c>
      <c r="R89" s="324">
        <f>$P$89*Q89</f>
        <v>9123.7000000000007</v>
      </c>
      <c r="S89" s="752" t="str">
        <f>S78</f>
        <v>Matthews Group INV 1423</v>
      </c>
      <c r="T89" s="751">
        <f>T78</f>
        <v>45688</v>
      </c>
      <c r="U89" s="766">
        <v>6079.160758102219</v>
      </c>
      <c r="V89" s="937"/>
      <c r="W89" s="756">
        <f>W78</f>
        <v>45695</v>
      </c>
      <c r="X89" s="939"/>
      <c r="Y89" s="909" t="s">
        <v>295</v>
      </c>
      <c r="Z89" s="195"/>
    </row>
    <row r="90" spans="1:43" ht="15" customHeight="1" thickBot="1">
      <c r="B90" s="437">
        <v>10</v>
      </c>
      <c r="C90" s="438"/>
      <c r="D90" s="438" t="s">
        <v>393</v>
      </c>
      <c r="E90" s="439"/>
      <c r="F90" s="440"/>
      <c r="G90" s="441">
        <v>40675.5</v>
      </c>
      <c r="H90" s="328">
        <f>H88</f>
        <v>45772</v>
      </c>
      <c r="I90" s="329"/>
      <c r="J90" s="930"/>
      <c r="K90" s="930"/>
      <c r="L90" s="330"/>
      <c r="M90" s="437">
        <v>10</v>
      </c>
      <c r="N90" s="675" t="s">
        <v>386</v>
      </c>
      <c r="O90" s="438" t="s">
        <v>134</v>
      </c>
      <c r="P90" s="439"/>
      <c r="Q90" s="712">
        <f t="shared" ref="Q90:Q96" si="24">Q79</f>
        <v>0.15</v>
      </c>
      <c r="R90" s="324">
        <f t="shared" ref="R90:R96" si="25">$P$89*Q90</f>
        <v>13685.55</v>
      </c>
      <c r="S90" s="502" t="s">
        <v>297</v>
      </c>
      <c r="T90" s="751">
        <f t="shared" ref="T90:T96" si="26">T79</f>
        <v>45688</v>
      </c>
      <c r="U90" s="766">
        <v>9118.741137153329</v>
      </c>
      <c r="V90" s="937"/>
      <c r="W90" s="756">
        <f t="shared" ref="W90:W96" si="27">W79</f>
        <v>45701</v>
      </c>
      <c r="X90" s="939"/>
      <c r="Y90" s="910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930"/>
      <c r="K91" s="930"/>
      <c r="L91" s="330"/>
      <c r="M91" s="437">
        <v>10</v>
      </c>
      <c r="N91" s="675" t="s">
        <v>386</v>
      </c>
      <c r="O91" s="438" t="s">
        <v>296</v>
      </c>
      <c r="P91" s="439"/>
      <c r="Q91" s="712">
        <f t="shared" si="24"/>
        <v>0.2</v>
      </c>
      <c r="R91" s="324">
        <f t="shared" si="25"/>
        <v>18247.400000000001</v>
      </c>
      <c r="S91" s="502" t="s">
        <v>299</v>
      </c>
      <c r="T91" s="751">
        <f t="shared" si="26"/>
        <v>45777</v>
      </c>
      <c r="U91" s="766">
        <v>12684.565018661742</v>
      </c>
      <c r="V91" s="937"/>
      <c r="W91" s="756">
        <f t="shared" si="27"/>
        <v>45771</v>
      </c>
      <c r="X91" s="939"/>
      <c r="Y91" s="910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930"/>
      <c r="K92" s="930"/>
      <c r="L92" s="330"/>
      <c r="M92" s="437">
        <v>10</v>
      </c>
      <c r="N92" s="675" t="s">
        <v>386</v>
      </c>
      <c r="O92" s="438" t="s">
        <v>298</v>
      </c>
      <c r="P92" s="439"/>
      <c r="Q92" s="712">
        <f t="shared" si="24"/>
        <v>0.25</v>
      </c>
      <c r="R92" s="324">
        <f t="shared" si="25"/>
        <v>22809.25</v>
      </c>
      <c r="S92" s="502" t="s">
        <v>301</v>
      </c>
      <c r="T92" s="751">
        <f t="shared" si="26"/>
        <v>45777</v>
      </c>
      <c r="U92" s="766">
        <v>14824.168773327177</v>
      </c>
      <c r="V92" s="937"/>
      <c r="W92" s="756">
        <f t="shared" si="27"/>
        <v>45771</v>
      </c>
      <c r="X92" s="939"/>
      <c r="Y92" s="910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930"/>
      <c r="K93" s="930"/>
      <c r="L93" s="330"/>
      <c r="M93" s="437">
        <v>10</v>
      </c>
      <c r="N93" s="675" t="s">
        <v>386</v>
      </c>
      <c r="O93" s="438" t="s">
        <v>300</v>
      </c>
      <c r="P93" s="439"/>
      <c r="Q93" s="712">
        <f t="shared" si="24"/>
        <v>0.1</v>
      </c>
      <c r="R93" s="324">
        <f t="shared" si="25"/>
        <v>9123.7000000000007</v>
      </c>
      <c r="S93" s="502" t="s">
        <v>303</v>
      </c>
      <c r="T93" s="751">
        <f t="shared" si="26"/>
        <v>45777</v>
      </c>
      <c r="U93" s="766">
        <v>5929.6675093308704</v>
      </c>
      <c r="V93" s="937"/>
      <c r="W93" s="756">
        <f t="shared" si="27"/>
        <v>45785</v>
      </c>
      <c r="X93" s="939"/>
      <c r="Y93" s="910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930"/>
      <c r="K94" s="930"/>
      <c r="L94" s="330"/>
      <c r="M94" s="437">
        <v>10</v>
      </c>
      <c r="N94" s="675" t="s">
        <v>386</v>
      </c>
      <c r="O94" s="438" t="s">
        <v>302</v>
      </c>
      <c r="P94" s="439"/>
      <c r="Q94" s="712">
        <f t="shared" si="24"/>
        <v>0.1</v>
      </c>
      <c r="R94" s="324">
        <f t="shared" si="25"/>
        <v>9123.7000000000007</v>
      </c>
      <c r="S94" s="502" t="s">
        <v>305</v>
      </c>
      <c r="T94" s="751">
        <f t="shared" si="26"/>
        <v>45808</v>
      </c>
      <c r="U94" s="793">
        <v>5929.6675093308704</v>
      </c>
      <c r="V94" s="937"/>
      <c r="W94" s="756">
        <f t="shared" si="27"/>
        <v>45820</v>
      </c>
      <c r="X94" s="939"/>
      <c r="Y94" s="910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930"/>
      <c r="K95" s="930"/>
      <c r="L95" s="330"/>
      <c r="M95" s="437">
        <v>10</v>
      </c>
      <c r="N95" s="675" t="s">
        <v>386</v>
      </c>
      <c r="O95" s="438" t="s">
        <v>304</v>
      </c>
      <c r="P95" s="439"/>
      <c r="Q95" s="712">
        <f t="shared" si="24"/>
        <v>0.05</v>
      </c>
      <c r="R95" s="324">
        <f t="shared" si="25"/>
        <v>4561.8500000000004</v>
      </c>
      <c r="S95" s="502" t="s">
        <v>307</v>
      </c>
      <c r="T95" s="751">
        <f t="shared" si="26"/>
        <v>45838</v>
      </c>
      <c r="U95" s="793">
        <v>2964.8337546654352</v>
      </c>
      <c r="V95" s="937"/>
      <c r="W95" s="756">
        <f t="shared" si="27"/>
        <v>45793</v>
      </c>
      <c r="X95" s="939"/>
      <c r="Y95" s="910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930"/>
      <c r="K96" s="930"/>
      <c r="L96" s="330"/>
      <c r="M96" s="437">
        <v>10</v>
      </c>
      <c r="N96" s="675" t="s">
        <v>386</v>
      </c>
      <c r="O96" s="438" t="s">
        <v>306</v>
      </c>
      <c r="P96" s="439"/>
      <c r="Q96" s="712">
        <f t="shared" si="24"/>
        <v>0.05</v>
      </c>
      <c r="R96" s="324">
        <f t="shared" si="25"/>
        <v>4561.8500000000004</v>
      </c>
      <c r="S96" s="502" t="s">
        <v>308</v>
      </c>
      <c r="T96" s="751">
        <f t="shared" si="26"/>
        <v>45838</v>
      </c>
      <c r="U96" s="793">
        <v>2964.8337546654352</v>
      </c>
      <c r="V96" s="937"/>
      <c r="W96" s="756">
        <f t="shared" si="27"/>
        <v>45869</v>
      </c>
      <c r="X96" s="939"/>
      <c r="Y96" s="911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930"/>
      <c r="K97" s="930"/>
      <c r="L97" s="330"/>
      <c r="M97" s="437">
        <v>10</v>
      </c>
      <c r="N97" s="675" t="s">
        <v>386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937"/>
      <c r="W97" s="470"/>
      <c r="X97" s="939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930"/>
      <c r="K98" s="930"/>
      <c r="L98" s="336"/>
      <c r="M98" s="332">
        <v>10</v>
      </c>
      <c r="N98" s="676" t="s">
        <v>386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937"/>
      <c r="W98" s="465"/>
      <c r="X98" s="939"/>
      <c r="Y98" s="211"/>
      <c r="Z98" s="196"/>
    </row>
    <row r="99" spans="1:43" ht="14.4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5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4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394</v>
      </c>
      <c r="D100" s="479" t="s">
        <v>395</v>
      </c>
      <c r="E100" s="346"/>
      <c r="F100" s="447"/>
      <c r="G100" s="347">
        <v>11000</v>
      </c>
      <c r="H100" s="348">
        <f>'Project Plan'!E57</f>
        <v>45763</v>
      </c>
      <c r="I100" s="349"/>
      <c r="J100" s="921">
        <f>SUM(G100:G105)</f>
        <v>111020</v>
      </c>
      <c r="K100" s="921">
        <v>130611.764705882</v>
      </c>
      <c r="L100" s="350"/>
      <c r="M100" s="344">
        <v>11</v>
      </c>
      <c r="N100" s="479" t="s">
        <v>396</v>
      </c>
      <c r="O100" s="479" t="s">
        <v>395</v>
      </c>
      <c r="P100" s="346"/>
      <c r="Q100" s="447"/>
      <c r="R100" s="347">
        <v>15750</v>
      </c>
      <c r="S100" s="528" t="s">
        <v>397</v>
      </c>
      <c r="T100" s="757">
        <v>45808</v>
      </c>
      <c r="U100" s="795">
        <v>76116.379468817002</v>
      </c>
      <c r="V100" s="946">
        <f>K100-SUM(U100:U105)</f>
        <v>1.0185568826273084E-3</v>
      </c>
      <c r="W100" s="774">
        <v>45862</v>
      </c>
      <c r="X100" s="922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5"/>
      <c r="E101" s="786"/>
      <c r="F101" s="787"/>
      <c r="G101" s="788"/>
      <c r="H101" s="396"/>
      <c r="I101" s="354"/>
      <c r="J101" s="921"/>
      <c r="K101" s="921"/>
      <c r="L101" s="355"/>
      <c r="M101" s="344">
        <v>11</v>
      </c>
      <c r="N101" s="479" t="s">
        <v>396</v>
      </c>
      <c r="O101" s="785" t="s">
        <v>398</v>
      </c>
      <c r="P101" s="786"/>
      <c r="Q101" s="787"/>
      <c r="R101" s="788">
        <f>2564.19+1418.48</f>
        <v>3982.67</v>
      </c>
      <c r="S101" s="528" t="s">
        <v>397</v>
      </c>
      <c r="T101" s="717">
        <v>45808</v>
      </c>
      <c r="U101" s="817">
        <v>13420.950423763396</v>
      </c>
      <c r="V101" s="947"/>
      <c r="W101" s="769">
        <f>W100</f>
        <v>45862</v>
      </c>
      <c r="X101" s="922"/>
      <c r="Y101" s="217"/>
      <c r="Z101" s="203"/>
    </row>
    <row r="102" spans="1:43" ht="15" customHeight="1" thickBot="1">
      <c r="B102" s="397">
        <v>11</v>
      </c>
      <c r="C102" s="399"/>
      <c r="D102" s="399" t="s">
        <v>399</v>
      </c>
      <c r="E102" s="400"/>
      <c r="F102" s="448"/>
      <c r="G102" s="401">
        <v>20020</v>
      </c>
      <c r="H102" s="353">
        <f>'Project Plan'!E21</f>
        <v>45691</v>
      </c>
      <c r="I102" s="354"/>
      <c r="J102" s="921"/>
      <c r="K102" s="921"/>
      <c r="L102" s="355"/>
      <c r="M102" s="397">
        <v>11</v>
      </c>
      <c r="N102" s="575" t="s">
        <v>396</v>
      </c>
      <c r="O102" s="399" t="s">
        <v>399</v>
      </c>
      <c r="P102" s="400"/>
      <c r="Q102" s="448"/>
      <c r="R102" s="401">
        <v>11026.4</v>
      </c>
      <c r="S102" s="537" t="s">
        <v>400</v>
      </c>
      <c r="T102" s="717">
        <v>45626</v>
      </c>
      <c r="U102" s="732">
        <v>14115.734382012277</v>
      </c>
      <c r="V102" s="947"/>
      <c r="W102" s="718">
        <v>45624</v>
      </c>
      <c r="X102" s="922"/>
      <c r="Y102" s="208" t="s">
        <v>401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921"/>
      <c r="K103" s="921"/>
      <c r="L103" s="355"/>
      <c r="M103" s="397">
        <v>11</v>
      </c>
      <c r="N103" s="575" t="s">
        <v>396</v>
      </c>
      <c r="O103" s="399" t="s">
        <v>402</v>
      </c>
      <c r="P103" s="400"/>
      <c r="Q103" s="448"/>
      <c r="R103" s="401">
        <v>8000</v>
      </c>
      <c r="S103" s="537" t="s">
        <v>403</v>
      </c>
      <c r="T103" s="717">
        <v>45808</v>
      </c>
      <c r="U103" s="794">
        <v>26958.699412732451</v>
      </c>
      <c r="V103" s="947"/>
      <c r="W103" s="717">
        <v>45808</v>
      </c>
      <c r="X103" s="922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404</v>
      </c>
      <c r="E104" s="400"/>
      <c r="F104" s="448"/>
      <c r="G104" s="401">
        <v>80000</v>
      </c>
      <c r="H104" s="353">
        <f>H100</f>
        <v>45763</v>
      </c>
      <c r="I104" s="354"/>
      <c r="J104" s="921"/>
      <c r="K104" s="921"/>
      <c r="L104" s="355"/>
      <c r="M104" s="397">
        <v>11</v>
      </c>
      <c r="N104" s="575" t="s">
        <v>396</v>
      </c>
      <c r="O104" s="399" t="s">
        <v>404</v>
      </c>
      <c r="P104" s="400"/>
      <c r="Q104" s="448"/>
      <c r="R104" s="401"/>
      <c r="S104" s="460"/>
      <c r="T104" s="509"/>
      <c r="U104" s="514">
        <v>0</v>
      </c>
      <c r="V104" s="947"/>
      <c r="W104" s="467"/>
      <c r="X104" s="922"/>
      <c r="Y104" s="208"/>
      <c r="Z104" s="199" t="s">
        <v>405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921"/>
      <c r="K105" s="921"/>
      <c r="L105" s="358"/>
      <c r="M105" s="403">
        <v>11</v>
      </c>
      <c r="N105" s="656" t="s">
        <v>396</v>
      </c>
      <c r="O105" s="404"/>
      <c r="P105" s="405"/>
      <c r="Q105" s="714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947"/>
      <c r="W105" s="468"/>
      <c r="X105" s="922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4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4" thickBot="1">
      <c r="B107" s="321">
        <v>12</v>
      </c>
      <c r="C107" s="322" t="s">
        <v>406</v>
      </c>
      <c r="D107" s="322"/>
      <c r="E107" s="323"/>
      <c r="F107" s="616"/>
      <c r="G107" s="435"/>
      <c r="H107" s="325"/>
      <c r="I107" s="943"/>
      <c r="J107" s="930">
        <f>SUM(G107:G107)</f>
        <v>0</v>
      </c>
      <c r="K107" s="930">
        <v>0</v>
      </c>
      <c r="L107" s="944"/>
      <c r="M107" s="321">
        <v>12</v>
      </c>
      <c r="N107" s="322" t="s">
        <v>406</v>
      </c>
      <c r="O107" s="322"/>
      <c r="P107" s="323"/>
      <c r="Q107" s="616"/>
      <c r="R107" s="435"/>
      <c r="S107" s="614"/>
      <c r="T107" s="628"/>
      <c r="U107" s="617"/>
      <c r="V107" s="636"/>
      <c r="W107" s="629"/>
      <c r="X107" s="936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406</v>
      </c>
      <c r="D108" s="444"/>
      <c r="E108" s="445"/>
      <c r="F108" s="622"/>
      <c r="G108" s="333"/>
      <c r="H108" s="334"/>
      <c r="I108" s="943"/>
      <c r="J108" s="930"/>
      <c r="K108" s="930"/>
      <c r="L108" s="944"/>
      <c r="M108" s="332">
        <v>12</v>
      </c>
      <c r="N108" s="444" t="s">
        <v>406</v>
      </c>
      <c r="O108" s="444"/>
      <c r="P108" s="445"/>
      <c r="Q108" s="622"/>
      <c r="R108" s="333"/>
      <c r="S108" s="502"/>
      <c r="T108" s="530" t="str">
        <f t="shared" si="23"/>
        <v/>
      </c>
      <c r="U108" s="630"/>
      <c r="V108" s="637"/>
      <c r="W108" s="465"/>
      <c r="X108" s="936"/>
      <c r="Y108" s="631"/>
      <c r="Z108" s="196"/>
    </row>
    <row r="109" spans="1:43" ht="14.4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4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407</v>
      </c>
      <c r="D110" s="479" t="s">
        <v>408</v>
      </c>
      <c r="E110" s="346"/>
      <c r="F110" s="447"/>
      <c r="G110" s="347">
        <v>128356.74844927537</v>
      </c>
      <c r="H110" s="348">
        <f>'Project Plan'!G57+31</f>
        <v>45803</v>
      </c>
      <c r="I110" s="941"/>
      <c r="J110" s="921">
        <f>SUM(G110:G116)</f>
        <v>239970.34844927539</v>
      </c>
      <c r="K110" s="921">
        <v>272693.57778326701</v>
      </c>
      <c r="L110" s="350"/>
      <c r="M110" s="344">
        <v>13</v>
      </c>
      <c r="N110" s="479" t="s">
        <v>409</v>
      </c>
      <c r="O110" s="479" t="s">
        <v>408</v>
      </c>
      <c r="P110" s="346"/>
      <c r="Q110" s="347"/>
      <c r="R110" s="347">
        <f>'Revenue Tracking'!D4*1.25%</f>
        <v>144194.49313795625</v>
      </c>
      <c r="S110" s="528" t="s">
        <v>410</v>
      </c>
      <c r="T110" s="717">
        <v>45808</v>
      </c>
      <c r="U110" s="795">
        <v>272693.57778326701</v>
      </c>
      <c r="V110" s="923">
        <f>K110-SUM(U110:U116)</f>
        <v>0</v>
      </c>
      <c r="W110" s="348">
        <f>T110</f>
        <v>45808</v>
      </c>
      <c r="X110" s="922">
        <f>SUM(R110:R116)</f>
        <v>447579.71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411</v>
      </c>
      <c r="E111" s="400"/>
      <c r="F111" s="448"/>
      <c r="G111" s="401">
        <v>16000</v>
      </c>
      <c r="H111" s="353">
        <f>H110</f>
        <v>45803</v>
      </c>
      <c r="I111" s="941"/>
      <c r="J111" s="921"/>
      <c r="K111" s="921"/>
      <c r="L111" s="355"/>
      <c r="M111" s="397">
        <v>13</v>
      </c>
      <c r="N111" s="575" t="s">
        <v>409</v>
      </c>
      <c r="O111" s="399" t="s">
        <v>408</v>
      </c>
      <c r="P111" s="400"/>
      <c r="Q111" s="401"/>
      <c r="R111" s="401">
        <f>-R110</f>
        <v>-144194.49313795625</v>
      </c>
      <c r="S111" s="898" t="s">
        <v>412</v>
      </c>
      <c r="T111" s="717">
        <v>45900</v>
      </c>
      <c r="U111" s="794">
        <v>0</v>
      </c>
      <c r="V111" s="923"/>
      <c r="W111" s="759">
        <v>45900</v>
      </c>
      <c r="X111" s="922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413</v>
      </c>
      <c r="E112" s="400"/>
      <c r="F112" s="448"/>
      <c r="G112" s="401">
        <v>54400</v>
      </c>
      <c r="H112" s="353">
        <f>H110</f>
        <v>45803</v>
      </c>
      <c r="I112" s="941"/>
      <c r="J112" s="921"/>
      <c r="K112" s="921"/>
      <c r="L112" s="355"/>
      <c r="M112" s="397">
        <v>13</v>
      </c>
      <c r="N112" s="575" t="s">
        <v>409</v>
      </c>
      <c r="O112" s="399" t="s">
        <v>408</v>
      </c>
      <c r="P112" s="400"/>
      <c r="Q112" s="401"/>
      <c r="R112" s="401">
        <v>447579.71</v>
      </c>
      <c r="S112" s="898" t="s">
        <v>410</v>
      </c>
      <c r="T112" s="759">
        <v>45900</v>
      </c>
      <c r="U112" s="794">
        <v>0</v>
      </c>
      <c r="V112" s="923"/>
      <c r="W112" s="759">
        <v>45900</v>
      </c>
      <c r="X112" s="922"/>
      <c r="Y112" s="208"/>
      <c r="Z112" s="199"/>
    </row>
    <row r="113" spans="1:43" ht="15.75" customHeight="1" thickBot="1">
      <c r="B113" s="397">
        <v>13</v>
      </c>
      <c r="C113" s="399"/>
      <c r="D113" s="399" t="s">
        <v>414</v>
      </c>
      <c r="E113" s="400"/>
      <c r="F113" s="448"/>
      <c r="G113" s="401">
        <v>20800</v>
      </c>
      <c r="H113" s="353">
        <f>H110</f>
        <v>45803</v>
      </c>
      <c r="I113" s="941"/>
      <c r="J113" s="921"/>
      <c r="K113" s="921"/>
      <c r="L113" s="355"/>
      <c r="M113" s="397">
        <v>13</v>
      </c>
      <c r="N113" s="575" t="s">
        <v>409</v>
      </c>
      <c r="O113" s="399"/>
      <c r="P113" s="400"/>
      <c r="Q113" s="401"/>
      <c r="R113" s="401">
        <v>0</v>
      </c>
      <c r="S113" s="529"/>
      <c r="T113" s="759">
        <f t="shared" si="23"/>
        <v>45808</v>
      </c>
      <c r="U113" s="794">
        <v>0</v>
      </c>
      <c r="V113" s="923"/>
      <c r="W113" s="759">
        <f>W110</f>
        <v>45808</v>
      </c>
      <c r="X113" s="922"/>
      <c r="Y113" s="492"/>
      <c r="Z113" s="493"/>
    </row>
    <row r="114" spans="1:43" ht="15.75" customHeight="1" thickBot="1">
      <c r="B114" s="397">
        <v>13</v>
      </c>
      <c r="C114" s="399"/>
      <c r="D114" s="399" t="s">
        <v>415</v>
      </c>
      <c r="E114" s="400"/>
      <c r="F114" s="448"/>
      <c r="G114" s="401">
        <v>20413.599999999999</v>
      </c>
      <c r="H114" s="353">
        <f>H110</f>
        <v>45803</v>
      </c>
      <c r="I114" s="941"/>
      <c r="J114" s="921"/>
      <c r="K114" s="921"/>
      <c r="L114" s="355"/>
      <c r="M114" s="397">
        <v>13</v>
      </c>
      <c r="N114" s="575" t="s">
        <v>409</v>
      </c>
      <c r="O114" s="399"/>
      <c r="P114" s="400"/>
      <c r="Q114" s="401"/>
      <c r="R114" s="401">
        <v>0</v>
      </c>
      <c r="S114" s="529"/>
      <c r="T114" s="717">
        <f t="shared" si="23"/>
        <v>45808</v>
      </c>
      <c r="U114" s="794">
        <v>0</v>
      </c>
      <c r="V114" s="923"/>
      <c r="W114" s="759">
        <f>W110</f>
        <v>45808</v>
      </c>
      <c r="X114" s="922"/>
      <c r="Y114" s="492"/>
      <c r="Z114" s="493"/>
    </row>
    <row r="115" spans="1:43" ht="15.75" customHeight="1" thickBot="1">
      <c r="B115" s="397">
        <v>13</v>
      </c>
      <c r="C115" s="569"/>
      <c r="D115" s="569"/>
      <c r="E115" s="603"/>
      <c r="F115" s="570"/>
      <c r="G115" s="565"/>
      <c r="H115" s="566"/>
      <c r="I115" s="941"/>
      <c r="J115" s="921"/>
      <c r="K115" s="921"/>
      <c r="L115" s="355"/>
      <c r="M115" s="397">
        <v>13</v>
      </c>
      <c r="N115" s="575" t="s">
        <v>409</v>
      </c>
      <c r="O115" s="569"/>
      <c r="P115" s="603"/>
      <c r="Q115" s="704"/>
      <c r="R115" s="565"/>
      <c r="S115" s="529"/>
      <c r="T115" s="508" t="str">
        <f t="shared" si="23"/>
        <v/>
      </c>
      <c r="U115" s="514"/>
      <c r="V115" s="923"/>
      <c r="W115" s="508"/>
      <c r="X115" s="922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941"/>
      <c r="J116" s="921"/>
      <c r="K116" s="921"/>
      <c r="L116" s="494"/>
      <c r="M116" s="403">
        <v>13</v>
      </c>
      <c r="N116" s="656" t="s">
        <v>409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923"/>
      <c r="W116" s="468"/>
      <c r="X116" s="922"/>
      <c r="Y116" s="214"/>
      <c r="Z116" s="200"/>
    </row>
    <row r="117" spans="1:43" ht="14.4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4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416</v>
      </c>
      <c r="D118" s="322" t="s">
        <v>417</v>
      </c>
      <c r="E118" s="323"/>
      <c r="F118" s="434"/>
      <c r="G118" s="435">
        <v>47600</v>
      </c>
      <c r="H118" s="325">
        <f>H110</f>
        <v>45803</v>
      </c>
      <c r="I118" s="326"/>
      <c r="J118" s="930">
        <f>SUM(G118:G127)</f>
        <v>47600</v>
      </c>
      <c r="K118" s="930">
        <v>56000</v>
      </c>
      <c r="L118" s="436"/>
      <c r="M118" s="321">
        <v>14</v>
      </c>
      <c r="N118" s="674" t="s">
        <v>418</v>
      </c>
      <c r="O118" s="322" t="s">
        <v>419</v>
      </c>
      <c r="P118" s="323"/>
      <c r="Q118" s="434"/>
      <c r="R118" s="435">
        <v>6375.86</v>
      </c>
      <c r="S118" s="736" t="s">
        <v>420</v>
      </c>
      <c r="T118" s="735">
        <v>45657</v>
      </c>
      <c r="U118" s="741">
        <v>7754.7473140411212</v>
      </c>
      <c r="V118" s="937">
        <f>K118-SUM(U118:U127)</f>
        <v>-4.0461192911607213E-3</v>
      </c>
      <c r="W118" s="761">
        <v>45666</v>
      </c>
      <c r="X118" s="939">
        <f>SUM(R118:R127)</f>
        <v>67232.7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930"/>
      <c r="K119" s="930"/>
      <c r="L119" s="330"/>
      <c r="M119" s="327">
        <v>14</v>
      </c>
      <c r="N119" s="675" t="s">
        <v>418</v>
      </c>
      <c r="O119" s="331"/>
      <c r="P119" s="442"/>
      <c r="Q119" s="443"/>
      <c r="R119" s="324">
        <v>5594.87</v>
      </c>
      <c r="S119" s="737" t="s">
        <v>420</v>
      </c>
      <c r="T119" s="760">
        <v>45688</v>
      </c>
      <c r="U119" s="767">
        <v>7583.8908723643481</v>
      </c>
      <c r="V119" s="937"/>
      <c r="W119" s="760">
        <v>45695</v>
      </c>
      <c r="X119" s="939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930"/>
      <c r="K120" s="930"/>
      <c r="L120" s="330"/>
      <c r="M120" s="327">
        <v>14</v>
      </c>
      <c r="N120" s="675" t="s">
        <v>418</v>
      </c>
      <c r="O120" s="331"/>
      <c r="P120" s="442"/>
      <c r="Q120" s="443"/>
      <c r="R120" s="324">
        <v>725.13</v>
      </c>
      <c r="S120" s="737" t="s">
        <v>420</v>
      </c>
      <c r="T120" s="760">
        <v>45716</v>
      </c>
      <c r="U120" s="767">
        <v>4142.1544216248094</v>
      </c>
      <c r="V120" s="937"/>
      <c r="W120" s="760">
        <v>45723</v>
      </c>
      <c r="X120" s="939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930"/>
      <c r="K121" s="930"/>
      <c r="L121" s="330"/>
      <c r="M121" s="327">
        <v>14</v>
      </c>
      <c r="N121" s="675" t="s">
        <v>418</v>
      </c>
      <c r="O121" s="331"/>
      <c r="P121" s="442"/>
      <c r="Q121" s="443"/>
      <c r="R121" s="324">
        <v>4534.32</v>
      </c>
      <c r="S121" s="737" t="s">
        <v>420</v>
      </c>
      <c r="T121" s="760">
        <v>45747</v>
      </c>
      <c r="U121" s="767">
        <v>8392.2079954928231</v>
      </c>
      <c r="V121" s="937"/>
      <c r="W121" s="760">
        <v>45751</v>
      </c>
      <c r="X121" s="939"/>
      <c r="Y121" s="210"/>
      <c r="Z121" s="195"/>
    </row>
    <row r="122" spans="1:43" ht="15" customHeight="1">
      <c r="B122" s="327">
        <v>14</v>
      </c>
      <c r="C122" s="604"/>
      <c r="D122" s="604"/>
      <c r="E122" s="605"/>
      <c r="F122" s="606"/>
      <c r="G122" s="607"/>
      <c r="H122" s="608"/>
      <c r="I122" s="329"/>
      <c r="J122" s="930"/>
      <c r="K122" s="930"/>
      <c r="L122" s="330"/>
      <c r="M122" s="327">
        <v>14</v>
      </c>
      <c r="N122" s="675" t="s">
        <v>418</v>
      </c>
      <c r="O122" s="604"/>
      <c r="P122" s="605"/>
      <c r="Q122" s="606"/>
      <c r="R122" s="607">
        <v>4040.3</v>
      </c>
      <c r="S122" s="738" t="s">
        <v>420</v>
      </c>
      <c r="T122" s="760">
        <v>45777</v>
      </c>
      <c r="U122" s="767">
        <v>7747.5087728269291</v>
      </c>
      <c r="V122" s="937"/>
      <c r="W122" s="782">
        <v>45785</v>
      </c>
      <c r="X122" s="939"/>
      <c r="Y122" s="609"/>
      <c r="Z122" s="610"/>
    </row>
    <row r="123" spans="1:43" ht="15" customHeigh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930"/>
      <c r="K123" s="930"/>
      <c r="L123" s="330"/>
      <c r="M123" s="327">
        <v>14</v>
      </c>
      <c r="N123" s="675" t="s">
        <v>418</v>
      </c>
      <c r="O123" s="331"/>
      <c r="P123" s="442"/>
      <c r="Q123" s="443"/>
      <c r="R123" s="324">
        <v>10015.219999999999</v>
      </c>
      <c r="S123" s="738" t="s">
        <v>420</v>
      </c>
      <c r="T123" s="789">
        <v>45808</v>
      </c>
      <c r="U123" s="811">
        <v>20379.494669769258</v>
      </c>
      <c r="V123" s="937"/>
      <c r="W123" s="756">
        <v>45817</v>
      </c>
      <c r="X123" s="939"/>
      <c r="Y123" s="894"/>
      <c r="Z123" s="196"/>
    </row>
    <row r="124" spans="1:43" ht="15" customHeigh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930"/>
      <c r="K124" s="930"/>
      <c r="L124" s="330"/>
      <c r="M124" s="838">
        <v>14</v>
      </c>
      <c r="N124" s="839" t="s">
        <v>418</v>
      </c>
      <c r="O124" s="604"/>
      <c r="P124" s="605"/>
      <c r="Q124" s="606"/>
      <c r="R124" s="607">
        <v>5888.6900000000005</v>
      </c>
      <c r="S124" s="738" t="s">
        <v>420</v>
      </c>
      <c r="T124" s="789">
        <v>45838</v>
      </c>
      <c r="U124" s="846">
        <v>0</v>
      </c>
      <c r="V124" s="937"/>
      <c r="W124" s="847">
        <v>45842</v>
      </c>
      <c r="X124" s="939"/>
      <c r="Y124" s="895"/>
      <c r="Z124" s="196"/>
    </row>
    <row r="125" spans="1:43" ht="15" customHeigh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930"/>
      <c r="K125" s="930"/>
      <c r="L125" s="330"/>
      <c r="M125" s="840">
        <v>14</v>
      </c>
      <c r="N125" s="841" t="s">
        <v>418</v>
      </c>
      <c r="O125" s="842"/>
      <c r="P125" s="843"/>
      <c r="Q125" s="844"/>
      <c r="R125" s="845">
        <v>6060.2199999999993</v>
      </c>
      <c r="S125" s="837" t="s">
        <v>420</v>
      </c>
      <c r="T125" s="789">
        <v>45869</v>
      </c>
      <c r="U125" s="811">
        <v>0</v>
      </c>
      <c r="V125" s="938"/>
      <c r="W125" s="756">
        <v>45876</v>
      </c>
      <c r="X125" s="939"/>
      <c r="Y125" s="895"/>
      <c r="Z125" s="196"/>
    </row>
    <row r="126" spans="1:43" ht="15" customHeigh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930"/>
      <c r="K126" s="930"/>
      <c r="L126" s="330"/>
      <c r="M126" s="859">
        <v>14</v>
      </c>
      <c r="N126" s="860" t="s">
        <v>418</v>
      </c>
      <c r="O126" s="861"/>
      <c r="P126" s="862"/>
      <c r="Q126" s="863"/>
      <c r="R126" s="864">
        <v>20384.45</v>
      </c>
      <c r="S126" s="738" t="s">
        <v>420</v>
      </c>
      <c r="T126" s="789">
        <v>45900</v>
      </c>
      <c r="U126" s="865">
        <v>0</v>
      </c>
      <c r="V126" s="938"/>
      <c r="W126" s="866">
        <v>45905</v>
      </c>
      <c r="X126" s="939"/>
      <c r="Y126" s="895"/>
      <c r="Z126" s="196"/>
    </row>
    <row r="127" spans="1:43" ht="15" customHeight="1">
      <c r="B127" s="332">
        <v>14</v>
      </c>
      <c r="C127" s="444"/>
      <c r="D127" s="444"/>
      <c r="E127" s="445"/>
      <c r="F127" s="446"/>
      <c r="G127" s="333"/>
      <c r="H127" s="334"/>
      <c r="I127" s="335"/>
      <c r="J127" s="930"/>
      <c r="K127" s="930"/>
      <c r="L127" s="330"/>
      <c r="M127" s="803">
        <v>14</v>
      </c>
      <c r="N127" s="804" t="s">
        <v>418</v>
      </c>
      <c r="O127" s="805"/>
      <c r="P127" s="806"/>
      <c r="Q127" s="807"/>
      <c r="R127" s="808">
        <v>3613.64</v>
      </c>
      <c r="S127" s="738" t="s">
        <v>420</v>
      </c>
      <c r="T127" s="789">
        <v>46053</v>
      </c>
      <c r="U127" s="810">
        <v>0</v>
      </c>
      <c r="V127" s="937"/>
      <c r="W127" s="809">
        <v>46058</v>
      </c>
      <c r="X127" s="939"/>
      <c r="Y127" s="896"/>
      <c r="Z127" s="196"/>
    </row>
    <row r="128" spans="1:43" ht="14.4" thickBot="1">
      <c r="A128" s="24"/>
      <c r="B128" s="359"/>
      <c r="C128" s="338"/>
      <c r="D128" s="338"/>
      <c r="E128" s="360"/>
      <c r="F128" s="341"/>
      <c r="G128" s="362"/>
      <c r="H128" s="342"/>
      <c r="I128" s="363"/>
      <c r="J128" s="450"/>
      <c r="K128" s="450"/>
      <c r="L128" s="24"/>
      <c r="M128" s="359"/>
      <c r="N128" s="338"/>
      <c r="O128" s="338"/>
      <c r="P128" s="360"/>
      <c r="Q128" s="341"/>
      <c r="R128" s="362"/>
      <c r="S128" s="536"/>
      <c r="T128" s="526" t="str">
        <f t="shared" si="23"/>
        <v/>
      </c>
      <c r="U128" s="505"/>
      <c r="V128" s="634"/>
      <c r="W128" s="466"/>
      <c r="X128" s="477"/>
      <c r="Y128" s="212"/>
      <c r="Z128" s="197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</row>
    <row r="129" spans="2:26" ht="14.4" thickBot="1">
      <c r="B129" s="344">
        <v>15</v>
      </c>
      <c r="C129" s="345" t="s">
        <v>421</v>
      </c>
      <c r="D129" s="345"/>
      <c r="E129" s="346"/>
      <c r="F129" s="447"/>
      <c r="G129" s="347"/>
      <c r="H129" s="348"/>
      <c r="I129" s="349"/>
      <c r="J129" s="921">
        <f>SUM(G129:G150)</f>
        <v>0</v>
      </c>
      <c r="K129" s="921">
        <v>0</v>
      </c>
      <c r="L129" s="350"/>
      <c r="M129" s="344">
        <v>15</v>
      </c>
      <c r="N129" s="479" t="s">
        <v>422</v>
      </c>
      <c r="O129" s="345" t="s">
        <v>423</v>
      </c>
      <c r="P129" s="346"/>
      <c r="Q129" s="447"/>
      <c r="R129" s="347">
        <v>267.01</v>
      </c>
      <c r="S129" s="528" t="s">
        <v>424</v>
      </c>
      <c r="T129" s="717">
        <v>45838</v>
      </c>
      <c r="U129" s="513"/>
      <c r="V129" s="923">
        <f>K129-SUM(U129:U150)</f>
        <v>0</v>
      </c>
      <c r="W129" s="774">
        <v>45867</v>
      </c>
      <c r="X129" s="922">
        <f>SUM(R129:R150)</f>
        <v>1168915.7</v>
      </c>
      <c r="Y129" s="213"/>
      <c r="Z129" s="198"/>
    </row>
    <row r="130" spans="2:26" ht="14.4" thickBot="1">
      <c r="B130" s="351"/>
      <c r="C130" s="352"/>
      <c r="D130" s="352"/>
      <c r="E130" s="786"/>
      <c r="F130" s="787"/>
      <c r="G130" s="788"/>
      <c r="H130" s="396"/>
      <c r="I130" s="354"/>
      <c r="J130" s="921"/>
      <c r="K130" s="921"/>
      <c r="L130" s="355"/>
      <c r="M130" s="351">
        <v>15</v>
      </c>
      <c r="N130" s="575" t="s">
        <v>422</v>
      </c>
      <c r="O130" s="352" t="s">
        <v>425</v>
      </c>
      <c r="P130" s="786"/>
      <c r="Q130" s="787"/>
      <c r="R130" s="788">
        <v>140381.96</v>
      </c>
      <c r="S130" s="528" t="s">
        <v>426</v>
      </c>
      <c r="T130" s="717">
        <v>45869</v>
      </c>
      <c r="U130" s="816"/>
      <c r="V130" s="923"/>
      <c r="W130" s="769">
        <v>45856</v>
      </c>
      <c r="X130" s="922"/>
      <c r="Y130" s="217"/>
      <c r="Z130" s="203"/>
    </row>
    <row r="131" spans="2:26" ht="14.4" thickBot="1">
      <c r="B131" s="351"/>
      <c r="C131" s="352"/>
      <c r="D131" s="352"/>
      <c r="E131" s="786"/>
      <c r="F131" s="787"/>
      <c r="G131" s="788"/>
      <c r="H131" s="396"/>
      <c r="I131" s="354"/>
      <c r="J131" s="921"/>
      <c r="K131" s="921"/>
      <c r="L131" s="355"/>
      <c r="M131" s="351">
        <v>15</v>
      </c>
      <c r="N131" s="575" t="s">
        <v>422</v>
      </c>
      <c r="O131" s="352" t="s">
        <v>427</v>
      </c>
      <c r="P131" s="786"/>
      <c r="Q131" s="787"/>
      <c r="R131" s="788">
        <v>145862.29999999999</v>
      </c>
      <c r="S131" s="528" t="s">
        <v>428</v>
      </c>
      <c r="T131" s="717">
        <v>45869</v>
      </c>
      <c r="U131" s="816"/>
      <c r="V131" s="923"/>
      <c r="W131" s="769">
        <v>45876</v>
      </c>
      <c r="X131" s="922"/>
      <c r="Y131" s="217"/>
      <c r="Z131" s="203"/>
    </row>
    <row r="132" spans="2:26" ht="14.4" thickBot="1">
      <c r="B132" s="351"/>
      <c r="C132" s="352"/>
      <c r="D132" s="352"/>
      <c r="E132" s="786"/>
      <c r="F132" s="787"/>
      <c r="G132" s="788"/>
      <c r="H132" s="396"/>
      <c r="I132" s="354"/>
      <c r="J132" s="921"/>
      <c r="K132" s="921"/>
      <c r="L132" s="355"/>
      <c r="M132" s="351">
        <v>15</v>
      </c>
      <c r="N132" s="575" t="s">
        <v>422</v>
      </c>
      <c r="O132" s="352" t="s">
        <v>429</v>
      </c>
      <c r="P132" s="786"/>
      <c r="Q132" s="787"/>
      <c r="R132" s="788">
        <v>142388.65</v>
      </c>
      <c r="S132" s="528" t="s">
        <v>430</v>
      </c>
      <c r="T132" s="717">
        <v>45900</v>
      </c>
      <c r="U132" s="816"/>
      <c r="V132" s="923"/>
      <c r="W132" s="769">
        <v>45911</v>
      </c>
      <c r="X132" s="922"/>
      <c r="Y132" s="217"/>
      <c r="Z132" s="203"/>
    </row>
    <row r="133" spans="2:26" ht="14.4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921"/>
      <c r="K133" s="921"/>
      <c r="L133" s="355"/>
      <c r="M133" s="397">
        <v>15</v>
      </c>
      <c r="N133" s="575" t="s">
        <v>422</v>
      </c>
      <c r="O133" s="399" t="s">
        <v>431</v>
      </c>
      <c r="P133" s="400"/>
      <c r="Q133" s="448"/>
      <c r="R133" s="401">
        <v>26436</v>
      </c>
      <c r="S133" s="537" t="s">
        <v>432</v>
      </c>
      <c r="T133" s="759">
        <v>45900</v>
      </c>
      <c r="U133" s="546"/>
      <c r="V133" s="923"/>
      <c r="W133" s="718">
        <v>45898</v>
      </c>
      <c r="X133" s="922"/>
      <c r="Y133" s="208" t="s">
        <v>433</v>
      </c>
      <c r="Z133" s="199"/>
    </row>
    <row r="134" spans="2:26" ht="14.4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921"/>
      <c r="K134" s="921"/>
      <c r="L134" s="355"/>
      <c r="M134" s="397">
        <v>15</v>
      </c>
      <c r="N134" s="575" t="s">
        <v>422</v>
      </c>
      <c r="O134" s="399" t="s">
        <v>434</v>
      </c>
      <c r="P134" s="400"/>
      <c r="Q134" s="448"/>
      <c r="R134" s="401">
        <v>14110</v>
      </c>
      <c r="S134" s="537" t="s">
        <v>435</v>
      </c>
      <c r="T134" s="759">
        <v>45930</v>
      </c>
      <c r="U134" s="546"/>
      <c r="V134" s="923"/>
      <c r="W134" s="718">
        <v>45911</v>
      </c>
      <c r="X134" s="922"/>
      <c r="Y134" s="208" t="s">
        <v>436</v>
      </c>
      <c r="Z134" s="199"/>
    </row>
    <row r="135" spans="2:26" ht="14.4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921"/>
      <c r="K135" s="921"/>
      <c r="L135" s="355"/>
      <c r="M135" s="397">
        <v>15</v>
      </c>
      <c r="N135" s="575" t="s">
        <v>422</v>
      </c>
      <c r="O135" s="399" t="s">
        <v>437</v>
      </c>
      <c r="P135" s="400"/>
      <c r="Q135" s="448"/>
      <c r="R135" s="401">
        <v>1650</v>
      </c>
      <c r="S135" s="537" t="s">
        <v>438</v>
      </c>
      <c r="T135" s="759">
        <v>45900</v>
      </c>
      <c r="U135" s="546"/>
      <c r="V135" s="923"/>
      <c r="W135" s="718">
        <v>45918</v>
      </c>
      <c r="X135" s="922"/>
      <c r="Y135" s="208" t="s">
        <v>439</v>
      </c>
      <c r="Z135" s="199"/>
    </row>
    <row r="136" spans="2:26" ht="14.4" thickBot="1">
      <c r="B136" s="397">
        <v>15</v>
      </c>
      <c r="C136" s="399"/>
      <c r="D136" s="399"/>
      <c r="E136" s="400"/>
      <c r="F136" s="448"/>
      <c r="G136" s="401"/>
      <c r="H136" s="353"/>
      <c r="I136" s="354"/>
      <c r="J136" s="921"/>
      <c r="K136" s="921"/>
      <c r="L136" s="355"/>
      <c r="M136" s="397">
        <v>15</v>
      </c>
      <c r="N136" s="575" t="s">
        <v>422</v>
      </c>
      <c r="O136" s="399" t="s">
        <v>440</v>
      </c>
      <c r="P136" s="400"/>
      <c r="Q136" s="535">
        <v>0.5</v>
      </c>
      <c r="R136" s="401">
        <f>190762.14*Q136</f>
        <v>95381.07</v>
      </c>
      <c r="S136" s="537" t="s">
        <v>441</v>
      </c>
      <c r="T136" s="759">
        <v>45777</v>
      </c>
      <c r="U136" s="546"/>
      <c r="V136" s="923"/>
      <c r="W136" s="718">
        <v>45771</v>
      </c>
      <c r="X136" s="922"/>
      <c r="Y136" s="901" t="s">
        <v>442</v>
      </c>
      <c r="Z136" s="199"/>
    </row>
    <row r="137" spans="2:26" ht="14.4" thickBot="1">
      <c r="B137" s="560"/>
      <c r="C137" s="569"/>
      <c r="D137" s="569"/>
      <c r="E137" s="603"/>
      <c r="F137" s="570"/>
      <c r="G137" s="565"/>
      <c r="H137" s="566"/>
      <c r="I137" s="354"/>
      <c r="J137" s="921"/>
      <c r="K137" s="921"/>
      <c r="L137" s="355"/>
      <c r="M137" s="397">
        <v>15</v>
      </c>
      <c r="N137" s="575" t="s">
        <v>422</v>
      </c>
      <c r="O137" s="399" t="s">
        <v>443</v>
      </c>
      <c r="P137" s="603"/>
      <c r="Q137" s="835"/>
      <c r="R137" s="401">
        <v>99508</v>
      </c>
      <c r="S137" s="537" t="s">
        <v>444</v>
      </c>
      <c r="T137" s="747">
        <v>45900</v>
      </c>
      <c r="U137" s="836"/>
      <c r="V137" s="923"/>
      <c r="W137" s="758">
        <v>45937</v>
      </c>
      <c r="X137" s="922"/>
      <c r="Y137" s="902"/>
      <c r="Z137" s="493"/>
    </row>
    <row r="138" spans="2:26" ht="14.4" thickBot="1">
      <c r="B138" s="560"/>
      <c r="C138" s="569"/>
      <c r="D138" s="569"/>
      <c r="E138" s="603"/>
      <c r="F138" s="570"/>
      <c r="G138" s="565"/>
      <c r="H138" s="566"/>
      <c r="I138" s="354"/>
      <c r="J138" s="921"/>
      <c r="K138" s="921"/>
      <c r="L138" s="355"/>
      <c r="M138" s="397">
        <v>15</v>
      </c>
      <c r="N138" s="575" t="s">
        <v>422</v>
      </c>
      <c r="O138" s="399" t="s">
        <v>445</v>
      </c>
      <c r="P138" s="603"/>
      <c r="Q138" s="835"/>
      <c r="R138" s="401">
        <v>161300</v>
      </c>
      <c r="S138" s="537" t="s">
        <v>446</v>
      </c>
      <c r="T138" s="747">
        <v>46053</v>
      </c>
      <c r="U138" s="836"/>
      <c r="V138" s="923"/>
      <c r="W138" s="758">
        <v>46079</v>
      </c>
      <c r="X138" s="922"/>
      <c r="Y138" s="902"/>
      <c r="Z138" s="493"/>
    </row>
    <row r="139" spans="2:26">
      <c r="B139" s="560"/>
      <c r="C139" s="569"/>
      <c r="D139" s="569"/>
      <c r="E139" s="603"/>
      <c r="F139" s="570"/>
      <c r="G139" s="565"/>
      <c r="H139" s="566"/>
      <c r="I139" s="354"/>
      <c r="J139" s="921"/>
      <c r="K139" s="921"/>
      <c r="L139" s="355"/>
      <c r="M139" s="397">
        <v>15</v>
      </c>
      <c r="N139" s="575" t="s">
        <v>422</v>
      </c>
      <c r="O139" s="399" t="s">
        <v>447</v>
      </c>
      <c r="P139" s="603"/>
      <c r="Q139" s="835"/>
      <c r="R139" s="401">
        <v>12408.35</v>
      </c>
      <c r="S139" s="537" t="s">
        <v>448</v>
      </c>
      <c r="T139" s="747">
        <v>45900</v>
      </c>
      <c r="U139" s="836"/>
      <c r="V139" s="923"/>
      <c r="W139" s="758">
        <v>45896</v>
      </c>
      <c r="X139" s="922"/>
      <c r="Y139" s="902"/>
      <c r="Z139" s="493"/>
    </row>
    <row r="140" spans="2:26" ht="15" customHeight="1" thickBo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921"/>
      <c r="K140" s="921"/>
      <c r="L140" s="873"/>
      <c r="M140" s="874">
        <v>15</v>
      </c>
      <c r="N140" s="875" t="s">
        <v>422</v>
      </c>
      <c r="O140" s="399" t="s">
        <v>449</v>
      </c>
      <c r="P140" s="853"/>
      <c r="Q140" s="854">
        <v>0.5</v>
      </c>
      <c r="R140" s="401">
        <f>190762.14*Q140</f>
        <v>95381.07</v>
      </c>
      <c r="S140" s="537" t="s">
        <v>441</v>
      </c>
      <c r="T140" s="870">
        <v>45777</v>
      </c>
      <c r="U140" s="878"/>
      <c r="V140" s="923"/>
      <c r="W140" s="881">
        <v>45855</v>
      </c>
      <c r="X140" s="922"/>
      <c r="Y140" s="902"/>
      <c r="Z140" s="200"/>
    </row>
    <row r="141" spans="2:26" ht="15" customHeight="1" thickBot="1">
      <c r="B141" s="403"/>
      <c r="C141" s="404"/>
      <c r="D141" s="404"/>
      <c r="E141" s="405"/>
      <c r="F141" s="449"/>
      <c r="G141" s="424"/>
      <c r="H141" s="356"/>
      <c r="I141" s="357"/>
      <c r="J141" s="921"/>
      <c r="K141" s="921"/>
      <c r="L141" s="873"/>
      <c r="M141" s="874">
        <v>15</v>
      </c>
      <c r="N141" s="875" t="s">
        <v>422</v>
      </c>
      <c r="O141" s="399"/>
      <c r="P141" s="869"/>
      <c r="Q141" s="535"/>
      <c r="R141" s="887"/>
      <c r="S141" s="537"/>
      <c r="T141" s="885"/>
      <c r="U141" s="879"/>
      <c r="V141" s="923"/>
      <c r="W141" s="882"/>
      <c r="X141" s="940"/>
      <c r="Y141" s="890"/>
      <c r="Z141" s="889"/>
    </row>
    <row r="142" spans="2:26" ht="15" customHeight="1" thickBot="1">
      <c r="B142" s="403"/>
      <c r="C142" s="404"/>
      <c r="D142" s="404"/>
      <c r="E142" s="405"/>
      <c r="F142" s="449"/>
      <c r="G142" s="424"/>
      <c r="H142" s="356"/>
      <c r="I142" s="357"/>
      <c r="J142" s="921"/>
      <c r="K142" s="921"/>
      <c r="L142" s="873"/>
      <c r="M142" s="874">
        <v>15</v>
      </c>
      <c r="N142" s="875" t="s">
        <v>422</v>
      </c>
      <c r="O142" s="399" t="s">
        <v>450</v>
      </c>
      <c r="P142" s="869"/>
      <c r="Q142" s="535"/>
      <c r="R142" s="887">
        <v>88678.15</v>
      </c>
      <c r="S142" s="892" t="s">
        <v>451</v>
      </c>
      <c r="T142" s="871">
        <v>46053</v>
      </c>
      <c r="U142" s="879"/>
      <c r="V142" s="923"/>
      <c r="W142" s="883">
        <v>46045</v>
      </c>
      <c r="X142" s="940"/>
      <c r="Y142" s="899" t="s">
        <v>452</v>
      </c>
      <c r="Z142" s="889"/>
    </row>
    <row r="143" spans="2:26" ht="15" customHeight="1" thickBot="1">
      <c r="B143" s="403"/>
      <c r="C143" s="404"/>
      <c r="D143" s="404"/>
      <c r="E143" s="405"/>
      <c r="F143" s="449"/>
      <c r="G143" s="424"/>
      <c r="H143" s="356"/>
      <c r="I143" s="357"/>
      <c r="J143" s="921"/>
      <c r="K143" s="921"/>
      <c r="L143" s="873"/>
      <c r="M143" s="874">
        <v>15</v>
      </c>
      <c r="N143" s="875" t="s">
        <v>422</v>
      </c>
      <c r="O143" s="399" t="s">
        <v>450</v>
      </c>
      <c r="P143" s="869"/>
      <c r="Q143" s="535"/>
      <c r="R143" s="887">
        <v>88678.15</v>
      </c>
      <c r="S143" s="892" t="s">
        <v>453</v>
      </c>
      <c r="T143" s="897">
        <v>46112</v>
      </c>
      <c r="U143" s="879"/>
      <c r="V143" s="923"/>
      <c r="W143" s="883">
        <v>46079</v>
      </c>
      <c r="X143" s="940"/>
      <c r="Y143" s="900"/>
      <c r="Z143" s="889"/>
    </row>
    <row r="144" spans="2:26" ht="15" customHeight="1" thickBot="1">
      <c r="B144" s="403"/>
      <c r="C144" s="404"/>
      <c r="D144" s="404"/>
      <c r="E144" s="405"/>
      <c r="F144" s="449"/>
      <c r="G144" s="424"/>
      <c r="H144" s="356"/>
      <c r="I144" s="357"/>
      <c r="J144" s="921"/>
      <c r="K144" s="921"/>
      <c r="L144" s="873"/>
      <c r="M144" s="874">
        <v>15</v>
      </c>
      <c r="N144" s="875" t="s">
        <v>422</v>
      </c>
      <c r="O144" s="399" t="s">
        <v>454</v>
      </c>
      <c r="P144" s="869"/>
      <c r="Q144" s="535"/>
      <c r="R144" s="887">
        <v>-20449.009999999998</v>
      </c>
      <c r="S144" s="892" t="s">
        <v>455</v>
      </c>
      <c r="T144" s="897">
        <v>46112</v>
      </c>
      <c r="U144" s="879"/>
      <c r="V144" s="923"/>
      <c r="W144" s="883">
        <v>46081</v>
      </c>
      <c r="X144" s="940"/>
      <c r="Y144" s="890"/>
      <c r="Z144" s="889"/>
    </row>
    <row r="145" spans="2:26" ht="15" customHeight="1" thickBot="1">
      <c r="B145" s="403"/>
      <c r="C145" s="404"/>
      <c r="D145" s="404"/>
      <c r="E145" s="405"/>
      <c r="F145" s="449"/>
      <c r="G145" s="424"/>
      <c r="H145" s="356"/>
      <c r="I145" s="357"/>
      <c r="J145" s="921"/>
      <c r="K145" s="921"/>
      <c r="L145" s="873"/>
      <c r="M145" s="874">
        <v>15</v>
      </c>
      <c r="N145" s="875" t="s">
        <v>422</v>
      </c>
      <c r="O145" s="399"/>
      <c r="P145" s="869"/>
      <c r="Q145" s="535"/>
      <c r="R145" s="887"/>
      <c r="S145" s="537"/>
      <c r="T145" s="885"/>
      <c r="U145" s="879"/>
      <c r="V145" s="923"/>
      <c r="W145" s="882"/>
      <c r="X145" s="940"/>
      <c r="Y145" s="893"/>
      <c r="Z145" s="889"/>
    </row>
    <row r="146" spans="2:26" ht="15" customHeight="1" thickBot="1">
      <c r="B146" s="403"/>
      <c r="C146" s="404"/>
      <c r="D146" s="404"/>
      <c r="E146" s="405"/>
      <c r="F146" s="449"/>
      <c r="G146" s="424"/>
      <c r="H146" s="356"/>
      <c r="I146" s="357"/>
      <c r="J146" s="921"/>
      <c r="K146" s="921"/>
      <c r="L146" s="873"/>
      <c r="M146" s="874">
        <v>15</v>
      </c>
      <c r="N146" s="875" t="s">
        <v>422</v>
      </c>
      <c r="O146" s="399" t="s">
        <v>456</v>
      </c>
      <c r="P146" s="869"/>
      <c r="Q146" s="535"/>
      <c r="R146" s="887">
        <v>17157.5</v>
      </c>
      <c r="S146" s="892" t="s">
        <v>457</v>
      </c>
      <c r="T146" s="871">
        <v>46053</v>
      </c>
      <c r="U146" s="879"/>
      <c r="V146" s="923"/>
      <c r="W146" s="883">
        <v>46045</v>
      </c>
      <c r="X146" s="940"/>
      <c r="Y146" s="899" t="s">
        <v>458</v>
      </c>
      <c r="Z146" s="889"/>
    </row>
    <row r="147" spans="2:26" ht="15" customHeight="1" thickBot="1">
      <c r="B147" s="403"/>
      <c r="C147" s="404"/>
      <c r="D147" s="404"/>
      <c r="E147" s="405"/>
      <c r="F147" s="449"/>
      <c r="G147" s="424"/>
      <c r="H147" s="356"/>
      <c r="I147" s="357"/>
      <c r="J147" s="921"/>
      <c r="K147" s="921"/>
      <c r="L147" s="873"/>
      <c r="M147" s="874">
        <v>15</v>
      </c>
      <c r="N147" s="875" t="s">
        <v>422</v>
      </c>
      <c r="O147" s="399" t="s">
        <v>459</v>
      </c>
      <c r="P147" s="869"/>
      <c r="Q147" s="535">
        <v>0.5</v>
      </c>
      <c r="R147" s="887">
        <v>17157.5</v>
      </c>
      <c r="S147" s="537" t="s">
        <v>460</v>
      </c>
      <c r="T147" s="897">
        <v>46081</v>
      </c>
      <c r="U147" s="879"/>
      <c r="V147" s="923"/>
      <c r="W147" s="883">
        <v>46079</v>
      </c>
      <c r="X147" s="940"/>
      <c r="Y147" s="900"/>
      <c r="Z147" s="889"/>
    </row>
    <row r="148" spans="2:26" ht="15" customHeight="1" thickBot="1">
      <c r="B148" s="403"/>
      <c r="C148" s="404"/>
      <c r="D148" s="404"/>
      <c r="E148" s="405"/>
      <c r="F148" s="449"/>
      <c r="G148" s="424"/>
      <c r="H148" s="356"/>
      <c r="I148" s="357"/>
      <c r="J148" s="921"/>
      <c r="K148" s="921"/>
      <c r="L148" s="873"/>
      <c r="M148" s="874">
        <v>15</v>
      </c>
      <c r="N148" s="875" t="s">
        <v>422</v>
      </c>
      <c r="O148" s="399"/>
      <c r="P148" s="869"/>
      <c r="Q148" s="535"/>
      <c r="R148" s="887"/>
      <c r="S148" s="537"/>
      <c r="T148" s="885"/>
      <c r="U148" s="879"/>
      <c r="V148" s="923"/>
      <c r="W148" s="882"/>
      <c r="X148" s="940"/>
      <c r="Y148" s="890"/>
      <c r="Z148" s="889"/>
    </row>
    <row r="149" spans="2:26" ht="15" customHeight="1" thickBot="1">
      <c r="B149" s="403"/>
      <c r="C149" s="404"/>
      <c r="D149" s="404"/>
      <c r="E149" s="405"/>
      <c r="F149" s="449"/>
      <c r="G149" s="424"/>
      <c r="H149" s="356"/>
      <c r="I149" s="357"/>
      <c r="J149" s="921"/>
      <c r="K149" s="921"/>
      <c r="L149" s="873"/>
      <c r="M149" s="874">
        <v>15</v>
      </c>
      <c r="N149" s="875" t="s">
        <v>422</v>
      </c>
      <c r="O149" s="399" t="s">
        <v>461</v>
      </c>
      <c r="P149" s="869"/>
      <c r="Q149" s="535"/>
      <c r="R149" s="868">
        <v>42619</v>
      </c>
      <c r="S149" s="537" t="s">
        <v>462</v>
      </c>
      <c r="T149" s="871">
        <v>46081</v>
      </c>
      <c r="U149" s="879"/>
      <c r="V149" s="923"/>
      <c r="W149" s="882">
        <v>46112</v>
      </c>
      <c r="X149" s="940"/>
      <c r="Y149" s="890"/>
      <c r="Z149" s="889"/>
    </row>
    <row r="150" spans="2:26" ht="15" customHeight="1" thickBot="1">
      <c r="B150" s="403">
        <v>15</v>
      </c>
      <c r="C150" s="404"/>
      <c r="D150" s="404"/>
      <c r="E150" s="405"/>
      <c r="F150" s="449"/>
      <c r="G150" s="424"/>
      <c r="H150" s="356"/>
      <c r="I150" s="357"/>
      <c r="J150" s="921"/>
      <c r="K150" s="921"/>
      <c r="L150" s="358"/>
      <c r="M150" s="877">
        <v>15</v>
      </c>
      <c r="N150" s="876" t="s">
        <v>422</v>
      </c>
      <c r="O150" s="399"/>
      <c r="P150" s="855"/>
      <c r="Q150" s="867"/>
      <c r="R150" s="867"/>
      <c r="S150" s="537"/>
      <c r="T150" s="872"/>
      <c r="U150" s="880"/>
      <c r="V150" s="923"/>
      <c r="W150" s="884"/>
      <c r="X150" s="922"/>
      <c r="Y150" s="888"/>
      <c r="Z150" s="200"/>
    </row>
    <row r="151" spans="2:26" s="3" customFormat="1">
      <c r="B151" s="109"/>
      <c r="E151" s="4"/>
      <c r="F151" s="109"/>
      <c r="G151" s="5"/>
      <c r="H151" s="5"/>
      <c r="I151" s="451"/>
      <c r="J151" s="452"/>
      <c r="K151" s="452"/>
      <c r="M151" s="109"/>
      <c r="P151" s="4"/>
      <c r="Q151" s="109"/>
      <c r="R151" s="453"/>
      <c r="S151" s="453"/>
      <c r="T151" s="453"/>
      <c r="U151" s="453"/>
      <c r="V151" s="453"/>
      <c r="W151" s="453"/>
      <c r="X151" s="453"/>
      <c r="Y151" s="453"/>
    </row>
    <row r="152" spans="2:26">
      <c r="B152" s="114"/>
      <c r="C152" s="114"/>
      <c r="D152" s="114"/>
      <c r="E152" s="167"/>
      <c r="F152" s="115"/>
      <c r="G152" s="114"/>
      <c r="H152" s="114"/>
      <c r="J152" s="114"/>
      <c r="K152" s="114"/>
      <c r="M152" s="114"/>
      <c r="N152" s="114"/>
      <c r="O152" s="114"/>
      <c r="P152" s="114"/>
      <c r="Q152" s="114"/>
      <c r="R152" s="303"/>
      <c r="S152" s="303"/>
      <c r="T152" s="303"/>
      <c r="U152" s="501">
        <f>SUM(U6:U127)</f>
        <v>11750786.53078164</v>
      </c>
      <c r="V152" s="303"/>
      <c r="W152" s="303"/>
      <c r="X152" s="303"/>
      <c r="Y152" s="114"/>
    </row>
    <row r="153" spans="2:26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R153" s="891"/>
      <c r="S153" s="303"/>
      <c r="T153" s="303"/>
      <c r="U153" s="303"/>
      <c r="V153" s="303"/>
      <c r="W153" s="303"/>
      <c r="X153" s="303"/>
      <c r="Y153" s="168"/>
    </row>
    <row r="154" spans="2:26">
      <c r="B154" s="114"/>
      <c r="C154" s="114"/>
      <c r="D154" s="114"/>
      <c r="E154" s="167"/>
      <c r="F154" s="115"/>
      <c r="G154" s="114"/>
      <c r="H154" s="114"/>
      <c r="J154" s="454"/>
      <c r="K154" s="454"/>
      <c r="M154" s="114"/>
      <c r="N154" s="114"/>
      <c r="O154" s="114"/>
      <c r="P154" s="167"/>
      <c r="Q154" s="115"/>
      <c r="R154" s="891"/>
      <c r="S154" s="303"/>
      <c r="T154" s="303"/>
      <c r="U154" s="303"/>
      <c r="V154" s="303"/>
      <c r="W154" s="303"/>
      <c r="X154" s="303"/>
      <c r="Y154" s="168"/>
    </row>
    <row r="155" spans="2:26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6">
      <c r="B156" s="114"/>
      <c r="C156" s="114"/>
      <c r="D156" s="114"/>
      <c r="E156" s="167"/>
      <c r="F156" s="115"/>
      <c r="G156" s="114"/>
      <c r="H156" s="114"/>
      <c r="J156" s="454"/>
      <c r="K156" s="454"/>
      <c r="M156" s="114"/>
      <c r="N156" s="114"/>
      <c r="O156" s="114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6">
      <c r="B157" s="114"/>
      <c r="C157" s="114"/>
      <c r="D157" s="114"/>
      <c r="E157" s="167"/>
      <c r="F157" s="115"/>
      <c r="G157" s="114"/>
      <c r="H157" s="114"/>
      <c r="J157" s="302"/>
      <c r="K157" s="302"/>
      <c r="M157" s="114"/>
      <c r="N157" s="114"/>
      <c r="O157" s="114"/>
      <c r="P157" s="167"/>
      <c r="Q157" s="115"/>
      <c r="R157" s="891"/>
      <c r="S157" s="303"/>
      <c r="T157" s="303"/>
      <c r="U157" s="303"/>
      <c r="V157" s="303"/>
      <c r="W157" s="303"/>
      <c r="X157" s="303"/>
      <c r="Y157" s="168"/>
    </row>
    <row r="158" spans="2:26">
      <c r="B158" s="114"/>
      <c r="C158" s="114"/>
      <c r="D158" s="114"/>
      <c r="E158" s="167"/>
      <c r="F158" s="115"/>
      <c r="G158" s="114"/>
      <c r="H158" s="114"/>
      <c r="J158" s="302"/>
      <c r="K158" s="302"/>
      <c r="M158" s="114"/>
      <c r="N158" s="114"/>
      <c r="O158" s="114"/>
      <c r="P158" s="167"/>
      <c r="Q158" s="115"/>
      <c r="R158" s="501"/>
      <c r="S158" s="303"/>
      <c r="T158" s="303"/>
      <c r="U158" s="303"/>
      <c r="V158" s="303"/>
      <c r="W158" s="303"/>
      <c r="X158" s="303"/>
      <c r="Y158" s="168"/>
    </row>
    <row r="159" spans="2:26">
      <c r="B159" s="114"/>
      <c r="C159" s="114"/>
      <c r="D159" s="114"/>
      <c r="E159" s="167"/>
      <c r="F159" s="115"/>
      <c r="G159" s="114"/>
      <c r="H159" s="114"/>
      <c r="J159" s="302"/>
      <c r="K159" s="302"/>
      <c r="M159" s="114"/>
      <c r="N159" s="114"/>
      <c r="O159" s="114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6">
      <c r="B160" s="114"/>
      <c r="C160" s="114"/>
      <c r="D160" s="114"/>
      <c r="E160" s="167"/>
      <c r="F160" s="115"/>
      <c r="G160" s="114"/>
      <c r="H160" s="114"/>
      <c r="J160" s="302"/>
      <c r="K160" s="302"/>
      <c r="M160" s="114"/>
      <c r="N160" s="114"/>
      <c r="O160" s="114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2:25">
      <c r="B161" s="114"/>
      <c r="C161" s="114"/>
      <c r="D161" s="114"/>
      <c r="E161" s="167"/>
      <c r="F161" s="115"/>
      <c r="G161" s="114"/>
      <c r="H161" s="114"/>
      <c r="J161" s="302"/>
      <c r="K161" s="302"/>
      <c r="M161" s="114"/>
      <c r="N161" s="114"/>
      <c r="O161" s="114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2:25">
      <c r="B162" s="114"/>
      <c r="C162" s="114"/>
      <c r="D162" s="114"/>
      <c r="E162" s="167"/>
      <c r="F162" s="115"/>
      <c r="G162" s="114"/>
      <c r="H162" s="114"/>
      <c r="J162" s="302"/>
      <c r="K162" s="302"/>
      <c r="M162" s="114"/>
      <c r="N162" s="114"/>
      <c r="O162" s="114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2:25">
      <c r="B163" s="114"/>
      <c r="C163" s="114"/>
      <c r="D163" s="114"/>
      <c r="E163" s="167"/>
      <c r="F163" s="115"/>
      <c r="G163" s="114"/>
      <c r="H163" s="114"/>
      <c r="J163" s="302"/>
      <c r="K163" s="302"/>
      <c r="M163" s="114"/>
      <c r="N163" s="114"/>
      <c r="O163" s="114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2:25">
      <c r="B164" s="114"/>
      <c r="C164" s="114"/>
      <c r="D164" s="114"/>
      <c r="E164" s="167"/>
      <c r="F164" s="115"/>
      <c r="G164" s="114"/>
      <c r="H164" s="114"/>
      <c r="J164" s="302"/>
      <c r="K164" s="302"/>
      <c r="M164" s="114"/>
      <c r="N164" s="114"/>
      <c r="O164" s="114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2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2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2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2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2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2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2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2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2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2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2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2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 s="114" customFormat="1">
      <c r="E502" s="167"/>
      <c r="F502" s="115"/>
      <c r="J502" s="302"/>
      <c r="K502" s="302"/>
      <c r="P502" s="167"/>
      <c r="Q502" s="115"/>
      <c r="R502" s="303"/>
      <c r="S502" s="303"/>
      <c r="T502" s="303"/>
      <c r="U502" s="303"/>
      <c r="V502" s="303"/>
      <c r="W502" s="303"/>
      <c r="X502" s="303"/>
      <c r="Y502" s="168"/>
    </row>
    <row r="503" spans="5:25" s="114" customFormat="1">
      <c r="E503" s="167"/>
      <c r="F503" s="115"/>
      <c r="J503" s="302"/>
      <c r="K503" s="302"/>
      <c r="P503" s="167"/>
      <c r="Q503" s="115"/>
      <c r="R503" s="303"/>
      <c r="S503" s="303"/>
      <c r="T503" s="303"/>
      <c r="U503" s="303"/>
      <c r="V503" s="303"/>
      <c r="W503" s="303"/>
      <c r="X503" s="303"/>
      <c r="Y503" s="168"/>
    </row>
    <row r="504" spans="5:25" s="114" customFormat="1">
      <c r="E504" s="167"/>
      <c r="F504" s="115"/>
      <c r="J504" s="302"/>
      <c r="K504" s="302"/>
      <c r="P504" s="167"/>
      <c r="Q504" s="115"/>
      <c r="R504" s="303"/>
      <c r="S504" s="303"/>
      <c r="T504" s="303"/>
      <c r="U504" s="303"/>
      <c r="V504" s="303"/>
      <c r="W504" s="303"/>
      <c r="X504" s="303"/>
      <c r="Y504" s="168"/>
    </row>
    <row r="505" spans="5:25" s="114" customFormat="1">
      <c r="E505" s="167"/>
      <c r="F505" s="115"/>
      <c r="J505" s="302"/>
      <c r="K505" s="302"/>
      <c r="P505" s="167"/>
      <c r="Q505" s="115"/>
      <c r="R505" s="303"/>
      <c r="S505" s="303"/>
      <c r="T505" s="303"/>
      <c r="U505" s="303"/>
      <c r="V505" s="303"/>
      <c r="W505" s="303"/>
      <c r="X505" s="303"/>
      <c r="Y505" s="168"/>
    </row>
    <row r="506" spans="5:25" s="114" customFormat="1">
      <c r="E506" s="167"/>
      <c r="F506" s="115"/>
      <c r="J506" s="302"/>
      <c r="K506" s="302"/>
      <c r="P506" s="167"/>
      <c r="Q506" s="115"/>
      <c r="R506" s="303"/>
      <c r="S506" s="303"/>
      <c r="T506" s="303"/>
      <c r="U506" s="303"/>
      <c r="V506" s="303"/>
      <c r="W506" s="303"/>
      <c r="X506" s="303"/>
      <c r="Y506" s="168"/>
    </row>
    <row r="507" spans="5:25" s="114" customFormat="1">
      <c r="E507" s="167"/>
      <c r="F507" s="115"/>
      <c r="J507" s="302"/>
      <c r="K507" s="302"/>
      <c r="P507" s="167"/>
      <c r="Q507" s="115"/>
      <c r="R507" s="303"/>
      <c r="S507" s="303"/>
      <c r="T507" s="303"/>
      <c r="U507" s="303"/>
      <c r="V507" s="303"/>
      <c r="W507" s="303"/>
      <c r="X507" s="303"/>
      <c r="Y507" s="168"/>
    </row>
    <row r="508" spans="5:25" s="114" customFormat="1">
      <c r="E508" s="167"/>
      <c r="F508" s="115"/>
      <c r="J508" s="302"/>
      <c r="K508" s="302"/>
      <c r="P508" s="167"/>
      <c r="Q508" s="115"/>
      <c r="R508" s="303"/>
      <c r="S508" s="303"/>
      <c r="T508" s="303"/>
      <c r="U508" s="303"/>
      <c r="V508" s="303"/>
      <c r="W508" s="303"/>
      <c r="X508" s="303"/>
      <c r="Y508" s="168"/>
    </row>
    <row r="509" spans="5:25" s="114" customFormat="1">
      <c r="E509" s="167"/>
      <c r="F509" s="115"/>
      <c r="J509" s="302"/>
      <c r="K509" s="302"/>
      <c r="P509" s="167"/>
      <c r="Q509" s="115"/>
      <c r="R509" s="303"/>
      <c r="S509" s="303"/>
      <c r="T509" s="303"/>
      <c r="U509" s="303"/>
      <c r="V509" s="303"/>
      <c r="W509" s="303"/>
      <c r="X509" s="303"/>
      <c r="Y509" s="168"/>
    </row>
    <row r="510" spans="5:25" s="114" customFormat="1">
      <c r="E510" s="167"/>
      <c r="F510" s="115"/>
      <c r="J510" s="302"/>
      <c r="K510" s="302"/>
      <c r="P510" s="167"/>
      <c r="Q510" s="115"/>
      <c r="R510" s="303"/>
      <c r="S510" s="303"/>
      <c r="T510" s="303"/>
      <c r="U510" s="303"/>
      <c r="V510" s="303"/>
      <c r="W510" s="303"/>
      <c r="X510" s="303"/>
      <c r="Y510" s="168"/>
    </row>
    <row r="511" spans="5:25">
      <c r="R511" s="303"/>
      <c r="S511" s="303"/>
      <c r="T511" s="303"/>
      <c r="U511" s="303"/>
      <c r="V511" s="303"/>
      <c r="W511" s="303"/>
      <c r="X511" s="303"/>
    </row>
    <row r="512" spans="5:25">
      <c r="R512" s="303"/>
      <c r="S512" s="303"/>
      <c r="T512" s="303"/>
      <c r="U512" s="303"/>
      <c r="V512" s="303"/>
      <c r="W512" s="303"/>
      <c r="X512" s="303"/>
    </row>
    <row r="513" spans="23:24">
      <c r="W513" s="303"/>
      <c r="X513" s="303"/>
    </row>
  </sheetData>
  <sheetProtection formatCells="0" formatColumns="0" formatRows="0" insertColumns="0" insertRows="0" insertHyperlinks="0" deleteColumns="0" deleteRows="0" sort="0" autoFilter="0" pivotTables="0"/>
  <mergeCells count="77">
    <mergeCell ref="Y146:Y147"/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  <mergeCell ref="V110:V116"/>
    <mergeCell ref="X107:X108"/>
    <mergeCell ref="V118:V127"/>
    <mergeCell ref="X87:X98"/>
    <mergeCell ref="V129:V150"/>
    <mergeCell ref="X118:X127"/>
    <mergeCell ref="X129:X150"/>
    <mergeCell ref="X6:X11"/>
    <mergeCell ref="X13:X16"/>
    <mergeCell ref="X18:X21"/>
    <mergeCell ref="X23:X33"/>
    <mergeCell ref="X35:X41"/>
    <mergeCell ref="B2:H2"/>
    <mergeCell ref="M2:R2"/>
    <mergeCell ref="J6:J11"/>
    <mergeCell ref="J13:J16"/>
    <mergeCell ref="J18:J21"/>
    <mergeCell ref="K6:K11"/>
    <mergeCell ref="K13:K16"/>
    <mergeCell ref="K18:K21"/>
    <mergeCell ref="S2:W2"/>
    <mergeCell ref="V6:V11"/>
    <mergeCell ref="V13:V16"/>
    <mergeCell ref="V18:V21"/>
    <mergeCell ref="V23:V33"/>
    <mergeCell ref="K129:K150"/>
    <mergeCell ref="J23:J33"/>
    <mergeCell ref="J35:J41"/>
    <mergeCell ref="J43:J51"/>
    <mergeCell ref="J66:J76"/>
    <mergeCell ref="J78:J85"/>
    <mergeCell ref="J53:J64"/>
    <mergeCell ref="J118:J127"/>
    <mergeCell ref="J129:J150"/>
    <mergeCell ref="K87:K98"/>
    <mergeCell ref="K100:K105"/>
    <mergeCell ref="K110:K116"/>
    <mergeCell ref="K118:K127"/>
    <mergeCell ref="J87:J98"/>
    <mergeCell ref="J100:J105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Y142:Y143"/>
    <mergeCell ref="Y136:Y140"/>
    <mergeCell ref="Y40:Y41"/>
    <mergeCell ref="Y66:Y67"/>
    <mergeCell ref="Y44:Y51"/>
    <mergeCell ref="Y89:Y96"/>
  </mergeCells>
  <phoneticPr fontId="19" type="noConversion"/>
  <conditionalFormatting sqref="K4">
    <cfRule type="containsText" dxfId="17" priority="2" operator="containsText" text="ERROR">
      <formula>NOT(ISERROR(SEARCH("ERROR",K4)))</formula>
    </cfRule>
  </conditionalFormatting>
  <conditionalFormatting sqref="V35:V41">
    <cfRule type="cellIs" dxfId="16" priority="1" operator="notEqual">
      <formula>0</formula>
    </cfRule>
  </conditionalFormatting>
  <conditionalFormatting sqref="W7:W25 W28:W31 W33:W43 W46:W49 W51:W53 W58:W68 W70 W77 W80:W83 W85:W88 W91:W94 W96:W102 W104:W109 W116:W117 W123:W139">
    <cfRule type="timePeriod" dxfId="15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6640625" defaultRowHeight="14.4"/>
  <cols>
    <col min="1" max="1" width="39.44140625" style="497" bestFit="1" customWidth="1"/>
    <col min="2" max="2" width="17.33203125" style="498" bestFit="1" customWidth="1"/>
    <col min="3" max="3" width="7.44140625" style="497" bestFit="1" customWidth="1"/>
    <col min="4" max="4" width="12" style="497" bestFit="1" customWidth="1"/>
    <col min="5" max="6" width="14.88671875" style="497" bestFit="1" customWidth="1"/>
    <col min="7" max="7" width="13.33203125" style="497" bestFit="1" customWidth="1"/>
    <col min="8" max="8" width="12" style="497" bestFit="1" customWidth="1"/>
    <col min="9" max="11" width="13.33203125" style="497" bestFit="1" customWidth="1"/>
    <col min="12" max="12" width="10.5546875" style="497" bestFit="1" customWidth="1"/>
    <col min="13" max="13" width="11.6640625" style="497" bestFit="1" customWidth="1"/>
    <col min="14" max="14" width="12" style="497" bestFit="1" customWidth="1"/>
    <col min="15" max="17" width="10.5546875" style="497" bestFit="1" customWidth="1"/>
    <col min="18" max="18" width="16" style="497" bestFit="1" customWidth="1"/>
    <col min="19" max="19" width="13.6640625" style="497" bestFit="1" customWidth="1"/>
    <col min="20" max="16384" width="12.6640625" style="497"/>
  </cols>
  <sheetData>
    <row r="1" spans="1:20">
      <c r="A1" s="519" t="s">
        <v>242</v>
      </c>
      <c r="B1" t="s">
        <v>463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464</v>
      </c>
      <c r="B3" s="519" t="s">
        <v>465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466</v>
      </c>
      <c r="B4"/>
      <c r="C4" t="s">
        <v>467</v>
      </c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46022</v>
      </c>
      <c r="N4" s="625">
        <v>45900</v>
      </c>
      <c r="O4" s="625">
        <v>45930</v>
      </c>
      <c r="P4" s="625">
        <v>46053</v>
      </c>
      <c r="Q4" s="625">
        <v>46081</v>
      </c>
      <c r="R4" t="s">
        <v>468</v>
      </c>
      <c r="S4"/>
      <c r="T4"/>
    </row>
    <row r="5" spans="1:20">
      <c r="A5" s="520" t="s">
        <v>467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/>
      <c r="T5"/>
    </row>
    <row r="6" spans="1:20">
      <c r="A6" s="520" t="s">
        <v>406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/>
      <c r="T6"/>
    </row>
    <row r="7" spans="1:20">
      <c r="A7" s="520" t="s">
        <v>248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>
        <v>1171300.6129619528</v>
      </c>
      <c r="S7"/>
      <c r="T7"/>
    </row>
    <row r="8" spans="1:20">
      <c r="A8" s="520" t="s">
        <v>261</v>
      </c>
      <c r="B8" s="521"/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>
        <v>0</v>
      </c>
      <c r="Q8" s="521"/>
      <c r="R8" s="521">
        <v>228260.87395259232</v>
      </c>
      <c r="S8"/>
      <c r="T8"/>
    </row>
    <row r="9" spans="1:20">
      <c r="A9" s="520" t="s">
        <v>273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/>
      <c r="R9" s="521">
        <v>195847.82608695701</v>
      </c>
      <c r="S9"/>
      <c r="T9"/>
    </row>
    <row r="10" spans="1:20">
      <c r="A10" s="520" t="s">
        <v>288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/>
      <c r="R10" s="521">
        <v>374309.56721411389</v>
      </c>
      <c r="S10"/>
      <c r="T10"/>
    </row>
    <row r="11" spans="1:20">
      <c r="A11" s="520" t="s">
        <v>311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/>
      <c r="R11" s="521">
        <v>189130.43964130973</v>
      </c>
      <c r="S11"/>
      <c r="T11"/>
    </row>
    <row r="12" spans="1:20">
      <c r="A12" s="520" t="s">
        <v>327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/>
      <c r="R12" s="521">
        <v>414437.74574669206</v>
      </c>
      <c r="S12"/>
      <c r="T12"/>
    </row>
    <row r="13" spans="1:20">
      <c r="A13" s="520" t="s">
        <v>360</v>
      </c>
      <c r="B13" s="521"/>
      <c r="C13" s="521">
        <v>0</v>
      </c>
      <c r="D13" s="521"/>
      <c r="E13" s="521">
        <v>84061.766551503446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96506.31</v>
      </c>
      <c r="O13" s="521"/>
      <c r="P13" s="521"/>
      <c r="Q13" s="521"/>
      <c r="R13" s="521">
        <v>215227.05957762466</v>
      </c>
      <c r="S13"/>
      <c r="T13"/>
    </row>
    <row r="14" spans="1:20">
      <c r="A14" s="520" t="s">
        <v>383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/>
      <c r="R14" s="521">
        <v>402541.17647058808</v>
      </c>
      <c r="S14"/>
      <c r="T14"/>
    </row>
    <row r="15" spans="1:20">
      <c r="A15" s="520" t="s">
        <v>386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/>
      <c r="R15" s="521">
        <v>63657.451336195503</v>
      </c>
      <c r="S15"/>
      <c r="T15"/>
    </row>
    <row r="16" spans="1:20">
      <c r="A16" s="520" t="s">
        <v>396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/>
      <c r="R16" s="521">
        <v>130611.76368732512</v>
      </c>
      <c r="S16"/>
      <c r="T16"/>
    </row>
    <row r="17" spans="1:20">
      <c r="A17" s="520" t="s">
        <v>409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/>
      <c r="R17" s="521">
        <v>272693.57778326701</v>
      </c>
      <c r="S17"/>
      <c r="T17"/>
    </row>
    <row r="18" spans="1:20">
      <c r="A18" s="520" t="s">
        <v>418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>
        <v>0</v>
      </c>
      <c r="Q18" s="521"/>
      <c r="R18" s="521">
        <v>56000.004046119291</v>
      </c>
      <c r="S18"/>
      <c r="T18"/>
    </row>
    <row r="19" spans="1:20">
      <c r="A19" s="520" t="s">
        <v>422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/>
      <c r="T19"/>
    </row>
    <row r="20" spans="1:20">
      <c r="A20" s="520" t="s">
        <v>338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/>
      <c r="R20" s="521">
        <v>8036768.4322768934</v>
      </c>
      <c r="S20"/>
      <c r="T20"/>
    </row>
    <row r="21" spans="1:20">
      <c r="A21" s="520" t="s">
        <v>468</v>
      </c>
      <c r="B21" s="521">
        <v>0</v>
      </c>
      <c r="C21" s="521">
        <v>0</v>
      </c>
      <c r="D21" s="521">
        <v>14115.734382012277</v>
      </c>
      <c r="E21" s="521">
        <v>1604879.5114995264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96506.31</v>
      </c>
      <c r="O21" s="521"/>
      <c r="P21" s="521">
        <v>0</v>
      </c>
      <c r="Q21" s="521"/>
      <c r="R21" s="521">
        <v>11750786.53078163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3">
        <f>SUM(D23:L23)</f>
        <v>11570218.459999997</v>
      </c>
      <c r="N23"/>
      <c r="O23" s="815">
        <f>GETPIVOTDATA("REVENUE RECOGNITION AMOUNT",$A$3)-M23</f>
        <v>180568.07078163326</v>
      </c>
      <c r="P23" s="815"/>
      <c r="Q23"/>
      <c r="R23"/>
      <c r="S23"/>
      <c r="T23"/>
    </row>
    <row r="24" spans="1:20" ht="39.75" customHeight="1">
      <c r="A24"/>
      <c r="B24"/>
      <c r="C24"/>
      <c r="D24" s="613">
        <f>GETPIVOTDATA("REVENUE RECOGNITION AMOUNT",$A$3,"INVOICE RAISED DATE",DATE(2024,11,30))-D23</f>
        <v>4.3820122773468029E-3</v>
      </c>
      <c r="E24" s="613">
        <f>GETPIVOTDATA("REVENUE RECOGNITION AMOUNT",$A$3,"INVOICE RAISED DATE",DATE(2024,12,31))-E23</f>
        <v>84061.771499526454</v>
      </c>
      <c r="F24" s="613">
        <f>GETPIVOTDATA("REVENUE RECOGNITION AMOUNT",$A$3,"INVOICE RAISED DATE",DATE(2025,1,31))-F23</f>
        <v>1.8181931227445602E-4</v>
      </c>
      <c r="G24" s="613">
        <f>GETPIVOTDATA("REVENUE RECOGNITION AMOUNT",$A$3,"INVOICE RAISED DATE",DATE(2025,2,28))-G23</f>
        <v>-3.5108241718262434E-3</v>
      </c>
      <c r="H24" s="613">
        <f>GETPIVOTDATA("REVENUE RECOGNITION AMOUNT",$A$3,"INVOICE RAISED DATE",DATE(2025,3,31))-H23</f>
        <v>-4.5431289618136361E-3</v>
      </c>
      <c r="I24" s="613">
        <f>GETPIVOTDATA("REVENUE RECOGNITION AMOUNT",$A$3,"INVOICE RAISED DATE",DATE(2025,4,30))-I23</f>
        <v>5.8274413459002972E-4</v>
      </c>
      <c r="J24" s="613">
        <f>GETPIVOTDATA("REVENUE RECOGNITION AMOUNT",$A$3,"INVOICE RAISED DATE",DATE(2025,5,31))-J23</f>
        <v>-4.5391450403258204E-3</v>
      </c>
      <c r="K24" s="613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workbookViewId="0">
      <selection activeCell="M13" sqref="M13"/>
    </sheetView>
  </sheetViews>
  <sheetFormatPr defaultColWidth="8.33203125" defaultRowHeight="14.4"/>
  <cols>
    <col min="1" max="1" width="21.6640625" bestFit="1" customWidth="1"/>
    <col min="2" max="2" width="17.33203125" style="613" bestFit="1" customWidth="1"/>
    <col min="3" max="3" width="13.6640625" style="613" bestFit="1" customWidth="1"/>
    <col min="4" max="4" width="12" style="613" bestFit="1" customWidth="1"/>
    <col min="5" max="6" width="14.88671875" style="613" bestFit="1" customWidth="1"/>
    <col min="7" max="8" width="13.33203125" style="613" bestFit="1" customWidth="1"/>
    <col min="9" max="9" width="14.88671875" style="613" bestFit="1" customWidth="1"/>
    <col min="10" max="13" width="13.33203125" bestFit="1" customWidth="1"/>
    <col min="14" max="15" width="12" bestFit="1" customWidth="1"/>
    <col min="16" max="17" width="13" bestFit="1" customWidth="1"/>
    <col min="18" max="18" width="16" bestFit="1" customWidth="1"/>
    <col min="19" max="19" width="13.33203125" bestFit="1" customWidth="1"/>
  </cols>
  <sheetData>
    <row r="3" spans="1:18">
      <c r="A3" s="519" t="s">
        <v>469</v>
      </c>
      <c r="B3" s="519" t="s">
        <v>465</v>
      </c>
      <c r="C3"/>
      <c r="D3"/>
      <c r="E3"/>
      <c r="F3"/>
      <c r="G3"/>
      <c r="H3"/>
      <c r="I3"/>
    </row>
    <row r="4" spans="1:18">
      <c r="A4" s="519" t="s">
        <v>466</v>
      </c>
      <c r="B4" t="s">
        <v>467</v>
      </c>
      <c r="C4"/>
      <c r="D4" s="625">
        <v>45626</v>
      </c>
      <c r="E4" s="625">
        <v>45657</v>
      </c>
      <c r="F4" s="625">
        <v>45688</v>
      </c>
      <c r="G4" s="625">
        <v>45716</v>
      </c>
      <c r="H4" s="625">
        <v>45747</v>
      </c>
      <c r="I4" s="625">
        <v>45777</v>
      </c>
      <c r="J4" s="625">
        <v>45808</v>
      </c>
      <c r="K4" s="625">
        <v>45838</v>
      </c>
      <c r="L4" s="625">
        <v>45869</v>
      </c>
      <c r="M4" s="625">
        <v>45900</v>
      </c>
      <c r="N4" s="625">
        <v>45930</v>
      </c>
      <c r="O4" s="625">
        <v>46022</v>
      </c>
      <c r="P4" s="625">
        <v>46053</v>
      </c>
      <c r="Q4" s="625">
        <v>46081</v>
      </c>
      <c r="R4" t="s">
        <v>468</v>
      </c>
    </row>
    <row r="5" spans="1:18">
      <c r="A5" s="520" t="s">
        <v>406</v>
      </c>
      <c r="B5" s="626"/>
      <c r="C5" s="626"/>
      <c r="D5" s="626"/>
      <c r="E5" s="626"/>
      <c r="F5" s="626"/>
      <c r="G5" s="626"/>
      <c r="H5" s="626"/>
      <c r="I5" s="626"/>
      <c r="J5" s="626"/>
      <c r="K5" s="626"/>
      <c r="L5" s="626"/>
      <c r="M5" s="626"/>
      <c r="N5" s="626"/>
      <c r="O5" s="626"/>
      <c r="P5" s="626"/>
      <c r="Q5" s="626"/>
      <c r="R5" s="626"/>
    </row>
    <row r="6" spans="1:18">
      <c r="A6" s="520" t="s">
        <v>467</v>
      </c>
      <c r="B6" s="626"/>
      <c r="C6" s="626"/>
      <c r="D6" s="626"/>
      <c r="E6" s="626"/>
      <c r="F6" s="626"/>
      <c r="G6" s="626"/>
      <c r="H6" s="626"/>
      <c r="I6" s="626"/>
      <c r="J6" s="626"/>
      <c r="K6" s="626"/>
      <c r="L6" s="626"/>
      <c r="M6" s="626"/>
      <c r="N6" s="626"/>
      <c r="O6" s="626"/>
      <c r="P6" s="626"/>
      <c r="Q6" s="626"/>
      <c r="R6" s="626"/>
    </row>
    <row r="7" spans="1:18">
      <c r="A7" s="520" t="s">
        <v>248</v>
      </c>
      <c r="B7" s="626"/>
      <c r="C7" s="626"/>
      <c r="D7" s="626"/>
      <c r="E7" s="626">
        <v>908317.8</v>
      </c>
      <c r="F7" s="626"/>
      <c r="G7" s="626"/>
      <c r="H7" s="626"/>
      <c r="I7" s="626"/>
      <c r="J7" s="626"/>
      <c r="K7" s="626"/>
      <c r="L7" s="626"/>
      <c r="M7" s="626"/>
      <c r="N7" s="626"/>
      <c r="O7" s="626"/>
      <c r="P7" s="626"/>
      <c r="Q7" s="626"/>
      <c r="R7" s="626">
        <v>908317.8</v>
      </c>
    </row>
    <row r="8" spans="1:18">
      <c r="A8" s="520" t="s">
        <v>261</v>
      </c>
      <c r="B8" s="626"/>
      <c r="C8" s="626"/>
      <c r="D8" s="626"/>
      <c r="E8" s="626">
        <v>206611.05</v>
      </c>
      <c r="F8" s="626"/>
      <c r="G8" s="626"/>
      <c r="H8" s="626">
        <v>43190.78</v>
      </c>
      <c r="I8" s="626"/>
      <c r="J8" s="626"/>
      <c r="K8" s="626"/>
      <c r="L8" s="626"/>
      <c r="M8" s="626"/>
      <c r="N8" s="626"/>
      <c r="O8" s="626"/>
      <c r="P8" s="626">
        <v>-68870</v>
      </c>
      <c r="Q8" s="626"/>
      <c r="R8" s="626">
        <v>180931.83</v>
      </c>
    </row>
    <row r="9" spans="1:18">
      <c r="A9" s="520" t="s">
        <v>273</v>
      </c>
      <c r="B9" s="626"/>
      <c r="C9" s="626"/>
      <c r="D9" s="626"/>
      <c r="E9" s="626"/>
      <c r="F9" s="626"/>
      <c r="G9" s="626">
        <v>84254.7</v>
      </c>
      <c r="H9" s="626">
        <v>2296</v>
      </c>
      <c r="I9" s="626"/>
      <c r="J9" s="626"/>
      <c r="K9" s="626"/>
      <c r="L9" s="626"/>
      <c r="M9" s="626"/>
      <c r="N9" s="626"/>
      <c r="O9" s="626"/>
      <c r="P9" s="626"/>
      <c r="Q9" s="626"/>
      <c r="R9" s="626">
        <v>86550.7</v>
      </c>
    </row>
    <row r="10" spans="1:18">
      <c r="A10" s="520" t="s">
        <v>288</v>
      </c>
      <c r="B10" s="626"/>
      <c r="C10" s="626"/>
      <c r="D10" s="626"/>
      <c r="E10" s="626">
        <v>159600</v>
      </c>
      <c r="F10" s="626">
        <v>23562.5</v>
      </c>
      <c r="G10" s="626">
        <v>53200</v>
      </c>
      <c r="H10" s="626">
        <v>55100</v>
      </c>
      <c r="I10" s="626">
        <v>51837.5</v>
      </c>
      <c r="J10" s="626">
        <v>9425</v>
      </c>
      <c r="K10" s="626">
        <v>9425</v>
      </c>
      <c r="L10" s="626"/>
      <c r="M10" s="626"/>
      <c r="N10" s="626"/>
      <c r="O10" s="626"/>
      <c r="P10" s="626"/>
      <c r="Q10" s="626"/>
      <c r="R10" s="626">
        <v>362150</v>
      </c>
    </row>
    <row r="11" spans="1:18">
      <c r="A11" s="520" t="s">
        <v>311</v>
      </c>
      <c r="B11" s="626"/>
      <c r="C11" s="626"/>
      <c r="D11" s="626"/>
      <c r="E11" s="626"/>
      <c r="F11" s="626">
        <v>25295.040000000001</v>
      </c>
      <c r="G11" s="626">
        <v>27100</v>
      </c>
      <c r="H11" s="626"/>
      <c r="I11" s="626"/>
      <c r="J11" s="626"/>
      <c r="K11" s="626"/>
      <c r="L11" s="626"/>
      <c r="M11" s="626"/>
      <c r="N11" s="626"/>
      <c r="O11" s="626">
        <v>15813</v>
      </c>
      <c r="P11" s="626"/>
      <c r="Q11" s="626"/>
      <c r="R11" s="626">
        <v>68208.040000000008</v>
      </c>
    </row>
    <row r="12" spans="1:18">
      <c r="A12" s="520" t="s">
        <v>327</v>
      </c>
      <c r="B12" s="626"/>
      <c r="C12" s="626"/>
      <c r="D12" s="626"/>
      <c r="E12" s="626"/>
      <c r="F12" s="626">
        <v>291881.92</v>
      </c>
      <c r="G12" s="626"/>
      <c r="H12" s="626"/>
      <c r="I12" s="626">
        <v>642140.20750000002</v>
      </c>
      <c r="J12" s="626">
        <v>116752.765</v>
      </c>
      <c r="K12" s="626">
        <v>116752.765</v>
      </c>
      <c r="L12" s="626"/>
      <c r="M12" s="626"/>
      <c r="N12" s="626"/>
      <c r="O12" s="626"/>
      <c r="P12" s="626"/>
      <c r="Q12" s="626"/>
      <c r="R12" s="626">
        <v>1167527.6574999997</v>
      </c>
    </row>
    <row r="13" spans="1:18">
      <c r="A13" s="520" t="s">
        <v>360</v>
      </c>
      <c r="B13" s="626"/>
      <c r="C13" s="626"/>
      <c r="D13" s="626"/>
      <c r="E13" s="626">
        <v>135656</v>
      </c>
      <c r="F13" s="626"/>
      <c r="G13" s="626"/>
      <c r="H13" s="626">
        <v>6715</v>
      </c>
      <c r="I13" s="626"/>
      <c r="J13" s="626"/>
      <c r="K13" s="626">
        <v>22794.36</v>
      </c>
      <c r="L13" s="626">
        <v>365.11</v>
      </c>
      <c r="M13" s="626">
        <v>147520.85</v>
      </c>
      <c r="N13" s="626"/>
      <c r="O13" s="626"/>
      <c r="P13" s="626"/>
      <c r="Q13" s="626"/>
      <c r="R13" s="626">
        <v>313051.31999999995</v>
      </c>
    </row>
    <row r="14" spans="1:18">
      <c r="A14" s="520" t="s">
        <v>383</v>
      </c>
      <c r="B14" s="626"/>
      <c r="C14" s="626"/>
      <c r="D14" s="626"/>
      <c r="E14" s="626"/>
      <c r="F14" s="626">
        <v>169238</v>
      </c>
      <c r="G14" s="626"/>
      <c r="H14" s="626"/>
      <c r="I14" s="626">
        <v>372323.60000000003</v>
      </c>
      <c r="J14" s="626">
        <v>67695.199999999997</v>
      </c>
      <c r="K14" s="626">
        <v>67695.199999999997</v>
      </c>
      <c r="L14" s="626"/>
      <c r="M14" s="626"/>
      <c r="N14" s="626"/>
      <c r="O14" s="626"/>
      <c r="P14" s="626"/>
      <c r="Q14" s="626"/>
      <c r="R14" s="626">
        <v>676952</v>
      </c>
    </row>
    <row r="15" spans="1:18">
      <c r="A15" s="520" t="s">
        <v>386</v>
      </c>
      <c r="B15" s="626"/>
      <c r="C15" s="626"/>
      <c r="D15" s="626"/>
      <c r="E15" s="626"/>
      <c r="F15" s="626">
        <v>22809.25</v>
      </c>
      <c r="G15" s="626"/>
      <c r="H15" s="626">
        <v>23400</v>
      </c>
      <c r="I15" s="626">
        <v>50180.350000000006</v>
      </c>
      <c r="J15" s="626">
        <v>9123.7000000000007</v>
      </c>
      <c r="K15" s="626">
        <v>9123.7000000000007</v>
      </c>
      <c r="L15" s="626"/>
      <c r="M15" s="626"/>
      <c r="N15" s="626"/>
      <c r="O15" s="626"/>
      <c r="P15" s="626"/>
      <c r="Q15" s="626"/>
      <c r="R15" s="626">
        <v>114637</v>
      </c>
    </row>
    <row r="16" spans="1:18">
      <c r="A16" s="520" t="s">
        <v>396</v>
      </c>
      <c r="B16" s="626"/>
      <c r="C16" s="626"/>
      <c r="D16" s="626">
        <v>11026.4</v>
      </c>
      <c r="E16" s="626"/>
      <c r="F16" s="626"/>
      <c r="G16" s="626"/>
      <c r="H16" s="626"/>
      <c r="I16" s="626"/>
      <c r="J16" s="626">
        <v>27732.67</v>
      </c>
      <c r="K16" s="626"/>
      <c r="L16" s="626"/>
      <c r="M16" s="626"/>
      <c r="N16" s="626"/>
      <c r="O16" s="626"/>
      <c r="P16" s="626"/>
      <c r="Q16" s="626"/>
      <c r="R16" s="626">
        <v>38759.07</v>
      </c>
    </row>
    <row r="17" spans="1:18">
      <c r="A17" s="520" t="s">
        <v>409</v>
      </c>
      <c r="B17" s="626"/>
      <c r="C17" s="626"/>
      <c r="D17" s="626"/>
      <c r="E17" s="626"/>
      <c r="F17" s="626"/>
      <c r="G17" s="626"/>
      <c r="H17" s="626"/>
      <c r="I17" s="626"/>
      <c r="J17" s="626">
        <v>144194.49313795625</v>
      </c>
      <c r="K17" s="626"/>
      <c r="L17" s="626"/>
      <c r="M17" s="626"/>
      <c r="N17" s="626"/>
      <c r="O17" s="626"/>
      <c r="P17" s="626"/>
      <c r="Q17" s="626"/>
      <c r="R17" s="626">
        <v>144194.49313795625</v>
      </c>
    </row>
    <row r="18" spans="1:18">
      <c r="A18" s="520" t="s">
        <v>418</v>
      </c>
      <c r="B18" s="626"/>
      <c r="C18" s="626"/>
      <c r="D18" s="626"/>
      <c r="E18" s="626">
        <v>6375.86</v>
      </c>
      <c r="F18" s="626">
        <v>5594.87</v>
      </c>
      <c r="G18" s="626">
        <v>725.13</v>
      </c>
      <c r="H18" s="626">
        <v>4534.32</v>
      </c>
      <c r="I18" s="626">
        <v>4040.3</v>
      </c>
      <c r="J18" s="626">
        <v>10015.219999999999</v>
      </c>
      <c r="K18" s="626">
        <v>5888.6900000000005</v>
      </c>
      <c r="L18" s="626">
        <v>6060.2199999999993</v>
      </c>
      <c r="M18" s="626">
        <v>20384.45</v>
      </c>
      <c r="N18" s="626"/>
      <c r="O18" s="626"/>
      <c r="P18" s="626">
        <v>3613.64</v>
      </c>
      <c r="Q18" s="626"/>
      <c r="R18" s="626">
        <v>67232.7</v>
      </c>
    </row>
    <row r="19" spans="1:18">
      <c r="A19" s="520" t="s">
        <v>422</v>
      </c>
      <c r="B19" s="626"/>
      <c r="C19" s="626"/>
      <c r="D19" s="626"/>
      <c r="E19" s="626"/>
      <c r="F19" s="626"/>
      <c r="G19" s="626"/>
      <c r="H19" s="626"/>
      <c r="I19" s="626">
        <v>190762.14</v>
      </c>
      <c r="J19" s="626"/>
      <c r="K19" s="626">
        <v>267.01</v>
      </c>
      <c r="L19" s="626">
        <v>286244.26</v>
      </c>
      <c r="M19" s="626">
        <v>282391</v>
      </c>
      <c r="N19" s="626">
        <v>14110</v>
      </c>
      <c r="O19" s="626"/>
      <c r="P19" s="626">
        <v>267135.65000000002</v>
      </c>
      <c r="Q19" s="626">
        <v>128005.64</v>
      </c>
      <c r="R19" s="626">
        <v>1168915.7</v>
      </c>
    </row>
    <row r="20" spans="1:18">
      <c r="A20" s="520" t="s">
        <v>338</v>
      </c>
      <c r="B20" s="626">
        <v>0</v>
      </c>
      <c r="C20" s="626"/>
      <c r="D20" s="626"/>
      <c r="E20" s="626"/>
      <c r="F20" s="626">
        <v>6324594</v>
      </c>
      <c r="G20" s="626"/>
      <c r="H20" s="626"/>
      <c r="I20" s="626">
        <v>41290</v>
      </c>
      <c r="J20" s="626"/>
      <c r="K20" s="626"/>
      <c r="L20" s="626">
        <v>20645</v>
      </c>
      <c r="M20" s="626"/>
      <c r="N20" s="626"/>
      <c r="O20" s="626"/>
      <c r="P20" s="626"/>
      <c r="Q20" s="626"/>
      <c r="R20" s="626">
        <v>6386529</v>
      </c>
    </row>
    <row r="21" spans="1:18">
      <c r="A21" s="520" t="s">
        <v>468</v>
      </c>
      <c r="B21" s="626">
        <v>0</v>
      </c>
      <c r="C21" s="626"/>
      <c r="D21" s="626">
        <v>11026.4</v>
      </c>
      <c r="E21" s="626">
        <v>1416560.7100000002</v>
      </c>
      <c r="F21" s="626">
        <v>6862975.5800000001</v>
      </c>
      <c r="G21" s="626">
        <v>165279.83000000002</v>
      </c>
      <c r="H21" s="626">
        <v>135236.1</v>
      </c>
      <c r="I21" s="626">
        <v>1352574.0975000001</v>
      </c>
      <c r="J21" s="626">
        <v>384939.04813795624</v>
      </c>
      <c r="K21" s="626">
        <v>231946.72500000003</v>
      </c>
      <c r="L21" s="626">
        <v>313314.59000000003</v>
      </c>
      <c r="M21" s="626">
        <v>450296.30000000005</v>
      </c>
      <c r="N21" s="626">
        <v>14110</v>
      </c>
      <c r="O21" s="626">
        <v>15813</v>
      </c>
      <c r="P21" s="626">
        <v>201879.29000000004</v>
      </c>
      <c r="Q21" s="626">
        <v>128005.64</v>
      </c>
      <c r="R21" s="626">
        <v>11683957.310637955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11" t="s">
        <v>470</v>
      </c>
    </row>
    <row r="2" spans="1:4">
      <c r="A2" s="969"/>
      <c r="B2" s="969"/>
      <c r="C2" s="969"/>
      <c r="D2" s="71"/>
    </row>
    <row r="3" spans="1:4">
      <c r="A3" s="968" t="s">
        <v>471</v>
      </c>
      <c r="B3" s="968"/>
      <c r="C3" s="968"/>
      <c r="D3" s="112">
        <v>0.32</v>
      </c>
    </row>
    <row r="4" spans="1:4">
      <c r="A4" s="968" t="s">
        <v>472</v>
      </c>
      <c r="B4" s="968"/>
      <c r="C4" s="968"/>
      <c r="D4" s="112">
        <v>0.5</v>
      </c>
    </row>
    <row r="5" spans="1:4">
      <c r="A5" s="968" t="s">
        <v>473</v>
      </c>
      <c r="B5" s="968"/>
      <c r="C5" s="968"/>
      <c r="D5" s="112">
        <v>0.15</v>
      </c>
    </row>
    <row r="6" spans="1:4">
      <c r="A6" s="968" t="s">
        <v>474</v>
      </c>
      <c r="B6" s="968"/>
      <c r="C6" s="96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664062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399999999999999">
      <c r="B2" s="970" t="s">
        <v>475</v>
      </c>
      <c r="C2" s="970"/>
      <c r="D2" s="970"/>
      <c r="E2" s="970"/>
      <c r="F2" s="970"/>
      <c r="G2" s="970"/>
      <c r="H2" s="970"/>
      <c r="I2" s="970"/>
      <c r="J2" s="970"/>
      <c r="K2" s="970"/>
      <c r="L2" s="970"/>
      <c r="M2" s="970"/>
      <c r="N2" s="970"/>
    </row>
    <row r="4" spans="2:14">
      <c r="B4" s="92" t="s">
        <v>476</v>
      </c>
      <c r="C4" s="86"/>
      <c r="D4" s="90" t="s">
        <v>477</v>
      </c>
      <c r="E4" s="95"/>
      <c r="F4" s="90" t="s">
        <v>478</v>
      </c>
      <c r="H4" s="90" t="s">
        <v>479</v>
      </c>
      <c r="I4" s="95"/>
      <c r="J4" s="90" t="s">
        <v>480</v>
      </c>
      <c r="L4" s="90" t="s">
        <v>479</v>
      </c>
      <c r="M4" s="90"/>
      <c r="N4" s="90" t="s">
        <v>481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482</v>
      </c>
      <c r="H7" s="99"/>
      <c r="I7" s="95"/>
      <c r="J7" s="107" t="s">
        <v>482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259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>
      <c r="B10" s="108" t="s">
        <v>259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483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484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485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482</v>
      </c>
      <c r="H15" s="99"/>
      <c r="I15" s="95"/>
      <c r="J15" s="107" t="s">
        <v>482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486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486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485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482</v>
      </c>
      <c r="H21" s="99"/>
      <c r="I21" s="95"/>
      <c r="J21" s="107" t="s">
        <v>482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290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290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485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482</v>
      </c>
      <c r="H27" s="99"/>
      <c r="I27" s="95"/>
      <c r="J27" s="107" t="s">
        <v>482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487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485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482</v>
      </c>
      <c r="H34" s="99"/>
      <c r="I34" s="95"/>
      <c r="J34" s="107" t="s">
        <v>482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488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489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490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491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492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493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494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495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33203125" style="88" customWidth="1"/>
    <col min="7" max="7" width="18.664062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6640625" style="88" customWidth="1"/>
    <col min="15" max="15" width="14.33203125" style="88" bestFit="1" customWidth="1"/>
    <col min="16" max="16384" width="9.33203125" style="88"/>
  </cols>
  <sheetData>
    <row r="2" spans="2:15" s="94" customFormat="1" ht="17.399999999999999">
      <c r="B2" s="970" t="s">
        <v>496</v>
      </c>
      <c r="C2" s="970"/>
      <c r="D2" s="970"/>
      <c r="E2" s="970"/>
      <c r="F2" s="970"/>
      <c r="G2" s="970"/>
      <c r="H2" s="970"/>
      <c r="I2" s="970"/>
      <c r="J2" s="970"/>
      <c r="K2" s="970"/>
      <c r="L2" s="970"/>
      <c r="M2" s="970"/>
      <c r="N2" s="970"/>
      <c r="O2" s="970"/>
    </row>
    <row r="4" spans="2:15">
      <c r="B4" s="92" t="s">
        <v>476</v>
      </c>
      <c r="C4" s="86"/>
      <c r="D4" s="90" t="s">
        <v>477</v>
      </c>
      <c r="E4" s="95"/>
      <c r="F4" s="95"/>
      <c r="G4" s="90" t="s">
        <v>497</v>
      </c>
      <c r="H4" s="96"/>
      <c r="J4" s="90" t="s">
        <v>479</v>
      </c>
      <c r="L4" s="90" t="s">
        <v>498</v>
      </c>
      <c r="M4" s="96"/>
      <c r="O4" s="90" t="s">
        <v>479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254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>
      <c r="B7" s="86" t="s">
        <v>255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>
      <c r="B8" s="86" t="s">
        <v>256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>
      <c r="B9" s="86" t="s">
        <v>257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258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262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266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269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494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476</v>
      </c>
      <c r="C18" s="86"/>
      <c r="D18" s="90" t="s">
        <v>477</v>
      </c>
      <c r="E18" s="95"/>
      <c r="F18" s="95"/>
      <c r="G18" s="90" t="s">
        <v>499</v>
      </c>
      <c r="H18" s="96"/>
      <c r="J18" s="90" t="s">
        <v>479</v>
      </c>
      <c r="L18" s="90" t="s">
        <v>500</v>
      </c>
      <c r="M18" s="96"/>
      <c r="O18" s="90" t="s">
        <v>479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501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>
      <c r="B21" s="86" t="s">
        <v>502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>
      <c r="B22" s="86" t="s">
        <v>503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>
      <c r="B23" s="86" t="s">
        <v>504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266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505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258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494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8" thickBot="1">
      <c r="B32" s="102" t="s">
        <v>506</v>
      </c>
      <c r="C32" s="103"/>
      <c r="D32" s="103"/>
    </row>
    <row r="33" spans="2:4" ht="13.8" thickTop="1"/>
    <row r="34" spans="2:4">
      <c r="B34" s="88" t="s">
        <v>477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>
      <c r="B41" s="105"/>
      <c r="C41" s="105"/>
      <c r="D41" s="106"/>
    </row>
    <row r="42" spans="2:4">
      <c r="B42" s="86" t="s">
        <v>507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4"/>
  <cols>
    <col min="1" max="1" width="0.6640625" customWidth="1"/>
    <col min="2" max="2" width="8.33203125" bestFit="1" customWidth="1"/>
    <col min="3" max="3" width="45.3320312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6640625" bestFit="1" customWidth="1"/>
    <col min="9" max="9" width="10.33203125" customWidth="1"/>
    <col min="10" max="10" width="19.6640625" bestFit="1" customWidth="1"/>
  </cols>
  <sheetData>
    <row r="1" spans="2:14">
      <c r="B1" s="972" t="str">
        <f>D15</f>
        <v>Mayo Macs</v>
      </c>
      <c r="C1" s="972"/>
      <c r="D1" s="972"/>
      <c r="E1" s="971" t="s">
        <v>508</v>
      </c>
      <c r="F1" s="971"/>
      <c r="G1" s="971"/>
      <c r="H1" s="971"/>
      <c r="I1" s="971"/>
      <c r="J1" s="971"/>
      <c r="K1" s="77"/>
      <c r="L1" s="77"/>
      <c r="M1" s="77"/>
      <c r="N1" s="77"/>
    </row>
    <row r="2" spans="2:14" ht="6.75" customHeight="1"/>
    <row r="3" spans="2:14">
      <c r="B3" s="72" t="s">
        <v>509</v>
      </c>
      <c r="C3" s="72" t="s">
        <v>510</v>
      </c>
      <c r="D3" s="72" t="s">
        <v>511</v>
      </c>
      <c r="E3" s="78" t="s">
        <v>512</v>
      </c>
      <c r="F3" s="78" t="s">
        <v>513</v>
      </c>
      <c r="G3" s="78" t="s">
        <v>121</v>
      </c>
      <c r="H3" s="78" t="s">
        <v>514</v>
      </c>
      <c r="I3" s="78" t="s">
        <v>515</v>
      </c>
      <c r="J3" s="78" t="s">
        <v>516</v>
      </c>
    </row>
    <row r="4" spans="2:14">
      <c r="B4" s="76" t="s">
        <v>517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522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523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524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525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526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F6B77C58-53DC-4C7F-BEB6-1C38C782A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Sheet1</vt:lpstr>
      <vt:lpstr>Revenue Tracking</vt:lpstr>
      <vt:lpstr>Project Plan</vt:lpstr>
      <vt:lpstr>Expenditure Tracking</vt:lpstr>
      <vt:lpstr>Data</vt:lpstr>
      <vt:lpstr>Cashflow</vt:lpstr>
      <vt:lpstr>Expenditure Breakdown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2026-03-02T09:37:06Z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